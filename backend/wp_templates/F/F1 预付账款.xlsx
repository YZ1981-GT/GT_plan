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F 存货循环\"/>
    </mc:Choice>
  </mc:AlternateContent>
  <bookViews>
    <workbookView xWindow="0" yWindow="0" windowWidth="23040" windowHeight="9144" tabRatio="856"/>
  </bookViews>
  <sheets>
    <sheet name="底稿目录" sheetId="1" r:id="rId1"/>
    <sheet name="预付账款实质性程序表F1A" sheetId="24" r:id="rId2"/>
    <sheet name="预付账款实质性程序表G1A-修订前" sheetId="31" state="hidden" r:id="rId3"/>
    <sheet name="审定表F1-1" sheetId="16" r:id="rId4"/>
    <sheet name="附注披露信息(上市公司)" sheetId="3" r:id="rId5"/>
    <sheet name="附注披露信息(国企)" sheetId="4" r:id="rId6"/>
    <sheet name="明细表F1-2" sheetId="19" r:id="rId7"/>
    <sheet name="调整分录汇总F1-3" sheetId="25" r:id="rId8"/>
    <sheet name="实质性分析F1-4" sheetId="23" r:id="rId9"/>
    <sheet name="长期挂款检查表F1-5" sheetId="21" r:id="rId10"/>
    <sheet name="关联方及交易检查表F1-6" sheetId="6" r:id="rId11"/>
    <sheet name="预付账款检查表F1-7" sheetId="30" r:id="rId12"/>
  </sheets>
  <definedNames>
    <definedName name="_xlnm._FilterDatabase" localSheetId="1">预付账款实质性程序表F1A!$A$15:$I$31</definedName>
    <definedName name="_xlnm._FilterDatabase" localSheetId="2" hidden="1">'预付账款实质性程序表G1A-修订前'!$A$15:$J$86</definedName>
    <definedName name="AFV" localSheetId="2" hidden="1">#REF!</definedName>
    <definedName name="AFV" hidden="1">#REF!</definedName>
    <definedName name="AS2DocOpenMode" hidden="1">"AS2DocumentEdit"</definedName>
    <definedName name="bs" localSheetId="2" hidden="1">{#N/A,#N/A,FALSE,"BBPREP"}</definedName>
    <definedName name="bs" hidden="1">{#N/A,#N/A,FALSE,"BBPREP"}</definedName>
    <definedName name="bs_1" localSheetId="2" hidden="1">{#N/A,#N/A,FALSE,"BBPREP"}</definedName>
    <definedName name="bs_1" hidden="1">{#N/A,#N/A,FALSE,"BBPREP"}</definedName>
    <definedName name="CCD" localSheetId="2" hidden="1">#REF!</definedName>
    <definedName name="CCD" hidden="1">#REF!</definedName>
    <definedName name="CDE" localSheetId="2" hidden="1">#REF!</definedName>
    <definedName name="CDE" hidden="1">#REF!</definedName>
    <definedName name="DEX" localSheetId="2" hidden="1">#REF!</definedName>
    <definedName name="DEX" hidden="1">#REF!</definedName>
    <definedName name="EDC" localSheetId="2" hidden="1">#REF!</definedName>
    <definedName name="EDC" hidden="1">#REF!</definedName>
    <definedName name="FASD" localSheetId="2" hidden="1">#REF!</definedName>
    <definedName name="FASD" hidden="1">#REF!</definedName>
    <definedName name="_xlnm.Print_Area" localSheetId="7">'调整分录汇总F1-3'!$A$1:$J$22</definedName>
    <definedName name="_xlnm.Print_Area" localSheetId="5">'附注披露信息(国企)'!$A$1:$G$32</definedName>
    <definedName name="_xlnm.Print_Area" localSheetId="4">'附注披露信息(上市公司)'!$A$1:$F$39</definedName>
    <definedName name="_xlnm.Print_Area" localSheetId="10">'关联方及交易检查表F1-6'!$A$1:$M$14</definedName>
    <definedName name="_xlnm.Print_Area" localSheetId="6">'明细表F1-2'!$A$1:$AE$44</definedName>
    <definedName name="_xlnm.Print_Area" localSheetId="3">'审定表F1-1'!$A$1:$L$29</definedName>
    <definedName name="_xlnm.Print_Area" localSheetId="8">'实质性分析F1-4'!$A$1:$J$56</definedName>
    <definedName name="_xlnm.Print_Area" localSheetId="11">'预付账款检查表F1-7'!$A$1:$R$95</definedName>
    <definedName name="_xlnm.Print_Area" localSheetId="1">预付账款实质性程序表F1A!$A$1:$I$31</definedName>
    <definedName name="_xlnm.Print_Area" localSheetId="2">'预付账款实质性程序表G1A-修订前'!$A$1:$J$86</definedName>
    <definedName name="_xlnm.Print_Area" localSheetId="9">'长期挂款检查表F1-5'!$A$1:$M$21</definedName>
    <definedName name="_xlnm.Print_Titles" localSheetId="1">预付账款实质性程序表F1A!$15:$15</definedName>
    <definedName name="_xlnm.Print_Titles" localSheetId="2">'预付账款实质性程序表G1A-修订前'!$15:$15</definedName>
    <definedName name="RDES" localSheetId="2" hidden="1">#REF!</definedName>
    <definedName name="RDES" hidden="1">#REF!</definedName>
    <definedName name="TextRefCopyRangeCount" hidden="1">136</definedName>
    <definedName name="VFE" localSheetId="2" hidden="1">#REF!</definedName>
    <definedName name="VFE" hidden="1">#REF!</definedName>
    <definedName name="XAP" localSheetId="2" hidden="1">#REF!</definedName>
    <definedName name="XAP" hidden="1">#REF!</definedName>
    <definedName name="XAQ" localSheetId="2" hidden="1">#REF!</definedName>
    <definedName name="XAQ" hidden="1">#REF!</definedName>
    <definedName name="XCD" localSheetId="2" hidden="1">#REF!</definedName>
    <definedName name="XCD" hidden="1">#REF!</definedName>
    <definedName name="XREF_COLUMN_1" localSheetId="2" hidden="1">#REF!</definedName>
    <definedName name="XREF_COLUMN_1" hidden="1">#REF!</definedName>
    <definedName name="XREF_COLUMN_3" localSheetId="2" hidden="1">#REF!</definedName>
    <definedName name="XREF_COLUMN_3" hidden="1">#REF!</definedName>
    <definedName name="XRefActiveRow" localSheetId="2" hidden="1">#REF!</definedName>
    <definedName name="XRefActiveRow" hidden="1">#REF!</definedName>
    <definedName name="XRefColumnsCount" hidden="1">2</definedName>
    <definedName name="XRefCopy1" localSheetId="2" hidden="1">#REF!</definedName>
    <definedName name="XRefCopy1" hidden="1">#REF!</definedName>
    <definedName name="XRefCopy1Row" localSheetId="2" hidden="1">#REF!</definedName>
    <definedName name="XRefCopy1Row" hidden="1">#REF!</definedName>
    <definedName name="XRefCopy2Row" localSheetId="2" hidden="1">#REF!</definedName>
    <definedName name="XRefCopy2Row" hidden="1">#REF!</definedName>
    <definedName name="XRefCopyRangeCount" hidden="1">2</definedName>
    <definedName name="XRefPaste1" localSheetId="2" hidden="1">#REF!</definedName>
    <definedName name="XRefPaste1" hidden="1">#REF!</definedName>
    <definedName name="XRefPaste1Row" localSheetId="2" hidden="1">#REF!</definedName>
    <definedName name="XRefPaste1Row" hidden="1">#REF!</definedName>
    <definedName name="XRefPaste2" localSheetId="2" hidden="1">#REF!</definedName>
    <definedName name="XRefPaste2" hidden="1">#REF!</definedName>
    <definedName name="XRefPaste2Row" localSheetId="2" hidden="1">#REF!</definedName>
    <definedName name="XRefPaste2Row" hidden="1">#REF!</definedName>
    <definedName name="XRefPaste3" localSheetId="2" hidden="1">#REF!</definedName>
    <definedName name="XRefPaste3" hidden="1">#REF!</definedName>
    <definedName name="XRefPaste3Row" localSheetId="2" hidden="1">#REF!</definedName>
    <definedName name="XRefPaste3Row" hidden="1">#REF!</definedName>
    <definedName name="XRefPasteRangeCount" hidden="1">2</definedName>
    <definedName name="底稿目录" localSheetId="2" hidden="1">#REF!</definedName>
    <definedName name="底稿目录" hidden="1">#REF!</definedName>
    <definedName name="新目录" localSheetId="2" hidden="1">#REF!</definedName>
    <definedName name="新目录" hidden="1">#REF!</definedName>
  </definedNames>
  <calcPr calcId="162913"/>
</workbook>
</file>

<file path=xl/calcChain.xml><?xml version="1.0" encoding="utf-8"?>
<calcChain xmlns="http://schemas.openxmlformats.org/spreadsheetml/2006/main">
  <c r="Z37" i="19" l="1"/>
  <c r="O14" i="19" l="1"/>
  <c r="Q14" i="19" s="1"/>
  <c r="Q15" i="19" l="1"/>
  <c r="Q16" i="19"/>
  <c r="Q17" i="19"/>
  <c r="Q18" i="19"/>
  <c r="Q19" i="19"/>
  <c r="Q20" i="19"/>
  <c r="Q21" i="19"/>
  <c r="Q22" i="19"/>
  <c r="Q23" i="19"/>
  <c r="Q24" i="19"/>
  <c r="Q25" i="19"/>
  <c r="Q26" i="19"/>
  <c r="Q27" i="19"/>
  <c r="Q28" i="19"/>
  <c r="Q29" i="19"/>
  <c r="Q30" i="19"/>
  <c r="Q31" i="19"/>
  <c r="Q32" i="19"/>
  <c r="Q33" i="19"/>
  <c r="Q34" i="19"/>
  <c r="P35" i="19"/>
  <c r="L35" i="19" l="1"/>
  <c r="M35" i="19"/>
  <c r="E89" i="30" s="1"/>
  <c r="I35" i="19"/>
  <c r="J35" i="19"/>
  <c r="K35" i="19"/>
  <c r="B29" i="3" l="1"/>
  <c r="B30" i="3"/>
  <c r="B31" i="3"/>
  <c r="B32" i="3"/>
  <c r="A29" i="3"/>
  <c r="A30" i="3"/>
  <c r="A31" i="3"/>
  <c r="A32" i="3"/>
  <c r="E42" i="23"/>
  <c r="G42" i="23" s="1"/>
  <c r="E43" i="23"/>
  <c r="G43" i="23" s="1"/>
  <c r="E44" i="23"/>
  <c r="G44" i="23" s="1"/>
  <c r="E45" i="23"/>
  <c r="G45" i="23" s="1"/>
  <c r="E46" i="23"/>
  <c r="G46" i="23" s="1"/>
  <c r="E47" i="23"/>
  <c r="G47" i="23" s="1"/>
  <c r="E48" i="23"/>
  <c r="G48" i="23" s="1"/>
  <c r="E49" i="23"/>
  <c r="G49" i="23" s="1"/>
  <c r="E50" i="23"/>
  <c r="G50" i="23"/>
  <c r="C51" i="23"/>
  <c r="D51" i="23"/>
  <c r="F51" i="23"/>
  <c r="E41" i="23"/>
  <c r="F13" i="23"/>
  <c r="G13" i="23" s="1"/>
  <c r="B28" i="3"/>
  <c r="A28" i="3"/>
  <c r="R3" i="30"/>
  <c r="M3" i="6"/>
  <c r="M3" i="21"/>
  <c r="J3" i="23"/>
  <c r="J3" i="25"/>
  <c r="AE3" i="19"/>
  <c r="L3" i="16"/>
  <c r="I3" i="24"/>
  <c r="E51" i="23" l="1"/>
  <c r="G41" i="23"/>
  <c r="G51" i="23" s="1"/>
  <c r="N38" i="30" l="1"/>
  <c r="K10" i="6" l="1"/>
  <c r="F7" i="6"/>
  <c r="H7" i="6" s="1"/>
  <c r="H10" i="6" s="1"/>
  <c r="G10" i="6"/>
  <c r="C10" i="6"/>
  <c r="D10" i="6"/>
  <c r="E10" i="6"/>
  <c r="F8" i="6"/>
  <c r="F9" i="6"/>
  <c r="B15" i="21"/>
  <c r="D23" i="23"/>
  <c r="E23" i="23"/>
  <c r="B51" i="23"/>
  <c r="F10" i="6" l="1"/>
  <c r="X14" i="19" l="1"/>
  <c r="Q35" i="19"/>
  <c r="Q36" i="19" s="1"/>
  <c r="N86" i="30"/>
  <c r="G86" i="30"/>
  <c r="F91" i="30" s="1"/>
  <c r="K15" i="21" l="1"/>
  <c r="J51" i="23" l="1"/>
  <c r="D29" i="23"/>
  <c r="F28" i="23"/>
  <c r="G28" i="23" s="1"/>
  <c r="F27" i="23"/>
  <c r="G27" i="23" s="1"/>
  <c r="F26" i="23"/>
  <c r="G26" i="23" s="1"/>
  <c r="F25" i="23"/>
  <c r="G25" i="23" s="1"/>
  <c r="F24" i="23"/>
  <c r="G24" i="23" s="1"/>
  <c r="F23" i="23"/>
  <c r="G23" i="23" s="1"/>
  <c r="E29" i="23"/>
  <c r="F14" i="23"/>
  <c r="G14" i="23" s="1"/>
  <c r="F15" i="23"/>
  <c r="G15" i="23" s="1"/>
  <c r="F16" i="23"/>
  <c r="G16" i="23" s="1"/>
  <c r="F17" i="23"/>
  <c r="G17" i="23" s="1"/>
  <c r="E18" i="23"/>
  <c r="D18" i="23"/>
  <c r="E12" i="23"/>
  <c r="D12" i="23"/>
  <c r="F29" i="23" l="1"/>
  <c r="G29" i="23" s="1"/>
  <c r="F12" i="23"/>
  <c r="G12" i="23" s="1"/>
  <c r="F18" i="23"/>
  <c r="G18" i="23" s="1"/>
  <c r="N65" i="30" l="1"/>
  <c r="L4" i="30" l="1"/>
  <c r="L3" i="30"/>
  <c r="H4" i="30"/>
  <c r="H3" i="30"/>
  <c r="A4" i="30"/>
  <c r="A3" i="30"/>
  <c r="G65" i="30"/>
  <c r="F90" i="30" s="1"/>
  <c r="G38" i="30"/>
  <c r="L38" i="30"/>
  <c r="F89" i="30" l="1"/>
  <c r="G89" i="30" s="1"/>
  <c r="E9" i="16"/>
  <c r="E8" i="16"/>
  <c r="E4" i="31" l="1"/>
  <c r="C4" i="31"/>
  <c r="A4" i="31"/>
  <c r="E3" i="31"/>
  <c r="C3" i="31"/>
  <c r="A3" i="31"/>
  <c r="E35" i="19" l="1"/>
  <c r="J15" i="21" l="1"/>
  <c r="I15" i="21"/>
  <c r="H14" i="19"/>
  <c r="AD35" i="19" l="1"/>
  <c r="G35" i="19"/>
  <c r="B29" i="4" l="1"/>
  <c r="B20" i="3" l="1"/>
  <c r="D20" i="3"/>
  <c r="H15" i="19" l="1"/>
  <c r="H16" i="19"/>
  <c r="H17" i="19"/>
  <c r="H18" i="19"/>
  <c r="H19" i="19"/>
  <c r="H20" i="19"/>
  <c r="H21" i="19"/>
  <c r="H22" i="19"/>
  <c r="H23" i="19"/>
  <c r="H24" i="19"/>
  <c r="H25" i="19"/>
  <c r="H26" i="19"/>
  <c r="H27" i="19"/>
  <c r="H28" i="19"/>
  <c r="H29" i="19"/>
  <c r="H30" i="19"/>
  <c r="H31" i="19"/>
  <c r="H32" i="19"/>
  <c r="H35" i="19" s="1"/>
  <c r="H33" i="19"/>
  <c r="H34" i="19"/>
  <c r="H36" i="19" l="1"/>
  <c r="I36" i="19"/>
  <c r="K36" i="19"/>
  <c r="J36" i="19"/>
  <c r="L36" i="19"/>
  <c r="V35" i="19"/>
  <c r="W35" i="19"/>
  <c r="Y35" i="19"/>
  <c r="Z35" i="19"/>
  <c r="AA35" i="19"/>
  <c r="AB35" i="19"/>
  <c r="F35" i="19"/>
  <c r="N35" i="19"/>
  <c r="E90" i="30" s="1"/>
  <c r="G90" i="30" s="1"/>
  <c r="R35" i="19"/>
  <c r="S35" i="19"/>
  <c r="T35" i="19"/>
  <c r="U35" i="19"/>
  <c r="I20" i="16" l="1"/>
  <c r="M20" i="16" s="1"/>
  <c r="AB37" i="19"/>
  <c r="I19" i="16"/>
  <c r="M19" i="16" s="1"/>
  <c r="AA37" i="19"/>
  <c r="I18" i="16"/>
  <c r="M18" i="16" s="1"/>
  <c r="I4" i="16"/>
  <c r="I3" i="16"/>
  <c r="G4" i="25" l="1"/>
  <c r="G3" i="25"/>
  <c r="D4" i="25"/>
  <c r="D3" i="25"/>
  <c r="A4" i="25"/>
  <c r="A3" i="25"/>
  <c r="G4" i="23" l="1"/>
  <c r="G4" i="21"/>
  <c r="I4" i="6"/>
  <c r="T4" i="19"/>
  <c r="E4" i="4"/>
  <c r="D4" i="3"/>
  <c r="E4" i="24"/>
  <c r="C4" i="23"/>
  <c r="D4" i="21"/>
  <c r="E4" i="6"/>
  <c r="K4" i="19"/>
  <c r="C4" i="4"/>
  <c r="C4" i="3"/>
  <c r="E4" i="16"/>
  <c r="C4" i="24"/>
  <c r="E3" i="24" l="1"/>
  <c r="C3" i="24"/>
  <c r="A4" i="24"/>
  <c r="A3" i="24" l="1"/>
  <c r="D6" i="1"/>
  <c r="D7" i="1" s="1"/>
  <c r="D8" i="1" s="1"/>
  <c r="D9" i="1" l="1"/>
  <c r="A3" i="23"/>
  <c r="C3" i="23"/>
  <c r="G3" i="23"/>
  <c r="A4" i="23"/>
  <c r="F20" i="16"/>
  <c r="E20" i="4"/>
  <c r="E19" i="4"/>
  <c r="E18" i="4"/>
  <c r="D20" i="4"/>
  <c r="D19" i="4"/>
  <c r="D18" i="4"/>
  <c r="C20" i="4"/>
  <c r="C19" i="4"/>
  <c r="C18" i="4"/>
  <c r="B20" i="4"/>
  <c r="B19" i="4"/>
  <c r="B18" i="4"/>
  <c r="O23" i="19"/>
  <c r="X23" i="19" s="1"/>
  <c r="O24" i="19"/>
  <c r="X24" i="19" s="1"/>
  <c r="O25" i="19"/>
  <c r="X25" i="19" s="1"/>
  <c r="O26" i="19"/>
  <c r="X26" i="19" s="1"/>
  <c r="O27" i="19"/>
  <c r="X27" i="19" s="1"/>
  <c r="O28" i="19"/>
  <c r="X28" i="19" s="1"/>
  <c r="O29" i="19"/>
  <c r="X29" i="19" s="1"/>
  <c r="O30" i="19"/>
  <c r="X30" i="19" s="1"/>
  <c r="O31" i="19"/>
  <c r="X31" i="19" s="1"/>
  <c r="O32" i="19"/>
  <c r="X32" i="19" s="1"/>
  <c r="O33" i="19"/>
  <c r="X33" i="19" s="1"/>
  <c r="O34" i="19"/>
  <c r="X34" i="19" s="1"/>
  <c r="O22" i="19"/>
  <c r="X22" i="19" s="1"/>
  <c r="O19" i="19"/>
  <c r="X19" i="19" s="1"/>
  <c r="O20" i="19"/>
  <c r="X20" i="19" s="1"/>
  <c r="O21" i="19"/>
  <c r="X21" i="19" s="1"/>
  <c r="O18" i="19"/>
  <c r="X18" i="19" s="1"/>
  <c r="O17" i="19"/>
  <c r="X17" i="19" s="1"/>
  <c r="O15" i="19"/>
  <c r="X15" i="19" s="1"/>
  <c r="O16" i="19"/>
  <c r="X16" i="19" s="1"/>
  <c r="G3" i="21"/>
  <c r="D3" i="21"/>
  <c r="A4" i="21"/>
  <c r="A3" i="21"/>
  <c r="T3" i="19"/>
  <c r="K3" i="19"/>
  <c r="A4" i="19"/>
  <c r="A3" i="19"/>
  <c r="D15" i="4"/>
  <c r="G15" i="4"/>
  <c r="E3" i="16"/>
  <c r="A4" i="16"/>
  <c r="A3" i="16"/>
  <c r="L22" i="16"/>
  <c r="H22" i="16"/>
  <c r="D22" i="16"/>
  <c r="I21" i="16"/>
  <c r="J21" i="16" s="1"/>
  <c r="K21" i="16" s="1"/>
  <c r="L13" i="16"/>
  <c r="H12" i="16"/>
  <c r="G12" i="16"/>
  <c r="H11" i="16"/>
  <c r="G11" i="16"/>
  <c r="H10" i="16"/>
  <c r="G10" i="16"/>
  <c r="H9" i="16"/>
  <c r="G9" i="16"/>
  <c r="H8" i="16"/>
  <c r="G8" i="16"/>
  <c r="E14" i="4"/>
  <c r="E11" i="4"/>
  <c r="E13" i="4"/>
  <c r="E12" i="4"/>
  <c r="D13" i="16"/>
  <c r="C13" i="16"/>
  <c r="F11" i="16"/>
  <c r="E10" i="16"/>
  <c r="E12" i="16"/>
  <c r="E11" i="16"/>
  <c r="D11" i="3"/>
  <c r="D10" i="3"/>
  <c r="D12" i="3"/>
  <c r="E22" i="16"/>
  <c r="E24" i="16" s="1"/>
  <c r="D13" i="3"/>
  <c r="B22" i="16"/>
  <c r="B13" i="16"/>
  <c r="C22" i="16"/>
  <c r="H9" i="6"/>
  <c r="H8" i="6"/>
  <c r="A4" i="6"/>
  <c r="I3" i="6"/>
  <c r="E3" i="6"/>
  <c r="A3" i="6"/>
  <c r="A4" i="4"/>
  <c r="E3" i="4"/>
  <c r="C3" i="4"/>
  <c r="A3" i="4"/>
  <c r="A19" i="4" s="1"/>
  <c r="A4" i="3"/>
  <c r="D3" i="3"/>
  <c r="C3" i="3"/>
  <c r="A3" i="3"/>
  <c r="D10" i="1" l="1"/>
  <c r="D18" i="1" s="1"/>
  <c r="D11" i="1"/>
  <c r="D12" i="1" s="1"/>
  <c r="D13" i="1" s="1"/>
  <c r="D14" i="1" s="1"/>
  <c r="D15" i="1" s="1"/>
  <c r="D16" i="1" s="1"/>
  <c r="D17" i="1" s="1"/>
  <c r="D19" i="1" s="1"/>
  <c r="D20" i="1" s="1"/>
  <c r="X35" i="19"/>
  <c r="E91" i="30" s="1"/>
  <c r="G91" i="30" s="1"/>
  <c r="O35" i="19"/>
  <c r="O36" i="19" s="1"/>
  <c r="F9" i="16"/>
  <c r="I9" i="16" s="1"/>
  <c r="G20" i="16"/>
  <c r="F18" i="16"/>
  <c r="F8" i="16"/>
  <c r="I8" i="16" s="1"/>
  <c r="B12" i="4"/>
  <c r="I17" i="16"/>
  <c r="F19" i="16"/>
  <c r="G19" i="16" s="1"/>
  <c r="F17" i="16"/>
  <c r="G13" i="16"/>
  <c r="F10" i="16"/>
  <c r="E13" i="16"/>
  <c r="C21" i="4"/>
  <c r="A20" i="4"/>
  <c r="A18" i="4"/>
  <c r="E15" i="4"/>
  <c r="F13" i="4" s="1"/>
  <c r="D14" i="3"/>
  <c r="E11" i="3" s="1"/>
  <c r="I11" i="16"/>
  <c r="J11" i="16" s="1"/>
  <c r="K11" i="16" s="1"/>
  <c r="B33" i="3"/>
  <c r="B14" i="4"/>
  <c r="B13" i="3"/>
  <c r="J20" i="16"/>
  <c r="K20" i="16" s="1"/>
  <c r="B13" i="4"/>
  <c r="B12" i="3"/>
  <c r="J19" i="16"/>
  <c r="K19" i="16" s="1"/>
  <c r="F12" i="16"/>
  <c r="H13" i="16"/>
  <c r="AA36" i="19" l="1"/>
  <c r="Y36" i="19"/>
  <c r="Z36" i="19"/>
  <c r="AB36" i="19"/>
  <c r="X36" i="19"/>
  <c r="E10" i="3"/>
  <c r="F14" i="4"/>
  <c r="F11" i="4"/>
  <c r="F12" i="4"/>
  <c r="F15" i="4" s="1"/>
  <c r="E12" i="3"/>
  <c r="E13" i="3"/>
  <c r="J17" i="16"/>
  <c r="K17" i="16" s="1"/>
  <c r="G17" i="16"/>
  <c r="J18" i="16"/>
  <c r="K18" i="16" s="1"/>
  <c r="J8" i="16"/>
  <c r="K8" i="16" s="1"/>
  <c r="B11" i="3"/>
  <c r="G18" i="16"/>
  <c r="B11" i="4"/>
  <c r="I22" i="16"/>
  <c r="I24" i="16" s="1"/>
  <c r="B10" i="3"/>
  <c r="F22" i="16"/>
  <c r="I10" i="16"/>
  <c r="J10" i="16" s="1"/>
  <c r="K10" i="16" s="1"/>
  <c r="I12" i="16"/>
  <c r="J12" i="16" s="1"/>
  <c r="K12" i="16" s="1"/>
  <c r="F13" i="16"/>
  <c r="J9" i="16"/>
  <c r="B15" i="4" l="1"/>
  <c r="C11" i="4" s="1"/>
  <c r="J22" i="16"/>
  <c r="K22" i="16" s="1"/>
  <c r="G22" i="16"/>
  <c r="E14" i="3"/>
  <c r="B14" i="3"/>
  <c r="C10" i="3" s="1"/>
  <c r="I13" i="16"/>
  <c r="K9" i="16"/>
  <c r="J13" i="16"/>
  <c r="K13" i="16" s="1"/>
  <c r="C26" i="16" s="1"/>
  <c r="C24" i="4" l="1"/>
  <c r="C25" i="4"/>
  <c r="C26" i="4"/>
  <c r="C27" i="4"/>
  <c r="C28" i="4"/>
  <c r="C29" i="4"/>
  <c r="C14" i="4"/>
  <c r="C13" i="4"/>
  <c r="C12" i="4"/>
  <c r="C29" i="3"/>
  <c r="C30" i="3"/>
  <c r="C31" i="3"/>
  <c r="C28" i="3"/>
  <c r="C20" i="3"/>
  <c r="C19" i="3"/>
  <c r="C18" i="3"/>
  <c r="C32" i="3"/>
  <c r="C17" i="3"/>
  <c r="C12" i="3"/>
  <c r="C11" i="3"/>
  <c r="C13" i="3"/>
  <c r="C33" i="3" l="1"/>
  <c r="C15" i="4"/>
  <c r="C14" i="3"/>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24"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24"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comments3.xml><?xml version="1.0" encoding="utf-8"?>
<comments xmlns="http://schemas.openxmlformats.org/spreadsheetml/2006/main">
  <authors>
    <author>Windows 用户</author>
    <author>Zhang Na 章娜</author>
  </authors>
  <commentList>
    <comment ref="B12" authorId="0" shapeId="0">
      <text>
        <r>
          <rPr>
            <b/>
            <sz val="9"/>
            <color indexed="81"/>
            <rFont val="宋体"/>
            <family val="3"/>
            <charset val="134"/>
          </rPr>
          <t>Windows 用户:</t>
        </r>
        <r>
          <rPr>
            <sz val="9"/>
            <color indexed="81"/>
            <rFont val="宋体"/>
            <family val="3"/>
            <charset val="134"/>
          </rPr>
          <t xml:space="preserve">
可填写债权人的唯一识别编码，如被审计单位财务或业务系统中的公司编码</t>
        </r>
      </text>
    </comment>
    <comment ref="C12" authorId="1" shapeId="0">
      <text>
        <r>
          <rPr>
            <sz val="9"/>
            <color indexed="81"/>
            <rFont val="宋体"/>
            <family val="3"/>
            <charset val="134"/>
          </rPr>
          <t xml:space="preserve">期末关联方类型
</t>
        </r>
      </text>
    </comment>
    <comment ref="D12" authorId="1" shapeId="0">
      <text>
        <r>
          <rPr>
            <sz val="9"/>
            <color indexed="81"/>
            <rFont val="宋体"/>
            <family val="3"/>
            <charset val="134"/>
          </rPr>
          <t xml:space="preserve">期末款项性质
</t>
        </r>
      </text>
    </comment>
  </commentList>
</comments>
</file>

<file path=xl/sharedStrings.xml><?xml version="1.0" encoding="utf-8"?>
<sst xmlns="http://schemas.openxmlformats.org/spreadsheetml/2006/main" count="975" uniqueCount="689">
  <si>
    <t>底稿开列时，可先在以下单元格填写有关内容，以便其他底稿引用有关数据：</t>
    <phoneticPr fontId="7" type="noConversion"/>
  </si>
  <si>
    <t>序号</t>
    <phoneticPr fontId="7" type="noConversion"/>
  </si>
  <si>
    <t>内容</t>
  </si>
  <si>
    <t>单位名称</t>
  </si>
  <si>
    <t>——</t>
  </si>
  <si>
    <r>
      <t>1</t>
    </r>
    <r>
      <rPr>
        <b/>
        <sz val="10"/>
        <rFont val="宋体"/>
        <family val="3"/>
        <charset val="134"/>
      </rPr>
      <t>年以下</t>
    </r>
  </si>
  <si>
    <r>
      <t>1</t>
    </r>
    <r>
      <rPr>
        <b/>
        <sz val="10"/>
        <rFont val="宋体"/>
        <family val="3"/>
        <charset val="134"/>
      </rPr>
      <t>～</t>
    </r>
    <r>
      <rPr>
        <b/>
        <sz val="10"/>
        <rFont val="Arial Narrow"/>
        <family val="2"/>
      </rPr>
      <t>2</t>
    </r>
    <r>
      <rPr>
        <b/>
        <sz val="10"/>
        <rFont val="宋体"/>
        <family val="3"/>
        <charset val="134"/>
      </rPr>
      <t>年</t>
    </r>
  </si>
  <si>
    <t>……</t>
    <phoneticPr fontId="7" type="noConversion"/>
  </si>
  <si>
    <r>
      <rPr>
        <sz val="10"/>
        <rFont val="宋体"/>
        <family val="3"/>
        <charset val="134"/>
      </rPr>
      <t>页次：</t>
    </r>
  </si>
  <si>
    <t>期末余额</t>
  </si>
  <si>
    <t>货款</t>
  </si>
  <si>
    <t>工程款</t>
  </si>
  <si>
    <t>设备款</t>
  </si>
  <si>
    <t>服务费</t>
  </si>
  <si>
    <t>其他</t>
  </si>
  <si>
    <r>
      <t>1</t>
    </r>
    <r>
      <rPr>
        <sz val="10"/>
        <color indexed="8"/>
        <rFont val="宋体"/>
        <family val="3"/>
        <charset val="134"/>
      </rPr>
      <t>年以内（含</t>
    </r>
    <r>
      <rPr>
        <sz val="10"/>
        <color indexed="8"/>
        <rFont val="Arial Narrow"/>
        <family val="2"/>
      </rPr>
      <t>1</t>
    </r>
    <r>
      <rPr>
        <sz val="10"/>
        <color indexed="8"/>
        <rFont val="宋体"/>
        <family val="3"/>
        <charset val="134"/>
      </rPr>
      <t>年）</t>
    </r>
  </si>
  <si>
    <r>
      <t>1</t>
    </r>
    <r>
      <rPr>
        <sz val="10"/>
        <color indexed="8"/>
        <rFont val="宋体"/>
        <family val="3"/>
        <charset val="134"/>
      </rPr>
      <t>至</t>
    </r>
    <r>
      <rPr>
        <sz val="10"/>
        <color indexed="8"/>
        <rFont val="Arial Narrow"/>
        <family val="2"/>
      </rPr>
      <t>2</t>
    </r>
    <r>
      <rPr>
        <sz val="10"/>
        <color indexed="8"/>
        <rFont val="宋体"/>
        <family val="3"/>
        <charset val="134"/>
      </rPr>
      <t>年（含</t>
    </r>
    <r>
      <rPr>
        <sz val="10"/>
        <color indexed="8"/>
        <rFont val="Arial Narrow"/>
        <family val="2"/>
      </rPr>
      <t>2</t>
    </r>
    <r>
      <rPr>
        <sz val="10"/>
        <color indexed="8"/>
        <rFont val="宋体"/>
        <family val="3"/>
        <charset val="134"/>
      </rPr>
      <t>年）</t>
    </r>
  </si>
  <si>
    <r>
      <t>2</t>
    </r>
    <r>
      <rPr>
        <sz val="10"/>
        <color indexed="8"/>
        <rFont val="宋体"/>
        <family val="3"/>
        <charset val="134"/>
      </rPr>
      <t>至</t>
    </r>
    <r>
      <rPr>
        <sz val="10"/>
        <color indexed="8"/>
        <rFont val="Arial Narrow"/>
        <family val="2"/>
      </rPr>
      <t>3</t>
    </r>
    <r>
      <rPr>
        <sz val="10"/>
        <color indexed="8"/>
        <rFont val="宋体"/>
        <family val="3"/>
        <charset val="134"/>
      </rPr>
      <t>年（含</t>
    </r>
    <r>
      <rPr>
        <sz val="10"/>
        <color indexed="8"/>
        <rFont val="Arial Narrow"/>
        <family val="2"/>
      </rPr>
      <t>3</t>
    </r>
    <r>
      <rPr>
        <sz val="10"/>
        <color indexed="8"/>
        <rFont val="宋体"/>
        <family val="3"/>
        <charset val="134"/>
      </rPr>
      <t>年）</t>
    </r>
  </si>
  <si>
    <r>
      <t>3</t>
    </r>
    <r>
      <rPr>
        <sz val="10"/>
        <color indexed="8"/>
        <rFont val="宋体"/>
        <family val="3"/>
        <charset val="134"/>
      </rPr>
      <t>年以上</t>
    </r>
  </si>
  <si>
    <r>
      <rPr>
        <b/>
        <sz val="10"/>
        <rFont val="宋体"/>
        <family val="3"/>
        <charset val="134"/>
      </rPr>
      <t>审定数</t>
    </r>
  </si>
  <si>
    <r>
      <rPr>
        <b/>
        <sz val="10"/>
        <rFont val="宋体"/>
        <family val="3"/>
        <charset val="134"/>
      </rPr>
      <t>备注</t>
    </r>
  </si>
  <si>
    <r>
      <rPr>
        <b/>
        <sz val="10"/>
        <rFont val="宋体"/>
        <family val="3"/>
        <charset val="134"/>
      </rPr>
      <t>２～</t>
    </r>
    <r>
      <rPr>
        <b/>
        <sz val="10"/>
        <rFont val="Arial Narrow"/>
        <family val="2"/>
      </rPr>
      <t>3</t>
    </r>
    <r>
      <rPr>
        <b/>
        <sz val="10"/>
        <rFont val="宋体"/>
        <family val="3"/>
        <charset val="134"/>
      </rPr>
      <t>年</t>
    </r>
  </si>
  <si>
    <r>
      <t>3</t>
    </r>
    <r>
      <rPr>
        <b/>
        <sz val="10"/>
        <rFont val="宋体"/>
        <family val="3"/>
        <charset val="134"/>
      </rPr>
      <t>年以上</t>
    </r>
  </si>
  <si>
    <r>
      <rPr>
        <b/>
        <sz val="10"/>
        <color indexed="8"/>
        <rFont val="宋体"/>
        <family val="3"/>
        <charset val="134"/>
      </rPr>
      <t>合计</t>
    </r>
  </si>
  <si>
    <r>
      <rPr>
        <b/>
        <sz val="10"/>
        <rFont val="宋体"/>
        <family val="3"/>
        <charset val="134"/>
      </rPr>
      <t>备注</t>
    </r>
    <phoneticPr fontId="7" type="noConversion"/>
  </si>
  <si>
    <t>--</t>
    <phoneticPr fontId="7" type="noConversion"/>
  </si>
  <si>
    <r>
      <rPr>
        <b/>
        <sz val="10"/>
        <color indexed="8"/>
        <rFont val="宋体"/>
        <family val="3"/>
        <charset val="134"/>
      </rPr>
      <t>一、审计目标</t>
    </r>
    <r>
      <rPr>
        <b/>
        <sz val="10"/>
        <color indexed="8"/>
        <rFont val="Arial Narrow"/>
        <family val="2"/>
      </rPr>
      <t>:</t>
    </r>
    <phoneticPr fontId="18" type="noConversion"/>
  </si>
  <si>
    <r>
      <rPr>
        <b/>
        <sz val="10"/>
        <rFont val="宋体"/>
        <family val="3"/>
        <charset val="134"/>
      </rPr>
      <t>债权人名称</t>
    </r>
    <phoneticPr fontId="7" type="noConversion"/>
  </si>
  <si>
    <r>
      <rPr>
        <b/>
        <sz val="10"/>
        <rFont val="宋体"/>
        <family val="3"/>
        <charset val="134"/>
      </rPr>
      <t>账项调整</t>
    </r>
    <phoneticPr fontId="7" type="noConversion"/>
  </si>
  <si>
    <r>
      <rPr>
        <b/>
        <sz val="10"/>
        <rFont val="宋体"/>
        <family val="3"/>
        <charset val="134"/>
      </rPr>
      <t>重分类调整</t>
    </r>
    <phoneticPr fontId="7" type="noConversion"/>
  </si>
  <si>
    <r>
      <rPr>
        <b/>
        <sz val="10"/>
        <rFont val="宋体"/>
        <family val="3"/>
        <charset val="134"/>
      </rPr>
      <t>款项性质</t>
    </r>
    <phoneticPr fontId="18" type="noConversion"/>
  </si>
  <si>
    <r>
      <rPr>
        <b/>
        <sz val="10"/>
        <rFont val="宋体"/>
        <family val="3"/>
        <charset val="134"/>
      </rPr>
      <t>借方发生</t>
    </r>
    <phoneticPr fontId="18" type="noConversion"/>
  </si>
  <si>
    <r>
      <rPr>
        <b/>
        <sz val="10"/>
        <rFont val="宋体"/>
        <family val="3"/>
        <charset val="134"/>
      </rPr>
      <t>贷方发生</t>
    </r>
    <phoneticPr fontId="18" type="noConversion"/>
  </si>
  <si>
    <r>
      <rPr>
        <b/>
        <sz val="10"/>
        <rFont val="宋体"/>
        <family val="3"/>
        <charset val="134"/>
      </rPr>
      <t>期末余额</t>
    </r>
    <phoneticPr fontId="18" type="noConversion"/>
  </si>
  <si>
    <r>
      <t>3</t>
    </r>
    <r>
      <rPr>
        <b/>
        <sz val="10"/>
        <rFont val="宋体"/>
        <family val="3"/>
        <charset val="134"/>
      </rPr>
      <t>年以上</t>
    </r>
    <phoneticPr fontId="7"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</si>
  <si>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</si>
  <si>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r>
      <rPr>
        <b/>
        <sz val="10"/>
        <rFont val="宋体"/>
        <family val="3"/>
        <charset val="134"/>
      </rPr>
      <t>减：坏账准备</t>
    </r>
    <phoneticPr fontId="7" type="noConversion"/>
  </si>
  <si>
    <r>
      <rPr>
        <b/>
        <sz val="10"/>
        <rFont val="宋体"/>
        <family val="3"/>
        <charset val="134"/>
      </rPr>
      <t>账面价值</t>
    </r>
  </si>
  <si>
    <r>
      <rPr>
        <b/>
        <sz val="10"/>
        <rFont val="宋体"/>
        <family val="3"/>
        <charset val="134"/>
      </rPr>
      <t>发生时间及账龄</t>
    </r>
    <phoneticPr fontId="7" type="noConversion"/>
  </si>
  <si>
    <r>
      <rPr>
        <b/>
        <sz val="10"/>
        <rFont val="宋体"/>
        <family val="3"/>
        <charset val="134"/>
      </rPr>
      <t>发生原因（款项性质）</t>
    </r>
    <phoneticPr fontId="7" type="noConversion"/>
  </si>
  <si>
    <r>
      <rPr>
        <b/>
        <sz val="10"/>
        <rFont val="宋体"/>
        <family val="3"/>
        <charset val="134"/>
      </rPr>
      <t>索引号</t>
    </r>
    <phoneticPr fontId="7" type="noConversion"/>
  </si>
  <si>
    <r>
      <rPr>
        <sz val="10"/>
        <rFont val="宋体"/>
        <family val="3"/>
        <charset val="134"/>
      </rPr>
      <t>债务人（股东）</t>
    </r>
    <r>
      <rPr>
        <sz val="10"/>
        <rFont val="Arial Narrow"/>
        <family val="2"/>
      </rPr>
      <t>2</t>
    </r>
  </si>
  <si>
    <r>
      <t>1</t>
    </r>
    <r>
      <rPr>
        <b/>
        <sz val="10"/>
        <rFont val="宋体"/>
        <family val="3"/>
        <charset val="134"/>
      </rPr>
      <t>、审计说明：</t>
    </r>
    <r>
      <rPr>
        <b/>
        <sz val="10"/>
        <color indexed="12"/>
        <rFont val="Arial Narrow"/>
        <family val="2"/>
      </rPr>
      <t/>
    </r>
    <phoneticPr fontId="7" type="noConversion"/>
  </si>
  <si>
    <r>
      <t>2</t>
    </r>
    <r>
      <rPr>
        <b/>
        <sz val="10"/>
        <rFont val="宋体"/>
        <family val="3"/>
        <charset val="134"/>
      </rPr>
      <t>、审计结论：</t>
    </r>
    <phoneticPr fontId="7" type="noConversion"/>
  </si>
  <si>
    <r>
      <rPr>
        <sz val="10"/>
        <rFont val="宋体"/>
        <family val="3"/>
        <charset val="134"/>
      </rPr>
      <t>索引号：</t>
    </r>
    <phoneticPr fontId="7" type="noConversion"/>
  </si>
  <si>
    <t>项目</t>
  </si>
  <si>
    <t>预付账款附注披露信息：</t>
    <phoneticPr fontId="7" type="noConversion"/>
  </si>
  <si>
    <r>
      <rPr>
        <b/>
        <sz val="10"/>
        <rFont val="宋体"/>
        <family val="3"/>
        <charset val="134"/>
      </rPr>
      <t>债务人名称</t>
    </r>
    <phoneticPr fontId="7" type="noConversion"/>
  </si>
  <si>
    <t>期末余额</t>
    <phoneticPr fontId="7" type="noConversion"/>
  </si>
  <si>
    <t>账龄</t>
    <phoneticPr fontId="7" type="noConversion"/>
  </si>
  <si>
    <t>经济业务说明</t>
    <phoneticPr fontId="7" type="noConversion"/>
  </si>
  <si>
    <r>
      <rPr>
        <b/>
        <sz val="10"/>
        <rFont val="宋体"/>
        <family val="3"/>
        <charset val="134"/>
      </rPr>
      <t>未偿还或未结转的原因</t>
    </r>
    <phoneticPr fontId="7" type="noConversion"/>
  </si>
  <si>
    <t>审定余额</t>
    <phoneticPr fontId="7" type="noConversion"/>
  </si>
  <si>
    <t>备注</t>
    <phoneticPr fontId="7" type="noConversion"/>
  </si>
  <si>
    <r>
      <rPr>
        <b/>
        <sz val="12"/>
        <rFont val="宋体"/>
        <family val="3"/>
        <charset val="134"/>
      </rPr>
      <t>致同会计师事务所</t>
    </r>
  </si>
  <si>
    <t>预付账款实质性程序</t>
    <phoneticPr fontId="7" type="noConversion"/>
  </si>
  <si>
    <r>
      <rPr>
        <sz val="10"/>
        <rFont val="宋体"/>
        <family val="3"/>
        <charset val="134"/>
      </rPr>
      <t>索引号：</t>
    </r>
  </si>
  <si>
    <t>预付账款</t>
    <phoneticPr fontId="31" type="noConversion"/>
  </si>
  <si>
    <r>
      <rPr>
        <b/>
        <sz val="10"/>
        <rFont val="宋体"/>
        <family val="3"/>
        <charset val="134"/>
      </rPr>
      <t>财务报表的认定　</t>
    </r>
  </si>
  <si>
    <t>程序分类</t>
    <phoneticPr fontId="7" type="noConversion"/>
  </si>
  <si>
    <t>常规★</t>
    <phoneticPr fontId="31" type="noConversion"/>
  </si>
  <si>
    <t>一、本账户涉及的科目</t>
    <phoneticPr fontId="31" type="noConversion"/>
  </si>
  <si>
    <t>预付账款审定表</t>
    <phoneticPr fontId="7" type="noConversion"/>
  </si>
  <si>
    <t>预付账款实质性分析表</t>
    <phoneticPr fontId="7" type="noConversion"/>
  </si>
  <si>
    <t>预付账款明细表</t>
    <phoneticPr fontId="7" type="noConversion"/>
  </si>
  <si>
    <t>预付账款附注披露信息（国企）</t>
    <phoneticPr fontId="7" type="noConversion"/>
  </si>
  <si>
    <t>预付账款附注披露信息（上市公司）</t>
    <phoneticPr fontId="7" type="noConversion"/>
  </si>
  <si>
    <t>调整事项说明</t>
    <phoneticPr fontId="7" type="noConversion"/>
  </si>
  <si>
    <t>类别（报表调整/账项调整/其他）</t>
    <phoneticPr fontId="7" type="noConversion"/>
  </si>
  <si>
    <t>科目名称</t>
    <phoneticPr fontId="7" type="noConversion"/>
  </si>
  <si>
    <t>附注项目</t>
    <phoneticPr fontId="7" type="noConversion"/>
  </si>
  <si>
    <t>借方调整金额</t>
    <phoneticPr fontId="7" type="noConversion"/>
  </si>
  <si>
    <t>贷方调整金额</t>
    <phoneticPr fontId="7" type="noConversion"/>
  </si>
  <si>
    <t>索引</t>
    <phoneticPr fontId="7" type="noConversion"/>
  </si>
  <si>
    <t>索引号</t>
    <phoneticPr fontId="7" type="noConversion"/>
  </si>
  <si>
    <t>预付账款实质性程序表</t>
    <phoneticPr fontId="7" type="noConversion"/>
  </si>
  <si>
    <t>预付账款审定表</t>
    <phoneticPr fontId="7" type="noConversion"/>
  </si>
  <si>
    <t>附注披露信息（上市公司）</t>
    <phoneticPr fontId="7" type="noConversion"/>
  </si>
  <si>
    <t>附注披露信息（国企）</t>
    <phoneticPr fontId="7" type="noConversion"/>
  </si>
  <si>
    <t>预付账款明细表</t>
    <phoneticPr fontId="7" type="noConversion"/>
  </si>
  <si>
    <t>长期挂账预付账款检查表</t>
    <phoneticPr fontId="7" type="noConversion"/>
  </si>
  <si>
    <t>调整分录汇总</t>
  </si>
  <si>
    <t>关联方类型</t>
    <phoneticPr fontId="7" type="noConversion"/>
  </si>
  <si>
    <r>
      <rPr>
        <b/>
        <sz val="10"/>
        <rFont val="宋体"/>
        <family val="3"/>
        <charset val="134"/>
      </rPr>
      <t>款项性质</t>
    </r>
    <phoneticPr fontId="7" type="noConversion"/>
  </si>
  <si>
    <t>关联方类型</t>
    <phoneticPr fontId="18" type="noConversion"/>
  </si>
  <si>
    <t>期初未审余额</t>
    <phoneticPr fontId="7" type="noConversion"/>
  </si>
  <si>
    <t>期初余额</t>
    <phoneticPr fontId="18" type="noConversion"/>
  </si>
  <si>
    <t>账项调整</t>
    <phoneticPr fontId="18" type="noConversion"/>
  </si>
  <si>
    <t>重分类调整</t>
    <phoneticPr fontId="18" type="noConversion"/>
  </si>
  <si>
    <t>期初审定</t>
    <phoneticPr fontId="18" type="noConversion"/>
  </si>
  <si>
    <t>期初账项调整</t>
    <phoneticPr fontId="7" type="noConversion"/>
  </si>
  <si>
    <t>期初重分类调整</t>
    <phoneticPr fontId="7" type="noConversion"/>
  </si>
  <si>
    <t>期初审定余额</t>
    <phoneticPr fontId="7" type="noConversion"/>
  </si>
  <si>
    <t>期末未审账龄</t>
    <phoneticPr fontId="18" type="noConversion"/>
  </si>
  <si>
    <t>期初审定账龄</t>
    <phoneticPr fontId="7" type="noConversion"/>
  </si>
  <si>
    <t>合  计</t>
  </si>
  <si>
    <t>债务人名称</t>
  </si>
  <si>
    <t>坏账准备</t>
  </si>
  <si>
    <t>（3）按预付对象归集的预付款项期末余额前五名单位情况</t>
    <phoneticPr fontId="7" type="noConversion"/>
  </si>
  <si>
    <t>账面余额</t>
    <phoneticPr fontId="7" type="noConversion"/>
  </si>
  <si>
    <t>占预付款项合计的比例（%）</t>
    <phoneticPr fontId="7" type="noConversion"/>
  </si>
  <si>
    <t>上年年末数</t>
    <phoneticPr fontId="7" type="noConversion"/>
  </si>
  <si>
    <t>期初数</t>
    <phoneticPr fontId="7" type="noConversion"/>
  </si>
  <si>
    <t xml:space="preserve"> —— </t>
  </si>
  <si>
    <t>债权单位</t>
    <phoneticPr fontId="7" type="noConversion"/>
  </si>
  <si>
    <t>预付款项</t>
  </si>
  <si>
    <t>（1）预付款项按账龄披露</t>
  </si>
  <si>
    <t>账  龄</t>
  </si>
  <si>
    <t>期末数</t>
  </si>
  <si>
    <t>金  额</t>
  </si>
  <si>
    <t>比例%</t>
  </si>
  <si>
    <t>1年以内</t>
  </si>
  <si>
    <t>1至2年</t>
  </si>
  <si>
    <t>2至3年</t>
  </si>
  <si>
    <t>3年以上</t>
  </si>
  <si>
    <t>（2）账龄超过1年的重要预付款项</t>
    <phoneticPr fontId="7" type="noConversion"/>
  </si>
  <si>
    <t>（按预付对象集中度，汇总或分别披露期末余额前五名的预付款项的期末余额及占预付款项期末余额合计数的比例。）</t>
  </si>
  <si>
    <t>汇总披露格式：</t>
  </si>
  <si>
    <t>分别披露格式：</t>
  </si>
  <si>
    <t>预付款项期末余额</t>
    <phoneticPr fontId="7" type="noConversion"/>
  </si>
  <si>
    <t>占预付款项期末余额合计数的比例%</t>
    <phoneticPr fontId="7" type="noConversion"/>
  </si>
  <si>
    <r>
      <t>说明：</t>
    </r>
    <r>
      <rPr>
        <sz val="10"/>
        <color rgb="FF0000FF"/>
        <rFont val="宋体"/>
        <family val="3"/>
        <charset val="134"/>
        <scheme val="minor"/>
      </rPr>
      <t>（账龄超过1年的金额重要预付账款，应说明未及时结算的原因。）</t>
    </r>
  </si>
  <si>
    <r>
      <t>本期按预付对象归集的期末余额前五名预付款项汇总金额XXXX元，占预付款项期末余额合计数的比例</t>
    </r>
    <r>
      <rPr>
        <u/>
        <sz val="10"/>
        <rFont val="宋体"/>
        <family val="3"/>
        <charset val="134"/>
        <scheme val="minor"/>
      </rPr>
      <t xml:space="preserve">      </t>
    </r>
    <r>
      <rPr>
        <sz val="10"/>
        <rFont val="宋体"/>
        <family val="3"/>
        <charset val="134"/>
        <scheme val="minor"/>
      </rPr>
      <t>%。</t>
    </r>
  </si>
  <si>
    <t>（1）预付款项按账龄列示</t>
  </si>
  <si>
    <t>账面余额</t>
  </si>
  <si>
    <t>金 额</t>
  </si>
  <si>
    <t>比例（%）</t>
  </si>
  <si>
    <t>1年以内（含1年）</t>
  </si>
  <si>
    <t>（2）账龄超过1年的大额预付款项</t>
  </si>
  <si>
    <t>债务单位</t>
  </si>
  <si>
    <t>账龄</t>
  </si>
  <si>
    <t>未结算的原因</t>
  </si>
  <si>
    <t xml:space="preserve"> （3）按欠款方归集的期末余额前五名的预付款项情况 </t>
    <phoneticPr fontId="7" type="noConversion"/>
  </si>
  <si>
    <t xml:space="preserve"> 债务人名称 </t>
  </si>
  <si>
    <t xml:space="preserve"> 账面余额 </t>
  </si>
  <si>
    <t xml:space="preserve"> 占预付款项合计的比例（%） </t>
  </si>
  <si>
    <t xml:space="preserve"> 坏账准备 </t>
  </si>
  <si>
    <r>
      <t xml:space="preserve"> </t>
    </r>
    <r>
      <rPr>
        <sz val="10"/>
        <rFont val="宋体"/>
        <family val="3"/>
        <charset val="134"/>
        <scheme val="minor"/>
      </rPr>
      <t xml:space="preserve">合  计 </t>
    </r>
  </si>
  <si>
    <t>二、审计目标与认定的对应关系</t>
    <phoneticPr fontId="7" type="noConversion"/>
  </si>
  <si>
    <t>审计目标</t>
    <phoneticPr fontId="7" type="noConversion"/>
  </si>
  <si>
    <t>财务报表的认定</t>
    <phoneticPr fontId="7" type="noConversion"/>
  </si>
  <si>
    <t>存在</t>
    <phoneticPr fontId="7" type="noConversion"/>
  </si>
  <si>
    <t>完整性</t>
    <phoneticPr fontId="7" type="noConversion"/>
  </si>
  <si>
    <t>1</t>
    <phoneticPr fontId="31" type="noConversion"/>
  </si>
  <si>
    <r>
      <rPr>
        <sz val="10"/>
        <rFont val="宋体"/>
        <family val="3"/>
        <charset val="134"/>
      </rPr>
      <t>对期初余额的审计，取得预付账款期初余额明细表复核加计是否正确，与总账、明细账合计数是否相符，检查上期预付账款在本期转销情况，函证期初余额以及其他必要追加的审计程序。</t>
    </r>
    <r>
      <rPr>
        <sz val="10"/>
        <color rgb="FFFF0000"/>
        <rFont val="宋体"/>
        <family val="3"/>
        <charset val="134"/>
      </rPr>
      <t>（适用于首次承接）</t>
    </r>
    <phoneticPr fontId="31" type="noConversion"/>
  </si>
  <si>
    <t>检查是否存在重要采购承诺、预付账款对外投资和抵押等或有承诺事项。</t>
    <phoneticPr fontId="31" type="noConversion"/>
  </si>
  <si>
    <t>检查预付账款是否已按企业会计准则或其他适用的规定在财务报表中做出恰当列报和披露。</t>
    <phoneticPr fontId="31" type="noConversion"/>
  </si>
  <si>
    <t>底稿索引号</t>
    <phoneticPr fontId="7" type="noConversion"/>
  </si>
  <si>
    <r>
      <t>常规</t>
    </r>
    <r>
      <rPr>
        <b/>
        <sz val="10"/>
        <color theme="1"/>
        <rFont val="宋体"/>
        <family val="3"/>
        <charset val="134"/>
      </rPr>
      <t>★</t>
    </r>
    <phoneticPr fontId="31" type="noConversion"/>
  </si>
  <si>
    <t>√</t>
  </si>
  <si>
    <t>√</t>
    <phoneticPr fontId="7" type="noConversion"/>
  </si>
  <si>
    <t>√</t>
    <phoneticPr fontId="7" type="noConversion"/>
  </si>
  <si>
    <t>√</t>
    <phoneticPr fontId="7" type="noConversion"/>
  </si>
  <si>
    <t>审计程序</t>
    <phoneticPr fontId="31" type="noConversion"/>
  </si>
  <si>
    <t>权利和
义务</t>
    <phoneticPr fontId="7" type="noConversion"/>
  </si>
  <si>
    <t>减值准备</t>
    <phoneticPr fontId="7" type="noConversion"/>
  </si>
  <si>
    <t>期末审定账龄</t>
    <phoneticPr fontId="18" type="noConversion"/>
  </si>
  <si>
    <t>期后到货</t>
    <phoneticPr fontId="18" type="noConversion"/>
  </si>
  <si>
    <t>关联关系</t>
    <phoneticPr fontId="7" type="noConversion"/>
  </si>
  <si>
    <t>实际控制人</t>
    <phoneticPr fontId="7" type="noConversion"/>
  </si>
  <si>
    <t>控股股东</t>
    <phoneticPr fontId="7" type="noConversion"/>
  </si>
  <si>
    <t>控股股东、实际控制人的附属企业</t>
    <phoneticPr fontId="7" type="noConversion"/>
  </si>
  <si>
    <t>董高监等关键管理人员</t>
    <phoneticPr fontId="7" type="noConversion"/>
  </si>
  <si>
    <r>
      <rPr>
        <sz val="10"/>
        <rFont val="宋体"/>
        <family val="3"/>
        <charset val="134"/>
      </rPr>
      <t>持有</t>
    </r>
    <r>
      <rPr>
        <sz val="10"/>
        <rFont val="Arial Narrow"/>
        <family val="2"/>
      </rPr>
      <t>5%</t>
    </r>
    <r>
      <rPr>
        <sz val="10"/>
        <rFont val="宋体"/>
        <family val="3"/>
        <charset val="134"/>
      </rPr>
      <t>以上股份的法人或其他组织</t>
    </r>
    <phoneticPr fontId="7" type="noConversion"/>
  </si>
  <si>
    <t>联营企业</t>
    <phoneticPr fontId="7" type="noConversion"/>
  </si>
  <si>
    <t>合营企业</t>
    <phoneticPr fontId="7" type="noConversion"/>
  </si>
  <si>
    <t>其他关联方</t>
    <phoneticPr fontId="7" type="noConversion"/>
  </si>
  <si>
    <t>1、审计说明：</t>
    <phoneticPr fontId="7" type="noConversion"/>
  </si>
  <si>
    <t>2、审计结论：</t>
    <phoneticPr fontId="7" type="noConversion"/>
  </si>
  <si>
    <t>计提坏账准备金额</t>
    <phoneticPr fontId="7" type="noConversion"/>
  </si>
  <si>
    <t>√</t>
    <phoneticPr fontId="7" type="noConversion"/>
  </si>
  <si>
    <t>预付账款实质性程序</t>
    <phoneticPr fontId="7" type="noConversion"/>
  </si>
  <si>
    <t>G1A</t>
    <phoneticPr fontId="7" type="noConversion"/>
  </si>
  <si>
    <t>页  次：</t>
    <phoneticPr fontId="31" type="noConversion"/>
  </si>
  <si>
    <t>一、本账户涉及的科目</t>
    <phoneticPr fontId="31" type="noConversion"/>
  </si>
  <si>
    <t>预付账款</t>
    <phoneticPr fontId="31" type="noConversion"/>
  </si>
  <si>
    <r>
      <rPr>
        <b/>
        <sz val="10"/>
        <rFont val="宋体"/>
        <family val="3"/>
        <charset val="134"/>
      </rPr>
      <t>二、重大错报风险需从实质性程序获取的保证程度</t>
    </r>
    <phoneticPr fontId="7" type="noConversion"/>
  </si>
  <si>
    <r>
      <rPr>
        <b/>
        <sz val="10"/>
        <rFont val="宋体"/>
        <family val="3"/>
        <charset val="134"/>
      </rPr>
      <t>审计目标与认定对应关系</t>
    </r>
    <phoneticPr fontId="7" type="noConversion"/>
  </si>
  <si>
    <t>信赖/不信赖/不适用</t>
    <phoneticPr fontId="7" type="noConversion"/>
  </si>
  <si>
    <r>
      <rPr>
        <sz val="10"/>
        <rFont val="宋体"/>
        <family val="3"/>
        <charset val="134"/>
      </rPr>
      <t>索引号</t>
    </r>
  </si>
  <si>
    <r>
      <rPr>
        <sz val="10"/>
        <rFont val="宋体"/>
        <family val="3"/>
        <charset val="134"/>
      </rPr>
      <t>存在</t>
    </r>
    <phoneticPr fontId="7" type="noConversion"/>
  </si>
  <si>
    <r>
      <rPr>
        <sz val="10"/>
        <rFont val="宋体"/>
        <family val="3"/>
        <charset val="134"/>
      </rPr>
      <t>完整性</t>
    </r>
    <phoneticPr fontId="7" type="noConversion"/>
  </si>
  <si>
    <r>
      <rPr>
        <sz val="10"/>
        <rFont val="宋体"/>
        <family val="3"/>
        <charset val="134"/>
      </rPr>
      <t>权利和义务</t>
    </r>
    <phoneticPr fontId="7" type="noConversion"/>
  </si>
  <si>
    <r>
      <rPr>
        <sz val="10"/>
        <rFont val="宋体"/>
        <family val="3"/>
        <charset val="134"/>
      </rPr>
      <t>计价和分摊</t>
    </r>
    <phoneticPr fontId="7" type="noConversion"/>
  </si>
  <si>
    <r>
      <rPr>
        <sz val="10"/>
        <rFont val="宋体"/>
        <family val="3"/>
        <charset val="134"/>
      </rPr>
      <t>列报与披露</t>
    </r>
    <phoneticPr fontId="7" type="noConversion"/>
  </si>
  <si>
    <r>
      <t xml:space="preserve">A. </t>
    </r>
    <r>
      <rPr>
        <sz val="10"/>
        <rFont val="宋体"/>
        <family val="3"/>
        <charset val="134"/>
      </rPr>
      <t>资产负债表中记录的预付账款是存在的，且已经记录在恰当的账户中</t>
    </r>
    <phoneticPr fontId="7" type="noConversion"/>
  </si>
  <si>
    <r>
      <rPr>
        <sz val="10"/>
        <rFont val="宋体"/>
        <family val="3"/>
        <charset val="134"/>
      </rPr>
      <t>√</t>
    </r>
    <phoneticPr fontId="7" type="noConversion"/>
  </si>
  <si>
    <r>
      <t xml:space="preserve">B. </t>
    </r>
    <r>
      <rPr>
        <sz val="10"/>
        <rFont val="宋体"/>
        <family val="3"/>
        <charset val="134"/>
      </rPr>
      <t>所有应记录的预付账款均已记录</t>
    </r>
    <phoneticPr fontId="7" type="noConversion"/>
  </si>
  <si>
    <r>
      <rPr>
        <sz val="10"/>
        <rFont val="宋体"/>
        <family val="3"/>
        <charset val="134"/>
      </rPr>
      <t>√</t>
    </r>
    <phoneticPr fontId="7" type="noConversion"/>
  </si>
  <si>
    <r>
      <t xml:space="preserve">C. </t>
    </r>
    <r>
      <rPr>
        <sz val="10"/>
        <rFont val="宋体"/>
        <family val="3"/>
        <charset val="134"/>
      </rPr>
      <t>记录的预付账款由被审计单位拥有或控制</t>
    </r>
    <phoneticPr fontId="7" type="noConversion"/>
  </si>
  <si>
    <r>
      <t xml:space="preserve">D. </t>
    </r>
    <r>
      <rPr>
        <sz val="10"/>
        <rFont val="宋体"/>
        <family val="3"/>
        <charset val="134"/>
      </rPr>
      <t>预付账款以恰当的金额包括在财务报表中，与之相关的计价调整已恰当记录</t>
    </r>
    <phoneticPr fontId="7" type="noConversion"/>
  </si>
  <si>
    <r>
      <rPr>
        <sz val="10"/>
        <rFont val="宋体"/>
        <family val="3"/>
        <charset val="134"/>
      </rPr>
      <t>√</t>
    </r>
    <phoneticPr fontId="7" type="noConversion"/>
  </si>
  <si>
    <r>
      <t xml:space="preserve">E. </t>
    </r>
    <r>
      <rPr>
        <sz val="10"/>
        <rFont val="宋体"/>
        <family val="3"/>
        <charset val="134"/>
      </rPr>
      <t>预付账款已按照企业会计准则的规定在财务报表中作出恰当列报和披露</t>
    </r>
    <phoneticPr fontId="7" type="noConversion"/>
  </si>
  <si>
    <t>序号</t>
    <phoneticPr fontId="7" type="noConversion"/>
  </si>
  <si>
    <t>审计程序</t>
    <phoneticPr fontId="31" type="noConversion"/>
  </si>
  <si>
    <t>程序分类</t>
    <phoneticPr fontId="7" type="noConversion"/>
  </si>
  <si>
    <t>审计目标</t>
  </si>
  <si>
    <r>
      <rPr>
        <b/>
        <sz val="10"/>
        <rFont val="宋体"/>
        <family val="3"/>
        <charset val="134"/>
      </rPr>
      <t>执行情况说明
（含底稿索引）</t>
    </r>
    <phoneticPr fontId="7" type="noConversion"/>
  </si>
  <si>
    <r>
      <rPr>
        <b/>
        <sz val="10"/>
        <color theme="0" tint="-0.499984740745262"/>
        <rFont val="宋体"/>
        <family val="3"/>
        <charset val="134"/>
      </rPr>
      <t>风险</t>
    </r>
    <phoneticPr fontId="31" type="noConversion"/>
  </si>
  <si>
    <r>
      <rPr>
        <b/>
        <sz val="10"/>
        <color theme="0" tint="-0.499984740745262"/>
        <rFont val="宋体"/>
        <family val="3"/>
        <charset val="134"/>
      </rPr>
      <t>开机启动项</t>
    </r>
    <phoneticPr fontId="31" type="noConversion"/>
  </si>
  <si>
    <t>问题</t>
    <phoneticPr fontId="31" type="noConversion"/>
  </si>
  <si>
    <t>一</t>
    <phoneticPr fontId="31" type="noConversion"/>
  </si>
  <si>
    <r>
      <rPr>
        <b/>
        <sz val="10"/>
        <color theme="1"/>
        <rFont val="宋体"/>
        <family val="3"/>
        <charset val="134"/>
      </rPr>
      <t>编制审定表</t>
    </r>
    <r>
      <rPr>
        <b/>
        <sz val="10"/>
        <color theme="1"/>
        <rFont val="Arial Narrow"/>
        <family val="2"/>
      </rPr>
      <t xml:space="preserve"> </t>
    </r>
    <phoneticPr fontId="31" type="noConversion"/>
  </si>
  <si>
    <t>常规★</t>
    <phoneticPr fontId="31" type="noConversion"/>
  </si>
  <si>
    <t>B</t>
    <phoneticPr fontId="31" type="noConversion"/>
  </si>
  <si>
    <r>
      <t>G1</t>
    </r>
    <r>
      <rPr>
        <sz val="10"/>
        <color rgb="FFFF0000"/>
        <rFont val="Arial Narrow"/>
        <family val="2"/>
      </rPr>
      <t/>
    </r>
    <phoneticPr fontId="31" type="noConversion"/>
  </si>
  <si>
    <t>二</t>
    <phoneticPr fontId="31" type="noConversion"/>
  </si>
  <si>
    <t>获取或编制预付账款的明细表，并完成以下工作</t>
    <phoneticPr fontId="31" type="noConversion"/>
  </si>
  <si>
    <t>ABD</t>
    <phoneticPr fontId="31" type="noConversion"/>
  </si>
  <si>
    <r>
      <t>G1-2</t>
    </r>
    <r>
      <rPr>
        <sz val="10"/>
        <color rgb="FFFF0000"/>
        <rFont val="宋体"/>
        <family val="3"/>
        <charset val="134"/>
      </rPr>
      <t/>
    </r>
    <phoneticPr fontId="31" type="noConversion"/>
  </si>
  <si>
    <r>
      <rPr>
        <b/>
        <sz val="10"/>
        <color theme="1"/>
        <rFont val="宋体"/>
        <family val="3"/>
        <charset val="134"/>
      </rPr>
      <t>复核加计正确</t>
    </r>
    <r>
      <rPr>
        <b/>
        <sz val="10"/>
        <color theme="1"/>
        <rFont val="Arial Narrow"/>
        <family val="2"/>
      </rPr>
      <t xml:space="preserve"> </t>
    </r>
    <phoneticPr fontId="31" type="noConversion"/>
  </si>
  <si>
    <t>常规★</t>
    <phoneticPr fontId="31" type="noConversion"/>
  </si>
  <si>
    <r>
      <rPr>
        <b/>
        <sz val="10"/>
        <color theme="1"/>
        <rFont val="宋体"/>
        <family val="3"/>
        <charset val="134"/>
      </rPr>
      <t>将总金额与总账、明细账合计数核对相符</t>
    </r>
    <r>
      <rPr>
        <b/>
        <sz val="10"/>
        <color theme="1"/>
        <rFont val="Arial Narrow"/>
        <family val="2"/>
      </rPr>
      <t xml:space="preserve"> </t>
    </r>
    <phoneticPr fontId="31" type="noConversion"/>
  </si>
  <si>
    <t>常规★</t>
    <phoneticPr fontId="31" type="noConversion"/>
  </si>
  <si>
    <t>调查重大或者异常的调节项目。</t>
    <phoneticPr fontId="31" type="noConversion"/>
  </si>
  <si>
    <t>获取管理层编制的预付账款账龄分析表，检查账龄划分是否正确。</t>
    <phoneticPr fontId="31" type="noConversion"/>
  </si>
  <si>
    <r>
      <rPr>
        <b/>
        <sz val="10"/>
        <color theme="1"/>
        <rFont val="宋体"/>
        <family val="3"/>
        <charset val="134"/>
      </rPr>
      <t>浏览</t>
    </r>
    <r>
      <rPr>
        <b/>
        <sz val="10"/>
        <color theme="1"/>
        <rFont val="宋体"/>
        <family val="3"/>
        <charset val="134"/>
      </rPr>
      <t>预付账款大额贷方余额，确定是否需要重分类。</t>
    </r>
    <phoneticPr fontId="31" type="noConversion"/>
  </si>
  <si>
    <r>
      <rPr>
        <b/>
        <sz val="10"/>
        <color theme="1"/>
        <rFont val="宋体"/>
        <family val="3"/>
        <charset val="134"/>
      </rPr>
      <t>检查非记账本位币预付账款的折算汇率及折算是否正确。</t>
    </r>
    <r>
      <rPr>
        <b/>
        <sz val="10"/>
        <color theme="1"/>
        <rFont val="Arial Narrow"/>
        <family val="2"/>
      </rPr>
      <t xml:space="preserve"> </t>
    </r>
    <phoneticPr fontId="31" type="noConversion"/>
  </si>
  <si>
    <t>备选</t>
    <phoneticPr fontId="31" type="noConversion"/>
  </si>
  <si>
    <t>检查有无重复付款或将同一笔已付清的账款在预付账款和应付账款两个科目中同时挂账的情况、异常余额或与购货无关的其他款项（如关联方账户或雇员账户）。</t>
    <phoneticPr fontId="31" type="noConversion"/>
  </si>
  <si>
    <t>审核有无长期挂账的预付账款，如有，应查明原因，必要时作调整。</t>
    <phoneticPr fontId="31" type="noConversion"/>
  </si>
  <si>
    <t>三</t>
    <phoneticPr fontId="31" type="noConversion"/>
  </si>
  <si>
    <t>在使用被审计单位生成的信息（IPE）时，应当评价该信息对实现审计目的是否足够可靠，包括根据具体情况在必要时实施下列程序：</t>
    <phoneticPr fontId="31" type="noConversion"/>
  </si>
  <si>
    <r>
      <rPr>
        <b/>
        <sz val="10"/>
        <color theme="1"/>
        <rFont val="宋体"/>
        <family val="3"/>
        <charset val="134"/>
      </rPr>
      <t>常规★</t>
    </r>
    <phoneticPr fontId="31" type="noConversion"/>
  </si>
  <si>
    <t>B</t>
    <phoneticPr fontId="31" type="noConversion"/>
  </si>
  <si>
    <t>T1</t>
    <phoneticPr fontId="31" type="noConversion"/>
  </si>
  <si>
    <t>1</t>
  </si>
  <si>
    <t>获取有关信息准确性和完整性的审计证据。</t>
    <phoneticPr fontId="31" type="noConversion"/>
  </si>
  <si>
    <t>2</t>
  </si>
  <si>
    <t>评价信息对实现审计目的是否足够准确和详细。</t>
    <phoneticPr fontId="31" type="noConversion"/>
  </si>
  <si>
    <t>四</t>
    <phoneticPr fontId="31" type="noConversion"/>
  </si>
  <si>
    <r>
      <t>对期初余额的审计:</t>
    </r>
    <r>
      <rPr>
        <sz val="10"/>
        <color rgb="FFFF0000"/>
        <rFont val="宋体"/>
        <family val="3"/>
        <charset val="134"/>
      </rPr>
      <t>（适用于首年审计）</t>
    </r>
    <phoneticPr fontId="31" type="noConversion"/>
  </si>
  <si>
    <t>备选</t>
    <phoneticPr fontId="31" type="noConversion"/>
  </si>
  <si>
    <t>B</t>
    <phoneticPr fontId="31" type="noConversion"/>
  </si>
  <si>
    <t>1</t>
    <phoneticPr fontId="31" type="noConversion"/>
  </si>
  <si>
    <t>取得预付账款期初余额明细表，并完成以下工作：</t>
    <phoneticPr fontId="31" type="noConversion"/>
  </si>
  <si>
    <r>
      <rPr>
        <b/>
        <sz val="10"/>
        <rFont val="宋体"/>
        <family val="3"/>
        <charset val="134"/>
      </rPr>
      <t>（</t>
    </r>
    <r>
      <rPr>
        <b/>
        <sz val="10"/>
        <rFont val="Arial Narrow"/>
        <family val="2"/>
      </rPr>
      <t>1</t>
    </r>
    <r>
      <rPr>
        <b/>
        <sz val="10"/>
        <rFont val="宋体"/>
        <family val="3"/>
        <charset val="134"/>
      </rPr>
      <t>）</t>
    </r>
    <phoneticPr fontId="31" type="noConversion"/>
  </si>
  <si>
    <r>
      <rPr>
        <sz val="10"/>
        <color theme="1"/>
        <rFont val="宋体"/>
        <family val="3"/>
        <charset val="134"/>
      </rPr>
      <t>复核加计正确</t>
    </r>
    <r>
      <rPr>
        <sz val="10"/>
        <color theme="1"/>
        <rFont val="Arial Narrow"/>
        <family val="2"/>
      </rPr>
      <t xml:space="preserve"> </t>
    </r>
    <phoneticPr fontId="31" type="noConversion"/>
  </si>
  <si>
    <t>（2）</t>
    <phoneticPr fontId="31" type="noConversion"/>
  </si>
  <si>
    <t>将总金额与总账、明细账合计数核对相符</t>
    <phoneticPr fontId="31" type="noConversion"/>
  </si>
  <si>
    <t>备选</t>
    <phoneticPr fontId="31" type="noConversion"/>
  </si>
  <si>
    <r>
      <rPr>
        <b/>
        <sz val="10"/>
        <rFont val="宋体"/>
        <family val="3"/>
        <charset val="134"/>
      </rPr>
      <t>（</t>
    </r>
    <r>
      <rPr>
        <b/>
        <sz val="10"/>
        <rFont val="Arial Narrow"/>
        <family val="2"/>
      </rPr>
      <t>3）</t>
    </r>
    <r>
      <rPr>
        <b/>
        <sz val="10"/>
        <rFont val="宋体"/>
        <family val="3"/>
        <charset val="134"/>
      </rPr>
      <t/>
    </r>
  </si>
  <si>
    <t>检查上期预付账款在本期转销情况。</t>
    <phoneticPr fontId="31" type="noConversion"/>
  </si>
  <si>
    <t>备选</t>
    <phoneticPr fontId="31" type="noConversion"/>
  </si>
  <si>
    <t>2</t>
    <phoneticPr fontId="31" type="noConversion"/>
  </si>
  <si>
    <r>
      <rPr>
        <sz val="10"/>
        <color theme="1"/>
        <rFont val="宋体"/>
        <family val="3"/>
        <charset val="134"/>
      </rPr>
      <t>取得本期前几个月的现金支出日记账：</t>
    </r>
    <r>
      <rPr>
        <sz val="10"/>
        <color theme="1"/>
        <rFont val="Arial Narrow"/>
        <family val="2"/>
      </rPr>
      <t xml:space="preserve"> </t>
    </r>
    <phoneticPr fontId="31" type="noConversion"/>
  </si>
  <si>
    <r>
      <rPr>
        <b/>
        <sz val="10"/>
        <rFont val="宋体"/>
        <family val="3"/>
        <charset val="134"/>
      </rPr>
      <t>（</t>
    </r>
    <r>
      <rPr>
        <b/>
        <sz val="10"/>
        <rFont val="Arial Narrow"/>
        <family val="2"/>
      </rPr>
      <t>1</t>
    </r>
    <r>
      <rPr>
        <b/>
        <sz val="10"/>
        <rFont val="宋体"/>
        <family val="3"/>
        <charset val="134"/>
      </rPr>
      <t>）</t>
    </r>
    <phoneticPr fontId="31" type="noConversion"/>
  </si>
  <si>
    <t>选择单项金额重大的项目。</t>
    <phoneticPr fontId="31" type="noConversion"/>
  </si>
  <si>
    <t>（2）</t>
    <phoneticPr fontId="31" type="noConversion"/>
  </si>
  <si>
    <r>
      <rPr>
        <sz val="10"/>
        <color theme="1"/>
        <rFont val="宋体"/>
        <family val="3"/>
        <charset val="134"/>
      </rPr>
      <t>有判断性的考虑选择其他非单项金额重大的项目。</t>
    </r>
    <r>
      <rPr>
        <sz val="10"/>
        <color theme="1"/>
        <rFont val="Arial Narrow"/>
        <family val="2"/>
      </rPr>
      <t xml:space="preserve"> </t>
    </r>
    <phoneticPr fontId="31" type="noConversion"/>
  </si>
  <si>
    <t>备选</t>
    <phoneticPr fontId="31" type="noConversion"/>
  </si>
  <si>
    <t>（3）</t>
    <phoneticPr fontId="31" type="noConversion"/>
  </si>
  <si>
    <r>
      <rPr>
        <sz val="10"/>
        <color theme="1"/>
        <rFont val="宋体"/>
        <family val="3"/>
        <charset val="134"/>
      </rPr>
      <t>确定所选择的项目是否记录在适当的会计期内。</t>
    </r>
    <r>
      <rPr>
        <sz val="10"/>
        <color theme="1"/>
        <rFont val="Arial Narrow"/>
        <family val="2"/>
      </rPr>
      <t xml:space="preserve"> </t>
    </r>
    <phoneticPr fontId="31" type="noConversion"/>
  </si>
  <si>
    <t>（4）</t>
    <phoneticPr fontId="31" type="noConversion"/>
  </si>
  <si>
    <r>
      <rPr>
        <sz val="10"/>
        <color theme="1"/>
        <rFont val="宋体"/>
        <family val="3"/>
        <charset val="134"/>
      </rPr>
      <t>根据执行程序的结果，确定是否需要实施追加的审计程序。</t>
    </r>
    <r>
      <rPr>
        <sz val="10"/>
        <color theme="1"/>
        <rFont val="Arial Narrow"/>
        <family val="2"/>
      </rPr>
      <t xml:space="preserve"> </t>
    </r>
    <phoneticPr fontId="31" type="noConversion"/>
  </si>
  <si>
    <t>五</t>
    <phoneticPr fontId="31" type="noConversion"/>
  </si>
  <si>
    <r>
      <rPr>
        <b/>
        <sz val="10"/>
        <color theme="1"/>
        <rFont val="宋体"/>
        <family val="3"/>
        <charset val="134"/>
      </rPr>
      <t>执行分析程序，以识别需要增加审计程序的领域</t>
    </r>
    <r>
      <rPr>
        <b/>
        <sz val="10"/>
        <color theme="1"/>
        <rFont val="Arial Narrow"/>
        <family val="2"/>
      </rPr>
      <t>:</t>
    </r>
    <phoneticPr fontId="31" type="noConversion"/>
  </si>
  <si>
    <t>常规★</t>
    <phoneticPr fontId="31" type="noConversion"/>
  </si>
  <si>
    <t>A.D</t>
    <phoneticPr fontId="31" type="noConversion"/>
  </si>
  <si>
    <t>1</t>
    <phoneticPr fontId="31" type="noConversion"/>
  </si>
  <si>
    <t>比较当年度、资产负债表日后至现场审计期间及以前年度预付账款的构成、账龄及主要供货商的变化，并查明异常情况的原因。</t>
    <phoneticPr fontId="31" type="noConversion"/>
  </si>
  <si>
    <t>常规</t>
  </si>
  <si>
    <t>G1-3</t>
    <phoneticPr fontId="31" type="noConversion"/>
  </si>
  <si>
    <t>六</t>
    <phoneticPr fontId="31" type="noConversion"/>
  </si>
  <si>
    <t>会计政策、会计估计合理性、一贯性检查。并与同行业其他公司的会计政策进行对比，关注其是否利用会计政策和会计估计及其变更操纵利润。</t>
    <phoneticPr fontId="31" type="noConversion"/>
  </si>
  <si>
    <t>常规★</t>
    <phoneticPr fontId="31" type="noConversion"/>
  </si>
  <si>
    <t>BD</t>
    <phoneticPr fontId="31" type="noConversion"/>
  </si>
  <si>
    <t>1</t>
    <phoneticPr fontId="31" type="noConversion"/>
  </si>
  <si>
    <r>
      <t>了解、分析款项支付政策及流程的合理性，是否符合实际经营情况和会计准则的要求，并与前期进行对比，分析其是否保持一贯性；</t>
    </r>
    <r>
      <rPr>
        <sz val="10"/>
        <color rgb="FFFF0000"/>
        <rFont val="宋体"/>
        <family val="3"/>
        <charset val="134"/>
      </rPr>
      <t>结合市场惯例，判断款项支付的合理性，关注期后是否足额收到相关货物，是否存在变更交易、取消交易等情形。</t>
    </r>
    <phoneticPr fontId="31" type="noConversion"/>
  </si>
  <si>
    <t>2</t>
    <phoneticPr fontId="31" type="noConversion"/>
  </si>
  <si>
    <r>
      <rPr>
        <sz val="10"/>
        <color theme="1"/>
        <rFont val="宋体"/>
        <family val="3"/>
        <charset val="134"/>
      </rPr>
      <t>将被审计单位本期的会计政策、会计估计与前期进行对比，分析其是否前后一致。对于存在会计政策、会计估计变更的情形，判断是否合理，会计处理是否正确。</t>
    </r>
    <r>
      <rPr>
        <sz val="10"/>
        <color theme="1"/>
        <rFont val="Arial Narrow"/>
        <family val="2"/>
      </rPr>
      <t>&lt;CSRC13-9&gt;</t>
    </r>
    <phoneticPr fontId="31" type="noConversion"/>
  </si>
  <si>
    <t>3</t>
  </si>
  <si>
    <r>
      <rPr>
        <sz val="10"/>
        <color theme="1"/>
        <rFont val="宋体"/>
        <family val="3"/>
        <charset val="134"/>
      </rPr>
      <t>与同行业其他公司的会计政策、会计估计进行对比，关注其是否利用会计政策和会计估计变更操纵利润。</t>
    </r>
    <r>
      <rPr>
        <sz val="10"/>
        <color theme="1"/>
        <rFont val="Arial Narrow"/>
        <family val="2"/>
      </rPr>
      <t>&lt;CSRC13-9&gt;</t>
    </r>
    <phoneticPr fontId="31" type="noConversion"/>
  </si>
  <si>
    <t>七</t>
    <phoneticPr fontId="31" type="noConversion"/>
  </si>
  <si>
    <t>实施函证程序</t>
    <phoneticPr fontId="31" type="noConversion"/>
  </si>
  <si>
    <t>常规★</t>
    <phoneticPr fontId="31" type="noConversion"/>
  </si>
  <si>
    <r>
      <t>G1-3</t>
    </r>
    <r>
      <rPr>
        <sz val="10"/>
        <color rgb="FFFF0000"/>
        <rFont val="Arial Narrow"/>
        <family val="2"/>
      </rPr>
      <t/>
    </r>
    <phoneticPr fontId="31" type="noConversion"/>
  </si>
  <si>
    <t>以积极方式对预付账款进行函证。</t>
    <phoneticPr fontId="31" type="noConversion"/>
  </si>
  <si>
    <t>常规★</t>
    <phoneticPr fontId="31" type="noConversion"/>
  </si>
  <si>
    <r>
      <t>G1-3</t>
    </r>
    <r>
      <rPr>
        <sz val="10"/>
        <color rgb="FFFF0000"/>
        <rFont val="宋体"/>
        <family val="3"/>
        <charset val="134"/>
      </rPr>
      <t/>
    </r>
    <phoneticPr fontId="31" type="noConversion"/>
  </si>
  <si>
    <r>
      <rPr>
        <sz val="10"/>
        <rFont val="宋体"/>
        <family val="3"/>
        <charset val="134"/>
      </rPr>
      <t>（</t>
    </r>
    <r>
      <rPr>
        <sz val="10"/>
        <rFont val="Arial Narrow"/>
        <family val="2"/>
      </rPr>
      <t>1</t>
    </r>
    <r>
      <rPr>
        <sz val="10"/>
        <rFont val="宋体"/>
        <family val="3"/>
        <charset val="134"/>
      </rPr>
      <t>）</t>
    </r>
    <phoneticPr fontId="31" type="noConversion"/>
  </si>
  <si>
    <r>
      <rPr>
        <sz val="10"/>
        <color theme="1"/>
        <rFont val="宋体"/>
        <family val="3"/>
        <charset val="134"/>
      </rPr>
      <t>对总体中特定项目（金额重大、性质特殊）全部进行函证，对于剩余项目，如果总体重要，则选用抽样方法，如果总体不重要的，仅执行分析程序。</t>
    </r>
    <r>
      <rPr>
        <sz val="10"/>
        <color theme="1"/>
        <rFont val="Arial Narrow"/>
        <family val="2"/>
      </rPr>
      <t xml:space="preserve"> </t>
    </r>
    <phoneticPr fontId="31" type="noConversion"/>
  </si>
  <si>
    <r>
      <rPr>
        <sz val="10"/>
        <rFont val="宋体"/>
        <family val="3"/>
        <charset val="134"/>
      </rPr>
      <t>（</t>
    </r>
    <r>
      <rPr>
        <sz val="10"/>
        <rFont val="Arial Narrow"/>
        <family val="2"/>
      </rPr>
      <t>2</t>
    </r>
    <r>
      <rPr>
        <sz val="10"/>
        <rFont val="宋体"/>
        <family val="3"/>
        <charset val="134"/>
      </rPr>
      <t>）</t>
    </r>
    <phoneticPr fontId="31" type="noConversion"/>
  </si>
  <si>
    <r>
      <rPr>
        <sz val="10"/>
        <color theme="1"/>
        <rFont val="宋体"/>
        <family val="3"/>
        <charset val="134"/>
      </rPr>
      <t>使用</t>
    </r>
    <r>
      <rPr>
        <sz val="10"/>
        <color theme="1"/>
        <rFont val="Arial Narrow"/>
        <family val="2"/>
      </rPr>
      <t>IDEA</t>
    </r>
    <r>
      <rPr>
        <sz val="10"/>
        <color theme="1"/>
        <rFont val="宋体"/>
        <family val="3"/>
        <charset val="134"/>
      </rPr>
      <t>选择</t>
    </r>
    <r>
      <rPr>
        <sz val="10"/>
        <color theme="1"/>
        <rFont val="Arial Narrow"/>
        <family val="2"/>
      </rPr>
      <t>%</t>
    </r>
    <r>
      <rPr>
        <sz val="10"/>
        <color theme="1"/>
        <rFont val="宋体"/>
        <family val="3"/>
        <charset val="134"/>
      </rPr>
      <t>样本，并记录选样标准。</t>
    </r>
    <phoneticPr fontId="31" type="noConversion"/>
  </si>
  <si>
    <t>（3）</t>
    <phoneticPr fontId="31" type="noConversion"/>
  </si>
  <si>
    <t>记录函证抽样的依据及比例。</t>
    <phoneticPr fontId="7" type="noConversion"/>
  </si>
  <si>
    <t>2</t>
    <phoneticPr fontId="31" type="noConversion"/>
  </si>
  <si>
    <t>设计询证函（可以采用事务所的模板，或根据需要在模板基础上修改），考虑制作询证函防伪标识，并在发函前核实被函证单位信息（函证科目、客户名称、通讯地址、联系人、联系电话、邮政编码、函证人等），对于函证地址与注册地址、办公地址等不一致，不同客户或供应商的函证地址相近、电话号段相邻，函证联系人并非被询证单位员工等情况，需核查并记录原因。</t>
    <phoneticPr fontId="31" type="noConversion"/>
  </si>
  <si>
    <t>3</t>
    <phoneticPr fontId="31" type="noConversion"/>
  </si>
  <si>
    <t>对函证过程实施控制：验证被函证对象信息；询证函须由注册会计师独立收发，跟函时观察实地场所以及函证核对过程，确认处理函证的人员身份和权限，防范询证函被拦截、篡改或发生串通舞弊；在底稿中记录控制过程；保存发函回执及收函的相关证据。</t>
    <phoneticPr fontId="31" type="noConversion"/>
  </si>
  <si>
    <t>核实快递物流信息、比对回函印章和签字，确认回函联系人及回函地址的真实性。</t>
    <phoneticPr fontId="31" type="noConversion"/>
  </si>
  <si>
    <t>（2）</t>
    <phoneticPr fontId="31" type="noConversion"/>
  </si>
  <si>
    <t>（3）</t>
    <phoneticPr fontId="31" type="noConversion"/>
  </si>
  <si>
    <t>回函情况较好时，应结合风险评估情况及各类风险迹象，考虑串通舞弊、伪造交易的可能性等。</t>
    <phoneticPr fontId="7" type="noConversion"/>
  </si>
  <si>
    <t>4</t>
    <phoneticPr fontId="31" type="noConversion"/>
  </si>
  <si>
    <t>如果被询证者以传真、电子邮件等方式回函，审计项目组应当直接接收，并要求被询证者在审计报告日之前寄回询证函原件。如果审计项目组在审计报告日之前未收到询证函原件，应当实施以下程序：</t>
    <phoneticPr fontId="31" type="noConversion"/>
  </si>
  <si>
    <t>对于以传真方式收到的回函，需要致电被询证者并与其确认回函的真实性。并将执行上述确认过程的审计人员姓名及日期、获得被询证者电话的方式、被询证者联络人员姓名及所属部门、沟通的过程及其结果等内容清晰地记录在审计工作底稿中。</t>
    <phoneticPr fontId="31" type="noConversion"/>
  </si>
  <si>
    <t>对于以电子邮件方式收到的回函，审计项目组应当采用与上条中所述相同的方式与被询者确认回函的真实性，并在审计工作底稿中予以记录。采用电子邮件方式收到函证的控制要点详见函证技术提示4号，链接为：https://www.gt-china.com.cn/article_view.php?id=9691。</t>
    <phoneticPr fontId="31" type="noConversion"/>
  </si>
  <si>
    <t>5</t>
    <phoneticPr fontId="31" type="noConversion"/>
  </si>
  <si>
    <t>利用第三方电子函证平台收发函证的，项目组应当评估第三方电子函证平台服务的可靠性，了解资质认证或有关控制设计及运行的有效性。第三方电子询证函平台的安全性评估内容相关要点详见函证技术提示3号，链接为：https://www.gt-china.com.cn/article_view.php?id=9682</t>
    <phoneticPr fontId="7" type="noConversion"/>
  </si>
  <si>
    <t>6</t>
    <phoneticPr fontId="31" type="noConversion"/>
  </si>
  <si>
    <t>调查那些退回或无法寄到的函证，应确定账户余额及交易是否真实，考虑是否增加审计程序（核对地址重新寄发或考虑是否表明存在舞弊迹象）。</t>
    <phoneticPr fontId="31" type="noConversion"/>
  </si>
  <si>
    <t>7</t>
    <phoneticPr fontId="31" type="noConversion"/>
  </si>
  <si>
    <t>如果未能收到回函，应当考虑与被询证者联系，要求对方作出回应或再次寄发询证函。</t>
    <phoneticPr fontId="31" type="noConversion"/>
  </si>
  <si>
    <t>8</t>
    <phoneticPr fontId="31" type="noConversion"/>
  </si>
  <si>
    <r>
      <t>G1-3-6</t>
    </r>
    <r>
      <rPr>
        <sz val="10"/>
        <color theme="1"/>
        <rFont val="宋体"/>
        <family val="3"/>
        <charset val="134"/>
      </rPr>
      <t/>
    </r>
    <phoneticPr fontId="31" type="noConversion"/>
  </si>
  <si>
    <r>
      <rPr>
        <sz val="10"/>
        <rFont val="宋体"/>
        <family val="3"/>
        <charset val="134"/>
      </rPr>
      <t>（</t>
    </r>
    <r>
      <rPr>
        <sz val="10"/>
        <rFont val="Arial Narrow"/>
        <family val="2"/>
      </rPr>
      <t>1</t>
    </r>
    <r>
      <rPr>
        <sz val="10"/>
        <rFont val="宋体"/>
        <family val="3"/>
        <charset val="134"/>
      </rPr>
      <t>）</t>
    </r>
    <phoneticPr fontId="31" type="noConversion"/>
  </si>
  <si>
    <t>检查客户订单、合同、相关信件或者对比发票与发运单。</t>
    <phoneticPr fontId="31" type="noConversion"/>
  </si>
  <si>
    <r>
      <rPr>
        <sz val="10"/>
        <color theme="1"/>
        <rFont val="宋体"/>
        <family val="3"/>
        <charset val="134"/>
      </rPr>
      <t>检查与有疑问余额或交易明显相关的期后后续付款</t>
    </r>
    <r>
      <rPr>
        <sz val="10"/>
        <color theme="1"/>
        <rFont val="Arial Narrow"/>
        <family val="2"/>
      </rPr>
      <t>/</t>
    </r>
    <r>
      <rPr>
        <sz val="10"/>
        <color theme="1"/>
        <rFont val="宋体"/>
        <family val="3"/>
        <charset val="134"/>
      </rPr>
      <t>收款的证据。</t>
    </r>
    <phoneticPr fontId="31" type="noConversion"/>
  </si>
  <si>
    <t>9</t>
    <phoneticPr fontId="31" type="noConversion"/>
  </si>
  <si>
    <t>编制函证结果汇总表，对函证结果进行评价。</t>
    <phoneticPr fontId="31" type="noConversion"/>
  </si>
  <si>
    <r>
      <t>G1-3</t>
    </r>
    <r>
      <rPr>
        <sz val="10"/>
        <color theme="1"/>
        <rFont val="宋体"/>
        <family val="3"/>
        <charset val="134"/>
      </rPr>
      <t/>
    </r>
    <phoneticPr fontId="31" type="noConversion"/>
  </si>
  <si>
    <t>分析不符事项原因，编制“函证差异调节表”进行调节，并检查采购合同、收货单等相关支持凭证。</t>
    <phoneticPr fontId="31" type="noConversion"/>
  </si>
  <si>
    <r>
      <rPr>
        <sz val="10"/>
        <rFont val="宋体"/>
        <family val="3"/>
        <charset val="134"/>
      </rPr>
      <t>（</t>
    </r>
    <r>
      <rPr>
        <sz val="10"/>
        <rFont val="Arial Narrow"/>
        <family val="2"/>
      </rPr>
      <t>2</t>
    </r>
    <r>
      <rPr>
        <sz val="10"/>
        <rFont val="宋体"/>
        <family val="3"/>
        <charset val="134"/>
      </rPr>
      <t>）</t>
    </r>
    <phoneticPr fontId="31" type="noConversion"/>
  </si>
  <si>
    <r>
      <rPr>
        <sz val="10"/>
        <color theme="1"/>
        <rFont val="宋体"/>
        <family val="3"/>
        <charset val="134"/>
      </rPr>
      <t>考虑客户函证中的差异是否表明存在挪用客户收款。</t>
    </r>
    <r>
      <rPr>
        <sz val="10"/>
        <color theme="1"/>
        <rFont val="Arial Narrow"/>
        <family val="2"/>
      </rPr>
      <t xml:space="preserve"> </t>
    </r>
    <phoneticPr fontId="31" type="noConversion"/>
  </si>
  <si>
    <r>
      <rPr>
        <sz val="10"/>
        <rFont val="宋体"/>
        <family val="3"/>
        <charset val="134"/>
      </rPr>
      <t>（</t>
    </r>
    <r>
      <rPr>
        <sz val="10"/>
        <rFont val="Arial Narrow"/>
        <family val="2"/>
      </rPr>
      <t>3）</t>
    </r>
    <r>
      <rPr>
        <sz val="10"/>
        <rFont val="宋体"/>
        <family val="3"/>
        <charset val="134"/>
      </rPr>
      <t/>
    </r>
  </si>
  <si>
    <t>如果不符事项构成错报，重新考虑所实施审计程序的性质、时间和范围。</t>
    <phoneticPr fontId="31" type="noConversion"/>
  </si>
  <si>
    <r>
      <rPr>
        <sz val="10"/>
        <rFont val="宋体"/>
        <family val="3"/>
        <charset val="134"/>
      </rPr>
      <t>（</t>
    </r>
    <r>
      <rPr>
        <sz val="10"/>
        <rFont val="Arial Narrow"/>
        <family val="2"/>
      </rPr>
      <t>4）</t>
    </r>
    <r>
      <rPr>
        <sz val="10"/>
        <rFont val="宋体"/>
        <family val="3"/>
        <charset val="134"/>
      </rPr>
      <t/>
    </r>
  </si>
  <si>
    <r>
      <rPr>
        <sz val="10"/>
        <color theme="1"/>
        <rFont val="宋体"/>
        <family val="3"/>
        <charset val="134"/>
      </rPr>
      <t>用样本评估工具推算总体误差。</t>
    </r>
    <r>
      <rPr>
        <sz val="10"/>
        <color theme="1"/>
        <rFont val="宋体"/>
        <family val="3"/>
        <charset val="134"/>
      </rPr>
      <t>（</t>
    </r>
    <r>
      <rPr>
        <sz val="10"/>
        <color theme="1"/>
        <rFont val="Arial Narrow"/>
        <family val="2"/>
      </rPr>
      <t>1</t>
    </r>
    <r>
      <rPr>
        <sz val="10"/>
        <color theme="1"/>
        <rFont val="宋体"/>
        <family val="3"/>
        <charset val="134"/>
      </rPr>
      <t>）确定是否所取得的样本达到了这个程序所保证的理想水平，从而确保了精确性</t>
    </r>
    <r>
      <rPr>
        <sz val="10"/>
        <color theme="1"/>
        <rFont val="Arial Narrow"/>
        <family val="2"/>
      </rPr>
      <t xml:space="preserve"> </t>
    </r>
    <r>
      <rPr>
        <sz val="10"/>
        <color theme="1"/>
        <rFont val="宋体"/>
        <family val="3"/>
        <charset val="134"/>
      </rPr>
      <t>；（</t>
    </r>
    <r>
      <rPr>
        <sz val="10"/>
        <color theme="1"/>
        <rFont val="Arial Narrow"/>
        <family val="2"/>
      </rPr>
      <t>2</t>
    </r>
    <r>
      <rPr>
        <sz val="10"/>
        <color theme="1"/>
        <rFont val="宋体"/>
        <family val="3"/>
        <charset val="134"/>
      </rPr>
      <t>）确认是否有必要增加审计程序，包括重新选择样本</t>
    </r>
    <r>
      <rPr>
        <sz val="10"/>
        <color theme="1"/>
        <rFont val="宋体"/>
        <family val="3"/>
        <charset val="134"/>
      </rPr>
      <t>；（</t>
    </r>
    <r>
      <rPr>
        <sz val="10"/>
        <color theme="1"/>
        <rFont val="Arial Narrow"/>
        <family val="2"/>
      </rPr>
      <t>3</t>
    </r>
    <r>
      <rPr>
        <sz val="10"/>
        <color theme="1"/>
        <rFont val="宋体"/>
        <family val="3"/>
        <charset val="134"/>
      </rPr>
      <t>）在</t>
    </r>
    <r>
      <rPr>
        <sz val="10"/>
        <color theme="1"/>
        <rFont val="Arial Narrow"/>
        <family val="2"/>
      </rPr>
      <t>“</t>
    </r>
    <r>
      <rPr>
        <sz val="10"/>
        <color theme="1"/>
        <rFont val="宋体"/>
        <family val="3"/>
        <charset val="134"/>
      </rPr>
      <t>未更正错报汇总表</t>
    </r>
    <r>
      <rPr>
        <sz val="10"/>
        <color theme="1"/>
        <rFont val="Arial Narrow"/>
        <family val="2"/>
      </rPr>
      <t>”</t>
    </r>
    <r>
      <rPr>
        <sz val="10"/>
        <color theme="1"/>
        <rFont val="宋体"/>
        <family val="3"/>
        <charset val="134"/>
      </rPr>
      <t>中记录预测的差错（如有）</t>
    </r>
    <r>
      <rPr>
        <sz val="10"/>
        <color theme="1"/>
        <rFont val="宋体"/>
        <family val="3"/>
        <charset val="134"/>
      </rPr>
      <t>。</t>
    </r>
    <phoneticPr fontId="31" type="noConversion"/>
  </si>
  <si>
    <t>10</t>
    <phoneticPr fontId="31" type="noConversion"/>
  </si>
  <si>
    <t>对于管理层不允许寄发询证函的，列出供应商清单，询问管理层不允许寄发的原因，并就其原因的正当、合理性收集证据。</t>
    <phoneticPr fontId="31" type="noConversion"/>
  </si>
  <si>
    <t>评价管理层不允许寄发询证函对评估的重大错报风险（包括舞弊风险）的影响，考虑对其他审计程序的性质、时间安排和范围的影响。</t>
    <phoneticPr fontId="31" type="noConversion"/>
  </si>
  <si>
    <t>常规</t>
    <phoneticPr fontId="31" type="noConversion"/>
  </si>
  <si>
    <r>
      <rPr>
        <sz val="10"/>
        <rFont val="宋体"/>
        <family val="3"/>
        <charset val="134"/>
      </rPr>
      <t>（</t>
    </r>
    <r>
      <rPr>
        <sz val="10"/>
        <rFont val="Arial Narrow"/>
        <family val="2"/>
      </rPr>
      <t>2</t>
    </r>
    <r>
      <rPr>
        <sz val="10"/>
        <rFont val="宋体"/>
        <family val="3"/>
        <charset val="134"/>
      </rPr>
      <t>）</t>
    </r>
    <phoneticPr fontId="31" type="noConversion"/>
  </si>
  <si>
    <t>实施替代审计程序，以获取相关、可靠的审计证据。</t>
    <phoneticPr fontId="31" type="noConversion"/>
  </si>
  <si>
    <t>如果认为管理层不允许寄发询证函的原因不合理，或实施替代程序无法获取相关、可靠的审计证据，考虑是否表明存在舞弊或错报，与治理层进行沟通，并确定其对审计工作和审计意见的影响。</t>
    <phoneticPr fontId="31" type="noConversion"/>
  </si>
  <si>
    <t>常规</t>
    <phoneticPr fontId="31" type="noConversion"/>
  </si>
  <si>
    <t>11</t>
    <phoneticPr fontId="31" type="noConversion"/>
  </si>
  <si>
    <t>比较当年度及以前年度预付账款的增减变动、具体构成、账龄及主要供货商的变化，针对舞弊风险较大的供应商，考虑对采购额、合同条款、是否存在关联方关系及是否存在补充协议实施函证程序。</t>
    <phoneticPr fontId="31" type="noConversion"/>
  </si>
  <si>
    <t>八</t>
    <phoneticPr fontId="31" type="noConversion"/>
  </si>
  <si>
    <t>考虑发生在企业与关联方之间的交易是否得到适当的会计处理。</t>
    <phoneticPr fontId="31" type="noConversion"/>
  </si>
  <si>
    <t>ABCD</t>
    <phoneticPr fontId="31" type="noConversion"/>
  </si>
  <si>
    <t>G2-10</t>
    <phoneticPr fontId="31" type="noConversion"/>
  </si>
  <si>
    <t>1</t>
    <phoneticPr fontId="31" type="noConversion"/>
  </si>
  <si>
    <t>标明预付关联方(包括持股5%以上股东)的款项，并注明合并报表时应予抵销的金额；</t>
    <phoneticPr fontId="31" type="noConversion"/>
  </si>
  <si>
    <t>2</t>
    <phoneticPr fontId="31" type="noConversion"/>
  </si>
  <si>
    <t>统计关联交易采购金额，并与公司披露的关联交易信息核对。</t>
    <phoneticPr fontId="31" type="noConversion"/>
  </si>
  <si>
    <t>考虑大额或异常的余额或交易是否表明存在未识别的关联方。</t>
    <phoneticPr fontId="31" type="noConversion"/>
  </si>
  <si>
    <t>九</t>
    <phoneticPr fontId="31" type="noConversion"/>
  </si>
  <si>
    <t>或有、承诺事项</t>
    <phoneticPr fontId="31" type="noConversion"/>
  </si>
  <si>
    <t>常规</t>
    <phoneticPr fontId="31" type="noConversion"/>
  </si>
  <si>
    <t>CDE</t>
    <phoneticPr fontId="31" type="noConversion"/>
  </si>
  <si>
    <t>辨别重要的销售或采购承诺，执行以下程序：</t>
    <phoneticPr fontId="31" type="noConversion"/>
  </si>
  <si>
    <t>确定完成承诺时是否会产生损失。</t>
    <phoneticPr fontId="31" type="noConversion"/>
  </si>
  <si>
    <t>常规</t>
    <phoneticPr fontId="31" type="noConversion"/>
  </si>
  <si>
    <t>确定会计处理是否恰当。</t>
    <phoneticPr fontId="31" type="noConversion"/>
  </si>
  <si>
    <t>常规</t>
    <phoneticPr fontId="31" type="noConversion"/>
  </si>
  <si>
    <t>结合银行借款等科目的审计，了解是否有用于债务担保的存货，如有，则应取证并作相应的记录，同时核查被审计单位财务报表是否已作恰当披露。</t>
    <phoneticPr fontId="31" type="noConversion"/>
  </si>
  <si>
    <t>3</t>
    <phoneticPr fontId="31" type="noConversion"/>
  </si>
  <si>
    <t>询问管理层，检查有关合同协议、董事会会议记录等，确定存货是否存在用于抵押、担保的情况，预付账款的对外投资、抵押情况，并关注会计处理及披露的正确性。</t>
    <phoneticPr fontId="31" type="noConversion"/>
  </si>
  <si>
    <t>十</t>
    <phoneticPr fontId="31" type="noConversion"/>
  </si>
  <si>
    <r>
      <rPr>
        <b/>
        <sz val="10"/>
        <color theme="1"/>
        <rFont val="宋体"/>
        <family val="3"/>
        <charset val="134"/>
      </rPr>
      <t>确定需在财务报表中单独披露的信息已被记录。</t>
    </r>
    <r>
      <rPr>
        <b/>
        <sz val="10"/>
        <color theme="1"/>
        <rFont val="Arial Narrow"/>
        <family val="2"/>
      </rPr>
      <t xml:space="preserve"> </t>
    </r>
    <phoneticPr fontId="31" type="noConversion"/>
  </si>
  <si>
    <t>E</t>
    <phoneticPr fontId="31" type="noConversion"/>
  </si>
  <si>
    <r>
      <t>G1-1</t>
    </r>
    <r>
      <rPr>
        <sz val="10"/>
        <color theme="1"/>
        <rFont val="Arial Narrow"/>
        <family val="2"/>
      </rPr>
      <t/>
    </r>
    <phoneticPr fontId="31" type="noConversion"/>
  </si>
  <si>
    <t>结合二、3，重分类预付账款（若适用）</t>
    <phoneticPr fontId="31" type="noConversion"/>
  </si>
  <si>
    <t>提示：</t>
    <phoneticPr fontId="7" type="noConversion"/>
  </si>
  <si>
    <t>根据具体情况，按下述5条所述流程，执行分析程序：</t>
    <phoneticPr fontId="7" type="noConversion"/>
  </si>
  <si>
    <r>
      <rPr>
        <sz val="10"/>
        <color theme="1"/>
        <rFont val="宋体"/>
        <family val="3"/>
        <charset val="134"/>
      </rPr>
      <t>证实分析性程序中使用的基础性数据是正确的，</t>
    </r>
    <r>
      <rPr>
        <sz val="10"/>
        <rFont val="宋体"/>
        <family val="3"/>
        <charset val="134"/>
      </rPr>
      <t>对已记录的金额作出预期，评价预期值是否足够精确以识别重大错报</t>
    </r>
    <r>
      <rPr>
        <sz val="10"/>
        <color theme="1"/>
        <rFont val="宋体"/>
        <family val="3"/>
        <charset val="134"/>
      </rPr>
      <t>。</t>
    </r>
    <r>
      <rPr>
        <sz val="10"/>
        <color theme="1"/>
        <rFont val="Arial Narrow"/>
        <family val="2"/>
      </rPr>
      <t xml:space="preserve"> Verify that the underlying data used in the analytics is valid.</t>
    </r>
    <phoneticPr fontId="31" type="noConversion"/>
  </si>
  <si>
    <r>
      <rPr>
        <sz val="10"/>
        <color theme="1"/>
        <rFont val="宋体"/>
        <family val="3"/>
        <charset val="134"/>
      </rPr>
      <t>与可比前期（及预期）结果相比较。</t>
    </r>
    <r>
      <rPr>
        <sz val="10"/>
        <color theme="1"/>
        <rFont val="Arial Narrow"/>
        <family val="2"/>
      </rPr>
      <t xml:space="preserve"> Compare results to comparable prior periods (expectations).</t>
    </r>
    <phoneticPr fontId="31" type="noConversion"/>
  </si>
  <si>
    <r>
      <rPr>
        <sz val="10"/>
        <color theme="1"/>
        <rFont val="宋体"/>
        <family val="3"/>
        <charset val="134"/>
      </rPr>
      <t>与适当客户人员讨论重大的非预期的差异。</t>
    </r>
    <r>
      <rPr>
        <sz val="10"/>
        <color theme="1"/>
        <rFont val="Arial Narrow"/>
        <family val="2"/>
      </rPr>
      <t xml:space="preserve"> Discuss significant unexpected differences with appropriate client personnel.</t>
    </r>
    <phoneticPr fontId="31" type="noConversion"/>
  </si>
  <si>
    <r>
      <rPr>
        <sz val="10"/>
        <color theme="1"/>
        <rFont val="宋体"/>
        <family val="3"/>
        <charset val="134"/>
      </rPr>
      <t>考虑管理层解释的可信度，并在适当情况下进行证实。</t>
    </r>
    <r>
      <rPr>
        <sz val="10"/>
        <color theme="1"/>
        <rFont val="Arial Narrow"/>
        <family val="2"/>
      </rPr>
      <t xml:space="preserve"> Consider plausibility of responses and corroborate as appropriate.</t>
    </r>
    <phoneticPr fontId="31" type="noConversion"/>
  </si>
  <si>
    <r>
      <rPr>
        <sz val="10"/>
        <color theme="1"/>
        <rFont val="宋体"/>
        <family val="3"/>
        <charset val="134"/>
      </rPr>
      <t>确定执行上述程序的结果是否表明需要补充必要的审计程序，如果是，执行适当的应对程序。</t>
    </r>
    <r>
      <rPr>
        <sz val="10"/>
        <color theme="1"/>
        <rFont val="Arial Narrow"/>
        <family val="2"/>
      </rPr>
      <t xml:space="preserve"> Determine whether results identify areas where additional procedures are required and if so, tailor an appropriate response.</t>
    </r>
    <phoneticPr fontId="31" type="noConversion"/>
  </si>
  <si>
    <t>修订类别</t>
    <phoneticPr fontId="7" type="noConversion"/>
  </si>
  <si>
    <t>整合</t>
    <phoneticPr fontId="7" type="noConversion"/>
  </si>
  <si>
    <t>保留</t>
    <phoneticPr fontId="7" type="noConversion"/>
  </si>
  <si>
    <t>整合</t>
    <phoneticPr fontId="7" type="noConversion"/>
  </si>
  <si>
    <t>删除</t>
    <phoneticPr fontId="7" type="noConversion"/>
  </si>
  <si>
    <t>保留</t>
    <phoneticPr fontId="7" type="noConversion"/>
  </si>
  <si>
    <t>整合</t>
    <phoneticPr fontId="7" type="noConversion"/>
  </si>
  <si>
    <r>
      <rPr>
        <b/>
        <sz val="10"/>
        <color theme="1"/>
        <rFont val="宋体"/>
        <family val="3"/>
        <charset val="134"/>
      </rPr>
      <t>针对再次发函未回函或回函不可靠的项目，评价其对评估的重大错报风险以及其他审计程序的性质、时间安排和范围的影响，并实施替代审计程序。</t>
    </r>
    <r>
      <rPr>
        <b/>
        <sz val="10"/>
        <color theme="1"/>
        <rFont val="Arial Narrow"/>
        <family val="2"/>
      </rPr>
      <t xml:space="preserve"> </t>
    </r>
    <phoneticPr fontId="31" type="noConversion"/>
  </si>
  <si>
    <t>整合</t>
    <phoneticPr fontId="7" type="noConversion"/>
  </si>
  <si>
    <t>删除</t>
    <phoneticPr fontId="7" type="noConversion"/>
  </si>
  <si>
    <t>删除</t>
    <phoneticPr fontId="7" type="noConversion"/>
  </si>
  <si>
    <t>整合</t>
    <phoneticPr fontId="7" type="noConversion"/>
  </si>
  <si>
    <t>整合</t>
    <phoneticPr fontId="7" type="noConversion"/>
  </si>
  <si>
    <t>分析核实未回函、回函不符及回函率较低的原因，必要时实施再次发函、现场走访等程序，获取账面记录与外部证据矛盾的审计证据。</t>
    <phoneticPr fontId="7" type="noConversion"/>
  </si>
  <si>
    <t>获取或编制预付账款的明细表，完成以下工作，并编制审定表
（1）复核加计是否正确，与总账、明细账合计数核对是否相符；
（2）获取管理层编制的预付账款账龄分析表，检查账龄划分是否正确；
（3）结合应付账款等往来项目的明细余额，检查有无重复付款或将同一笔已付清的款项在预付账款和应付账款两个科目中同时挂账的情况、异常余额或与购货无关的其他款项；
（4）检查贷方余额是否需要重分类、非记账本位币预付账款折算是否正确。</t>
    <phoneticPr fontId="31" type="noConversion"/>
  </si>
  <si>
    <t>预付账款调整分录汇总表</t>
    <phoneticPr fontId="7" type="noConversion"/>
  </si>
  <si>
    <t>预付账款检查表</t>
    <phoneticPr fontId="7" type="noConversion"/>
  </si>
  <si>
    <t>三、测试：</t>
    <phoneticPr fontId="112" type="noConversion"/>
  </si>
  <si>
    <t>日期</t>
  </si>
  <si>
    <t>凭证编号</t>
  </si>
  <si>
    <t>业务内容</t>
    <phoneticPr fontId="7" type="noConversion"/>
  </si>
  <si>
    <t>对方科目</t>
    <phoneticPr fontId="7" type="noConversion"/>
  </si>
  <si>
    <t>借方金额</t>
    <phoneticPr fontId="7" type="noConversion"/>
  </si>
  <si>
    <t>记账凭证</t>
    <phoneticPr fontId="7" type="noConversion"/>
  </si>
  <si>
    <t>付款审批单</t>
    <phoneticPr fontId="7" type="noConversion"/>
  </si>
  <si>
    <t>……</t>
    <phoneticPr fontId="7" type="noConversion"/>
  </si>
  <si>
    <t>索引号</t>
    <phoneticPr fontId="7" type="noConversion"/>
  </si>
  <si>
    <t>是否异常</t>
    <phoneticPr fontId="7" type="noConversion"/>
  </si>
  <si>
    <t>日期/编号</t>
    <phoneticPr fontId="7" type="noConversion"/>
  </si>
  <si>
    <t>日期</t>
    <phoneticPr fontId="7" type="noConversion"/>
  </si>
  <si>
    <t>金额</t>
    <phoneticPr fontId="7" type="noConversion"/>
  </si>
  <si>
    <t>对手方名称</t>
    <phoneticPr fontId="7" type="noConversion"/>
  </si>
  <si>
    <t>金额</t>
    <phoneticPr fontId="7" type="noConversion"/>
  </si>
  <si>
    <t>贷方金额</t>
    <phoneticPr fontId="7" type="noConversion"/>
  </si>
  <si>
    <t>入库单/验收单</t>
    <phoneticPr fontId="7" type="noConversion"/>
  </si>
  <si>
    <t>采购发票</t>
    <phoneticPr fontId="7" type="noConversion"/>
  </si>
  <si>
    <t>日期/编号</t>
    <phoneticPr fontId="7" type="noConversion"/>
  </si>
  <si>
    <t>品名</t>
    <phoneticPr fontId="7" type="noConversion"/>
  </si>
  <si>
    <t>单位</t>
    <phoneticPr fontId="7" type="noConversion"/>
  </si>
  <si>
    <t>数量</t>
    <phoneticPr fontId="7" type="noConversion"/>
  </si>
  <si>
    <t>合计</t>
    <phoneticPr fontId="7" type="noConversion"/>
  </si>
  <si>
    <t>四、审计说明：</t>
    <phoneticPr fontId="112" type="noConversion"/>
  </si>
  <si>
    <t>五、审计结论：</t>
    <phoneticPr fontId="7" type="noConversion"/>
  </si>
  <si>
    <t>合同/协议/订单</t>
    <phoneticPr fontId="7" type="noConversion"/>
  </si>
  <si>
    <t>供应商名称</t>
    <phoneticPr fontId="7" type="noConversion"/>
  </si>
  <si>
    <t>合同金额</t>
    <phoneticPr fontId="7" type="noConversion"/>
  </si>
  <si>
    <t>预付比例</t>
    <phoneticPr fontId="7" type="noConversion"/>
  </si>
  <si>
    <t>根据评估的舞弊风险等因素增加的审计程序。</t>
    <phoneticPr fontId="7" type="noConversion"/>
  </si>
  <si>
    <t>√</t>
    <phoneticPr fontId="7" type="noConversion"/>
  </si>
  <si>
    <t>计划供货还是退款</t>
    <phoneticPr fontId="7" type="noConversion"/>
  </si>
  <si>
    <t>是否诉讼</t>
    <phoneticPr fontId="7" type="noConversion"/>
  </si>
  <si>
    <t>是否转入其他应收款</t>
    <phoneticPr fontId="7" type="noConversion"/>
  </si>
  <si>
    <t>存货余额</t>
  </si>
  <si>
    <t>预付账款余额</t>
    <phoneticPr fontId="31" type="noConversion"/>
  </si>
  <si>
    <t xml:space="preserve">       其他</t>
    <phoneticPr fontId="31" type="noConversion"/>
  </si>
  <si>
    <t>期末与存货有关预付款项余额占存货比重</t>
    <phoneticPr fontId="31" type="noConversion"/>
  </si>
  <si>
    <t>预付账款借方发生额</t>
    <phoneticPr fontId="31" type="noConversion"/>
  </si>
  <si>
    <t>其中： 与存货有关的预付账款借方发生额</t>
    <phoneticPr fontId="31" type="noConversion"/>
  </si>
  <si>
    <t>其中： 与存货有关的预付账款余额</t>
    <phoneticPr fontId="31" type="noConversion"/>
  </si>
  <si>
    <t xml:space="preserve">       与费用有关的预付账款余额</t>
    <phoneticPr fontId="31" type="noConversion"/>
  </si>
  <si>
    <t xml:space="preserve">       与费用有关的预付账款借方发生额</t>
    <phoneticPr fontId="31" type="noConversion"/>
  </si>
  <si>
    <t xml:space="preserve">       与工程、固定资产有关的预付账款余额</t>
    <phoneticPr fontId="31" type="noConversion"/>
  </si>
  <si>
    <t xml:space="preserve">       与工程、固定资产有关的预付账款借方发生额</t>
    <phoneticPr fontId="31" type="noConversion"/>
  </si>
  <si>
    <t>存货采购金额</t>
    <phoneticPr fontId="31" type="noConversion"/>
  </si>
  <si>
    <t>与存货有关的预付账款借方发生额占存货采购金额比重</t>
    <phoneticPr fontId="31" type="noConversion"/>
  </si>
  <si>
    <t>报表项目</t>
    <phoneticPr fontId="7" type="noConversion"/>
  </si>
  <si>
    <t>在使用手工编制、自定义信息报告、系统生成的非固定格式报告等IPE时（如采购合同台账、被函证方信息等），应当评价该信息对实现审计目的是否足够可靠，包括根据具体情况在必要时
获取有关信息准确性和完整性的审计证据。</t>
    <phoneticPr fontId="31" type="noConversion"/>
  </si>
  <si>
    <t>如存在大额预付账款收回，关注合理性、是否存在关联方资金占用等情形</t>
    <phoneticPr fontId="31" type="noConversion"/>
  </si>
  <si>
    <t>审计说明：</t>
    <phoneticPr fontId="31" type="noConversion"/>
  </si>
  <si>
    <t>审计说明：</t>
    <phoneticPr fontId="31" type="noConversion"/>
  </si>
  <si>
    <t>三、审计结论：</t>
    <phoneticPr fontId="7" type="noConversion"/>
  </si>
  <si>
    <t>关联方名称</t>
    <phoneticPr fontId="7" type="noConversion"/>
  </si>
  <si>
    <r>
      <rPr>
        <sz val="10"/>
        <rFont val="宋体"/>
        <family val="3"/>
        <charset val="134"/>
      </rPr>
      <t>检查关联交易情况，考虑</t>
    </r>
    <r>
      <rPr>
        <sz val="10"/>
        <color theme="1"/>
        <rFont val="宋体"/>
        <family val="3"/>
        <charset val="134"/>
      </rPr>
      <t>对关联方的预付款项的真实性、合理性、合法性、会计处理是否正确，考虑是否存在未识别的关联方，关联交易和余额披露是否正确。</t>
    </r>
    <phoneticPr fontId="7" type="noConversion"/>
  </si>
  <si>
    <t>检查一年以上预付款项挂账原因，是否存在减值，不符合预付款项性质的是否需要调整至正确科目，因供货单位破产、撤销等原因无法再收到所购货物的预付款项是否应转入其他应收款计提坏账准备。</t>
    <phoneticPr fontId="31" type="noConversion"/>
  </si>
  <si>
    <t>分析预付款余额及发生额：
（1）分析预付账款期末余额本期与上期变化情况、与期末存货余额占比是否合理
（2）分析预付账款发生额本期与上期变化情况、与存货采购金额占比是否合理、是否存在大预付账款款项收回；
（3）分析主要供应商期末预付账款余额，关注期末大额预付款项商业合理性、真实性。</t>
    <phoneticPr fontId="31" type="noConversion"/>
  </si>
  <si>
    <t>保留、修改</t>
    <phoneticPr fontId="7" type="noConversion"/>
  </si>
  <si>
    <t>关注是否存在重要采购承诺、预付账款对外投资和抵押等或有承诺事项。</t>
    <phoneticPr fontId="31" type="noConversion"/>
  </si>
  <si>
    <t>无需打印</t>
    <phoneticPr fontId="7" type="noConversion"/>
  </si>
  <si>
    <t>关注主要供应商采购金额、结合市场惯例判断款项支付的合理性，结合存货及在建工程明细账，核实期后是否收到货物，是否存在变更交易、取消交易等情形。</t>
    <phoneticPr fontId="7" type="noConversion"/>
  </si>
  <si>
    <t>变动比例</t>
    <phoneticPr fontId="31" type="noConversion"/>
  </si>
  <si>
    <t>本期金额</t>
    <phoneticPr fontId="31" type="noConversion"/>
  </si>
  <si>
    <t>上期金额</t>
    <phoneticPr fontId="31" type="noConversion"/>
  </si>
  <si>
    <t>变动金额</t>
    <phoneticPr fontId="31" type="noConversion"/>
  </si>
  <si>
    <t>预付账款贷方发生额：</t>
    <phoneticPr fontId="31" type="noConversion"/>
  </si>
  <si>
    <t>其中： 转销计入存货金额</t>
    <phoneticPr fontId="31" type="noConversion"/>
  </si>
  <si>
    <t xml:space="preserve">       转销计入费用金额</t>
    <phoneticPr fontId="31" type="noConversion"/>
  </si>
  <si>
    <t>检查的关键证据和要素根据被审计单位具体情况修改</t>
    <phoneticPr fontId="7" type="noConversion"/>
  </si>
  <si>
    <t>特定样本：</t>
    <phoneticPr fontId="7" type="noConversion"/>
  </si>
  <si>
    <t>抽样方法：</t>
    <phoneticPr fontId="7" type="noConversion"/>
  </si>
  <si>
    <t>抽样总体：</t>
    <phoneticPr fontId="7" type="noConversion"/>
  </si>
  <si>
    <t>抽样过程：</t>
    <phoneticPr fontId="7" type="noConversion"/>
  </si>
  <si>
    <t>预付账款检查表</t>
    <phoneticPr fontId="7" type="noConversion"/>
  </si>
  <si>
    <t>函证结果汇总表</t>
  </si>
  <si>
    <t>核实被函证单位信息</t>
  </si>
  <si>
    <t>跟函函证过程控制</t>
  </si>
  <si>
    <t>函证差异调节表</t>
  </si>
  <si>
    <t>预付及采购替代程序检查表</t>
  </si>
  <si>
    <t>邮件传真回函可靠性验证</t>
  </si>
  <si>
    <t>函证程序舞弊风险评价表</t>
  </si>
  <si>
    <t>返回目录</t>
    <phoneticPr fontId="31" type="noConversion"/>
  </si>
  <si>
    <t>实质性分析</t>
    <phoneticPr fontId="7" type="noConversion"/>
  </si>
  <si>
    <t>准确性、计价和分摊</t>
  </si>
  <si>
    <t>列报</t>
    <phoneticPr fontId="7" type="noConversion"/>
  </si>
  <si>
    <r>
      <t xml:space="preserve">B. </t>
    </r>
    <r>
      <rPr>
        <sz val="10"/>
        <rFont val="宋体"/>
        <family val="3"/>
        <charset val="134"/>
      </rPr>
      <t>所有应记录的预付账款均已记录，所有应当包括在财务报表中的相关披露均已包括</t>
    </r>
    <phoneticPr fontId="7" type="noConversion"/>
  </si>
  <si>
    <r>
      <t xml:space="preserve">E. </t>
    </r>
    <r>
      <rPr>
        <sz val="10"/>
        <rFont val="宋体"/>
        <family val="3"/>
        <charset val="134"/>
      </rPr>
      <t>预付账款已被恰当地汇总或分解且表述清楚，相关披露在按照企业会计准则的编制基础下是相关的、可理解的</t>
    </r>
    <phoneticPr fontId="7" type="noConversion"/>
  </si>
  <si>
    <r>
      <t xml:space="preserve">D. </t>
    </r>
    <r>
      <rPr>
        <sz val="10"/>
        <rFont val="宋体"/>
        <family val="3"/>
        <charset val="134"/>
      </rPr>
      <t>预付账款以恰当的金额包括在财务报表中，与之相关的计价或分摊调整已恰当记录，相关披露已得到恰当计量和描述</t>
    </r>
    <r>
      <rPr>
        <sz val="10"/>
        <rFont val="Arial"/>
        <family val="2"/>
      </rPr>
      <t xml:space="preserve"> </t>
    </r>
    <phoneticPr fontId="7" type="noConversion"/>
  </si>
  <si>
    <r>
      <rPr>
        <sz val="10"/>
        <rFont val="宋体"/>
        <family val="3"/>
        <charset val="134"/>
      </rPr>
      <t>页</t>
    </r>
    <r>
      <rPr>
        <sz val="10"/>
        <rFont val="Arial Narrow"/>
        <family val="2"/>
      </rPr>
      <t xml:space="preserve">  </t>
    </r>
    <r>
      <rPr>
        <sz val="10"/>
        <rFont val="宋体"/>
        <family val="3"/>
        <charset val="134"/>
      </rPr>
      <t>次：</t>
    </r>
    <phoneticPr fontId="31" type="noConversion"/>
  </si>
  <si>
    <r>
      <rPr>
        <sz val="10"/>
        <color theme="1"/>
        <rFont val="宋体"/>
        <family val="3"/>
        <charset val="134"/>
      </rPr>
      <t>分析预付款余额及发生额：
（</t>
    </r>
    <r>
      <rPr>
        <sz val="10"/>
        <color theme="1"/>
        <rFont val="Arial Narrow"/>
        <family val="2"/>
      </rPr>
      <t>1</t>
    </r>
    <r>
      <rPr>
        <sz val="10"/>
        <color theme="1"/>
        <rFont val="宋体"/>
        <family val="3"/>
        <charset val="134"/>
      </rPr>
      <t>）分析预付账款期末余额本期与上期变化情况、与期末存货余额占比是否合理
（</t>
    </r>
    <r>
      <rPr>
        <sz val="10"/>
        <color theme="1"/>
        <rFont val="Arial Narrow"/>
        <family val="2"/>
      </rPr>
      <t>2</t>
    </r>
    <r>
      <rPr>
        <sz val="10"/>
        <color theme="1"/>
        <rFont val="宋体"/>
        <family val="3"/>
        <charset val="134"/>
      </rPr>
      <t>）分析预付账款发生额本期与上期变化情况、与存货采购金额占比是否合理、是否存在大预付账款款项收回；
（</t>
    </r>
    <r>
      <rPr>
        <sz val="10"/>
        <color theme="1"/>
        <rFont val="Arial Narrow"/>
        <family val="2"/>
      </rPr>
      <t>3</t>
    </r>
    <r>
      <rPr>
        <sz val="10"/>
        <color theme="1"/>
        <rFont val="宋体"/>
        <family val="3"/>
        <charset val="134"/>
      </rPr>
      <t>）分析主要供应商期末预付账款余额，关注期末大额预付款项商业合理性、真实性。</t>
    </r>
    <phoneticPr fontId="31" type="noConversion"/>
  </si>
  <si>
    <t>关联方及交易检查表</t>
    <phoneticPr fontId="7" type="noConversion"/>
  </si>
  <si>
    <t>测试总体：</t>
    <phoneticPr fontId="7" type="noConversion"/>
  </si>
  <si>
    <t>针对舞弊风险较大的供应商，考虑对采购额、合同条款、是否存在关联方关系及是否存在补充协议等实施函证程序。</t>
    <phoneticPr fontId="31"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</si>
  <si>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31" type="noConversion"/>
  </si>
  <si>
    <t>备选</t>
    <phoneticPr fontId="31" type="noConversion"/>
  </si>
  <si>
    <r>
      <rPr>
        <sz val="10"/>
        <color theme="1"/>
        <rFont val="宋体"/>
        <family val="3"/>
        <charset val="134"/>
      </rPr>
      <t>实施函证程序：
（</t>
    </r>
    <r>
      <rPr>
        <sz val="10"/>
        <color theme="1"/>
        <rFont val="Arial Narrow"/>
        <family val="2"/>
      </rPr>
      <t>1</t>
    </r>
    <r>
      <rPr>
        <sz val="10"/>
        <color theme="1"/>
        <rFont val="宋体"/>
        <family val="3"/>
        <charset val="134"/>
      </rPr>
      <t>）以积极方式对预付账款进行函证，设计询证函、发函前核实被函证单位信息；
（</t>
    </r>
    <r>
      <rPr>
        <sz val="10"/>
        <color theme="1"/>
        <rFont val="Arial Narrow"/>
        <family val="2"/>
      </rPr>
      <t>2</t>
    </r>
    <r>
      <rPr>
        <sz val="10"/>
        <color theme="1"/>
        <rFont val="宋体"/>
        <family val="3"/>
        <charset val="134"/>
      </rPr>
      <t>）注册会计师独立收发询证函；
（</t>
    </r>
    <r>
      <rPr>
        <sz val="10"/>
        <color theme="1"/>
        <rFont val="Arial Narrow"/>
        <family val="2"/>
      </rPr>
      <t>3</t>
    </r>
    <r>
      <rPr>
        <sz val="10"/>
        <color theme="1"/>
        <rFont val="宋体"/>
        <family val="3"/>
        <charset val="134"/>
      </rPr>
      <t>）编制函证结果汇总表，检查发函、回函物流信息和轨迹、比对回函印章和签字等以核实回函的真实性，检查回函是否相符，对不符事项查明原因确定是否存在错报；
（</t>
    </r>
    <r>
      <rPr>
        <sz val="10"/>
        <color theme="1"/>
        <rFont val="Arial Narrow"/>
        <family val="2"/>
      </rPr>
      <t>4</t>
    </r>
    <r>
      <rPr>
        <sz val="10"/>
        <color theme="1"/>
        <rFont val="宋体"/>
        <family val="3"/>
        <charset val="134"/>
      </rPr>
      <t>）如果未收到回函，应当考虑与被询证者联系，要求对方作出回应或再次寄发询证函，无法收到的回函实施替代程序；
（</t>
    </r>
    <r>
      <rPr>
        <sz val="10"/>
        <color theme="1"/>
        <rFont val="Arial Narrow"/>
        <family val="2"/>
      </rPr>
      <t>5</t>
    </r>
    <r>
      <rPr>
        <sz val="10"/>
        <color theme="1"/>
        <rFont val="宋体"/>
        <family val="3"/>
        <charset val="134"/>
      </rPr>
      <t>）如果管理层不允许寄发询证函的，询问管理层不允许寄发的原因，并就其原因的正当、合理性收集证据；考虑实施替代审计程序以获取相关、可靠的审计证据；
（</t>
    </r>
    <r>
      <rPr>
        <sz val="10"/>
        <color theme="1"/>
        <rFont val="Arial Narrow"/>
        <family val="2"/>
      </rPr>
      <t>6</t>
    </r>
    <r>
      <rPr>
        <sz val="10"/>
        <color theme="1"/>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phoneticPr fontId="31" type="noConversion"/>
  </si>
  <si>
    <t>关注对关联方预付款项的真实性、合理性、合法性、会计处理是否正确，考虑是否存在未识别的关联方，检查关联交易和余额披露是否正确。</t>
    <phoneticPr fontId="7" type="noConversion"/>
  </si>
  <si>
    <r>
      <t>3.</t>
    </r>
    <r>
      <rPr>
        <sz val="10"/>
        <rFont val="宋体"/>
        <family val="3"/>
        <charset val="134"/>
      </rPr>
      <t>预付账款以恰当的金额包括在财务报表中，与之相关的计价或分摊调整已恰当记录，相关披露已得到恰当计量和描述</t>
    </r>
    <r>
      <rPr>
        <sz val="10"/>
        <rFont val="Arial Narrow"/>
        <family val="2"/>
      </rPr>
      <t xml:space="preserve"> </t>
    </r>
    <phoneticPr fontId="7" type="noConversion"/>
  </si>
  <si>
    <t>合计</t>
    <phoneticPr fontId="7" type="noConversion"/>
  </si>
  <si>
    <t>检查与预付账款有关的的记账凭证和相应的支持性证据以确定交易的真实性，是否按规定进行相应的会计处理和披露</t>
    <phoneticPr fontId="31" type="noConversion"/>
  </si>
  <si>
    <t>期后供货或退款金额</t>
    <phoneticPr fontId="7" type="noConversion"/>
  </si>
  <si>
    <t>支持性证据</t>
    <phoneticPr fontId="7" type="noConversion"/>
  </si>
  <si>
    <t>关注会计政策、会计估计合理性、一贯性，关注其是否利用会计政策和会计估计及其变更操纵利润。</t>
    <phoneticPr fontId="31" type="noConversion"/>
  </si>
  <si>
    <t>一、审计目标:</t>
    <phoneticPr fontId="18" type="noConversion"/>
  </si>
  <si>
    <r>
      <t>1.</t>
    </r>
    <r>
      <rPr>
        <sz val="10"/>
        <color indexed="8"/>
        <rFont val="宋体"/>
        <family val="3"/>
        <charset val="134"/>
      </rPr>
      <t>资产负债表中记录的预付账款是存在的，且已经记录在恰当的账户中；</t>
    </r>
    <phoneticPr fontId="31" type="noConversion"/>
  </si>
  <si>
    <r>
      <t>2.</t>
    </r>
    <r>
      <rPr>
        <sz val="10"/>
        <color indexed="8"/>
        <rFont val="宋体"/>
        <family val="3"/>
        <charset val="134"/>
      </rPr>
      <t>预付账款以恰当的金额包括在财务报表中，与之相关的计价或分摊调整已恰当记录，相关披露已得到恰当计量和描述</t>
    </r>
    <r>
      <rPr>
        <sz val="10"/>
        <color indexed="8"/>
        <rFont val="Arial Narrow"/>
        <family val="2"/>
      </rPr>
      <t xml:space="preserve"> </t>
    </r>
    <phoneticPr fontId="31" type="noConversion"/>
  </si>
  <si>
    <t>二、审计过程：</t>
    <phoneticPr fontId="18" type="noConversion"/>
  </si>
  <si>
    <t>分析预付账款余额、借方发生额、贷方发生额、期末大额预付款情况，分析异常原因、关注期末对供应商支付大额预付款项的合理性</t>
    <phoneticPr fontId="31" type="noConversion"/>
  </si>
  <si>
    <t>银行回单</t>
    <phoneticPr fontId="7" type="noConversion"/>
  </si>
  <si>
    <t>收款方</t>
    <phoneticPr fontId="7" type="noConversion"/>
  </si>
  <si>
    <t>对方明细科目</t>
  </si>
  <si>
    <t>对方明细科目</t>
    <phoneticPr fontId="7" type="noConversion"/>
  </si>
  <si>
    <t>3.资产负债表日后贷方检查</t>
    <phoneticPr fontId="7" type="noConversion"/>
  </si>
  <si>
    <r>
      <rPr>
        <sz val="10"/>
        <rFont val="宋体"/>
        <family val="3"/>
        <charset val="134"/>
      </rPr>
      <t>索引号：</t>
    </r>
    <phoneticPr fontId="7" type="noConversion"/>
  </si>
  <si>
    <r>
      <rPr>
        <sz val="10"/>
        <rFont val="宋体"/>
        <family val="3"/>
        <charset val="134"/>
      </rPr>
      <t>页次：</t>
    </r>
    <phoneticPr fontId="7" type="noConversion"/>
  </si>
  <si>
    <r>
      <rPr>
        <sz val="10"/>
        <rFont val="宋体"/>
        <family val="3"/>
        <charset val="134"/>
      </rPr>
      <t>索引号：</t>
    </r>
    <phoneticPr fontId="7" type="noConversion"/>
  </si>
  <si>
    <t>索引号：</t>
    <phoneticPr fontId="18" type="noConversion"/>
  </si>
  <si>
    <r>
      <t>1.</t>
    </r>
    <r>
      <rPr>
        <sz val="10"/>
        <color indexed="8"/>
        <rFont val="宋体"/>
        <family val="3"/>
        <charset val="134"/>
      </rPr>
      <t>资产负债表中记录的预付账款是存在的，且已经记录在恰当的账户中；</t>
    </r>
    <r>
      <rPr>
        <sz val="10"/>
        <color indexed="8"/>
        <rFont val="Arial Narrow"/>
        <family val="2"/>
      </rPr>
      <t xml:space="preserve">  2.</t>
    </r>
    <r>
      <rPr>
        <sz val="10"/>
        <color indexed="8"/>
        <rFont val="宋体"/>
        <family val="3"/>
        <charset val="134"/>
      </rPr>
      <t>所有应记录的预付账款均已记录，所有应当包括在财务报表中的相关披露均已包括；</t>
    </r>
    <r>
      <rPr>
        <sz val="10"/>
        <color indexed="8"/>
        <rFont val="Arial Narrow"/>
        <family val="2"/>
      </rPr>
      <t xml:space="preserve">    3.</t>
    </r>
    <r>
      <rPr>
        <sz val="10"/>
        <color indexed="8"/>
        <rFont val="宋体"/>
        <family val="3"/>
        <charset val="134"/>
      </rPr>
      <t>预付账款以恰当的金额包括在财务报表中，与之相关的计价或分摊调整已恰当记录，相关披露已得到恰当计量和描述</t>
    </r>
    <r>
      <rPr>
        <sz val="10"/>
        <color indexed="8"/>
        <rFont val="Arial Narrow"/>
        <family val="2"/>
      </rPr>
      <t xml:space="preserve"> </t>
    </r>
    <phoneticPr fontId="7" type="noConversion"/>
  </si>
  <si>
    <r>
      <t>1.</t>
    </r>
    <r>
      <rPr>
        <sz val="10"/>
        <rFont val="宋体"/>
        <family val="3"/>
        <charset val="134"/>
      </rPr>
      <t>取得预付账款明细表，检查账龄划分是否正确、贷方余额是否需要重分类，检查有无重复付款或将同一笔已付清的账款在预付款项和应付账款两个科目中同时挂账的情况、异常余额或与购货无关的其他款项（如关联方账户或雇员账户）</t>
    </r>
    <phoneticPr fontId="7" type="noConversion"/>
  </si>
  <si>
    <r>
      <t>2.</t>
    </r>
    <r>
      <rPr>
        <sz val="10"/>
        <rFont val="宋体"/>
        <family val="3"/>
        <charset val="134"/>
      </rPr>
      <t>关注大额预付账款交易真实性及期后合同执行情况，检查期后是否已收到实物并转销预付款项</t>
    </r>
    <phoneticPr fontId="7" type="noConversion"/>
  </si>
  <si>
    <r>
      <t>3.</t>
    </r>
    <r>
      <rPr>
        <sz val="10"/>
        <rFont val="宋体"/>
        <family val="3"/>
        <charset val="134"/>
      </rPr>
      <t>结合市场惯例，关注大额预付款项支付的合理性</t>
    </r>
    <phoneticPr fontId="7" type="noConversion"/>
  </si>
  <si>
    <r>
      <t>4.</t>
    </r>
    <r>
      <rPr>
        <sz val="10"/>
        <color rgb="FFFF0000"/>
        <rFont val="宋体"/>
        <family val="3"/>
        <charset val="134"/>
      </rPr>
      <t>获取并检查被审计单位与其供应商之间的对账单以及被审计单位编制的差异调节表，确定预付款项金额的准确性。</t>
    </r>
    <phoneticPr fontId="7" type="noConversion"/>
  </si>
  <si>
    <t>是否函证</t>
    <phoneticPr fontId="18" type="noConversion"/>
  </si>
  <si>
    <r>
      <t>1.</t>
    </r>
    <r>
      <rPr>
        <sz val="10"/>
        <color rgb="FFFF0000"/>
        <rFont val="宋体"/>
        <family val="3"/>
        <charset val="134"/>
      </rPr>
      <t>期初数与上期审定数一致</t>
    </r>
    <r>
      <rPr>
        <sz val="10"/>
        <color rgb="FFFF0000"/>
        <rFont val="Arial Narrow"/>
        <family val="2"/>
      </rPr>
      <t>,</t>
    </r>
    <r>
      <rPr>
        <sz val="10"/>
        <color rgb="FFFF0000"/>
        <rFont val="宋体"/>
        <family val="3"/>
        <charset val="134"/>
      </rPr>
      <t>期末总账、明细账、报表相符。</t>
    </r>
    <phoneticPr fontId="18" type="noConversion"/>
  </si>
  <si>
    <r>
      <t>2.**</t>
    </r>
    <r>
      <rPr>
        <sz val="10"/>
        <color rgb="FFFF0000"/>
        <rFont val="宋体"/>
        <family val="3"/>
        <charset val="134"/>
      </rPr>
      <t>预付款项发生额大，其主要原因列示如下：</t>
    </r>
    <phoneticPr fontId="18" type="noConversion"/>
  </si>
  <si>
    <r>
      <t>3.</t>
    </r>
    <r>
      <rPr>
        <sz val="10"/>
        <color rgb="FFFF0000"/>
        <rFont val="宋体"/>
        <family val="3"/>
        <charset val="134"/>
      </rPr>
      <t>超过</t>
    </r>
    <r>
      <rPr>
        <sz val="10"/>
        <color rgb="FFFF0000"/>
        <rFont val="Arial Narrow"/>
        <family val="2"/>
      </rPr>
      <t>1</t>
    </r>
    <r>
      <rPr>
        <sz val="10"/>
        <color rgb="FFFF0000"/>
        <rFont val="宋体"/>
        <family val="3"/>
        <charset val="134"/>
      </rPr>
      <t>年的大额预付款项，其性质及发生原因如下：</t>
    </r>
    <phoneticPr fontId="7" type="noConversion"/>
  </si>
  <si>
    <r>
      <rPr>
        <sz val="10"/>
        <rFont val="宋体"/>
        <family val="3"/>
        <charset val="134"/>
      </rPr>
      <t>索引号：</t>
    </r>
    <phoneticPr fontId="7"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</si>
  <si>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</si>
  <si>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t>注：本底稿适用于调整分录较多、较复杂的项目，且仅列示与本报表项目相关的审计调整。项目组可根据项目实际情况选择是否使用该底稿。</t>
    <phoneticPr fontId="7" type="noConversion"/>
  </si>
  <si>
    <t>转销工程、固定资产金额</t>
    <phoneticPr fontId="31" type="noConversion"/>
  </si>
  <si>
    <t>收回款项金额</t>
    <phoneticPr fontId="31" type="noConversion"/>
  </si>
  <si>
    <t>审计说明：</t>
    <phoneticPr fontId="31" type="noConversion"/>
  </si>
  <si>
    <r>
      <rPr>
        <sz val="10"/>
        <rFont val="宋体"/>
        <family val="3"/>
        <charset val="134"/>
      </rPr>
      <t>索引号：</t>
    </r>
    <phoneticPr fontId="7"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</si>
  <si>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</si>
  <si>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t>合计</t>
    <phoneticPr fontId="7" type="noConversion"/>
  </si>
  <si>
    <r>
      <rPr>
        <sz val="10"/>
        <rFont val="宋体"/>
        <family val="3"/>
        <charset val="134"/>
      </rPr>
      <t>债务人（股东）</t>
    </r>
    <r>
      <rPr>
        <sz val="10"/>
        <rFont val="Arial Narrow"/>
        <family val="2"/>
      </rPr>
      <t>1</t>
    </r>
    <phoneticPr fontId="7" type="noConversion"/>
  </si>
  <si>
    <t>期初余额</t>
    <phoneticPr fontId="7" type="noConversion"/>
  </si>
  <si>
    <t>借方发生</t>
    <phoneticPr fontId="7" type="noConversion"/>
  </si>
  <si>
    <t>贷方发生</t>
    <phoneticPr fontId="7" type="noConversion"/>
  </si>
  <si>
    <t>期后到货</t>
    <phoneticPr fontId="7" type="noConversion"/>
  </si>
  <si>
    <r>
      <t>1.</t>
    </r>
    <r>
      <rPr>
        <sz val="10"/>
        <rFont val="宋体"/>
        <family val="3"/>
        <charset val="134"/>
      </rPr>
      <t>资产负债表中记录的预付账款是存在的，且已经记录在恰当的账户中；</t>
    </r>
    <r>
      <rPr>
        <sz val="10"/>
        <rFont val="Arial Narrow"/>
        <family val="2"/>
      </rPr>
      <t xml:space="preserve">     2.</t>
    </r>
    <r>
      <rPr>
        <sz val="10"/>
        <rFont val="宋体"/>
        <family val="3"/>
        <charset val="134"/>
      </rPr>
      <t>记录的预付账款由被审计单位拥有或控制；</t>
    </r>
    <phoneticPr fontId="7" type="noConversion"/>
  </si>
  <si>
    <t>如预付账款借方发生额所有凭证共XX笔金额XX、贷方发生额所有凭证共XX笔金额XX</t>
    <phoneticPr fontId="7" type="noConversion"/>
  </si>
  <si>
    <t>XX金额以上（大额）、关联方/关联交易形成的款项、XX异常款项全部测试，共XX笔；</t>
    <phoneticPr fontId="7" type="noConversion"/>
  </si>
  <si>
    <t>确定的抽样样本量：</t>
    <phoneticPr fontId="7" type="noConversion"/>
  </si>
  <si>
    <t>（如果使用了样本计算器计算样本量，样本量计算过程见&lt;XX&gt;底稿）</t>
    <phoneticPr fontId="7" type="noConversion"/>
  </si>
  <si>
    <r>
      <rPr>
        <sz val="10"/>
        <rFont val="宋体"/>
        <family val="3"/>
        <charset val="134"/>
      </rPr>
      <t>索引号：</t>
    </r>
    <phoneticPr fontId="18" type="noConversion"/>
  </si>
  <si>
    <t>抽取XX笔</t>
    <phoneticPr fontId="7" type="noConversion"/>
  </si>
  <si>
    <t>供应商名称</t>
    <phoneticPr fontId="7" type="noConversion"/>
  </si>
  <si>
    <r>
      <rPr>
        <b/>
        <sz val="10"/>
        <rFont val="宋体"/>
        <family val="3"/>
        <charset val="134"/>
      </rPr>
      <t>合计</t>
    </r>
    <phoneticPr fontId="7" type="noConversion"/>
  </si>
  <si>
    <t>一、审计目标：</t>
    <phoneticPr fontId="112" type="noConversion"/>
  </si>
  <si>
    <r>
      <rPr>
        <b/>
        <sz val="10"/>
        <rFont val="宋体"/>
        <family val="3"/>
        <charset val="134"/>
      </rPr>
      <t>三、审计说明：</t>
    </r>
    <r>
      <rPr>
        <b/>
        <sz val="10"/>
        <color indexed="12"/>
        <rFont val="Arial Narrow"/>
        <family val="2"/>
      </rPr>
      <t/>
    </r>
    <phoneticPr fontId="7" type="noConversion"/>
  </si>
  <si>
    <t>四、审计结论：</t>
    <phoneticPr fontId="18" type="noConversion"/>
  </si>
  <si>
    <t>2</t>
    <phoneticPr fontId="31" type="noConversion"/>
  </si>
  <si>
    <t>4</t>
  </si>
  <si>
    <t>5</t>
  </si>
  <si>
    <t>6</t>
  </si>
  <si>
    <t>7</t>
  </si>
  <si>
    <t>8</t>
  </si>
  <si>
    <t>10</t>
  </si>
  <si>
    <t>11</t>
  </si>
  <si>
    <t>12</t>
  </si>
  <si>
    <t>13</t>
  </si>
  <si>
    <t>14</t>
  </si>
  <si>
    <t>15</t>
  </si>
  <si>
    <t>索引号：</t>
    <phoneticPr fontId="7" type="noConversion"/>
  </si>
  <si>
    <r>
      <rPr>
        <b/>
        <sz val="10"/>
        <rFont val="宋体"/>
        <family val="3"/>
        <charset val="134"/>
      </rPr>
      <t>合</t>
    </r>
    <r>
      <rPr>
        <b/>
        <sz val="10"/>
        <rFont val="Arial Narrow"/>
        <family val="2"/>
      </rPr>
      <t xml:space="preserve">  </t>
    </r>
    <r>
      <rPr>
        <b/>
        <sz val="10"/>
        <rFont val="宋体"/>
        <family val="3"/>
        <charset val="134"/>
      </rPr>
      <t>计</t>
    </r>
  </si>
  <si>
    <t>期末余额</t>
    <phoneticPr fontId="7" type="noConversion"/>
  </si>
  <si>
    <t>1.预付账款余额分析</t>
    <phoneticPr fontId="31" type="noConversion"/>
  </si>
  <si>
    <t>2.预付账款借方发生额分析</t>
    <phoneticPr fontId="31" type="noConversion"/>
  </si>
  <si>
    <t>3.预付账款贷方发生额分析</t>
    <phoneticPr fontId="31" type="noConversion"/>
  </si>
  <si>
    <t>4.大额供应商预付账款期末余额分析</t>
    <phoneticPr fontId="31" type="noConversion"/>
  </si>
  <si>
    <t>二、样本选取标准与规模：</t>
    <phoneticPr fontId="112" type="noConversion"/>
  </si>
  <si>
    <r>
      <rPr>
        <sz val="10"/>
        <rFont val="宋体"/>
        <family val="3"/>
        <charset val="134"/>
      </rPr>
      <t>索引号：</t>
    </r>
    <phoneticPr fontId="31" type="noConversion"/>
  </si>
  <si>
    <r>
      <t>A1-1/</t>
    </r>
    <r>
      <rPr>
        <sz val="10"/>
        <color rgb="FFFF0000"/>
        <rFont val="Arial Narrow"/>
        <family val="2"/>
      </rPr>
      <t>A1-15 /A1-16</t>
    </r>
    <phoneticPr fontId="31"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</si>
  <si>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31" type="noConversion"/>
  </si>
  <si>
    <t>修改</t>
    <phoneticPr fontId="7" type="noConversion"/>
  </si>
  <si>
    <t>检查不符合预付款项性质的预付是否调整至正确科目，如为购建固定资产而预付的工程设备款等款项应作为非流动资产列报。</t>
    <phoneticPr fontId="31" type="noConversion"/>
  </si>
  <si>
    <t>提示：</t>
    <phoneticPr fontId="7" type="noConversion"/>
  </si>
  <si>
    <t>移至明细表提示中</t>
    <phoneticPr fontId="7" type="noConversion"/>
  </si>
  <si>
    <t>修改后的程序</t>
    <phoneticPr fontId="7" type="noConversion"/>
  </si>
  <si>
    <t>致同会计师事务所</t>
    <phoneticPr fontId="7" type="noConversion"/>
  </si>
  <si>
    <t>账龄1年以上的大额预付账款检查表</t>
    <phoneticPr fontId="7" type="noConversion"/>
  </si>
  <si>
    <t>F1A</t>
  </si>
  <si>
    <t>F1-2</t>
  </si>
  <si>
    <t>F1-3</t>
  </si>
  <si>
    <t>F1-5</t>
  </si>
  <si>
    <t>F0-1</t>
  </si>
  <si>
    <t>F0-2</t>
  </si>
  <si>
    <t>F0-3</t>
  </si>
  <si>
    <t>F0-4</t>
  </si>
  <si>
    <t>F0-5</t>
  </si>
  <si>
    <t>F0-7</t>
  </si>
  <si>
    <t>F0-8</t>
  </si>
  <si>
    <t>F1-6</t>
  </si>
  <si>
    <t>F1-1</t>
    <phoneticPr fontId="7" type="noConversion"/>
  </si>
  <si>
    <t>记账凭证</t>
    <phoneticPr fontId="7" type="noConversion"/>
  </si>
  <si>
    <r>
      <rPr>
        <b/>
        <sz val="10"/>
        <color indexed="8"/>
        <rFont val="宋体"/>
        <family val="3"/>
        <charset val="134"/>
      </rPr>
      <t>合计</t>
    </r>
    <phoneticPr fontId="7" type="noConversion"/>
  </si>
  <si>
    <t>二、按照账龄分类</t>
    <phoneticPr fontId="7" type="noConversion"/>
  </si>
  <si>
    <r>
      <rPr>
        <b/>
        <sz val="10"/>
        <rFont val="宋体"/>
        <family val="3"/>
        <charset val="134"/>
      </rPr>
      <t>变动额</t>
    </r>
    <phoneticPr fontId="7" type="noConversion"/>
  </si>
  <si>
    <r>
      <rPr>
        <b/>
        <sz val="10"/>
        <color indexed="8"/>
        <rFont val="宋体"/>
        <family val="3"/>
        <charset val="134"/>
      </rPr>
      <t>项目</t>
    </r>
  </si>
  <si>
    <r>
      <rPr>
        <b/>
        <sz val="10"/>
        <rFont val="宋体"/>
        <family val="3"/>
        <charset val="134"/>
      </rPr>
      <t>期初数</t>
    </r>
    <phoneticPr fontId="7" type="noConversion"/>
  </si>
  <si>
    <r>
      <rPr>
        <b/>
        <sz val="10"/>
        <rFont val="宋体"/>
        <family val="3"/>
        <charset val="134"/>
      </rPr>
      <t>账项调整</t>
    </r>
    <phoneticPr fontId="7" type="noConversion"/>
  </si>
  <si>
    <r>
      <rPr>
        <b/>
        <sz val="10"/>
        <rFont val="宋体"/>
        <family val="3"/>
        <charset val="134"/>
      </rPr>
      <t>重分类调整</t>
    </r>
    <phoneticPr fontId="7" type="noConversion"/>
  </si>
  <si>
    <r>
      <rPr>
        <b/>
        <sz val="10"/>
        <rFont val="宋体"/>
        <family val="3"/>
        <charset val="134"/>
      </rPr>
      <t>审定数</t>
    </r>
    <phoneticPr fontId="7" type="noConversion"/>
  </si>
  <si>
    <r>
      <rPr>
        <b/>
        <sz val="10"/>
        <rFont val="宋体"/>
        <family val="3"/>
        <charset val="134"/>
      </rPr>
      <t>未审数</t>
    </r>
    <phoneticPr fontId="7" type="noConversion"/>
  </si>
  <si>
    <r>
      <rPr>
        <b/>
        <sz val="10"/>
        <color indexed="8"/>
        <rFont val="宋体"/>
        <family val="3"/>
        <charset val="134"/>
      </rPr>
      <t>变动率</t>
    </r>
    <phoneticPr fontId="7" type="noConversion"/>
  </si>
  <si>
    <r>
      <rPr>
        <b/>
        <sz val="10"/>
        <rFont val="宋体"/>
        <family val="3"/>
        <charset val="134"/>
      </rPr>
      <t>期末数</t>
    </r>
    <phoneticPr fontId="7" type="noConversion"/>
  </si>
  <si>
    <r>
      <rPr>
        <b/>
        <sz val="10"/>
        <color indexed="8"/>
        <rFont val="宋体"/>
        <family val="3"/>
        <charset val="134"/>
      </rPr>
      <t>本期审定数与上期
审定数的比较</t>
    </r>
    <phoneticPr fontId="7" type="noConversion"/>
  </si>
  <si>
    <r>
      <rPr>
        <b/>
        <sz val="10"/>
        <color indexed="8"/>
        <rFont val="宋体"/>
        <family val="3"/>
        <charset val="134"/>
      </rPr>
      <t>原因分析</t>
    </r>
    <phoneticPr fontId="7" type="noConversion"/>
  </si>
  <si>
    <r>
      <rPr>
        <b/>
        <sz val="10"/>
        <rFont val="宋体"/>
        <family val="3"/>
        <charset val="134"/>
      </rPr>
      <t>期末数</t>
    </r>
    <phoneticPr fontId="7" type="noConversion"/>
  </si>
  <si>
    <r>
      <rPr>
        <b/>
        <sz val="10"/>
        <color indexed="8"/>
        <rFont val="宋体"/>
        <family val="3"/>
        <charset val="134"/>
      </rPr>
      <t>原因分析</t>
    </r>
    <phoneticPr fontId="7" type="noConversion"/>
  </si>
  <si>
    <r>
      <rPr>
        <b/>
        <sz val="10"/>
        <rFont val="宋体"/>
        <family val="3"/>
        <charset val="134"/>
      </rPr>
      <t>重分类调整</t>
    </r>
    <phoneticPr fontId="7" type="noConversion"/>
  </si>
  <si>
    <r>
      <rPr>
        <b/>
        <sz val="10"/>
        <rFont val="宋体"/>
        <family val="3"/>
        <charset val="134"/>
      </rPr>
      <t>账项调整</t>
    </r>
    <phoneticPr fontId="7" type="noConversion"/>
  </si>
  <si>
    <r>
      <rPr>
        <b/>
        <sz val="10"/>
        <color indexed="8"/>
        <rFont val="宋体"/>
        <family val="3"/>
        <charset val="134"/>
      </rPr>
      <t>合计</t>
    </r>
    <phoneticPr fontId="7" type="noConversion"/>
  </si>
  <si>
    <t>一、按照性质分类</t>
    <phoneticPr fontId="7" type="noConversion"/>
  </si>
  <si>
    <t>差异数</t>
    <phoneticPr fontId="7" type="noConversion"/>
  </si>
  <si>
    <t>试算平衡表数</t>
    <phoneticPr fontId="7" type="noConversion"/>
  </si>
  <si>
    <t>四、审计结论</t>
    <phoneticPr fontId="7" type="noConversion"/>
  </si>
  <si>
    <r>
      <t>1.</t>
    </r>
    <r>
      <rPr>
        <sz val="10"/>
        <rFont val="宋体"/>
        <family val="3"/>
        <charset val="134"/>
      </rPr>
      <t>预付账款本期较上期增加：</t>
    </r>
    <phoneticPr fontId="7" type="noConversion"/>
  </si>
  <si>
    <r>
      <rPr>
        <sz val="10"/>
        <rFont val="宋体"/>
        <family val="3"/>
        <charset val="134"/>
      </rPr>
      <t>主要原因</t>
    </r>
    <r>
      <rPr>
        <sz val="10"/>
        <color rgb="FFFF0000"/>
        <rFont val="宋体"/>
        <family val="3"/>
        <charset val="134"/>
      </rPr>
      <t>（比例超过</t>
    </r>
    <r>
      <rPr>
        <sz val="10"/>
        <color rgb="FFFF0000"/>
        <rFont val="Arial Narrow"/>
        <family val="2"/>
      </rPr>
      <t>30%</t>
    </r>
    <r>
      <rPr>
        <sz val="10"/>
        <color rgb="FFFF0000"/>
        <rFont val="宋体"/>
        <family val="3"/>
        <charset val="134"/>
      </rPr>
      <t>的）</t>
    </r>
    <r>
      <rPr>
        <sz val="10"/>
        <rFont val="宋体"/>
        <family val="3"/>
        <charset val="134"/>
      </rPr>
      <t>：</t>
    </r>
    <phoneticPr fontId="7" type="noConversion"/>
  </si>
  <si>
    <t>致同会计师事务所</t>
  </si>
  <si>
    <r>
      <rPr>
        <sz val="10"/>
        <rFont val="宋体"/>
        <family val="3"/>
        <charset val="134"/>
      </rPr>
      <t>页</t>
    </r>
    <r>
      <rPr>
        <sz val="10"/>
        <rFont val="Arial Narrow"/>
        <family val="2"/>
      </rPr>
      <t xml:space="preserve">    </t>
    </r>
    <r>
      <rPr>
        <sz val="10"/>
        <rFont val="宋体"/>
        <family val="3"/>
        <charset val="134"/>
      </rPr>
      <t>次：</t>
    </r>
    <phoneticPr fontId="31" type="noConversion"/>
  </si>
  <si>
    <t>致同会计师事务所</t>
    <phoneticPr fontId="31" type="noConversion"/>
  </si>
  <si>
    <t>致同会计师事务所</t>
    <phoneticPr fontId="7" type="noConversion"/>
  </si>
  <si>
    <t>F1-4</t>
    <phoneticPr fontId="7" type="noConversion"/>
  </si>
  <si>
    <t>F1-7</t>
    <phoneticPr fontId="7" type="noConversion"/>
  </si>
  <si>
    <t>9</t>
    <phoneticPr fontId="31" type="noConversion"/>
  </si>
  <si>
    <t>F1-4</t>
  </si>
  <si>
    <t>F0</t>
  </si>
  <si>
    <t>F1-7</t>
  </si>
  <si>
    <t>工程款</t>
    <phoneticPr fontId="7" type="noConversion"/>
  </si>
  <si>
    <t>设备款</t>
    <phoneticPr fontId="7" type="noConversion"/>
  </si>
  <si>
    <t>服务费</t>
    <phoneticPr fontId="7" type="noConversion"/>
  </si>
  <si>
    <t>货款</t>
    <phoneticPr fontId="7" type="noConversion"/>
  </si>
  <si>
    <t>三、审计说明</t>
    <phoneticPr fontId="7" type="noConversion"/>
  </si>
  <si>
    <r>
      <t>2.</t>
    </r>
    <r>
      <rPr>
        <sz val="10"/>
        <rFont val="宋体"/>
        <family val="3"/>
        <charset val="134"/>
      </rPr>
      <t>账龄超过</t>
    </r>
    <r>
      <rPr>
        <sz val="10"/>
        <rFont val="Arial Narrow"/>
        <family val="2"/>
      </rPr>
      <t>1</t>
    </r>
    <r>
      <rPr>
        <sz val="10"/>
        <rFont val="宋体"/>
        <family val="3"/>
        <charset val="134"/>
      </rPr>
      <t>年的大额重要预付账款</t>
    </r>
    <phoneticPr fontId="7" type="noConversion"/>
  </si>
  <si>
    <r>
      <rPr>
        <b/>
        <sz val="10"/>
        <rFont val="宋体"/>
        <family val="3"/>
        <charset val="134"/>
      </rPr>
      <t>期初余额</t>
    </r>
  </si>
  <si>
    <r>
      <rPr>
        <b/>
        <sz val="10"/>
        <rFont val="宋体"/>
        <family val="3"/>
        <charset val="134"/>
      </rPr>
      <t>借方发生</t>
    </r>
  </si>
  <si>
    <r>
      <rPr>
        <b/>
        <sz val="10"/>
        <rFont val="宋体"/>
        <family val="3"/>
        <charset val="134"/>
      </rPr>
      <t>贷方发生</t>
    </r>
  </si>
  <si>
    <r>
      <rPr>
        <b/>
        <sz val="10"/>
        <rFont val="宋体"/>
        <family val="3"/>
        <charset val="134"/>
      </rPr>
      <t>期末余额</t>
    </r>
  </si>
  <si>
    <r>
      <rPr>
        <b/>
        <sz val="10"/>
        <rFont val="宋体"/>
        <family val="3"/>
        <charset val="134"/>
      </rPr>
      <t>减：坏账准备</t>
    </r>
    <phoneticPr fontId="7" type="noConversion"/>
  </si>
  <si>
    <r>
      <rPr>
        <b/>
        <sz val="10"/>
        <rFont val="宋体"/>
        <family val="3"/>
        <charset val="134"/>
      </rPr>
      <t>发生原因</t>
    </r>
    <phoneticPr fontId="31" type="noConversion"/>
  </si>
  <si>
    <r>
      <rPr>
        <b/>
        <sz val="10"/>
        <rFont val="宋体"/>
        <family val="3"/>
        <charset val="134"/>
      </rPr>
      <t>期后到货</t>
    </r>
    <phoneticPr fontId="31" type="noConversion"/>
  </si>
  <si>
    <r>
      <rPr>
        <sz val="10"/>
        <color rgb="FF0000FF"/>
        <rFont val="宋体"/>
        <family val="3"/>
        <charset val="134"/>
      </rPr>
      <t>如存在大额预付账款期末余额，应重点关注支付预付款的商业合理性、交易是否真实、是否存在关联方资金占用</t>
    </r>
    <phoneticPr fontId="31" type="noConversion"/>
  </si>
  <si>
    <r>
      <rPr>
        <b/>
        <sz val="10"/>
        <rFont val="宋体"/>
        <family val="3"/>
        <charset val="134"/>
      </rPr>
      <t>发生时间及账龄</t>
    </r>
    <phoneticPr fontId="7" type="noConversion"/>
  </si>
  <si>
    <t>供应商名称</t>
    <phoneticPr fontId="7" type="noConversion"/>
  </si>
  <si>
    <t>小计</t>
    <phoneticPr fontId="7" type="noConversion"/>
  </si>
  <si>
    <r>
      <t>1.</t>
    </r>
    <r>
      <rPr>
        <sz val="10"/>
        <color indexed="12"/>
        <rFont val="宋体"/>
        <family val="3"/>
        <charset val="134"/>
      </rPr>
      <t>账龄超过</t>
    </r>
    <r>
      <rPr>
        <sz val="10"/>
        <color indexed="12"/>
        <rFont val="Arial Narrow"/>
        <family val="2"/>
      </rPr>
      <t>1</t>
    </r>
    <r>
      <rPr>
        <sz val="10"/>
        <color indexed="12"/>
        <rFont val="宋体"/>
        <family val="3"/>
        <charset val="134"/>
      </rPr>
      <t>年的大额预付款项，应说明未偿还或未结转的原因，并在资产负债表日后事项中说明是否偿还。</t>
    </r>
    <phoneticPr fontId="18" type="noConversion"/>
  </si>
  <si>
    <r>
      <t>2.</t>
    </r>
    <r>
      <rPr>
        <sz val="10"/>
        <color indexed="12"/>
        <rFont val="宋体"/>
        <family val="3"/>
        <charset val="134"/>
      </rPr>
      <t>账龄超过</t>
    </r>
    <r>
      <rPr>
        <sz val="10"/>
        <color indexed="12"/>
        <rFont val="Arial Narrow"/>
        <family val="2"/>
      </rPr>
      <t>3</t>
    </r>
    <r>
      <rPr>
        <sz val="10"/>
        <color indexed="12"/>
        <rFont val="宋体"/>
        <family val="3"/>
        <charset val="134"/>
      </rPr>
      <t>年以上的预付款项应说明未偿还的原因。</t>
    </r>
    <phoneticPr fontId="18" type="noConversion"/>
  </si>
  <si>
    <r>
      <t>3.</t>
    </r>
    <r>
      <rPr>
        <sz val="10"/>
        <color indexed="12"/>
        <rFont val="宋体"/>
        <family val="3"/>
        <charset val="134"/>
      </rPr>
      <t>检查不符合预付款项性质的预付是否调整至正确科目，如为购建固定资产而预付的工程设备款等款项应作为非流动资产列报；</t>
    </r>
    <phoneticPr fontId="18" type="noConversion"/>
  </si>
  <si>
    <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7" type="noConversion"/>
  </si>
  <si>
    <r>
      <t>5.</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7" type="noConversion"/>
  </si>
  <si>
    <t>权利和义务</t>
    <phoneticPr fontId="7" type="noConversion"/>
  </si>
  <si>
    <t>测试总体扣除特定样本以外的样本，共XX笔、金额XX</t>
    <phoneticPr fontId="7" type="noConversion"/>
  </si>
  <si>
    <t>1.本期借方金额检查</t>
    <phoneticPr fontId="7" type="noConversion"/>
  </si>
  <si>
    <t>2.本期贷方金额检查</t>
    <phoneticPr fontId="7" type="noConversion"/>
  </si>
  <si>
    <t>F2-70
/F2-71
/F2-72</t>
    <phoneticPr fontId="31" type="noConversion"/>
  </si>
  <si>
    <t>对方明细科目</t>
    <phoneticPr fontId="7" type="noConversion"/>
  </si>
  <si>
    <t>日期/编号</t>
    <phoneticPr fontId="7" type="noConversion"/>
  </si>
  <si>
    <t>公司代码</t>
    <phoneticPr fontId="7"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</si>
  <si>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31"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</si>
  <si>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7" type="noConversion"/>
  </si>
  <si>
    <t>是否经过恰当审批</t>
    <phoneticPr fontId="7" type="noConversion"/>
  </si>
  <si>
    <t>F1-1
/F1-2</t>
    <phoneticPr fontId="31" type="noConversion"/>
  </si>
  <si>
    <t>F1-1
/F1-2</t>
    <phoneticPr fontId="31" type="noConversion"/>
  </si>
  <si>
    <t>F1-2
/F1-4</t>
    <phoneticPr fontId="31" type="noConversion"/>
  </si>
  <si>
    <t>IPO/上市/新三板/重组/舞弊应对</t>
    <phoneticPr fontId="31" type="noConversion"/>
  </si>
  <si>
    <t>借方发生额</t>
    <phoneticPr fontId="7" type="noConversion"/>
  </si>
  <si>
    <t>贷方发生额</t>
    <phoneticPr fontId="7" type="noConversion"/>
  </si>
  <si>
    <t>F1-6
/F1-7
/F0</t>
    <phoneticPr fontId="31" type="noConversion"/>
  </si>
  <si>
    <t>勿删、勿改</t>
    <phoneticPr fontId="7" type="noConversion"/>
  </si>
  <si>
    <r>
      <rPr>
        <sz val="10"/>
        <rFont val="宋体"/>
        <family val="3"/>
        <charset val="134"/>
      </rPr>
      <t>被审计单位：</t>
    </r>
    <r>
      <rPr>
        <sz val="10"/>
        <rFont val="Arial Narrow"/>
        <family val="2"/>
      </rPr>
      <t/>
    </r>
    <phoneticPr fontId="7" type="noConversion"/>
  </si>
  <si>
    <t>编制人：</t>
    <phoneticPr fontId="7" type="noConversion"/>
  </si>
  <si>
    <t>编制日期：</t>
    <phoneticPr fontId="7" type="noConversion"/>
  </si>
  <si>
    <t>复核人：</t>
    <phoneticPr fontId="7" type="noConversion"/>
  </si>
  <si>
    <t>复核日期：</t>
    <phoneticPr fontId="7" type="noConversion"/>
  </si>
  <si>
    <t>三、计划实施的实质性程序</t>
    <phoneticPr fontId="7" type="noConversion"/>
  </si>
  <si>
    <r>
      <rPr>
        <sz val="10"/>
        <rFont val="宋体"/>
        <family val="3"/>
        <charset val="134"/>
      </rPr>
      <t>对期初余额的审计，取得预付账款期初余额明细表复核加计是否正确，与总账、明细账合计数是否相符，检查上期预付账款在本期转销情况，函证期初余额以及其他必要追加的审计程序。</t>
    </r>
    <r>
      <rPr>
        <sz val="10"/>
        <color rgb="FFFF0000"/>
        <rFont val="宋体"/>
        <family val="3"/>
        <charset val="134"/>
      </rPr>
      <t>（适用于首次承接）</t>
    </r>
    <phoneticPr fontId="31" type="noConversion"/>
  </si>
  <si>
    <t>预付账款中的由被审计单位生成的信息例如：采购合同台账、被函证方信息、单独提供的账龄明细表等</t>
    <phoneticPr fontId="31" type="noConversion"/>
  </si>
  <si>
    <t>完整性</t>
    <phoneticPr fontId="7" type="noConversion"/>
  </si>
  <si>
    <t>准确性、计价和分摊</t>
    <phoneticPr fontId="7" type="noConversion"/>
  </si>
  <si>
    <r>
      <rPr>
        <sz val="10"/>
        <color theme="1"/>
        <rFont val="宋体"/>
        <family val="3"/>
        <charset val="134"/>
      </rPr>
      <t>获取或编制预付账款的明细表，完成以下工作，并编制审定表
（</t>
    </r>
    <r>
      <rPr>
        <sz val="10"/>
        <color theme="1"/>
        <rFont val="Arial Narrow"/>
        <family val="2"/>
      </rPr>
      <t>1</t>
    </r>
    <r>
      <rPr>
        <sz val="10"/>
        <color theme="1"/>
        <rFont val="宋体"/>
        <family val="3"/>
        <charset val="134"/>
      </rPr>
      <t>）复核加计是否正确，与总账、明细账合计数核对是否相符，期初余额与上期审定期末余额是否相符；
（</t>
    </r>
    <r>
      <rPr>
        <sz val="10"/>
        <color theme="1"/>
        <rFont val="Arial Narrow"/>
        <family val="2"/>
      </rPr>
      <t>2</t>
    </r>
    <r>
      <rPr>
        <sz val="10"/>
        <color theme="1"/>
        <rFont val="宋体"/>
        <family val="3"/>
        <charset val="134"/>
      </rPr>
      <t>）获取管理层编制的预付账款账龄分析表，检查账龄划分是否正确；
（</t>
    </r>
    <r>
      <rPr>
        <sz val="10"/>
        <color theme="1"/>
        <rFont val="Arial Narrow"/>
        <family val="2"/>
      </rPr>
      <t>3</t>
    </r>
    <r>
      <rPr>
        <sz val="10"/>
        <color theme="1"/>
        <rFont val="宋体"/>
        <family val="3"/>
        <charset val="134"/>
      </rPr>
      <t>）结合应付账款等往来项目的明细余额，检查有无重复付款或将同一笔已付清的款项在预付账款和应付账款两个科目中同时挂账的情况、异常余额或与购货无关的其他款项；
（</t>
    </r>
    <r>
      <rPr>
        <sz val="10"/>
        <color theme="1"/>
        <rFont val="Arial Narrow"/>
        <family val="2"/>
      </rPr>
      <t>4</t>
    </r>
    <r>
      <rPr>
        <sz val="10"/>
        <color theme="1"/>
        <rFont val="宋体"/>
        <family val="3"/>
        <charset val="134"/>
      </rPr>
      <t>）检查贷方余额是否需要重分类、非记账本位币预付账款折算是否正确。</t>
    </r>
    <phoneticPr fontId="31" type="noConversion"/>
  </si>
  <si>
    <t>结合存货审计，考虑对重大、新增、异常等供应商进行背景调查、电话访谈、实地走访等。</t>
    <phoneticPr fontId="31" type="noConversion"/>
  </si>
  <si>
    <t>预付账款关联方及交易检查表</t>
    <phoneticPr fontId="7" type="noConversion"/>
  </si>
  <si>
    <t>随机选样/系统选样/货币单元抽样/随意选样（非统计抽样适用）</t>
    <phoneticPr fontId="7"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</si>
  <si>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7"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</si>
  <si>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7" type="noConversion"/>
  </si>
  <si>
    <t>关于工作底稿与审计程序索引号对应的说明</t>
    <phoneticPr fontId="7"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</si>
  <si>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7" type="noConversion"/>
  </si>
  <si>
    <t>账龄占比</t>
  </si>
  <si>
    <t>账龄逻辑校验</t>
  </si>
  <si>
    <t>本期借方</t>
    <phoneticPr fontId="7" type="noConversion"/>
  </si>
  <si>
    <t>本期贷方</t>
    <phoneticPr fontId="7" type="noConversion"/>
  </si>
  <si>
    <t>账面金额</t>
    <phoneticPr fontId="7" type="noConversion"/>
  </si>
  <si>
    <t>检查金额</t>
    <phoneticPr fontId="7" type="noConversion"/>
  </si>
  <si>
    <t>检查比例</t>
    <phoneticPr fontId="7" type="noConversion"/>
  </si>
  <si>
    <t>方向</t>
    <phoneticPr fontId="7" type="noConversion"/>
  </si>
  <si>
    <t>期末余额</t>
    <phoneticPr fontId="7" type="noConversion"/>
  </si>
  <si>
    <t>根据被审计单位实际情况和风险评估情况裁剪、修改或增加审计程序</t>
    <phoneticPr fontId="7" type="noConversion"/>
  </si>
  <si>
    <t>使用IDEA（XX抽样工具）选择XX数量、金额XX的样本进行测试，抽样工具中的样本选择过程和结果见&lt;XX&gt;底稿</t>
    <phoneticPr fontId="7" type="noConversion"/>
  </si>
  <si>
    <r>
      <t>1.</t>
    </r>
    <r>
      <rPr>
        <sz val="10"/>
        <rFont val="宋体"/>
        <family val="3"/>
        <charset val="134"/>
      </rPr>
      <t>本期发生额、期末余额检查比例：</t>
    </r>
    <phoneticPr fontId="7" type="noConversion"/>
  </si>
  <si>
    <t>2.……</t>
    <phoneticPr fontId="7" type="noConversion"/>
  </si>
  <si>
    <t>T1
/F0-2
/</t>
    <phoneticPr fontId="31"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</si>
  <si>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7" type="noConversion"/>
  </si>
  <si>
    <t>如果检查比例较低应扩大检查样本量或说明原因</t>
    <phoneticPr fontId="7" type="noConversion"/>
  </si>
  <si>
    <t>检查预付关联方款项：
（1）了解交易的商业理由、交易事项的目的、价格和条件，考虑对关联方预付账款的合理性、合法性；
（2）检查对关联方预付账款的真实性相关的支持性文件、检查会计处理是否正确；
（3）考虑向关联方或其他注册会计师函证重大的关联采购交易和余额（包括担保和其他重要信息）；
（4）必要时，向与交易相关的人员和机构（如银行、律师）函证或与其讨论有关信息；
（5）考虑是否存在未识别的关联方，关联交易和余额披露是否正确。</t>
    <phoneticPr fontId="7" type="noConversion"/>
  </si>
  <si>
    <r>
      <rPr>
        <sz val="10"/>
        <color theme="1"/>
        <rFont val="宋体"/>
        <family val="3"/>
        <charset val="134"/>
      </rPr>
      <t>实施函证程序：
（</t>
    </r>
    <r>
      <rPr>
        <sz val="10"/>
        <color theme="1"/>
        <rFont val="Arial Narrow"/>
        <family val="2"/>
      </rPr>
      <t>1</t>
    </r>
    <r>
      <rPr>
        <sz val="10"/>
        <color theme="1"/>
        <rFont val="宋体"/>
        <family val="3"/>
        <charset val="134"/>
      </rPr>
      <t>）以积极方式对预付账款进行函证，设计询证函、发函前核实被函证单位信息；
（</t>
    </r>
    <r>
      <rPr>
        <sz val="10"/>
        <color theme="1"/>
        <rFont val="Arial Narrow"/>
        <family val="2"/>
      </rPr>
      <t>2</t>
    </r>
    <r>
      <rPr>
        <sz val="10"/>
        <color theme="1"/>
        <rFont val="宋体"/>
        <family val="3"/>
        <charset val="134"/>
      </rPr>
      <t>）注册会计师独立收发询证函；
（</t>
    </r>
    <r>
      <rPr>
        <sz val="10"/>
        <color theme="1"/>
        <rFont val="Arial Narrow"/>
        <family val="2"/>
      </rPr>
      <t>3</t>
    </r>
    <r>
      <rPr>
        <sz val="10"/>
        <color theme="1"/>
        <rFont val="宋体"/>
        <family val="3"/>
        <charset val="134"/>
      </rPr>
      <t>）编制函证结果汇总表，检查发函、回函物流信息和轨迹、比对回函印章和签字等以核实回函的真实性，检查回函是否相符，对不符事项查明原因确定是否存在错报；
（</t>
    </r>
    <r>
      <rPr>
        <sz val="10"/>
        <color theme="1"/>
        <rFont val="Arial Narrow"/>
        <family val="2"/>
      </rPr>
      <t>4</t>
    </r>
    <r>
      <rPr>
        <sz val="10"/>
        <color theme="1"/>
        <rFont val="宋体"/>
        <family val="3"/>
        <charset val="134"/>
      </rPr>
      <t>）如果未收到回函，应当考虑与被询证者联系，要求对方作出回应或再次寄发询证函，无法收到的回函实施替代程序；
（</t>
    </r>
    <r>
      <rPr>
        <sz val="10"/>
        <color theme="1"/>
        <rFont val="Arial Narrow"/>
        <family val="2"/>
      </rPr>
      <t>5</t>
    </r>
    <r>
      <rPr>
        <sz val="10"/>
        <color theme="1"/>
        <rFont val="宋体"/>
        <family val="3"/>
        <charset val="134"/>
      </rPr>
      <t>）如果管理层不允许寄发询证函的，询问管理层不允许寄发的原因，并就其原因的正当、合理性收集证据；考虑实施替代审计程序以获取相关、可靠的审计证据；
（</t>
    </r>
    <r>
      <rPr>
        <sz val="10"/>
        <color theme="1"/>
        <rFont val="Arial Narrow"/>
        <family val="2"/>
      </rPr>
      <t>6</t>
    </r>
    <r>
      <rPr>
        <sz val="10"/>
        <color theme="1"/>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phoneticPr fontId="31" type="noConversion"/>
  </si>
  <si>
    <t>被审计单位重分类调整</t>
    <phoneticPr fontId="7" type="noConversion"/>
  </si>
  <si>
    <t>期末未审余额</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</si>
</sst>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5">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2]* #,##0.00_);_([$€-2]* \(#,##0.00\);_([$€-2]* &quot;-&quot;??_)"/>
    <numFmt numFmtId="187" formatCode="&quot;\&quot;#,##0;[Red]&quot;\&quot;&quot;\&quot;\-#,##0"/>
    <numFmt numFmtId="188" formatCode="&quot;\&quot;#,##0.00;[Red]&quot;\&quot;&quot;\&quot;\-#,##0.00"/>
    <numFmt numFmtId="189" formatCode="&quot;\&quot;#,##0;&quot;\&quot;&quot;\&quot;\-#,##0"/>
    <numFmt numFmtId="190" formatCode="#,##0.00_ "/>
    <numFmt numFmtId="191" formatCode="0%;\(0%\)"/>
    <numFmt numFmtId="192" formatCode="0.0%"/>
    <numFmt numFmtId="193" formatCode="#,##0;\-#,##0;&quot;-&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26">
    <font>
      <sz val="12"/>
      <name val="宋体"/>
      <family val="3"/>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宋体"/>
      <family val="3"/>
      <charset val="134"/>
    </font>
    <font>
      <b/>
      <sz val="12"/>
      <name val="宋体"/>
      <family val="3"/>
      <charset val="134"/>
    </font>
    <font>
      <sz val="9"/>
      <name val="宋体"/>
      <family val="3"/>
      <charset val="134"/>
    </font>
    <font>
      <sz val="12"/>
      <name val="Arial"/>
      <family val="2"/>
    </font>
    <font>
      <sz val="10"/>
      <name val="宋体"/>
      <family val="3"/>
      <charset val="134"/>
    </font>
    <font>
      <sz val="10.5"/>
      <name val="Arial"/>
      <family val="2"/>
    </font>
    <font>
      <sz val="10"/>
      <name val="Arial"/>
      <family val="2"/>
    </font>
    <font>
      <sz val="10.5"/>
      <name val="宋体"/>
      <family val="3"/>
      <charset val="134"/>
    </font>
    <font>
      <u/>
      <sz val="12"/>
      <color indexed="12"/>
      <name val="宋体"/>
      <family val="3"/>
      <charset val="134"/>
    </font>
    <font>
      <sz val="10.5"/>
      <name val="Times New Roman"/>
      <family val="1"/>
    </font>
    <font>
      <b/>
      <sz val="10"/>
      <color indexed="10"/>
      <name val="Arial"/>
      <family val="2"/>
    </font>
    <font>
      <b/>
      <sz val="12"/>
      <name val="Arial"/>
      <family val="2"/>
    </font>
    <font>
      <sz val="11"/>
      <color indexed="9"/>
      <name val="宋体"/>
      <family val="3"/>
      <charset val="134"/>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u/>
      <sz val="7.5"/>
      <color indexed="36"/>
      <name val="Arial"/>
      <family val="2"/>
    </font>
    <font>
      <sz val="8"/>
      <name val="Arial"/>
      <family val="2"/>
    </font>
    <font>
      <u/>
      <sz val="7.5"/>
      <color indexed="12"/>
      <name val="Arial"/>
      <family val="2"/>
    </font>
    <font>
      <sz val="10"/>
      <name val="Courier"/>
      <family val="3"/>
    </font>
    <font>
      <sz val="7"/>
      <color indexed="10"/>
      <name val="Helv"/>
      <family val="2"/>
    </font>
    <font>
      <sz val="12"/>
      <name val="Times New Roman"/>
      <family val="1"/>
    </font>
    <font>
      <b/>
      <sz val="10"/>
      <name val="宋体"/>
      <family val="3"/>
      <charset val="134"/>
    </font>
    <font>
      <sz val="10"/>
      <name val="Arial Narrow"/>
      <family val="2"/>
    </font>
    <font>
      <sz val="9"/>
      <name val="宋体"/>
      <family val="2"/>
      <charset val="134"/>
      <scheme val="minor"/>
    </font>
    <font>
      <b/>
      <sz val="10"/>
      <name val="Arial Narrow"/>
      <family val="2"/>
    </font>
    <font>
      <sz val="10"/>
      <color indexed="12"/>
      <name val="宋体"/>
      <family val="3"/>
      <charset val="134"/>
    </font>
    <font>
      <sz val="10"/>
      <color indexed="12"/>
      <name val="Arial Narrow"/>
      <family val="2"/>
    </font>
    <font>
      <sz val="11"/>
      <color theme="1"/>
      <name val="宋体"/>
      <family val="2"/>
      <scheme val="minor"/>
    </font>
    <font>
      <b/>
      <sz val="12"/>
      <name val="Arial Narrow"/>
      <family val="2"/>
    </font>
    <font>
      <sz val="10"/>
      <color indexed="10"/>
      <name val="Arial Narrow"/>
      <family val="2"/>
    </font>
    <font>
      <sz val="12"/>
      <name val="Arial Narrow"/>
      <family val="2"/>
    </font>
    <font>
      <b/>
      <sz val="10"/>
      <color indexed="8"/>
      <name val="宋体"/>
      <family val="3"/>
      <charset val="134"/>
    </font>
    <font>
      <b/>
      <sz val="10"/>
      <color indexed="8"/>
      <name val="Arial Narrow"/>
      <family val="2"/>
    </font>
    <font>
      <sz val="10"/>
      <color indexed="8"/>
      <name val="Arial Narrow"/>
      <family val="2"/>
    </font>
    <font>
      <b/>
      <sz val="10"/>
      <color indexed="12"/>
      <name val="Arial Narrow"/>
      <family val="2"/>
    </font>
    <font>
      <sz val="10"/>
      <color rgb="FFFF0000"/>
      <name val="Arial Narrow"/>
      <family val="2"/>
    </font>
    <font>
      <sz val="10"/>
      <color rgb="FFFF0000"/>
      <name val="宋体"/>
      <family val="3"/>
      <charset val="134"/>
    </font>
    <font>
      <sz val="10"/>
      <color theme="1"/>
      <name val="Arial Narrow"/>
      <family val="2"/>
    </font>
    <font>
      <sz val="10"/>
      <color indexed="8"/>
      <name val="Arial"/>
      <family val="2"/>
    </font>
    <font>
      <b/>
      <sz val="10"/>
      <color rgb="FFFF0000"/>
      <name val="Arial Narrow"/>
      <family val="2"/>
    </font>
    <font>
      <sz val="11"/>
      <color theme="1"/>
      <name val="Arial Narrow"/>
      <family val="2"/>
    </font>
    <font>
      <i/>
      <u/>
      <sz val="10"/>
      <color indexed="12"/>
      <name val="Arial Narrow"/>
      <family val="2"/>
    </font>
    <font>
      <sz val="10"/>
      <color indexed="8"/>
      <name val="宋体"/>
      <family val="3"/>
      <charset val="134"/>
    </font>
    <font>
      <sz val="10"/>
      <color theme="1"/>
      <name val="宋体"/>
      <family val="3"/>
      <charset val="134"/>
    </font>
    <font>
      <sz val="13"/>
      <name val="Tms Rm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sz val="11"/>
      <color theme="1"/>
      <name val="宋体"/>
      <family val="3"/>
      <charset val="134"/>
      <scheme val="minor"/>
    </font>
    <font>
      <u/>
      <sz val="10"/>
      <color indexed="12"/>
      <name val="宋体"/>
      <family val="3"/>
      <charset val="134"/>
    </font>
    <font>
      <sz val="11"/>
      <name val="蹈框"/>
      <charset val="134"/>
    </font>
    <font>
      <sz val="11"/>
      <name val="ＭＳ Ｐゴシック"/>
      <family val="2"/>
    </font>
    <font>
      <sz val="12"/>
      <name val="바탕체"/>
      <family val="3"/>
    </font>
    <font>
      <b/>
      <sz val="10"/>
      <color theme="1"/>
      <name val="宋体"/>
      <family val="3"/>
      <charset val="134"/>
    </font>
    <font>
      <b/>
      <sz val="14"/>
      <name val="宋体"/>
      <family val="3"/>
      <charset val="134"/>
    </font>
    <font>
      <b/>
      <sz val="14"/>
      <name val="Arial Narrow"/>
      <family val="2"/>
    </font>
    <font>
      <sz val="10"/>
      <color rgb="FF000000"/>
      <name val="宋体"/>
      <family val="3"/>
      <charset val="134"/>
    </font>
    <font>
      <sz val="10"/>
      <color indexed="10"/>
      <name val="Arial"/>
      <family val="2"/>
    </font>
    <font>
      <b/>
      <sz val="10"/>
      <color theme="0" tint="-0.499984740745262"/>
      <name val="Arial Narrow"/>
      <family val="2"/>
    </font>
    <font>
      <b/>
      <sz val="11"/>
      <color theme="1"/>
      <name val="Arial Narrow"/>
      <family val="2"/>
    </font>
    <font>
      <b/>
      <sz val="9"/>
      <color indexed="81"/>
      <name val="宋体"/>
      <family val="3"/>
      <charset val="134"/>
    </font>
    <font>
      <sz val="9"/>
      <color indexed="81"/>
      <name val="宋体"/>
      <family val="3"/>
      <charset val="134"/>
    </font>
    <font>
      <b/>
      <sz val="10"/>
      <color rgb="FFE92841"/>
      <name val="Arial Narrow"/>
      <family val="2"/>
    </font>
    <font>
      <b/>
      <sz val="10"/>
      <name val="宋体"/>
      <family val="3"/>
      <charset val="134"/>
      <scheme val="minor"/>
    </font>
    <font>
      <sz val="12"/>
      <name val="宋体"/>
      <family val="3"/>
      <charset val="134"/>
      <scheme val="minor"/>
    </font>
    <font>
      <sz val="10"/>
      <name val="宋体"/>
      <family val="3"/>
      <charset val="134"/>
      <scheme val="minor"/>
    </font>
    <font>
      <sz val="10"/>
      <color rgb="FF0000FF"/>
      <name val="宋体"/>
      <family val="3"/>
      <charset val="134"/>
      <scheme val="minor"/>
    </font>
    <font>
      <u/>
      <sz val="10"/>
      <name val="宋体"/>
      <family val="3"/>
      <charset val="134"/>
      <scheme val="minor"/>
    </font>
    <font>
      <sz val="10"/>
      <color indexed="12"/>
      <name val="仿宋_GB2312"/>
      <family val="3"/>
      <charset val="134"/>
    </font>
    <font>
      <b/>
      <sz val="10"/>
      <color theme="0" tint="-0.499984740745262"/>
      <name val="宋体"/>
      <family val="3"/>
      <charset val="134"/>
    </font>
    <font>
      <b/>
      <sz val="10"/>
      <color theme="1"/>
      <name val="Arial Narrow"/>
      <family val="2"/>
    </font>
    <font>
      <b/>
      <sz val="12"/>
      <color rgb="FF0000FF"/>
      <name val="Arial Narrow"/>
      <family val="2"/>
    </font>
    <font>
      <b/>
      <sz val="12"/>
      <color rgb="FF0000FF"/>
      <name val="宋体"/>
      <family val="3"/>
      <charset val="134"/>
    </font>
    <font>
      <b/>
      <sz val="10"/>
      <color rgb="FFFF0000"/>
      <name val="宋体"/>
      <family val="3"/>
      <charset val="134"/>
    </font>
    <font>
      <sz val="11"/>
      <name val="Arial Narrow"/>
      <family val="2"/>
    </font>
    <font>
      <sz val="14"/>
      <name val="Arial Narrow"/>
      <family val="2"/>
    </font>
    <font>
      <sz val="18"/>
      <color indexed="48"/>
      <name val="魏碑"/>
      <family val="3"/>
      <charset val="134"/>
    </font>
    <font>
      <sz val="10"/>
      <color rgb="FF000000"/>
      <name val="Arial Narrow"/>
      <family val="2"/>
    </font>
    <font>
      <b/>
      <sz val="10"/>
      <color rgb="FF000000"/>
      <name val="宋体"/>
      <family val="3"/>
      <charset val="134"/>
    </font>
    <font>
      <b/>
      <sz val="9"/>
      <color rgb="FF000000"/>
      <name val="宋体"/>
      <family val="3"/>
      <charset val="134"/>
    </font>
    <font>
      <b/>
      <sz val="10"/>
      <color indexed="8"/>
      <name val="宋体"/>
      <family val="3"/>
      <charset val="134"/>
      <scheme val="minor"/>
    </font>
    <font>
      <b/>
      <sz val="9"/>
      <color rgb="FFFF0000"/>
      <name val="宋体"/>
      <family val="3"/>
      <charset val="134"/>
    </font>
    <font>
      <sz val="12"/>
      <color rgb="FF0000FF"/>
      <name val="宋体"/>
      <family val="3"/>
      <charset val="134"/>
    </font>
    <font>
      <sz val="10"/>
      <color rgb="FF0000FF"/>
      <name val="宋体"/>
      <family val="3"/>
      <charset val="134"/>
    </font>
    <font>
      <sz val="9"/>
      <color rgb="FF0000FF"/>
      <name val="Arial Narrow"/>
      <family val="2"/>
    </font>
    <font>
      <sz val="9"/>
      <color rgb="FF0000FF"/>
      <name val="宋体"/>
      <family val="3"/>
      <charset val="134"/>
    </font>
    <font>
      <b/>
      <sz val="10"/>
      <color rgb="FF0000FF"/>
      <name val="Arial Narrow"/>
      <family val="2"/>
    </font>
    <font>
      <sz val="10"/>
      <color rgb="FF0000FF"/>
      <name val="Arial Narrow"/>
      <family val="2"/>
    </font>
    <font>
      <b/>
      <sz val="14"/>
      <name val="宋体"/>
      <family val="3"/>
      <charset val="134"/>
      <scheme val="minor"/>
    </font>
    <font>
      <b/>
      <sz val="10"/>
      <color indexed="12"/>
      <name val="宋体"/>
      <family val="3"/>
      <charset val="134"/>
    </font>
  </fonts>
  <fills count="35">
    <fill>
      <patternFill patternType="none"/>
    </fill>
    <fill>
      <patternFill patternType="gray125"/>
    </fill>
    <fill>
      <patternFill patternType="solid">
        <fgColor indexed="14"/>
        <bgColor indexed="64"/>
      </patternFill>
    </fill>
    <fill>
      <patternFill patternType="solid">
        <fgColor indexed="30"/>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
      <patternFill patternType="solid">
        <fgColor rgb="FFE4DFEC"/>
        <bgColor rgb="FFB7DEE8"/>
      </patternFill>
    </fill>
  </fills>
  <borders count="32">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style="hair">
        <color indexed="64"/>
      </left>
      <right/>
      <top style="hair">
        <color indexed="64"/>
      </top>
      <bottom style="hair">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bottom style="thin">
        <color auto="1"/>
      </bottom>
      <diagonal/>
    </border>
    <border>
      <left/>
      <right/>
      <top style="hair">
        <color auto="1"/>
      </top>
      <bottom/>
      <diagonal/>
    </border>
    <border>
      <left/>
      <right style="hair">
        <color auto="1"/>
      </right>
      <top style="hair">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style="hair">
        <color indexed="64"/>
      </bottom>
      <diagonal/>
    </border>
    <border>
      <left/>
      <right style="hair">
        <color indexed="64"/>
      </right>
      <top/>
      <bottom style="hair">
        <color indexed="64"/>
      </bottom>
      <diagonal/>
    </border>
    <border>
      <left/>
      <right/>
      <top/>
      <bottom style="hair">
        <color indexed="64"/>
      </bottom>
      <diagonal/>
    </border>
    <border>
      <left style="hair">
        <color auto="1"/>
      </left>
      <right/>
      <top/>
      <bottom/>
      <diagonal/>
    </border>
    <border>
      <left/>
      <right style="hair">
        <color auto="1"/>
      </right>
      <top/>
      <bottom/>
      <diagonal/>
    </border>
  </borders>
  <cellStyleXfs count="211">
    <xf numFmtId="186" fontId="0" fillId="0" borderId="0">
      <protection locked="0"/>
    </xf>
    <xf numFmtId="186" fontId="13" fillId="0" borderId="0" applyNumberFormat="0" applyFill="0" applyBorder="0" applyAlignment="0" applyProtection="0">
      <alignment vertical="top"/>
      <protection locked="0"/>
    </xf>
    <xf numFmtId="186" fontId="17" fillId="3" borderId="0" applyNumberFormat="0" applyBorder="0" applyAlignment="0" applyProtection="0">
      <alignment vertical="center"/>
    </xf>
    <xf numFmtId="49" fontId="18" fillId="0" borderId="0" applyProtection="0">
      <alignment horizontal="left"/>
    </xf>
    <xf numFmtId="176" fontId="18" fillId="0" borderId="0" applyFill="0" applyBorder="0" applyProtection="0">
      <alignment horizontal="right"/>
    </xf>
    <xf numFmtId="177" fontId="18" fillId="0" borderId="0" applyFill="0" applyBorder="0" applyProtection="0">
      <alignment horizontal="right"/>
    </xf>
    <xf numFmtId="178" fontId="19" fillId="0" borderId="0" applyFill="0" applyBorder="0" applyProtection="0">
      <alignment horizontal="center"/>
    </xf>
    <xf numFmtId="179" fontId="19" fillId="0" borderId="0" applyFill="0" applyBorder="0" applyProtection="0">
      <alignment horizontal="center"/>
    </xf>
    <xf numFmtId="180" fontId="20" fillId="0" borderId="0" applyFill="0" applyBorder="0" applyProtection="0">
      <alignment horizontal="right"/>
    </xf>
    <xf numFmtId="181" fontId="18" fillId="0" borderId="0" applyFill="0" applyBorder="0" applyProtection="0">
      <alignment horizontal="right"/>
    </xf>
    <xf numFmtId="182" fontId="18" fillId="0" borderId="0" applyFill="0" applyBorder="0" applyProtection="0">
      <alignment horizontal="right"/>
    </xf>
    <xf numFmtId="183" fontId="18" fillId="0" borderId="0" applyFill="0" applyBorder="0" applyProtection="0">
      <alignment horizontal="right"/>
    </xf>
    <xf numFmtId="184" fontId="18" fillId="0" borderId="0" applyFill="0" applyBorder="0" applyProtection="0">
      <alignment horizontal="right"/>
    </xf>
    <xf numFmtId="3" fontId="21" fillId="0" borderId="0"/>
    <xf numFmtId="185" fontId="22" fillId="0" borderId="1" applyAlignment="0" applyProtection="0"/>
    <xf numFmtId="41" fontId="11" fillId="0" borderId="0" applyFont="0" applyFill="0" applyBorder="0" applyAlignment="0" applyProtection="0"/>
    <xf numFmtId="43" fontId="11" fillId="0" borderId="0" applyFont="0" applyFill="0" applyBorder="0" applyAlignment="0" applyProtection="0"/>
    <xf numFmtId="186" fontId="18" fillId="0" borderId="0" applyFont="0" applyFill="0" applyBorder="0" applyAlignment="0" applyProtection="0"/>
    <xf numFmtId="186" fontId="23" fillId="0" borderId="0" applyNumberFormat="0" applyFill="0" applyBorder="0" applyAlignment="0" applyProtection="0">
      <alignment vertical="top"/>
      <protection locked="0"/>
    </xf>
    <xf numFmtId="38" fontId="24" fillId="4" borderId="0" applyNumberFormat="0" applyBorder="0" applyAlignment="0" applyProtection="0"/>
    <xf numFmtId="186" fontId="25" fillId="0" borderId="0" applyNumberFormat="0" applyFill="0" applyBorder="0" applyAlignment="0" applyProtection="0">
      <alignment vertical="top"/>
      <protection locked="0"/>
    </xf>
    <xf numFmtId="10" fontId="24" fillId="5" borderId="2" applyNumberFormat="0" applyBorder="0" applyAlignment="0" applyProtection="0"/>
    <xf numFmtId="187" fontId="5" fillId="0" borderId="0" applyFont="0" applyFill="0" applyBorder="0" applyAlignment="0" applyProtection="0"/>
    <xf numFmtId="188" fontId="5" fillId="0" borderId="0" applyFont="0" applyFill="0" applyBorder="0" applyAlignment="0" applyProtection="0"/>
    <xf numFmtId="186" fontId="26" fillId="0" borderId="0"/>
    <xf numFmtId="189" fontId="5" fillId="0" borderId="0"/>
    <xf numFmtId="10" fontId="11" fillId="0" borderId="0" applyFont="0" applyFill="0" applyBorder="0" applyAlignment="0" applyProtection="0"/>
    <xf numFmtId="3" fontId="27" fillId="0" borderId="0"/>
    <xf numFmtId="186" fontId="5" fillId="0" borderId="0">
      <protection locked="0"/>
    </xf>
    <xf numFmtId="186" fontId="5" fillId="0" borderId="0">
      <alignment vertical="center"/>
    </xf>
    <xf numFmtId="186" fontId="5" fillId="0" borderId="0">
      <alignment vertical="center"/>
    </xf>
    <xf numFmtId="186" fontId="18" fillId="0" borderId="0">
      <protection locked="0"/>
    </xf>
    <xf numFmtId="186" fontId="5" fillId="0" borderId="0" applyFill="0" applyBorder="0"/>
    <xf numFmtId="186" fontId="5" fillId="0" borderId="0">
      <alignment vertical="center"/>
    </xf>
    <xf numFmtId="43" fontId="5" fillId="0" borderId="0" applyFont="0" applyFill="0" applyBorder="0" applyAlignment="0" applyProtection="0"/>
    <xf numFmtId="9" fontId="5" fillId="0" borderId="0" applyFont="0" applyFill="0" applyBorder="0" applyAlignment="0" applyProtection="0"/>
    <xf numFmtId="186" fontId="11" fillId="0" borderId="0"/>
    <xf numFmtId="186" fontId="5" fillId="0" borderId="0">
      <alignment vertical="center"/>
    </xf>
    <xf numFmtId="186" fontId="35" fillId="0" borderId="0"/>
    <xf numFmtId="43" fontId="5" fillId="0" borderId="0" applyFont="0" applyFill="0" applyBorder="0" applyAlignment="0" applyProtection="0">
      <alignment vertical="center"/>
    </xf>
    <xf numFmtId="186" fontId="28" fillId="0" borderId="0">
      <alignment vertical="center" shrinkToFit="1"/>
    </xf>
    <xf numFmtId="43" fontId="5" fillId="0" borderId="0" applyFont="0" applyFill="0" applyBorder="0" applyAlignment="0" applyProtection="0">
      <alignment vertical="center"/>
    </xf>
    <xf numFmtId="186" fontId="5" fillId="0" borderId="0"/>
    <xf numFmtId="186" fontId="5" fillId="0" borderId="0">
      <protection locked="0"/>
    </xf>
    <xf numFmtId="186" fontId="5" fillId="0" borderId="0">
      <protection locked="0"/>
    </xf>
    <xf numFmtId="186" fontId="4" fillId="0" borderId="0">
      <alignment vertical="center"/>
    </xf>
    <xf numFmtId="186" fontId="11" fillId="0" borderId="0"/>
    <xf numFmtId="186" fontId="11" fillId="0" borderId="0"/>
    <xf numFmtId="186" fontId="11" fillId="0" borderId="0"/>
    <xf numFmtId="186" fontId="46" fillId="0" borderId="0">
      <alignment vertical="top"/>
      <protection locked="0"/>
    </xf>
    <xf numFmtId="186" fontId="46" fillId="0" borderId="0">
      <alignment vertical="top"/>
      <protection locked="0"/>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protection locked="0"/>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xf>
    <xf numFmtId="186" fontId="46" fillId="0" borderId="0">
      <alignment vertical="top"/>
      <protection locked="0"/>
    </xf>
    <xf numFmtId="186" fontId="46" fillId="0" borderId="0">
      <alignment vertical="top"/>
      <protection locked="0"/>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protection locked="0"/>
    </xf>
    <xf numFmtId="186" fontId="46" fillId="0" borderId="0">
      <alignment vertical="top"/>
    </xf>
    <xf numFmtId="186" fontId="46" fillId="0" borderId="0">
      <alignment vertical="top"/>
      <protection locked="0"/>
    </xf>
    <xf numFmtId="191" fontId="52" fillId="0" borderId="0" applyFont="0" applyFill="0" applyBorder="0" applyAlignment="0" applyProtection="0"/>
    <xf numFmtId="192" fontId="52" fillId="0" borderId="0" applyFont="0" applyFill="0" applyBorder="0" applyAlignment="0" applyProtection="0"/>
    <xf numFmtId="10" fontId="52" fillId="0" borderId="0" applyFont="0" applyFill="0" applyBorder="0" applyAlignment="0" applyProtection="0"/>
    <xf numFmtId="186" fontId="53" fillId="7" borderId="0" applyNumberFormat="0" applyBorder="0" applyAlignment="0" applyProtection="0"/>
    <xf numFmtId="186" fontId="53" fillId="8" borderId="0" applyNumberFormat="0" applyBorder="0" applyAlignment="0" applyProtection="0"/>
    <xf numFmtId="186" fontId="53" fillId="9" borderId="0" applyNumberFormat="0" applyBorder="0" applyAlignment="0" applyProtection="0"/>
    <xf numFmtId="186" fontId="53" fillId="10" borderId="0" applyNumberFormat="0" applyBorder="0" applyAlignment="0" applyProtection="0"/>
    <xf numFmtId="186" fontId="53" fillId="11" borderId="0" applyNumberFormat="0" applyBorder="0" applyAlignment="0" applyProtection="0"/>
    <xf numFmtId="186" fontId="53" fillId="12" borderId="0" applyNumberFormat="0" applyBorder="0" applyAlignment="0" applyProtection="0"/>
    <xf numFmtId="186" fontId="53" fillId="13" borderId="0" applyNumberFormat="0" applyBorder="0" applyAlignment="0" applyProtection="0"/>
    <xf numFmtId="186" fontId="53" fillId="14" borderId="0" applyNumberFormat="0" applyBorder="0" applyAlignment="0" applyProtection="0"/>
    <xf numFmtId="186" fontId="53" fillId="15" borderId="0" applyNumberFormat="0" applyBorder="0" applyAlignment="0" applyProtection="0"/>
    <xf numFmtId="186" fontId="53" fillId="10" borderId="0" applyNumberFormat="0" applyBorder="0" applyAlignment="0" applyProtection="0"/>
    <xf numFmtId="186" fontId="53" fillId="13" borderId="0" applyNumberFormat="0" applyBorder="0" applyAlignment="0" applyProtection="0"/>
    <xf numFmtId="186" fontId="53" fillId="16" borderId="0" applyNumberFormat="0" applyBorder="0" applyAlignment="0" applyProtection="0"/>
    <xf numFmtId="186" fontId="54" fillId="3" borderId="0" applyNumberFormat="0" applyBorder="0" applyAlignment="0" applyProtection="0"/>
    <xf numFmtId="186" fontId="54" fillId="14" borderId="0" applyNumberFormat="0" applyBorder="0" applyAlignment="0" applyProtection="0"/>
    <xf numFmtId="186" fontId="54" fillId="15" borderId="0" applyNumberFormat="0" applyBorder="0" applyAlignment="0" applyProtection="0"/>
    <xf numFmtId="186" fontId="54" fillId="17" borderId="0" applyNumberFormat="0" applyBorder="0" applyAlignment="0" applyProtection="0"/>
    <xf numFmtId="186" fontId="54" fillId="18" borderId="0" applyNumberFormat="0" applyBorder="0" applyAlignment="0" applyProtection="0"/>
    <xf numFmtId="186" fontId="54" fillId="19" borderId="0" applyNumberFormat="0" applyBorder="0" applyAlignment="0" applyProtection="0"/>
    <xf numFmtId="186" fontId="54" fillId="20" borderId="0" applyNumberFormat="0" applyBorder="0" applyAlignment="0" applyProtection="0"/>
    <xf numFmtId="186" fontId="54" fillId="21" borderId="0" applyNumberFormat="0" applyBorder="0" applyAlignment="0" applyProtection="0"/>
    <xf numFmtId="186" fontId="54" fillId="22" borderId="0" applyNumberFormat="0" applyBorder="0" applyAlignment="0" applyProtection="0"/>
    <xf numFmtId="186" fontId="54" fillId="17" borderId="0" applyNumberFormat="0" applyBorder="0" applyAlignment="0" applyProtection="0"/>
    <xf numFmtId="186" fontId="54" fillId="18" borderId="0" applyNumberFormat="0" applyBorder="0" applyAlignment="0" applyProtection="0"/>
    <xf numFmtId="186" fontId="54" fillId="23" borderId="0" applyNumberFormat="0" applyBorder="0" applyAlignment="0" applyProtection="0"/>
    <xf numFmtId="186" fontId="55" fillId="8" borderId="0" applyNumberFormat="0" applyBorder="0" applyAlignment="0" applyProtection="0"/>
    <xf numFmtId="193" fontId="46" fillId="0" borderId="0" applyFill="0" applyBorder="0" applyAlignment="0"/>
    <xf numFmtId="186" fontId="56" fillId="24" borderId="16" applyNumberFormat="0" applyAlignment="0" applyProtection="0"/>
    <xf numFmtId="186" fontId="57" fillId="25" borderId="17" applyNumberFormat="0" applyAlignment="0" applyProtection="0"/>
    <xf numFmtId="186" fontId="58" fillId="0" borderId="13" applyNumberFormat="0" applyFill="0" applyProtection="0">
      <alignment horizontal="center"/>
    </xf>
    <xf numFmtId="186" fontId="59" fillId="0" borderId="18">
      <alignment horizontal="center"/>
    </xf>
    <xf numFmtId="194" fontId="11" fillId="0" borderId="0"/>
    <xf numFmtId="194" fontId="11" fillId="0" borderId="0"/>
    <xf numFmtId="194" fontId="11" fillId="0" borderId="0"/>
    <xf numFmtId="194" fontId="11" fillId="0" borderId="0"/>
    <xf numFmtId="194" fontId="11" fillId="0" borderId="0"/>
    <xf numFmtId="194" fontId="11" fillId="0" borderId="0"/>
    <xf numFmtId="194" fontId="11" fillId="0" borderId="0"/>
    <xf numFmtId="194" fontId="11" fillId="0" borderId="0"/>
    <xf numFmtId="38" fontId="60" fillId="0" borderId="0" applyFont="0" applyFill="0" applyBorder="0" applyAlignment="0" applyProtection="0"/>
    <xf numFmtId="37" fontId="52" fillId="0" borderId="0" applyFont="0" applyFill="0" applyBorder="0" applyAlignment="0" applyProtection="0"/>
    <xf numFmtId="195" fontId="52" fillId="0" borderId="0" applyFont="0" applyFill="0" applyBorder="0" applyAlignment="0" applyProtection="0"/>
    <xf numFmtId="39" fontId="52" fillId="0" borderId="0" applyFont="0" applyFill="0" applyBorder="0" applyAlignment="0" applyProtection="0"/>
    <xf numFmtId="40" fontId="60" fillId="0" borderId="0" applyFont="0" applyFill="0" applyBorder="0" applyAlignment="0" applyProtection="0"/>
    <xf numFmtId="196" fontId="5" fillId="0" borderId="0" applyFont="0" applyFill="0" applyBorder="0" applyAlignment="0" applyProtection="0"/>
    <xf numFmtId="185" fontId="52" fillId="0" borderId="0" applyFont="0" applyFill="0" applyBorder="0" applyAlignment="0" applyProtection="0"/>
    <xf numFmtId="197" fontId="52" fillId="0" borderId="0" applyFont="0" applyFill="0" applyBorder="0" applyAlignment="0" applyProtection="0"/>
    <xf numFmtId="198" fontId="5" fillId="0" borderId="0" applyFont="0" applyFill="0" applyBorder="0" applyAlignment="0" applyProtection="0"/>
    <xf numFmtId="186" fontId="61" fillId="0" borderId="0">
      <alignment horizontal="left"/>
    </xf>
    <xf numFmtId="186" fontId="24" fillId="26" borderId="2"/>
    <xf numFmtId="186" fontId="62" fillId="0" borderId="0" applyNumberFormat="0" applyFill="0" applyBorder="0" applyAlignment="0" applyProtection="0"/>
    <xf numFmtId="186" fontId="63" fillId="9" borderId="0" applyNumberFormat="0" applyBorder="0" applyAlignment="0" applyProtection="0"/>
    <xf numFmtId="186" fontId="16" fillId="0" borderId="9" applyNumberFormat="0" applyAlignment="0" applyProtection="0">
      <alignment horizontal="left" vertical="center"/>
    </xf>
    <xf numFmtId="186" fontId="16" fillId="0" borderId="19">
      <alignment horizontal="left" vertical="center"/>
    </xf>
    <xf numFmtId="14" fontId="64" fillId="27" borderId="8">
      <alignment horizontal="center" vertical="center" wrapText="1"/>
    </xf>
    <xf numFmtId="186" fontId="65" fillId="0" borderId="20" applyNumberFormat="0" applyFill="0" applyAlignment="0" applyProtection="0"/>
    <xf numFmtId="186" fontId="66" fillId="0" borderId="21" applyNumberFormat="0" applyFill="0" applyAlignment="0" applyProtection="0"/>
    <xf numFmtId="186" fontId="67" fillId="0" borderId="22" applyNumberFormat="0" applyFill="0" applyAlignment="0" applyProtection="0"/>
    <xf numFmtId="186" fontId="67" fillId="0" borderId="0" applyNumberFormat="0" applyFill="0" applyBorder="0" applyAlignment="0" applyProtection="0"/>
    <xf numFmtId="186" fontId="68" fillId="12" borderId="16" applyNumberFormat="0" applyAlignment="0" applyProtection="0"/>
    <xf numFmtId="186" fontId="18" fillId="0" borderId="0" applyNumberFormat="0" applyFont="0" applyFill="0" applyBorder="0" applyProtection="0">
      <alignment horizontal="left" vertical="center"/>
    </xf>
    <xf numFmtId="186" fontId="69" fillId="0" borderId="23" applyNumberFormat="0" applyFill="0" applyAlignment="0" applyProtection="0"/>
    <xf numFmtId="41" fontId="11" fillId="0" borderId="0" applyFont="0" applyFill="0" applyBorder="0" applyAlignment="0" applyProtection="0"/>
    <xf numFmtId="43" fontId="11" fillId="0" borderId="0" applyFont="0" applyFill="0" applyBorder="0" applyAlignment="0" applyProtection="0"/>
    <xf numFmtId="199" fontId="11" fillId="0" borderId="0" applyFont="0" applyFill="0" applyBorder="0" applyAlignment="0" applyProtection="0"/>
    <xf numFmtId="200" fontId="11" fillId="0" borderId="0" applyFont="0" applyFill="0" applyBorder="0" applyAlignment="0" applyProtection="0"/>
    <xf numFmtId="201" fontId="11" fillId="0" borderId="0" applyFont="0" applyFill="0" applyBorder="0" applyAlignment="0" applyProtection="0"/>
    <xf numFmtId="202" fontId="5" fillId="0" borderId="0" applyFont="0" applyFill="0" applyBorder="0" applyAlignment="0" applyProtection="0"/>
    <xf numFmtId="186" fontId="70" fillId="28" borderId="0" applyNumberFormat="0" applyBorder="0" applyAlignment="0" applyProtection="0"/>
    <xf numFmtId="37" fontId="71" fillId="0" borderId="0"/>
    <xf numFmtId="186" fontId="11" fillId="0" borderId="0"/>
    <xf numFmtId="186" fontId="60" fillId="0" borderId="0"/>
    <xf numFmtId="186" fontId="72" fillId="0" borderId="0"/>
    <xf numFmtId="186" fontId="11" fillId="29" borderId="24" applyNumberFormat="0" applyFont="0" applyAlignment="0" applyProtection="0"/>
    <xf numFmtId="186" fontId="73" fillId="24" borderId="25" applyNumberFormat="0" applyAlignment="0" applyProtection="0"/>
    <xf numFmtId="203" fontId="11" fillId="0" borderId="0" applyFont="0" applyFill="0" applyBorder="0" applyAlignment="0" applyProtection="0"/>
    <xf numFmtId="186" fontId="24" fillId="4" borderId="2"/>
    <xf numFmtId="4" fontId="61" fillId="0" borderId="0">
      <alignment horizontal="right"/>
    </xf>
    <xf numFmtId="4" fontId="74" fillId="0" borderId="0">
      <alignment horizontal="right"/>
    </xf>
    <xf numFmtId="186" fontId="75" fillId="0" borderId="0">
      <alignment horizontal="left"/>
    </xf>
    <xf numFmtId="186" fontId="76" fillId="0" borderId="2">
      <alignment horizontal="center"/>
    </xf>
    <xf numFmtId="186" fontId="76" fillId="0" borderId="0">
      <alignment horizontal="center" vertical="center"/>
    </xf>
    <xf numFmtId="186" fontId="77" fillId="30" borderId="0" applyNumberFormat="0" applyFill="0">
      <alignment horizontal="left" vertical="center"/>
    </xf>
    <xf numFmtId="186" fontId="15" fillId="0" borderId="0" applyFill="0" applyBorder="0" applyProtection="0">
      <alignment horizontal="left" vertical="top"/>
    </xf>
    <xf numFmtId="186" fontId="78" fillId="0" borderId="0">
      <alignment horizontal="center"/>
    </xf>
    <xf numFmtId="186" fontId="79" fillId="0" borderId="26" applyNumberFormat="0" applyFill="0" applyAlignment="0" applyProtection="0"/>
    <xf numFmtId="186" fontId="80" fillId="0" borderId="0" applyNumberFormat="0" applyFill="0" applyBorder="0" applyAlignment="0" applyProtection="0"/>
    <xf numFmtId="186" fontId="81" fillId="0" borderId="0" applyNumberFormat="0" applyFont="0" applyFill="0" applyBorder="0" applyProtection="0">
      <alignment horizontal="center" vertical="center" wrapText="1"/>
    </xf>
    <xf numFmtId="9" fontId="82" fillId="0" borderId="0" applyFont="0" applyFill="0" applyBorder="0" applyAlignment="0" applyProtection="0"/>
    <xf numFmtId="4" fontId="83" fillId="0" borderId="0">
      <alignment horizontal="right"/>
    </xf>
    <xf numFmtId="186" fontId="11" fillId="0" borderId="0"/>
    <xf numFmtId="186" fontId="35" fillId="0" borderId="0"/>
    <xf numFmtId="186" fontId="9" fillId="0" borderId="0"/>
    <xf numFmtId="186" fontId="5" fillId="0" borderId="0">
      <alignment vertical="center"/>
      <protection locked="0"/>
    </xf>
    <xf numFmtId="186" fontId="84" fillId="0" borderId="0">
      <alignment vertical="center"/>
    </xf>
    <xf numFmtId="186" fontId="85" fillId="0" borderId="0" applyNumberFormat="0" applyFill="0" applyBorder="0" applyAlignment="0" applyProtection="0">
      <alignment vertical="top"/>
      <protection locked="0"/>
    </xf>
    <xf numFmtId="186" fontId="13" fillId="0" borderId="0" applyNumberFormat="0" applyFill="0" applyBorder="0" applyAlignment="0" applyProtection="0">
      <alignment vertical="top"/>
      <protection locked="0"/>
    </xf>
    <xf numFmtId="186" fontId="13" fillId="0" borderId="0" applyNumberFormat="0" applyFill="0" applyBorder="0" applyAlignment="0" applyProtection="0">
      <alignment vertical="top"/>
      <protection locked="0"/>
    </xf>
    <xf numFmtId="186" fontId="22" fillId="0" borderId="0" applyNumberFormat="0" applyFill="0" applyBorder="0" applyAlignment="0" applyProtection="0"/>
    <xf numFmtId="4" fontId="81" fillId="0" borderId="0" applyFont="0" applyFill="0" applyBorder="0" applyAlignment="0" applyProtection="0"/>
    <xf numFmtId="41" fontId="11" fillId="0" borderId="0" applyFont="0" applyFill="0" applyBorder="0" applyAlignment="0" applyProtection="0"/>
    <xf numFmtId="204" fontId="28" fillId="0" borderId="0" applyFont="0" applyFill="0" applyBorder="0" applyAlignment="0" applyProtection="0"/>
    <xf numFmtId="8" fontId="5" fillId="0" borderId="0" applyFont="0" applyFill="0" applyBorder="0" applyAlignment="0" applyProtection="0"/>
    <xf numFmtId="205" fontId="28" fillId="0" borderId="0" applyFont="0" applyFill="0" applyBorder="0" applyAlignment="0" applyProtection="0"/>
    <xf numFmtId="206" fontId="28" fillId="0" borderId="0" applyFont="0" applyFill="0" applyBorder="0" applyAlignment="0" applyProtection="0"/>
    <xf numFmtId="186" fontId="18" fillId="0" borderId="0"/>
    <xf numFmtId="41" fontId="18" fillId="0" borderId="0" applyFont="0" applyFill="0" applyBorder="0" applyAlignment="0" applyProtection="0"/>
    <xf numFmtId="43" fontId="18"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186" fontId="11" fillId="0" borderId="0" applyFont="0" applyFill="0" applyBorder="0" applyAlignment="0" applyProtection="0"/>
    <xf numFmtId="186" fontId="86" fillId="0" borderId="0"/>
    <xf numFmtId="200" fontId="11" fillId="0" borderId="0" applyFont="0" applyFill="0" applyBorder="0" applyAlignment="0" applyProtection="0"/>
    <xf numFmtId="207" fontId="81" fillId="0" borderId="0" applyFont="0" applyFill="0" applyBorder="0" applyAlignment="0" applyProtection="0"/>
    <xf numFmtId="186" fontId="46" fillId="0" borderId="0">
      <alignment vertical="top"/>
    </xf>
    <xf numFmtId="38" fontId="87" fillId="0" borderId="0" applyFont="0" applyFill="0" applyBorder="0" applyAlignment="0" applyProtection="0"/>
    <xf numFmtId="40"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8" fillId="0" borderId="0"/>
    <xf numFmtId="9" fontId="5" fillId="0" borderId="0" applyFont="0" applyFill="0" applyBorder="0" applyAlignment="0" applyProtection="0">
      <alignment vertical="center"/>
    </xf>
    <xf numFmtId="186" fontId="5" fillId="0" borderId="0">
      <alignment vertical="center"/>
    </xf>
    <xf numFmtId="186" fontId="3" fillId="0" borderId="0">
      <alignment vertical="center"/>
    </xf>
    <xf numFmtId="43" fontId="5" fillId="0" borderId="0" applyFont="0" applyFill="0" applyBorder="0" applyAlignment="0" applyProtection="0"/>
    <xf numFmtId="186" fontId="28" fillId="0" borderId="0"/>
    <xf numFmtId="186" fontId="5" fillId="0" borderId="0"/>
    <xf numFmtId="9" fontId="5" fillId="0" borderId="0" applyFont="0" applyFill="0" applyBorder="0" applyAlignment="0" applyProtection="0"/>
    <xf numFmtId="186" fontId="2" fillId="0" borderId="0">
      <alignment vertical="center"/>
    </xf>
    <xf numFmtId="186" fontId="5" fillId="0" borderId="0"/>
    <xf numFmtId="186" fontId="1" fillId="0" borderId="0">
      <alignment vertical="center"/>
    </xf>
  </cellStyleXfs>
  <cellXfs count="568">
    <xf numFmtId="186" fontId="0" fillId="0" borderId="0" xfId="0">
      <protection locked="0"/>
    </xf>
    <xf numFmtId="186" fontId="6" fillId="0" borderId="0" xfId="0" applyFont="1" applyAlignment="1">
      <alignment vertical="center"/>
      <protection locked="0"/>
    </xf>
    <xf numFmtId="186" fontId="8" fillId="0" borderId="0" xfId="0" applyFont="1" applyAlignment="1">
      <alignment vertical="center"/>
      <protection locked="0"/>
    </xf>
    <xf numFmtId="186" fontId="0" fillId="0" borderId="0" xfId="0" applyAlignment="1">
      <alignment vertical="center"/>
      <protection locked="0"/>
    </xf>
    <xf numFmtId="186" fontId="10" fillId="0" borderId="0" xfId="0" applyFont="1" applyBorder="1" applyAlignment="1">
      <alignment horizontal="justify" wrapText="1"/>
      <protection locked="0"/>
    </xf>
    <xf numFmtId="186" fontId="11" fillId="0" borderId="0" xfId="0" applyFont="1">
      <protection locked="0"/>
    </xf>
    <xf numFmtId="186" fontId="12" fillId="0" borderId="0" xfId="0" applyFont="1" applyBorder="1" applyAlignment="1">
      <alignment horizontal="justify" wrapText="1"/>
      <protection locked="0"/>
    </xf>
    <xf numFmtId="186" fontId="5" fillId="0" borderId="0" xfId="0" applyFont="1" applyAlignment="1">
      <alignment horizontal="center" vertical="center"/>
      <protection locked="0"/>
    </xf>
    <xf numFmtId="186" fontId="12" fillId="0" borderId="0" xfId="0" applyFont="1" applyBorder="1" applyAlignment="1">
      <alignment horizontal="justify" vertical="top" wrapText="1"/>
      <protection locked="0"/>
    </xf>
    <xf numFmtId="186" fontId="8" fillId="0" borderId="0" xfId="0" applyFont="1" applyBorder="1">
      <protection locked="0"/>
    </xf>
    <xf numFmtId="186" fontId="14" fillId="0" borderId="0" xfId="0" applyFont="1" applyBorder="1" applyAlignment="1">
      <alignment horizontal="justify" wrapText="1"/>
      <protection locked="0"/>
    </xf>
    <xf numFmtId="186" fontId="8" fillId="0" borderId="0" xfId="0" applyFont="1">
      <protection locked="0"/>
    </xf>
    <xf numFmtId="186" fontId="0" fillId="0" borderId="0" xfId="0" applyBorder="1">
      <protection locked="0"/>
    </xf>
    <xf numFmtId="186" fontId="16" fillId="0" borderId="0" xfId="0" applyFont="1" applyAlignment="1">
      <alignment horizontal="justify"/>
      <protection locked="0"/>
    </xf>
    <xf numFmtId="186" fontId="5" fillId="0" borderId="0" xfId="0" applyFont="1" applyAlignment="1">
      <alignment horizontal="left"/>
      <protection locked="0"/>
    </xf>
    <xf numFmtId="43" fontId="30" fillId="0" borderId="0" xfId="32" applyNumberFormat="1" applyFont="1" applyBorder="1" applyAlignment="1">
      <alignment vertical="center"/>
    </xf>
    <xf numFmtId="49" fontId="30" fillId="0" borderId="0" xfId="32" applyNumberFormat="1" applyFont="1" applyBorder="1" applyAlignment="1">
      <alignment vertical="center"/>
    </xf>
    <xf numFmtId="186" fontId="32" fillId="0" borderId="0" xfId="0" applyFont="1" applyAlignment="1">
      <alignment vertical="center"/>
      <protection locked="0"/>
    </xf>
    <xf numFmtId="186" fontId="36" fillId="0" borderId="0" xfId="0" applyFont="1" applyAlignment="1">
      <alignment vertical="center"/>
      <protection locked="0"/>
    </xf>
    <xf numFmtId="186" fontId="30" fillId="0" borderId="0" xfId="0" applyFont="1" applyAlignment="1">
      <alignment vertical="center"/>
      <protection locked="0"/>
    </xf>
    <xf numFmtId="186" fontId="30" fillId="0" borderId="0" xfId="31" applyFont="1">
      <protection locked="0"/>
    </xf>
    <xf numFmtId="186" fontId="38" fillId="0" borderId="0" xfId="31" applyFont="1">
      <protection locked="0"/>
    </xf>
    <xf numFmtId="186" fontId="30" fillId="0" borderId="0" xfId="0" applyFont="1" applyBorder="1" applyAlignment="1">
      <alignment vertical="center"/>
      <protection locked="0"/>
    </xf>
    <xf numFmtId="186" fontId="30" fillId="0" borderId="0" xfId="33" applyFont="1" applyAlignment="1">
      <alignment vertical="center"/>
    </xf>
    <xf numFmtId="186" fontId="30" fillId="0" borderId="10" xfId="0" applyFont="1" applyBorder="1" applyAlignment="1">
      <alignment horizontal="left" vertical="center" wrapText="1"/>
      <protection locked="0"/>
    </xf>
    <xf numFmtId="186" fontId="30" fillId="0" borderId="0" xfId="31" applyFont="1" applyBorder="1" applyAlignment="1">
      <alignment vertical="center"/>
      <protection locked="0"/>
    </xf>
    <xf numFmtId="186" fontId="34" fillId="0" borderId="0" xfId="0" applyFont="1" applyAlignment="1">
      <alignment vertical="center"/>
      <protection locked="0"/>
    </xf>
    <xf numFmtId="186" fontId="42" fillId="0" borderId="0" xfId="0" applyFont="1" applyAlignment="1">
      <alignment horizontal="right" vertical="center"/>
      <protection locked="0"/>
    </xf>
    <xf numFmtId="186" fontId="34" fillId="0" borderId="0" xfId="0" applyFont="1" applyAlignment="1">
      <alignment horizontal="right" vertical="center"/>
      <protection locked="0"/>
    </xf>
    <xf numFmtId="186" fontId="32" fillId="0" borderId="0" xfId="0" applyFont="1" applyBorder="1" applyAlignment="1">
      <alignment vertical="center" wrapText="1"/>
      <protection locked="0"/>
    </xf>
    <xf numFmtId="186" fontId="38" fillId="0" borderId="0" xfId="0" applyFont="1" applyAlignment="1">
      <alignment vertical="center"/>
      <protection locked="0"/>
    </xf>
    <xf numFmtId="43" fontId="30" fillId="0" borderId="0" xfId="32" applyNumberFormat="1" applyFont="1" applyBorder="1" applyAlignment="1">
      <alignment horizontal="center" vertical="center"/>
    </xf>
    <xf numFmtId="49" fontId="30" fillId="0" borderId="0" xfId="32" applyNumberFormat="1" applyFont="1" applyBorder="1" applyAlignment="1">
      <alignment horizontal="center" vertical="center"/>
    </xf>
    <xf numFmtId="186" fontId="32" fillId="6" borderId="10" xfId="42" applyFont="1" applyFill="1" applyBorder="1" applyAlignment="1" applyProtection="1">
      <alignment horizontal="center" vertical="center" wrapText="1"/>
      <protection locked="0"/>
    </xf>
    <xf numFmtId="186" fontId="32" fillId="6" borderId="10" xfId="43" applyNumberFormat="1" applyFont="1" applyFill="1" applyBorder="1" applyAlignment="1" applyProtection="1">
      <alignment horizontal="center" vertical="center"/>
      <protection locked="0"/>
    </xf>
    <xf numFmtId="186" fontId="32" fillId="0" borderId="0" xfId="31" applyFont="1" applyFill="1">
      <protection locked="0"/>
    </xf>
    <xf numFmtId="186" fontId="32" fillId="6" borderId="14" xfId="0" applyFont="1" applyFill="1" applyBorder="1" applyAlignment="1">
      <alignment horizontal="centerContinuous" vertical="center" wrapText="1"/>
      <protection locked="0"/>
    </xf>
    <xf numFmtId="43" fontId="40" fillId="6" borderId="14" xfId="0" applyNumberFormat="1" applyFont="1" applyFill="1" applyBorder="1" applyAlignment="1">
      <alignment horizontal="right" vertical="center" wrapText="1"/>
      <protection locked="0"/>
    </xf>
    <xf numFmtId="186" fontId="32" fillId="6" borderId="14" xfId="0" applyFont="1" applyFill="1" applyBorder="1" applyAlignment="1">
      <alignment horizontal="left" vertical="center" wrapText="1"/>
      <protection locked="0"/>
    </xf>
    <xf numFmtId="190" fontId="32" fillId="6" borderId="10" xfId="43" applyNumberFormat="1" applyFont="1" applyFill="1" applyBorder="1" applyAlignment="1" applyProtection="1">
      <alignment horizontal="center" vertical="center"/>
    </xf>
    <xf numFmtId="190" fontId="32" fillId="6" borderId="10" xfId="43" applyNumberFormat="1" applyFont="1" applyFill="1" applyBorder="1" applyAlignment="1" applyProtection="1">
      <alignment horizontal="centerContinuous" vertical="center"/>
    </xf>
    <xf numFmtId="186" fontId="30" fillId="0" borderId="10" xfId="43" applyFont="1" applyBorder="1" applyAlignment="1" applyProtection="1">
      <alignment vertical="center"/>
    </xf>
    <xf numFmtId="190" fontId="30" fillId="0" borderId="10" xfId="43" applyNumberFormat="1" applyFont="1" applyBorder="1" applyAlignment="1" applyProtection="1">
      <alignment vertical="center"/>
    </xf>
    <xf numFmtId="43" fontId="30" fillId="0" borderId="0" xfId="32" applyNumberFormat="1" applyFont="1" applyBorder="1" applyAlignment="1">
      <alignment horizontal="left" vertical="center"/>
    </xf>
    <xf numFmtId="186" fontId="32" fillId="6" borderId="10" xfId="0" applyFont="1" applyFill="1" applyBorder="1" applyAlignment="1">
      <alignment horizontal="center" vertical="center" wrapText="1"/>
      <protection locked="0"/>
    </xf>
    <xf numFmtId="186" fontId="40" fillId="0" borderId="0" xfId="0" applyFont="1" applyFill="1" applyAlignment="1" applyProtection="1">
      <alignment vertical="center"/>
    </xf>
    <xf numFmtId="186" fontId="32" fillId="0" borderId="0" xfId="0" applyFont="1" applyBorder="1" applyAlignment="1">
      <alignment vertical="center"/>
      <protection locked="0"/>
    </xf>
    <xf numFmtId="186" fontId="30" fillId="0" borderId="0" xfId="0" applyFont="1" applyBorder="1" applyAlignment="1">
      <alignment horizontal="left" vertical="center"/>
      <protection locked="0"/>
    </xf>
    <xf numFmtId="186" fontId="30" fillId="0" borderId="0" xfId="0" applyFont="1" applyBorder="1" applyAlignment="1">
      <alignment vertical="center" wrapText="1"/>
      <protection locked="0"/>
    </xf>
    <xf numFmtId="186" fontId="41" fillId="0" borderId="10" xfId="0" applyFont="1" applyFill="1" applyBorder="1" applyAlignment="1" applyProtection="1">
      <alignment vertical="center"/>
    </xf>
    <xf numFmtId="186" fontId="41" fillId="0" borderId="10" xfId="0" applyFont="1" applyFill="1" applyBorder="1" applyAlignment="1" applyProtection="1">
      <alignment horizontal="left" vertical="center"/>
    </xf>
    <xf numFmtId="14" fontId="30" fillId="0" borderId="0" xfId="0" applyNumberFormat="1" applyFont="1" applyAlignment="1">
      <alignment vertical="center"/>
      <protection locked="0"/>
    </xf>
    <xf numFmtId="14" fontId="30" fillId="0" borderId="0" xfId="31" applyNumberFormat="1" applyFont="1">
      <protection locked="0"/>
    </xf>
    <xf numFmtId="186" fontId="30" fillId="0" borderId="0" xfId="30" applyFont="1" applyBorder="1" applyAlignment="1">
      <alignment vertical="center" wrapText="1"/>
    </xf>
    <xf numFmtId="186" fontId="38" fillId="0" borderId="0" xfId="30" applyFont="1" applyBorder="1" applyAlignment="1">
      <alignment vertical="center" wrapText="1"/>
    </xf>
    <xf numFmtId="186" fontId="34" fillId="0" borderId="0" xfId="0" applyFont="1" applyBorder="1" applyAlignment="1">
      <alignment vertical="center"/>
      <protection locked="0"/>
    </xf>
    <xf numFmtId="186" fontId="42" fillId="0" borderId="0" xfId="0" applyFont="1" applyBorder="1" applyAlignment="1">
      <alignment horizontal="right" vertical="center"/>
      <protection locked="0"/>
    </xf>
    <xf numFmtId="186" fontId="34" fillId="0" borderId="0" xfId="0" applyFont="1" applyBorder="1" applyAlignment="1">
      <alignment horizontal="right" vertical="center"/>
      <protection locked="0"/>
    </xf>
    <xf numFmtId="14" fontId="30" fillId="0" borderId="0" xfId="0" applyNumberFormat="1" applyFont="1" applyBorder="1" applyAlignment="1">
      <alignment vertical="center"/>
      <protection locked="0"/>
    </xf>
    <xf numFmtId="14" fontId="38" fillId="0" borderId="0" xfId="0" applyNumberFormat="1" applyFont="1" applyAlignment="1">
      <alignment vertical="center"/>
      <protection locked="0"/>
    </xf>
    <xf numFmtId="186" fontId="36" fillId="0" borderId="0" xfId="0" applyFont="1" applyAlignment="1">
      <alignment horizontal="center" vertical="center"/>
      <protection locked="0"/>
    </xf>
    <xf numFmtId="190" fontId="32" fillId="6" borderId="10" xfId="43" applyNumberFormat="1" applyFont="1" applyFill="1" applyBorder="1" applyAlignment="1" applyProtection="1">
      <alignment horizontal="center" vertical="center" wrapText="1"/>
    </xf>
    <xf numFmtId="43" fontId="30" fillId="0" borderId="10" xfId="41" applyFont="1" applyFill="1" applyBorder="1" applyAlignment="1" applyProtection="1">
      <alignment vertical="center"/>
      <protection locked="0"/>
    </xf>
    <xf numFmtId="186" fontId="32" fillId="0" borderId="0" xfId="30" applyFont="1" applyAlignment="1">
      <alignment vertical="center" wrapText="1"/>
    </xf>
    <xf numFmtId="186" fontId="36" fillId="0" borderId="0" xfId="30" applyFont="1" applyAlignment="1">
      <alignment vertical="center" wrapText="1"/>
    </xf>
    <xf numFmtId="186" fontId="45" fillId="0" borderId="0" xfId="203" applyFont="1" applyFill="1">
      <alignment vertical="center"/>
    </xf>
    <xf numFmtId="186" fontId="48" fillId="0" borderId="0" xfId="203" applyFont="1" applyFill="1">
      <alignment vertical="center"/>
    </xf>
    <xf numFmtId="186" fontId="30" fillId="0" borderId="0" xfId="203" applyFont="1" applyFill="1" applyBorder="1" applyAlignment="1" applyProtection="1">
      <alignment vertical="center"/>
      <protection locked="0"/>
    </xf>
    <xf numFmtId="186" fontId="30" fillId="0" borderId="0" xfId="43" applyFont="1" applyFill="1" applyBorder="1" applyAlignment="1">
      <alignment horizontal="left" vertical="center"/>
      <protection locked="0"/>
    </xf>
    <xf numFmtId="186" fontId="30" fillId="0" borderId="0" xfId="203" applyFont="1" applyFill="1" applyAlignment="1" applyProtection="1">
      <alignment vertical="center"/>
      <protection locked="0"/>
    </xf>
    <xf numFmtId="186" fontId="30" fillId="0" borderId="0" xfId="203" applyFont="1" applyFill="1" applyBorder="1" applyAlignment="1" applyProtection="1">
      <alignment vertical="center" wrapText="1"/>
      <protection locked="0"/>
    </xf>
    <xf numFmtId="186" fontId="92" fillId="0" borderId="0" xfId="203" applyFont="1">
      <alignment vertical="center"/>
    </xf>
    <xf numFmtId="186" fontId="32" fillId="0" borderId="0" xfId="203" applyFont="1" applyFill="1" applyAlignment="1" applyProtection="1">
      <alignment horizontal="justify" vertical="center"/>
      <protection locked="0"/>
    </xf>
    <xf numFmtId="186" fontId="47" fillId="0" borderId="0" xfId="203" applyFont="1" applyFill="1" applyAlignment="1" applyProtection="1">
      <alignment horizontal="center" vertical="center"/>
      <protection locked="0"/>
    </xf>
    <xf numFmtId="186" fontId="11" fillId="0" borderId="0" xfId="203" applyFont="1" applyFill="1" applyAlignment="1" applyProtection="1">
      <alignment vertical="center"/>
      <protection locked="0"/>
    </xf>
    <xf numFmtId="186" fontId="94" fillId="31" borderId="0" xfId="203" applyFont="1" applyFill="1" applyAlignment="1" applyProtection="1">
      <alignment horizontal="center" vertical="center"/>
      <protection locked="0"/>
    </xf>
    <xf numFmtId="186" fontId="94" fillId="31" borderId="0" xfId="203" applyFont="1" applyFill="1" applyAlignment="1" applyProtection="1">
      <alignment horizontal="left" vertical="center"/>
      <protection locked="0"/>
    </xf>
    <xf numFmtId="186" fontId="95" fillId="0" borderId="0" xfId="203" applyFont="1" applyFill="1">
      <alignment vertical="center"/>
    </xf>
    <xf numFmtId="186" fontId="29" fillId="0" borderId="0" xfId="0" applyFont="1" applyFill="1" applyBorder="1" applyAlignment="1" applyProtection="1">
      <alignment vertical="center"/>
      <protection locked="0"/>
    </xf>
    <xf numFmtId="43" fontId="32" fillId="0" borderId="0" xfId="32" applyNumberFormat="1" applyFont="1" applyFill="1" applyBorder="1" applyAlignment="1">
      <alignment vertical="center"/>
    </xf>
    <xf numFmtId="43" fontId="32" fillId="32" borderId="0" xfId="32" applyNumberFormat="1" applyFont="1" applyFill="1" applyBorder="1" applyAlignment="1">
      <alignment vertical="center"/>
    </xf>
    <xf numFmtId="186" fontId="39" fillId="6" borderId="10" xfId="38" applyFont="1" applyFill="1" applyBorder="1" applyAlignment="1" applyProtection="1">
      <alignment vertical="center"/>
    </xf>
    <xf numFmtId="186" fontId="29" fillId="6" borderId="10" xfId="206" applyFont="1" applyFill="1" applyBorder="1" applyAlignment="1" applyProtection="1">
      <alignment horizontal="center" vertical="center" wrapText="1"/>
      <protection locked="0"/>
    </xf>
    <xf numFmtId="186" fontId="98" fillId="6" borderId="10" xfId="206" applyFont="1" applyFill="1" applyBorder="1" applyAlignment="1" applyProtection="1">
      <alignment horizontal="center" vertical="center" wrapText="1"/>
      <protection locked="0"/>
    </xf>
    <xf numFmtId="186" fontId="50" fillId="0" borderId="10" xfId="38" applyFont="1" applyFill="1" applyBorder="1" applyAlignment="1" applyProtection="1">
      <alignment vertical="center"/>
    </xf>
    <xf numFmtId="186" fontId="9" fillId="0" borderId="10" xfId="38" applyFont="1" applyFill="1" applyBorder="1" applyAlignment="1" applyProtection="1">
      <alignment vertical="center"/>
    </xf>
    <xf numFmtId="186" fontId="44" fillId="0" borderId="10" xfId="38" applyFont="1" applyFill="1" applyBorder="1" applyAlignment="1" applyProtection="1">
      <alignment horizontal="left" vertical="center" indent="1"/>
    </xf>
    <xf numFmtId="186" fontId="40" fillId="0" borderId="10" xfId="38" applyFont="1" applyFill="1" applyBorder="1" applyAlignment="1" applyProtection="1">
      <alignment horizontal="center" vertical="center"/>
    </xf>
    <xf numFmtId="43" fontId="32" fillId="0" borderId="14" xfId="32" applyNumberFormat="1" applyFont="1" applyBorder="1" applyAlignment="1">
      <alignment horizontal="left" vertical="center"/>
    </xf>
    <xf numFmtId="43" fontId="30" fillId="0" borderId="14" xfId="32" applyNumberFormat="1" applyFont="1" applyBorder="1" applyAlignment="1">
      <alignment horizontal="left" vertical="center"/>
    </xf>
    <xf numFmtId="43" fontId="49" fillId="0" borderId="14" xfId="177" applyNumberFormat="1" applyFont="1" applyBorder="1" applyAlignment="1" applyProtection="1">
      <alignment horizontal="center" vertical="center"/>
    </xf>
    <xf numFmtId="186" fontId="32" fillId="0" borderId="0" xfId="205" applyFont="1" applyBorder="1" applyAlignment="1">
      <alignment vertical="center"/>
    </xf>
    <xf numFmtId="186" fontId="35" fillId="0" borderId="0" xfId="38" applyProtection="1">
      <protection locked="0"/>
    </xf>
    <xf numFmtId="186" fontId="32" fillId="6" borderId="10" xfId="0" applyFont="1" applyFill="1" applyBorder="1" applyAlignment="1">
      <alignment horizontal="center" vertical="center" wrapText="1"/>
      <protection locked="0"/>
    </xf>
    <xf numFmtId="186" fontId="99" fillId="6" borderId="10" xfId="40" applyNumberFormat="1" applyFont="1" applyFill="1" applyBorder="1" applyAlignment="1">
      <alignment horizontal="center" vertical="center"/>
    </xf>
    <xf numFmtId="186" fontId="100" fillId="0" borderId="0" xfId="0" applyFont="1" applyAlignment="1">
      <alignment vertical="center"/>
      <protection locked="0"/>
    </xf>
    <xf numFmtId="186" fontId="101" fillId="0" borderId="0" xfId="0" applyFont="1" applyAlignment="1">
      <alignment vertical="center"/>
      <protection locked="0"/>
    </xf>
    <xf numFmtId="10" fontId="101" fillId="0" borderId="0" xfId="0" applyNumberFormat="1" applyFont="1" applyAlignment="1">
      <alignment vertical="center"/>
      <protection locked="0"/>
    </xf>
    <xf numFmtId="186" fontId="101" fillId="0" borderId="0" xfId="0" applyFont="1" applyAlignment="1">
      <alignment horizontal="justify" vertical="center"/>
      <protection locked="0"/>
    </xf>
    <xf numFmtId="186" fontId="99" fillId="0" borderId="8" xfId="0" applyFont="1" applyBorder="1" applyAlignment="1">
      <alignment horizontal="right" vertical="center" wrapText="1"/>
      <protection locked="0"/>
    </xf>
    <xf numFmtId="186" fontId="101" fillId="0" borderId="0" xfId="0" applyFont="1" applyAlignment="1">
      <alignment horizontal="justify" vertical="center" wrapText="1"/>
      <protection locked="0"/>
    </xf>
    <xf numFmtId="9" fontId="101" fillId="0" borderId="0" xfId="0" applyNumberFormat="1" applyFont="1" applyAlignment="1">
      <alignment vertical="center"/>
      <protection locked="0"/>
    </xf>
    <xf numFmtId="186" fontId="101" fillId="0" borderId="8" xfId="0" applyFont="1" applyBorder="1" applyAlignment="1">
      <alignment horizontal="justify" vertical="center" wrapText="1"/>
      <protection locked="0"/>
    </xf>
    <xf numFmtId="186" fontId="99" fillId="0" borderId="8" xfId="0" applyFont="1" applyBorder="1" applyAlignment="1">
      <alignment horizontal="justify" vertical="center" wrapText="1"/>
      <protection locked="0"/>
    </xf>
    <xf numFmtId="186" fontId="99" fillId="0" borderId="9" xfId="0" applyFont="1" applyBorder="1" applyAlignment="1">
      <alignment horizontal="justify" vertical="center" wrapText="1"/>
      <protection locked="0"/>
    </xf>
    <xf numFmtId="186" fontId="99" fillId="0" borderId="9" xfId="0" applyFont="1" applyBorder="1" applyAlignment="1">
      <alignment horizontal="right" vertical="center" wrapText="1"/>
      <protection locked="0"/>
    </xf>
    <xf numFmtId="186" fontId="101" fillId="0" borderId="0" xfId="0" applyFont="1" applyAlignment="1">
      <alignment horizontal="left" vertical="center"/>
      <protection locked="0"/>
    </xf>
    <xf numFmtId="186" fontId="99" fillId="0" borderId="9" xfId="0" applyFont="1" applyBorder="1" applyAlignment="1">
      <alignment horizontal="center" vertical="center"/>
      <protection locked="0"/>
    </xf>
    <xf numFmtId="186" fontId="99" fillId="0" borderId="9" xfId="0" applyFont="1" applyBorder="1" applyAlignment="1">
      <alignment horizontal="right" vertical="center"/>
      <protection locked="0"/>
    </xf>
    <xf numFmtId="186" fontId="99" fillId="0" borderId="9" xfId="0" applyFont="1" applyBorder="1" applyAlignment="1">
      <alignment vertical="center"/>
      <protection locked="0"/>
    </xf>
    <xf numFmtId="49" fontId="29" fillId="0" borderId="0" xfId="203" applyNumberFormat="1" applyFont="1" applyFill="1" applyAlignment="1" applyProtection="1">
      <alignment horizontal="left" vertical="center"/>
      <protection locked="0"/>
    </xf>
    <xf numFmtId="186" fontId="11" fillId="0" borderId="0" xfId="203" applyFont="1" applyFill="1" applyBorder="1" applyAlignment="1" applyProtection="1">
      <alignment horizontal="center" vertical="center" wrapText="1"/>
      <protection locked="0"/>
    </xf>
    <xf numFmtId="43" fontId="41" fillId="0" borderId="10" xfId="34" applyFont="1" applyFill="1" applyBorder="1" applyAlignment="1">
      <alignment horizontal="right" vertical="center"/>
    </xf>
    <xf numFmtId="43" fontId="30" fillId="0" borderId="10" xfId="34" applyFont="1" applyFill="1" applyBorder="1" applyAlignment="1">
      <alignment horizontal="right" vertical="center" wrapText="1"/>
    </xf>
    <xf numFmtId="43" fontId="41" fillId="6" borderId="10" xfId="34" applyFont="1" applyFill="1" applyBorder="1" applyAlignment="1">
      <alignment horizontal="right" vertical="center"/>
    </xf>
    <xf numFmtId="43" fontId="30" fillId="6" borderId="10" xfId="34" applyFont="1" applyFill="1" applyBorder="1" applyAlignment="1">
      <alignment horizontal="right" vertical="center" wrapText="1"/>
    </xf>
    <xf numFmtId="10" fontId="30" fillId="6" borderId="10" xfId="35" applyNumberFormat="1" applyFont="1" applyFill="1" applyBorder="1" applyAlignment="1">
      <alignment horizontal="right" vertical="center" wrapText="1"/>
    </xf>
    <xf numFmtId="43" fontId="41" fillId="6" borderId="11" xfId="34" applyFont="1" applyFill="1" applyBorder="1" applyAlignment="1">
      <alignment horizontal="right" vertical="center"/>
    </xf>
    <xf numFmtId="43" fontId="30" fillId="0" borderId="5" xfId="32" applyNumberFormat="1" applyFont="1" applyBorder="1" applyAlignment="1">
      <alignment vertical="center"/>
    </xf>
    <xf numFmtId="186" fontId="99" fillId="0" borderId="0" xfId="0" applyFont="1" applyBorder="1" applyAlignment="1">
      <alignment horizontal="right" vertical="center" wrapText="1"/>
      <protection locked="0"/>
    </xf>
    <xf numFmtId="9" fontId="101" fillId="0" borderId="0" xfId="0" applyNumberFormat="1" applyFont="1" applyBorder="1" applyAlignment="1">
      <alignment vertical="center"/>
      <protection locked="0"/>
    </xf>
    <xf numFmtId="186" fontId="43" fillId="0" borderId="0" xfId="0" applyFont="1" applyFill="1" applyBorder="1" applyAlignment="1" applyProtection="1">
      <alignment vertical="center"/>
    </xf>
    <xf numFmtId="186" fontId="43" fillId="0" borderId="0" xfId="0" applyFont="1" applyBorder="1" applyAlignment="1">
      <alignment vertical="center"/>
      <protection locked="0"/>
    </xf>
    <xf numFmtId="186" fontId="9" fillId="0" borderId="0" xfId="0" applyFont="1" applyBorder="1" applyAlignment="1">
      <alignment vertical="center" wrapText="1"/>
      <protection locked="0"/>
    </xf>
    <xf numFmtId="186" fontId="9" fillId="0" borderId="0" xfId="0" applyFont="1" applyBorder="1" applyAlignment="1">
      <alignment vertical="center"/>
      <protection locked="0"/>
    </xf>
    <xf numFmtId="186" fontId="29" fillId="0" borderId="0" xfId="0" applyFont="1" applyAlignment="1">
      <alignment vertical="center"/>
      <protection locked="0"/>
    </xf>
    <xf numFmtId="190" fontId="29" fillId="6" borderId="10" xfId="43" applyNumberFormat="1" applyFont="1" applyFill="1" applyBorder="1" applyAlignment="1" applyProtection="1">
      <alignment horizontal="center" vertical="center"/>
    </xf>
    <xf numFmtId="190" fontId="29" fillId="6" borderId="10" xfId="43" applyNumberFormat="1" applyFont="1" applyFill="1" applyBorder="1" applyAlignment="1" applyProtection="1">
      <alignment horizontal="center" vertical="center" wrapText="1"/>
    </xf>
    <xf numFmtId="43" fontId="40" fillId="6" borderId="10" xfId="0" applyNumberFormat="1" applyFont="1" applyFill="1" applyBorder="1" applyAlignment="1">
      <alignment horizontal="right" vertical="center" wrapText="1"/>
      <protection locked="0"/>
    </xf>
    <xf numFmtId="186" fontId="40" fillId="6" borderId="10" xfId="0" quotePrefix="1" applyFont="1" applyFill="1" applyBorder="1" applyAlignment="1">
      <alignment horizontal="center" vertical="center" wrapText="1"/>
      <protection locked="0"/>
    </xf>
    <xf numFmtId="49" fontId="30" fillId="0" borderId="10" xfId="203" applyNumberFormat="1" applyFont="1" applyFill="1" applyBorder="1" applyAlignment="1" applyProtection="1">
      <alignment horizontal="center" vertical="center"/>
      <protection locked="0"/>
    </xf>
    <xf numFmtId="186" fontId="51" fillId="0" borderId="10" xfId="203" applyFont="1" applyFill="1" applyBorder="1" applyAlignment="1">
      <alignment horizontal="center" vertical="center" wrapText="1"/>
    </xf>
    <xf numFmtId="186" fontId="45" fillId="0" borderId="10" xfId="203" applyFont="1" applyFill="1" applyBorder="1" applyAlignment="1">
      <alignment horizontal="center" vertical="center" wrapText="1"/>
    </xf>
    <xf numFmtId="186" fontId="89" fillId="0" borderId="10" xfId="203" applyFont="1" applyFill="1" applyBorder="1" applyAlignment="1">
      <alignment horizontal="center" vertical="center" wrapText="1"/>
    </xf>
    <xf numFmtId="186" fontId="45" fillId="0" borderId="0" xfId="208" applyFont="1" applyFill="1">
      <alignment vertical="center"/>
    </xf>
    <xf numFmtId="186" fontId="48" fillId="0" borderId="0" xfId="208" applyFont="1" applyFill="1">
      <alignment vertical="center"/>
    </xf>
    <xf numFmtId="186" fontId="30" fillId="0" borderId="0" xfId="208" applyFont="1" applyFill="1" applyBorder="1" applyAlignment="1" applyProtection="1">
      <alignment vertical="center"/>
      <protection locked="0"/>
    </xf>
    <xf numFmtId="186" fontId="30" fillId="0" borderId="0" xfId="208" applyFont="1" applyFill="1" applyAlignment="1" applyProtection="1">
      <alignment vertical="center"/>
      <protection locked="0"/>
    </xf>
    <xf numFmtId="186" fontId="30" fillId="0" borderId="0" xfId="208" applyFont="1" applyFill="1" applyBorder="1" applyAlignment="1" applyProtection="1">
      <alignment vertical="center" wrapText="1"/>
      <protection locked="0"/>
    </xf>
    <xf numFmtId="186" fontId="9" fillId="0" borderId="0" xfId="208" applyFont="1" applyFill="1" applyBorder="1" applyAlignment="1" applyProtection="1">
      <alignment vertical="center"/>
      <protection locked="0"/>
    </xf>
    <xf numFmtId="186" fontId="29" fillId="0" borderId="0" xfId="43" applyFont="1" applyFill="1" applyBorder="1" applyAlignment="1" applyProtection="1">
      <alignment vertical="center"/>
      <protection locked="0"/>
    </xf>
    <xf numFmtId="186" fontId="92" fillId="0" borderId="0" xfId="208" applyFont="1">
      <alignment vertical="center"/>
    </xf>
    <xf numFmtId="49" fontId="32" fillId="0" borderId="0" xfId="208" applyNumberFormat="1" applyFont="1" applyFill="1" applyAlignment="1" applyProtection="1">
      <alignment horizontal="left" vertical="center"/>
      <protection locked="0"/>
    </xf>
    <xf numFmtId="186" fontId="32" fillId="0" borderId="0" xfId="208" applyFont="1" applyFill="1" applyAlignment="1" applyProtection="1">
      <alignment horizontal="justify" vertical="center"/>
      <protection locked="0"/>
    </xf>
    <xf numFmtId="186" fontId="30" fillId="0" borderId="0" xfId="208" applyFont="1" applyFill="1" applyAlignment="1" applyProtection="1">
      <alignment vertical="center" wrapText="1"/>
      <protection locked="0"/>
    </xf>
    <xf numFmtId="186" fontId="47" fillId="0" borderId="0" xfId="208" applyFont="1" applyFill="1" applyAlignment="1" applyProtection="1">
      <alignment horizontal="center" vertical="center"/>
      <protection locked="0"/>
    </xf>
    <xf numFmtId="186" fontId="9" fillId="0" borderId="10" xfId="208" applyFont="1" applyFill="1" applyBorder="1" applyAlignment="1" applyProtection="1">
      <alignment horizontal="center" vertical="center" wrapText="1"/>
      <protection locked="0"/>
    </xf>
    <xf numFmtId="186" fontId="11" fillId="0" borderId="10" xfId="208" applyFont="1" applyFill="1" applyBorder="1" applyAlignment="1" applyProtection="1">
      <alignment horizontal="center" vertical="center" wrapText="1"/>
      <protection locked="0"/>
    </xf>
    <xf numFmtId="186" fontId="11" fillId="0" borderId="0" xfId="208" applyFont="1" applyFill="1" applyAlignment="1" applyProtection="1">
      <alignment vertical="center"/>
      <protection locked="0"/>
    </xf>
    <xf numFmtId="186" fontId="93" fillId="0" borderId="10" xfId="208" applyFont="1" applyFill="1" applyBorder="1" applyAlignment="1" applyProtection="1">
      <alignment horizontal="center" vertical="center" wrapText="1"/>
      <protection locked="0"/>
    </xf>
    <xf numFmtId="186" fontId="11" fillId="0" borderId="10" xfId="208" applyFont="1" applyFill="1" applyBorder="1" applyAlignment="1" applyProtection="1">
      <alignment horizontal="left" vertical="center" wrapText="1"/>
      <protection locked="0"/>
    </xf>
    <xf numFmtId="49" fontId="29" fillId="33" borderId="10" xfId="208" applyNumberFormat="1" applyFont="1" applyFill="1" applyBorder="1" applyAlignment="1" applyProtection="1">
      <alignment horizontal="left" vertical="center"/>
      <protection locked="0"/>
    </xf>
    <xf numFmtId="186" fontId="29" fillId="33" borderId="10" xfId="208" applyFont="1" applyFill="1" applyBorder="1" applyAlignment="1" applyProtection="1">
      <alignment horizontal="center" vertical="center" wrapText="1"/>
      <protection locked="0"/>
    </xf>
    <xf numFmtId="186" fontId="94" fillId="31" borderId="0" xfId="208" applyFont="1" applyFill="1" applyAlignment="1" applyProtection="1">
      <alignment horizontal="center" vertical="center"/>
      <protection locked="0"/>
    </xf>
    <xf numFmtId="186" fontId="51" fillId="33" borderId="10" xfId="208" applyFont="1" applyFill="1" applyBorder="1" applyAlignment="1">
      <alignment horizontal="center" vertical="center" wrapText="1"/>
    </xf>
    <xf numFmtId="186" fontId="94" fillId="31" borderId="0" xfId="208" applyFont="1" applyFill="1" applyAlignment="1" applyProtection="1">
      <alignment horizontal="left" vertical="center"/>
      <protection locked="0"/>
    </xf>
    <xf numFmtId="186" fontId="32" fillId="0" borderId="10" xfId="208" applyNumberFormat="1" applyFont="1" applyFill="1" applyBorder="1" applyAlignment="1" applyProtection="1">
      <alignment horizontal="left" vertical="center"/>
      <protection locked="0"/>
    </xf>
    <xf numFmtId="186" fontId="51" fillId="0" borderId="10" xfId="208" applyFont="1" applyFill="1" applyBorder="1" applyAlignment="1">
      <alignment horizontal="center" vertical="center" wrapText="1"/>
    </xf>
    <xf numFmtId="49" fontId="9" fillId="33" borderId="10" xfId="208" applyNumberFormat="1" applyFont="1" applyFill="1" applyBorder="1" applyAlignment="1" applyProtection="1">
      <alignment horizontal="left" vertical="center"/>
      <protection locked="0"/>
    </xf>
    <xf numFmtId="49" fontId="29" fillId="0" borderId="10" xfId="208" applyNumberFormat="1" applyFont="1" applyFill="1" applyBorder="1" applyAlignment="1" applyProtection="1">
      <alignment horizontal="left" vertical="center"/>
      <protection locked="0"/>
    </xf>
    <xf numFmtId="186" fontId="45" fillId="0" borderId="6" xfId="208" applyFont="1" applyFill="1" applyBorder="1" applyAlignment="1">
      <alignment horizontal="center" vertical="center" wrapText="1"/>
    </xf>
    <xf numFmtId="186" fontId="45" fillId="0" borderId="3" xfId="208" applyFont="1" applyFill="1" applyBorder="1" applyAlignment="1">
      <alignment horizontal="center" vertical="center" wrapText="1"/>
    </xf>
    <xf numFmtId="186" fontId="45" fillId="0" borderId="4" xfId="208" applyFont="1" applyFill="1" applyBorder="1" applyAlignment="1">
      <alignment horizontal="center" vertical="center" wrapText="1"/>
    </xf>
    <xf numFmtId="49" fontId="32" fillId="0" borderId="10" xfId="208" applyNumberFormat="1" applyFont="1" applyFill="1" applyBorder="1" applyAlignment="1" applyProtection="1">
      <alignment horizontal="left" vertical="center"/>
      <protection locked="0"/>
    </xf>
    <xf numFmtId="186" fontId="45" fillId="0" borderId="10" xfId="208" applyFont="1" applyFill="1" applyBorder="1" applyAlignment="1">
      <alignment horizontal="center" vertical="center" wrapText="1"/>
    </xf>
    <xf numFmtId="49" fontId="30" fillId="0" borderId="10" xfId="208" applyNumberFormat="1" applyFont="1" applyFill="1" applyBorder="1" applyAlignment="1" applyProtection="1">
      <alignment horizontal="left" vertical="center"/>
      <protection locked="0"/>
    </xf>
    <xf numFmtId="186" fontId="95" fillId="0" borderId="0" xfId="208" applyFont="1" applyFill="1">
      <alignment vertical="center"/>
    </xf>
    <xf numFmtId="49" fontId="9" fillId="0" borderId="10" xfId="208" applyNumberFormat="1" applyFont="1" applyFill="1" applyBorder="1" applyAlignment="1" applyProtection="1">
      <alignment horizontal="left" vertical="center"/>
      <protection locked="0"/>
    </xf>
    <xf numFmtId="186" fontId="51" fillId="0" borderId="6" xfId="208" applyFont="1" applyFill="1" applyBorder="1" applyAlignment="1">
      <alignment vertical="center" wrapText="1"/>
    </xf>
    <xf numFmtId="186" fontId="45" fillId="0" borderId="4" xfId="208" applyFont="1" applyFill="1" applyBorder="1" applyAlignment="1">
      <alignment vertical="center" wrapText="1"/>
    </xf>
    <xf numFmtId="186" fontId="48" fillId="0" borderId="0" xfId="208" applyFont="1" applyFill="1" applyAlignment="1">
      <alignment vertical="center" wrapText="1"/>
    </xf>
    <xf numFmtId="186" fontId="107" fillId="0" borderId="0" xfId="33" applyFont="1" applyFill="1" applyAlignment="1">
      <alignment vertical="center"/>
    </xf>
    <xf numFmtId="186" fontId="108" fillId="0" borderId="0" xfId="33" applyFont="1" applyFill="1" applyAlignment="1">
      <alignment vertical="center"/>
    </xf>
    <xf numFmtId="186" fontId="109" fillId="0" borderId="0" xfId="208" applyFont="1" applyFill="1" applyAlignment="1" applyProtection="1">
      <alignment horizontal="center" vertical="center"/>
      <protection locked="0"/>
    </xf>
    <xf numFmtId="186" fontId="30" fillId="0" borderId="0" xfId="208" applyFont="1" applyFill="1">
      <alignment vertical="center"/>
    </xf>
    <xf numFmtId="186" fontId="9" fillId="33" borderId="0" xfId="208" applyFont="1" applyFill="1" applyBorder="1" applyAlignment="1">
      <alignment horizontal="center" vertical="center" wrapText="1"/>
    </xf>
    <xf numFmtId="186" fontId="30" fillId="0" borderId="0" xfId="208" applyFont="1" applyFill="1" applyBorder="1" applyAlignment="1">
      <alignment horizontal="center" vertical="center" wrapText="1"/>
    </xf>
    <xf numFmtId="186" fontId="30" fillId="0" borderId="0" xfId="208" applyFont="1" applyFill="1" applyAlignment="1" applyProtection="1">
      <alignment horizontal="center" vertical="center"/>
      <protection locked="0"/>
    </xf>
    <xf numFmtId="186" fontId="110" fillId="0" borderId="0" xfId="208" applyFont="1" applyFill="1" applyAlignment="1">
      <alignment vertical="center" wrapText="1"/>
    </xf>
    <xf numFmtId="186" fontId="38" fillId="0" borderId="0" xfId="202" applyFont="1" applyFill="1" applyAlignment="1">
      <alignment horizontal="center" vertical="center"/>
    </xf>
    <xf numFmtId="186" fontId="111" fillId="0" borderId="0" xfId="202" applyFont="1" applyFill="1" applyAlignment="1">
      <alignment horizontal="center" vertical="center"/>
    </xf>
    <xf numFmtId="186" fontId="30" fillId="31" borderId="0" xfId="208" applyFont="1" applyFill="1" applyAlignment="1" applyProtection="1">
      <alignment horizontal="left" vertical="center"/>
      <protection locked="0"/>
    </xf>
    <xf numFmtId="186" fontId="9" fillId="0" borderId="0" xfId="208" applyFont="1" applyFill="1" applyBorder="1" applyAlignment="1">
      <alignment horizontal="center" vertical="center" wrapText="1"/>
    </xf>
    <xf numFmtId="186" fontId="9" fillId="0" borderId="0" xfId="208" applyFont="1" applyFill="1" applyAlignment="1" applyProtection="1">
      <alignment horizontal="left" vertical="center"/>
      <protection locked="0"/>
    </xf>
    <xf numFmtId="186" fontId="109" fillId="31" borderId="0" xfId="203" applyFont="1" applyFill="1" applyAlignment="1" applyProtection="1">
      <alignment horizontal="left" vertical="center"/>
      <protection locked="0"/>
    </xf>
    <xf numFmtId="186" fontId="29" fillId="0" borderId="0" xfId="209" applyFont="1" applyAlignment="1">
      <alignment horizontal="left" vertical="center"/>
    </xf>
    <xf numFmtId="186" fontId="29" fillId="0" borderId="29" xfId="209" applyFont="1" applyBorder="1" applyAlignment="1">
      <alignment vertical="center"/>
    </xf>
    <xf numFmtId="186" fontId="29" fillId="0" borderId="0" xfId="28" applyFont="1" applyAlignment="1">
      <alignment vertical="center"/>
      <protection locked="0"/>
    </xf>
    <xf numFmtId="186" fontId="29" fillId="6" borderId="10" xfId="28" applyFont="1" applyFill="1" applyBorder="1" applyAlignment="1">
      <alignment horizontal="center" vertical="center"/>
      <protection locked="0"/>
    </xf>
    <xf numFmtId="186" fontId="29" fillId="6" borderId="10" xfId="28" applyFont="1" applyFill="1" applyBorder="1" applyAlignment="1">
      <alignment horizontal="center" vertical="center" wrapText="1"/>
      <protection locked="0"/>
    </xf>
    <xf numFmtId="186" fontId="29" fillId="0" borderId="0" xfId="209" applyFont="1" applyBorder="1" applyAlignment="1">
      <alignment vertical="center"/>
    </xf>
    <xf numFmtId="186" fontId="9" fillId="0" borderId="10" xfId="0" applyFont="1" applyBorder="1">
      <protection locked="0"/>
    </xf>
    <xf numFmtId="43" fontId="30" fillId="0" borderId="10" xfId="41" applyFont="1" applyBorder="1" applyAlignment="1" applyProtection="1">
      <protection locked="0"/>
    </xf>
    <xf numFmtId="186" fontId="9" fillId="0" borderId="0" xfId="0" applyFont="1">
      <protection locked="0"/>
    </xf>
    <xf numFmtId="43" fontId="113" fillId="0" borderId="10" xfId="41" applyFont="1" applyFill="1" applyBorder="1" applyAlignment="1" applyProtection="1">
      <alignment horizontal="center" vertical="center"/>
    </xf>
    <xf numFmtId="186" fontId="114" fillId="34" borderId="10" xfId="28" applyNumberFormat="1" applyFont="1" applyFill="1" applyBorder="1" applyAlignment="1" applyProtection="1">
      <alignment horizontal="center" vertical="center" wrapText="1"/>
    </xf>
    <xf numFmtId="186" fontId="109" fillId="34" borderId="10" xfId="28" applyNumberFormat="1" applyFont="1" applyFill="1" applyBorder="1" applyAlignment="1" applyProtection="1">
      <alignment horizontal="center" vertical="center"/>
    </xf>
    <xf numFmtId="186" fontId="9" fillId="0" borderId="0" xfId="0" applyFont="1" applyAlignment="1">
      <alignment horizontal="center"/>
      <protection locked="0"/>
    </xf>
    <xf numFmtId="186" fontId="30" fillId="0" borderId="0" xfId="28" applyFont="1" applyAlignment="1">
      <alignment vertical="center"/>
      <protection locked="0"/>
    </xf>
    <xf numFmtId="186" fontId="32" fillId="0" borderId="0" xfId="28" applyFont="1" applyAlignment="1">
      <alignment vertical="center"/>
      <protection locked="0"/>
    </xf>
    <xf numFmtId="186" fontId="101" fillId="0" borderId="0" xfId="0" applyFont="1">
      <protection locked="0"/>
    </xf>
    <xf numFmtId="186" fontId="29" fillId="0" borderId="0" xfId="28" applyFont="1" applyBorder="1" applyAlignment="1">
      <alignment vertical="center"/>
      <protection locked="0"/>
    </xf>
    <xf numFmtId="186" fontId="0" fillId="0" borderId="0" xfId="0" applyFont="1">
      <protection locked="0"/>
    </xf>
    <xf numFmtId="186" fontId="109" fillId="34" borderId="10" xfId="28" applyNumberFormat="1" applyFont="1" applyFill="1" applyBorder="1" applyAlignment="1" applyProtection="1">
      <alignment horizontal="center" vertical="center" wrapText="1"/>
    </xf>
    <xf numFmtId="186" fontId="101" fillId="0" borderId="0" xfId="0" applyFont="1" applyBorder="1" applyAlignment="1">
      <alignment vertical="center"/>
      <protection locked="0"/>
    </xf>
    <xf numFmtId="186" fontId="99" fillId="0" borderId="0" xfId="0" applyFont="1" applyBorder="1" applyAlignment="1">
      <alignment vertical="center"/>
      <protection locked="0"/>
    </xf>
    <xf numFmtId="186" fontId="99" fillId="0" borderId="0" xfId="0" applyFont="1" applyAlignment="1">
      <alignment vertical="center"/>
      <protection locked="0"/>
    </xf>
    <xf numFmtId="186" fontId="44" fillId="0" borderId="0" xfId="0" applyFont="1">
      <protection locked="0"/>
    </xf>
    <xf numFmtId="43" fontId="30" fillId="6" borderId="10" xfId="41" applyFont="1" applyFill="1" applyBorder="1" applyAlignment="1" applyProtection="1">
      <alignment vertical="center"/>
      <protection locked="0"/>
    </xf>
    <xf numFmtId="10" fontId="30" fillId="6" borderId="10" xfId="201" applyNumberFormat="1" applyFont="1" applyFill="1" applyBorder="1" applyAlignment="1" applyProtection="1">
      <alignment vertical="center"/>
      <protection locked="0"/>
    </xf>
    <xf numFmtId="186" fontId="101" fillId="0" borderId="29" xfId="0" applyFont="1" applyFill="1" applyBorder="1" applyAlignment="1">
      <alignment horizontal="left" vertical="top"/>
      <protection locked="0"/>
    </xf>
    <xf numFmtId="186" fontId="99" fillId="0" borderId="3" xfId="0" applyFont="1" applyBorder="1" applyAlignment="1">
      <alignment vertical="center"/>
      <protection locked="0"/>
    </xf>
    <xf numFmtId="186" fontId="101" fillId="0" borderId="3" xfId="0" applyFont="1" applyFill="1" applyBorder="1" applyAlignment="1">
      <alignment vertical="center"/>
      <protection locked="0"/>
    </xf>
    <xf numFmtId="186" fontId="117" fillId="34" borderId="10" xfId="28" applyNumberFormat="1" applyFont="1" applyFill="1" applyBorder="1" applyAlignment="1" applyProtection="1">
      <alignment horizontal="center" vertical="center"/>
    </xf>
    <xf numFmtId="186" fontId="39" fillId="6" borderId="10" xfId="38" applyFont="1" applyFill="1" applyBorder="1" applyAlignment="1" applyProtection="1">
      <alignment vertical="center" wrapText="1"/>
    </xf>
    <xf numFmtId="186" fontId="29" fillId="6" borderId="10" xfId="0" applyFont="1" applyFill="1" applyBorder="1" applyAlignment="1">
      <alignment horizontal="center" vertical="center" wrapText="1"/>
      <protection locked="0"/>
    </xf>
    <xf numFmtId="43" fontId="30" fillId="0" borderId="10" xfId="41" applyFont="1" applyBorder="1" applyAlignment="1" applyProtection="1">
      <alignment horizontal="right" vertical="center" wrapText="1"/>
      <protection locked="0"/>
    </xf>
    <xf numFmtId="186" fontId="30" fillId="0" borderId="10" xfId="0" applyNumberFormat="1" applyFont="1" applyBorder="1" applyAlignment="1">
      <alignment horizontal="center" vertical="center" wrapText="1"/>
      <protection locked="0"/>
    </xf>
    <xf numFmtId="43" fontId="30" fillId="0" borderId="10" xfId="34" applyFont="1" applyFill="1" applyBorder="1" applyAlignment="1" applyProtection="1">
      <alignment horizontal="center" vertical="center"/>
    </xf>
    <xf numFmtId="43" fontId="30" fillId="6" borderId="10" xfId="41" applyFont="1" applyFill="1" applyBorder="1" applyAlignment="1" applyProtection="1">
      <alignment horizontal="right" vertical="center"/>
    </xf>
    <xf numFmtId="186" fontId="101" fillId="6" borderId="6" xfId="0" applyFont="1" applyFill="1" applyBorder="1" applyAlignment="1">
      <alignment vertical="center"/>
      <protection locked="0"/>
    </xf>
    <xf numFmtId="186" fontId="101" fillId="6" borderId="3" xfId="0" applyFont="1" applyFill="1" applyBorder="1" applyAlignment="1">
      <alignment vertical="center"/>
      <protection locked="0"/>
    </xf>
    <xf numFmtId="186" fontId="101" fillId="6" borderId="6" xfId="40" applyNumberFormat="1" applyFont="1" applyFill="1" applyBorder="1" applyAlignment="1">
      <alignment vertical="center"/>
    </xf>
    <xf numFmtId="186" fontId="101" fillId="6" borderId="3" xfId="40" applyNumberFormat="1" applyFont="1" applyFill="1" applyBorder="1" applyAlignment="1">
      <alignment vertical="center"/>
    </xf>
    <xf numFmtId="186" fontId="99" fillId="0" borderId="29" xfId="0" applyFont="1" applyBorder="1" applyAlignment="1">
      <alignment vertical="center"/>
      <protection locked="0"/>
    </xf>
    <xf numFmtId="10" fontId="30" fillId="6" borderId="10" xfId="201" applyNumberFormat="1" applyFont="1" applyFill="1" applyBorder="1" applyAlignment="1" applyProtection="1">
      <alignment horizontal="right" vertical="center"/>
      <protection locked="0"/>
    </xf>
    <xf numFmtId="43" fontId="30" fillId="6" borderId="10" xfId="41" applyFont="1" applyFill="1" applyBorder="1" applyAlignment="1" applyProtection="1">
      <alignment horizontal="right" vertical="center"/>
      <protection locked="0"/>
    </xf>
    <xf numFmtId="43" fontId="30" fillId="0" borderId="10" xfId="41" applyFont="1" applyFill="1" applyBorder="1" applyAlignment="1" applyProtection="1">
      <alignment horizontal="right" vertical="center"/>
      <protection locked="0"/>
    </xf>
    <xf numFmtId="186" fontId="101" fillId="0" borderId="10" xfId="0" applyFont="1" applyFill="1" applyBorder="1" applyAlignment="1">
      <alignment vertical="center"/>
      <protection locked="0"/>
    </xf>
    <xf numFmtId="186" fontId="99" fillId="0" borderId="14" xfId="0" applyFont="1" applyBorder="1" applyAlignment="1">
      <alignment vertical="center"/>
      <protection locked="0"/>
    </xf>
    <xf numFmtId="43" fontId="30" fillId="0" borderId="0" xfId="41" applyFont="1" applyFill="1" applyBorder="1" applyAlignment="1" applyProtection="1">
      <alignment vertical="center"/>
      <protection locked="0"/>
    </xf>
    <xf numFmtId="186" fontId="101" fillId="0" borderId="0" xfId="0" applyFont="1" applyFill="1" applyBorder="1" applyAlignment="1">
      <alignment vertical="top"/>
      <protection locked="0"/>
    </xf>
    <xf numFmtId="186" fontId="101" fillId="0" borderId="11" xfId="0" applyFont="1" applyFill="1" applyBorder="1" applyAlignment="1">
      <alignment vertical="center"/>
      <protection locked="0"/>
    </xf>
    <xf numFmtId="186" fontId="118" fillId="0" borderId="0" xfId="0" applyFont="1" applyAlignment="1">
      <alignment horizontal="left"/>
      <protection locked="0"/>
    </xf>
    <xf numFmtId="186" fontId="119" fillId="0" borderId="0" xfId="0" applyFont="1">
      <protection locked="0"/>
    </xf>
    <xf numFmtId="186" fontId="102" fillId="0" borderId="0" xfId="0" applyFont="1" applyBorder="1" applyAlignment="1">
      <alignment vertical="center"/>
      <protection locked="0"/>
    </xf>
    <xf numFmtId="186" fontId="30" fillId="0" borderId="0" xfId="0" applyFont="1" applyFill="1" applyAlignment="1" applyProtection="1">
      <alignment vertical="center"/>
    </xf>
    <xf numFmtId="186" fontId="9" fillId="0" borderId="0" xfId="209" applyFont="1" applyAlignment="1">
      <alignment horizontal="left" vertical="center"/>
    </xf>
    <xf numFmtId="186" fontId="119" fillId="0" borderId="0" xfId="209" applyFont="1" applyAlignment="1">
      <alignment horizontal="left" vertical="center"/>
    </xf>
    <xf numFmtId="186" fontId="29" fillId="6" borderId="10" xfId="203" applyFont="1" applyFill="1" applyBorder="1" applyAlignment="1" applyProtection="1">
      <alignment horizontal="center" vertical="center" wrapText="1"/>
      <protection locked="0"/>
    </xf>
    <xf numFmtId="186" fontId="29" fillId="6" borderId="10" xfId="203" applyFont="1" applyFill="1" applyBorder="1" applyAlignment="1" applyProtection="1">
      <alignment horizontal="center" vertical="center"/>
      <protection locked="0"/>
    </xf>
    <xf numFmtId="186" fontId="120" fillId="31" borderId="0" xfId="203" applyFont="1" applyFill="1" applyAlignment="1" applyProtection="1">
      <alignment horizontal="left" vertical="center" wrapText="1"/>
      <protection locked="0"/>
    </xf>
    <xf numFmtId="186" fontId="121" fillId="31" borderId="0" xfId="203" applyFont="1" applyFill="1" applyAlignment="1" applyProtection="1">
      <alignment horizontal="left" vertical="center" wrapText="1"/>
      <protection locked="0"/>
    </xf>
    <xf numFmtId="186" fontId="13" fillId="0" borderId="0" xfId="1" applyNumberFormat="1" applyFill="1" applyAlignment="1" applyProtection="1">
      <alignment vertical="center"/>
    </xf>
    <xf numFmtId="186" fontId="51" fillId="0" borderId="10" xfId="203" applyFont="1" applyFill="1" applyBorder="1" applyAlignment="1">
      <alignment vertical="center" wrapText="1"/>
    </xf>
    <xf numFmtId="186" fontId="45" fillId="0" borderId="10" xfId="203" applyFont="1" applyFill="1" applyBorder="1" applyAlignment="1">
      <alignment vertical="center" wrapText="1"/>
    </xf>
    <xf numFmtId="186" fontId="30" fillId="0" borderId="10" xfId="203" applyFont="1" applyFill="1" applyBorder="1" applyAlignment="1">
      <alignment horizontal="center" vertical="center" wrapText="1"/>
    </xf>
    <xf numFmtId="186" fontId="9" fillId="0" borderId="10" xfId="203" applyFont="1" applyFill="1" applyBorder="1" applyAlignment="1">
      <alignment vertical="center" wrapText="1"/>
    </xf>
    <xf numFmtId="186" fontId="29" fillId="0" borderId="0" xfId="209" applyFont="1" applyAlignment="1">
      <alignment vertical="center" wrapText="1"/>
    </xf>
    <xf numFmtId="186" fontId="29" fillId="0" borderId="0" xfId="209" applyFont="1" applyAlignment="1">
      <alignment vertical="center"/>
    </xf>
    <xf numFmtId="186" fontId="30" fillId="0" borderId="0" xfId="209" applyFont="1" applyAlignment="1">
      <alignment vertical="center"/>
    </xf>
    <xf numFmtId="186" fontId="51" fillId="0" borderId="10" xfId="174" applyFont="1" applyFill="1" applyBorder="1" applyAlignment="1" applyProtection="1">
      <alignment horizontal="center" vertical="center" wrapText="1"/>
    </xf>
    <xf numFmtId="186" fontId="41" fillId="0" borderId="0" xfId="0" applyFont="1" applyFill="1" applyAlignment="1" applyProtection="1">
      <alignment vertical="center"/>
    </xf>
    <xf numFmtId="186" fontId="116" fillId="0" borderId="0" xfId="0" applyFont="1" applyFill="1" applyAlignment="1" applyProtection="1">
      <alignment vertical="center" wrapText="1"/>
    </xf>
    <xf numFmtId="186" fontId="99" fillId="0" borderId="0" xfId="0" applyFont="1" applyBorder="1" applyAlignment="1">
      <alignment vertical="center" wrapText="1"/>
      <protection locked="0"/>
    </xf>
    <xf numFmtId="186" fontId="99" fillId="0" borderId="5" xfId="0" applyFont="1" applyFill="1" applyBorder="1" applyAlignment="1">
      <alignment vertical="top"/>
      <protection locked="0"/>
    </xf>
    <xf numFmtId="186" fontId="99" fillId="0" borderId="14" xfId="0" applyFont="1" applyFill="1" applyBorder="1" applyAlignment="1">
      <alignment vertical="top"/>
      <protection locked="0"/>
    </xf>
    <xf numFmtId="186" fontId="101" fillId="0" borderId="14" xfId="0" applyFont="1" applyFill="1" applyBorder="1" applyAlignment="1">
      <alignment vertical="top"/>
      <protection locked="0"/>
    </xf>
    <xf numFmtId="186" fontId="101" fillId="0" borderId="15" xfId="0" applyFont="1" applyFill="1" applyBorder="1" applyAlignment="1">
      <alignment vertical="top"/>
      <protection locked="0"/>
    </xf>
    <xf numFmtId="186" fontId="101" fillId="0" borderId="27" xfId="0" applyFont="1" applyFill="1" applyBorder="1" applyAlignment="1">
      <alignment vertical="top"/>
      <protection locked="0"/>
    </xf>
    <xf numFmtId="186" fontId="101" fillId="0" borderId="29" xfId="0" applyFont="1" applyFill="1" applyBorder="1" applyAlignment="1">
      <alignment vertical="top"/>
      <protection locked="0"/>
    </xf>
    <xf numFmtId="186" fontId="101" fillId="0" borderId="28" xfId="0" applyFont="1" applyFill="1" applyBorder="1" applyAlignment="1">
      <alignment vertical="top"/>
      <protection locked="0"/>
    </xf>
    <xf numFmtId="186" fontId="99" fillId="0" borderId="15" xfId="0" applyFont="1" applyFill="1" applyBorder="1" applyAlignment="1">
      <alignment vertical="top"/>
      <protection locked="0"/>
    </xf>
    <xf numFmtId="186" fontId="99" fillId="0" borderId="27" xfId="0" applyFont="1" applyFill="1" applyBorder="1" applyAlignment="1">
      <alignment vertical="top"/>
      <protection locked="0"/>
    </xf>
    <xf numFmtId="186" fontId="99" fillId="0" borderId="29" xfId="0" applyFont="1" applyFill="1" applyBorder="1" applyAlignment="1">
      <alignment vertical="top"/>
      <protection locked="0"/>
    </xf>
    <xf numFmtId="186" fontId="99" fillId="0" borderId="28" xfId="0" applyFont="1" applyFill="1" applyBorder="1" applyAlignment="1">
      <alignment vertical="top"/>
      <protection locked="0"/>
    </xf>
    <xf numFmtId="186" fontId="29" fillId="6" borderId="10" xfId="28" applyFont="1" applyFill="1" applyBorder="1" applyAlignment="1">
      <alignment horizontal="center" vertical="center"/>
      <protection locked="0"/>
    </xf>
    <xf numFmtId="186" fontId="114" fillId="34" borderId="10" xfId="28" applyNumberFormat="1" applyFont="1" applyFill="1" applyBorder="1" applyAlignment="1" applyProtection="1">
      <alignment horizontal="center" vertical="center" wrapText="1"/>
    </xf>
    <xf numFmtId="186" fontId="99" fillId="6" borderId="10" xfId="0" applyFont="1" applyFill="1" applyBorder="1" applyAlignment="1">
      <alignment horizontal="center" vertical="center" wrapText="1"/>
      <protection locked="0"/>
    </xf>
    <xf numFmtId="186" fontId="29" fillId="6" borderId="10" xfId="28" applyFont="1" applyFill="1" applyBorder="1" applyAlignment="1">
      <alignment horizontal="center" vertical="center"/>
      <protection locked="0"/>
    </xf>
    <xf numFmtId="186" fontId="47" fillId="0" borderId="0" xfId="203" applyFont="1" applyFill="1" applyAlignment="1" applyProtection="1">
      <alignment horizontal="left" vertical="center"/>
      <protection locked="0"/>
    </xf>
    <xf numFmtId="186" fontId="122" fillId="0" borderId="0" xfId="203" applyFont="1" applyFill="1" applyAlignment="1" applyProtection="1">
      <alignment horizontal="left" vertical="center"/>
      <protection locked="0"/>
    </xf>
    <xf numFmtId="186" fontId="43" fillId="0" borderId="0" xfId="0" applyFont="1" applyBorder="1" applyAlignment="1">
      <alignment horizontal="left" vertical="center"/>
      <protection locked="0"/>
    </xf>
    <xf numFmtId="186" fontId="43" fillId="0" borderId="0" xfId="0" applyFont="1" applyBorder="1" applyAlignment="1" applyProtection="1">
      <alignment horizontal="left" vertical="center"/>
    </xf>
    <xf numFmtId="186" fontId="50" fillId="0" borderId="10" xfId="0" applyFont="1" applyBorder="1" applyAlignment="1">
      <alignment vertical="center" wrapText="1"/>
      <protection locked="0"/>
    </xf>
    <xf numFmtId="186" fontId="44" fillId="0" borderId="10" xfId="0" applyFont="1" applyBorder="1" applyAlignment="1">
      <alignment horizontal="left" vertical="center" wrapText="1"/>
      <protection locked="0"/>
    </xf>
    <xf numFmtId="186" fontId="9" fillId="0" borderId="10" xfId="0" applyFont="1" applyBorder="1" applyAlignment="1">
      <alignment horizontal="left" vertical="center" wrapText="1"/>
      <protection locked="0"/>
    </xf>
    <xf numFmtId="43" fontId="30" fillId="0" borderId="10" xfId="41" applyFont="1" applyBorder="1" applyAlignment="1" applyProtection="1">
      <alignment horizontal="left" vertical="center" wrapText="1"/>
      <protection locked="0"/>
    </xf>
    <xf numFmtId="43" fontId="41" fillId="0" borderId="10" xfId="41" applyFont="1" applyBorder="1" applyAlignment="1" applyProtection="1">
      <alignment horizontal="left" vertical="center" wrapText="1"/>
      <protection locked="0"/>
    </xf>
    <xf numFmtId="43" fontId="40" fillId="6" borderId="10" xfId="41" applyFont="1" applyFill="1" applyBorder="1" applyAlignment="1" applyProtection="1">
      <alignment horizontal="right" vertical="center" wrapText="1"/>
      <protection locked="0"/>
    </xf>
    <xf numFmtId="43" fontId="41" fillId="6" borderId="10" xfId="41" applyFont="1" applyFill="1" applyBorder="1" applyAlignment="1" applyProtection="1">
      <alignment horizontal="right" vertical="center" wrapText="1"/>
      <protection locked="0"/>
    </xf>
    <xf numFmtId="43" fontId="41" fillId="0" borderId="10" xfId="41" applyFont="1" applyBorder="1" applyAlignment="1" applyProtection="1">
      <alignment horizontal="right" vertical="center" wrapText="1"/>
      <protection locked="0"/>
    </xf>
    <xf numFmtId="186" fontId="9" fillId="0" borderId="10" xfId="0" applyFont="1" applyBorder="1" applyAlignment="1">
      <alignment horizontal="center" vertical="center" wrapText="1"/>
      <protection locked="0"/>
    </xf>
    <xf numFmtId="186" fontId="30" fillId="0" borderId="10" xfId="0" applyFont="1" applyBorder="1" applyAlignment="1">
      <alignment horizontal="center" vertical="center" wrapText="1"/>
      <protection locked="0"/>
    </xf>
    <xf numFmtId="186" fontId="30" fillId="0" borderId="0" xfId="32" applyNumberFormat="1" applyFont="1" applyBorder="1" applyAlignment="1">
      <alignment horizontal="left" vertical="center"/>
    </xf>
    <xf numFmtId="186" fontId="9" fillId="0" borderId="0" xfId="0" applyFont="1" applyAlignment="1">
      <alignment vertical="center"/>
      <protection locked="0"/>
    </xf>
    <xf numFmtId="186" fontId="30" fillId="6" borderId="10" xfId="0" applyFont="1" applyFill="1" applyBorder="1" applyAlignment="1">
      <alignment horizontal="center" vertical="center" wrapText="1"/>
      <protection locked="0"/>
    </xf>
    <xf numFmtId="43" fontId="32" fillId="6" borderId="10" xfId="34" applyFont="1" applyFill="1" applyBorder="1" applyAlignment="1" applyProtection="1">
      <alignment vertical="center"/>
    </xf>
    <xf numFmtId="186" fontId="99" fillId="0" borderId="5" xfId="0" applyFont="1" applyFill="1" applyBorder="1" applyAlignment="1">
      <alignment vertical="center"/>
      <protection locked="0"/>
    </xf>
    <xf numFmtId="186" fontId="9" fillId="0" borderId="10" xfId="43" applyFont="1" applyBorder="1" applyAlignment="1" applyProtection="1">
      <alignment vertical="center"/>
    </xf>
    <xf numFmtId="190" fontId="9" fillId="0" borderId="10" xfId="43" applyNumberFormat="1" applyFont="1" applyBorder="1" applyAlignment="1" applyProtection="1">
      <alignment vertical="center"/>
    </xf>
    <xf numFmtId="190" fontId="30" fillId="0" borderId="10" xfId="43" applyNumberFormat="1" applyFont="1" applyBorder="1" applyAlignment="1" applyProtection="1">
      <alignment horizontal="center" vertical="center"/>
    </xf>
    <xf numFmtId="186" fontId="9" fillId="0" borderId="10" xfId="43" applyFont="1" applyBorder="1" applyAlignment="1" applyProtection="1">
      <alignment horizontal="center" vertical="center"/>
    </xf>
    <xf numFmtId="186" fontId="29" fillId="6" borderId="10" xfId="43" applyFont="1" applyFill="1" applyBorder="1" applyAlignment="1" applyProtection="1">
      <alignment horizontal="center" vertical="center"/>
    </xf>
    <xf numFmtId="186" fontId="32" fillId="6" borderId="10" xfId="43" applyFont="1" applyFill="1" applyBorder="1" applyAlignment="1" applyProtection="1">
      <alignment vertical="center"/>
    </xf>
    <xf numFmtId="186" fontId="36" fillId="6" borderId="0" xfId="0" applyFont="1" applyFill="1" applyAlignment="1">
      <alignment vertical="center"/>
      <protection locked="0"/>
    </xf>
    <xf numFmtId="43" fontId="30" fillId="0" borderId="10" xfId="41" applyFont="1" applyBorder="1" applyAlignment="1" applyProtection="1">
      <alignment vertical="center"/>
    </xf>
    <xf numFmtId="43" fontId="32" fillId="6" borderId="10" xfId="41" applyFont="1" applyFill="1" applyBorder="1" applyAlignment="1" applyProtection="1">
      <alignment vertical="center"/>
    </xf>
    <xf numFmtId="186" fontId="32" fillId="6" borderId="10" xfId="0" applyFont="1" applyFill="1" applyBorder="1" applyAlignment="1">
      <alignment horizontal="left" vertical="center" wrapText="1"/>
      <protection locked="0"/>
    </xf>
    <xf numFmtId="186" fontId="30" fillId="6" borderId="0" xfId="0" applyFont="1" applyFill="1" applyBorder="1" applyAlignment="1">
      <alignment vertical="center" wrapText="1"/>
      <protection locked="0"/>
    </xf>
    <xf numFmtId="186" fontId="9" fillId="6" borderId="10" xfId="0" applyFont="1" applyFill="1" applyBorder="1" applyAlignment="1">
      <alignment horizontal="center" vertical="center" wrapText="1"/>
      <protection locked="0"/>
    </xf>
    <xf numFmtId="186" fontId="32" fillId="6" borderId="0" xfId="0" applyFont="1" applyFill="1" applyBorder="1" applyAlignment="1">
      <alignment vertical="center" wrapText="1"/>
      <protection locked="0"/>
    </xf>
    <xf numFmtId="43" fontId="30" fillId="0" borderId="10" xfId="41" applyFont="1" applyFill="1" applyBorder="1" applyAlignment="1" applyProtection="1">
      <alignment horizontal="left" vertical="center" wrapText="1"/>
      <protection locked="0"/>
    </xf>
    <xf numFmtId="43" fontId="30" fillId="6" borderId="10" xfId="41" applyFont="1" applyFill="1" applyBorder="1" applyAlignment="1" applyProtection="1">
      <alignment horizontal="left" vertical="center" wrapText="1"/>
      <protection locked="0"/>
    </xf>
    <xf numFmtId="43" fontId="30" fillId="6" borderId="10" xfId="41" applyFont="1" applyFill="1" applyBorder="1" applyAlignment="1" applyProtection="1">
      <alignment vertical="center"/>
    </xf>
    <xf numFmtId="186" fontId="101" fillId="0" borderId="10" xfId="0" applyFont="1" applyBorder="1" applyAlignment="1">
      <alignment horizontal="left" vertical="center" wrapText="1"/>
      <protection locked="0"/>
    </xf>
    <xf numFmtId="186" fontId="99" fillId="6" borderId="10" xfId="0" applyFont="1" applyFill="1" applyBorder="1" applyAlignment="1">
      <alignment horizontal="left" vertical="center" wrapText="1"/>
      <protection locked="0"/>
    </xf>
    <xf numFmtId="186" fontId="101" fillId="0" borderId="10" xfId="0" applyFont="1" applyBorder="1" applyAlignment="1">
      <alignment horizontal="center" vertical="center" wrapText="1"/>
      <protection locked="0"/>
    </xf>
    <xf numFmtId="186" fontId="29" fillId="0" borderId="0" xfId="0" applyFont="1" applyBorder="1" applyAlignment="1">
      <alignment vertical="center"/>
      <protection locked="0"/>
    </xf>
    <xf numFmtId="186" fontId="30" fillId="0" borderId="0" xfId="0" applyFont="1">
      <protection locked="0"/>
    </xf>
    <xf numFmtId="186" fontId="38" fillId="0" borderId="0" xfId="0" applyFont="1">
      <protection locked="0"/>
    </xf>
    <xf numFmtId="186" fontId="9" fillId="0" borderId="10" xfId="0" applyFont="1" applyBorder="1" applyAlignment="1">
      <alignment horizontal="left"/>
      <protection locked="0"/>
    </xf>
    <xf numFmtId="14" fontId="30" fillId="0" borderId="10" xfId="0" applyNumberFormat="1" applyFont="1" applyBorder="1" applyAlignment="1">
      <alignment horizontal="center" vertical="center"/>
      <protection locked="0"/>
    </xf>
    <xf numFmtId="186" fontId="30" fillId="0" borderId="10" xfId="0" applyFont="1" applyBorder="1" applyAlignment="1">
      <alignment horizontal="center" vertical="center"/>
      <protection locked="0"/>
    </xf>
    <xf numFmtId="186" fontId="9" fillId="0" borderId="10" xfId="0" applyFont="1" applyBorder="1" applyAlignment="1">
      <alignment horizontal="center"/>
      <protection locked="0"/>
    </xf>
    <xf numFmtId="10" fontId="30" fillId="0" borderId="10" xfId="201" applyNumberFormat="1" applyFont="1" applyBorder="1" applyAlignment="1" applyProtection="1">
      <alignment horizontal="center" vertical="center"/>
      <protection locked="0"/>
    </xf>
    <xf numFmtId="186" fontId="9" fillId="0" borderId="10" xfId="0" applyFont="1" applyBorder="1" applyAlignment="1">
      <alignment horizontal="left" vertical="center"/>
      <protection locked="0"/>
    </xf>
    <xf numFmtId="186" fontId="9" fillId="0" borderId="10" xfId="0" applyFont="1" applyBorder="1" applyAlignment="1">
      <alignment vertical="center"/>
      <protection locked="0"/>
    </xf>
    <xf numFmtId="43" fontId="30" fillId="0" borderId="10" xfId="41" applyFont="1" applyBorder="1" applyAlignment="1" applyProtection="1">
      <alignment vertical="center"/>
      <protection locked="0"/>
    </xf>
    <xf numFmtId="186" fontId="9" fillId="0" borderId="10" xfId="0" applyFont="1" applyBorder="1" applyAlignment="1">
      <alignment horizontal="center" vertical="center"/>
      <protection locked="0"/>
    </xf>
    <xf numFmtId="186" fontId="29" fillId="6" borderId="10" xfId="0" applyFont="1" applyFill="1" applyBorder="1" applyAlignment="1">
      <alignment horizontal="center" vertical="center"/>
      <protection locked="0"/>
    </xf>
    <xf numFmtId="186" fontId="32" fillId="6" borderId="10" xfId="0" applyFont="1" applyFill="1" applyBorder="1" applyAlignment="1">
      <alignment horizontal="center" vertical="center"/>
      <protection locked="0"/>
    </xf>
    <xf numFmtId="186" fontId="29" fillId="6" borderId="10" xfId="0" applyFont="1" applyFill="1" applyBorder="1" applyAlignment="1">
      <alignment vertical="center"/>
      <protection locked="0"/>
    </xf>
    <xf numFmtId="43" fontId="32" fillId="6" borderId="10" xfId="41" applyFont="1" applyFill="1" applyBorder="1" applyAlignment="1" applyProtection="1">
      <alignment vertical="center"/>
      <protection locked="0"/>
    </xf>
    <xf numFmtId="43" fontId="92" fillId="0" borderId="10" xfId="41" applyFont="1" applyFill="1" applyBorder="1" applyAlignment="1" applyProtection="1">
      <alignment horizontal="center" vertical="center"/>
    </xf>
    <xf numFmtId="43" fontId="92" fillId="0" borderId="10" xfId="28" applyNumberFormat="1" applyFont="1" applyFill="1" applyBorder="1" applyAlignment="1" applyProtection="1">
      <alignment horizontal="center" vertical="center" wrapText="1"/>
    </xf>
    <xf numFmtId="186" fontId="113" fillId="0" borderId="10" xfId="28" applyNumberFormat="1" applyFont="1" applyFill="1" applyBorder="1" applyAlignment="1" applyProtection="1">
      <alignment horizontal="center" vertical="center"/>
    </xf>
    <xf numFmtId="186" fontId="30" fillId="0" borderId="10" xfId="0" applyFont="1" applyBorder="1" applyAlignment="1">
      <alignment vertical="center"/>
      <protection locked="0"/>
    </xf>
    <xf numFmtId="43" fontId="92" fillId="0" borderId="10" xfId="28" applyNumberFormat="1" applyFont="1" applyFill="1" applyBorder="1" applyAlignment="1" applyProtection="1">
      <alignment horizontal="left" vertical="center" wrapText="1"/>
    </xf>
    <xf numFmtId="186" fontId="32" fillId="6" borderId="10" xfId="0" applyFont="1" applyFill="1" applyBorder="1" applyAlignment="1">
      <alignment vertical="center"/>
      <protection locked="0"/>
    </xf>
    <xf numFmtId="186" fontId="30" fillId="2" borderId="0" xfId="0" applyFont="1" applyFill="1" applyBorder="1" applyAlignment="1">
      <alignment horizontal="justify" vertical="center" wrapText="1"/>
      <protection locked="0"/>
    </xf>
    <xf numFmtId="43" fontId="30" fillId="0" borderId="0" xfId="0" applyNumberFormat="1" applyFont="1" applyAlignment="1">
      <alignment horizontal="right" vertical="center" wrapText="1"/>
      <protection locked="0"/>
    </xf>
    <xf numFmtId="10" fontId="30" fillId="0" borderId="0" xfId="201" applyNumberFormat="1" applyFont="1" applyAlignment="1" applyProtection="1">
      <alignment horizontal="right" vertical="center" wrapText="1"/>
      <protection locked="0"/>
    </xf>
    <xf numFmtId="43" fontId="32" fillId="0" borderId="9" xfId="41" applyFont="1" applyBorder="1" applyAlignment="1" applyProtection="1">
      <alignment horizontal="right" vertical="center" wrapText="1"/>
      <protection locked="0"/>
    </xf>
    <xf numFmtId="10" fontId="32" fillId="0" borderId="9" xfId="201" applyNumberFormat="1" applyFont="1" applyBorder="1" applyAlignment="1" applyProtection="1">
      <alignment horizontal="right" vertical="center" wrapText="1"/>
      <protection locked="0"/>
    </xf>
    <xf numFmtId="9" fontId="30" fillId="0" borderId="0" xfId="0" applyNumberFormat="1" applyFont="1" applyAlignment="1">
      <alignment vertical="center"/>
      <protection locked="0"/>
    </xf>
    <xf numFmtId="43" fontId="32" fillId="0" borderId="9" xfId="41" applyFont="1" applyBorder="1" applyAlignment="1" applyProtection="1">
      <alignment horizontal="justify" vertical="center" wrapText="1"/>
      <protection locked="0"/>
    </xf>
    <xf numFmtId="186" fontId="30" fillId="0" borderId="0" xfId="0" applyFont="1" applyAlignment="1">
      <alignment horizontal="justify" vertical="center" wrapText="1"/>
      <protection locked="0"/>
    </xf>
    <xf numFmtId="43" fontId="32" fillId="0" borderId="9" xfId="41" applyFont="1" applyFill="1" applyBorder="1" applyAlignment="1" applyProtection="1">
      <alignment horizontal="right" vertical="center" wrapText="1"/>
      <protection locked="0"/>
    </xf>
    <xf numFmtId="10" fontId="32" fillId="0" borderId="9" xfId="201" applyNumberFormat="1" applyFont="1" applyFill="1" applyBorder="1" applyAlignment="1" applyProtection="1">
      <alignment horizontal="right" vertical="center" wrapText="1"/>
      <protection locked="0"/>
    </xf>
    <xf numFmtId="43" fontId="32" fillId="0" borderId="9" xfId="41" applyFont="1" applyFill="1" applyBorder="1" applyAlignment="1" applyProtection="1">
      <alignment horizontal="center" vertical="center" wrapText="1"/>
      <protection locked="0"/>
    </xf>
    <xf numFmtId="186" fontId="30" fillId="0" borderId="0" xfId="0" applyFont="1" applyAlignment="1">
      <alignment horizontal="right" vertical="center" wrapText="1"/>
      <protection locked="0"/>
    </xf>
    <xf numFmtId="186" fontId="30" fillId="0" borderId="0" xfId="0" applyFont="1" applyBorder="1" applyAlignment="1">
      <alignment horizontal="right" vertical="center" wrapText="1"/>
      <protection locked="0"/>
    </xf>
    <xf numFmtId="186" fontId="30" fillId="0" borderId="0" xfId="0" applyFont="1" applyAlignment="1">
      <alignment horizontal="right" vertical="center"/>
      <protection locked="0"/>
    </xf>
    <xf numFmtId="43" fontId="30" fillId="0" borderId="0" xfId="41" applyFont="1" applyAlignment="1" applyProtection="1">
      <alignment horizontal="right" vertical="center" wrapText="1"/>
      <protection locked="0"/>
    </xf>
    <xf numFmtId="186" fontId="30" fillId="0" borderId="8" xfId="0" applyFont="1" applyBorder="1" applyAlignment="1">
      <alignment horizontal="right" vertical="center"/>
      <protection locked="0"/>
    </xf>
    <xf numFmtId="43" fontId="30" fillId="0" borderId="8" xfId="41" applyFont="1" applyBorder="1" applyAlignment="1" applyProtection="1">
      <alignment horizontal="right" vertical="center" wrapText="1"/>
      <protection locked="0"/>
    </xf>
    <xf numFmtId="43" fontId="32" fillId="0" borderId="8" xfId="41" applyFont="1" applyBorder="1" applyAlignment="1" applyProtection="1">
      <alignment horizontal="right" vertical="center" wrapText="1"/>
      <protection locked="0"/>
    </xf>
    <xf numFmtId="186" fontId="32" fillId="0" borderId="8" xfId="0" applyFont="1" applyBorder="1" applyAlignment="1">
      <alignment horizontal="right" vertical="center"/>
      <protection locked="0"/>
    </xf>
    <xf numFmtId="186" fontId="9" fillId="0" borderId="0" xfId="0" applyFont="1" applyAlignment="1">
      <alignment horizontal="justify" vertical="center"/>
      <protection locked="0"/>
    </xf>
    <xf numFmtId="186" fontId="9" fillId="0" borderId="0" xfId="0" applyFont="1" applyAlignment="1">
      <alignment horizontal="right" vertical="center"/>
      <protection locked="0"/>
    </xf>
    <xf numFmtId="186" fontId="9" fillId="0" borderId="8" xfId="0" applyFont="1" applyBorder="1" applyAlignment="1">
      <alignment horizontal="justify" vertical="center"/>
      <protection locked="0"/>
    </xf>
    <xf numFmtId="186" fontId="9" fillId="0" borderId="8" xfId="0" applyFont="1" applyBorder="1" applyAlignment="1">
      <alignment horizontal="right" vertical="center"/>
      <protection locked="0"/>
    </xf>
    <xf numFmtId="186" fontId="29" fillId="0" borderId="8" xfId="0" applyFont="1" applyBorder="1" applyAlignment="1">
      <alignment horizontal="right" vertical="center"/>
      <protection locked="0"/>
    </xf>
    <xf numFmtId="186" fontId="30" fillId="0" borderId="8" xfId="0" applyFont="1" applyBorder="1" applyAlignment="1">
      <alignment vertical="center"/>
      <protection locked="0"/>
    </xf>
    <xf numFmtId="186" fontId="32" fillId="0" borderId="9" xfId="0" applyFont="1" applyBorder="1" applyAlignment="1">
      <alignment vertical="center"/>
      <protection locked="0"/>
    </xf>
    <xf numFmtId="186" fontId="5" fillId="0" borderId="2" xfId="1" applyFont="1" applyBorder="1" applyAlignment="1">
      <protection locked="0"/>
    </xf>
    <xf numFmtId="186" fontId="34" fillId="0" borderId="0" xfId="1" applyFont="1" applyAlignment="1">
      <alignment vertical="center"/>
      <protection locked="0"/>
    </xf>
    <xf numFmtId="43" fontId="34" fillId="0" borderId="0" xfId="1" applyNumberFormat="1" applyFont="1" applyBorder="1" applyAlignment="1" applyProtection="1">
      <alignment vertical="center"/>
    </xf>
    <xf numFmtId="43" fontId="34" fillId="0" borderId="0" xfId="1" applyNumberFormat="1" applyFont="1" applyBorder="1" applyAlignment="1" applyProtection="1">
      <alignment horizontal="left" vertical="center"/>
    </xf>
    <xf numFmtId="186" fontId="34" fillId="0" borderId="0" xfId="1" applyFont="1" applyBorder="1" applyAlignment="1">
      <alignment vertical="center"/>
      <protection locked="0"/>
    </xf>
    <xf numFmtId="186" fontId="34" fillId="0" borderId="0" xfId="1" applyNumberFormat="1" applyFont="1" applyFill="1" applyBorder="1" applyAlignment="1" applyProtection="1">
      <alignment vertical="center" wrapText="1"/>
      <protection locked="0"/>
    </xf>
    <xf numFmtId="43" fontId="32" fillId="6" borderId="10" xfId="34" applyFont="1" applyFill="1" applyBorder="1" applyAlignment="1" applyProtection="1">
      <alignment horizontal="center" vertical="center"/>
    </xf>
    <xf numFmtId="186" fontId="101" fillId="0" borderId="6" xfId="0" applyFont="1" applyFill="1" applyBorder="1" applyAlignment="1">
      <alignment vertical="center"/>
      <protection locked="0"/>
    </xf>
    <xf numFmtId="43" fontId="30" fillId="6" borderId="10" xfId="41" applyFont="1" applyFill="1" applyBorder="1" applyAlignment="1" applyProtection="1">
      <alignment horizontal="right" vertical="center" wrapText="1"/>
      <protection locked="0"/>
    </xf>
    <xf numFmtId="43" fontId="32" fillId="6" borderId="10" xfId="41" applyFont="1" applyFill="1" applyBorder="1" applyAlignment="1" applyProtection="1">
      <alignment horizontal="right" vertical="center"/>
    </xf>
    <xf numFmtId="186" fontId="99" fillId="0" borderId="30" xfId="0" applyFont="1" applyFill="1" applyBorder="1" applyAlignment="1">
      <alignment vertical="top"/>
      <protection locked="0"/>
    </xf>
    <xf numFmtId="186" fontId="99" fillId="0" borderId="0" xfId="0" applyFont="1" applyFill="1" applyBorder="1" applyAlignment="1">
      <alignment vertical="top"/>
      <protection locked="0"/>
    </xf>
    <xf numFmtId="186" fontId="9" fillId="0" borderId="30" xfId="0" applyFont="1" applyBorder="1">
      <protection locked="0"/>
    </xf>
    <xf numFmtId="186" fontId="9" fillId="0" borderId="0" xfId="0" applyFont="1" applyBorder="1">
      <protection locked="0"/>
    </xf>
    <xf numFmtId="186" fontId="101" fillId="0" borderId="0" xfId="0" applyFont="1" applyFill="1" applyBorder="1" applyAlignment="1">
      <alignment vertical="center"/>
      <protection locked="0"/>
    </xf>
    <xf numFmtId="43" fontId="101" fillId="0" borderId="0" xfId="41" applyFont="1" applyFill="1" applyBorder="1" applyAlignment="1" applyProtection="1">
      <alignment vertical="center"/>
      <protection locked="0"/>
    </xf>
    <xf numFmtId="186" fontId="101" fillId="0" borderId="30" xfId="0" applyFont="1" applyFill="1" applyBorder="1" applyAlignment="1">
      <alignment vertical="top"/>
      <protection locked="0"/>
    </xf>
    <xf numFmtId="186" fontId="101" fillId="0" borderId="0" xfId="0" applyFont="1" applyBorder="1">
      <protection locked="0"/>
    </xf>
    <xf numFmtId="186" fontId="9" fillId="6" borderId="4" xfId="0" applyFont="1" applyFill="1" applyBorder="1">
      <protection locked="0"/>
    </xf>
    <xf numFmtId="186" fontId="9" fillId="0" borderId="4" xfId="0" applyFont="1" applyBorder="1">
      <protection locked="0"/>
    </xf>
    <xf numFmtId="186" fontId="123" fillId="31" borderId="0" xfId="203" applyFont="1" applyFill="1" applyAlignment="1" applyProtection="1">
      <alignment horizontal="left" vertical="center" wrapText="1"/>
      <protection locked="0"/>
    </xf>
    <xf numFmtId="186" fontId="119" fillId="31" borderId="0" xfId="203" applyFont="1" applyFill="1" applyAlignment="1" applyProtection="1">
      <alignment horizontal="left" vertical="center" wrapText="1"/>
      <protection locked="0"/>
    </xf>
    <xf numFmtId="186" fontId="45" fillId="0" borderId="0" xfId="203" applyFont="1" applyFill="1" applyAlignment="1">
      <alignment horizontal="left" vertical="center"/>
    </xf>
    <xf numFmtId="186" fontId="11" fillId="0" borderId="0" xfId="203" applyFont="1" applyFill="1" applyAlignment="1" applyProtection="1">
      <alignment horizontal="left" vertical="center"/>
      <protection locked="0"/>
    </xf>
    <xf numFmtId="10" fontId="101" fillId="0" borderId="0" xfId="201" applyNumberFormat="1" applyFont="1" applyAlignment="1" applyProtection="1">
      <alignment vertical="center"/>
      <protection locked="0"/>
    </xf>
    <xf numFmtId="10" fontId="30" fillId="0" borderId="0" xfId="201" applyNumberFormat="1" applyFont="1" applyAlignment="1" applyProtection="1">
      <alignment vertical="center"/>
      <protection locked="0"/>
    </xf>
    <xf numFmtId="10" fontId="32" fillId="0" borderId="9" xfId="201" applyNumberFormat="1" applyFont="1" applyBorder="1" applyAlignment="1" applyProtection="1">
      <alignment vertical="center"/>
      <protection locked="0"/>
    </xf>
    <xf numFmtId="186" fontId="40" fillId="6" borderId="10" xfId="0" applyFont="1" applyFill="1" applyBorder="1" applyAlignment="1">
      <alignment horizontal="centerContinuous" vertical="center" wrapText="1"/>
      <protection locked="0"/>
    </xf>
    <xf numFmtId="186" fontId="32" fillId="6" borderId="10" xfId="0" applyFont="1" applyFill="1" applyBorder="1" applyAlignment="1">
      <alignment horizontal="centerContinuous" vertical="center" wrapText="1"/>
      <protection locked="0"/>
    </xf>
    <xf numFmtId="186" fontId="40" fillId="6" borderId="10" xfId="0" applyFont="1" applyFill="1" applyBorder="1" applyAlignment="1" applyProtection="1">
      <alignment horizontal="center" vertical="center"/>
    </xf>
    <xf numFmtId="186" fontId="40" fillId="6" borderId="10" xfId="43" applyNumberFormat="1" applyFont="1" applyFill="1" applyBorder="1" applyAlignment="1" applyProtection="1">
      <alignment horizontal="center" vertical="center" wrapText="1"/>
      <protection locked="0"/>
    </xf>
    <xf numFmtId="43" fontId="29" fillId="0" borderId="0" xfId="32" applyNumberFormat="1" applyFont="1" applyBorder="1" applyAlignment="1">
      <alignment vertical="center"/>
    </xf>
    <xf numFmtId="10" fontId="30" fillId="0" borderId="0" xfId="0" applyNumberFormat="1" applyFont="1" applyAlignment="1">
      <alignment vertical="center"/>
      <protection locked="0"/>
    </xf>
    <xf numFmtId="186" fontId="30" fillId="0" borderId="0" xfId="0" applyFont="1" applyBorder="1" applyAlignment="1">
      <alignment horizontal="right" vertical="center"/>
      <protection locked="0"/>
    </xf>
    <xf numFmtId="186" fontId="13" fillId="0" borderId="2" xfId="1" applyBorder="1" applyAlignment="1">
      <protection locked="0"/>
    </xf>
    <xf numFmtId="186" fontId="13" fillId="0" borderId="2" xfId="1" quotePrefix="1" applyBorder="1" applyAlignment="1">
      <alignment vertical="center"/>
      <protection locked="0"/>
    </xf>
    <xf numFmtId="186" fontId="29" fillId="6" borderId="10" xfId="0" applyFont="1" applyFill="1" applyBorder="1" applyAlignment="1">
      <alignment horizontal="center" vertical="center" wrapText="1"/>
      <protection locked="0"/>
    </xf>
    <xf numFmtId="186" fontId="32" fillId="6" borderId="10" xfId="0" applyFont="1" applyFill="1" applyBorder="1" applyAlignment="1">
      <alignment horizontal="center" vertical="center" wrapText="1"/>
      <protection locked="0"/>
    </xf>
    <xf numFmtId="186" fontId="50" fillId="0" borderId="10" xfId="0" applyFont="1" applyFill="1" applyBorder="1" applyAlignment="1" applyProtection="1">
      <alignment vertical="center"/>
    </xf>
    <xf numFmtId="186" fontId="123" fillId="0" borderId="0" xfId="0" applyFont="1">
      <protection locked="0"/>
    </xf>
    <xf numFmtId="186" fontId="102" fillId="0" borderId="0" xfId="0" applyFont="1">
      <protection locked="0"/>
    </xf>
    <xf numFmtId="186" fontId="118" fillId="0" borderId="0" xfId="0" applyFont="1">
      <protection locked="0"/>
    </xf>
    <xf numFmtId="186" fontId="0" fillId="0" borderId="2" xfId="0" applyBorder="1" applyAlignment="1">
      <alignment horizontal="center" vertical="center"/>
      <protection locked="0"/>
    </xf>
    <xf numFmtId="186" fontId="5" fillId="0" borderId="2" xfId="0" applyFont="1" applyBorder="1" applyAlignment="1">
      <alignment horizontal="center" vertical="center"/>
      <protection locked="0"/>
    </xf>
    <xf numFmtId="186" fontId="43" fillId="0" borderId="0" xfId="0" applyFont="1" applyFill="1" applyBorder="1" applyAlignment="1">
      <alignment horizontal="left" vertical="center"/>
      <protection locked="0"/>
    </xf>
    <xf numFmtId="186" fontId="125" fillId="0" borderId="0" xfId="0" applyFont="1" applyAlignment="1">
      <alignment vertical="center"/>
      <protection locked="0"/>
    </xf>
    <xf numFmtId="186" fontId="40" fillId="6" borderId="14" xfId="0" applyFont="1" applyFill="1" applyBorder="1" applyAlignment="1">
      <alignment horizontal="centerContinuous" vertical="center" wrapText="1"/>
      <protection locked="0"/>
    </xf>
    <xf numFmtId="186" fontId="41" fillId="0" borderId="10" xfId="0" applyFont="1" applyBorder="1" applyAlignment="1">
      <alignment horizontal="center" vertical="center" wrapText="1"/>
      <protection locked="0"/>
    </xf>
    <xf numFmtId="43" fontId="41" fillId="0" borderId="10" xfId="204" applyFont="1" applyFill="1" applyBorder="1" applyAlignment="1">
      <alignment horizontal="right" vertical="center"/>
    </xf>
    <xf numFmtId="43" fontId="29" fillId="33" borderId="0" xfId="32" applyNumberFormat="1" applyFont="1" applyFill="1" applyBorder="1" applyAlignment="1">
      <alignment vertical="center"/>
    </xf>
    <xf numFmtId="43" fontId="32" fillId="33" borderId="0" xfId="32" applyNumberFormat="1" applyFont="1" applyFill="1" applyBorder="1" applyAlignment="1">
      <alignment vertical="center"/>
    </xf>
    <xf numFmtId="43" fontId="41" fillId="33" borderId="10" xfId="204" applyFont="1" applyFill="1" applyBorder="1" applyAlignment="1">
      <alignment horizontal="right" vertical="center"/>
    </xf>
    <xf numFmtId="43" fontId="30" fillId="33" borderId="0" xfId="32" applyNumberFormat="1" applyFont="1" applyFill="1" applyBorder="1" applyAlignment="1">
      <alignment vertical="center"/>
    </xf>
    <xf numFmtId="186" fontId="38" fillId="33" borderId="0" xfId="0" applyFont="1" applyFill="1" applyAlignment="1">
      <alignment vertical="center"/>
      <protection locked="0"/>
    </xf>
    <xf numFmtId="186" fontId="29" fillId="6" borderId="10" xfId="0" applyFont="1" applyFill="1" applyBorder="1" applyAlignment="1">
      <alignment horizontal="center" vertical="center" wrapText="1"/>
      <protection locked="0"/>
    </xf>
    <xf numFmtId="186" fontId="32" fillId="6" borderId="10" xfId="0" applyFont="1" applyFill="1" applyBorder="1" applyAlignment="1">
      <alignment horizontal="center" vertical="center" wrapText="1"/>
      <protection locked="0"/>
    </xf>
    <xf numFmtId="186" fontId="33" fillId="0" borderId="0" xfId="0" applyFont="1" applyBorder="1" applyAlignment="1">
      <alignment vertical="center"/>
      <protection locked="0"/>
    </xf>
    <xf numFmtId="186" fontId="9" fillId="2" borderId="0" xfId="0" applyFont="1" applyFill="1" applyBorder="1" applyAlignment="1" applyProtection="1">
      <alignment horizontal="justify" vertical="center" wrapText="1"/>
      <protection locked="0"/>
    </xf>
    <xf numFmtId="186" fontId="29" fillId="6" borderId="10" xfId="38" applyFont="1" applyFill="1" applyBorder="1" applyAlignment="1" applyProtection="1">
      <alignment horizontal="center" vertical="center"/>
    </xf>
    <xf numFmtId="186" fontId="9" fillId="6" borderId="0" xfId="0" applyFont="1" applyFill="1" applyBorder="1" applyAlignment="1">
      <alignment vertical="center" wrapText="1"/>
      <protection locked="0"/>
    </xf>
    <xf numFmtId="186" fontId="109" fillId="6" borderId="0" xfId="0" applyFont="1" applyFill="1" applyBorder="1" applyAlignment="1">
      <alignment vertical="center" wrapText="1"/>
      <protection locked="0"/>
    </xf>
    <xf numFmtId="186" fontId="30" fillId="0" borderId="10" xfId="0" applyFont="1" applyFill="1" applyBorder="1" applyAlignment="1">
      <alignment horizontal="left" vertical="center" wrapText="1"/>
      <protection locked="0"/>
    </xf>
    <xf numFmtId="186" fontId="43" fillId="0" borderId="10" xfId="203" applyFont="1" applyFill="1" applyBorder="1" applyAlignment="1">
      <alignment horizontal="center" vertical="center" wrapText="1"/>
    </xf>
    <xf numFmtId="186" fontId="90" fillId="0" borderId="0" xfId="0" applyFont="1" applyAlignment="1">
      <alignment horizontal="center" vertical="center"/>
      <protection locked="0"/>
    </xf>
    <xf numFmtId="186" fontId="9" fillId="0" borderId="0" xfId="0" applyFont="1" applyFill="1">
      <protection locked="0"/>
    </xf>
    <xf numFmtId="186" fontId="38" fillId="0" borderId="0" xfId="0" applyFont="1" applyAlignment="1">
      <alignment vertical="center" wrapText="1"/>
      <protection locked="0"/>
    </xf>
    <xf numFmtId="186" fontId="47" fillId="6" borderId="14" xfId="0" applyFont="1" applyFill="1" applyBorder="1" applyAlignment="1">
      <alignment horizontal="center" vertical="center"/>
      <protection locked="0"/>
    </xf>
    <xf numFmtId="43" fontId="41" fillId="0" borderId="10" xfId="41" applyFont="1" applyFill="1" applyBorder="1" applyAlignment="1" applyProtection="1">
      <alignment horizontal="right" vertical="center" wrapText="1"/>
      <protection locked="0"/>
    </xf>
    <xf numFmtId="186" fontId="43" fillId="33" borderId="0" xfId="35" applyNumberFormat="1" applyFont="1" applyFill="1" applyBorder="1" applyAlignment="1">
      <alignment horizontal="right" vertical="center"/>
    </xf>
    <xf numFmtId="43" fontId="40" fillId="6" borderId="0" xfId="0" applyNumberFormat="1" applyFont="1" applyFill="1" applyBorder="1" applyAlignment="1">
      <alignment horizontal="right" vertical="center" wrapText="1"/>
      <protection locked="0"/>
    </xf>
    <xf numFmtId="186" fontId="116" fillId="33" borderId="0" xfId="0" applyFont="1" applyFill="1" applyBorder="1" applyAlignment="1">
      <alignment vertical="center"/>
      <protection locked="0"/>
    </xf>
    <xf numFmtId="43" fontId="37" fillId="0" borderId="0" xfId="31" applyNumberFormat="1" applyFont="1" applyBorder="1" applyAlignment="1">
      <alignment vertical="center"/>
      <protection locked="0"/>
    </xf>
    <xf numFmtId="186" fontId="116" fillId="33" borderId="14" xfId="0" applyFont="1" applyFill="1" applyBorder="1" applyAlignment="1">
      <alignment vertical="center"/>
      <protection locked="0"/>
    </xf>
    <xf numFmtId="186" fontId="40" fillId="6" borderId="0" xfId="0" applyFont="1" applyFill="1" applyBorder="1" applyAlignment="1">
      <alignment horizontal="centerContinuous" vertical="center" wrapText="1"/>
      <protection locked="0"/>
    </xf>
    <xf numFmtId="186" fontId="32" fillId="6" borderId="0" xfId="0" applyFont="1" applyFill="1" applyBorder="1" applyAlignment="1">
      <alignment horizontal="centerContinuous" vertical="center" wrapText="1"/>
      <protection locked="0"/>
    </xf>
    <xf numFmtId="186" fontId="47" fillId="6" borderId="0" xfId="0" applyFont="1" applyFill="1" applyBorder="1" applyAlignment="1">
      <alignment horizontal="center" vertical="center"/>
      <protection locked="0"/>
    </xf>
    <xf numFmtId="186" fontId="32" fillId="6" borderId="0" xfId="0" applyFont="1" applyFill="1" applyBorder="1" applyAlignment="1">
      <alignment horizontal="left" vertical="center" wrapText="1"/>
      <protection locked="0"/>
    </xf>
    <xf numFmtId="10" fontId="41" fillId="6" borderId="14" xfId="201" applyNumberFormat="1" applyFont="1" applyFill="1" applyBorder="1" applyAlignment="1" applyProtection="1">
      <alignment horizontal="right" vertical="center" wrapText="1"/>
      <protection locked="0"/>
    </xf>
    <xf numFmtId="43" fontId="30" fillId="0" borderId="10" xfId="41" applyFont="1" applyBorder="1" applyAlignment="1" applyProtection="1">
      <alignment horizontal="center" vertical="center"/>
      <protection locked="0"/>
    </xf>
    <xf numFmtId="186" fontId="44" fillId="0" borderId="0" xfId="28" applyFont="1" applyAlignment="1">
      <alignment vertical="center"/>
      <protection locked="0"/>
    </xf>
    <xf numFmtId="186" fontId="119" fillId="0" borderId="0" xfId="210" applyFont="1" applyFill="1" applyAlignment="1">
      <alignment horizontal="left" vertical="center"/>
    </xf>
    <xf numFmtId="186" fontId="9" fillId="0" borderId="0" xfId="0" applyFont="1" applyBorder="1" applyAlignment="1">
      <alignment horizontal="center" vertical="center"/>
      <protection locked="0"/>
    </xf>
    <xf numFmtId="43" fontId="30" fillId="0" borderId="0" xfId="41" applyFont="1" applyBorder="1" applyAlignment="1" applyProtection="1">
      <alignment horizontal="center" vertical="center"/>
      <protection locked="0"/>
    </xf>
    <xf numFmtId="10" fontId="30" fillId="0" borderId="0" xfId="201" applyNumberFormat="1" applyFont="1" applyBorder="1" applyAlignment="1" applyProtection="1">
      <alignment horizontal="center" vertical="center"/>
      <protection locked="0"/>
    </xf>
    <xf numFmtId="186" fontId="43" fillId="0" borderId="0" xfId="28" applyFont="1" applyAlignment="1">
      <alignment vertical="center"/>
      <protection locked="0"/>
    </xf>
    <xf numFmtId="0" fontId="8" fillId="0" borderId="2" xfId="0" applyNumberFormat="1" applyFont="1" applyBorder="1" applyAlignment="1">
      <alignment horizontal="center" wrapText="1"/>
      <protection locked="0"/>
    </xf>
    <xf numFmtId="186" fontId="36" fillId="0" borderId="0" xfId="0" applyFont="1" applyAlignment="1">
      <alignment horizontal="left" vertical="center" wrapText="1"/>
      <protection locked="0"/>
    </xf>
    <xf numFmtId="186" fontId="38" fillId="0" borderId="0" xfId="0" applyFont="1" applyAlignment="1">
      <alignment horizontal="left" vertical="center" wrapText="1"/>
      <protection locked="0"/>
    </xf>
    <xf numFmtId="186" fontId="11" fillId="0" borderId="10" xfId="203" applyFont="1" applyFill="1" applyBorder="1" applyAlignment="1" applyProtection="1">
      <alignment horizontal="left" vertical="center" wrapText="1"/>
      <protection locked="0"/>
    </xf>
    <xf numFmtId="186" fontId="6" fillId="0" borderId="0" xfId="202" applyFont="1" applyFill="1" applyAlignment="1">
      <alignment horizontal="center" vertical="center"/>
    </xf>
    <xf numFmtId="186" fontId="90" fillId="0" borderId="0" xfId="202" applyFont="1" applyFill="1" applyAlignment="1">
      <alignment horizontal="center" vertical="center"/>
    </xf>
    <xf numFmtId="186" fontId="91" fillId="0" borderId="0" xfId="202" applyFont="1" applyFill="1" applyAlignment="1">
      <alignment horizontal="center" vertical="center"/>
    </xf>
    <xf numFmtId="186" fontId="64" fillId="6" borderId="10" xfId="203" applyFont="1" applyFill="1" applyBorder="1" applyAlignment="1" applyProtection="1">
      <alignment horizontal="center" vertical="center" wrapText="1"/>
      <protection locked="0"/>
    </xf>
    <xf numFmtId="186" fontId="9" fillId="0" borderId="10" xfId="203" applyFont="1" applyFill="1" applyBorder="1" applyAlignment="1" applyProtection="1">
      <alignment horizontal="center" vertical="center" wrapText="1"/>
      <protection locked="0"/>
    </xf>
    <xf numFmtId="186" fontId="29" fillId="6" borderId="10" xfId="203" applyFont="1" applyFill="1" applyBorder="1" applyAlignment="1" applyProtection="1">
      <alignment horizontal="center" vertical="center" wrapText="1"/>
      <protection locked="0"/>
    </xf>
    <xf numFmtId="186" fontId="29" fillId="6" borderId="10" xfId="203" applyFont="1" applyFill="1" applyBorder="1" applyAlignment="1" applyProtection="1">
      <alignment horizontal="center" vertical="center"/>
      <protection locked="0"/>
    </xf>
    <xf numFmtId="186" fontId="32" fillId="6" borderId="10" xfId="203" applyFont="1" applyFill="1" applyBorder="1" applyAlignment="1" applyProtection="1">
      <alignment horizontal="center" vertical="center"/>
      <protection locked="0"/>
    </xf>
    <xf numFmtId="186" fontId="32" fillId="6" borderId="10" xfId="203" applyFont="1" applyFill="1" applyBorder="1" applyAlignment="1" applyProtection="1">
      <alignment horizontal="center" vertical="center" wrapText="1"/>
      <protection locked="0"/>
    </xf>
    <xf numFmtId="186" fontId="29" fillId="0" borderId="29" xfId="203" applyFont="1" applyFill="1" applyBorder="1" applyAlignment="1" applyProtection="1">
      <alignment horizontal="left" vertical="center" wrapText="1"/>
      <protection locked="0"/>
    </xf>
    <xf numFmtId="49" fontId="29" fillId="6" borderId="10" xfId="203" applyNumberFormat="1" applyFont="1" applyFill="1" applyBorder="1" applyAlignment="1" applyProtection="1">
      <alignment horizontal="center" vertical="center"/>
      <protection locked="0"/>
    </xf>
    <xf numFmtId="186" fontId="51" fillId="0" borderId="6" xfId="203" applyFont="1" applyFill="1" applyBorder="1" applyAlignment="1">
      <alignment horizontal="left" vertical="center" wrapText="1"/>
    </xf>
    <xf numFmtId="186" fontId="51" fillId="0" borderId="3" xfId="203" applyFont="1" applyFill="1" applyBorder="1" applyAlignment="1">
      <alignment horizontal="left" vertical="center" wrapText="1"/>
    </xf>
    <xf numFmtId="186" fontId="51" fillId="0" borderId="0" xfId="203" applyFont="1" applyFill="1" applyBorder="1" applyAlignment="1">
      <alignment horizontal="left" vertical="center" wrapText="1"/>
    </xf>
    <xf numFmtId="186" fontId="45" fillId="0" borderId="0" xfId="203" applyFont="1" applyFill="1" applyBorder="1" applyAlignment="1">
      <alignment horizontal="left" vertical="center" wrapText="1"/>
    </xf>
    <xf numFmtId="186" fontId="51" fillId="0" borderId="27" xfId="203" applyFont="1" applyFill="1" applyBorder="1" applyAlignment="1">
      <alignment horizontal="left" vertical="center" wrapText="1"/>
    </xf>
    <xf numFmtId="186" fontId="51" fillId="0" borderId="29" xfId="203" applyFont="1" applyFill="1" applyBorder="1" applyAlignment="1">
      <alignment horizontal="left" vertical="center" wrapText="1"/>
    </xf>
    <xf numFmtId="186" fontId="51" fillId="0" borderId="30" xfId="203" applyFont="1" applyFill="1" applyBorder="1" applyAlignment="1">
      <alignment horizontal="left" vertical="center" wrapText="1"/>
    </xf>
    <xf numFmtId="186" fontId="36" fillId="0" borderId="0" xfId="202" applyFont="1" applyFill="1" applyAlignment="1">
      <alignment horizontal="center" vertical="center"/>
    </xf>
    <xf numFmtId="186" fontId="64" fillId="0" borderId="10" xfId="208" applyFont="1" applyFill="1" applyBorder="1" applyAlignment="1" applyProtection="1">
      <alignment horizontal="left" vertical="center" wrapText="1"/>
      <protection locked="0"/>
    </xf>
    <xf numFmtId="186" fontId="64" fillId="0" borderId="6" xfId="208" applyFont="1" applyFill="1" applyBorder="1" applyAlignment="1" applyProtection="1">
      <alignment horizontal="center" vertical="center"/>
      <protection locked="0"/>
    </xf>
    <xf numFmtId="186" fontId="64" fillId="0" borderId="3" xfId="208" applyFont="1" applyFill="1" applyBorder="1" applyAlignment="1" applyProtection="1">
      <alignment horizontal="center" vertical="center"/>
      <protection locked="0"/>
    </xf>
    <xf numFmtId="186" fontId="64" fillId="0" borderId="4" xfId="208" applyFont="1" applyFill="1" applyBorder="1" applyAlignment="1" applyProtection="1">
      <alignment horizontal="center" vertical="center"/>
      <protection locked="0"/>
    </xf>
    <xf numFmtId="186" fontId="11" fillId="0" borderId="10" xfId="208" applyFont="1" applyFill="1" applyBorder="1" applyAlignment="1" applyProtection="1">
      <alignment horizontal="left" vertical="center" wrapText="1"/>
      <protection locked="0"/>
    </xf>
    <xf numFmtId="186" fontId="106" fillId="0" borderId="6" xfId="208" applyFont="1" applyFill="1" applyBorder="1" applyAlignment="1">
      <alignment vertical="center" wrapText="1"/>
    </xf>
    <xf numFmtId="186" fontId="106" fillId="0" borderId="4" xfId="208" applyFont="1" applyFill="1" applyBorder="1" applyAlignment="1">
      <alignment vertical="center" wrapText="1"/>
    </xf>
    <xf numFmtId="186" fontId="45" fillId="0" borderId="5" xfId="208" applyFont="1" applyFill="1" applyBorder="1" applyAlignment="1">
      <alignment horizontal="center" vertical="center" wrapText="1"/>
    </xf>
    <xf numFmtId="186" fontId="45" fillId="0" borderId="14" xfId="208" applyFont="1" applyFill="1" applyBorder="1" applyAlignment="1">
      <alignment horizontal="center" vertical="center" wrapText="1"/>
    </xf>
    <xf numFmtId="186" fontId="45" fillId="0" borderId="15" xfId="208" applyFont="1" applyFill="1" applyBorder="1" applyAlignment="1">
      <alignment horizontal="center" vertical="center" wrapText="1"/>
    </xf>
    <xf numFmtId="186" fontId="45" fillId="0" borderId="6" xfId="208" applyFont="1" applyFill="1" applyBorder="1" applyAlignment="1">
      <alignment horizontal="center" vertical="center" wrapText="1"/>
    </xf>
    <xf numFmtId="186" fontId="45" fillId="0" borderId="4" xfId="208" applyFont="1" applyFill="1" applyBorder="1" applyAlignment="1">
      <alignment horizontal="center" vertical="center" wrapText="1"/>
    </xf>
    <xf numFmtId="186" fontId="106" fillId="33" borderId="6" xfId="208" applyFont="1" applyFill="1" applyBorder="1" applyAlignment="1">
      <alignment vertical="center" wrapText="1"/>
    </xf>
    <xf numFmtId="186" fontId="106" fillId="33" borderId="4" xfId="208" applyFont="1" applyFill="1" applyBorder="1" applyAlignment="1">
      <alignment vertical="center" wrapText="1"/>
    </xf>
    <xf numFmtId="186" fontId="45" fillId="33" borderId="5" xfId="208" applyFont="1" applyFill="1" applyBorder="1" applyAlignment="1">
      <alignment horizontal="center" vertical="center" wrapText="1"/>
    </xf>
    <xf numFmtId="186" fontId="45" fillId="33" borderId="14" xfId="208" applyFont="1" applyFill="1" applyBorder="1" applyAlignment="1">
      <alignment horizontal="center" vertical="center" wrapText="1"/>
    </xf>
    <xf numFmtId="186" fontId="45" fillId="33" borderId="15" xfId="208" applyFont="1" applyFill="1" applyBorder="1" applyAlignment="1">
      <alignment horizontal="center" vertical="center" wrapText="1"/>
    </xf>
    <xf numFmtId="186" fontId="43" fillId="33" borderId="6" xfId="208" applyFont="1" applyFill="1" applyBorder="1" applyAlignment="1">
      <alignment horizontal="center" vertical="center" wrapText="1"/>
    </xf>
    <xf numFmtId="186" fontId="43" fillId="33" borderId="4" xfId="208" applyFont="1" applyFill="1" applyBorder="1" applyAlignment="1">
      <alignment horizontal="center" vertical="center" wrapText="1"/>
    </xf>
    <xf numFmtId="186" fontId="29" fillId="33" borderId="10" xfId="208" applyFont="1" applyFill="1" applyBorder="1" applyAlignment="1" applyProtection="1">
      <alignment horizontal="center" vertical="center" wrapText="1"/>
      <protection locked="0"/>
    </xf>
    <xf numFmtId="186" fontId="32" fillId="33" borderId="10" xfId="208" applyFont="1" applyFill="1" applyBorder="1" applyAlignment="1" applyProtection="1">
      <alignment horizontal="center" vertical="center" wrapText="1"/>
      <protection locked="0"/>
    </xf>
    <xf numFmtId="186" fontId="32" fillId="33" borderId="10" xfId="208" applyFont="1" applyFill="1" applyBorder="1" applyAlignment="1" applyProtection="1">
      <alignment horizontal="center" vertical="center"/>
      <protection locked="0"/>
    </xf>
    <xf numFmtId="186" fontId="89" fillId="33" borderId="6" xfId="208" applyFont="1" applyFill="1" applyBorder="1" applyAlignment="1">
      <alignment vertical="center" wrapText="1"/>
    </xf>
    <xf numFmtId="186" fontId="89" fillId="0" borderId="6" xfId="208" applyFont="1" applyFill="1" applyBorder="1" applyAlignment="1">
      <alignment vertical="center" wrapText="1"/>
    </xf>
    <xf numFmtId="186" fontId="45" fillId="0" borderId="3" xfId="208" applyFont="1" applyFill="1" applyBorder="1" applyAlignment="1">
      <alignment horizontal="center" vertical="center" wrapText="1"/>
    </xf>
    <xf numFmtId="186" fontId="51" fillId="33" borderId="6" xfId="208" applyFont="1" applyFill="1" applyBorder="1" applyAlignment="1">
      <alignment vertical="center" wrapText="1"/>
    </xf>
    <xf numFmtId="186" fontId="45" fillId="33" borderId="4" xfId="208" applyFont="1" applyFill="1" applyBorder="1" applyAlignment="1">
      <alignment vertical="center" wrapText="1"/>
    </xf>
    <xf numFmtId="186" fontId="45" fillId="33" borderId="6" xfId="208" applyFont="1" applyFill="1" applyBorder="1" applyAlignment="1">
      <alignment horizontal="center" vertical="center" wrapText="1"/>
    </xf>
    <xf numFmtId="186" fontId="45" fillId="33" borderId="3" xfId="208" applyFont="1" applyFill="1" applyBorder="1" applyAlignment="1">
      <alignment horizontal="center" vertical="center" wrapText="1"/>
    </xf>
    <xf numFmtId="186" fontId="45" fillId="33" borderId="4" xfId="208" applyFont="1" applyFill="1" applyBorder="1" applyAlignment="1">
      <alignment horizontal="center" vertical="center" wrapText="1"/>
    </xf>
    <xf numFmtId="186" fontId="51" fillId="0" borderId="6" xfId="208" applyFont="1" applyFill="1" applyBorder="1" applyAlignment="1">
      <alignment vertical="center" wrapText="1"/>
    </xf>
    <xf numFmtId="186" fontId="45" fillId="0" borderId="4" xfId="208" applyFont="1" applyFill="1" applyBorder="1" applyAlignment="1">
      <alignment vertical="center" wrapText="1"/>
    </xf>
    <xf numFmtId="186" fontId="45" fillId="0" borderId="6" xfId="208" applyFont="1" applyFill="1" applyBorder="1" applyAlignment="1">
      <alignment vertical="center" wrapText="1"/>
    </xf>
    <xf numFmtId="186" fontId="43" fillId="0" borderId="6" xfId="208" applyFont="1" applyFill="1" applyBorder="1" applyAlignment="1">
      <alignment horizontal="center" vertical="center" wrapText="1"/>
    </xf>
    <xf numFmtId="186" fontId="43" fillId="0" borderId="4" xfId="208" applyFont="1" applyFill="1" applyBorder="1" applyAlignment="1">
      <alignment horizontal="center" vertical="center" wrapText="1"/>
    </xf>
    <xf numFmtId="186" fontId="51" fillId="0" borderId="6" xfId="208" applyFont="1" applyFill="1" applyBorder="1" applyAlignment="1">
      <alignment horizontal="left" vertical="center" wrapText="1"/>
    </xf>
    <xf numFmtId="186" fontId="51" fillId="0" borderId="4" xfId="208" applyFont="1" applyFill="1" applyBorder="1" applyAlignment="1">
      <alignment horizontal="left" vertical="center" wrapText="1"/>
    </xf>
    <xf numFmtId="186" fontId="89" fillId="0" borderId="6" xfId="208" applyFont="1" applyFill="1" applyBorder="1" applyAlignment="1">
      <alignment horizontal="left" vertical="center" wrapText="1"/>
    </xf>
    <xf numFmtId="186" fontId="89" fillId="0" borderId="4" xfId="208" applyFont="1" applyFill="1" applyBorder="1" applyAlignment="1">
      <alignment horizontal="left" vertical="center" wrapText="1"/>
    </xf>
    <xf numFmtId="186" fontId="51" fillId="33" borderId="6" xfId="208" applyFont="1" applyFill="1" applyBorder="1" applyAlignment="1">
      <alignment horizontal="center" vertical="center" wrapText="1"/>
    </xf>
    <xf numFmtId="186" fontId="51" fillId="0" borderId="14" xfId="203" applyFont="1" applyFill="1" applyBorder="1" applyAlignment="1">
      <alignment horizontal="left" vertical="center" wrapText="1"/>
    </xf>
    <xf numFmtId="186" fontId="51" fillId="0" borderId="5" xfId="203" applyFont="1" applyFill="1" applyBorder="1" applyAlignment="1">
      <alignment horizontal="left" vertical="center" wrapText="1"/>
    </xf>
    <xf numFmtId="186" fontId="51" fillId="0" borderId="15" xfId="203" applyFont="1" applyFill="1" applyBorder="1" applyAlignment="1">
      <alignment horizontal="left" vertical="center" wrapText="1"/>
    </xf>
    <xf numFmtId="186" fontId="51" fillId="0" borderId="31" xfId="203" applyFont="1" applyFill="1" applyBorder="1" applyAlignment="1">
      <alignment horizontal="left" vertical="center" wrapText="1"/>
    </xf>
    <xf numFmtId="186" fontId="51" fillId="0" borderId="28" xfId="203" applyFont="1" applyFill="1" applyBorder="1" applyAlignment="1">
      <alignment horizontal="left" vertical="center" wrapText="1"/>
    </xf>
    <xf numFmtId="186" fontId="40" fillId="6" borderId="10" xfId="0" applyFont="1" applyFill="1" applyBorder="1" applyAlignment="1" applyProtection="1">
      <alignment horizontal="center" vertical="center"/>
    </xf>
    <xf numFmtId="186" fontId="41" fillId="6" borderId="10" xfId="0" applyFont="1" applyFill="1" applyBorder="1" applyAlignment="1" applyProtection="1">
      <alignment vertical="center"/>
    </xf>
    <xf numFmtId="43" fontId="6" fillId="0" borderId="0" xfId="32" applyNumberFormat="1" applyFont="1" applyBorder="1" applyAlignment="1">
      <alignment horizontal="center" vertical="center"/>
    </xf>
    <xf numFmtId="43" fontId="90" fillId="0" borderId="0" xfId="32" applyNumberFormat="1" applyFont="1" applyBorder="1" applyAlignment="1">
      <alignment horizontal="center" vertical="center"/>
    </xf>
    <xf numFmtId="43" fontId="91" fillId="0" borderId="0" xfId="32" applyNumberFormat="1" applyFont="1" applyBorder="1" applyAlignment="1">
      <alignment horizontal="center" vertical="center"/>
    </xf>
    <xf numFmtId="186" fontId="40" fillId="6" borderId="10" xfId="0" applyFont="1" applyFill="1" applyBorder="1" applyAlignment="1" applyProtection="1">
      <alignment vertical="center"/>
    </xf>
    <xf numFmtId="186" fontId="32" fillId="6" borderId="6" xfId="42" applyFont="1" applyFill="1" applyBorder="1" applyAlignment="1" applyProtection="1">
      <alignment horizontal="center" vertical="center" wrapText="1"/>
      <protection locked="0"/>
    </xf>
    <xf numFmtId="186" fontId="32" fillId="6" borderId="3" xfId="42" applyFont="1" applyFill="1" applyBorder="1" applyAlignment="1" applyProtection="1">
      <alignment horizontal="center" vertical="center" wrapText="1"/>
      <protection locked="0"/>
    </xf>
    <xf numFmtId="186" fontId="32" fillId="6" borderId="4" xfId="42" applyFont="1" applyFill="1" applyBorder="1" applyAlignment="1" applyProtection="1">
      <alignment horizontal="center" vertical="center" wrapText="1"/>
      <protection locked="0"/>
    </xf>
    <xf numFmtId="186" fontId="40" fillId="6" borderId="10" xfId="43" applyNumberFormat="1" applyFont="1" applyFill="1" applyBorder="1" applyAlignment="1" applyProtection="1">
      <alignment horizontal="center" vertical="center" wrapText="1"/>
      <protection locked="0"/>
    </xf>
    <xf numFmtId="186" fontId="32" fillId="6" borderId="10" xfId="43" applyFont="1" applyFill="1" applyBorder="1" applyAlignment="1" applyProtection="1">
      <alignment horizontal="center" vertical="center" wrapText="1"/>
      <protection locked="0"/>
    </xf>
    <xf numFmtId="186" fontId="102" fillId="0" borderId="8" xfId="0" applyFont="1" applyBorder="1" applyAlignment="1">
      <alignment horizontal="left" vertical="center"/>
      <protection locked="0"/>
    </xf>
    <xf numFmtId="186" fontId="101" fillId="0" borderId="0" xfId="0" applyFont="1" applyAlignment="1">
      <alignment horizontal="left" vertical="center" wrapText="1"/>
      <protection locked="0"/>
    </xf>
    <xf numFmtId="186" fontId="6" fillId="0" borderId="0" xfId="0" applyFont="1" applyAlignment="1">
      <alignment horizontal="center" vertical="center"/>
      <protection locked="0"/>
    </xf>
    <xf numFmtId="186" fontId="90" fillId="0" borderId="0" xfId="0" applyFont="1" applyAlignment="1">
      <alignment horizontal="center" vertical="center"/>
      <protection locked="0"/>
    </xf>
    <xf numFmtId="186" fontId="91" fillId="0" borderId="0" xfId="0" applyFont="1" applyAlignment="1">
      <alignment horizontal="center" vertical="center"/>
      <protection locked="0"/>
    </xf>
    <xf numFmtId="186" fontId="99" fillId="0" borderId="7" xfId="0" applyFont="1" applyBorder="1" applyAlignment="1">
      <alignment horizontal="justify" vertical="center" wrapText="1"/>
      <protection locked="0"/>
    </xf>
    <xf numFmtId="186" fontId="99" fillId="0" borderId="8" xfId="0" applyFont="1" applyBorder="1" applyAlignment="1">
      <alignment horizontal="justify" vertical="center" wrapText="1"/>
      <protection locked="0"/>
    </xf>
    <xf numFmtId="186" fontId="99" fillId="0" borderId="7" xfId="0" applyFont="1" applyBorder="1" applyAlignment="1">
      <alignment horizontal="center" vertical="center" wrapText="1"/>
      <protection locked="0"/>
    </xf>
    <xf numFmtId="186" fontId="102" fillId="0" borderId="0" xfId="0" applyFont="1" applyAlignment="1">
      <alignment horizontal="left" vertical="center" wrapText="1"/>
      <protection locked="0"/>
    </xf>
    <xf numFmtId="186" fontId="101" fillId="0" borderId="8" xfId="0" applyFont="1" applyBorder="1" applyAlignment="1">
      <alignment horizontal="left" vertical="center"/>
      <protection locked="0"/>
    </xf>
    <xf numFmtId="186" fontId="29" fillId="0" borderId="9" xfId="0" applyFont="1" applyBorder="1" applyAlignment="1">
      <alignment horizontal="center" vertical="center"/>
      <protection locked="0"/>
    </xf>
    <xf numFmtId="186" fontId="99" fillId="0" borderId="0" xfId="0" applyFont="1" applyBorder="1" applyAlignment="1">
      <alignment horizontal="justify" vertical="center" wrapText="1"/>
      <protection locked="0"/>
    </xf>
    <xf numFmtId="186" fontId="99" fillId="0" borderId="8" xfId="0" applyFont="1" applyBorder="1" applyAlignment="1">
      <alignment horizontal="center" vertical="center" wrapText="1"/>
      <protection locked="0"/>
    </xf>
    <xf numFmtId="186" fontId="36" fillId="0" borderId="0" xfId="0" applyFont="1" applyAlignment="1">
      <alignment horizontal="center" vertical="center"/>
      <protection locked="0"/>
    </xf>
    <xf numFmtId="186" fontId="99" fillId="0" borderId="0" xfId="0" applyFont="1" applyBorder="1" applyAlignment="1">
      <alignment horizontal="center" vertical="center" wrapText="1"/>
      <protection locked="0"/>
    </xf>
    <xf numFmtId="186" fontId="29" fillId="6" borderId="6" xfId="0" applyFont="1" applyFill="1" applyBorder="1" applyAlignment="1">
      <alignment horizontal="center" vertical="center"/>
      <protection locked="0"/>
    </xf>
    <xf numFmtId="186" fontId="29" fillId="6" borderId="3" xfId="0" applyFont="1" applyFill="1" applyBorder="1" applyAlignment="1">
      <alignment horizontal="center" vertical="center"/>
      <protection locked="0"/>
    </xf>
    <xf numFmtId="186" fontId="29" fillId="6" borderId="4" xfId="0" applyFont="1" applyFill="1" applyBorder="1" applyAlignment="1">
      <alignment horizontal="center" vertical="center"/>
      <protection locked="0"/>
    </xf>
    <xf numFmtId="186" fontId="29" fillId="6" borderId="10" xfId="0" applyFont="1" applyFill="1" applyBorder="1" applyAlignment="1">
      <alignment horizontal="center" vertical="center" wrapText="1"/>
      <protection locked="0"/>
    </xf>
    <xf numFmtId="186" fontId="32" fillId="6" borderId="10" xfId="0" applyFont="1" applyFill="1" applyBorder="1" applyAlignment="1">
      <alignment horizontal="center" vertical="center" wrapText="1"/>
      <protection locked="0"/>
    </xf>
    <xf numFmtId="186" fontId="6" fillId="0" borderId="0" xfId="30" applyFont="1" applyAlignment="1">
      <alignment horizontal="center" vertical="center" wrapText="1"/>
    </xf>
    <xf numFmtId="186" fontId="90" fillId="0" borderId="0" xfId="30" applyFont="1" applyAlignment="1">
      <alignment horizontal="center" vertical="center" wrapText="1"/>
    </xf>
    <xf numFmtId="186" fontId="91" fillId="0" borderId="0" xfId="30" applyFont="1" applyAlignment="1">
      <alignment horizontal="center" vertical="center" wrapText="1"/>
    </xf>
    <xf numFmtId="186" fontId="99" fillId="6" borderId="10" xfId="0" applyFont="1" applyFill="1" applyBorder="1" applyAlignment="1">
      <alignment horizontal="center" vertical="center" wrapText="1"/>
      <protection locked="0"/>
    </xf>
    <xf numFmtId="186" fontId="32" fillId="6" borderId="11" xfId="0" applyFont="1" applyFill="1" applyBorder="1" applyAlignment="1">
      <alignment horizontal="center" vertical="center" wrapText="1"/>
      <protection locked="0"/>
    </xf>
    <xf numFmtId="186" fontId="32" fillId="6" borderId="12" xfId="0" applyFont="1" applyFill="1" applyBorder="1" applyAlignment="1">
      <alignment horizontal="center" vertical="center" wrapText="1"/>
      <protection locked="0"/>
    </xf>
    <xf numFmtId="186" fontId="29" fillId="6" borderId="11" xfId="0" applyFont="1" applyFill="1" applyBorder="1" applyAlignment="1">
      <alignment horizontal="center" vertical="center" wrapText="1"/>
      <protection locked="0"/>
    </xf>
    <xf numFmtId="186" fontId="99" fillId="6" borderId="11" xfId="0" applyFont="1" applyFill="1" applyBorder="1" applyAlignment="1">
      <alignment horizontal="center" vertical="center" wrapText="1"/>
      <protection locked="0"/>
    </xf>
    <xf numFmtId="186" fontId="99" fillId="6" borderId="12" xfId="0" applyFont="1" applyFill="1" applyBorder="1" applyAlignment="1">
      <alignment horizontal="center" vertical="center" wrapText="1"/>
      <protection locked="0"/>
    </xf>
    <xf numFmtId="186" fontId="99" fillId="6" borderId="6" xfId="0" applyFont="1" applyFill="1" applyBorder="1" applyAlignment="1">
      <alignment horizontal="center" vertical="center" wrapText="1"/>
      <protection locked="0"/>
    </xf>
    <xf numFmtId="186" fontId="99" fillId="6" borderId="3" xfId="0" applyFont="1" applyFill="1" applyBorder="1" applyAlignment="1">
      <alignment horizontal="center" vertical="center" wrapText="1"/>
      <protection locked="0"/>
    </xf>
    <xf numFmtId="186" fontId="99" fillId="6" borderId="4" xfId="0" applyFont="1" applyFill="1" applyBorder="1" applyAlignment="1">
      <alignment horizontal="center" vertical="center" wrapText="1"/>
      <protection locked="0"/>
    </xf>
    <xf numFmtId="43" fontId="124" fillId="0" borderId="0" xfId="32" applyNumberFormat="1" applyFont="1" applyBorder="1" applyAlignment="1">
      <alignment horizontal="center" vertical="center"/>
    </xf>
    <xf numFmtId="186" fontId="104" fillId="0" borderId="0" xfId="38" applyFont="1" applyFill="1" applyBorder="1" applyAlignment="1" applyProtection="1">
      <alignment horizontal="left" vertical="center" wrapText="1"/>
      <protection locked="0"/>
    </xf>
    <xf numFmtId="186" fontId="30" fillId="0" borderId="0" xfId="38" applyFont="1" applyFill="1" applyBorder="1" applyAlignment="1" applyProtection="1">
      <alignment horizontal="left" vertical="center" wrapText="1"/>
      <protection locked="0"/>
    </xf>
    <xf numFmtId="186" fontId="99" fillId="6" borderId="10" xfId="40" applyNumberFormat="1" applyFont="1" applyFill="1" applyBorder="1" applyAlignment="1">
      <alignment horizontal="center" vertical="center"/>
    </xf>
    <xf numFmtId="186" fontId="99" fillId="6" borderId="6" xfId="40" applyNumberFormat="1" applyFont="1" applyFill="1" applyBorder="1" applyAlignment="1">
      <alignment horizontal="center" vertical="center"/>
    </xf>
    <xf numFmtId="186" fontId="99" fillId="6" borderId="3" xfId="40" applyNumberFormat="1" applyFont="1" applyFill="1" applyBorder="1" applyAlignment="1">
      <alignment horizontal="center" vertical="center"/>
    </xf>
    <xf numFmtId="186" fontId="99" fillId="6" borderId="4" xfId="40" applyNumberFormat="1" applyFont="1" applyFill="1" applyBorder="1" applyAlignment="1">
      <alignment horizontal="center" vertical="center"/>
    </xf>
    <xf numFmtId="186" fontId="124" fillId="0" borderId="0" xfId="0" applyFont="1" applyFill="1" applyAlignment="1">
      <alignment horizontal="center" vertical="center"/>
      <protection locked="0"/>
    </xf>
    <xf numFmtId="186" fontId="6" fillId="0" borderId="0" xfId="29" applyFont="1" applyBorder="1" applyAlignment="1">
      <alignment horizontal="center" vertical="center" wrapText="1"/>
    </xf>
    <xf numFmtId="186" fontId="90" fillId="0" borderId="0" xfId="29" applyFont="1" applyBorder="1" applyAlignment="1">
      <alignment horizontal="center" vertical="center" wrapText="1"/>
    </xf>
    <xf numFmtId="186" fontId="91" fillId="0" borderId="0" xfId="29" applyFont="1" applyBorder="1" applyAlignment="1">
      <alignment horizontal="center" vertical="center" wrapText="1"/>
    </xf>
    <xf numFmtId="186" fontId="29" fillId="34" borderId="10" xfId="28" applyNumberFormat="1" applyFont="1" applyFill="1" applyBorder="1" applyAlignment="1" applyProtection="1">
      <alignment horizontal="center" vertical="center" wrapText="1"/>
    </xf>
    <xf numFmtId="186" fontId="29" fillId="6" borderId="10" xfId="28" applyFont="1" applyFill="1" applyBorder="1" applyAlignment="1">
      <alignment horizontal="center" vertical="center"/>
      <protection locked="0"/>
    </xf>
    <xf numFmtId="186" fontId="114" fillId="34" borderId="10" xfId="28" applyNumberFormat="1" applyFont="1" applyFill="1" applyBorder="1" applyAlignment="1" applyProtection="1">
      <alignment horizontal="center" vertical="center" wrapText="1"/>
    </xf>
    <xf numFmtId="186" fontId="109" fillId="34" borderId="10" xfId="28" applyNumberFormat="1" applyFont="1" applyFill="1" applyBorder="1" applyAlignment="1" applyProtection="1">
      <alignment horizontal="center" vertical="center" wrapText="1"/>
    </xf>
    <xf numFmtId="186" fontId="115" fillId="34" borderId="10" xfId="28" applyNumberFormat="1" applyFont="1" applyFill="1" applyBorder="1" applyAlignment="1" applyProtection="1">
      <alignment horizontal="center" vertical="center" wrapText="1"/>
    </xf>
  </cellXfs>
  <cellStyles count="211">
    <cellStyle name="?" xfId="2"/>
    <cellStyle name="?餡_x000c_k" xfId="46"/>
    <cellStyle name="?餡_x000c_k?_x000d_^" xfId="47"/>
    <cellStyle name="?餡_x000c_k?_x000d_^黇_x0001_??_x0007__x0001__x0001_" xfId="48"/>
    <cellStyle name="@_text" xfId="3"/>
    <cellStyle name="_2005审计报表及附注-中国建材股份模板（房屋）" xfId="49"/>
    <cellStyle name="_2006年年报审计PBC表-XXX" xfId="50"/>
    <cellStyle name="_2006年年报审计填报资料" xfId="51"/>
    <cellStyle name="_Book1" xfId="52"/>
    <cellStyle name="_PBC审核提示" xfId="53"/>
    <cellStyle name="_宝丽华房地产20051231" xfId="54"/>
    <cellStyle name="_保证金-企业填写部分" xfId="55"/>
    <cellStyle name="_北新房屋2004年审-刘" xfId="56"/>
    <cellStyle name="_北新股份2005年审工作底稿" xfId="57"/>
    <cellStyle name="_北新建材关连交易基础表051230（10－12月版）更新稿" xfId="58"/>
    <cellStyle name="_北新建材-会计报表附注模版" xfId="59"/>
    <cellStyle name="_北新龙之星2004年审工作底稿" xfId="60"/>
    <cellStyle name="_北新物流2005底稿-刘" xfId="61"/>
    <cellStyle name="_北新置换memo" xfId="62"/>
    <cellStyle name="_存货结转测试" xfId="63"/>
    <cellStyle name="_存货数量与明细05.12" xfId="64"/>
    <cellStyle name="_动力厂2004年审工作底稿-刘" xfId="65"/>
    <cellStyle name="_分工" xfId="66"/>
    <cellStyle name="_工程施工项目现场审计提示" xfId="67"/>
    <cellStyle name="_关联交易" xfId="68"/>
    <cellStyle name="_关联交易、往来统计表" xfId="69"/>
    <cellStyle name="_建造合同-宜万指（正式版）" xfId="70"/>
    <cellStyle name="_科目核对表" xfId="71"/>
    <cellStyle name="_母PL" xfId="72"/>
    <cellStyle name="_人员分工备忘录" xfId="73"/>
    <cellStyle name="_审计所需资料清单－子公司" xfId="74"/>
    <cellStyle name="_一公司建造合同前5名" xfId="75"/>
    <cellStyle name="_一公司－刘丰收" xfId="76"/>
    <cellStyle name="_长期借款－江阴" xfId="77"/>
    <cellStyle name="_子公司审计提示模版-Liufs" xfId="78"/>
    <cellStyle name="{Comma [0]}" xfId="4"/>
    <cellStyle name="{Comma}" xfId="5"/>
    <cellStyle name="{Date}" xfId="6"/>
    <cellStyle name="{Month}" xfId="7"/>
    <cellStyle name="{Percent}" xfId="8"/>
    <cellStyle name="{Thousand [0]}" xfId="9"/>
    <cellStyle name="{Thousand}" xfId="10"/>
    <cellStyle name="{Z'0000(1 dec)}" xfId="11"/>
    <cellStyle name="{Z'0000(4 dec)}" xfId="12"/>
    <cellStyle name="0%" xfId="79"/>
    <cellStyle name="0.0%" xfId="80"/>
    <cellStyle name="0.00%" xfId="81"/>
    <cellStyle name="20% - Accent1" xfId="82"/>
    <cellStyle name="20% - Accent2" xfId="83"/>
    <cellStyle name="20% - Accent3" xfId="84"/>
    <cellStyle name="20% - Accent4" xfId="85"/>
    <cellStyle name="20% - Accent5" xfId="86"/>
    <cellStyle name="20% - Accent6" xfId="87"/>
    <cellStyle name="40% - Accent1" xfId="88"/>
    <cellStyle name="40% - Accent2" xfId="89"/>
    <cellStyle name="40% - Accent3" xfId="90"/>
    <cellStyle name="40% - Accent4" xfId="91"/>
    <cellStyle name="40% - Accent5" xfId="92"/>
    <cellStyle name="40% - Accent6" xfId="93"/>
    <cellStyle name="60% - Accent1" xfId="94"/>
    <cellStyle name="60% - Accent2" xfId="95"/>
    <cellStyle name="60% - Accent3" xfId="96"/>
    <cellStyle name="60% - Accent4" xfId="97"/>
    <cellStyle name="60% - Accent5" xfId="98"/>
    <cellStyle name="60% - Accent6" xfId="99"/>
    <cellStyle name="Accent1" xfId="100"/>
    <cellStyle name="Accent2" xfId="101"/>
    <cellStyle name="Accent3" xfId="102"/>
    <cellStyle name="Accent4" xfId="103"/>
    <cellStyle name="Accent5" xfId="104"/>
    <cellStyle name="Accent6" xfId="105"/>
    <cellStyle name="Bad" xfId="106"/>
    <cellStyle name="Black" xfId="13"/>
    <cellStyle name="Border" xfId="14"/>
    <cellStyle name="Calc Currency (0)" xfId="107"/>
    <cellStyle name="Calculation" xfId="108"/>
    <cellStyle name="Check Cell" xfId="109"/>
    <cellStyle name="Col Heads" xfId="110"/>
    <cellStyle name="Column_Title" xfId="111"/>
    <cellStyle name="Comma  - Style1" xfId="112"/>
    <cellStyle name="Comma  - Style2" xfId="113"/>
    <cellStyle name="Comma  - Style3" xfId="114"/>
    <cellStyle name="Comma  - Style4" xfId="115"/>
    <cellStyle name="Comma  - Style5" xfId="116"/>
    <cellStyle name="Comma  - Style6" xfId="117"/>
    <cellStyle name="Comma  - Style7" xfId="118"/>
    <cellStyle name="Comma  - Style8" xfId="119"/>
    <cellStyle name="Comma [0]_ rislugp" xfId="120"/>
    <cellStyle name="Comma,0" xfId="121"/>
    <cellStyle name="Comma,1" xfId="122"/>
    <cellStyle name="Comma,2" xfId="123"/>
    <cellStyle name="Comma_ rislugp" xfId="124"/>
    <cellStyle name="Currency [0]_ rislugp" xfId="125"/>
    <cellStyle name="Currency,0" xfId="126"/>
    <cellStyle name="Currency,2" xfId="127"/>
    <cellStyle name="Currency_ rislugp" xfId="128"/>
    <cellStyle name="Dezimal [0]_laroux" xfId="15"/>
    <cellStyle name="Dezimal_laroux" xfId="16"/>
    <cellStyle name="entry" xfId="129"/>
    <cellStyle name="entry box" xfId="130"/>
    <cellStyle name="Euro" xfId="17"/>
    <cellStyle name="Explanatory Text" xfId="131"/>
    <cellStyle name="Followed Hyperlink_AheadBehind.xls Chart 23" xfId="18"/>
    <cellStyle name="Good" xfId="132"/>
    <cellStyle name="Grey" xfId="19"/>
    <cellStyle name="Header1" xfId="133"/>
    <cellStyle name="Header2" xfId="134"/>
    <cellStyle name="Heading" xfId="135"/>
    <cellStyle name="Heading 1" xfId="136"/>
    <cellStyle name="Heading 2" xfId="137"/>
    <cellStyle name="Heading 3" xfId="138"/>
    <cellStyle name="Heading 4" xfId="139"/>
    <cellStyle name="Hyperlink_AheadBehind.xls Chart 23" xfId="20"/>
    <cellStyle name="Input" xfId="140"/>
    <cellStyle name="Input [yellow]" xfId="21"/>
    <cellStyle name="left" xfId="141"/>
    <cellStyle name="Linked Cell" xfId="142"/>
    <cellStyle name="Millares [0]_laroux" xfId="143"/>
    <cellStyle name="Millares_laroux" xfId="144"/>
    <cellStyle name="Milliers [0]_laroux" xfId="22"/>
    <cellStyle name="Milliers_laroux" xfId="23"/>
    <cellStyle name="Moneda [0]_laroux" xfId="145"/>
    <cellStyle name="Moneda_laroux" xfId="146"/>
    <cellStyle name="Mon閠aire [0]_laroux" xfId="147"/>
    <cellStyle name="Mon閠aire_laroux" xfId="148"/>
    <cellStyle name="Neutral" xfId="149"/>
    <cellStyle name="no dec" xfId="150"/>
    <cellStyle name="Non défini" xfId="24"/>
    <cellStyle name="Normal - Style1" xfId="25"/>
    <cellStyle name="Normal 2" xfId="36"/>
    <cellStyle name="Normal 2 2" xfId="151"/>
    <cellStyle name="Normal 3 2" xfId="37"/>
    <cellStyle name="Normal_ rislugp" xfId="152"/>
    <cellStyle name="Normalny_Arkusz1" xfId="153"/>
    <cellStyle name="Note" xfId="154"/>
    <cellStyle name="Output" xfId="155"/>
    <cellStyle name="Percent (0)" xfId="156"/>
    <cellStyle name="Percent [2]" xfId="26"/>
    <cellStyle name="Prefilled" xfId="157"/>
    <cellStyle name="price" xfId="158"/>
    <cellStyle name="Red" xfId="27"/>
    <cellStyle name="revised" xfId="159"/>
    <cellStyle name="section" xfId="160"/>
    <cellStyle name="style" xfId="161"/>
    <cellStyle name="style1" xfId="162"/>
    <cellStyle name="style2" xfId="163"/>
    <cellStyle name="Tickmark" xfId="164"/>
    <cellStyle name="title" xfId="165"/>
    <cellStyle name="Total" xfId="166"/>
    <cellStyle name="Warning Text" xfId="167"/>
    <cellStyle name="wrap" xfId="168"/>
    <cellStyle name="パーセント_laroux" xfId="169"/>
    <cellStyle name="百分比" xfId="201" builtinId="5"/>
    <cellStyle name="百分比 2" xfId="35"/>
    <cellStyle name="百分比 2 2" xfId="207"/>
    <cellStyle name="標準_１１月価格表" xfId="170"/>
    <cellStyle name="常规" xfId="0" builtinId="0"/>
    <cellStyle name="常规 11 5" xfId="210"/>
    <cellStyle name="常规 2" xfId="28"/>
    <cellStyle name="常规 2 2" xfId="38"/>
    <cellStyle name="常规 2 2 2" xfId="171"/>
    <cellStyle name="常规 2 3" xfId="172"/>
    <cellStyle name="常规 2 8" xfId="44"/>
    <cellStyle name="常规 3" xfId="43"/>
    <cellStyle name="常规 3 2" xfId="173"/>
    <cellStyle name="常规 4" xfId="42"/>
    <cellStyle name="常规 4 2" xfId="206"/>
    <cellStyle name="常规 5" xfId="174"/>
    <cellStyle name="常规 5 2" xfId="175"/>
    <cellStyle name="常规 6" xfId="45"/>
    <cellStyle name="常规 7" xfId="203"/>
    <cellStyle name="常规 7 2" xfId="208"/>
    <cellStyle name="常规_2-1项目审定表－模板" xfId="29"/>
    <cellStyle name="常规_Book1" xfId="30"/>
    <cellStyle name="常规_Book1 2" xfId="202"/>
    <cellStyle name="常规_c-资产类" xfId="205"/>
    <cellStyle name="常规_sheet" xfId="31"/>
    <cellStyle name="常规_WOOKSHEET2" xfId="40"/>
    <cellStyle name="常规_进一步审计程序--销售与收款循环" xfId="209"/>
    <cellStyle name="常规_新审定表" xfId="32"/>
    <cellStyle name="常规_制造费用" xfId="33"/>
    <cellStyle name="超级链接_B4-1审计项目工时预算与控制表(集团)" xfId="176"/>
    <cellStyle name="超链接" xfId="1" builtinId="8"/>
    <cellStyle name="超链接 2" xfId="177"/>
    <cellStyle name="超链接 2 2" xfId="178"/>
    <cellStyle name="分级显示行_1_4附件二凯旋评估表" xfId="179"/>
    <cellStyle name="桁区切り [0.00]_１１月価格表" xfId="180"/>
    <cellStyle name="桁区切り_１１月価格表" xfId="181"/>
    <cellStyle name="霓付 [0]_97MBO" xfId="182"/>
    <cellStyle name="霓付_97MBO" xfId="183"/>
    <cellStyle name="烹拳 [0]_97MBO" xfId="184"/>
    <cellStyle name="烹拳_97MBO" xfId="185"/>
    <cellStyle name="普通_ 白土" xfId="186"/>
    <cellStyle name="千分位[0]_ 白土" xfId="187"/>
    <cellStyle name="千分位_ 白土" xfId="188"/>
    <cellStyle name="千位[0]_97汇总" xfId="189"/>
    <cellStyle name="千位_97汇总" xfId="190"/>
    <cellStyle name="千位分隔" xfId="41" builtinId="3"/>
    <cellStyle name="千位分隔 2" xfId="34"/>
    <cellStyle name="千位分隔 2 2" xfId="39"/>
    <cellStyle name="千位分隔 2 4" xfId="204"/>
    <cellStyle name="千位分隔 3" xfId="191"/>
    <cellStyle name="钎霖_laroux" xfId="192"/>
    <cellStyle name="通貨 [0.00]_１１月価格表" xfId="193"/>
    <cellStyle name="通貨_１１月価格表" xfId="194"/>
    <cellStyle name="样式 1" xfId="195"/>
    <cellStyle name="콤마 [0]_BOILER-CO1" xfId="196"/>
    <cellStyle name="콤마_BOILER-CO1" xfId="197"/>
    <cellStyle name="통화 [0]_BOILER-CO1" xfId="198"/>
    <cellStyle name="통화_BOILER-CO1" xfId="199"/>
    <cellStyle name="표준_0N-HANDLING " xfId="200"/>
  </cellStyles>
  <dxfs count="0"/>
  <tableStyles count="0" defaultTableStyle="TableStyleMedium9" defaultPivotStyle="PivotStyleLight16"/>
  <colors>
    <mruColors>
      <color rgb="FF0000FF"/>
      <color rgb="FF0000CC"/>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2"/>
  <sheetViews>
    <sheetView tabSelected="1" workbookViewId="0"/>
  </sheetViews>
  <sheetFormatPr defaultRowHeight="20.100000000000001" customHeight="1"/>
  <cols>
    <col min="1" max="1" width="77.59765625" style="11" customWidth="1"/>
    <col min="2" max="2" width="2" style="11" customWidth="1"/>
    <col min="3" max="3" width="2.09765625" style="11" customWidth="1"/>
    <col min="4" max="4" width="7" style="5" customWidth="1"/>
    <col min="5" max="5" width="36.296875" style="5" customWidth="1"/>
    <col min="6" max="6" width="12.3984375" style="5" customWidth="1"/>
    <col min="7" max="7" width="16.796875" customWidth="1"/>
  </cols>
  <sheetData>
    <row r="1" spans="1:8" s="3" customFormat="1" ht="20.100000000000001" customHeight="1">
      <c r="A1" s="1" t="s">
        <v>0</v>
      </c>
      <c r="B1" s="2"/>
      <c r="C1" s="2"/>
    </row>
    <row r="2" spans="1:8" ht="20.100000000000001" customHeight="1">
      <c r="A2" s="330" t="s">
        <v>651</v>
      </c>
      <c r="B2" s="4"/>
      <c r="C2" s="4"/>
      <c r="G2" s="6"/>
      <c r="H2" s="6"/>
    </row>
    <row r="3" spans="1:8" ht="20.100000000000001" customHeight="1">
      <c r="A3" s="330" t="s">
        <v>683</v>
      </c>
      <c r="B3" s="4"/>
      <c r="C3" s="4"/>
      <c r="D3" s="7" t="s">
        <v>1</v>
      </c>
      <c r="E3" s="7" t="s">
        <v>2</v>
      </c>
      <c r="F3" s="7" t="s">
        <v>74</v>
      </c>
      <c r="G3" s="6"/>
      <c r="H3" s="8"/>
    </row>
    <row r="4" spans="1:8" ht="20.100000000000001" customHeight="1">
      <c r="A4" s="413" t="s">
        <v>652</v>
      </c>
      <c r="B4" s="4"/>
      <c r="C4" s="4"/>
      <c r="D4" s="441">
        <v>1</v>
      </c>
      <c r="E4" s="390" t="s">
        <v>75</v>
      </c>
      <c r="F4" s="398" t="s">
        <v>562</v>
      </c>
      <c r="G4" s="6"/>
      <c r="H4" s="8"/>
    </row>
    <row r="5" spans="1:8" ht="20.100000000000001" customHeight="1">
      <c r="A5" s="413" t="s">
        <v>653</v>
      </c>
      <c r="B5" s="9"/>
      <c r="C5" s="9"/>
      <c r="D5" s="441">
        <v>2</v>
      </c>
      <c r="E5" s="390" t="s">
        <v>76</v>
      </c>
      <c r="F5" s="398" t="s">
        <v>574</v>
      </c>
      <c r="H5" s="10"/>
    </row>
    <row r="6" spans="1:8" ht="20.100000000000001" customHeight="1">
      <c r="A6" s="413" t="s">
        <v>654</v>
      </c>
      <c r="D6" s="441">
        <f t="shared" ref="D6:D10" si="0">D5+1</f>
        <v>3</v>
      </c>
      <c r="E6" s="390" t="s">
        <v>77</v>
      </c>
      <c r="F6" s="399"/>
      <c r="G6" t="s">
        <v>439</v>
      </c>
      <c r="H6" s="12"/>
    </row>
    <row r="7" spans="1:8" ht="20.100000000000001" customHeight="1">
      <c r="A7" s="413" t="s">
        <v>655</v>
      </c>
      <c r="D7" s="441">
        <f t="shared" si="0"/>
        <v>4</v>
      </c>
      <c r="E7" s="390" t="s">
        <v>78</v>
      </c>
      <c r="F7" s="399"/>
      <c r="G7" t="s">
        <v>439</v>
      </c>
    </row>
    <row r="8" spans="1:8" ht="20.100000000000001" customHeight="1">
      <c r="A8" s="13"/>
      <c r="D8" s="441">
        <f t="shared" si="0"/>
        <v>5</v>
      </c>
      <c r="E8" s="390" t="s">
        <v>79</v>
      </c>
      <c r="F8" s="398" t="s">
        <v>563</v>
      </c>
    </row>
    <row r="9" spans="1:8" ht="20.100000000000001" customHeight="1">
      <c r="A9" s="419" t="s">
        <v>667</v>
      </c>
      <c r="D9" s="441">
        <f t="shared" si="0"/>
        <v>6</v>
      </c>
      <c r="E9" s="391" t="s">
        <v>81</v>
      </c>
      <c r="F9" s="398" t="s">
        <v>564</v>
      </c>
    </row>
    <row r="10" spans="1:8" ht="20.100000000000001" customHeight="1">
      <c r="A10" s="442" t="s">
        <v>665</v>
      </c>
      <c r="D10" s="441">
        <f t="shared" si="0"/>
        <v>7</v>
      </c>
      <c r="E10" s="390" t="s">
        <v>462</v>
      </c>
      <c r="F10" s="398" t="s">
        <v>604</v>
      </c>
    </row>
    <row r="11" spans="1:8" ht="20.100000000000001" customHeight="1">
      <c r="A11" s="442"/>
      <c r="D11" s="441">
        <f>D9+1</f>
        <v>7</v>
      </c>
      <c r="E11" s="356" t="s">
        <v>454</v>
      </c>
      <c r="F11" s="399" t="s">
        <v>566</v>
      </c>
    </row>
    <row r="12" spans="1:8" ht="19.8" customHeight="1">
      <c r="A12" s="442"/>
      <c r="D12" s="441">
        <f>D11+1</f>
        <v>8</v>
      </c>
      <c r="E12" s="356" t="s">
        <v>455</v>
      </c>
      <c r="F12" s="399" t="s">
        <v>567</v>
      </c>
    </row>
    <row r="13" spans="1:8" ht="20.100000000000001" customHeight="1">
      <c r="A13" s="442"/>
      <c r="D13" s="441">
        <f>D12+1</f>
        <v>9</v>
      </c>
      <c r="E13" s="356" t="s">
        <v>456</v>
      </c>
      <c r="F13" s="399" t="s">
        <v>568</v>
      </c>
    </row>
    <row r="14" spans="1:8" ht="20.100000000000001" customHeight="1">
      <c r="A14" s="442" t="s">
        <v>668</v>
      </c>
      <c r="D14" s="441">
        <f>D13+1</f>
        <v>10</v>
      </c>
      <c r="E14" s="356" t="s">
        <v>457</v>
      </c>
      <c r="F14" s="399" t="s">
        <v>569</v>
      </c>
    </row>
    <row r="15" spans="1:8" ht="20.100000000000001" customHeight="1">
      <c r="A15" s="442"/>
      <c r="D15" s="441">
        <f>D14+1</f>
        <v>11</v>
      </c>
      <c r="E15" s="356" t="s">
        <v>458</v>
      </c>
      <c r="F15" s="399" t="s">
        <v>570</v>
      </c>
    </row>
    <row r="16" spans="1:8" ht="20.100000000000001" customHeight="1">
      <c r="A16" s="442"/>
      <c r="D16" s="441">
        <f t="shared" ref="D16:D20" si="1">D15+1</f>
        <v>12</v>
      </c>
      <c r="E16" s="356" t="s">
        <v>459</v>
      </c>
      <c r="F16" s="399" t="s">
        <v>571</v>
      </c>
    </row>
    <row r="17" spans="1:6" ht="20.100000000000001" customHeight="1">
      <c r="A17" s="443" t="s">
        <v>666</v>
      </c>
      <c r="D17" s="441">
        <f t="shared" si="1"/>
        <v>13</v>
      </c>
      <c r="E17" s="356" t="s">
        <v>460</v>
      </c>
      <c r="F17" s="399" t="s">
        <v>572</v>
      </c>
    </row>
    <row r="18" spans="1:6" ht="20.100000000000001" customHeight="1">
      <c r="A18" s="443"/>
      <c r="D18" s="441">
        <f>D10+1</f>
        <v>8</v>
      </c>
      <c r="E18" s="390" t="s">
        <v>80</v>
      </c>
      <c r="F18" s="398" t="s">
        <v>565</v>
      </c>
    </row>
    <row r="19" spans="1:6" ht="20.100000000000001" customHeight="1">
      <c r="A19" s="443"/>
      <c r="D19" s="441">
        <f>D17+1</f>
        <v>14</v>
      </c>
      <c r="E19" s="390" t="s">
        <v>470</v>
      </c>
      <c r="F19" s="398" t="s">
        <v>573</v>
      </c>
    </row>
    <row r="20" spans="1:6" ht="20.100000000000001" customHeight="1">
      <c r="A20" s="421"/>
      <c r="D20" s="441">
        <f t="shared" si="1"/>
        <v>15</v>
      </c>
      <c r="E20" s="390" t="s">
        <v>453</v>
      </c>
      <c r="F20" s="398" t="s">
        <v>605</v>
      </c>
    </row>
    <row r="21" spans="1:6" ht="26.4" customHeight="1">
      <c r="A21" s="421"/>
    </row>
    <row r="22" spans="1:6" ht="20.100000000000001" customHeight="1">
      <c r="A22" s="14"/>
      <c r="F22"/>
    </row>
  </sheetData>
  <mergeCells count="3">
    <mergeCell ref="A10:A13"/>
    <mergeCell ref="A14:A16"/>
    <mergeCell ref="A17:A19"/>
  </mergeCells>
  <phoneticPr fontId="7" type="noConversion"/>
  <hyperlinks>
    <hyperlink ref="E5" location="'审定表F1-1'!A1" display="预付账款审定表"/>
    <hyperlink ref="E6" location="'附注披露信息(上市公司)'!A1" display="附注披露信息（上市公司）"/>
    <hyperlink ref="E8" location="'明细表F1-2'!A1" display="预付账款明细表"/>
    <hyperlink ref="E7" location="'附注披露信息(国企)'!A1" display="附注披露信息（国企）"/>
    <hyperlink ref="E18" location="'长期挂款检查表F1-5'!A1" display="长期挂账预付账款检查表"/>
    <hyperlink ref="E4" location="预付账款实质性程序表F1A!A1" display="预付账款实质性程序表"/>
    <hyperlink ref="E9" location="'调整分录汇总F1-3'!A1" display="调整分录汇总"/>
    <hyperlink ref="E19" location="'关联方及交易检查表F1-6'!A1" display="关联方及交易检查表"/>
    <hyperlink ref="E20" location="'预付账款检查表F1-7'!A1" display="预付账款检查表"/>
    <hyperlink ref="E10" location="'实质性分析F1-4'!A1" display="实质性分析"/>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M34"/>
  <sheetViews>
    <sheetView view="pageBreakPreview" zoomScaleNormal="115" zoomScaleSheetLayoutView="100" workbookViewId="0">
      <selection sqref="A1:I1"/>
    </sheetView>
  </sheetViews>
  <sheetFormatPr defaultColWidth="9" defaultRowHeight="13.8"/>
  <cols>
    <col min="1" max="1" width="5.19921875" style="66" customWidth="1"/>
    <col min="2" max="2" width="66.5" style="66" customWidth="1"/>
    <col min="3" max="3" width="11" style="66" customWidth="1"/>
    <col min="4" max="4" width="5.296875" style="66" customWidth="1"/>
    <col min="5" max="5" width="6" style="66" customWidth="1"/>
    <col min="6" max="6" width="6.8984375" style="66" customWidth="1"/>
    <col min="7" max="7" width="10.19921875" style="66" customWidth="1"/>
    <col min="8" max="8" width="5.796875" style="66" customWidth="1"/>
    <col min="9" max="9" width="7.19921875" style="66" customWidth="1"/>
    <col min="10" max="10" width="71.59765625" style="378" customWidth="1"/>
    <col min="11" max="11" width="70" style="65" customWidth="1"/>
    <col min="12" max="16384" width="9" style="66"/>
  </cols>
  <sheetData>
    <row r="1" spans="1:13" ht="22.05" customHeight="1">
      <c r="A1" s="445" t="s">
        <v>600</v>
      </c>
      <c r="B1" s="445"/>
      <c r="C1" s="445"/>
      <c r="D1" s="445"/>
      <c r="E1" s="445"/>
      <c r="F1" s="445"/>
      <c r="G1" s="445"/>
      <c r="H1" s="445"/>
      <c r="I1" s="445"/>
    </row>
    <row r="2" spans="1:13" ht="22.05" customHeight="1">
      <c r="A2" s="446" t="s">
        <v>55</v>
      </c>
      <c r="B2" s="447"/>
      <c r="C2" s="447"/>
      <c r="D2" s="447"/>
      <c r="E2" s="447"/>
      <c r="F2" s="447"/>
      <c r="G2" s="447"/>
      <c r="H2" s="447"/>
      <c r="I2" s="447"/>
      <c r="K2" s="243"/>
    </row>
    <row r="3" spans="1:13" ht="22.05" customHeight="1">
      <c r="A3" s="67" t="str">
        <f>底稿目录!A2</f>
        <v>被审计单位：</v>
      </c>
      <c r="B3" s="67"/>
      <c r="C3" s="68" t="str">
        <f>底稿目录!A4</f>
        <v>编制人：</v>
      </c>
      <c r="E3" s="67" t="str">
        <f>底稿目录!A5</f>
        <v>编制日期：</v>
      </c>
      <c r="F3" s="67"/>
      <c r="G3" s="67"/>
      <c r="H3" s="67" t="s">
        <v>56</v>
      </c>
      <c r="I3" s="361" t="str">
        <f>底稿目录!F4</f>
        <v>F1A</v>
      </c>
    </row>
    <row r="4" spans="1:13" ht="22.05" customHeight="1">
      <c r="A4" s="67" t="str">
        <f>底稿目录!A3</f>
        <v>截止日：202X年12月31日</v>
      </c>
      <c r="B4" s="67"/>
      <c r="C4" s="68" t="str">
        <f>底稿目录!A6</f>
        <v>复核人：</v>
      </c>
      <c r="E4" s="67" t="str">
        <f>底稿目录!A7</f>
        <v>复核日期：</v>
      </c>
      <c r="F4" s="67"/>
      <c r="G4" s="67"/>
      <c r="H4" s="67" t="s">
        <v>468</v>
      </c>
      <c r="I4" s="70"/>
    </row>
    <row r="5" spans="1:13" ht="22.05" customHeight="1">
      <c r="A5" s="78" t="s">
        <v>61</v>
      </c>
      <c r="B5" s="67"/>
      <c r="C5" s="69"/>
      <c r="D5" s="67"/>
      <c r="E5" s="67"/>
      <c r="F5" s="67"/>
      <c r="G5" s="67"/>
      <c r="H5" s="69"/>
      <c r="I5" s="67"/>
    </row>
    <row r="6" spans="1:13" ht="22.05" customHeight="1">
      <c r="A6" s="71" t="s">
        <v>57</v>
      </c>
      <c r="B6" s="67"/>
      <c r="C6" s="69"/>
      <c r="D6" s="67"/>
      <c r="E6" s="67"/>
      <c r="F6" s="67"/>
      <c r="G6" s="67"/>
      <c r="H6" s="69"/>
      <c r="I6" s="67"/>
    </row>
    <row r="7" spans="1:13" ht="22.05" customHeight="1">
      <c r="A7" s="110" t="s">
        <v>138</v>
      </c>
      <c r="B7" s="72"/>
      <c r="C7" s="69"/>
      <c r="D7" s="69"/>
      <c r="E7" s="69"/>
      <c r="F7" s="69"/>
      <c r="G7" s="69"/>
      <c r="H7" s="69"/>
      <c r="I7" s="69"/>
      <c r="J7" s="270"/>
      <c r="K7" s="73"/>
    </row>
    <row r="8" spans="1:13" s="74" customFormat="1" ht="19.95" customHeight="1">
      <c r="A8" s="450" t="s">
        <v>139</v>
      </c>
      <c r="B8" s="450"/>
      <c r="C8" s="450"/>
      <c r="D8" s="450"/>
      <c r="E8" s="450"/>
      <c r="F8" s="450"/>
      <c r="G8" s="448" t="s">
        <v>58</v>
      </c>
      <c r="H8" s="448"/>
      <c r="I8" s="448"/>
      <c r="J8" s="379"/>
    </row>
    <row r="9" spans="1:13" s="74" customFormat="1" ht="19.95" customHeight="1">
      <c r="A9" s="444" t="s">
        <v>185</v>
      </c>
      <c r="B9" s="444"/>
      <c r="C9" s="444"/>
      <c r="D9" s="444"/>
      <c r="E9" s="444"/>
      <c r="F9" s="444"/>
      <c r="G9" s="449" t="s">
        <v>141</v>
      </c>
      <c r="H9" s="449"/>
      <c r="I9" s="449"/>
      <c r="J9" s="379"/>
    </row>
    <row r="10" spans="1:13" s="74" customFormat="1" ht="19.95" customHeight="1">
      <c r="A10" s="444" t="s">
        <v>465</v>
      </c>
      <c r="B10" s="444"/>
      <c r="C10" s="444"/>
      <c r="D10" s="444"/>
      <c r="E10" s="444"/>
      <c r="F10" s="444"/>
      <c r="G10" s="449" t="s">
        <v>659</v>
      </c>
      <c r="H10" s="449"/>
      <c r="I10" s="449"/>
      <c r="J10" s="379"/>
    </row>
    <row r="11" spans="1:13" s="74" customFormat="1" ht="19.95" customHeight="1">
      <c r="A11" s="444" t="s">
        <v>189</v>
      </c>
      <c r="B11" s="444"/>
      <c r="C11" s="444"/>
      <c r="D11" s="444"/>
      <c r="E11" s="444"/>
      <c r="F11" s="444"/>
      <c r="G11" s="449" t="s">
        <v>632</v>
      </c>
      <c r="H11" s="449"/>
      <c r="I11" s="449"/>
      <c r="J11" s="379"/>
    </row>
    <row r="12" spans="1:13" s="74" customFormat="1" ht="19.95" customHeight="1">
      <c r="A12" s="444" t="s">
        <v>467</v>
      </c>
      <c r="B12" s="444"/>
      <c r="C12" s="444"/>
      <c r="D12" s="444"/>
      <c r="E12" s="444"/>
      <c r="F12" s="444"/>
      <c r="G12" s="449" t="s">
        <v>660</v>
      </c>
      <c r="H12" s="449"/>
      <c r="I12" s="449"/>
      <c r="J12" s="379"/>
    </row>
    <row r="13" spans="1:13" s="74" customFormat="1" ht="19.95" customHeight="1">
      <c r="A13" s="444" t="s">
        <v>466</v>
      </c>
      <c r="B13" s="444"/>
      <c r="C13" s="444"/>
      <c r="D13" s="444"/>
      <c r="E13" s="444"/>
      <c r="F13" s="444"/>
      <c r="G13" s="449" t="s">
        <v>464</v>
      </c>
      <c r="H13" s="449"/>
      <c r="I13" s="449"/>
      <c r="J13" s="379"/>
    </row>
    <row r="14" spans="1:13" s="74" customFormat="1" ht="22.05" customHeight="1">
      <c r="A14" s="454" t="s">
        <v>656</v>
      </c>
      <c r="B14" s="454"/>
      <c r="C14" s="111"/>
      <c r="D14" s="111"/>
      <c r="E14" s="111"/>
      <c r="F14" s="111"/>
      <c r="G14" s="111"/>
      <c r="H14" s="111"/>
      <c r="I14" s="111"/>
      <c r="J14" s="379"/>
    </row>
    <row r="15" spans="1:13" ht="22.05" customHeight="1">
      <c r="A15" s="455" t="s">
        <v>1</v>
      </c>
      <c r="B15" s="450" t="s">
        <v>153</v>
      </c>
      <c r="C15" s="450" t="s">
        <v>59</v>
      </c>
      <c r="D15" s="451" t="s">
        <v>140</v>
      </c>
      <c r="E15" s="452"/>
      <c r="F15" s="452"/>
      <c r="G15" s="452"/>
      <c r="H15" s="452"/>
      <c r="I15" s="450" t="s">
        <v>147</v>
      </c>
      <c r="J15" s="270"/>
      <c r="K15" s="75"/>
      <c r="L15" s="75"/>
      <c r="M15" s="75"/>
    </row>
    <row r="16" spans="1:13" ht="28.8" customHeight="1">
      <c r="A16" s="455"/>
      <c r="B16" s="450"/>
      <c r="C16" s="450"/>
      <c r="D16" s="240" t="s">
        <v>141</v>
      </c>
      <c r="E16" s="240" t="s">
        <v>142</v>
      </c>
      <c r="F16" s="239" t="s">
        <v>154</v>
      </c>
      <c r="G16" s="239" t="s">
        <v>463</v>
      </c>
      <c r="H16" s="239" t="s">
        <v>464</v>
      </c>
      <c r="I16" s="453"/>
      <c r="J16" s="436" t="s">
        <v>678</v>
      </c>
      <c r="K16" s="75"/>
      <c r="L16" s="75"/>
      <c r="M16" s="75"/>
    </row>
    <row r="17" spans="1:13" ht="106.8" customHeight="1">
      <c r="A17" s="130" t="s">
        <v>143</v>
      </c>
      <c r="B17" s="245" t="s">
        <v>661</v>
      </c>
      <c r="C17" s="131" t="s">
        <v>60</v>
      </c>
      <c r="D17" s="131" t="s">
        <v>150</v>
      </c>
      <c r="E17" s="131" t="s">
        <v>151</v>
      </c>
      <c r="F17" s="132"/>
      <c r="G17" s="133" t="s">
        <v>152</v>
      </c>
      <c r="H17" s="132"/>
      <c r="I17" s="246" t="s">
        <v>643</v>
      </c>
      <c r="J17" s="270"/>
      <c r="K17" s="76"/>
      <c r="L17" s="75"/>
      <c r="M17" s="75"/>
    </row>
    <row r="18" spans="1:13" ht="42.6" customHeight="1">
      <c r="A18" s="130" t="s">
        <v>532</v>
      </c>
      <c r="B18" s="244" t="s">
        <v>473</v>
      </c>
      <c r="C18" s="131" t="s">
        <v>148</v>
      </c>
      <c r="D18" s="132"/>
      <c r="E18" s="133" t="s">
        <v>152</v>
      </c>
      <c r="F18" s="132"/>
      <c r="G18" s="131" t="s">
        <v>150</v>
      </c>
      <c r="H18" s="132"/>
      <c r="I18" s="418" t="s">
        <v>682</v>
      </c>
      <c r="J18" s="376" t="s">
        <v>554</v>
      </c>
      <c r="K18" s="241"/>
      <c r="L18" s="75"/>
      <c r="M18" s="75"/>
    </row>
    <row r="19" spans="1:13" ht="41.4" customHeight="1">
      <c r="A19" s="130" t="s">
        <v>271</v>
      </c>
      <c r="B19" s="244" t="s">
        <v>657</v>
      </c>
      <c r="C19" s="251" t="s">
        <v>474</v>
      </c>
      <c r="D19" s="133" t="s">
        <v>150</v>
      </c>
      <c r="E19" s="131" t="s">
        <v>150</v>
      </c>
      <c r="F19" s="131" t="s">
        <v>150</v>
      </c>
      <c r="G19" s="131" t="s">
        <v>150</v>
      </c>
      <c r="H19" s="132"/>
      <c r="I19" s="246"/>
      <c r="J19" s="376" t="s">
        <v>640</v>
      </c>
      <c r="K19" s="241"/>
      <c r="L19" s="75"/>
      <c r="M19" s="75"/>
    </row>
    <row r="20" spans="1:13" ht="31.8" customHeight="1">
      <c r="A20" s="130" t="s">
        <v>533</v>
      </c>
      <c r="B20" s="244" t="s">
        <v>482</v>
      </c>
      <c r="C20" s="131" t="s">
        <v>60</v>
      </c>
      <c r="D20" s="131" t="s">
        <v>150</v>
      </c>
      <c r="E20" s="131" t="s">
        <v>150</v>
      </c>
      <c r="F20" s="132"/>
      <c r="G20" s="131" t="s">
        <v>150</v>
      </c>
      <c r="H20" s="132"/>
      <c r="I20" s="246" t="s">
        <v>644</v>
      </c>
      <c r="J20" s="377" t="s">
        <v>658</v>
      </c>
      <c r="K20" s="242"/>
      <c r="L20" s="75"/>
      <c r="M20" s="75"/>
    </row>
    <row r="21" spans="1:13" ht="66.599999999999994" customHeight="1">
      <c r="A21" s="130" t="s">
        <v>534</v>
      </c>
      <c r="B21" s="245" t="s">
        <v>469</v>
      </c>
      <c r="C21" s="131" t="s">
        <v>60</v>
      </c>
      <c r="D21" s="133" t="s">
        <v>170</v>
      </c>
      <c r="E21" s="132"/>
      <c r="F21" s="132"/>
      <c r="G21" s="131" t="s">
        <v>150</v>
      </c>
      <c r="H21" s="132"/>
      <c r="I21" s="246" t="s">
        <v>607</v>
      </c>
      <c r="J21" s="270"/>
      <c r="K21" s="76"/>
      <c r="L21" s="75"/>
      <c r="M21" s="75"/>
    </row>
    <row r="22" spans="1:13" ht="33" customHeight="1">
      <c r="A22" s="130" t="s">
        <v>535</v>
      </c>
      <c r="B22" s="244" t="s">
        <v>440</v>
      </c>
      <c r="C22" s="131" t="s">
        <v>60</v>
      </c>
      <c r="D22" s="133" t="s">
        <v>150</v>
      </c>
      <c r="E22" s="131" t="s">
        <v>150</v>
      </c>
      <c r="F22" s="132"/>
      <c r="G22" s="131" t="s">
        <v>152</v>
      </c>
      <c r="H22" s="132"/>
      <c r="I22" s="246" t="s">
        <v>645</v>
      </c>
      <c r="J22" s="270"/>
      <c r="K22" s="76"/>
      <c r="L22" s="75"/>
      <c r="M22" s="75"/>
    </row>
    <row r="23" spans="1:13" s="77" customFormat="1" ht="160.19999999999999" customHeight="1">
      <c r="A23" s="130" t="s">
        <v>536</v>
      </c>
      <c r="B23" s="245" t="s">
        <v>686</v>
      </c>
      <c r="C23" s="131" t="s">
        <v>60</v>
      </c>
      <c r="D23" s="133" t="s">
        <v>150</v>
      </c>
      <c r="E23" s="131" t="s">
        <v>410</v>
      </c>
      <c r="F23" s="133" t="s">
        <v>150</v>
      </c>
      <c r="G23" s="131" t="s">
        <v>152</v>
      </c>
      <c r="H23" s="132"/>
      <c r="I23" s="246" t="s">
        <v>608</v>
      </c>
      <c r="J23" s="270"/>
      <c r="K23" s="76"/>
      <c r="L23" s="75"/>
      <c r="M23" s="75"/>
    </row>
    <row r="24" spans="1:13" ht="38.4" customHeight="1">
      <c r="A24" s="130" t="s">
        <v>537</v>
      </c>
      <c r="B24" s="244" t="s">
        <v>472</v>
      </c>
      <c r="C24" s="131" t="s">
        <v>646</v>
      </c>
      <c r="D24" s="133" t="s">
        <v>150</v>
      </c>
      <c r="E24" s="131" t="s">
        <v>151</v>
      </c>
      <c r="F24" s="133" t="s">
        <v>150</v>
      </c>
      <c r="G24" s="131" t="s">
        <v>152</v>
      </c>
      <c r="H24" s="132"/>
      <c r="I24" s="246" t="s">
        <v>608</v>
      </c>
      <c r="J24" s="271"/>
      <c r="K24" s="76"/>
      <c r="L24" s="75"/>
      <c r="M24" s="75"/>
    </row>
    <row r="25" spans="1:13" ht="40.200000000000003" customHeight="1">
      <c r="A25" s="130" t="s">
        <v>606</v>
      </c>
      <c r="B25" s="244" t="s">
        <v>435</v>
      </c>
      <c r="C25" s="131" t="s">
        <v>60</v>
      </c>
      <c r="D25" s="131" t="s">
        <v>170</v>
      </c>
      <c r="E25" s="132"/>
      <c r="F25" s="132"/>
      <c r="G25" s="133" t="s">
        <v>152</v>
      </c>
      <c r="H25" s="132"/>
      <c r="I25" s="246" t="s">
        <v>565</v>
      </c>
      <c r="J25" s="270"/>
      <c r="K25" s="76"/>
      <c r="L25" s="75"/>
      <c r="M25" s="75"/>
    </row>
    <row r="26" spans="1:13" ht="103.8" customHeight="1">
      <c r="A26" s="130" t="s">
        <v>538</v>
      </c>
      <c r="B26" s="247" t="s">
        <v>685</v>
      </c>
      <c r="C26" s="131" t="s">
        <v>60</v>
      </c>
      <c r="D26" s="133" t="s">
        <v>149</v>
      </c>
      <c r="E26" s="131" t="s">
        <v>149</v>
      </c>
      <c r="F26" s="131" t="s">
        <v>149</v>
      </c>
      <c r="G26" s="133" t="s">
        <v>149</v>
      </c>
      <c r="H26" s="131" t="s">
        <v>149</v>
      </c>
      <c r="I26" s="246" t="s">
        <v>649</v>
      </c>
      <c r="J26" s="270"/>
      <c r="K26" s="76"/>
      <c r="L26" s="75"/>
      <c r="M26" s="75"/>
    </row>
    <row r="27" spans="1:13" s="77" customFormat="1" ht="27" customHeight="1">
      <c r="A27" s="130" t="s">
        <v>539</v>
      </c>
      <c r="B27" s="244" t="s">
        <v>479</v>
      </c>
      <c r="C27" s="131" t="s">
        <v>60</v>
      </c>
      <c r="D27" s="133" t="s">
        <v>150</v>
      </c>
      <c r="E27" s="132"/>
      <c r="F27" s="131" t="s">
        <v>151</v>
      </c>
      <c r="G27" s="131" t="s">
        <v>151</v>
      </c>
      <c r="H27" s="132"/>
      <c r="I27" s="246" t="s">
        <v>609</v>
      </c>
      <c r="J27" s="270"/>
      <c r="K27" s="184"/>
      <c r="L27" s="75"/>
      <c r="M27" s="75"/>
    </row>
    <row r="28" spans="1:13" ht="19.8" customHeight="1">
      <c r="A28" s="130" t="s">
        <v>540</v>
      </c>
      <c r="B28" s="244" t="s">
        <v>438</v>
      </c>
      <c r="C28" s="131" t="s">
        <v>60</v>
      </c>
      <c r="D28" s="132"/>
      <c r="E28" s="132"/>
      <c r="F28" s="133" t="s">
        <v>149</v>
      </c>
      <c r="G28" s="131" t="s">
        <v>149</v>
      </c>
      <c r="H28" s="131" t="s">
        <v>149</v>
      </c>
      <c r="I28" s="246"/>
      <c r="J28" s="270"/>
      <c r="K28" s="76"/>
      <c r="L28" s="75"/>
      <c r="M28" s="75"/>
    </row>
    <row r="29" spans="1:13" ht="39.6" customHeight="1">
      <c r="A29" s="130" t="s">
        <v>541</v>
      </c>
      <c r="B29" s="244" t="s">
        <v>662</v>
      </c>
      <c r="C29" s="131" t="s">
        <v>646</v>
      </c>
      <c r="D29" s="133" t="s">
        <v>150</v>
      </c>
      <c r="E29" s="131" t="s">
        <v>149</v>
      </c>
      <c r="F29" s="131" t="s">
        <v>149</v>
      </c>
      <c r="G29" s="133" t="s">
        <v>149</v>
      </c>
      <c r="H29" s="131"/>
      <c r="I29" s="246" t="s">
        <v>636</v>
      </c>
      <c r="J29" s="271"/>
      <c r="K29" s="184"/>
      <c r="L29" s="75"/>
      <c r="M29" s="75"/>
    </row>
    <row r="30" spans="1:13" ht="36.6" customHeight="1">
      <c r="A30" s="130" t="s">
        <v>542</v>
      </c>
      <c r="B30" s="244" t="s">
        <v>409</v>
      </c>
      <c r="C30" s="131" t="s">
        <v>646</v>
      </c>
      <c r="D30" s="132"/>
      <c r="E30" s="132"/>
      <c r="F30" s="132"/>
      <c r="G30" s="132"/>
      <c r="H30" s="132"/>
      <c r="I30" s="246"/>
      <c r="J30" s="271"/>
      <c r="K30" s="184"/>
      <c r="L30" s="75"/>
      <c r="M30" s="75"/>
    </row>
    <row r="31" spans="1:13" ht="27" customHeight="1">
      <c r="A31" s="130" t="s">
        <v>543</v>
      </c>
      <c r="B31" s="244" t="s">
        <v>146</v>
      </c>
      <c r="C31" s="131" t="s">
        <v>60</v>
      </c>
      <c r="D31" s="132"/>
      <c r="E31" s="132"/>
      <c r="F31" s="132"/>
      <c r="G31" s="132"/>
      <c r="H31" s="133" t="s">
        <v>149</v>
      </c>
      <c r="I31" s="246" t="s">
        <v>553</v>
      </c>
      <c r="J31" s="270"/>
      <c r="K31" s="76"/>
      <c r="L31" s="75"/>
      <c r="M31" s="75"/>
    </row>
    <row r="32" spans="1:13" ht="22.05" customHeight="1">
      <c r="A32" s="130"/>
      <c r="B32" s="244"/>
      <c r="C32" s="131"/>
      <c r="D32" s="132"/>
      <c r="E32" s="132"/>
      <c r="F32" s="132"/>
      <c r="G32" s="132"/>
      <c r="H32" s="133"/>
      <c r="I32" s="246"/>
      <c r="J32" s="270"/>
      <c r="K32" s="76"/>
      <c r="L32" s="75"/>
      <c r="M32" s="75"/>
    </row>
    <row r="34" spans="1:1">
      <c r="A34" s="76"/>
    </row>
  </sheetData>
  <mergeCells count="20">
    <mergeCell ref="D15:H15"/>
    <mergeCell ref="I15:I16"/>
    <mergeCell ref="A14:B14"/>
    <mergeCell ref="A15:A16"/>
    <mergeCell ref="B15:B16"/>
    <mergeCell ref="C15:C16"/>
    <mergeCell ref="A10:F10"/>
    <mergeCell ref="A11:F11"/>
    <mergeCell ref="A12:F12"/>
    <mergeCell ref="A13:F13"/>
    <mergeCell ref="A1:I1"/>
    <mergeCell ref="A2:I2"/>
    <mergeCell ref="G8:I8"/>
    <mergeCell ref="G9:I9"/>
    <mergeCell ref="G10:I10"/>
    <mergeCell ref="G11:I11"/>
    <mergeCell ref="G12:I12"/>
    <mergeCell ref="G13:I13"/>
    <mergeCell ref="A8:F8"/>
    <mergeCell ref="A9:F9"/>
  </mergeCells>
  <phoneticPr fontId="31" type="noConversion"/>
  <hyperlinks>
    <hyperlink ref="I3" location="底稿目录!A1" display="底稿目录!A1"/>
  </hyperlinks>
  <printOptions horizontalCentered="1"/>
  <pageMargins left="0.47244094488188981" right="0.31496062992125984" top="0.51181102362204722" bottom="0.39370078740157483" header="0.47244094488188981" footer="0.23622047244094491"/>
  <pageSetup paperSize="9" scale="70" fitToHeight="10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7030A0"/>
  </sheetPr>
  <dimension ref="A1:O96"/>
  <sheetViews>
    <sheetView view="pageBreakPreview" topLeftCell="A21" zoomScaleNormal="115" zoomScaleSheetLayoutView="100" workbookViewId="0">
      <selection activeCell="H91" sqref="H91"/>
    </sheetView>
  </sheetViews>
  <sheetFormatPr defaultColWidth="9" defaultRowHeight="13.8" outlineLevelRow="1"/>
  <cols>
    <col min="1" max="1" width="6.59765625" style="135" customWidth="1"/>
    <col min="2" max="2" width="46.5" style="135" customWidth="1"/>
    <col min="3" max="3" width="17.296875" style="135" customWidth="1"/>
    <col min="4" max="4" width="10.19921875" style="135" customWidth="1"/>
    <col min="5" max="8" width="8.19921875" style="135" customWidth="1"/>
    <col min="9" max="9" width="9" style="135"/>
    <col min="10" max="10" width="12.5" style="170" customWidth="1"/>
    <col min="11" max="11" width="12.5" style="178" customWidth="1"/>
    <col min="12" max="12" width="30.3984375" style="174" customWidth="1"/>
    <col min="13" max="13" width="30" style="134" customWidth="1"/>
    <col min="14" max="16384" width="9" style="135"/>
  </cols>
  <sheetData>
    <row r="1" spans="1:15" ht="15.6">
      <c r="A1" s="463" t="s">
        <v>54</v>
      </c>
      <c r="B1" s="463"/>
      <c r="C1" s="463"/>
      <c r="D1" s="463"/>
      <c r="E1" s="463"/>
      <c r="F1" s="463"/>
      <c r="G1" s="463"/>
      <c r="H1" s="463"/>
      <c r="I1" s="463"/>
      <c r="J1" s="463"/>
      <c r="K1" s="179"/>
    </row>
    <row r="2" spans="1:15" ht="24" customHeight="1">
      <c r="A2" s="446" t="s">
        <v>171</v>
      </c>
      <c r="B2" s="447"/>
      <c r="C2" s="447"/>
      <c r="D2" s="447"/>
      <c r="E2" s="447"/>
      <c r="F2" s="447"/>
      <c r="G2" s="447"/>
      <c r="H2" s="447"/>
      <c r="I2" s="447"/>
      <c r="J2" s="447"/>
      <c r="K2" s="180"/>
    </row>
    <row r="3" spans="1:15" ht="20.25" customHeight="1">
      <c r="A3" s="136" t="str">
        <v>客户名称：</v>
      </c>
      <c r="B3" s="136"/>
      <c r="C3" s="68" t="str">
        <v>编制人：</v>
      </c>
      <c r="D3" s="137"/>
      <c r="E3" s="136" t="str">
        <v>编制日期：</v>
      </c>
      <c r="F3" s="136"/>
      <c r="G3" s="136"/>
      <c r="H3" s="137"/>
      <c r="I3" s="136" t="s">
        <v>56</v>
      </c>
      <c r="J3" s="138" t="s">
        <v>172</v>
      </c>
      <c r="K3" s="138"/>
    </row>
    <row r="4" spans="1:15" ht="20.25" customHeight="1">
      <c r="A4" s="136" t="str">
        <v>截止日：201X年12月31日</v>
      </c>
      <c r="B4" s="136"/>
      <c r="C4" s="68" t="str">
        <v>复核人：</v>
      </c>
      <c r="D4" s="137"/>
      <c r="E4" s="136" t="str">
        <v>复核日期：</v>
      </c>
      <c r="F4" s="136"/>
      <c r="G4" s="136"/>
      <c r="H4" s="137"/>
      <c r="I4" s="139" t="s">
        <v>173</v>
      </c>
      <c r="J4" s="138"/>
      <c r="K4" s="138"/>
    </row>
    <row r="5" spans="1:15" ht="20.25" customHeight="1">
      <c r="A5" s="140" t="s">
        <v>174</v>
      </c>
      <c r="B5" s="136"/>
      <c r="C5" s="136"/>
      <c r="D5" s="137"/>
      <c r="E5" s="136"/>
      <c r="F5" s="136"/>
      <c r="G5" s="136"/>
      <c r="H5" s="137"/>
      <c r="I5" s="136"/>
      <c r="J5" s="138"/>
      <c r="K5" s="138"/>
    </row>
    <row r="6" spans="1:15" ht="20.25" customHeight="1">
      <c r="A6" s="141" t="s">
        <v>175</v>
      </c>
      <c r="B6" s="136"/>
      <c r="C6" s="136"/>
      <c r="D6" s="137"/>
      <c r="E6" s="136"/>
      <c r="F6" s="136"/>
      <c r="G6" s="136"/>
      <c r="H6" s="137"/>
      <c r="I6" s="136"/>
      <c r="J6" s="138"/>
      <c r="K6" s="138"/>
    </row>
    <row r="7" spans="1:15" ht="20.25" customHeight="1">
      <c r="A7" s="142" t="s">
        <v>176</v>
      </c>
      <c r="B7" s="143"/>
      <c r="C7" s="143"/>
      <c r="D7" s="137"/>
      <c r="E7" s="137"/>
      <c r="F7" s="137"/>
      <c r="G7" s="137"/>
      <c r="H7" s="137"/>
      <c r="I7" s="137"/>
      <c r="J7" s="144"/>
      <c r="K7" s="144"/>
      <c r="L7" s="177"/>
      <c r="M7" s="145"/>
    </row>
    <row r="8" spans="1:15" s="148" customFormat="1" ht="30.75" customHeight="1">
      <c r="A8" s="464" t="s">
        <v>177</v>
      </c>
      <c r="B8" s="464"/>
      <c r="C8" s="465" t="s">
        <v>58</v>
      </c>
      <c r="D8" s="466"/>
      <c r="E8" s="466"/>
      <c r="F8" s="466"/>
      <c r="G8" s="467"/>
      <c r="H8" s="146" t="s">
        <v>178</v>
      </c>
      <c r="I8" s="147" t="s">
        <v>179</v>
      </c>
    </row>
    <row r="9" spans="1:15" s="148" customFormat="1" ht="30.75" customHeight="1">
      <c r="A9" s="464"/>
      <c r="B9" s="464"/>
      <c r="C9" s="147" t="s">
        <v>180</v>
      </c>
      <c r="D9" s="147" t="s">
        <v>181</v>
      </c>
      <c r="E9" s="147" t="s">
        <v>182</v>
      </c>
      <c r="F9" s="147" t="s">
        <v>183</v>
      </c>
      <c r="G9" s="147" t="s">
        <v>184</v>
      </c>
      <c r="H9" s="147"/>
      <c r="I9" s="147"/>
    </row>
    <row r="10" spans="1:15" s="148" customFormat="1" ht="30.75" customHeight="1">
      <c r="A10" s="468" t="s">
        <v>185</v>
      </c>
      <c r="B10" s="468"/>
      <c r="C10" s="147" t="s">
        <v>186</v>
      </c>
      <c r="D10" s="147"/>
      <c r="E10" s="147"/>
      <c r="F10" s="147"/>
      <c r="G10" s="147"/>
      <c r="H10" s="147"/>
      <c r="I10" s="149"/>
    </row>
    <row r="11" spans="1:15" s="148" customFormat="1" ht="30.75" customHeight="1">
      <c r="A11" s="468" t="s">
        <v>187</v>
      </c>
      <c r="B11" s="468"/>
      <c r="C11" s="150"/>
      <c r="D11" s="147" t="s">
        <v>188</v>
      </c>
      <c r="E11" s="147"/>
      <c r="F11" s="147"/>
      <c r="G11" s="147"/>
      <c r="H11" s="147"/>
      <c r="I11" s="149"/>
    </row>
    <row r="12" spans="1:15" s="148" customFormat="1" ht="30.75" customHeight="1">
      <c r="A12" s="468" t="s">
        <v>189</v>
      </c>
      <c r="B12" s="468"/>
      <c r="C12" s="150"/>
      <c r="D12" s="147"/>
      <c r="E12" s="147" t="s">
        <v>186</v>
      </c>
      <c r="F12" s="147"/>
      <c r="G12" s="147"/>
      <c r="H12" s="147"/>
      <c r="I12" s="149"/>
    </row>
    <row r="13" spans="1:15" s="148" customFormat="1" ht="30.75" customHeight="1">
      <c r="A13" s="468" t="s">
        <v>190</v>
      </c>
      <c r="B13" s="468"/>
      <c r="C13" s="150"/>
      <c r="D13" s="147"/>
      <c r="E13" s="147"/>
      <c r="F13" s="147" t="s">
        <v>191</v>
      </c>
      <c r="G13" s="147"/>
      <c r="H13" s="147"/>
      <c r="I13" s="149"/>
    </row>
    <row r="14" spans="1:15" s="148" customFormat="1" ht="30.75" customHeight="1">
      <c r="A14" s="468" t="s">
        <v>192</v>
      </c>
      <c r="B14" s="468"/>
      <c r="C14" s="150"/>
      <c r="D14" s="147"/>
      <c r="E14" s="147"/>
      <c r="F14" s="147"/>
      <c r="G14" s="147" t="s">
        <v>191</v>
      </c>
      <c r="H14" s="147"/>
      <c r="I14" s="147"/>
    </row>
    <row r="15" spans="1:15" ht="28.5" customHeight="1">
      <c r="A15" s="151" t="s">
        <v>193</v>
      </c>
      <c r="B15" s="483" t="s">
        <v>194</v>
      </c>
      <c r="C15" s="484"/>
      <c r="D15" s="152" t="s">
        <v>195</v>
      </c>
      <c r="E15" s="485" t="s">
        <v>196</v>
      </c>
      <c r="F15" s="485"/>
      <c r="G15" s="485"/>
      <c r="H15" s="485"/>
      <c r="I15" s="484" t="s">
        <v>197</v>
      </c>
      <c r="J15" s="484"/>
      <c r="K15" s="173" t="s">
        <v>362</v>
      </c>
      <c r="L15" s="173" t="s">
        <v>559</v>
      </c>
      <c r="M15" s="153" t="s">
        <v>198</v>
      </c>
      <c r="N15" s="153" t="s">
        <v>199</v>
      </c>
      <c r="O15" s="153" t="s">
        <v>200</v>
      </c>
    </row>
    <row r="16" spans="1:15" ht="28.5" customHeight="1">
      <c r="A16" s="151" t="s">
        <v>201</v>
      </c>
      <c r="B16" s="476" t="s">
        <v>202</v>
      </c>
      <c r="C16" s="477"/>
      <c r="D16" s="154" t="s">
        <v>203</v>
      </c>
      <c r="E16" s="478" t="s">
        <v>204</v>
      </c>
      <c r="F16" s="479"/>
      <c r="G16" s="479"/>
      <c r="H16" s="480"/>
      <c r="I16" s="481" t="s">
        <v>205</v>
      </c>
      <c r="J16" s="482"/>
      <c r="K16" s="175" t="s">
        <v>363</v>
      </c>
      <c r="L16" s="505" t="s">
        <v>376</v>
      </c>
      <c r="M16" s="506"/>
      <c r="N16" s="153"/>
      <c r="O16" s="153"/>
    </row>
    <row r="17" spans="1:15" ht="48.75" customHeight="1">
      <c r="A17" s="151" t="s">
        <v>206</v>
      </c>
      <c r="B17" s="486" t="s">
        <v>207</v>
      </c>
      <c r="C17" s="477"/>
      <c r="D17" s="154" t="s">
        <v>203</v>
      </c>
      <c r="E17" s="478" t="s">
        <v>208</v>
      </c>
      <c r="F17" s="479"/>
      <c r="G17" s="479"/>
      <c r="H17" s="480"/>
      <c r="I17" s="481" t="s">
        <v>209</v>
      </c>
      <c r="J17" s="482"/>
      <c r="K17" s="175" t="s">
        <v>363</v>
      </c>
      <c r="L17" s="462"/>
      <c r="M17" s="507"/>
      <c r="N17" s="153"/>
      <c r="O17" s="153"/>
    </row>
    <row r="18" spans="1:15" ht="19.5" customHeight="1" outlineLevel="1">
      <c r="A18" s="156">
        <v>1</v>
      </c>
      <c r="B18" s="469" t="s">
        <v>210</v>
      </c>
      <c r="C18" s="470"/>
      <c r="D18" s="157" t="s">
        <v>211</v>
      </c>
      <c r="E18" s="471"/>
      <c r="F18" s="472"/>
      <c r="G18" s="472"/>
      <c r="H18" s="473"/>
      <c r="I18" s="474"/>
      <c r="J18" s="475"/>
      <c r="K18" s="175" t="s">
        <v>363</v>
      </c>
      <c r="L18" s="462"/>
      <c r="M18" s="507"/>
      <c r="N18" s="153"/>
      <c r="O18" s="153"/>
    </row>
    <row r="19" spans="1:15" ht="19.5" customHeight="1" outlineLevel="1">
      <c r="A19" s="156">
        <v>2</v>
      </c>
      <c r="B19" s="469" t="s">
        <v>212</v>
      </c>
      <c r="C19" s="470"/>
      <c r="D19" s="157" t="s">
        <v>213</v>
      </c>
      <c r="E19" s="471"/>
      <c r="F19" s="472"/>
      <c r="G19" s="472"/>
      <c r="H19" s="473"/>
      <c r="I19" s="474"/>
      <c r="J19" s="475"/>
      <c r="K19" s="175" t="s">
        <v>363</v>
      </c>
      <c r="L19" s="462"/>
      <c r="M19" s="507"/>
      <c r="N19" s="153"/>
      <c r="O19" s="153"/>
    </row>
    <row r="20" spans="1:15" ht="30.75" customHeight="1" outlineLevel="1">
      <c r="A20" s="156">
        <v>3</v>
      </c>
      <c r="B20" s="487" t="s">
        <v>214</v>
      </c>
      <c r="C20" s="470"/>
      <c r="D20" s="157" t="s">
        <v>203</v>
      </c>
      <c r="E20" s="471"/>
      <c r="F20" s="472"/>
      <c r="G20" s="472"/>
      <c r="H20" s="473"/>
      <c r="I20" s="474"/>
      <c r="J20" s="475"/>
      <c r="K20" s="175" t="s">
        <v>363</v>
      </c>
      <c r="L20" s="462"/>
      <c r="M20" s="507"/>
      <c r="N20" s="153"/>
      <c r="O20" s="153"/>
    </row>
    <row r="21" spans="1:15" ht="31.5" customHeight="1" outlineLevel="1">
      <c r="A21" s="156">
        <v>4</v>
      </c>
      <c r="B21" s="487" t="s">
        <v>215</v>
      </c>
      <c r="C21" s="470"/>
      <c r="D21" s="157" t="s">
        <v>211</v>
      </c>
      <c r="E21" s="471"/>
      <c r="F21" s="472"/>
      <c r="G21" s="472"/>
      <c r="H21" s="473"/>
      <c r="I21" s="474"/>
      <c r="J21" s="475"/>
      <c r="K21" s="175" t="s">
        <v>363</v>
      </c>
      <c r="L21" s="462"/>
      <c r="M21" s="507"/>
      <c r="N21" s="153"/>
      <c r="O21" s="153"/>
    </row>
    <row r="22" spans="1:15" ht="32.25" customHeight="1" outlineLevel="1">
      <c r="A22" s="156">
        <v>5</v>
      </c>
      <c r="B22" s="487" t="s">
        <v>216</v>
      </c>
      <c r="C22" s="470"/>
      <c r="D22" s="157" t="s">
        <v>213</v>
      </c>
      <c r="E22" s="471"/>
      <c r="F22" s="472"/>
      <c r="G22" s="472"/>
      <c r="H22" s="473"/>
      <c r="I22" s="474"/>
      <c r="J22" s="475"/>
      <c r="K22" s="175" t="s">
        <v>363</v>
      </c>
      <c r="L22" s="462"/>
      <c r="M22" s="507"/>
      <c r="N22" s="153"/>
      <c r="O22" s="153"/>
    </row>
    <row r="23" spans="1:15" ht="42" customHeight="1" outlineLevel="1">
      <c r="A23" s="156">
        <v>7</v>
      </c>
      <c r="B23" s="469" t="s">
        <v>217</v>
      </c>
      <c r="C23" s="470"/>
      <c r="D23" s="157" t="s">
        <v>218</v>
      </c>
      <c r="E23" s="474"/>
      <c r="F23" s="488"/>
      <c r="G23" s="488"/>
      <c r="H23" s="475"/>
      <c r="I23" s="474"/>
      <c r="J23" s="475"/>
      <c r="K23" s="175" t="s">
        <v>363</v>
      </c>
      <c r="L23" s="462"/>
      <c r="M23" s="507"/>
      <c r="N23" s="153"/>
      <c r="O23" s="153"/>
    </row>
    <row r="24" spans="1:15" ht="34.5" customHeight="1" outlineLevel="1">
      <c r="A24" s="156">
        <v>8</v>
      </c>
      <c r="B24" s="487" t="s">
        <v>219</v>
      </c>
      <c r="C24" s="470"/>
      <c r="D24" s="157" t="s">
        <v>203</v>
      </c>
      <c r="E24" s="474"/>
      <c r="F24" s="488"/>
      <c r="G24" s="488"/>
      <c r="H24" s="475"/>
      <c r="I24" s="474"/>
      <c r="J24" s="475"/>
      <c r="K24" s="175" t="s">
        <v>363</v>
      </c>
      <c r="L24" s="460"/>
      <c r="M24" s="508"/>
      <c r="N24" s="153"/>
      <c r="O24" s="153"/>
    </row>
    <row r="25" spans="1:15" ht="24" customHeight="1" outlineLevel="1">
      <c r="A25" s="156">
        <v>9</v>
      </c>
      <c r="B25" s="487" t="s">
        <v>220</v>
      </c>
      <c r="C25" s="470"/>
      <c r="D25" s="157" t="s">
        <v>203</v>
      </c>
      <c r="E25" s="474"/>
      <c r="F25" s="488"/>
      <c r="G25" s="488"/>
      <c r="H25" s="475"/>
      <c r="I25" s="474"/>
      <c r="J25" s="475"/>
      <c r="K25" s="175" t="s">
        <v>363</v>
      </c>
      <c r="L25" s="456" t="s">
        <v>435</v>
      </c>
      <c r="M25" s="457"/>
      <c r="N25" s="153"/>
      <c r="O25" s="153"/>
    </row>
    <row r="26" spans="1:15" ht="45.75" customHeight="1">
      <c r="A26" s="158" t="s">
        <v>221</v>
      </c>
      <c r="B26" s="489" t="s">
        <v>222</v>
      </c>
      <c r="C26" s="490"/>
      <c r="D26" s="154" t="s">
        <v>223</v>
      </c>
      <c r="E26" s="491" t="s">
        <v>224</v>
      </c>
      <c r="F26" s="492"/>
      <c r="G26" s="492"/>
      <c r="H26" s="493"/>
      <c r="I26" s="491" t="s">
        <v>225</v>
      </c>
      <c r="J26" s="493"/>
      <c r="K26" s="175" t="s">
        <v>364</v>
      </c>
      <c r="L26" s="504" t="s">
        <v>428</v>
      </c>
      <c r="M26" s="504"/>
      <c r="N26" s="153"/>
      <c r="O26" s="153"/>
    </row>
    <row r="27" spans="1:15" ht="21.75" customHeight="1" outlineLevel="1">
      <c r="A27" s="159" t="s">
        <v>226</v>
      </c>
      <c r="B27" s="494" t="s">
        <v>227</v>
      </c>
      <c r="C27" s="495"/>
      <c r="D27" s="157"/>
      <c r="E27" s="160"/>
      <c r="F27" s="161"/>
      <c r="G27" s="161"/>
      <c r="H27" s="162"/>
      <c r="I27" s="160"/>
      <c r="J27" s="162"/>
      <c r="K27" s="175" t="s">
        <v>364</v>
      </c>
      <c r="L27" s="458"/>
      <c r="M27" s="458"/>
      <c r="N27" s="153"/>
      <c r="O27" s="153"/>
    </row>
    <row r="28" spans="1:15" ht="21.75" customHeight="1" outlineLevel="1">
      <c r="A28" s="159" t="s">
        <v>228</v>
      </c>
      <c r="B28" s="494" t="s">
        <v>229</v>
      </c>
      <c r="C28" s="495"/>
      <c r="D28" s="157"/>
      <c r="E28" s="160"/>
      <c r="F28" s="161"/>
      <c r="G28" s="161"/>
      <c r="H28" s="162"/>
      <c r="I28" s="160"/>
      <c r="J28" s="162"/>
      <c r="K28" s="175" t="s">
        <v>364</v>
      </c>
      <c r="L28" s="458"/>
      <c r="M28" s="458"/>
      <c r="N28" s="153"/>
      <c r="O28" s="153"/>
    </row>
    <row r="29" spans="1:15" ht="45.75" customHeight="1">
      <c r="A29" s="158" t="s">
        <v>230</v>
      </c>
      <c r="B29" s="489" t="s">
        <v>231</v>
      </c>
      <c r="C29" s="490"/>
      <c r="D29" s="154" t="s">
        <v>232</v>
      </c>
      <c r="E29" s="491" t="s">
        <v>233</v>
      </c>
      <c r="F29" s="492"/>
      <c r="G29" s="492"/>
      <c r="H29" s="493"/>
      <c r="I29" s="491"/>
      <c r="J29" s="493"/>
      <c r="K29" s="175" t="s">
        <v>365</v>
      </c>
      <c r="L29" s="504" t="s">
        <v>144</v>
      </c>
      <c r="M29" s="504"/>
      <c r="N29" s="153"/>
      <c r="O29" s="153"/>
    </row>
    <row r="30" spans="1:15" ht="33.75" customHeight="1" outlineLevel="1">
      <c r="A30" s="163" t="s">
        <v>234</v>
      </c>
      <c r="B30" s="494" t="s">
        <v>235</v>
      </c>
      <c r="C30" s="495"/>
      <c r="D30" s="157" t="s">
        <v>232</v>
      </c>
      <c r="E30" s="474"/>
      <c r="F30" s="488"/>
      <c r="G30" s="488"/>
      <c r="H30" s="475"/>
      <c r="I30" s="474"/>
      <c r="J30" s="475"/>
      <c r="K30" s="175" t="s">
        <v>365</v>
      </c>
      <c r="L30" s="458"/>
      <c r="M30" s="458"/>
      <c r="N30" s="153"/>
      <c r="O30" s="153"/>
    </row>
    <row r="31" spans="1:15" ht="19.5" customHeight="1" outlineLevel="1">
      <c r="A31" s="163" t="s">
        <v>236</v>
      </c>
      <c r="B31" s="496" t="s">
        <v>237</v>
      </c>
      <c r="C31" s="495"/>
      <c r="D31" s="157" t="s">
        <v>232</v>
      </c>
      <c r="E31" s="474"/>
      <c r="F31" s="488"/>
      <c r="G31" s="488"/>
      <c r="H31" s="475"/>
      <c r="I31" s="474"/>
      <c r="J31" s="475"/>
      <c r="K31" s="175" t="s">
        <v>365</v>
      </c>
      <c r="L31" s="458"/>
      <c r="M31" s="458"/>
      <c r="N31" s="153"/>
      <c r="O31" s="153"/>
    </row>
    <row r="32" spans="1:15" ht="19.5" customHeight="1" outlineLevel="1">
      <c r="A32" s="159" t="s">
        <v>238</v>
      </c>
      <c r="B32" s="494" t="s">
        <v>239</v>
      </c>
      <c r="C32" s="495"/>
      <c r="D32" s="157" t="s">
        <v>240</v>
      </c>
      <c r="E32" s="474"/>
      <c r="F32" s="488"/>
      <c r="G32" s="488"/>
      <c r="H32" s="475"/>
      <c r="I32" s="474"/>
      <c r="J32" s="475"/>
      <c r="K32" s="175" t="s">
        <v>365</v>
      </c>
      <c r="L32" s="458"/>
      <c r="M32" s="458"/>
      <c r="N32" s="153"/>
      <c r="O32" s="153"/>
    </row>
    <row r="33" spans="1:15" ht="19.5" customHeight="1" outlineLevel="1">
      <c r="A33" s="163" t="s">
        <v>241</v>
      </c>
      <c r="B33" s="494" t="s">
        <v>242</v>
      </c>
      <c r="C33" s="495"/>
      <c r="D33" s="157" t="s">
        <v>243</v>
      </c>
      <c r="E33" s="474"/>
      <c r="F33" s="488"/>
      <c r="G33" s="488"/>
      <c r="H33" s="475"/>
      <c r="I33" s="474"/>
      <c r="J33" s="475"/>
      <c r="K33" s="175" t="s">
        <v>365</v>
      </c>
      <c r="L33" s="458"/>
      <c r="M33" s="458"/>
      <c r="N33" s="153"/>
      <c r="O33" s="153"/>
    </row>
    <row r="34" spans="1:15" ht="45" customHeight="1" outlineLevel="1">
      <c r="A34" s="163" t="s">
        <v>244</v>
      </c>
      <c r="B34" s="496" t="s">
        <v>245</v>
      </c>
      <c r="C34" s="495"/>
      <c r="D34" s="157" t="s">
        <v>232</v>
      </c>
      <c r="E34" s="474"/>
      <c r="F34" s="488"/>
      <c r="G34" s="488"/>
      <c r="H34" s="475"/>
      <c r="I34" s="474"/>
      <c r="J34" s="475"/>
      <c r="K34" s="182" t="s">
        <v>366</v>
      </c>
      <c r="L34" s="183"/>
      <c r="M34" s="155"/>
      <c r="N34" s="153"/>
      <c r="O34" s="153"/>
    </row>
    <row r="35" spans="1:15" ht="28.5" customHeight="1" outlineLevel="1">
      <c r="A35" s="163" t="s">
        <v>246</v>
      </c>
      <c r="B35" s="494" t="s">
        <v>247</v>
      </c>
      <c r="C35" s="495"/>
      <c r="D35" s="157" t="s">
        <v>243</v>
      </c>
      <c r="E35" s="474"/>
      <c r="F35" s="488"/>
      <c r="G35" s="488"/>
      <c r="H35" s="475"/>
      <c r="I35" s="474"/>
      <c r="J35" s="475"/>
      <c r="K35" s="182" t="s">
        <v>366</v>
      </c>
      <c r="L35" s="183"/>
      <c r="M35" s="155"/>
      <c r="N35" s="153"/>
      <c r="O35" s="153"/>
    </row>
    <row r="36" spans="1:15" ht="30" customHeight="1" outlineLevel="1">
      <c r="A36" s="159" t="s">
        <v>248</v>
      </c>
      <c r="B36" s="496" t="s">
        <v>249</v>
      </c>
      <c r="C36" s="495"/>
      <c r="D36" s="157" t="s">
        <v>250</v>
      </c>
      <c r="E36" s="474"/>
      <c r="F36" s="488"/>
      <c r="G36" s="488"/>
      <c r="H36" s="475"/>
      <c r="I36" s="474"/>
      <c r="J36" s="475"/>
      <c r="K36" s="182" t="s">
        <v>366</v>
      </c>
      <c r="L36" s="183"/>
      <c r="M36" s="155"/>
      <c r="N36" s="153"/>
      <c r="O36" s="153"/>
    </row>
    <row r="37" spans="1:15" ht="31.5" customHeight="1" outlineLevel="1">
      <c r="A37" s="159" t="s">
        <v>251</v>
      </c>
      <c r="B37" s="496" t="s">
        <v>252</v>
      </c>
      <c r="C37" s="495"/>
      <c r="D37" s="157" t="s">
        <v>218</v>
      </c>
      <c r="E37" s="474"/>
      <c r="F37" s="488"/>
      <c r="G37" s="488"/>
      <c r="H37" s="475"/>
      <c r="I37" s="474"/>
      <c r="J37" s="475"/>
      <c r="K37" s="182" t="s">
        <v>366</v>
      </c>
      <c r="L37" s="183"/>
      <c r="M37" s="155"/>
      <c r="N37" s="153"/>
      <c r="O37" s="153"/>
    </row>
    <row r="38" spans="1:15" ht="28.5" customHeight="1" outlineLevel="1">
      <c r="A38" s="159" t="s">
        <v>253</v>
      </c>
      <c r="B38" s="496" t="s">
        <v>254</v>
      </c>
      <c r="C38" s="495"/>
      <c r="D38" s="157" t="s">
        <v>250</v>
      </c>
      <c r="E38" s="474"/>
      <c r="F38" s="488"/>
      <c r="G38" s="488"/>
      <c r="H38" s="475"/>
      <c r="I38" s="474"/>
      <c r="J38" s="475"/>
      <c r="K38" s="175" t="s">
        <v>365</v>
      </c>
      <c r="L38" s="183"/>
      <c r="M38" s="155"/>
      <c r="N38" s="153"/>
      <c r="O38" s="153"/>
    </row>
    <row r="39" spans="1:15" ht="28.5" customHeight="1">
      <c r="A39" s="151" t="s">
        <v>255</v>
      </c>
      <c r="B39" s="476" t="s">
        <v>256</v>
      </c>
      <c r="C39" s="477"/>
      <c r="D39" s="154" t="s">
        <v>257</v>
      </c>
      <c r="E39" s="491" t="s">
        <v>258</v>
      </c>
      <c r="F39" s="492"/>
      <c r="G39" s="492"/>
      <c r="H39" s="493"/>
      <c r="I39" s="481"/>
      <c r="J39" s="482"/>
      <c r="K39" s="175" t="s">
        <v>437</v>
      </c>
      <c r="L39" s="504" t="s">
        <v>436</v>
      </c>
      <c r="M39" s="504"/>
      <c r="N39" s="153"/>
      <c r="O39" s="153"/>
    </row>
    <row r="40" spans="1:15" ht="42" customHeight="1" outlineLevel="1">
      <c r="A40" s="163" t="s">
        <v>259</v>
      </c>
      <c r="B40" s="494" t="s">
        <v>260</v>
      </c>
      <c r="C40" s="495"/>
      <c r="D40" s="164" t="s">
        <v>261</v>
      </c>
      <c r="E40" s="474"/>
      <c r="F40" s="488"/>
      <c r="G40" s="488"/>
      <c r="H40" s="475"/>
      <c r="I40" s="497" t="s">
        <v>262</v>
      </c>
      <c r="J40" s="498"/>
      <c r="K40" s="175" t="s">
        <v>437</v>
      </c>
      <c r="L40" s="458"/>
      <c r="M40" s="458"/>
      <c r="N40" s="153"/>
      <c r="O40" s="153"/>
    </row>
    <row r="41" spans="1:15" ht="34.5" customHeight="1">
      <c r="A41" s="151" t="s">
        <v>263</v>
      </c>
      <c r="B41" s="486" t="s">
        <v>264</v>
      </c>
      <c r="C41" s="477"/>
      <c r="D41" s="154" t="s">
        <v>265</v>
      </c>
      <c r="E41" s="491" t="s">
        <v>266</v>
      </c>
      <c r="F41" s="492"/>
      <c r="G41" s="492"/>
      <c r="H41" s="493"/>
      <c r="I41" s="491"/>
      <c r="J41" s="493"/>
      <c r="K41" s="175" t="s">
        <v>367</v>
      </c>
      <c r="L41" s="458" t="s">
        <v>482</v>
      </c>
      <c r="M41" s="458"/>
      <c r="N41" s="153"/>
      <c r="O41" s="153"/>
    </row>
    <row r="42" spans="1:15" ht="37.5" customHeight="1" outlineLevel="1">
      <c r="A42" s="165" t="s">
        <v>267</v>
      </c>
      <c r="B42" s="494" t="s">
        <v>268</v>
      </c>
      <c r="C42" s="495"/>
      <c r="D42" s="164" t="s">
        <v>261</v>
      </c>
      <c r="E42" s="474"/>
      <c r="F42" s="488"/>
      <c r="G42" s="488"/>
      <c r="H42" s="475"/>
      <c r="I42" s="474"/>
      <c r="J42" s="475"/>
      <c r="K42" s="182" t="s">
        <v>365</v>
      </c>
      <c r="L42" s="458"/>
      <c r="M42" s="458"/>
      <c r="N42" s="153"/>
      <c r="O42" s="153"/>
    </row>
    <row r="43" spans="1:15" ht="28.5" customHeight="1" outlineLevel="1">
      <c r="A43" s="165" t="s">
        <v>269</v>
      </c>
      <c r="B43" s="496" t="s">
        <v>270</v>
      </c>
      <c r="C43" s="495"/>
      <c r="D43" s="164" t="s">
        <v>261</v>
      </c>
      <c r="E43" s="474"/>
      <c r="F43" s="488"/>
      <c r="G43" s="488"/>
      <c r="H43" s="475"/>
      <c r="I43" s="474"/>
      <c r="J43" s="475"/>
      <c r="K43" s="182" t="s">
        <v>365</v>
      </c>
      <c r="L43" s="177"/>
      <c r="M43" s="155"/>
      <c r="N43" s="153"/>
      <c r="O43" s="153"/>
    </row>
    <row r="44" spans="1:15" ht="29.25" customHeight="1" outlineLevel="1">
      <c r="A44" s="165" t="s">
        <v>271</v>
      </c>
      <c r="B44" s="496" t="s">
        <v>272</v>
      </c>
      <c r="C44" s="495"/>
      <c r="D44" s="164" t="s">
        <v>261</v>
      </c>
      <c r="E44" s="474"/>
      <c r="F44" s="488"/>
      <c r="G44" s="488"/>
      <c r="H44" s="475"/>
      <c r="I44" s="474"/>
      <c r="J44" s="475"/>
      <c r="K44" s="182" t="s">
        <v>365</v>
      </c>
      <c r="L44" s="177"/>
      <c r="M44" s="155"/>
      <c r="N44" s="153"/>
      <c r="O44" s="153"/>
    </row>
    <row r="45" spans="1:15" s="166" customFormat="1" ht="24" customHeight="1">
      <c r="A45" s="151" t="s">
        <v>273</v>
      </c>
      <c r="B45" s="486" t="s">
        <v>274</v>
      </c>
      <c r="C45" s="477"/>
      <c r="D45" s="154" t="s">
        <v>275</v>
      </c>
      <c r="E45" s="491" t="s">
        <v>208</v>
      </c>
      <c r="F45" s="492"/>
      <c r="G45" s="492"/>
      <c r="H45" s="493"/>
      <c r="I45" s="481" t="s">
        <v>276</v>
      </c>
      <c r="J45" s="482"/>
      <c r="K45" s="175" t="s">
        <v>368</v>
      </c>
      <c r="L45" s="459" t="s">
        <v>475</v>
      </c>
      <c r="M45" s="459"/>
      <c r="N45" s="153"/>
      <c r="O45" s="153"/>
    </row>
    <row r="46" spans="1:15" ht="30" customHeight="1" outlineLevel="1">
      <c r="A46" s="163" t="s">
        <v>259</v>
      </c>
      <c r="B46" s="487" t="s">
        <v>277</v>
      </c>
      <c r="C46" s="470"/>
      <c r="D46" s="157" t="s">
        <v>278</v>
      </c>
      <c r="E46" s="474"/>
      <c r="F46" s="488"/>
      <c r="G46" s="488"/>
      <c r="H46" s="475"/>
      <c r="I46" s="497" t="s">
        <v>279</v>
      </c>
      <c r="J46" s="498"/>
      <c r="K46" s="175" t="s">
        <v>368</v>
      </c>
      <c r="L46" s="459"/>
      <c r="M46" s="459"/>
      <c r="N46" s="153"/>
      <c r="O46" s="153"/>
    </row>
    <row r="47" spans="1:15" ht="37.5" customHeight="1" outlineLevel="1">
      <c r="A47" s="165" t="s">
        <v>280</v>
      </c>
      <c r="B47" s="496" t="s">
        <v>281</v>
      </c>
      <c r="C47" s="495"/>
      <c r="D47" s="164" t="s">
        <v>261</v>
      </c>
      <c r="E47" s="474"/>
      <c r="F47" s="488"/>
      <c r="G47" s="488"/>
      <c r="H47" s="475"/>
      <c r="I47" s="474"/>
      <c r="J47" s="475"/>
      <c r="K47" s="182" t="s">
        <v>368</v>
      </c>
      <c r="L47" s="459"/>
      <c r="M47" s="459"/>
      <c r="N47" s="153"/>
      <c r="O47" s="153"/>
    </row>
    <row r="48" spans="1:15" ht="21" customHeight="1" outlineLevel="1">
      <c r="A48" s="165" t="s">
        <v>282</v>
      </c>
      <c r="B48" s="496" t="s">
        <v>283</v>
      </c>
      <c r="C48" s="495"/>
      <c r="D48" s="164" t="s">
        <v>261</v>
      </c>
      <c r="E48" s="474"/>
      <c r="F48" s="488"/>
      <c r="G48" s="488"/>
      <c r="H48" s="475"/>
      <c r="I48" s="474"/>
      <c r="J48" s="475"/>
      <c r="K48" s="182" t="s">
        <v>365</v>
      </c>
      <c r="L48" s="459"/>
      <c r="M48" s="459"/>
      <c r="N48" s="153"/>
      <c r="O48" s="153"/>
    </row>
    <row r="49" spans="1:15" ht="21" customHeight="1" outlineLevel="1">
      <c r="A49" s="167" t="s">
        <v>284</v>
      </c>
      <c r="B49" s="168" t="s">
        <v>285</v>
      </c>
      <c r="C49" s="169"/>
      <c r="D49" s="164" t="s">
        <v>261</v>
      </c>
      <c r="E49" s="160"/>
      <c r="F49" s="161"/>
      <c r="G49" s="161"/>
      <c r="H49" s="162"/>
      <c r="I49" s="160"/>
      <c r="J49" s="162"/>
      <c r="K49" s="182" t="s">
        <v>365</v>
      </c>
      <c r="L49" s="459"/>
      <c r="M49" s="459"/>
      <c r="N49" s="153"/>
      <c r="O49" s="153"/>
    </row>
    <row r="50" spans="1:15" ht="47.25" customHeight="1" outlineLevel="1">
      <c r="A50" s="165" t="s">
        <v>286</v>
      </c>
      <c r="B50" s="494" t="s">
        <v>287</v>
      </c>
      <c r="C50" s="495"/>
      <c r="D50" s="164" t="s">
        <v>261</v>
      </c>
      <c r="E50" s="474"/>
      <c r="F50" s="488"/>
      <c r="G50" s="488"/>
      <c r="H50" s="475"/>
      <c r="I50" s="474"/>
      <c r="J50" s="475"/>
      <c r="K50" s="182" t="s">
        <v>365</v>
      </c>
      <c r="L50" s="459"/>
      <c r="M50" s="459"/>
      <c r="N50" s="153"/>
      <c r="O50" s="153"/>
    </row>
    <row r="51" spans="1:15" ht="36" customHeight="1" outlineLevel="1">
      <c r="A51" s="163" t="s">
        <v>288</v>
      </c>
      <c r="B51" s="487" t="s">
        <v>289</v>
      </c>
      <c r="C51" s="470"/>
      <c r="D51" s="157" t="s">
        <v>265</v>
      </c>
      <c r="E51" s="474"/>
      <c r="F51" s="488"/>
      <c r="G51" s="488"/>
      <c r="H51" s="475"/>
      <c r="I51" s="474"/>
      <c r="J51" s="475"/>
      <c r="K51" s="182" t="s">
        <v>365</v>
      </c>
      <c r="L51" s="459"/>
      <c r="M51" s="459"/>
      <c r="N51" s="153"/>
      <c r="O51" s="153"/>
    </row>
    <row r="52" spans="1:15" ht="27.75" customHeight="1" outlineLevel="1">
      <c r="A52" s="165" t="s">
        <v>280</v>
      </c>
      <c r="B52" s="494" t="s">
        <v>290</v>
      </c>
      <c r="C52" s="495"/>
      <c r="D52" s="157" t="s">
        <v>275</v>
      </c>
      <c r="E52" s="474"/>
      <c r="F52" s="488"/>
      <c r="G52" s="488"/>
      <c r="H52" s="475"/>
      <c r="I52" s="474"/>
      <c r="J52" s="475"/>
      <c r="K52" s="182" t="s">
        <v>365</v>
      </c>
      <c r="L52" s="459"/>
      <c r="M52" s="459"/>
      <c r="N52" s="153"/>
      <c r="O52" s="153"/>
    </row>
    <row r="53" spans="1:15" ht="27.75" customHeight="1" outlineLevel="1">
      <c r="A53" s="167" t="s">
        <v>291</v>
      </c>
      <c r="B53" s="499" t="s">
        <v>375</v>
      </c>
      <c r="C53" s="500"/>
      <c r="D53" s="157" t="s">
        <v>261</v>
      </c>
      <c r="E53" s="160"/>
      <c r="F53" s="161"/>
      <c r="G53" s="161"/>
      <c r="H53" s="162"/>
      <c r="I53" s="160"/>
      <c r="J53" s="162"/>
      <c r="K53" s="182" t="s">
        <v>365</v>
      </c>
      <c r="L53" s="459"/>
      <c r="M53" s="459"/>
      <c r="N53" s="153"/>
      <c r="O53" s="153"/>
    </row>
    <row r="54" spans="1:15" ht="27.75" customHeight="1" outlineLevel="1">
      <c r="A54" s="167" t="s">
        <v>292</v>
      </c>
      <c r="B54" s="499" t="s">
        <v>293</v>
      </c>
      <c r="C54" s="500"/>
      <c r="D54" s="157" t="s">
        <v>261</v>
      </c>
      <c r="E54" s="160"/>
      <c r="F54" s="161"/>
      <c r="G54" s="161"/>
      <c r="H54" s="162"/>
      <c r="I54" s="160"/>
      <c r="J54" s="162"/>
      <c r="K54" s="182" t="s">
        <v>365</v>
      </c>
      <c r="L54" s="459"/>
      <c r="M54" s="459"/>
      <c r="N54" s="153"/>
      <c r="O54" s="153"/>
    </row>
    <row r="55" spans="1:15" ht="36" customHeight="1" outlineLevel="1">
      <c r="A55" s="165" t="s">
        <v>294</v>
      </c>
      <c r="B55" s="494" t="s">
        <v>295</v>
      </c>
      <c r="C55" s="495"/>
      <c r="D55" s="157" t="s">
        <v>261</v>
      </c>
      <c r="E55" s="474"/>
      <c r="F55" s="488"/>
      <c r="G55" s="488"/>
      <c r="H55" s="475"/>
      <c r="I55" s="474"/>
      <c r="J55" s="475"/>
      <c r="K55" s="182" t="s">
        <v>365</v>
      </c>
      <c r="L55" s="459"/>
      <c r="M55" s="459"/>
      <c r="N55" s="153"/>
      <c r="O55" s="153"/>
    </row>
    <row r="56" spans="1:15" ht="48" customHeight="1" outlineLevel="1">
      <c r="A56" s="165" t="s">
        <v>280</v>
      </c>
      <c r="B56" s="494" t="s">
        <v>296</v>
      </c>
      <c r="C56" s="495"/>
      <c r="D56" s="157" t="s">
        <v>261</v>
      </c>
      <c r="E56" s="474"/>
      <c r="F56" s="488"/>
      <c r="G56" s="488"/>
      <c r="H56" s="475"/>
      <c r="I56" s="474"/>
      <c r="J56" s="475"/>
      <c r="K56" s="182" t="s">
        <v>365</v>
      </c>
      <c r="L56" s="459"/>
      <c r="M56" s="459"/>
      <c r="N56" s="153"/>
      <c r="O56" s="153"/>
    </row>
    <row r="57" spans="1:15" ht="35.25" customHeight="1" outlineLevel="1">
      <c r="A57" s="165" t="s">
        <v>282</v>
      </c>
      <c r="B57" s="494" t="s">
        <v>297</v>
      </c>
      <c r="C57" s="495"/>
      <c r="D57" s="157" t="s">
        <v>261</v>
      </c>
      <c r="E57" s="474"/>
      <c r="F57" s="488"/>
      <c r="G57" s="488"/>
      <c r="H57" s="475"/>
      <c r="I57" s="474"/>
      <c r="J57" s="475"/>
      <c r="K57" s="182" t="s">
        <v>365</v>
      </c>
      <c r="L57" s="459"/>
      <c r="M57" s="459"/>
      <c r="N57" s="153"/>
      <c r="O57" s="153"/>
    </row>
    <row r="58" spans="1:15" ht="35.25" customHeight="1" outlineLevel="1">
      <c r="A58" s="163" t="s">
        <v>298</v>
      </c>
      <c r="B58" s="501" t="s">
        <v>299</v>
      </c>
      <c r="C58" s="502"/>
      <c r="D58" s="157" t="s">
        <v>261</v>
      </c>
      <c r="E58" s="160"/>
      <c r="F58" s="161"/>
      <c r="G58" s="161"/>
      <c r="H58" s="162"/>
      <c r="I58" s="160"/>
      <c r="J58" s="162"/>
      <c r="K58" s="182" t="s">
        <v>365</v>
      </c>
      <c r="L58" s="459"/>
      <c r="M58" s="459"/>
      <c r="N58" s="153"/>
      <c r="O58" s="153"/>
    </row>
    <row r="59" spans="1:15" ht="46.5" customHeight="1" outlineLevel="1">
      <c r="A59" s="163" t="s">
        <v>300</v>
      </c>
      <c r="B59" s="487" t="s">
        <v>301</v>
      </c>
      <c r="C59" s="470"/>
      <c r="D59" s="157" t="s">
        <v>275</v>
      </c>
      <c r="E59" s="474"/>
      <c r="F59" s="488"/>
      <c r="G59" s="488"/>
      <c r="H59" s="475"/>
      <c r="I59" s="474"/>
      <c r="J59" s="475"/>
      <c r="K59" s="182" t="s">
        <v>365</v>
      </c>
      <c r="L59" s="459"/>
      <c r="M59" s="459"/>
      <c r="N59" s="153"/>
      <c r="O59" s="153"/>
    </row>
    <row r="60" spans="1:15" ht="33.75" customHeight="1" outlineLevel="1">
      <c r="A60" s="165" t="s">
        <v>302</v>
      </c>
      <c r="B60" s="487" t="s">
        <v>303</v>
      </c>
      <c r="C60" s="470"/>
      <c r="D60" s="164" t="s">
        <v>261</v>
      </c>
      <c r="E60" s="474"/>
      <c r="F60" s="488"/>
      <c r="G60" s="488"/>
      <c r="H60" s="475"/>
      <c r="I60" s="474"/>
      <c r="J60" s="475"/>
      <c r="K60" s="182" t="s">
        <v>365</v>
      </c>
      <c r="L60" s="459"/>
      <c r="M60" s="459"/>
      <c r="N60" s="153"/>
      <c r="O60" s="153"/>
    </row>
    <row r="61" spans="1:15" ht="36.75" customHeight="1" outlineLevel="1">
      <c r="A61" s="163" t="s">
        <v>304</v>
      </c>
      <c r="B61" s="469" t="s">
        <v>369</v>
      </c>
      <c r="C61" s="470"/>
      <c r="D61" s="157" t="s">
        <v>275</v>
      </c>
      <c r="E61" s="474"/>
      <c r="F61" s="488"/>
      <c r="G61" s="488"/>
      <c r="H61" s="475"/>
      <c r="I61" s="474" t="s">
        <v>305</v>
      </c>
      <c r="J61" s="475"/>
      <c r="K61" s="182" t="s">
        <v>365</v>
      </c>
      <c r="L61" s="459"/>
      <c r="M61" s="459"/>
      <c r="N61" s="153"/>
      <c r="O61" s="153"/>
    </row>
    <row r="62" spans="1:15" ht="32.25" customHeight="1" outlineLevel="1">
      <c r="A62" s="165" t="s">
        <v>306</v>
      </c>
      <c r="B62" s="494" t="s">
        <v>307</v>
      </c>
      <c r="C62" s="495"/>
      <c r="D62" s="164" t="s">
        <v>261</v>
      </c>
      <c r="E62" s="474"/>
      <c r="F62" s="488"/>
      <c r="G62" s="488"/>
      <c r="H62" s="475"/>
      <c r="I62" s="474"/>
      <c r="J62" s="475"/>
      <c r="K62" s="182" t="s">
        <v>365</v>
      </c>
      <c r="L62" s="459"/>
      <c r="M62" s="459"/>
      <c r="N62" s="153"/>
      <c r="O62" s="153"/>
    </row>
    <row r="63" spans="1:15" ht="32.25" customHeight="1" outlineLevel="1">
      <c r="A63" s="165" t="s">
        <v>282</v>
      </c>
      <c r="B63" s="496" t="s">
        <v>308</v>
      </c>
      <c r="C63" s="495"/>
      <c r="D63" s="164" t="s">
        <v>261</v>
      </c>
      <c r="E63" s="474"/>
      <c r="F63" s="488"/>
      <c r="G63" s="488"/>
      <c r="H63" s="475"/>
      <c r="I63" s="474"/>
      <c r="J63" s="475"/>
      <c r="K63" s="182" t="s">
        <v>365</v>
      </c>
      <c r="L63" s="459"/>
      <c r="M63" s="459"/>
      <c r="N63" s="153"/>
      <c r="O63" s="153"/>
    </row>
    <row r="64" spans="1:15" ht="25.5" customHeight="1" outlineLevel="1">
      <c r="A64" s="163" t="s">
        <v>309</v>
      </c>
      <c r="B64" s="487" t="s">
        <v>310</v>
      </c>
      <c r="C64" s="470"/>
      <c r="D64" s="157" t="s">
        <v>275</v>
      </c>
      <c r="E64" s="474"/>
      <c r="F64" s="488"/>
      <c r="G64" s="488"/>
      <c r="H64" s="475"/>
      <c r="I64" s="474" t="s">
        <v>311</v>
      </c>
      <c r="J64" s="475"/>
      <c r="K64" s="182" t="s">
        <v>370</v>
      </c>
      <c r="L64" s="459"/>
      <c r="M64" s="459"/>
      <c r="N64" s="153"/>
      <c r="O64" s="153"/>
    </row>
    <row r="65" spans="1:15" ht="47.25" customHeight="1" outlineLevel="1">
      <c r="A65" s="165" t="s">
        <v>280</v>
      </c>
      <c r="B65" s="487" t="s">
        <v>312</v>
      </c>
      <c r="C65" s="470"/>
      <c r="D65" s="157" t="s">
        <v>278</v>
      </c>
      <c r="E65" s="474"/>
      <c r="F65" s="488"/>
      <c r="G65" s="488"/>
      <c r="H65" s="475"/>
      <c r="I65" s="474"/>
      <c r="J65" s="475"/>
      <c r="K65" s="182" t="s">
        <v>370</v>
      </c>
      <c r="L65" s="459"/>
      <c r="M65" s="459"/>
      <c r="N65" s="153"/>
      <c r="O65" s="153"/>
    </row>
    <row r="66" spans="1:15" ht="36.75" customHeight="1" outlineLevel="1">
      <c r="A66" s="165" t="s">
        <v>313</v>
      </c>
      <c r="B66" s="496" t="s">
        <v>314</v>
      </c>
      <c r="C66" s="495"/>
      <c r="D66" s="157" t="s">
        <v>243</v>
      </c>
      <c r="E66" s="474"/>
      <c r="F66" s="488"/>
      <c r="G66" s="488"/>
      <c r="H66" s="475"/>
      <c r="I66" s="474"/>
      <c r="J66" s="475"/>
      <c r="K66" s="182" t="s">
        <v>371</v>
      </c>
      <c r="L66" s="177"/>
      <c r="M66" s="155"/>
      <c r="N66" s="153"/>
      <c r="O66" s="153"/>
    </row>
    <row r="67" spans="1:15" ht="32.25" customHeight="1" outlineLevel="1">
      <c r="A67" s="165" t="s">
        <v>315</v>
      </c>
      <c r="B67" s="494" t="s">
        <v>316</v>
      </c>
      <c r="C67" s="495"/>
      <c r="D67" s="164" t="s">
        <v>261</v>
      </c>
      <c r="E67" s="474"/>
      <c r="F67" s="488"/>
      <c r="G67" s="488"/>
      <c r="H67" s="475"/>
      <c r="I67" s="474"/>
      <c r="J67" s="475"/>
      <c r="K67" s="182" t="s">
        <v>366</v>
      </c>
      <c r="L67" s="177"/>
      <c r="M67" s="155"/>
      <c r="N67" s="153"/>
      <c r="O67" s="153"/>
    </row>
    <row r="68" spans="1:15" ht="86.25" customHeight="1" outlineLevel="1">
      <c r="A68" s="165" t="s">
        <v>317</v>
      </c>
      <c r="B68" s="496" t="s">
        <v>318</v>
      </c>
      <c r="C68" s="495"/>
      <c r="D68" s="164" t="s">
        <v>261</v>
      </c>
      <c r="E68" s="474"/>
      <c r="F68" s="488"/>
      <c r="G68" s="488"/>
      <c r="H68" s="475"/>
      <c r="I68" s="474"/>
      <c r="J68" s="475"/>
      <c r="K68" s="182" t="s">
        <v>372</v>
      </c>
      <c r="L68" s="177"/>
      <c r="M68" s="155"/>
      <c r="N68" s="153"/>
      <c r="O68" s="153"/>
    </row>
    <row r="69" spans="1:15" ht="48.75" customHeight="1" outlineLevel="1">
      <c r="A69" s="163" t="s">
        <v>319</v>
      </c>
      <c r="B69" s="487" t="s">
        <v>320</v>
      </c>
      <c r="C69" s="470"/>
      <c r="D69" s="157" t="s">
        <v>275</v>
      </c>
      <c r="E69" s="474"/>
      <c r="F69" s="488"/>
      <c r="G69" s="488"/>
      <c r="H69" s="475"/>
      <c r="I69" s="474"/>
      <c r="J69" s="475"/>
      <c r="K69" s="182" t="s">
        <v>373</v>
      </c>
      <c r="L69" s="459" t="s">
        <v>475</v>
      </c>
      <c r="M69" s="459"/>
      <c r="N69" s="153"/>
      <c r="O69" s="153"/>
    </row>
    <row r="70" spans="1:15" ht="55.5" customHeight="1" outlineLevel="1">
      <c r="A70" s="165" t="s">
        <v>306</v>
      </c>
      <c r="B70" s="494" t="s">
        <v>321</v>
      </c>
      <c r="C70" s="495"/>
      <c r="D70" s="157" t="s">
        <v>322</v>
      </c>
      <c r="E70" s="474"/>
      <c r="F70" s="488"/>
      <c r="G70" s="488"/>
      <c r="H70" s="475"/>
      <c r="I70" s="474"/>
      <c r="J70" s="475"/>
      <c r="K70" s="182" t="s">
        <v>373</v>
      </c>
      <c r="L70" s="459"/>
      <c r="M70" s="459"/>
      <c r="N70" s="153"/>
      <c r="O70" s="153"/>
    </row>
    <row r="71" spans="1:15" ht="24" customHeight="1" outlineLevel="1">
      <c r="A71" s="165" t="s">
        <v>323</v>
      </c>
      <c r="B71" s="494" t="s">
        <v>324</v>
      </c>
      <c r="C71" s="495"/>
      <c r="D71" s="157" t="s">
        <v>322</v>
      </c>
      <c r="E71" s="474"/>
      <c r="F71" s="488"/>
      <c r="G71" s="488"/>
      <c r="H71" s="475"/>
      <c r="I71" s="474"/>
      <c r="J71" s="475"/>
      <c r="K71" s="182" t="s">
        <v>373</v>
      </c>
      <c r="L71" s="459"/>
      <c r="M71" s="459"/>
      <c r="N71" s="153"/>
      <c r="O71" s="153"/>
    </row>
    <row r="72" spans="1:15" ht="61.5" customHeight="1" outlineLevel="1">
      <c r="A72" s="165" t="s">
        <v>315</v>
      </c>
      <c r="B72" s="494" t="s">
        <v>325</v>
      </c>
      <c r="C72" s="495"/>
      <c r="D72" s="157" t="s">
        <v>326</v>
      </c>
      <c r="E72" s="474"/>
      <c r="F72" s="488"/>
      <c r="G72" s="488"/>
      <c r="H72" s="475"/>
      <c r="I72" s="474"/>
      <c r="J72" s="475"/>
      <c r="K72" s="182" t="s">
        <v>373</v>
      </c>
      <c r="L72" s="459"/>
      <c r="M72" s="459"/>
      <c r="N72" s="153"/>
      <c r="O72" s="153"/>
    </row>
    <row r="73" spans="1:15" ht="59.25" customHeight="1" outlineLevel="1">
      <c r="A73" s="165" t="s">
        <v>327</v>
      </c>
      <c r="B73" s="494" t="s">
        <v>328</v>
      </c>
      <c r="C73" s="495"/>
      <c r="D73" s="157" t="s">
        <v>243</v>
      </c>
      <c r="E73" s="474"/>
      <c r="F73" s="488"/>
      <c r="G73" s="488"/>
      <c r="H73" s="475"/>
      <c r="I73" s="474"/>
      <c r="J73" s="475"/>
      <c r="K73" s="182" t="s">
        <v>373</v>
      </c>
      <c r="L73" s="460" t="s">
        <v>472</v>
      </c>
      <c r="M73" s="461"/>
      <c r="N73" s="153"/>
      <c r="O73" s="153"/>
    </row>
    <row r="74" spans="1:15" ht="39.75" customHeight="1">
      <c r="A74" s="151" t="s">
        <v>329</v>
      </c>
      <c r="B74" s="486" t="s">
        <v>330</v>
      </c>
      <c r="C74" s="477"/>
      <c r="D74" s="154" t="s">
        <v>275</v>
      </c>
      <c r="E74" s="503" t="s">
        <v>331</v>
      </c>
      <c r="F74" s="492"/>
      <c r="G74" s="492"/>
      <c r="H74" s="493"/>
      <c r="I74" s="491" t="s">
        <v>332</v>
      </c>
      <c r="J74" s="493"/>
      <c r="K74" s="175" t="s">
        <v>374</v>
      </c>
      <c r="L74" s="504" t="s">
        <v>434</v>
      </c>
      <c r="M74" s="504"/>
      <c r="N74" s="153"/>
      <c r="O74" s="153"/>
    </row>
    <row r="75" spans="1:15" ht="24.75" customHeight="1" outlineLevel="1">
      <c r="A75" s="163" t="s">
        <v>333</v>
      </c>
      <c r="B75" s="494" t="s">
        <v>334</v>
      </c>
      <c r="C75" s="495"/>
      <c r="D75" s="164" t="s">
        <v>261</v>
      </c>
      <c r="E75" s="474"/>
      <c r="F75" s="488"/>
      <c r="G75" s="488"/>
      <c r="H75" s="475"/>
      <c r="I75" s="474"/>
      <c r="J75" s="475"/>
      <c r="K75" s="175" t="s">
        <v>374</v>
      </c>
      <c r="L75" s="458"/>
      <c r="M75" s="458"/>
      <c r="N75" s="153"/>
      <c r="O75" s="153"/>
    </row>
    <row r="76" spans="1:15" ht="24.75" customHeight="1" outlineLevel="1">
      <c r="A76" s="165" t="s">
        <v>335</v>
      </c>
      <c r="B76" s="494" t="s">
        <v>336</v>
      </c>
      <c r="C76" s="495"/>
      <c r="D76" s="164" t="s">
        <v>261</v>
      </c>
      <c r="E76" s="474"/>
      <c r="F76" s="488"/>
      <c r="G76" s="488"/>
      <c r="H76" s="475"/>
      <c r="I76" s="474"/>
      <c r="J76" s="475"/>
      <c r="K76" s="175" t="s">
        <v>374</v>
      </c>
      <c r="L76" s="458"/>
      <c r="M76" s="458"/>
      <c r="N76" s="153"/>
      <c r="O76" s="153"/>
    </row>
    <row r="77" spans="1:15" ht="28.5" customHeight="1" outlineLevel="1">
      <c r="A77" s="163" t="s">
        <v>288</v>
      </c>
      <c r="B77" s="487" t="s">
        <v>337</v>
      </c>
      <c r="C77" s="470"/>
      <c r="D77" s="157" t="s">
        <v>257</v>
      </c>
      <c r="E77" s="474"/>
      <c r="F77" s="488"/>
      <c r="G77" s="488"/>
      <c r="H77" s="475"/>
      <c r="I77" s="474"/>
      <c r="J77" s="475"/>
      <c r="K77" s="175" t="s">
        <v>374</v>
      </c>
      <c r="L77" s="458"/>
      <c r="M77" s="458"/>
      <c r="N77" s="153"/>
      <c r="O77" s="153"/>
    </row>
    <row r="78" spans="1:15" ht="24" customHeight="1">
      <c r="A78" s="158" t="s">
        <v>338</v>
      </c>
      <c r="B78" s="489" t="s">
        <v>339</v>
      </c>
      <c r="C78" s="490"/>
      <c r="D78" s="154" t="s">
        <v>340</v>
      </c>
      <c r="E78" s="491" t="s">
        <v>341</v>
      </c>
      <c r="F78" s="492"/>
      <c r="G78" s="492"/>
      <c r="H78" s="493"/>
      <c r="I78" s="491"/>
      <c r="J78" s="493"/>
      <c r="K78" s="175" t="s">
        <v>368</v>
      </c>
      <c r="L78" s="504" t="s">
        <v>145</v>
      </c>
      <c r="M78" s="504"/>
      <c r="N78" s="153"/>
      <c r="O78" s="153"/>
    </row>
    <row r="79" spans="1:15" ht="42.75" customHeight="1" outlineLevel="1">
      <c r="A79" s="165" t="s">
        <v>267</v>
      </c>
      <c r="B79" s="494" t="s">
        <v>342</v>
      </c>
      <c r="C79" s="495"/>
      <c r="D79" s="157" t="s">
        <v>322</v>
      </c>
      <c r="E79" s="474"/>
      <c r="F79" s="488"/>
      <c r="G79" s="488"/>
      <c r="H79" s="475"/>
      <c r="I79" s="474"/>
      <c r="J79" s="475"/>
      <c r="K79" s="175" t="s">
        <v>368</v>
      </c>
      <c r="L79" s="458"/>
      <c r="M79" s="458"/>
      <c r="N79" s="153"/>
      <c r="O79" s="153"/>
    </row>
    <row r="80" spans="1:15" ht="24" customHeight="1" outlineLevel="1">
      <c r="A80" s="165" t="s">
        <v>280</v>
      </c>
      <c r="B80" s="494" t="s">
        <v>343</v>
      </c>
      <c r="C80" s="495"/>
      <c r="D80" s="157" t="s">
        <v>344</v>
      </c>
      <c r="E80" s="474"/>
      <c r="F80" s="488"/>
      <c r="G80" s="488"/>
      <c r="H80" s="475"/>
      <c r="I80" s="474"/>
      <c r="J80" s="475"/>
      <c r="K80" s="175" t="s">
        <v>368</v>
      </c>
      <c r="L80" s="458"/>
      <c r="M80" s="458"/>
      <c r="N80" s="153"/>
      <c r="O80" s="153"/>
    </row>
    <row r="81" spans="1:15" ht="24" customHeight="1" outlineLevel="1">
      <c r="A81" s="165" t="s">
        <v>323</v>
      </c>
      <c r="B81" s="494" t="s">
        <v>345</v>
      </c>
      <c r="C81" s="495"/>
      <c r="D81" s="157" t="s">
        <v>346</v>
      </c>
      <c r="E81" s="474"/>
      <c r="F81" s="488"/>
      <c r="G81" s="488"/>
      <c r="H81" s="475"/>
      <c r="I81" s="474"/>
      <c r="J81" s="475"/>
      <c r="K81" s="175" t="s">
        <v>368</v>
      </c>
      <c r="L81" s="458"/>
      <c r="M81" s="458"/>
      <c r="N81" s="153"/>
      <c r="O81" s="153"/>
    </row>
    <row r="82" spans="1:15" ht="33.75" customHeight="1" outlineLevel="1">
      <c r="A82" s="165" t="s">
        <v>269</v>
      </c>
      <c r="B82" s="494" t="s">
        <v>347</v>
      </c>
      <c r="C82" s="495"/>
      <c r="D82" s="157" t="s">
        <v>344</v>
      </c>
      <c r="E82" s="474"/>
      <c r="F82" s="488"/>
      <c r="G82" s="488"/>
      <c r="H82" s="475"/>
      <c r="I82" s="474"/>
      <c r="J82" s="475"/>
      <c r="K82" s="175" t="s">
        <v>368</v>
      </c>
      <c r="L82" s="458"/>
      <c r="M82" s="458"/>
      <c r="N82" s="153"/>
      <c r="O82" s="153"/>
    </row>
    <row r="83" spans="1:15" ht="28.5" customHeight="1" outlineLevel="1">
      <c r="A83" s="165" t="s">
        <v>348</v>
      </c>
      <c r="B83" s="494" t="s">
        <v>349</v>
      </c>
      <c r="C83" s="495"/>
      <c r="D83" s="157" t="s">
        <v>322</v>
      </c>
      <c r="E83" s="474"/>
      <c r="F83" s="488"/>
      <c r="G83" s="488"/>
      <c r="H83" s="475"/>
      <c r="I83" s="474"/>
      <c r="J83" s="475"/>
      <c r="K83" s="175" t="s">
        <v>368</v>
      </c>
      <c r="L83" s="458"/>
      <c r="M83" s="458"/>
      <c r="N83" s="153"/>
      <c r="O83" s="153"/>
    </row>
    <row r="84" spans="1:15" ht="28.5" customHeight="1">
      <c r="A84" s="151" t="s">
        <v>350</v>
      </c>
      <c r="B84" s="476" t="s">
        <v>351</v>
      </c>
      <c r="C84" s="477"/>
      <c r="D84" s="154" t="s">
        <v>275</v>
      </c>
      <c r="E84" s="491" t="s">
        <v>352</v>
      </c>
      <c r="F84" s="492"/>
      <c r="G84" s="492"/>
      <c r="H84" s="493"/>
      <c r="I84" s="491" t="s">
        <v>353</v>
      </c>
      <c r="J84" s="493"/>
      <c r="K84" s="175" t="s">
        <v>555</v>
      </c>
      <c r="L84" s="462" t="s">
        <v>146</v>
      </c>
      <c r="M84" s="458"/>
      <c r="N84" s="153"/>
      <c r="O84" s="153"/>
    </row>
    <row r="85" spans="1:15" ht="30" customHeight="1" outlineLevel="1">
      <c r="A85" s="165" t="s">
        <v>259</v>
      </c>
      <c r="B85" s="494" t="s">
        <v>556</v>
      </c>
      <c r="C85" s="495"/>
      <c r="D85" s="164" t="s">
        <v>261</v>
      </c>
      <c r="E85" s="474"/>
      <c r="F85" s="488"/>
      <c r="G85" s="488"/>
      <c r="H85" s="475"/>
      <c r="I85" s="474"/>
      <c r="J85" s="475"/>
      <c r="K85" s="182" t="s">
        <v>558</v>
      </c>
      <c r="L85" s="177"/>
      <c r="M85" s="155"/>
      <c r="N85" s="153"/>
      <c r="O85" s="153"/>
    </row>
    <row r="86" spans="1:15" ht="23.25" customHeight="1" outlineLevel="1">
      <c r="A86" s="165" t="s">
        <v>286</v>
      </c>
      <c r="B86" s="494" t="s">
        <v>354</v>
      </c>
      <c r="C86" s="495"/>
      <c r="D86" s="164" t="s">
        <v>261</v>
      </c>
      <c r="E86" s="474"/>
      <c r="F86" s="488"/>
      <c r="G86" s="488"/>
      <c r="H86" s="475"/>
      <c r="I86" s="474"/>
      <c r="J86" s="475"/>
      <c r="K86" s="176"/>
      <c r="L86" s="177"/>
      <c r="M86" s="155"/>
      <c r="N86" s="153"/>
      <c r="O86" s="153"/>
    </row>
    <row r="89" spans="1:15" ht="15.6">
      <c r="B89" s="171" t="s">
        <v>355</v>
      </c>
    </row>
    <row r="90" spans="1:15" ht="15.6">
      <c r="A90" s="155"/>
      <c r="B90" s="172" t="s">
        <v>356</v>
      </c>
      <c r="D90" s="155"/>
      <c r="E90" s="155"/>
      <c r="F90" s="155"/>
      <c r="G90" s="155"/>
      <c r="H90" s="155"/>
      <c r="I90" s="155"/>
      <c r="J90" s="155"/>
      <c r="K90" s="181"/>
    </row>
    <row r="91" spans="1:15" ht="31.5" customHeight="1">
      <c r="A91" s="155"/>
      <c r="B91" s="496" t="s">
        <v>357</v>
      </c>
      <c r="C91" s="495"/>
      <c r="D91" s="155"/>
      <c r="E91" s="155"/>
      <c r="F91" s="155"/>
      <c r="G91" s="155"/>
      <c r="H91" s="155"/>
      <c r="I91" s="155"/>
      <c r="J91" s="155"/>
      <c r="K91" s="181"/>
      <c r="L91" s="177"/>
      <c r="M91" s="155"/>
      <c r="N91" s="153"/>
      <c r="O91" s="153"/>
    </row>
    <row r="92" spans="1:15" ht="21.75" customHeight="1">
      <c r="A92" s="155"/>
      <c r="B92" s="496" t="s">
        <v>358</v>
      </c>
      <c r="C92" s="495"/>
      <c r="D92" s="155"/>
      <c r="E92" s="155"/>
      <c r="F92" s="155"/>
      <c r="G92" s="155"/>
      <c r="H92" s="155"/>
      <c r="I92" s="155"/>
      <c r="J92" s="155"/>
      <c r="K92" s="181"/>
      <c r="L92" s="177"/>
      <c r="M92" s="155"/>
      <c r="N92" s="153"/>
      <c r="O92" s="153"/>
    </row>
    <row r="93" spans="1:15" ht="28.5" customHeight="1">
      <c r="A93" s="155"/>
      <c r="B93" s="496" t="s">
        <v>359</v>
      </c>
      <c r="C93" s="495"/>
      <c r="D93" s="155"/>
      <c r="E93" s="155"/>
      <c r="F93" s="155"/>
      <c r="G93" s="155"/>
      <c r="H93" s="155"/>
      <c r="I93" s="155"/>
      <c r="J93" s="155"/>
      <c r="K93" s="181"/>
      <c r="L93" s="177"/>
      <c r="M93" s="155"/>
      <c r="N93" s="153"/>
      <c r="O93" s="153"/>
    </row>
    <row r="94" spans="1:15" ht="30.75" customHeight="1">
      <c r="A94" s="155"/>
      <c r="B94" s="496" t="s">
        <v>360</v>
      </c>
      <c r="C94" s="495"/>
      <c r="D94" s="155"/>
      <c r="E94" s="155"/>
      <c r="F94" s="155"/>
      <c r="G94" s="155"/>
      <c r="H94" s="155"/>
      <c r="I94" s="155"/>
      <c r="J94" s="155"/>
      <c r="K94" s="181"/>
      <c r="L94" s="177"/>
      <c r="M94" s="155"/>
      <c r="N94" s="153"/>
      <c r="O94" s="153"/>
    </row>
    <row r="95" spans="1:15" ht="45.75" customHeight="1">
      <c r="B95" s="496" t="s">
        <v>361</v>
      </c>
      <c r="C95" s="495"/>
      <c r="D95" s="155"/>
      <c r="E95" s="155"/>
      <c r="F95" s="155"/>
      <c r="G95" s="155"/>
      <c r="H95" s="155"/>
      <c r="I95" s="155"/>
      <c r="J95" s="155"/>
      <c r="K95" s="181"/>
      <c r="L95" s="177"/>
      <c r="M95" s="155"/>
      <c r="N95" s="153"/>
      <c r="O95" s="153"/>
    </row>
    <row r="96" spans="1:15">
      <c r="A96" s="155"/>
    </row>
  </sheetData>
  <mergeCells count="229">
    <mergeCell ref="L78:M83"/>
    <mergeCell ref="L16:M24"/>
    <mergeCell ref="L26:M28"/>
    <mergeCell ref="L29:M33"/>
    <mergeCell ref="L39:M40"/>
    <mergeCell ref="L74:M77"/>
    <mergeCell ref="B94:C94"/>
    <mergeCell ref="B95:C95"/>
    <mergeCell ref="B86:C86"/>
    <mergeCell ref="E86:H86"/>
    <mergeCell ref="I86:J86"/>
    <mergeCell ref="B91:C91"/>
    <mergeCell ref="B92:C92"/>
    <mergeCell ref="B93:C93"/>
    <mergeCell ref="B84:C84"/>
    <mergeCell ref="E84:H84"/>
    <mergeCell ref="I84:J84"/>
    <mergeCell ref="B85:C85"/>
    <mergeCell ref="E85:H85"/>
    <mergeCell ref="I85:J85"/>
    <mergeCell ref="B82:C82"/>
    <mergeCell ref="E82:H82"/>
    <mergeCell ref="I82:J82"/>
    <mergeCell ref="B83:C83"/>
    <mergeCell ref="E83:H83"/>
    <mergeCell ref="I83:J83"/>
    <mergeCell ref="B80:C80"/>
    <mergeCell ref="E80:H80"/>
    <mergeCell ref="I80:J80"/>
    <mergeCell ref="B81:C81"/>
    <mergeCell ref="E81:H81"/>
    <mergeCell ref="I81:J81"/>
    <mergeCell ref="B78:C78"/>
    <mergeCell ref="E78:H78"/>
    <mergeCell ref="I78:J78"/>
    <mergeCell ref="B79:C79"/>
    <mergeCell ref="E79:H79"/>
    <mergeCell ref="I79:J79"/>
    <mergeCell ref="B76:C76"/>
    <mergeCell ref="E76:H76"/>
    <mergeCell ref="I76:J76"/>
    <mergeCell ref="B77:C77"/>
    <mergeCell ref="E77:H77"/>
    <mergeCell ref="I77:J77"/>
    <mergeCell ref="B74:C74"/>
    <mergeCell ref="E74:H74"/>
    <mergeCell ref="I74:J74"/>
    <mergeCell ref="B75:C75"/>
    <mergeCell ref="E75:H75"/>
    <mergeCell ref="I75:J75"/>
    <mergeCell ref="B72:C72"/>
    <mergeCell ref="E72:H72"/>
    <mergeCell ref="I72:J72"/>
    <mergeCell ref="B73:C73"/>
    <mergeCell ref="E73:H73"/>
    <mergeCell ref="I73:J73"/>
    <mergeCell ref="B70:C70"/>
    <mergeCell ref="E70:H70"/>
    <mergeCell ref="I70:J70"/>
    <mergeCell ref="B71:C71"/>
    <mergeCell ref="E71:H71"/>
    <mergeCell ref="I71:J71"/>
    <mergeCell ref="B68:C68"/>
    <mergeCell ref="E68:H68"/>
    <mergeCell ref="I68:J68"/>
    <mergeCell ref="B69:C69"/>
    <mergeCell ref="E69:H69"/>
    <mergeCell ref="I69:J69"/>
    <mergeCell ref="B66:C66"/>
    <mergeCell ref="E66:H66"/>
    <mergeCell ref="I66:J66"/>
    <mergeCell ref="B67:C67"/>
    <mergeCell ref="E67:H67"/>
    <mergeCell ref="I67:J67"/>
    <mergeCell ref="B64:C64"/>
    <mergeCell ref="E64:H64"/>
    <mergeCell ref="I64:J64"/>
    <mergeCell ref="B65:C65"/>
    <mergeCell ref="E65:H65"/>
    <mergeCell ref="I65:J65"/>
    <mergeCell ref="B62:C62"/>
    <mergeCell ref="E62:H62"/>
    <mergeCell ref="I62:J62"/>
    <mergeCell ref="B63:C63"/>
    <mergeCell ref="E63:H63"/>
    <mergeCell ref="I63:J63"/>
    <mergeCell ref="B60:C60"/>
    <mergeCell ref="E60:H60"/>
    <mergeCell ref="I60:J60"/>
    <mergeCell ref="B61:C61"/>
    <mergeCell ref="E61:H61"/>
    <mergeCell ref="I61:J61"/>
    <mergeCell ref="B57:C57"/>
    <mergeCell ref="E57:H57"/>
    <mergeCell ref="I57:J57"/>
    <mergeCell ref="B58:C58"/>
    <mergeCell ref="B59:C59"/>
    <mergeCell ref="E59:H59"/>
    <mergeCell ref="I59:J59"/>
    <mergeCell ref="B53:C53"/>
    <mergeCell ref="B54:C54"/>
    <mergeCell ref="B55:C55"/>
    <mergeCell ref="E55:H55"/>
    <mergeCell ref="I55:J55"/>
    <mergeCell ref="B56:C56"/>
    <mergeCell ref="E56:H56"/>
    <mergeCell ref="I56:J56"/>
    <mergeCell ref="B51:C51"/>
    <mergeCell ref="E51:H51"/>
    <mergeCell ref="I51:J51"/>
    <mergeCell ref="B52:C52"/>
    <mergeCell ref="E52:H52"/>
    <mergeCell ref="I52:J52"/>
    <mergeCell ref="B48:C48"/>
    <mergeCell ref="E48:H48"/>
    <mergeCell ref="I48:J48"/>
    <mergeCell ref="B50:C50"/>
    <mergeCell ref="E50:H50"/>
    <mergeCell ref="I50:J50"/>
    <mergeCell ref="B46:C46"/>
    <mergeCell ref="E46:H46"/>
    <mergeCell ref="I46:J46"/>
    <mergeCell ref="B47:C47"/>
    <mergeCell ref="E47:H47"/>
    <mergeCell ref="I47:J47"/>
    <mergeCell ref="B44:C44"/>
    <mergeCell ref="E44:H44"/>
    <mergeCell ref="I44:J44"/>
    <mergeCell ref="B45:C45"/>
    <mergeCell ref="E45:H45"/>
    <mergeCell ref="I45:J45"/>
    <mergeCell ref="B42:C42"/>
    <mergeCell ref="E42:H42"/>
    <mergeCell ref="I42:J42"/>
    <mergeCell ref="B43:C43"/>
    <mergeCell ref="E43:H43"/>
    <mergeCell ref="I43:J43"/>
    <mergeCell ref="B40:C40"/>
    <mergeCell ref="E40:H40"/>
    <mergeCell ref="I40:J40"/>
    <mergeCell ref="B41:C41"/>
    <mergeCell ref="E41:H41"/>
    <mergeCell ref="I41:J41"/>
    <mergeCell ref="B38:C38"/>
    <mergeCell ref="E38:H38"/>
    <mergeCell ref="I38:J38"/>
    <mergeCell ref="B39:C39"/>
    <mergeCell ref="E39:H39"/>
    <mergeCell ref="I39:J39"/>
    <mergeCell ref="B36:C36"/>
    <mergeCell ref="E36:H36"/>
    <mergeCell ref="I36:J36"/>
    <mergeCell ref="B37:C37"/>
    <mergeCell ref="E37:H37"/>
    <mergeCell ref="I37:J37"/>
    <mergeCell ref="B34:C34"/>
    <mergeCell ref="E34:H34"/>
    <mergeCell ref="I34:J34"/>
    <mergeCell ref="B35:C35"/>
    <mergeCell ref="E35:H35"/>
    <mergeCell ref="I35:J35"/>
    <mergeCell ref="B32:C32"/>
    <mergeCell ref="E32:H32"/>
    <mergeCell ref="I32:J32"/>
    <mergeCell ref="B33:C33"/>
    <mergeCell ref="E33:H33"/>
    <mergeCell ref="I33:J33"/>
    <mergeCell ref="B30:C30"/>
    <mergeCell ref="E30:H30"/>
    <mergeCell ref="I30:J30"/>
    <mergeCell ref="B31:C31"/>
    <mergeCell ref="E31:H31"/>
    <mergeCell ref="I31:J31"/>
    <mergeCell ref="B26:C26"/>
    <mergeCell ref="E26:H26"/>
    <mergeCell ref="I26:J26"/>
    <mergeCell ref="B27:C27"/>
    <mergeCell ref="B28:C28"/>
    <mergeCell ref="B29:C29"/>
    <mergeCell ref="E29:H29"/>
    <mergeCell ref="I29:J29"/>
    <mergeCell ref="B24:C24"/>
    <mergeCell ref="E24:H24"/>
    <mergeCell ref="I24:J24"/>
    <mergeCell ref="B25:C25"/>
    <mergeCell ref="E25:H25"/>
    <mergeCell ref="I25:J25"/>
    <mergeCell ref="B23:C23"/>
    <mergeCell ref="E23:H23"/>
    <mergeCell ref="I23:J23"/>
    <mergeCell ref="B20:C20"/>
    <mergeCell ref="E20:H20"/>
    <mergeCell ref="I20:J20"/>
    <mergeCell ref="B21:C21"/>
    <mergeCell ref="E21:H21"/>
    <mergeCell ref="I21:J21"/>
    <mergeCell ref="B19:C19"/>
    <mergeCell ref="E19:H19"/>
    <mergeCell ref="I19:J19"/>
    <mergeCell ref="B17:C17"/>
    <mergeCell ref="E17:H17"/>
    <mergeCell ref="I17:J17"/>
    <mergeCell ref="B22:C22"/>
    <mergeCell ref="E22:H22"/>
    <mergeCell ref="I22:J22"/>
    <mergeCell ref="L25:M25"/>
    <mergeCell ref="L41:M42"/>
    <mergeCell ref="L45:M65"/>
    <mergeCell ref="L69:M72"/>
    <mergeCell ref="L73:M73"/>
    <mergeCell ref="L84:M84"/>
    <mergeCell ref="A1:J1"/>
    <mergeCell ref="A2:J2"/>
    <mergeCell ref="A8:B9"/>
    <mergeCell ref="C8:G8"/>
    <mergeCell ref="A10:B10"/>
    <mergeCell ref="A11:B11"/>
    <mergeCell ref="B18:C18"/>
    <mergeCell ref="E18:H18"/>
    <mergeCell ref="I18:J18"/>
    <mergeCell ref="B16:C16"/>
    <mergeCell ref="E16:H16"/>
    <mergeCell ref="I16:J16"/>
    <mergeCell ref="A12:B12"/>
    <mergeCell ref="A13:B13"/>
    <mergeCell ref="A14:B14"/>
    <mergeCell ref="B15:C15"/>
    <mergeCell ref="E15:H15"/>
    <mergeCell ref="I15:J15"/>
  </mergeCells>
  <phoneticPr fontId="7" type="noConversion"/>
  <printOptions horizontalCentered="1"/>
  <pageMargins left="0.47244094488188981" right="0.31496062992125984" top="0.5" bottom="0.41" header="0.47244094488188981" footer="0.23"/>
  <pageSetup paperSize="9" scale="92" fitToHeight="100" orientation="landscape" blackAndWhite="1" cellComments="atEnd" r:id="rId1"/>
  <headerFooter alignWithMargins="0">
    <oddFooter>&amp;R&amp;10&amp;P/&amp;N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M29"/>
  <sheetViews>
    <sheetView view="pageBreakPreview" zoomScaleSheetLayoutView="100" workbookViewId="0">
      <selection sqref="A1:L1"/>
    </sheetView>
  </sheetViews>
  <sheetFormatPr defaultColWidth="9" defaultRowHeight="15.6"/>
  <cols>
    <col min="1" max="1" width="18.59765625" style="30" customWidth="1"/>
    <col min="2" max="3" width="9" style="30"/>
    <col min="4" max="4" width="10.19921875" style="30" bestFit="1" customWidth="1"/>
    <col min="5" max="5" width="11.796875" style="30" customWidth="1"/>
    <col min="6" max="7" width="9" style="30"/>
    <col min="8" max="8" width="10.796875" style="30" customWidth="1"/>
    <col min="9" max="9" width="11.59765625" style="30" customWidth="1"/>
    <col min="10" max="11" width="13.796875" style="30" customWidth="1"/>
    <col min="12" max="12" width="16" style="30" customWidth="1"/>
    <col min="13" max="16384" width="9" style="30"/>
  </cols>
  <sheetData>
    <row r="1" spans="1:13" ht="20.100000000000001" customHeight="1">
      <c r="A1" s="511" t="s">
        <v>560</v>
      </c>
      <c r="B1" s="511"/>
      <c r="C1" s="511"/>
      <c r="D1" s="511"/>
      <c r="E1" s="511"/>
      <c r="F1" s="511"/>
      <c r="G1" s="511"/>
      <c r="H1" s="511"/>
      <c r="I1" s="511"/>
      <c r="J1" s="511"/>
      <c r="K1" s="511"/>
      <c r="L1" s="511"/>
    </row>
    <row r="2" spans="1:13" ht="25.05" customHeight="1">
      <c r="A2" s="512" t="s">
        <v>62</v>
      </c>
      <c r="B2" s="513"/>
      <c r="C2" s="513"/>
      <c r="D2" s="513"/>
      <c r="E2" s="513"/>
      <c r="F2" s="513"/>
      <c r="G2" s="513"/>
      <c r="H2" s="513"/>
      <c r="I2" s="513"/>
      <c r="J2" s="513"/>
      <c r="K2" s="513"/>
      <c r="L2" s="513"/>
      <c r="M2" s="243"/>
    </row>
    <row r="3" spans="1:13" ht="20.100000000000001" customHeight="1">
      <c r="A3" s="15" t="str">
        <f>底稿目录!A2</f>
        <v>被审计单位：</v>
      </c>
      <c r="B3" s="15"/>
      <c r="D3" s="15"/>
      <c r="E3" s="15" t="str">
        <f>底稿目录!A4</f>
        <v>编制人：</v>
      </c>
      <c r="H3" s="31"/>
      <c r="I3" s="15" t="str">
        <f>底稿目录!A5</f>
        <v>编制日期：</v>
      </c>
      <c r="K3" s="285" t="s">
        <v>544</v>
      </c>
      <c r="L3" s="358" t="str">
        <f>底稿目录!F5</f>
        <v>F1-1</v>
      </c>
    </row>
    <row r="4" spans="1:13" ht="20.100000000000001" customHeight="1">
      <c r="A4" s="15" t="str">
        <f>底稿目录!A3</f>
        <v>截止日：202X年12月31日</v>
      </c>
      <c r="B4" s="16"/>
      <c r="D4" s="15"/>
      <c r="E4" s="15" t="str">
        <f>底稿目录!A6</f>
        <v>复核人：</v>
      </c>
      <c r="H4" s="32"/>
      <c r="I4" s="15" t="str">
        <f>底稿目录!A7</f>
        <v>复核日期：</v>
      </c>
      <c r="K4" s="19" t="s">
        <v>507</v>
      </c>
      <c r="L4" s="284"/>
    </row>
    <row r="5" spans="1:13" ht="20.100000000000001" customHeight="1">
      <c r="A5" s="387" t="s">
        <v>594</v>
      </c>
      <c r="B5" s="16"/>
      <c r="D5" s="15"/>
      <c r="E5" s="15"/>
      <c r="F5" s="15"/>
      <c r="H5" s="32"/>
      <c r="L5" s="15"/>
    </row>
    <row r="6" spans="1:13" ht="28.5" customHeight="1">
      <c r="A6" s="509" t="s">
        <v>579</v>
      </c>
      <c r="B6" s="515" t="s">
        <v>580</v>
      </c>
      <c r="C6" s="516"/>
      <c r="D6" s="516"/>
      <c r="E6" s="517"/>
      <c r="F6" s="515" t="s">
        <v>589</v>
      </c>
      <c r="G6" s="516"/>
      <c r="H6" s="516"/>
      <c r="I6" s="517"/>
      <c r="J6" s="518" t="s">
        <v>587</v>
      </c>
      <c r="K6" s="519"/>
      <c r="L6" s="509" t="s">
        <v>590</v>
      </c>
    </row>
    <row r="7" spans="1:13" ht="20.100000000000001" customHeight="1">
      <c r="A7" s="514"/>
      <c r="B7" s="33" t="s">
        <v>584</v>
      </c>
      <c r="C7" s="33" t="s">
        <v>581</v>
      </c>
      <c r="D7" s="33" t="s">
        <v>591</v>
      </c>
      <c r="E7" s="33" t="s">
        <v>583</v>
      </c>
      <c r="F7" s="33" t="s">
        <v>584</v>
      </c>
      <c r="G7" s="33" t="s">
        <v>592</v>
      </c>
      <c r="H7" s="33" t="s">
        <v>582</v>
      </c>
      <c r="I7" s="33" t="s">
        <v>583</v>
      </c>
      <c r="J7" s="34" t="s">
        <v>578</v>
      </c>
      <c r="K7" s="386" t="s">
        <v>585</v>
      </c>
      <c r="L7" s="510"/>
    </row>
    <row r="8" spans="1:13" ht="20.100000000000001" customHeight="1">
      <c r="A8" s="394" t="s">
        <v>613</v>
      </c>
      <c r="B8" s="112"/>
      <c r="C8" s="112"/>
      <c r="D8" s="112"/>
      <c r="E8" s="114">
        <f>B8+C8+D8</f>
        <v>0</v>
      </c>
      <c r="F8" s="114">
        <f>SUMIF('明细表F1-2'!$D$14:$D$35,'审定表F1-1'!A8,'明细表F1-2'!$O$14:$O$35)</f>
        <v>0</v>
      </c>
      <c r="G8" s="114">
        <f>SUMIF('明细表F1-2'!$D$14:$D$35,'审定表F1-1'!A8,'明细表F1-2'!$V$14:$V$35)</f>
        <v>0</v>
      </c>
      <c r="H8" s="114">
        <f>SUMIF('明细表F1-2'!$D$14:$D$35,'审定表F1-1'!A8,'明细表F1-2'!$W$14:$W$35)</f>
        <v>0</v>
      </c>
      <c r="I8" s="114">
        <f>F8+G8+H8</f>
        <v>0</v>
      </c>
      <c r="J8" s="115">
        <f>I8-E8</f>
        <v>0</v>
      </c>
      <c r="K8" s="116">
        <f t="shared" ref="K8:K12" si="0">IF(AND(E8=0,J8=0),0,IF(AND(E8=0,J8&gt;0),1,J8/E8))</f>
        <v>0</v>
      </c>
      <c r="L8" s="113"/>
    </row>
    <row r="9" spans="1:13" ht="20.100000000000001" customHeight="1">
      <c r="A9" s="394" t="s">
        <v>610</v>
      </c>
      <c r="B9" s="112"/>
      <c r="C9" s="112"/>
      <c r="D9" s="112"/>
      <c r="E9" s="114">
        <f>B9+C9+D9</f>
        <v>0</v>
      </c>
      <c r="F9" s="114">
        <f>SUMIF('明细表F1-2'!$D$14:$D$35,'审定表F1-1'!A9,'明细表F1-2'!$O$14:$O$35)</f>
        <v>0</v>
      </c>
      <c r="G9" s="114">
        <f>SUMIF('明细表F1-2'!$D$14:$D$35,'审定表F1-1'!A9,'明细表F1-2'!$V$14:$V$35)</f>
        <v>0</v>
      </c>
      <c r="H9" s="114">
        <f>SUMIF('明细表F1-2'!$D$14:$D$35,'审定表F1-1'!A9,'明细表F1-2'!$W$14:$W$35)</f>
        <v>0</v>
      </c>
      <c r="I9" s="114">
        <f t="shared" ref="I9:I12" si="1">F9+G9+H9</f>
        <v>0</v>
      </c>
      <c r="J9" s="115">
        <f>I9-E9</f>
        <v>0</v>
      </c>
      <c r="K9" s="116">
        <f t="shared" si="0"/>
        <v>0</v>
      </c>
      <c r="L9" s="113"/>
    </row>
    <row r="10" spans="1:13" ht="20.100000000000001" customHeight="1">
      <c r="A10" s="394" t="s">
        <v>611</v>
      </c>
      <c r="B10" s="112"/>
      <c r="C10" s="112"/>
      <c r="D10" s="112"/>
      <c r="E10" s="114">
        <f t="shared" ref="E10:E12" si="2">B10+C10+D10</f>
        <v>0</v>
      </c>
      <c r="F10" s="114">
        <f>SUMIF('明细表F1-2'!$D$14:$D$35,'审定表F1-1'!A10,'明细表F1-2'!$O$14:$O$35)</f>
        <v>0</v>
      </c>
      <c r="G10" s="114">
        <f>SUMIF('明细表F1-2'!$D$14:$D$35,'审定表F1-1'!A10,'明细表F1-2'!$V$14:$V$35)</f>
        <v>0</v>
      </c>
      <c r="H10" s="114">
        <f>SUMIF('明细表F1-2'!$D$14:$D$35,'审定表F1-1'!A10,'明细表F1-2'!$W$14:$W$35)</f>
        <v>0</v>
      </c>
      <c r="I10" s="114">
        <f t="shared" si="1"/>
        <v>0</v>
      </c>
      <c r="J10" s="115">
        <f>I10-E10</f>
        <v>0</v>
      </c>
      <c r="K10" s="116">
        <f t="shared" si="0"/>
        <v>0</v>
      </c>
      <c r="L10" s="113"/>
    </row>
    <row r="11" spans="1:13" ht="20.100000000000001" customHeight="1">
      <c r="A11" s="394" t="s">
        <v>612</v>
      </c>
      <c r="B11" s="112"/>
      <c r="C11" s="112"/>
      <c r="D11" s="112"/>
      <c r="E11" s="114">
        <f t="shared" si="2"/>
        <v>0</v>
      </c>
      <c r="F11" s="114">
        <f>SUMIF('明细表F1-2'!$D$14:$D$35,'审定表F1-1'!A11,'明细表F1-2'!$O$14:$O$35)</f>
        <v>0</v>
      </c>
      <c r="G11" s="114">
        <f>SUMIF('明细表F1-2'!$D$14:$D$35,'审定表F1-1'!A11,'明细表F1-2'!$V$14:$V$35)</f>
        <v>0</v>
      </c>
      <c r="H11" s="114">
        <f>SUMIF('明细表F1-2'!$D$14:$D$35,'审定表F1-1'!A11,'明细表F1-2'!$W$14:$W$35)</f>
        <v>0</v>
      </c>
      <c r="I11" s="114">
        <f t="shared" si="1"/>
        <v>0</v>
      </c>
      <c r="J11" s="115">
        <f>I11-E11</f>
        <v>0</v>
      </c>
      <c r="K11" s="116">
        <f t="shared" si="0"/>
        <v>0</v>
      </c>
      <c r="L11" s="113"/>
    </row>
    <row r="12" spans="1:13" ht="20.100000000000001" customHeight="1">
      <c r="A12" s="394" t="s">
        <v>14</v>
      </c>
      <c r="B12" s="112"/>
      <c r="C12" s="112"/>
      <c r="D12" s="112"/>
      <c r="E12" s="114">
        <f t="shared" si="2"/>
        <v>0</v>
      </c>
      <c r="F12" s="114">
        <f>SUMIF('明细表F1-2'!$D$14:$D$35,'审定表F1-1'!A12,'明细表F1-2'!$O$14:$O$35)</f>
        <v>0</v>
      </c>
      <c r="G12" s="114">
        <f>SUMIF('明细表F1-2'!$D$14:$D$35,'审定表F1-1'!A12,'明细表F1-2'!$V$14:$V$35)</f>
        <v>0</v>
      </c>
      <c r="H12" s="114">
        <f>SUMIF('明细表F1-2'!$D$14:$D$35,'审定表F1-1'!A12,'明细表F1-2'!$W$14:$W$35)</f>
        <v>0</v>
      </c>
      <c r="I12" s="114">
        <f t="shared" si="1"/>
        <v>0</v>
      </c>
      <c r="J12" s="115">
        <f>I12-E12</f>
        <v>0</v>
      </c>
      <c r="K12" s="116">
        <f t="shared" si="0"/>
        <v>0</v>
      </c>
      <c r="L12" s="113"/>
    </row>
    <row r="13" spans="1:13" ht="20.100000000000001" customHeight="1">
      <c r="A13" s="385" t="s">
        <v>593</v>
      </c>
      <c r="B13" s="114">
        <f>SUM(B8:B12)</f>
        <v>0</v>
      </c>
      <c r="C13" s="114">
        <f t="shared" ref="C13:L13" si="3">SUM(C8:C12)</f>
        <v>0</v>
      </c>
      <c r="D13" s="114">
        <f t="shared" si="3"/>
        <v>0</v>
      </c>
      <c r="E13" s="114">
        <f t="shared" si="3"/>
        <v>0</v>
      </c>
      <c r="F13" s="114">
        <f t="shared" si="3"/>
        <v>0</v>
      </c>
      <c r="G13" s="114">
        <f t="shared" si="3"/>
        <v>0</v>
      </c>
      <c r="H13" s="114">
        <f t="shared" si="3"/>
        <v>0</v>
      </c>
      <c r="I13" s="114">
        <f t="shared" si="3"/>
        <v>0</v>
      </c>
      <c r="J13" s="114">
        <f t="shared" si="3"/>
        <v>0</v>
      </c>
      <c r="K13" s="116">
        <f>IF(AND(E13=0,J13=0),0,IF(AND(E13=0,J13&gt;0),1,J13/E13))</f>
        <v>0</v>
      </c>
      <c r="L13" s="114">
        <f t="shared" si="3"/>
        <v>0</v>
      </c>
    </row>
    <row r="14" spans="1:13" ht="20.100000000000001" customHeight="1">
      <c r="A14" s="387" t="s">
        <v>577</v>
      </c>
    </row>
    <row r="15" spans="1:13" ht="27.75" customHeight="1">
      <c r="A15" s="509" t="s">
        <v>579</v>
      </c>
      <c r="B15" s="515" t="s">
        <v>580</v>
      </c>
      <c r="C15" s="516"/>
      <c r="D15" s="516"/>
      <c r="E15" s="517"/>
      <c r="F15" s="515" t="s">
        <v>586</v>
      </c>
      <c r="G15" s="516"/>
      <c r="H15" s="516"/>
      <c r="I15" s="517"/>
      <c r="J15" s="518" t="s">
        <v>587</v>
      </c>
      <c r="K15" s="519"/>
      <c r="L15" s="509" t="s">
        <v>588</v>
      </c>
    </row>
    <row r="16" spans="1:13" ht="20.100000000000001" customHeight="1">
      <c r="A16" s="514"/>
      <c r="B16" s="33" t="s">
        <v>584</v>
      </c>
      <c r="C16" s="33" t="s">
        <v>581</v>
      </c>
      <c r="D16" s="33" t="s">
        <v>582</v>
      </c>
      <c r="E16" s="33" t="s">
        <v>583</v>
      </c>
      <c r="F16" s="33" t="s">
        <v>584</v>
      </c>
      <c r="G16" s="33" t="s">
        <v>581</v>
      </c>
      <c r="H16" s="33" t="s">
        <v>582</v>
      </c>
      <c r="I16" s="33" t="s">
        <v>583</v>
      </c>
      <c r="J16" s="34" t="s">
        <v>578</v>
      </c>
      <c r="K16" s="386" t="s">
        <v>585</v>
      </c>
      <c r="L16" s="510"/>
    </row>
    <row r="17" spans="1:13" ht="20.100000000000001" customHeight="1">
      <c r="A17" s="49" t="s">
        <v>15</v>
      </c>
      <c r="B17" s="112"/>
      <c r="C17" s="112"/>
      <c r="D17" s="112"/>
      <c r="E17" s="112"/>
      <c r="F17" s="114">
        <f>'明细表F1-2'!R35</f>
        <v>0</v>
      </c>
      <c r="G17" s="114">
        <f>I17-F17-H17</f>
        <v>0</v>
      </c>
      <c r="H17" s="112"/>
      <c r="I17" s="114">
        <f>'明细表F1-2'!Y35</f>
        <v>0</v>
      </c>
      <c r="J17" s="115">
        <f>I17-E17</f>
        <v>0</v>
      </c>
      <c r="K17" s="116">
        <f t="shared" ref="K17:K22" si="4">IF(AND(E17=0,J17=0),0,IF(AND(E17=0,J17&gt;0),1,J17/E17))</f>
        <v>0</v>
      </c>
      <c r="L17" s="113"/>
    </row>
    <row r="18" spans="1:13" ht="20.100000000000001" customHeight="1">
      <c r="A18" s="49" t="s">
        <v>16</v>
      </c>
      <c r="B18" s="112"/>
      <c r="C18" s="112"/>
      <c r="D18" s="112"/>
      <c r="E18" s="112"/>
      <c r="F18" s="114">
        <f>'明细表F1-2'!S35</f>
        <v>0</v>
      </c>
      <c r="G18" s="114">
        <f t="shared" ref="G18:G20" si="5">I18-F18-H18</f>
        <v>0</v>
      </c>
      <c r="H18" s="112"/>
      <c r="I18" s="114">
        <f>'明细表F1-2'!Z35</f>
        <v>0</v>
      </c>
      <c r="J18" s="115">
        <f>I18-E18</f>
        <v>0</v>
      </c>
      <c r="K18" s="116">
        <f t="shared" si="4"/>
        <v>0</v>
      </c>
      <c r="L18" s="113"/>
      <c r="M18" s="30" t="b">
        <f>IF(I18&gt;E17,FALSE,TRUE)</f>
        <v>1</v>
      </c>
    </row>
    <row r="19" spans="1:13" ht="20.100000000000001" customHeight="1">
      <c r="A19" s="49" t="s">
        <v>17</v>
      </c>
      <c r="B19" s="112"/>
      <c r="C19" s="112"/>
      <c r="D19" s="112"/>
      <c r="E19" s="112"/>
      <c r="F19" s="114">
        <f>'明细表F1-2'!T35</f>
        <v>0</v>
      </c>
      <c r="G19" s="114">
        <f t="shared" si="5"/>
        <v>0</v>
      </c>
      <c r="H19" s="112"/>
      <c r="I19" s="114">
        <f>'明细表F1-2'!AA35</f>
        <v>0</v>
      </c>
      <c r="J19" s="115">
        <f>I19-E19</f>
        <v>0</v>
      </c>
      <c r="K19" s="116">
        <f t="shared" si="4"/>
        <v>0</v>
      </c>
      <c r="L19" s="113"/>
      <c r="M19" s="30" t="b">
        <f>IF(I19&gt;E18,FALSE,TRUE)</f>
        <v>1</v>
      </c>
    </row>
    <row r="20" spans="1:13" ht="20.100000000000001" customHeight="1">
      <c r="A20" s="49" t="s">
        <v>18</v>
      </c>
      <c r="B20" s="112"/>
      <c r="C20" s="112"/>
      <c r="D20" s="112"/>
      <c r="E20" s="112"/>
      <c r="F20" s="114">
        <f>'明细表F1-2'!U35</f>
        <v>0</v>
      </c>
      <c r="G20" s="114">
        <f t="shared" si="5"/>
        <v>0</v>
      </c>
      <c r="H20" s="112"/>
      <c r="I20" s="114">
        <f>'明细表F1-2'!AB35</f>
        <v>0</v>
      </c>
      <c r="J20" s="115">
        <f>I20-E20</f>
        <v>0</v>
      </c>
      <c r="K20" s="116">
        <f t="shared" si="4"/>
        <v>0</v>
      </c>
      <c r="L20" s="113"/>
      <c r="M20" s="30" t="b">
        <f>IF(I20&gt;(E19+E20),FALSE,TRUE)</f>
        <v>1</v>
      </c>
    </row>
    <row r="21" spans="1:13" ht="20.100000000000001" customHeight="1">
      <c r="A21" s="50"/>
      <c r="B21" s="112"/>
      <c r="C21" s="112"/>
      <c r="D21" s="112"/>
      <c r="E21" s="112"/>
      <c r="F21" s="112"/>
      <c r="G21" s="112"/>
      <c r="H21" s="112"/>
      <c r="I21" s="114">
        <f t="shared" ref="I21" si="6">F21+G21+H21</f>
        <v>0</v>
      </c>
      <c r="J21" s="115">
        <f>I21-E21</f>
        <v>0</v>
      </c>
      <c r="K21" s="116">
        <f t="shared" si="4"/>
        <v>0</v>
      </c>
      <c r="L21" s="113"/>
    </row>
    <row r="22" spans="1:13" ht="20.100000000000001" customHeight="1">
      <c r="A22" s="385" t="s">
        <v>576</v>
      </c>
      <c r="B22" s="114">
        <f>SUM(B17:B21)</f>
        <v>0</v>
      </c>
      <c r="C22" s="114">
        <f t="shared" ref="C22:I22" si="7">SUM(C17:C21)</f>
        <v>0</v>
      </c>
      <c r="D22" s="114">
        <f t="shared" si="7"/>
        <v>0</v>
      </c>
      <c r="E22" s="114">
        <f t="shared" si="7"/>
        <v>0</v>
      </c>
      <c r="F22" s="114">
        <f t="shared" si="7"/>
        <v>0</v>
      </c>
      <c r="G22" s="114">
        <f t="shared" si="7"/>
        <v>0</v>
      </c>
      <c r="H22" s="114">
        <f t="shared" si="7"/>
        <v>0</v>
      </c>
      <c r="I22" s="114">
        <f t="shared" si="7"/>
        <v>0</v>
      </c>
      <c r="J22" s="117">
        <f t="shared" ref="J22" si="8">SUM(J17:J21)</f>
        <v>0</v>
      </c>
      <c r="K22" s="116">
        <f t="shared" si="4"/>
        <v>0</v>
      </c>
      <c r="L22" s="114">
        <f t="shared" ref="L22" si="9">SUM(L17:L21)</f>
        <v>0</v>
      </c>
    </row>
    <row r="23" spans="1:13" s="80" customFormat="1" ht="20.100000000000001" customHeight="1">
      <c r="A23" s="405" t="s">
        <v>596</v>
      </c>
      <c r="B23" s="79"/>
      <c r="C23" s="79"/>
      <c r="D23" s="79"/>
      <c r="E23" s="404"/>
      <c r="F23" s="79"/>
      <c r="G23" s="79"/>
      <c r="H23" s="79"/>
      <c r="I23" s="404"/>
      <c r="J23" s="118"/>
      <c r="K23" s="30"/>
      <c r="L23" s="30"/>
    </row>
    <row r="24" spans="1:13" s="406" customFormat="1" ht="20.100000000000001" customHeight="1">
      <c r="A24" s="405" t="s">
        <v>595</v>
      </c>
      <c r="E24" s="407">
        <f>E22-E23</f>
        <v>0</v>
      </c>
      <c r="I24" s="407">
        <f>I22-I23</f>
        <v>0</v>
      </c>
      <c r="J24" s="408"/>
      <c r="K24" s="409"/>
      <c r="L24" s="409"/>
    </row>
    <row r="25" spans="1:13" ht="20.100000000000001" customHeight="1">
      <c r="A25" s="125" t="s">
        <v>614</v>
      </c>
      <c r="G25" s="125" t="s">
        <v>597</v>
      </c>
    </row>
    <row r="26" spans="1:13" ht="20.100000000000001" customHeight="1">
      <c r="A26" s="19" t="s">
        <v>598</v>
      </c>
      <c r="C26" s="388">
        <f>K13</f>
        <v>0</v>
      </c>
    </row>
    <row r="27" spans="1:13" ht="20.100000000000001" customHeight="1">
      <c r="A27" s="19" t="s">
        <v>599</v>
      </c>
    </row>
    <row r="28" spans="1:13" ht="20.100000000000001" customHeight="1">
      <c r="A28" s="19" t="s">
        <v>615</v>
      </c>
    </row>
    <row r="29" spans="1:13" ht="20.100000000000001" customHeight="1"/>
  </sheetData>
  <mergeCells count="12">
    <mergeCell ref="L15:L16"/>
    <mergeCell ref="A1:L1"/>
    <mergeCell ref="A2:L2"/>
    <mergeCell ref="A6:A7"/>
    <mergeCell ref="B6:E6"/>
    <mergeCell ref="F6:I6"/>
    <mergeCell ref="J6:K6"/>
    <mergeCell ref="L6:L7"/>
    <mergeCell ref="A15:A16"/>
    <mergeCell ref="B15:E15"/>
    <mergeCell ref="F15:I15"/>
    <mergeCell ref="J15:K15"/>
  </mergeCells>
  <phoneticPr fontId="7" type="noConversion"/>
  <hyperlinks>
    <hyperlink ref="L3" location="底稿目录!A1" display="底稿目录!A1"/>
  </hyperlinks>
  <pageMargins left="0.70866141732283472" right="0.51181102362204722" top="0.74803149606299213" bottom="0.74803149606299213" header="0.31496062992125984" footer="0.31496062992125984"/>
  <pageSetup paperSize="9" scale="85" fitToHeight="0" orientation="landscape" blackAndWhite="1" r:id="rId1"/>
  <headerFooter>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N39"/>
  <sheetViews>
    <sheetView view="pageBreakPreview" zoomScaleSheetLayoutView="100" workbookViewId="0">
      <selection sqref="A1:E1"/>
    </sheetView>
  </sheetViews>
  <sheetFormatPr defaultColWidth="9" defaultRowHeight="13.8"/>
  <cols>
    <col min="1" max="1" width="18.796875" style="19" customWidth="1"/>
    <col min="2" max="2" width="14" style="19" customWidth="1"/>
    <col min="3" max="3" width="28.796875" style="19" bestFit="1" customWidth="1"/>
    <col min="4" max="4" width="14" style="19" customWidth="1"/>
    <col min="5" max="5" width="15.09765625" style="19" customWidth="1"/>
    <col min="6" max="16384" width="9" style="19"/>
  </cols>
  <sheetData>
    <row r="1" spans="1:14" ht="20.100000000000001" customHeight="1">
      <c r="A1" s="522" t="s">
        <v>603</v>
      </c>
      <c r="B1" s="522"/>
      <c r="C1" s="522"/>
      <c r="D1" s="522"/>
      <c r="E1" s="522"/>
      <c r="F1" s="17"/>
      <c r="G1" s="17"/>
      <c r="H1" s="17"/>
      <c r="I1" s="17"/>
      <c r="J1" s="17"/>
      <c r="K1" s="17"/>
      <c r="L1" s="17"/>
      <c r="M1" s="17"/>
      <c r="N1" s="17"/>
    </row>
    <row r="2" spans="1:14" s="30" customFormat="1" ht="25.05" customHeight="1">
      <c r="A2" s="523" t="s">
        <v>66</v>
      </c>
      <c r="B2" s="524"/>
      <c r="C2" s="524"/>
      <c r="D2" s="524"/>
      <c r="E2" s="524"/>
      <c r="F2" s="18"/>
      <c r="G2" s="243" t="s">
        <v>461</v>
      </c>
      <c r="H2" s="18"/>
      <c r="I2" s="18"/>
      <c r="J2" s="18"/>
      <c r="K2" s="18"/>
      <c r="L2" s="18"/>
      <c r="M2" s="18"/>
      <c r="N2" s="18"/>
    </row>
    <row r="3" spans="1:14" ht="20.100000000000001" customHeight="1">
      <c r="A3" s="43" t="str">
        <f>底稿目录!A2</f>
        <v>被审计单位：</v>
      </c>
      <c r="B3" s="15"/>
      <c r="C3" s="15" t="str">
        <f>底稿目录!A4</f>
        <v>编制人：</v>
      </c>
      <c r="D3" s="15" t="str">
        <f>底稿目录!A5</f>
        <v>编制日期：</v>
      </c>
      <c r="E3" s="15" t="s">
        <v>493</v>
      </c>
    </row>
    <row r="4" spans="1:14" ht="20.100000000000001" customHeight="1">
      <c r="A4" s="43" t="str">
        <f>底稿目录!A3</f>
        <v>截止日：202X年12月31日</v>
      </c>
      <c r="B4" s="16"/>
      <c r="C4" s="15" t="str">
        <f>底稿目录!A6</f>
        <v>复核人：</v>
      </c>
      <c r="D4" s="15" t="str">
        <f>底稿目录!A7</f>
        <v>复核日期：</v>
      </c>
      <c r="E4" s="15" t="s">
        <v>494</v>
      </c>
    </row>
    <row r="5" spans="1:14" s="96" customFormat="1" ht="20.100000000000001" customHeight="1">
      <c r="A5" s="95" t="s">
        <v>46</v>
      </c>
    </row>
    <row r="6" spans="1:14" s="96" customFormat="1" ht="20.100000000000001" customHeight="1">
      <c r="A6" s="98" t="s">
        <v>105</v>
      </c>
    </row>
    <row r="7" spans="1:14" s="96" customFormat="1" ht="20.100000000000001" customHeight="1" thickBot="1">
      <c r="A7" s="529" t="s">
        <v>106</v>
      </c>
      <c r="B7" s="529"/>
      <c r="C7" s="529"/>
    </row>
    <row r="8" spans="1:14" s="96" customFormat="1" ht="20.100000000000001" customHeight="1">
      <c r="A8" s="525" t="s">
        <v>107</v>
      </c>
      <c r="B8" s="527" t="s">
        <v>108</v>
      </c>
      <c r="C8" s="527"/>
      <c r="D8" s="527" t="s">
        <v>101</v>
      </c>
      <c r="E8" s="527"/>
    </row>
    <row r="9" spans="1:14" s="96" customFormat="1" ht="20.100000000000001" customHeight="1" thickBot="1">
      <c r="A9" s="526"/>
      <c r="B9" s="99" t="s">
        <v>109</v>
      </c>
      <c r="C9" s="99" t="s">
        <v>110</v>
      </c>
      <c r="D9" s="99" t="s">
        <v>109</v>
      </c>
      <c r="E9" s="99" t="s">
        <v>110</v>
      </c>
    </row>
    <row r="10" spans="1:14" s="96" customFormat="1" ht="20.100000000000001" customHeight="1">
      <c r="A10" s="100" t="s">
        <v>111</v>
      </c>
      <c r="B10" s="331">
        <f>'审定表F1-1'!I17</f>
        <v>0</v>
      </c>
      <c r="C10" s="332">
        <f>IF(ISERROR(B10/$B$14),0,B10/$B$14)</f>
        <v>0</v>
      </c>
      <c r="D10" s="331">
        <f>'审定表F1-1'!E17</f>
        <v>0</v>
      </c>
      <c r="E10" s="332">
        <f>IF(ISERROR(D10/$D$14),0,D10/$D$14)</f>
        <v>0</v>
      </c>
      <c r="H10" s="380"/>
      <c r="I10" s="101"/>
      <c r="K10" s="101"/>
    </row>
    <row r="11" spans="1:14" s="96" customFormat="1" ht="20.100000000000001" customHeight="1">
      <c r="A11" s="100" t="s">
        <v>112</v>
      </c>
      <c r="B11" s="331">
        <f>'审定表F1-1'!I18</f>
        <v>0</v>
      </c>
      <c r="C11" s="332">
        <f>IF(ISERROR(B11/$B$14),0,B11/$B$14)</f>
        <v>0</v>
      </c>
      <c r="D11" s="331">
        <f>'审定表F1-1'!E18</f>
        <v>0</v>
      </c>
      <c r="E11" s="332">
        <f>IF(ISERROR(D11/$D$14),0,D11/$D$14)</f>
        <v>0</v>
      </c>
      <c r="I11" s="101"/>
      <c r="K11" s="101"/>
    </row>
    <row r="12" spans="1:14" s="96" customFormat="1" ht="20.100000000000001" customHeight="1">
      <c r="A12" s="100" t="s">
        <v>113</v>
      </c>
      <c r="B12" s="331">
        <f>'审定表F1-1'!I19</f>
        <v>0</v>
      </c>
      <c r="C12" s="332">
        <f>IF(ISERROR(B12/$B$14),0,B12/$B$14)</f>
        <v>0</v>
      </c>
      <c r="D12" s="331">
        <f>'审定表F1-1'!E19</f>
        <v>0</v>
      </c>
      <c r="E12" s="332">
        <f>IF(ISERROR(D12/$D$14),0,D12/$D$14)</f>
        <v>0</v>
      </c>
      <c r="I12" s="101"/>
      <c r="K12" s="101"/>
    </row>
    <row r="13" spans="1:14" s="96" customFormat="1" ht="20.100000000000001" customHeight="1" thickBot="1">
      <c r="A13" s="102" t="s">
        <v>114</v>
      </c>
      <c r="B13" s="331">
        <f>'审定表F1-1'!I20</f>
        <v>0</v>
      </c>
      <c r="C13" s="332">
        <f t="shared" ref="C13" si="0">IF(ISERROR(B13/$B$14%),0,B13/$B$14%)</f>
        <v>0</v>
      </c>
      <c r="D13" s="331">
        <f>'审定表F1-1'!E20</f>
        <v>0</v>
      </c>
      <c r="E13" s="332">
        <f>IF(ISERROR(D13/$D$14),0,D13/$D$14)</f>
        <v>0</v>
      </c>
      <c r="I13" s="101"/>
      <c r="K13" s="101"/>
    </row>
    <row r="14" spans="1:14" s="96" customFormat="1" ht="20.100000000000001" customHeight="1" thickBot="1">
      <c r="A14" s="103" t="s">
        <v>95</v>
      </c>
      <c r="B14" s="333">
        <f>SUM(B10:B13)</f>
        <v>0</v>
      </c>
      <c r="C14" s="334">
        <f t="shared" ref="C14:E14" si="1">SUM(C10:C13)</f>
        <v>0</v>
      </c>
      <c r="D14" s="333">
        <f t="shared" si="1"/>
        <v>0</v>
      </c>
      <c r="E14" s="334">
        <f t="shared" si="1"/>
        <v>0</v>
      </c>
      <c r="I14" s="101"/>
      <c r="K14" s="101"/>
    </row>
    <row r="15" spans="1:14" s="96" customFormat="1" ht="20.100000000000001" customHeight="1" thickBot="1">
      <c r="A15" s="101" t="s">
        <v>115</v>
      </c>
      <c r="B15" s="101"/>
      <c r="C15" s="101"/>
      <c r="D15" s="101"/>
      <c r="E15" s="101"/>
      <c r="F15" s="101"/>
      <c r="G15" s="101"/>
      <c r="H15" s="101"/>
      <c r="I15" s="101"/>
      <c r="K15" s="101"/>
    </row>
    <row r="16" spans="1:14" s="96" customFormat="1" ht="20.100000000000001" customHeight="1" thickBot="1">
      <c r="A16" s="104" t="s">
        <v>96</v>
      </c>
      <c r="B16" s="105" t="s">
        <v>99</v>
      </c>
      <c r="C16" s="105" t="s">
        <v>100</v>
      </c>
      <c r="D16" s="105" t="s">
        <v>155</v>
      </c>
      <c r="E16" s="119"/>
      <c r="F16" s="101"/>
      <c r="G16" s="101"/>
      <c r="H16" s="101"/>
      <c r="I16" s="101"/>
      <c r="K16" s="101"/>
    </row>
    <row r="17" spans="1:11" s="96" customFormat="1" ht="20.100000000000001" customHeight="1">
      <c r="A17" s="101"/>
      <c r="B17" s="335"/>
      <c r="C17" s="332">
        <f>IF(ISERROR(B17/$B$14),0,B17/$B$14)</f>
        <v>0</v>
      </c>
      <c r="D17" s="335"/>
      <c r="E17" s="120"/>
      <c r="F17" s="101"/>
      <c r="G17" s="101"/>
      <c r="H17" s="101"/>
      <c r="I17" s="101"/>
      <c r="K17" s="101"/>
    </row>
    <row r="18" spans="1:11" s="96" customFormat="1" ht="20.100000000000001" customHeight="1">
      <c r="A18" s="101"/>
      <c r="B18" s="335"/>
      <c r="C18" s="332">
        <f>IF(ISERROR(B18/$B$14),0,B18/$B$14)</f>
        <v>0</v>
      </c>
      <c r="D18" s="335"/>
      <c r="E18" s="120"/>
      <c r="F18" s="101"/>
      <c r="G18" s="101"/>
      <c r="H18" s="101"/>
      <c r="I18" s="101"/>
      <c r="K18" s="101"/>
    </row>
    <row r="19" spans="1:11" s="96" customFormat="1" ht="20.100000000000001" customHeight="1" thickBot="1">
      <c r="A19" s="101"/>
      <c r="B19" s="335"/>
      <c r="C19" s="332">
        <f>IF(ISERROR(B19/$B$14),0,B19/$B$14)</f>
        <v>0</v>
      </c>
      <c r="D19" s="335"/>
      <c r="E19" s="120"/>
      <c r="F19" s="101"/>
      <c r="G19" s="101"/>
      <c r="H19" s="101"/>
      <c r="I19" s="101"/>
      <c r="K19" s="101"/>
    </row>
    <row r="20" spans="1:11" s="96" customFormat="1" ht="20.100000000000001" customHeight="1" thickBot="1">
      <c r="A20" s="104" t="s">
        <v>95</v>
      </c>
      <c r="B20" s="333">
        <f>SUM(B17:B19)</f>
        <v>0</v>
      </c>
      <c r="C20" s="334">
        <f>IF(ISERROR(B20/$B$14),0,B20/$B$14)</f>
        <v>0</v>
      </c>
      <c r="D20" s="336">
        <f>SUM(D17:D19)</f>
        <v>0</v>
      </c>
      <c r="E20" s="119"/>
      <c r="F20" s="101"/>
      <c r="G20" s="101"/>
      <c r="H20" s="101"/>
      <c r="I20" s="101"/>
      <c r="K20" s="101"/>
    </row>
    <row r="21" spans="1:11" s="96" customFormat="1" ht="20.100000000000001" customHeight="1">
      <c r="A21" s="101" t="s">
        <v>121</v>
      </c>
      <c r="B21" s="101"/>
      <c r="C21" s="101"/>
      <c r="D21" s="101"/>
      <c r="E21" s="101"/>
    </row>
    <row r="22" spans="1:11" s="96" customFormat="1" ht="20.100000000000001" customHeight="1">
      <c r="A22" s="521" t="s">
        <v>98</v>
      </c>
      <c r="B22" s="521"/>
      <c r="C22" s="521"/>
      <c r="D22" s="521"/>
      <c r="E22" s="521"/>
    </row>
    <row r="23" spans="1:11" s="96" customFormat="1" ht="28.5" customHeight="1">
      <c r="A23" s="528" t="s">
        <v>116</v>
      </c>
      <c r="B23" s="528"/>
      <c r="C23" s="528"/>
      <c r="D23" s="528"/>
      <c r="E23" s="528"/>
      <c r="I23" s="101"/>
    </row>
    <row r="24" spans="1:11" s="96" customFormat="1" ht="20.100000000000001" customHeight="1">
      <c r="A24" s="528" t="s">
        <v>117</v>
      </c>
      <c r="B24" s="528"/>
      <c r="C24" s="528"/>
      <c r="D24" s="528"/>
      <c r="E24" s="528"/>
      <c r="I24" s="101"/>
    </row>
    <row r="25" spans="1:11" s="96" customFormat="1" ht="34.5" customHeight="1">
      <c r="A25" s="521" t="s">
        <v>122</v>
      </c>
      <c r="B25" s="521"/>
      <c r="C25" s="521"/>
      <c r="D25" s="521"/>
      <c r="E25" s="521"/>
      <c r="I25" s="101"/>
    </row>
    <row r="26" spans="1:11" s="96" customFormat="1" ht="20.100000000000001" customHeight="1" thickBot="1">
      <c r="A26" s="520" t="s">
        <v>118</v>
      </c>
      <c r="B26" s="520"/>
      <c r="I26" s="101"/>
    </row>
    <row r="27" spans="1:11" s="96" customFormat="1" ht="42.75" customHeight="1" thickBot="1">
      <c r="A27" s="104" t="s">
        <v>3</v>
      </c>
      <c r="B27" s="105" t="s">
        <v>119</v>
      </c>
      <c r="C27" s="105" t="s">
        <v>120</v>
      </c>
    </row>
    <row r="28" spans="1:11" s="96" customFormat="1" ht="20.100000000000001" customHeight="1">
      <c r="A28" s="337">
        <f>'实质性分析F1-4'!A41</f>
        <v>0</v>
      </c>
      <c r="B28" s="331">
        <f>'实质性分析F1-4'!B41</f>
        <v>0</v>
      </c>
      <c r="C28" s="332">
        <f>IF(ISERROR(B28/$B$14),0,B28/$B$14)</f>
        <v>0</v>
      </c>
    </row>
    <row r="29" spans="1:11" s="96" customFormat="1" ht="20.100000000000001" customHeight="1">
      <c r="A29" s="337">
        <f>'实质性分析F1-4'!A42</f>
        <v>0</v>
      </c>
      <c r="B29" s="331">
        <f>'实质性分析F1-4'!B42</f>
        <v>0</v>
      </c>
      <c r="C29" s="332">
        <f t="shared" ref="C29:C31" si="2">IF(ISERROR(B29/$B$14),0,B29/$B$14)</f>
        <v>0</v>
      </c>
    </row>
    <row r="30" spans="1:11" s="96" customFormat="1" ht="20.100000000000001" customHeight="1">
      <c r="A30" s="337">
        <f>'实质性分析F1-4'!A43</f>
        <v>0</v>
      </c>
      <c r="B30" s="331">
        <f>'实质性分析F1-4'!B43</f>
        <v>0</v>
      </c>
      <c r="C30" s="332">
        <f t="shared" si="2"/>
        <v>0</v>
      </c>
    </row>
    <row r="31" spans="1:11" s="96" customFormat="1" ht="20.100000000000001" customHeight="1">
      <c r="A31" s="337">
        <f>'实质性分析F1-4'!A44</f>
        <v>0</v>
      </c>
      <c r="B31" s="331">
        <f>'实质性分析F1-4'!B44</f>
        <v>0</v>
      </c>
      <c r="C31" s="332">
        <f t="shared" si="2"/>
        <v>0</v>
      </c>
    </row>
    <row r="32" spans="1:11" s="96" customFormat="1" ht="20.100000000000001" customHeight="1" thickBot="1">
      <c r="A32" s="337">
        <f>'实质性分析F1-4'!A45</f>
        <v>0</v>
      </c>
      <c r="B32" s="331">
        <f>'实质性分析F1-4'!B45</f>
        <v>0</v>
      </c>
      <c r="C32" s="332">
        <f>IF(ISERROR(B32/$B$14),0,B32/$B$14)</f>
        <v>0</v>
      </c>
    </row>
    <row r="33" spans="1:9" s="96" customFormat="1" ht="20.100000000000001" customHeight="1" thickBot="1">
      <c r="A33" s="340" t="s">
        <v>545</v>
      </c>
      <c r="B33" s="338">
        <f>SUM(B28:B32)</f>
        <v>0</v>
      </c>
      <c r="C33" s="339">
        <f>SUM(C28:C32)</f>
        <v>0</v>
      </c>
    </row>
    <row r="34" spans="1:9" s="96" customFormat="1" ht="12">
      <c r="I34" s="97"/>
    </row>
    <row r="35" spans="1:9" s="96" customFormat="1" ht="12">
      <c r="I35" s="97"/>
    </row>
    <row r="36" spans="1:9" s="96" customFormat="1" ht="12">
      <c r="I36" s="97"/>
    </row>
    <row r="37" spans="1:9" s="96" customFormat="1" ht="12">
      <c r="I37" s="97"/>
    </row>
    <row r="38" spans="1:9" s="96" customFormat="1" ht="12">
      <c r="I38" s="97"/>
    </row>
    <row r="39" spans="1:9" s="96" customFormat="1" ht="12">
      <c r="I39" s="97"/>
    </row>
  </sheetData>
  <mergeCells count="11">
    <mergeCell ref="A26:B26"/>
    <mergeCell ref="A25:E25"/>
    <mergeCell ref="A1:E1"/>
    <mergeCell ref="A2:E2"/>
    <mergeCell ref="A8:A9"/>
    <mergeCell ref="B8:C8"/>
    <mergeCell ref="D8:E8"/>
    <mergeCell ref="A22:E22"/>
    <mergeCell ref="A23:E23"/>
    <mergeCell ref="A24:E24"/>
    <mergeCell ref="A7:C7"/>
  </mergeCells>
  <phoneticPr fontId="7" type="noConversion"/>
  <hyperlinks>
    <hyperlink ref="G2" location="底稿目录!A1" display="返回目录"/>
  </hyperlinks>
  <printOptions horizontalCentered="1"/>
  <pageMargins left="0.55118110236220474" right="0.47244094488188981" top="0.62992125984251968" bottom="0.51181102362204722" header="0.51181102362204722" footer="0.35433070866141736"/>
  <pageSetup paperSize="9" scale="87" fitToHeight="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79"/>
  <sheetViews>
    <sheetView view="pageBreakPreview" zoomScaleSheetLayoutView="100" workbookViewId="0">
      <selection sqref="A1:G1"/>
    </sheetView>
  </sheetViews>
  <sheetFormatPr defaultColWidth="12.796875" defaultRowHeight="13.8"/>
  <cols>
    <col min="1" max="1" width="18" style="19" customWidth="1"/>
    <col min="2" max="2" width="15.59765625" style="19" customWidth="1"/>
    <col min="3" max="4" width="12.796875" style="19"/>
    <col min="5" max="5" width="14.69921875" style="19" customWidth="1"/>
    <col min="6" max="16384" width="12.796875" style="19"/>
  </cols>
  <sheetData>
    <row r="1" spans="1:14" ht="20.100000000000001" customHeight="1">
      <c r="A1" s="533" t="s">
        <v>54</v>
      </c>
      <c r="B1" s="533"/>
      <c r="C1" s="533"/>
      <c r="D1" s="533"/>
      <c r="E1" s="533"/>
      <c r="F1" s="533"/>
      <c r="G1" s="533"/>
      <c r="H1" s="17"/>
      <c r="I1" s="17"/>
      <c r="J1" s="17"/>
      <c r="K1" s="17"/>
      <c r="L1" s="17"/>
      <c r="M1" s="17"/>
      <c r="N1" s="17"/>
    </row>
    <row r="2" spans="1:14" s="30" customFormat="1" ht="25.05" customHeight="1">
      <c r="A2" s="522" t="s">
        <v>65</v>
      </c>
      <c r="B2" s="533"/>
      <c r="C2" s="533"/>
      <c r="D2" s="533"/>
      <c r="E2" s="533"/>
      <c r="F2" s="533"/>
      <c r="G2" s="533"/>
      <c r="H2" s="243" t="s">
        <v>461</v>
      </c>
      <c r="I2" s="18"/>
      <c r="J2" s="18"/>
      <c r="K2" s="18"/>
      <c r="L2" s="18"/>
      <c r="M2" s="18"/>
      <c r="N2" s="18"/>
    </row>
    <row r="3" spans="1:14" ht="20.100000000000001" customHeight="1">
      <c r="A3" s="15" t="str">
        <f>底稿目录!A2</f>
        <v>被审计单位：</v>
      </c>
      <c r="B3" s="15"/>
      <c r="C3" s="15" t="str">
        <f>底稿目录!A4</f>
        <v>编制人：</v>
      </c>
      <c r="E3" s="15" t="str">
        <f>底稿目录!A5</f>
        <v>编制日期：</v>
      </c>
      <c r="F3" s="51"/>
      <c r="G3" s="47" t="s">
        <v>495</v>
      </c>
    </row>
    <row r="4" spans="1:14" ht="20.100000000000001" customHeight="1">
      <c r="A4" s="15" t="str">
        <f>底稿目录!A3</f>
        <v>截止日：202X年12月31日</v>
      </c>
      <c r="B4" s="16"/>
      <c r="C4" s="15" t="str">
        <f>底稿目录!A6</f>
        <v>复核人：</v>
      </c>
      <c r="E4" s="15" t="str">
        <f>底稿目录!A7</f>
        <v>复核日期：</v>
      </c>
      <c r="F4" s="51"/>
      <c r="G4" s="47" t="s">
        <v>8</v>
      </c>
    </row>
    <row r="5" spans="1:14" s="95" customFormat="1" ht="20.100000000000001" customHeight="1">
      <c r="A5" s="95" t="s">
        <v>46</v>
      </c>
    </row>
    <row r="6" spans="1:14" s="96" customFormat="1" ht="20.100000000000001" customHeight="1">
      <c r="A6" s="106" t="s">
        <v>105</v>
      </c>
    </row>
    <row r="7" spans="1:14" s="96" customFormat="1" ht="20.100000000000001" customHeight="1" thickBot="1">
      <c r="A7" s="529" t="s">
        <v>123</v>
      </c>
      <c r="B7" s="529"/>
    </row>
    <row r="8" spans="1:14" s="96" customFormat="1" ht="20.100000000000001" customHeight="1">
      <c r="A8" s="525" t="s">
        <v>107</v>
      </c>
      <c r="B8" s="527" t="s">
        <v>108</v>
      </c>
      <c r="C8" s="527"/>
      <c r="D8" s="527"/>
      <c r="E8" s="527" t="s">
        <v>102</v>
      </c>
      <c r="F8" s="527"/>
      <c r="G8" s="527"/>
    </row>
    <row r="9" spans="1:14" s="96" customFormat="1" ht="20.100000000000001" customHeight="1" thickBot="1">
      <c r="A9" s="531"/>
      <c r="B9" s="532" t="s">
        <v>124</v>
      </c>
      <c r="C9" s="532"/>
      <c r="D9" s="534" t="s">
        <v>97</v>
      </c>
      <c r="E9" s="532" t="s">
        <v>124</v>
      </c>
      <c r="F9" s="532"/>
      <c r="G9" s="534" t="s">
        <v>97</v>
      </c>
    </row>
    <row r="10" spans="1:14" s="96" customFormat="1" ht="20.100000000000001" customHeight="1" thickBot="1">
      <c r="A10" s="526"/>
      <c r="B10" s="99" t="s">
        <v>125</v>
      </c>
      <c r="C10" s="99" t="s">
        <v>126</v>
      </c>
      <c r="D10" s="532"/>
      <c r="E10" s="99" t="s">
        <v>125</v>
      </c>
      <c r="F10" s="105" t="s">
        <v>126</v>
      </c>
      <c r="G10" s="532"/>
    </row>
    <row r="11" spans="1:14" s="96" customFormat="1" ht="20.100000000000001" customHeight="1">
      <c r="A11" s="100" t="s">
        <v>127</v>
      </c>
      <c r="B11" s="331">
        <f>'审定表F1-1'!I17</f>
        <v>0</v>
      </c>
      <c r="C11" s="332">
        <f>IF(ISERROR(B11/$B$15),0,B11/$B$15)</f>
        <v>0</v>
      </c>
      <c r="D11" s="341"/>
      <c r="E11" s="331">
        <f>'审定表F1-1'!E17</f>
        <v>0</v>
      </c>
      <c r="F11" s="332">
        <f>IF(ISERROR(E11/$E$15),0,E11/$E$15)</f>
        <v>0</v>
      </c>
      <c r="G11" s="341"/>
    </row>
    <row r="12" spans="1:14" s="96" customFormat="1" ht="20.100000000000001" customHeight="1">
      <c r="A12" s="100" t="s">
        <v>112</v>
      </c>
      <c r="B12" s="331">
        <f>'审定表F1-1'!I18</f>
        <v>0</v>
      </c>
      <c r="C12" s="332">
        <f t="shared" ref="C12:C14" si="0">IF(ISERROR(B12/$B$15),0,B12/$B$15)</f>
        <v>0</v>
      </c>
      <c r="D12" s="341"/>
      <c r="E12" s="331">
        <f>'审定表F1-1'!E18</f>
        <v>0</v>
      </c>
      <c r="F12" s="332">
        <f t="shared" ref="F12:F14" si="1">IF(ISERROR(E12/$E$15),0,E12/$E$15)</f>
        <v>0</v>
      </c>
      <c r="G12" s="341"/>
    </row>
    <row r="13" spans="1:14" s="96" customFormat="1" ht="20.100000000000001" customHeight="1">
      <c r="A13" s="100" t="s">
        <v>113</v>
      </c>
      <c r="B13" s="331">
        <f>'审定表F1-1'!I19</f>
        <v>0</v>
      </c>
      <c r="C13" s="332">
        <f t="shared" si="0"/>
        <v>0</v>
      </c>
      <c r="D13" s="341"/>
      <c r="E13" s="331">
        <f>'审定表F1-1'!E19</f>
        <v>0</v>
      </c>
      <c r="F13" s="332">
        <f t="shared" si="1"/>
        <v>0</v>
      </c>
      <c r="G13" s="341"/>
    </row>
    <row r="14" spans="1:14" s="96" customFormat="1" ht="20.100000000000001" customHeight="1" thickBot="1">
      <c r="A14" s="102" t="s">
        <v>114</v>
      </c>
      <c r="B14" s="331">
        <f>'审定表F1-1'!I20</f>
        <v>0</v>
      </c>
      <c r="C14" s="332">
        <f t="shared" si="0"/>
        <v>0</v>
      </c>
      <c r="D14" s="342"/>
      <c r="E14" s="331">
        <f>'审定表F1-1'!E20</f>
        <v>0</v>
      </c>
      <c r="F14" s="332">
        <f t="shared" si="1"/>
        <v>0</v>
      </c>
      <c r="G14" s="342"/>
    </row>
    <row r="15" spans="1:14" s="96" customFormat="1" ht="20.100000000000001" customHeight="1" thickBot="1">
      <c r="A15" s="103" t="s">
        <v>95</v>
      </c>
      <c r="B15" s="333">
        <f>SUM(B11:B14)</f>
        <v>0</v>
      </c>
      <c r="C15" s="334">
        <f>SUM(C11:C14)</f>
        <v>0</v>
      </c>
      <c r="D15" s="333">
        <f t="shared" ref="D15:G15" si="2">SUM(D11:D14)</f>
        <v>0</v>
      </c>
      <c r="E15" s="333">
        <f>SUM(E11:E14)</f>
        <v>0</v>
      </c>
      <c r="F15" s="334">
        <f>SUM(F11:F14)</f>
        <v>0</v>
      </c>
      <c r="G15" s="333">
        <f t="shared" si="2"/>
        <v>0</v>
      </c>
    </row>
    <row r="16" spans="1:14" s="96" customFormat="1" ht="20.100000000000001" customHeight="1" thickBot="1">
      <c r="A16" s="106" t="s">
        <v>128</v>
      </c>
    </row>
    <row r="17" spans="1:5" s="96" customFormat="1" ht="20.100000000000001" customHeight="1" thickBot="1">
      <c r="A17" s="107" t="s">
        <v>104</v>
      </c>
      <c r="B17" s="108" t="s">
        <v>129</v>
      </c>
      <c r="C17" s="105" t="s">
        <v>9</v>
      </c>
      <c r="D17" s="108" t="s">
        <v>130</v>
      </c>
      <c r="E17" s="108" t="s">
        <v>131</v>
      </c>
    </row>
    <row r="18" spans="1:5" s="96" customFormat="1" ht="20.100000000000001" customHeight="1">
      <c r="A18" s="349" t="str">
        <f>RIGHT($A$3,LEN($A$3)-SEARCH("：",$A$3))</f>
        <v/>
      </c>
      <c r="B18" s="350">
        <f>'长期挂款检查表F1-5'!A6</f>
        <v>0</v>
      </c>
      <c r="C18" s="344">
        <f>'长期挂款检查表F1-5'!J6</f>
        <v>0</v>
      </c>
      <c r="D18" s="343">
        <f>'长期挂款检查表F1-5'!C6</f>
        <v>0</v>
      </c>
      <c r="E18" s="350">
        <f>'长期挂款检查表F1-5'!E6</f>
        <v>0</v>
      </c>
    </row>
    <row r="19" spans="1:5" s="96" customFormat="1" ht="20.100000000000001" customHeight="1">
      <c r="A19" s="349" t="str">
        <f>RIGHT($A$3,LEN($A$3)-SEARCH("：",$A$3))</f>
        <v/>
      </c>
      <c r="B19" s="350">
        <f>'长期挂款检查表F1-5'!A7</f>
        <v>0</v>
      </c>
      <c r="C19" s="344">
        <f>'长期挂款检查表F1-5'!J7</f>
        <v>0</v>
      </c>
      <c r="D19" s="343">
        <f>'长期挂款检查表F1-5'!C7</f>
        <v>0</v>
      </c>
      <c r="E19" s="350">
        <f>'长期挂款检查表F1-5'!E7</f>
        <v>0</v>
      </c>
    </row>
    <row r="20" spans="1:5" s="96" customFormat="1" ht="20.100000000000001" customHeight="1" thickBot="1">
      <c r="A20" s="351" t="str">
        <f>RIGHT($A$3,LEN($A$3)-SEARCH("：",$A$3))</f>
        <v/>
      </c>
      <c r="B20" s="352">
        <f>'长期挂款检查表F1-5'!A14</f>
        <v>0</v>
      </c>
      <c r="C20" s="346">
        <f>'长期挂款检查表F1-5'!J14</f>
        <v>0</v>
      </c>
      <c r="D20" s="345">
        <f>'长期挂款检查表F1-5'!C14</f>
        <v>0</v>
      </c>
      <c r="E20" s="352">
        <f>'长期挂款检查表F1-5'!E14</f>
        <v>0</v>
      </c>
    </row>
    <row r="21" spans="1:5" s="96" customFormat="1" ht="20.100000000000001" customHeight="1" thickBot="1">
      <c r="A21" s="530" t="s">
        <v>95</v>
      </c>
      <c r="B21" s="530"/>
      <c r="C21" s="347">
        <f>SUM(C18:C20)</f>
        <v>0</v>
      </c>
      <c r="D21" s="348" t="s">
        <v>4</v>
      </c>
      <c r="E21" s="353" t="s">
        <v>4</v>
      </c>
    </row>
    <row r="22" spans="1:5" s="96" customFormat="1" ht="18" customHeight="1" thickBot="1">
      <c r="A22" s="106" t="s">
        <v>132</v>
      </c>
    </row>
    <row r="23" spans="1:5" s="96" customFormat="1" ht="24.6" thickBot="1">
      <c r="A23" s="107" t="s">
        <v>133</v>
      </c>
      <c r="B23" s="108" t="s">
        <v>134</v>
      </c>
      <c r="C23" s="105" t="s">
        <v>135</v>
      </c>
      <c r="D23" s="108" t="s">
        <v>136</v>
      </c>
    </row>
    <row r="24" spans="1:5" s="96" customFormat="1" ht="18" customHeight="1">
      <c r="B24" s="19"/>
      <c r="C24" s="381">
        <f>IFERROR(B24/$B$15,0)</f>
        <v>0</v>
      </c>
      <c r="D24" s="19"/>
    </row>
    <row r="25" spans="1:5" s="96" customFormat="1" ht="18" customHeight="1">
      <c r="B25" s="19"/>
      <c r="C25" s="381">
        <f t="shared" ref="C25:C28" si="3">IFERROR(B25/$B$15,0)</f>
        <v>0</v>
      </c>
      <c r="D25" s="19"/>
    </row>
    <row r="26" spans="1:5" s="96" customFormat="1" ht="18" customHeight="1">
      <c r="B26" s="19"/>
      <c r="C26" s="381">
        <f t="shared" si="3"/>
        <v>0</v>
      </c>
      <c r="D26" s="19"/>
    </row>
    <row r="27" spans="1:5" s="96" customFormat="1" ht="18" customHeight="1">
      <c r="B27" s="19"/>
      <c r="C27" s="381">
        <f t="shared" si="3"/>
        <v>0</v>
      </c>
      <c r="D27" s="19"/>
    </row>
    <row r="28" spans="1:5" s="96" customFormat="1" ht="18" customHeight="1" thickBot="1">
      <c r="B28" s="19"/>
      <c r="C28" s="381">
        <f t="shared" si="3"/>
        <v>0</v>
      </c>
      <c r="D28" s="354"/>
    </row>
    <row r="29" spans="1:5" s="96" customFormat="1" ht="18" customHeight="1" thickBot="1">
      <c r="A29" s="109" t="s">
        <v>137</v>
      </c>
      <c r="B29" s="355">
        <f>SUM(B24:B28)</f>
        <v>0</v>
      </c>
      <c r="C29" s="382">
        <f>IFERROR(B29/$B$15,0)</f>
        <v>0</v>
      </c>
      <c r="D29" s="348" t="s">
        <v>103</v>
      </c>
    </row>
    <row r="30" spans="1:5" s="96" customFormat="1" ht="18" customHeight="1"/>
    <row r="31" spans="1:5" s="96" customFormat="1" ht="18" customHeight="1"/>
    <row r="32" spans="1:5" s="96" customFormat="1"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sheetData>
  <mergeCells count="11">
    <mergeCell ref="A7:B7"/>
    <mergeCell ref="A1:G1"/>
    <mergeCell ref="A2:G2"/>
    <mergeCell ref="D9:D10"/>
    <mergeCell ref="G9:G10"/>
    <mergeCell ref="A21:B21"/>
    <mergeCell ref="A8:A10"/>
    <mergeCell ref="B8:D8"/>
    <mergeCell ref="E8:G8"/>
    <mergeCell ref="B9:C9"/>
    <mergeCell ref="E9:F9"/>
  </mergeCells>
  <phoneticPr fontId="7" type="noConversion"/>
  <hyperlinks>
    <hyperlink ref="H2" location="底稿目录!A1" display="返回目录"/>
  </hyperlinks>
  <pageMargins left="0.94488188976377963" right="0.27559055118110237" top="0.62992125984251968" bottom="0.51181102362204722" header="0.51181102362204722" footer="0.35433070866141736"/>
  <pageSetup paperSize="9" scale="84" fitToHeight="100" orientation="portrait" blackAndWhite="1" cellComments="atEnd"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AF57"/>
  <sheetViews>
    <sheetView view="pageBreakPreview" zoomScaleSheetLayoutView="100" workbookViewId="0">
      <selection sqref="A1:AE1"/>
    </sheetView>
  </sheetViews>
  <sheetFormatPr defaultColWidth="7" defaultRowHeight="13.8"/>
  <cols>
    <col min="1" max="1" width="14.59765625" style="20" customWidth="1"/>
    <col min="2" max="2" width="8.796875" style="20" customWidth="1"/>
    <col min="3" max="3" width="10" style="20" customWidth="1"/>
    <col min="4" max="12" width="9.796875" style="20" customWidth="1"/>
    <col min="13" max="14" width="8.5" style="20" customWidth="1"/>
    <col min="15" max="16" width="9.8984375" style="20" customWidth="1"/>
    <col min="17" max="17" width="8.796875" style="20" customWidth="1"/>
    <col min="18" max="21" width="9.296875" style="20" customWidth="1"/>
    <col min="22" max="22" width="9" style="20" customWidth="1"/>
    <col min="23" max="23" width="9.5" style="20" customWidth="1"/>
    <col min="24" max="24" width="9.796875" style="20" customWidth="1"/>
    <col min="25" max="27" width="7" style="20" customWidth="1"/>
    <col min="28" max="28" width="8.19921875" style="20" customWidth="1"/>
    <col min="29" max="29" width="5.09765625" style="20" customWidth="1"/>
    <col min="30" max="30" width="8.19921875" style="20" customWidth="1"/>
    <col min="31" max="31" width="7.19921875" style="20" customWidth="1"/>
    <col min="32" max="16384" width="7" style="20"/>
  </cols>
  <sheetData>
    <row r="1" spans="1:32" ht="19.95" customHeight="1">
      <c r="A1" s="540" t="s">
        <v>600</v>
      </c>
      <c r="B1" s="540"/>
      <c r="C1" s="540"/>
      <c r="D1" s="540"/>
      <c r="E1" s="540"/>
      <c r="F1" s="540"/>
      <c r="G1" s="540"/>
      <c r="H1" s="540"/>
      <c r="I1" s="540"/>
      <c r="J1" s="540"/>
      <c r="K1" s="540"/>
      <c r="L1" s="540"/>
      <c r="M1" s="540"/>
      <c r="N1" s="540"/>
      <c r="O1" s="540"/>
      <c r="P1" s="540"/>
      <c r="Q1" s="540"/>
      <c r="R1" s="540"/>
      <c r="S1" s="540"/>
      <c r="T1" s="540"/>
      <c r="U1" s="540"/>
      <c r="V1" s="540"/>
      <c r="W1" s="540"/>
      <c r="X1" s="540"/>
      <c r="Y1" s="540"/>
      <c r="Z1" s="540"/>
      <c r="AA1" s="540"/>
      <c r="AB1" s="540"/>
      <c r="AC1" s="540"/>
      <c r="AD1" s="540"/>
      <c r="AE1" s="540"/>
    </row>
    <row r="2" spans="1:32" s="21" customFormat="1" ht="19.95" customHeight="1">
      <c r="A2" s="541" t="s">
        <v>64</v>
      </c>
      <c r="B2" s="541"/>
      <c r="C2" s="541"/>
      <c r="D2" s="542"/>
      <c r="E2" s="542"/>
      <c r="F2" s="542"/>
      <c r="G2" s="542"/>
      <c r="H2" s="542"/>
      <c r="I2" s="542"/>
      <c r="J2" s="542"/>
      <c r="K2" s="542"/>
      <c r="L2" s="542"/>
      <c r="M2" s="542"/>
      <c r="N2" s="542"/>
      <c r="O2" s="542"/>
      <c r="P2" s="542"/>
      <c r="Q2" s="542"/>
      <c r="R2" s="542"/>
      <c r="S2" s="542"/>
      <c r="T2" s="542"/>
      <c r="U2" s="542"/>
      <c r="V2" s="542"/>
      <c r="W2" s="542"/>
      <c r="X2" s="542"/>
      <c r="Y2" s="542"/>
      <c r="Z2" s="542"/>
      <c r="AA2" s="542"/>
      <c r="AB2" s="542"/>
      <c r="AC2" s="542"/>
      <c r="AD2" s="542"/>
      <c r="AE2" s="542"/>
      <c r="AF2" s="243"/>
    </row>
    <row r="3" spans="1:32" ht="19.95" customHeight="1">
      <c r="A3" s="22" t="str">
        <f>底稿目录!A2</f>
        <v>被审计单位：</v>
      </c>
      <c r="B3" s="22"/>
      <c r="C3" s="22"/>
      <c r="D3" s="22"/>
      <c r="E3" s="22"/>
      <c r="F3" s="22"/>
      <c r="G3" s="22"/>
      <c r="H3" s="22"/>
      <c r="I3" s="22"/>
      <c r="J3" s="22"/>
      <c r="K3" s="22" t="str">
        <f>底稿目录!A4</f>
        <v>编制人：</v>
      </c>
      <c r="L3" s="22"/>
      <c r="M3" s="22"/>
      <c r="N3" s="22"/>
      <c r="S3" s="22"/>
      <c r="T3" s="22" t="str">
        <f>底稿目录!A5</f>
        <v>编制日期：</v>
      </c>
      <c r="U3" s="22"/>
      <c r="Y3" s="52"/>
      <c r="AB3" s="22"/>
      <c r="AC3" s="22"/>
      <c r="AD3" s="124" t="s">
        <v>496</v>
      </c>
      <c r="AE3" s="357" t="str">
        <f>底稿目录!F8</f>
        <v>F1-2</v>
      </c>
    </row>
    <row r="4" spans="1:32" ht="19.95" customHeight="1">
      <c r="A4" s="22" t="str">
        <f>底稿目录!A3</f>
        <v>截止日：202X年12月31日</v>
      </c>
      <c r="B4" s="22"/>
      <c r="C4" s="22"/>
      <c r="D4" s="22"/>
      <c r="E4" s="22"/>
      <c r="F4" s="22"/>
      <c r="G4" s="22"/>
      <c r="H4" s="22"/>
      <c r="I4" s="22"/>
      <c r="J4" s="22"/>
      <c r="K4" s="22" t="str">
        <f>底稿目录!A6</f>
        <v>复核人：</v>
      </c>
      <c r="L4" s="22"/>
      <c r="M4" s="22"/>
      <c r="N4" s="22"/>
      <c r="S4" s="22"/>
      <c r="T4" s="22" t="str">
        <f>底稿目录!A7</f>
        <v>复核日期：</v>
      </c>
      <c r="U4" s="22"/>
      <c r="Y4" s="52"/>
      <c r="AB4" s="22"/>
      <c r="AC4" s="22"/>
      <c r="AD4" s="22" t="s">
        <v>8</v>
      </c>
    </row>
    <row r="5" spans="1:32" ht="19.95" customHeight="1">
      <c r="A5" s="45" t="s">
        <v>26</v>
      </c>
      <c r="B5" s="45"/>
      <c r="C5" s="45"/>
      <c r="D5" s="236"/>
      <c r="E5" s="22"/>
      <c r="F5" s="22"/>
      <c r="G5" s="22"/>
      <c r="H5" s="22"/>
      <c r="I5" s="22"/>
      <c r="J5" s="22"/>
      <c r="K5" s="22"/>
      <c r="L5" s="22"/>
      <c r="M5" s="22"/>
      <c r="N5" s="22"/>
      <c r="O5" s="22"/>
      <c r="P5" s="22"/>
      <c r="Q5" s="22"/>
      <c r="S5" s="23"/>
      <c r="T5" s="19"/>
      <c r="U5" s="22"/>
      <c r="W5" s="22"/>
      <c r="X5" s="22"/>
      <c r="Y5" s="22"/>
      <c r="Z5" s="22"/>
      <c r="AA5" s="22"/>
      <c r="AB5" s="22"/>
    </row>
    <row r="6" spans="1:32" ht="19.95" customHeight="1">
      <c r="A6" s="252" t="s">
        <v>497</v>
      </c>
      <c r="B6" s="252"/>
      <c r="C6" s="252"/>
      <c r="D6" s="236"/>
      <c r="E6" s="22"/>
      <c r="F6" s="22"/>
      <c r="G6" s="22"/>
      <c r="H6" s="22"/>
      <c r="I6" s="22"/>
      <c r="J6" s="22"/>
      <c r="K6" s="22"/>
      <c r="L6" s="22"/>
      <c r="M6" s="22"/>
      <c r="N6" s="22"/>
      <c r="O6" s="22"/>
      <c r="P6" s="22"/>
      <c r="Q6" s="22"/>
      <c r="S6" s="23"/>
      <c r="T6" s="19"/>
      <c r="U6" s="22"/>
      <c r="W6" s="22"/>
      <c r="X6" s="22"/>
      <c r="Y6" s="22"/>
      <c r="Z6" s="22"/>
      <c r="AA6" s="22"/>
      <c r="AB6" s="22"/>
    </row>
    <row r="7" spans="1:32" ht="19.95" customHeight="1">
      <c r="A7" s="308" t="s">
        <v>486</v>
      </c>
      <c r="B7" s="308"/>
      <c r="C7" s="308"/>
      <c r="D7" s="22"/>
      <c r="E7" s="22"/>
      <c r="F7" s="22"/>
      <c r="G7" s="22"/>
      <c r="H7" s="22"/>
      <c r="I7" s="22"/>
      <c r="J7" s="22"/>
      <c r="K7" s="22"/>
      <c r="L7" s="22"/>
      <c r="M7" s="22"/>
      <c r="N7" s="22"/>
      <c r="O7" s="22"/>
      <c r="P7" s="22"/>
      <c r="Q7" s="22"/>
      <c r="S7" s="23"/>
      <c r="T7" s="19"/>
      <c r="U7" s="22"/>
      <c r="W7" s="22"/>
      <c r="X7" s="22"/>
      <c r="Y7" s="22"/>
      <c r="Z7" s="22"/>
      <c r="AA7" s="22"/>
      <c r="AB7" s="22"/>
    </row>
    <row r="8" spans="1:32" ht="19.95" customHeight="1">
      <c r="A8" s="47" t="s">
        <v>498</v>
      </c>
      <c r="B8" s="47"/>
      <c r="C8" s="47"/>
      <c r="D8" s="124"/>
      <c r="E8" s="22"/>
      <c r="F8" s="22"/>
      <c r="G8" s="22"/>
      <c r="H8" s="22"/>
      <c r="I8" s="22"/>
      <c r="J8" s="22"/>
      <c r="K8" s="22"/>
      <c r="L8" s="22"/>
      <c r="M8" s="22"/>
      <c r="N8" s="22"/>
      <c r="O8" s="22"/>
      <c r="P8" s="22"/>
      <c r="Q8" s="22"/>
      <c r="S8" s="23"/>
      <c r="T8" s="19"/>
      <c r="U8" s="22"/>
      <c r="W8" s="22"/>
      <c r="X8" s="22"/>
      <c r="Y8" s="22"/>
      <c r="Z8" s="22"/>
      <c r="AA8" s="22"/>
      <c r="AB8" s="22"/>
    </row>
    <row r="9" spans="1:32" ht="19.95" customHeight="1">
      <c r="A9" s="47" t="s">
        <v>499</v>
      </c>
      <c r="B9" s="47"/>
      <c r="C9" s="47"/>
      <c r="D9" s="124"/>
      <c r="E9" s="22"/>
      <c r="F9" s="22"/>
      <c r="G9" s="22"/>
      <c r="H9" s="22"/>
      <c r="I9" s="22"/>
      <c r="J9" s="22"/>
      <c r="K9" s="22"/>
      <c r="L9" s="22"/>
      <c r="M9" s="22"/>
      <c r="N9" s="22"/>
      <c r="O9" s="22"/>
      <c r="P9" s="22"/>
      <c r="Q9" s="22"/>
      <c r="S9" s="23"/>
      <c r="T9" s="19"/>
      <c r="U9" s="22"/>
      <c r="W9" s="22"/>
      <c r="X9" s="22"/>
      <c r="Y9" s="22"/>
      <c r="Z9" s="22"/>
      <c r="AA9" s="22"/>
      <c r="AB9" s="22"/>
    </row>
    <row r="10" spans="1:32" ht="19.95" customHeight="1">
      <c r="A10" s="47" t="s">
        <v>500</v>
      </c>
      <c r="B10" s="47"/>
      <c r="C10" s="47"/>
      <c r="D10" s="124"/>
      <c r="E10" s="22"/>
      <c r="F10" s="22"/>
      <c r="G10" s="22"/>
      <c r="H10" s="22"/>
      <c r="I10" s="22"/>
      <c r="J10" s="22"/>
      <c r="K10" s="22"/>
      <c r="L10" s="22"/>
      <c r="M10" s="22"/>
      <c r="N10" s="22"/>
      <c r="O10" s="22"/>
      <c r="P10" s="22"/>
      <c r="Q10" s="22"/>
      <c r="S10" s="23"/>
      <c r="T10" s="19"/>
      <c r="U10" s="22"/>
      <c r="W10" s="22"/>
      <c r="X10" s="22"/>
      <c r="Y10" s="22"/>
      <c r="Z10" s="22"/>
      <c r="AA10" s="22"/>
      <c r="AB10" s="22"/>
    </row>
    <row r="11" spans="1:32" ht="19.95" customHeight="1">
      <c r="A11" s="272" t="s">
        <v>501</v>
      </c>
      <c r="B11" s="272"/>
      <c r="C11" s="272"/>
      <c r="D11" s="124"/>
      <c r="E11" s="22"/>
      <c r="F11" s="22"/>
      <c r="G11" s="22"/>
      <c r="H11" s="22"/>
      <c r="I11" s="22"/>
      <c r="J11" s="22"/>
      <c r="K11" s="22"/>
      <c r="L11" s="22"/>
      <c r="M11" s="22"/>
      <c r="N11" s="22"/>
      <c r="O11" s="22"/>
      <c r="P11" s="22"/>
      <c r="Q11" s="22"/>
      <c r="S11" s="23"/>
      <c r="T11" s="19"/>
      <c r="U11" s="22"/>
      <c r="W11" s="22"/>
      <c r="X11" s="22"/>
      <c r="Y11" s="22"/>
      <c r="Z11" s="22"/>
      <c r="AA11" s="22"/>
      <c r="AB11" s="22"/>
    </row>
    <row r="12" spans="1:32" ht="19.95" customHeight="1">
      <c r="A12" s="539" t="s">
        <v>27</v>
      </c>
      <c r="B12" s="538" t="s">
        <v>639</v>
      </c>
      <c r="C12" s="543" t="s">
        <v>82</v>
      </c>
      <c r="D12" s="539" t="s">
        <v>83</v>
      </c>
      <c r="E12" s="543" t="s">
        <v>85</v>
      </c>
      <c r="F12" s="543" t="s">
        <v>90</v>
      </c>
      <c r="G12" s="543" t="s">
        <v>91</v>
      </c>
      <c r="H12" s="543" t="s">
        <v>92</v>
      </c>
      <c r="I12" s="549" t="s">
        <v>94</v>
      </c>
      <c r="J12" s="550"/>
      <c r="K12" s="550"/>
      <c r="L12" s="551"/>
      <c r="M12" s="538" t="s">
        <v>517</v>
      </c>
      <c r="N12" s="538" t="s">
        <v>518</v>
      </c>
      <c r="O12" s="543" t="s">
        <v>48</v>
      </c>
      <c r="P12" s="547" t="s">
        <v>687</v>
      </c>
      <c r="Q12" s="543" t="s">
        <v>688</v>
      </c>
      <c r="R12" s="543" t="s">
        <v>93</v>
      </c>
      <c r="S12" s="543"/>
      <c r="T12" s="543"/>
      <c r="U12" s="543"/>
      <c r="V12" s="544" t="s">
        <v>28</v>
      </c>
      <c r="W12" s="544" t="s">
        <v>29</v>
      </c>
      <c r="X12" s="539" t="s">
        <v>19</v>
      </c>
      <c r="Y12" s="535" t="s">
        <v>156</v>
      </c>
      <c r="Z12" s="536"/>
      <c r="AA12" s="536"/>
      <c r="AB12" s="537"/>
      <c r="AC12" s="546" t="s">
        <v>502</v>
      </c>
      <c r="AD12" s="538" t="s">
        <v>157</v>
      </c>
      <c r="AE12" s="539" t="s">
        <v>20</v>
      </c>
    </row>
    <row r="13" spans="1:32" ht="19.95" customHeight="1">
      <c r="A13" s="539"/>
      <c r="B13" s="539"/>
      <c r="C13" s="543" t="s">
        <v>84</v>
      </c>
      <c r="D13" s="539" t="s">
        <v>30</v>
      </c>
      <c r="E13" s="543" t="s">
        <v>86</v>
      </c>
      <c r="F13" s="543" t="s">
        <v>87</v>
      </c>
      <c r="G13" s="543" t="s">
        <v>88</v>
      </c>
      <c r="H13" s="543" t="s">
        <v>89</v>
      </c>
      <c r="I13" s="93" t="s">
        <v>5</v>
      </c>
      <c r="J13" s="93" t="s">
        <v>6</v>
      </c>
      <c r="K13" s="93" t="s">
        <v>21</v>
      </c>
      <c r="L13" s="93" t="s">
        <v>22</v>
      </c>
      <c r="M13" s="543" t="s">
        <v>31</v>
      </c>
      <c r="N13" s="543" t="s">
        <v>32</v>
      </c>
      <c r="O13" s="543" t="s">
        <v>33</v>
      </c>
      <c r="P13" s="548"/>
      <c r="Q13" s="543" t="s">
        <v>33</v>
      </c>
      <c r="R13" s="44" t="s">
        <v>5</v>
      </c>
      <c r="S13" s="44" t="s">
        <v>6</v>
      </c>
      <c r="T13" s="44" t="s">
        <v>21</v>
      </c>
      <c r="U13" s="44" t="s">
        <v>22</v>
      </c>
      <c r="V13" s="545"/>
      <c r="W13" s="545"/>
      <c r="X13" s="539"/>
      <c r="Y13" s="44" t="s">
        <v>5</v>
      </c>
      <c r="Z13" s="44" t="s">
        <v>6</v>
      </c>
      <c r="AA13" s="44" t="s">
        <v>21</v>
      </c>
      <c r="AB13" s="44" t="s">
        <v>34</v>
      </c>
      <c r="AC13" s="545"/>
      <c r="AD13" s="539"/>
      <c r="AE13" s="539"/>
    </row>
    <row r="14" spans="1:32" ht="19.95" customHeight="1">
      <c r="A14" s="274"/>
      <c r="B14" s="403"/>
      <c r="C14" s="276"/>
      <c r="D14" s="275" t="s">
        <v>10</v>
      </c>
      <c r="E14" s="277"/>
      <c r="F14" s="277"/>
      <c r="G14" s="277"/>
      <c r="H14" s="280">
        <f>E14+F14+G14</f>
        <v>0</v>
      </c>
      <c r="I14" s="277"/>
      <c r="J14" s="277"/>
      <c r="K14" s="277"/>
      <c r="L14" s="277"/>
      <c r="M14" s="277"/>
      <c r="N14" s="277"/>
      <c r="O14" s="280">
        <f>E14+M14-N14</f>
        <v>0</v>
      </c>
      <c r="P14" s="423"/>
      <c r="Q14" s="280">
        <f>O14+P14</f>
        <v>0</v>
      </c>
      <c r="R14" s="281"/>
      <c r="S14" s="281"/>
      <c r="T14" s="281"/>
      <c r="U14" s="281"/>
      <c r="V14" s="281"/>
      <c r="W14" s="281"/>
      <c r="X14" s="280">
        <f>O14+V14+W14</f>
        <v>0</v>
      </c>
      <c r="Y14" s="277"/>
      <c r="Z14" s="281"/>
      <c r="AA14" s="277"/>
      <c r="AB14" s="277"/>
      <c r="AC14" s="282"/>
      <c r="AD14" s="277"/>
      <c r="AE14" s="276"/>
    </row>
    <row r="15" spans="1:32" ht="19.95" customHeight="1">
      <c r="A15" s="274"/>
      <c r="B15" s="403"/>
      <c r="C15" s="276"/>
      <c r="D15" s="275" t="s">
        <v>11</v>
      </c>
      <c r="E15" s="277"/>
      <c r="F15" s="277"/>
      <c r="G15" s="277"/>
      <c r="H15" s="280">
        <f t="shared" ref="H15:H34" si="0">E15+F15+G15</f>
        <v>0</v>
      </c>
      <c r="I15" s="277"/>
      <c r="J15" s="277"/>
      <c r="K15" s="277"/>
      <c r="L15" s="277"/>
      <c r="M15" s="277"/>
      <c r="N15" s="277"/>
      <c r="O15" s="280">
        <f t="shared" ref="O15:O16" si="1">E15+M15-N15</f>
        <v>0</v>
      </c>
      <c r="P15" s="423"/>
      <c r="Q15" s="280">
        <f t="shared" ref="Q15:Q34" si="2">O15+P15</f>
        <v>0</v>
      </c>
      <c r="R15" s="281"/>
      <c r="S15" s="281"/>
      <c r="T15" s="281"/>
      <c r="U15" s="281"/>
      <c r="V15" s="281"/>
      <c r="W15" s="281"/>
      <c r="X15" s="280">
        <f t="shared" ref="X15:X16" si="3">O15+V15+W15</f>
        <v>0</v>
      </c>
      <c r="Y15" s="277"/>
      <c r="Z15" s="281"/>
      <c r="AA15" s="277"/>
      <c r="AB15" s="277"/>
      <c r="AC15" s="282"/>
      <c r="AD15" s="277"/>
      <c r="AE15" s="24"/>
    </row>
    <row r="16" spans="1:32" ht="19.95" customHeight="1">
      <c r="A16" s="274"/>
      <c r="B16" s="403"/>
      <c r="C16" s="276"/>
      <c r="D16" s="275" t="s">
        <v>10</v>
      </c>
      <c r="E16" s="277"/>
      <c r="F16" s="277"/>
      <c r="G16" s="277"/>
      <c r="H16" s="280">
        <f t="shared" si="0"/>
        <v>0</v>
      </c>
      <c r="I16" s="277"/>
      <c r="J16" s="277"/>
      <c r="K16" s="277"/>
      <c r="L16" s="277"/>
      <c r="M16" s="277"/>
      <c r="N16" s="277"/>
      <c r="O16" s="280">
        <f t="shared" si="1"/>
        <v>0</v>
      </c>
      <c r="P16" s="423"/>
      <c r="Q16" s="280">
        <f t="shared" si="2"/>
        <v>0</v>
      </c>
      <c r="R16" s="281"/>
      <c r="S16" s="281"/>
      <c r="T16" s="281"/>
      <c r="U16" s="281"/>
      <c r="V16" s="281"/>
      <c r="W16" s="281"/>
      <c r="X16" s="280">
        <f t="shared" si="3"/>
        <v>0</v>
      </c>
      <c r="Y16" s="277"/>
      <c r="Z16" s="281"/>
      <c r="AA16" s="277"/>
      <c r="AB16" s="277"/>
      <c r="AC16" s="282"/>
      <c r="AD16" s="277"/>
      <c r="AE16" s="24"/>
    </row>
    <row r="17" spans="1:31" ht="19.95" customHeight="1">
      <c r="A17" s="274"/>
      <c r="B17" s="403"/>
      <c r="C17" s="276"/>
      <c r="D17" s="275" t="s">
        <v>11</v>
      </c>
      <c r="E17" s="277"/>
      <c r="F17" s="277"/>
      <c r="G17" s="277"/>
      <c r="H17" s="280">
        <f t="shared" si="0"/>
        <v>0</v>
      </c>
      <c r="I17" s="277"/>
      <c r="J17" s="277"/>
      <c r="K17" s="277"/>
      <c r="L17" s="277"/>
      <c r="M17" s="277"/>
      <c r="N17" s="277"/>
      <c r="O17" s="280">
        <f>E17+M17-N17</f>
        <v>0</v>
      </c>
      <c r="P17" s="423"/>
      <c r="Q17" s="280">
        <f t="shared" si="2"/>
        <v>0</v>
      </c>
      <c r="R17" s="281"/>
      <c r="S17" s="281"/>
      <c r="T17" s="281"/>
      <c r="U17" s="281"/>
      <c r="V17" s="281"/>
      <c r="W17" s="281"/>
      <c r="X17" s="280">
        <f>O17+V17+W17</f>
        <v>0</v>
      </c>
      <c r="Y17" s="277"/>
      <c r="Z17" s="281"/>
      <c r="AA17" s="277"/>
      <c r="AB17" s="277"/>
      <c r="AC17" s="282"/>
      <c r="AD17" s="277"/>
      <c r="AE17" s="24"/>
    </row>
    <row r="18" spans="1:31" ht="19.95" customHeight="1">
      <c r="A18" s="274"/>
      <c r="B18" s="403"/>
      <c r="C18" s="276"/>
      <c r="D18" s="275" t="s">
        <v>10</v>
      </c>
      <c r="E18" s="277"/>
      <c r="F18" s="277"/>
      <c r="G18" s="277"/>
      <c r="H18" s="280">
        <f t="shared" si="0"/>
        <v>0</v>
      </c>
      <c r="I18" s="277"/>
      <c r="J18" s="277"/>
      <c r="K18" s="277"/>
      <c r="L18" s="277"/>
      <c r="M18" s="277"/>
      <c r="N18" s="277"/>
      <c r="O18" s="280">
        <f>E18+M18-N18</f>
        <v>0</v>
      </c>
      <c r="P18" s="423"/>
      <c r="Q18" s="280">
        <f t="shared" si="2"/>
        <v>0</v>
      </c>
      <c r="R18" s="281"/>
      <c r="S18" s="281"/>
      <c r="T18" s="281"/>
      <c r="U18" s="281"/>
      <c r="V18" s="281"/>
      <c r="W18" s="281"/>
      <c r="X18" s="280">
        <f>O18+V18+W18</f>
        <v>0</v>
      </c>
      <c r="Y18" s="277"/>
      <c r="Z18" s="281"/>
      <c r="AA18" s="277"/>
      <c r="AB18" s="277"/>
      <c r="AC18" s="282"/>
      <c r="AD18" s="277"/>
      <c r="AE18" s="24"/>
    </row>
    <row r="19" spans="1:31" ht="19.95" customHeight="1">
      <c r="A19" s="274"/>
      <c r="B19" s="403"/>
      <c r="C19" s="276"/>
      <c r="D19" s="275" t="s">
        <v>14</v>
      </c>
      <c r="E19" s="277"/>
      <c r="F19" s="277"/>
      <c r="G19" s="277"/>
      <c r="H19" s="280">
        <f t="shared" si="0"/>
        <v>0</v>
      </c>
      <c r="I19" s="277"/>
      <c r="J19" s="277"/>
      <c r="K19" s="277"/>
      <c r="L19" s="277"/>
      <c r="M19" s="277"/>
      <c r="N19" s="277"/>
      <c r="O19" s="280">
        <f t="shared" ref="O19:O21" si="4">E19+M19-N19</f>
        <v>0</v>
      </c>
      <c r="P19" s="423"/>
      <c r="Q19" s="280">
        <f t="shared" si="2"/>
        <v>0</v>
      </c>
      <c r="R19" s="281"/>
      <c r="S19" s="281"/>
      <c r="T19" s="281"/>
      <c r="U19" s="281"/>
      <c r="V19" s="281"/>
      <c r="W19" s="281"/>
      <c r="X19" s="280">
        <f t="shared" ref="X19" si="5">O19+V19+W19</f>
        <v>0</v>
      </c>
      <c r="Y19" s="277"/>
      <c r="Z19" s="281"/>
      <c r="AA19" s="277"/>
      <c r="AB19" s="277"/>
      <c r="AC19" s="282"/>
      <c r="AD19" s="277"/>
      <c r="AE19" s="24"/>
    </row>
    <row r="20" spans="1:31" ht="19.95" customHeight="1">
      <c r="A20" s="274"/>
      <c r="B20" s="403"/>
      <c r="C20" s="276"/>
      <c r="D20" s="275" t="s">
        <v>12</v>
      </c>
      <c r="E20" s="277"/>
      <c r="F20" s="277"/>
      <c r="G20" s="277"/>
      <c r="H20" s="280">
        <f t="shared" si="0"/>
        <v>0</v>
      </c>
      <c r="I20" s="277"/>
      <c r="J20" s="277"/>
      <c r="K20" s="277"/>
      <c r="L20" s="277"/>
      <c r="M20" s="277"/>
      <c r="N20" s="277"/>
      <c r="O20" s="280">
        <f t="shared" si="4"/>
        <v>0</v>
      </c>
      <c r="P20" s="423"/>
      <c r="Q20" s="280">
        <f t="shared" si="2"/>
        <v>0</v>
      </c>
      <c r="R20" s="281"/>
      <c r="S20" s="281"/>
      <c r="T20" s="281"/>
      <c r="U20" s="281"/>
      <c r="V20" s="281"/>
      <c r="W20" s="281"/>
      <c r="X20" s="280">
        <f>O20+V20+W20</f>
        <v>0</v>
      </c>
      <c r="Y20" s="277"/>
      <c r="Z20" s="281"/>
      <c r="AA20" s="277"/>
      <c r="AB20" s="277"/>
      <c r="AC20" s="282"/>
      <c r="AD20" s="277"/>
      <c r="AE20" s="24"/>
    </row>
    <row r="21" spans="1:31" ht="19.95" customHeight="1">
      <c r="A21" s="274"/>
      <c r="B21" s="403"/>
      <c r="C21" s="276"/>
      <c r="D21" s="275" t="s">
        <v>14</v>
      </c>
      <c r="E21" s="277"/>
      <c r="F21" s="277"/>
      <c r="G21" s="277"/>
      <c r="H21" s="280">
        <f t="shared" si="0"/>
        <v>0</v>
      </c>
      <c r="I21" s="277"/>
      <c r="J21" s="277"/>
      <c r="K21" s="277"/>
      <c r="L21" s="277"/>
      <c r="M21" s="277"/>
      <c r="N21" s="277"/>
      <c r="O21" s="280">
        <f t="shared" si="4"/>
        <v>0</v>
      </c>
      <c r="P21" s="423"/>
      <c r="Q21" s="280">
        <f t="shared" si="2"/>
        <v>0</v>
      </c>
      <c r="R21" s="281"/>
      <c r="S21" s="281"/>
      <c r="T21" s="281"/>
      <c r="U21" s="281"/>
      <c r="V21" s="281"/>
      <c r="W21" s="281"/>
      <c r="X21" s="280">
        <f>O21+V21+W21</f>
        <v>0</v>
      </c>
      <c r="Y21" s="277"/>
      <c r="Z21" s="281"/>
      <c r="AA21" s="277"/>
      <c r="AB21" s="277"/>
      <c r="AC21" s="282"/>
      <c r="AD21" s="277"/>
      <c r="AE21" s="24"/>
    </row>
    <row r="22" spans="1:31" ht="19.95" customHeight="1">
      <c r="A22" s="274"/>
      <c r="B22" s="403"/>
      <c r="C22" s="276"/>
      <c r="D22" s="275" t="s">
        <v>13</v>
      </c>
      <c r="E22" s="278"/>
      <c r="F22" s="278"/>
      <c r="G22" s="278"/>
      <c r="H22" s="280">
        <f t="shared" si="0"/>
        <v>0</v>
      </c>
      <c r="I22" s="278"/>
      <c r="J22" s="278"/>
      <c r="K22" s="278"/>
      <c r="L22" s="278"/>
      <c r="M22" s="278"/>
      <c r="N22" s="278"/>
      <c r="O22" s="280">
        <f>E22+M22-N22</f>
        <v>0</v>
      </c>
      <c r="P22" s="423"/>
      <c r="Q22" s="280">
        <f t="shared" si="2"/>
        <v>0</v>
      </c>
      <c r="R22" s="281"/>
      <c r="S22" s="281"/>
      <c r="T22" s="281"/>
      <c r="U22" s="281"/>
      <c r="V22" s="281"/>
      <c r="W22" s="281"/>
      <c r="X22" s="280">
        <f>O22+V22+W22</f>
        <v>0</v>
      </c>
      <c r="Y22" s="277"/>
      <c r="Z22" s="281"/>
      <c r="AA22" s="277"/>
      <c r="AB22" s="277"/>
      <c r="AC22" s="282"/>
      <c r="AD22" s="277"/>
      <c r="AE22" s="24"/>
    </row>
    <row r="23" spans="1:31" ht="19.95" customHeight="1">
      <c r="A23" s="274"/>
      <c r="B23" s="403"/>
      <c r="C23" s="276"/>
      <c r="D23" s="275"/>
      <c r="E23" s="278"/>
      <c r="F23" s="278"/>
      <c r="G23" s="278"/>
      <c r="H23" s="280">
        <f t="shared" si="0"/>
        <v>0</v>
      </c>
      <c r="I23" s="278"/>
      <c r="J23" s="278"/>
      <c r="K23" s="278"/>
      <c r="L23" s="278"/>
      <c r="M23" s="278"/>
      <c r="N23" s="278"/>
      <c r="O23" s="280">
        <f t="shared" ref="O23:O34" si="6">E23+M23-N23</f>
        <v>0</v>
      </c>
      <c r="P23" s="423"/>
      <c r="Q23" s="280">
        <f t="shared" si="2"/>
        <v>0</v>
      </c>
      <c r="R23" s="281"/>
      <c r="S23" s="281"/>
      <c r="T23" s="281"/>
      <c r="U23" s="281"/>
      <c r="V23" s="281"/>
      <c r="W23" s="281"/>
      <c r="X23" s="280">
        <f t="shared" ref="X23:X34" si="7">O23+V23+W23</f>
        <v>0</v>
      </c>
      <c r="Y23" s="277"/>
      <c r="Z23" s="281"/>
      <c r="AA23" s="277"/>
      <c r="AB23" s="277"/>
      <c r="AC23" s="282"/>
      <c r="AD23" s="277"/>
      <c r="AE23" s="24"/>
    </row>
    <row r="24" spans="1:31" ht="19.95" customHeight="1">
      <c r="A24" s="274"/>
      <c r="B24" s="403"/>
      <c r="C24" s="276"/>
      <c r="D24" s="275"/>
      <c r="E24" s="278"/>
      <c r="F24" s="278"/>
      <c r="G24" s="278"/>
      <c r="H24" s="280">
        <f t="shared" si="0"/>
        <v>0</v>
      </c>
      <c r="I24" s="278"/>
      <c r="J24" s="278"/>
      <c r="K24" s="278"/>
      <c r="L24" s="278"/>
      <c r="M24" s="278"/>
      <c r="N24" s="278"/>
      <c r="O24" s="280">
        <f t="shared" si="6"/>
        <v>0</v>
      </c>
      <c r="P24" s="423"/>
      <c r="Q24" s="280">
        <f t="shared" si="2"/>
        <v>0</v>
      </c>
      <c r="R24" s="281"/>
      <c r="S24" s="281"/>
      <c r="T24" s="281"/>
      <c r="U24" s="281"/>
      <c r="V24" s="281"/>
      <c r="W24" s="281"/>
      <c r="X24" s="280">
        <f t="shared" si="7"/>
        <v>0</v>
      </c>
      <c r="Y24" s="277"/>
      <c r="Z24" s="281"/>
      <c r="AA24" s="277"/>
      <c r="AB24" s="277"/>
      <c r="AC24" s="282"/>
      <c r="AD24" s="277"/>
      <c r="AE24" s="24"/>
    </row>
    <row r="25" spans="1:31" ht="19.95" customHeight="1">
      <c r="A25" s="274"/>
      <c r="B25" s="403"/>
      <c r="C25" s="276"/>
      <c r="D25" s="275"/>
      <c r="E25" s="278"/>
      <c r="F25" s="278"/>
      <c r="G25" s="278"/>
      <c r="H25" s="280">
        <f t="shared" si="0"/>
        <v>0</v>
      </c>
      <c r="I25" s="278"/>
      <c r="J25" s="278"/>
      <c r="K25" s="278"/>
      <c r="L25" s="278"/>
      <c r="M25" s="278"/>
      <c r="N25" s="278"/>
      <c r="O25" s="280">
        <f t="shared" si="6"/>
        <v>0</v>
      </c>
      <c r="P25" s="423"/>
      <c r="Q25" s="280">
        <f t="shared" si="2"/>
        <v>0</v>
      </c>
      <c r="R25" s="281"/>
      <c r="S25" s="281"/>
      <c r="T25" s="281"/>
      <c r="U25" s="281"/>
      <c r="V25" s="281"/>
      <c r="W25" s="281"/>
      <c r="X25" s="280">
        <f t="shared" si="7"/>
        <v>0</v>
      </c>
      <c r="Y25" s="277"/>
      <c r="Z25" s="281"/>
      <c r="AA25" s="277"/>
      <c r="AB25" s="277"/>
      <c r="AC25" s="282"/>
      <c r="AD25" s="277"/>
      <c r="AE25" s="24"/>
    </row>
    <row r="26" spans="1:31" ht="19.95" customHeight="1">
      <c r="A26" s="274"/>
      <c r="B26" s="403"/>
      <c r="C26" s="276"/>
      <c r="D26" s="275"/>
      <c r="E26" s="278"/>
      <c r="F26" s="278"/>
      <c r="G26" s="278"/>
      <c r="H26" s="280">
        <f t="shared" si="0"/>
        <v>0</v>
      </c>
      <c r="I26" s="278"/>
      <c r="J26" s="278"/>
      <c r="K26" s="278"/>
      <c r="L26" s="278"/>
      <c r="M26" s="278"/>
      <c r="N26" s="278"/>
      <c r="O26" s="280">
        <f t="shared" si="6"/>
        <v>0</v>
      </c>
      <c r="P26" s="423"/>
      <c r="Q26" s="280">
        <f t="shared" si="2"/>
        <v>0</v>
      </c>
      <c r="R26" s="281"/>
      <c r="S26" s="281"/>
      <c r="T26" s="281"/>
      <c r="U26" s="281"/>
      <c r="V26" s="281"/>
      <c r="W26" s="281"/>
      <c r="X26" s="280">
        <f t="shared" si="7"/>
        <v>0</v>
      </c>
      <c r="Y26" s="277"/>
      <c r="Z26" s="281"/>
      <c r="AA26" s="277"/>
      <c r="AB26" s="277"/>
      <c r="AC26" s="282"/>
      <c r="AD26" s="277"/>
      <c r="AE26" s="24"/>
    </row>
    <row r="27" spans="1:31" ht="19.95" customHeight="1">
      <c r="A27" s="274"/>
      <c r="B27" s="403"/>
      <c r="C27" s="276"/>
      <c r="D27" s="275"/>
      <c r="E27" s="278"/>
      <c r="F27" s="278"/>
      <c r="G27" s="278"/>
      <c r="H27" s="280">
        <f t="shared" si="0"/>
        <v>0</v>
      </c>
      <c r="I27" s="278"/>
      <c r="J27" s="278"/>
      <c r="K27" s="278"/>
      <c r="L27" s="278"/>
      <c r="M27" s="278"/>
      <c r="N27" s="278"/>
      <c r="O27" s="280">
        <f t="shared" si="6"/>
        <v>0</v>
      </c>
      <c r="P27" s="423"/>
      <c r="Q27" s="280">
        <f t="shared" si="2"/>
        <v>0</v>
      </c>
      <c r="R27" s="281"/>
      <c r="S27" s="281"/>
      <c r="T27" s="281"/>
      <c r="U27" s="281"/>
      <c r="V27" s="281"/>
      <c r="W27" s="281"/>
      <c r="X27" s="280">
        <f t="shared" si="7"/>
        <v>0</v>
      </c>
      <c r="Y27" s="277"/>
      <c r="Z27" s="281"/>
      <c r="AA27" s="277"/>
      <c r="AB27" s="277"/>
      <c r="AC27" s="282"/>
      <c r="AD27" s="277"/>
      <c r="AE27" s="24"/>
    </row>
    <row r="28" spans="1:31" ht="19.95" customHeight="1">
      <c r="A28" s="274"/>
      <c r="B28" s="403"/>
      <c r="C28" s="276"/>
      <c r="D28" s="275"/>
      <c r="E28" s="278"/>
      <c r="F28" s="278"/>
      <c r="G28" s="278"/>
      <c r="H28" s="280">
        <f t="shared" si="0"/>
        <v>0</v>
      </c>
      <c r="I28" s="278"/>
      <c r="J28" s="278"/>
      <c r="K28" s="278"/>
      <c r="L28" s="278"/>
      <c r="M28" s="278"/>
      <c r="N28" s="278"/>
      <c r="O28" s="280">
        <f t="shared" si="6"/>
        <v>0</v>
      </c>
      <c r="P28" s="423"/>
      <c r="Q28" s="280">
        <f t="shared" si="2"/>
        <v>0</v>
      </c>
      <c r="R28" s="281"/>
      <c r="S28" s="281"/>
      <c r="T28" s="281"/>
      <c r="U28" s="281"/>
      <c r="V28" s="281"/>
      <c r="W28" s="281"/>
      <c r="X28" s="280">
        <f t="shared" si="7"/>
        <v>0</v>
      </c>
      <c r="Y28" s="277"/>
      <c r="Z28" s="281"/>
      <c r="AA28" s="277"/>
      <c r="AB28" s="277"/>
      <c r="AC28" s="282"/>
      <c r="AD28" s="277"/>
      <c r="AE28" s="24"/>
    </row>
    <row r="29" spans="1:31" ht="19.95" customHeight="1">
      <c r="A29" s="274"/>
      <c r="B29" s="403"/>
      <c r="C29" s="276"/>
      <c r="D29" s="275"/>
      <c r="E29" s="278"/>
      <c r="F29" s="278"/>
      <c r="G29" s="278"/>
      <c r="H29" s="280">
        <f t="shared" si="0"/>
        <v>0</v>
      </c>
      <c r="I29" s="278"/>
      <c r="J29" s="278"/>
      <c r="K29" s="278"/>
      <c r="L29" s="278"/>
      <c r="M29" s="278"/>
      <c r="N29" s="278"/>
      <c r="O29" s="280">
        <f t="shared" si="6"/>
        <v>0</v>
      </c>
      <c r="P29" s="423"/>
      <c r="Q29" s="280">
        <f t="shared" si="2"/>
        <v>0</v>
      </c>
      <c r="R29" s="281"/>
      <c r="S29" s="281"/>
      <c r="T29" s="281"/>
      <c r="U29" s="281"/>
      <c r="V29" s="281"/>
      <c r="W29" s="281"/>
      <c r="X29" s="280">
        <f t="shared" si="7"/>
        <v>0</v>
      </c>
      <c r="Y29" s="277"/>
      <c r="Z29" s="281"/>
      <c r="AA29" s="277"/>
      <c r="AB29" s="277"/>
      <c r="AC29" s="282"/>
      <c r="AD29" s="277"/>
      <c r="AE29" s="24"/>
    </row>
    <row r="30" spans="1:31" ht="19.95" customHeight="1">
      <c r="A30" s="274"/>
      <c r="B30" s="403"/>
      <c r="C30" s="276"/>
      <c r="D30" s="275"/>
      <c r="E30" s="278"/>
      <c r="F30" s="278"/>
      <c r="G30" s="278"/>
      <c r="H30" s="280">
        <f t="shared" si="0"/>
        <v>0</v>
      </c>
      <c r="I30" s="278"/>
      <c r="J30" s="278"/>
      <c r="K30" s="278"/>
      <c r="L30" s="278"/>
      <c r="M30" s="278"/>
      <c r="N30" s="278"/>
      <c r="O30" s="280">
        <f t="shared" si="6"/>
        <v>0</v>
      </c>
      <c r="P30" s="423"/>
      <c r="Q30" s="280">
        <f t="shared" si="2"/>
        <v>0</v>
      </c>
      <c r="R30" s="281"/>
      <c r="S30" s="281"/>
      <c r="T30" s="281"/>
      <c r="U30" s="281"/>
      <c r="V30" s="281"/>
      <c r="W30" s="281"/>
      <c r="X30" s="280">
        <f t="shared" si="7"/>
        <v>0</v>
      </c>
      <c r="Y30" s="277"/>
      <c r="Z30" s="281"/>
      <c r="AA30" s="277"/>
      <c r="AB30" s="277"/>
      <c r="AC30" s="282"/>
      <c r="AD30" s="277"/>
      <c r="AE30" s="24"/>
    </row>
    <row r="31" spans="1:31" ht="19.95" customHeight="1">
      <c r="A31" s="274"/>
      <c r="B31" s="403"/>
      <c r="C31" s="276"/>
      <c r="D31" s="275"/>
      <c r="E31" s="278"/>
      <c r="F31" s="278"/>
      <c r="G31" s="278"/>
      <c r="H31" s="280">
        <f t="shared" si="0"/>
        <v>0</v>
      </c>
      <c r="I31" s="278"/>
      <c r="J31" s="278"/>
      <c r="K31" s="278"/>
      <c r="L31" s="278"/>
      <c r="M31" s="278"/>
      <c r="N31" s="278"/>
      <c r="O31" s="280">
        <f t="shared" si="6"/>
        <v>0</v>
      </c>
      <c r="P31" s="423"/>
      <c r="Q31" s="280">
        <f t="shared" si="2"/>
        <v>0</v>
      </c>
      <c r="R31" s="281"/>
      <c r="S31" s="281"/>
      <c r="T31" s="281"/>
      <c r="U31" s="281"/>
      <c r="V31" s="281"/>
      <c r="W31" s="281"/>
      <c r="X31" s="280">
        <f t="shared" si="7"/>
        <v>0</v>
      </c>
      <c r="Y31" s="277"/>
      <c r="Z31" s="281"/>
      <c r="AA31" s="277"/>
      <c r="AB31" s="277"/>
      <c r="AC31" s="282"/>
      <c r="AD31" s="277"/>
      <c r="AE31" s="24"/>
    </row>
    <row r="32" spans="1:31" ht="19.95" customHeight="1">
      <c r="A32" s="274"/>
      <c r="B32" s="403"/>
      <c r="C32" s="276"/>
      <c r="D32" s="275"/>
      <c r="E32" s="278"/>
      <c r="F32" s="278"/>
      <c r="G32" s="278"/>
      <c r="H32" s="280">
        <f t="shared" si="0"/>
        <v>0</v>
      </c>
      <c r="I32" s="278"/>
      <c r="J32" s="278"/>
      <c r="K32" s="278"/>
      <c r="L32" s="278"/>
      <c r="M32" s="278"/>
      <c r="N32" s="278"/>
      <c r="O32" s="280">
        <f t="shared" si="6"/>
        <v>0</v>
      </c>
      <c r="P32" s="423"/>
      <c r="Q32" s="280">
        <f t="shared" si="2"/>
        <v>0</v>
      </c>
      <c r="R32" s="281"/>
      <c r="S32" s="281"/>
      <c r="T32" s="281"/>
      <c r="U32" s="281"/>
      <c r="V32" s="281"/>
      <c r="W32" s="281"/>
      <c r="X32" s="280">
        <f t="shared" si="7"/>
        <v>0</v>
      </c>
      <c r="Y32" s="277"/>
      <c r="Z32" s="281"/>
      <c r="AA32" s="277"/>
      <c r="AB32" s="277"/>
      <c r="AC32" s="282"/>
      <c r="AD32" s="277"/>
      <c r="AE32" s="24"/>
    </row>
    <row r="33" spans="1:31" ht="19.95" customHeight="1">
      <c r="A33" s="274"/>
      <c r="B33" s="403"/>
      <c r="C33" s="276"/>
      <c r="D33" s="275"/>
      <c r="E33" s="278"/>
      <c r="F33" s="278"/>
      <c r="G33" s="278"/>
      <c r="H33" s="280">
        <f t="shared" si="0"/>
        <v>0</v>
      </c>
      <c r="I33" s="278"/>
      <c r="J33" s="278"/>
      <c r="K33" s="278"/>
      <c r="L33" s="278"/>
      <c r="M33" s="278"/>
      <c r="N33" s="278"/>
      <c r="O33" s="280">
        <f t="shared" si="6"/>
        <v>0</v>
      </c>
      <c r="P33" s="423"/>
      <c r="Q33" s="280">
        <f t="shared" si="2"/>
        <v>0</v>
      </c>
      <c r="R33" s="281"/>
      <c r="S33" s="281"/>
      <c r="T33" s="281"/>
      <c r="U33" s="281"/>
      <c r="V33" s="281"/>
      <c r="W33" s="281"/>
      <c r="X33" s="280">
        <f t="shared" si="7"/>
        <v>0</v>
      </c>
      <c r="Y33" s="277"/>
      <c r="Z33" s="281"/>
      <c r="AA33" s="277"/>
      <c r="AB33" s="277"/>
      <c r="AC33" s="282"/>
      <c r="AD33" s="277"/>
      <c r="AE33" s="24"/>
    </row>
    <row r="34" spans="1:31" ht="19.95" customHeight="1">
      <c r="A34" s="274"/>
      <c r="B34" s="403"/>
      <c r="C34" s="276"/>
      <c r="D34" s="275"/>
      <c r="E34" s="278"/>
      <c r="F34" s="278"/>
      <c r="G34" s="278"/>
      <c r="H34" s="280">
        <f t="shared" si="0"/>
        <v>0</v>
      </c>
      <c r="I34" s="278"/>
      <c r="J34" s="278"/>
      <c r="K34" s="278"/>
      <c r="L34" s="278"/>
      <c r="M34" s="278"/>
      <c r="N34" s="278"/>
      <c r="O34" s="280">
        <f t="shared" si="6"/>
        <v>0</v>
      </c>
      <c r="P34" s="423"/>
      <c r="Q34" s="280">
        <f t="shared" si="2"/>
        <v>0</v>
      </c>
      <c r="R34" s="281"/>
      <c r="S34" s="281"/>
      <c r="T34" s="281"/>
      <c r="U34" s="281"/>
      <c r="V34" s="281"/>
      <c r="W34" s="281"/>
      <c r="X34" s="280">
        <f t="shared" si="7"/>
        <v>0</v>
      </c>
      <c r="Y34" s="277"/>
      <c r="Z34" s="281"/>
      <c r="AA34" s="277"/>
      <c r="AB34" s="277"/>
      <c r="AC34" s="282"/>
      <c r="AD34" s="277"/>
      <c r="AE34" s="24"/>
    </row>
    <row r="35" spans="1:31" s="35" customFormat="1" ht="19.95" customHeight="1">
      <c r="A35" s="383" t="s">
        <v>23</v>
      </c>
      <c r="B35" s="383"/>
      <c r="C35" s="383"/>
      <c r="D35" s="384"/>
      <c r="E35" s="279">
        <f>SUM(E14:E34)</f>
        <v>0</v>
      </c>
      <c r="F35" s="279">
        <f t="shared" ref="F35:U35" si="8">SUM(F14:F34)</f>
        <v>0</v>
      </c>
      <c r="G35" s="279">
        <f>SUM(G14:G34)</f>
        <v>0</v>
      </c>
      <c r="H35" s="128">
        <f>SUM(H14:H34)</f>
        <v>0</v>
      </c>
      <c r="I35" s="128">
        <f t="shared" ref="I35:K35" si="9">SUM(I14:I34)</f>
        <v>0</v>
      </c>
      <c r="J35" s="128">
        <f t="shared" si="9"/>
        <v>0</v>
      </c>
      <c r="K35" s="128">
        <f t="shared" si="9"/>
        <v>0</v>
      </c>
      <c r="L35" s="128">
        <f>SUM(L14:L34)</f>
        <v>0</v>
      </c>
      <c r="M35" s="128">
        <f>SUM(M14:M34)</f>
        <v>0</v>
      </c>
      <c r="N35" s="128">
        <f t="shared" si="8"/>
        <v>0</v>
      </c>
      <c r="O35" s="128">
        <f>SUM(O14:O34)</f>
        <v>0</v>
      </c>
      <c r="P35" s="128">
        <f>SUM(P14:P34)</f>
        <v>0</v>
      </c>
      <c r="Q35" s="128">
        <f>SUM(Q14:Q34)</f>
        <v>0</v>
      </c>
      <c r="R35" s="128">
        <f t="shared" si="8"/>
        <v>0</v>
      </c>
      <c r="S35" s="128">
        <f t="shared" si="8"/>
        <v>0</v>
      </c>
      <c r="T35" s="128">
        <f t="shared" si="8"/>
        <v>0</v>
      </c>
      <c r="U35" s="128">
        <f t="shared" si="8"/>
        <v>0</v>
      </c>
      <c r="V35" s="128">
        <f t="shared" ref="V35" si="10">SUM(V14:V34)</f>
        <v>0</v>
      </c>
      <c r="W35" s="128">
        <f t="shared" ref="W35" si="11">SUM(W14:W34)</f>
        <v>0</v>
      </c>
      <c r="X35" s="128">
        <f>SUM(X14:X34)</f>
        <v>0</v>
      </c>
      <c r="Y35" s="128">
        <f t="shared" ref="Y35" si="12">SUM(Y14:Y34)</f>
        <v>0</v>
      </c>
      <c r="Z35" s="128">
        <f t="shared" ref="Z35" si="13">SUM(Z14:Z34)</f>
        <v>0</v>
      </c>
      <c r="AA35" s="128">
        <f t="shared" ref="AA35" si="14">SUM(AA14:AA34)</f>
        <v>0</v>
      </c>
      <c r="AB35" s="128">
        <f t="shared" ref="AB35" si="15">SUM(AB14:AB34)</f>
        <v>0</v>
      </c>
      <c r="AC35" s="129" t="s">
        <v>25</v>
      </c>
      <c r="AD35" s="128">
        <f>SUM(AD14:AD34)</f>
        <v>0</v>
      </c>
      <c r="AE35" s="298"/>
    </row>
    <row r="36" spans="1:31" s="35" customFormat="1" ht="19.95" customHeight="1">
      <c r="A36" s="428" t="s">
        <v>669</v>
      </c>
      <c r="B36" s="402"/>
      <c r="C36" s="402"/>
      <c r="D36" s="36"/>
      <c r="E36" s="37"/>
      <c r="F36" s="37"/>
      <c r="G36" s="37"/>
      <c r="H36" s="422" t="str">
        <f>IF((H35-I35-J35-K35-L35)=0,"OK","账龄与审定不匹配")</f>
        <v>OK</v>
      </c>
      <c r="I36" s="433" t="e">
        <f>ROUND(I35/$H$35,2)</f>
        <v>#DIV/0!</v>
      </c>
      <c r="J36" s="433" t="e">
        <f t="shared" ref="J36:L36" si="16">J35/$H$35</f>
        <v>#DIV/0!</v>
      </c>
      <c r="K36" s="433" t="e">
        <f t="shared" si="16"/>
        <v>#DIV/0!</v>
      </c>
      <c r="L36" s="433" t="e">
        <f t="shared" si="16"/>
        <v>#DIV/0!</v>
      </c>
      <c r="M36" s="37"/>
      <c r="N36" s="37"/>
      <c r="O36" s="422" t="str">
        <f>IF((O35-R35-S35-T35-U35)=0,"OK","账龄与审定不匹配")</f>
        <v>OK</v>
      </c>
      <c r="P36" s="422"/>
      <c r="Q36" s="422" t="str">
        <f>IF((Q35-R35-S35-T35-U35)=0,"OK","账龄与审定不匹配")</f>
        <v>OK</v>
      </c>
      <c r="R36" s="37"/>
      <c r="S36" s="37"/>
      <c r="T36" s="37"/>
      <c r="U36" s="37"/>
      <c r="V36" s="37"/>
      <c r="W36" s="37"/>
      <c r="X36" s="422" t="str">
        <f>IF((X35-Y35-Z35-AA35-AB35)=0,"OK","账龄与审定不匹配")</f>
        <v>OK</v>
      </c>
      <c r="Y36" s="433" t="e">
        <f>ROUND(Y35/$X$35,2)</f>
        <v>#DIV/0!</v>
      </c>
      <c r="Z36" s="433" t="e">
        <f t="shared" ref="Z36:AB36" si="17">ROUND(Z35/$X$35,2)</f>
        <v>#DIV/0!</v>
      </c>
      <c r="AA36" s="433" t="e">
        <f t="shared" si="17"/>
        <v>#DIV/0!</v>
      </c>
      <c r="AB36" s="433" t="e">
        <f t="shared" si="17"/>
        <v>#DIV/0!</v>
      </c>
      <c r="AC36" s="38"/>
      <c r="AD36" s="37"/>
      <c r="AE36" s="38"/>
    </row>
    <row r="37" spans="1:31" s="35" customFormat="1" ht="19.95" customHeight="1">
      <c r="A37" s="426" t="s">
        <v>670</v>
      </c>
      <c r="B37" s="429"/>
      <c r="C37" s="429"/>
      <c r="D37" s="430"/>
      <c r="E37" s="425"/>
      <c r="F37" s="425"/>
      <c r="G37" s="425"/>
      <c r="H37" s="431"/>
      <c r="I37" s="425"/>
      <c r="J37" s="425"/>
      <c r="K37" s="425"/>
      <c r="L37" s="425"/>
      <c r="M37" s="425"/>
      <c r="N37" s="425"/>
      <c r="O37" s="431"/>
      <c r="P37" s="431"/>
      <c r="Q37" s="431"/>
      <c r="R37" s="425"/>
      <c r="S37" s="425"/>
      <c r="T37" s="425"/>
      <c r="U37" s="425"/>
      <c r="V37" s="425"/>
      <c r="W37" s="425"/>
      <c r="X37" s="431"/>
      <c r="Y37" s="425"/>
      <c r="Z37" s="424" t="b">
        <f>IF(Z35&lt;=I35,TRUE,FALSE)</f>
        <v>1</v>
      </c>
      <c r="AA37" s="424" t="b">
        <f>IF(AA35&lt;=J35,TRUE,FALSE)</f>
        <v>1</v>
      </c>
      <c r="AB37" s="424" t="b">
        <f>IF(AB35&lt;=(K35+L35),TRUE,FALSE)</f>
        <v>1</v>
      </c>
      <c r="AC37" s="432"/>
      <c r="AD37" s="425"/>
      <c r="AE37" s="432"/>
    </row>
    <row r="38" spans="1:31" ht="19.95" customHeight="1">
      <c r="A38" s="46" t="s">
        <v>530</v>
      </c>
      <c r="B38" s="46"/>
      <c r="C38" s="46"/>
      <c r="D38" s="55"/>
      <c r="E38" s="55"/>
      <c r="F38" s="55"/>
      <c r="G38" s="55"/>
      <c r="H38" s="55"/>
      <c r="I38" s="55"/>
      <c r="J38" s="55"/>
      <c r="K38" s="55"/>
      <c r="L38" s="55"/>
      <c r="M38" s="55"/>
      <c r="N38" s="55"/>
      <c r="O38" s="55"/>
      <c r="P38" s="55"/>
      <c r="Q38" s="55"/>
      <c r="R38" s="55"/>
      <c r="S38" s="55"/>
      <c r="T38" s="55"/>
      <c r="U38" s="55"/>
      <c r="V38" s="55"/>
      <c r="W38" s="55"/>
      <c r="X38" s="427"/>
      <c r="Y38" s="25"/>
      <c r="AC38" s="55"/>
      <c r="AD38" s="25"/>
      <c r="AE38" s="25"/>
    </row>
    <row r="39" spans="1:31" ht="19.95" customHeight="1">
      <c r="A39" s="273" t="s">
        <v>503</v>
      </c>
      <c r="B39" s="273"/>
      <c r="C39" s="273"/>
      <c r="D39" s="121"/>
      <c r="E39" s="22"/>
      <c r="F39" s="22"/>
      <c r="G39" s="22"/>
      <c r="H39" s="22"/>
      <c r="I39" s="22"/>
      <c r="J39" s="22"/>
      <c r="K39" s="22"/>
      <c r="L39" s="22"/>
      <c r="M39" s="22"/>
      <c r="N39" s="22"/>
      <c r="O39" s="22"/>
      <c r="P39" s="22"/>
      <c r="Q39" s="22"/>
      <c r="R39" s="22"/>
      <c r="S39" s="22"/>
      <c r="T39" s="22"/>
      <c r="U39" s="22"/>
      <c r="V39" s="22"/>
      <c r="W39" s="22"/>
      <c r="X39" s="25"/>
      <c r="Y39" s="25"/>
      <c r="Z39" s="25"/>
      <c r="AA39" s="25"/>
      <c r="AB39" s="25"/>
      <c r="AC39" s="22"/>
      <c r="AD39" s="25"/>
      <c r="AE39" s="25"/>
    </row>
    <row r="40" spans="1:31" ht="19.95" customHeight="1">
      <c r="A40" s="272" t="s">
        <v>504</v>
      </c>
      <c r="B40" s="272"/>
      <c r="C40" s="272"/>
      <c r="D40" s="122"/>
      <c r="E40" s="22"/>
      <c r="F40" s="22"/>
      <c r="G40" s="22"/>
      <c r="H40" s="22"/>
      <c r="I40" s="22"/>
      <c r="J40" s="22"/>
      <c r="K40" s="22"/>
      <c r="L40" s="22"/>
      <c r="M40" s="22"/>
      <c r="N40" s="22"/>
      <c r="O40" s="22"/>
      <c r="P40" s="22"/>
      <c r="Q40" s="22"/>
      <c r="R40" s="22"/>
      <c r="S40" s="22"/>
      <c r="T40" s="22"/>
      <c r="U40" s="22"/>
      <c r="V40" s="22"/>
      <c r="W40" s="22"/>
      <c r="X40" s="25"/>
      <c r="Y40" s="25"/>
      <c r="Z40" s="25"/>
      <c r="AA40" s="25"/>
      <c r="AB40" s="25"/>
      <c r="AC40" s="22"/>
      <c r="AD40" s="25"/>
      <c r="AE40" s="25"/>
    </row>
    <row r="41" spans="1:31" ht="19.95" customHeight="1">
      <c r="A41" s="272" t="s">
        <v>505</v>
      </c>
      <c r="B41" s="272"/>
      <c r="C41" s="272"/>
      <c r="D41" s="122"/>
      <c r="E41" s="22"/>
      <c r="F41" s="22"/>
      <c r="G41" s="22"/>
      <c r="H41" s="22"/>
      <c r="I41" s="22"/>
      <c r="J41" s="22"/>
      <c r="K41" s="22"/>
      <c r="L41" s="22"/>
      <c r="M41" s="22"/>
      <c r="N41" s="22"/>
      <c r="O41" s="22"/>
      <c r="P41" s="22"/>
      <c r="Q41" s="22"/>
      <c r="R41" s="22"/>
      <c r="S41" s="22"/>
      <c r="T41" s="22"/>
      <c r="U41" s="22"/>
      <c r="V41" s="22"/>
      <c r="W41" s="22"/>
      <c r="X41" s="25"/>
      <c r="Y41" s="25"/>
      <c r="Z41" s="25"/>
      <c r="AA41" s="25"/>
      <c r="AB41" s="25"/>
      <c r="AC41" s="22"/>
      <c r="AD41" s="25"/>
      <c r="AE41" s="25"/>
    </row>
    <row r="42" spans="1:31" ht="19.95" customHeight="1">
      <c r="A42" s="308" t="s">
        <v>531</v>
      </c>
      <c r="B42" s="308"/>
      <c r="C42" s="308"/>
      <c r="D42" s="22"/>
      <c r="E42" s="22"/>
      <c r="F42" s="22"/>
      <c r="G42" s="22"/>
      <c r="H42" s="22"/>
      <c r="I42" s="22"/>
      <c r="J42" s="22"/>
      <c r="K42" s="22"/>
      <c r="L42" s="22"/>
      <c r="M42" s="22"/>
      <c r="N42" s="22"/>
      <c r="O42" s="22"/>
      <c r="P42" s="22"/>
      <c r="Q42" s="22"/>
      <c r="R42" s="22"/>
      <c r="S42" s="22"/>
      <c r="T42" s="22"/>
      <c r="U42" s="22"/>
      <c r="V42" s="22"/>
      <c r="W42" s="22"/>
      <c r="X42" s="25"/>
      <c r="Y42" s="25"/>
      <c r="Z42" s="25"/>
      <c r="AA42" s="25"/>
      <c r="AB42" s="25"/>
      <c r="AC42" s="22"/>
      <c r="AD42" s="25"/>
      <c r="AE42" s="25"/>
    </row>
    <row r="43" spans="1:31" ht="19.95" customHeight="1">
      <c r="A43" s="22"/>
      <c r="B43" s="22"/>
      <c r="C43" s="22"/>
      <c r="D43" s="22"/>
      <c r="E43" s="22"/>
      <c r="F43" s="22"/>
      <c r="G43" s="22"/>
      <c r="H43" s="22"/>
      <c r="I43" s="22"/>
      <c r="J43" s="22"/>
      <c r="K43" s="22"/>
      <c r="L43" s="22"/>
      <c r="M43" s="22"/>
      <c r="N43" s="22"/>
      <c r="O43" s="22"/>
      <c r="P43" s="22"/>
      <c r="Q43" s="22"/>
      <c r="R43" s="22"/>
      <c r="S43" s="22"/>
      <c r="T43" s="22"/>
      <c r="U43" s="22"/>
      <c r="V43" s="22"/>
      <c r="W43" s="22"/>
      <c r="X43" s="25"/>
      <c r="Y43" s="25"/>
      <c r="Z43" s="25"/>
      <c r="AA43" s="25"/>
      <c r="AB43" s="25"/>
      <c r="AC43" s="22"/>
      <c r="AD43" s="25"/>
      <c r="AE43" s="25"/>
    </row>
    <row r="44" spans="1:31" ht="19.95" customHeight="1">
      <c r="A44" s="22"/>
      <c r="B44" s="22"/>
      <c r="C44" s="22"/>
      <c r="D44" s="22"/>
      <c r="E44" s="22"/>
      <c r="F44" s="22"/>
      <c r="G44" s="22"/>
      <c r="H44" s="22"/>
      <c r="I44" s="22"/>
      <c r="J44" s="22"/>
      <c r="K44" s="22"/>
      <c r="L44" s="22"/>
      <c r="M44" s="22"/>
      <c r="N44" s="22"/>
      <c r="O44" s="22"/>
      <c r="P44" s="22"/>
      <c r="Q44" s="22"/>
      <c r="R44" s="22"/>
      <c r="S44" s="22"/>
      <c r="T44" s="22"/>
      <c r="U44" s="22"/>
      <c r="V44" s="22"/>
      <c r="W44" s="22"/>
      <c r="X44" s="25"/>
      <c r="Y44" s="25"/>
      <c r="Z44" s="25"/>
      <c r="AA44" s="25"/>
      <c r="AB44" s="25"/>
      <c r="AC44" s="22"/>
      <c r="AD44" s="25"/>
      <c r="AE44" s="25"/>
    </row>
    <row r="45" spans="1:31" ht="18" customHeight="1">
      <c r="A45" s="19"/>
      <c r="B45" s="19"/>
      <c r="C45" s="19"/>
      <c r="D45" s="19"/>
      <c r="E45" s="19"/>
      <c r="F45" s="19"/>
      <c r="G45" s="19"/>
      <c r="H45" s="19"/>
      <c r="I45" s="19"/>
      <c r="J45" s="19"/>
      <c r="K45" s="19"/>
      <c r="L45" s="19"/>
      <c r="M45" s="19"/>
      <c r="N45" s="19"/>
      <c r="O45" s="19"/>
      <c r="P45" s="19"/>
      <c r="Q45" s="19"/>
      <c r="R45" s="19"/>
      <c r="S45" s="19"/>
      <c r="T45" s="19"/>
      <c r="U45" s="19"/>
      <c r="V45" s="19"/>
      <c r="W45" s="19"/>
      <c r="AC45" s="19"/>
    </row>
    <row r="46" spans="1:31" ht="18" customHeight="1">
      <c r="A46" s="401" t="s">
        <v>557</v>
      </c>
      <c r="B46" s="401"/>
      <c r="C46" s="401"/>
      <c r="D46" s="19"/>
      <c r="E46" s="19"/>
      <c r="F46" s="19"/>
      <c r="G46" s="19"/>
      <c r="H46" s="19"/>
      <c r="I46" s="19"/>
      <c r="J46" s="19"/>
      <c r="K46" s="19"/>
      <c r="L46" s="19"/>
      <c r="M46" s="19"/>
      <c r="N46" s="19"/>
      <c r="O46" s="19"/>
      <c r="P46" s="19"/>
      <c r="Q46" s="19"/>
      <c r="R46" s="19"/>
      <c r="S46" s="19"/>
      <c r="T46" s="19"/>
      <c r="U46" s="19"/>
      <c r="V46" s="19"/>
      <c r="W46" s="19"/>
      <c r="AC46" s="19"/>
    </row>
    <row r="47" spans="1:31" ht="18" customHeight="1">
      <c r="A47" s="26" t="s">
        <v>627</v>
      </c>
      <c r="B47" s="26"/>
      <c r="C47" s="26"/>
      <c r="D47" s="19"/>
      <c r="E47" s="19"/>
      <c r="F47" s="19"/>
      <c r="G47" s="19"/>
      <c r="H47" s="19"/>
      <c r="I47" s="19"/>
      <c r="J47" s="19"/>
      <c r="K47" s="19"/>
      <c r="L47" s="19"/>
      <c r="M47" s="19"/>
      <c r="N47" s="19"/>
      <c r="O47" s="19"/>
      <c r="P47" s="19"/>
      <c r="Q47" s="19"/>
      <c r="R47" s="19"/>
      <c r="S47" s="19"/>
      <c r="T47" s="19"/>
      <c r="U47" s="19"/>
      <c r="V47" s="19"/>
      <c r="W47" s="19"/>
      <c r="AC47" s="19"/>
    </row>
    <row r="48" spans="1:31" ht="18" customHeight="1">
      <c r="A48" s="26" t="s">
        <v>628</v>
      </c>
      <c r="B48" s="26"/>
      <c r="C48" s="26"/>
      <c r="D48" s="19"/>
      <c r="E48" s="19"/>
      <c r="F48" s="19"/>
      <c r="G48" s="19"/>
      <c r="H48" s="19"/>
      <c r="I48" s="19"/>
      <c r="J48" s="19"/>
      <c r="K48" s="19"/>
      <c r="L48" s="19"/>
      <c r="M48" s="19"/>
      <c r="N48" s="19"/>
      <c r="O48" s="19"/>
      <c r="P48" s="19"/>
      <c r="Q48" s="19"/>
      <c r="R48" s="19"/>
      <c r="S48" s="19"/>
      <c r="T48" s="19"/>
      <c r="U48" s="19"/>
      <c r="V48" s="19"/>
      <c r="W48" s="19"/>
      <c r="AC48" s="19"/>
    </row>
    <row r="49" spans="1:29" ht="18" customHeight="1">
      <c r="A49" s="26" t="s">
        <v>629</v>
      </c>
      <c r="B49" s="26"/>
      <c r="C49" s="26"/>
      <c r="D49" s="19"/>
      <c r="E49" s="19"/>
      <c r="F49" s="19"/>
      <c r="G49" s="19"/>
      <c r="H49" s="19"/>
      <c r="I49" s="19"/>
      <c r="J49" s="19"/>
      <c r="K49" s="19"/>
      <c r="L49" s="19"/>
      <c r="M49" s="19"/>
      <c r="N49" s="19"/>
      <c r="O49" s="19"/>
      <c r="P49" s="19"/>
      <c r="Q49" s="19"/>
      <c r="R49" s="19"/>
      <c r="S49" s="19"/>
      <c r="T49" s="19"/>
      <c r="U49" s="19"/>
      <c r="V49" s="19"/>
      <c r="W49" s="19"/>
      <c r="AC49" s="19"/>
    </row>
    <row r="50" spans="1:29" ht="18" customHeight="1">
      <c r="A50" s="26" t="s">
        <v>630</v>
      </c>
      <c r="B50" s="26"/>
      <c r="C50" s="26"/>
      <c r="D50" s="19"/>
      <c r="E50" s="19"/>
      <c r="F50" s="19"/>
      <c r="G50" s="19"/>
      <c r="H50" s="19"/>
      <c r="I50" s="19"/>
      <c r="J50" s="19"/>
      <c r="K50" s="19"/>
      <c r="L50" s="19"/>
      <c r="M50" s="19"/>
      <c r="N50" s="19"/>
      <c r="O50" s="19"/>
      <c r="P50" s="19"/>
      <c r="Q50" s="19"/>
      <c r="R50" s="19"/>
      <c r="S50" s="19"/>
      <c r="T50" s="19"/>
      <c r="U50" s="19"/>
      <c r="V50" s="19"/>
      <c r="W50" s="19"/>
      <c r="AC50" s="19"/>
    </row>
    <row r="51" spans="1:29" ht="18" customHeight="1">
      <c r="A51" s="26" t="s">
        <v>631</v>
      </c>
      <c r="B51" s="26"/>
      <c r="C51" s="26"/>
      <c r="E51" s="19"/>
      <c r="F51" s="19"/>
      <c r="G51" s="19"/>
      <c r="H51" s="19"/>
      <c r="I51" s="19"/>
      <c r="J51" s="19"/>
      <c r="K51" s="19"/>
      <c r="L51" s="19"/>
      <c r="M51" s="19"/>
      <c r="N51" s="19"/>
      <c r="O51" s="19"/>
      <c r="P51" s="19"/>
      <c r="Q51" s="19"/>
      <c r="R51" s="19"/>
      <c r="S51" s="19"/>
      <c r="T51" s="19"/>
      <c r="U51" s="19"/>
      <c r="V51" s="19"/>
      <c r="W51" s="19"/>
      <c r="AC51" s="19"/>
    </row>
    <row r="52" spans="1:29" ht="18" customHeight="1">
      <c r="A52" s="27"/>
      <c r="B52" s="27"/>
      <c r="C52" s="27"/>
      <c r="E52" s="19"/>
      <c r="F52" s="19"/>
      <c r="G52" s="19"/>
      <c r="H52" s="19"/>
      <c r="I52" s="19"/>
      <c r="J52" s="19"/>
      <c r="K52" s="19"/>
      <c r="L52" s="19"/>
      <c r="M52" s="19"/>
      <c r="N52" s="19"/>
      <c r="O52" s="19"/>
      <c r="P52" s="19"/>
      <c r="Q52" s="19"/>
      <c r="R52" s="19"/>
      <c r="S52" s="19"/>
      <c r="T52" s="19"/>
      <c r="U52" s="19"/>
      <c r="V52" s="19"/>
      <c r="W52" s="19"/>
      <c r="AC52" s="19"/>
    </row>
    <row r="53" spans="1:29" ht="18" customHeight="1">
      <c r="A53" s="28"/>
      <c r="B53" s="28"/>
      <c r="C53" s="28"/>
      <c r="D53" s="26"/>
      <c r="E53" s="19"/>
      <c r="F53" s="19"/>
      <c r="G53" s="19"/>
      <c r="H53" s="19"/>
      <c r="I53" s="19"/>
      <c r="J53" s="19"/>
      <c r="K53" s="19"/>
      <c r="L53" s="19"/>
      <c r="M53" s="19"/>
      <c r="N53" s="19"/>
      <c r="O53" s="19"/>
      <c r="P53" s="19"/>
      <c r="Q53" s="19"/>
      <c r="R53" s="19"/>
      <c r="S53" s="19"/>
      <c r="T53" s="19"/>
      <c r="U53" s="19"/>
      <c r="V53" s="19"/>
      <c r="W53" s="19"/>
      <c r="AC53" s="19"/>
    </row>
    <row r="54" spans="1:29" ht="18" customHeight="1">
      <c r="A54" s="28"/>
      <c r="B54" s="28"/>
      <c r="C54" s="28"/>
      <c r="D54" s="26"/>
    </row>
    <row r="55" spans="1:29" ht="18" customHeight="1">
      <c r="A55" s="28"/>
      <c r="B55" s="28"/>
      <c r="C55" s="28"/>
      <c r="D55" s="26"/>
    </row>
    <row r="56" spans="1:29" ht="18" customHeight="1"/>
    <row r="57" spans="1:29" ht="18" customHeight="1"/>
  </sheetData>
  <mergeCells count="24">
    <mergeCell ref="P12:P13"/>
    <mergeCell ref="Q12:Q13"/>
    <mergeCell ref="C12:C13"/>
    <mergeCell ref="H12:H13"/>
    <mergeCell ref="M12:M13"/>
    <mergeCell ref="N12:N13"/>
    <mergeCell ref="O12:O13"/>
    <mergeCell ref="I12:L12"/>
    <mergeCell ref="Y12:AB12"/>
    <mergeCell ref="AD12:AD13"/>
    <mergeCell ref="AE12:AE13"/>
    <mergeCell ref="A1:AE1"/>
    <mergeCell ref="A2:AE2"/>
    <mergeCell ref="A12:A13"/>
    <mergeCell ref="R12:U12"/>
    <mergeCell ref="V12:V13"/>
    <mergeCell ref="W12:W13"/>
    <mergeCell ref="X12:X13"/>
    <mergeCell ref="AC12:AC13"/>
    <mergeCell ref="D12:D13"/>
    <mergeCell ref="E12:E13"/>
    <mergeCell ref="F12:F13"/>
    <mergeCell ref="G12:G13"/>
    <mergeCell ref="B12:B13"/>
  </mergeCells>
  <phoneticPr fontId="7" type="noConversion"/>
  <dataValidations count="3">
    <dataValidation type="list" allowBlank="1" showInputMessage="1" showErrorMessage="1" prompt="如要修改下列框的选项，单击“数据-数据有效性-设置-序列-来源”，并相应修改审定表和附注披露表中的款项性质。" sqref="D14:D34">
      <formula1>"货款,工程款,设备款,服务费,其他"</formula1>
    </dataValidation>
    <dataValidation type="list" allowBlank="1" showInputMessage="1" showErrorMessage="1" prompt="如要修改下列框的选项，单击“数据-数据有效性-设置-序列-来源”，并相应修改审定表和附注披露表中的款项性质。" sqref="C14:C34">
      <formula1>"合并范围内关联方,合并范围外关联方,非关联方"</formula1>
    </dataValidation>
    <dataValidation type="list" allowBlank="1" showInputMessage="1" showErrorMessage="1" sqref="AC14:AC34">
      <formula1>"√,×"</formula1>
    </dataValidation>
  </dataValidations>
  <hyperlinks>
    <hyperlink ref="AE3" location="底稿目录!A1" display="底稿目录!A1"/>
  </hyperlinks>
  <printOptions horizontalCentered="1"/>
  <pageMargins left="0.39370078740157483" right="0.31496062992125984" top="0.47244094488188981" bottom="0.43307086614173229" header="0.39370078740157483" footer="0.27559055118110237"/>
  <pageSetup paperSize="9" scale="46" fitToHeight="0" orientation="landscape" blackAndWhite="1" cellComments="asDisplayed" r:id="rId1"/>
  <headerFooter alignWithMargins="0">
    <oddFooter>&amp;C&amp;P/&amp;N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25"/>
  <sheetViews>
    <sheetView view="pageBreakPreview" zoomScaleNormal="100" zoomScaleSheetLayoutView="100" workbookViewId="0">
      <selection sqref="A1:J1"/>
    </sheetView>
  </sheetViews>
  <sheetFormatPr defaultRowHeight="15.6"/>
  <cols>
    <col min="1" max="1" width="18.796875" customWidth="1"/>
    <col min="2" max="2" width="13" customWidth="1"/>
    <col min="3" max="3" width="11.796875" customWidth="1"/>
    <col min="4" max="4" width="12.296875" customWidth="1"/>
    <col min="5" max="5" width="14.796875" customWidth="1"/>
    <col min="6" max="6" width="7.296875" customWidth="1"/>
    <col min="7" max="7" width="12.3984375" customWidth="1"/>
    <col min="8" max="8" width="12.69921875" customWidth="1"/>
  </cols>
  <sheetData>
    <row r="1" spans="1:11" ht="19.95" customHeight="1">
      <c r="A1" s="511" t="s">
        <v>560</v>
      </c>
      <c r="B1" s="511"/>
      <c r="C1" s="511"/>
      <c r="D1" s="511"/>
      <c r="E1" s="511"/>
      <c r="F1" s="511"/>
      <c r="G1" s="511"/>
      <c r="H1" s="511"/>
      <c r="I1" s="511"/>
      <c r="J1" s="511"/>
    </row>
    <row r="2" spans="1:11" ht="19.95" customHeight="1">
      <c r="A2" s="552" t="s">
        <v>377</v>
      </c>
      <c r="B2" s="552"/>
      <c r="C2" s="552"/>
      <c r="D2" s="552"/>
      <c r="E2" s="552"/>
      <c r="F2" s="552"/>
      <c r="G2" s="552"/>
      <c r="H2" s="552"/>
      <c r="I2" s="552"/>
      <c r="J2" s="552"/>
      <c r="K2" s="243"/>
    </row>
    <row r="3" spans="1:11" ht="19.95" customHeight="1">
      <c r="A3" s="15" t="str">
        <f>底稿目录!A2</f>
        <v>被审计单位：</v>
      </c>
      <c r="B3" s="15"/>
      <c r="C3" s="15"/>
      <c r="D3" s="15" t="str">
        <f>底稿目录!A4</f>
        <v>编制人：</v>
      </c>
      <c r="E3" s="15"/>
      <c r="F3" s="43"/>
      <c r="G3" s="15" t="str">
        <f>底稿目录!A5</f>
        <v>编制日期：</v>
      </c>
      <c r="H3" s="15"/>
      <c r="I3" s="43" t="s">
        <v>506</v>
      </c>
      <c r="J3" s="359" t="str">
        <f>底稿目录!F9</f>
        <v>F1-3</v>
      </c>
    </row>
    <row r="4" spans="1:11" ht="19.95" customHeight="1">
      <c r="A4" s="15" t="str">
        <f>底稿目录!A3</f>
        <v>截止日：202X年12月31日</v>
      </c>
      <c r="B4" s="15"/>
      <c r="C4" s="15"/>
      <c r="D4" s="15" t="str">
        <f>底稿目录!A6</f>
        <v>复核人：</v>
      </c>
      <c r="E4" s="15"/>
      <c r="F4" s="43"/>
      <c r="G4" s="15" t="str">
        <f>底稿目录!A7</f>
        <v>复核日期：</v>
      </c>
      <c r="H4" s="15"/>
      <c r="I4" s="43" t="s">
        <v>507</v>
      </c>
      <c r="J4" s="284">
        <v>1</v>
      </c>
    </row>
    <row r="5" spans="1:11" ht="32.4" customHeight="1">
      <c r="A5" s="81" t="s">
        <v>67</v>
      </c>
      <c r="B5" s="214" t="s">
        <v>68</v>
      </c>
      <c r="C5" s="414" t="s">
        <v>427</v>
      </c>
      <c r="D5" s="82" t="s">
        <v>69</v>
      </c>
      <c r="E5" s="82" t="s">
        <v>70</v>
      </c>
      <c r="F5" s="83" t="s">
        <v>7</v>
      </c>
      <c r="G5" s="82" t="s">
        <v>71</v>
      </c>
      <c r="H5" s="82" t="s">
        <v>72</v>
      </c>
      <c r="I5" s="82" t="s">
        <v>73</v>
      </c>
      <c r="J5" s="82" t="s">
        <v>53</v>
      </c>
    </row>
    <row r="6" spans="1:11" ht="19.95" customHeight="1">
      <c r="A6" s="84"/>
      <c r="B6" s="84"/>
      <c r="C6" s="84"/>
      <c r="D6" s="84"/>
      <c r="E6" s="84"/>
      <c r="F6" s="84"/>
      <c r="G6" s="84"/>
      <c r="H6" s="84"/>
      <c r="I6" s="84"/>
      <c r="J6" s="84"/>
    </row>
    <row r="7" spans="1:11" ht="19.95" customHeight="1">
      <c r="A7" s="85"/>
      <c r="B7" s="84"/>
      <c r="C7" s="84"/>
      <c r="D7" s="84"/>
      <c r="E7" s="84"/>
      <c r="F7" s="84"/>
      <c r="G7" s="84"/>
      <c r="H7" s="84"/>
      <c r="I7" s="84"/>
      <c r="J7" s="84"/>
    </row>
    <row r="8" spans="1:11" ht="19.95" customHeight="1">
      <c r="A8" s="86"/>
      <c r="B8" s="84"/>
      <c r="C8" s="84"/>
      <c r="D8" s="84"/>
      <c r="E8" s="84"/>
      <c r="F8" s="84"/>
      <c r="G8" s="84"/>
      <c r="H8" s="84"/>
      <c r="I8" s="84"/>
      <c r="J8" s="84"/>
    </row>
    <row r="9" spans="1:11" ht="19.95" customHeight="1">
      <c r="A9" s="86"/>
      <c r="B9" s="84"/>
      <c r="C9" s="84"/>
      <c r="D9" s="84"/>
      <c r="E9" s="84"/>
      <c r="F9" s="84"/>
      <c r="G9" s="84"/>
      <c r="H9" s="84"/>
      <c r="I9" s="84"/>
      <c r="J9" s="84"/>
    </row>
    <row r="10" spans="1:11" ht="19.95" customHeight="1">
      <c r="A10" s="86"/>
      <c r="B10" s="84"/>
      <c r="C10" s="84"/>
      <c r="D10" s="84"/>
      <c r="E10" s="84"/>
      <c r="F10" s="84"/>
      <c r="G10" s="84"/>
      <c r="H10" s="84"/>
      <c r="I10" s="84"/>
      <c r="J10" s="84"/>
    </row>
    <row r="11" spans="1:11" ht="19.95" customHeight="1">
      <c r="A11" s="87"/>
      <c r="B11" s="84"/>
      <c r="C11" s="84"/>
      <c r="D11" s="84"/>
      <c r="E11" s="84"/>
      <c r="F11" s="84"/>
      <c r="G11" s="84"/>
      <c r="H11" s="84"/>
      <c r="I11" s="84"/>
      <c r="J11" s="84"/>
    </row>
    <row r="12" spans="1:11" ht="19.95" customHeight="1">
      <c r="A12" s="86"/>
      <c r="B12" s="84"/>
      <c r="C12" s="84"/>
      <c r="D12" s="84"/>
      <c r="E12" s="84"/>
      <c r="F12" s="84"/>
      <c r="G12" s="84"/>
      <c r="H12" s="84"/>
      <c r="I12" s="84"/>
      <c r="J12" s="84"/>
    </row>
    <row r="13" spans="1:11" ht="19.95" customHeight="1">
      <c r="A13" s="86"/>
      <c r="B13" s="84"/>
      <c r="C13" s="84"/>
      <c r="D13" s="84"/>
      <c r="E13" s="84"/>
      <c r="F13" s="84"/>
      <c r="G13" s="84"/>
      <c r="H13" s="84"/>
      <c r="I13" s="84"/>
      <c r="J13" s="84"/>
    </row>
    <row r="14" spans="1:11" ht="19.95" customHeight="1">
      <c r="A14" s="86"/>
      <c r="B14" s="84"/>
      <c r="C14" s="84"/>
      <c r="D14" s="84"/>
      <c r="E14" s="84"/>
      <c r="F14" s="84"/>
      <c r="G14" s="84"/>
      <c r="H14" s="84"/>
      <c r="I14" s="84"/>
      <c r="J14" s="84"/>
    </row>
    <row r="15" spans="1:11" ht="19.95" customHeight="1">
      <c r="A15" s="86"/>
      <c r="B15" s="84"/>
      <c r="C15" s="84"/>
      <c r="D15" s="84"/>
      <c r="E15" s="84"/>
      <c r="F15" s="84"/>
      <c r="G15" s="84"/>
      <c r="H15" s="84"/>
      <c r="I15" s="84"/>
      <c r="J15" s="84"/>
    </row>
    <row r="16" spans="1:11" ht="19.95" customHeight="1">
      <c r="A16" s="86"/>
      <c r="B16" s="84"/>
      <c r="C16" s="84"/>
      <c r="D16" s="84"/>
      <c r="E16" s="84"/>
      <c r="F16" s="84"/>
      <c r="G16" s="84"/>
      <c r="H16" s="84"/>
      <c r="I16" s="84"/>
      <c r="J16" s="84"/>
    </row>
    <row r="17" spans="1:10" ht="19.95" customHeight="1">
      <c r="A17" s="86"/>
      <c r="B17" s="84"/>
      <c r="C17" s="84"/>
      <c r="D17" s="84"/>
      <c r="E17" s="84"/>
      <c r="F17" s="84"/>
      <c r="G17" s="84"/>
      <c r="H17" s="84"/>
      <c r="I17" s="84"/>
      <c r="J17" s="84"/>
    </row>
    <row r="18" spans="1:10" ht="19.95" customHeight="1">
      <c r="A18" s="86"/>
      <c r="B18" s="84"/>
      <c r="C18" s="84"/>
      <c r="D18" s="84"/>
      <c r="E18" s="84"/>
      <c r="F18" s="84"/>
      <c r="G18" s="84"/>
      <c r="H18" s="84"/>
      <c r="I18" s="84"/>
      <c r="J18" s="84"/>
    </row>
    <row r="19" spans="1:10" ht="19.95" customHeight="1">
      <c r="A19" s="86"/>
      <c r="B19" s="84"/>
      <c r="C19" s="84"/>
      <c r="D19" s="84"/>
      <c r="E19" s="84"/>
      <c r="F19" s="84"/>
      <c r="G19" s="84"/>
      <c r="H19" s="84"/>
      <c r="I19" s="84"/>
      <c r="J19" s="84"/>
    </row>
    <row r="20" spans="1:10" ht="19.95" customHeight="1">
      <c r="A20" s="86"/>
      <c r="B20" s="84"/>
      <c r="C20" s="84"/>
      <c r="D20" s="84"/>
      <c r="E20" s="84"/>
      <c r="F20" s="84"/>
      <c r="G20" s="84"/>
      <c r="H20" s="84"/>
      <c r="I20" s="84"/>
      <c r="J20" s="84"/>
    </row>
    <row r="21" spans="1:10" ht="19.95" customHeight="1">
      <c r="A21" s="88"/>
      <c r="B21" s="88"/>
      <c r="C21" s="88"/>
      <c r="D21" s="89"/>
      <c r="E21" s="89"/>
      <c r="F21" s="89"/>
      <c r="G21" s="90"/>
      <c r="H21" s="90"/>
      <c r="I21" s="89"/>
      <c r="J21" s="91"/>
    </row>
    <row r="22" spans="1:10" ht="19.95" customHeight="1">
      <c r="A22" s="92"/>
      <c r="B22" s="92"/>
      <c r="C22" s="92"/>
      <c r="D22" s="92"/>
      <c r="E22" s="92"/>
      <c r="F22" s="92"/>
      <c r="G22" s="92"/>
      <c r="H22" s="92"/>
      <c r="I22" s="92"/>
      <c r="J22" s="92"/>
    </row>
    <row r="23" spans="1:10" ht="31.2" customHeight="1">
      <c r="A23" s="553" t="s">
        <v>508</v>
      </c>
      <c r="B23" s="554"/>
      <c r="C23" s="554"/>
      <c r="D23" s="554"/>
      <c r="E23" s="554"/>
      <c r="F23" s="554"/>
      <c r="G23" s="554"/>
      <c r="H23" s="554"/>
      <c r="I23" s="554"/>
      <c r="J23" s="554"/>
    </row>
    <row r="24" spans="1:10">
      <c r="A24" s="92"/>
      <c r="B24" s="92"/>
      <c r="C24" s="92"/>
      <c r="D24" s="92"/>
      <c r="E24" s="92"/>
      <c r="F24" s="92"/>
      <c r="G24" s="92"/>
      <c r="H24" s="92"/>
      <c r="I24" s="92"/>
      <c r="J24" s="92"/>
    </row>
    <row r="25" spans="1:10">
      <c r="A25" s="92"/>
      <c r="B25" s="92"/>
      <c r="C25" s="92"/>
      <c r="D25" s="92"/>
      <c r="E25" s="92"/>
      <c r="F25" s="92"/>
      <c r="G25" s="92"/>
      <c r="H25" s="92"/>
      <c r="I25" s="92"/>
      <c r="J25" s="92"/>
    </row>
  </sheetData>
  <mergeCells count="3">
    <mergeCell ref="A1:J1"/>
    <mergeCell ref="A2:J2"/>
    <mergeCell ref="A23:J23"/>
  </mergeCells>
  <phoneticPr fontId="7"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T56"/>
  <sheetViews>
    <sheetView view="pageBreakPreview" zoomScale="102" zoomScaleNormal="100" zoomScaleSheetLayoutView="102" workbookViewId="0">
      <selection sqref="A1:J1"/>
    </sheetView>
  </sheetViews>
  <sheetFormatPr defaultRowHeight="15.6"/>
  <cols>
    <col min="1" max="1" width="28.796875" customWidth="1"/>
    <col min="2" max="7" width="9.5" customWidth="1"/>
    <col min="8" max="8" width="10.3984375" customWidth="1"/>
    <col min="9" max="9" width="12.296875" customWidth="1"/>
    <col min="10" max="10" width="9.19921875" customWidth="1"/>
  </cols>
  <sheetData>
    <row r="1" spans="1:20" ht="19.95" customHeight="1">
      <c r="A1" s="540" t="s">
        <v>602</v>
      </c>
      <c r="B1" s="540"/>
      <c r="C1" s="540"/>
      <c r="D1" s="540"/>
      <c r="E1" s="540"/>
      <c r="F1" s="540"/>
      <c r="G1" s="540"/>
      <c r="H1" s="540"/>
      <c r="I1" s="540"/>
      <c r="J1" s="540"/>
      <c r="K1" s="63"/>
      <c r="L1" s="63"/>
      <c r="M1" s="63"/>
      <c r="N1" s="63"/>
      <c r="O1" s="63"/>
      <c r="P1" s="63"/>
      <c r="Q1" s="63"/>
      <c r="R1" s="63"/>
      <c r="S1" s="63"/>
      <c r="T1" s="63"/>
    </row>
    <row r="2" spans="1:20" ht="19.95" customHeight="1">
      <c r="A2" s="541" t="s">
        <v>63</v>
      </c>
      <c r="B2" s="541"/>
      <c r="C2" s="541"/>
      <c r="D2" s="541"/>
      <c r="E2" s="541"/>
      <c r="F2" s="541"/>
      <c r="G2" s="541"/>
      <c r="H2" s="541"/>
      <c r="I2" s="541"/>
      <c r="J2" s="541"/>
      <c r="K2" s="243"/>
      <c r="L2" s="64"/>
      <c r="M2" s="64"/>
      <c r="N2" s="64"/>
      <c r="O2" s="64"/>
      <c r="P2" s="64"/>
      <c r="Q2" s="64"/>
      <c r="R2" s="64"/>
      <c r="S2" s="64"/>
      <c r="T2" s="64"/>
    </row>
    <row r="3" spans="1:20" s="193" customFormat="1" ht="19.95" customHeight="1">
      <c r="A3" s="22" t="str">
        <f>底稿目录!A2</f>
        <v>被审计单位：</v>
      </c>
      <c r="B3" s="309"/>
      <c r="C3" s="22" t="str">
        <f>底稿目录!A4</f>
        <v>编制人：</v>
      </c>
      <c r="D3" s="22"/>
      <c r="E3" s="22"/>
      <c r="F3" s="309"/>
      <c r="G3" s="22" t="str">
        <f>底稿目录!A5</f>
        <v>编制日期：</v>
      </c>
      <c r="H3" s="309"/>
      <c r="I3" s="389" t="s">
        <v>552</v>
      </c>
      <c r="J3" s="360" t="str">
        <f>底稿目录!F10</f>
        <v>F1-4</v>
      </c>
      <c r="K3" s="207"/>
    </row>
    <row r="4" spans="1:20" s="193" customFormat="1" ht="19.95" customHeight="1">
      <c r="A4" s="22" t="str">
        <f>底稿目录!A3</f>
        <v>截止日：202X年12月31日</v>
      </c>
      <c r="B4" s="309"/>
      <c r="C4" s="22" t="str">
        <f>底稿目录!A6</f>
        <v>复核人：</v>
      </c>
      <c r="D4" s="22"/>
      <c r="E4" s="22"/>
      <c r="F4" s="309"/>
      <c r="G4" s="22" t="str">
        <f>底稿目录!A7</f>
        <v>复核日期：</v>
      </c>
      <c r="H4" s="309"/>
      <c r="I4" s="389" t="s">
        <v>601</v>
      </c>
      <c r="J4" s="22"/>
    </row>
    <row r="5" spans="1:20" s="193" customFormat="1" ht="19.95" customHeight="1">
      <c r="A5" s="253" t="s">
        <v>483</v>
      </c>
      <c r="B5" s="253"/>
      <c r="C5" s="253"/>
      <c r="D5" s="253"/>
      <c r="E5" s="253"/>
      <c r="F5" s="253"/>
      <c r="G5" s="253"/>
      <c r="H5" s="253"/>
      <c r="I5" s="253"/>
      <c r="J5" s="253"/>
    </row>
    <row r="6" spans="1:20" s="193" customFormat="1" ht="19.95" customHeight="1">
      <c r="A6" s="252" t="s">
        <v>484</v>
      </c>
      <c r="B6" s="253"/>
      <c r="C6" s="253"/>
      <c r="D6" s="253"/>
      <c r="E6" s="253"/>
      <c r="F6" s="253"/>
      <c r="G6" s="253"/>
      <c r="H6" s="253"/>
      <c r="I6" s="253"/>
      <c r="J6" s="253"/>
    </row>
    <row r="7" spans="1:20" s="193" customFormat="1" ht="19.95" customHeight="1">
      <c r="A7" s="252" t="s">
        <v>485</v>
      </c>
      <c r="B7" s="253"/>
      <c r="C7" s="253"/>
      <c r="D7" s="253"/>
      <c r="E7" s="253"/>
      <c r="F7" s="253"/>
      <c r="G7" s="253"/>
      <c r="H7" s="253"/>
      <c r="I7" s="253"/>
      <c r="J7" s="253"/>
    </row>
    <row r="8" spans="1:20" s="193" customFormat="1" ht="19.95" customHeight="1">
      <c r="A8" s="254" t="s">
        <v>486</v>
      </c>
      <c r="B8" s="254"/>
      <c r="C8" s="254"/>
      <c r="D8" s="254"/>
      <c r="E8" s="254"/>
      <c r="F8" s="254"/>
      <c r="G8" s="254"/>
      <c r="H8" s="254"/>
      <c r="I8" s="254"/>
      <c r="J8" s="254"/>
    </row>
    <row r="9" spans="1:20" s="193" customFormat="1" ht="19.95" customHeight="1">
      <c r="A9" s="204" t="s">
        <v>487</v>
      </c>
      <c r="B9" s="254"/>
      <c r="C9" s="254"/>
      <c r="D9" s="254"/>
      <c r="E9" s="254"/>
      <c r="F9" s="254"/>
      <c r="G9" s="254"/>
      <c r="H9" s="254"/>
      <c r="I9" s="254"/>
      <c r="J9" s="254"/>
    </row>
    <row r="10" spans="1:20" s="193" customFormat="1" ht="19.95" customHeight="1">
      <c r="A10" s="205" t="s">
        <v>547</v>
      </c>
      <c r="B10" s="205"/>
      <c r="C10" s="205"/>
      <c r="D10" s="205"/>
      <c r="E10" s="205"/>
      <c r="F10" s="205"/>
      <c r="G10" s="205"/>
      <c r="H10" s="205"/>
      <c r="I10" s="204"/>
      <c r="J10" s="204"/>
    </row>
    <row r="11" spans="1:20" s="200" customFormat="1" ht="19.95" customHeight="1">
      <c r="A11" s="555" t="s">
        <v>45</v>
      </c>
      <c r="B11" s="555"/>
      <c r="C11" s="555"/>
      <c r="D11" s="94" t="s">
        <v>442</v>
      </c>
      <c r="E11" s="94" t="s">
        <v>443</v>
      </c>
      <c r="F11" s="94" t="s">
        <v>444</v>
      </c>
      <c r="G11" s="94" t="s">
        <v>441</v>
      </c>
      <c r="H11" s="373"/>
      <c r="I11" s="373"/>
      <c r="J11" s="373"/>
    </row>
    <row r="12" spans="1:20" s="193" customFormat="1" ht="19.95" customHeight="1">
      <c r="A12" s="220" t="s">
        <v>415</v>
      </c>
      <c r="B12" s="221"/>
      <c r="C12" s="374"/>
      <c r="D12" s="226">
        <f>SUM(D13:D16)</f>
        <v>0</v>
      </c>
      <c r="E12" s="226">
        <f>SUM(E13:E16)</f>
        <v>0</v>
      </c>
      <c r="F12" s="226">
        <f>D12-E12</f>
        <v>0</v>
      </c>
      <c r="G12" s="225" t="e">
        <f>F12/E12</f>
        <v>#DIV/0!</v>
      </c>
      <c r="H12" s="369"/>
      <c r="I12" s="369"/>
      <c r="J12" s="369"/>
      <c r="K12" s="207"/>
    </row>
    <row r="13" spans="1:20" s="193" customFormat="1" ht="19.95" customHeight="1">
      <c r="A13" s="363" t="s">
        <v>420</v>
      </c>
      <c r="B13" s="212"/>
      <c r="C13" s="375"/>
      <c r="D13" s="227"/>
      <c r="E13" s="227"/>
      <c r="F13" s="226">
        <f>D13-E13</f>
        <v>0</v>
      </c>
      <c r="G13" s="225" t="e">
        <f>F13/E13</f>
        <v>#DIV/0!</v>
      </c>
      <c r="H13" s="369"/>
      <c r="I13" s="369"/>
      <c r="J13" s="369"/>
    </row>
    <row r="14" spans="1:20" s="193" customFormat="1" ht="19.95" customHeight="1">
      <c r="A14" s="363" t="s">
        <v>421</v>
      </c>
      <c r="B14" s="212"/>
      <c r="C14" s="375"/>
      <c r="D14" s="227"/>
      <c r="E14" s="227"/>
      <c r="F14" s="226">
        <f t="shared" ref="F14:F18" si="0">D14-E14</f>
        <v>0</v>
      </c>
      <c r="G14" s="225" t="e">
        <f t="shared" ref="G14:G18" si="1">F14/E14</f>
        <v>#DIV/0!</v>
      </c>
      <c r="H14" s="369"/>
      <c r="I14" s="369"/>
      <c r="J14" s="369"/>
    </row>
    <row r="15" spans="1:20" s="193" customFormat="1" ht="19.95" customHeight="1">
      <c r="A15" s="363" t="s">
        <v>423</v>
      </c>
      <c r="B15" s="212"/>
      <c r="C15" s="375"/>
      <c r="D15" s="227"/>
      <c r="E15" s="227"/>
      <c r="F15" s="226">
        <f t="shared" si="0"/>
        <v>0</v>
      </c>
      <c r="G15" s="225" t="e">
        <f t="shared" si="1"/>
        <v>#DIV/0!</v>
      </c>
      <c r="H15" s="369"/>
      <c r="I15" s="369"/>
      <c r="J15" s="369"/>
    </row>
    <row r="16" spans="1:20" s="193" customFormat="1" ht="19.95" customHeight="1">
      <c r="A16" s="363" t="s">
        <v>416</v>
      </c>
      <c r="B16" s="212"/>
      <c r="C16" s="375"/>
      <c r="D16" s="227"/>
      <c r="E16" s="227"/>
      <c r="F16" s="226">
        <f t="shared" si="0"/>
        <v>0</v>
      </c>
      <c r="G16" s="225" t="e">
        <f t="shared" si="1"/>
        <v>#DIV/0!</v>
      </c>
      <c r="H16" s="369"/>
      <c r="I16" s="369"/>
      <c r="J16" s="369"/>
    </row>
    <row r="17" spans="1:10" s="193" customFormat="1" ht="19.95" customHeight="1">
      <c r="A17" s="220" t="s">
        <v>414</v>
      </c>
      <c r="B17" s="221"/>
      <c r="C17" s="374"/>
      <c r="D17" s="227"/>
      <c r="E17" s="227"/>
      <c r="F17" s="226">
        <f t="shared" si="0"/>
        <v>0</v>
      </c>
      <c r="G17" s="225" t="e">
        <f t="shared" si="1"/>
        <v>#DIV/0!</v>
      </c>
      <c r="H17" s="369"/>
      <c r="I17" s="369"/>
      <c r="J17" s="369"/>
    </row>
    <row r="18" spans="1:10" s="193" customFormat="1" ht="19.95" customHeight="1">
      <c r="A18" s="222" t="s">
        <v>417</v>
      </c>
      <c r="B18" s="223"/>
      <c r="C18" s="374"/>
      <c r="D18" s="225">
        <f>IF(D17=0,0,D13/D17)</f>
        <v>0</v>
      </c>
      <c r="E18" s="225">
        <f>IF(E17=0,0,E13/E17)</f>
        <v>0</v>
      </c>
      <c r="F18" s="225">
        <f t="shared" si="0"/>
        <v>0</v>
      </c>
      <c r="G18" s="225" t="e">
        <f t="shared" si="1"/>
        <v>#DIV/0!</v>
      </c>
      <c r="H18" s="369"/>
      <c r="I18" s="369"/>
      <c r="J18" s="369"/>
    </row>
    <row r="19" spans="1:10" s="193" customFormat="1" ht="19.95" customHeight="1">
      <c r="A19" s="255" t="s">
        <v>430</v>
      </c>
      <c r="B19" s="256"/>
      <c r="C19" s="256"/>
      <c r="D19" s="256"/>
      <c r="E19" s="256"/>
      <c r="F19" s="257"/>
      <c r="G19" s="258"/>
      <c r="H19" s="231"/>
      <c r="I19" s="231"/>
      <c r="J19" s="231"/>
    </row>
    <row r="20" spans="1:10" s="193" customFormat="1" ht="19.95" customHeight="1">
      <c r="A20" s="259"/>
      <c r="B20" s="260"/>
      <c r="C20" s="260"/>
      <c r="D20" s="260"/>
      <c r="E20" s="260"/>
      <c r="F20" s="260"/>
      <c r="G20" s="261"/>
      <c r="H20" s="231"/>
      <c r="I20" s="231"/>
      <c r="J20" s="231"/>
    </row>
    <row r="21" spans="1:10" s="193" customFormat="1" ht="19.95" customHeight="1">
      <c r="A21" s="224" t="s">
        <v>548</v>
      </c>
      <c r="B21" s="224"/>
      <c r="C21" s="224"/>
      <c r="D21" s="224"/>
      <c r="E21" s="224"/>
      <c r="F21" s="224"/>
      <c r="G21" s="224"/>
      <c r="H21" s="205"/>
      <c r="I21" s="370"/>
      <c r="J21" s="371"/>
    </row>
    <row r="22" spans="1:10" s="193" customFormat="1" ht="19.95" customHeight="1">
      <c r="A22" s="556" t="s">
        <v>45</v>
      </c>
      <c r="B22" s="557"/>
      <c r="C22" s="558"/>
      <c r="D22" s="94" t="s">
        <v>442</v>
      </c>
      <c r="E22" s="94" t="s">
        <v>443</v>
      </c>
      <c r="F22" s="94" t="s">
        <v>444</v>
      </c>
      <c r="G22" s="94" t="s">
        <v>441</v>
      </c>
      <c r="H22" s="368"/>
      <c r="I22" s="369"/>
      <c r="J22" s="369"/>
    </row>
    <row r="23" spans="1:10" s="193" customFormat="1" ht="19.95" customHeight="1">
      <c r="A23" s="220" t="s">
        <v>418</v>
      </c>
      <c r="B23" s="221"/>
      <c r="C23" s="221"/>
      <c r="D23" s="208">
        <f>SUM(D24:D27)</f>
        <v>0</v>
      </c>
      <c r="E23" s="208">
        <f>SUM(E24:E27)</f>
        <v>0</v>
      </c>
      <c r="F23" s="208">
        <f>D23-E23</f>
        <v>0</v>
      </c>
      <c r="G23" s="209" t="e">
        <f>F23/E23</f>
        <v>#DIV/0!</v>
      </c>
      <c r="H23" s="368"/>
      <c r="I23" s="369"/>
      <c r="J23" s="369"/>
    </row>
    <row r="24" spans="1:10" s="193" customFormat="1" ht="19.95" customHeight="1">
      <c r="A24" s="363" t="s">
        <v>419</v>
      </c>
      <c r="B24" s="212"/>
      <c r="C24" s="212"/>
      <c r="D24" s="62"/>
      <c r="E24" s="62"/>
      <c r="F24" s="208">
        <f t="shared" ref="F24:F28" si="2">D24-E24</f>
        <v>0</v>
      </c>
      <c r="G24" s="225" t="e">
        <f>F24/E24</f>
        <v>#DIV/0!</v>
      </c>
      <c r="H24" s="368"/>
      <c r="I24" s="369"/>
      <c r="J24" s="369"/>
    </row>
    <row r="25" spans="1:10" s="193" customFormat="1" ht="19.95" customHeight="1">
      <c r="A25" s="363" t="s">
        <v>422</v>
      </c>
      <c r="B25" s="212"/>
      <c r="C25" s="212"/>
      <c r="D25" s="62"/>
      <c r="E25" s="62"/>
      <c r="F25" s="208">
        <f t="shared" si="2"/>
        <v>0</v>
      </c>
      <c r="G25" s="225" t="e">
        <f t="shared" ref="G25:G29" si="3">F25/E25</f>
        <v>#DIV/0!</v>
      </c>
      <c r="H25" s="368"/>
      <c r="I25" s="369"/>
      <c r="J25" s="369"/>
    </row>
    <row r="26" spans="1:10" s="193" customFormat="1" ht="19.95" customHeight="1">
      <c r="A26" s="363" t="s">
        <v>424</v>
      </c>
      <c r="B26" s="212"/>
      <c r="C26" s="212"/>
      <c r="D26" s="62"/>
      <c r="E26" s="62"/>
      <c r="F26" s="208">
        <f t="shared" si="2"/>
        <v>0</v>
      </c>
      <c r="G26" s="225" t="e">
        <f t="shared" si="3"/>
        <v>#DIV/0!</v>
      </c>
      <c r="H26" s="368"/>
      <c r="I26" s="369"/>
      <c r="J26" s="369"/>
    </row>
    <row r="27" spans="1:10" s="193" customFormat="1" ht="19.95" customHeight="1">
      <c r="A27" s="363" t="s">
        <v>416</v>
      </c>
      <c r="B27" s="212"/>
      <c r="C27" s="212"/>
      <c r="D27" s="62"/>
      <c r="E27" s="62"/>
      <c r="F27" s="208">
        <f t="shared" si="2"/>
        <v>0</v>
      </c>
      <c r="G27" s="225" t="e">
        <f t="shared" si="3"/>
        <v>#DIV/0!</v>
      </c>
      <c r="H27" s="368"/>
      <c r="I27" s="369"/>
      <c r="J27" s="369"/>
    </row>
    <row r="28" spans="1:10" s="193" customFormat="1" ht="19.95" customHeight="1">
      <c r="A28" s="220" t="s">
        <v>425</v>
      </c>
      <c r="B28" s="221"/>
      <c r="C28" s="221"/>
      <c r="D28" s="62"/>
      <c r="E28" s="62"/>
      <c r="F28" s="208">
        <f t="shared" si="2"/>
        <v>0</v>
      </c>
      <c r="G28" s="225" t="e">
        <f t="shared" si="3"/>
        <v>#DIV/0!</v>
      </c>
      <c r="H28" s="368"/>
      <c r="I28" s="369"/>
      <c r="J28" s="369"/>
    </row>
    <row r="29" spans="1:10" s="193" customFormat="1" ht="19.95" customHeight="1">
      <c r="A29" s="222" t="s">
        <v>426</v>
      </c>
      <c r="B29" s="223"/>
      <c r="C29" s="223"/>
      <c r="D29" s="209">
        <f>IF(D28=0,0,D24/D28)</f>
        <v>0</v>
      </c>
      <c r="E29" s="209">
        <f>IF(E28=0,0,E24/E28)</f>
        <v>0</v>
      </c>
      <c r="F29" s="209">
        <f>D29-E29</f>
        <v>0</v>
      </c>
      <c r="G29" s="225" t="e">
        <f t="shared" si="3"/>
        <v>#DIV/0!</v>
      </c>
      <c r="H29" s="368"/>
      <c r="I29" s="369"/>
      <c r="J29" s="369"/>
    </row>
    <row r="30" spans="1:10" s="193" customFormat="1" ht="19.95" customHeight="1">
      <c r="A30" s="255" t="s">
        <v>431</v>
      </c>
      <c r="B30" s="256"/>
      <c r="C30" s="256"/>
      <c r="D30" s="256"/>
      <c r="E30" s="256"/>
      <c r="F30" s="257"/>
      <c r="G30" s="258"/>
      <c r="H30" s="372"/>
      <c r="I30" s="231"/>
      <c r="J30" s="231"/>
    </row>
    <row r="31" spans="1:10" s="193" customFormat="1" ht="19.95" customHeight="1">
      <c r="A31" s="259"/>
      <c r="B31" s="260"/>
      <c r="C31" s="260"/>
      <c r="D31" s="260"/>
      <c r="E31" s="260"/>
      <c r="F31" s="260"/>
      <c r="G31" s="261"/>
      <c r="H31" s="372"/>
      <c r="I31" s="231"/>
      <c r="J31" s="231"/>
    </row>
    <row r="32" spans="1:10" s="193" customFormat="1" ht="19.95" customHeight="1">
      <c r="A32" s="229" t="s">
        <v>549</v>
      </c>
      <c r="B32" s="229"/>
      <c r="C32" s="229"/>
      <c r="D32" s="229"/>
      <c r="E32" s="229"/>
      <c r="F32" s="229"/>
      <c r="G32" s="229"/>
      <c r="H32" s="205"/>
      <c r="I32" s="370"/>
      <c r="J32" s="371"/>
    </row>
    <row r="33" spans="1:11" s="193" customFormat="1" ht="19.95" customHeight="1">
      <c r="A33" s="228" t="s">
        <v>445</v>
      </c>
      <c r="B33" s="62"/>
      <c r="C33" s="230"/>
      <c r="D33" s="230"/>
      <c r="E33" s="230"/>
      <c r="F33" s="230"/>
      <c r="G33" s="230"/>
      <c r="H33" s="420"/>
      <c r="I33" s="420"/>
      <c r="J33" s="230"/>
    </row>
    <row r="34" spans="1:11" s="193" customFormat="1" ht="19.95" customHeight="1">
      <c r="A34" s="228" t="s">
        <v>446</v>
      </c>
      <c r="B34" s="62"/>
      <c r="C34" s="228" t="s">
        <v>509</v>
      </c>
      <c r="D34" s="62"/>
      <c r="E34" s="228"/>
      <c r="F34" s="370"/>
      <c r="G34" s="230"/>
      <c r="J34" s="230"/>
    </row>
    <row r="35" spans="1:11" s="193" customFormat="1" ht="19.95" customHeight="1">
      <c r="A35" s="228" t="s">
        <v>447</v>
      </c>
      <c r="B35" s="62"/>
      <c r="C35" s="228" t="s">
        <v>510</v>
      </c>
      <c r="D35" s="62"/>
      <c r="E35" s="228"/>
      <c r="F35" s="370"/>
      <c r="G35" s="230"/>
      <c r="J35" s="230"/>
      <c r="K35" s="234" t="s">
        <v>429</v>
      </c>
    </row>
    <row r="36" spans="1:11" s="193" customFormat="1" ht="19.95" customHeight="1">
      <c r="A36" s="232" t="s">
        <v>416</v>
      </c>
      <c r="B36" s="62"/>
      <c r="C36" s="228"/>
      <c r="D36" s="62"/>
      <c r="E36" s="228"/>
      <c r="F36" s="370"/>
      <c r="G36" s="230"/>
      <c r="J36" s="230"/>
    </row>
    <row r="37" spans="1:11" s="193" customFormat="1" ht="19.95" customHeight="1">
      <c r="A37" s="288" t="s">
        <v>511</v>
      </c>
      <c r="B37" s="256"/>
      <c r="C37" s="256"/>
      <c r="D37" s="256"/>
      <c r="E37" s="262"/>
      <c r="F37" s="366"/>
      <c r="G37" s="367"/>
      <c r="H37" s="367"/>
      <c r="I37" s="367"/>
      <c r="J37" s="231"/>
    </row>
    <row r="38" spans="1:11" s="193" customFormat="1" ht="19.95" customHeight="1">
      <c r="A38" s="263"/>
      <c r="B38" s="264"/>
      <c r="C38" s="264"/>
      <c r="D38" s="264"/>
      <c r="E38" s="265"/>
      <c r="F38" s="366"/>
      <c r="G38" s="367"/>
      <c r="H38" s="367"/>
      <c r="I38" s="367"/>
      <c r="J38" s="231"/>
    </row>
    <row r="39" spans="1:11" s="193" customFormat="1" ht="19.95" customHeight="1">
      <c r="A39" s="211" t="s">
        <v>550</v>
      </c>
      <c r="B39" s="224"/>
      <c r="C39" s="224"/>
      <c r="D39" s="224"/>
      <c r="E39" s="224"/>
      <c r="F39" s="210"/>
      <c r="G39" s="210"/>
      <c r="H39" s="210"/>
      <c r="I39" s="210"/>
      <c r="J39" s="210"/>
    </row>
    <row r="40" spans="1:11" s="309" customFormat="1" ht="25.8" customHeight="1">
      <c r="A40" s="392" t="s">
        <v>625</v>
      </c>
      <c r="B40" s="393" t="s">
        <v>616</v>
      </c>
      <c r="C40" s="393" t="s">
        <v>617</v>
      </c>
      <c r="D40" s="393" t="s">
        <v>618</v>
      </c>
      <c r="E40" s="393" t="s">
        <v>619</v>
      </c>
      <c r="F40" s="393" t="s">
        <v>620</v>
      </c>
      <c r="G40" s="393" t="s">
        <v>37</v>
      </c>
      <c r="H40" s="393" t="s">
        <v>624</v>
      </c>
      <c r="I40" s="393" t="s">
        <v>621</v>
      </c>
      <c r="J40" s="393" t="s">
        <v>622</v>
      </c>
      <c r="K40" s="395" t="s">
        <v>623</v>
      </c>
    </row>
    <row r="41" spans="1:11" s="309" customFormat="1" ht="19.95" customHeight="1">
      <c r="A41" s="276"/>
      <c r="B41" s="216"/>
      <c r="C41" s="216"/>
      <c r="D41" s="216"/>
      <c r="E41" s="364">
        <f>B41+C41-D41</f>
        <v>0</v>
      </c>
      <c r="F41" s="216"/>
      <c r="G41" s="219">
        <f>E41-F41</f>
        <v>0</v>
      </c>
      <c r="H41" s="217"/>
      <c r="I41" s="218"/>
      <c r="J41" s="218"/>
    </row>
    <row r="42" spans="1:11" s="309" customFormat="1" ht="19.95" customHeight="1">
      <c r="A42" s="276"/>
      <c r="B42" s="216"/>
      <c r="C42" s="216"/>
      <c r="D42" s="216"/>
      <c r="E42" s="364">
        <f t="shared" ref="E42:E50" si="4">B42+C42-D42</f>
        <v>0</v>
      </c>
      <c r="F42" s="216"/>
      <c r="G42" s="219">
        <f t="shared" ref="G42:G50" si="5">E42-F42</f>
        <v>0</v>
      </c>
      <c r="H42" s="217"/>
      <c r="I42" s="218"/>
      <c r="J42" s="218"/>
    </row>
    <row r="43" spans="1:11" s="309" customFormat="1" ht="19.95" customHeight="1">
      <c r="A43" s="276"/>
      <c r="B43" s="216"/>
      <c r="C43" s="216"/>
      <c r="D43" s="216"/>
      <c r="E43" s="364">
        <f t="shared" si="4"/>
        <v>0</v>
      </c>
      <c r="F43" s="216"/>
      <c r="G43" s="219">
        <f t="shared" si="5"/>
        <v>0</v>
      </c>
      <c r="H43" s="217"/>
      <c r="I43" s="218"/>
      <c r="J43" s="218"/>
    </row>
    <row r="44" spans="1:11" s="309" customFormat="1" ht="19.95" customHeight="1">
      <c r="A44" s="276"/>
      <c r="B44" s="216"/>
      <c r="C44" s="216"/>
      <c r="D44" s="216"/>
      <c r="E44" s="364">
        <f t="shared" si="4"/>
        <v>0</v>
      </c>
      <c r="F44" s="216"/>
      <c r="G44" s="219">
        <f t="shared" si="5"/>
        <v>0</v>
      </c>
      <c r="H44" s="217"/>
      <c r="I44" s="218"/>
      <c r="J44" s="218"/>
    </row>
    <row r="45" spans="1:11" s="309" customFormat="1" ht="19.95" customHeight="1">
      <c r="A45" s="276"/>
      <c r="B45" s="216"/>
      <c r="C45" s="216"/>
      <c r="D45" s="216"/>
      <c r="E45" s="364">
        <f t="shared" si="4"/>
        <v>0</v>
      </c>
      <c r="F45" s="216"/>
      <c r="G45" s="219">
        <f>E45-F45</f>
        <v>0</v>
      </c>
      <c r="H45" s="217"/>
      <c r="I45" s="218"/>
      <c r="J45" s="218"/>
    </row>
    <row r="46" spans="1:11" s="309" customFormat="1" ht="19.95" customHeight="1">
      <c r="A46" s="276"/>
      <c r="B46" s="216"/>
      <c r="C46" s="216"/>
      <c r="D46" s="216"/>
      <c r="E46" s="364">
        <f t="shared" si="4"/>
        <v>0</v>
      </c>
      <c r="F46" s="216"/>
      <c r="G46" s="219">
        <f>E46-F46</f>
        <v>0</v>
      </c>
      <c r="H46" s="217"/>
      <c r="I46" s="218"/>
      <c r="J46" s="218"/>
    </row>
    <row r="47" spans="1:11" s="309" customFormat="1" ht="19.95" customHeight="1">
      <c r="A47" s="276"/>
      <c r="B47" s="216"/>
      <c r="C47" s="216"/>
      <c r="D47" s="216"/>
      <c r="E47" s="364">
        <f t="shared" si="4"/>
        <v>0</v>
      </c>
      <c r="F47" s="216"/>
      <c r="G47" s="219">
        <f t="shared" si="5"/>
        <v>0</v>
      </c>
      <c r="H47" s="217"/>
      <c r="I47" s="218"/>
      <c r="J47" s="218"/>
    </row>
    <row r="48" spans="1:11" s="309" customFormat="1" ht="19.95" customHeight="1">
      <c r="A48" s="276"/>
      <c r="B48" s="216"/>
      <c r="C48" s="216"/>
      <c r="D48" s="216"/>
      <c r="E48" s="364">
        <f t="shared" si="4"/>
        <v>0</v>
      </c>
      <c r="F48" s="216"/>
      <c r="G48" s="219">
        <f t="shared" si="5"/>
        <v>0</v>
      </c>
      <c r="H48" s="217"/>
      <c r="I48" s="218"/>
      <c r="J48" s="218"/>
    </row>
    <row r="49" spans="1:10" s="309" customFormat="1" ht="19.95" customHeight="1">
      <c r="A49" s="276"/>
      <c r="B49" s="216"/>
      <c r="C49" s="216"/>
      <c r="D49" s="216"/>
      <c r="E49" s="364">
        <f t="shared" si="4"/>
        <v>0</v>
      </c>
      <c r="F49" s="216"/>
      <c r="G49" s="219">
        <f t="shared" si="5"/>
        <v>0</v>
      </c>
      <c r="H49" s="217"/>
      <c r="I49" s="218"/>
      <c r="J49" s="218"/>
    </row>
    <row r="50" spans="1:10" s="309" customFormat="1" ht="19.95" customHeight="1">
      <c r="A50" s="276"/>
      <c r="B50" s="216"/>
      <c r="C50" s="216"/>
      <c r="D50" s="216"/>
      <c r="E50" s="364">
        <f t="shared" si="4"/>
        <v>0</v>
      </c>
      <c r="F50" s="216"/>
      <c r="G50" s="219">
        <f t="shared" si="5"/>
        <v>0</v>
      </c>
      <c r="H50" s="217"/>
      <c r="I50" s="218"/>
      <c r="J50" s="218"/>
    </row>
    <row r="51" spans="1:10" s="309" customFormat="1" ht="19.95" customHeight="1">
      <c r="A51" s="392" t="s">
        <v>626</v>
      </c>
      <c r="B51" s="365">
        <f t="shared" ref="B51:G51" si="6">SUM(B41:B50)</f>
        <v>0</v>
      </c>
      <c r="C51" s="365">
        <f t="shared" si="6"/>
        <v>0</v>
      </c>
      <c r="D51" s="365">
        <f t="shared" si="6"/>
        <v>0</v>
      </c>
      <c r="E51" s="365">
        <f t="shared" si="6"/>
        <v>0</v>
      </c>
      <c r="F51" s="365">
        <f t="shared" si="6"/>
        <v>0</v>
      </c>
      <c r="G51" s="365">
        <f t="shared" si="6"/>
        <v>0</v>
      </c>
      <c r="H51" s="362"/>
      <c r="I51" s="287"/>
      <c r="J51" s="287">
        <f>SUM(J41:J50)</f>
        <v>0</v>
      </c>
    </row>
    <row r="52" spans="1:10" s="193" customFormat="1" ht="19.95" customHeight="1">
      <c r="A52" s="255" t="s">
        <v>430</v>
      </c>
      <c r="B52" s="256"/>
      <c r="C52" s="256"/>
      <c r="D52" s="256"/>
      <c r="E52" s="256"/>
      <c r="F52" s="257"/>
      <c r="G52" s="257"/>
      <c r="H52" s="257"/>
      <c r="I52" s="257"/>
      <c r="J52" s="258"/>
    </row>
    <row r="53" spans="1:10" s="193" customFormat="1" ht="19.95" customHeight="1">
      <c r="A53" s="259"/>
      <c r="B53" s="260"/>
      <c r="C53" s="260"/>
      <c r="D53" s="260"/>
      <c r="E53" s="260"/>
      <c r="F53" s="260"/>
      <c r="G53" s="260"/>
      <c r="H53" s="260"/>
      <c r="I53" s="260"/>
      <c r="J53" s="261"/>
    </row>
    <row r="54" spans="1:10" s="193" customFormat="1" ht="19.95" customHeight="1">
      <c r="A54" s="96"/>
      <c r="B54" s="96"/>
      <c r="C54" s="96"/>
      <c r="D54" s="96"/>
      <c r="E54" s="96"/>
      <c r="F54" s="96"/>
      <c r="G54" s="96"/>
      <c r="H54" s="96"/>
      <c r="I54" s="200"/>
      <c r="J54" s="200"/>
    </row>
    <row r="55" spans="1:10" s="193" customFormat="1" ht="19.95" customHeight="1">
      <c r="A55" s="206" t="s">
        <v>432</v>
      </c>
      <c r="B55" s="206"/>
      <c r="C55" s="206"/>
      <c r="D55" s="206"/>
      <c r="E55" s="206"/>
      <c r="F55" s="206"/>
      <c r="G55" s="206"/>
      <c r="H55" s="206"/>
      <c r="I55" s="200"/>
      <c r="J55" s="200"/>
    </row>
    <row r="56" spans="1:10" s="193" customFormat="1" ht="19.95" customHeight="1">
      <c r="A56" s="200"/>
      <c r="B56" s="200"/>
      <c r="C56" s="200"/>
      <c r="D56" s="200"/>
      <c r="E56" s="200"/>
      <c r="F56" s="200"/>
      <c r="G56" s="200"/>
      <c r="H56" s="200"/>
      <c r="I56" s="200"/>
      <c r="J56" s="200"/>
    </row>
  </sheetData>
  <mergeCells count="4">
    <mergeCell ref="A11:C11"/>
    <mergeCell ref="A1:J1"/>
    <mergeCell ref="A2:J2"/>
    <mergeCell ref="A22:C22"/>
  </mergeCells>
  <phoneticPr fontId="31" type="noConversion"/>
  <hyperlinks>
    <hyperlink ref="J3" location="底稿目录!A1" display="底稿目录!A1"/>
  </hyperlinks>
  <pageMargins left="0.70866141732283472" right="0.70866141732283472" top="0.74803149606299213" bottom="0.74803149606299213" header="0.31496062992125984" footer="0.31496062992125984"/>
  <pageSetup paperSize="9" scale="69" orientation="portrait"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N21"/>
  <sheetViews>
    <sheetView view="pageBreakPreview" zoomScale="98" zoomScaleSheetLayoutView="98" workbookViewId="0">
      <selection sqref="A1:M1"/>
    </sheetView>
  </sheetViews>
  <sheetFormatPr defaultColWidth="9" defaultRowHeight="15.6"/>
  <cols>
    <col min="1" max="1" width="17.19921875" style="30" customWidth="1"/>
    <col min="2" max="2" width="15.296875" style="30" customWidth="1"/>
    <col min="3" max="3" width="12.8984375" style="30" customWidth="1"/>
    <col min="4" max="4" width="18.296875" style="30" customWidth="1"/>
    <col min="5" max="5" width="19.59765625" style="30" customWidth="1"/>
    <col min="6" max="6" width="10.796875" style="30" customWidth="1"/>
    <col min="7" max="7" width="11.19921875" style="30" customWidth="1"/>
    <col min="8" max="8" width="11" style="30" customWidth="1"/>
    <col min="9" max="9" width="8.8984375" style="30" customWidth="1"/>
    <col min="10" max="12" width="12.09765625" style="30" customWidth="1"/>
    <col min="13" max="13" width="14" style="30" customWidth="1"/>
    <col min="14" max="16384" width="9" style="30"/>
  </cols>
  <sheetData>
    <row r="1" spans="1:14" ht="19.95" customHeight="1">
      <c r="A1" s="522" t="s">
        <v>560</v>
      </c>
      <c r="B1" s="522"/>
      <c r="C1" s="522"/>
      <c r="D1" s="522"/>
      <c r="E1" s="522"/>
      <c r="F1" s="522"/>
      <c r="G1" s="522"/>
      <c r="H1" s="522"/>
      <c r="I1" s="522"/>
      <c r="J1" s="522"/>
      <c r="K1" s="522"/>
      <c r="L1" s="522"/>
      <c r="M1" s="522"/>
    </row>
    <row r="2" spans="1:14" ht="19.95" customHeight="1">
      <c r="A2" s="559" t="s">
        <v>561</v>
      </c>
      <c r="B2" s="559"/>
      <c r="C2" s="559"/>
      <c r="D2" s="559"/>
      <c r="E2" s="559"/>
      <c r="F2" s="559"/>
      <c r="G2" s="559"/>
      <c r="H2" s="559"/>
      <c r="I2" s="559"/>
      <c r="J2" s="559"/>
      <c r="K2" s="559"/>
      <c r="L2" s="559"/>
      <c r="M2" s="559"/>
      <c r="N2" s="243"/>
    </row>
    <row r="3" spans="1:14" ht="19.95" customHeight="1">
      <c r="A3" s="22" t="str">
        <f>底稿目录!A2</f>
        <v>被审计单位：</v>
      </c>
      <c r="B3" s="60"/>
      <c r="D3" s="22" t="str">
        <f>底稿目录!A4</f>
        <v>编制人：</v>
      </c>
      <c r="G3" s="22" t="str">
        <f>底稿目录!A5</f>
        <v>编制日期：</v>
      </c>
      <c r="H3" s="22"/>
      <c r="I3" s="22"/>
      <c r="J3" s="59"/>
      <c r="K3" s="59"/>
      <c r="L3" s="22" t="s">
        <v>512</v>
      </c>
      <c r="M3" s="360" t="str">
        <f>底稿目录!F18</f>
        <v>F1-5</v>
      </c>
    </row>
    <row r="4" spans="1:14" ht="19.95" customHeight="1">
      <c r="A4" s="22" t="str">
        <f>底稿目录!A3</f>
        <v>截止日：202X年12月31日</v>
      </c>
      <c r="B4" s="60"/>
      <c r="D4" s="22" t="str">
        <f>底稿目录!A6</f>
        <v>复核人：</v>
      </c>
      <c r="G4" s="22" t="str">
        <f>底稿目录!A7</f>
        <v>复核日期：</v>
      </c>
      <c r="H4" s="22"/>
      <c r="I4" s="22"/>
      <c r="J4" s="59"/>
      <c r="K4" s="59"/>
      <c r="L4" s="22" t="s">
        <v>513</v>
      </c>
      <c r="M4" s="22"/>
    </row>
    <row r="5" spans="1:14" ht="28.2" customHeight="1">
      <c r="A5" s="39" t="s">
        <v>47</v>
      </c>
      <c r="B5" s="39" t="s">
        <v>48</v>
      </c>
      <c r="C5" s="40" t="s">
        <v>49</v>
      </c>
      <c r="D5" s="39" t="s">
        <v>50</v>
      </c>
      <c r="E5" s="61" t="s">
        <v>51</v>
      </c>
      <c r="F5" s="127" t="s">
        <v>411</v>
      </c>
      <c r="G5" s="126" t="s">
        <v>412</v>
      </c>
      <c r="H5" s="127" t="s">
        <v>413</v>
      </c>
      <c r="I5" s="127" t="s">
        <v>169</v>
      </c>
      <c r="J5" s="39" t="s">
        <v>52</v>
      </c>
      <c r="K5" s="127" t="s">
        <v>480</v>
      </c>
      <c r="L5" s="126" t="s">
        <v>481</v>
      </c>
      <c r="M5" s="39" t="s">
        <v>53</v>
      </c>
    </row>
    <row r="6" spans="1:14" ht="19.95" customHeight="1">
      <c r="A6" s="289"/>
      <c r="B6" s="42"/>
      <c r="C6" s="291"/>
      <c r="D6" s="289"/>
      <c r="E6" s="289"/>
      <c r="F6" s="292"/>
      <c r="G6" s="292"/>
      <c r="H6" s="292"/>
      <c r="I6" s="296"/>
      <c r="J6" s="296"/>
      <c r="K6" s="296"/>
      <c r="L6" s="290"/>
      <c r="M6" s="289"/>
    </row>
    <row r="7" spans="1:14" ht="19.95" customHeight="1">
      <c r="A7" s="41"/>
      <c r="B7" s="42"/>
      <c r="C7" s="291"/>
      <c r="D7" s="289"/>
      <c r="E7" s="289"/>
      <c r="F7" s="292"/>
      <c r="G7" s="292"/>
      <c r="H7" s="292"/>
      <c r="I7" s="296"/>
      <c r="J7" s="296"/>
      <c r="K7" s="296"/>
      <c r="L7" s="42"/>
      <c r="M7" s="41"/>
    </row>
    <row r="8" spans="1:14" ht="19.95" customHeight="1">
      <c r="A8" s="41"/>
      <c r="B8" s="42"/>
      <c r="C8" s="291"/>
      <c r="D8" s="289"/>
      <c r="E8" s="289"/>
      <c r="F8" s="292"/>
      <c r="G8" s="292"/>
      <c r="H8" s="292"/>
      <c r="I8" s="296"/>
      <c r="J8" s="296"/>
      <c r="K8" s="296"/>
      <c r="L8" s="42"/>
      <c r="M8" s="41"/>
    </row>
    <row r="9" spans="1:14" ht="19.95" customHeight="1">
      <c r="A9" s="41"/>
      <c r="B9" s="42"/>
      <c r="C9" s="291"/>
      <c r="D9" s="289"/>
      <c r="E9" s="289"/>
      <c r="F9" s="292"/>
      <c r="G9" s="292"/>
      <c r="H9" s="292"/>
      <c r="I9" s="296"/>
      <c r="J9" s="296"/>
      <c r="K9" s="296"/>
      <c r="L9" s="42"/>
      <c r="M9" s="41"/>
    </row>
    <row r="10" spans="1:14" ht="19.95" customHeight="1">
      <c r="A10" s="41"/>
      <c r="B10" s="42"/>
      <c r="C10" s="291"/>
      <c r="D10" s="289"/>
      <c r="E10" s="289"/>
      <c r="F10" s="292"/>
      <c r="G10" s="292"/>
      <c r="H10" s="292"/>
      <c r="I10" s="296"/>
      <c r="J10" s="296"/>
      <c r="K10" s="296"/>
      <c r="L10" s="42"/>
      <c r="M10" s="41"/>
    </row>
    <row r="11" spans="1:14" ht="19.95" customHeight="1">
      <c r="A11" s="41"/>
      <c r="B11" s="42"/>
      <c r="C11" s="291"/>
      <c r="D11" s="289"/>
      <c r="E11" s="289"/>
      <c r="F11" s="292"/>
      <c r="G11" s="292"/>
      <c r="H11" s="292"/>
      <c r="I11" s="296"/>
      <c r="J11" s="296"/>
      <c r="K11" s="296"/>
      <c r="L11" s="42"/>
      <c r="M11" s="41"/>
    </row>
    <row r="12" spans="1:14" ht="19.95" customHeight="1">
      <c r="A12" s="41"/>
      <c r="B12" s="42"/>
      <c r="C12" s="291"/>
      <c r="D12" s="289"/>
      <c r="E12" s="289"/>
      <c r="F12" s="292"/>
      <c r="G12" s="292"/>
      <c r="H12" s="292"/>
      <c r="I12" s="296"/>
      <c r="J12" s="296"/>
      <c r="K12" s="296"/>
      <c r="L12" s="42"/>
      <c r="M12" s="41"/>
    </row>
    <row r="13" spans="1:14" ht="19.95" customHeight="1">
      <c r="A13" s="41"/>
      <c r="B13" s="42"/>
      <c r="C13" s="291"/>
      <c r="D13" s="289"/>
      <c r="E13" s="289"/>
      <c r="F13" s="292"/>
      <c r="G13" s="292"/>
      <c r="H13" s="292"/>
      <c r="I13" s="296"/>
      <c r="J13" s="296"/>
      <c r="K13" s="296"/>
      <c r="L13" s="42"/>
      <c r="M13" s="41"/>
    </row>
    <row r="14" spans="1:14" ht="19.95" customHeight="1">
      <c r="A14" s="41"/>
      <c r="B14" s="42"/>
      <c r="C14" s="291"/>
      <c r="D14" s="289"/>
      <c r="E14" s="289"/>
      <c r="F14" s="292"/>
      <c r="G14" s="292"/>
      <c r="H14" s="292"/>
      <c r="I14" s="296"/>
      <c r="J14" s="296"/>
      <c r="K14" s="296"/>
      <c r="L14" s="42"/>
      <c r="M14" s="41"/>
    </row>
    <row r="15" spans="1:14" s="295" customFormat="1" ht="19.95" customHeight="1">
      <c r="A15" s="293" t="s">
        <v>514</v>
      </c>
      <c r="B15" s="287">
        <f>SUM(B6:B14)</f>
        <v>0</v>
      </c>
      <c r="C15" s="287"/>
      <c r="D15" s="287"/>
      <c r="E15" s="287"/>
      <c r="F15" s="287"/>
      <c r="G15" s="287"/>
      <c r="H15" s="287"/>
      <c r="I15" s="297">
        <f>SUM(I6:I14)</f>
        <v>0</v>
      </c>
      <c r="J15" s="297">
        <f>SUM(J6:J14)</f>
        <v>0</v>
      </c>
      <c r="K15" s="297">
        <f>SUM(K6:K14)</f>
        <v>0</v>
      </c>
      <c r="L15" s="287"/>
      <c r="M15" s="294"/>
    </row>
    <row r="16" spans="1:14" ht="19.95" customHeight="1">
      <c r="A16" s="125" t="s">
        <v>167</v>
      </c>
    </row>
    <row r="17" spans="1:1" ht="19.95" customHeight="1"/>
    <row r="18" spans="1:1" ht="19.95" customHeight="1"/>
    <row r="19" spans="1:1" ht="19.95" customHeight="1">
      <c r="A19" s="125" t="s">
        <v>168</v>
      </c>
    </row>
    <row r="20" spans="1:1" ht="19.95" customHeight="1"/>
    <row r="21" spans="1:1" ht="19.95" customHeight="1"/>
  </sheetData>
  <mergeCells count="2">
    <mergeCell ref="A1:M1"/>
    <mergeCell ref="A2:M2"/>
  </mergeCells>
  <phoneticPr fontId="7" type="noConversion"/>
  <hyperlinks>
    <hyperlink ref="M3" location="底稿目录!A1" display="底稿目录!A1"/>
  </hyperlinks>
  <pageMargins left="0.70866141732283472" right="0.70866141732283472" top="0.74803149606299213" bottom="0.74803149606299213" header="0.31496062992125984" footer="0.31496062992125984"/>
  <pageSetup paperSize="9" scale="70" fitToHeight="0"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P23"/>
  <sheetViews>
    <sheetView view="pageBreakPreview" zoomScaleNormal="130" zoomScaleSheetLayoutView="100" workbookViewId="0">
      <selection sqref="A1:M1"/>
    </sheetView>
  </sheetViews>
  <sheetFormatPr defaultColWidth="9" defaultRowHeight="13.8"/>
  <cols>
    <col min="1" max="1" width="22.19921875" style="48" customWidth="1"/>
    <col min="2" max="2" width="19.59765625" style="48" customWidth="1"/>
    <col min="3" max="8" width="12" style="48" customWidth="1"/>
    <col min="9" max="9" width="13.59765625" style="48" customWidth="1"/>
    <col min="10" max="10" width="19.19921875" style="48" customWidth="1"/>
    <col min="11" max="11" width="11.8984375" style="48" customWidth="1"/>
    <col min="12" max="12" width="10" style="48" customWidth="1"/>
    <col min="13" max="13" width="14.09765625" style="48" customWidth="1"/>
    <col min="14" max="14" width="9" style="48"/>
    <col min="15" max="15" width="27.09765625" style="48" customWidth="1"/>
    <col min="16" max="16384" width="9" style="48"/>
  </cols>
  <sheetData>
    <row r="1" spans="1:16" s="53" customFormat="1" ht="19.95" customHeight="1">
      <c r="A1" s="560" t="s">
        <v>600</v>
      </c>
      <c r="B1" s="560"/>
      <c r="C1" s="560"/>
      <c r="D1" s="560"/>
      <c r="E1" s="560"/>
      <c r="F1" s="560"/>
      <c r="G1" s="560"/>
      <c r="H1" s="560"/>
      <c r="I1" s="560"/>
      <c r="J1" s="560"/>
      <c r="K1" s="560"/>
      <c r="L1" s="560"/>
      <c r="M1" s="560"/>
    </row>
    <row r="2" spans="1:16" s="54" customFormat="1" ht="19.95" customHeight="1">
      <c r="A2" s="561" t="s">
        <v>663</v>
      </c>
      <c r="B2" s="561"/>
      <c r="C2" s="561"/>
      <c r="D2" s="561"/>
      <c r="E2" s="561"/>
      <c r="F2" s="562"/>
      <c r="G2" s="562"/>
      <c r="H2" s="562"/>
      <c r="I2" s="562"/>
      <c r="J2" s="562"/>
      <c r="K2" s="562"/>
      <c r="L2" s="562"/>
      <c r="M2" s="562"/>
      <c r="N2" s="243"/>
    </row>
    <row r="3" spans="1:16" ht="19.95" customHeight="1">
      <c r="A3" s="15" t="str">
        <f>底稿目录!A2</f>
        <v>被审计单位：</v>
      </c>
      <c r="B3" s="15"/>
      <c r="C3" s="15"/>
      <c r="D3" s="15"/>
      <c r="E3" s="15" t="str">
        <f>底稿目录!A4</f>
        <v>编制人：</v>
      </c>
      <c r="F3" s="15"/>
      <c r="I3" s="15" t="str">
        <f>底稿目录!A5</f>
        <v>编制日期：</v>
      </c>
      <c r="J3" s="58"/>
      <c r="K3" s="58"/>
      <c r="L3" s="15" t="s">
        <v>44</v>
      </c>
      <c r="M3" s="360" t="str">
        <f>底稿目录!F19</f>
        <v>F1-6</v>
      </c>
    </row>
    <row r="4" spans="1:16" ht="19.95" customHeight="1">
      <c r="A4" s="15" t="str">
        <f>底稿目录!A3</f>
        <v>截止日：202X年12月31日</v>
      </c>
      <c r="B4" s="15"/>
      <c r="C4" s="15"/>
      <c r="D4" s="15"/>
      <c r="E4" s="15" t="str">
        <f>底稿目录!A6</f>
        <v>复核人：</v>
      </c>
      <c r="F4" s="16"/>
      <c r="I4" s="15" t="str">
        <f>底稿目录!A7</f>
        <v>复核日期：</v>
      </c>
      <c r="J4" s="58"/>
      <c r="K4" s="58"/>
      <c r="L4" s="15" t="s">
        <v>35</v>
      </c>
      <c r="M4" s="22"/>
    </row>
    <row r="5" spans="1:16" ht="19.95" customHeight="1">
      <c r="A5" s="235" t="s">
        <v>476</v>
      </c>
      <c r="B5" s="235"/>
      <c r="C5" s="235"/>
      <c r="D5" s="235"/>
      <c r="E5" s="235"/>
      <c r="F5" s="16"/>
      <c r="G5" s="15"/>
      <c r="I5" s="15"/>
      <c r="J5" s="58"/>
      <c r="K5" s="58"/>
      <c r="L5" s="15"/>
      <c r="M5" s="22"/>
    </row>
    <row r="6" spans="1:16" s="301" customFormat="1" ht="19.95" customHeight="1">
      <c r="A6" s="410" t="s">
        <v>433</v>
      </c>
      <c r="B6" s="410" t="s">
        <v>158</v>
      </c>
      <c r="C6" s="410" t="s">
        <v>516</v>
      </c>
      <c r="D6" s="410" t="s">
        <v>647</v>
      </c>
      <c r="E6" s="410" t="s">
        <v>648</v>
      </c>
      <c r="F6" s="410" t="s">
        <v>546</v>
      </c>
      <c r="G6" s="411" t="s">
        <v>36</v>
      </c>
      <c r="H6" s="411" t="s">
        <v>37</v>
      </c>
      <c r="I6" s="411" t="s">
        <v>38</v>
      </c>
      <c r="J6" s="411" t="s">
        <v>39</v>
      </c>
      <c r="K6" s="410" t="s">
        <v>519</v>
      </c>
      <c r="L6" s="411" t="s">
        <v>40</v>
      </c>
      <c r="M6" s="411" t="s">
        <v>24</v>
      </c>
      <c r="O6" s="415"/>
      <c r="P6" s="416"/>
    </row>
    <row r="7" spans="1:16" ht="19.95" customHeight="1">
      <c r="A7" s="24" t="s">
        <v>515</v>
      </c>
      <c r="B7" s="417"/>
      <c r="C7" s="302"/>
      <c r="D7" s="302"/>
      <c r="E7" s="302"/>
      <c r="F7" s="303">
        <f>C7+D7-E7</f>
        <v>0</v>
      </c>
      <c r="G7" s="277"/>
      <c r="H7" s="304">
        <f>F7-G7</f>
        <v>0</v>
      </c>
      <c r="I7" s="307"/>
      <c r="J7" s="305"/>
      <c r="K7" s="277"/>
      <c r="L7" s="283"/>
      <c r="M7" s="282"/>
    </row>
    <row r="8" spans="1:16" ht="19.95" customHeight="1">
      <c r="A8" s="24" t="s">
        <v>41</v>
      </c>
      <c r="B8" s="417"/>
      <c r="C8" s="302"/>
      <c r="D8" s="302"/>
      <c r="E8" s="302"/>
      <c r="F8" s="303">
        <f t="shared" ref="F8:F9" si="0">C8+D8-E8</f>
        <v>0</v>
      </c>
      <c r="G8" s="277"/>
      <c r="H8" s="304">
        <f t="shared" ref="H8" si="1">F8-G8</f>
        <v>0</v>
      </c>
      <c r="I8" s="307"/>
      <c r="J8" s="305"/>
      <c r="K8" s="277"/>
      <c r="L8" s="283"/>
      <c r="M8" s="282"/>
    </row>
    <row r="9" spans="1:16" ht="19.95" customHeight="1">
      <c r="A9" s="24" t="s">
        <v>7</v>
      </c>
      <c r="B9" s="417"/>
      <c r="C9" s="302"/>
      <c r="D9" s="302"/>
      <c r="E9" s="302"/>
      <c r="F9" s="303">
        <f t="shared" si="0"/>
        <v>0</v>
      </c>
      <c r="G9" s="277"/>
      <c r="H9" s="304">
        <f>F9-G9</f>
        <v>0</v>
      </c>
      <c r="I9" s="307"/>
      <c r="J9" s="305"/>
      <c r="K9" s="277"/>
      <c r="L9" s="283"/>
      <c r="M9" s="282"/>
    </row>
    <row r="10" spans="1:16" s="301" customFormat="1" ht="19.95" customHeight="1">
      <c r="A10" s="215" t="s">
        <v>478</v>
      </c>
      <c r="B10" s="298"/>
      <c r="C10" s="297">
        <f t="shared" ref="C10:E10" si="2">SUM(C7:C9)</f>
        <v>0</v>
      </c>
      <c r="D10" s="297">
        <f t="shared" si="2"/>
        <v>0</v>
      </c>
      <c r="E10" s="297">
        <f t="shared" si="2"/>
        <v>0</v>
      </c>
      <c r="F10" s="297">
        <f>SUM(F7:F9)</f>
        <v>0</v>
      </c>
      <c r="G10" s="297">
        <f>SUM(G7:G9)</f>
        <v>0</v>
      </c>
      <c r="H10" s="297">
        <f>SUM(H7:H9)</f>
        <v>0</v>
      </c>
      <c r="I10" s="268"/>
      <c r="J10" s="306"/>
      <c r="K10" s="297">
        <f>SUM(K7:K9)</f>
        <v>0</v>
      </c>
      <c r="L10" s="286"/>
      <c r="M10" s="300"/>
    </row>
    <row r="11" spans="1:16" s="22" customFormat="1" ht="19.95" customHeight="1">
      <c r="A11" s="46" t="s">
        <v>42</v>
      </c>
      <c r="B11" s="46"/>
      <c r="C11" s="46"/>
      <c r="D11" s="46"/>
      <c r="E11" s="46"/>
      <c r="F11" s="55"/>
      <c r="G11" s="55"/>
      <c r="H11" s="55"/>
      <c r="I11" s="55"/>
      <c r="J11" s="55"/>
      <c r="K11" s="55"/>
      <c r="L11" s="55"/>
      <c r="M11" s="55"/>
      <c r="N11" s="55"/>
    </row>
    <row r="12" spans="1:16" ht="19.95" customHeight="1"/>
    <row r="13" spans="1:16" ht="19.95" customHeight="1">
      <c r="A13" s="29" t="s">
        <v>43</v>
      </c>
      <c r="B13" s="29"/>
      <c r="C13" s="29"/>
      <c r="D13" s="29"/>
      <c r="E13" s="29"/>
    </row>
    <row r="14" spans="1:16" ht="19.95" customHeight="1"/>
    <row r="15" spans="1:16" ht="18" customHeight="1">
      <c r="A15" s="55"/>
      <c r="B15" s="412" t="s">
        <v>650</v>
      </c>
      <c r="C15" s="55"/>
      <c r="D15" s="55"/>
      <c r="E15" s="55"/>
      <c r="F15" s="22"/>
      <c r="G15" s="22"/>
      <c r="H15" s="22"/>
      <c r="I15" s="22"/>
      <c r="J15" s="22"/>
      <c r="K15" s="22"/>
      <c r="L15" s="22"/>
      <c r="M15" s="22"/>
      <c r="N15" s="22"/>
    </row>
    <row r="16" spans="1:16" ht="18" customHeight="1">
      <c r="A16" s="55"/>
      <c r="B16" s="123" t="s">
        <v>159</v>
      </c>
      <c r="C16" s="55"/>
      <c r="D16" s="55"/>
      <c r="E16" s="55"/>
      <c r="F16" s="22"/>
      <c r="G16" s="22"/>
      <c r="H16" s="22"/>
      <c r="I16" s="22"/>
      <c r="K16" s="124"/>
      <c r="L16" s="22"/>
      <c r="M16" s="22"/>
      <c r="N16" s="22"/>
    </row>
    <row r="17" spans="1:14" ht="18" customHeight="1">
      <c r="A17" s="55"/>
      <c r="B17" s="123" t="s">
        <v>160</v>
      </c>
      <c r="C17" s="55"/>
      <c r="D17" s="55"/>
      <c r="E17" s="55"/>
      <c r="F17" s="22"/>
      <c r="G17" s="22"/>
      <c r="H17" s="22"/>
      <c r="I17" s="22"/>
      <c r="K17" s="22"/>
      <c r="L17" s="22"/>
      <c r="M17" s="22"/>
      <c r="N17" s="22"/>
    </row>
    <row r="18" spans="1:14" ht="18" customHeight="1">
      <c r="A18" s="56"/>
      <c r="B18" s="123" t="s">
        <v>161</v>
      </c>
      <c r="C18" s="56"/>
      <c r="D18" s="56"/>
      <c r="E18" s="56"/>
      <c r="F18" s="22"/>
      <c r="G18" s="22"/>
      <c r="H18" s="22"/>
      <c r="I18" s="22"/>
      <c r="K18" s="22"/>
      <c r="L18" s="22"/>
      <c r="M18" s="22"/>
      <c r="N18" s="22"/>
    </row>
    <row r="19" spans="1:14" ht="18" customHeight="1">
      <c r="A19" s="57"/>
      <c r="B19" s="299" t="s">
        <v>163</v>
      </c>
      <c r="C19" s="57"/>
      <c r="D19" s="57"/>
      <c r="E19" s="57"/>
      <c r="G19" s="22"/>
      <c r="H19" s="22"/>
      <c r="I19" s="22"/>
      <c r="K19" s="22"/>
      <c r="L19" s="22"/>
      <c r="M19" s="22"/>
      <c r="N19" s="22"/>
    </row>
    <row r="20" spans="1:14" ht="18" customHeight="1">
      <c r="A20" s="57"/>
      <c r="B20" s="123" t="s">
        <v>164</v>
      </c>
      <c r="C20" s="57"/>
      <c r="D20" s="57"/>
      <c r="E20" s="57"/>
      <c r="G20" s="22"/>
      <c r="H20" s="22"/>
      <c r="I20" s="22"/>
      <c r="K20" s="22"/>
      <c r="L20" s="22"/>
      <c r="M20" s="22"/>
      <c r="N20" s="22"/>
    </row>
    <row r="21" spans="1:14" ht="18" customHeight="1">
      <c r="A21" s="57"/>
      <c r="B21" s="124" t="s">
        <v>165</v>
      </c>
      <c r="C21" s="57"/>
      <c r="D21" s="57"/>
      <c r="E21" s="57"/>
      <c r="G21" s="22"/>
      <c r="H21" s="22"/>
      <c r="I21" s="22"/>
      <c r="K21" s="22"/>
      <c r="L21" s="22"/>
      <c r="M21" s="22"/>
      <c r="N21" s="22"/>
    </row>
    <row r="22" spans="1:14">
      <c r="B22" s="123" t="s">
        <v>162</v>
      </c>
    </row>
    <row r="23" spans="1:14">
      <c r="B23" s="123" t="s">
        <v>166</v>
      </c>
    </row>
  </sheetData>
  <mergeCells count="2">
    <mergeCell ref="A1:M1"/>
    <mergeCell ref="A2:M2"/>
  </mergeCells>
  <phoneticPr fontId="7" type="noConversion"/>
  <dataValidations count="1">
    <dataValidation type="list" allowBlank="1" showInputMessage="1" showErrorMessage="1" sqref="B7:B9">
      <formula1>$B$16:$B$23</formula1>
    </dataValidation>
  </dataValidations>
  <hyperlinks>
    <hyperlink ref="M3" location="底稿目录!A1" display="底稿目录!A1"/>
  </hyperlinks>
  <printOptions horizontalCentered="1"/>
  <pageMargins left="0.55118110236220474" right="0.39370078740157483" top="0.51181102362204722" bottom="0.43307086614173229" header="0.31496062992125984" footer="0.31496062992125984"/>
  <pageSetup paperSize="9" scale="70" fitToHeight="10" orientation="landscape" blackAndWhite="1" cellComments="atEnd"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S102"/>
  <sheetViews>
    <sheetView view="pageBreakPreview" zoomScale="98" zoomScaleNormal="100" zoomScaleSheetLayoutView="98" workbookViewId="0">
      <selection activeCell="R3" sqref="R3"/>
    </sheetView>
  </sheetViews>
  <sheetFormatPr defaultRowHeight="15.6"/>
  <cols>
    <col min="1" max="1" width="11.3984375" customWidth="1"/>
    <col min="2" max="2" width="8.09765625" customWidth="1"/>
    <col min="6" max="6" width="11.59765625" customWidth="1"/>
    <col min="7" max="7" width="9.8984375" customWidth="1"/>
    <col min="8" max="8" width="10.59765625" customWidth="1"/>
    <col min="9" max="9" width="9.59765625" customWidth="1"/>
    <col min="11" max="11" width="11.59765625" customWidth="1"/>
    <col min="13" max="13" width="11.296875" customWidth="1"/>
    <col min="14" max="14" width="10.69921875" customWidth="1"/>
    <col min="18" max="18" width="5.796875" customWidth="1"/>
  </cols>
  <sheetData>
    <row r="1" spans="1:19" ht="19.95" customHeight="1">
      <c r="A1" s="540" t="s">
        <v>600</v>
      </c>
      <c r="B1" s="540"/>
      <c r="C1" s="540"/>
      <c r="D1" s="540"/>
      <c r="E1" s="540"/>
      <c r="F1" s="540"/>
      <c r="G1" s="540"/>
      <c r="H1" s="540"/>
      <c r="I1" s="540"/>
      <c r="J1" s="540"/>
      <c r="K1" s="540"/>
      <c r="L1" s="540"/>
      <c r="M1" s="540"/>
      <c r="N1" s="540"/>
      <c r="O1" s="540"/>
      <c r="P1" s="540"/>
      <c r="Q1" s="540"/>
      <c r="R1" s="540"/>
    </row>
    <row r="2" spans="1:19" ht="19.95" customHeight="1">
      <c r="A2" s="541" t="s">
        <v>378</v>
      </c>
      <c r="B2" s="541"/>
      <c r="C2" s="541"/>
      <c r="D2" s="541"/>
      <c r="E2" s="541"/>
      <c r="F2" s="541"/>
      <c r="G2" s="541"/>
      <c r="H2" s="541"/>
      <c r="I2" s="541"/>
      <c r="J2" s="541"/>
      <c r="K2" s="541"/>
      <c r="L2" s="541"/>
      <c r="M2" s="541"/>
      <c r="N2" s="541"/>
      <c r="O2" s="541"/>
      <c r="P2" s="541"/>
      <c r="Q2" s="541"/>
      <c r="R2" s="541"/>
      <c r="S2" s="243"/>
    </row>
    <row r="3" spans="1:19" ht="19.95" customHeight="1">
      <c r="A3" s="22" t="str">
        <f>底稿目录!A2</f>
        <v>被审计单位：</v>
      </c>
      <c r="B3" s="22"/>
      <c r="C3" s="22"/>
      <c r="D3" s="22"/>
      <c r="F3" s="22"/>
      <c r="G3" s="22"/>
      <c r="H3" s="22" t="str">
        <f>底稿目录!A4</f>
        <v>编制人：</v>
      </c>
      <c r="J3" s="22"/>
      <c r="K3" s="22"/>
      <c r="L3" s="22" t="str">
        <f>底稿目录!A5</f>
        <v>编制日期：</v>
      </c>
      <c r="N3" s="20"/>
      <c r="Q3" s="22" t="s">
        <v>525</v>
      </c>
      <c r="R3" s="357" t="str">
        <f>底稿目录!F20</f>
        <v>F1-7</v>
      </c>
    </row>
    <row r="4" spans="1:19" ht="19.95" customHeight="1">
      <c r="A4" s="22" t="str">
        <f>底稿目录!A3</f>
        <v>截止日：202X年12月31日</v>
      </c>
      <c r="B4" s="22"/>
      <c r="C4" s="22"/>
      <c r="D4" s="22"/>
      <c r="F4" s="22"/>
      <c r="G4" s="22"/>
      <c r="H4" s="22" t="str">
        <f>底稿目录!A6</f>
        <v>复核人：</v>
      </c>
      <c r="J4" s="22"/>
      <c r="K4" s="22"/>
      <c r="L4" s="22" t="str">
        <f>底稿目录!A7</f>
        <v>复核日期：</v>
      </c>
      <c r="N4" s="20"/>
      <c r="Q4" s="22" t="s">
        <v>8</v>
      </c>
      <c r="R4" s="310"/>
    </row>
    <row r="5" spans="1:19" ht="19.95" customHeight="1">
      <c r="A5" s="249" t="s">
        <v>529</v>
      </c>
      <c r="B5" s="249"/>
      <c r="C5" s="248"/>
      <c r="D5" s="250"/>
      <c r="E5" s="248"/>
      <c r="F5" s="248"/>
      <c r="G5" s="248"/>
      <c r="H5" s="248"/>
      <c r="I5" s="248"/>
      <c r="J5" s="248"/>
      <c r="K5" s="248"/>
      <c r="L5" s="248"/>
      <c r="M5" s="248"/>
      <c r="N5" s="248"/>
      <c r="O5" s="248"/>
      <c r="P5" s="248"/>
      <c r="Q5" s="248"/>
      <c r="R5" s="248"/>
    </row>
    <row r="6" spans="1:19" ht="19.95" customHeight="1">
      <c r="A6" s="250" t="s">
        <v>520</v>
      </c>
      <c r="B6" s="250"/>
      <c r="C6" s="248"/>
      <c r="D6" s="250"/>
      <c r="E6" s="248"/>
      <c r="F6" s="248"/>
      <c r="G6" s="248"/>
      <c r="H6" s="248"/>
      <c r="I6" s="248"/>
      <c r="J6" s="248"/>
      <c r="K6" s="248"/>
      <c r="L6" s="248"/>
      <c r="M6" s="248"/>
      <c r="N6" s="248"/>
      <c r="O6" s="248"/>
      <c r="P6" s="248"/>
      <c r="Q6" s="248"/>
      <c r="R6" s="248"/>
    </row>
    <row r="7" spans="1:19" ht="19.95" customHeight="1">
      <c r="A7" s="250" t="s">
        <v>477</v>
      </c>
      <c r="B7" s="250"/>
      <c r="C7" s="248"/>
      <c r="D7" s="250"/>
      <c r="E7" s="248"/>
      <c r="F7" s="248"/>
      <c r="G7" s="248"/>
      <c r="H7" s="248"/>
      <c r="I7" s="248"/>
      <c r="J7" s="248"/>
      <c r="K7" s="248"/>
      <c r="L7" s="248"/>
      <c r="M7" s="248"/>
      <c r="N7" s="248"/>
      <c r="O7" s="248"/>
      <c r="P7" s="248"/>
      <c r="Q7" s="248"/>
      <c r="R7" s="248"/>
    </row>
    <row r="8" spans="1:19" ht="19.95" customHeight="1">
      <c r="A8" s="185" t="s">
        <v>551</v>
      </c>
      <c r="B8" s="185"/>
    </row>
    <row r="9" spans="1:19" ht="19.95" customHeight="1">
      <c r="A9" s="237" t="s">
        <v>471</v>
      </c>
      <c r="B9" s="238" t="s">
        <v>521</v>
      </c>
      <c r="F9" s="237"/>
      <c r="G9" s="238"/>
      <c r="I9" s="237" t="s">
        <v>449</v>
      </c>
      <c r="J9" s="238" t="s">
        <v>522</v>
      </c>
    </row>
    <row r="10" spans="1:19" ht="19.95" customHeight="1">
      <c r="A10" s="237" t="s">
        <v>451</v>
      </c>
      <c r="B10" s="238" t="s">
        <v>633</v>
      </c>
      <c r="F10" s="237"/>
      <c r="G10" s="238"/>
      <c r="I10" s="237" t="s">
        <v>523</v>
      </c>
      <c r="J10" s="238"/>
      <c r="K10" s="238" t="s">
        <v>526</v>
      </c>
      <c r="L10" s="238" t="s">
        <v>524</v>
      </c>
      <c r="N10" s="238"/>
      <c r="O10" s="238"/>
    </row>
    <row r="11" spans="1:19" ht="19.95" customHeight="1">
      <c r="A11" s="237" t="s">
        <v>450</v>
      </c>
      <c r="B11" s="238" t="s">
        <v>664</v>
      </c>
      <c r="F11" s="237"/>
      <c r="G11" s="238"/>
      <c r="I11" s="237" t="s">
        <v>452</v>
      </c>
      <c r="J11" s="238" t="s">
        <v>679</v>
      </c>
      <c r="N11" s="237"/>
      <c r="O11" s="238"/>
    </row>
    <row r="12" spans="1:19" ht="19.95" customHeight="1">
      <c r="A12" s="190" t="s">
        <v>379</v>
      </c>
      <c r="B12" s="190"/>
    </row>
    <row r="13" spans="1:19" ht="19.95" customHeight="1">
      <c r="A13" s="400" t="s">
        <v>641</v>
      </c>
      <c r="B13" s="190"/>
    </row>
    <row r="14" spans="1:19" ht="19.95" customHeight="1">
      <c r="A14" s="186" t="s">
        <v>634</v>
      </c>
      <c r="B14" s="190"/>
    </row>
    <row r="15" spans="1:19" s="193" customFormat="1" ht="19.95" customHeight="1">
      <c r="A15" s="564" t="s">
        <v>575</v>
      </c>
      <c r="B15" s="564"/>
      <c r="C15" s="564"/>
      <c r="D15" s="564"/>
      <c r="E15" s="564"/>
      <c r="F15" s="564"/>
      <c r="G15" s="564"/>
      <c r="H15" s="565" t="s">
        <v>386</v>
      </c>
      <c r="I15" s="565"/>
      <c r="J15" s="565" t="s">
        <v>488</v>
      </c>
      <c r="K15" s="565"/>
      <c r="L15" s="565"/>
      <c r="M15" s="567" t="s">
        <v>405</v>
      </c>
      <c r="N15" s="567"/>
      <c r="O15" s="567"/>
      <c r="P15" s="566" t="s">
        <v>387</v>
      </c>
      <c r="Q15" s="563" t="s">
        <v>388</v>
      </c>
      <c r="R15" s="563" t="s">
        <v>389</v>
      </c>
    </row>
    <row r="16" spans="1:19" s="197" customFormat="1" ht="22.2" customHeight="1">
      <c r="A16" s="188" t="s">
        <v>527</v>
      </c>
      <c r="B16" s="269" t="s">
        <v>380</v>
      </c>
      <c r="C16" s="188" t="s">
        <v>381</v>
      </c>
      <c r="D16" s="188" t="s">
        <v>382</v>
      </c>
      <c r="E16" s="188" t="s">
        <v>383</v>
      </c>
      <c r="F16" s="188" t="s">
        <v>491</v>
      </c>
      <c r="G16" s="189" t="s">
        <v>384</v>
      </c>
      <c r="H16" s="203" t="s">
        <v>390</v>
      </c>
      <c r="I16" s="203" t="s">
        <v>642</v>
      </c>
      <c r="J16" s="196" t="s">
        <v>391</v>
      </c>
      <c r="K16" s="196" t="s">
        <v>489</v>
      </c>
      <c r="L16" s="196" t="s">
        <v>392</v>
      </c>
      <c r="M16" s="213" t="s">
        <v>406</v>
      </c>
      <c r="N16" s="213" t="s">
        <v>407</v>
      </c>
      <c r="O16" s="213" t="s">
        <v>408</v>
      </c>
      <c r="P16" s="566"/>
      <c r="Q16" s="563"/>
      <c r="R16" s="563"/>
      <c r="S16" s="233" t="s">
        <v>448</v>
      </c>
    </row>
    <row r="17" spans="1:18" s="285" customFormat="1" ht="19.95" customHeight="1">
      <c r="A17" s="316"/>
      <c r="B17" s="312"/>
      <c r="C17" s="313"/>
      <c r="D17" s="317"/>
      <c r="E17" s="317"/>
      <c r="F17" s="317"/>
      <c r="G17" s="318"/>
      <c r="H17" s="313"/>
      <c r="I17" s="319"/>
      <c r="J17" s="312"/>
      <c r="K17" s="317"/>
      <c r="L17" s="318"/>
      <c r="M17" s="317"/>
      <c r="N17" s="318"/>
      <c r="O17" s="315"/>
      <c r="P17" s="317"/>
      <c r="Q17" s="313"/>
      <c r="R17" s="319"/>
    </row>
    <row r="18" spans="1:18" s="193" customFormat="1" ht="19.95" customHeight="1">
      <c r="A18" s="311"/>
      <c r="B18" s="312"/>
      <c r="C18" s="313"/>
      <c r="D18" s="191"/>
      <c r="E18" s="191"/>
      <c r="F18" s="191"/>
      <c r="G18" s="192"/>
      <c r="H18" s="313"/>
      <c r="I18" s="314"/>
      <c r="J18" s="312"/>
      <c r="K18" s="191"/>
      <c r="L18" s="192"/>
      <c r="M18" s="191"/>
      <c r="N18" s="192"/>
      <c r="O18" s="315"/>
      <c r="P18" s="191"/>
      <c r="Q18" s="313"/>
      <c r="R18" s="314"/>
    </row>
    <row r="19" spans="1:18" s="193" customFormat="1" ht="19.95" customHeight="1">
      <c r="A19" s="311"/>
      <c r="B19" s="312"/>
      <c r="C19" s="313"/>
      <c r="D19" s="191"/>
      <c r="E19" s="191"/>
      <c r="F19" s="191"/>
      <c r="G19" s="192"/>
      <c r="H19" s="313"/>
      <c r="I19" s="314"/>
      <c r="J19" s="312"/>
      <c r="K19" s="191"/>
      <c r="L19" s="192"/>
      <c r="M19" s="191"/>
      <c r="N19" s="192"/>
      <c r="O19" s="315"/>
      <c r="P19" s="191"/>
      <c r="Q19" s="313"/>
      <c r="R19" s="314"/>
    </row>
    <row r="20" spans="1:18" s="193" customFormat="1" ht="19.95" customHeight="1">
      <c r="A20" s="311"/>
      <c r="B20" s="312"/>
      <c r="C20" s="313"/>
      <c r="D20" s="191"/>
      <c r="E20" s="191"/>
      <c r="F20" s="191"/>
      <c r="G20" s="192"/>
      <c r="H20" s="313"/>
      <c r="I20" s="314"/>
      <c r="J20" s="312"/>
      <c r="K20" s="191"/>
      <c r="L20" s="192"/>
      <c r="M20" s="191"/>
      <c r="N20" s="192"/>
      <c r="O20" s="315"/>
      <c r="P20" s="191"/>
      <c r="Q20" s="313"/>
      <c r="R20" s="314"/>
    </row>
    <row r="21" spans="1:18" s="193" customFormat="1" ht="19.95" customHeight="1">
      <c r="A21" s="311"/>
      <c r="B21" s="312"/>
      <c r="C21" s="313"/>
      <c r="D21" s="191"/>
      <c r="E21" s="191"/>
      <c r="F21" s="191"/>
      <c r="G21" s="192"/>
      <c r="H21" s="313"/>
      <c r="I21" s="314"/>
      <c r="J21" s="312"/>
      <c r="K21" s="191"/>
      <c r="L21" s="192"/>
      <c r="M21" s="191"/>
      <c r="N21" s="192"/>
      <c r="O21" s="315"/>
      <c r="P21" s="191"/>
      <c r="Q21" s="313"/>
      <c r="R21" s="314"/>
    </row>
    <row r="22" spans="1:18" s="193" customFormat="1" ht="19.95" customHeight="1">
      <c r="A22" s="311"/>
      <c r="B22" s="312"/>
      <c r="C22" s="313"/>
      <c r="D22" s="191"/>
      <c r="E22" s="191"/>
      <c r="F22" s="191"/>
      <c r="G22" s="192"/>
      <c r="H22" s="313"/>
      <c r="I22" s="314"/>
      <c r="J22" s="312"/>
      <c r="K22" s="191"/>
      <c r="L22" s="192"/>
      <c r="M22" s="191"/>
      <c r="N22" s="192"/>
      <c r="O22" s="315"/>
      <c r="P22" s="191"/>
      <c r="Q22" s="313"/>
      <c r="R22" s="314"/>
    </row>
    <row r="23" spans="1:18" s="193" customFormat="1" ht="19.95" customHeight="1">
      <c r="A23" s="311"/>
      <c r="B23" s="312"/>
      <c r="C23" s="313"/>
      <c r="D23" s="191"/>
      <c r="E23" s="191"/>
      <c r="F23" s="191"/>
      <c r="G23" s="192"/>
      <c r="H23" s="313"/>
      <c r="I23" s="314"/>
      <c r="J23" s="312"/>
      <c r="K23" s="191"/>
      <c r="L23" s="192"/>
      <c r="M23" s="191"/>
      <c r="N23" s="192"/>
      <c r="O23" s="315"/>
      <c r="P23" s="191"/>
      <c r="Q23" s="313"/>
      <c r="R23" s="314"/>
    </row>
    <row r="24" spans="1:18" s="193" customFormat="1" ht="19.95" customHeight="1">
      <c r="A24" s="311"/>
      <c r="B24" s="312"/>
      <c r="C24" s="313"/>
      <c r="D24" s="191"/>
      <c r="E24" s="191"/>
      <c r="F24" s="191"/>
      <c r="G24" s="192"/>
      <c r="H24" s="313"/>
      <c r="I24" s="314"/>
      <c r="J24" s="312"/>
      <c r="K24" s="191"/>
      <c r="L24" s="192"/>
      <c r="M24" s="191"/>
      <c r="N24" s="192"/>
      <c r="O24" s="315"/>
      <c r="P24" s="191"/>
      <c r="Q24" s="313"/>
      <c r="R24" s="314"/>
    </row>
    <row r="25" spans="1:18" s="193" customFormat="1" ht="19.95" customHeight="1">
      <c r="A25" s="311"/>
      <c r="B25" s="312"/>
      <c r="C25" s="313"/>
      <c r="D25" s="191"/>
      <c r="E25" s="191"/>
      <c r="F25" s="191"/>
      <c r="G25" s="192"/>
      <c r="H25" s="313"/>
      <c r="I25" s="314"/>
      <c r="J25" s="312"/>
      <c r="K25" s="191"/>
      <c r="L25" s="192"/>
      <c r="M25" s="191"/>
      <c r="N25" s="192"/>
      <c r="O25" s="315"/>
      <c r="P25" s="191"/>
      <c r="Q25" s="313"/>
      <c r="R25" s="314"/>
    </row>
    <row r="26" spans="1:18" s="193" customFormat="1" ht="19.95" customHeight="1">
      <c r="A26" s="311"/>
      <c r="B26" s="312"/>
      <c r="C26" s="313"/>
      <c r="D26" s="191"/>
      <c r="E26" s="191"/>
      <c r="F26" s="191"/>
      <c r="G26" s="192"/>
      <c r="H26" s="313"/>
      <c r="I26" s="314"/>
      <c r="J26" s="312"/>
      <c r="K26" s="191"/>
      <c r="L26" s="192"/>
      <c r="M26" s="191"/>
      <c r="N26" s="192"/>
      <c r="O26" s="315"/>
      <c r="P26" s="191"/>
      <c r="Q26" s="313"/>
      <c r="R26" s="314"/>
    </row>
    <row r="27" spans="1:18" s="193" customFormat="1" ht="19.95" customHeight="1">
      <c r="A27" s="311"/>
      <c r="B27" s="312"/>
      <c r="C27" s="313"/>
      <c r="D27" s="191"/>
      <c r="E27" s="191"/>
      <c r="F27" s="191"/>
      <c r="G27" s="192"/>
      <c r="H27" s="313"/>
      <c r="I27" s="314"/>
      <c r="J27" s="312"/>
      <c r="K27" s="191"/>
      <c r="L27" s="192"/>
      <c r="M27" s="191"/>
      <c r="N27" s="192"/>
      <c r="O27" s="315"/>
      <c r="P27" s="191"/>
      <c r="Q27" s="313"/>
      <c r="R27" s="314"/>
    </row>
    <row r="28" spans="1:18" s="193" customFormat="1" ht="19.95" customHeight="1">
      <c r="A28" s="311"/>
      <c r="B28" s="312"/>
      <c r="C28" s="313"/>
      <c r="D28" s="191"/>
      <c r="E28" s="191"/>
      <c r="F28" s="191"/>
      <c r="G28" s="192"/>
      <c r="H28" s="313"/>
      <c r="I28" s="314"/>
      <c r="J28" s="312"/>
      <c r="K28" s="191"/>
      <c r="L28" s="192"/>
      <c r="M28" s="191"/>
      <c r="N28" s="192"/>
      <c r="O28" s="315"/>
      <c r="P28" s="191"/>
      <c r="Q28" s="313"/>
      <c r="R28" s="314"/>
    </row>
    <row r="29" spans="1:18" s="193" customFormat="1" ht="19.95" customHeight="1">
      <c r="A29" s="311"/>
      <c r="B29" s="312"/>
      <c r="C29" s="313"/>
      <c r="D29" s="191"/>
      <c r="E29" s="191"/>
      <c r="F29" s="191"/>
      <c r="G29" s="192"/>
      <c r="H29" s="313"/>
      <c r="I29" s="314"/>
      <c r="J29" s="312"/>
      <c r="K29" s="191"/>
      <c r="L29" s="192"/>
      <c r="M29" s="191"/>
      <c r="N29" s="192"/>
      <c r="O29" s="315"/>
      <c r="P29" s="191"/>
      <c r="Q29" s="313"/>
      <c r="R29" s="314"/>
    </row>
    <row r="30" spans="1:18" s="193" customFormat="1" ht="19.95" customHeight="1">
      <c r="A30" s="311"/>
      <c r="B30" s="312"/>
      <c r="C30" s="313"/>
      <c r="D30" s="191"/>
      <c r="E30" s="191"/>
      <c r="F30" s="191"/>
      <c r="G30" s="192"/>
      <c r="H30" s="313"/>
      <c r="I30" s="314"/>
      <c r="J30" s="312"/>
      <c r="K30" s="191"/>
      <c r="L30" s="192"/>
      <c r="M30" s="191"/>
      <c r="N30" s="192"/>
      <c r="O30" s="315"/>
      <c r="P30" s="191"/>
      <c r="Q30" s="313"/>
      <c r="R30" s="314"/>
    </row>
    <row r="31" spans="1:18" s="193" customFormat="1" ht="19.95" customHeight="1">
      <c r="A31" s="311"/>
      <c r="B31" s="312"/>
      <c r="C31" s="313"/>
      <c r="D31" s="191"/>
      <c r="E31" s="191"/>
      <c r="F31" s="191"/>
      <c r="G31" s="192"/>
      <c r="H31" s="313"/>
      <c r="I31" s="314"/>
      <c r="J31" s="312"/>
      <c r="K31" s="191"/>
      <c r="L31" s="192"/>
      <c r="M31" s="191"/>
      <c r="N31" s="192"/>
      <c r="O31" s="315"/>
      <c r="P31" s="191"/>
      <c r="Q31" s="313"/>
      <c r="R31" s="314"/>
    </row>
    <row r="32" spans="1:18" s="193" customFormat="1" ht="19.95" customHeight="1">
      <c r="A32" s="311"/>
      <c r="B32" s="312"/>
      <c r="C32" s="313"/>
      <c r="D32" s="191"/>
      <c r="E32" s="191"/>
      <c r="F32" s="191"/>
      <c r="G32" s="192"/>
      <c r="H32" s="313"/>
      <c r="I32" s="314"/>
      <c r="J32" s="312"/>
      <c r="K32" s="191"/>
      <c r="L32" s="192"/>
      <c r="M32" s="191"/>
      <c r="N32" s="192"/>
      <c r="O32" s="315"/>
      <c r="P32" s="191"/>
      <c r="Q32" s="313"/>
      <c r="R32" s="314"/>
    </row>
    <row r="33" spans="1:19" s="193" customFormat="1" ht="19.95" customHeight="1">
      <c r="A33" s="311"/>
      <c r="B33" s="312"/>
      <c r="C33" s="313"/>
      <c r="D33" s="191"/>
      <c r="E33" s="191"/>
      <c r="F33" s="191"/>
      <c r="G33" s="192"/>
      <c r="H33" s="313"/>
      <c r="I33" s="314"/>
      <c r="J33" s="312"/>
      <c r="K33" s="191"/>
      <c r="L33" s="192"/>
      <c r="M33" s="191"/>
      <c r="N33" s="192"/>
      <c r="O33" s="315"/>
      <c r="P33" s="191"/>
      <c r="Q33" s="313"/>
      <c r="R33" s="314"/>
    </row>
    <row r="34" spans="1:19" s="193" customFormat="1" ht="19.95" customHeight="1">
      <c r="A34" s="311"/>
      <c r="B34" s="312"/>
      <c r="C34" s="313"/>
      <c r="D34" s="191"/>
      <c r="E34" s="191"/>
      <c r="F34" s="191"/>
      <c r="G34" s="192"/>
      <c r="H34" s="313"/>
      <c r="I34" s="314"/>
      <c r="J34" s="312"/>
      <c r="K34" s="191"/>
      <c r="L34" s="192"/>
      <c r="M34" s="191"/>
      <c r="N34" s="192"/>
      <c r="O34" s="315"/>
      <c r="P34" s="191"/>
      <c r="Q34" s="313"/>
      <c r="R34" s="314"/>
    </row>
    <row r="35" spans="1:19" s="193" customFormat="1" ht="19.95" customHeight="1">
      <c r="A35" s="311"/>
      <c r="B35" s="312"/>
      <c r="C35" s="313"/>
      <c r="D35" s="191"/>
      <c r="E35" s="191"/>
      <c r="F35" s="191"/>
      <c r="G35" s="192"/>
      <c r="H35" s="313"/>
      <c r="I35" s="314"/>
      <c r="J35" s="312"/>
      <c r="K35" s="191"/>
      <c r="L35" s="192"/>
      <c r="M35" s="191"/>
      <c r="N35" s="192"/>
      <c r="O35" s="315"/>
      <c r="P35" s="191"/>
      <c r="Q35" s="313"/>
      <c r="R35" s="314"/>
    </row>
    <row r="36" spans="1:19" s="193" customFormat="1" ht="19.95" customHeight="1">
      <c r="A36" s="311"/>
      <c r="B36" s="312"/>
      <c r="C36" s="313"/>
      <c r="D36" s="191"/>
      <c r="E36" s="191"/>
      <c r="F36" s="191"/>
      <c r="G36" s="192"/>
      <c r="H36" s="313"/>
      <c r="I36" s="314"/>
      <c r="J36" s="312"/>
      <c r="K36" s="191"/>
      <c r="L36" s="192"/>
      <c r="M36" s="191"/>
      <c r="N36" s="192"/>
      <c r="O36" s="315"/>
      <c r="P36" s="191"/>
      <c r="Q36" s="313"/>
      <c r="R36" s="314"/>
    </row>
    <row r="37" spans="1:19" s="193" customFormat="1" ht="19.95" customHeight="1">
      <c r="A37" s="311"/>
      <c r="B37" s="312"/>
      <c r="C37" s="313"/>
      <c r="D37" s="191"/>
      <c r="E37" s="191"/>
      <c r="F37" s="191"/>
      <c r="G37" s="192"/>
      <c r="H37" s="313"/>
      <c r="I37" s="314"/>
      <c r="J37" s="312"/>
      <c r="K37" s="191"/>
      <c r="L37" s="192"/>
      <c r="M37" s="191"/>
      <c r="N37" s="192"/>
      <c r="O37" s="315"/>
      <c r="P37" s="191"/>
      <c r="Q37" s="313"/>
      <c r="R37" s="314"/>
    </row>
    <row r="38" spans="1:19" s="125" customFormat="1" ht="19.95" customHeight="1">
      <c r="A38" s="320" t="s">
        <v>402</v>
      </c>
      <c r="B38" s="320"/>
      <c r="C38" s="321"/>
      <c r="D38" s="322"/>
      <c r="E38" s="322"/>
      <c r="F38" s="322"/>
      <c r="G38" s="323">
        <f>SUM(G17:G37)</f>
        <v>0</v>
      </c>
      <c r="H38" s="322"/>
      <c r="I38" s="320"/>
      <c r="J38" s="322"/>
      <c r="K38" s="322"/>
      <c r="L38" s="323">
        <f>SUM(L17:L37)</f>
        <v>0</v>
      </c>
      <c r="M38" s="322"/>
      <c r="N38" s="323">
        <f>SUM(N17:N37)</f>
        <v>0</v>
      </c>
      <c r="O38" s="323"/>
      <c r="P38" s="322"/>
      <c r="Q38" s="322"/>
      <c r="R38" s="322"/>
    </row>
    <row r="39" spans="1:19" ht="19.95" customHeight="1">
      <c r="A39" s="186" t="s">
        <v>635</v>
      </c>
      <c r="B39" s="190"/>
      <c r="S39" s="202"/>
    </row>
    <row r="40" spans="1:19" s="193" customFormat="1" ht="19.95" customHeight="1">
      <c r="A40" s="564" t="s">
        <v>385</v>
      </c>
      <c r="B40" s="564"/>
      <c r="C40" s="564"/>
      <c r="D40" s="564"/>
      <c r="E40" s="564"/>
      <c r="F40" s="564"/>
      <c r="G40" s="564"/>
      <c r="H40" s="565" t="s">
        <v>396</v>
      </c>
      <c r="I40" s="565"/>
      <c r="J40" s="565"/>
      <c r="K40" s="565"/>
      <c r="L40" s="566" t="s">
        <v>397</v>
      </c>
      <c r="M40" s="566"/>
      <c r="N40" s="566"/>
      <c r="O40" s="566" t="s">
        <v>7</v>
      </c>
      <c r="P40" s="563" t="s">
        <v>388</v>
      </c>
      <c r="Q40" s="563" t="s">
        <v>389</v>
      </c>
      <c r="R40" s="566"/>
    </row>
    <row r="41" spans="1:19" s="197" customFormat="1" ht="19.95" customHeight="1">
      <c r="A41" s="269" t="s">
        <v>527</v>
      </c>
      <c r="B41" s="269" t="s">
        <v>380</v>
      </c>
      <c r="C41" s="188" t="s">
        <v>381</v>
      </c>
      <c r="D41" s="188" t="s">
        <v>382</v>
      </c>
      <c r="E41" s="188" t="s">
        <v>383</v>
      </c>
      <c r="F41" s="188" t="s">
        <v>490</v>
      </c>
      <c r="G41" s="189" t="s">
        <v>395</v>
      </c>
      <c r="H41" s="195" t="s">
        <v>398</v>
      </c>
      <c r="I41" s="195" t="s">
        <v>399</v>
      </c>
      <c r="J41" s="195" t="s">
        <v>400</v>
      </c>
      <c r="K41" s="195" t="s">
        <v>401</v>
      </c>
      <c r="L41" s="196" t="s">
        <v>638</v>
      </c>
      <c r="M41" s="196" t="s">
        <v>393</v>
      </c>
      <c r="N41" s="196" t="s">
        <v>394</v>
      </c>
      <c r="O41" s="566"/>
      <c r="P41" s="563"/>
      <c r="Q41" s="563"/>
      <c r="R41" s="566"/>
      <c r="S41" s="233" t="s">
        <v>448</v>
      </c>
    </row>
    <row r="42" spans="1:19" s="19" customFormat="1" ht="19.95" customHeight="1">
      <c r="A42" s="327"/>
      <c r="B42" s="312"/>
      <c r="C42" s="313"/>
      <c r="D42" s="327"/>
      <c r="E42" s="327"/>
      <c r="F42" s="327"/>
      <c r="G42" s="318"/>
      <c r="H42" s="313"/>
      <c r="I42" s="328"/>
      <c r="J42" s="324"/>
      <c r="K42" s="194"/>
      <c r="L42" s="326"/>
      <c r="M42" s="327"/>
      <c r="N42" s="194"/>
      <c r="O42" s="326"/>
      <c r="P42" s="326"/>
      <c r="Q42" s="324"/>
      <c r="R42" s="326"/>
    </row>
    <row r="43" spans="1:19" s="19" customFormat="1" ht="19.95" customHeight="1">
      <c r="A43" s="327"/>
      <c r="B43" s="312"/>
      <c r="C43" s="327"/>
      <c r="D43" s="327"/>
      <c r="E43" s="327"/>
      <c r="F43" s="327"/>
      <c r="G43" s="318"/>
      <c r="H43" s="313"/>
      <c r="I43" s="325"/>
      <c r="J43" s="324"/>
      <c r="K43" s="194"/>
      <c r="L43" s="326"/>
      <c r="M43" s="327"/>
      <c r="N43" s="194"/>
      <c r="O43" s="326"/>
      <c r="P43" s="326"/>
      <c r="Q43" s="324"/>
      <c r="R43" s="326"/>
    </row>
    <row r="44" spans="1:19" s="19" customFormat="1" ht="19.95" customHeight="1">
      <c r="A44" s="327"/>
      <c r="B44" s="312"/>
      <c r="C44" s="327"/>
      <c r="D44" s="327"/>
      <c r="E44" s="327"/>
      <c r="F44" s="327"/>
      <c r="G44" s="318"/>
      <c r="H44" s="313"/>
      <c r="I44" s="325"/>
      <c r="J44" s="324"/>
      <c r="K44" s="194"/>
      <c r="L44" s="326"/>
      <c r="M44" s="327"/>
      <c r="N44" s="194"/>
      <c r="O44" s="326"/>
      <c r="P44" s="326"/>
      <c r="Q44" s="324"/>
      <c r="R44" s="326"/>
    </row>
    <row r="45" spans="1:19" s="19" customFormat="1" ht="19.95" customHeight="1">
      <c r="A45" s="327"/>
      <c r="B45" s="312"/>
      <c r="C45" s="327"/>
      <c r="D45" s="327"/>
      <c r="E45" s="327"/>
      <c r="F45" s="327"/>
      <c r="G45" s="318"/>
      <c r="H45" s="313"/>
      <c r="I45" s="325"/>
      <c r="J45" s="324"/>
      <c r="K45" s="194"/>
      <c r="L45" s="326"/>
      <c r="M45" s="327"/>
      <c r="N45" s="194"/>
      <c r="O45" s="326"/>
      <c r="P45" s="326"/>
      <c r="Q45" s="324"/>
      <c r="R45" s="326"/>
    </row>
    <row r="46" spans="1:19" s="19" customFormat="1" ht="19.95" customHeight="1">
      <c r="A46" s="327"/>
      <c r="B46" s="312"/>
      <c r="C46" s="327"/>
      <c r="D46" s="327"/>
      <c r="E46" s="327"/>
      <c r="F46" s="327"/>
      <c r="G46" s="318"/>
      <c r="H46" s="313"/>
      <c r="I46" s="325"/>
      <c r="J46" s="324"/>
      <c r="K46" s="194"/>
      <c r="L46" s="326"/>
      <c r="M46" s="327"/>
      <c r="N46" s="194"/>
      <c r="O46" s="326"/>
      <c r="P46" s="326"/>
      <c r="Q46" s="324"/>
      <c r="R46" s="326"/>
    </row>
    <row r="47" spans="1:19" s="19" customFormat="1" ht="19.95" customHeight="1">
      <c r="A47" s="327"/>
      <c r="B47" s="312"/>
      <c r="C47" s="327"/>
      <c r="D47" s="327"/>
      <c r="E47" s="327"/>
      <c r="F47" s="327"/>
      <c r="G47" s="318"/>
      <c r="H47" s="313"/>
      <c r="I47" s="325"/>
      <c r="J47" s="324"/>
      <c r="K47" s="194"/>
      <c r="L47" s="326"/>
      <c r="M47" s="327"/>
      <c r="N47" s="194"/>
      <c r="O47" s="326"/>
      <c r="P47" s="326"/>
      <c r="Q47" s="324"/>
      <c r="R47" s="326"/>
    </row>
    <row r="48" spans="1:19" s="19" customFormat="1" ht="19.95" customHeight="1">
      <c r="A48" s="327"/>
      <c r="B48" s="312"/>
      <c r="C48" s="327"/>
      <c r="D48" s="327"/>
      <c r="E48" s="327"/>
      <c r="F48" s="327"/>
      <c r="G48" s="318"/>
      <c r="H48" s="313"/>
      <c r="I48" s="325"/>
      <c r="J48" s="324"/>
      <c r="K48" s="194"/>
      <c r="L48" s="326"/>
      <c r="M48" s="327"/>
      <c r="N48" s="194"/>
      <c r="O48" s="326"/>
      <c r="P48" s="326"/>
      <c r="Q48" s="324"/>
      <c r="R48" s="326"/>
    </row>
    <row r="49" spans="1:18" s="19" customFormat="1" ht="19.95" customHeight="1">
      <c r="A49" s="327"/>
      <c r="B49" s="312"/>
      <c r="C49" s="327"/>
      <c r="D49" s="327"/>
      <c r="E49" s="327"/>
      <c r="F49" s="327"/>
      <c r="G49" s="318"/>
      <c r="H49" s="313"/>
      <c r="I49" s="325"/>
      <c r="J49" s="324"/>
      <c r="K49" s="194"/>
      <c r="L49" s="326"/>
      <c r="M49" s="327"/>
      <c r="N49" s="194"/>
      <c r="O49" s="326"/>
      <c r="P49" s="326"/>
      <c r="Q49" s="324"/>
      <c r="R49" s="326"/>
    </row>
    <row r="50" spans="1:18" s="19" customFormat="1" ht="19.95" customHeight="1">
      <c r="A50" s="327"/>
      <c r="B50" s="312"/>
      <c r="C50" s="327"/>
      <c r="D50" s="327"/>
      <c r="E50" s="327"/>
      <c r="F50" s="327"/>
      <c r="G50" s="318"/>
      <c r="H50" s="313"/>
      <c r="I50" s="325"/>
      <c r="J50" s="324"/>
      <c r="K50" s="194"/>
      <c r="L50" s="326"/>
      <c r="M50" s="327"/>
      <c r="N50" s="194"/>
      <c r="O50" s="326"/>
      <c r="P50" s="326"/>
      <c r="Q50" s="324"/>
      <c r="R50" s="326"/>
    </row>
    <row r="51" spans="1:18" s="19" customFormat="1" ht="19.95" customHeight="1">
      <c r="A51" s="327"/>
      <c r="B51" s="312"/>
      <c r="C51" s="327"/>
      <c r="D51" s="327"/>
      <c r="E51" s="327"/>
      <c r="F51" s="327"/>
      <c r="G51" s="318"/>
      <c r="H51" s="313"/>
      <c r="I51" s="325"/>
      <c r="J51" s="324"/>
      <c r="K51" s="194"/>
      <c r="L51" s="326"/>
      <c r="M51" s="327"/>
      <c r="N51" s="194"/>
      <c r="O51" s="326"/>
      <c r="P51" s="326"/>
      <c r="Q51" s="324"/>
      <c r="R51" s="326"/>
    </row>
    <row r="52" spans="1:18" s="19" customFormat="1" ht="19.95" customHeight="1">
      <c r="A52" s="327"/>
      <c r="B52" s="312"/>
      <c r="C52" s="327"/>
      <c r="D52" s="327"/>
      <c r="E52" s="327"/>
      <c r="F52" s="327"/>
      <c r="G52" s="318"/>
      <c r="H52" s="313"/>
      <c r="I52" s="325"/>
      <c r="J52" s="324"/>
      <c r="K52" s="194"/>
      <c r="L52" s="326"/>
      <c r="M52" s="327"/>
      <c r="N52" s="194"/>
      <c r="O52" s="326"/>
      <c r="P52" s="326"/>
      <c r="Q52" s="324"/>
      <c r="R52" s="326"/>
    </row>
    <row r="53" spans="1:18" s="19" customFormat="1" ht="19.95" customHeight="1">
      <c r="A53" s="327"/>
      <c r="B53" s="312"/>
      <c r="C53" s="327"/>
      <c r="D53" s="327"/>
      <c r="E53" s="327"/>
      <c r="F53" s="327"/>
      <c r="G53" s="318"/>
      <c r="H53" s="313"/>
      <c r="I53" s="325"/>
      <c r="J53" s="324"/>
      <c r="K53" s="194"/>
      <c r="L53" s="326"/>
      <c r="M53" s="327"/>
      <c r="N53" s="194"/>
      <c r="O53" s="326"/>
      <c r="P53" s="326"/>
      <c r="Q53" s="324"/>
      <c r="R53" s="326"/>
    </row>
    <row r="54" spans="1:18" s="19" customFormat="1" ht="19.95" customHeight="1">
      <c r="A54" s="327"/>
      <c r="B54" s="312"/>
      <c r="C54" s="327"/>
      <c r="D54" s="327"/>
      <c r="E54" s="327"/>
      <c r="F54" s="327"/>
      <c r="G54" s="318"/>
      <c r="H54" s="313"/>
      <c r="I54" s="325"/>
      <c r="J54" s="324"/>
      <c r="K54" s="194"/>
      <c r="L54" s="326"/>
      <c r="M54" s="327"/>
      <c r="N54" s="194"/>
      <c r="O54" s="326"/>
      <c r="P54" s="326"/>
      <c r="Q54" s="324"/>
      <c r="R54" s="326"/>
    </row>
    <row r="55" spans="1:18" s="19" customFormat="1" ht="19.95" customHeight="1">
      <c r="A55" s="327"/>
      <c r="B55" s="312"/>
      <c r="C55" s="327"/>
      <c r="D55" s="327"/>
      <c r="E55" s="327"/>
      <c r="F55" s="327"/>
      <c r="G55" s="318"/>
      <c r="H55" s="313"/>
      <c r="I55" s="325"/>
      <c r="J55" s="324"/>
      <c r="K55" s="194"/>
      <c r="L55" s="326"/>
      <c r="M55" s="327"/>
      <c r="N55" s="194"/>
      <c r="O55" s="326"/>
      <c r="P55" s="326"/>
      <c r="Q55" s="324"/>
      <c r="R55" s="326"/>
    </row>
    <row r="56" spans="1:18" s="19" customFormat="1" ht="19.95" customHeight="1">
      <c r="A56" s="327"/>
      <c r="B56" s="312"/>
      <c r="C56" s="327"/>
      <c r="D56" s="327"/>
      <c r="E56" s="327"/>
      <c r="F56" s="327"/>
      <c r="G56" s="318"/>
      <c r="H56" s="313"/>
      <c r="I56" s="325"/>
      <c r="J56" s="324"/>
      <c r="K56" s="194"/>
      <c r="L56" s="326"/>
      <c r="M56" s="327"/>
      <c r="N56" s="194"/>
      <c r="O56" s="326"/>
      <c r="P56" s="326"/>
      <c r="Q56" s="324"/>
      <c r="R56" s="326"/>
    </row>
    <row r="57" spans="1:18" s="19" customFormat="1" ht="19.95" customHeight="1">
      <c r="A57" s="327"/>
      <c r="B57" s="312"/>
      <c r="C57" s="327"/>
      <c r="D57" s="327"/>
      <c r="E57" s="327"/>
      <c r="F57" s="327"/>
      <c r="G57" s="318"/>
      <c r="H57" s="313"/>
      <c r="I57" s="325"/>
      <c r="J57" s="324"/>
      <c r="K57" s="194"/>
      <c r="L57" s="326"/>
      <c r="M57" s="327"/>
      <c r="N57" s="194"/>
      <c r="O57" s="326"/>
      <c r="P57" s="326"/>
      <c r="Q57" s="324"/>
      <c r="R57" s="326"/>
    </row>
    <row r="58" spans="1:18" s="19" customFormat="1" ht="19.95" customHeight="1">
      <c r="A58" s="327"/>
      <c r="B58" s="312"/>
      <c r="C58" s="327"/>
      <c r="D58" s="327"/>
      <c r="E58" s="327"/>
      <c r="F58" s="327"/>
      <c r="G58" s="318"/>
      <c r="H58" s="313"/>
      <c r="I58" s="325"/>
      <c r="J58" s="324"/>
      <c r="K58" s="194"/>
      <c r="L58" s="326"/>
      <c r="M58" s="327"/>
      <c r="N58" s="194"/>
      <c r="O58" s="326"/>
      <c r="P58" s="326"/>
      <c r="Q58" s="324"/>
      <c r="R58" s="326"/>
    </row>
    <row r="59" spans="1:18" s="19" customFormat="1" ht="19.95" customHeight="1">
      <c r="A59" s="327"/>
      <c r="B59" s="312"/>
      <c r="C59" s="327"/>
      <c r="D59" s="327"/>
      <c r="E59" s="327"/>
      <c r="F59" s="327"/>
      <c r="G59" s="318"/>
      <c r="H59" s="313"/>
      <c r="I59" s="325"/>
      <c r="J59" s="324"/>
      <c r="K59" s="194"/>
      <c r="L59" s="326"/>
      <c r="M59" s="327"/>
      <c r="N59" s="194"/>
      <c r="O59" s="326"/>
      <c r="P59" s="326"/>
      <c r="Q59" s="324"/>
      <c r="R59" s="326"/>
    </row>
    <row r="60" spans="1:18" s="19" customFormat="1" ht="19.95" customHeight="1">
      <c r="A60" s="327"/>
      <c r="B60" s="312"/>
      <c r="C60" s="327"/>
      <c r="D60" s="327"/>
      <c r="E60" s="327"/>
      <c r="F60" s="327"/>
      <c r="G60" s="318"/>
      <c r="H60" s="313"/>
      <c r="I60" s="325"/>
      <c r="J60" s="324"/>
      <c r="K60" s="194"/>
      <c r="L60" s="326"/>
      <c r="M60" s="327"/>
      <c r="N60" s="194"/>
      <c r="O60" s="326"/>
      <c r="P60" s="326"/>
      <c r="Q60" s="324"/>
      <c r="R60" s="326"/>
    </row>
    <row r="61" spans="1:18" s="19" customFormat="1" ht="19.95" customHeight="1">
      <c r="A61" s="327"/>
      <c r="B61" s="312"/>
      <c r="C61" s="327"/>
      <c r="D61" s="327"/>
      <c r="E61" s="327"/>
      <c r="F61" s="327"/>
      <c r="G61" s="318"/>
      <c r="H61" s="313"/>
      <c r="I61" s="325"/>
      <c r="J61" s="324"/>
      <c r="K61" s="194"/>
      <c r="L61" s="326"/>
      <c r="M61" s="327"/>
      <c r="N61" s="194"/>
      <c r="O61" s="326"/>
      <c r="P61" s="326"/>
      <c r="Q61" s="324"/>
      <c r="R61" s="326"/>
    </row>
    <row r="62" spans="1:18" s="19" customFormat="1" ht="19.95" customHeight="1">
      <c r="A62" s="327"/>
      <c r="B62" s="312"/>
      <c r="C62" s="327"/>
      <c r="D62" s="327"/>
      <c r="E62" s="327"/>
      <c r="F62" s="327"/>
      <c r="G62" s="318"/>
      <c r="H62" s="313"/>
      <c r="I62" s="325"/>
      <c r="J62" s="324"/>
      <c r="K62" s="194"/>
      <c r="L62" s="326"/>
      <c r="M62" s="327"/>
      <c r="N62" s="194"/>
      <c r="O62" s="326"/>
      <c r="P62" s="326"/>
      <c r="Q62" s="324"/>
      <c r="R62" s="326"/>
    </row>
    <row r="63" spans="1:18" s="19" customFormat="1" ht="19.95" customHeight="1">
      <c r="A63" s="327"/>
      <c r="B63" s="312"/>
      <c r="C63" s="327"/>
      <c r="D63" s="327"/>
      <c r="E63" s="327"/>
      <c r="F63" s="327"/>
      <c r="G63" s="318"/>
      <c r="H63" s="313"/>
      <c r="I63" s="325"/>
      <c r="J63" s="324"/>
      <c r="K63" s="194"/>
      <c r="L63" s="326"/>
      <c r="M63" s="327"/>
      <c r="N63" s="194"/>
      <c r="O63" s="326"/>
      <c r="P63" s="326"/>
      <c r="Q63" s="324"/>
      <c r="R63" s="326"/>
    </row>
    <row r="64" spans="1:18" s="19" customFormat="1" ht="19.95" customHeight="1">
      <c r="A64" s="327"/>
      <c r="B64" s="312"/>
      <c r="C64" s="327"/>
      <c r="D64" s="327"/>
      <c r="E64" s="327"/>
      <c r="F64" s="327"/>
      <c r="G64" s="318"/>
      <c r="H64" s="313"/>
      <c r="I64" s="325"/>
      <c r="J64" s="324"/>
      <c r="K64" s="194"/>
      <c r="L64" s="326"/>
      <c r="M64" s="327"/>
      <c r="N64" s="194"/>
      <c r="O64" s="326"/>
      <c r="P64" s="326"/>
      <c r="Q64" s="324"/>
      <c r="R64" s="326"/>
    </row>
    <row r="65" spans="1:19" s="17" customFormat="1" ht="19.95" customHeight="1">
      <c r="A65" s="321" t="s">
        <v>528</v>
      </c>
      <c r="B65" s="321"/>
      <c r="C65" s="329"/>
      <c r="D65" s="329"/>
      <c r="E65" s="329"/>
      <c r="F65" s="329"/>
      <c r="G65" s="323">
        <f>SUM(G42:G64)</f>
        <v>0</v>
      </c>
      <c r="H65" s="329"/>
      <c r="I65" s="322"/>
      <c r="J65" s="322"/>
      <c r="K65" s="323"/>
      <c r="L65" s="323"/>
      <c r="M65" s="329"/>
      <c r="N65" s="323">
        <f>SUM(N42:N64)</f>
        <v>0</v>
      </c>
      <c r="O65" s="323"/>
      <c r="P65" s="329"/>
      <c r="Q65" s="323"/>
      <c r="R65" s="329"/>
    </row>
    <row r="66" spans="1:19" ht="19.95" customHeight="1">
      <c r="A66" s="186" t="s">
        <v>492</v>
      </c>
      <c r="B66" s="190"/>
      <c r="S66" s="202"/>
    </row>
    <row r="67" spans="1:19" s="193" customFormat="1" ht="19.95" customHeight="1">
      <c r="A67" s="564" t="s">
        <v>385</v>
      </c>
      <c r="B67" s="564"/>
      <c r="C67" s="564"/>
      <c r="D67" s="564"/>
      <c r="E67" s="564"/>
      <c r="F67" s="564"/>
      <c r="G67" s="564"/>
      <c r="H67" s="565" t="s">
        <v>396</v>
      </c>
      <c r="I67" s="565"/>
      <c r="J67" s="565"/>
      <c r="K67" s="565"/>
      <c r="L67" s="566" t="s">
        <v>397</v>
      </c>
      <c r="M67" s="566"/>
      <c r="N67" s="566"/>
      <c r="O67" s="566" t="s">
        <v>7</v>
      </c>
      <c r="P67" s="563" t="s">
        <v>74</v>
      </c>
      <c r="Q67" s="563" t="s">
        <v>389</v>
      </c>
      <c r="R67" s="566"/>
    </row>
    <row r="68" spans="1:19" s="197" customFormat="1" ht="19.95" customHeight="1">
      <c r="A68" s="269" t="s">
        <v>527</v>
      </c>
      <c r="B68" s="269" t="s">
        <v>380</v>
      </c>
      <c r="C68" s="266" t="s">
        <v>381</v>
      </c>
      <c r="D68" s="266" t="s">
        <v>382</v>
      </c>
      <c r="E68" s="266" t="s">
        <v>383</v>
      </c>
      <c r="F68" s="266" t="s">
        <v>637</v>
      </c>
      <c r="G68" s="189" t="s">
        <v>395</v>
      </c>
      <c r="H68" s="267" t="s">
        <v>390</v>
      </c>
      <c r="I68" s="267" t="s">
        <v>399</v>
      </c>
      <c r="J68" s="267" t="s">
        <v>400</v>
      </c>
      <c r="K68" s="267" t="s">
        <v>401</v>
      </c>
      <c r="L68" s="196" t="s">
        <v>390</v>
      </c>
      <c r="M68" s="196" t="s">
        <v>393</v>
      </c>
      <c r="N68" s="196" t="s">
        <v>392</v>
      </c>
      <c r="O68" s="566"/>
      <c r="P68" s="563"/>
      <c r="Q68" s="563"/>
      <c r="R68" s="566"/>
      <c r="S68" s="233" t="s">
        <v>448</v>
      </c>
    </row>
    <row r="69" spans="1:19" s="19" customFormat="1" ht="19.95" customHeight="1">
      <c r="A69" s="327"/>
      <c r="B69" s="312"/>
      <c r="C69" s="313"/>
      <c r="D69" s="327"/>
      <c r="E69" s="327"/>
      <c r="F69" s="327"/>
      <c r="G69" s="318"/>
      <c r="H69" s="313"/>
      <c r="I69" s="328"/>
      <c r="J69" s="324"/>
      <c r="K69" s="194"/>
      <c r="L69" s="326"/>
      <c r="M69" s="327"/>
      <c r="N69" s="194"/>
      <c r="O69" s="326"/>
      <c r="P69" s="326"/>
      <c r="Q69" s="324"/>
      <c r="R69" s="326"/>
    </row>
    <row r="70" spans="1:19" s="19" customFormat="1" ht="19.95" customHeight="1">
      <c r="A70" s="327"/>
      <c r="B70" s="312"/>
      <c r="C70" s="313"/>
      <c r="D70" s="327"/>
      <c r="E70" s="327"/>
      <c r="F70" s="327"/>
      <c r="G70" s="318"/>
      <c r="H70" s="313"/>
      <c r="I70" s="328"/>
      <c r="J70" s="324"/>
      <c r="K70" s="194"/>
      <c r="L70" s="326"/>
      <c r="M70" s="327"/>
      <c r="N70" s="194"/>
      <c r="O70" s="326"/>
      <c r="P70" s="326"/>
      <c r="Q70" s="324"/>
      <c r="R70" s="326"/>
    </row>
    <row r="71" spans="1:19" s="19" customFormat="1" ht="19.95" customHeight="1">
      <c r="A71" s="327"/>
      <c r="B71" s="312"/>
      <c r="C71" s="313"/>
      <c r="D71" s="327"/>
      <c r="E71" s="327"/>
      <c r="F71" s="327"/>
      <c r="G71" s="318"/>
      <c r="H71" s="313"/>
      <c r="I71" s="328"/>
      <c r="J71" s="324"/>
      <c r="K71" s="194"/>
      <c r="L71" s="326"/>
      <c r="M71" s="327"/>
      <c r="N71" s="194"/>
      <c r="O71" s="326"/>
      <c r="P71" s="326"/>
      <c r="Q71" s="324"/>
      <c r="R71" s="326"/>
    </row>
    <row r="72" spans="1:19" s="19" customFormat="1" ht="19.95" customHeight="1">
      <c r="A72" s="327"/>
      <c r="B72" s="312"/>
      <c r="C72" s="313"/>
      <c r="D72" s="327"/>
      <c r="E72" s="327"/>
      <c r="F72" s="327"/>
      <c r="G72" s="318"/>
      <c r="H72" s="313"/>
      <c r="I72" s="328"/>
      <c r="J72" s="324"/>
      <c r="K72" s="194"/>
      <c r="L72" s="326"/>
      <c r="M72" s="327"/>
      <c r="N72" s="194"/>
      <c r="O72" s="326"/>
      <c r="P72" s="326"/>
      <c r="Q72" s="324"/>
      <c r="R72" s="326"/>
    </row>
    <row r="73" spans="1:19" s="19" customFormat="1" ht="19.95" customHeight="1">
      <c r="A73" s="327"/>
      <c r="B73" s="312"/>
      <c r="C73" s="313"/>
      <c r="D73" s="327"/>
      <c r="E73" s="327"/>
      <c r="F73" s="327"/>
      <c r="G73" s="318"/>
      <c r="H73" s="313"/>
      <c r="I73" s="328"/>
      <c r="J73" s="324"/>
      <c r="K73" s="194"/>
      <c r="L73" s="326"/>
      <c r="M73" s="327"/>
      <c r="N73" s="194"/>
      <c r="O73" s="326"/>
      <c r="P73" s="326"/>
      <c r="Q73" s="324"/>
      <c r="R73" s="326"/>
    </row>
    <row r="74" spans="1:19" s="19" customFormat="1" ht="19.95" customHeight="1">
      <c r="A74" s="327"/>
      <c r="B74" s="312"/>
      <c r="C74" s="313"/>
      <c r="D74" s="327"/>
      <c r="E74" s="327"/>
      <c r="F74" s="327"/>
      <c r="G74" s="318"/>
      <c r="H74" s="313"/>
      <c r="I74" s="328"/>
      <c r="J74" s="324"/>
      <c r="K74" s="194"/>
      <c r="L74" s="326"/>
      <c r="M74" s="327"/>
      <c r="N74" s="194"/>
      <c r="O74" s="326"/>
      <c r="P74" s="326"/>
      <c r="Q74" s="324"/>
      <c r="R74" s="326"/>
    </row>
    <row r="75" spans="1:19" s="19" customFormat="1" ht="19.95" customHeight="1">
      <c r="A75" s="327"/>
      <c r="B75" s="312"/>
      <c r="C75" s="313"/>
      <c r="D75" s="327"/>
      <c r="E75" s="327"/>
      <c r="F75" s="327"/>
      <c r="G75" s="318"/>
      <c r="H75" s="313"/>
      <c r="I75" s="328"/>
      <c r="J75" s="324"/>
      <c r="K75" s="194"/>
      <c r="L75" s="326"/>
      <c r="M75" s="327"/>
      <c r="N75" s="194"/>
      <c r="O75" s="326"/>
      <c r="P75" s="326"/>
      <c r="Q75" s="324"/>
      <c r="R75" s="326"/>
    </row>
    <row r="76" spans="1:19" s="19" customFormat="1" ht="19.95" customHeight="1">
      <c r="A76" s="327"/>
      <c r="B76" s="312"/>
      <c r="C76" s="313"/>
      <c r="D76" s="327"/>
      <c r="E76" s="327"/>
      <c r="F76" s="327"/>
      <c r="G76" s="318"/>
      <c r="H76" s="313"/>
      <c r="I76" s="328"/>
      <c r="J76" s="324"/>
      <c r="K76" s="194"/>
      <c r="L76" s="326"/>
      <c r="M76" s="327"/>
      <c r="N76" s="194"/>
      <c r="O76" s="326"/>
      <c r="P76" s="326"/>
      <c r="Q76" s="324"/>
      <c r="R76" s="326"/>
    </row>
    <row r="77" spans="1:19" s="19" customFormat="1" ht="19.95" customHeight="1">
      <c r="A77" s="327"/>
      <c r="B77" s="312"/>
      <c r="C77" s="313"/>
      <c r="D77" s="327"/>
      <c r="E77" s="327"/>
      <c r="F77" s="327"/>
      <c r="G77" s="318"/>
      <c r="H77" s="313"/>
      <c r="I77" s="328"/>
      <c r="J77" s="324"/>
      <c r="K77" s="194"/>
      <c r="L77" s="326"/>
      <c r="M77" s="327"/>
      <c r="N77" s="194"/>
      <c r="O77" s="326"/>
      <c r="P77" s="326"/>
      <c r="Q77" s="324"/>
      <c r="R77" s="326"/>
    </row>
    <row r="78" spans="1:19" s="19" customFormat="1" ht="19.95" customHeight="1">
      <c r="A78" s="327"/>
      <c r="B78" s="312"/>
      <c r="C78" s="313"/>
      <c r="D78" s="327"/>
      <c r="E78" s="327"/>
      <c r="F78" s="327"/>
      <c r="G78" s="318"/>
      <c r="H78" s="313"/>
      <c r="I78" s="328"/>
      <c r="J78" s="324"/>
      <c r="K78" s="194"/>
      <c r="L78" s="326"/>
      <c r="M78" s="327"/>
      <c r="N78" s="194"/>
      <c r="O78" s="326"/>
      <c r="P78" s="326"/>
      <c r="Q78" s="324"/>
      <c r="R78" s="326"/>
    </row>
    <row r="79" spans="1:19" s="19" customFormat="1" ht="19.95" customHeight="1">
      <c r="A79" s="327"/>
      <c r="B79" s="312"/>
      <c r="C79" s="313"/>
      <c r="D79" s="327"/>
      <c r="E79" s="327"/>
      <c r="F79" s="327"/>
      <c r="G79" s="318"/>
      <c r="H79" s="313"/>
      <c r="I79" s="328"/>
      <c r="J79" s="324"/>
      <c r="K79" s="194"/>
      <c r="L79" s="326"/>
      <c r="M79" s="327"/>
      <c r="N79" s="194"/>
      <c r="O79" s="326"/>
      <c r="P79" s="326"/>
      <c r="Q79" s="324"/>
      <c r="R79" s="326"/>
    </row>
    <row r="80" spans="1:19" s="19" customFormat="1" ht="19.95" customHeight="1">
      <c r="A80" s="327"/>
      <c r="B80" s="312"/>
      <c r="C80" s="313"/>
      <c r="D80" s="327"/>
      <c r="E80" s="327"/>
      <c r="F80" s="327"/>
      <c r="G80" s="318"/>
      <c r="H80" s="313"/>
      <c r="I80" s="328"/>
      <c r="J80" s="324"/>
      <c r="K80" s="194"/>
      <c r="L80" s="326"/>
      <c r="M80" s="327"/>
      <c r="N80" s="194"/>
      <c r="O80" s="326"/>
      <c r="P80" s="326"/>
      <c r="Q80" s="324"/>
      <c r="R80" s="326"/>
    </row>
    <row r="81" spans="1:18" s="19" customFormat="1" ht="19.95" customHeight="1">
      <c r="A81" s="327"/>
      <c r="B81" s="312"/>
      <c r="C81" s="313"/>
      <c r="D81" s="327"/>
      <c r="E81" s="327"/>
      <c r="F81" s="327"/>
      <c r="G81" s="318"/>
      <c r="H81" s="313"/>
      <c r="I81" s="328"/>
      <c r="J81" s="324"/>
      <c r="K81" s="194"/>
      <c r="L81" s="326"/>
      <c r="M81" s="327"/>
      <c r="N81" s="194"/>
      <c r="O81" s="326"/>
      <c r="P81" s="326"/>
      <c r="Q81" s="324"/>
      <c r="R81" s="326"/>
    </row>
    <row r="82" spans="1:18" s="19" customFormat="1" ht="19.95" customHeight="1">
      <c r="A82" s="327"/>
      <c r="B82" s="312"/>
      <c r="C82" s="313"/>
      <c r="D82" s="327"/>
      <c r="E82" s="327"/>
      <c r="F82" s="327"/>
      <c r="G82" s="318"/>
      <c r="H82" s="313"/>
      <c r="I82" s="328"/>
      <c r="J82" s="324"/>
      <c r="K82" s="194"/>
      <c r="L82" s="326"/>
      <c r="M82" s="327"/>
      <c r="N82" s="194"/>
      <c r="O82" s="326"/>
      <c r="P82" s="326"/>
      <c r="Q82" s="324"/>
      <c r="R82" s="326"/>
    </row>
    <row r="83" spans="1:18" s="19" customFormat="1" ht="19.95" customHeight="1">
      <c r="A83" s="327"/>
      <c r="B83" s="312"/>
      <c r="C83" s="313"/>
      <c r="D83" s="327"/>
      <c r="E83" s="327"/>
      <c r="F83" s="327"/>
      <c r="G83" s="318"/>
      <c r="H83" s="313"/>
      <c r="I83" s="328"/>
      <c r="J83" s="324"/>
      <c r="K83" s="194"/>
      <c r="L83" s="326"/>
      <c r="M83" s="327"/>
      <c r="N83" s="194"/>
      <c r="O83" s="326"/>
      <c r="P83" s="326"/>
      <c r="Q83" s="324"/>
      <c r="R83" s="326"/>
    </row>
    <row r="84" spans="1:18" s="19" customFormat="1" ht="19.95" customHeight="1">
      <c r="A84" s="327"/>
      <c r="B84" s="312"/>
      <c r="C84" s="313"/>
      <c r="D84" s="327"/>
      <c r="E84" s="327"/>
      <c r="F84" s="327"/>
      <c r="G84" s="318"/>
      <c r="H84" s="313"/>
      <c r="I84" s="328"/>
      <c r="J84" s="324"/>
      <c r="K84" s="194"/>
      <c r="L84" s="326"/>
      <c r="M84" s="327"/>
      <c r="N84" s="194"/>
      <c r="O84" s="326"/>
      <c r="P84" s="326"/>
      <c r="Q84" s="324"/>
      <c r="R84" s="326"/>
    </row>
    <row r="85" spans="1:18" s="19" customFormat="1" ht="19.95" customHeight="1">
      <c r="A85" s="327"/>
      <c r="B85" s="312"/>
      <c r="C85" s="313"/>
      <c r="D85" s="327"/>
      <c r="E85" s="327"/>
      <c r="F85" s="327"/>
      <c r="G85" s="318"/>
      <c r="H85" s="313"/>
      <c r="I85" s="328"/>
      <c r="J85" s="324"/>
      <c r="K85" s="194"/>
      <c r="L85" s="326"/>
      <c r="M85" s="327"/>
      <c r="N85" s="194"/>
      <c r="O85" s="326"/>
      <c r="P85" s="326"/>
      <c r="Q85" s="324"/>
      <c r="R85" s="326"/>
    </row>
    <row r="86" spans="1:18" s="125" customFormat="1" ht="19.95" customHeight="1">
      <c r="A86" s="320" t="s">
        <v>402</v>
      </c>
      <c r="B86" s="320"/>
      <c r="C86" s="322"/>
      <c r="D86" s="322"/>
      <c r="E86" s="322"/>
      <c r="F86" s="322"/>
      <c r="G86" s="323">
        <f>SUM(G69:G85)</f>
        <v>0</v>
      </c>
      <c r="H86" s="322"/>
      <c r="I86" s="322"/>
      <c r="J86" s="322"/>
      <c r="K86" s="322"/>
      <c r="L86" s="323"/>
      <c r="M86" s="322"/>
      <c r="N86" s="323">
        <f>SUM(N69:N85)</f>
        <v>0</v>
      </c>
      <c r="O86" s="323"/>
      <c r="P86" s="322"/>
      <c r="Q86" s="323"/>
      <c r="R86" s="322"/>
    </row>
    <row r="87" spans="1:18" ht="19.95" customHeight="1">
      <c r="A87" s="190" t="s">
        <v>403</v>
      </c>
      <c r="B87" s="190"/>
      <c r="M87" s="201"/>
      <c r="N87" s="396"/>
      <c r="O87" s="397"/>
      <c r="P87" s="396"/>
    </row>
    <row r="88" spans="1:18" ht="19.95" customHeight="1">
      <c r="A88" s="198" t="s">
        <v>680</v>
      </c>
      <c r="B88" s="198"/>
      <c r="D88" s="319" t="s">
        <v>676</v>
      </c>
      <c r="E88" s="319" t="s">
        <v>673</v>
      </c>
      <c r="F88" s="319" t="s">
        <v>674</v>
      </c>
      <c r="G88" s="319" t="s">
        <v>675</v>
      </c>
      <c r="H88" s="435" t="s">
        <v>684</v>
      </c>
      <c r="I88" s="285"/>
      <c r="N88" s="396"/>
      <c r="O88" s="397"/>
      <c r="P88" s="396"/>
    </row>
    <row r="89" spans="1:18" ht="19.95" customHeight="1">
      <c r="A89" s="199"/>
      <c r="B89" s="199"/>
      <c r="D89" s="319" t="s">
        <v>671</v>
      </c>
      <c r="E89" s="434">
        <f>'明细表F1-2'!M35</f>
        <v>0</v>
      </c>
      <c r="F89" s="434">
        <f>G38</f>
        <v>0</v>
      </c>
      <c r="G89" s="315" t="e">
        <f>ROUND(F89/E89,4)</f>
        <v>#DIV/0!</v>
      </c>
      <c r="H89" s="285"/>
      <c r="I89" s="285"/>
      <c r="N89" s="396"/>
      <c r="O89" s="397"/>
      <c r="P89" s="397"/>
    </row>
    <row r="90" spans="1:18" ht="19.95" customHeight="1">
      <c r="A90" s="199"/>
      <c r="B90" s="199"/>
      <c r="D90" s="319" t="s">
        <v>672</v>
      </c>
      <c r="E90" s="434">
        <f>'明细表F1-2'!N35</f>
        <v>0</v>
      </c>
      <c r="F90" s="434">
        <f>G65</f>
        <v>0</v>
      </c>
      <c r="G90" s="315" t="e">
        <f>ROUND(F90/E90,2)</f>
        <v>#DIV/0!</v>
      </c>
      <c r="H90" s="285"/>
      <c r="I90" s="285"/>
      <c r="N90" s="396"/>
      <c r="O90" s="397"/>
      <c r="P90" s="397"/>
    </row>
    <row r="91" spans="1:18" ht="19.95" customHeight="1">
      <c r="A91" s="199"/>
      <c r="B91" s="199"/>
      <c r="D91" s="319" t="s">
        <v>677</v>
      </c>
      <c r="E91" s="434">
        <f>'明细表F1-2'!X35</f>
        <v>0</v>
      </c>
      <c r="F91" s="434">
        <f>G86</f>
        <v>0</v>
      </c>
      <c r="G91" s="315" t="e">
        <f>ROUND(F91/E91,2)</f>
        <v>#DIV/0!</v>
      </c>
      <c r="H91" s="285"/>
      <c r="I91" s="285"/>
      <c r="N91" s="396"/>
      <c r="O91" s="397"/>
      <c r="P91" s="397"/>
    </row>
    <row r="92" spans="1:18" ht="19.95" customHeight="1">
      <c r="A92" s="440" t="s">
        <v>681</v>
      </c>
      <c r="B92" s="199"/>
      <c r="D92" s="437"/>
      <c r="E92" s="438"/>
      <c r="F92" s="438"/>
      <c r="G92" s="439"/>
      <c r="H92" s="285"/>
      <c r="I92" s="285"/>
      <c r="N92" s="396"/>
      <c r="O92" s="397"/>
      <c r="P92" s="397"/>
    </row>
    <row r="93" spans="1:18" ht="19.95" customHeight="1">
      <c r="A93" s="187" t="s">
        <v>404</v>
      </c>
      <c r="B93" s="187"/>
    </row>
    <row r="94" spans="1:18" ht="19.95" customHeight="1"/>
    <row r="95" spans="1:18" ht="19.95" customHeight="1"/>
    <row r="96" spans="1:18" ht="19.95" customHeight="1"/>
    <row r="97" ht="19.95" customHeight="1"/>
    <row r="98" ht="19.95" customHeight="1"/>
    <row r="99" ht="19.95" customHeight="1"/>
    <row r="100" ht="19.95" customHeight="1"/>
    <row r="101" ht="19.95" customHeight="1"/>
    <row r="102" ht="19.95" customHeight="1"/>
  </sheetData>
  <mergeCells count="23">
    <mergeCell ref="Q67:Q68"/>
    <mergeCell ref="R67:R68"/>
    <mergeCell ref="A67:G67"/>
    <mergeCell ref="H67:K67"/>
    <mergeCell ref="L67:N67"/>
    <mergeCell ref="O67:O68"/>
    <mergeCell ref="P67:P68"/>
    <mergeCell ref="Q40:Q41"/>
    <mergeCell ref="A1:R1"/>
    <mergeCell ref="A2:R2"/>
    <mergeCell ref="Q15:Q16"/>
    <mergeCell ref="R15:R16"/>
    <mergeCell ref="A40:G40"/>
    <mergeCell ref="H40:K40"/>
    <mergeCell ref="L40:N40"/>
    <mergeCell ref="R40:R41"/>
    <mergeCell ref="A15:G15"/>
    <mergeCell ref="H15:I15"/>
    <mergeCell ref="J15:L15"/>
    <mergeCell ref="M15:O15"/>
    <mergeCell ref="P15:P16"/>
    <mergeCell ref="O40:O41"/>
    <mergeCell ref="P40:P41"/>
  </mergeCells>
  <phoneticPr fontId="7" type="noConversion"/>
  <hyperlinks>
    <hyperlink ref="R3" location="底稿目录!A1" display="底稿目录!A1"/>
  </hyperlinks>
  <pageMargins left="0.70866141732283472" right="0.70866141732283472" top="0.74803149606299213" bottom="0.74803149606299213" header="0.31496062992125984" footer="0.31496062992125984"/>
  <pageSetup paperSize="9" scale="67" orientation="landscape" blackAndWhite="1" r:id="rId1"/>
  <headerFooter>
    <oddFooter>&amp;C&amp;P/&amp;N</oddFooter>
  </headerFooter>
  <rowBreaks count="1" manualBreakCount="1">
    <brk id="65"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14</vt:i4>
      </vt:variant>
    </vt:vector>
  </HeadingPairs>
  <TitlesOfParts>
    <vt:vector size="26" baseType="lpstr">
      <vt:lpstr>底稿目录</vt:lpstr>
      <vt:lpstr>预付账款实质性程序表F1A</vt:lpstr>
      <vt:lpstr>预付账款实质性程序表G1A-修订前</vt:lpstr>
      <vt:lpstr>审定表F1-1</vt:lpstr>
      <vt:lpstr>附注披露信息(上市公司)</vt:lpstr>
      <vt:lpstr>附注披露信息(国企)</vt:lpstr>
      <vt:lpstr>明细表F1-2</vt:lpstr>
      <vt:lpstr>调整分录汇总F1-3</vt:lpstr>
      <vt:lpstr>实质性分析F1-4</vt:lpstr>
      <vt:lpstr>长期挂款检查表F1-5</vt:lpstr>
      <vt:lpstr>关联方及交易检查表F1-6</vt:lpstr>
      <vt:lpstr>预付账款检查表F1-7</vt:lpstr>
      <vt:lpstr>预付账款实质性程序表F1A!_FilterDatabase</vt:lpstr>
      <vt:lpstr>'调整分录汇总F1-3'!Print_Area</vt:lpstr>
      <vt:lpstr>'附注披露信息(国企)'!Print_Area</vt:lpstr>
      <vt:lpstr>'附注披露信息(上市公司)'!Print_Area</vt:lpstr>
      <vt:lpstr>'关联方及交易检查表F1-6'!Print_Area</vt:lpstr>
      <vt:lpstr>'明细表F1-2'!Print_Area</vt:lpstr>
      <vt:lpstr>'审定表F1-1'!Print_Area</vt:lpstr>
      <vt:lpstr>'实质性分析F1-4'!Print_Area</vt:lpstr>
      <vt:lpstr>'预付账款检查表F1-7'!Print_Area</vt:lpstr>
      <vt:lpstr>预付账款实质性程序表F1A!Print_Area</vt:lpstr>
      <vt:lpstr>'预付账款实质性程序表G1A-修订前'!Print_Area</vt:lpstr>
      <vt:lpstr>'长期挂款检查表F1-5'!Print_Area</vt:lpstr>
      <vt:lpstr>预付账款实质性程序表F1A!Print_Titles</vt:lpstr>
      <vt:lpstr>'预付账款实质性程序表G1A-修订前'!Print_Titles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chenxu.mu</dc:creator>
  <cp:lastModifiedBy>何先琴</cp:lastModifiedBy>
  <cp:lastPrinted>2025-10-21T02:01:38Z</cp:lastPrinted>
  <dcterms:created xsi:type="dcterms:W3CDTF">2014-12-31T07:16:59Z</dcterms:created>
  <dcterms:modified xsi:type="dcterms:W3CDTF">2025-11-03T03:51:57Z</dcterms:modified>
</cp:coreProperties>
</file>