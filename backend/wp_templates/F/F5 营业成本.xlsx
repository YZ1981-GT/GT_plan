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4.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0" windowWidth="23040" windowHeight="9144" tabRatio="868" firstSheet="0" activeTab="0" autoFilterDateGrouping="1"/>
  </bookViews>
  <sheets>
    <sheet xmlns:r="http://schemas.openxmlformats.org/officeDocument/2006/relationships" name="底稿目录" sheetId="1" state="visible" r:id="rId1"/>
    <sheet xmlns:r="http://schemas.openxmlformats.org/officeDocument/2006/relationships" name="营业成本实质性程序表F5A" sheetId="2" state="visible" r:id="rId2"/>
    <sheet xmlns:r="http://schemas.openxmlformats.org/officeDocument/2006/relationships" name="营业务成本审定表F5-1" sheetId="3" state="visible" r:id="rId3"/>
    <sheet xmlns:r="http://schemas.openxmlformats.org/officeDocument/2006/relationships" name="主营业务成本月度明细表F5-2" sheetId="4" state="visible" r:id="rId4"/>
    <sheet xmlns:r="http://schemas.openxmlformats.org/officeDocument/2006/relationships" name="其他业务成本明细表F5-3" sheetId="5" state="visible" r:id="rId5"/>
    <sheet xmlns:r="http://schemas.openxmlformats.org/officeDocument/2006/relationships" name="调整分录汇总F5-4" sheetId="6" state="visible" r:id="rId6"/>
    <sheet xmlns:r="http://schemas.openxmlformats.org/officeDocument/2006/relationships" name="与上年度比较分析表F5-5" sheetId="7" state="visible" r:id="rId7"/>
    <sheet xmlns:r="http://schemas.openxmlformats.org/officeDocument/2006/relationships" name="销售数量与结转成本数量核对明细表F5-6" sheetId="8" state="visible" r:id="rId8"/>
    <sheet xmlns:r="http://schemas.openxmlformats.org/officeDocument/2006/relationships" name="成本倒轧表F5-7" sheetId="9" state="visible" r:id="rId9"/>
    <sheet xmlns:r="http://schemas.openxmlformats.org/officeDocument/2006/relationships" name="重大调整核查表F5-8" sheetId="10" state="visible" r:id="rId10"/>
    <sheet xmlns:r="http://schemas.openxmlformats.org/officeDocument/2006/relationships" name="GT_Custom" sheetId="11" state="hidden" r:id="rId11"/>
  </sheets>
  <definedNames>
    <definedName name="AS2DocOpenMode">"AS2DocumentEdit"</definedName>
    <definedName name="_xlnm.Print_Titles" localSheetId="1">'营业成本实质性程序表F5A'!$15:$15</definedName>
    <definedName name="_xlnm.Print_Area" localSheetId="1">'营业成本实质性程序表F5A'!$A$1:$I$28</definedName>
    <definedName name="_xlnm.Print_Area" localSheetId="2">'营业务成本审定表F5-1'!$A$1:$J$37</definedName>
    <definedName name="_xlnm.Print_Area" localSheetId="3">'主营业务成本月度明细表F5-2'!$A$1:$X$30</definedName>
    <definedName name="_xlnm.Print_Area" localSheetId="4">'其他业务成本明细表F5-3'!$A$1:$N$31</definedName>
    <definedName name="_xlnm.Print_Area" localSheetId="5">'调整分录汇总F5-4'!$A$1:$J$20</definedName>
    <definedName name="_xlnm.Print_Area" localSheetId="6">'与上年度比较分析表F5-5'!$A$1:$O$24</definedName>
    <definedName name="_xlnm.Print_Area" localSheetId="7">'销售数量与结转成本数量核对明细表F5-6'!$A$1:$N$54</definedName>
    <definedName name="_xlnm.Print_Area" localSheetId="8">'成本倒轧表F5-7'!$A$1:$H$36</definedName>
    <definedName name="_xlnm.Print_Area" localSheetId="9">'重大调整核查表F5-8'!$A$1:$H$35</definedName>
  </definedNames>
  <calcPr calcId="162913" fullCalcOnLoad="1"/>
</workbook>
</file>

<file path=xl/styles.xml><?xml version="1.0" encoding="utf-8"?>
<styleSheet xmlns="http://schemas.openxmlformats.org/spreadsheetml/2006/main">
  <numFmts count="49">
    <numFmt numFmtId="164" formatCode="_ * #,##0.00_ ;_ * \-#,##0.00_ ;_ * &quot;-&quot;??_ ;_ @_ "/>
    <numFmt numFmtId="165" formatCode="_([$€-2]* #,##0.00_);_([$€-2]* \(#,##0.00\);_([$€-2]* &quot;-&quot;??_)"/>
    <numFmt numFmtId="166" formatCode="0.0%"/>
    <numFmt numFmtId="167" formatCode="#,##0_ "/>
    <numFmt numFmtId="168" formatCode="#,##0.0_ "/>
    <numFmt numFmtId="169" formatCode="0.00_);[Red]\(0.00\)"/>
    <numFmt numFmtId="170" formatCode="_-#,##0_-;\(#,##0\);_-\ \ &quot;-&quot;_-;_-@_-"/>
    <numFmt numFmtId="171" formatCode="_-#,##0.00_-;\(#,##0.00\);_-\ \ &quot;-&quot;_-;_-@_-"/>
    <numFmt numFmtId="172" formatCode="mmm/dd/yyyy;_-\ &quot;N/A&quot;_-;_-\ &quot;-&quot;_-"/>
    <numFmt numFmtId="173" formatCode="mmm/yyyy;_-\ &quot;N/A&quot;_-;_-\ &quot;-&quot;_-"/>
    <numFmt numFmtId="174" formatCode="_-#,##0%_-;\(#,##0%\);_-\ &quot;-&quot;_-"/>
    <numFmt numFmtId="175" formatCode="_-#,###,_-;\(#,###,\);_-\ \ &quot;-&quot;_-;_-@_-"/>
    <numFmt numFmtId="176" formatCode="_-#,###.00,_-;\(#,###.00,\);_-\ \ &quot;-&quot;_-;_-@_-"/>
    <numFmt numFmtId="177" formatCode="_-#0&quot;.&quot;0,_-;\(#0&quot;.&quot;0,\);_-\ \ &quot;-&quot;_-;_-@_-"/>
    <numFmt numFmtId="178" formatCode="_-#0&quot;.&quot;0000_-;\(#0&quot;.&quot;0000\);_-\ \ &quot;-&quot;_-;_-@_-"/>
    <numFmt numFmtId="179" formatCode="&quot;$&quot;#,##0_);\(&quot;$&quot;#,##0\)"/>
    <numFmt numFmtId="180" formatCode="&quot;\&quot;#,##0;[Red]&quot;\&quot;&quot;\&quot;\-#,##0"/>
    <numFmt numFmtId="181" formatCode="&quot;\&quot;#,##0.00;[Red]&quot;\&quot;&quot;\&quot;\-#,##0.00"/>
    <numFmt numFmtId="182" formatCode="&quot;\&quot;#,##0;&quot;\&quot;&quot;\&quot;\-#,##0"/>
    <numFmt numFmtId="183" formatCode="0%;\(0%\)"/>
    <numFmt numFmtId="184" formatCode="#,##0;\-#,##0;&quot;-&quot;"/>
    <numFmt numFmtId="185" formatCode="\(#,##0\)\ "/>
    <numFmt numFmtId="186" formatCode="[Blue]0.0%;[Blue]\(0.0%\)"/>
    <numFmt numFmtId="187" formatCode="0.0%;\(0.0%\)"/>
    <numFmt numFmtId="188" formatCode="[Red]0.0%;[Red]\(0.0%\)"/>
    <numFmt numFmtId="189" formatCode="[Blue]#,##0_);[Blue]\(#,##0\)"/>
    <numFmt numFmtId="190" formatCode="#,##0_);[Blue]\(#,##0\)"/>
    <numFmt numFmtId="191" formatCode="&quot;$&quot;#,##0;[Red]&quot;$&quot;&quot;$&quot;&quot;$&quot;&quot;$&quot;&quot;$&quot;&quot;$&quot;&quot;$&quot;\-#,##0"/>
    <numFmt numFmtId="192" formatCode="#,##0;\(#,##0\)"/>
    <numFmt numFmtId="193" formatCode="#,##0.0_);\(#,##0.0\)"/>
    <numFmt numFmtId="194" formatCode="hh:mm\ AM/PM_)"/>
    <numFmt numFmtId="195" formatCode="&quot;$&quot;#,##0.00_);\(&quot;$&quot;#,##0.00\)"/>
    <numFmt numFmtId="196" formatCode=";;;"/>
    <numFmt numFmtId="197" formatCode="\$#,##0.00;\(\$#,##0.00\)"/>
    <numFmt numFmtId="198" formatCode="\$#,##0;\(\$#,##0\)"/>
    <numFmt numFmtId="199" formatCode="_(&quot;$&quot;* #,##0.00_);_(&quot;$&quot;* \(#,##0.00\);_(&quot;$&quot;* &quot;-&quot;??_);_(@_)"/>
    <numFmt numFmtId="200" formatCode="_-* #,##0_-;\-* #,##0_-;_-* &quot;-&quot;??_-;_-@_-"/>
    <numFmt numFmtId="201" formatCode="0.00000000000_);[Red]\(0.00000000000\)"/>
    <numFmt numFmtId="202" formatCode="0%_);\(0%\)"/>
    <numFmt numFmtId="203" formatCode="\ \ @"/>
    <numFmt numFmtId="204" formatCode="#,##0_);\(#,##0_)"/>
    <numFmt numFmtId="205" formatCode="_-* #,##0_-;\-* #,##0_-;_-* &quot;-&quot;_-;_-@_-"/>
    <numFmt numFmtId="206" formatCode="_-* #,##0.00_-;\-* #,##0.00_-;_-* &quot;-&quot;??_-;_-@_-"/>
    <numFmt numFmtId="207" formatCode="0.0000000"/>
    <numFmt numFmtId="208" formatCode="0.000000"/>
    <numFmt numFmtId="209" formatCode="0.00000000"/>
    <numFmt numFmtId="210" formatCode="_-&quot;$&quot;* #,##0_-;\-&quot;$&quot;* #,##0_-;_-&quot;$&quot;* &quot;-&quot;_-;_-@_-"/>
    <numFmt numFmtId="211" formatCode="_-&quot;$&quot;* #,##0.00_-;\-&quot;$&quot;* #,##0.00_-;_-&quot;$&quot;* &quot;-&quot;??_-;_-@_-"/>
    <numFmt numFmtId="212"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s>
  <fonts count="121">
    <font>
      <name val="宋体"/>
      <charset val="134"/>
      <sz val="12"/>
    </font>
    <font>
      <name val="宋体"/>
      <charset val="134"/>
      <family val="2"/>
      <color theme="1"/>
      <sz val="11"/>
      <scheme val="minor"/>
    </font>
    <font>
      <name val="宋体"/>
      <charset val="134"/>
      <family val="2"/>
      <color theme="1"/>
      <sz val="11"/>
      <scheme val="minor"/>
    </font>
    <font>
      <name val="宋体"/>
      <charset val="134"/>
      <family val="2"/>
      <color theme="1"/>
      <sz val="11"/>
      <scheme val="minor"/>
    </font>
    <font>
      <name val="宋体"/>
      <charset val="134"/>
      <family val="2"/>
      <color theme="1"/>
      <sz val="11"/>
      <scheme val="minor"/>
    </font>
    <font>
      <name val="宋体"/>
      <charset val="134"/>
      <family val="2"/>
      <color theme="1"/>
      <sz val="10"/>
      <scheme val="minor"/>
    </font>
    <font>
      <name val="宋体"/>
      <charset val="134"/>
      <family val="2"/>
      <color theme="1"/>
      <sz val="11"/>
      <scheme val="minor"/>
    </font>
    <font>
      <name val="Helv"/>
      <family val="2"/>
      <sz val="7"/>
    </font>
    <font>
      <name val="MS Sans Serif"/>
      <family val="2"/>
      <b val="1"/>
      <sz val="10"/>
    </font>
    <font>
      <name val="Arial"/>
      <family val="2"/>
      <sz val="10"/>
    </font>
    <font>
      <name val="Arial"/>
      <family val="2"/>
      <color indexed="36"/>
      <sz val="7.5"/>
      <u val="single"/>
    </font>
    <font>
      <name val="Arial"/>
      <family val="2"/>
      <sz val="8"/>
    </font>
    <font>
      <name val="Arial"/>
      <family val="2"/>
      <color indexed="12"/>
      <sz val="7.5"/>
      <u val="single"/>
    </font>
    <font>
      <name val="宋体"/>
      <charset val="134"/>
      <family val="3"/>
      <sz val="12"/>
    </font>
    <font>
      <name val="Courier"/>
      <family val="3"/>
      <sz val="10"/>
    </font>
    <font>
      <name val="Helv"/>
      <family val="2"/>
      <color indexed="10"/>
      <sz val="7"/>
    </font>
    <font>
      <name val="宋体"/>
      <charset val="134"/>
      <family val="3"/>
      <color indexed="12"/>
      <sz val="12"/>
      <u val="single"/>
    </font>
    <font>
      <name val="楷体"/>
      <charset val="134"/>
      <family val="3"/>
      <sz val="12"/>
    </font>
    <font>
      <name val="宋体"/>
      <charset val="134"/>
      <family val="3"/>
      <sz val="9"/>
    </font>
    <font>
      <name val="宋体"/>
      <charset val="134"/>
      <family val="3"/>
      <sz val="10"/>
    </font>
    <font>
      <name val="宋体"/>
      <charset val="134"/>
      <family val="3"/>
      <b val="1"/>
      <sz val="12"/>
    </font>
    <font>
      <name val="宋体"/>
      <charset val="134"/>
      <family val="3"/>
      <sz val="10.5"/>
    </font>
    <font>
      <name val="Times New Roman"/>
      <family val="1"/>
      <sz val="10"/>
    </font>
    <font>
      <name val="宋体"/>
      <charset val="134"/>
      <family val="3"/>
      <b val="1"/>
      <sz val="10"/>
    </font>
    <font>
      <name val="宋体"/>
      <charset val="134"/>
      <family val="3"/>
      <color indexed="8"/>
      <sz val="10"/>
    </font>
    <font>
      <name val="宋体"/>
      <charset val="134"/>
      <family val="3"/>
      <color indexed="10"/>
      <sz val="10"/>
    </font>
    <font>
      <name val="Times New Roman"/>
      <family val="1"/>
      <sz val="12"/>
    </font>
    <font>
      <name val="Arial"/>
      <family val="2"/>
      <sz val="12"/>
    </font>
    <font>
      <name val="宋体"/>
      <charset val="134"/>
      <family val="3"/>
      <b val="1"/>
      <color indexed="8"/>
      <sz val="10"/>
    </font>
    <font>
      <name val="宋体"/>
      <charset val="134"/>
      <family val="3"/>
      <color indexed="12"/>
      <sz val="10"/>
    </font>
    <font>
      <name val="宋体"/>
      <charset val="134"/>
      <family val="3"/>
      <b val="1"/>
      <color indexed="12"/>
      <sz val="10"/>
    </font>
    <font>
      <name val="宋体"/>
      <charset val="134"/>
      <family val="3"/>
      <i val="1"/>
      <color indexed="12"/>
      <sz val="10"/>
    </font>
    <font>
      <name val="Arial"/>
      <family val="2"/>
      <sz val="10.5"/>
    </font>
    <font>
      <name val="Times New Roman"/>
      <family val="1"/>
      <sz val="10.5"/>
    </font>
    <font>
      <name val="Arial"/>
      <family val="2"/>
      <b val="1"/>
      <color indexed="10"/>
      <sz val="10"/>
    </font>
    <font>
      <name val="Arial"/>
      <family val="2"/>
      <b val="1"/>
      <sz val="12"/>
    </font>
    <font>
      <name val="宋体"/>
      <charset val="134"/>
      <family val="3"/>
      <b val="1"/>
      <color indexed="81"/>
      <sz val="9"/>
    </font>
    <font>
      <name val="宋体"/>
      <charset val="134"/>
      <family val="3"/>
      <color indexed="81"/>
      <sz val="9"/>
    </font>
    <font>
      <name val="Arial Narrow"/>
      <family val="2"/>
      <b val="1"/>
      <sz val="12"/>
    </font>
    <font>
      <name val="Arial Narrow"/>
      <family val="2"/>
      <sz val="12"/>
    </font>
    <font>
      <name val="Arial Narrow"/>
      <family val="2"/>
      <sz val="10"/>
    </font>
    <font>
      <name val="Arial Narrow"/>
      <family val="2"/>
      <b val="1"/>
      <sz val="10"/>
    </font>
    <font>
      <name val="Arial Narrow"/>
      <family val="2"/>
      <b val="1"/>
      <color indexed="8"/>
      <sz val="10"/>
    </font>
    <font>
      <name val="Arial Narrow"/>
      <family val="2"/>
      <color indexed="8"/>
      <sz val="10"/>
    </font>
    <font>
      <name val="Arial Narrow"/>
      <family val="2"/>
      <color indexed="12"/>
      <sz val="10"/>
    </font>
    <font>
      <name val="Arial Narrow"/>
      <family val="2"/>
      <i val="1"/>
      <color indexed="12"/>
      <sz val="10"/>
    </font>
    <font>
      <name val="Times New Roman"/>
      <family val="1"/>
      <sz val="10"/>
      <u val="singleAccounting"/>
      <vertAlign val="subscript"/>
    </font>
    <font>
      <name val="Times New Roman"/>
      <family val="1"/>
      <i val="1"/>
      <sz val="9"/>
    </font>
    <font>
      <name val="Arial Narrow"/>
      <family val="2"/>
      <color indexed="10"/>
      <sz val="10"/>
    </font>
    <font>
      <name val="楷体"/>
      <charset val="134"/>
      <family val="3"/>
      <sz val="11"/>
    </font>
    <font>
      <name val="宋体"/>
      <charset val="134"/>
      <family val="3"/>
      <color theme="1"/>
      <sz val="10"/>
      <scheme val="minor"/>
    </font>
    <font>
      <name val="Arial"/>
      <family val="2"/>
      <color indexed="8"/>
      <sz val="10"/>
    </font>
    <font>
      <name val="Tms Rmn"/>
      <family val="1"/>
      <sz val="13"/>
    </font>
    <font>
      <name val="Helv"/>
      <family val="2"/>
      <b val="1"/>
      <sz val="10"/>
    </font>
    <font>
      <name val="Tms Rmn"/>
      <family val="1"/>
      <b val="1"/>
      <sz val="13"/>
    </font>
    <font>
      <name val="Arial"/>
      <family val="2"/>
      <b val="1"/>
      <sz val="8"/>
    </font>
    <font>
      <name val="MS Sans Serif"/>
      <family val="2"/>
      <sz val="10"/>
    </font>
    <font>
      <name val="Times New Roman"/>
      <family val="1"/>
      <sz val="9"/>
    </font>
    <font>
      <name val="Helv"/>
      <family val="2"/>
      <b val="1"/>
      <sz val="12"/>
    </font>
    <font>
      <name val="Arial"/>
      <family val="2"/>
      <b val="1"/>
      <sz val="10"/>
    </font>
    <font>
      <name val="Helv"/>
      <family val="2"/>
      <b val="1"/>
      <sz val="11"/>
    </font>
    <font>
      <name val="Small Fonts"/>
      <family val="2"/>
      <sz val="7"/>
    </font>
    <font>
      <name val="MS Sans Serif"/>
      <family val="2"/>
      <color indexed="8"/>
      <sz val="10"/>
    </font>
    <font>
      <name val="Century Schoolbook"/>
      <family val="1"/>
      <color indexed="16"/>
      <sz val="8"/>
    </font>
    <font>
      <name val="Times New Roman"/>
      <family val="1"/>
      <b val="1"/>
      <i val="1"/>
      <sz val="10"/>
    </font>
    <font>
      <name val="MS Sans Serif"/>
      <family val="2"/>
      <b val="1"/>
      <sz val="12"/>
    </font>
    <font>
      <name val="MS Sans Serif"/>
      <family val="2"/>
      <sz val="12"/>
    </font>
    <font>
      <name val="Times New Roman"/>
      <family val="1"/>
      <b val="1"/>
      <sz val="9"/>
    </font>
    <font>
      <name val="Geneva"/>
      <family val="2"/>
      <sz val="10"/>
    </font>
    <font>
      <name val="明朝"/>
      <family val="2"/>
      <sz val="11"/>
    </font>
    <font>
      <name val="Century Schoolbook"/>
      <family val="1"/>
      <sz val="8"/>
    </font>
    <font>
      <name val="宋体"/>
      <charset val="134"/>
      <family val="3"/>
      <color indexed="20"/>
      <sz val="12"/>
    </font>
    <font>
      <name val="宋体"/>
      <charset val="134"/>
      <family val="3"/>
      <color indexed="8"/>
      <sz val="11"/>
    </font>
    <font>
      <name val="宋体"/>
      <charset val="134"/>
      <family val="3"/>
      <color indexed="12"/>
      <sz val="10"/>
      <u val="single"/>
    </font>
    <font>
      <name val="Times New Roman"/>
      <family val="1"/>
      <color indexed="17"/>
      <sz val="10"/>
    </font>
    <font>
      <name val="蹈框"/>
      <charset val="134"/>
      <sz val="11"/>
    </font>
    <font>
      <name val="ＭＳ Ｐゴシック"/>
      <family val="2"/>
      <sz val="11"/>
    </font>
    <font>
      <name val="바탕체"/>
      <family val="3"/>
      <sz val="12"/>
    </font>
    <font>
      <name val="Arial Narrow"/>
      <family val="2"/>
      <b val="1"/>
      <color indexed="12"/>
      <sz val="10"/>
    </font>
    <font>
      <name val="Arial Narrow"/>
      <family val="2"/>
      <i val="1"/>
      <color indexed="12"/>
      <sz val="10"/>
      <u val="single"/>
    </font>
    <font>
      <name val="Arial Narrow"/>
      <family val="2"/>
      <color rgb="FFFF0000"/>
      <sz val="10"/>
    </font>
    <font>
      <name val="宋体"/>
      <charset val="134"/>
      <family val="3"/>
      <color rgb="FFFF0000"/>
      <sz val="10"/>
    </font>
    <font>
      <name val="Arial Narrow"/>
      <family val="2"/>
      <color theme="1"/>
      <sz val="10"/>
    </font>
    <font>
      <name val="Arial Narrow"/>
      <family val="2"/>
      <color theme="1"/>
      <sz val="11"/>
    </font>
    <font>
      <name val="宋体"/>
      <charset val="134"/>
      <family val="2"/>
      <sz val="9"/>
      <scheme val="minor"/>
    </font>
    <font>
      <name val="宋体"/>
      <charset val="134"/>
      <family val="3"/>
      <b val="1"/>
      <color theme="1"/>
      <sz val="10"/>
    </font>
    <font>
      <name val="宋体"/>
      <charset val="134"/>
      <family val="3"/>
      <color theme="1"/>
      <sz val="10"/>
    </font>
    <font>
      <name val="Arial Narrow"/>
      <family val="2"/>
      <sz val="8"/>
    </font>
    <font>
      <name val="Calibri"/>
      <family val="2"/>
      <color indexed="8"/>
      <sz val="11"/>
    </font>
    <font>
      <name val="Calibri"/>
      <family val="2"/>
      <color indexed="9"/>
      <sz val="11"/>
    </font>
    <font>
      <name val="Calibri"/>
      <family val="2"/>
      <color indexed="20"/>
      <sz val="11"/>
    </font>
    <font>
      <name val="Calibri"/>
      <family val="2"/>
      <b val="1"/>
      <color indexed="52"/>
      <sz val="11"/>
    </font>
    <font>
      <name val="Calibri"/>
      <family val="2"/>
      <b val="1"/>
      <color indexed="9"/>
      <sz val="11"/>
    </font>
    <font>
      <name val="Calibri"/>
      <family val="2"/>
      <i val="1"/>
      <color indexed="23"/>
      <sz val="11"/>
    </font>
    <font>
      <name val="Calibri"/>
      <family val="2"/>
      <color indexed="17"/>
      <sz val="11"/>
    </font>
    <font>
      <name val="Calibri"/>
      <family val="2"/>
      <b val="1"/>
      <color indexed="56"/>
      <sz val="15"/>
    </font>
    <font>
      <name val="Calibri"/>
      <family val="2"/>
      <b val="1"/>
      <color indexed="56"/>
      <sz val="13"/>
    </font>
    <font>
      <name val="Calibri"/>
      <family val="2"/>
      <b val="1"/>
      <color indexed="56"/>
      <sz val="11"/>
    </font>
    <font>
      <name val="Calibri"/>
      <family val="2"/>
      <color indexed="62"/>
      <sz val="11"/>
    </font>
    <font>
      <name val="Calibri"/>
      <family val="2"/>
      <color indexed="52"/>
      <sz val="11"/>
    </font>
    <font>
      <name val="Calibri"/>
      <family val="2"/>
      <color indexed="60"/>
      <sz val="11"/>
    </font>
    <font>
      <name val="Calibri"/>
      <family val="2"/>
      <b val="1"/>
      <color indexed="63"/>
      <sz val="11"/>
    </font>
    <font>
      <name val="Calibri"/>
      <family val="2"/>
      <b val="1"/>
      <color indexed="8"/>
      <sz val="11"/>
    </font>
    <font>
      <name val="Calibri"/>
      <family val="2"/>
      <color indexed="10"/>
      <sz val="11"/>
    </font>
    <font>
      <name val="宋体"/>
      <charset val="134"/>
      <family val="3"/>
      <color theme="1"/>
      <sz val="11"/>
      <scheme val="minor"/>
    </font>
    <font>
      <name val="宋体"/>
      <charset val="134"/>
      <family val="3"/>
      <color indexed="8"/>
      <sz val="12"/>
    </font>
    <font>
      <name val="Arial Narrow"/>
      <family val="2"/>
      <b val="1"/>
      <color rgb="FFFF0000"/>
      <sz val="10"/>
    </font>
    <font>
      <name val="宋体"/>
      <charset val="134"/>
      <family val="3"/>
      <b val="1"/>
      <color rgb="FFFF0000"/>
      <sz val="10"/>
    </font>
    <font>
      <name val="宋体"/>
      <charset val="134"/>
      <family val="3"/>
      <b val="1"/>
      <sz val="14"/>
    </font>
    <font>
      <name val="Arial Narrow"/>
      <family val="2"/>
      <b val="1"/>
      <sz val="14"/>
    </font>
    <font>
      <name val="宋体"/>
      <charset val="134"/>
      <family val="3"/>
      <color rgb="FF000000"/>
      <sz val="10"/>
    </font>
    <font>
      <name val="Arial Narrow"/>
      <family val="2"/>
      <b val="1"/>
      <color theme="0" tint="-0.499984740745262"/>
      <sz val="10"/>
    </font>
    <font>
      <name val="Arial Narrow"/>
      <family val="2"/>
      <b val="1"/>
      <color theme="1"/>
      <sz val="11"/>
    </font>
    <font>
      <name val="Arial Narrow"/>
      <family val="2"/>
      <b val="1"/>
      <color rgb="FFE92841"/>
      <sz val="10"/>
    </font>
    <font>
      <name val="仿宋_GB2312"/>
      <charset val="134"/>
      <family val="3"/>
      <color indexed="12"/>
      <sz val="12"/>
    </font>
    <font>
      <name val="Arial Narrow"/>
      <family val="2"/>
      <color rgb="FF0000FF"/>
      <sz val="10"/>
    </font>
    <font>
      <name val="宋体"/>
      <charset val="134"/>
      <family val="3"/>
      <color rgb="FF0000FF"/>
      <sz val="10"/>
    </font>
    <font>
      <name val="Arial Narrow"/>
      <family val="2"/>
      <color rgb="FF0000FF"/>
      <sz val="9"/>
    </font>
    <font>
      <name val="宋体"/>
      <charset val="134"/>
      <family val="3"/>
      <color rgb="FF0000FF"/>
      <sz val="9"/>
    </font>
    <font>
      <name val="Arial Narrow"/>
      <family val="2"/>
      <b val="1"/>
      <color rgb="FF0000FF"/>
      <sz val="10"/>
    </font>
    <font>
      <name val="宋体"/>
      <charset val="134"/>
      <family val="3"/>
      <sz val="9"/>
    </font>
  </fonts>
  <fills count="33">
    <fill>
      <patternFill/>
    </fill>
    <fill>
      <patternFill patternType="gray125"/>
    </fill>
    <fill>
      <patternFill patternType="solid">
        <fgColor indexed="22"/>
        <bgColor indexed="64"/>
      </patternFill>
    </fill>
    <fill>
      <patternFill patternType="solid">
        <fgColor indexed="26"/>
        <bgColor indexed="64"/>
      </patternFill>
    </fill>
    <fill>
      <patternFill patternType="solid">
        <fgColor indexed="14"/>
        <bgColor indexed="64"/>
      </patternFill>
    </fill>
    <fill>
      <patternFill patternType="solid">
        <fgColor indexed="13"/>
        <bgColor indexed="64"/>
      </patternFill>
    </fill>
    <fill>
      <patternFill patternType="solid">
        <fgColor indexed="27"/>
        <bgColor indexed="64"/>
      </patternFill>
    </fill>
    <fill>
      <patternFill patternType="solid">
        <fgColor indexed="9"/>
        <bgColor indexed="9"/>
      </patternFill>
    </fill>
    <fill>
      <patternFill patternType="solid">
        <fgColor indexed="45"/>
      </patternFill>
    </fill>
    <fill>
      <patternFill patternType="solid">
        <fgColor indexed="42"/>
      </patternFill>
    </fill>
    <fill>
      <patternFill patternType="solid">
        <fgColor theme="7" tint="0.7999816888943144"/>
        <bgColor indexed="64"/>
      </patternFill>
    </fill>
    <fill>
      <patternFill patternType="solid">
        <fgColor indexed="31"/>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tint="-0.1499984740745262"/>
        <bgColor indexed="64"/>
      </patternFill>
    </fill>
    <fill>
      <patternFill patternType="solid">
        <fgColor rgb="FF00B050"/>
        <bgColor indexed="64"/>
      </patternFill>
    </fill>
  </fills>
  <borders count="43">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bottom style="medium">
        <color indexed="64"/>
      </bottom>
      <diagonal/>
    </border>
    <border>
      <left/>
      <right/>
      <top style="medium">
        <color indexed="64"/>
      </top>
      <bottom style="medium">
        <color indexed="64"/>
      </bottom>
      <diagonal/>
    </border>
    <border diagonalDown="1">
      <left style="hair">
        <color indexed="64"/>
      </left>
      <right style="hair">
        <color indexed="64"/>
      </right>
      <top style="hair">
        <color indexed="64"/>
      </top>
      <bottom/>
      <diagonal style="hair">
        <color indexed="64"/>
      </diagonal>
    </border>
    <border diagonalDown="1">
      <left style="hair">
        <color indexed="64"/>
      </left>
      <right style="hair">
        <color indexed="64"/>
      </right>
      <top/>
      <bottom style="hair">
        <color indexed="64"/>
      </bottom>
      <diagonal style="hair">
        <color indexed="64"/>
      </diagonal>
    </border>
    <border>
      <left/>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hair">
        <color auto="1"/>
      </top>
      <bottom style="hair">
        <color auto="1"/>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right/>
      <top style="hair">
        <color auto="1"/>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hair">
        <color indexed="64"/>
      </top>
      <bottom/>
      <diagonal/>
    </border>
    <border>
      <left style="hair">
        <color auto="1"/>
      </left>
      <right style="hair">
        <color auto="1"/>
      </right>
      <top style="hair">
        <color auto="1"/>
      </top>
      <bottom style="hair">
        <color auto="1"/>
      </bottom>
      <diagonal/>
    </border>
    <border>
      <left/>
      <right/>
      <top/>
      <bottom style="hair">
        <color indexed="64"/>
      </bottom>
      <diagonal/>
    </border>
    <border>
      <left/>
      <right style="hair">
        <color auto="1"/>
      </right>
      <top style="hair">
        <color auto="1"/>
      </top>
      <bottom/>
      <diagonal/>
    </border>
    <border>
      <left/>
      <right style="hair">
        <color auto="1"/>
      </right>
      <top style="hair">
        <color auto="1"/>
      </top>
      <bottom style="hair">
        <color auto="1"/>
      </bottom>
      <diagonal/>
    </border>
    <border>
      <left style="hair">
        <color auto="1"/>
      </left>
      <right/>
      <top/>
      <bottom/>
      <diagonal/>
    </border>
    <border>
      <left style="hair">
        <color auto="1"/>
      </left>
      <right style="hair">
        <color auto="1"/>
      </right>
      <top/>
      <bottom/>
      <diagonal/>
    </border>
    <border>
      <left style="hair">
        <color auto="1"/>
      </left>
      <right style="hair">
        <color auto="1"/>
      </right>
      <top/>
      <bottom style="hair">
        <color auto="1"/>
      </bottom>
      <diagonal/>
    </border>
    <border>
      <left style="hair">
        <color indexed="64"/>
      </left>
      <right/>
      <top/>
      <bottom/>
      <diagonal/>
    </border>
    <border>
      <left style="hair">
        <color indexed="64"/>
      </left>
      <right style="hair">
        <color indexed="64"/>
      </right>
      <top/>
      <bottom/>
      <diagonal/>
    </border>
    <border diagonalDown="1">
      <left style="hair">
        <color indexed="64"/>
      </left>
      <right style="hair">
        <color indexed="64"/>
      </right>
      <top style="hair">
        <color indexed="64"/>
      </top>
      <bottom style="hair">
        <color indexed="64"/>
      </bottom>
      <diagonal style="hair">
        <color indexed="64"/>
      </diagonal>
    </border>
    <border>
      <left/>
      <right style="hair">
        <color indexed="64"/>
      </right>
      <top style="hair">
        <color indexed="64"/>
      </top>
      <bottom/>
      <diagonal/>
    </border>
    <border>
      <left/>
      <right/>
      <top style="hair">
        <color indexed="64"/>
      </top>
      <bottom style="hair">
        <color indexed="64"/>
      </bottom>
      <diagonal/>
    </border>
    <border>
      <left/>
      <right style="hair">
        <color indexed="64"/>
      </right>
      <top/>
      <bottom/>
      <diagonal/>
    </border>
    <border>
      <left style="hair">
        <color indexed="64"/>
      </left>
      <right/>
      <top/>
      <bottom style="hair">
        <color indexed="64"/>
      </bottom>
      <diagonal/>
    </border>
    <border>
      <left/>
      <right style="hair">
        <color indexed="64"/>
      </right>
      <top/>
      <bottom style="hair">
        <color indexed="64"/>
      </bottom>
      <diagonal/>
    </border>
  </borders>
  <cellStyleXfs count="314">
    <xf numFmtId="0" fontId="0" fillId="0" borderId="0" applyProtection="1">
      <protection locked="0" hidden="0"/>
    </xf>
    <xf numFmtId="49" fontId="22" fillId="0" borderId="0" applyAlignment="1">
      <alignment horizontal="left"/>
    </xf>
    <xf numFmtId="170" fontId="22" fillId="0" borderId="0" applyAlignment="1">
      <alignment horizontal="right"/>
    </xf>
    <xf numFmtId="171" fontId="22" fillId="0" borderId="0" applyAlignment="1">
      <alignment horizontal="right"/>
    </xf>
    <xf numFmtId="172" fontId="46" fillId="0" borderId="0" applyAlignment="1">
      <alignment horizontal="center"/>
    </xf>
    <xf numFmtId="173" fontId="46" fillId="0" borderId="0" applyAlignment="1">
      <alignment horizontal="center"/>
    </xf>
    <xf numFmtId="174" fontId="47" fillId="0" borderId="0" applyAlignment="1">
      <alignment horizontal="right"/>
    </xf>
    <xf numFmtId="175" fontId="22" fillId="0" borderId="0" applyAlignment="1">
      <alignment horizontal="right"/>
    </xf>
    <xf numFmtId="176" fontId="22" fillId="0" borderId="0" applyAlignment="1">
      <alignment horizontal="right"/>
    </xf>
    <xf numFmtId="177" fontId="22" fillId="0" borderId="0" applyAlignment="1">
      <alignment horizontal="right"/>
    </xf>
    <xf numFmtId="178" fontId="22" fillId="0" borderId="0" applyAlignment="1">
      <alignment horizontal="right"/>
    </xf>
    <xf numFmtId="3" fontId="7" fillId="0" borderId="0"/>
    <xf numFmtId="179" fontId="8" fillId="0" borderId="1"/>
    <xf numFmtId="41" fontId="9" fillId="0" borderId="0"/>
    <xf numFmtId="43" fontId="9" fillId="0" borderId="0"/>
    <xf numFmtId="165" fontId="22" fillId="0" borderId="0"/>
    <xf numFmtId="0" fontId="10" fillId="0" borderId="0" applyAlignment="1" applyProtection="1">
      <alignment vertical="top"/>
      <protection locked="0" hidden="0"/>
    </xf>
    <xf numFmtId="38" fontId="11" fillId="2" borderId="0"/>
    <xf numFmtId="0" fontId="12" fillId="0" borderId="0" applyAlignment="1" applyProtection="1">
      <alignment vertical="top"/>
      <protection locked="0" hidden="0"/>
    </xf>
    <xf numFmtId="10" fontId="11" fillId="3" borderId="2"/>
    <xf numFmtId="180" fontId="13" fillId="0" borderId="0"/>
    <xf numFmtId="181" fontId="13" fillId="0" borderId="0"/>
    <xf numFmtId="0" fontId="14" fillId="0" borderId="0"/>
    <xf numFmtId="182" fontId="13" fillId="0" borderId="0"/>
    <xf numFmtId="10" fontId="9" fillId="0" borderId="0"/>
    <xf numFmtId="3" fontId="15" fillId="0" borderId="0"/>
    <xf numFmtId="9" fontId="13" fillId="0" borderId="0"/>
    <xf numFmtId="9" fontId="13" fillId="0" borderId="0" applyAlignment="1">
      <alignment vertical="center"/>
    </xf>
    <xf numFmtId="0" fontId="50" fillId="0" borderId="0" applyAlignment="1">
      <alignment vertical="center"/>
    </xf>
    <xf numFmtId="0" fontId="13" fillId="0" borderId="0" applyAlignment="1" applyProtection="1">
      <alignment vertical="center"/>
      <protection locked="0" hidden="0"/>
    </xf>
    <xf numFmtId="0" fontId="13" fillId="0" borderId="0" applyAlignment="1">
      <alignment vertical="center"/>
    </xf>
    <xf numFmtId="0" fontId="26" fillId="0" borderId="0"/>
    <xf numFmtId="0" fontId="26" fillId="0" borderId="0"/>
    <xf numFmtId="0" fontId="13" fillId="0" borderId="0"/>
    <xf numFmtId="0" fontId="13" fillId="0" borderId="0" applyProtection="1">
      <protection locked="0" hidden="0"/>
    </xf>
    <xf numFmtId="0" fontId="13" fillId="0" borderId="0"/>
    <xf numFmtId="0" fontId="16" fillId="0" borderId="0" applyAlignment="1" applyProtection="1">
      <alignment vertical="top"/>
      <protection locked="0" hidden="0"/>
    </xf>
    <xf numFmtId="0" fontId="17" fillId="0" borderId="0"/>
    <xf numFmtId="43" fontId="13" fillId="0" borderId="0"/>
    <xf numFmtId="43" fontId="13" fillId="0" borderId="0" applyAlignment="1">
      <alignment vertical="center"/>
    </xf>
    <xf numFmtId="0" fontId="13" fillId="0" borderId="0" applyProtection="1">
      <protection locked="0" hidden="0"/>
    </xf>
    <xf numFmtId="0" fontId="9" fillId="0" borderId="0"/>
    <xf numFmtId="0" fontId="9" fillId="0" borderId="0"/>
    <xf numFmtId="0" fontId="9" fillId="0" borderId="0"/>
    <xf numFmtId="0" fontId="9" fillId="0" borderId="0"/>
    <xf numFmtId="0" fontId="9" fillId="0" borderId="0"/>
    <xf numFmtId="0" fontId="51" fillId="0" borderId="0" applyAlignment="1" applyProtection="1">
      <alignment vertical="top"/>
      <protection locked="0" hidden="0"/>
    </xf>
    <xf numFmtId="0" fontId="51" fillId="0" borderId="0" applyAlignment="1" applyProtection="1">
      <alignment vertical="top"/>
      <protection locked="0" hidden="0"/>
    </xf>
    <xf numFmtId="0" fontId="51" fillId="0" borderId="0" applyAlignment="1" applyProtection="1">
      <alignment vertical="top"/>
      <protection locked="0" hidden="0"/>
    </xf>
    <xf numFmtId="0" fontId="51" fillId="0" borderId="0" applyAlignment="1">
      <alignment vertical="top"/>
    </xf>
    <xf numFmtId="0" fontId="26" fillId="0" borderId="0"/>
    <xf numFmtId="0" fontId="51" fillId="0" borderId="0" applyAlignment="1">
      <alignment vertical="top"/>
    </xf>
    <xf numFmtId="0" fontId="51" fillId="0" borderId="0" applyAlignment="1" applyProtection="1">
      <alignment vertical="top"/>
      <protection locked="0" hidden="0"/>
    </xf>
    <xf numFmtId="0" fontId="51" fillId="0" borderId="0" applyAlignment="1">
      <alignment vertical="top"/>
    </xf>
    <xf numFmtId="0" fontId="51" fillId="0" borderId="0" applyAlignment="1">
      <alignment vertical="top"/>
    </xf>
    <xf numFmtId="0" fontId="51" fillId="0" borderId="0" applyAlignment="1" applyProtection="1">
      <alignment vertical="top"/>
      <protection locked="0" hidden="0"/>
    </xf>
    <xf numFmtId="0" fontId="51" fillId="0" borderId="0" applyAlignment="1" applyProtection="1">
      <alignment vertical="top"/>
      <protection locked="0" hidden="0"/>
    </xf>
    <xf numFmtId="0" fontId="51" fillId="0" borderId="0" applyAlignment="1" applyProtection="1">
      <alignment vertical="top"/>
      <protection locked="0" hidden="0"/>
    </xf>
    <xf numFmtId="0" fontId="51" fillId="0" borderId="0" applyAlignment="1">
      <alignment vertical="top"/>
    </xf>
    <xf numFmtId="0" fontId="51" fillId="0" borderId="0" applyAlignment="1">
      <alignment vertical="top"/>
    </xf>
    <xf numFmtId="0" fontId="51" fillId="0" borderId="0" applyAlignment="1" applyProtection="1">
      <alignment vertical="top"/>
      <protection locked="0" hidden="0"/>
    </xf>
    <xf numFmtId="0" fontId="51" fillId="0" borderId="0" applyAlignment="1">
      <alignment vertical="top"/>
    </xf>
    <xf numFmtId="0" fontId="51" fillId="0" borderId="0" applyAlignment="1">
      <alignment vertical="top"/>
    </xf>
    <xf numFmtId="0" fontId="51" fillId="0" borderId="0" applyAlignment="1">
      <alignment vertical="top"/>
    </xf>
    <xf numFmtId="0" fontId="51" fillId="0" borderId="0" applyAlignment="1" applyProtection="1">
      <alignment vertical="top"/>
      <protection locked="0" hidden="0"/>
    </xf>
    <xf numFmtId="0" fontId="51" fillId="0" borderId="0" applyAlignment="1">
      <alignment vertical="top"/>
    </xf>
    <xf numFmtId="0" fontId="51" fillId="0" borderId="0" applyAlignment="1" applyProtection="1">
      <alignment vertical="top"/>
      <protection locked="0" hidden="0"/>
    </xf>
    <xf numFmtId="0" fontId="51" fillId="0" borderId="0" applyAlignment="1" applyProtection="1">
      <alignment vertical="top"/>
      <protection locked="0" hidden="0"/>
    </xf>
    <xf numFmtId="0" fontId="51" fillId="0" borderId="0" applyAlignment="1" applyProtection="1">
      <alignment vertical="top"/>
      <protection locked="0" hidden="0"/>
    </xf>
    <xf numFmtId="0" fontId="51" fillId="0" borderId="0" applyAlignment="1">
      <alignment vertical="top"/>
    </xf>
    <xf numFmtId="0" fontId="51" fillId="0" borderId="0" applyAlignment="1">
      <alignment vertical="top"/>
    </xf>
    <xf numFmtId="0" fontId="51" fillId="0" borderId="0" applyAlignment="1">
      <alignment vertical="top"/>
    </xf>
    <xf numFmtId="0" fontId="51" fillId="0" borderId="0" applyAlignment="1">
      <alignment vertical="top"/>
    </xf>
    <xf numFmtId="0" fontId="51" fillId="0" borderId="0" applyAlignment="1" applyProtection="1">
      <alignment vertical="top"/>
      <protection locked="0" hidden="0"/>
    </xf>
    <xf numFmtId="0" fontId="51" fillId="0" borderId="0" applyAlignment="1" applyProtection="1">
      <alignment vertical="top"/>
      <protection locked="0" hidden="0"/>
    </xf>
    <xf numFmtId="0" fontId="51" fillId="0" borderId="0" applyAlignment="1">
      <alignment vertical="top"/>
    </xf>
    <xf numFmtId="0" fontId="51" fillId="0" borderId="0" applyAlignment="1" applyProtection="1">
      <alignment vertical="top"/>
      <protection locked="0" hidden="0"/>
    </xf>
    <xf numFmtId="183" fontId="52" fillId="0" borderId="0"/>
    <xf numFmtId="166" fontId="52" fillId="0" borderId="0"/>
    <xf numFmtId="10" fontId="52" fillId="0" borderId="0"/>
    <xf numFmtId="184" fontId="51" fillId="0" borderId="0"/>
    <xf numFmtId="185" fontId="9" fillId="0" borderId="0"/>
    <xf numFmtId="186" fontId="9" fillId="0" borderId="0"/>
    <xf numFmtId="187" fontId="9" fillId="0" borderId="0"/>
    <xf numFmtId="188" fontId="9" fillId="0" borderId="0"/>
    <xf numFmtId="189" fontId="9" fillId="0" borderId="0"/>
    <xf numFmtId="190" fontId="9" fillId="0" borderId="0"/>
    <xf numFmtId="185" fontId="9" fillId="0" borderId="0"/>
    <xf numFmtId="0" fontId="53" fillId="0" borderId="0"/>
    <xf numFmtId="0" fontId="54" fillId="0" borderId="11" applyAlignment="1">
      <alignment horizontal="center"/>
    </xf>
    <xf numFmtId="0" fontId="55" fillId="0" borderId="12" applyAlignment="1">
      <alignment horizontal="center"/>
    </xf>
    <xf numFmtId="191" fontId="9" fillId="0" borderId="0"/>
    <xf numFmtId="191" fontId="9" fillId="0" borderId="0"/>
    <xf numFmtId="191" fontId="9" fillId="0" borderId="0"/>
    <xf numFmtId="191" fontId="9" fillId="0" borderId="0"/>
    <xf numFmtId="191" fontId="9" fillId="0" borderId="0"/>
    <xf numFmtId="191" fontId="9" fillId="0" borderId="0"/>
    <xf numFmtId="191" fontId="9" fillId="0" borderId="0"/>
    <xf numFmtId="191" fontId="9" fillId="0" borderId="0"/>
    <xf numFmtId="38" fontId="56" fillId="0" borderId="0"/>
    <xf numFmtId="189" fontId="9" fillId="0" borderId="0"/>
    <xf numFmtId="43" fontId="13" fillId="0" borderId="0"/>
    <xf numFmtId="192" fontId="22" fillId="0" borderId="0"/>
    <xf numFmtId="37" fontId="52" fillId="0" borderId="0"/>
    <xf numFmtId="193" fontId="52" fillId="0" borderId="0"/>
    <xf numFmtId="39" fontId="52" fillId="0" borderId="0"/>
    <xf numFmtId="40" fontId="56" fillId="0" borderId="0"/>
    <xf numFmtId="194" fontId="13" fillId="0" borderId="0"/>
    <xf numFmtId="185" fontId="9" fillId="0" borderId="0"/>
    <xf numFmtId="179" fontId="52" fillId="0" borderId="0"/>
    <xf numFmtId="195" fontId="52" fillId="0" borderId="0"/>
    <xf numFmtId="196" fontId="13" fillId="0" borderId="0"/>
    <xf numFmtId="197" fontId="22" fillId="0" borderId="0"/>
    <xf numFmtId="14" fontId="51" fillId="0" borderId="0"/>
    <xf numFmtId="198" fontId="22" fillId="0" borderId="0"/>
    <xf numFmtId="189" fontId="9" fillId="0" borderId="0"/>
    <xf numFmtId="185" fontId="9" fillId="0" borderId="0"/>
    <xf numFmtId="189" fontId="9" fillId="0" borderId="0"/>
    <xf numFmtId="190" fontId="9" fillId="0" borderId="0"/>
    <xf numFmtId="185" fontId="9" fillId="0" borderId="0"/>
    <xf numFmtId="0" fontId="57" fillId="0" borderId="0" applyAlignment="1">
      <alignment horizontal="left"/>
    </xf>
    <xf numFmtId="0" fontId="11" fillId="5" borderId="2"/>
    <xf numFmtId="0" fontId="58" fillId="0" borderId="0" applyAlignment="1">
      <alignment horizontal="left"/>
    </xf>
    <xf numFmtId="0" fontId="35" fillId="0" borderId="8" applyAlignment="1">
      <alignment horizontal="left" vertical="center"/>
    </xf>
    <xf numFmtId="0" fontId="35" fillId="0" borderId="13" applyAlignment="1">
      <alignment horizontal="left" vertical="center"/>
    </xf>
    <xf numFmtId="14" fontId="59" fillId="6" borderId="7" applyAlignment="1">
      <alignment horizontal="center" vertical="center" wrapText="1"/>
    </xf>
    <xf numFmtId="0" fontId="22" fillId="0" borderId="0" applyAlignment="1">
      <alignment horizontal="left" vertical="center"/>
    </xf>
    <xf numFmtId="189" fontId="9" fillId="0" borderId="0"/>
    <xf numFmtId="185" fontId="9" fillId="0" borderId="0"/>
    <xf numFmtId="189" fontId="9" fillId="0" borderId="0"/>
    <xf numFmtId="190" fontId="9" fillId="0" borderId="0"/>
    <xf numFmtId="185" fontId="9" fillId="0" borderId="0"/>
    <xf numFmtId="41" fontId="9" fillId="0" borderId="0"/>
    <xf numFmtId="43" fontId="9" fillId="0" borderId="0"/>
    <xf numFmtId="0" fontId="60" fillId="0" borderId="7"/>
    <xf numFmtId="42" fontId="9" fillId="0" borderId="0"/>
    <xf numFmtId="199" fontId="9" fillId="0" borderId="0"/>
    <xf numFmtId="200" fontId="9" fillId="0" borderId="0"/>
    <xf numFmtId="201" fontId="13" fillId="0" borderId="0"/>
    <xf numFmtId="37" fontId="61" fillId="0" borderId="0"/>
    <xf numFmtId="0" fontId="13" fillId="0" borderId="0"/>
    <xf numFmtId="0" fontId="56" fillId="0" borderId="0"/>
    <xf numFmtId="0" fontId="62" fillId="0" borderId="0"/>
    <xf numFmtId="202" fontId="9" fillId="0" borderId="0"/>
    <xf numFmtId="188" fontId="9" fillId="0" borderId="0"/>
    <xf numFmtId="183" fontId="9" fillId="0" borderId="0"/>
    <xf numFmtId="0" fontId="11" fillId="2" borderId="2"/>
    <xf numFmtId="189" fontId="9" fillId="0" borderId="0"/>
    <xf numFmtId="185" fontId="9" fillId="0" borderId="0"/>
    <xf numFmtId="189" fontId="9" fillId="0" borderId="0"/>
    <xf numFmtId="190" fontId="9" fillId="0" borderId="0"/>
    <xf numFmtId="185" fontId="9" fillId="0" borderId="0"/>
    <xf numFmtId="4" fontId="57" fillId="0" borderId="0" applyAlignment="1">
      <alignment horizontal="right"/>
    </xf>
    <xf numFmtId="4" fontId="63" fillId="0" borderId="0" applyAlignment="1">
      <alignment horizontal="right"/>
    </xf>
    <xf numFmtId="0" fontId="64" fillId="0" borderId="0" applyAlignment="1">
      <alignment horizontal="left"/>
    </xf>
    <xf numFmtId="43" fontId="11" fillId="0" borderId="3"/>
    <xf numFmtId="0" fontId="65" fillId="0" borderId="2" applyAlignment="1">
      <alignment horizontal="center"/>
    </xf>
    <xf numFmtId="0" fontId="65" fillId="0" borderId="0" applyAlignment="1">
      <alignment horizontal="center" vertical="center"/>
    </xf>
    <xf numFmtId="0" fontId="66" fillId="7" borderId="0" applyAlignment="1">
      <alignment horizontal="left" vertical="center"/>
    </xf>
    <xf numFmtId="0" fontId="60" fillId="0" borderId="0"/>
    <xf numFmtId="49" fontId="51" fillId="0" borderId="0"/>
    <xf numFmtId="203" fontId="51" fillId="0" borderId="0"/>
    <xf numFmtId="204" fontId="9" fillId="0" borderId="0"/>
    <xf numFmtId="0" fontId="34" fillId="0" borderId="0" applyAlignment="1">
      <alignment horizontal="left" vertical="top"/>
    </xf>
    <xf numFmtId="0" fontId="67" fillId="0" borderId="0" applyAlignment="1">
      <alignment horizontal="center"/>
    </xf>
    <xf numFmtId="0" fontId="68" fillId="0" borderId="0" applyAlignment="1">
      <alignment horizontal="center" vertical="center" wrapText="1"/>
    </xf>
    <xf numFmtId="9" fontId="69" fillId="0" borderId="0"/>
    <xf numFmtId="0" fontId="26" fillId="0" borderId="0"/>
    <xf numFmtId="0" fontId="9" fillId="0" borderId="0"/>
    <xf numFmtId="205" fontId="26" fillId="0" borderId="0"/>
    <xf numFmtId="206" fontId="26" fillId="0" borderId="0"/>
    <xf numFmtId="41" fontId="9" fillId="0" borderId="0"/>
    <xf numFmtId="43" fontId="9" fillId="0" borderId="0"/>
    <xf numFmtId="4" fontId="70" fillId="0" borderId="0" applyAlignment="1">
      <alignment horizontal="right"/>
    </xf>
    <xf numFmtId="0" fontId="71" fillId="8" borderId="0" applyAlignment="1">
      <alignment vertical="center"/>
    </xf>
    <xf numFmtId="0" fontId="13" fillId="0" borderId="0"/>
    <xf numFmtId="0" fontId="72" fillId="0" borderId="0" applyAlignment="1">
      <alignment vertical="center"/>
    </xf>
    <xf numFmtId="0" fontId="13" fillId="0" borderId="0"/>
    <xf numFmtId="0" fontId="73" fillId="0" borderId="0" applyAlignment="1" applyProtection="1">
      <alignment vertical="top"/>
      <protection locked="0" hidden="0"/>
    </xf>
    <xf numFmtId="0" fontId="8" fillId="0" borderId="0"/>
    <xf numFmtId="0" fontId="74" fillId="9" borderId="0" applyAlignment="1">
      <alignment vertical="center"/>
    </xf>
    <xf numFmtId="4" fontId="68" fillId="0" borderId="0"/>
    <xf numFmtId="41" fontId="9" fillId="0" borderId="0"/>
    <xf numFmtId="207" fontId="26" fillId="0" borderId="0"/>
    <xf numFmtId="8" fontId="13" fillId="0" borderId="0"/>
    <xf numFmtId="208" fontId="26" fillId="0" borderId="0"/>
    <xf numFmtId="209" fontId="26" fillId="0" borderId="0"/>
    <xf numFmtId="210" fontId="26" fillId="0" borderId="0"/>
    <xf numFmtId="211" fontId="26" fillId="0" borderId="0"/>
    <xf numFmtId="0" fontId="22" fillId="0" borderId="0"/>
    <xf numFmtId="41" fontId="22" fillId="0" borderId="0"/>
    <xf numFmtId="43" fontId="22" fillId="0" borderId="0"/>
    <xf numFmtId="41" fontId="26" fillId="0" borderId="0"/>
    <xf numFmtId="43" fontId="26" fillId="0" borderId="0"/>
    <xf numFmtId="0" fontId="75" fillId="0" borderId="0"/>
    <xf numFmtId="199" fontId="9" fillId="0" borderId="0"/>
    <xf numFmtId="212" fontId="68" fillId="0" borderId="0"/>
    <xf numFmtId="0" fontId="51" fillId="0" borderId="0" applyAlignment="1">
      <alignment vertical="top"/>
    </xf>
    <xf numFmtId="38" fontId="76" fillId="0" borderId="0"/>
    <xf numFmtId="40" fontId="76" fillId="0" borderId="0"/>
    <xf numFmtId="0" fontId="76" fillId="0" borderId="0"/>
    <xf numFmtId="0" fontId="76" fillId="0" borderId="0"/>
    <xf numFmtId="0" fontId="77" fillId="0" borderId="0"/>
    <xf numFmtId="43" fontId="13" fillId="0" borderId="0"/>
    <xf numFmtId="0" fontId="13" fillId="0" borderId="0" applyAlignment="1">
      <alignment vertical="center"/>
    </xf>
    <xf numFmtId="43" fontId="13" fillId="0" borderId="0"/>
    <xf numFmtId="182" fontId="13" fillId="0" borderId="0"/>
    <xf numFmtId="9" fontId="13" fillId="0" borderId="0" applyAlignment="1">
      <alignment vertical="center"/>
    </xf>
    <xf numFmtId="9" fontId="13" fillId="0" borderId="0"/>
    <xf numFmtId="9" fontId="13" fillId="0" borderId="0"/>
    <xf numFmtId="0" fontId="50" fillId="0" borderId="0" applyAlignment="1">
      <alignment vertical="center"/>
    </xf>
    <xf numFmtId="0" fontId="19" fillId="0" borderId="0"/>
    <xf numFmtId="0" fontId="19" fillId="0" borderId="0"/>
    <xf numFmtId="0" fontId="13" fillId="0" borderId="0" applyAlignment="1" applyProtection="1">
      <alignment vertical="center"/>
      <protection locked="0" hidden="0"/>
    </xf>
    <xf numFmtId="0" fontId="13" fillId="0" borderId="0" applyProtection="1">
      <protection locked="0" hidden="0"/>
    </xf>
    <xf numFmtId="0" fontId="16" fillId="0" borderId="0" applyAlignment="1" applyProtection="1">
      <alignment vertical="top"/>
      <protection locked="0" hidden="0"/>
    </xf>
    <xf numFmtId="43" fontId="13" fillId="0" borderId="0" applyAlignment="1">
      <alignment vertical="center"/>
    </xf>
    <xf numFmtId="0" fontId="9" fillId="0" borderId="0"/>
    <xf numFmtId="165" fontId="88" fillId="11" borderId="0"/>
    <xf numFmtId="165" fontId="88" fillId="8" borderId="0"/>
    <xf numFmtId="165" fontId="88" fillId="9" borderId="0"/>
    <xf numFmtId="165" fontId="88" fillId="12" borderId="0"/>
    <xf numFmtId="165" fontId="88" fillId="13" borderId="0"/>
    <xf numFmtId="165" fontId="88" fillId="14" borderId="0"/>
    <xf numFmtId="165" fontId="88" fillId="15" borderId="0"/>
    <xf numFmtId="165" fontId="88" fillId="16" borderId="0"/>
    <xf numFmtId="165" fontId="88" fillId="17" borderId="0"/>
    <xf numFmtId="165" fontId="88" fillId="12" borderId="0"/>
    <xf numFmtId="165" fontId="88" fillId="15" borderId="0"/>
    <xf numFmtId="165" fontId="88" fillId="18" borderId="0"/>
    <xf numFmtId="165" fontId="89" fillId="19" borderId="0"/>
    <xf numFmtId="165" fontId="89" fillId="16" borderId="0"/>
    <xf numFmtId="165" fontId="89" fillId="17" borderId="0"/>
    <xf numFmtId="165" fontId="89" fillId="20" borderId="0"/>
    <xf numFmtId="165" fontId="89" fillId="21" borderId="0"/>
    <xf numFmtId="165" fontId="89" fillId="22" borderId="0"/>
    <xf numFmtId="165" fontId="89" fillId="23" borderId="0"/>
    <xf numFmtId="165" fontId="89" fillId="24" borderId="0"/>
    <xf numFmtId="165" fontId="89" fillId="25" borderId="0"/>
    <xf numFmtId="165" fontId="89" fillId="20" borderId="0"/>
    <xf numFmtId="165" fontId="89" fillId="21" borderId="0"/>
    <xf numFmtId="165" fontId="89" fillId="26" borderId="0"/>
    <xf numFmtId="165" fontId="90" fillId="8" borderId="0"/>
    <xf numFmtId="165" fontId="91" fillId="27" borderId="18"/>
    <xf numFmtId="165" fontId="92" fillId="28" borderId="19"/>
    <xf numFmtId="165" fontId="93" fillId="0" borderId="0"/>
    <xf numFmtId="165" fontId="94" fillId="9" borderId="0"/>
    <xf numFmtId="165" fontId="95" fillId="0" borderId="20"/>
    <xf numFmtId="165" fontId="96" fillId="0" borderId="21"/>
    <xf numFmtId="165" fontId="97" fillId="0" borderId="22"/>
    <xf numFmtId="165" fontId="97" fillId="0" borderId="0"/>
    <xf numFmtId="165" fontId="98" fillId="14" borderId="18"/>
    <xf numFmtId="165" fontId="99" fillId="0" borderId="23"/>
    <xf numFmtId="165" fontId="100" fillId="29" borderId="0"/>
    <xf numFmtId="0" fontId="9" fillId="0" borderId="0"/>
    <xf numFmtId="0" fontId="9" fillId="0" borderId="0"/>
    <xf numFmtId="0" fontId="13" fillId="0" borderId="0" applyAlignment="1">
      <alignment vertical="center"/>
    </xf>
    <xf numFmtId="165" fontId="9" fillId="30" borderId="24"/>
    <xf numFmtId="165" fontId="101" fillId="27" borderId="25"/>
    <xf numFmtId="165" fontId="102" fillId="0" borderId="26"/>
    <xf numFmtId="165" fontId="103" fillId="0" borderId="0"/>
    <xf numFmtId="0" fontId="104" fillId="0" borderId="0" applyAlignment="1">
      <alignment vertical="center"/>
    </xf>
    <xf numFmtId="0" fontId="104" fillId="0" borderId="0" applyAlignment="1">
      <alignment vertical="center"/>
    </xf>
    <xf numFmtId="0" fontId="104" fillId="0" borderId="0" applyAlignment="1">
      <alignment vertical="center"/>
    </xf>
    <xf numFmtId="0" fontId="104" fillId="0" borderId="0" applyAlignment="1">
      <alignment vertical="center"/>
    </xf>
    <xf numFmtId="0" fontId="13" fillId="0" borderId="0" applyAlignment="1">
      <alignment vertical="center"/>
    </xf>
    <xf numFmtId="0" fontId="13" fillId="0" borderId="0" applyAlignment="1">
      <alignment vertical="center"/>
    </xf>
    <xf numFmtId="0" fontId="13" fillId="0" borderId="0" applyAlignment="1">
      <alignment vertical="center"/>
    </xf>
    <xf numFmtId="0" fontId="104" fillId="0" borderId="0" applyAlignment="1">
      <alignment vertical="center"/>
    </xf>
    <xf numFmtId="0" fontId="104" fillId="0" borderId="0" applyAlignment="1">
      <alignment vertical="center"/>
    </xf>
    <xf numFmtId="0" fontId="104" fillId="0" borderId="0" applyAlignment="1">
      <alignment vertical="center"/>
    </xf>
    <xf numFmtId="0" fontId="104" fillId="0" borderId="0" applyAlignment="1">
      <alignment vertical="center"/>
    </xf>
    <xf numFmtId="0" fontId="104" fillId="0" borderId="0" applyAlignment="1">
      <alignment vertical="center"/>
    </xf>
    <xf numFmtId="0" fontId="104" fillId="0" borderId="0" applyAlignment="1">
      <alignment vertical="center"/>
    </xf>
    <xf numFmtId="0" fontId="105" fillId="0" borderId="0" applyAlignment="1" applyProtection="1">
      <alignment vertical="center"/>
      <protection locked="0" hidden="0"/>
    </xf>
    <xf numFmtId="0" fontId="13" fillId="0" borderId="0" applyAlignment="1">
      <alignment vertical="center"/>
    </xf>
    <xf numFmtId="0" fontId="13" fillId="0" borderId="0" applyAlignment="1">
      <alignment vertical="center"/>
    </xf>
    <xf numFmtId="0" fontId="13" fillId="0" borderId="0" applyAlignment="1">
      <alignment vertical="center"/>
    </xf>
    <xf numFmtId="0" fontId="72" fillId="0" borderId="0" applyAlignment="1">
      <alignment vertical="center"/>
    </xf>
    <xf numFmtId="0" fontId="13" fillId="0" borderId="0" applyProtection="1">
      <protection locked="0" hidden="0"/>
    </xf>
    <xf numFmtId="0" fontId="13" fillId="0" borderId="0" applyAlignment="1">
      <alignment vertical="center"/>
    </xf>
    <xf numFmtId="0" fontId="9" fillId="0" borderId="0"/>
    <xf numFmtId="0" fontId="13" fillId="0" borderId="0" applyAlignment="1">
      <alignment vertical="center"/>
    </xf>
    <xf numFmtId="0" fontId="13" fillId="0" borderId="0"/>
    <xf numFmtId="0" fontId="13" fillId="0" borderId="0" applyAlignment="1">
      <alignment vertical="center"/>
    </xf>
    <xf numFmtId="0" fontId="13" fillId="0" borderId="0" applyAlignment="1">
      <alignment vertical="center"/>
    </xf>
    <xf numFmtId="0" fontId="104" fillId="0" borderId="0" applyAlignment="1">
      <alignment vertical="center"/>
    </xf>
    <xf numFmtId="0" fontId="104" fillId="0" borderId="0" applyAlignment="1">
      <alignment vertical="center"/>
    </xf>
    <xf numFmtId="0" fontId="104" fillId="0" borderId="0" applyAlignment="1">
      <alignment vertical="center"/>
    </xf>
    <xf numFmtId="0" fontId="13" fillId="0" borderId="0"/>
    <xf numFmtId="0" fontId="105" fillId="0" borderId="0" applyAlignment="1">
      <alignment vertical="center"/>
    </xf>
    <xf numFmtId="0" fontId="104" fillId="0" borderId="0" applyAlignment="1">
      <alignment vertical="center"/>
    </xf>
    <xf numFmtId="0" fontId="6" fillId="0" borderId="0" applyAlignment="1">
      <alignment vertical="center"/>
    </xf>
    <xf numFmtId="0" fontId="104" fillId="0" borderId="0" applyAlignment="1">
      <alignment vertical="center"/>
    </xf>
    <xf numFmtId="0" fontId="104" fillId="0" borderId="0" applyAlignment="1">
      <alignment vertical="center"/>
    </xf>
    <xf numFmtId="0" fontId="104" fillId="0" borderId="0" applyAlignment="1">
      <alignment vertical="center"/>
    </xf>
    <xf numFmtId="0" fontId="104" fillId="0" borderId="0" applyAlignment="1">
      <alignment vertical="center"/>
    </xf>
    <xf numFmtId="0" fontId="104" fillId="0" borderId="0" applyAlignment="1">
      <alignment vertical="center"/>
    </xf>
    <xf numFmtId="0" fontId="104" fillId="0" borderId="0" applyAlignment="1">
      <alignment vertical="center"/>
    </xf>
    <xf numFmtId="0" fontId="104" fillId="0" borderId="0" applyAlignment="1">
      <alignment vertical="center"/>
    </xf>
    <xf numFmtId="0" fontId="104" fillId="0" borderId="0" applyAlignment="1">
      <alignment vertical="center"/>
    </xf>
    <xf numFmtId="0" fontId="104" fillId="0" borderId="0" applyAlignment="1">
      <alignment vertical="center"/>
    </xf>
    <xf numFmtId="0" fontId="104" fillId="0" borderId="0" applyAlignment="1">
      <alignment vertical="center"/>
    </xf>
    <xf numFmtId="0" fontId="104" fillId="0" borderId="0" applyAlignment="1">
      <alignment vertical="center"/>
    </xf>
    <xf numFmtId="0" fontId="104" fillId="0" borderId="0" applyAlignment="1">
      <alignment vertical="center"/>
    </xf>
    <xf numFmtId="0" fontId="13" fillId="0" borderId="0"/>
    <xf numFmtId="165" fontId="16" fillId="0" borderId="0" applyAlignment="1" applyProtection="1">
      <alignment vertical="top"/>
      <protection locked="0" hidden="0"/>
    </xf>
    <xf numFmtId="165" fontId="6" fillId="0" borderId="0" applyAlignment="1">
      <alignment vertical="center"/>
    </xf>
    <xf numFmtId="43" fontId="13" fillId="0" borderId="0"/>
    <xf numFmtId="165" fontId="13" fillId="0" borderId="0" applyAlignment="1">
      <alignment vertical="center"/>
    </xf>
    <xf numFmtId="165" fontId="6" fillId="0" borderId="0" applyAlignment="1">
      <alignment vertical="center"/>
    </xf>
    <xf numFmtId="0" fontId="13" fillId="0" borderId="0" applyAlignment="1" applyProtection="1">
      <alignment vertical="center"/>
      <protection locked="0" hidden="0"/>
    </xf>
    <xf numFmtId="0" fontId="13" fillId="0" borderId="0" applyAlignment="1">
      <alignment vertical="center"/>
    </xf>
    <xf numFmtId="165" fontId="6" fillId="0" borderId="0" applyAlignment="1">
      <alignment vertical="center"/>
    </xf>
  </cellStyleXfs>
  <cellXfs count="497">
    <xf numFmtId="0" fontId="0" fillId="0" borderId="0" applyProtection="1" pivotButton="0" quotePrefix="0" xfId="0">
      <protection locked="0" hidden="0"/>
    </xf>
    <xf numFmtId="0" fontId="19" fillId="0" borderId="0" applyAlignment="1" pivotButton="0" quotePrefix="0" xfId="32">
      <alignment vertical="center"/>
    </xf>
    <xf numFmtId="0" fontId="20" fillId="0" borderId="0" applyAlignment="1" applyProtection="1" pivotButton="0" quotePrefix="0" xfId="34">
      <alignment vertical="center"/>
      <protection locked="0" hidden="0"/>
    </xf>
    <xf numFmtId="0" fontId="27" fillId="0" borderId="0" applyAlignment="1" applyProtection="1" pivotButton="0" quotePrefix="0" xfId="34">
      <alignment vertical="center"/>
      <protection locked="0" hidden="0"/>
    </xf>
    <xf numFmtId="0" fontId="13" fillId="0" borderId="0" applyAlignment="1" applyProtection="1" pivotButton="0" quotePrefix="0" xfId="34">
      <alignment vertical="center"/>
      <protection locked="0" hidden="0"/>
    </xf>
    <xf numFmtId="0" fontId="13" fillId="0" borderId="0" applyAlignment="1" applyProtection="1" pivotButton="0" quotePrefix="0" xfId="34">
      <alignment vertical="center"/>
      <protection locked="0" hidden="0"/>
    </xf>
    <xf numFmtId="0" fontId="19" fillId="4" borderId="0" applyAlignment="1" applyProtection="1" pivotButton="0" quotePrefix="0" xfId="34">
      <alignment horizontal="justify" vertical="center" wrapText="1"/>
      <protection locked="0" hidden="0"/>
    </xf>
    <xf numFmtId="0" fontId="32" fillId="0" borderId="0" applyAlignment="1" applyProtection="1" pivotButton="0" quotePrefix="0" xfId="34">
      <alignment horizontal="justify" wrapText="1"/>
      <protection locked="0" hidden="0"/>
    </xf>
    <xf numFmtId="0" fontId="13" fillId="0" borderId="0" applyAlignment="1" applyProtection="1" pivotButton="0" quotePrefix="0" xfId="34">
      <alignment horizontal="center" vertical="center"/>
      <protection locked="0" hidden="0"/>
    </xf>
    <xf numFmtId="0" fontId="21" fillId="0" borderId="0" applyAlignment="1" applyProtection="1" pivotButton="0" quotePrefix="0" xfId="34">
      <alignment horizontal="justify" wrapText="1"/>
      <protection locked="0" hidden="0"/>
    </xf>
    <xf numFmtId="0" fontId="13" fillId="0" borderId="0" applyProtection="1" pivotButton="0" quotePrefix="0" xfId="34">
      <protection locked="0" hidden="0"/>
    </xf>
    <xf numFmtId="0" fontId="27" fillId="0" borderId="0" applyProtection="1" pivotButton="0" quotePrefix="0" xfId="34">
      <protection locked="0" hidden="0"/>
    </xf>
    <xf numFmtId="0" fontId="21" fillId="0" borderId="0" applyAlignment="1" applyProtection="1" pivotButton="0" quotePrefix="0" xfId="34">
      <alignment horizontal="justify" vertical="top" wrapText="1"/>
      <protection locked="0" hidden="0"/>
    </xf>
    <xf numFmtId="0" fontId="27" fillId="0" borderId="0" applyProtection="1" pivotButton="0" quotePrefix="0" xfId="34">
      <protection locked="0" hidden="0"/>
    </xf>
    <xf numFmtId="0" fontId="33" fillId="0" borderId="0" applyAlignment="1" applyProtection="1" pivotButton="0" quotePrefix="0" xfId="34">
      <alignment horizontal="justify" wrapText="1"/>
      <protection locked="0" hidden="0"/>
    </xf>
    <xf numFmtId="0" fontId="13" fillId="0" borderId="0" applyProtection="1" pivotButton="0" quotePrefix="0" xfId="34">
      <protection locked="0" hidden="0"/>
    </xf>
    <xf numFmtId="0" fontId="13" fillId="0" borderId="0" applyProtection="1" pivotButton="0" quotePrefix="0" xfId="34">
      <protection locked="0" hidden="0"/>
    </xf>
    <xf numFmtId="0" fontId="13" fillId="0" borderId="0" applyAlignment="1" applyProtection="1" pivotButton="0" quotePrefix="0" xfId="34">
      <alignment horizontal="left"/>
      <protection locked="0" hidden="0"/>
    </xf>
    <xf numFmtId="0" fontId="39" fillId="0" borderId="0" applyAlignment="1" pivotButton="0" quotePrefix="0" xfId="30">
      <alignment vertical="center"/>
    </xf>
    <xf numFmtId="164" fontId="39" fillId="0" borderId="0" applyAlignment="1" pivotButton="0" quotePrefix="0" xfId="35">
      <alignment vertical="center"/>
    </xf>
    <xf numFmtId="164" fontId="40" fillId="0" borderId="0" applyAlignment="1" pivotButton="0" quotePrefix="0" xfId="35">
      <alignment vertical="center"/>
    </xf>
    <xf numFmtId="49" fontId="40" fillId="0" borderId="0" applyAlignment="1" pivotButton="0" quotePrefix="0" xfId="35">
      <alignment vertical="center"/>
    </xf>
    <xf numFmtId="0" fontId="40" fillId="0" borderId="0" applyAlignment="1" pivotButton="0" quotePrefix="0" xfId="31">
      <alignment vertical="center"/>
    </xf>
    <xf numFmtId="164" fontId="44" fillId="0" borderId="0" applyAlignment="1" pivotButton="0" quotePrefix="0" xfId="35">
      <alignment vertical="center"/>
    </xf>
    <xf numFmtId="164" fontId="40" fillId="0" borderId="3" applyAlignment="1" pivotButton="0" quotePrefix="0" xfId="38">
      <alignment vertical="center"/>
    </xf>
    <xf numFmtId="0" fontId="42" fillId="0" borderId="0" applyAlignment="1" pivotButton="0" quotePrefix="0" xfId="33">
      <alignment horizontal="center" vertical="center"/>
    </xf>
    <xf numFmtId="0" fontId="40" fillId="0" borderId="0" applyAlignment="1" pivotButton="0" quotePrefix="0" xfId="33">
      <alignment vertical="center"/>
    </xf>
    <xf numFmtId="0" fontId="43" fillId="0" borderId="0" applyAlignment="1" pivotButton="0" quotePrefix="0" xfId="33">
      <alignment vertical="center"/>
    </xf>
    <xf numFmtId="0" fontId="40" fillId="0" borderId="0" applyAlignment="1" pivotButton="0" quotePrefix="0" xfId="33">
      <alignment vertical="center"/>
    </xf>
    <xf numFmtId="0" fontId="40" fillId="0" borderId="0" applyAlignment="1" pivotButton="0" quotePrefix="0" xfId="32">
      <alignment vertical="center"/>
    </xf>
    <xf numFmtId="0" fontId="40" fillId="0" borderId="0" applyAlignment="1" pivotButton="0" quotePrefix="0" xfId="32">
      <alignment vertical="center"/>
    </xf>
    <xf numFmtId="0" fontId="40" fillId="0" borderId="0" applyAlignment="1" pivotButton="0" quotePrefix="0" xfId="32">
      <alignment horizontal="center" vertical="center"/>
    </xf>
    <xf numFmtId="0" fontId="40" fillId="0" borderId="3" applyAlignment="1" pivotButton="0" quotePrefix="0" xfId="32">
      <alignment vertical="center"/>
    </xf>
    <xf numFmtId="0" fontId="23" fillId="0" borderId="0" applyAlignment="1" pivotButton="0" quotePrefix="0" xfId="30">
      <alignment vertical="center"/>
    </xf>
    <xf numFmtId="0" fontId="43" fillId="0" borderId="0" applyAlignment="1" pivotButton="0" quotePrefix="0" xfId="33">
      <alignment vertical="center"/>
    </xf>
    <xf numFmtId="0" fontId="40" fillId="0" borderId="0" applyAlignment="1" pivotButton="0" quotePrefix="0" xfId="30">
      <alignment vertical="center"/>
    </xf>
    <xf numFmtId="0" fontId="39" fillId="0" borderId="0" applyAlignment="1" pivotButton="0" quotePrefix="0" xfId="32">
      <alignment vertical="center"/>
    </xf>
    <xf numFmtId="0" fontId="40" fillId="0" borderId="0" applyAlignment="1" applyProtection="1" pivotButton="0" quotePrefix="0" xfId="40">
      <alignment vertical="center"/>
      <protection locked="0" hidden="0"/>
    </xf>
    <xf numFmtId="0" fontId="40" fillId="0" borderId="0" applyAlignment="1" applyProtection="1" pivotButton="0" quotePrefix="0" xfId="40">
      <alignment vertical="center"/>
      <protection locked="0" hidden="0"/>
    </xf>
    <xf numFmtId="0" fontId="19" fillId="0" borderId="0" applyAlignment="1" applyProtection="1" pivotButton="0" quotePrefix="0" xfId="40">
      <alignment horizontal="right" vertical="center"/>
      <protection locked="0" hidden="0"/>
    </xf>
    <xf numFmtId="0" fontId="19" fillId="0" borderId="0" applyAlignment="1" applyProtection="1" pivotButton="0" quotePrefix="0" xfId="40">
      <alignment vertical="center"/>
      <protection locked="0" hidden="0"/>
    </xf>
    <xf numFmtId="0" fontId="23" fillId="0" borderId="0" applyAlignment="1" applyProtection="1" pivotButton="0" quotePrefix="0" xfId="40">
      <alignment vertical="center"/>
      <protection locked="0" hidden="0"/>
    </xf>
    <xf numFmtId="0" fontId="41" fillId="0" borderId="0" applyAlignment="1" applyProtection="1" pivotButton="0" quotePrefix="0" xfId="40">
      <alignment vertical="center"/>
      <protection locked="0" hidden="0"/>
    </xf>
    <xf numFmtId="0" fontId="19" fillId="0" borderId="0" applyAlignment="1" applyProtection="1" pivotButton="0" quotePrefix="0" xfId="40">
      <alignment vertical="center"/>
      <protection locked="0" hidden="0"/>
    </xf>
    <xf numFmtId="0" fontId="40" fillId="0" borderId="3" applyAlignment="1" applyProtection="1" pivotButton="0" quotePrefix="0" xfId="40">
      <alignment vertical="center"/>
      <protection locked="0" hidden="0"/>
    </xf>
    <xf numFmtId="0" fontId="45" fillId="0" borderId="0" applyAlignment="1" applyProtection="1" pivotButton="0" quotePrefix="0" xfId="40">
      <alignment vertical="center"/>
      <protection locked="0" hidden="0"/>
    </xf>
    <xf numFmtId="0" fontId="31" fillId="0" borderId="0" applyAlignment="1" applyProtection="1" pivotButton="0" quotePrefix="0" xfId="40">
      <alignment vertical="center"/>
      <protection locked="0" hidden="0"/>
    </xf>
    <xf numFmtId="0" fontId="29" fillId="0" borderId="0" applyAlignment="1" applyProtection="1" pivotButton="0" quotePrefix="0" xfId="40">
      <alignment vertical="center"/>
      <protection locked="0" hidden="0"/>
    </xf>
    <xf numFmtId="0" fontId="45" fillId="0" borderId="0" applyAlignment="1" applyProtection="1" pivotButton="0" quotePrefix="0" xfId="40">
      <alignment vertical="center"/>
      <protection locked="0" hidden="0"/>
    </xf>
    <xf numFmtId="0" fontId="45" fillId="0" borderId="0" applyAlignment="1" applyProtection="1" pivotButton="0" quotePrefix="0" xfId="40">
      <alignment horizontal="left" vertical="center" wrapText="1"/>
      <protection locked="0" hidden="0"/>
    </xf>
    <xf numFmtId="0" fontId="40" fillId="0" borderId="0" applyAlignment="1" applyProtection="1" pivotButton="0" quotePrefix="0" xfId="40">
      <alignment horizontal="justify" vertical="center" wrapText="1"/>
      <protection locked="0" hidden="0"/>
    </xf>
    <xf numFmtId="0" fontId="40" fillId="0" borderId="0" applyAlignment="1" applyProtection="1" pivotButton="0" quotePrefix="0" xfId="40">
      <alignment horizontal="left" vertical="center"/>
      <protection locked="0" hidden="0"/>
    </xf>
    <xf numFmtId="0" fontId="40" fillId="0" borderId="0" applyAlignment="1" pivotButton="0" quotePrefix="0" xfId="204">
      <alignment vertical="center"/>
    </xf>
    <xf numFmtId="0" fontId="39" fillId="0" borderId="0" applyAlignment="1" pivotButton="0" quotePrefix="0" xfId="204">
      <alignment vertical="center"/>
    </xf>
    <xf numFmtId="164" fontId="40" fillId="0" borderId="0" applyAlignment="1" applyProtection="1" pivotButton="0" quotePrefix="0" xfId="205">
      <alignment vertical="center"/>
      <protection locked="0" hidden="0"/>
    </xf>
    <xf numFmtId="164" fontId="40" fillId="0" borderId="0" applyAlignment="1" applyProtection="1" pivotButton="0" quotePrefix="0" xfId="205">
      <alignment vertical="center"/>
      <protection locked="0" hidden="0"/>
    </xf>
    <xf numFmtId="164" fontId="41" fillId="0" borderId="0" applyAlignment="1" applyProtection="1" pivotButton="0" quotePrefix="0" xfId="205">
      <alignment vertical="center"/>
      <protection locked="0" hidden="0"/>
    </xf>
    <xf numFmtId="164" fontId="40" fillId="0" borderId="0" applyAlignment="1" applyProtection="1" pivotButton="0" quotePrefix="0" xfId="205">
      <alignment horizontal="right" vertical="center"/>
      <protection locked="0" hidden="0"/>
    </xf>
    <xf numFmtId="164" fontId="41" fillId="0" borderId="0" applyAlignment="1" applyProtection="1" pivotButton="0" quotePrefix="0" xfId="205">
      <alignment horizontal="center" vertical="center"/>
      <protection locked="0" hidden="0"/>
    </xf>
    <xf numFmtId="164" fontId="41" fillId="0" borderId="0" applyAlignment="1" applyProtection="1" pivotButton="0" quotePrefix="0" xfId="205">
      <alignment vertical="center"/>
      <protection locked="0" hidden="0"/>
    </xf>
    <xf numFmtId="164" fontId="40" fillId="0" borderId="3" applyAlignment="1" applyProtection="1" pivotButton="0" quotePrefix="0" xfId="205">
      <alignment vertical="center"/>
      <protection locked="0" hidden="0"/>
    </xf>
    <xf numFmtId="164" fontId="40" fillId="0" borderId="3" applyAlignment="1" applyProtection="1" pivotButton="0" quotePrefix="0" xfId="205">
      <alignment horizontal="right" vertical="center"/>
      <protection locked="0" hidden="0"/>
    </xf>
    <xf numFmtId="164" fontId="40" fillId="0" borderId="0" pivotButton="0" quotePrefix="0" xfId="205"/>
    <xf numFmtId="164" fontId="40" fillId="0" borderId="0" pivotButton="0" quotePrefix="0" xfId="205"/>
    <xf numFmtId="164" fontId="40" fillId="0" borderId="0" applyAlignment="1" applyProtection="1" pivotButton="0" quotePrefix="0" xfId="205">
      <alignment vertical="center"/>
      <protection locked="0" hidden="0"/>
    </xf>
    <xf numFmtId="0" fontId="13" fillId="0" borderId="0" pivotButton="0" quotePrefix="0" xfId="40"/>
    <xf numFmtId="40" fontId="87" fillId="0" borderId="0" pivotButton="0" quotePrefix="0" xfId="205"/>
    <xf numFmtId="164" fontId="41" fillId="0" borderId="0" applyAlignment="1" applyProtection="1" pivotButton="0" quotePrefix="0" xfId="205">
      <alignment vertical="center"/>
      <protection locked="0" hidden="0"/>
    </xf>
    <xf numFmtId="164" fontId="41" fillId="0" borderId="0" applyAlignment="1" pivotButton="0" quotePrefix="0" xfId="205">
      <alignment horizontal="left" vertical="center"/>
    </xf>
    <xf numFmtId="164" fontId="41" fillId="0" borderId="0" applyAlignment="1" pivotButton="0" quotePrefix="0" xfId="205">
      <alignment vertical="center"/>
    </xf>
    <xf numFmtId="164" fontId="41" fillId="0" borderId="0" applyAlignment="1" pivotButton="0" quotePrefix="0" xfId="205">
      <alignment vertical="center"/>
    </xf>
    <xf numFmtId="164" fontId="41" fillId="0" borderId="0" applyAlignment="1" pivotButton="0" quotePrefix="0" xfId="205">
      <alignment vertical="center"/>
    </xf>
    <xf numFmtId="164" fontId="40" fillId="0" borderId="0" applyAlignment="1" pivotButton="0" quotePrefix="0" xfId="205">
      <alignment vertical="center"/>
    </xf>
    <xf numFmtId="164" fontId="40" fillId="0" borderId="0" applyAlignment="1" pivotButton="0" quotePrefix="0" xfId="205">
      <alignment vertical="center"/>
    </xf>
    <xf numFmtId="0" fontId="44" fillId="0" borderId="0" applyAlignment="1" applyProtection="1" pivotButton="0" quotePrefix="0" xfId="40">
      <alignment vertical="center"/>
      <protection locked="0" hidden="0"/>
    </xf>
    <xf numFmtId="0" fontId="40" fillId="0" borderId="0" applyAlignment="1" applyProtection="1" pivotButton="0" quotePrefix="0" xfId="40">
      <alignment horizontal="right" vertical="center"/>
      <protection locked="0" hidden="0"/>
    </xf>
    <xf numFmtId="0" fontId="42" fillId="0" borderId="0" applyAlignment="1" pivotButton="0" quotePrefix="0" xfId="40">
      <alignment vertical="center"/>
    </xf>
    <xf numFmtId="0" fontId="40" fillId="0" borderId="0" applyAlignment="1" pivotButton="0" quotePrefix="0" xfId="217">
      <alignment vertical="center"/>
    </xf>
    <xf numFmtId="164" fontId="40" fillId="0" borderId="3" applyAlignment="1" pivotButton="0" quotePrefix="0" xfId="38">
      <alignment horizontal="right" vertical="center"/>
    </xf>
    <xf numFmtId="164" fontId="40" fillId="0" borderId="3" applyAlignment="1" pivotButton="0" quotePrefix="0" xfId="38">
      <alignment horizontal="center" vertical="center"/>
    </xf>
    <xf numFmtId="0" fontId="41" fillId="10" borderId="16" applyAlignment="1" applyProtection="1" pivotButton="0" quotePrefix="0" xfId="40">
      <alignment horizontal="center" vertical="center"/>
      <protection locked="0" hidden="0"/>
    </xf>
    <xf numFmtId="0" fontId="40" fillId="0" borderId="17" applyAlignment="1" applyProtection="1" pivotButton="0" quotePrefix="0" xfId="40">
      <alignment vertical="center"/>
      <protection locked="0" hidden="0"/>
    </xf>
    <xf numFmtId="0" fontId="41" fillId="0" borderId="17" applyAlignment="1" applyProtection="1" pivotButton="0" quotePrefix="0" xfId="40">
      <alignment vertical="center"/>
      <protection locked="0" hidden="0"/>
    </xf>
    <xf numFmtId="0" fontId="41" fillId="0" borderId="0" applyAlignment="1" applyProtection="1" pivotButton="0" quotePrefix="0" xfId="40">
      <alignment vertical="center"/>
      <protection locked="0" hidden="0"/>
    </xf>
    <xf numFmtId="164" fontId="40" fillId="0" borderId="0" applyAlignment="1" pivotButton="0" quotePrefix="0" xfId="305">
      <alignment vertical="center"/>
    </xf>
    <xf numFmtId="164" fontId="39" fillId="0" borderId="0" applyAlignment="1" pivotButton="0" quotePrefix="0" xfId="305">
      <alignment vertical="center"/>
    </xf>
    <xf numFmtId="164" fontId="40" fillId="0" borderId="0" applyAlignment="1" pivotButton="0" quotePrefix="0" xfId="305">
      <alignment horizontal="left" vertical="center"/>
    </xf>
    <xf numFmtId="164" fontId="41" fillId="0" borderId="0" applyAlignment="1" pivotButton="0" quotePrefix="0" xfId="305">
      <alignment vertical="center"/>
    </xf>
    <xf numFmtId="164" fontId="79" fillId="0" borderId="0" applyAlignment="1" pivotButton="0" quotePrefix="0" xfId="36">
      <alignment horizontal="center" vertical="center"/>
    </xf>
    <xf numFmtId="164" fontId="44" fillId="0" borderId="0" applyAlignment="1" pivotButton="0" quotePrefix="0" xfId="305">
      <alignment vertical="center"/>
    </xf>
    <xf numFmtId="0" fontId="23" fillId="0" borderId="27" applyAlignment="1" applyProtection="1" pivotButton="0" quotePrefix="0" xfId="40">
      <alignment vertical="center"/>
      <protection locked="0" hidden="0"/>
    </xf>
    <xf numFmtId="0" fontId="40" fillId="0" borderId="27" applyAlignment="1" applyProtection="1" pivotButton="0" quotePrefix="0" xfId="40">
      <alignment vertical="center"/>
      <protection locked="0" hidden="0"/>
    </xf>
    <xf numFmtId="0" fontId="80" fillId="0" borderId="0" applyAlignment="1" applyProtection="1" pivotButton="0" quotePrefix="0" xfId="40">
      <alignment vertical="center"/>
      <protection locked="0" hidden="0"/>
    </xf>
    <xf numFmtId="164" fontId="23" fillId="10" borderId="3" applyAlignment="1" applyProtection="1" pivotButton="0" quotePrefix="0" xfId="205">
      <alignment horizontal="center" vertical="center"/>
      <protection locked="0" hidden="0"/>
    </xf>
    <xf numFmtId="164" fontId="41" fillId="10" borderId="3" applyAlignment="1" applyProtection="1" pivotButton="0" quotePrefix="0" xfId="205">
      <alignment horizontal="center" vertical="center"/>
      <protection locked="0" hidden="0"/>
    </xf>
    <xf numFmtId="164" fontId="106" fillId="10" borderId="3" applyAlignment="1" applyProtection="1" pivotButton="0" quotePrefix="0" xfId="205">
      <alignment vertical="center"/>
      <protection locked="0" hidden="0"/>
    </xf>
    <xf numFmtId="164" fontId="41" fillId="10" borderId="3" applyAlignment="1" pivotButton="0" quotePrefix="0" xfId="205">
      <alignment horizontal="center" vertical="center"/>
    </xf>
    <xf numFmtId="164" fontId="23" fillId="10" borderId="3" applyAlignment="1" pivotButton="0" quotePrefix="0" xfId="205">
      <alignment horizontal="center" vertical="center"/>
    </xf>
    <xf numFmtId="164" fontId="41" fillId="0" borderId="27" applyAlignment="1" applyProtection="1" pivotButton="0" quotePrefix="0" xfId="205">
      <alignment vertical="center"/>
      <protection locked="0" hidden="0"/>
    </xf>
    <xf numFmtId="164" fontId="40" fillId="0" borderId="27" applyAlignment="1" applyProtection="1" pivotButton="0" quotePrefix="0" xfId="205">
      <alignment vertical="center"/>
      <protection locked="0" hidden="0"/>
    </xf>
    <xf numFmtId="0" fontId="23" fillId="0" borderId="27" applyAlignment="1" pivotButton="0" quotePrefix="0" xfId="32">
      <alignment vertical="center"/>
    </xf>
    <xf numFmtId="0" fontId="40" fillId="0" borderId="27" applyAlignment="1" pivotButton="0" quotePrefix="0" xfId="32">
      <alignment vertical="center"/>
    </xf>
    <xf numFmtId="0" fontId="23" fillId="0" borderId="0" applyAlignment="1" pivotButton="0" quotePrefix="0" xfId="32">
      <alignment vertical="center"/>
    </xf>
    <xf numFmtId="164" fontId="41" fillId="10" borderId="28" applyAlignment="1" pivotButton="0" quotePrefix="0" xfId="203">
      <alignment horizontal="center" vertical="center"/>
    </xf>
    <xf numFmtId="164" fontId="40" fillId="10" borderId="28" applyAlignment="1" pivotButton="0" quotePrefix="0" xfId="203">
      <alignment horizontal="center" vertical="center"/>
    </xf>
    <xf numFmtId="164" fontId="40" fillId="10" borderId="28" applyAlignment="1" pivotButton="0" quotePrefix="0" xfId="203">
      <alignment horizontal="center" vertical="center" shrinkToFit="1"/>
    </xf>
    <xf numFmtId="164" fontId="40" fillId="0" borderId="28" applyAlignment="1" pivotButton="0" quotePrefix="0" xfId="203">
      <alignment horizontal="centerContinuous" vertical="center"/>
    </xf>
    <xf numFmtId="164" fontId="40" fillId="10" borderId="28" applyAlignment="1" pivotButton="0" quotePrefix="0" xfId="203">
      <alignment horizontal="centerContinuous" vertical="center"/>
    </xf>
    <xf numFmtId="164" fontId="41" fillId="0" borderId="28" applyAlignment="1" pivotButton="0" quotePrefix="0" xfId="203">
      <alignment horizontal="centerContinuous" vertical="center"/>
    </xf>
    <xf numFmtId="14" fontId="40" fillId="0" borderId="0" applyAlignment="1" applyProtection="1" pivotButton="0" quotePrefix="0" xfId="40">
      <alignment vertical="center"/>
      <protection locked="0" hidden="0"/>
    </xf>
    <xf numFmtId="0" fontId="43" fillId="0" borderId="17" applyAlignment="1" pivotButton="0" quotePrefix="0" xfId="33">
      <alignment vertical="center"/>
    </xf>
    <xf numFmtId="0" fontId="40" fillId="0" borderId="17" applyAlignment="1" pivotButton="0" quotePrefix="0" xfId="33">
      <alignment vertical="center"/>
    </xf>
    <xf numFmtId="0" fontId="40" fillId="0" borderId="0" applyAlignment="1" pivotButton="0" quotePrefix="0" xfId="305">
      <alignment vertical="center"/>
    </xf>
    <xf numFmtId="0" fontId="41" fillId="0" borderId="0" applyAlignment="1" pivotButton="0" quotePrefix="0" xfId="305">
      <alignment horizontal="left" vertical="center"/>
    </xf>
    <xf numFmtId="0" fontId="40" fillId="0" borderId="0" applyAlignment="1" pivotButton="0" quotePrefix="0" xfId="31">
      <alignment vertical="center"/>
    </xf>
    <xf numFmtId="0" fontId="41" fillId="0" borderId="0" applyAlignment="1" pivotButton="0" quotePrefix="0" xfId="31">
      <alignment vertical="center"/>
    </xf>
    <xf numFmtId="0" fontId="44" fillId="0" borderId="0" applyAlignment="1" pivotButton="0" quotePrefix="0" xfId="31">
      <alignment vertical="center"/>
    </xf>
    <xf numFmtId="0" fontId="44" fillId="0" borderId="0" applyAlignment="1" pivotButton="0" quotePrefix="0" xfId="305">
      <alignment vertical="center"/>
    </xf>
    <xf numFmtId="0" fontId="78" fillId="0" borderId="0" applyAlignment="1" pivotButton="0" quotePrefix="0" xfId="305">
      <alignment vertical="center"/>
    </xf>
    <xf numFmtId="0" fontId="44" fillId="0" borderId="0" applyAlignment="1" pivotButton="0" quotePrefix="0" xfId="305">
      <alignment horizontal="right" vertical="center"/>
    </xf>
    <xf numFmtId="164" fontId="80" fillId="0" borderId="3" applyAlignment="1" applyProtection="1" pivotButton="0" quotePrefix="0" xfId="205">
      <alignment vertical="center"/>
      <protection locked="0" hidden="0"/>
    </xf>
    <xf numFmtId="0" fontId="42" fillId="0" borderId="0" applyAlignment="1" pivotButton="0" quotePrefix="0" xfId="28">
      <alignment vertical="center"/>
    </xf>
    <xf numFmtId="0" fontId="43" fillId="0" borderId="0" applyAlignment="1" pivotButton="0" quotePrefix="0" xfId="28">
      <alignment vertical="center"/>
    </xf>
    <xf numFmtId="0" fontId="42" fillId="10" borderId="3" applyAlignment="1" pivotButton="0" quotePrefix="0" xfId="33">
      <alignment horizontal="center" vertical="center"/>
    </xf>
    <xf numFmtId="0" fontId="43" fillId="0" borderId="3" applyAlignment="1" pivotButton="0" quotePrefix="0" xfId="33">
      <alignment vertical="center"/>
    </xf>
    <xf numFmtId="0" fontId="43" fillId="0" borderId="3" applyAlignment="1" pivotButton="0" quotePrefix="0" xfId="33">
      <alignment horizontal="center" vertical="center"/>
    </xf>
    <xf numFmtId="49" fontId="43" fillId="0" borderId="3" applyAlignment="1" pivotButton="0" quotePrefix="0" xfId="33">
      <alignment horizontal="center" vertical="center"/>
    </xf>
    <xf numFmtId="0" fontId="43" fillId="0" borderId="3" applyAlignment="1" pivotButton="0" quotePrefix="0" xfId="33">
      <alignment vertical="center" wrapText="1"/>
    </xf>
    <xf numFmtId="0" fontId="42" fillId="10" borderId="3" applyAlignment="1" pivotButton="0" quotePrefix="0" xfId="33">
      <alignment vertical="center"/>
    </xf>
    <xf numFmtId="49" fontId="43" fillId="10" borderId="3" applyAlignment="1" pivotButton="0" quotePrefix="0" xfId="33">
      <alignment horizontal="left" vertical="center"/>
    </xf>
    <xf numFmtId="0" fontId="43" fillId="10" borderId="3" applyAlignment="1" pivotButton="0" quotePrefix="0" xfId="33">
      <alignment vertical="center"/>
    </xf>
    <xf numFmtId="0" fontId="42" fillId="0" borderId="17" applyAlignment="1" pivotButton="0" quotePrefix="0" xfId="33">
      <alignment vertical="center"/>
    </xf>
    <xf numFmtId="0" fontId="42" fillId="0" borderId="0" applyAlignment="1" pivotButton="0" quotePrefix="0" xfId="33">
      <alignment vertical="center"/>
    </xf>
    <xf numFmtId="0" fontId="43" fillId="10" borderId="3" applyAlignment="1" pivotButton="0" quotePrefix="0" xfId="33">
      <alignment horizontal="center" vertical="center"/>
    </xf>
    <xf numFmtId="0" fontId="27" fillId="0" borderId="1" applyAlignment="1" applyProtection="1" pivotButton="0" quotePrefix="0" xfId="34">
      <alignment horizontal="center" wrapText="1"/>
      <protection locked="0" hidden="0"/>
    </xf>
    <xf numFmtId="0" fontId="27" fillId="0" borderId="0" applyAlignment="1" applyProtection="1" pivotButton="0" quotePrefix="0" xfId="34">
      <alignment horizontal="center" wrapText="1"/>
      <protection locked="0" hidden="0"/>
    </xf>
    <xf numFmtId="164" fontId="23" fillId="0" borderId="0" applyAlignment="1" pivotButton="0" quotePrefix="0" xfId="35">
      <alignment vertical="center"/>
    </xf>
    <xf numFmtId="164" fontId="41" fillId="0" borderId="0" applyAlignment="1" pivotButton="0" quotePrefix="0" xfId="35">
      <alignment vertical="center"/>
    </xf>
    <xf numFmtId="0" fontId="40" fillId="0" borderId="27" applyAlignment="1" pivotButton="0" quotePrefix="0" xfId="31">
      <alignment vertical="center"/>
    </xf>
    <xf numFmtId="164" fontId="40" fillId="0" borderId="27" applyAlignment="1" pivotButton="0" quotePrefix="0" xfId="35">
      <alignment vertical="center"/>
    </xf>
    <xf numFmtId="0" fontId="39" fillId="0" borderId="0" applyAlignment="1" applyProtection="1" pivotButton="0" quotePrefix="0" xfId="0">
      <alignment vertical="center"/>
      <protection locked="0" hidden="0"/>
    </xf>
    <xf numFmtId="164" fontId="41" fillId="32" borderId="0" applyAlignment="1" pivotButton="0" quotePrefix="0" xfId="35">
      <alignment vertical="center"/>
    </xf>
    <xf numFmtId="164" fontId="40" fillId="0" borderId="0" applyAlignment="1" pivotButton="0" quotePrefix="0" xfId="35">
      <alignment horizontal="left" vertical="center"/>
    </xf>
    <xf numFmtId="164" fontId="19" fillId="0" borderId="0" applyAlignment="1" pivotButton="0" quotePrefix="0" xfId="35">
      <alignment horizontal="right" vertical="center"/>
    </xf>
    <xf numFmtId="0" fontId="23" fillId="10" borderId="28" applyAlignment="1" applyProtection="1" pivotButton="0" quotePrefix="0" xfId="283">
      <alignment horizontal="center" vertical="center" wrapText="1"/>
      <protection locked="0" hidden="0"/>
    </xf>
    <xf numFmtId="0" fontId="113" fillId="10" borderId="28" applyAlignment="1" applyProtection="1" pivotButton="0" quotePrefix="0" xfId="283">
      <alignment horizontal="center" vertical="center" wrapText="1"/>
      <protection locked="0" hidden="0"/>
    </xf>
    <xf numFmtId="0" fontId="24" fillId="0" borderId="28" applyAlignment="1" pivotButton="0" quotePrefix="0" xfId="211">
      <alignment vertical="center"/>
    </xf>
    <xf numFmtId="0" fontId="19" fillId="0" borderId="28" applyAlignment="1" pivotButton="0" quotePrefix="0" xfId="211">
      <alignment vertical="center"/>
    </xf>
    <xf numFmtId="0" fontId="81" fillId="0" borderId="28" applyAlignment="1" pivotButton="0" quotePrefix="0" xfId="211">
      <alignment horizontal="left" vertical="center" indent="1"/>
    </xf>
    <xf numFmtId="0" fontId="42" fillId="0" borderId="28" applyAlignment="1" pivotButton="0" quotePrefix="0" xfId="211">
      <alignment horizontal="center" vertical="center"/>
    </xf>
    <xf numFmtId="164" fontId="41" fillId="0" borderId="27" applyAlignment="1" pivotButton="0" quotePrefix="0" xfId="35">
      <alignment horizontal="left" vertical="center"/>
    </xf>
    <xf numFmtId="164" fontId="40" fillId="0" borderId="27" applyAlignment="1" pivotButton="0" quotePrefix="0" xfId="35">
      <alignment horizontal="left" vertical="center"/>
    </xf>
    <xf numFmtId="164" fontId="79" fillId="0" borderId="27" applyAlignment="1" pivotButton="0" quotePrefix="0" xfId="306">
      <alignment horizontal="center" vertical="center"/>
    </xf>
    <xf numFmtId="0" fontId="41" fillId="0" borderId="0" applyAlignment="1" pivotButton="0" quotePrefix="0" xfId="31">
      <alignment vertical="center"/>
    </xf>
    <xf numFmtId="0" fontId="19" fillId="4" borderId="0" applyAlignment="1" applyProtection="1" pivotButton="0" quotePrefix="0" xfId="0">
      <alignment horizontal="justify" vertical="center" wrapText="1"/>
      <protection locked="0" hidden="0"/>
    </xf>
    <xf numFmtId="0" fontId="16" fillId="0" borderId="2" applyAlignment="1" applyProtection="1" pivotButton="0" quotePrefix="1" xfId="36">
      <alignment vertical="center"/>
      <protection locked="0" hidden="0"/>
    </xf>
    <xf numFmtId="0" fontId="41" fillId="10" borderId="28" applyAlignment="1" pivotButton="0" quotePrefix="0" xfId="203">
      <alignment horizontal="center" vertical="center"/>
    </xf>
    <xf numFmtId="0" fontId="23" fillId="10" borderId="3" applyAlignment="1" applyProtection="1" pivotButton="0" quotePrefix="0" xfId="40">
      <alignment horizontal="center" vertical="center"/>
      <protection locked="0" hidden="0"/>
    </xf>
    <xf numFmtId="0" fontId="41" fillId="10" borderId="3" applyAlignment="1" applyProtection="1" pivotButton="0" quotePrefix="0" xfId="40">
      <alignment horizontal="center" vertical="center"/>
      <protection locked="0" hidden="0"/>
    </xf>
    <xf numFmtId="0" fontId="40" fillId="0" borderId="3" applyAlignment="1" pivotButton="0" quotePrefix="0" xfId="32">
      <alignment horizontal="center" vertical="center"/>
    </xf>
    <xf numFmtId="0" fontId="13" fillId="0" borderId="0" applyAlignment="1" pivotButton="0" quotePrefix="0" xfId="30">
      <alignment vertical="center"/>
    </xf>
    <xf numFmtId="165" fontId="82" fillId="0" borderId="0" applyAlignment="1" pivotButton="0" quotePrefix="0" xfId="310">
      <alignment horizontal="left" vertical="center"/>
    </xf>
    <xf numFmtId="165" fontId="82" fillId="0" borderId="0" applyAlignment="1" pivotButton="0" quotePrefix="0" xfId="310">
      <alignment vertical="center"/>
    </xf>
    <xf numFmtId="165" fontId="83" fillId="0" borderId="0" applyAlignment="1" pivotButton="0" quotePrefix="0" xfId="310">
      <alignment vertical="center"/>
    </xf>
    <xf numFmtId="165" fontId="16" fillId="0" borderId="0" applyAlignment="1" pivotButton="0" quotePrefix="0" xfId="36">
      <alignment vertical="center"/>
    </xf>
    <xf numFmtId="165" fontId="40" fillId="0" borderId="0" applyAlignment="1" applyProtection="1" pivotButton="0" quotePrefix="0" xfId="310">
      <alignment vertical="center"/>
      <protection locked="0" hidden="0"/>
    </xf>
    <xf numFmtId="165" fontId="44" fillId="0" borderId="0" applyAlignment="1" applyProtection="1" pivotButton="0" quotePrefix="0" xfId="36">
      <alignment vertical="center" wrapText="1"/>
      <protection locked="0" hidden="0"/>
    </xf>
    <xf numFmtId="165" fontId="40" fillId="0" borderId="0" applyAlignment="1" applyProtection="1" pivotButton="0" quotePrefix="0" xfId="310">
      <alignment vertical="center" wrapText="1"/>
      <protection locked="0" hidden="0"/>
    </xf>
    <xf numFmtId="0" fontId="23" fillId="0" borderId="0" applyAlignment="1" applyProtection="1" pivotButton="0" quotePrefix="0" xfId="279">
      <alignment vertical="center"/>
      <protection locked="0" hidden="0"/>
    </xf>
    <xf numFmtId="165" fontId="40" fillId="0" borderId="0" applyAlignment="1" applyProtection="1" pivotButton="0" quotePrefix="0" xfId="310">
      <alignment vertical="center"/>
      <protection locked="0" hidden="0"/>
    </xf>
    <xf numFmtId="165" fontId="110" fillId="0" borderId="0" applyAlignment="1" pivotButton="0" quotePrefix="0" xfId="310">
      <alignment vertical="center"/>
    </xf>
    <xf numFmtId="49" fontId="23" fillId="0" borderId="0" applyAlignment="1" applyProtection="1" pivotButton="0" quotePrefix="0" xfId="310">
      <alignment horizontal="left" vertical="center"/>
      <protection locked="0" hidden="0"/>
    </xf>
    <xf numFmtId="165" fontId="41" fillId="0" borderId="0" applyAlignment="1" applyProtection="1" pivotButton="0" quotePrefix="0" xfId="310">
      <alignment horizontal="justify" vertical="center"/>
      <protection locked="0" hidden="0"/>
    </xf>
    <xf numFmtId="165" fontId="106" fillId="0" borderId="0" applyAlignment="1" applyProtection="1" pivotButton="0" quotePrefix="0" xfId="310">
      <alignment horizontal="left" vertical="center"/>
      <protection locked="0" hidden="0"/>
    </xf>
    <xf numFmtId="165" fontId="106" fillId="0" borderId="0" applyAlignment="1" applyProtection="1" pivotButton="0" quotePrefix="0" xfId="310">
      <alignment horizontal="center" vertical="center"/>
      <protection locked="0" hidden="0"/>
    </xf>
    <xf numFmtId="165" fontId="9" fillId="0" borderId="0" applyAlignment="1" applyProtection="1" pivotButton="0" quotePrefix="0" xfId="310">
      <alignment horizontal="center" vertical="center" wrapText="1"/>
      <protection locked="0" hidden="0"/>
    </xf>
    <xf numFmtId="165" fontId="9" fillId="0" borderId="0" applyAlignment="1" applyProtection="1" pivotButton="0" quotePrefix="0" xfId="310">
      <alignment horizontal="left" vertical="center"/>
      <protection locked="0" hidden="0"/>
    </xf>
    <xf numFmtId="165" fontId="9" fillId="0" borderId="0" applyAlignment="1" applyProtection="1" pivotButton="0" quotePrefix="0" xfId="310">
      <alignment vertical="center"/>
      <protection locked="0" hidden="0"/>
    </xf>
    <xf numFmtId="165" fontId="111" fillId="31" borderId="0" applyAlignment="1" applyProtection="1" pivotButton="0" quotePrefix="0" xfId="310">
      <alignment horizontal="center" vertical="center"/>
      <protection locked="0" hidden="0"/>
    </xf>
    <xf numFmtId="165" fontId="23" fillId="10" borderId="28" applyAlignment="1" applyProtection="1" pivotButton="0" quotePrefix="0" xfId="310">
      <alignment horizontal="center" vertical="center"/>
      <protection locked="0" hidden="0"/>
    </xf>
    <xf numFmtId="165" fontId="23" fillId="10" borderId="28" applyAlignment="1" applyProtection="1" pivotButton="0" quotePrefix="0" xfId="310">
      <alignment horizontal="center" vertical="center" wrapText="1"/>
      <protection locked="0" hidden="0"/>
    </xf>
    <xf numFmtId="49" fontId="40" fillId="0" borderId="28" applyAlignment="1" applyProtection="1" pivotButton="0" quotePrefix="0" xfId="310">
      <alignment horizontal="center" vertical="center"/>
      <protection locked="0" hidden="0"/>
    </xf>
    <xf numFmtId="165" fontId="86" fillId="0" borderId="28" applyAlignment="1" pivotButton="0" quotePrefix="0" xfId="310">
      <alignment horizontal="center" vertical="center" wrapText="1"/>
    </xf>
    <xf numFmtId="165" fontId="82" fillId="0" borderId="28" applyAlignment="1" pivotButton="0" quotePrefix="0" xfId="310">
      <alignment horizontal="center" vertical="center" wrapText="1"/>
    </xf>
    <xf numFmtId="165" fontId="85" fillId="0" borderId="28" applyAlignment="1" pivotButton="0" quotePrefix="0" xfId="310">
      <alignment horizontal="center" vertical="center" wrapText="1"/>
    </xf>
    <xf numFmtId="165" fontId="40" fillId="0" borderId="28" applyAlignment="1" pivotButton="0" quotePrefix="0" xfId="310">
      <alignment horizontal="center" vertical="center" wrapText="1"/>
    </xf>
    <xf numFmtId="165" fontId="111" fillId="31" borderId="0" applyAlignment="1" applyProtection="1" pivotButton="0" quotePrefix="0" xfId="310">
      <alignment horizontal="left" vertical="center"/>
      <protection locked="0" hidden="0"/>
    </xf>
    <xf numFmtId="165" fontId="86" fillId="0" borderId="28" applyAlignment="1" pivotButton="0" quotePrefix="0" xfId="310">
      <alignment vertical="center" wrapText="1"/>
    </xf>
    <xf numFmtId="165" fontId="115" fillId="31" borderId="0" applyAlignment="1" applyProtection="1" pivotButton="0" quotePrefix="0" xfId="310">
      <alignment horizontal="left" vertical="center" wrapText="1"/>
      <protection locked="0" hidden="0"/>
    </xf>
    <xf numFmtId="165" fontId="117" fillId="31" borderId="0" applyAlignment="1" applyProtection="1" pivotButton="0" quotePrefix="0" xfId="310">
      <alignment horizontal="left" vertical="center" wrapText="1"/>
      <protection locked="0" hidden="0"/>
    </xf>
    <xf numFmtId="165" fontId="118" fillId="31" borderId="0" applyAlignment="1" applyProtection="1" pivotButton="0" quotePrefix="0" xfId="310">
      <alignment horizontal="left" vertical="center" wrapText="1"/>
      <protection locked="0" hidden="0"/>
    </xf>
    <xf numFmtId="165" fontId="112" fillId="0" borderId="0" applyAlignment="1" pivotButton="0" quotePrefix="0" xfId="310">
      <alignment vertical="center"/>
    </xf>
    <xf numFmtId="165" fontId="119" fillId="0" borderId="0" applyAlignment="1" applyProtection="1" pivotButton="0" quotePrefix="0" xfId="310">
      <alignment horizontal="left" vertical="center"/>
      <protection locked="0" hidden="0"/>
    </xf>
    <xf numFmtId="165" fontId="107" fillId="31" borderId="0" applyAlignment="1" applyProtection="1" pivotButton="0" quotePrefix="0" xfId="310">
      <alignment horizontal="left" vertical="center"/>
      <protection locked="0" hidden="0"/>
    </xf>
    <xf numFmtId="0" fontId="40" fillId="0" borderId="0" applyAlignment="1" pivotButton="0" quotePrefix="0" xfId="177">
      <alignment vertical="center"/>
    </xf>
    <xf numFmtId="164" fontId="40" fillId="10" borderId="3" applyAlignment="1" pivotButton="0" quotePrefix="0" xfId="38">
      <alignment horizontal="right" vertical="center"/>
    </xf>
    <xf numFmtId="164" fontId="41" fillId="10" borderId="3" applyAlignment="1" pivotButton="0" quotePrefix="0" xfId="38">
      <alignment horizontal="right" vertical="center"/>
    </xf>
    <xf numFmtId="10" fontId="40" fillId="10" borderId="3" applyAlignment="1" pivotButton="0" quotePrefix="0" xfId="26">
      <alignment horizontal="right" vertical="center"/>
    </xf>
    <xf numFmtId="164" fontId="41" fillId="10" borderId="3" applyAlignment="1" pivotButton="0" quotePrefix="0" xfId="38">
      <alignment horizontal="center" vertical="center"/>
    </xf>
    <xf numFmtId="166" fontId="41" fillId="10" borderId="3" applyAlignment="1" pivotButton="0" quotePrefix="0" xfId="26">
      <alignment horizontal="right" vertical="center"/>
    </xf>
    <xf numFmtId="166" fontId="40" fillId="10" borderId="3" applyAlignment="1" pivotButton="0" quotePrefix="0" xfId="26">
      <alignment horizontal="center" vertical="center"/>
    </xf>
    <xf numFmtId="164" fontId="23" fillId="10" borderId="15" applyAlignment="1" pivotButton="0" quotePrefix="0" xfId="38">
      <alignment horizontal="center" vertical="center"/>
    </xf>
    <xf numFmtId="0" fontId="40" fillId="0" borderId="15" applyAlignment="1" applyProtection="1" pivotButton="0" quotePrefix="0" xfId="40">
      <alignment horizontal="center" vertical="center"/>
      <protection locked="0" hidden="0"/>
    </xf>
    <xf numFmtId="0" fontId="40" fillId="0" borderId="3" applyAlignment="1" applyProtection="1" pivotButton="0" quotePrefix="0" xfId="40">
      <alignment horizontal="center" vertical="center"/>
      <protection locked="0" hidden="0"/>
    </xf>
    <xf numFmtId="0" fontId="40" fillId="0" borderId="4" applyAlignment="1" applyProtection="1" pivotButton="0" quotePrefix="0" xfId="40">
      <alignment horizontal="center" vertical="center"/>
      <protection locked="0" hidden="0"/>
    </xf>
    <xf numFmtId="164" fontId="40" fillId="0" borderId="3" applyAlignment="1" pivotButton="0" quotePrefix="0" xfId="38">
      <alignment horizontal="right" vertical="center"/>
    </xf>
    <xf numFmtId="0" fontId="40" fillId="10" borderId="0" applyAlignment="1" applyProtection="1" pivotButton="0" quotePrefix="0" xfId="40">
      <alignment vertical="center"/>
      <protection locked="0" hidden="0"/>
    </xf>
    <xf numFmtId="0" fontId="23" fillId="10" borderId="28" applyAlignment="1" pivotButton="0" quotePrefix="0" xfId="203">
      <alignment horizontal="left" vertical="center"/>
    </xf>
    <xf numFmtId="0" fontId="40" fillId="0" borderId="28" applyAlignment="1" pivotButton="0" quotePrefix="0" xfId="203">
      <alignment horizontal="left" vertical="center"/>
    </xf>
    <xf numFmtId="164" fontId="40" fillId="0" borderId="28" applyAlignment="1" pivotButton="0" quotePrefix="0" xfId="203">
      <alignment horizontal="center" vertical="center"/>
    </xf>
    <xf numFmtId="0" fontId="23" fillId="10" borderId="28" applyAlignment="1" pivotButton="0" quotePrefix="0" xfId="203">
      <alignment horizontal="center" vertical="center"/>
    </xf>
    <xf numFmtId="164" fontId="40" fillId="10" borderId="0" applyAlignment="1" pivotButton="0" quotePrefix="0" xfId="305">
      <alignment vertical="center"/>
    </xf>
    <xf numFmtId="0" fontId="30" fillId="0" borderId="0" applyAlignment="1" pivotButton="0" quotePrefix="0" xfId="305">
      <alignment vertical="center"/>
    </xf>
    <xf numFmtId="0" fontId="28" fillId="10" borderId="28" applyAlignment="1" pivotButton="0" quotePrefix="0" xfId="211">
      <alignment horizontal="center" vertical="center"/>
    </xf>
    <xf numFmtId="0" fontId="28" fillId="10" borderId="28" applyAlignment="1" pivotButton="0" quotePrefix="0" xfId="211">
      <alignment horizontal="center" vertical="center" wrapText="1"/>
    </xf>
    <xf numFmtId="0" fontId="0" fillId="0" borderId="0" applyAlignment="1" applyProtection="1" pivotButton="0" quotePrefix="0" xfId="0">
      <alignment horizontal="center" vertical="center"/>
      <protection locked="0" hidden="0"/>
    </xf>
    <xf numFmtId="0" fontId="19" fillId="0" borderId="3" applyAlignment="1" applyProtection="1" pivotButton="0" quotePrefix="0" xfId="40">
      <alignment vertical="center"/>
      <protection locked="0" hidden="0"/>
    </xf>
    <xf numFmtId="0" fontId="40" fillId="0" borderId="3" applyAlignment="1" applyProtection="1" pivotButton="0" quotePrefix="0" xfId="40">
      <alignment horizontal="center" vertical="center"/>
      <protection locked="0" hidden="0"/>
    </xf>
    <xf numFmtId="0" fontId="40" fillId="0" borderId="0" applyAlignment="1" applyProtection="1" pivotButton="0" quotePrefix="0" xfId="0">
      <alignment vertical="center"/>
      <protection locked="0" hidden="0"/>
    </xf>
    <xf numFmtId="0" fontId="40" fillId="0" borderId="0" applyAlignment="1" applyProtection="1" pivotButton="0" quotePrefix="0" xfId="0">
      <alignment vertical="center"/>
      <protection locked="0" hidden="0"/>
    </xf>
    <xf numFmtId="0" fontId="42" fillId="0" borderId="0" applyAlignment="1" pivotButton="0" quotePrefix="0" xfId="0">
      <alignment vertical="center"/>
    </xf>
    <xf numFmtId="0" fontId="43" fillId="0" borderId="0" applyAlignment="1" pivotButton="0" quotePrefix="0" xfId="0">
      <alignment vertical="center"/>
    </xf>
    <xf numFmtId="0" fontId="41" fillId="10" borderId="28" applyAlignment="1" applyProtection="1" pivotButton="0" quotePrefix="0" xfId="0">
      <alignment horizontal="centerContinuous" vertical="center"/>
      <protection locked="0" hidden="0"/>
    </xf>
    <xf numFmtId="0" fontId="41" fillId="0" borderId="0" applyAlignment="1" applyProtection="1" pivotButton="0" quotePrefix="0" xfId="0">
      <alignment horizontal="center" vertical="center"/>
      <protection locked="0" hidden="0"/>
    </xf>
    <xf numFmtId="0" fontId="23" fillId="10" borderId="28" applyAlignment="1" applyProtection="1" pivotButton="0" quotePrefix="0" xfId="0">
      <alignment horizontal="center" vertical="center"/>
      <protection locked="0" hidden="0"/>
    </xf>
    <xf numFmtId="0" fontId="41" fillId="10" borderId="28" applyAlignment="1" applyProtection="1" pivotButton="0" quotePrefix="0" xfId="0">
      <alignment horizontal="center" vertical="center"/>
      <protection locked="0" hidden="0"/>
    </xf>
    <xf numFmtId="167" fontId="40" fillId="0" borderId="28" applyAlignment="1" pivotButton="0" quotePrefix="0" xfId="312">
      <alignment horizontal="left" vertical="center" wrapText="1"/>
    </xf>
    <xf numFmtId="164" fontId="40" fillId="0" borderId="28" applyAlignment="1" pivotButton="0" quotePrefix="0" xfId="38">
      <alignment vertical="center"/>
    </xf>
    <xf numFmtId="164" fontId="41" fillId="0" borderId="28" applyAlignment="1" pivotButton="0" quotePrefix="0" xfId="38">
      <alignment vertical="center"/>
    </xf>
    <xf numFmtId="0" fontId="41" fillId="0" borderId="0" applyAlignment="1" applyProtection="1" pivotButton="0" quotePrefix="0" xfId="0">
      <alignment vertical="center"/>
      <protection locked="0" hidden="0"/>
    </xf>
    <xf numFmtId="0" fontId="23" fillId="0" borderId="0" applyAlignment="1" applyProtection="1" pivotButton="0" quotePrefix="0" xfId="0">
      <alignment vertical="center"/>
      <protection locked="0" hidden="0"/>
    </xf>
    <xf numFmtId="0" fontId="41" fillId="0" borderId="0" applyAlignment="1" applyProtection="1" pivotButton="0" quotePrefix="0" xfId="0">
      <alignment vertical="center"/>
      <protection locked="0" hidden="0"/>
    </xf>
    <xf numFmtId="0" fontId="44" fillId="0" borderId="0" applyAlignment="1" applyProtection="1" pivotButton="0" quotePrefix="0" xfId="0">
      <alignment vertical="center"/>
      <protection locked="0" hidden="0"/>
    </xf>
    <xf numFmtId="0" fontId="45" fillId="0" borderId="0" applyAlignment="1" applyProtection="1" pivotButton="0" quotePrefix="0" xfId="0">
      <alignment vertical="center"/>
      <protection locked="0" hidden="0"/>
    </xf>
    <xf numFmtId="164" fontId="40" fillId="10" borderId="28" applyAlignment="1" pivotButton="0" quotePrefix="0" xfId="38">
      <alignment vertical="center"/>
    </xf>
    <xf numFmtId="10" fontId="40" fillId="10" borderId="28" applyAlignment="1" pivotButton="0" quotePrefix="0" xfId="26">
      <alignment horizontal="right" vertical="center"/>
    </xf>
    <xf numFmtId="164" fontId="41" fillId="10" borderId="28" applyAlignment="1" pivotButton="0" quotePrefix="0" xfId="38">
      <alignment vertical="center"/>
    </xf>
    <xf numFmtId="10" fontId="41" fillId="10" borderId="28" applyAlignment="1" pivotButton="0" quotePrefix="0" xfId="26">
      <alignment horizontal="right" vertical="center"/>
    </xf>
    <xf numFmtId="164" fontId="40" fillId="0" borderId="28" applyAlignment="1" pivotButton="0" quotePrefix="0" xfId="38">
      <alignment horizontal="left" vertical="center" wrapText="1"/>
    </xf>
    <xf numFmtId="164" fontId="40" fillId="0" borderId="28" applyAlignment="1" pivotButton="0" quotePrefix="0" xfId="38">
      <alignment horizontal="center" vertical="center"/>
    </xf>
    <xf numFmtId="168" fontId="40" fillId="10" borderId="28" applyAlignment="1" pivotButton="0" quotePrefix="0" xfId="38">
      <alignment vertical="center"/>
    </xf>
    <xf numFmtId="0" fontId="30" fillId="0" borderId="0" applyAlignment="1" applyProtection="1" pivotButton="0" quotePrefix="0" xfId="0">
      <alignment vertical="center"/>
      <protection locked="0" hidden="0"/>
    </xf>
    <xf numFmtId="0" fontId="19" fillId="0" borderId="0" applyAlignment="1" applyProtection="1" pivotButton="0" quotePrefix="0" xfId="0">
      <alignment horizontal="right" vertical="center"/>
      <protection locked="0" hidden="0"/>
    </xf>
    <xf numFmtId="164" fontId="40" fillId="10" borderId="3" applyAlignment="1" pivotButton="0" quotePrefix="0" xfId="38">
      <alignment vertical="center"/>
    </xf>
    <xf numFmtId="164" fontId="41" fillId="10" borderId="3" applyAlignment="1" pivotButton="0" quotePrefix="0" xfId="38">
      <alignment vertical="center"/>
    </xf>
    <xf numFmtId="169" fontId="40" fillId="10" borderId="3" applyAlignment="1" pivotButton="0" quotePrefix="0" xfId="38">
      <alignment vertical="center"/>
    </xf>
    <xf numFmtId="10" fontId="40" fillId="10" borderId="3" applyAlignment="1" pivotButton="0" quotePrefix="0" xfId="26">
      <alignment vertical="center"/>
    </xf>
    <xf numFmtId="169" fontId="41" fillId="10" borderId="3" applyAlignment="1" pivotButton="0" quotePrefix="0" xfId="38">
      <alignment vertical="center"/>
    </xf>
    <xf numFmtId="0" fontId="41" fillId="10" borderId="3" applyAlignment="1" pivotButton="0" quotePrefix="0" xfId="26">
      <alignment vertical="center"/>
    </xf>
    <xf numFmtId="10" fontId="41" fillId="10" borderId="3" applyAlignment="1" pivotButton="0" quotePrefix="0" xfId="26">
      <alignment vertical="center"/>
    </xf>
    <xf numFmtId="0" fontId="41" fillId="10" borderId="3" applyAlignment="1" applyProtection="1" pivotButton="0" quotePrefix="0" xfId="40">
      <alignment vertical="center"/>
      <protection locked="0" hidden="0"/>
    </xf>
    <xf numFmtId="0" fontId="41" fillId="10" borderId="0" applyAlignment="1" applyProtection="1" pivotButton="0" quotePrefix="0" xfId="40">
      <alignment vertical="center"/>
      <protection locked="0" hidden="0"/>
    </xf>
    <xf numFmtId="164" fontId="41" fillId="10" borderId="3" applyAlignment="1" applyProtection="1" pivotButton="0" quotePrefix="0" xfId="205">
      <alignment vertical="center"/>
      <protection locked="0" hidden="0"/>
    </xf>
    <xf numFmtId="164" fontId="40" fillId="10" borderId="3" applyAlignment="1" applyProtection="1" pivotButton="0" quotePrefix="0" xfId="205">
      <alignment vertical="center"/>
      <protection locked="0" hidden="0"/>
    </xf>
    <xf numFmtId="164" fontId="41" fillId="10" borderId="3" applyAlignment="1" pivotButton="0" quotePrefix="0" xfId="205">
      <alignment horizontal="left" vertical="center"/>
    </xf>
    <xf numFmtId="164" fontId="40" fillId="10" borderId="3" applyAlignment="1" pivotButton="0" quotePrefix="0" xfId="205">
      <alignment horizontal="left" vertical="center"/>
    </xf>
    <xf numFmtId="0" fontId="30" fillId="0" borderId="0" applyAlignment="1" applyProtection="1" pivotButton="0" quotePrefix="0" xfId="40">
      <alignment vertical="center"/>
      <protection locked="0" hidden="0"/>
    </xf>
    <xf numFmtId="0" fontId="19" fillId="0" borderId="0" applyAlignment="1" applyProtection="1" pivotButton="0" quotePrefix="0" xfId="40">
      <alignment horizontal="right" vertical="center"/>
      <protection locked="0" hidden="0"/>
    </xf>
    <xf numFmtId="0" fontId="40" fillId="0" borderId="3" applyAlignment="1" pivotButton="0" quotePrefix="0" xfId="33">
      <alignment horizontal="center" vertical="center"/>
    </xf>
    <xf numFmtId="0" fontId="40" fillId="10" borderId="3" applyAlignment="1" pivotButton="0" quotePrefix="0" xfId="33">
      <alignment horizontal="center" vertical="center"/>
    </xf>
    <xf numFmtId="0" fontId="30" fillId="0" borderId="0" applyAlignment="1" pivotButton="0" quotePrefix="0" xfId="32">
      <alignment vertical="center"/>
    </xf>
    <xf numFmtId="0" fontId="44" fillId="0" borderId="0" applyAlignment="1" pivotButton="0" quotePrefix="0" xfId="32">
      <alignment vertical="center"/>
    </xf>
    <xf numFmtId="0" fontId="40" fillId="10" borderId="28" applyAlignment="1" pivotButton="0" quotePrefix="0" xfId="203">
      <alignment vertical="center"/>
    </xf>
    <xf numFmtId="0" fontId="40" fillId="10" borderId="28" applyAlignment="1" pivotButton="0" quotePrefix="0" xfId="203">
      <alignment horizontal="left" vertical="center"/>
    </xf>
    <xf numFmtId="164" fontId="43" fillId="0" borderId="28" applyAlignment="1" pivotButton="0" quotePrefix="0" xfId="308">
      <alignment horizontal="right" vertical="center"/>
    </xf>
    <xf numFmtId="164" fontId="43" fillId="10" borderId="28" applyAlignment="1" pivotButton="0" quotePrefix="0" xfId="308">
      <alignment horizontal="right" vertical="center"/>
    </xf>
    <xf numFmtId="164" fontId="19" fillId="0" borderId="0" applyAlignment="1" pivotButton="0" quotePrefix="0" xfId="305">
      <alignment horizontal="right" vertical="center"/>
    </xf>
    <xf numFmtId="164" fontId="23" fillId="10" borderId="28" applyAlignment="1" pivotButton="0" quotePrefix="0" xfId="203">
      <alignment horizontal="center" vertical="center"/>
    </xf>
    <xf numFmtId="0" fontId="27" fillId="0" borderId="2" applyAlignment="1" applyProtection="1" pivotButton="0" quotePrefix="0" xfId="34">
      <alignment horizontal="center" vertical="center" wrapText="1"/>
      <protection locked="0" hidden="0"/>
    </xf>
    <xf numFmtId="0" fontId="16" fillId="0" borderId="2" applyAlignment="1" applyProtection="1" pivotButton="0" quotePrefix="0" xfId="36">
      <alignment vertical="center"/>
      <protection locked="0" hidden="0"/>
    </xf>
    <xf numFmtId="0" fontId="13" fillId="0" borderId="2" applyAlignment="1" applyProtection="1" pivotButton="0" quotePrefix="0" xfId="34">
      <alignment horizontal="center" vertical="center" wrapText="1"/>
      <protection locked="0" hidden="0"/>
    </xf>
    <xf numFmtId="0" fontId="19" fillId="0" borderId="3" applyAlignment="1" pivotButton="0" quotePrefix="0" xfId="32">
      <alignment vertical="center"/>
    </xf>
    <xf numFmtId="14" fontId="40" fillId="0" borderId="3" applyAlignment="1" pivotButton="0" quotePrefix="0" xfId="32">
      <alignment horizontal="center" vertical="center"/>
    </xf>
    <xf numFmtId="0" fontId="19" fillId="0" borderId="3" applyAlignment="1" pivotButton="0" quotePrefix="0" xfId="32">
      <alignment horizontal="center" vertical="center"/>
    </xf>
    <xf numFmtId="165" fontId="19" fillId="0" borderId="28" applyAlignment="1" pivotButton="0" quotePrefix="0" xfId="310">
      <alignment vertical="center" wrapText="1"/>
    </xf>
    <xf numFmtId="167" fontId="19" fillId="0" borderId="28" applyAlignment="1" pivotButton="0" quotePrefix="0" xfId="312">
      <alignment horizontal="left" vertical="center" wrapText="1"/>
    </xf>
    <xf numFmtId="0" fontId="80" fillId="0" borderId="0" applyAlignment="1" applyProtection="1" pivotButton="0" quotePrefix="0" xfId="0">
      <alignment vertical="center"/>
      <protection locked="0" hidden="0"/>
    </xf>
    <xf numFmtId="0" fontId="23" fillId="10" borderId="3" applyAlignment="1" applyProtection="1" pivotButton="0" quotePrefix="0" xfId="40">
      <alignment horizontal="center" vertical="center"/>
      <protection locked="0" hidden="0"/>
    </xf>
    <xf numFmtId="0" fontId="23" fillId="10" borderId="3" applyAlignment="1" pivotButton="0" quotePrefix="0" xfId="32">
      <alignment horizontal="center" vertical="center"/>
    </xf>
    <xf numFmtId="0" fontId="86" fillId="0" borderId="28" applyAlignment="1" pivotButton="0" quotePrefix="0" xfId="293">
      <alignment horizontal="center" vertical="center" wrapText="1"/>
    </xf>
    <xf numFmtId="0" fontId="41" fillId="10" borderId="3" applyAlignment="1" applyProtection="1" pivotButton="0" quotePrefix="0" xfId="279">
      <alignment horizontal="center" vertical="center" wrapText="1"/>
      <protection locked="0" hidden="0"/>
    </xf>
    <xf numFmtId="0" fontId="23" fillId="10" borderId="3" applyAlignment="1" applyProtection="1" pivotButton="0" quotePrefix="0" xfId="40">
      <alignment horizontal="centerContinuous" vertical="center"/>
      <protection locked="0" hidden="0"/>
    </xf>
    <xf numFmtId="0" fontId="40" fillId="0" borderId="0" applyAlignment="1" applyProtection="1" pivotButton="0" quotePrefix="0" xfId="40">
      <alignment vertical="center"/>
      <protection locked="0" hidden="0"/>
    </xf>
    <xf numFmtId="0" fontId="43" fillId="0" borderId="0" applyAlignment="1" pivotButton="0" quotePrefix="0" xfId="28">
      <alignment vertical="center"/>
    </xf>
    <xf numFmtId="0" fontId="40" fillId="0" borderId="0" applyAlignment="1" pivotButton="0" quotePrefix="0" xfId="30">
      <alignment vertical="center"/>
    </xf>
    <xf numFmtId="0" fontId="41" fillId="10" borderId="0" applyAlignment="1" pivotButton="0" quotePrefix="0" xfId="32">
      <alignment vertical="center"/>
    </xf>
    <xf numFmtId="165" fontId="80" fillId="0" borderId="28" applyAlignment="1" pivotButton="0" quotePrefix="0" xfId="310">
      <alignment horizontal="center" vertical="center" wrapText="1"/>
    </xf>
    <xf numFmtId="165" fontId="116" fillId="0" borderId="0" applyAlignment="1" pivotButton="0" quotePrefix="0" xfId="313">
      <alignment horizontal="left" vertical="center"/>
    </xf>
    <xf numFmtId="0" fontId="108"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center" wrapText="1"/>
      <protection locked="0" hidden="0"/>
    </xf>
    <xf numFmtId="0" fontId="39" fillId="0" borderId="0" applyAlignment="1" applyProtection="1" pivotButton="0" quotePrefix="0" xfId="0">
      <alignment horizontal="left" vertical="center" wrapText="1"/>
      <protection locked="0" hidden="0"/>
    </xf>
    <xf numFmtId="165" fontId="19" fillId="0" borderId="28" applyAlignment="1" applyProtection="1" pivotButton="0" quotePrefix="0" xfId="310">
      <alignment horizontal="center" vertical="center" wrapText="1"/>
      <protection locked="0" hidden="0"/>
    </xf>
    <xf numFmtId="165" fontId="23" fillId="10" borderId="28" applyAlignment="1" applyProtection="1" pivotButton="0" quotePrefix="0" xfId="310">
      <alignment horizontal="center" vertical="center" wrapText="1"/>
      <protection locked="0" hidden="0"/>
    </xf>
    <xf numFmtId="165" fontId="41" fillId="10" borderId="28" applyAlignment="1" applyProtection="1" pivotButton="0" quotePrefix="0" xfId="310">
      <alignment horizontal="center" vertical="center" wrapText="1"/>
      <protection locked="0" hidden="0"/>
    </xf>
    <xf numFmtId="0" fontId="23" fillId="0" borderId="29" applyAlignment="1" applyProtection="1" pivotButton="0" quotePrefix="0" xfId="293">
      <alignment horizontal="left" vertical="center" wrapText="1"/>
      <protection locked="0" hidden="0"/>
    </xf>
    <xf numFmtId="49" fontId="23" fillId="10" borderId="28" applyAlignment="1" applyProtection="1" pivotButton="0" quotePrefix="0" xfId="310">
      <alignment horizontal="center" vertical="center"/>
      <protection locked="0" hidden="0"/>
    </xf>
    <xf numFmtId="0" fontId="23" fillId="10" borderId="28" applyAlignment="1" applyProtection="1" pivotButton="0" quotePrefix="0" xfId="293">
      <alignment horizontal="center" vertical="center" wrapText="1"/>
      <protection locked="0" hidden="0"/>
    </xf>
    <xf numFmtId="165" fontId="23" fillId="10" borderId="28" applyAlignment="1" applyProtection="1" pivotButton="0" quotePrefix="0" xfId="310">
      <alignment horizontal="center" vertical="center"/>
      <protection locked="0" hidden="0"/>
    </xf>
    <xf numFmtId="165" fontId="41" fillId="10" borderId="28" applyAlignment="1" applyProtection="1" pivotButton="0" quotePrefix="0" xfId="310">
      <alignment horizontal="center" vertical="center"/>
      <protection locked="0" hidden="0"/>
    </xf>
    <xf numFmtId="165" fontId="9" fillId="0" borderId="28" applyAlignment="1" applyProtection="1" pivotButton="0" quotePrefix="0" xfId="310">
      <alignment horizontal="left" vertical="center" wrapText="1"/>
      <protection locked="0" hidden="0"/>
    </xf>
    <xf numFmtId="165" fontId="20" fillId="0" borderId="0" applyAlignment="1" pivotButton="0" quotePrefix="0" xfId="309">
      <alignment horizontal="center" vertical="center"/>
    </xf>
    <xf numFmtId="165" fontId="108" fillId="0" borderId="0" applyAlignment="1" pivotButton="0" quotePrefix="0" xfId="309">
      <alignment horizontal="center" vertical="center"/>
    </xf>
    <xf numFmtId="165" fontId="109" fillId="0" borderId="0" applyAlignment="1" pivotButton="0" quotePrefix="0" xfId="309">
      <alignment horizontal="center" vertical="center"/>
    </xf>
    <xf numFmtId="165" fontId="59" fillId="10" borderId="28" applyAlignment="1" applyProtection="1" pivotButton="0" quotePrefix="0" xfId="310">
      <alignment horizontal="center" vertical="center" wrapText="1"/>
      <protection locked="0" hidden="0"/>
    </xf>
    <xf numFmtId="164" fontId="20" fillId="0" borderId="0" applyAlignment="1" pivotButton="0" quotePrefix="0" xfId="305">
      <alignment horizontal="center" vertical="center"/>
    </xf>
    <xf numFmtId="164" fontId="108" fillId="0" borderId="0" applyAlignment="1" pivotButton="0" quotePrefix="0" xfId="305">
      <alignment horizontal="center" vertical="center"/>
    </xf>
    <xf numFmtId="0" fontId="23" fillId="10" borderId="28" applyAlignment="1" pivotButton="0" quotePrefix="0" xfId="203">
      <alignment horizontal="center" vertical="center"/>
    </xf>
    <xf numFmtId="164" fontId="23" fillId="10" borderId="28" applyAlignment="1" pivotButton="0" quotePrefix="0" xfId="305">
      <alignment horizontal="center" vertical="center"/>
    </xf>
    <xf numFmtId="164" fontId="23" fillId="10" borderId="28" applyAlignment="1" pivotButton="0" quotePrefix="0" xfId="203">
      <alignment horizontal="center" vertical="center" shrinkToFit="1"/>
    </xf>
    <xf numFmtId="164" fontId="23" fillId="10" borderId="15" applyAlignment="1" pivotButton="0" quotePrefix="0" xfId="38">
      <alignment horizontal="center" vertical="center" wrapText="1"/>
    </xf>
    <xf numFmtId="164" fontId="23" fillId="10" borderId="4" applyAlignment="1" pivotButton="0" quotePrefix="0" xfId="38">
      <alignment horizontal="center" vertical="center" wrapText="1"/>
    </xf>
    <xf numFmtId="0" fontId="23" fillId="10" borderId="15" applyAlignment="1" applyProtection="1" pivotButton="0" quotePrefix="0" xfId="40">
      <alignment horizontal="center" vertical="center"/>
      <protection locked="0" hidden="0"/>
    </xf>
    <xf numFmtId="0" fontId="23" fillId="10" borderId="4" applyAlignment="1" applyProtection="1" pivotButton="0" quotePrefix="0" xfId="40">
      <alignment horizontal="center" vertical="center"/>
      <protection locked="0" hidden="0"/>
    </xf>
    <xf numFmtId="0" fontId="20" fillId="0" borderId="0" applyAlignment="1" pivotButton="0" quotePrefix="0" xfId="30">
      <alignment horizontal="center" vertical="center"/>
    </xf>
    <xf numFmtId="0" fontId="108" fillId="0" borderId="0" applyAlignment="1" pivotButton="0" quotePrefix="0" xfId="30">
      <alignment horizontal="center" vertical="center"/>
    </xf>
    <xf numFmtId="0" fontId="41" fillId="10" borderId="9" applyAlignment="1" applyProtection="1" pivotButton="0" quotePrefix="0" xfId="40">
      <alignment horizontal="center" vertical="center" wrapText="1"/>
      <protection locked="0" hidden="0"/>
    </xf>
    <xf numFmtId="0" fontId="41" fillId="10" borderId="10" applyAlignment="1" applyProtection="1" pivotButton="0" quotePrefix="0" xfId="40">
      <alignment horizontal="center" vertical="center" wrapText="1"/>
      <protection locked="0" hidden="0"/>
    </xf>
    <xf numFmtId="0" fontId="23" fillId="10" borderId="5" applyAlignment="1" applyProtection="1" pivotButton="0" quotePrefix="0" xfId="40">
      <alignment horizontal="center" vertical="center"/>
      <protection locked="0" hidden="0"/>
    </xf>
    <xf numFmtId="0" fontId="41" fillId="10" borderId="14" applyAlignment="1" applyProtection="1" pivotButton="0" quotePrefix="0" xfId="40">
      <alignment horizontal="center" vertical="center"/>
      <protection locked="0" hidden="0"/>
    </xf>
    <xf numFmtId="0" fontId="41" fillId="10" borderId="6" applyAlignment="1" applyProtection="1" pivotButton="0" quotePrefix="0" xfId="40">
      <alignment horizontal="center" vertical="center"/>
      <protection locked="0" hidden="0"/>
    </xf>
    <xf numFmtId="164" fontId="23" fillId="10" borderId="5" applyAlignment="1" pivotButton="0" quotePrefix="0" xfId="38">
      <alignment horizontal="center" vertical="center"/>
    </xf>
    <xf numFmtId="164" fontId="23" fillId="10" borderId="6" applyAlignment="1" pivotButton="0" quotePrefix="0" xfId="38">
      <alignment horizontal="center" vertical="center"/>
    </xf>
    <xf numFmtId="164" fontId="23" fillId="10" borderId="15" applyAlignment="1" pivotButton="0" quotePrefix="0" xfId="38">
      <alignment vertical="center" wrapText="1"/>
    </xf>
    <xf numFmtId="164" fontId="23" fillId="10" borderId="4" applyAlignment="1" pivotButton="0" quotePrefix="0" xfId="38">
      <alignment vertical="center" wrapText="1"/>
    </xf>
    <xf numFmtId="166" fontId="23" fillId="10" borderId="15" applyAlignment="1" pivotButton="0" quotePrefix="0" xfId="26">
      <alignment vertical="center"/>
    </xf>
    <xf numFmtId="166" fontId="23" fillId="10" borderId="4" applyAlignment="1" pivotButton="0" quotePrefix="0" xfId="26">
      <alignment vertical="center"/>
    </xf>
    <xf numFmtId="164" fontId="23" fillId="10" borderId="15" applyAlignment="1" pivotButton="0" quotePrefix="0" xfId="38">
      <alignment horizontal="center" vertical="center"/>
    </xf>
    <xf numFmtId="164" fontId="23" fillId="10" borderId="4" applyAlignment="1" pivotButton="0" quotePrefix="0" xfId="38">
      <alignment horizontal="center" vertical="center"/>
    </xf>
    <xf numFmtId="0" fontId="41" fillId="0" borderId="0" applyAlignment="1" pivotButton="0" quotePrefix="0" xfId="30">
      <alignment horizontal="center" vertical="center"/>
    </xf>
    <xf numFmtId="0" fontId="38" fillId="0" borderId="0" applyAlignment="1" pivotButton="0" quotePrefix="0" xfId="30">
      <alignment horizontal="center" vertical="center"/>
    </xf>
    <xf numFmtId="0" fontId="41" fillId="10" borderId="28" applyAlignment="1" applyProtection="1" pivotButton="0" quotePrefix="0" xfId="0">
      <alignment horizontal="center" vertical="center"/>
      <protection locked="0" hidden="0"/>
    </xf>
    <xf numFmtId="0" fontId="23" fillId="10" borderId="28" applyAlignment="1" applyProtection="1" pivotButton="0" quotePrefix="0" xfId="0">
      <alignment horizontal="center" vertical="center"/>
      <protection locked="0" hidden="0"/>
    </xf>
    <xf numFmtId="164" fontId="20" fillId="0" borderId="0" applyAlignment="1" pivotButton="0" quotePrefix="0" xfId="35">
      <alignment horizontal="center" vertical="center"/>
    </xf>
    <xf numFmtId="164" fontId="108" fillId="0" borderId="0" applyAlignment="1" pivotButton="0" quotePrefix="0" xfId="35">
      <alignment horizontal="center" vertical="center"/>
    </xf>
    <xf numFmtId="0" fontId="114" fillId="0" borderId="0" applyAlignment="1" applyProtection="1" pivotButton="0" quotePrefix="0" xfId="211">
      <alignment horizontal="left" vertical="center" wrapText="1"/>
      <protection locked="0" hidden="0"/>
    </xf>
    <xf numFmtId="0" fontId="39" fillId="0" borderId="0" applyAlignment="1" applyProtection="1" pivotButton="0" quotePrefix="0" xfId="211">
      <alignment horizontal="left" vertical="center" wrapText="1"/>
      <protection locked="0" hidden="0"/>
    </xf>
    <xf numFmtId="0" fontId="38" fillId="0" borderId="0" applyAlignment="1" pivotButton="0" quotePrefix="0" xfId="30">
      <alignment horizontal="center" vertical="center"/>
    </xf>
    <xf numFmtId="0" fontId="109" fillId="0" borderId="0" applyAlignment="1" pivotButton="0" quotePrefix="0" xfId="30">
      <alignment horizontal="center" vertical="center"/>
    </xf>
    <xf numFmtId="0" fontId="23" fillId="10" borderId="3" applyAlignment="1" applyProtection="1" pivotButton="0" quotePrefix="0" xfId="40">
      <alignment horizontal="center" vertical="center"/>
      <protection locked="0" hidden="0"/>
    </xf>
    <xf numFmtId="0" fontId="41" fillId="10" borderId="3" applyAlignment="1" applyProtection="1" pivotButton="0" quotePrefix="0" xfId="40">
      <alignment horizontal="center" vertical="center"/>
      <protection locked="0" hidden="0"/>
    </xf>
    <xf numFmtId="0" fontId="23" fillId="10" borderId="5" applyAlignment="1" pivotButton="0" quotePrefix="0" xfId="37">
      <alignment horizontal="center" vertical="center"/>
    </xf>
    <xf numFmtId="0" fontId="23" fillId="10" borderId="14" applyAlignment="1" pivotButton="0" quotePrefix="0" xfId="37">
      <alignment horizontal="center" vertical="center"/>
    </xf>
    <xf numFmtId="0" fontId="23" fillId="10" borderId="6" applyAlignment="1" pivotButton="0" quotePrefix="0" xfId="37">
      <alignment horizontal="center" vertical="center"/>
    </xf>
    <xf numFmtId="0" fontId="20" fillId="0" borderId="0" applyAlignment="1" pivotButton="0" quotePrefix="0" xfId="204">
      <alignment horizontal="center" vertical="center"/>
    </xf>
    <xf numFmtId="0" fontId="108" fillId="0" borderId="0" applyAlignment="1" pivotButton="0" quotePrefix="0" xfId="204">
      <alignment horizontal="center" vertical="center"/>
    </xf>
    <xf numFmtId="0" fontId="20" fillId="0" borderId="0" applyAlignment="1" pivotButton="0" quotePrefix="0" xfId="31">
      <alignment horizontal="center" vertical="center"/>
    </xf>
    <xf numFmtId="0" fontId="108" fillId="0" borderId="0" applyAlignment="1" pivotButton="0" quotePrefix="0" xfId="31">
      <alignment horizontal="center" vertical="center"/>
    </xf>
    <xf numFmtId="0" fontId="40" fillId="0" borderId="3" applyAlignment="1" pivotButton="0" quotePrefix="0" xfId="32">
      <alignment horizontal="left" vertical="center"/>
    </xf>
    <xf numFmtId="0" fontId="38" fillId="0" borderId="0" applyAlignment="1" pivotButton="0" quotePrefix="0" xfId="31">
      <alignment horizontal="center" vertical="center"/>
    </xf>
    <xf numFmtId="0" fontId="108" fillId="0" borderId="0" applyAlignment="1" pivotButton="0" quotePrefix="0" xfId="32">
      <alignment horizontal="center" vertical="center"/>
    </xf>
    <xf numFmtId="0" fontId="109" fillId="0" borderId="0" applyAlignment="1" pivotButton="0" quotePrefix="0" xfId="32">
      <alignment horizontal="center" vertical="center"/>
    </xf>
    <xf numFmtId="0" fontId="23" fillId="10" borderId="3" applyAlignment="1" pivotButton="0" quotePrefix="0" xfId="32">
      <alignment horizontal="center" vertical="center"/>
    </xf>
    <xf numFmtId="0" fontId="41" fillId="10" borderId="3" applyAlignment="1" pivotButton="0" quotePrefix="0" xfId="32">
      <alignment horizontal="center" vertical="center"/>
    </xf>
    <xf numFmtId="0" fontId="19" fillId="0" borderId="3" applyAlignment="1" pivotButton="0" quotePrefix="0" xfId="32">
      <alignment horizontal="left" vertical="center"/>
    </xf>
    <xf numFmtId="0" fontId="23" fillId="10" borderId="15" applyAlignment="1" pivotButton="0" quotePrefix="0" xfId="32">
      <alignment horizontal="center" vertical="center" wrapText="1"/>
    </xf>
    <xf numFmtId="0" fontId="23" fillId="10" borderId="4" applyAlignment="1" pivotButton="0" quotePrefix="0" xfId="32">
      <alignment horizontal="center" vertical="center" wrapText="1"/>
    </xf>
    <xf numFmtId="0" fontId="0" fillId="0" borderId="0" pivotButton="0" quotePrefix="0" xfId="0"/>
    <xf numFmtId="165" fontId="83" fillId="0" borderId="0" applyAlignment="1" pivotButton="0" quotePrefix="0" xfId="310">
      <alignment vertical="center"/>
    </xf>
    <xf numFmtId="165" fontId="82" fillId="0" borderId="0" applyAlignment="1" pivotButton="0" quotePrefix="0" xfId="310">
      <alignment horizontal="left" vertical="center"/>
    </xf>
    <xf numFmtId="165" fontId="82" fillId="0" borderId="0" applyAlignment="1" pivotButton="0" quotePrefix="0" xfId="310">
      <alignment vertical="center"/>
    </xf>
    <xf numFmtId="165" fontId="20" fillId="0" borderId="0" applyAlignment="1" pivotButton="0" quotePrefix="0" xfId="309">
      <alignment horizontal="center" vertical="center"/>
    </xf>
    <xf numFmtId="165" fontId="108" fillId="0" borderId="0" applyAlignment="1" pivotButton="0" quotePrefix="0" xfId="309">
      <alignment horizontal="center" vertical="center"/>
    </xf>
    <xf numFmtId="165" fontId="16" fillId="0" borderId="0" applyAlignment="1" pivotButton="0" quotePrefix="0" xfId="36">
      <alignment vertical="center"/>
    </xf>
    <xf numFmtId="165" fontId="40" fillId="0" borderId="0" applyAlignment="1" applyProtection="1" pivotButton="0" quotePrefix="0" xfId="310">
      <alignment vertical="center"/>
      <protection locked="0" hidden="0"/>
    </xf>
    <xf numFmtId="165" fontId="44" fillId="0" borderId="0" applyAlignment="1" applyProtection="1" pivotButton="0" quotePrefix="0" xfId="36">
      <alignment vertical="center" wrapText="1"/>
      <protection locked="0" hidden="0"/>
    </xf>
    <xf numFmtId="165" fontId="40" fillId="0" borderId="0" applyAlignment="1" applyProtection="1" pivotButton="0" quotePrefix="0" xfId="310">
      <alignment vertical="center" wrapText="1"/>
      <protection locked="0" hidden="0"/>
    </xf>
    <xf numFmtId="165" fontId="110" fillId="0" borderId="0" applyAlignment="1" pivotButton="0" quotePrefix="0" xfId="310">
      <alignment vertical="center"/>
    </xf>
    <xf numFmtId="165" fontId="41" fillId="0" borderId="0" applyAlignment="1" applyProtection="1" pivotButton="0" quotePrefix="0" xfId="310">
      <alignment horizontal="justify" vertical="center"/>
      <protection locked="0" hidden="0"/>
    </xf>
    <xf numFmtId="165" fontId="106" fillId="0" borderId="0" applyAlignment="1" applyProtection="1" pivotButton="0" quotePrefix="0" xfId="310">
      <alignment horizontal="left" vertical="center"/>
      <protection locked="0" hidden="0"/>
    </xf>
    <xf numFmtId="165" fontId="106" fillId="0" borderId="0" applyAlignment="1" applyProtection="1" pivotButton="0" quotePrefix="0" xfId="310">
      <alignment horizontal="center" vertical="center"/>
      <protection locked="0" hidden="0"/>
    </xf>
    <xf numFmtId="165" fontId="9" fillId="0" borderId="0" applyAlignment="1" applyProtection="1" pivotButton="0" quotePrefix="0" xfId="310">
      <alignment vertical="center"/>
      <protection locked="0" hidden="0"/>
    </xf>
    <xf numFmtId="165" fontId="23" fillId="10" borderId="28" applyAlignment="1" applyProtection="1" pivotButton="0" quotePrefix="0" xfId="310">
      <alignment horizontal="center" vertical="center" wrapText="1"/>
      <protection locked="0" hidden="0"/>
    </xf>
    <xf numFmtId="0" fontId="0" fillId="0" borderId="14" applyProtection="1" pivotButton="0" quotePrefix="0" xfId="0">
      <protection locked="0" hidden="0"/>
    </xf>
    <xf numFmtId="0" fontId="0" fillId="0" borderId="31" applyProtection="1" pivotButton="0" quotePrefix="0" xfId="0">
      <protection locked="0" hidden="0"/>
    </xf>
    <xf numFmtId="165" fontId="59" fillId="10" borderId="28" applyAlignment="1" applyProtection="1" pivotButton="0" quotePrefix="0" xfId="310">
      <alignment horizontal="center" vertical="center" wrapText="1"/>
      <protection locked="0" hidden="0"/>
    </xf>
    <xf numFmtId="165" fontId="9" fillId="0" borderId="0" applyAlignment="1" applyProtection="1" pivotButton="0" quotePrefix="0" xfId="310">
      <alignment horizontal="left" vertical="center"/>
      <protection locked="0" hidden="0"/>
    </xf>
    <xf numFmtId="165" fontId="9" fillId="0" borderId="28" applyAlignment="1" applyProtection="1" pivotButton="0" quotePrefix="0" xfId="310">
      <alignment horizontal="left" vertical="center" wrapText="1"/>
      <protection locked="0" hidden="0"/>
    </xf>
    <xf numFmtId="165" fontId="19" fillId="0" borderId="28" applyAlignment="1" applyProtection="1" pivotButton="0" quotePrefix="0" xfId="310">
      <alignment horizontal="center" vertical="center" wrapText="1"/>
      <protection locked="0" hidden="0"/>
    </xf>
    <xf numFmtId="0" fontId="0" fillId="0" borderId="29" applyProtection="1" pivotButton="0" quotePrefix="0" xfId="0">
      <protection locked="0" hidden="0"/>
    </xf>
    <xf numFmtId="165" fontId="9" fillId="0" borderId="0" applyAlignment="1" applyProtection="1" pivotButton="0" quotePrefix="0" xfId="310">
      <alignment horizontal="center" vertical="center" wrapText="1"/>
      <protection locked="0" hidden="0"/>
    </xf>
    <xf numFmtId="165" fontId="23" fillId="10" borderId="28" applyAlignment="1" applyProtection="1" pivotButton="0" quotePrefix="0" xfId="310">
      <alignment horizontal="center" vertical="center"/>
      <protection locked="0" hidden="0"/>
    </xf>
    <xf numFmtId="165" fontId="111" fillId="31" borderId="0" applyAlignment="1" applyProtection="1" pivotButton="0" quotePrefix="0" xfId="310">
      <alignment horizontal="center" vertical="center"/>
      <protection locked="0" hidden="0"/>
    </xf>
    <xf numFmtId="0" fontId="0" fillId="0" borderId="34" applyProtection="1" pivotButton="0" quotePrefix="0" xfId="0">
      <protection locked="0" hidden="0"/>
    </xf>
    <xf numFmtId="165" fontId="116" fillId="0" borderId="0" applyAlignment="1" pivotButton="0" quotePrefix="0" xfId="313">
      <alignment horizontal="left" vertical="center"/>
    </xf>
    <xf numFmtId="165" fontId="86" fillId="0" borderId="28" applyAlignment="1" pivotButton="0" quotePrefix="0" xfId="310">
      <alignment vertical="center" wrapText="1"/>
    </xf>
    <xf numFmtId="165" fontId="86" fillId="0" borderId="28" applyAlignment="1" pivotButton="0" quotePrefix="0" xfId="310">
      <alignment horizontal="center" vertical="center" wrapText="1"/>
    </xf>
    <xf numFmtId="165" fontId="85" fillId="0" borderId="28" applyAlignment="1" pivotButton="0" quotePrefix="0" xfId="310">
      <alignment horizontal="center" vertical="center" wrapText="1"/>
    </xf>
    <xf numFmtId="165" fontId="82" fillId="0" borderId="28" applyAlignment="1" pivotButton="0" quotePrefix="0" xfId="310">
      <alignment horizontal="center" vertical="center" wrapText="1"/>
    </xf>
    <xf numFmtId="165" fontId="40" fillId="0" borderId="28" applyAlignment="1" pivotButton="0" quotePrefix="0" xfId="310">
      <alignment horizontal="center" vertical="center" wrapText="1"/>
    </xf>
    <xf numFmtId="165" fontId="111" fillId="31" borderId="0" applyAlignment="1" applyProtection="1" pivotButton="0" quotePrefix="0" xfId="310">
      <alignment horizontal="left" vertical="center"/>
      <protection locked="0" hidden="0"/>
    </xf>
    <xf numFmtId="165" fontId="80" fillId="0" borderId="28" applyAlignment="1" pivotButton="0" quotePrefix="0" xfId="310">
      <alignment horizontal="center" vertical="center" wrapText="1"/>
    </xf>
    <xf numFmtId="165" fontId="115" fillId="31" borderId="0" applyAlignment="1" applyProtection="1" pivotButton="0" quotePrefix="0" xfId="310">
      <alignment horizontal="left" vertical="center" wrapText="1"/>
      <protection locked="0" hidden="0"/>
    </xf>
    <xf numFmtId="165" fontId="117" fillId="31" borderId="0" applyAlignment="1" applyProtection="1" pivotButton="0" quotePrefix="0" xfId="310">
      <alignment horizontal="left" vertical="center" wrapText="1"/>
      <protection locked="0" hidden="0"/>
    </xf>
    <xf numFmtId="165" fontId="19" fillId="0" borderId="28" applyAlignment="1" pivotButton="0" quotePrefix="0" xfId="310">
      <alignment vertical="center" wrapText="1"/>
    </xf>
    <xf numFmtId="165" fontId="118" fillId="31" borderId="0" applyAlignment="1" applyProtection="1" pivotButton="0" quotePrefix="0" xfId="310">
      <alignment horizontal="left" vertical="center" wrapText="1"/>
      <protection locked="0" hidden="0"/>
    </xf>
    <xf numFmtId="165" fontId="112" fillId="0" borderId="0" applyAlignment="1" pivotButton="0" quotePrefix="0" xfId="310">
      <alignment vertical="center"/>
    </xf>
    <xf numFmtId="165" fontId="119" fillId="0" borderId="0" applyAlignment="1" applyProtection="1" pivotButton="0" quotePrefix="0" xfId="310">
      <alignment horizontal="left" vertical="center"/>
      <protection locked="0" hidden="0"/>
    </xf>
    <xf numFmtId="165" fontId="107" fillId="31" borderId="0" applyAlignment="1" applyProtection="1" pivotButton="0" quotePrefix="0" xfId="310">
      <alignment horizontal="left" vertical="center"/>
      <protection locked="0" hidden="0"/>
    </xf>
    <xf numFmtId="164" fontId="40" fillId="0" borderId="0" applyAlignment="1" pivotButton="0" quotePrefix="0" xfId="305">
      <alignment vertical="center"/>
    </xf>
    <xf numFmtId="164" fontId="20" fillId="0" borderId="0" applyAlignment="1" pivotButton="0" quotePrefix="0" xfId="305">
      <alignment horizontal="center" vertical="center"/>
    </xf>
    <xf numFmtId="164" fontId="39" fillId="0" borderId="0" applyAlignment="1" pivotButton="0" quotePrefix="0" xfId="305">
      <alignment vertical="center"/>
    </xf>
    <xf numFmtId="164" fontId="108" fillId="0" borderId="0" applyAlignment="1" pivotButton="0" quotePrefix="0" xfId="305">
      <alignment horizontal="center" vertical="center"/>
    </xf>
    <xf numFmtId="164" fontId="40" fillId="0" borderId="0" applyAlignment="1" pivotButton="0" quotePrefix="0" xfId="305">
      <alignment horizontal="left" vertical="center"/>
    </xf>
    <xf numFmtId="164" fontId="19" fillId="0" borderId="0" applyAlignment="1" pivotButton="0" quotePrefix="0" xfId="305">
      <alignment horizontal="right" vertical="center"/>
    </xf>
    <xf numFmtId="164" fontId="23" fillId="10" borderId="28" applyAlignment="1" pivotButton="0" quotePrefix="0" xfId="305">
      <alignment horizontal="center" vertical="center"/>
    </xf>
    <xf numFmtId="0" fontId="0" fillId="0" borderId="14" pivotButton="0" quotePrefix="0" xfId="0"/>
    <xf numFmtId="0" fontId="0" fillId="0" borderId="31" pivotButton="0" quotePrefix="0" xfId="0"/>
    <xf numFmtId="164" fontId="23" fillId="10" borderId="28" applyAlignment="1" pivotButton="0" quotePrefix="0" xfId="203">
      <alignment horizontal="center" vertical="center" shrinkToFit="1"/>
    </xf>
    <xf numFmtId="0" fontId="0" fillId="0" borderId="34" pivotButton="0" quotePrefix="0" xfId="0"/>
    <xf numFmtId="164" fontId="23" fillId="10" borderId="28" applyAlignment="1" pivotButton="0" quotePrefix="0" xfId="203">
      <alignment horizontal="center" vertical="center"/>
    </xf>
    <xf numFmtId="164" fontId="40" fillId="10" borderId="28" applyAlignment="1" pivotButton="0" quotePrefix="0" xfId="203">
      <alignment horizontal="center" vertical="center"/>
    </xf>
    <xf numFmtId="164" fontId="40" fillId="10" borderId="28" applyAlignment="1" pivotButton="0" quotePrefix="0" xfId="203">
      <alignment horizontal="center" vertical="center" shrinkToFit="1"/>
    </xf>
    <xf numFmtId="164" fontId="40" fillId="0" borderId="28" applyAlignment="1" pivotButton="0" quotePrefix="0" xfId="203">
      <alignment horizontal="centerContinuous" vertical="center"/>
    </xf>
    <xf numFmtId="164" fontId="40" fillId="10" borderId="0" applyAlignment="1" pivotButton="0" quotePrefix="0" xfId="305">
      <alignment vertical="center"/>
    </xf>
    <xf numFmtId="164" fontId="41" fillId="10" borderId="28" applyAlignment="1" pivotButton="0" quotePrefix="0" xfId="203">
      <alignment horizontal="center" vertical="center"/>
    </xf>
    <xf numFmtId="164" fontId="40" fillId="10" borderId="28" applyAlignment="1" pivotButton="0" quotePrefix="0" xfId="203">
      <alignment horizontal="centerContinuous" vertical="center"/>
    </xf>
    <xf numFmtId="164" fontId="40" fillId="0" borderId="28" applyAlignment="1" pivotButton="0" quotePrefix="0" xfId="203">
      <alignment horizontal="center" vertical="center"/>
    </xf>
    <xf numFmtId="164" fontId="41" fillId="0" borderId="0" applyAlignment="1" pivotButton="0" quotePrefix="0" xfId="305">
      <alignment vertical="center"/>
    </xf>
    <xf numFmtId="164" fontId="41" fillId="0" borderId="28" applyAlignment="1" pivotButton="0" quotePrefix="0" xfId="203">
      <alignment horizontal="centerContinuous" vertical="center"/>
    </xf>
    <xf numFmtId="164" fontId="41" fillId="32" borderId="0" applyAlignment="1" pivotButton="0" quotePrefix="0" xfId="35">
      <alignment vertical="center"/>
    </xf>
    <xf numFmtId="164" fontId="23" fillId="0" borderId="0" applyAlignment="1" pivotButton="0" quotePrefix="0" xfId="35">
      <alignment vertical="center"/>
    </xf>
    <xf numFmtId="164" fontId="41" fillId="0" borderId="0" applyAlignment="1" pivotButton="0" quotePrefix="0" xfId="35">
      <alignment vertical="center"/>
    </xf>
    <xf numFmtId="164" fontId="43" fillId="0" borderId="28" applyAlignment="1" pivotButton="0" quotePrefix="0" xfId="308">
      <alignment horizontal="right" vertical="center"/>
    </xf>
    <xf numFmtId="164" fontId="40" fillId="0" borderId="27" applyAlignment="1" pivotButton="0" quotePrefix="0" xfId="35">
      <alignment vertical="center"/>
    </xf>
    <xf numFmtId="164" fontId="43" fillId="10" borderId="28" applyAlignment="1" pivotButton="0" quotePrefix="0" xfId="308">
      <alignment horizontal="right" vertical="center"/>
    </xf>
    <xf numFmtId="164" fontId="79" fillId="0" borderId="0" applyAlignment="1" pivotButton="0" quotePrefix="0" xfId="36">
      <alignment horizontal="center" vertical="center"/>
    </xf>
    <xf numFmtId="164" fontId="44" fillId="0" borderId="0" applyAlignment="1" pivotButton="0" quotePrefix="0" xfId="305">
      <alignment vertical="center"/>
    </xf>
    <xf numFmtId="164" fontId="44" fillId="0" borderId="0" applyAlignment="1" pivotButton="0" quotePrefix="0" xfId="35">
      <alignment vertical="center"/>
    </xf>
    <xf numFmtId="0" fontId="41" fillId="10" borderId="37" applyAlignment="1" applyProtection="1" pivotButton="0" quotePrefix="0" xfId="40">
      <alignment horizontal="center" vertical="center" wrapText="1"/>
      <protection locked="0" hidden="0"/>
    </xf>
    <xf numFmtId="0" fontId="0" fillId="0" borderId="39" applyProtection="1" pivotButton="0" quotePrefix="0" xfId="0">
      <protection locked="0" hidden="0"/>
    </xf>
    <xf numFmtId="0" fontId="0" fillId="0" borderId="6" applyProtection="1" pivotButton="0" quotePrefix="0" xfId="0">
      <protection locked="0" hidden="0"/>
    </xf>
    <xf numFmtId="164" fontId="23" fillId="10" borderId="3" applyAlignment="1" pivotButton="0" quotePrefix="0" xfId="38">
      <alignment horizontal="center" vertical="center" wrapText="1"/>
    </xf>
    <xf numFmtId="164" fontId="23" fillId="10" borderId="3" applyAlignment="1" pivotButton="0" quotePrefix="0" xfId="38">
      <alignment horizontal="center" vertical="center"/>
    </xf>
    <xf numFmtId="0" fontId="0" fillId="0" borderId="6" pivotButton="0" quotePrefix="0" xfId="0"/>
    <xf numFmtId="164" fontId="23" fillId="10" borderId="3" applyAlignment="1" pivotButton="0" quotePrefix="0" xfId="38">
      <alignment vertical="center" wrapText="1"/>
    </xf>
    <xf numFmtId="166" fontId="23" fillId="10" borderId="3" applyAlignment="1" pivotButton="0" quotePrefix="0" xfId="26">
      <alignment vertical="center"/>
    </xf>
    <xf numFmtId="0" fontId="0" fillId="0" borderId="4" applyProtection="1" pivotButton="0" quotePrefix="0" xfId="0">
      <protection locked="0" hidden="0"/>
    </xf>
    <xf numFmtId="0" fontId="0" fillId="0" borderId="4" pivotButton="0" quotePrefix="0" xfId="0"/>
    <xf numFmtId="164" fontId="23" fillId="10" borderId="15" applyAlignment="1" pivotButton="0" quotePrefix="0" xfId="38">
      <alignment horizontal="center" vertical="center"/>
    </xf>
    <xf numFmtId="164" fontId="40" fillId="0" borderId="3" applyAlignment="1" pivotButton="0" quotePrefix="0" xfId="38">
      <alignment horizontal="right" vertical="center"/>
    </xf>
    <xf numFmtId="164" fontId="40" fillId="10" borderId="3" applyAlignment="1" pivotButton="0" quotePrefix="0" xfId="38">
      <alignment horizontal="right" vertical="center"/>
    </xf>
    <xf numFmtId="164" fontId="41" fillId="10" borderId="3" applyAlignment="1" pivotButton="0" quotePrefix="0" xfId="38">
      <alignment horizontal="right" vertical="center"/>
    </xf>
    <xf numFmtId="164" fontId="40" fillId="0" borderId="3" applyAlignment="1" pivotButton="0" quotePrefix="0" xfId="38">
      <alignment horizontal="center" vertical="center"/>
    </xf>
    <xf numFmtId="164" fontId="41" fillId="10" borderId="3" applyAlignment="1" pivotButton="0" quotePrefix="0" xfId="38">
      <alignment horizontal="center" vertical="center"/>
    </xf>
    <xf numFmtId="166" fontId="41" fillId="10" borderId="3" applyAlignment="1" pivotButton="0" quotePrefix="0" xfId="26">
      <alignment horizontal="right" vertical="center"/>
    </xf>
    <xf numFmtId="166" fontId="40" fillId="10" borderId="3" applyAlignment="1" pivotButton="0" quotePrefix="0" xfId="26">
      <alignment horizontal="center" vertical="center"/>
    </xf>
    <xf numFmtId="167" fontId="40" fillId="0" borderId="28" applyAlignment="1" pivotButton="0" quotePrefix="0" xfId="312">
      <alignment horizontal="left" vertical="center" wrapText="1"/>
    </xf>
    <xf numFmtId="164" fontId="40" fillId="0" borderId="28" applyAlignment="1" pivotButton="0" quotePrefix="0" xfId="38">
      <alignment horizontal="left" vertical="center" wrapText="1"/>
    </xf>
    <xf numFmtId="164" fontId="40" fillId="10" borderId="28" applyAlignment="1" pivotButton="0" quotePrefix="0" xfId="38">
      <alignment vertical="center"/>
    </xf>
    <xf numFmtId="164" fontId="40" fillId="0" borderId="28" applyAlignment="1" pivotButton="0" quotePrefix="0" xfId="38">
      <alignment horizontal="center" vertical="center"/>
    </xf>
    <xf numFmtId="168" fontId="40" fillId="10" borderId="28" applyAlignment="1" pivotButton="0" quotePrefix="0" xfId="38">
      <alignment vertical="center"/>
    </xf>
    <xf numFmtId="164" fontId="40" fillId="0" borderId="28" applyAlignment="1" pivotButton="0" quotePrefix="0" xfId="38">
      <alignment vertical="center"/>
    </xf>
    <xf numFmtId="167" fontId="19" fillId="0" borderId="28" applyAlignment="1" pivotButton="0" quotePrefix="0" xfId="312">
      <alignment horizontal="left" vertical="center" wrapText="1"/>
    </xf>
    <xf numFmtId="164" fontId="41" fillId="10" borderId="28" applyAlignment="1" pivotButton="0" quotePrefix="0" xfId="38">
      <alignment vertical="center"/>
    </xf>
    <xf numFmtId="164" fontId="41" fillId="0" borderId="28" applyAlignment="1" pivotButton="0" quotePrefix="0" xfId="38">
      <alignment vertical="center"/>
    </xf>
    <xf numFmtId="164" fontId="20" fillId="0" borderId="0" applyAlignment="1" pivotButton="0" quotePrefix="0" xfId="35">
      <alignment horizontal="center" vertical="center"/>
    </xf>
    <xf numFmtId="164" fontId="108" fillId="0" borderId="0" applyAlignment="1" pivotButton="0" quotePrefix="0" xfId="35">
      <alignment horizontal="center" vertical="center"/>
    </xf>
    <xf numFmtId="164" fontId="40" fillId="0" borderId="0" applyAlignment="1" pivotButton="0" quotePrefix="0" xfId="35">
      <alignment vertical="center"/>
    </xf>
    <xf numFmtId="164" fontId="40" fillId="0" borderId="0" applyAlignment="1" pivotButton="0" quotePrefix="0" xfId="35">
      <alignment horizontal="left" vertical="center"/>
    </xf>
    <xf numFmtId="164" fontId="19" fillId="0" borderId="0" applyAlignment="1" pivotButton="0" quotePrefix="0" xfId="35">
      <alignment horizontal="right" vertical="center"/>
    </xf>
    <xf numFmtId="164" fontId="41" fillId="0" borderId="27" applyAlignment="1" pivotButton="0" quotePrefix="0" xfId="35">
      <alignment horizontal="left" vertical="center"/>
    </xf>
    <xf numFmtId="164" fontId="40" fillId="0" borderId="27" applyAlignment="1" pivotButton="0" quotePrefix="0" xfId="35">
      <alignment horizontal="left" vertical="center"/>
    </xf>
    <xf numFmtId="164" fontId="79" fillId="0" borderId="27" applyAlignment="1" pivotButton="0" quotePrefix="0" xfId="306">
      <alignment horizontal="center" vertical="center"/>
    </xf>
    <xf numFmtId="0" fontId="23" fillId="10" borderId="3" applyAlignment="1" pivotButton="0" quotePrefix="0" xfId="37">
      <alignment horizontal="center" vertical="center"/>
    </xf>
    <xf numFmtId="0" fontId="0" fillId="0" borderId="39" pivotButton="0" quotePrefix="0" xfId="0"/>
    <xf numFmtId="164" fontId="40" fillId="0" borderId="3" applyAlignment="1" pivotButton="0" quotePrefix="0" xfId="38">
      <alignment vertical="center"/>
    </xf>
    <xf numFmtId="164" fontId="40" fillId="10" borderId="3" applyAlignment="1" pivotButton="0" quotePrefix="0" xfId="38">
      <alignment vertical="center"/>
    </xf>
    <xf numFmtId="169" fontId="40" fillId="10" borderId="3" applyAlignment="1" pivotButton="0" quotePrefix="0" xfId="38">
      <alignment vertical="center"/>
    </xf>
    <xf numFmtId="164" fontId="41" fillId="10" borderId="3" applyAlignment="1" pivotButton="0" quotePrefix="0" xfId="38">
      <alignment vertical="center"/>
    </xf>
    <xf numFmtId="169" fontId="41" fillId="10" borderId="3" applyAlignment="1" pivotButton="0" quotePrefix="0" xfId="38">
      <alignment vertical="center"/>
    </xf>
    <xf numFmtId="164" fontId="40" fillId="0" borderId="0" applyAlignment="1" applyProtection="1" pivotButton="0" quotePrefix="0" xfId="205">
      <alignment vertical="center"/>
      <protection locked="0" hidden="0"/>
    </xf>
    <xf numFmtId="164" fontId="41" fillId="0" borderId="0" applyAlignment="1" applyProtection="1" pivotButton="0" quotePrefix="0" xfId="205">
      <alignment vertical="center"/>
      <protection locked="0" hidden="0"/>
    </xf>
    <xf numFmtId="164" fontId="40" fillId="0" borderId="0" applyAlignment="1" applyProtection="1" pivotButton="0" quotePrefix="0" xfId="205">
      <alignment horizontal="right" vertical="center"/>
      <protection locked="0" hidden="0"/>
    </xf>
    <xf numFmtId="164" fontId="41" fillId="0" borderId="0" applyAlignment="1" applyProtection="1" pivotButton="0" quotePrefix="0" xfId="205">
      <alignment horizontal="center" vertical="center"/>
      <protection locked="0" hidden="0"/>
    </xf>
    <xf numFmtId="164" fontId="23" fillId="10" borderId="3" applyAlignment="1" applyProtection="1" pivotButton="0" quotePrefix="0" xfId="205">
      <alignment horizontal="center" vertical="center"/>
      <protection locked="0" hidden="0"/>
    </xf>
    <xf numFmtId="164" fontId="106" fillId="10" borderId="3" applyAlignment="1" applyProtection="1" pivotButton="0" quotePrefix="0" xfId="205">
      <alignment vertical="center"/>
      <protection locked="0" hidden="0"/>
    </xf>
    <xf numFmtId="164" fontId="41" fillId="10" borderId="3" applyAlignment="1" applyProtection="1" pivotButton="0" quotePrefix="0" xfId="205">
      <alignment vertical="center"/>
      <protection locked="0" hidden="0"/>
    </xf>
    <xf numFmtId="164" fontId="80" fillId="0" borderId="3" applyAlignment="1" applyProtection="1" pivotButton="0" quotePrefix="0" xfId="205">
      <alignment vertical="center"/>
      <protection locked="0" hidden="0"/>
    </xf>
    <xf numFmtId="164" fontId="40" fillId="0" borderId="3" applyAlignment="1" applyProtection="1" pivotButton="0" quotePrefix="0" xfId="205">
      <alignment vertical="center"/>
      <protection locked="0" hidden="0"/>
    </xf>
    <xf numFmtId="164" fontId="40" fillId="10" borderId="3" applyAlignment="1" applyProtection="1" pivotButton="0" quotePrefix="0" xfId="205">
      <alignment vertical="center"/>
      <protection locked="0" hidden="0"/>
    </xf>
    <xf numFmtId="164" fontId="40" fillId="0" borderId="3" applyAlignment="1" applyProtection="1" pivotButton="0" quotePrefix="0" xfId="205">
      <alignment horizontal="right" vertical="center"/>
      <protection locked="0" hidden="0"/>
    </xf>
    <xf numFmtId="164" fontId="41" fillId="10" borderId="3" applyAlignment="1" applyProtection="1" pivotButton="0" quotePrefix="0" xfId="205">
      <alignment horizontal="center" vertical="center"/>
      <protection locked="0" hidden="0"/>
    </xf>
    <xf numFmtId="164" fontId="41" fillId="0" borderId="0" applyAlignment="1" pivotButton="0" quotePrefix="0" xfId="205">
      <alignment vertical="center"/>
    </xf>
    <xf numFmtId="164" fontId="41" fillId="0" borderId="0" applyAlignment="1" pivotButton="0" quotePrefix="0" xfId="205">
      <alignment horizontal="left" vertical="center"/>
    </xf>
    <xf numFmtId="164" fontId="23" fillId="10" borderId="3" applyAlignment="1" pivotButton="0" quotePrefix="0" xfId="205">
      <alignment horizontal="center" vertical="center"/>
    </xf>
    <xf numFmtId="164" fontId="41" fillId="10" borderId="3" applyAlignment="1" pivotButton="0" quotePrefix="0" xfId="205">
      <alignment horizontal="center" vertical="center"/>
    </xf>
    <xf numFmtId="164" fontId="41" fillId="10" borderId="3" applyAlignment="1" pivotButton="0" quotePrefix="0" xfId="205">
      <alignment horizontal="left" vertical="center"/>
    </xf>
    <xf numFmtId="164" fontId="40" fillId="10" borderId="3" applyAlignment="1" pivotButton="0" quotePrefix="0" xfId="205">
      <alignment horizontal="left" vertical="center"/>
    </xf>
    <xf numFmtId="164" fontId="41" fillId="0" borderId="27" applyAlignment="1" applyProtection="1" pivotButton="0" quotePrefix="0" xfId="205">
      <alignment vertical="center"/>
      <protection locked="0" hidden="0"/>
    </xf>
    <xf numFmtId="164" fontId="40" fillId="0" borderId="27" applyAlignment="1" applyProtection="1" pivotButton="0" quotePrefix="0" xfId="205">
      <alignment vertical="center"/>
      <protection locked="0" hidden="0"/>
    </xf>
    <xf numFmtId="164" fontId="40" fillId="0" borderId="0" pivotButton="0" quotePrefix="0" xfId="205"/>
    <xf numFmtId="164" fontId="40" fillId="0" borderId="0" applyAlignment="1" pivotButton="0" quotePrefix="0" xfId="205">
      <alignment vertical="center"/>
    </xf>
    <xf numFmtId="164" fontId="39" fillId="0" borderId="0" applyAlignment="1" pivotButton="0" quotePrefix="0" xfId="35">
      <alignment vertical="center"/>
    </xf>
    <xf numFmtId="0" fontId="0" fillId="0" borderId="38" pivotButton="0" quotePrefix="0" xfId="0"/>
    <xf numFmtId="0" fontId="23" fillId="10" borderId="3" applyAlignment="1" pivotButton="0" quotePrefix="0" xfId="32">
      <alignment horizontal="center" vertical="center" wrapText="1"/>
    </xf>
    <xf numFmtId="0" fontId="0" fillId="0" borderId="41" pivotButton="0" quotePrefix="0" xfId="0"/>
    <xf numFmtId="0" fontId="0" fillId="0" borderId="42" pivotButton="0" quotePrefix="0" xfId="0"/>
  </cellXfs>
  <cellStyles count="314">
    <cellStyle name="常规" xfId="0" builtinId="0"/>
    <cellStyle name="@_text" xfId="1"/>
    <cellStyle name="{Comma [0]}" xfId="2"/>
    <cellStyle name="{Comma}" xfId="3"/>
    <cellStyle name="{Date}" xfId="4"/>
    <cellStyle name="{Month}" xfId="5"/>
    <cellStyle name="{Percent}" xfId="6"/>
    <cellStyle name="{Thousand [0]}" xfId="7"/>
    <cellStyle name="{Thousand}" xfId="8"/>
    <cellStyle name="{Z'0000(1 dec)}" xfId="9"/>
    <cellStyle name="{Z'0000(4 dec)}" xfId="10"/>
    <cellStyle name="Black" xfId="11"/>
    <cellStyle name="Border" xfId="12"/>
    <cellStyle name="Dezimal [0]_laroux" xfId="13"/>
    <cellStyle name="Dezimal_laroux" xfId="14"/>
    <cellStyle name="Euro" xfId="15"/>
    <cellStyle name="Followed Hyperlink_AheadBehind.xls Chart 23" xfId="16"/>
    <cellStyle name="Grey" xfId="17"/>
    <cellStyle name="Hyperlink_AheadBehind.xls Chart 23" xfId="18"/>
    <cellStyle name="Input [yellow]" xfId="19"/>
    <cellStyle name="Milliers [0]_laroux" xfId="20"/>
    <cellStyle name="Milliers_laroux" xfId="21"/>
    <cellStyle name="Non défini" xfId="22"/>
    <cellStyle name="Normal - Style1" xfId="23"/>
    <cellStyle name="Percent [2]" xfId="24"/>
    <cellStyle name="Red" xfId="25"/>
    <cellStyle name="百分比" xfId="26" builtinId="5"/>
    <cellStyle name="百分比 2" xfId="27"/>
    <cellStyle name="常规 14" xfId="28"/>
    <cellStyle name="常规 2" xfId="29"/>
    <cellStyle name="常规_Book1" xfId="30"/>
    <cellStyle name="常规_c-资产类" xfId="31"/>
    <cellStyle name="常规_E21主营业务成本" xfId="32"/>
    <cellStyle name="常规_supportschedule" xfId="33"/>
    <cellStyle name="常规_通用表" xfId="34"/>
    <cellStyle name="常规_新审定表" xfId="35"/>
    <cellStyle name="超链接" xfId="36" builtinId="8"/>
    <cellStyle name="普通_附23_PBC4" xfId="37"/>
    <cellStyle name="千位分隔" xfId="38" builtinId="3"/>
    <cellStyle name="千位分隔 2" xfId="39"/>
    <cellStyle name="常规 3" xfId="40"/>
    <cellStyle name="%" xfId="41"/>
    <cellStyle name="?" xfId="42"/>
    <cellStyle name="?餡_x000c_k" xfId="43"/>
    <cellStyle name="?餡_x000c_k?_x000d_^" xfId="44"/>
    <cellStyle name="?餡_x000c_k?_x000d_^黇_x0001_??_x0007__x0001__x0001_" xfId="45"/>
    <cellStyle name="_2005审计报表及附注-中国建材股份模板（房屋）" xfId="46"/>
    <cellStyle name="_2006年年报审计PBC表-XXX" xfId="47"/>
    <cellStyle name="_2006年年报审计填报资料" xfId="48"/>
    <cellStyle name="_Book1" xfId="49"/>
    <cellStyle name="_J1000-存货-ZHHG" xfId="50"/>
    <cellStyle name="_PBC审核提示" xfId="51"/>
    <cellStyle name="_宝丽华房地产20051231" xfId="52"/>
    <cellStyle name="_保证金-企业填写部分" xfId="53"/>
    <cellStyle name="_北新房屋2004年审-刘" xfId="54"/>
    <cellStyle name="_北新股份2005年审工作底稿" xfId="55"/>
    <cellStyle name="_北新建材关连交易基础表051230（10－12月版）更新稿" xfId="56"/>
    <cellStyle name="_北新建材-会计报表附注模版" xfId="57"/>
    <cellStyle name="_北新龙之星2004年审工作底稿" xfId="58"/>
    <cellStyle name="_北新物流2005底稿-刘" xfId="59"/>
    <cellStyle name="_北新置换memo" xfId="60"/>
    <cellStyle name="_存货结转测试" xfId="61"/>
    <cellStyle name="_存货数量与明细05.12" xfId="62"/>
    <cellStyle name="_动力厂2004年审工作底稿-刘" xfId="63"/>
    <cellStyle name="_分工" xfId="64"/>
    <cellStyle name="_工程施工项目现场审计提示" xfId="65"/>
    <cellStyle name="_关联交易" xfId="66"/>
    <cellStyle name="_关联交易、往来统计表" xfId="67"/>
    <cellStyle name="_建造合同-宜万指（正式版）" xfId="68"/>
    <cellStyle name="_科目核对表" xfId="69"/>
    <cellStyle name="_母PL" xfId="70"/>
    <cellStyle name="_人员分工备忘录" xfId="71"/>
    <cellStyle name="_审计所需资料清单－子公司" xfId="72"/>
    <cellStyle name="_一公司建造合同前5名" xfId="73"/>
    <cellStyle name="_一公司－刘丰收" xfId="74"/>
    <cellStyle name="_长期借款－江阴" xfId="75"/>
    <cellStyle name="_子公司审计提示模版-Liufs" xfId="76"/>
    <cellStyle name="0%" xfId="77"/>
    <cellStyle name="0.0%" xfId="78"/>
    <cellStyle name="0.00%" xfId="79"/>
    <cellStyle name="Calc Currency (0)" xfId="80"/>
    <cellStyle name="Calc Currency (2)" xfId="81"/>
    <cellStyle name="Calc Percent (0)" xfId="82"/>
    <cellStyle name="Calc Percent (1)" xfId="83"/>
    <cellStyle name="Calc Percent (2)" xfId="84"/>
    <cellStyle name="Calc Units (0)" xfId="85"/>
    <cellStyle name="Calc Units (1)" xfId="86"/>
    <cellStyle name="Calc Units (2)" xfId="87"/>
    <cellStyle name="category" xfId="88"/>
    <cellStyle name="Col Heads" xfId="89"/>
    <cellStyle name="Column_Title" xfId="90"/>
    <cellStyle name="Comma  - Style1" xfId="91"/>
    <cellStyle name="Comma  - Style2" xfId="92"/>
    <cellStyle name="Comma  - Style3" xfId="93"/>
    <cellStyle name="Comma  - Style4" xfId="94"/>
    <cellStyle name="Comma  - Style5" xfId="95"/>
    <cellStyle name="Comma  - Style6" xfId="96"/>
    <cellStyle name="Comma  - Style7" xfId="97"/>
    <cellStyle name="Comma  - Style8" xfId="98"/>
    <cellStyle name="Comma [0]_ rislugp" xfId="99"/>
    <cellStyle name="Comma [00]" xfId="100"/>
    <cellStyle name="Comma 28" xfId="101"/>
    <cellStyle name="comma zerodec" xfId="102"/>
    <cellStyle name="Comma,0" xfId="103"/>
    <cellStyle name="Comma,1" xfId="104"/>
    <cellStyle name="Comma,2" xfId="105"/>
    <cellStyle name="Comma_ rislugp" xfId="106"/>
    <cellStyle name="Currency [0]_ rislugp" xfId="107"/>
    <cellStyle name="Currency [00]" xfId="108"/>
    <cellStyle name="Currency,0" xfId="109"/>
    <cellStyle name="Currency,2" xfId="110"/>
    <cellStyle name="Currency_ rislugp" xfId="111"/>
    <cellStyle name="Currency1" xfId="112"/>
    <cellStyle name="Date Short" xfId="113"/>
    <cellStyle name="Dollar (zero dec)" xfId="114"/>
    <cellStyle name="Enter Currency (0)" xfId="115"/>
    <cellStyle name="Enter Currency (2)" xfId="116"/>
    <cellStyle name="Enter Units (0)" xfId="117"/>
    <cellStyle name="Enter Units (1)" xfId="118"/>
    <cellStyle name="Enter Units (2)" xfId="119"/>
    <cellStyle name="entry" xfId="120"/>
    <cellStyle name="entry box" xfId="121"/>
    <cellStyle name="HEADER" xfId="122"/>
    <cellStyle name="Header1" xfId="123"/>
    <cellStyle name="Header2" xfId="124"/>
    <cellStyle name="Heading" xfId="125"/>
    <cellStyle name="left" xfId="126"/>
    <cellStyle name="Link Currency (0)" xfId="127"/>
    <cellStyle name="Link Currency (2)" xfId="128"/>
    <cellStyle name="Link Units (0)" xfId="129"/>
    <cellStyle name="Link Units (1)" xfId="130"/>
    <cellStyle name="Link Units (2)" xfId="131"/>
    <cellStyle name="Millares [0]_laroux" xfId="132"/>
    <cellStyle name="Millares_laroux" xfId="133"/>
    <cellStyle name="Model" xfId="134"/>
    <cellStyle name="Moneda [0]_laroux" xfId="135"/>
    <cellStyle name="Moneda_laroux" xfId="136"/>
    <cellStyle name="Mon閠aire [0]_laroux" xfId="137"/>
    <cellStyle name="Mon閠aire_laroux" xfId="138"/>
    <cellStyle name="no dec" xfId="139"/>
    <cellStyle name="Normal 21" xfId="140"/>
    <cellStyle name="Normal_ rislugp" xfId="141"/>
    <cellStyle name="Normalny_Arkusz1" xfId="142"/>
    <cellStyle name="Percent (0)" xfId="143"/>
    <cellStyle name="Percent [0]" xfId="144"/>
    <cellStyle name="Percent [00]" xfId="145"/>
    <cellStyle name="Prefilled" xfId="146"/>
    <cellStyle name="PrePop Currency (0)" xfId="147"/>
    <cellStyle name="PrePop Currency (2)" xfId="148"/>
    <cellStyle name="PrePop Units (0)" xfId="149"/>
    <cellStyle name="PrePop Units (1)" xfId="150"/>
    <cellStyle name="PrePop Units (2)" xfId="151"/>
    <cellStyle name="price" xfId="152"/>
    <cellStyle name="revised" xfId="153"/>
    <cellStyle name="section" xfId="154"/>
    <cellStyle name="SOR" xfId="155"/>
    <cellStyle name="style" xfId="156"/>
    <cellStyle name="style1" xfId="157"/>
    <cellStyle name="style2" xfId="158"/>
    <cellStyle name="subhead" xfId="159"/>
    <cellStyle name="Text Indent A" xfId="160"/>
    <cellStyle name="Text Indent B" xfId="161"/>
    <cellStyle name="Text Indent C" xfId="162"/>
    <cellStyle name="Tickmark" xfId="163"/>
    <cellStyle name="title" xfId="164"/>
    <cellStyle name="wrap" xfId="165"/>
    <cellStyle name="パーセント_laroux" xfId="166"/>
    <cellStyle name="_PLDT" xfId="167"/>
    <cellStyle name="_Total (2)" xfId="168"/>
    <cellStyle name="だ[0]_PLDT" xfId="169"/>
    <cellStyle name="だ_PLDT" xfId="170"/>
    <cellStyle name="だ[0]_Total (2)" xfId="171"/>
    <cellStyle name="だ_Total (2)" xfId="172"/>
    <cellStyle name="標準_１１月価格表" xfId="173"/>
    <cellStyle name="差_T1000-主营业务收入-LJCH" xfId="174"/>
    <cellStyle name="常规 4" xfId="175"/>
    <cellStyle name="常规 5" xfId="176"/>
    <cellStyle name="常规 6" xfId="177"/>
    <cellStyle name="超级链接_B4-1审计项目工时预算与控制表(集团)" xfId="178"/>
    <cellStyle name="分级显示行_1_4附件二凯旋评估表" xfId="179"/>
    <cellStyle name="好_T1000-主营业务收入" xfId="180"/>
    <cellStyle name="桁区切り [0.00]_１１月価格表" xfId="181"/>
    <cellStyle name="桁区切り_１１月価格表" xfId="182"/>
    <cellStyle name="霓付 [0]_97MBO" xfId="183"/>
    <cellStyle name="霓付_97MBO" xfId="184"/>
    <cellStyle name="烹拳 [0]_97MBO" xfId="185"/>
    <cellStyle name="烹拳_97MBO" xfId="186"/>
    <cellStyle name="砯刽 [0]_PLDT" xfId="187"/>
    <cellStyle name="砯刽_PLDT" xfId="188"/>
    <cellStyle name="普通_ 白土" xfId="189"/>
    <cellStyle name="千分位[0]_ 白土" xfId="190"/>
    <cellStyle name="千分位_ 白土" xfId="191"/>
    <cellStyle name="千位[0]_ 应交税金审定表" xfId="192"/>
    <cellStyle name="千位_ 应交税金审定表" xfId="193"/>
    <cellStyle name="钎霖_laroux" xfId="194"/>
    <cellStyle name="通貨 [0.00]_１１月価格表" xfId="195"/>
    <cellStyle name="通貨_１１月価格表" xfId="196"/>
    <cellStyle name="样式 1" xfId="197"/>
    <cellStyle name="콤마 [0]_BOILER-CO1" xfId="198"/>
    <cellStyle name="콤마_BOILER-CO1" xfId="199"/>
    <cellStyle name="통화 [0]_BOILER-CO1" xfId="200"/>
    <cellStyle name="통화_BOILER-CO1" xfId="201"/>
    <cellStyle name="표준_0N-HANDLING " xfId="202"/>
    <cellStyle name="千位分隔 3" xfId="203"/>
    <cellStyle name="常规_Book1 2" xfId="204"/>
    <cellStyle name="千位分隔 4" xfId="205"/>
    <cellStyle name="Normal - Style1 2" xfId="206"/>
    <cellStyle name="百分比 2 2" xfId="207"/>
    <cellStyle name="百分比 3" xfId="208"/>
    <cellStyle name="百分比 4" xfId="209"/>
    <cellStyle name="常规 14 2" xfId="210"/>
    <cellStyle name="常规 2 2" xfId="211"/>
    <cellStyle name="常规 2 2 2" xfId="212"/>
    <cellStyle name="常规 2 3" xfId="213"/>
    <cellStyle name="常规 3 2" xfId="214"/>
    <cellStyle name="超链接 2" xfId="215"/>
    <cellStyle name="千位分隔 2 2" xfId="216"/>
    <cellStyle name="常规_T1000-主营业务收入" xfId="217"/>
    <cellStyle name="20% - Accent1" xfId="218"/>
    <cellStyle name="20% - Accent2" xfId="219"/>
    <cellStyle name="20% - Accent3" xfId="220"/>
    <cellStyle name="20% - Accent4" xfId="221"/>
    <cellStyle name="20% - Accent5" xfId="222"/>
    <cellStyle name="20% - Accent6" xfId="223"/>
    <cellStyle name="40% - Accent1" xfId="224"/>
    <cellStyle name="40% - Accent2" xfId="225"/>
    <cellStyle name="40% - Accent3" xfId="226"/>
    <cellStyle name="40% - Accent4" xfId="227"/>
    <cellStyle name="40% - Accent5" xfId="228"/>
    <cellStyle name="40% - Accent6" xfId="229"/>
    <cellStyle name="60% - Accent1" xfId="230"/>
    <cellStyle name="60% - Accent2" xfId="231"/>
    <cellStyle name="60% - Accent3" xfId="232"/>
    <cellStyle name="60% - Accent4" xfId="233"/>
    <cellStyle name="60% - Accent5" xfId="234"/>
    <cellStyle name="60% - Accent6" xfId="235"/>
    <cellStyle name="Accent1" xfId="236"/>
    <cellStyle name="Accent2" xfId="237"/>
    <cellStyle name="Accent3" xfId="238"/>
    <cellStyle name="Accent4" xfId="239"/>
    <cellStyle name="Accent5" xfId="240"/>
    <cellStyle name="Accent6" xfId="241"/>
    <cellStyle name="Bad" xfId="242"/>
    <cellStyle name="Calculation" xfId="243"/>
    <cellStyle name="Check Cell" xfId="244"/>
    <cellStyle name="Explanatory Text" xfId="245"/>
    <cellStyle name="Good" xfId="246"/>
    <cellStyle name="Heading 1" xfId="247"/>
    <cellStyle name="Heading 2" xfId="248"/>
    <cellStyle name="Heading 3" xfId="249"/>
    <cellStyle name="Heading 4" xfId="250"/>
    <cellStyle name="Input" xfId="251"/>
    <cellStyle name="Linked Cell" xfId="252"/>
    <cellStyle name="Neutral" xfId="253"/>
    <cellStyle name="Normal 2" xfId="254"/>
    <cellStyle name="Normal 2 2" xfId="255"/>
    <cellStyle name="Normal 3 2" xfId="256"/>
    <cellStyle name="Note" xfId="257"/>
    <cellStyle name="Output" xfId="258"/>
    <cellStyle name="Total" xfId="259"/>
    <cellStyle name="Warning Text" xfId="260"/>
    <cellStyle name="常规 10" xfId="261"/>
    <cellStyle name="常规 10 2" xfId="262"/>
    <cellStyle name="常规 10 3" xfId="263"/>
    <cellStyle name="常规 10 4" xfId="264"/>
    <cellStyle name="常规 11 2" xfId="265"/>
    <cellStyle name="常规 11 3" xfId="266"/>
    <cellStyle name="常规 11 4" xfId="267"/>
    <cellStyle name="常规 12 2" xfId="268"/>
    <cellStyle name="常规 12 3" xfId="269"/>
    <cellStyle name="常规 12 4" xfId="270"/>
    <cellStyle name="常规 13 2" xfId="271"/>
    <cellStyle name="常规 13 3" xfId="272"/>
    <cellStyle name="常规 13 4" xfId="273"/>
    <cellStyle name="常规 2 2 3" xfId="274"/>
    <cellStyle name="常规 2 4" xfId="275"/>
    <cellStyle name="常规 2 5" xfId="276"/>
    <cellStyle name="常规 2 6" xfId="277"/>
    <cellStyle name="常规 2 7" xfId="278"/>
    <cellStyle name="常规 2 8" xfId="279"/>
    <cellStyle name="常规 2_经销商信息-1-原始表" xfId="280"/>
    <cellStyle name="常规 3 3" xfId="281"/>
    <cellStyle name="常规 3 4" xfId="282"/>
    <cellStyle name="常规 4 2" xfId="283"/>
    <cellStyle name="常规 4 3" xfId="284"/>
    <cellStyle name="常规 4 4" xfId="285"/>
    <cellStyle name="常规 5 2" xfId="286"/>
    <cellStyle name="常规 5 3" xfId="287"/>
    <cellStyle name="常规 5 4" xfId="288"/>
    <cellStyle name="常规 6 2" xfId="289"/>
    <cellStyle name="常规 6 3" xfId="290"/>
    <cellStyle name="常规 6 4" xfId="291"/>
    <cellStyle name="常规 6 5" xfId="292"/>
    <cellStyle name="常规 7" xfId="293"/>
    <cellStyle name="常规 7 2" xfId="294"/>
    <cellStyle name="常规 7 3" xfId="295"/>
    <cellStyle name="常规 7 4" xfId="296"/>
    <cellStyle name="常规 8" xfId="297"/>
    <cellStyle name="常规 8 2" xfId="298"/>
    <cellStyle name="常规 8 3" xfId="299"/>
    <cellStyle name="常规 8 4" xfId="300"/>
    <cellStyle name="常规 9" xfId="301"/>
    <cellStyle name="常规 9 2" xfId="302"/>
    <cellStyle name="常规 9 3" xfId="303"/>
    <cellStyle name="常规 9 4" xfId="304"/>
    <cellStyle name="常规_新审定表 2" xfId="305"/>
    <cellStyle name="超链接 2 2" xfId="306"/>
    <cellStyle name="常规 11" xfId="307"/>
    <cellStyle name="千位分隔 2 4" xfId="308"/>
    <cellStyle name="常规_Book1 2 2" xfId="309"/>
    <cellStyle name="常规 7 5" xfId="310"/>
    <cellStyle name="常规 5 5" xfId="311"/>
    <cellStyle name="常规_2-1项目审定表－模板" xfId="312"/>
    <cellStyle name="常规 11 5" xfId="313"/>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Liufs</author>
  </authors>
  <commentList>
    <comment ref="A3" authorId="0" shapeId="0">
      <text>
        <t>Liufs:
或，2009年1-9月 等</t>
      </text>
    </comment>
  </commentList>
</comments>
</file>

<file path=xl/comments/comment2.xml><?xml version="1.0" encoding="utf-8"?>
<comments xmlns="http://schemas.openxmlformats.org/spreadsheetml/2006/main">
  <authors>
    <author>何先琴</author>
  </authors>
  <commentList>
    <comment ref="B15" authorId="0" shapeId="0">
      <text>
        <t>专业技术部:
根据被审计单位实际情况和风险评估情况裁剪、修改或增加审计程序</t>
      </text>
    </comment>
  </commentList>
</comments>
</file>

<file path=xl/comments/comment3.xml><?xml version="1.0" encoding="utf-8"?>
<comments xmlns="http://schemas.openxmlformats.org/spreadsheetml/2006/main">
  <authors>
    <author>1</author>
  </authors>
  <commentList>
    <comment ref="E29" authorId="0" shapeId="0">
      <text>
        <t>1:
存在差异时显示红色，同时显示数据，不存在差异显示绿色，-</t>
      </text>
    </comment>
    <comment ref="I29" authorId="0" shapeId="0">
      <text>
        <t>1:
存在差异时显示红色，同时显示数据，不存在差异显示绿色，-</t>
      </text>
    </comment>
  </commentList>
</comments>
</file>

<file path=xl/comments/comment4.xml><?xml version="1.0" encoding="utf-8"?>
<comments xmlns="http://schemas.openxmlformats.org/spreadsheetml/2006/main">
  <authors>
    <author>Liufs</author>
  </authors>
  <commentList>
    <comment ref="C29" authorId="0" shapeId="0">
      <text>
        <t>Liufs:
从“在建工程”、“应付职工薪酬”、“销售费用”、“管理费用”、“营业外支出”等科目借方分析</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9.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codeName="Sheet1">
    <outlinePr summaryBelow="1" summaryRight="1"/>
    <pageSetUpPr/>
  </sheetPr>
  <dimension ref="A1:H20"/>
  <sheetViews>
    <sheetView tabSelected="1" workbookViewId="0">
      <selection activeCell="A1" sqref="A1"/>
    </sheetView>
  </sheetViews>
  <sheetFormatPr baseColWidth="8" defaultColWidth="9" defaultRowHeight="20.1" customHeight="1"/>
  <cols>
    <col width="77.59765625" customWidth="1" style="13" min="1" max="1"/>
    <col width="2" customWidth="1" style="13" min="2" max="2"/>
    <col width="2.09765625" customWidth="1" style="13" min="3" max="3"/>
    <col width="6.09765625" customWidth="1" style="13" min="4" max="4"/>
    <col width="48.5" customWidth="1" style="13" min="5" max="5"/>
    <col width="12.3984375" customWidth="1" style="13" min="6" max="6"/>
    <col width="9" customWidth="1" style="16" min="7" max="16384"/>
  </cols>
  <sheetData>
    <row r="1" ht="20.1" customFormat="1" customHeight="1" s="5">
      <c r="A1" s="2" t="inlineStr">
        <is>
          <t>底稿开列时，可先在以下单元格填写有关内容，以便其他底稿引用有关数据：</t>
        </is>
      </c>
      <c r="B1" s="3" t="n"/>
      <c r="C1" s="3" t="n"/>
      <c r="D1" s="5" t="n"/>
      <c r="E1" s="5" t="n"/>
      <c r="F1" s="5" t="n"/>
    </row>
    <row r="2" ht="20.1" customHeight="1" s="356">
      <c r="A2" s="6" t="inlineStr">
        <is>
          <t>被审计单位：</t>
        </is>
      </c>
      <c r="B2" s="7" t="n"/>
      <c r="C2" s="7" t="n"/>
      <c r="D2" s="8" t="inlineStr">
        <is>
          <t>序号</t>
        </is>
      </c>
      <c r="E2" s="8" t="inlineStr">
        <is>
          <t>内容</t>
        </is>
      </c>
      <c r="F2" s="8" t="inlineStr">
        <is>
          <t>索引号</t>
        </is>
      </c>
      <c r="G2" s="9" t="n"/>
      <c r="H2" s="9" t="n"/>
    </row>
    <row r="3" ht="20.1" customHeight="1" s="356">
      <c r="A3" s="6" t="inlineStr">
        <is>
          <t>会计期间：202X年度</t>
        </is>
      </c>
      <c r="B3" s="7" t="n"/>
      <c r="C3" s="7" t="n"/>
      <c r="D3" s="268" t="n">
        <v>1</v>
      </c>
      <c r="E3" s="269" t="inlineStr">
        <is>
          <t>营业成本实质性程序表</t>
        </is>
      </c>
      <c r="F3" s="270" t="inlineStr">
        <is>
          <t xml:space="preserve">F5A </t>
        </is>
      </c>
      <c r="G3" s="9" t="n"/>
      <c r="H3" s="9" t="n"/>
    </row>
    <row r="4" ht="20.1" customHeight="1" s="356">
      <c r="A4" s="154" t="inlineStr">
        <is>
          <t>编制人：</t>
        </is>
      </c>
      <c r="B4" s="7" t="n"/>
      <c r="C4" s="7" t="n"/>
      <c r="D4" s="268">
        <f>D3+1</f>
        <v/>
      </c>
      <c r="E4" s="269" t="inlineStr">
        <is>
          <t>营业务成本审定表</t>
        </is>
      </c>
      <c r="F4" s="270" t="inlineStr">
        <is>
          <t>F5-1</t>
        </is>
      </c>
      <c r="G4" s="9" t="n"/>
      <c r="H4" s="12" t="n"/>
    </row>
    <row r="5" ht="20.1" customHeight="1" s="356">
      <c r="A5" s="154" t="inlineStr">
        <is>
          <t>编制日期：</t>
        </is>
      </c>
      <c r="B5" s="13" t="n"/>
      <c r="C5" s="13" t="n"/>
      <c r="D5" s="268">
        <f>D4+1</f>
        <v/>
      </c>
      <c r="E5" s="269" t="inlineStr">
        <is>
          <t>主营业务成本月度明细表</t>
        </is>
      </c>
      <c r="F5" s="270" t="inlineStr">
        <is>
          <t>F5-2</t>
        </is>
      </c>
      <c r="G5" s="9" t="n"/>
      <c r="H5" s="14" t="n"/>
    </row>
    <row r="6" ht="20.1" customHeight="1" s="356">
      <c r="A6" s="154" t="inlineStr">
        <is>
          <t>复核人：</t>
        </is>
      </c>
      <c r="D6" s="268">
        <f>D5+1</f>
        <v/>
      </c>
      <c r="E6" s="155" t="inlineStr">
        <is>
          <t>其他业务成本明细表</t>
        </is>
      </c>
      <c r="F6" s="270" t="inlineStr">
        <is>
          <t>F5-3</t>
        </is>
      </c>
      <c r="G6" s="16" t="n"/>
      <c r="H6" s="16" t="n"/>
    </row>
    <row r="7" ht="20.1" customHeight="1" s="356">
      <c r="A7" s="154" t="inlineStr">
        <is>
          <t>复核日期：</t>
        </is>
      </c>
      <c r="D7" s="268">
        <f>D6+1</f>
        <v/>
      </c>
      <c r="E7" s="155" t="inlineStr">
        <is>
          <t>调整分录汇总</t>
        </is>
      </c>
      <c r="F7" s="270" t="inlineStr">
        <is>
          <t>F5-4</t>
        </is>
      </c>
    </row>
    <row r="8" ht="20.1" customHeight="1" s="356">
      <c r="A8" s="16" t="n"/>
      <c r="D8" s="268">
        <f>D7+1</f>
        <v/>
      </c>
      <c r="E8" s="155" t="inlineStr">
        <is>
          <t>主营业务成本与上年度比较分析表</t>
        </is>
      </c>
      <c r="F8" s="270" t="inlineStr">
        <is>
          <t>F5-5</t>
        </is>
      </c>
    </row>
    <row r="9" ht="20.1" customHeight="1" s="356">
      <c r="A9" s="288" t="inlineStr">
        <is>
          <t>关于工作底稿与审计程序索引号对应的说明</t>
        </is>
      </c>
      <c r="D9" s="268">
        <f>D8+1</f>
        <v/>
      </c>
      <c r="E9" s="269" t="inlineStr">
        <is>
          <t>销售数量与结转成本数量核对明细表</t>
        </is>
      </c>
      <c r="F9" s="270" t="inlineStr">
        <is>
          <t>F5-6</t>
        </is>
      </c>
    </row>
    <row r="10" ht="20.1" customHeight="1" s="356">
      <c r="A10" s="289" t="inlineStr">
        <is>
          <t>1.编制的审计工作底稿应与审计程序对应。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is>
      </c>
      <c r="D10" s="268">
        <f>D9+1</f>
        <v/>
      </c>
      <c r="E10" s="269" t="inlineStr">
        <is>
          <t>主营业务成本倒轧表</t>
        </is>
      </c>
      <c r="F10" s="270" t="inlineStr">
        <is>
          <t>F5-7</t>
        </is>
      </c>
    </row>
    <row r="11" ht="20.1" customHeight="1" s="356">
      <c r="A11" s="0" t="n"/>
      <c r="D11" s="268">
        <f>D10+1</f>
        <v/>
      </c>
      <c r="E11" s="269" t="inlineStr">
        <is>
          <t>主营业务成本账户中重大调整事项核查表</t>
        </is>
      </c>
      <c r="F11" s="270" t="inlineStr">
        <is>
          <t>F5-8</t>
        </is>
      </c>
    </row>
    <row r="12" ht="20.1" customHeight="1" s="356">
      <c r="A12" s="0" t="n"/>
      <c r="D12" s="134" t="n"/>
    </row>
    <row r="13" ht="20.1" customHeight="1" s="356">
      <c r="A13" s="0" t="n"/>
      <c r="D13" s="135" t="n"/>
    </row>
    <row r="14" ht="19.95" customHeight="1" s="356">
      <c r="A14" s="289" t="inlineStr">
        <is>
          <t>2.获取的支持性证据应与审计底稿或程序对应。审计项目组在完成底稿时获取的支持性证据应根据底稿索引号编制下一级按自然顺序排序的索引号（如D1-2-1、D1-2-2、……），并在底稿中说明引用的支持性证据、关联索引号。</t>
        </is>
      </c>
      <c r="F14" s="16" t="n"/>
    </row>
    <row r="15" ht="19.95" customHeight="1" s="356">
      <c r="A15" s="0" t="n"/>
    </row>
    <row r="16" ht="19.95" customHeight="1" s="356">
      <c r="A16" s="0" t="n"/>
    </row>
    <row r="17" ht="19.95" customHeight="1" s="356">
      <c r="A17" s="290" t="inlineStr">
        <is>
          <t>3.工作底稿索引号的编码规则：实质性程序索引号按循环从“D”到“N”,循环内账户以顺序号排列，模板中底稿索引号按账户顺序+自然数顺序（即模板中索引号按二级自然顺序排列，如D1-1、D1-2、D1-3、……D1-N）。</t>
        </is>
      </c>
    </row>
    <row r="18" ht="19.95" customHeight="1" s="356">
      <c r="A18" s="0" t="n"/>
    </row>
    <row r="19" ht="19.95" customHeight="1" s="356">
      <c r="A19" s="0" t="n"/>
    </row>
    <row r="20" ht="20.1" customHeight="1" s="356">
      <c r="A20" s="17" t="n"/>
    </row>
  </sheetData>
  <mergeCells count="3">
    <mergeCell ref="A14:A16"/>
    <mergeCell ref="A17:A19"/>
    <mergeCell ref="A10:A13"/>
  </mergeCells>
  <hyperlinks>
    <hyperlink ref="E3" location="营业成本实质性程序表F5A!A1" display="营业成本实质性程序表"/>
    <hyperlink ref="E4" location="'营业务成本审定表F5-1'!A1" display="营业务成本审定表"/>
    <hyperlink ref="E5" location="'主营业务成本月度明细表F5-2'!A1" display="主营业务成本月度明细表"/>
    <hyperlink ref="E6" location="'其他业务成本明细表F5-3'!A1" display="其他业务成本明细表"/>
    <hyperlink ref="E7" location="'调整分录汇总F5-4'!A1" display="调整分录汇总"/>
    <hyperlink ref="E8" location="'与上年度比较分析表F5-5'!A1" display="主营业务成本与上年度比较分析表"/>
    <hyperlink ref="E9" location="'销售数量与结转成本数量核对明细表F5-6'!A1" display="销售数量与结转成本数量核对明细表"/>
    <hyperlink ref="E10" location="'成本倒轧表F5-7'!A1" display="主营业务成本倒轧表"/>
    <hyperlink ref="E11" location="'重大调整核查表F5-8'!A1" display="主营业务成本账户中重大调整事项核查表"/>
  </hyperlinks>
  <pageMargins left="0.75" right="0.75" top="1" bottom="1" header="0.5" footer="0.5"/>
  <pageSetup orientation="portrait" paperSize="9" horizontalDpi="1200" verticalDpi="1200"/>
  <legacyDrawing xmlns:r="http://schemas.openxmlformats.org/officeDocument/2006/relationships" r:id="anysvml"/>
</worksheet>
</file>

<file path=xl/worksheets/sheet2.xml><?xml version="1.0" encoding="utf-8"?>
<worksheet xmlns="http://schemas.openxmlformats.org/spreadsheetml/2006/main">
  <sheetPr codeName="Sheet2">
    <outlinePr summaryBelow="1" summaryRight="1"/>
    <pageSetUpPr/>
  </sheetPr>
  <dimension ref="A1:M31"/>
  <sheetViews>
    <sheetView view="pageBreakPreview" zoomScaleNormal="115" zoomScaleSheetLayoutView="100" workbookViewId="0">
      <selection activeCell="J26" sqref="J26"/>
    </sheetView>
  </sheetViews>
  <sheetFormatPr baseColWidth="8" defaultColWidth="9" defaultRowHeight="13.8"/>
  <cols>
    <col width="5.19921875" customWidth="1" style="357" min="1" max="1"/>
    <col width="66.5" customWidth="1" style="357" min="2" max="2"/>
    <col width="11" customWidth="1" style="357" min="3" max="3"/>
    <col width="6.296875" customWidth="1" style="357" min="4" max="8"/>
    <col width="7.19921875" customWidth="1" style="357" min="9" max="9"/>
    <col width="71.59765625" customWidth="1" style="358" min="10" max="10"/>
    <col width="70" customWidth="1" style="359" min="11" max="11"/>
    <col width="9" customWidth="1" style="357" min="12" max="16384"/>
  </cols>
  <sheetData>
    <row r="1" ht="22.05" customHeight="1" s="356">
      <c r="A1" s="360" t="inlineStr">
        <is>
          <t>致同会计师事务所</t>
        </is>
      </c>
    </row>
    <row r="2" ht="22.05" customHeight="1" s="356">
      <c r="A2" s="361" t="inlineStr">
        <is>
          <t>营业成本实质性程序</t>
        </is>
      </c>
      <c r="K2" s="362" t="n"/>
    </row>
    <row r="3" ht="22.05" customHeight="1" s="356">
      <c r="A3" s="363">
        <f>底稿目录!A2</f>
        <v/>
      </c>
      <c r="B3" s="363" t="n"/>
      <c r="C3" s="51">
        <f>底稿目录!A4</f>
        <v/>
      </c>
      <c r="E3" s="363">
        <f>底稿目录!A5</f>
        <v/>
      </c>
      <c r="F3" s="363" t="n"/>
      <c r="G3" s="363" t="n"/>
      <c r="H3" s="363" t="inlineStr">
        <is>
          <t>索引号：</t>
        </is>
      </c>
      <c r="I3" s="364">
        <f>底稿目录!F3</f>
        <v/>
      </c>
    </row>
    <row r="4" ht="22.05" customHeight="1" s="356">
      <c r="A4" s="363">
        <f>底稿目录!A3</f>
        <v/>
      </c>
      <c r="B4" s="363" t="n"/>
      <c r="C4" s="51">
        <f>底稿目录!A6</f>
        <v/>
      </c>
      <c r="E4" s="363">
        <f>底稿目录!A7</f>
        <v/>
      </c>
      <c r="F4" s="363" t="n"/>
      <c r="G4" s="363" t="n"/>
      <c r="H4" s="363" t="inlineStr">
        <is>
          <t>页  次：</t>
        </is>
      </c>
      <c r="I4" s="365" t="n"/>
    </row>
    <row r="5" ht="22.05" customHeight="1" s="356">
      <c r="A5" s="168" t="inlineStr">
        <is>
          <t>一、本账户涉及的科目</t>
        </is>
      </c>
      <c r="B5" s="363" t="n"/>
      <c r="C5" s="363" t="n"/>
      <c r="D5" s="363" t="n"/>
      <c r="E5" s="363" t="n"/>
      <c r="F5" s="363" t="n"/>
      <c r="G5" s="363" t="n"/>
      <c r="H5" s="363" t="n"/>
      <c r="I5" s="363" t="n"/>
    </row>
    <row r="6" ht="22.05" customHeight="1" s="356">
      <c r="A6" s="366" t="inlineStr">
        <is>
          <t>主营业务成本、其他业务成本</t>
        </is>
      </c>
      <c r="B6" s="363" t="n"/>
      <c r="C6" s="363" t="n"/>
      <c r="D6" s="363" t="n"/>
      <c r="E6" s="363" t="n"/>
      <c r="F6" s="363" t="n"/>
      <c r="G6" s="363" t="n"/>
      <c r="H6" s="363" t="n"/>
      <c r="I6" s="363" t="n"/>
    </row>
    <row r="7" ht="22.05" customHeight="1" s="356">
      <c r="A7" s="171" t="inlineStr">
        <is>
          <t>二、审计目标与认定的对应关系</t>
        </is>
      </c>
      <c r="B7" s="367" t="n"/>
      <c r="C7" s="363" t="n"/>
      <c r="D7" s="363" t="n"/>
      <c r="E7" s="363" t="n"/>
      <c r="F7" s="363" t="n"/>
      <c r="G7" s="363" t="n"/>
      <c r="H7" s="363" t="n"/>
      <c r="I7" s="363" t="n"/>
      <c r="J7" s="368" t="n"/>
      <c r="K7" s="369" t="n"/>
    </row>
    <row r="8" ht="19.95" customFormat="1" customHeight="1" s="370">
      <c r="A8" s="371" t="inlineStr">
        <is>
          <t>审计目标</t>
        </is>
      </c>
      <c r="B8" s="372" t="n"/>
      <c r="C8" s="372" t="n"/>
      <c r="D8" s="372" t="n"/>
      <c r="E8" s="372" t="n"/>
      <c r="F8" s="373" t="n"/>
      <c r="G8" s="374" t="inlineStr">
        <is>
          <t xml:space="preserve">财务报表的认定　</t>
        </is>
      </c>
      <c r="H8" s="372" t="n"/>
      <c r="I8" s="373" t="n"/>
      <c r="J8" s="375" t="n"/>
    </row>
    <row r="9" ht="19.95" customFormat="1" customHeight="1" s="370">
      <c r="A9" s="376" t="inlineStr">
        <is>
          <t>A. 利润表中记录的营业成本已发生，且与被审计单位有关，已记录于恰当的账户</t>
        </is>
      </c>
      <c r="B9" s="372" t="n"/>
      <c r="C9" s="372" t="n"/>
      <c r="D9" s="372" t="n"/>
      <c r="E9" s="372" t="n"/>
      <c r="F9" s="373" t="n"/>
      <c r="G9" s="377" t="inlineStr">
        <is>
          <t>发生</t>
        </is>
      </c>
      <c r="H9" s="372" t="n"/>
      <c r="I9" s="373" t="n"/>
      <c r="J9" s="375" t="n"/>
    </row>
    <row r="10" ht="19.95" customFormat="1" customHeight="1" s="370">
      <c r="A10" s="376" t="inlineStr">
        <is>
          <t>B. 所有应当记录的营业成本均已记录，所有应当包括在财务报表中的相关披露均已包括</t>
        </is>
      </c>
      <c r="B10" s="372" t="n"/>
      <c r="C10" s="372" t="n"/>
      <c r="D10" s="372" t="n"/>
      <c r="E10" s="372" t="n"/>
      <c r="F10" s="373" t="n"/>
      <c r="G10" s="377" t="inlineStr">
        <is>
          <t>完整性</t>
        </is>
      </c>
      <c r="H10" s="372" t="n"/>
      <c r="I10" s="373" t="n"/>
      <c r="J10" s="375" t="n"/>
    </row>
    <row r="11" ht="19.95" customFormat="1" customHeight="1" s="370">
      <c r="A11" s="376" t="inlineStr">
        <is>
          <t>C. 与营业成本有关的金额及其他数据已恰当记录，相关披露已得到恰当计量和描述</t>
        </is>
      </c>
      <c r="B11" s="372" t="n"/>
      <c r="C11" s="372" t="n"/>
      <c r="D11" s="372" t="n"/>
      <c r="E11" s="372" t="n"/>
      <c r="F11" s="373" t="n"/>
      <c r="G11" s="377" t="inlineStr">
        <is>
          <t>准确性</t>
        </is>
      </c>
      <c r="H11" s="372" t="n"/>
      <c r="I11" s="373" t="n"/>
      <c r="J11" s="375" t="n"/>
    </row>
    <row r="12" ht="19.95" customFormat="1" customHeight="1" s="370">
      <c r="A12" s="376" t="inlineStr">
        <is>
          <t>D. 营业成本已记录于正确的会计期间</t>
        </is>
      </c>
      <c r="B12" s="372" t="n"/>
      <c r="C12" s="372" t="n"/>
      <c r="D12" s="372" t="n"/>
      <c r="E12" s="372" t="n"/>
      <c r="F12" s="373" t="n"/>
      <c r="G12" s="377" t="inlineStr">
        <is>
          <t>截止</t>
        </is>
      </c>
      <c r="H12" s="372" t="n"/>
      <c r="I12" s="373" t="n"/>
      <c r="J12" s="375" t="n"/>
    </row>
    <row r="13" ht="19.95" customFormat="1" customHeight="1" s="370">
      <c r="A13" s="376" t="inlineStr">
        <is>
          <t>E. 营业成本已被恰当地汇总或分解且表述清楚，相关披露在按照企业会计准则的编制基础下是相关的、可理解的</t>
        </is>
      </c>
      <c r="B13" s="372" t="n"/>
      <c r="C13" s="372" t="n"/>
      <c r="D13" s="372" t="n"/>
      <c r="E13" s="372" t="n"/>
      <c r="F13" s="373" t="n"/>
      <c r="G13" s="377" t="inlineStr">
        <is>
          <t>列报</t>
        </is>
      </c>
      <c r="H13" s="372" t="n"/>
      <c r="I13" s="373" t="n"/>
      <c r="J13" s="375" t="n"/>
    </row>
    <row r="14" ht="22.05" customFormat="1" customHeight="1" s="370">
      <c r="A14" s="294" t="inlineStr">
        <is>
          <t>三、计划实施的实质性程序</t>
        </is>
      </c>
      <c r="B14" s="378" t="n"/>
      <c r="C14" s="379" t="n"/>
      <c r="D14" s="379" t="n"/>
      <c r="E14" s="379" t="n"/>
      <c r="F14" s="379" t="n"/>
      <c r="G14" s="379" t="n"/>
      <c r="H14" s="379" t="n"/>
      <c r="I14" s="379" t="n"/>
      <c r="J14" s="375" t="n"/>
    </row>
    <row r="15" ht="22.05" customHeight="1" s="356">
      <c r="A15" s="295" t="inlineStr">
        <is>
          <t>序号</t>
        </is>
      </c>
      <c r="B15" s="296" t="inlineStr">
        <is>
          <t>审计程序</t>
        </is>
      </c>
      <c r="C15" s="371" t="inlineStr">
        <is>
          <t>程序分类</t>
        </is>
      </c>
      <c r="D15" s="380" t="inlineStr">
        <is>
          <t>财务报表的认定</t>
        </is>
      </c>
      <c r="E15" s="372" t="n"/>
      <c r="F15" s="372" t="n"/>
      <c r="G15" s="372" t="n"/>
      <c r="H15" s="373" t="n"/>
      <c r="I15" s="371" t="inlineStr">
        <is>
          <t>底稿索引号</t>
        </is>
      </c>
      <c r="J15" s="368" t="n"/>
      <c r="K15" s="381" t="n"/>
      <c r="L15" s="381" t="n"/>
      <c r="M15" s="381" t="n"/>
    </row>
    <row r="16" ht="28.8" customHeight="1" s="356">
      <c r="A16" s="382" t="n"/>
      <c r="B16" s="382" t="n"/>
      <c r="C16" s="382" t="n"/>
      <c r="D16" s="380" t="inlineStr">
        <is>
          <t>发生</t>
        </is>
      </c>
      <c r="E16" s="380" t="inlineStr">
        <is>
          <t>完整性</t>
        </is>
      </c>
      <c r="F16" s="371" t="inlineStr">
        <is>
          <t>准确性</t>
        </is>
      </c>
      <c r="G16" s="371" t="inlineStr">
        <is>
          <t>截止</t>
        </is>
      </c>
      <c r="H16" s="371" t="inlineStr">
        <is>
          <t>列报</t>
        </is>
      </c>
      <c r="I16" s="382" t="n"/>
      <c r="J16" s="383" t="inlineStr">
        <is>
          <t>根据被审计单位实际情况和风险评估情况裁剪、修改或增加审计程序</t>
        </is>
      </c>
      <c r="K16" s="381" t="n"/>
      <c r="L16" s="381" t="n"/>
      <c r="M16" s="381" t="n"/>
    </row>
    <row r="17" ht="43.2" customHeight="1" s="356">
      <c r="A17" s="181" t="inlineStr">
        <is>
          <t>1</t>
        </is>
      </c>
      <c r="B17" s="384" t="inlineStr">
        <is>
          <t>获取或编制主营业务成本、其他业务成本明细表，复核加计是否正确，并与总账数和明细账合计数核对是否相符，编制审定表，结合其他业务成本科目与营业成本报表数核对是否相符。</t>
        </is>
      </c>
      <c r="C17" s="385" t="inlineStr">
        <is>
          <t>常规★</t>
        </is>
      </c>
      <c r="D17" s="385" t="inlineStr">
        <is>
          <t>√</t>
        </is>
      </c>
      <c r="E17" s="385" t="inlineStr">
        <is>
          <t>√</t>
        </is>
      </c>
      <c r="F17" s="386" t="inlineStr">
        <is>
          <t>√</t>
        </is>
      </c>
      <c r="G17" s="385" t="n"/>
      <c r="H17" s="387" t="n"/>
      <c r="I17" s="388" t="inlineStr">
        <is>
          <t>F5-1/F5-2/F5-3</t>
        </is>
      </c>
      <c r="J17" s="368" t="n"/>
      <c r="K17" s="389" t="n"/>
      <c r="L17" s="381" t="n"/>
      <c r="M17" s="381" t="n"/>
    </row>
    <row r="18" ht="42.6" customHeight="1" s="356">
      <c r="A18" s="181" t="inlineStr">
        <is>
          <t>2</t>
        </is>
      </c>
      <c r="B18" s="384" t="inlineStr">
        <is>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is>
      </c>
      <c r="C18" s="385" t="inlineStr">
        <is>
          <t>常规★</t>
        </is>
      </c>
      <c r="D18" s="387" t="n"/>
      <c r="E18" s="386" t="inlineStr">
        <is>
          <t>√</t>
        </is>
      </c>
      <c r="F18" s="385" t="inlineStr">
        <is>
          <t>√</t>
        </is>
      </c>
      <c r="G18" s="385" t="n"/>
      <c r="H18" s="387" t="n"/>
      <c r="I18" s="390" t="inlineStr">
        <is>
          <t>T1/</t>
        </is>
      </c>
      <c r="J18" s="391" t="inlineStr">
        <is>
          <t>可参见《审计手册》4.2.6，由被审计单位生成的信息可能是由系统生成的、或手工编制的、或二者兼而有之的方式生成的。例如，由被审计单位生成的信息可能包括：
• 不涉及自定义的、由系统生成的报告（如，固定格式报告）；
• 可能通过人工自定义的、由系统生成的报告，例如，（计算机）查询信息或特别定制的报告；
• 手工编制的信息，例如，汇总信息的电子表格或用以支持分配、计算以及调节的电子表格；
• 其他系统生成或手工编制的信息，例如，由被审计单位编制的客户发票；
• 通过影印、拍摄、扫描或其他方式转换成电子形式的文件记录。</t>
        </is>
      </c>
      <c r="K18" s="392" t="n"/>
      <c r="L18" s="381" t="n"/>
      <c r="M18" s="381" t="n"/>
    </row>
    <row r="19" ht="28.8" customHeight="1" s="356">
      <c r="A19" s="181" t="inlineStr">
        <is>
          <t>3</t>
        </is>
      </c>
      <c r="B19" s="393" t="inlineStr">
        <is>
          <t>结合存货期初余额审计，确定营业成本前期期末的截止是否恰当。（适用于首次承接）</t>
        </is>
      </c>
      <c r="C19" s="385" t="inlineStr">
        <is>
          <t>备选</t>
        </is>
      </c>
      <c r="D19" s="387" t="n"/>
      <c r="E19" s="386" t="n"/>
      <c r="F19" s="385" t="n"/>
      <c r="G19" s="386" t="inlineStr">
        <is>
          <t>√</t>
        </is>
      </c>
      <c r="H19" s="387" t="n"/>
      <c r="I19" s="388" t="n"/>
      <c r="J19" s="391" t="inlineStr">
        <is>
          <t>由被审计单位生成的信息不包括：
• 总分类账或明细分类账、试算平衡表、或经审计的财务报表；
• 第三方（除了服务机构）的报表或报告，例如，原始银行对账单，或函证的回函；
• 外部数据（例如，第三方发布的数据，如，定价来源）。</t>
        </is>
      </c>
      <c r="K19" s="392" t="n"/>
      <c r="L19" s="381" t="n"/>
      <c r="M19" s="381" t="n"/>
    </row>
    <row r="20" ht="70.8" customHeight="1" s="356">
      <c r="A20" s="181" t="inlineStr">
        <is>
          <t>4</t>
        </is>
      </c>
      <c r="B20" s="384" t="inlineStr">
        <is>
          <t>关注会计政策、会计估计合理性、一贯性，关注其是否利用会计政策和会计估计及其变更操纵利润。
（1）了解、分析主营业务成本结转政策及流程的合理性，是否符合实际经营情况和会计准则的要求，并与前期进行对比，分析其是否保持一贯性；
（2）关注主营业务成本的内容和计算方法是否符合会计准则规定，前后期是否一致。</t>
        </is>
      </c>
      <c r="C20" s="385" t="inlineStr">
        <is>
          <t>常规★</t>
        </is>
      </c>
      <c r="D20" s="385" t="inlineStr">
        <is>
          <t>√</t>
        </is>
      </c>
      <c r="E20" s="385" t="inlineStr">
        <is>
          <t>√</t>
        </is>
      </c>
      <c r="F20" s="387" t="n"/>
      <c r="G20" s="385" t="n"/>
      <c r="H20" s="387" t="n"/>
      <c r="I20" s="388" t="inlineStr">
        <is>
          <t>F2-16</t>
        </is>
      </c>
      <c r="J20" s="391" t="n"/>
      <c r="K20" s="394" t="n"/>
      <c r="L20" s="381" t="n"/>
      <c r="M20" s="381" t="n"/>
    </row>
    <row r="21" ht="56.4" customHeight="1" s="356">
      <c r="A21" s="181" t="inlineStr">
        <is>
          <t>5</t>
        </is>
      </c>
      <c r="B21" s="384" t="inlineStr">
        <is>
          <t>分析主营业务成本：
（1）将本期和上期主营业务成本按月度进行比较分析；
（2）将本期和上期产品总成本的构成（如原材料，人工及制造费用）进行比较分析；
（3）将本期和上期的主要产品单位成本进行比较分析；</t>
        </is>
      </c>
      <c r="C21" s="385" t="inlineStr">
        <is>
          <t>常规★</t>
        </is>
      </c>
      <c r="D21" s="385" t="inlineStr">
        <is>
          <t>√</t>
        </is>
      </c>
      <c r="E21" s="386" t="inlineStr">
        <is>
          <t>√</t>
        </is>
      </c>
      <c r="F21" s="385" t="inlineStr">
        <is>
          <t>√</t>
        </is>
      </c>
      <c r="G21" s="385" t="n"/>
      <c r="H21" s="387" t="n"/>
      <c r="I21" s="388" t="inlineStr">
        <is>
          <t>F5-2
/F5-5</t>
        </is>
      </c>
      <c r="J21" s="391" t="n"/>
      <c r="K21" s="389" t="n"/>
      <c r="L21" s="381" t="n"/>
      <c r="M21" s="381" t="n"/>
    </row>
    <row r="22" ht="33" customHeight="1" s="356">
      <c r="A22" s="181" t="inlineStr">
        <is>
          <t>6</t>
        </is>
      </c>
      <c r="B22" s="384" t="inlineStr">
        <is>
          <t>检查月主营业务成本结转明细清单，比较计人主营业务成本的品种、规格、数量和计入主营业务收人的口径是否一致，是否符合配比原则。</t>
        </is>
      </c>
      <c r="C22" s="385" t="inlineStr">
        <is>
          <t>常规★</t>
        </is>
      </c>
      <c r="D22" s="385" t="inlineStr">
        <is>
          <t>√</t>
        </is>
      </c>
      <c r="E22" s="386" t="inlineStr">
        <is>
          <t>√</t>
        </is>
      </c>
      <c r="F22" s="387" t="n"/>
      <c r="G22" s="385" t="n"/>
      <c r="H22" s="387" t="n"/>
      <c r="I22" s="388" t="inlineStr">
        <is>
          <t>F5-6</t>
        </is>
      </c>
      <c r="J22" s="368" t="n"/>
      <c r="K22" s="389" t="n"/>
      <c r="L22" s="381" t="n"/>
      <c r="M22" s="381" t="n"/>
    </row>
    <row r="23" ht="33" customFormat="1" customHeight="1" s="395">
      <c r="A23" s="181" t="inlineStr">
        <is>
          <t>7</t>
        </is>
      </c>
      <c r="B23" s="384" t="inlineStr">
        <is>
          <t>编制生产成本与主营业务成本倒轧表，并与相关科目交叉索引</t>
        </is>
      </c>
      <c r="C23" s="385" t="inlineStr">
        <is>
          <t>常规★</t>
        </is>
      </c>
      <c r="D23" s="385" t="inlineStr">
        <is>
          <t>√</t>
        </is>
      </c>
      <c r="E23" s="385" t="inlineStr">
        <is>
          <t>√</t>
        </is>
      </c>
      <c r="F23" s="386" t="inlineStr">
        <is>
          <t>√</t>
        </is>
      </c>
      <c r="G23" s="385" t="n"/>
      <c r="H23" s="387" t="n"/>
      <c r="I23" s="388" t="inlineStr">
        <is>
          <t>F5-7</t>
        </is>
      </c>
      <c r="J23" s="368" t="n"/>
      <c r="K23" s="389" t="n"/>
      <c r="L23" s="381" t="n"/>
      <c r="M23" s="381" t="n"/>
    </row>
    <row r="24" ht="38.4" customHeight="1" s="356">
      <c r="A24" s="181" t="inlineStr">
        <is>
          <t>8</t>
        </is>
      </c>
      <c r="B24" s="384" t="inlineStr">
        <is>
          <t>结合存货账户检查，针对主营业务成本中重大调整事项(如销售退回)、返利、非常规项目，检查相关原始凭证，评价真实性和合理性，检查其会计处理是否正确。</t>
        </is>
      </c>
      <c r="C24" s="385" t="inlineStr">
        <is>
          <t>常规★</t>
        </is>
      </c>
      <c r="D24" s="386" t="inlineStr">
        <is>
          <t>√</t>
        </is>
      </c>
      <c r="E24" s="385" t="inlineStr">
        <is>
          <t>√</t>
        </is>
      </c>
      <c r="F24" s="385" t="inlineStr">
        <is>
          <t>√</t>
        </is>
      </c>
      <c r="G24" s="385" t="inlineStr">
        <is>
          <t>√</t>
        </is>
      </c>
      <c r="H24" s="385" t="inlineStr">
        <is>
          <t>√</t>
        </is>
      </c>
      <c r="I24" s="388" t="inlineStr">
        <is>
          <t>F5-8</t>
        </is>
      </c>
      <c r="J24" s="396" t="n"/>
      <c r="K24" s="389" t="n"/>
      <c r="L24" s="381" t="n"/>
      <c r="M24" s="381" t="n"/>
    </row>
    <row r="25" ht="34.8" customHeight="1" s="356">
      <c r="A25" s="181" t="inlineStr">
        <is>
          <t>9</t>
        </is>
      </c>
      <c r="B25" s="384" t="inlineStr">
        <is>
          <t>结合营业收入、存货产成品出库检查，同时检查营业成本支持性文件，确定原始凭证是否齐全、记账凭证与原始凭证是否相符以及账务处理是否正确。</t>
        </is>
      </c>
      <c r="C25" s="385" t="inlineStr">
        <is>
          <t>常规★</t>
        </is>
      </c>
      <c r="D25" s="385" t="inlineStr">
        <is>
          <t>√</t>
        </is>
      </c>
      <c r="E25" s="385" t="n"/>
      <c r="F25" s="385" t="inlineStr">
        <is>
          <t>√</t>
        </is>
      </c>
      <c r="G25" s="385" t="inlineStr">
        <is>
          <t>√</t>
        </is>
      </c>
      <c r="H25" s="385" t="inlineStr">
        <is>
          <t>√</t>
        </is>
      </c>
      <c r="I25" s="388" t="n"/>
      <c r="J25" s="396" t="n"/>
      <c r="K25" s="389" t="n"/>
      <c r="L25" s="381" t="n"/>
      <c r="M25" s="381" t="n"/>
    </row>
    <row r="26" ht="40.2" customHeight="1" s="356">
      <c r="A26" s="181" t="inlineStr">
        <is>
          <t>10</t>
        </is>
      </c>
      <c r="B26" s="384" t="inlineStr">
        <is>
          <t>在采用计划成本、定额成本、标准成本或售价核算存货的条件下，结合存货标准成本差异和分摊的测试，检查产品成本差异或商品进销差价的计算、分配和会计处理是否正确。</t>
        </is>
      </c>
      <c r="C26" s="385" t="inlineStr">
        <is>
          <t>备选</t>
        </is>
      </c>
      <c r="D26" s="385" t="n"/>
      <c r="E26" s="387" t="n"/>
      <c r="F26" s="386" t="inlineStr">
        <is>
          <t>√</t>
        </is>
      </c>
      <c r="G26" s="386" t="n"/>
      <c r="H26" s="387" t="n"/>
      <c r="I26" s="388" t="inlineStr">
        <is>
          <t>F2-40</t>
        </is>
      </c>
      <c r="J26" s="368" t="n"/>
      <c r="K26" s="389" t="n"/>
      <c r="L26" s="381" t="n"/>
      <c r="M26" s="381" t="n"/>
    </row>
    <row r="27" ht="36.6" customHeight="1" s="356">
      <c r="A27" s="181" t="inlineStr">
        <is>
          <t>11</t>
        </is>
      </c>
      <c r="B27" s="384" t="inlineStr">
        <is>
          <t>根据评估的舞弊风险等因素增加的审计程序。</t>
        </is>
      </c>
      <c r="C27" s="279" t="inlineStr">
        <is>
          <t>IPO/上市/新三板/重组/舞弊应对</t>
        </is>
      </c>
      <c r="D27" s="387" t="n"/>
      <c r="E27" s="387" t="n"/>
      <c r="F27" s="387" t="n"/>
      <c r="G27" s="387" t="n"/>
      <c r="H27" s="387" t="n"/>
      <c r="I27" s="388" t="n"/>
      <c r="J27" s="396" t="n"/>
      <c r="K27" s="397" t="n"/>
      <c r="L27" s="381" t="n"/>
      <c r="M27" s="381" t="n"/>
    </row>
    <row r="28" ht="27" customHeight="1" s="356">
      <c r="A28" s="181" t="inlineStr">
        <is>
          <t>12</t>
        </is>
      </c>
      <c r="B28" s="384" t="inlineStr">
        <is>
          <t>检查营业成本是否已按企业会计准则或其他适用的规定在财务报表中做出恰当列报和披露。</t>
        </is>
      </c>
      <c r="C28" s="385" t="inlineStr">
        <is>
          <t>常规★</t>
        </is>
      </c>
      <c r="D28" s="387" t="n"/>
      <c r="E28" s="387" t="n"/>
      <c r="F28" s="387" t="n"/>
      <c r="G28" s="387" t="n"/>
      <c r="H28" s="386" t="inlineStr">
        <is>
          <t>√</t>
        </is>
      </c>
      <c r="I28" s="388" t="inlineStr">
        <is>
          <t>A1-1/A1-15 /A1-16</t>
        </is>
      </c>
      <c r="J28" s="368" t="n"/>
      <c r="K28" s="389" t="n"/>
      <c r="L28" s="381" t="n"/>
      <c r="M28" s="381" t="n"/>
    </row>
    <row r="29" ht="22.05" customHeight="1" s="356">
      <c r="A29" s="181" t="n"/>
      <c r="B29" s="384" t="n"/>
      <c r="C29" s="385" t="n"/>
      <c r="D29" s="387" t="n"/>
      <c r="E29" s="387" t="n"/>
      <c r="F29" s="387" t="n"/>
      <c r="G29" s="387" t="n"/>
      <c r="H29" s="386" t="n"/>
      <c r="I29" s="388" t="n"/>
      <c r="J29" s="368" t="n"/>
      <c r="K29" s="389" t="n"/>
      <c r="L29" s="381" t="n"/>
      <c r="M29" s="381" t="n"/>
    </row>
    <row r="31">
      <c r="A31" s="389" t="n"/>
    </row>
  </sheetData>
  <mergeCells count="20">
    <mergeCell ref="G10:I10"/>
    <mergeCell ref="G13:I13"/>
    <mergeCell ref="A12:F12"/>
    <mergeCell ref="A2:I2"/>
    <mergeCell ref="A8:F8"/>
    <mergeCell ref="B15:B16"/>
    <mergeCell ref="A10:F10"/>
    <mergeCell ref="A13:F13"/>
    <mergeCell ref="A9:F9"/>
    <mergeCell ref="G9:I9"/>
    <mergeCell ref="A14:B14"/>
    <mergeCell ref="G12:I12"/>
    <mergeCell ref="G11:I11"/>
    <mergeCell ref="A11:F11"/>
    <mergeCell ref="D15:H15"/>
    <mergeCell ref="A1:I1"/>
    <mergeCell ref="G8:I8"/>
    <mergeCell ref="A15:A16"/>
    <mergeCell ref="C15:C16"/>
    <mergeCell ref="I15:I16"/>
  </mergeCells>
  <hyperlinks>
    <hyperlink ref="I3" location="底稿目录!A1" display="底稿目录!A1"/>
  </hyperlinks>
  <printOptions horizontalCentered="1"/>
  <pageMargins left="0.4724409448818898" right="0.3149606299212598" top="0.5118110236220472" bottom="0.3937007874015748" header="0.4724409448818898" footer="0.2362204724409449"/>
  <pageSetup orientation="portrait" paperSize="9" scale="70" fitToHeight="100" blackAndWhite="1" cellComments="atEnd"/>
  <headerFooter alignWithMargins="0">
    <oddHeader/>
    <oddFooter>&amp;C&amp;P/&amp;N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codeName="Sheet4">
    <outlinePr summaryBelow="1" summaryRight="1"/>
    <pageSetUpPr/>
  </sheetPr>
  <dimension ref="A1:N60"/>
  <sheetViews>
    <sheetView view="pageBreakPreview" topLeftCell="A13" zoomScaleNormal="130" zoomScaleSheetLayoutView="100" workbookViewId="0">
      <selection activeCell="M14" sqref="M14"/>
    </sheetView>
  </sheetViews>
  <sheetFormatPr baseColWidth="8" defaultColWidth="9" defaultRowHeight="13.8"/>
  <cols>
    <col width="14.59765625" customWidth="1" style="112" min="1" max="1"/>
    <col width="10.8984375" customWidth="1" style="398" min="2" max="9"/>
    <col width="10.19921875" customWidth="1" style="398" min="10" max="10"/>
    <col width="9" customWidth="1" style="398" min="11" max="16384"/>
  </cols>
  <sheetData>
    <row r="1" ht="20.1" customHeight="1" s="356">
      <c r="A1" s="399" t="inlineStr">
        <is>
          <t>致同会计师事务所</t>
        </is>
      </c>
    </row>
    <row r="2" ht="24.9" customFormat="1" customHeight="1" s="400">
      <c r="A2" s="401" t="inlineStr">
        <is>
          <t>营业务成本审定表</t>
        </is>
      </c>
    </row>
    <row r="3" ht="20.1" customHeight="1" s="356">
      <c r="A3" s="112">
        <f>底稿目录!A2</f>
        <v/>
      </c>
      <c r="D3" s="402">
        <f>底稿目录!A4</f>
        <v/>
      </c>
      <c r="G3" s="398">
        <f>底稿目录!A5</f>
        <v/>
      </c>
      <c r="I3" s="403" t="inlineStr">
        <is>
          <t>索引号：</t>
        </is>
      </c>
      <c r="J3" s="364">
        <f>底稿目录!F4</f>
        <v/>
      </c>
    </row>
    <row r="4" ht="20.1" customHeight="1" s="356">
      <c r="A4" s="112">
        <f>底稿目录!A3</f>
        <v/>
      </c>
      <c r="D4" s="402">
        <f>底稿目录!A6</f>
        <v/>
      </c>
      <c r="G4" s="398">
        <f>底稿目录!A7</f>
        <v/>
      </c>
      <c r="I4" s="403" t="inlineStr">
        <is>
          <t>页  次：</t>
        </is>
      </c>
    </row>
    <row r="5" ht="20.1" customHeight="1" s="356">
      <c r="A5" s="306" t="inlineStr">
        <is>
          <t>项目</t>
        </is>
      </c>
      <c r="B5" s="404" t="inlineStr">
        <is>
          <t>本期数</t>
        </is>
      </c>
      <c r="C5" s="405" t="n"/>
      <c r="D5" s="405" t="n"/>
      <c r="E5" s="406" t="n"/>
      <c r="F5" s="404" t="inlineStr">
        <is>
          <t>上期数</t>
        </is>
      </c>
      <c r="G5" s="405" t="n"/>
      <c r="H5" s="405" t="n"/>
      <c r="I5" s="406" t="n"/>
      <c r="J5" s="407" t="inlineStr">
        <is>
          <t>索引</t>
        </is>
      </c>
    </row>
    <row r="6" ht="20.1" customHeight="1" s="356">
      <c r="A6" s="408" t="n"/>
      <c r="B6" s="409" t="inlineStr">
        <is>
          <t>本期未审数</t>
        </is>
      </c>
      <c r="C6" s="409" t="inlineStr">
        <is>
          <t>账项调整</t>
        </is>
      </c>
      <c r="D6" s="409" t="inlineStr">
        <is>
          <t>重分类调整</t>
        </is>
      </c>
      <c r="E6" s="409" t="inlineStr">
        <is>
          <t>本期审定数</t>
        </is>
      </c>
      <c r="F6" s="409" t="inlineStr">
        <is>
          <t>上期未审数</t>
        </is>
      </c>
      <c r="G6" s="409" t="inlineStr">
        <is>
          <t>账项调整</t>
        </is>
      </c>
      <c r="H6" s="409" t="inlineStr">
        <is>
          <t>重分类调整</t>
        </is>
      </c>
      <c r="I6" s="409" t="inlineStr">
        <is>
          <t>上期审定数</t>
        </is>
      </c>
      <c r="J6" s="408" t="n"/>
    </row>
    <row r="7" ht="20.1" customHeight="1" s="356">
      <c r="A7" s="207" t="inlineStr">
        <is>
          <t>主营业业成本：</t>
        </is>
      </c>
      <c r="B7" s="410" t="n"/>
      <c r="C7" s="410" t="n"/>
      <c r="D7" s="410" t="n"/>
      <c r="E7" s="410" t="n"/>
      <c r="F7" s="410" t="n"/>
      <c r="G7" s="410" t="n"/>
      <c r="H7" s="410" t="n"/>
      <c r="I7" s="410" t="n"/>
      <c r="J7" s="411" t="n"/>
    </row>
    <row r="8" ht="20.1" customHeight="1" s="356">
      <c r="A8" s="262">
        <f>'主营业务成本月度明细表F5-2'!A11</f>
        <v/>
      </c>
      <c r="B8" s="410">
        <f>'主营业务成本月度明细表F5-2'!N11</f>
        <v/>
      </c>
      <c r="C8" s="410">
        <f>'主营业务成本月度明细表F5-2'!O11</f>
        <v/>
      </c>
      <c r="D8" s="410">
        <f>'主营业务成本月度明细表F5-2'!P11</f>
        <v/>
      </c>
      <c r="E8" s="410">
        <f>B8+C8+D8</f>
        <v/>
      </c>
      <c r="F8" s="410">
        <f>'主营业务成本月度明细表F5-2'!R11</f>
        <v/>
      </c>
      <c r="G8" s="410">
        <f>'主营业务成本月度明细表F5-2'!S11</f>
        <v/>
      </c>
      <c r="H8" s="410">
        <f>'主营业务成本月度明细表F5-2'!T11</f>
        <v/>
      </c>
      <c r="I8" s="410">
        <f>F8+G8+H8</f>
        <v/>
      </c>
      <c r="J8" s="412" t="n"/>
    </row>
    <row r="9" ht="20.1" customHeight="1" s="356">
      <c r="A9" s="262">
        <f>'主营业务成本月度明细表F5-2'!A12</f>
        <v/>
      </c>
      <c r="B9" s="410">
        <f>'主营业务成本月度明细表F5-2'!N12</f>
        <v/>
      </c>
      <c r="C9" s="410">
        <f>'主营业务成本月度明细表F5-2'!O12</f>
        <v/>
      </c>
      <c r="D9" s="410">
        <f>'主营业务成本月度明细表F5-2'!P12</f>
        <v/>
      </c>
      <c r="E9" s="410">
        <f>B9+C9+D9</f>
        <v/>
      </c>
      <c r="F9" s="410">
        <f>'主营业务成本月度明细表F5-2'!R12</f>
        <v/>
      </c>
      <c r="G9" s="410">
        <f>'主营业务成本月度明细表F5-2'!S12</f>
        <v/>
      </c>
      <c r="H9" s="410">
        <f>'主营业务成本月度明细表F5-2'!T12</f>
        <v/>
      </c>
      <c r="I9" s="410">
        <f>F9+G9+H9</f>
        <v/>
      </c>
      <c r="J9" s="412" t="n"/>
    </row>
    <row r="10" ht="20.1" customHeight="1" s="356">
      <c r="A10" s="262">
        <f>'主营业务成本月度明细表F5-2'!A13</f>
        <v/>
      </c>
      <c r="B10" s="410">
        <f>'主营业务成本月度明细表F5-2'!N13</f>
        <v/>
      </c>
      <c r="C10" s="410">
        <f>'主营业务成本月度明细表F5-2'!O13</f>
        <v/>
      </c>
      <c r="D10" s="410">
        <f>'主营业务成本月度明细表F5-2'!P13</f>
        <v/>
      </c>
      <c r="E10" s="410">
        <f>B10+C10+D10</f>
        <v/>
      </c>
      <c r="F10" s="410">
        <f>'主营业务成本月度明细表F5-2'!R13</f>
        <v/>
      </c>
      <c r="G10" s="410">
        <f>'主营业务成本月度明细表F5-2'!S13</f>
        <v/>
      </c>
      <c r="H10" s="410">
        <f>'主营业务成本月度明细表F5-2'!T13</f>
        <v/>
      </c>
      <c r="I10" s="410">
        <f>F10+G10+H10</f>
        <v/>
      </c>
      <c r="J10" s="412" t="n"/>
    </row>
    <row r="11" ht="20.1" customHeight="1" s="356">
      <c r="A11" s="262">
        <f>'主营业务成本月度明细表F5-2'!A14</f>
        <v/>
      </c>
      <c r="B11" s="410">
        <f>'主营业务成本月度明细表F5-2'!N14</f>
        <v/>
      </c>
      <c r="C11" s="410">
        <f>'主营业务成本月度明细表F5-2'!O14</f>
        <v/>
      </c>
      <c r="D11" s="410">
        <f>'主营业务成本月度明细表F5-2'!P14</f>
        <v/>
      </c>
      <c r="E11" s="410">
        <f>B11+C11+D11</f>
        <v/>
      </c>
      <c r="F11" s="410">
        <f>'主营业务成本月度明细表F5-2'!R14</f>
        <v/>
      </c>
      <c r="G11" s="410">
        <f>'主营业务成本月度明细表F5-2'!S14</f>
        <v/>
      </c>
      <c r="H11" s="410">
        <f>'主营业务成本月度明细表F5-2'!T14</f>
        <v/>
      </c>
      <c r="I11" s="410">
        <f>F11+G11+H11</f>
        <v/>
      </c>
      <c r="J11" s="412" t="n"/>
    </row>
    <row r="12" ht="20.1" customHeight="1" s="356">
      <c r="A12" s="262">
        <f>'主营业务成本月度明细表F5-2'!A15</f>
        <v/>
      </c>
      <c r="B12" s="410">
        <f>'主营业务成本月度明细表F5-2'!N15</f>
        <v/>
      </c>
      <c r="C12" s="410">
        <f>'主营业务成本月度明细表F5-2'!O15</f>
        <v/>
      </c>
      <c r="D12" s="410">
        <f>'主营业务成本月度明细表F5-2'!P15</f>
        <v/>
      </c>
      <c r="E12" s="410">
        <f>B12+C12+D12</f>
        <v/>
      </c>
      <c r="F12" s="410">
        <f>'主营业务成本月度明细表F5-2'!R15</f>
        <v/>
      </c>
      <c r="G12" s="410">
        <f>'主营业务成本月度明细表F5-2'!S15</f>
        <v/>
      </c>
      <c r="H12" s="410">
        <f>'主营业务成本月度明细表F5-2'!T15</f>
        <v/>
      </c>
      <c r="I12" s="410">
        <f>F12+G12+H12</f>
        <v/>
      </c>
      <c r="J12" s="412" t="n"/>
    </row>
    <row r="13" ht="20.1" customHeight="1" s="356">
      <c r="A13" s="262">
        <f>'主营业务成本月度明细表F5-2'!A16</f>
        <v/>
      </c>
      <c r="B13" s="410">
        <f>'主营业务成本月度明细表F5-2'!N16</f>
        <v/>
      </c>
      <c r="C13" s="410">
        <f>'主营业务成本月度明细表F5-2'!O16</f>
        <v/>
      </c>
      <c r="D13" s="410">
        <f>'主营业务成本月度明细表F5-2'!P16</f>
        <v/>
      </c>
      <c r="E13" s="410">
        <f>B13+C13+D13</f>
        <v/>
      </c>
      <c r="F13" s="410">
        <f>'主营业务成本月度明细表F5-2'!R16</f>
        <v/>
      </c>
      <c r="G13" s="410">
        <f>'主营业务成本月度明细表F5-2'!S16</f>
        <v/>
      </c>
      <c r="H13" s="410">
        <f>'主营业务成本月度明细表F5-2'!T16</f>
        <v/>
      </c>
      <c r="I13" s="410">
        <f>F13+G13+H13</f>
        <v/>
      </c>
      <c r="J13" s="412" t="n"/>
    </row>
    <row r="14" ht="20.1" customHeight="1" s="356">
      <c r="A14" s="262">
        <f>'主营业务成本月度明细表F5-2'!A17</f>
        <v/>
      </c>
      <c r="B14" s="410">
        <f>'主营业务成本月度明细表F5-2'!N17</f>
        <v/>
      </c>
      <c r="C14" s="410">
        <f>'主营业务成本月度明细表F5-2'!O17</f>
        <v/>
      </c>
      <c r="D14" s="410">
        <f>'主营业务成本月度明细表F5-2'!P17</f>
        <v/>
      </c>
      <c r="E14" s="410">
        <f>B14+C14+D14</f>
        <v/>
      </c>
      <c r="F14" s="410">
        <f>'主营业务成本月度明细表F5-2'!R17</f>
        <v/>
      </c>
      <c r="G14" s="410">
        <f>'主营业务成本月度明细表F5-2'!S17</f>
        <v/>
      </c>
      <c r="H14" s="410">
        <f>'主营业务成本月度明细表F5-2'!T17</f>
        <v/>
      </c>
      <c r="I14" s="410">
        <f>F14+G14+H14</f>
        <v/>
      </c>
      <c r="J14" s="412" t="n"/>
    </row>
    <row r="15" ht="20.1" customHeight="1" s="356">
      <c r="A15" s="263">
        <f>'主营业务成本月度明细表F5-2'!A18</f>
        <v/>
      </c>
      <c r="B15" s="410">
        <f>'主营业务成本月度明细表F5-2'!N18</f>
        <v/>
      </c>
      <c r="C15" s="410">
        <f>'主营业务成本月度明细表F5-2'!O18</f>
        <v/>
      </c>
      <c r="D15" s="410">
        <f>'主营业务成本月度明细表F5-2'!P18</f>
        <v/>
      </c>
      <c r="E15" s="410">
        <f>B15+C15+D15</f>
        <v/>
      </c>
      <c r="F15" s="410">
        <f>'主营业务成本月度明细表F5-2'!R18</f>
        <v/>
      </c>
      <c r="G15" s="410">
        <f>'主营业务成本月度明细表F5-2'!S18</f>
        <v/>
      </c>
      <c r="H15" s="410">
        <f>'主营业务成本月度明细表F5-2'!T18</f>
        <v/>
      </c>
      <c r="I15" s="410">
        <f>F15+G15+H15</f>
        <v/>
      </c>
      <c r="J15" s="412" t="n"/>
    </row>
    <row r="16" ht="20.1" customHeight="1" s="356">
      <c r="A16" s="263">
        <f>'主营业务成本月度明细表F5-2'!A19</f>
        <v/>
      </c>
      <c r="B16" s="410">
        <f>'主营业务成本月度明细表F5-2'!N19</f>
        <v/>
      </c>
      <c r="C16" s="410">
        <f>'主营业务成本月度明细表F5-2'!O19</f>
        <v/>
      </c>
      <c r="D16" s="410">
        <f>'主营业务成本月度明细表F5-2'!P19</f>
        <v/>
      </c>
      <c r="E16" s="410">
        <f>B16+C16+D16</f>
        <v/>
      </c>
      <c r="F16" s="410">
        <f>'主营业务成本月度明细表F5-2'!R19</f>
        <v/>
      </c>
      <c r="G16" s="410">
        <f>'主营业务成本月度明细表F5-2'!S19</f>
        <v/>
      </c>
      <c r="H16" s="410">
        <f>'主营业务成本月度明细表F5-2'!T19</f>
        <v/>
      </c>
      <c r="I16" s="410">
        <f>F16+G16+H16</f>
        <v/>
      </c>
      <c r="J16" s="412" t="n"/>
    </row>
    <row r="17" ht="20.1" customHeight="1" s="356">
      <c r="A17" s="263">
        <f>'主营业务成本月度明细表F5-2'!A20</f>
        <v/>
      </c>
      <c r="B17" s="410">
        <f>'主营业务成本月度明细表F5-2'!N20</f>
        <v/>
      </c>
      <c r="C17" s="410">
        <f>'主营业务成本月度明细表F5-2'!O20</f>
        <v/>
      </c>
      <c r="D17" s="410">
        <f>'主营业务成本月度明细表F5-2'!P20</f>
        <v/>
      </c>
      <c r="E17" s="410">
        <f>B17+C17+D17</f>
        <v/>
      </c>
      <c r="F17" s="410">
        <f>'主营业务成本月度明细表F5-2'!R20</f>
        <v/>
      </c>
      <c r="G17" s="410">
        <f>'主营业务成本月度明细表F5-2'!S20</f>
        <v/>
      </c>
      <c r="H17" s="410">
        <f>'主营业务成本月度明细表F5-2'!T20</f>
        <v/>
      </c>
      <c r="I17" s="410">
        <f>F17+G17+H17</f>
        <v/>
      </c>
      <c r="J17" s="412" t="n"/>
    </row>
    <row r="18" ht="20.1" customFormat="1" customHeight="1" s="413">
      <c r="A18" s="306" t="inlineStr">
        <is>
          <t>小计</t>
        </is>
      </c>
      <c r="B18" s="414">
        <f>SUM(B8:B17)</f>
        <v/>
      </c>
      <c r="C18" s="414">
        <f>SUM(C8:C17)</f>
        <v/>
      </c>
      <c r="D18" s="414">
        <f>SUM(D8:D17)</f>
        <v/>
      </c>
      <c r="E18" s="414">
        <f>SUM(E8:E17)</f>
        <v/>
      </c>
      <c r="F18" s="414">
        <f>SUM(F8:F17)</f>
        <v/>
      </c>
      <c r="G18" s="414">
        <f>SUM(G8:G17)</f>
        <v/>
      </c>
      <c r="H18" s="414">
        <f>SUM(H8:H17)</f>
        <v/>
      </c>
      <c r="I18" s="414">
        <f>SUM(I8:I17)</f>
        <v/>
      </c>
      <c r="J18" s="415" t="n"/>
    </row>
    <row r="19" ht="20.1" customHeight="1" s="356">
      <c r="A19" s="207" t="inlineStr">
        <is>
          <t>其他业务成本</t>
        </is>
      </c>
      <c r="B19" s="410" t="n"/>
      <c r="C19" s="410" t="n"/>
      <c r="D19" s="410" t="n"/>
      <c r="E19" s="410" t="n"/>
      <c r="F19" s="410" t="n"/>
      <c r="G19" s="410" t="n"/>
      <c r="H19" s="410" t="n"/>
      <c r="I19" s="410" t="n"/>
      <c r="J19" s="415" t="n"/>
    </row>
    <row r="20" ht="20.1" customHeight="1" s="356">
      <c r="A20" s="208" t="n"/>
      <c r="B20" s="416" t="n"/>
      <c r="C20" s="416" t="n"/>
      <c r="D20" s="416" t="n"/>
      <c r="E20" s="410">
        <f>B20+C20+D20</f>
        <v/>
      </c>
      <c r="F20" s="416" t="n"/>
      <c r="G20" s="416" t="n"/>
      <c r="H20" s="416" t="n"/>
      <c r="I20" s="410">
        <f>F20+G20+H20</f>
        <v/>
      </c>
      <c r="J20" s="412" t="n"/>
    </row>
    <row r="21" ht="20.1" customHeight="1" s="356">
      <c r="A21" s="208" t="n"/>
      <c r="B21" s="416" t="n"/>
      <c r="C21" s="416" t="n"/>
      <c r="D21" s="416" t="n"/>
      <c r="E21" s="410">
        <f>B21+C21+D21</f>
        <v/>
      </c>
      <c r="F21" s="416" t="n"/>
      <c r="G21" s="416" t="n"/>
      <c r="H21" s="416" t="n"/>
      <c r="I21" s="410">
        <f>F21+G21+H21</f>
        <v/>
      </c>
      <c r="J21" s="412" t="n"/>
    </row>
    <row r="22" ht="20.1" customHeight="1" s="356">
      <c r="A22" s="208" t="n"/>
      <c r="B22" s="416" t="n"/>
      <c r="C22" s="416" t="n"/>
      <c r="D22" s="416" t="n"/>
      <c r="E22" s="410">
        <f>B22+C22+D22</f>
        <v/>
      </c>
      <c r="F22" s="416" t="n"/>
      <c r="G22" s="416" t="n"/>
      <c r="H22" s="416" t="n"/>
      <c r="I22" s="410">
        <f>F22+G22+H22</f>
        <v/>
      </c>
      <c r="J22" s="412" t="n"/>
    </row>
    <row r="23" ht="20.1" customHeight="1" s="356">
      <c r="A23" s="208" t="n"/>
      <c r="B23" s="416" t="n"/>
      <c r="C23" s="416" t="n"/>
      <c r="D23" s="416" t="n"/>
      <c r="E23" s="410">
        <f>B23+C23+D23</f>
        <v/>
      </c>
      <c r="F23" s="416" t="n"/>
      <c r="G23" s="416" t="n"/>
      <c r="H23" s="416" t="n"/>
      <c r="I23" s="410">
        <f>F23+G23+H23</f>
        <v/>
      </c>
      <c r="J23" s="412" t="n"/>
    </row>
    <row r="24" ht="20.1" customHeight="1" s="356">
      <c r="A24" s="208" t="n"/>
      <c r="B24" s="416" t="n"/>
      <c r="C24" s="416" t="n"/>
      <c r="D24" s="416" t="n"/>
      <c r="E24" s="410">
        <f>B24+C24+D24</f>
        <v/>
      </c>
      <c r="F24" s="416" t="n"/>
      <c r="G24" s="416" t="n"/>
      <c r="H24" s="416" t="n"/>
      <c r="I24" s="410">
        <f>F24+G24+H24</f>
        <v/>
      </c>
      <c r="J24" s="412" t="n"/>
    </row>
    <row r="25" ht="20.1" customHeight="1" s="356">
      <c r="A25" s="208" t="n"/>
      <c r="B25" s="416" t="n"/>
      <c r="C25" s="416" t="n"/>
      <c r="D25" s="416" t="n"/>
      <c r="E25" s="410">
        <f>B25+C25+D25</f>
        <v/>
      </c>
      <c r="F25" s="416" t="n"/>
      <c r="G25" s="416" t="n"/>
      <c r="H25" s="416" t="n"/>
      <c r="I25" s="410">
        <f>F25+G25+H25</f>
        <v/>
      </c>
      <c r="J25" s="412" t="n"/>
    </row>
    <row r="26" ht="20.1" customFormat="1" customHeight="1" s="413">
      <c r="A26" s="306" t="inlineStr">
        <is>
          <t>小计</t>
        </is>
      </c>
      <c r="B26" s="414">
        <f>SUM(B20:B25)</f>
        <v/>
      </c>
      <c r="C26" s="414">
        <f>SUM(C20:C25)</f>
        <v/>
      </c>
      <c r="D26" s="414">
        <f>SUM(D20:D25)</f>
        <v/>
      </c>
      <c r="E26" s="414">
        <f>SUM(E20:E25)</f>
        <v/>
      </c>
      <c r="F26" s="414">
        <f>SUM(F20:F25)</f>
        <v/>
      </c>
      <c r="G26" s="414">
        <f>SUM(G20:G25)</f>
        <v/>
      </c>
      <c r="H26" s="414">
        <f>SUM(H20:H25)</f>
        <v/>
      </c>
      <c r="I26" s="414">
        <f>SUM(I20:I25)</f>
        <v/>
      </c>
      <c r="J26" s="415" t="n"/>
    </row>
    <row r="27" ht="20.1" customFormat="1" customHeight="1" s="417">
      <c r="A27" s="156" t="inlineStr">
        <is>
          <t>合计</t>
        </is>
      </c>
      <c r="B27" s="414">
        <f>B26+B18</f>
        <v/>
      </c>
      <c r="C27" s="414">
        <f>C26+C18</f>
        <v/>
      </c>
      <c r="D27" s="414">
        <f>D26+D18</f>
        <v/>
      </c>
      <c r="E27" s="414">
        <f>E26+E18</f>
        <v/>
      </c>
      <c r="F27" s="414">
        <f>F26+F18</f>
        <v/>
      </c>
      <c r="G27" s="414">
        <f>G26+G18</f>
        <v/>
      </c>
      <c r="H27" s="414">
        <f>H26+H18</f>
        <v/>
      </c>
      <c r="I27" s="414">
        <f>I26+I18</f>
        <v/>
      </c>
      <c r="J27" s="418" t="n"/>
    </row>
    <row r="28" ht="20.1" customFormat="1" customHeight="1" s="419">
      <c r="A28" s="420" t="inlineStr">
        <is>
          <t>试算平衡表数</t>
        </is>
      </c>
      <c r="B28" s="421" t="n"/>
      <c r="C28" s="421" t="n"/>
      <c r="D28" s="421" t="n"/>
      <c r="E28" s="422" t="n"/>
      <c r="F28" s="421" t="n"/>
      <c r="G28" s="421" t="n"/>
      <c r="H28" s="421" t="n"/>
      <c r="I28" s="422" t="n"/>
      <c r="J28" s="138" t="n"/>
      <c r="K28" s="138" t="n"/>
      <c r="L28" s="423" t="n"/>
      <c r="M28" s="140" t="n"/>
      <c r="N28" s="140" t="n"/>
    </row>
    <row r="29" ht="20.1" customFormat="1" customHeight="1" s="419">
      <c r="A29" s="420" t="inlineStr">
        <is>
          <t>差异数</t>
        </is>
      </c>
      <c r="B29" s="421" t="n"/>
      <c r="C29" s="421" t="n"/>
      <c r="D29" s="421" t="n"/>
      <c r="E29" s="424">
        <f>E27-E28</f>
        <v/>
      </c>
      <c r="F29" s="421" t="n"/>
      <c r="G29" s="421" t="n"/>
      <c r="H29" s="421" t="n"/>
      <c r="I29" s="424">
        <f>I27-I28</f>
        <v/>
      </c>
      <c r="J29" s="138" t="n"/>
      <c r="K29" s="138" t="n"/>
      <c r="L29" s="423" t="n"/>
      <c r="M29" s="140" t="n"/>
      <c r="N29" s="140" t="n"/>
    </row>
    <row r="30" ht="20.1" customHeight="1" s="356">
      <c r="A30" s="113" t="inlineStr">
        <is>
          <t>1、审计说明</t>
        </is>
      </c>
      <c r="B30" s="402" t="n"/>
      <c r="C30" s="402" t="n"/>
      <c r="D30" s="402" t="n"/>
      <c r="E30" s="402" t="n"/>
      <c r="F30" s="425" t="n"/>
      <c r="G30" s="425" t="n"/>
      <c r="H30" s="425" t="n"/>
      <c r="I30" s="425" t="n"/>
      <c r="J30" s="402" t="n"/>
    </row>
    <row r="31" ht="20.1" customHeight="1" s="356">
      <c r="A31" s="114" t="inlineStr">
        <is>
          <t>（1）主营业务成本本期较上期增加（负数为减少）：</t>
        </is>
      </c>
      <c r="B31" s="114" t="n"/>
      <c r="C31" s="114" t="n"/>
      <c r="D31" s="114" t="n"/>
      <c r="E31" s="114" t="n"/>
      <c r="F31" s="114" t="n"/>
      <c r="G31" s="114" t="n"/>
      <c r="H31" s="114" t="n"/>
      <c r="I31" s="114" t="n"/>
      <c r="J31" s="114" t="n"/>
    </row>
    <row r="32" ht="20.1" customHeight="1" s="356">
      <c r="A32" s="114" t="inlineStr">
        <is>
          <t>主要原因（比例超过30%的）：</t>
        </is>
      </c>
      <c r="B32" s="114" t="n"/>
      <c r="C32" s="114" t="n"/>
      <c r="D32" s="114" t="n"/>
      <c r="E32" s="114" t="n"/>
      <c r="F32" s="114" t="n"/>
      <c r="G32" s="114" t="n"/>
      <c r="H32" s="114" t="n"/>
      <c r="I32" s="114" t="n"/>
      <c r="J32" s="114" t="n"/>
    </row>
    <row r="33" ht="20.1" customHeight="1" s="356">
      <c r="A33" s="114" t="n"/>
      <c r="B33" s="114" t="n"/>
      <c r="C33" s="114" t="n"/>
      <c r="D33" s="114" t="n"/>
      <c r="E33" s="114" t="n"/>
      <c r="F33" s="114" t="n"/>
      <c r="G33" s="114" t="n"/>
      <c r="H33" s="114" t="n"/>
      <c r="I33" s="114" t="n"/>
      <c r="J33" s="114" t="n"/>
    </row>
    <row r="34" ht="20.1" customHeight="1" s="356">
      <c r="A34" s="114" t="n"/>
      <c r="B34" s="114" t="n"/>
      <c r="C34" s="114" t="n"/>
      <c r="D34" s="114" t="n"/>
      <c r="E34" s="114" t="n"/>
      <c r="F34" s="114" t="n"/>
      <c r="G34" s="114" t="n"/>
      <c r="H34" s="114" t="n"/>
      <c r="I34" s="114" t="n"/>
      <c r="J34" s="114" t="n"/>
    </row>
    <row r="35" ht="20.1" customHeight="1" s="356">
      <c r="A35" s="153" t="inlineStr">
        <is>
          <t>2、审计结论</t>
        </is>
      </c>
      <c r="B35" s="114" t="n"/>
      <c r="C35" s="114" t="n"/>
      <c r="D35" s="114" t="n"/>
      <c r="E35" s="114" t="n"/>
      <c r="F35" s="425" t="n"/>
      <c r="G35" s="425" t="n"/>
      <c r="H35" s="425" t="n"/>
      <c r="I35" s="425" t="n"/>
      <c r="J35" s="114" t="n"/>
    </row>
    <row r="36" ht="20.1" customHeight="1" s="356">
      <c r="A36" s="153" t="n"/>
      <c r="B36" s="114" t="n"/>
      <c r="C36" s="114" t="n"/>
      <c r="D36" s="114" t="n"/>
      <c r="E36" s="114" t="n"/>
      <c r="F36" s="114" t="n"/>
      <c r="G36" s="114" t="n"/>
      <c r="H36" s="114" t="n"/>
      <c r="I36" s="114" t="n"/>
      <c r="J36" s="114" t="n"/>
    </row>
    <row r="37" ht="20.1" customHeight="1" s="356">
      <c r="A37" s="116" t="inlineStr">
        <is>
          <t xml:space="preserve">
</t>
        </is>
      </c>
      <c r="B37" s="114" t="n"/>
      <c r="C37" s="114" t="n"/>
      <c r="D37" s="114" t="n"/>
      <c r="E37" s="114" t="n"/>
      <c r="F37" s="114" t="n"/>
      <c r="G37" s="114" t="n"/>
      <c r="H37" s="114" t="n"/>
      <c r="I37" s="114" t="n"/>
      <c r="J37" s="114" t="n"/>
    </row>
    <row r="39" ht="18" customFormat="1" customHeight="1" s="426">
      <c r="A39" s="212" t="inlineStr">
        <is>
          <t>提示：</t>
        </is>
      </c>
    </row>
    <row r="40" ht="18" customFormat="1" customHeight="1" s="426">
      <c r="A40" s="117" t="inlineStr">
        <is>
          <t>1.本科目核算企业确认的销售商品、提供劳务等主营业务的收入。</t>
        </is>
      </c>
    </row>
    <row r="41" ht="18" customFormat="1" customHeight="1" s="426">
      <c r="A41" s="117" t="inlineStr">
        <is>
          <t>2.本科目可按主营业务的种类进行明细核算。</t>
        </is>
      </c>
    </row>
    <row r="42" ht="18" customFormat="1" customHeight="1" s="426">
      <c r="A42" s="117" t="n"/>
    </row>
    <row r="43" ht="18" customFormat="1" customHeight="1" s="426">
      <c r="A43" s="117" t="n"/>
    </row>
    <row r="44" ht="18" customFormat="1" customHeight="1" s="426">
      <c r="A44" s="117" t="n"/>
    </row>
    <row r="45" ht="18" customFormat="1" customHeight="1" s="426">
      <c r="A45" s="117" t="n"/>
    </row>
    <row r="46" ht="18" customFormat="1" customHeight="1" s="426">
      <c r="A46" s="117" t="n"/>
    </row>
    <row r="47" ht="18" customFormat="1" customHeight="1" s="426">
      <c r="A47" s="117" t="n"/>
    </row>
    <row r="48" ht="18" customFormat="1" customHeight="1" s="426">
      <c r="A48" s="118" t="n"/>
    </row>
    <row r="49" ht="18" customFormat="1" customHeight="1" s="426">
      <c r="A49" s="117" t="n"/>
    </row>
    <row r="50" ht="18" customFormat="1" customHeight="1" s="426">
      <c r="A50" s="117" t="n"/>
    </row>
    <row r="51" ht="18" customHeight="1" s="356">
      <c r="A51" s="117" t="n"/>
    </row>
    <row r="52" ht="18" customHeight="1" s="356">
      <c r="A52" s="117" t="n"/>
    </row>
    <row r="53" ht="18" customHeight="1" s="356">
      <c r="A53" s="117" t="n"/>
    </row>
    <row r="54" ht="18" customHeight="1" s="356">
      <c r="A54" s="117" t="n"/>
    </row>
    <row r="55" ht="18" customHeight="1" s="356">
      <c r="A55" s="117" t="n"/>
    </row>
    <row r="56" ht="18" customHeight="1" s="356">
      <c r="A56" s="117" t="n"/>
    </row>
    <row r="57" ht="18" customHeight="1" s="356">
      <c r="A57" s="118" t="n"/>
    </row>
    <row r="58" ht="18" customHeight="1" s="356">
      <c r="A58" s="119" t="n"/>
      <c r="B58" s="427" t="n"/>
    </row>
    <row r="59" ht="18" customHeight="1" s="356">
      <c r="A59" s="119" t="n"/>
      <c r="B59" s="427" t="n"/>
    </row>
    <row r="60" ht="18" customHeight="1" s="356">
      <c r="A60" s="119" t="n"/>
      <c r="B60" s="427" t="n"/>
    </row>
  </sheetData>
  <mergeCells count="6">
    <mergeCell ref="A5:A6"/>
    <mergeCell ref="A1:J1"/>
    <mergeCell ref="J5:J6"/>
    <mergeCell ref="B5:E5"/>
    <mergeCell ref="A2:J2"/>
    <mergeCell ref="F5:I5"/>
  </mergeCells>
  <hyperlinks>
    <hyperlink ref="J3" location="底稿目录!A1" display="底稿目录!A1"/>
  </hyperlinks>
  <printOptions horizontalCentered="1"/>
  <pageMargins left="0.9448818897637796" right="0.2755905511811024" top="0.6299212598425197" bottom="0.5118110236220472" header="0.5118110236220472" footer="0.3543307086614174"/>
  <pageSetup orientation="portrait" paperSize="9" scale="75" fitToHeight="0" blackAndWhite="1"/>
  <headerFooter alignWithMargins="0">
    <oddHeader/>
    <oddFooter>&amp;C&amp;P/&amp;N</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codeName="Sheet5">
    <outlinePr summaryBelow="1" summaryRight="1"/>
    <pageSetUpPr fitToPage="1"/>
  </sheetPr>
  <dimension ref="A1:X30"/>
  <sheetViews>
    <sheetView view="pageBreakPreview" topLeftCell="A10" zoomScale="90" zoomScaleSheetLayoutView="90" workbookViewId="0">
      <selection activeCell="D14" sqref="D14"/>
    </sheetView>
  </sheetViews>
  <sheetFormatPr baseColWidth="8" defaultColWidth="9" defaultRowHeight="13.8"/>
  <cols>
    <col width="11.19921875" customWidth="1" style="282" min="1" max="1"/>
    <col width="8.69921875" customWidth="1" style="282" min="2" max="13"/>
    <col width="11.19921875" customWidth="1" style="282" min="14" max="14"/>
    <col width="9" customWidth="1" style="282" min="15" max="15"/>
    <col width="12" customWidth="1" style="282" min="16" max="16"/>
    <col width="11.5" customWidth="1" style="282" min="17" max="17"/>
    <col width="10.5" customWidth="1" style="282" min="18" max="18"/>
    <col width="11.59765625" customWidth="1" style="282" min="19" max="20"/>
    <col width="11.09765625" customWidth="1" style="282" min="21" max="21"/>
    <col width="9" customWidth="1" style="282" min="22" max="16384"/>
  </cols>
  <sheetData>
    <row r="1" ht="20.1" customFormat="1" customHeight="1" s="284">
      <c r="A1" s="313" t="inlineStr">
        <is>
          <t>致同会计师事务所</t>
        </is>
      </c>
    </row>
    <row r="2" ht="24.9" customFormat="1" customHeight="1" s="18">
      <c r="A2" s="314" t="inlineStr">
        <is>
          <t>主营业务成本月度明细表</t>
        </is>
      </c>
    </row>
    <row r="3" ht="20.1" customHeight="1" s="356">
      <c r="A3" s="282">
        <f>底稿目录!A2</f>
        <v/>
      </c>
      <c r="H3" s="282">
        <f>底稿目录!A4</f>
        <v/>
      </c>
      <c r="M3" s="75" t="n"/>
      <c r="R3" s="282">
        <f>底稿目录!A5</f>
        <v/>
      </c>
      <c r="S3" s="109" t="n"/>
      <c r="W3" s="282" t="inlineStr">
        <is>
          <t>索引号：</t>
        </is>
      </c>
      <c r="X3" s="364">
        <f>底稿目录!F5</f>
        <v/>
      </c>
    </row>
    <row r="4" ht="20.1" customHeight="1" s="356">
      <c r="A4" s="282">
        <f>底稿目录!A3</f>
        <v/>
      </c>
      <c r="H4" s="282">
        <f>底稿目录!A6</f>
        <v/>
      </c>
      <c r="M4" s="75" t="n"/>
      <c r="R4" s="282">
        <f>底稿目录!A7</f>
        <v/>
      </c>
      <c r="S4" s="109" t="n"/>
      <c r="W4" s="282" t="inlineStr">
        <is>
          <t>页次：</t>
        </is>
      </c>
      <c r="X4" s="75" t="n"/>
    </row>
    <row r="5" ht="20.1" customHeight="1" s="356">
      <c r="A5" s="76" t="inlineStr">
        <is>
          <t>一、审计目标：</t>
        </is>
      </c>
      <c r="B5" s="77" t="n"/>
      <c r="E5" s="282" t="n"/>
      <c r="H5" s="282" t="n"/>
      <c r="K5" s="75" t="n"/>
      <c r="L5" s="75" t="n"/>
      <c r="M5" s="75" t="n"/>
    </row>
    <row r="6" ht="20.1" customHeight="1" s="356">
      <c r="A6" s="194" t="inlineStr">
        <is>
          <t>1.利润表中记录的营业成本已发生，且与被审计单位有关，已记录于恰当的账户；2.所有应当记录的营业成本均已记录，所有应当包括在财务报表中的相关披露均已包括；</t>
        </is>
      </c>
      <c r="E6" s="282" t="n"/>
      <c r="H6" s="282" t="n"/>
      <c r="K6" s="75" t="n"/>
      <c r="L6" s="75" t="n"/>
      <c r="M6" s="75" t="n"/>
    </row>
    <row r="7" ht="20.1" customHeight="1" s="356">
      <c r="A7" s="194" t="inlineStr">
        <is>
          <t>3. 与营业成本有关的金额及其他数据已恰当记录，相关披露已得到恰当计量和描述</t>
        </is>
      </c>
      <c r="E7" s="282" t="n"/>
      <c r="H7" s="282" t="n"/>
      <c r="K7" s="75" t="n"/>
      <c r="L7" s="75" t="n"/>
      <c r="M7" s="75" t="n"/>
    </row>
    <row r="8" ht="20.1" customHeight="1" s="356">
      <c r="A8" s="76" t="inlineStr">
        <is>
          <t>二、审计过程</t>
        </is>
      </c>
      <c r="E8" s="282" t="n"/>
      <c r="H8" s="282" t="n"/>
      <c r="K8" s="75" t="n"/>
      <c r="L8" s="75" t="n"/>
      <c r="M8" s="75" t="n"/>
    </row>
    <row r="9" ht="20.1" customFormat="1" customHeight="1" s="83">
      <c r="A9" s="428" t="inlineStr">
        <is>
          <t>项目 月份</t>
        </is>
      </c>
      <c r="B9" s="338" t="inlineStr">
        <is>
          <t>主营业务成本分月小计</t>
        </is>
      </c>
      <c r="C9" s="429" t="n"/>
      <c r="D9" s="429" t="n"/>
      <c r="E9" s="429" t="n"/>
      <c r="F9" s="429" t="n"/>
      <c r="G9" s="429" t="n"/>
      <c r="H9" s="429" t="n"/>
      <c r="I9" s="429" t="n"/>
      <c r="J9" s="429" t="n"/>
      <c r="K9" s="429" t="n"/>
      <c r="L9" s="429" t="n"/>
      <c r="M9" s="430" t="n"/>
      <c r="N9" s="431" t="inlineStr">
        <is>
          <t>本期未审数</t>
        </is>
      </c>
      <c r="O9" s="432" t="inlineStr">
        <is>
          <t>本期审计调整</t>
        </is>
      </c>
      <c r="P9" s="433" t="n"/>
      <c r="Q9" s="434" t="inlineStr">
        <is>
          <t>本期审定数</t>
        </is>
      </c>
      <c r="R9" s="435" t="inlineStr">
        <is>
          <t>上期未审数</t>
        </is>
      </c>
      <c r="S9" s="432" t="inlineStr">
        <is>
          <t>上期审计调整</t>
        </is>
      </c>
      <c r="T9" s="433" t="n"/>
      <c r="U9" s="432" t="inlineStr">
        <is>
          <t>上期审定数</t>
        </is>
      </c>
      <c r="V9" s="431" t="inlineStr">
        <is>
          <t>未审变动比例</t>
        </is>
      </c>
      <c r="W9" s="431" t="inlineStr">
        <is>
          <t>审定变动比例</t>
        </is>
      </c>
      <c r="X9" s="338" t="inlineStr">
        <is>
          <t>备注</t>
        </is>
      </c>
    </row>
    <row r="10" ht="20.1" customFormat="1" customHeight="1" s="83">
      <c r="A10" s="436" t="n"/>
      <c r="B10" s="280" t="inlineStr">
        <is>
          <t>1月</t>
        </is>
      </c>
      <c r="C10" s="280" t="inlineStr">
        <is>
          <t>2月</t>
        </is>
      </c>
      <c r="D10" s="280" t="inlineStr">
        <is>
          <t>3月</t>
        </is>
      </c>
      <c r="E10" s="280" t="inlineStr">
        <is>
          <t>4月</t>
        </is>
      </c>
      <c r="F10" s="280" t="inlineStr">
        <is>
          <t>5月</t>
        </is>
      </c>
      <c r="G10" s="280" t="inlineStr">
        <is>
          <t>6月</t>
        </is>
      </c>
      <c r="H10" s="280" t="inlineStr">
        <is>
          <t>7月</t>
        </is>
      </c>
      <c r="I10" s="280" t="inlineStr">
        <is>
          <t>8月</t>
        </is>
      </c>
      <c r="J10" s="280" t="inlineStr">
        <is>
          <t>9月</t>
        </is>
      </c>
      <c r="K10" s="280" t="inlineStr">
        <is>
          <t>10月</t>
        </is>
      </c>
      <c r="L10" s="280" t="inlineStr">
        <is>
          <t>11月</t>
        </is>
      </c>
      <c r="M10" s="280" t="inlineStr">
        <is>
          <t>12月</t>
        </is>
      </c>
      <c r="N10" s="437" t="n"/>
      <c r="O10" s="438" t="inlineStr">
        <is>
          <t>账项调整</t>
        </is>
      </c>
      <c r="P10" s="438" t="inlineStr">
        <is>
          <t>重分类调整</t>
        </is>
      </c>
      <c r="Q10" s="437" t="n"/>
      <c r="R10" s="437" t="n"/>
      <c r="S10" s="438" t="inlineStr">
        <is>
          <t>账项调整</t>
        </is>
      </c>
      <c r="T10" s="438" t="inlineStr">
        <is>
          <t>重分类调整</t>
        </is>
      </c>
      <c r="U10" s="437" t="n"/>
      <c r="V10" s="437" t="n"/>
      <c r="W10" s="437" t="n"/>
      <c r="X10" s="436" t="n"/>
    </row>
    <row r="11" ht="20.1" customHeight="1" s="356">
      <c r="A11" s="202" t="inlineStr">
        <is>
          <t>品种1</t>
        </is>
      </c>
      <c r="B11" s="439" t="n"/>
      <c r="C11" s="439" t="n"/>
      <c r="D11" s="439" t="n"/>
      <c r="E11" s="439" t="n"/>
      <c r="F11" s="439" t="n"/>
      <c r="G11" s="439" t="n"/>
      <c r="H11" s="439" t="n"/>
      <c r="I11" s="439" t="n"/>
      <c r="J11" s="439" t="n"/>
      <c r="K11" s="439" t="n"/>
      <c r="L11" s="439" t="n"/>
      <c r="M11" s="439" t="n"/>
      <c r="N11" s="440">
        <f>SUM(B11:M11)</f>
        <v/>
      </c>
      <c r="O11" s="439" t="n"/>
      <c r="P11" s="439" t="n"/>
      <c r="Q11" s="441">
        <f>N11+O11+P11</f>
        <v/>
      </c>
      <c r="R11" s="439" t="n"/>
      <c r="S11" s="439" t="n"/>
      <c r="T11" s="439" t="n"/>
      <c r="U11" s="441">
        <f>R11+S11+T11</f>
        <v/>
      </c>
      <c r="V11" s="197">
        <f>IF(AND(R11=0,N11-R11=0),0,IF(AND(R11=0,N11-R11&gt;0),1,(N11-R11)/R11))</f>
        <v/>
      </c>
      <c r="W11" s="197">
        <f>IF(AND(U11=0,Q11-U11=0),0,IF(AND(U11=0,Q11-U11&gt;0),1,(Q11-U11)/U11))</f>
        <v/>
      </c>
      <c r="X11" s="442" t="n"/>
    </row>
    <row r="12" ht="20.1" customHeight="1" s="356">
      <c r="A12" s="202" t="inlineStr">
        <is>
          <t>品种2</t>
        </is>
      </c>
      <c r="B12" s="439" t="n"/>
      <c r="C12" s="439" t="n"/>
      <c r="D12" s="439" t="n"/>
      <c r="E12" s="439" t="n"/>
      <c r="F12" s="439" t="n"/>
      <c r="G12" s="439" t="n"/>
      <c r="H12" s="439" t="n"/>
      <c r="I12" s="439" t="n"/>
      <c r="J12" s="439" t="n"/>
      <c r="K12" s="439" t="n"/>
      <c r="L12" s="439" t="n"/>
      <c r="M12" s="439" t="n"/>
      <c r="N12" s="440">
        <f>SUM(B12:M12)</f>
        <v/>
      </c>
      <c r="O12" s="439" t="n"/>
      <c r="P12" s="439" t="n"/>
      <c r="Q12" s="441">
        <f>N12+O12+P12</f>
        <v/>
      </c>
      <c r="R12" s="439" t="n"/>
      <c r="S12" s="439" t="n"/>
      <c r="T12" s="439" t="n"/>
      <c r="U12" s="441">
        <f>R12+S12+T12</f>
        <v/>
      </c>
      <c r="V12" s="197">
        <f>IF(AND(R12=0,N12-R12=0),0,IF(AND(R12=0,N12-R12&gt;0),1,(N12-R12)/R12))</f>
        <v/>
      </c>
      <c r="W12" s="197">
        <f>IF(AND(U12=0,Q12-U12=0),0,IF(AND(U12=0,Q12-U12&gt;0),1,(Q12-U12)/U12))</f>
        <v/>
      </c>
      <c r="X12" s="442" t="n"/>
    </row>
    <row r="13" ht="20.1" customHeight="1" s="356">
      <c r="A13" s="202" t="inlineStr">
        <is>
          <t>品种3</t>
        </is>
      </c>
      <c r="B13" s="439" t="n"/>
      <c r="C13" s="439" t="n"/>
      <c r="D13" s="439" t="n"/>
      <c r="E13" s="439" t="n"/>
      <c r="F13" s="439" t="n"/>
      <c r="G13" s="439" t="n"/>
      <c r="H13" s="439" t="n"/>
      <c r="I13" s="439" t="n"/>
      <c r="J13" s="439" t="n"/>
      <c r="K13" s="439" t="n"/>
      <c r="L13" s="439" t="n"/>
      <c r="M13" s="439" t="n"/>
      <c r="N13" s="440">
        <f>SUM(B13:M13)</f>
        <v/>
      </c>
      <c r="O13" s="439" t="n"/>
      <c r="P13" s="439" t="n"/>
      <c r="Q13" s="441">
        <f>N13+O13+P13</f>
        <v/>
      </c>
      <c r="R13" s="439" t="n"/>
      <c r="S13" s="439" t="n"/>
      <c r="T13" s="439" t="n"/>
      <c r="U13" s="441">
        <f>R13+S13+T13</f>
        <v/>
      </c>
      <c r="V13" s="197">
        <f>IF(AND(R13=0,N13-R13=0),0,IF(AND(R13=0,N13-R13&gt;0),1,(N13-R13)/R13))</f>
        <v/>
      </c>
      <c r="W13" s="197">
        <f>IF(AND(U13=0,Q13-U13=0),0,IF(AND(U13=0,Q13-U13&gt;0),1,(Q13-U13)/U13))</f>
        <v/>
      </c>
      <c r="X13" s="442" t="n"/>
    </row>
    <row r="14" ht="20.1" customHeight="1" s="356">
      <c r="A14" s="202" t="inlineStr">
        <is>
          <t>品种4</t>
        </is>
      </c>
      <c r="B14" s="439" t="n"/>
      <c r="C14" s="439" t="n"/>
      <c r="D14" s="439" t="n"/>
      <c r="E14" s="439" t="n"/>
      <c r="F14" s="439" t="n"/>
      <c r="G14" s="439" t="n"/>
      <c r="H14" s="439" t="n"/>
      <c r="I14" s="439" t="n"/>
      <c r="J14" s="439" t="n"/>
      <c r="K14" s="439" t="n"/>
      <c r="L14" s="439" t="n"/>
      <c r="M14" s="439" t="n"/>
      <c r="N14" s="440">
        <f>SUM(B14:M14)</f>
        <v/>
      </c>
      <c r="O14" s="439" t="n"/>
      <c r="P14" s="439" t="n"/>
      <c r="Q14" s="441">
        <f>N14+O14+P14</f>
        <v/>
      </c>
      <c r="R14" s="439" t="n"/>
      <c r="S14" s="439" t="n"/>
      <c r="T14" s="439" t="n"/>
      <c r="U14" s="441">
        <f>R14+S14+T14</f>
        <v/>
      </c>
      <c r="V14" s="197">
        <f>IF(AND(R14=0,N14-R14=0),0,IF(AND(R14=0,N14-R14&gt;0),1,(N14-R14)/R14))</f>
        <v/>
      </c>
      <c r="W14" s="197">
        <f>IF(AND(U14=0,Q14-U14=0),0,IF(AND(U14=0,Q14-U14&gt;0),1,(Q14-U14)/U14))</f>
        <v/>
      </c>
      <c r="X14" s="442" t="n"/>
    </row>
    <row r="15" ht="20.1" customHeight="1" s="356">
      <c r="A15" s="202" t="inlineStr">
        <is>
          <t>品种5</t>
        </is>
      </c>
      <c r="B15" s="439" t="n"/>
      <c r="C15" s="439" t="n"/>
      <c r="D15" s="439" t="n"/>
      <c r="E15" s="439" t="n"/>
      <c r="F15" s="439" t="n"/>
      <c r="G15" s="439" t="n"/>
      <c r="H15" s="439" t="n"/>
      <c r="I15" s="439" t="n"/>
      <c r="J15" s="439" t="n"/>
      <c r="K15" s="439" t="n"/>
      <c r="L15" s="439" t="n"/>
      <c r="M15" s="439" t="n"/>
      <c r="N15" s="440">
        <f>SUM(B15:M15)</f>
        <v/>
      </c>
      <c r="O15" s="439" t="n"/>
      <c r="P15" s="439" t="n"/>
      <c r="Q15" s="441">
        <f>N15+O15+P15</f>
        <v/>
      </c>
      <c r="R15" s="439" t="n"/>
      <c r="S15" s="439" t="n"/>
      <c r="T15" s="439" t="n"/>
      <c r="U15" s="441">
        <f>R15+S15+T15</f>
        <v/>
      </c>
      <c r="V15" s="197">
        <f>IF(AND(R15=0,N15-R15=0),0,IF(AND(R15=0,N15-R15&gt;0),1,(N15-R15)/R15))</f>
        <v/>
      </c>
      <c r="W15" s="197">
        <f>IF(AND(U15=0,Q15-U15=0),0,IF(AND(U15=0,Q15-U15&gt;0),1,(Q15-U15)/U15))</f>
        <v/>
      </c>
      <c r="X15" s="442" t="n"/>
    </row>
    <row r="16" ht="20.1" customHeight="1" s="356">
      <c r="A16" s="202" t="inlineStr">
        <is>
          <t>品种6</t>
        </is>
      </c>
      <c r="B16" s="439" t="n"/>
      <c r="C16" s="439" t="n"/>
      <c r="D16" s="439" t="n"/>
      <c r="E16" s="439" t="n"/>
      <c r="F16" s="439" t="n"/>
      <c r="G16" s="439" t="n"/>
      <c r="H16" s="439" t="n"/>
      <c r="I16" s="439" t="n"/>
      <c r="J16" s="439" t="n"/>
      <c r="K16" s="439" t="n"/>
      <c r="L16" s="439" t="n"/>
      <c r="M16" s="439" t="n"/>
      <c r="N16" s="440">
        <f>SUM(B16:M16)</f>
        <v/>
      </c>
      <c r="O16" s="439" t="n"/>
      <c r="P16" s="439" t="n"/>
      <c r="Q16" s="441">
        <f>N16+O16+P16</f>
        <v/>
      </c>
      <c r="R16" s="439" t="n"/>
      <c r="S16" s="439" t="n"/>
      <c r="T16" s="439" t="n"/>
      <c r="U16" s="441">
        <f>R16+S16+T16</f>
        <v/>
      </c>
      <c r="V16" s="197">
        <f>IF(AND(R16=0,N16-R16=0),0,IF(AND(R16=0,N16-R16&gt;0),1,(N16-R16)/R16))</f>
        <v/>
      </c>
      <c r="W16" s="197">
        <f>IF(AND(U16=0,Q16-U16=0),0,IF(AND(U16=0,Q16-U16&gt;0),1,(Q16-U16)/U16))</f>
        <v/>
      </c>
      <c r="X16" s="442" t="n"/>
    </row>
    <row r="17" ht="20.1" customHeight="1" s="356">
      <c r="A17" s="202" t="inlineStr">
        <is>
          <t>品种7</t>
        </is>
      </c>
      <c r="B17" s="439" t="n"/>
      <c r="C17" s="439" t="n"/>
      <c r="D17" s="439" t="n"/>
      <c r="E17" s="439" t="n"/>
      <c r="F17" s="439" t="n"/>
      <c r="G17" s="439" t="n"/>
      <c r="H17" s="439" t="n"/>
      <c r="I17" s="439" t="n"/>
      <c r="J17" s="439" t="n"/>
      <c r="K17" s="439" t="n"/>
      <c r="L17" s="439" t="n"/>
      <c r="M17" s="439" t="n"/>
      <c r="N17" s="440">
        <f>SUM(B17:M17)</f>
        <v/>
      </c>
      <c r="O17" s="439" t="n"/>
      <c r="P17" s="439" t="n"/>
      <c r="Q17" s="441">
        <f>N17+O17+P17</f>
        <v/>
      </c>
      <c r="R17" s="439" t="n"/>
      <c r="S17" s="439" t="n"/>
      <c r="T17" s="439" t="n"/>
      <c r="U17" s="441">
        <f>R17+S17+T17</f>
        <v/>
      </c>
      <c r="V17" s="197">
        <f>IF(AND(R17=0,N17-R17=0),0,IF(AND(R17=0,N17-R17&gt;0),1,(N17-R17)/R17))</f>
        <v/>
      </c>
      <c r="W17" s="197">
        <f>IF(AND(U17=0,Q17-U17=0),0,IF(AND(U17=0,Q17-U17&gt;0),1,(Q17-U17)/U17))</f>
        <v/>
      </c>
      <c r="X17" s="442" t="n"/>
    </row>
    <row r="18" ht="20.1" customHeight="1" s="356">
      <c r="A18" s="202" t="inlineStr">
        <is>
          <t>品种8</t>
        </is>
      </c>
      <c r="B18" s="439" t="n"/>
      <c r="C18" s="439" t="n"/>
      <c r="D18" s="439" t="n"/>
      <c r="E18" s="439" t="n"/>
      <c r="F18" s="439" t="n"/>
      <c r="G18" s="439" t="n"/>
      <c r="H18" s="439" t="n"/>
      <c r="I18" s="439" t="n"/>
      <c r="J18" s="439" t="n"/>
      <c r="K18" s="439" t="n"/>
      <c r="L18" s="439" t="n"/>
      <c r="M18" s="439" t="n"/>
      <c r="N18" s="440">
        <f>SUM(B18:M18)</f>
        <v/>
      </c>
      <c r="O18" s="439" t="n"/>
      <c r="P18" s="439" t="n"/>
      <c r="Q18" s="441">
        <f>N18+O18+P18</f>
        <v/>
      </c>
      <c r="R18" s="439" t="n"/>
      <c r="S18" s="439" t="n"/>
      <c r="T18" s="439" t="n"/>
      <c r="U18" s="441">
        <f>R18+S18+T18</f>
        <v/>
      </c>
      <c r="V18" s="197">
        <f>IF(AND(R18=0,N18-R18=0),0,IF(AND(R18=0,N18-R18&gt;0),1,(N18-R18)/R18))</f>
        <v/>
      </c>
      <c r="W18" s="197">
        <f>IF(AND(U18=0,Q18-U18=0),0,IF(AND(U18=0,Q18-U18&gt;0),1,(Q18-U18)/U18))</f>
        <v/>
      </c>
      <c r="X18" s="442" t="n"/>
    </row>
    <row r="19" ht="20.1" customHeight="1" s="356">
      <c r="A19" s="217" t="n"/>
      <c r="B19" s="439" t="n"/>
      <c r="C19" s="439" t="n"/>
      <c r="D19" s="439" t="n"/>
      <c r="E19" s="439" t="n"/>
      <c r="F19" s="439" t="n"/>
      <c r="G19" s="439" t="n"/>
      <c r="H19" s="439" t="n"/>
      <c r="I19" s="439" t="n"/>
      <c r="J19" s="439" t="n"/>
      <c r="K19" s="439" t="n"/>
      <c r="L19" s="439" t="n"/>
      <c r="M19" s="439" t="n"/>
      <c r="N19" s="440">
        <f>SUM(B19:M19)</f>
        <v/>
      </c>
      <c r="O19" s="439" t="n"/>
      <c r="P19" s="439" t="n"/>
      <c r="Q19" s="441">
        <f>N19+O19+P19</f>
        <v/>
      </c>
      <c r="R19" s="439" t="n"/>
      <c r="S19" s="439" t="n"/>
      <c r="T19" s="439" t="n"/>
      <c r="U19" s="441">
        <f>R19+S19+T19</f>
        <v/>
      </c>
      <c r="V19" s="197">
        <f>IF(AND(R19=0,N19-R19=0),0,IF(AND(R19=0,N19-R19&gt;0),1,(N19-R19)/R19))</f>
        <v/>
      </c>
      <c r="W19" s="197">
        <f>IF(AND(U19=0,Q19-U19=0),0,IF(AND(U19=0,Q19-U19&gt;0),1,(Q19-U19)/U19))</f>
        <v/>
      </c>
      <c r="X19" s="442" t="n"/>
    </row>
    <row r="20" ht="20.1" customHeight="1" s="356">
      <c r="A20" s="217" t="n"/>
      <c r="B20" s="439" t="n"/>
      <c r="C20" s="439" t="n"/>
      <c r="D20" s="439" t="n"/>
      <c r="E20" s="439" t="n"/>
      <c r="F20" s="439" t="n"/>
      <c r="G20" s="439" t="n"/>
      <c r="H20" s="439" t="n"/>
      <c r="I20" s="439" t="n"/>
      <c r="J20" s="439" t="n"/>
      <c r="K20" s="439" t="n"/>
      <c r="L20" s="439" t="n"/>
      <c r="M20" s="439" t="n"/>
      <c r="N20" s="440">
        <f>SUM(B20:M20)</f>
        <v/>
      </c>
      <c r="O20" s="439" t="n"/>
      <c r="P20" s="439" t="n"/>
      <c r="Q20" s="441">
        <f>N20+O20+P20</f>
        <v/>
      </c>
      <c r="R20" s="439" t="n"/>
      <c r="S20" s="439" t="n"/>
      <c r="T20" s="439" t="n"/>
      <c r="U20" s="441">
        <f>R20+S20+T20</f>
        <v/>
      </c>
      <c r="V20" s="197">
        <f>IF(AND(R20=0,N20-R20=0),0,IF(AND(R20=0,N20-R20&gt;0),1,(N20-R20)/R20))</f>
        <v/>
      </c>
      <c r="W20" s="197">
        <f>IF(AND(U20=0,Q20-U20=0),0,IF(AND(U20=0,Q20-U20&gt;0),1,(Q20-U20)/U20))</f>
        <v/>
      </c>
      <c r="X20" s="442" t="n"/>
    </row>
    <row r="21" ht="20.1" customHeight="1" s="356">
      <c r="A21" s="217" t="n"/>
      <c r="B21" s="439" t="n"/>
      <c r="C21" s="439" t="n"/>
      <c r="D21" s="439" t="n"/>
      <c r="E21" s="439" t="n"/>
      <c r="F21" s="439" t="n"/>
      <c r="G21" s="439" t="n"/>
      <c r="H21" s="439" t="n"/>
      <c r="I21" s="439" t="n"/>
      <c r="J21" s="439" t="n"/>
      <c r="K21" s="439" t="n"/>
      <c r="L21" s="439" t="n"/>
      <c r="M21" s="439" t="n"/>
      <c r="N21" s="440">
        <f>SUM(B21:M21)</f>
        <v/>
      </c>
      <c r="O21" s="439" t="n"/>
      <c r="P21" s="439" t="n"/>
      <c r="Q21" s="441">
        <f>N21+O21+P21</f>
        <v/>
      </c>
      <c r="R21" s="439" t="n"/>
      <c r="S21" s="439" t="n"/>
      <c r="T21" s="439" t="n"/>
      <c r="U21" s="441">
        <f>R21+S21+T21</f>
        <v/>
      </c>
      <c r="V21" s="197">
        <f>IF(AND(R21=0,N21-R21=0),0,IF(AND(R21=0,N21-R21&gt;0),1,(N21-R21)/R21))</f>
        <v/>
      </c>
      <c r="W21" s="197">
        <f>IF(AND(U21=0,Q21-U21=0),0,IF(AND(U21=0,Q21-U21&gt;0),1,(Q21-U21)/U21))</f>
        <v/>
      </c>
      <c r="X21" s="442" t="n"/>
    </row>
    <row r="22" ht="20.1" customHeight="1" s="356">
      <c r="A22" s="204" t="n"/>
      <c r="B22" s="439" t="n"/>
      <c r="C22" s="439" t="n"/>
      <c r="D22" s="439" t="n"/>
      <c r="E22" s="439" t="n"/>
      <c r="F22" s="439" t="n"/>
      <c r="G22" s="439" t="n"/>
      <c r="H22" s="439" t="n"/>
      <c r="I22" s="439" t="n"/>
      <c r="J22" s="439" t="n"/>
      <c r="K22" s="439" t="n"/>
      <c r="L22" s="439" t="n"/>
      <c r="M22" s="439" t="n"/>
      <c r="N22" s="440">
        <f>SUM(B22:M22)</f>
        <v/>
      </c>
      <c r="O22" s="439" t="n"/>
      <c r="P22" s="439" t="n"/>
      <c r="Q22" s="441">
        <f>N22+O22+P22</f>
        <v/>
      </c>
      <c r="R22" s="439" t="n"/>
      <c r="S22" s="439" t="n"/>
      <c r="T22" s="439" t="n"/>
      <c r="U22" s="441">
        <f>R22+S22+T22</f>
        <v/>
      </c>
      <c r="V22" s="197">
        <f>IF(AND(R22=0,N22-R22=0),0,IF(AND(R22=0,N22-R22&gt;0),1,(N22-R22)/R22))</f>
        <v/>
      </c>
      <c r="W22" s="197">
        <f>IF(AND(U22=0,Q22-U22=0),0,IF(AND(U22=0,Q22-U22&gt;0),1,(Q22-U22)/U22))</f>
        <v/>
      </c>
      <c r="X22" s="442" t="n"/>
    </row>
    <row r="23" ht="20.1" customFormat="1" customHeight="1" s="206">
      <c r="A23" s="339" t="inlineStr">
        <is>
          <t>合计</t>
        </is>
      </c>
      <c r="B23" s="441">
        <f>SUM(B11:B22)</f>
        <v/>
      </c>
      <c r="C23" s="441">
        <f>SUM(C11:C22)</f>
        <v/>
      </c>
      <c r="D23" s="441">
        <f>SUM(D11:D22)</f>
        <v/>
      </c>
      <c r="E23" s="441">
        <f>SUM(E11:E22)</f>
        <v/>
      </c>
      <c r="F23" s="441">
        <f>SUM(F11:F22)</f>
        <v/>
      </c>
      <c r="G23" s="441">
        <f>SUM(G11:G22)</f>
        <v/>
      </c>
      <c r="H23" s="441">
        <f>SUM(H11:H22)</f>
        <v/>
      </c>
      <c r="I23" s="441">
        <f>SUM(I11:I22)</f>
        <v/>
      </c>
      <c r="J23" s="441">
        <f>SUM(J11:J22)</f>
        <v/>
      </c>
      <c r="K23" s="441">
        <f>SUM(K11:K22)</f>
        <v/>
      </c>
      <c r="L23" s="441">
        <f>SUM(L11:L22)</f>
        <v/>
      </c>
      <c r="M23" s="441">
        <f>SUM(M11:M22)</f>
        <v/>
      </c>
      <c r="N23" s="441">
        <f>SUM(N11:N22)</f>
        <v/>
      </c>
      <c r="O23" s="441">
        <f>SUM(O11:O22)</f>
        <v/>
      </c>
      <c r="P23" s="441">
        <f>SUM(P11:P22)</f>
        <v/>
      </c>
      <c r="Q23" s="441">
        <f>N23+O23+P23</f>
        <v/>
      </c>
      <c r="R23" s="441">
        <f>SUM(R11:R22)</f>
        <v/>
      </c>
      <c r="S23" s="441">
        <f>SUM(S11:S22)</f>
        <v/>
      </c>
      <c r="T23" s="441">
        <f>SUM(T11:T22)</f>
        <v/>
      </c>
      <c r="U23" s="441">
        <f>R23+S23+T23</f>
        <v/>
      </c>
      <c r="V23" s="197">
        <f>IF(AND(R23=0,N23-R23=0),0,IF(AND(R23=0,N23-R23&gt;0),1,(N23-R23)/R23))</f>
        <v/>
      </c>
      <c r="W23" s="197">
        <f>IF(AND(U23=0,Q23-U23=0),0,IF(AND(U23=0,Q23-U23&gt;0),1,(Q23-U23)/U23))</f>
        <v/>
      </c>
      <c r="X23" s="443" t="n"/>
    </row>
    <row r="24" ht="20.1" customFormat="1" customHeight="1" s="206">
      <c r="A24" s="80" t="inlineStr">
        <is>
          <t>比例</t>
        </is>
      </c>
      <c r="B24" s="197">
        <f>IF(B23=0,0,B23/$N$23)</f>
        <v/>
      </c>
      <c r="C24" s="197">
        <f>IF(C23=0,0,C23/$N$23)</f>
        <v/>
      </c>
      <c r="D24" s="197">
        <f>IF(D23=0,0,D23/$N$23)</f>
        <v/>
      </c>
      <c r="E24" s="197">
        <f>IF(E23=0,0,E23/$N$23)</f>
        <v/>
      </c>
      <c r="F24" s="197">
        <f>IF(F23=0,0,F23/$N$23)</f>
        <v/>
      </c>
      <c r="G24" s="197">
        <f>IF(G23=0,0,G23/$N$23)</f>
        <v/>
      </c>
      <c r="H24" s="197">
        <f>IF(H23=0,0,H23/$N$23)</f>
        <v/>
      </c>
      <c r="I24" s="197">
        <f>IF(I23=0,0,I23/$N$23)</f>
        <v/>
      </c>
      <c r="J24" s="197">
        <f>IF(J23=0,0,J23/$N$23)</f>
        <v/>
      </c>
      <c r="K24" s="197">
        <f>IF(K23=0,0,K23/$N$23)</f>
        <v/>
      </c>
      <c r="L24" s="197">
        <f>IF(L23=0,0,L23/$N$23)</f>
        <v/>
      </c>
      <c r="M24" s="197">
        <f>IF(M23=0,0,M23/$N$23)</f>
        <v/>
      </c>
      <c r="N24" s="197">
        <f>IF(N23=0,0,N23/$N$23)</f>
        <v/>
      </c>
      <c r="O24" s="444" t="n"/>
      <c r="P24" s="444" t="n"/>
      <c r="Q24" s="444" t="n"/>
      <c r="R24" s="444" t="n"/>
      <c r="S24" s="444" t="n"/>
      <c r="T24" s="444" t="n"/>
      <c r="U24" s="444" t="n"/>
      <c r="V24" s="444" t="n"/>
      <c r="W24" s="444" t="n"/>
      <c r="X24" s="445" t="n"/>
    </row>
    <row r="25" ht="20.1" customHeight="1" s="356">
      <c r="A25" s="82" t="inlineStr">
        <is>
          <t>三、审计说明：</t>
        </is>
      </c>
      <c r="B25" s="81" t="n"/>
      <c r="C25" s="81" t="n"/>
      <c r="D25" s="81" t="n"/>
      <c r="E25" s="81" t="n"/>
      <c r="F25" s="81" t="n"/>
      <c r="G25" s="81" t="n"/>
      <c r="H25" s="81" t="n"/>
      <c r="I25" s="81" t="n"/>
      <c r="J25" s="81" t="n"/>
      <c r="K25" s="81" t="n"/>
      <c r="L25" s="81" t="n"/>
      <c r="M25" s="81" t="n"/>
      <c r="N25" s="81" t="n"/>
      <c r="O25" s="81" t="n"/>
      <c r="P25" s="81" t="n"/>
      <c r="Q25" s="81" t="n"/>
      <c r="R25" s="81" t="n"/>
      <c r="S25" s="81" t="n"/>
      <c r="T25" s="81" t="n"/>
      <c r="U25" s="81" t="n"/>
      <c r="V25" s="81" t="n"/>
      <c r="W25" s="81" t="n"/>
      <c r="X25" s="81" t="n"/>
    </row>
    <row r="26" ht="20.1" customHeight="1" s="356">
      <c r="A26" s="282" t="n"/>
      <c r="B26" s="282" t="n"/>
      <c r="C26" s="282" t="n"/>
      <c r="D26" s="282" t="n"/>
      <c r="E26" s="282" t="n"/>
      <c r="F26" s="282" t="n"/>
      <c r="G26" s="282" t="n"/>
      <c r="H26" s="282" t="n"/>
      <c r="I26" s="282" t="n"/>
      <c r="J26" s="282" t="n"/>
      <c r="K26" s="282" t="n"/>
      <c r="L26" s="282" t="n"/>
      <c r="M26" s="282" t="n"/>
      <c r="N26" s="282" t="n"/>
      <c r="O26" s="282" t="n"/>
      <c r="P26" s="282" t="n"/>
      <c r="Q26" s="282" t="n"/>
      <c r="R26" s="282" t="n"/>
      <c r="S26" s="282" t="n"/>
      <c r="T26" s="282" t="n"/>
      <c r="U26" s="282" t="n"/>
      <c r="V26" s="282" t="n"/>
      <c r="W26" s="282" t="n"/>
      <c r="X26" s="282" t="n"/>
    </row>
    <row r="27" ht="20.1" customHeight="1" s="356">
      <c r="A27" s="282" t="n"/>
      <c r="B27" s="282" t="n"/>
      <c r="C27" s="282" t="n"/>
      <c r="D27" s="282" t="n"/>
      <c r="E27" s="282" t="n"/>
      <c r="F27" s="282" t="n"/>
      <c r="G27" s="282" t="n"/>
      <c r="H27" s="282" t="n"/>
      <c r="I27" s="282" t="n"/>
      <c r="J27" s="282" t="n"/>
      <c r="K27" s="282" t="n"/>
      <c r="L27" s="282" t="n"/>
      <c r="M27" s="282" t="n"/>
      <c r="N27" s="282" t="n"/>
      <c r="O27" s="282" t="n"/>
      <c r="P27" s="282" t="n"/>
      <c r="Q27" s="282" t="n"/>
      <c r="R27" s="282" t="n"/>
      <c r="S27" s="282" t="n"/>
      <c r="T27" s="282" t="n"/>
      <c r="U27" s="282" t="n"/>
      <c r="V27" s="282" t="n"/>
      <c r="W27" s="282" t="n"/>
      <c r="X27" s="282" t="n"/>
    </row>
    <row r="28" ht="20.1" customHeight="1" s="356">
      <c r="A28" s="83" t="inlineStr">
        <is>
          <t>四、审计结论：</t>
        </is>
      </c>
      <c r="B28" s="282" t="n"/>
      <c r="C28" s="282" t="n"/>
      <c r="D28" s="282" t="n"/>
      <c r="E28" s="282" t="n"/>
      <c r="F28" s="282" t="n"/>
      <c r="G28" s="282" t="n"/>
      <c r="H28" s="282" t="n"/>
      <c r="I28" s="282" t="n"/>
      <c r="J28" s="282" t="n"/>
      <c r="K28" s="282" t="n"/>
      <c r="L28" s="282" t="n"/>
      <c r="M28" s="282" t="n"/>
      <c r="N28" s="282" t="n"/>
      <c r="O28" s="282" t="n"/>
      <c r="P28" s="282" t="n"/>
      <c r="Q28" s="282" t="n"/>
      <c r="R28" s="282" t="n"/>
      <c r="S28" s="282" t="n"/>
      <c r="T28" s="282" t="n"/>
      <c r="U28" s="282" t="n"/>
      <c r="V28" s="282" t="n"/>
      <c r="W28" s="282" t="n"/>
      <c r="X28" s="282" t="n"/>
    </row>
    <row r="29" ht="20.1" customHeight="1" s="356">
      <c r="A29" s="282" t="n"/>
      <c r="B29" s="282" t="n"/>
      <c r="C29" s="282" t="n"/>
      <c r="D29" s="282" t="n"/>
      <c r="E29" s="282" t="n"/>
      <c r="F29" s="282" t="n"/>
      <c r="G29" s="282" t="n"/>
      <c r="H29" s="282" t="n"/>
      <c r="I29" s="282" t="n"/>
      <c r="J29" s="282" t="n"/>
      <c r="K29" s="282" t="n"/>
      <c r="L29" s="282" t="n"/>
      <c r="M29" s="282" t="n"/>
      <c r="N29" s="282" t="n"/>
      <c r="O29" s="282" t="n"/>
      <c r="P29" s="282" t="n"/>
      <c r="Q29" s="282" t="n"/>
      <c r="R29" s="282" t="n"/>
      <c r="S29" s="282" t="n"/>
      <c r="T29" s="282" t="n"/>
      <c r="U29" s="282" t="n"/>
      <c r="V29" s="282" t="n"/>
      <c r="W29" s="282" t="n"/>
      <c r="X29" s="282" t="n"/>
    </row>
    <row r="30" ht="20.1" customHeight="1" s="356">
      <c r="A30" s="282" t="n"/>
      <c r="B30" s="282" t="n"/>
      <c r="C30" s="282" t="n"/>
      <c r="D30" s="282" t="n"/>
      <c r="E30" s="282" t="n"/>
      <c r="F30" s="282" t="n"/>
      <c r="G30" s="282" t="n"/>
      <c r="H30" s="282" t="n"/>
      <c r="I30" s="282" t="n"/>
      <c r="J30" s="282" t="n"/>
      <c r="K30" s="282" t="n"/>
      <c r="L30" s="282" t="n"/>
      <c r="M30" s="282" t="n"/>
      <c r="N30" s="282" t="n"/>
      <c r="O30" s="282" t="n"/>
      <c r="P30" s="282" t="n"/>
      <c r="Q30" s="282" t="n"/>
      <c r="R30" s="282" t="n"/>
      <c r="S30" s="282" t="n"/>
      <c r="T30" s="282" t="n"/>
      <c r="U30" s="282" t="n"/>
      <c r="V30" s="282" t="n"/>
      <c r="W30" s="282" t="n"/>
      <c r="X30" s="282" t="n"/>
    </row>
  </sheetData>
  <mergeCells count="13">
    <mergeCell ref="R9:R10"/>
    <mergeCell ref="V9:V10"/>
    <mergeCell ref="W9:W10"/>
    <mergeCell ref="A9:A10"/>
    <mergeCell ref="A2:X2"/>
    <mergeCell ref="N9:N10"/>
    <mergeCell ref="Q9:Q10"/>
    <mergeCell ref="U9:U10"/>
    <mergeCell ref="X9:X10"/>
    <mergeCell ref="A1:X1"/>
    <mergeCell ref="B9:M9"/>
    <mergeCell ref="S9:T9"/>
    <mergeCell ref="O9:P9"/>
  </mergeCells>
  <hyperlinks>
    <hyperlink ref="X3" location="底稿目录!A1" display="底稿目录!A1"/>
  </hyperlinks>
  <printOptions horizontalCentered="1"/>
  <pageMargins left="0.5118110236220472" right="0.3149606299212598" top="0.7480314960629921" bottom="0.5511811023622047" header="0.3149606299212598" footer="0.3149606299212598"/>
  <pageSetup orientation="landscape" paperSize="9" scale="56" fitToHeight="0" blackAndWhite="1"/>
  <headerFooter>
    <oddHeader/>
    <oddFooter>&amp;C&amp;P/&amp;N</oddFooter>
    <evenHeader/>
    <evenFooter/>
    <firstHeader/>
    <firstFooter/>
  </headerFooter>
</worksheet>
</file>

<file path=xl/worksheets/sheet5.xml><?xml version="1.0" encoding="utf-8"?>
<worksheet xmlns="http://schemas.openxmlformats.org/spreadsheetml/2006/main">
  <sheetPr codeName="Sheet7">
    <outlinePr summaryBelow="1" summaryRight="1"/>
    <pageSetUpPr fitToPage="1"/>
  </sheetPr>
  <dimension ref="A1:N37"/>
  <sheetViews>
    <sheetView view="pageBreakPreview" zoomScaleNormal="110" zoomScaleSheetLayoutView="100" workbookViewId="0">
      <selection activeCell="G14" sqref="G14"/>
    </sheetView>
  </sheetViews>
  <sheetFormatPr baseColWidth="8" defaultColWidth="9" defaultRowHeight="15.6"/>
  <cols>
    <col width="27.59765625" customWidth="1" style="140" min="1" max="1"/>
    <col width="13" customWidth="1" style="140" min="2" max="2"/>
    <col width="11.19921875" customWidth="1" style="140" min="3" max="3"/>
    <col width="11.296875" customWidth="1" style="140" min="4" max="4"/>
    <col width="11.59765625" customWidth="1" style="140" min="5" max="5"/>
    <col width="9.5" customWidth="1" style="140" min="6" max="6"/>
    <col width="11" customWidth="1" style="140" min="7" max="9"/>
    <col width="11.19921875" customWidth="1" style="140" min="10" max="10"/>
    <col width="9.09765625" customWidth="1" style="140" min="11" max="11"/>
    <col width="11.8984375" customWidth="1" style="140" min="12" max="12"/>
    <col width="11.59765625" customWidth="1" style="140" min="13" max="13"/>
    <col width="16.5" customWidth="1" style="140" min="14" max="14"/>
    <col width="9" customWidth="1" style="140" min="15" max="16384"/>
  </cols>
  <sheetData>
    <row r="1" ht="20.1" customFormat="1" customHeight="1" s="18">
      <c r="A1" s="328" t="inlineStr">
        <is>
          <t>致同会计师事务所</t>
        </is>
      </c>
    </row>
    <row r="2" ht="25.05" customFormat="1" customHeight="1" s="18">
      <c r="A2" s="336" t="inlineStr">
        <is>
          <t>其他业务成本明细表</t>
        </is>
      </c>
    </row>
    <row r="3" ht="20.1" customFormat="1" customHeight="1" s="219">
      <c r="A3" s="219">
        <f>底稿目录!A2</f>
        <v/>
      </c>
      <c r="B3" s="219" t="n"/>
      <c r="C3" s="219" t="n"/>
      <c r="D3" s="219" t="n"/>
      <c r="E3" s="219">
        <f>底稿目录!A4</f>
        <v/>
      </c>
      <c r="F3" s="219" t="n"/>
      <c r="G3" s="219" t="n"/>
      <c r="H3" s="219" t="n"/>
      <c r="I3" s="219" t="n"/>
      <c r="J3" s="219">
        <f>底稿目录!A5</f>
        <v/>
      </c>
      <c r="K3" s="219" t="n"/>
      <c r="L3" s="219" t="n"/>
      <c r="M3" s="242" t="inlineStr">
        <is>
          <t>索引号：</t>
        </is>
      </c>
      <c r="N3" s="364">
        <f>底稿目录!F6</f>
        <v/>
      </c>
    </row>
    <row r="4" ht="20.1" customFormat="1" customHeight="1" s="219">
      <c r="A4" s="219">
        <f>底稿目录!A3</f>
        <v/>
      </c>
      <c r="B4" s="219" t="n"/>
      <c r="C4" s="219" t="n"/>
      <c r="D4" s="219" t="n"/>
      <c r="E4" s="219">
        <f>底稿目录!A6</f>
        <v/>
      </c>
      <c r="F4" s="219" t="n"/>
      <c r="G4" s="219" t="n"/>
      <c r="H4" s="219" t="n"/>
      <c r="I4" s="219" t="n"/>
      <c r="J4" s="219">
        <f>底稿目录!A7</f>
        <v/>
      </c>
      <c r="K4" s="219" t="n"/>
      <c r="L4" s="219" t="n"/>
      <c r="M4" s="242" t="inlineStr">
        <is>
          <t>页  次：</t>
        </is>
      </c>
      <c r="N4" s="219" t="n"/>
    </row>
    <row r="5" ht="20.1" customFormat="1" customHeight="1" s="219">
      <c r="A5" s="220" t="inlineStr">
        <is>
          <t>一、审计目标：</t>
        </is>
      </c>
      <c r="B5" s="220" t="n"/>
      <c r="C5" s="220" t="n"/>
      <c r="D5" s="220" t="n"/>
      <c r="E5" s="219" t="n"/>
      <c r="F5" s="219" t="n"/>
      <c r="G5" s="219" t="n"/>
      <c r="H5" s="219" t="n"/>
      <c r="I5" s="219" t="n"/>
      <c r="J5" s="219" t="n"/>
      <c r="K5" s="219" t="n"/>
      <c r="L5" s="219" t="n"/>
      <c r="M5" s="219" t="n"/>
      <c r="N5" s="219" t="n"/>
    </row>
    <row r="6" ht="20.1" customFormat="1" customHeight="1" s="219">
      <c r="A6" s="194" t="inlineStr">
        <is>
          <t>1.利润表中记录的营业成本已发生，且与被审计单位有关，已记录于恰当的账户；2.所有应当记录的营业成本均已记录，所有应当包括在财务报表中的相关披露均已包括；</t>
        </is>
      </c>
      <c r="B6" s="221" t="n"/>
      <c r="C6" s="221" t="n"/>
      <c r="D6" s="221" t="n"/>
      <c r="E6" s="219" t="n"/>
      <c r="F6" s="219" t="n"/>
      <c r="G6" s="219" t="n"/>
      <c r="H6" s="219" t="n"/>
      <c r="I6" s="219" t="n"/>
      <c r="J6" s="219" t="n"/>
      <c r="K6" s="219" t="n"/>
      <c r="L6" s="219" t="n"/>
      <c r="M6" s="219" t="n"/>
      <c r="N6" s="219" t="n"/>
    </row>
    <row r="7" ht="20.1" customFormat="1" customHeight="1" s="219">
      <c r="A7" s="194" t="inlineStr">
        <is>
          <t>3. 与营业成本有关的金额及其他数据已恰当记录，相关披露已得到恰当计量和描述</t>
        </is>
      </c>
      <c r="B7" s="221" t="n"/>
      <c r="C7" s="221" t="n"/>
      <c r="D7" s="221" t="n"/>
      <c r="E7" s="219" t="n"/>
      <c r="F7" s="219" t="n"/>
      <c r="G7" s="219" t="n"/>
      <c r="H7" s="219" t="n"/>
      <c r="I7" s="219" t="n"/>
      <c r="J7" s="219" t="n"/>
      <c r="K7" s="219" t="n"/>
      <c r="L7" s="219" t="n"/>
      <c r="M7" s="219" t="n"/>
      <c r="N7" s="219" t="n"/>
    </row>
    <row r="8" ht="20.1" customFormat="1" customHeight="1" s="219">
      <c r="A8" s="220" t="inlineStr">
        <is>
          <t>二、审计过程:</t>
        </is>
      </c>
      <c r="B8" s="220" t="n"/>
      <c r="C8" s="220" t="n"/>
      <c r="D8" s="220" t="n"/>
      <c r="E8" s="219" t="n"/>
      <c r="F8" s="219" t="n"/>
      <c r="G8" s="219" t="n"/>
      <c r="H8" s="219" t="n"/>
      <c r="I8" s="219" t="n"/>
      <c r="J8" s="219" t="n"/>
      <c r="K8" s="219" t="n"/>
      <c r="L8" s="219" t="n"/>
      <c r="M8" s="219" t="n"/>
      <c r="N8" s="219" t="n"/>
    </row>
    <row r="9" ht="20.1" customFormat="1" customHeight="1" s="223">
      <c r="A9" s="330" t="inlineStr">
        <is>
          <t>项目</t>
        </is>
      </c>
      <c r="B9" s="331" t="inlineStr">
        <is>
          <t>本期数</t>
        </is>
      </c>
      <c r="C9" s="372" t="n"/>
      <c r="D9" s="372" t="n"/>
      <c r="E9" s="372" t="n"/>
      <c r="F9" s="373" t="n"/>
      <c r="G9" s="331" t="inlineStr">
        <is>
          <t>上期数</t>
        </is>
      </c>
      <c r="H9" s="372" t="n"/>
      <c r="I9" s="372" t="n"/>
      <c r="J9" s="372" t="n"/>
      <c r="K9" s="373" t="n"/>
      <c r="L9" s="222" t="inlineStr">
        <is>
          <t>本期数比上期增加（减少）</t>
        </is>
      </c>
      <c r="M9" s="222" t="n"/>
      <c r="N9" s="330" t="inlineStr">
        <is>
          <t>备注</t>
        </is>
      </c>
    </row>
    <row r="10" ht="20.1" customFormat="1" customHeight="1" s="223">
      <c r="A10" s="382" t="n"/>
      <c r="B10" s="331" t="inlineStr">
        <is>
          <t>本期未审数</t>
        </is>
      </c>
      <c r="C10" s="330" t="inlineStr">
        <is>
          <t>账项调整</t>
        </is>
      </c>
      <c r="D10" s="330" t="inlineStr">
        <is>
          <t>重分类调整</t>
        </is>
      </c>
      <c r="E10" s="330" t="inlineStr">
        <is>
          <t>审定数</t>
        </is>
      </c>
      <c r="F10" s="330" t="inlineStr">
        <is>
          <t>结构比</t>
        </is>
      </c>
      <c r="G10" s="331" t="inlineStr">
        <is>
          <t>上期未审数</t>
        </is>
      </c>
      <c r="H10" s="330" t="inlineStr">
        <is>
          <t>账项调整</t>
        </is>
      </c>
      <c r="I10" s="330" t="inlineStr">
        <is>
          <t>重分类调整</t>
        </is>
      </c>
      <c r="J10" s="330" t="inlineStr">
        <is>
          <t>审定额</t>
        </is>
      </c>
      <c r="K10" s="330" t="inlineStr">
        <is>
          <t>结构比</t>
        </is>
      </c>
      <c r="L10" s="330" t="inlineStr">
        <is>
          <t>变动额</t>
        </is>
      </c>
      <c r="M10" s="330" t="inlineStr">
        <is>
          <t>变动率</t>
        </is>
      </c>
      <c r="N10" s="382" t="n"/>
    </row>
    <row r="11" ht="20.1" customFormat="1" customHeight="1" s="219">
      <c r="A11" s="446" t="inlineStr">
        <is>
          <t>出租固定资产</t>
        </is>
      </c>
      <c r="B11" s="447" t="n"/>
      <c r="C11" s="447" t="n"/>
      <c r="D11" s="447" t="n"/>
      <c r="E11" s="448">
        <f>B11+C11+D11</f>
        <v/>
      </c>
      <c r="F11" s="235">
        <f>IF(E11=0,0,E11/E$22)</f>
        <v/>
      </c>
      <c r="G11" s="449" t="n"/>
      <c r="H11" s="449" t="n"/>
      <c r="I11" s="449" t="n"/>
      <c r="J11" s="450">
        <f>G11+H11+I11</f>
        <v/>
      </c>
      <c r="K11" s="235">
        <f>IF(J11=0,0,J11/$J$22)</f>
        <v/>
      </c>
      <c r="L11" s="448">
        <f>E11-J11</f>
        <v/>
      </c>
      <c r="M11" s="235">
        <f>IF(AND(J11=0,L11=0),0,IF(AND(J11=0,L11&gt;0),1,L11/J11))</f>
        <v/>
      </c>
      <c r="N11" s="451" t="n"/>
    </row>
    <row r="12" ht="20.1" customFormat="1" customHeight="1" s="219">
      <c r="A12" s="452" t="inlineStr">
        <is>
          <t>出租无形资产</t>
        </is>
      </c>
      <c r="B12" s="447" t="n"/>
      <c r="C12" s="447" t="n"/>
      <c r="D12" s="447" t="n"/>
      <c r="E12" s="448">
        <f>B12+C12+D12</f>
        <v/>
      </c>
      <c r="F12" s="235">
        <f>IF(E12=0,0,E12/E$22)</f>
        <v/>
      </c>
      <c r="G12" s="449" t="n"/>
      <c r="H12" s="449" t="n"/>
      <c r="I12" s="449" t="n"/>
      <c r="J12" s="450">
        <f>G12+H12+I12</f>
        <v/>
      </c>
      <c r="K12" s="235">
        <f>IF(J12=0,0,J12/$J$22)</f>
        <v/>
      </c>
      <c r="L12" s="448">
        <f>E12-J12</f>
        <v/>
      </c>
      <c r="M12" s="235">
        <f>IF(AND(J12=0,L12=0),0,IF(AND(J12=0,L12&gt;0),1,L12/J12))</f>
        <v/>
      </c>
      <c r="N12" s="451" t="n"/>
    </row>
    <row r="13" ht="20.1" customFormat="1" customHeight="1" s="219">
      <c r="A13" s="446" t="inlineStr">
        <is>
          <t>出租包装物和商品</t>
        </is>
      </c>
      <c r="B13" s="447" t="n"/>
      <c r="C13" s="447" t="n"/>
      <c r="D13" s="447" t="n"/>
      <c r="E13" s="448">
        <f>B13+C13+D13</f>
        <v/>
      </c>
      <c r="F13" s="235">
        <f>IF(E13=0,0,E13/E$22)</f>
        <v/>
      </c>
      <c r="G13" s="449" t="n"/>
      <c r="H13" s="449" t="n"/>
      <c r="I13" s="449" t="n"/>
      <c r="J13" s="450">
        <f>G13+H13+I13</f>
        <v/>
      </c>
      <c r="K13" s="235">
        <f>IF(J13=0,0,J13/$J$22)</f>
        <v/>
      </c>
      <c r="L13" s="448">
        <f>E13-J13</f>
        <v/>
      </c>
      <c r="M13" s="235">
        <f>IF(AND(J13=0,L13=0),0,IF(AND(J13=0,L13&gt;0),1,L13/J13))</f>
        <v/>
      </c>
      <c r="N13" s="451" t="n"/>
    </row>
    <row r="14" ht="20.1" customFormat="1" customHeight="1" s="219">
      <c r="A14" s="446" t="inlineStr">
        <is>
          <t>销售材料</t>
        </is>
      </c>
      <c r="B14" s="447" t="n"/>
      <c r="C14" s="447" t="n"/>
      <c r="D14" s="447" t="n"/>
      <c r="E14" s="448">
        <f>B14+C14+D14</f>
        <v/>
      </c>
      <c r="F14" s="235">
        <f>IF(E14=0,0,E14/E$22)</f>
        <v/>
      </c>
      <c r="G14" s="449" t="n"/>
      <c r="H14" s="449" t="n"/>
      <c r="I14" s="449" t="n"/>
      <c r="J14" s="450">
        <f>G14+H14+I14</f>
        <v/>
      </c>
      <c r="K14" s="235">
        <f>IF(J14=0,0,J14/$J$22)</f>
        <v/>
      </c>
      <c r="L14" s="448">
        <f>E14-J14</f>
        <v/>
      </c>
      <c r="M14" s="235">
        <f>IF(AND(J14=0,L14=0),0,IF(AND(J14=0,L14&gt;0),1,L14/J14))</f>
        <v/>
      </c>
      <c r="N14" s="451" t="n"/>
    </row>
    <row r="15" ht="20.1" customFormat="1" customHeight="1" s="219">
      <c r="A15" s="446" t="inlineStr">
        <is>
          <t>用材料进行非货币性交换</t>
        </is>
      </c>
      <c r="B15" s="447" t="n"/>
      <c r="C15" s="447" t="n"/>
      <c r="D15" s="447" t="n"/>
      <c r="E15" s="448">
        <f>B15+C15+D15</f>
        <v/>
      </c>
      <c r="F15" s="235">
        <f>IF(E15=0,0,E15/E$22)</f>
        <v/>
      </c>
      <c r="G15" s="449" t="n"/>
      <c r="H15" s="449" t="n"/>
      <c r="I15" s="449" t="n"/>
      <c r="J15" s="450">
        <f>G15+H15+I15</f>
        <v/>
      </c>
      <c r="K15" s="235">
        <f>IF(J15=0,0,J15/$J$22)</f>
        <v/>
      </c>
      <c r="L15" s="448">
        <f>E15-J15</f>
        <v/>
      </c>
      <c r="M15" s="235">
        <f>IF(AND(J15=0,L15=0),0,IF(AND(J15=0,L15&gt;0),1,L15/J15))</f>
        <v/>
      </c>
      <c r="N15" s="451" t="n"/>
    </row>
    <row r="16" ht="20.1" customFormat="1" customHeight="1" s="219">
      <c r="A16" s="446" t="inlineStr">
        <is>
          <t>用材料进行债务重组</t>
        </is>
      </c>
      <c r="B16" s="447" t="n"/>
      <c r="C16" s="447" t="n"/>
      <c r="D16" s="447" t="n"/>
      <c r="E16" s="448">
        <f>B16+C16+D16</f>
        <v/>
      </c>
      <c r="F16" s="235">
        <f>IF(E16=0,0,E16/E$22)</f>
        <v/>
      </c>
      <c r="G16" s="449" t="n"/>
      <c r="H16" s="449" t="n"/>
      <c r="I16" s="449" t="n"/>
      <c r="J16" s="450">
        <f>G16+H16+I16</f>
        <v/>
      </c>
      <c r="K16" s="235">
        <f>IF(J16=0,0,J16/$J$22)</f>
        <v/>
      </c>
      <c r="L16" s="448">
        <f>E16-J16</f>
        <v/>
      </c>
      <c r="M16" s="235">
        <f>IF(AND(J16=0,L16=0),0,IF(AND(J16=0,L16&gt;0),1,L16/J16))</f>
        <v/>
      </c>
      <c r="N16" s="451" t="n"/>
    </row>
    <row r="17" ht="20.1" customFormat="1" customHeight="1" s="219">
      <c r="A17" s="446" t="inlineStr">
        <is>
          <t>与投资性房地产相关的支出（成本模式计量的投资性房地产计提的折旧，其他后续支出）</t>
        </is>
      </c>
      <c r="B17" s="447" t="n"/>
      <c r="C17" s="447" t="n"/>
      <c r="D17" s="447" t="n"/>
      <c r="E17" s="448">
        <f>B17+C17+D17</f>
        <v/>
      </c>
      <c r="F17" s="235">
        <f>IF(E17=0,0,E17/E$22)</f>
        <v/>
      </c>
      <c r="G17" s="449" t="n"/>
      <c r="H17" s="449" t="n"/>
      <c r="I17" s="449" t="n"/>
      <c r="J17" s="450">
        <f>G17+H17+I17</f>
        <v/>
      </c>
      <c r="K17" s="235">
        <f>IF(J17=0,0,J17/$J$22)</f>
        <v/>
      </c>
      <c r="L17" s="448">
        <f>E17-J17</f>
        <v/>
      </c>
      <c r="M17" s="235">
        <f>IF(AND(J17=0,L17=0),0,IF(AND(J17=0,L17&gt;0),1,L17/J17))</f>
        <v/>
      </c>
      <c r="N17" s="451" t="n"/>
    </row>
    <row r="18" ht="20.1" customFormat="1" customHeight="1" s="219">
      <c r="A18" s="446" t="inlineStr">
        <is>
          <t>……</t>
        </is>
      </c>
      <c r="B18" s="447" t="n"/>
      <c r="C18" s="447" t="n"/>
      <c r="D18" s="447" t="n"/>
      <c r="E18" s="448">
        <f>B18+C18+D18</f>
        <v/>
      </c>
      <c r="F18" s="235">
        <f>IF(E18=0,0,E18/E$22)</f>
        <v/>
      </c>
      <c r="G18" s="449" t="n"/>
      <c r="H18" s="449" t="n"/>
      <c r="I18" s="449" t="n"/>
      <c r="J18" s="450">
        <f>G18+H18+I18</f>
        <v/>
      </c>
      <c r="K18" s="235">
        <f>IF(J18=0,0,J18/$J$22)</f>
        <v/>
      </c>
      <c r="L18" s="448">
        <f>E18-J18</f>
        <v/>
      </c>
      <c r="M18" s="235">
        <f>IF(AND(J18=0,L18=0),0,IF(AND(J18=0,L18&gt;0),1,L18/J18))</f>
        <v/>
      </c>
      <c r="N18" s="451" t="n"/>
    </row>
    <row r="19" ht="20.1" customFormat="1" customHeight="1" s="219">
      <c r="A19" s="446" t="n"/>
      <c r="B19" s="447" t="n"/>
      <c r="C19" s="447" t="n"/>
      <c r="D19" s="447" t="n"/>
      <c r="E19" s="448">
        <f>B19+C19+D19</f>
        <v/>
      </c>
      <c r="F19" s="235">
        <f>IF(E19=0,0,E19/E$22)</f>
        <v/>
      </c>
      <c r="G19" s="449" t="n"/>
      <c r="H19" s="449" t="n"/>
      <c r="I19" s="449" t="n"/>
      <c r="J19" s="450">
        <f>G19+H19+I19</f>
        <v/>
      </c>
      <c r="K19" s="235">
        <f>IF(J19=0,0,J19/$J$22)</f>
        <v/>
      </c>
      <c r="L19" s="448">
        <f>E19-J19</f>
        <v/>
      </c>
      <c r="M19" s="235">
        <f>IF(AND(J19=0,L19=0),0,IF(AND(J19=0,L19&gt;0),1,L19/J19))</f>
        <v/>
      </c>
      <c r="N19" s="451" t="n"/>
    </row>
    <row r="20" ht="20.1" customFormat="1" customHeight="1" s="219">
      <c r="A20" s="446" t="n"/>
      <c r="B20" s="447" t="n"/>
      <c r="C20" s="447" t="n"/>
      <c r="D20" s="447" t="n"/>
      <c r="E20" s="448">
        <f>B20+C20+D20</f>
        <v/>
      </c>
      <c r="F20" s="235">
        <f>IF(E20=0,0,E20/E$22)</f>
        <v/>
      </c>
      <c r="G20" s="449" t="n"/>
      <c r="H20" s="449" t="n"/>
      <c r="I20" s="449" t="n"/>
      <c r="J20" s="450">
        <f>G20+H20+I20</f>
        <v/>
      </c>
      <c r="K20" s="235">
        <f>IF(J20=0,0,J20/$J$22)</f>
        <v/>
      </c>
      <c r="L20" s="448">
        <f>E20-J20</f>
        <v/>
      </c>
      <c r="M20" s="235">
        <f>IF(AND(J20=0,L20=0),0,IF(AND(J20=0,L20&gt;0),1,L20/J20))</f>
        <v/>
      </c>
      <c r="N20" s="451" t="n"/>
    </row>
    <row r="21" ht="20.1" customFormat="1" customHeight="1" s="219">
      <c r="A21" s="446" t="n"/>
      <c r="B21" s="447" t="n"/>
      <c r="C21" s="447" t="n"/>
      <c r="D21" s="447" t="n"/>
      <c r="E21" s="448">
        <f>B21+C21+D21</f>
        <v/>
      </c>
      <c r="F21" s="235">
        <f>IF(E21=0,0,E21/E$22)</f>
        <v/>
      </c>
      <c r="G21" s="449" t="n"/>
      <c r="H21" s="449" t="n"/>
      <c r="I21" s="449" t="n"/>
      <c r="J21" s="450">
        <f>G21+H21+I21</f>
        <v/>
      </c>
      <c r="K21" s="235">
        <f>IF(J21=0,0,J21/$J$22)</f>
        <v/>
      </c>
      <c r="L21" s="448">
        <f>E21-J21</f>
        <v/>
      </c>
      <c r="M21" s="235">
        <f>IF(AND(J21=0,L21=0),0,IF(AND(J21=0,L21&gt;0),1,L21/J21))</f>
        <v/>
      </c>
      <c r="N21" s="451" t="n"/>
    </row>
    <row r="22" ht="20.1" customFormat="1" customHeight="1" s="231">
      <c r="A22" s="330" t="inlineStr">
        <is>
          <t>合计</t>
        </is>
      </c>
      <c r="B22" s="453">
        <f>SUM(B11:B21)</f>
        <v/>
      </c>
      <c r="C22" s="453">
        <f>SUM(C11:C21)</f>
        <v/>
      </c>
      <c r="D22" s="453">
        <f>SUM(D11:D21)</f>
        <v/>
      </c>
      <c r="E22" s="453">
        <f>SUM(E11:E21)</f>
        <v/>
      </c>
      <c r="F22" s="237">
        <f>IF(E22=0,0,E22/E$22)</f>
        <v/>
      </c>
      <c r="G22" s="453">
        <f>SUM(G11:G21)</f>
        <v/>
      </c>
      <c r="H22" s="453">
        <f>SUM(H11:H21)</f>
        <v/>
      </c>
      <c r="I22" s="453">
        <f>SUM(I11:I21)</f>
        <v/>
      </c>
      <c r="J22" s="453">
        <f>SUM(J11:J21)</f>
        <v/>
      </c>
      <c r="K22" s="237">
        <f>IF(J22=0,0,J22/$J$22)</f>
        <v/>
      </c>
      <c r="L22" s="453">
        <f>SUM(L11:L21)</f>
        <v/>
      </c>
      <c r="M22" s="237">
        <f>IF(AND(J22=0,L22=0),0,IF(AND(J22=0,L22&gt;0),1,L22/J22))</f>
        <v/>
      </c>
      <c r="N22" s="454" t="n"/>
    </row>
    <row r="23" ht="20.1" customFormat="1" customHeight="1" s="219">
      <c r="A23" s="230" t="inlineStr">
        <is>
          <t>三、审计说明：</t>
        </is>
      </c>
      <c r="B23" s="231" t="n"/>
      <c r="C23" s="231" t="n"/>
      <c r="D23" s="231" t="n"/>
      <c r="E23" s="219" t="n"/>
      <c r="F23" s="219" t="n"/>
      <c r="G23" s="219" t="n"/>
      <c r="H23" s="219" t="n"/>
      <c r="I23" s="219" t="n"/>
      <c r="J23" s="219" t="n"/>
      <c r="K23" s="219" t="n"/>
      <c r="L23" s="219" t="n"/>
      <c r="M23" s="219" t="n"/>
      <c r="N23" s="219" t="n"/>
    </row>
    <row r="24" ht="20.1" customFormat="1" customHeight="1" s="219">
      <c r="A24" s="276" t="inlineStr">
        <is>
          <t>1.出租固定资产的折旧与用于出租的固定资产折旧测算核对一致，详见固定资产折旧测算表，索引&lt;XX&gt;</t>
        </is>
      </c>
      <c r="B24" s="219" t="n"/>
      <c r="C24" s="219" t="n"/>
      <c r="D24" s="219" t="n"/>
      <c r="E24" s="219" t="n"/>
      <c r="F24" s="219" t="n"/>
      <c r="G24" s="219" t="n"/>
      <c r="H24" s="219" t="n"/>
      <c r="I24" s="219" t="n"/>
      <c r="J24" s="219" t="n"/>
      <c r="K24" s="219" t="n"/>
      <c r="L24" s="219" t="n"/>
      <c r="M24" s="219" t="n"/>
      <c r="N24" s="219" t="n"/>
    </row>
    <row r="25" ht="20.1" customFormat="1" customHeight="1" s="219">
      <c r="A25" s="276" t="inlineStr">
        <is>
          <t>2.出租无形资产的摊销与用于出租的无形资产摊销测算核对一致，详见无形资产摊销测算表，索引&lt;XX&gt;</t>
        </is>
      </c>
      <c r="B25" s="219" t="n"/>
      <c r="C25" s="219" t="n"/>
      <c r="D25" s="219" t="n"/>
      <c r="E25" s="219" t="n"/>
      <c r="F25" s="219" t="n"/>
      <c r="G25" s="219" t="n"/>
      <c r="H25" s="219" t="n"/>
      <c r="I25" s="219" t="n"/>
      <c r="J25" s="219" t="n"/>
      <c r="K25" s="219" t="n"/>
      <c r="L25" s="219" t="n"/>
      <c r="M25" s="219" t="n"/>
      <c r="N25" s="219" t="n"/>
    </row>
    <row r="26" ht="20.1" customFormat="1" customHeight="1" s="219">
      <c r="A26" s="276" t="inlineStr">
        <is>
          <t>3.对大额销售材料进行检查，详见底稿&lt;XX&gt;</t>
        </is>
      </c>
      <c r="B26" s="219" t="n"/>
      <c r="C26" s="219" t="n"/>
      <c r="D26" s="219" t="n"/>
      <c r="E26" s="219" t="n"/>
      <c r="F26" s="219" t="n"/>
      <c r="G26" s="219" t="n"/>
      <c r="H26" s="219" t="n"/>
      <c r="I26" s="219" t="n"/>
      <c r="J26" s="219" t="n"/>
      <c r="K26" s="219" t="n"/>
      <c r="L26" s="219" t="n"/>
      <c r="M26" s="219" t="n"/>
      <c r="N26" s="219" t="n"/>
    </row>
    <row r="27" ht="20.1" customFormat="1" customHeight="1" s="219">
      <c r="A27" s="276" t="inlineStr">
        <is>
          <t>4.……</t>
        </is>
      </c>
      <c r="B27" s="219" t="n"/>
      <c r="C27" s="219" t="n"/>
      <c r="D27" s="219" t="n"/>
      <c r="E27" s="219" t="n"/>
      <c r="F27" s="219" t="n"/>
      <c r="G27" s="219" t="n"/>
      <c r="H27" s="219" t="n"/>
      <c r="I27" s="219" t="n"/>
      <c r="J27" s="219" t="n"/>
      <c r="K27" s="219" t="n"/>
      <c r="L27" s="219" t="n"/>
      <c r="M27" s="219" t="n"/>
      <c r="N27" s="219" t="n"/>
    </row>
    <row r="28" ht="20.1" customFormat="1" customHeight="1" s="219">
      <c r="A28" s="230" t="inlineStr">
        <is>
          <t>四、审计结论：</t>
        </is>
      </c>
      <c r="B28" s="219" t="n"/>
      <c r="C28" s="219" t="n"/>
      <c r="D28" s="219" t="n"/>
      <c r="E28" s="219" t="n"/>
      <c r="F28" s="219" t="n"/>
      <c r="G28" s="219" t="n"/>
      <c r="H28" s="219" t="n"/>
      <c r="I28" s="219" t="n"/>
      <c r="J28" s="219" t="n"/>
      <c r="K28" s="219" t="n"/>
      <c r="L28" s="219" t="n"/>
      <c r="M28" s="219" t="n"/>
      <c r="N28" s="219" t="n"/>
    </row>
    <row r="29" ht="20.1" customFormat="1" customHeight="1" s="219">
      <c r="A29" s="219" t="n"/>
      <c r="B29" s="219" t="n"/>
      <c r="C29" s="219" t="n"/>
      <c r="D29" s="219" t="n"/>
      <c r="E29" s="219" t="n"/>
      <c r="F29" s="219" t="n"/>
      <c r="G29" s="219" t="n"/>
      <c r="H29" s="219" t="n"/>
      <c r="I29" s="219" t="n"/>
      <c r="J29" s="219" t="n"/>
      <c r="K29" s="219" t="n"/>
      <c r="L29" s="219" t="n"/>
      <c r="M29" s="219" t="n"/>
      <c r="N29" s="219" t="n"/>
    </row>
    <row r="30" ht="20.1" customFormat="1" customHeight="1" s="219">
      <c r="A30" s="219" t="n"/>
      <c r="B30" s="219" t="n"/>
      <c r="C30" s="219" t="n"/>
      <c r="D30" s="219" t="n"/>
      <c r="E30" s="219" t="n"/>
      <c r="F30" s="219" t="n"/>
      <c r="G30" s="219" t="n"/>
      <c r="H30" s="219" t="n"/>
      <c r="I30" s="219" t="n"/>
      <c r="J30" s="219" t="n"/>
      <c r="K30" s="219" t="n"/>
      <c r="L30" s="219" t="n"/>
      <c r="M30" s="219" t="n"/>
      <c r="N30" s="219" t="n"/>
    </row>
    <row r="31" ht="20.1" customFormat="1" customHeight="1" s="219">
      <c r="A31" s="219" t="n"/>
      <c r="B31" s="219" t="n"/>
      <c r="C31" s="219" t="n"/>
      <c r="D31" s="219" t="n"/>
      <c r="E31" s="219" t="n"/>
      <c r="F31" s="219" t="n"/>
      <c r="G31" s="219" t="n"/>
      <c r="H31" s="219" t="n"/>
      <c r="I31" s="219" t="n"/>
      <c r="J31" s="219" t="n"/>
      <c r="K31" s="219" t="n"/>
      <c r="L31" s="219" t="n"/>
      <c r="M31" s="219" t="n"/>
      <c r="N31" s="219" t="n"/>
    </row>
    <row r="32" ht="16.5" customFormat="1" customHeight="1" s="219">
      <c r="A32" s="232" t="n"/>
      <c r="B32" s="232" t="n"/>
      <c r="C32" s="232" t="n"/>
      <c r="D32" s="232" t="n"/>
    </row>
    <row r="33">
      <c r="A33" s="241" t="inlineStr">
        <is>
          <t>提示：</t>
        </is>
      </c>
      <c r="B33" s="233" t="n"/>
      <c r="C33" s="233" t="n"/>
      <c r="D33" s="233" t="n"/>
    </row>
    <row r="34">
      <c r="A34" s="232" t="inlineStr">
        <is>
          <t>1.本科目核算企业确认的除主营业务活动以外的其他经营活动所发生的支出，包括销售材料的成本、出租固定资产的折旧额、出租无形资产的摊销额、出租包装物的成本或摊销额等。</t>
        </is>
      </c>
      <c r="B34" s="232" t="n"/>
      <c r="C34" s="232" t="n"/>
      <c r="D34" s="232" t="n"/>
    </row>
    <row r="35">
      <c r="A35" s="232" t="inlineStr">
        <is>
          <t>2.除主营业务活动以外的其他经营活动发生的相关税费，在“营业税金及附加”科目核算。</t>
        </is>
      </c>
      <c r="B35" s="232" t="n"/>
      <c r="C35" s="232" t="n"/>
      <c r="D35" s="232" t="n"/>
    </row>
    <row r="36">
      <c r="A36" s="232" t="inlineStr">
        <is>
          <t>3.采用成本模式计量投资性房地产的，其投资性房地产计提的折旧额或摊销额，也通过本科目核算。</t>
        </is>
      </c>
      <c r="B36" s="232" t="n"/>
      <c r="C36" s="232" t="n"/>
      <c r="D36" s="232" t="n"/>
    </row>
    <row r="37">
      <c r="A37" s="232" t="n"/>
      <c r="B37" s="232" t="n"/>
      <c r="C37" s="232" t="n"/>
      <c r="D37" s="232" t="n"/>
    </row>
  </sheetData>
  <mergeCells count="6">
    <mergeCell ref="A9:A10"/>
    <mergeCell ref="N9:N10"/>
    <mergeCell ref="A2:N2"/>
    <mergeCell ref="B9:F9"/>
    <mergeCell ref="G9:K9"/>
    <mergeCell ref="A1:N1"/>
  </mergeCells>
  <hyperlinks>
    <hyperlink ref="N3" location="底稿目录!A1" display="底稿目录!A1"/>
  </hyperlinks>
  <printOptions horizontalCentered="1"/>
  <pageMargins left="0.5905511811023623" right="0.3937007874015748" top="0.5511811023622047" bottom="0.4330708661417323" header="0.5118110236220472" footer="0.3149606299212598"/>
  <pageSetup orientation="landscape" paperSize="9" scale="72" blackAndWhite="1"/>
</worksheet>
</file>

<file path=xl/worksheets/sheet6.xml><?xml version="1.0" encoding="utf-8"?>
<worksheet xmlns="http://schemas.openxmlformats.org/spreadsheetml/2006/main">
  <sheetPr codeName="Sheet8">
    <outlinePr summaryBelow="1" summaryRight="1"/>
    <pageSetUpPr/>
  </sheetPr>
  <dimension ref="A1:J22"/>
  <sheetViews>
    <sheetView view="pageBreakPreview" zoomScaleNormal="100" zoomScaleSheetLayoutView="100" workbookViewId="0">
      <selection activeCell="M16" sqref="M16"/>
    </sheetView>
  </sheetViews>
  <sheetFormatPr baseColWidth="8" defaultRowHeight="15.6"/>
  <cols>
    <col width="18.59765625" customWidth="1" style="356" min="1" max="1"/>
    <col width="16" customWidth="1" style="356" min="2" max="2"/>
    <col width="13.19921875" customWidth="1" style="356" min="3" max="3"/>
    <col width="10.796875" customWidth="1" style="356" min="4" max="4"/>
    <col width="10.09765625" customWidth="1" style="356" min="5" max="5"/>
    <col width="13.19921875" customWidth="1" style="356" min="7" max="7"/>
    <col width="11.5" customWidth="1" style="356" min="8" max="8"/>
    <col width="10.09765625" customWidth="1" style="356" min="9" max="9"/>
    <col width="14.09765625" customWidth="1" style="356" min="10" max="10"/>
  </cols>
  <sheetData>
    <row r="1" ht="19.95" customHeight="1" s="356">
      <c r="A1" s="455" t="inlineStr">
        <is>
          <t>致同会计师事务所</t>
        </is>
      </c>
    </row>
    <row r="2" ht="19.95" customHeight="1" s="356">
      <c r="A2" s="456" t="inlineStr">
        <is>
          <t>主营业务成本调整分录汇总表</t>
        </is>
      </c>
    </row>
    <row r="3" ht="19.95" customHeight="1" s="356">
      <c r="A3" s="457">
        <f>底稿目录!A2</f>
        <v/>
      </c>
      <c r="B3" s="457" t="n"/>
      <c r="C3" s="457" t="n"/>
      <c r="D3" s="457">
        <f>底稿目录!A4</f>
        <v/>
      </c>
      <c r="E3" s="457" t="n"/>
      <c r="F3" s="458" t="n"/>
      <c r="G3" s="457">
        <f>底稿目录!A5</f>
        <v/>
      </c>
      <c r="H3" s="457" t="n"/>
      <c r="I3" s="459" t="inlineStr">
        <is>
          <t>索引号：</t>
        </is>
      </c>
      <c r="J3" s="364">
        <f>底稿目录!F7</f>
        <v/>
      </c>
    </row>
    <row r="4" ht="19.95" customHeight="1" s="356">
      <c r="A4" s="457">
        <f>底稿目录!A3</f>
        <v/>
      </c>
      <c r="B4" s="457" t="n"/>
      <c r="C4" s="457" t="n"/>
      <c r="D4" s="457">
        <f>底稿目录!A6</f>
        <v/>
      </c>
      <c r="E4" s="457" t="n"/>
      <c r="F4" s="458" t="n"/>
      <c r="G4" s="457">
        <f>底稿目录!A7</f>
        <v/>
      </c>
      <c r="H4" s="457" t="n"/>
      <c r="I4" s="459" t="inlineStr">
        <is>
          <t xml:space="preserve"> 页  次：</t>
        </is>
      </c>
      <c r="J4" s="458" t="n"/>
    </row>
    <row r="5" ht="27" customFormat="1" customHeight="1" s="215">
      <c r="A5" s="213" t="inlineStr">
        <is>
          <t>调整事项说明</t>
        </is>
      </c>
      <c r="B5" s="214" t="inlineStr">
        <is>
          <t>类别（报表调整/账项调整/其他）</t>
        </is>
      </c>
      <c r="C5" s="214" t="inlineStr">
        <is>
          <t>报表项目</t>
        </is>
      </c>
      <c r="D5" s="144" t="inlineStr">
        <is>
          <t>科目名称</t>
        </is>
      </c>
      <c r="E5" s="144" t="inlineStr">
        <is>
          <t>附注项目</t>
        </is>
      </c>
      <c r="F5" s="145" t="inlineStr">
        <is>
          <t>……</t>
        </is>
      </c>
      <c r="G5" s="144" t="inlineStr">
        <is>
          <t>借方调整金额</t>
        </is>
      </c>
      <c r="H5" s="144" t="inlineStr">
        <is>
          <t>贷方调整金额</t>
        </is>
      </c>
      <c r="I5" s="144" t="inlineStr">
        <is>
          <t>索引</t>
        </is>
      </c>
      <c r="J5" s="144" t="inlineStr">
        <is>
          <t>备注</t>
        </is>
      </c>
    </row>
    <row r="6" ht="19.95" customHeight="1" s="356">
      <c r="A6" s="146" t="n"/>
      <c r="B6" s="146" t="n"/>
      <c r="C6" s="146" t="n"/>
      <c r="D6" s="146" t="n"/>
      <c r="E6" s="146" t="n"/>
      <c r="F6" s="146" t="n"/>
      <c r="G6" s="146" t="n"/>
      <c r="H6" s="146" t="n"/>
      <c r="I6" s="146" t="n"/>
      <c r="J6" s="146" t="n"/>
    </row>
    <row r="7" ht="19.95" customHeight="1" s="356">
      <c r="A7" s="147" t="n"/>
      <c r="B7" s="146" t="n"/>
      <c r="C7" s="146" t="n"/>
      <c r="D7" s="146" t="n"/>
      <c r="E7" s="146" t="n"/>
      <c r="F7" s="146" t="n"/>
      <c r="G7" s="146" t="n"/>
      <c r="H7" s="146" t="n"/>
      <c r="I7" s="146" t="n"/>
      <c r="J7" s="146" t="n"/>
    </row>
    <row r="8" ht="19.95" customHeight="1" s="356">
      <c r="A8" s="148" t="n"/>
      <c r="B8" s="146" t="n"/>
      <c r="C8" s="146" t="n"/>
      <c r="D8" s="146" t="n"/>
      <c r="E8" s="146" t="n"/>
      <c r="F8" s="146" t="n"/>
      <c r="G8" s="146" t="n"/>
      <c r="H8" s="146" t="n"/>
      <c r="I8" s="146" t="n"/>
      <c r="J8" s="146" t="n"/>
    </row>
    <row r="9" ht="19.95" customHeight="1" s="356">
      <c r="A9" s="148" t="n"/>
      <c r="B9" s="146" t="n"/>
      <c r="C9" s="146" t="n"/>
      <c r="D9" s="146" t="n"/>
      <c r="E9" s="146" t="n"/>
      <c r="F9" s="146" t="n"/>
      <c r="G9" s="146" t="n"/>
      <c r="H9" s="146" t="n"/>
      <c r="I9" s="146" t="n"/>
      <c r="J9" s="146" t="n"/>
    </row>
    <row r="10" ht="19.95" customHeight="1" s="356">
      <c r="A10" s="148" t="n"/>
      <c r="B10" s="146" t="n"/>
      <c r="C10" s="146" t="n"/>
      <c r="D10" s="146" t="n"/>
      <c r="E10" s="146" t="n"/>
      <c r="F10" s="146" t="n"/>
      <c r="G10" s="146" t="n"/>
      <c r="H10" s="146" t="n"/>
      <c r="I10" s="146" t="n"/>
      <c r="J10" s="146" t="n"/>
    </row>
    <row r="11" ht="19.95" customHeight="1" s="356">
      <c r="A11" s="149" t="n"/>
      <c r="B11" s="146" t="n"/>
      <c r="C11" s="146" t="n"/>
      <c r="D11" s="146" t="n"/>
      <c r="E11" s="146" t="n"/>
      <c r="F11" s="146" t="n"/>
      <c r="G11" s="146" t="n"/>
      <c r="H11" s="146" t="n"/>
      <c r="I11" s="146" t="n"/>
      <c r="J11" s="146" t="n"/>
    </row>
    <row r="12" ht="19.95" customHeight="1" s="356">
      <c r="A12" s="148" t="n"/>
      <c r="B12" s="146" t="n"/>
      <c r="C12" s="146" t="n"/>
      <c r="D12" s="146" t="n"/>
      <c r="E12" s="146" t="n"/>
      <c r="F12" s="146" t="n"/>
      <c r="G12" s="146" t="n"/>
      <c r="H12" s="146" t="n"/>
      <c r="I12" s="146" t="n"/>
      <c r="J12" s="146" t="n"/>
    </row>
    <row r="13" ht="19.95" customHeight="1" s="356">
      <c r="A13" s="148" t="n"/>
      <c r="B13" s="146" t="n"/>
      <c r="C13" s="146" t="n"/>
      <c r="D13" s="146" t="n"/>
      <c r="E13" s="146" t="n"/>
      <c r="F13" s="146" t="n"/>
      <c r="G13" s="146" t="n"/>
      <c r="H13" s="146" t="n"/>
      <c r="I13" s="146" t="n"/>
      <c r="J13" s="146" t="n"/>
    </row>
    <row r="14" ht="19.95" customHeight="1" s="356">
      <c r="A14" s="148" t="n"/>
      <c r="B14" s="146" t="n"/>
      <c r="C14" s="146" t="n"/>
      <c r="D14" s="146" t="n"/>
      <c r="E14" s="146" t="n"/>
      <c r="F14" s="146" t="n"/>
      <c r="G14" s="146" t="n"/>
      <c r="H14" s="146" t="n"/>
      <c r="I14" s="146" t="n"/>
      <c r="J14" s="146" t="n"/>
    </row>
    <row r="15" ht="19.95" customHeight="1" s="356">
      <c r="A15" s="148" t="n"/>
      <c r="B15" s="146" t="n"/>
      <c r="C15" s="146" t="n"/>
      <c r="D15" s="146" t="n"/>
      <c r="E15" s="146" t="n"/>
      <c r="F15" s="146" t="n"/>
      <c r="G15" s="146" t="n"/>
      <c r="H15" s="146" t="n"/>
      <c r="I15" s="146" t="n"/>
      <c r="J15" s="146" t="n"/>
    </row>
    <row r="16" ht="19.95" customHeight="1" s="356">
      <c r="A16" s="148" t="n"/>
      <c r="B16" s="146" t="n"/>
      <c r="C16" s="146" t="n"/>
      <c r="D16" s="146" t="n"/>
      <c r="E16" s="146" t="n"/>
      <c r="F16" s="146" t="n"/>
      <c r="G16" s="146" t="n"/>
      <c r="H16" s="146" t="n"/>
      <c r="I16" s="146" t="n"/>
      <c r="J16" s="146" t="n"/>
    </row>
    <row r="17" ht="19.95" customHeight="1" s="356">
      <c r="A17" s="148" t="n"/>
      <c r="B17" s="146" t="n"/>
      <c r="C17" s="146" t="n"/>
      <c r="D17" s="146" t="n"/>
      <c r="E17" s="146" t="n"/>
      <c r="F17" s="146" t="n"/>
      <c r="G17" s="146" t="n"/>
      <c r="H17" s="146" t="n"/>
      <c r="I17" s="146" t="n"/>
      <c r="J17" s="146" t="n"/>
    </row>
    <row r="18" ht="19.95" customHeight="1" s="356">
      <c r="A18" s="148" t="n"/>
      <c r="B18" s="146" t="n"/>
      <c r="C18" s="146" t="n"/>
      <c r="D18" s="146" t="n"/>
      <c r="E18" s="146" t="n"/>
      <c r="F18" s="146" t="n"/>
      <c r="G18" s="146" t="n"/>
      <c r="H18" s="146" t="n"/>
      <c r="I18" s="146" t="n"/>
      <c r="J18" s="146" t="n"/>
    </row>
    <row r="19" ht="19.95" customHeight="1" s="356">
      <c r="A19" s="148" t="n"/>
      <c r="B19" s="146" t="n"/>
      <c r="C19" s="146" t="n"/>
      <c r="D19" s="146" t="n"/>
      <c r="E19" s="146" t="n"/>
      <c r="F19" s="146" t="n"/>
      <c r="G19" s="146" t="n"/>
      <c r="H19" s="146" t="n"/>
      <c r="I19" s="146" t="n"/>
      <c r="J19" s="146" t="n"/>
    </row>
    <row r="20" ht="19.95" customHeight="1" s="356">
      <c r="A20" s="148" t="n"/>
      <c r="B20" s="146" t="n"/>
      <c r="C20" s="146" t="n"/>
      <c r="D20" s="146" t="n"/>
      <c r="E20" s="146" t="n"/>
      <c r="F20" s="146" t="n"/>
      <c r="G20" s="146" t="n"/>
      <c r="H20" s="146" t="n"/>
      <c r="I20" s="146" t="n"/>
      <c r="J20" s="146" t="n"/>
    </row>
    <row r="21">
      <c r="A21" s="460" t="n"/>
      <c r="B21" s="460" t="n"/>
      <c r="C21" s="460" t="n"/>
      <c r="D21" s="461" t="n"/>
      <c r="E21" s="461" t="n"/>
      <c r="F21" s="461" t="n"/>
      <c r="G21" s="462" t="n"/>
      <c r="H21" s="462" t="n"/>
      <c r="I21" s="461" t="n"/>
      <c r="J21" s="153" t="n"/>
    </row>
    <row r="22">
      <c r="A22" s="334" t="inlineStr">
        <is>
          <t>【注：本底稿适用于调整分录较多、较复杂的项目，且仅列示与本报表项目相关的审计调整。项目组可根据项目实际情况选择是否使用该底稿。】</t>
        </is>
      </c>
      <c r="B22" s="0" t="n"/>
      <c r="C22" s="0" t="n"/>
      <c r="D22" s="0" t="n"/>
      <c r="E22" s="0" t="n"/>
      <c r="F22" s="0" t="n"/>
      <c r="G22" s="0" t="n"/>
      <c r="H22" s="0" t="n"/>
      <c r="I22" s="0" t="n"/>
      <c r="J22" s="0" t="n"/>
    </row>
  </sheetData>
  <mergeCells count="3">
    <mergeCell ref="A22:J22"/>
    <mergeCell ref="A1:J1"/>
    <mergeCell ref="A2:J2"/>
  </mergeCells>
  <dataValidations count="1">
    <dataValidation sqref="B6:B20" showDropDown="0" showInputMessage="1" showErrorMessage="1" allowBlank="1" type="list">
      <formula1>"账项调整,报表调整,其他"</formula1>
    </dataValidation>
  </dataValidations>
  <hyperlinks>
    <hyperlink ref="J3" location="底稿目录!A1" display="底稿目录!A1"/>
  </hyperlinks>
  <pageMargins left="0.7086614173228347" right="0.7086614173228347" top="0.7480314960629921" bottom="0.7480314960629921" header="0.3149606299212598" footer="0.3149606299212598"/>
  <pageSetup orientation="landscape" paperSize="9" scale="95" blackAndWhite="1"/>
</worksheet>
</file>

<file path=xl/worksheets/sheet7.xml><?xml version="1.0" encoding="utf-8"?>
<worksheet xmlns="http://schemas.openxmlformats.org/spreadsheetml/2006/main">
  <sheetPr codeName="Sheet9">
    <outlinePr summaryBelow="1" summaryRight="1"/>
    <pageSetUpPr/>
  </sheetPr>
  <dimension ref="A1:Q30"/>
  <sheetViews>
    <sheetView view="pageBreakPreview" zoomScaleNormal="115" zoomScaleSheetLayoutView="100" workbookViewId="0">
      <selection activeCell="P13" sqref="P13"/>
    </sheetView>
  </sheetViews>
  <sheetFormatPr baseColWidth="8" defaultColWidth="9" defaultRowHeight="13.8"/>
  <cols>
    <col width="15.796875" customWidth="1" style="282" min="1" max="1"/>
    <col width="8.09765625" customWidth="1" style="282" min="2" max="2"/>
    <col width="11" customWidth="1" style="282" min="3" max="3"/>
    <col width="10.69921875" customWidth="1" style="282" min="4" max="4"/>
    <col width="8.5" customWidth="1" style="282" min="5" max="5"/>
    <col width="11.19921875" customWidth="1" style="282" min="6" max="6"/>
    <col width="11.3984375" customWidth="1" style="282" min="7" max="7"/>
    <col width="10.09765625" customWidth="1" style="282" min="8" max="8"/>
    <col width="11.69921875" customWidth="1" style="282" min="9" max="9"/>
    <col width="10.59765625" customWidth="1" style="282" min="10" max="13"/>
    <col width="12.69921875" customWidth="1" style="282" min="14" max="14"/>
    <col width="9.19921875" customWidth="1" style="282" min="15" max="15"/>
    <col width="9" customWidth="1" style="282" min="16" max="16384"/>
  </cols>
  <sheetData>
    <row r="1" ht="19.95" customFormat="1" customHeight="1" s="284">
      <c r="A1" s="313" t="inlineStr">
        <is>
          <t>致同会计师事务所</t>
        </is>
      </c>
    </row>
    <row r="2" ht="19.95" customFormat="1" customHeight="1" s="18">
      <c r="A2" s="314" t="inlineStr">
        <is>
          <t>主营业务成本与上年度比较分析表</t>
        </is>
      </c>
      <c r="Q2" s="160" t="n"/>
    </row>
    <row r="3" ht="19.95" customHeight="1" s="356">
      <c r="A3" s="457">
        <f>底稿目录!A2</f>
        <v/>
      </c>
      <c r="B3" s="457" t="n"/>
      <c r="E3" s="457">
        <f>底稿目录!A4</f>
        <v/>
      </c>
      <c r="G3" s="282" t="n"/>
      <c r="I3" s="457">
        <f>底稿目录!A5</f>
        <v/>
      </c>
      <c r="N3" s="257" t="inlineStr">
        <is>
          <t>索引号：</t>
        </is>
      </c>
      <c r="O3" s="364">
        <f>底稿目录!F8</f>
        <v/>
      </c>
    </row>
    <row r="4" ht="19.95" customHeight="1" s="356">
      <c r="A4" s="457">
        <f>底稿目录!A3</f>
        <v/>
      </c>
      <c r="B4" s="21" t="n"/>
      <c r="E4" s="457">
        <f>底稿目录!A6</f>
        <v/>
      </c>
      <c r="G4" s="282" t="n"/>
      <c r="I4" s="457">
        <f>底稿目录!A7</f>
        <v/>
      </c>
      <c r="N4" s="257" t="inlineStr">
        <is>
          <t>页  次：</t>
        </is>
      </c>
      <c r="O4" s="282" t="n"/>
    </row>
    <row r="5" ht="19.95" customHeight="1" s="356">
      <c r="A5" s="41" t="inlineStr">
        <is>
          <t>一、审计目标：</t>
        </is>
      </c>
      <c r="D5" s="43" t="n"/>
      <c r="F5" s="282" t="n"/>
      <c r="G5" s="43" t="n"/>
      <c r="N5" s="257" t="n"/>
      <c r="O5" s="282" t="n"/>
    </row>
    <row r="6" ht="19.95" customHeight="1" s="356">
      <c r="A6" s="282" t="inlineStr">
        <is>
          <t>1.利润表中记录的营业成本已发生，且与被审计单位有关，已记录于恰当的账户；</t>
        </is>
      </c>
      <c r="D6" s="43" t="n"/>
      <c r="F6" s="282" t="n"/>
      <c r="G6" s="43" t="n"/>
      <c r="N6" s="257" t="n"/>
      <c r="O6" s="282" t="n"/>
    </row>
    <row r="7" ht="19.95" customHeight="1" s="356">
      <c r="A7" s="282" t="inlineStr">
        <is>
          <t>2. 所有应当记录的营业成本均已记录，所有应当包括在财务报表中的相关披露均已包括；3.营业成本已记录于正确的会计期间</t>
        </is>
      </c>
      <c r="B7" s="43" t="n"/>
      <c r="D7" s="43" t="n"/>
      <c r="F7" s="282" t="n"/>
      <c r="G7" s="43" t="n"/>
      <c r="N7" s="257" t="n"/>
      <c r="O7" s="282" t="n"/>
    </row>
    <row r="8" ht="19.95" customHeight="1" s="356">
      <c r="A8" s="41" t="inlineStr">
        <is>
          <t>二、审计过程：</t>
        </is>
      </c>
      <c r="D8" s="43" t="n"/>
      <c r="F8" s="282" t="n"/>
      <c r="G8" s="43" t="n"/>
      <c r="N8" s="257" t="n"/>
      <c r="O8" s="282" t="n"/>
    </row>
    <row r="9" ht="19.95" customFormat="1" customHeight="1" s="83">
      <c r="A9" s="338" t="inlineStr">
        <is>
          <t>产品</t>
        </is>
      </c>
      <c r="B9" s="463" t="inlineStr">
        <is>
          <t>本期数</t>
        </is>
      </c>
      <c r="C9" s="464" t="n"/>
      <c r="D9" s="433" t="n"/>
      <c r="E9" s="463" t="inlineStr">
        <is>
          <t>上期数</t>
        </is>
      </c>
      <c r="F9" s="464" t="n"/>
      <c r="G9" s="433" t="n"/>
      <c r="H9" s="463" t="inlineStr">
        <is>
          <t>变动额</t>
        </is>
      </c>
      <c r="I9" s="464" t="n"/>
      <c r="J9" s="433" t="n"/>
      <c r="K9" s="463" t="inlineStr">
        <is>
          <t>变动率</t>
        </is>
      </c>
      <c r="L9" s="464" t="n"/>
      <c r="M9" s="433" t="n"/>
      <c r="N9" s="338" t="inlineStr">
        <is>
          <t>差异原因分析</t>
        </is>
      </c>
      <c r="O9" s="430" t="n"/>
    </row>
    <row r="10" ht="19.95" customFormat="1" customHeight="1" s="83">
      <c r="A10" s="436" t="n"/>
      <c r="B10" s="338" t="inlineStr">
        <is>
          <t>数量</t>
        </is>
      </c>
      <c r="C10" s="338" t="inlineStr">
        <is>
          <t>平均单位成本</t>
        </is>
      </c>
      <c r="D10" s="338" t="inlineStr">
        <is>
          <t>总成本</t>
        </is>
      </c>
      <c r="E10" s="338" t="inlineStr">
        <is>
          <t>数量</t>
        </is>
      </c>
      <c r="F10" s="338" t="inlineStr">
        <is>
          <t>平均单位成本</t>
        </is>
      </c>
      <c r="G10" s="338" t="inlineStr">
        <is>
          <t>总成本</t>
        </is>
      </c>
      <c r="H10" s="338" t="inlineStr">
        <is>
          <t>数量</t>
        </is>
      </c>
      <c r="I10" s="338" t="inlineStr">
        <is>
          <t>平均单位成本</t>
        </is>
      </c>
      <c r="J10" s="338" t="inlineStr">
        <is>
          <t>总成本</t>
        </is>
      </c>
      <c r="K10" s="338" t="inlineStr">
        <is>
          <t>数量</t>
        </is>
      </c>
      <c r="L10" s="338" t="inlineStr">
        <is>
          <t>平均单位成本</t>
        </is>
      </c>
      <c r="M10" s="338" t="inlineStr">
        <is>
          <t>总成本</t>
        </is>
      </c>
      <c r="N10" s="281" t="inlineStr">
        <is>
          <t>变动原因</t>
        </is>
      </c>
      <c r="O10" s="281" t="inlineStr">
        <is>
          <t>索引号</t>
        </is>
      </c>
    </row>
    <row r="11" ht="19.95" customHeight="1" s="356">
      <c r="A11" s="216" t="n"/>
      <c r="B11" s="465" t="n"/>
      <c r="C11" s="465" t="n"/>
      <c r="D11" s="466">
        <f>B11*C11</f>
        <v/>
      </c>
      <c r="E11" s="465" t="n"/>
      <c r="F11" s="465" t="n"/>
      <c r="G11" s="466">
        <f>E11*F11</f>
        <v/>
      </c>
      <c r="H11" s="467">
        <f>B11-E11</f>
        <v/>
      </c>
      <c r="I11" s="467">
        <f>C11-F11</f>
        <v/>
      </c>
      <c r="J11" s="467">
        <f>D11-G11</f>
        <v/>
      </c>
      <c r="K11" s="246">
        <f>H11/E11</f>
        <v/>
      </c>
      <c r="L11" s="246">
        <f>I11/F11</f>
        <v/>
      </c>
      <c r="M11" s="246">
        <f>J11/G11</f>
        <v/>
      </c>
      <c r="N11" s="216" t="n"/>
      <c r="O11" s="217" t="n"/>
    </row>
    <row r="12" ht="19.95" customHeight="1" s="356">
      <c r="A12" s="44" t="n"/>
      <c r="B12" s="465" t="n"/>
      <c r="C12" s="465" t="n"/>
      <c r="D12" s="466">
        <f>B12*C12</f>
        <v/>
      </c>
      <c r="E12" s="465" t="n"/>
      <c r="F12" s="465" t="n"/>
      <c r="G12" s="466">
        <f>E12*F12</f>
        <v/>
      </c>
      <c r="H12" s="467">
        <f>B12-E12</f>
        <v/>
      </c>
      <c r="I12" s="467">
        <f>C12-F12</f>
        <v/>
      </c>
      <c r="J12" s="467">
        <f>D12-G12</f>
        <v/>
      </c>
      <c r="K12" s="246">
        <f>H12/E12</f>
        <v/>
      </c>
      <c r="L12" s="246">
        <f>I12/F12</f>
        <v/>
      </c>
      <c r="M12" s="246">
        <f>J12/G12</f>
        <v/>
      </c>
      <c r="N12" s="44" t="n"/>
      <c r="O12" s="217" t="n"/>
    </row>
    <row r="13" ht="19.95" customHeight="1" s="356">
      <c r="A13" s="44" t="n"/>
      <c r="B13" s="465" t="n"/>
      <c r="C13" s="465" t="n"/>
      <c r="D13" s="466">
        <f>B13*C13</f>
        <v/>
      </c>
      <c r="E13" s="465" t="n"/>
      <c r="F13" s="465" t="n"/>
      <c r="G13" s="466">
        <f>E13*F13</f>
        <v/>
      </c>
      <c r="H13" s="467">
        <f>B13-E13</f>
        <v/>
      </c>
      <c r="I13" s="467">
        <f>C13-F13</f>
        <v/>
      </c>
      <c r="J13" s="467">
        <f>D13-G13</f>
        <v/>
      </c>
      <c r="K13" s="246">
        <f>H13/E13</f>
        <v/>
      </c>
      <c r="L13" s="246">
        <f>I13/F13</f>
        <v/>
      </c>
      <c r="M13" s="246">
        <f>J13/G13</f>
        <v/>
      </c>
      <c r="N13" s="44" t="n"/>
      <c r="O13" s="217" t="n"/>
    </row>
    <row r="14" ht="19.95" customHeight="1" s="356">
      <c r="A14" s="44" t="n"/>
      <c r="B14" s="465" t="n"/>
      <c r="C14" s="465" t="n"/>
      <c r="D14" s="466">
        <f>B14*C14</f>
        <v/>
      </c>
      <c r="E14" s="465" t="n"/>
      <c r="F14" s="465" t="n"/>
      <c r="G14" s="466">
        <f>E14*F14</f>
        <v/>
      </c>
      <c r="H14" s="467">
        <f>B14-E14</f>
        <v/>
      </c>
      <c r="I14" s="467">
        <f>C14-F14</f>
        <v/>
      </c>
      <c r="J14" s="467">
        <f>D14-G14</f>
        <v/>
      </c>
      <c r="K14" s="246">
        <f>H14/E14</f>
        <v/>
      </c>
      <c r="L14" s="246">
        <f>I14/F14</f>
        <v/>
      </c>
      <c r="M14" s="246">
        <f>J14/G14</f>
        <v/>
      </c>
      <c r="N14" s="44" t="n"/>
      <c r="O14" s="217" t="n"/>
    </row>
    <row r="15" ht="19.95" customHeight="1" s="356">
      <c r="A15" s="44" t="n"/>
      <c r="B15" s="465" t="n"/>
      <c r="C15" s="465" t="n"/>
      <c r="D15" s="466">
        <f>B15*C15</f>
        <v/>
      </c>
      <c r="E15" s="465" t="n"/>
      <c r="F15" s="465" t="n"/>
      <c r="G15" s="466">
        <f>E15*F15</f>
        <v/>
      </c>
      <c r="H15" s="467">
        <f>B15-E15</f>
        <v/>
      </c>
      <c r="I15" s="467">
        <f>C15-F15</f>
        <v/>
      </c>
      <c r="J15" s="467">
        <f>D15-G15</f>
        <v/>
      </c>
      <c r="K15" s="246">
        <f>H15/E15</f>
        <v/>
      </c>
      <c r="L15" s="246">
        <f>I15/F15</f>
        <v/>
      </c>
      <c r="M15" s="246">
        <f>J15/G15</f>
        <v/>
      </c>
      <c r="N15" s="44" t="n"/>
      <c r="O15" s="217" t="n"/>
    </row>
    <row r="16" ht="19.95" customHeight="1" s="356">
      <c r="A16" s="44" t="n"/>
      <c r="B16" s="465" t="n"/>
      <c r="C16" s="465" t="n"/>
      <c r="D16" s="466">
        <f>B16*C16</f>
        <v/>
      </c>
      <c r="E16" s="465" t="n"/>
      <c r="F16" s="465" t="n"/>
      <c r="G16" s="466">
        <f>E16*F16</f>
        <v/>
      </c>
      <c r="H16" s="467">
        <f>B16-E16</f>
        <v/>
      </c>
      <c r="I16" s="467">
        <f>C16-F16</f>
        <v/>
      </c>
      <c r="J16" s="467">
        <f>D16-G16</f>
        <v/>
      </c>
      <c r="K16" s="246">
        <f>H16/E16</f>
        <v/>
      </c>
      <c r="L16" s="246">
        <f>I16/F16</f>
        <v/>
      </c>
      <c r="M16" s="246">
        <f>J16/G16</f>
        <v/>
      </c>
      <c r="N16" s="44" t="n"/>
      <c r="O16" s="217" t="n"/>
    </row>
    <row r="17" ht="19.95" customFormat="1" customHeight="1" s="251">
      <c r="A17" s="338" t="inlineStr">
        <is>
          <t>合计</t>
        </is>
      </c>
      <c r="B17" s="468" t="n"/>
      <c r="C17" s="468" t="n"/>
      <c r="D17" s="468">
        <f>SUM(D11:D16)</f>
        <v/>
      </c>
      <c r="E17" s="468" t="n"/>
      <c r="F17" s="468" t="n"/>
      <c r="G17" s="468">
        <f>SUM(G11:G16)</f>
        <v/>
      </c>
      <c r="H17" s="469" t="n"/>
      <c r="I17" s="469" t="n"/>
      <c r="J17" s="469">
        <f>D17-G17</f>
        <v/>
      </c>
      <c r="K17" s="248" t="n"/>
      <c r="L17" s="249" t="n"/>
      <c r="M17" s="249">
        <f>J17/G17</f>
        <v/>
      </c>
      <c r="N17" s="250" t="n"/>
      <c r="O17" s="339" t="n"/>
    </row>
    <row r="18" ht="19.95" customFormat="1" customHeight="1" s="48">
      <c r="A18" s="90" t="inlineStr">
        <is>
          <t>三、审计说明：</t>
        </is>
      </c>
      <c r="B18" s="91" t="n"/>
      <c r="C18" s="91" t="n"/>
      <c r="D18" s="91" t="n"/>
      <c r="E18" s="91" t="n"/>
      <c r="F18" s="91" t="n"/>
      <c r="G18" s="91" t="n"/>
      <c r="H18" s="91" t="n"/>
      <c r="I18" s="91" t="n"/>
      <c r="J18" s="91" t="n"/>
      <c r="K18" s="91" t="n"/>
      <c r="L18" s="91" t="n"/>
      <c r="M18" s="91" t="n"/>
      <c r="N18" s="91" t="n"/>
      <c r="O18" s="91" t="n"/>
    </row>
    <row r="19" ht="19.95" customFormat="1" customHeight="1" s="48">
      <c r="A19" s="92" t="n"/>
      <c r="B19" s="282" t="n"/>
      <c r="C19" s="282" t="n"/>
      <c r="D19" s="282" t="n"/>
      <c r="E19" s="282" t="n"/>
      <c r="F19" s="282" t="n"/>
      <c r="G19" s="282" t="n"/>
      <c r="H19" s="282" t="n"/>
      <c r="I19" s="282" t="n"/>
      <c r="J19" s="282" t="n"/>
      <c r="K19" s="282" t="n"/>
      <c r="L19" s="282" t="n"/>
      <c r="M19" s="282" t="n"/>
      <c r="N19" s="282" t="n"/>
      <c r="O19" s="282" t="n"/>
    </row>
    <row r="20" ht="19.95" customFormat="1" customHeight="1" s="48">
      <c r="A20" s="282" t="n"/>
      <c r="B20" s="282" t="n"/>
      <c r="C20" s="282" t="n"/>
      <c r="D20" s="282" t="n"/>
      <c r="E20" s="282" t="n"/>
      <c r="F20" s="282" t="n"/>
      <c r="G20" s="282" t="n"/>
      <c r="H20" s="282" t="n"/>
      <c r="I20" s="282" t="n"/>
      <c r="J20" s="282" t="n"/>
      <c r="K20" s="282" t="n"/>
      <c r="L20" s="282" t="n"/>
      <c r="M20" s="282" t="n"/>
      <c r="N20" s="282" t="n"/>
      <c r="O20" s="282" t="n"/>
    </row>
    <row r="21" ht="19.95" customFormat="1" customHeight="1" s="48">
      <c r="A21" s="282" t="n"/>
      <c r="B21" s="282" t="n"/>
      <c r="C21" s="282" t="n"/>
      <c r="D21" s="282" t="n"/>
      <c r="E21" s="282" t="n"/>
      <c r="F21" s="282" t="n"/>
      <c r="G21" s="282" t="n"/>
      <c r="H21" s="282" t="n"/>
      <c r="I21" s="282" t="n"/>
      <c r="J21" s="282" t="n"/>
      <c r="K21" s="282" t="n"/>
      <c r="L21" s="282" t="n"/>
      <c r="M21" s="282" t="n"/>
      <c r="N21" s="282" t="n"/>
      <c r="O21" s="282" t="n"/>
    </row>
    <row r="22" ht="19.95" customHeight="1" s="356">
      <c r="A22" s="41" t="inlineStr">
        <is>
          <t>四、审计结论：</t>
        </is>
      </c>
      <c r="B22" s="282" t="n"/>
      <c r="C22" s="282" t="n"/>
      <c r="D22" s="282" t="n"/>
      <c r="E22" s="282" t="n"/>
      <c r="F22" s="282" t="n"/>
      <c r="G22" s="282" t="n"/>
      <c r="H22" s="282" t="n"/>
      <c r="I22" s="282" t="n"/>
      <c r="J22" s="282" t="n"/>
      <c r="K22" s="282" t="n"/>
      <c r="L22" s="282" t="n"/>
      <c r="M22" s="282" t="n"/>
      <c r="N22" s="282" t="n"/>
      <c r="O22" s="282" t="n"/>
    </row>
    <row r="23" ht="19.95" customHeight="1" s="356">
      <c r="A23" s="43" t="n"/>
      <c r="B23" s="282" t="n"/>
      <c r="C23" s="282" t="n"/>
      <c r="D23" s="282" t="n"/>
      <c r="E23" s="282" t="n"/>
      <c r="F23" s="282" t="n"/>
      <c r="G23" s="282" t="n"/>
      <c r="H23" s="282" t="n"/>
      <c r="I23" s="282" t="n"/>
      <c r="J23" s="282" t="n"/>
      <c r="K23" s="282" t="n"/>
      <c r="L23" s="282" t="n"/>
      <c r="M23" s="282" t="n"/>
      <c r="N23" s="282" t="n"/>
      <c r="O23" s="282" t="n"/>
    </row>
    <row r="24" ht="19.95" customHeight="1" s="356">
      <c r="A24" s="43" t="n"/>
      <c r="B24" s="282" t="n"/>
      <c r="C24" s="282" t="n"/>
      <c r="D24" s="282" t="n"/>
      <c r="E24" s="282" t="n"/>
      <c r="F24" s="282" t="n"/>
      <c r="G24" s="282" t="n"/>
      <c r="H24" s="282" t="n"/>
      <c r="I24" s="282" t="n"/>
      <c r="J24" s="282" t="n"/>
      <c r="K24" s="282" t="n"/>
      <c r="L24" s="282" t="n"/>
      <c r="M24" s="282" t="n"/>
      <c r="N24" s="282" t="n"/>
      <c r="O24" s="282" t="n"/>
    </row>
    <row r="25" ht="20.1" customHeight="1" s="356">
      <c r="A25" s="43" t="n"/>
      <c r="B25" s="282" t="n"/>
      <c r="C25" s="282" t="n"/>
      <c r="D25" s="282" t="n"/>
      <c r="E25" s="282" t="n"/>
      <c r="F25" s="282" t="n"/>
      <c r="G25" s="282" t="n"/>
      <c r="H25" s="282" t="n"/>
      <c r="I25" s="282" t="n"/>
      <c r="J25" s="282" t="n"/>
      <c r="K25" s="282" t="n"/>
      <c r="L25" s="282" t="n"/>
      <c r="M25" s="282" t="n"/>
      <c r="N25" s="282" t="n"/>
      <c r="O25" s="282" t="n"/>
    </row>
    <row r="26" ht="15.75" customHeight="1" s="356">
      <c r="A26" s="43" t="n"/>
      <c r="B26" s="282" t="n"/>
      <c r="C26" s="282" t="n"/>
      <c r="D26" s="282" t="n"/>
      <c r="E26" s="282" t="n"/>
      <c r="F26" s="282" t="n"/>
      <c r="G26" s="282" t="n"/>
      <c r="H26" s="282" t="n"/>
      <c r="I26" s="282" t="n"/>
      <c r="J26" s="282" t="n"/>
      <c r="K26" s="282" t="n"/>
      <c r="L26" s="282" t="n"/>
      <c r="M26" s="282" t="n"/>
      <c r="N26" s="282" t="n"/>
      <c r="O26" s="282" t="n"/>
    </row>
    <row r="29">
      <c r="A29" s="46" t="n"/>
    </row>
    <row r="30">
      <c r="A30" s="47" t="n"/>
      <c r="B30" s="48" t="n"/>
      <c r="C30" s="48" t="n"/>
      <c r="D30" s="48" t="n"/>
      <c r="E30" s="48" t="n"/>
      <c r="F30" s="48" t="n"/>
      <c r="G30" s="48" t="n"/>
      <c r="H30" s="48" t="n"/>
      <c r="I30" s="48" t="n"/>
      <c r="J30" s="48" t="n"/>
      <c r="K30" s="48" t="n"/>
      <c r="L30" s="48" t="n"/>
      <c r="M30" s="48" t="n"/>
      <c r="N30" s="48" t="n"/>
      <c r="O30" s="49" t="n"/>
    </row>
  </sheetData>
  <mergeCells count="8">
    <mergeCell ref="N9:O9"/>
    <mergeCell ref="A2:O2"/>
    <mergeCell ref="K9:M9"/>
    <mergeCell ref="A9:A10"/>
    <mergeCell ref="A1:O1"/>
    <mergeCell ref="B9:D9"/>
    <mergeCell ref="E9:G9"/>
    <mergeCell ref="H9:J9"/>
  </mergeCells>
  <hyperlinks>
    <hyperlink ref="O3" location="底稿目录!A1" display="底稿目录!A1"/>
  </hyperlinks>
  <printOptions horizontalCentered="1"/>
  <pageMargins left="0.4330708661417323" right="0.3543307086614174" top="0.6692913385826772" bottom="0.5118110236220472" header="0.5118110236220472" footer="0.4330708661417323"/>
  <pageSetup orientation="landscape" paperSize="9" scale="75" fitToHeight="2" blackAndWhite="1"/>
  <headerFooter alignWithMargins="0">
    <oddHeader/>
    <oddFooter>&amp;C&amp;P/&amp;N</oddFooter>
    <evenHeader/>
    <evenFooter/>
    <firstHeader/>
    <firstFooter/>
  </headerFooter>
</worksheet>
</file>

<file path=xl/worksheets/sheet8.xml><?xml version="1.0" encoding="utf-8"?>
<worksheet xmlns="http://schemas.openxmlformats.org/spreadsheetml/2006/main">
  <sheetPr codeName="Sheet11">
    <outlinePr summaryBelow="1" summaryRight="1"/>
    <pageSetUpPr fitToPage="1"/>
  </sheetPr>
  <dimension ref="A1:P81"/>
  <sheetViews>
    <sheetView view="pageBreakPreview" topLeftCell="A10" zoomScaleSheetLayoutView="100" workbookViewId="0">
      <selection activeCell="P11" sqref="P11"/>
    </sheetView>
  </sheetViews>
  <sheetFormatPr baseColWidth="8" defaultRowHeight="15.9" customHeight="1"/>
  <cols>
    <col width="13.5" customWidth="1" style="66" min="1" max="1"/>
    <col width="9.5" customWidth="1" style="66" min="2" max="12"/>
    <col width="11.3984375" customWidth="1" style="66" min="13" max="13"/>
    <col width="10.5" customWidth="1" style="66" min="14" max="14"/>
    <col width="11.8984375" customWidth="1" style="66" min="15" max="15"/>
    <col width="11.09765625" customWidth="1" style="66" min="16" max="16"/>
    <col width="11.3984375" bestFit="1" customWidth="1" style="66" min="17" max="57"/>
    <col width="10.3984375" customWidth="1" style="66" min="58" max="58"/>
    <col width="9" customWidth="1" style="66" min="59" max="256"/>
    <col width="13.5" customWidth="1" style="66" min="257" max="257"/>
    <col width="9.5" customWidth="1" style="66" min="258" max="269"/>
    <col width="10.5" customWidth="1" style="66" min="270" max="270"/>
    <col width="11.8984375" customWidth="1" style="66" min="271" max="271"/>
    <col width="11.09765625" customWidth="1" style="66" min="272" max="272"/>
    <col width="11.3984375" bestFit="1" customWidth="1" style="66" min="273" max="313"/>
    <col width="10.3984375" customWidth="1" style="66" min="314" max="314"/>
    <col width="9" customWidth="1" style="66" min="315" max="512"/>
    <col width="13.5" customWidth="1" style="66" min="513" max="513"/>
    <col width="9.5" customWidth="1" style="66" min="514" max="525"/>
    <col width="10.5" customWidth="1" style="66" min="526" max="526"/>
    <col width="11.8984375" customWidth="1" style="66" min="527" max="527"/>
    <col width="11.09765625" customWidth="1" style="66" min="528" max="528"/>
    <col width="11.3984375" bestFit="1" customWidth="1" style="66" min="529" max="569"/>
    <col width="10.3984375" customWidth="1" style="66" min="570" max="570"/>
    <col width="9" customWidth="1" style="66" min="571" max="768"/>
    <col width="13.5" customWidth="1" style="66" min="769" max="769"/>
    <col width="9.5" customWidth="1" style="66" min="770" max="781"/>
    <col width="10.5" customWidth="1" style="66" min="782" max="782"/>
    <col width="11.8984375" customWidth="1" style="66" min="783" max="783"/>
    <col width="11.09765625" customWidth="1" style="66" min="784" max="784"/>
    <col width="11.3984375" bestFit="1" customWidth="1" style="66" min="785" max="825"/>
    <col width="10.3984375" customWidth="1" style="66" min="826" max="826"/>
    <col width="9" customWidth="1" style="66" min="827" max="1024"/>
    <col width="13.5" customWidth="1" style="66" min="1025" max="1025"/>
    <col width="9.5" customWidth="1" style="66" min="1026" max="1037"/>
    <col width="10.5" customWidth="1" style="66" min="1038" max="1038"/>
    <col width="11.8984375" customWidth="1" style="66" min="1039" max="1039"/>
    <col width="11.09765625" customWidth="1" style="66" min="1040" max="1040"/>
    <col width="11.3984375" bestFit="1" customWidth="1" style="66" min="1041" max="1081"/>
    <col width="10.3984375" customWidth="1" style="66" min="1082" max="1082"/>
    <col width="9" customWidth="1" style="66" min="1083" max="1280"/>
    <col width="13.5" customWidth="1" style="66" min="1281" max="1281"/>
    <col width="9.5" customWidth="1" style="66" min="1282" max="1293"/>
    <col width="10.5" customWidth="1" style="66" min="1294" max="1294"/>
    <col width="11.8984375" customWidth="1" style="66" min="1295" max="1295"/>
    <col width="11.09765625" customWidth="1" style="66" min="1296" max="1296"/>
    <col width="11.3984375" bestFit="1" customWidth="1" style="66" min="1297" max="1337"/>
    <col width="10.3984375" customWidth="1" style="66" min="1338" max="1338"/>
    <col width="9" customWidth="1" style="66" min="1339" max="1536"/>
    <col width="13.5" customWidth="1" style="66" min="1537" max="1537"/>
    <col width="9.5" customWidth="1" style="66" min="1538" max="1549"/>
    <col width="10.5" customWidth="1" style="66" min="1550" max="1550"/>
    <col width="11.8984375" customWidth="1" style="66" min="1551" max="1551"/>
    <col width="11.09765625" customWidth="1" style="66" min="1552" max="1552"/>
    <col width="11.3984375" bestFit="1" customWidth="1" style="66" min="1553" max="1593"/>
    <col width="10.3984375" customWidth="1" style="66" min="1594" max="1594"/>
    <col width="9" customWidth="1" style="66" min="1595" max="1792"/>
    <col width="13.5" customWidth="1" style="66" min="1793" max="1793"/>
    <col width="9.5" customWidth="1" style="66" min="1794" max="1805"/>
    <col width="10.5" customWidth="1" style="66" min="1806" max="1806"/>
    <col width="11.8984375" customWidth="1" style="66" min="1807" max="1807"/>
    <col width="11.09765625" customWidth="1" style="66" min="1808" max="1808"/>
    <col width="11.3984375" bestFit="1" customWidth="1" style="66" min="1809" max="1849"/>
    <col width="10.3984375" customWidth="1" style="66" min="1850" max="1850"/>
    <col width="9" customWidth="1" style="66" min="1851" max="2048"/>
    <col width="13.5" customWidth="1" style="66" min="2049" max="2049"/>
    <col width="9.5" customWidth="1" style="66" min="2050" max="2061"/>
    <col width="10.5" customWidth="1" style="66" min="2062" max="2062"/>
    <col width="11.8984375" customWidth="1" style="66" min="2063" max="2063"/>
    <col width="11.09765625" customWidth="1" style="66" min="2064" max="2064"/>
    <col width="11.3984375" bestFit="1" customWidth="1" style="66" min="2065" max="2105"/>
    <col width="10.3984375" customWidth="1" style="66" min="2106" max="2106"/>
    <col width="9" customWidth="1" style="66" min="2107" max="2304"/>
    <col width="13.5" customWidth="1" style="66" min="2305" max="2305"/>
    <col width="9.5" customWidth="1" style="66" min="2306" max="2317"/>
    <col width="10.5" customWidth="1" style="66" min="2318" max="2318"/>
    <col width="11.8984375" customWidth="1" style="66" min="2319" max="2319"/>
    <col width="11.09765625" customWidth="1" style="66" min="2320" max="2320"/>
    <col width="11.3984375" bestFit="1" customWidth="1" style="66" min="2321" max="2361"/>
    <col width="10.3984375" customWidth="1" style="66" min="2362" max="2362"/>
    <col width="9" customWidth="1" style="66" min="2363" max="2560"/>
    <col width="13.5" customWidth="1" style="66" min="2561" max="2561"/>
    <col width="9.5" customWidth="1" style="66" min="2562" max="2573"/>
    <col width="10.5" customWidth="1" style="66" min="2574" max="2574"/>
    <col width="11.8984375" customWidth="1" style="66" min="2575" max="2575"/>
    <col width="11.09765625" customWidth="1" style="66" min="2576" max="2576"/>
    <col width="11.3984375" bestFit="1" customWidth="1" style="66" min="2577" max="2617"/>
    <col width="10.3984375" customWidth="1" style="66" min="2618" max="2618"/>
    <col width="9" customWidth="1" style="66" min="2619" max="2816"/>
    <col width="13.5" customWidth="1" style="66" min="2817" max="2817"/>
    <col width="9.5" customWidth="1" style="66" min="2818" max="2829"/>
    <col width="10.5" customWidth="1" style="66" min="2830" max="2830"/>
    <col width="11.8984375" customWidth="1" style="66" min="2831" max="2831"/>
    <col width="11.09765625" customWidth="1" style="66" min="2832" max="2832"/>
    <col width="11.3984375" bestFit="1" customWidth="1" style="66" min="2833" max="2873"/>
    <col width="10.3984375" customWidth="1" style="66" min="2874" max="2874"/>
    <col width="9" customWidth="1" style="66" min="2875" max="3072"/>
    <col width="13.5" customWidth="1" style="66" min="3073" max="3073"/>
    <col width="9.5" customWidth="1" style="66" min="3074" max="3085"/>
    <col width="10.5" customWidth="1" style="66" min="3086" max="3086"/>
    <col width="11.8984375" customWidth="1" style="66" min="3087" max="3087"/>
    <col width="11.09765625" customWidth="1" style="66" min="3088" max="3088"/>
    <col width="11.3984375" bestFit="1" customWidth="1" style="66" min="3089" max="3129"/>
    <col width="10.3984375" customWidth="1" style="66" min="3130" max="3130"/>
    <col width="9" customWidth="1" style="66" min="3131" max="3328"/>
    <col width="13.5" customWidth="1" style="66" min="3329" max="3329"/>
    <col width="9.5" customWidth="1" style="66" min="3330" max="3341"/>
    <col width="10.5" customWidth="1" style="66" min="3342" max="3342"/>
    <col width="11.8984375" customWidth="1" style="66" min="3343" max="3343"/>
    <col width="11.09765625" customWidth="1" style="66" min="3344" max="3344"/>
    <col width="11.3984375" bestFit="1" customWidth="1" style="66" min="3345" max="3385"/>
    <col width="10.3984375" customWidth="1" style="66" min="3386" max="3386"/>
    <col width="9" customWidth="1" style="66" min="3387" max="3584"/>
    <col width="13.5" customWidth="1" style="66" min="3585" max="3585"/>
    <col width="9.5" customWidth="1" style="66" min="3586" max="3597"/>
    <col width="10.5" customWidth="1" style="66" min="3598" max="3598"/>
    <col width="11.8984375" customWidth="1" style="66" min="3599" max="3599"/>
    <col width="11.09765625" customWidth="1" style="66" min="3600" max="3600"/>
    <col width="11.3984375" bestFit="1" customWidth="1" style="66" min="3601" max="3641"/>
    <col width="10.3984375" customWidth="1" style="66" min="3642" max="3642"/>
    <col width="9" customWidth="1" style="66" min="3643" max="3840"/>
    <col width="13.5" customWidth="1" style="66" min="3841" max="3841"/>
    <col width="9.5" customWidth="1" style="66" min="3842" max="3853"/>
    <col width="10.5" customWidth="1" style="66" min="3854" max="3854"/>
    <col width="11.8984375" customWidth="1" style="66" min="3855" max="3855"/>
    <col width="11.09765625" customWidth="1" style="66" min="3856" max="3856"/>
    <col width="11.3984375" bestFit="1" customWidth="1" style="66" min="3857" max="3897"/>
    <col width="10.3984375" customWidth="1" style="66" min="3898" max="3898"/>
    <col width="9" customWidth="1" style="66" min="3899" max="4096"/>
    <col width="13.5" customWidth="1" style="66" min="4097" max="4097"/>
    <col width="9.5" customWidth="1" style="66" min="4098" max="4109"/>
    <col width="10.5" customWidth="1" style="66" min="4110" max="4110"/>
    <col width="11.8984375" customWidth="1" style="66" min="4111" max="4111"/>
    <col width="11.09765625" customWidth="1" style="66" min="4112" max="4112"/>
    <col width="11.3984375" bestFit="1" customWidth="1" style="66" min="4113" max="4153"/>
    <col width="10.3984375" customWidth="1" style="66" min="4154" max="4154"/>
    <col width="9" customWidth="1" style="66" min="4155" max="4352"/>
    <col width="13.5" customWidth="1" style="66" min="4353" max="4353"/>
    <col width="9.5" customWidth="1" style="66" min="4354" max="4365"/>
    <col width="10.5" customWidth="1" style="66" min="4366" max="4366"/>
    <col width="11.8984375" customWidth="1" style="66" min="4367" max="4367"/>
    <col width="11.09765625" customWidth="1" style="66" min="4368" max="4368"/>
    <col width="11.3984375" bestFit="1" customWidth="1" style="66" min="4369" max="4409"/>
    <col width="10.3984375" customWidth="1" style="66" min="4410" max="4410"/>
    <col width="9" customWidth="1" style="66" min="4411" max="4608"/>
    <col width="13.5" customWidth="1" style="66" min="4609" max="4609"/>
    <col width="9.5" customWidth="1" style="66" min="4610" max="4621"/>
    <col width="10.5" customWidth="1" style="66" min="4622" max="4622"/>
    <col width="11.8984375" customWidth="1" style="66" min="4623" max="4623"/>
    <col width="11.09765625" customWidth="1" style="66" min="4624" max="4624"/>
    <col width="11.3984375" bestFit="1" customWidth="1" style="66" min="4625" max="4665"/>
    <col width="10.3984375" customWidth="1" style="66" min="4666" max="4666"/>
    <col width="9" customWidth="1" style="66" min="4667" max="4864"/>
    <col width="13.5" customWidth="1" style="66" min="4865" max="4865"/>
    <col width="9.5" customWidth="1" style="66" min="4866" max="4877"/>
    <col width="10.5" customWidth="1" style="66" min="4878" max="4878"/>
    <col width="11.8984375" customWidth="1" style="66" min="4879" max="4879"/>
    <col width="11.09765625" customWidth="1" style="66" min="4880" max="4880"/>
    <col width="11.3984375" bestFit="1" customWidth="1" style="66" min="4881" max="4921"/>
    <col width="10.3984375" customWidth="1" style="66" min="4922" max="4922"/>
    <col width="9" customWidth="1" style="66" min="4923" max="5120"/>
    <col width="13.5" customWidth="1" style="66" min="5121" max="5121"/>
    <col width="9.5" customWidth="1" style="66" min="5122" max="5133"/>
    <col width="10.5" customWidth="1" style="66" min="5134" max="5134"/>
    <col width="11.8984375" customWidth="1" style="66" min="5135" max="5135"/>
    <col width="11.09765625" customWidth="1" style="66" min="5136" max="5136"/>
    <col width="11.3984375" bestFit="1" customWidth="1" style="66" min="5137" max="5177"/>
    <col width="10.3984375" customWidth="1" style="66" min="5178" max="5178"/>
    <col width="9" customWidth="1" style="66" min="5179" max="5376"/>
    <col width="13.5" customWidth="1" style="66" min="5377" max="5377"/>
    <col width="9.5" customWidth="1" style="66" min="5378" max="5389"/>
    <col width="10.5" customWidth="1" style="66" min="5390" max="5390"/>
    <col width="11.8984375" customWidth="1" style="66" min="5391" max="5391"/>
    <col width="11.09765625" customWidth="1" style="66" min="5392" max="5392"/>
    <col width="11.3984375" bestFit="1" customWidth="1" style="66" min="5393" max="5433"/>
    <col width="10.3984375" customWidth="1" style="66" min="5434" max="5434"/>
    <col width="9" customWidth="1" style="66" min="5435" max="5632"/>
    <col width="13.5" customWidth="1" style="66" min="5633" max="5633"/>
    <col width="9.5" customWidth="1" style="66" min="5634" max="5645"/>
    <col width="10.5" customWidth="1" style="66" min="5646" max="5646"/>
    <col width="11.8984375" customWidth="1" style="66" min="5647" max="5647"/>
    <col width="11.09765625" customWidth="1" style="66" min="5648" max="5648"/>
    <col width="11.3984375" bestFit="1" customWidth="1" style="66" min="5649" max="5689"/>
    <col width="10.3984375" customWidth="1" style="66" min="5690" max="5690"/>
    <col width="9" customWidth="1" style="66" min="5691" max="5888"/>
    <col width="13.5" customWidth="1" style="66" min="5889" max="5889"/>
    <col width="9.5" customWidth="1" style="66" min="5890" max="5901"/>
    <col width="10.5" customWidth="1" style="66" min="5902" max="5902"/>
    <col width="11.8984375" customWidth="1" style="66" min="5903" max="5903"/>
    <col width="11.09765625" customWidth="1" style="66" min="5904" max="5904"/>
    <col width="11.3984375" bestFit="1" customWidth="1" style="66" min="5905" max="5945"/>
    <col width="10.3984375" customWidth="1" style="66" min="5946" max="5946"/>
    <col width="9" customWidth="1" style="66" min="5947" max="6144"/>
    <col width="13.5" customWidth="1" style="66" min="6145" max="6145"/>
    <col width="9.5" customWidth="1" style="66" min="6146" max="6157"/>
    <col width="10.5" customWidth="1" style="66" min="6158" max="6158"/>
    <col width="11.8984375" customWidth="1" style="66" min="6159" max="6159"/>
    <col width="11.09765625" customWidth="1" style="66" min="6160" max="6160"/>
    <col width="11.3984375" bestFit="1" customWidth="1" style="66" min="6161" max="6201"/>
    <col width="10.3984375" customWidth="1" style="66" min="6202" max="6202"/>
    <col width="9" customWidth="1" style="66" min="6203" max="6400"/>
    <col width="13.5" customWidth="1" style="66" min="6401" max="6401"/>
    <col width="9.5" customWidth="1" style="66" min="6402" max="6413"/>
    <col width="10.5" customWidth="1" style="66" min="6414" max="6414"/>
    <col width="11.8984375" customWidth="1" style="66" min="6415" max="6415"/>
    <col width="11.09765625" customWidth="1" style="66" min="6416" max="6416"/>
    <col width="11.3984375" bestFit="1" customWidth="1" style="66" min="6417" max="6457"/>
    <col width="10.3984375" customWidth="1" style="66" min="6458" max="6458"/>
    <col width="9" customWidth="1" style="66" min="6459" max="6656"/>
    <col width="13.5" customWidth="1" style="66" min="6657" max="6657"/>
    <col width="9.5" customWidth="1" style="66" min="6658" max="6669"/>
    <col width="10.5" customWidth="1" style="66" min="6670" max="6670"/>
    <col width="11.8984375" customWidth="1" style="66" min="6671" max="6671"/>
    <col width="11.09765625" customWidth="1" style="66" min="6672" max="6672"/>
    <col width="11.3984375" bestFit="1" customWidth="1" style="66" min="6673" max="6713"/>
    <col width="10.3984375" customWidth="1" style="66" min="6714" max="6714"/>
    <col width="9" customWidth="1" style="66" min="6715" max="6912"/>
    <col width="13.5" customWidth="1" style="66" min="6913" max="6913"/>
    <col width="9.5" customWidth="1" style="66" min="6914" max="6925"/>
    <col width="10.5" customWidth="1" style="66" min="6926" max="6926"/>
    <col width="11.8984375" customWidth="1" style="66" min="6927" max="6927"/>
    <col width="11.09765625" customWidth="1" style="66" min="6928" max="6928"/>
    <col width="11.3984375" bestFit="1" customWidth="1" style="66" min="6929" max="6969"/>
    <col width="10.3984375" customWidth="1" style="66" min="6970" max="6970"/>
    <col width="9" customWidth="1" style="66" min="6971" max="7168"/>
    <col width="13.5" customWidth="1" style="66" min="7169" max="7169"/>
    <col width="9.5" customWidth="1" style="66" min="7170" max="7181"/>
    <col width="10.5" customWidth="1" style="66" min="7182" max="7182"/>
    <col width="11.8984375" customWidth="1" style="66" min="7183" max="7183"/>
    <col width="11.09765625" customWidth="1" style="66" min="7184" max="7184"/>
    <col width="11.3984375" bestFit="1" customWidth="1" style="66" min="7185" max="7225"/>
    <col width="10.3984375" customWidth="1" style="66" min="7226" max="7226"/>
    <col width="9" customWidth="1" style="66" min="7227" max="7424"/>
    <col width="13.5" customWidth="1" style="66" min="7425" max="7425"/>
    <col width="9.5" customWidth="1" style="66" min="7426" max="7437"/>
    <col width="10.5" customWidth="1" style="66" min="7438" max="7438"/>
    <col width="11.8984375" customWidth="1" style="66" min="7439" max="7439"/>
    <col width="11.09765625" customWidth="1" style="66" min="7440" max="7440"/>
    <col width="11.3984375" bestFit="1" customWidth="1" style="66" min="7441" max="7481"/>
    <col width="10.3984375" customWidth="1" style="66" min="7482" max="7482"/>
    <col width="9" customWidth="1" style="66" min="7483" max="7680"/>
    <col width="13.5" customWidth="1" style="66" min="7681" max="7681"/>
    <col width="9.5" customWidth="1" style="66" min="7682" max="7693"/>
    <col width="10.5" customWidth="1" style="66" min="7694" max="7694"/>
    <col width="11.8984375" customWidth="1" style="66" min="7695" max="7695"/>
    <col width="11.09765625" customWidth="1" style="66" min="7696" max="7696"/>
    <col width="11.3984375" bestFit="1" customWidth="1" style="66" min="7697" max="7737"/>
    <col width="10.3984375" customWidth="1" style="66" min="7738" max="7738"/>
    <col width="9" customWidth="1" style="66" min="7739" max="7936"/>
    <col width="13.5" customWidth="1" style="66" min="7937" max="7937"/>
    <col width="9.5" customWidth="1" style="66" min="7938" max="7949"/>
    <col width="10.5" customWidth="1" style="66" min="7950" max="7950"/>
    <col width="11.8984375" customWidth="1" style="66" min="7951" max="7951"/>
    <col width="11.09765625" customWidth="1" style="66" min="7952" max="7952"/>
    <col width="11.3984375" bestFit="1" customWidth="1" style="66" min="7953" max="7993"/>
    <col width="10.3984375" customWidth="1" style="66" min="7994" max="7994"/>
    <col width="9" customWidth="1" style="66" min="7995" max="8192"/>
    <col width="13.5" customWidth="1" style="66" min="8193" max="8193"/>
    <col width="9.5" customWidth="1" style="66" min="8194" max="8205"/>
    <col width="10.5" customWidth="1" style="66" min="8206" max="8206"/>
    <col width="11.8984375" customWidth="1" style="66" min="8207" max="8207"/>
    <col width="11.09765625" customWidth="1" style="66" min="8208" max="8208"/>
    <col width="11.3984375" bestFit="1" customWidth="1" style="66" min="8209" max="8249"/>
    <col width="10.3984375" customWidth="1" style="66" min="8250" max="8250"/>
    <col width="9" customWidth="1" style="66" min="8251" max="8448"/>
    <col width="13.5" customWidth="1" style="66" min="8449" max="8449"/>
    <col width="9.5" customWidth="1" style="66" min="8450" max="8461"/>
    <col width="10.5" customWidth="1" style="66" min="8462" max="8462"/>
    <col width="11.8984375" customWidth="1" style="66" min="8463" max="8463"/>
    <col width="11.09765625" customWidth="1" style="66" min="8464" max="8464"/>
    <col width="11.3984375" bestFit="1" customWidth="1" style="66" min="8465" max="8505"/>
    <col width="10.3984375" customWidth="1" style="66" min="8506" max="8506"/>
    <col width="9" customWidth="1" style="66" min="8507" max="8704"/>
    <col width="13.5" customWidth="1" style="66" min="8705" max="8705"/>
    <col width="9.5" customWidth="1" style="66" min="8706" max="8717"/>
    <col width="10.5" customWidth="1" style="66" min="8718" max="8718"/>
    <col width="11.8984375" customWidth="1" style="66" min="8719" max="8719"/>
    <col width="11.09765625" customWidth="1" style="66" min="8720" max="8720"/>
    <col width="11.3984375" bestFit="1" customWidth="1" style="66" min="8721" max="8761"/>
    <col width="10.3984375" customWidth="1" style="66" min="8762" max="8762"/>
    <col width="9" customWidth="1" style="66" min="8763" max="8960"/>
    <col width="13.5" customWidth="1" style="66" min="8961" max="8961"/>
    <col width="9.5" customWidth="1" style="66" min="8962" max="8973"/>
    <col width="10.5" customWidth="1" style="66" min="8974" max="8974"/>
    <col width="11.8984375" customWidth="1" style="66" min="8975" max="8975"/>
    <col width="11.09765625" customWidth="1" style="66" min="8976" max="8976"/>
    <col width="11.3984375" bestFit="1" customWidth="1" style="66" min="8977" max="9017"/>
    <col width="10.3984375" customWidth="1" style="66" min="9018" max="9018"/>
    <col width="9" customWidth="1" style="66" min="9019" max="9216"/>
    <col width="13.5" customWidth="1" style="66" min="9217" max="9217"/>
    <col width="9.5" customWidth="1" style="66" min="9218" max="9229"/>
    <col width="10.5" customWidth="1" style="66" min="9230" max="9230"/>
    <col width="11.8984375" customWidth="1" style="66" min="9231" max="9231"/>
    <col width="11.09765625" customWidth="1" style="66" min="9232" max="9232"/>
    <col width="11.3984375" bestFit="1" customWidth="1" style="66" min="9233" max="9273"/>
    <col width="10.3984375" customWidth="1" style="66" min="9274" max="9274"/>
    <col width="9" customWidth="1" style="66" min="9275" max="9472"/>
    <col width="13.5" customWidth="1" style="66" min="9473" max="9473"/>
    <col width="9.5" customWidth="1" style="66" min="9474" max="9485"/>
    <col width="10.5" customWidth="1" style="66" min="9486" max="9486"/>
    <col width="11.8984375" customWidth="1" style="66" min="9487" max="9487"/>
    <col width="11.09765625" customWidth="1" style="66" min="9488" max="9488"/>
    <col width="11.3984375" bestFit="1" customWidth="1" style="66" min="9489" max="9529"/>
    <col width="10.3984375" customWidth="1" style="66" min="9530" max="9530"/>
    <col width="9" customWidth="1" style="66" min="9531" max="9728"/>
    <col width="13.5" customWidth="1" style="66" min="9729" max="9729"/>
    <col width="9.5" customWidth="1" style="66" min="9730" max="9741"/>
    <col width="10.5" customWidth="1" style="66" min="9742" max="9742"/>
    <col width="11.8984375" customWidth="1" style="66" min="9743" max="9743"/>
    <col width="11.09765625" customWidth="1" style="66" min="9744" max="9744"/>
    <col width="11.3984375" bestFit="1" customWidth="1" style="66" min="9745" max="9785"/>
    <col width="10.3984375" customWidth="1" style="66" min="9786" max="9786"/>
    <col width="9" customWidth="1" style="66" min="9787" max="9984"/>
    <col width="13.5" customWidth="1" style="66" min="9985" max="9985"/>
    <col width="9.5" customWidth="1" style="66" min="9986" max="9997"/>
    <col width="10.5" customWidth="1" style="66" min="9998" max="9998"/>
    <col width="11.8984375" customWidth="1" style="66" min="9999" max="9999"/>
    <col width="11.09765625" customWidth="1" style="66" min="10000" max="10000"/>
    <col width="11.3984375" bestFit="1" customWidth="1" style="66" min="10001" max="10041"/>
    <col width="10.3984375" customWidth="1" style="66" min="10042" max="10042"/>
    <col width="9" customWidth="1" style="66" min="10043" max="10240"/>
    <col width="13.5" customWidth="1" style="66" min="10241" max="10241"/>
    <col width="9.5" customWidth="1" style="66" min="10242" max="10253"/>
    <col width="10.5" customWidth="1" style="66" min="10254" max="10254"/>
    <col width="11.8984375" customWidth="1" style="66" min="10255" max="10255"/>
    <col width="11.09765625" customWidth="1" style="66" min="10256" max="10256"/>
    <col width="11.3984375" bestFit="1" customWidth="1" style="66" min="10257" max="10297"/>
    <col width="10.3984375" customWidth="1" style="66" min="10298" max="10298"/>
    <col width="9" customWidth="1" style="66" min="10299" max="10496"/>
    <col width="13.5" customWidth="1" style="66" min="10497" max="10497"/>
    <col width="9.5" customWidth="1" style="66" min="10498" max="10509"/>
    <col width="10.5" customWidth="1" style="66" min="10510" max="10510"/>
    <col width="11.8984375" customWidth="1" style="66" min="10511" max="10511"/>
    <col width="11.09765625" customWidth="1" style="66" min="10512" max="10512"/>
    <col width="11.3984375" bestFit="1" customWidth="1" style="66" min="10513" max="10553"/>
    <col width="10.3984375" customWidth="1" style="66" min="10554" max="10554"/>
    <col width="9" customWidth="1" style="66" min="10555" max="10752"/>
    <col width="13.5" customWidth="1" style="66" min="10753" max="10753"/>
    <col width="9.5" customWidth="1" style="66" min="10754" max="10765"/>
    <col width="10.5" customWidth="1" style="66" min="10766" max="10766"/>
    <col width="11.8984375" customWidth="1" style="66" min="10767" max="10767"/>
    <col width="11.09765625" customWidth="1" style="66" min="10768" max="10768"/>
    <col width="11.3984375" bestFit="1" customWidth="1" style="66" min="10769" max="10809"/>
    <col width="10.3984375" customWidth="1" style="66" min="10810" max="10810"/>
    <col width="9" customWidth="1" style="66" min="10811" max="11008"/>
    <col width="13.5" customWidth="1" style="66" min="11009" max="11009"/>
    <col width="9.5" customWidth="1" style="66" min="11010" max="11021"/>
    <col width="10.5" customWidth="1" style="66" min="11022" max="11022"/>
    <col width="11.8984375" customWidth="1" style="66" min="11023" max="11023"/>
    <col width="11.09765625" customWidth="1" style="66" min="11024" max="11024"/>
    <col width="11.3984375" bestFit="1" customWidth="1" style="66" min="11025" max="11065"/>
    <col width="10.3984375" customWidth="1" style="66" min="11066" max="11066"/>
    <col width="9" customWidth="1" style="66" min="11067" max="11264"/>
    <col width="13.5" customWidth="1" style="66" min="11265" max="11265"/>
    <col width="9.5" customWidth="1" style="66" min="11266" max="11277"/>
    <col width="10.5" customWidth="1" style="66" min="11278" max="11278"/>
    <col width="11.8984375" customWidth="1" style="66" min="11279" max="11279"/>
    <col width="11.09765625" customWidth="1" style="66" min="11280" max="11280"/>
    <col width="11.3984375" bestFit="1" customWidth="1" style="66" min="11281" max="11321"/>
    <col width="10.3984375" customWidth="1" style="66" min="11322" max="11322"/>
    <col width="9" customWidth="1" style="66" min="11323" max="11520"/>
    <col width="13.5" customWidth="1" style="66" min="11521" max="11521"/>
    <col width="9.5" customWidth="1" style="66" min="11522" max="11533"/>
    <col width="10.5" customWidth="1" style="66" min="11534" max="11534"/>
    <col width="11.8984375" customWidth="1" style="66" min="11535" max="11535"/>
    <col width="11.09765625" customWidth="1" style="66" min="11536" max="11536"/>
    <col width="11.3984375" bestFit="1" customWidth="1" style="66" min="11537" max="11577"/>
    <col width="10.3984375" customWidth="1" style="66" min="11578" max="11578"/>
    <col width="9" customWidth="1" style="66" min="11579" max="11776"/>
    <col width="13.5" customWidth="1" style="66" min="11777" max="11777"/>
    <col width="9.5" customWidth="1" style="66" min="11778" max="11789"/>
    <col width="10.5" customWidth="1" style="66" min="11790" max="11790"/>
    <col width="11.8984375" customWidth="1" style="66" min="11791" max="11791"/>
    <col width="11.09765625" customWidth="1" style="66" min="11792" max="11792"/>
    <col width="11.3984375" bestFit="1" customWidth="1" style="66" min="11793" max="11833"/>
    <col width="10.3984375" customWidth="1" style="66" min="11834" max="11834"/>
    <col width="9" customWidth="1" style="66" min="11835" max="12032"/>
    <col width="13.5" customWidth="1" style="66" min="12033" max="12033"/>
    <col width="9.5" customWidth="1" style="66" min="12034" max="12045"/>
    <col width="10.5" customWidth="1" style="66" min="12046" max="12046"/>
    <col width="11.8984375" customWidth="1" style="66" min="12047" max="12047"/>
    <col width="11.09765625" customWidth="1" style="66" min="12048" max="12048"/>
    <col width="11.3984375" bestFit="1" customWidth="1" style="66" min="12049" max="12089"/>
    <col width="10.3984375" customWidth="1" style="66" min="12090" max="12090"/>
    <col width="9" customWidth="1" style="66" min="12091" max="12288"/>
    <col width="13.5" customWidth="1" style="66" min="12289" max="12289"/>
    <col width="9.5" customWidth="1" style="66" min="12290" max="12301"/>
    <col width="10.5" customWidth="1" style="66" min="12302" max="12302"/>
    <col width="11.8984375" customWidth="1" style="66" min="12303" max="12303"/>
    <col width="11.09765625" customWidth="1" style="66" min="12304" max="12304"/>
    <col width="11.3984375" bestFit="1" customWidth="1" style="66" min="12305" max="12345"/>
    <col width="10.3984375" customWidth="1" style="66" min="12346" max="12346"/>
    <col width="9" customWidth="1" style="66" min="12347" max="12544"/>
    <col width="13.5" customWidth="1" style="66" min="12545" max="12545"/>
    <col width="9.5" customWidth="1" style="66" min="12546" max="12557"/>
    <col width="10.5" customWidth="1" style="66" min="12558" max="12558"/>
    <col width="11.8984375" customWidth="1" style="66" min="12559" max="12559"/>
    <col width="11.09765625" customWidth="1" style="66" min="12560" max="12560"/>
    <col width="11.3984375" bestFit="1" customWidth="1" style="66" min="12561" max="12601"/>
    <col width="10.3984375" customWidth="1" style="66" min="12602" max="12602"/>
    <col width="9" customWidth="1" style="66" min="12603" max="12800"/>
    <col width="13.5" customWidth="1" style="66" min="12801" max="12801"/>
    <col width="9.5" customWidth="1" style="66" min="12802" max="12813"/>
    <col width="10.5" customWidth="1" style="66" min="12814" max="12814"/>
    <col width="11.8984375" customWidth="1" style="66" min="12815" max="12815"/>
    <col width="11.09765625" customWidth="1" style="66" min="12816" max="12816"/>
    <col width="11.3984375" bestFit="1" customWidth="1" style="66" min="12817" max="12857"/>
    <col width="10.3984375" customWidth="1" style="66" min="12858" max="12858"/>
    <col width="9" customWidth="1" style="66" min="12859" max="13056"/>
    <col width="13.5" customWidth="1" style="66" min="13057" max="13057"/>
    <col width="9.5" customWidth="1" style="66" min="13058" max="13069"/>
    <col width="10.5" customWidth="1" style="66" min="13070" max="13070"/>
    <col width="11.8984375" customWidth="1" style="66" min="13071" max="13071"/>
    <col width="11.09765625" customWidth="1" style="66" min="13072" max="13072"/>
    <col width="11.3984375" bestFit="1" customWidth="1" style="66" min="13073" max="13113"/>
    <col width="10.3984375" customWidth="1" style="66" min="13114" max="13114"/>
    <col width="9" customWidth="1" style="66" min="13115" max="13312"/>
    <col width="13.5" customWidth="1" style="66" min="13313" max="13313"/>
    <col width="9.5" customWidth="1" style="66" min="13314" max="13325"/>
    <col width="10.5" customWidth="1" style="66" min="13326" max="13326"/>
    <col width="11.8984375" customWidth="1" style="66" min="13327" max="13327"/>
    <col width="11.09765625" customWidth="1" style="66" min="13328" max="13328"/>
    <col width="11.3984375" bestFit="1" customWidth="1" style="66" min="13329" max="13369"/>
    <col width="10.3984375" customWidth="1" style="66" min="13370" max="13370"/>
    <col width="9" customWidth="1" style="66" min="13371" max="13568"/>
    <col width="13.5" customWidth="1" style="66" min="13569" max="13569"/>
    <col width="9.5" customWidth="1" style="66" min="13570" max="13581"/>
    <col width="10.5" customWidth="1" style="66" min="13582" max="13582"/>
    <col width="11.8984375" customWidth="1" style="66" min="13583" max="13583"/>
    <col width="11.09765625" customWidth="1" style="66" min="13584" max="13584"/>
    <col width="11.3984375" bestFit="1" customWidth="1" style="66" min="13585" max="13625"/>
    <col width="10.3984375" customWidth="1" style="66" min="13626" max="13626"/>
    <col width="9" customWidth="1" style="66" min="13627" max="13824"/>
    <col width="13.5" customWidth="1" style="66" min="13825" max="13825"/>
    <col width="9.5" customWidth="1" style="66" min="13826" max="13837"/>
    <col width="10.5" customWidth="1" style="66" min="13838" max="13838"/>
    <col width="11.8984375" customWidth="1" style="66" min="13839" max="13839"/>
    <col width="11.09765625" customWidth="1" style="66" min="13840" max="13840"/>
    <col width="11.3984375" bestFit="1" customWidth="1" style="66" min="13841" max="13881"/>
    <col width="10.3984375" customWidth="1" style="66" min="13882" max="13882"/>
    <col width="9" customWidth="1" style="66" min="13883" max="14080"/>
    <col width="13.5" customWidth="1" style="66" min="14081" max="14081"/>
    <col width="9.5" customWidth="1" style="66" min="14082" max="14093"/>
    <col width="10.5" customWidth="1" style="66" min="14094" max="14094"/>
    <col width="11.8984375" customWidth="1" style="66" min="14095" max="14095"/>
    <col width="11.09765625" customWidth="1" style="66" min="14096" max="14096"/>
    <col width="11.3984375" bestFit="1" customWidth="1" style="66" min="14097" max="14137"/>
    <col width="10.3984375" customWidth="1" style="66" min="14138" max="14138"/>
    <col width="9" customWidth="1" style="66" min="14139" max="14336"/>
    <col width="13.5" customWidth="1" style="66" min="14337" max="14337"/>
    <col width="9.5" customWidth="1" style="66" min="14338" max="14349"/>
    <col width="10.5" customWidth="1" style="66" min="14350" max="14350"/>
    <col width="11.8984375" customWidth="1" style="66" min="14351" max="14351"/>
    <col width="11.09765625" customWidth="1" style="66" min="14352" max="14352"/>
    <col width="11.3984375" bestFit="1" customWidth="1" style="66" min="14353" max="14393"/>
    <col width="10.3984375" customWidth="1" style="66" min="14394" max="14394"/>
    <col width="9" customWidth="1" style="66" min="14395" max="14592"/>
    <col width="13.5" customWidth="1" style="66" min="14593" max="14593"/>
    <col width="9.5" customWidth="1" style="66" min="14594" max="14605"/>
    <col width="10.5" customWidth="1" style="66" min="14606" max="14606"/>
    <col width="11.8984375" customWidth="1" style="66" min="14607" max="14607"/>
    <col width="11.09765625" customWidth="1" style="66" min="14608" max="14608"/>
    <col width="11.3984375" bestFit="1" customWidth="1" style="66" min="14609" max="14649"/>
    <col width="10.3984375" customWidth="1" style="66" min="14650" max="14650"/>
    <col width="9" customWidth="1" style="66" min="14651" max="14848"/>
    <col width="13.5" customWidth="1" style="66" min="14849" max="14849"/>
    <col width="9.5" customWidth="1" style="66" min="14850" max="14861"/>
    <col width="10.5" customWidth="1" style="66" min="14862" max="14862"/>
    <col width="11.8984375" customWidth="1" style="66" min="14863" max="14863"/>
    <col width="11.09765625" customWidth="1" style="66" min="14864" max="14864"/>
    <col width="11.3984375" bestFit="1" customWidth="1" style="66" min="14865" max="14905"/>
    <col width="10.3984375" customWidth="1" style="66" min="14906" max="14906"/>
    <col width="9" customWidth="1" style="66" min="14907" max="15104"/>
    <col width="13.5" customWidth="1" style="66" min="15105" max="15105"/>
    <col width="9.5" customWidth="1" style="66" min="15106" max="15117"/>
    <col width="10.5" customWidth="1" style="66" min="15118" max="15118"/>
    <col width="11.8984375" customWidth="1" style="66" min="15119" max="15119"/>
    <col width="11.09765625" customWidth="1" style="66" min="15120" max="15120"/>
    <col width="11.3984375" bestFit="1" customWidth="1" style="66" min="15121" max="15161"/>
    <col width="10.3984375" customWidth="1" style="66" min="15162" max="15162"/>
    <col width="9" customWidth="1" style="66" min="15163" max="15360"/>
    <col width="13.5" customWidth="1" style="66" min="15361" max="15361"/>
    <col width="9.5" customWidth="1" style="66" min="15362" max="15373"/>
    <col width="10.5" customWidth="1" style="66" min="15374" max="15374"/>
    <col width="11.8984375" customWidth="1" style="66" min="15375" max="15375"/>
    <col width="11.09765625" customWidth="1" style="66" min="15376" max="15376"/>
    <col width="11.3984375" bestFit="1" customWidth="1" style="66" min="15377" max="15417"/>
    <col width="10.3984375" customWidth="1" style="66" min="15418" max="15418"/>
    <col width="9" customWidth="1" style="66" min="15419" max="15616"/>
    <col width="13.5" customWidth="1" style="66" min="15617" max="15617"/>
    <col width="9.5" customWidth="1" style="66" min="15618" max="15629"/>
    <col width="10.5" customWidth="1" style="66" min="15630" max="15630"/>
    <col width="11.8984375" customWidth="1" style="66" min="15631" max="15631"/>
    <col width="11.09765625" customWidth="1" style="66" min="15632" max="15632"/>
    <col width="11.3984375" bestFit="1" customWidth="1" style="66" min="15633" max="15673"/>
    <col width="10.3984375" customWidth="1" style="66" min="15674" max="15674"/>
    <col width="9" customWidth="1" style="66" min="15675" max="15872"/>
    <col width="13.5" customWidth="1" style="66" min="15873" max="15873"/>
    <col width="9.5" customWidth="1" style="66" min="15874" max="15885"/>
    <col width="10.5" customWidth="1" style="66" min="15886" max="15886"/>
    <col width="11.8984375" customWidth="1" style="66" min="15887" max="15887"/>
    <col width="11.09765625" customWidth="1" style="66" min="15888" max="15888"/>
    <col width="11.3984375" bestFit="1" customWidth="1" style="66" min="15889" max="15929"/>
    <col width="10.3984375" customWidth="1" style="66" min="15930" max="15930"/>
    <col width="9" customWidth="1" style="66" min="15931" max="16128"/>
    <col width="13.5" customWidth="1" style="66" min="16129" max="16129"/>
    <col width="9.5" customWidth="1" style="66" min="16130" max="16141"/>
    <col width="10.5" customWidth="1" style="66" min="16142" max="16142"/>
    <col width="11.8984375" customWidth="1" style="66" min="16143" max="16143"/>
    <col width="11.09765625" customWidth="1" style="66" min="16144" max="16144"/>
    <col width="11.3984375" bestFit="1" customWidth="1" style="66" min="16145" max="16185"/>
    <col width="10.3984375" customWidth="1" style="66" min="16186" max="16186"/>
    <col width="9" customWidth="1" style="66" min="16187" max="16384"/>
  </cols>
  <sheetData>
    <row r="1" ht="19.95" customFormat="1" customHeight="1" s="52">
      <c r="A1" s="343" t="inlineStr">
        <is>
          <t>致同会计师事务所</t>
        </is>
      </c>
    </row>
    <row r="2" ht="19.95" customFormat="1" customHeight="1" s="53">
      <c r="A2" s="344" t="inlineStr">
        <is>
          <t>销售数量与结转成本数量核对明细表</t>
        </is>
      </c>
    </row>
    <row r="3" ht="19.95" customFormat="1" customHeight="1" s="282">
      <c r="A3" s="282">
        <f>底稿目录!A2</f>
        <v/>
      </c>
      <c r="F3" s="470">
        <f>底稿目录!A4</f>
        <v/>
      </c>
      <c r="G3" s="470" t="n"/>
      <c r="H3" s="470" t="n"/>
      <c r="I3" s="470" t="n"/>
      <c r="J3" s="470">
        <f>底稿目录!A5</f>
        <v/>
      </c>
      <c r="K3" s="109" t="n"/>
      <c r="M3" s="257" t="inlineStr">
        <is>
          <t>索引号：</t>
        </is>
      </c>
      <c r="N3" s="364">
        <f>底稿目录!F9</f>
        <v/>
      </c>
    </row>
    <row r="4" ht="19.95" customFormat="1" customHeight="1" s="282">
      <c r="A4" s="282">
        <f>底稿目录!A3</f>
        <v/>
      </c>
      <c r="F4" s="470">
        <f>底稿目录!A6</f>
        <v/>
      </c>
      <c r="G4" s="470" t="n"/>
      <c r="H4" s="470" t="n"/>
      <c r="I4" s="470" t="n"/>
      <c r="J4" s="470">
        <f>底稿目录!A7</f>
        <v/>
      </c>
      <c r="K4" s="109" t="n"/>
      <c r="M4" s="257" t="inlineStr">
        <is>
          <t>页    次：</t>
        </is>
      </c>
      <c r="N4" s="282" t="n"/>
    </row>
    <row r="5" ht="19.95" customFormat="1" customHeight="1" s="282">
      <c r="A5" s="41" t="inlineStr">
        <is>
          <t>一、审计目标：</t>
        </is>
      </c>
      <c r="E5" s="43" t="n"/>
      <c r="H5" s="43" t="n"/>
      <c r="K5" s="257" t="n"/>
      <c r="L5" s="282" t="n"/>
    </row>
    <row r="6" ht="19.95" customFormat="1" customHeight="1" s="282">
      <c r="A6" s="282" t="inlineStr">
        <is>
          <t>1.利润表中记录的营业成本已发生，且与被审计单位有关，已记录于恰当的账户</t>
        </is>
      </c>
      <c r="E6" s="43" t="n"/>
      <c r="H6" s="43" t="n"/>
      <c r="K6" s="257" t="n"/>
      <c r="L6" s="282" t="n"/>
    </row>
    <row r="7" ht="19.95" customFormat="1" customHeight="1" s="282">
      <c r="A7" s="282" t="inlineStr">
        <is>
          <t>2.所有应当记录的营业成本均已记录，所有应当包括在财务报表中的相关披露均已包括</t>
        </is>
      </c>
      <c r="E7" s="43" t="n"/>
      <c r="H7" s="43" t="n"/>
      <c r="K7" s="257" t="n"/>
      <c r="L7" s="282" t="n"/>
    </row>
    <row r="8" ht="19.95" customFormat="1" customHeight="1" s="282">
      <c r="A8" s="41" t="inlineStr">
        <is>
          <t>二、审计过程：</t>
        </is>
      </c>
      <c r="E8" s="43" t="n"/>
      <c r="H8" s="43" t="n"/>
      <c r="K8" s="257" t="n"/>
      <c r="L8" s="282" t="n"/>
    </row>
    <row r="9" ht="19.95" customFormat="1" customHeight="1" s="470">
      <c r="A9" s="471" t="inlineStr">
        <is>
          <t>1.本期销售数量表</t>
        </is>
      </c>
      <c r="E9" s="470" t="n"/>
      <c r="H9" s="470" t="n"/>
      <c r="K9" s="472" t="n"/>
      <c r="L9" s="470" t="n"/>
    </row>
    <row r="10" ht="19.95" customFormat="1" customHeight="1" s="473">
      <c r="A10" s="474" t="inlineStr">
        <is>
          <t>项目</t>
        </is>
      </c>
      <c r="B10" s="474" t="inlineStr">
        <is>
          <t>1月</t>
        </is>
      </c>
      <c r="C10" s="474" t="inlineStr">
        <is>
          <t>2月</t>
        </is>
      </c>
      <c r="D10" s="474" t="inlineStr">
        <is>
          <t>3月</t>
        </is>
      </c>
      <c r="E10" s="474" t="inlineStr">
        <is>
          <t>4月</t>
        </is>
      </c>
      <c r="F10" s="474" t="inlineStr">
        <is>
          <t>5月</t>
        </is>
      </c>
      <c r="G10" s="474" t="inlineStr">
        <is>
          <t>6月</t>
        </is>
      </c>
      <c r="H10" s="474" t="inlineStr">
        <is>
          <t>7月</t>
        </is>
      </c>
      <c r="I10" s="474" t="inlineStr">
        <is>
          <t>8月</t>
        </is>
      </c>
      <c r="J10" s="474" t="inlineStr">
        <is>
          <t>9月</t>
        </is>
      </c>
      <c r="K10" s="474" t="inlineStr">
        <is>
          <t>10月</t>
        </is>
      </c>
      <c r="L10" s="474" t="inlineStr">
        <is>
          <t>11月</t>
        </is>
      </c>
      <c r="M10" s="474" t="inlineStr">
        <is>
          <t>12月</t>
        </is>
      </c>
      <c r="N10" s="474" t="inlineStr">
        <is>
          <t>总计</t>
        </is>
      </c>
    </row>
    <row r="11" ht="19.95" customFormat="1" customHeight="1" s="471">
      <c r="A11" s="475" t="inlineStr">
        <is>
          <t>分厂1</t>
        </is>
      </c>
      <c r="B11" s="476">
        <f>SUM(B12:B15)</f>
        <v/>
      </c>
      <c r="C11" s="476">
        <f>SUM(C12:C15)</f>
        <v/>
      </c>
      <c r="D11" s="476">
        <f>SUM(D12:D15)</f>
        <v/>
      </c>
      <c r="E11" s="476">
        <f>SUM(E12:E15)</f>
        <v/>
      </c>
      <c r="F11" s="476">
        <f>SUM(F12:F15)</f>
        <v/>
      </c>
      <c r="G11" s="476">
        <f>SUM(G12:G15)</f>
        <v/>
      </c>
      <c r="H11" s="476">
        <f>SUM(H12:H15)</f>
        <v/>
      </c>
      <c r="I11" s="476">
        <f>SUM(I12:I15)</f>
        <v/>
      </c>
      <c r="J11" s="476">
        <f>SUM(J12:J15)</f>
        <v/>
      </c>
      <c r="K11" s="476">
        <f>SUM(K12:K15)</f>
        <v/>
      </c>
      <c r="L11" s="476">
        <f>SUM(L12:L15)</f>
        <v/>
      </c>
      <c r="M11" s="476">
        <f>SUM(M12:M15)</f>
        <v/>
      </c>
      <c r="N11" s="476">
        <f>SUM(N12:N15)</f>
        <v/>
      </c>
    </row>
    <row r="12" ht="19.95" customFormat="1" customHeight="1" s="470">
      <c r="A12" s="477" t="inlineStr">
        <is>
          <t>产品1</t>
        </is>
      </c>
      <c r="B12" s="478" t="n"/>
      <c r="C12" s="478" t="n"/>
      <c r="D12" s="478" t="n"/>
      <c r="E12" s="478" t="n"/>
      <c r="F12" s="478" t="n"/>
      <c r="G12" s="478" t="n"/>
      <c r="H12" s="478" t="n"/>
      <c r="I12" s="478" t="n"/>
      <c r="J12" s="478" t="n"/>
      <c r="K12" s="478" t="n"/>
      <c r="L12" s="478" t="n"/>
      <c r="M12" s="478" t="n"/>
      <c r="N12" s="479">
        <f>SUM(B12:M12)</f>
        <v/>
      </c>
    </row>
    <row r="13" ht="19.95" customFormat="1" customHeight="1" s="470">
      <c r="A13" s="477" t="inlineStr">
        <is>
          <t>产品2</t>
        </is>
      </c>
      <c r="B13" s="478" t="n"/>
      <c r="C13" s="478" t="n"/>
      <c r="D13" s="478" t="n"/>
      <c r="E13" s="478" t="n"/>
      <c r="F13" s="478" t="n"/>
      <c r="G13" s="478" t="n"/>
      <c r="H13" s="478" t="n"/>
      <c r="I13" s="478" t="n"/>
      <c r="J13" s="478" t="n"/>
      <c r="K13" s="480" t="n"/>
      <c r="L13" s="478" t="n"/>
      <c r="M13" s="478" t="n"/>
      <c r="N13" s="479">
        <f>SUM(B13:M13)</f>
        <v/>
      </c>
    </row>
    <row r="14" ht="19.95" customFormat="1" customHeight="1" s="470">
      <c r="A14" s="477" t="inlineStr">
        <is>
          <t>产品3</t>
        </is>
      </c>
      <c r="B14" s="478" t="n"/>
      <c r="C14" s="478" t="n"/>
      <c r="D14" s="478" t="n"/>
      <c r="E14" s="478" t="n"/>
      <c r="F14" s="478" t="n"/>
      <c r="G14" s="478" t="n"/>
      <c r="H14" s="478" t="n"/>
      <c r="I14" s="478" t="n"/>
      <c r="J14" s="478" t="n"/>
      <c r="K14" s="480" t="n"/>
      <c r="L14" s="478" t="n"/>
      <c r="M14" s="478" t="n"/>
      <c r="N14" s="479">
        <f>SUM(B14:M14)</f>
        <v/>
      </c>
    </row>
    <row r="15" ht="19.95" customFormat="1" customHeight="1" s="470">
      <c r="A15" s="477" t="inlineStr">
        <is>
          <t>产品4</t>
        </is>
      </c>
      <c r="B15" s="478" t="n"/>
      <c r="C15" s="478" t="n"/>
      <c r="D15" s="478" t="n"/>
      <c r="E15" s="478" t="n"/>
      <c r="F15" s="478" t="n"/>
      <c r="G15" s="478" t="n"/>
      <c r="H15" s="478" t="n"/>
      <c r="I15" s="478" t="n"/>
      <c r="J15" s="478" t="n"/>
      <c r="K15" s="480" t="n"/>
      <c r="L15" s="478" t="n"/>
      <c r="M15" s="478" t="n"/>
      <c r="N15" s="479">
        <f>SUM(B15:M15)</f>
        <v/>
      </c>
    </row>
    <row r="16" ht="19.95" customFormat="1" customHeight="1" s="471">
      <c r="A16" s="475" t="inlineStr">
        <is>
          <t>分厂2</t>
        </is>
      </c>
      <c r="B16" s="476">
        <f>SUM(B17:B20)</f>
        <v/>
      </c>
      <c r="C16" s="476">
        <f>SUM(C17:C20)</f>
        <v/>
      </c>
      <c r="D16" s="476">
        <f>SUM(D17:D20)</f>
        <v/>
      </c>
      <c r="E16" s="476">
        <f>SUM(E17:E20)</f>
        <v/>
      </c>
      <c r="F16" s="476">
        <f>SUM(F17:F20)</f>
        <v/>
      </c>
      <c r="G16" s="476">
        <f>SUM(G17:G20)</f>
        <v/>
      </c>
      <c r="H16" s="476">
        <f>SUM(H17:H20)</f>
        <v/>
      </c>
      <c r="I16" s="476">
        <f>SUM(I17:I20)</f>
        <v/>
      </c>
      <c r="J16" s="476">
        <f>SUM(J17:J20)</f>
        <v/>
      </c>
      <c r="K16" s="476">
        <f>SUM(K17:K20)</f>
        <v/>
      </c>
      <c r="L16" s="476">
        <f>SUM(L17:L20)</f>
        <v/>
      </c>
      <c r="M16" s="476">
        <f>SUM(M17:M20)</f>
        <v/>
      </c>
      <c r="N16" s="476">
        <f>SUM(N17:N20)</f>
        <v/>
      </c>
    </row>
    <row r="17" ht="19.95" customFormat="1" customHeight="1" s="470">
      <c r="A17" s="477" t="inlineStr">
        <is>
          <t>产品1</t>
        </is>
      </c>
      <c r="B17" s="478" t="n"/>
      <c r="C17" s="478" t="n"/>
      <c r="D17" s="478" t="n"/>
      <c r="E17" s="478" t="n"/>
      <c r="F17" s="478" t="n"/>
      <c r="G17" s="478" t="n"/>
      <c r="H17" s="478" t="n"/>
      <c r="I17" s="478" t="n"/>
      <c r="J17" s="478" t="n"/>
      <c r="K17" s="480" t="n"/>
      <c r="L17" s="478" t="n"/>
      <c r="M17" s="478" t="n"/>
      <c r="N17" s="479">
        <f>SUM(B17:M17)</f>
        <v/>
      </c>
    </row>
    <row r="18" ht="19.95" customFormat="1" customHeight="1" s="470">
      <c r="A18" s="477" t="inlineStr">
        <is>
          <t>产品2</t>
        </is>
      </c>
      <c r="B18" s="478" t="n"/>
      <c r="C18" s="478" t="n"/>
      <c r="D18" s="478" t="n"/>
      <c r="E18" s="478" t="n"/>
      <c r="F18" s="478" t="n"/>
      <c r="G18" s="478" t="n"/>
      <c r="H18" s="478" t="n"/>
      <c r="I18" s="478" t="n"/>
      <c r="J18" s="478" t="n"/>
      <c r="K18" s="480" t="n"/>
      <c r="L18" s="478" t="n"/>
      <c r="M18" s="478" t="n"/>
      <c r="N18" s="479">
        <f>SUM(B18:M18)</f>
        <v/>
      </c>
    </row>
    <row r="19" ht="19.95" customFormat="1" customHeight="1" s="470">
      <c r="A19" s="477" t="inlineStr">
        <is>
          <t>产品3</t>
        </is>
      </c>
      <c r="B19" s="478" t="n"/>
      <c r="C19" s="478" t="n"/>
      <c r="D19" s="478" t="n"/>
      <c r="E19" s="478" t="n"/>
      <c r="F19" s="478" t="n"/>
      <c r="G19" s="478" t="n"/>
      <c r="H19" s="478" t="n"/>
      <c r="I19" s="478" t="n"/>
      <c r="J19" s="478" t="n"/>
      <c r="K19" s="480" t="n"/>
      <c r="L19" s="478" t="n"/>
      <c r="M19" s="478" t="n"/>
      <c r="N19" s="479">
        <f>SUM(B19:M19)</f>
        <v/>
      </c>
    </row>
    <row r="20" ht="19.95" customFormat="1" customHeight="1" s="470">
      <c r="A20" s="477" t="inlineStr">
        <is>
          <t>产品4</t>
        </is>
      </c>
      <c r="B20" s="478" t="n"/>
      <c r="C20" s="478" t="n"/>
      <c r="D20" s="478" t="n"/>
      <c r="E20" s="478" t="n"/>
      <c r="F20" s="478" t="n"/>
      <c r="G20" s="478" t="n"/>
      <c r="H20" s="478" t="n"/>
      <c r="I20" s="478" t="n"/>
      <c r="J20" s="478" t="n"/>
      <c r="K20" s="480" t="n"/>
      <c r="L20" s="478" t="n"/>
      <c r="M20" s="478" t="n"/>
      <c r="N20" s="479">
        <f>SUM(B20:M20)</f>
        <v/>
      </c>
    </row>
    <row r="21" ht="19.95" customFormat="1" customHeight="1" s="471">
      <c r="A21" s="481" t="inlineStr">
        <is>
          <t>总计</t>
        </is>
      </c>
      <c r="B21" s="476">
        <f>B11+B16</f>
        <v/>
      </c>
      <c r="C21" s="476">
        <f>C11+C16</f>
        <v/>
      </c>
      <c r="D21" s="476">
        <f>D11+D16</f>
        <v/>
      </c>
      <c r="E21" s="476">
        <f>E11+E16</f>
        <v/>
      </c>
      <c r="F21" s="476">
        <f>F11+F16</f>
        <v/>
      </c>
      <c r="G21" s="476">
        <f>G11+G16</f>
        <v/>
      </c>
      <c r="H21" s="476">
        <f>H11+H16</f>
        <v/>
      </c>
      <c r="I21" s="476">
        <f>I11+I16</f>
        <v/>
      </c>
      <c r="J21" s="476">
        <f>J11+J16</f>
        <v/>
      </c>
      <c r="K21" s="476">
        <f>K11+K16</f>
        <v/>
      </c>
      <c r="L21" s="476">
        <f>L11+L16</f>
        <v/>
      </c>
      <c r="M21" s="476">
        <f>M11+M16</f>
        <v/>
      </c>
      <c r="N21" s="476">
        <f>N11+N16</f>
        <v/>
      </c>
    </row>
    <row r="22" ht="19.95" customFormat="1" customHeight="1" s="482">
      <c r="A22" s="471" t="inlineStr">
        <is>
          <t>2.本期结转销售成本数量表</t>
        </is>
      </c>
      <c r="B22" s="483" t="n"/>
      <c r="C22" s="482" t="n"/>
      <c r="D22" s="482" t="n"/>
      <c r="E22" s="482" t="n"/>
      <c r="F22" s="482" t="n"/>
      <c r="G22" s="482" t="n"/>
      <c r="H22" s="482" t="n"/>
      <c r="I22" s="482" t="n"/>
      <c r="J22" s="482" t="n"/>
      <c r="K22" s="482" t="n"/>
      <c r="L22" s="482" t="n"/>
      <c r="M22" s="482" t="n"/>
      <c r="N22" s="482" t="n"/>
      <c r="O22" s="482" t="n"/>
    </row>
    <row r="23" ht="19.95" customFormat="1" customHeight="1" s="473">
      <c r="A23" s="474" t="inlineStr">
        <is>
          <t>项目</t>
        </is>
      </c>
      <c r="B23" s="481" t="inlineStr">
        <is>
          <t>1月</t>
        </is>
      </c>
      <c r="C23" s="481" t="inlineStr">
        <is>
          <t>2月</t>
        </is>
      </c>
      <c r="D23" s="481" t="inlineStr">
        <is>
          <t>3月</t>
        </is>
      </c>
      <c r="E23" s="481" t="inlineStr">
        <is>
          <t>4月</t>
        </is>
      </c>
      <c r="F23" s="481" t="inlineStr">
        <is>
          <t>5月</t>
        </is>
      </c>
      <c r="G23" s="481" t="inlineStr">
        <is>
          <t>6月</t>
        </is>
      </c>
      <c r="H23" s="481" t="inlineStr">
        <is>
          <t>7月</t>
        </is>
      </c>
      <c r="I23" s="481" t="inlineStr">
        <is>
          <t>8月</t>
        </is>
      </c>
      <c r="J23" s="481" t="inlineStr">
        <is>
          <t>9月</t>
        </is>
      </c>
      <c r="K23" s="481" t="inlineStr">
        <is>
          <t>10月</t>
        </is>
      </c>
      <c r="L23" s="481" t="inlineStr">
        <is>
          <t>11月</t>
        </is>
      </c>
      <c r="M23" s="481" t="inlineStr">
        <is>
          <t>12月</t>
        </is>
      </c>
      <c r="N23" s="481" t="inlineStr">
        <is>
          <t>总计</t>
        </is>
      </c>
    </row>
    <row r="24" ht="19.95" customFormat="1" customHeight="1" s="471">
      <c r="A24" s="475" t="inlineStr">
        <is>
          <t>分厂1</t>
        </is>
      </c>
      <c r="B24" s="476">
        <f>SUM(B25:B28)</f>
        <v/>
      </c>
      <c r="C24" s="476">
        <f>SUM(C25:C28)</f>
        <v/>
      </c>
      <c r="D24" s="476">
        <f>SUM(D25:D28)</f>
        <v/>
      </c>
      <c r="E24" s="476">
        <f>SUM(E25:E28)</f>
        <v/>
      </c>
      <c r="F24" s="476">
        <f>SUM(F25:F28)</f>
        <v/>
      </c>
      <c r="G24" s="476">
        <f>SUM(G25:G28)</f>
        <v/>
      </c>
      <c r="H24" s="476">
        <f>SUM(H25:H28)</f>
        <v/>
      </c>
      <c r="I24" s="476">
        <f>SUM(I25:I28)</f>
        <v/>
      </c>
      <c r="J24" s="476">
        <f>SUM(J25:J28)</f>
        <v/>
      </c>
      <c r="K24" s="476">
        <f>SUM(K25:K28)</f>
        <v/>
      </c>
      <c r="L24" s="476">
        <f>SUM(L25:L28)</f>
        <v/>
      </c>
      <c r="M24" s="476">
        <f>SUM(M25:M28)</f>
        <v/>
      </c>
      <c r="N24" s="476">
        <f>SUM(N25:N28)</f>
        <v/>
      </c>
    </row>
    <row r="25" ht="19.95" customFormat="1" customHeight="1" s="470">
      <c r="A25" s="477" t="inlineStr">
        <is>
          <t>产品1</t>
        </is>
      </c>
      <c r="B25" s="478" t="n"/>
      <c r="C25" s="478" t="n"/>
      <c r="D25" s="478" t="n"/>
      <c r="E25" s="478" t="n"/>
      <c r="F25" s="478" t="n"/>
      <c r="G25" s="478" t="n"/>
      <c r="H25" s="478" t="n"/>
      <c r="I25" s="478" t="n"/>
      <c r="J25" s="478" t="n"/>
      <c r="K25" s="478" t="n"/>
      <c r="L25" s="478" t="n"/>
      <c r="M25" s="478" t="n"/>
      <c r="N25" s="479">
        <f>SUM(B25:M25)</f>
        <v/>
      </c>
    </row>
    <row r="26" ht="19.95" customFormat="1" customHeight="1" s="470">
      <c r="A26" s="477" t="inlineStr">
        <is>
          <t>产品2</t>
        </is>
      </c>
      <c r="B26" s="478" t="n"/>
      <c r="C26" s="478" t="n"/>
      <c r="D26" s="478" t="n"/>
      <c r="E26" s="478" t="n"/>
      <c r="F26" s="478" t="n"/>
      <c r="G26" s="478" t="n"/>
      <c r="H26" s="478" t="n"/>
      <c r="I26" s="478" t="n"/>
      <c r="J26" s="478" t="n"/>
      <c r="K26" s="480" t="n"/>
      <c r="L26" s="478" t="n"/>
      <c r="M26" s="478" t="n"/>
      <c r="N26" s="479">
        <f>SUM(B26:M26)</f>
        <v/>
      </c>
    </row>
    <row r="27" ht="19.95" customFormat="1" customHeight="1" s="470">
      <c r="A27" s="477" t="inlineStr">
        <is>
          <t>产品3</t>
        </is>
      </c>
      <c r="B27" s="478" t="n"/>
      <c r="C27" s="478" t="n"/>
      <c r="D27" s="478" t="n"/>
      <c r="E27" s="478" t="n"/>
      <c r="F27" s="478" t="n"/>
      <c r="G27" s="478" t="n"/>
      <c r="H27" s="478" t="n"/>
      <c r="I27" s="478" t="n"/>
      <c r="J27" s="478" t="n"/>
      <c r="K27" s="480" t="n"/>
      <c r="L27" s="478" t="n"/>
      <c r="M27" s="478" t="n"/>
      <c r="N27" s="479">
        <f>SUM(B27:M27)</f>
        <v/>
      </c>
    </row>
    <row r="28" ht="19.95" customFormat="1" customHeight="1" s="470">
      <c r="A28" s="477" t="inlineStr">
        <is>
          <t>产品4</t>
        </is>
      </c>
      <c r="B28" s="478" t="n"/>
      <c r="C28" s="478" t="n"/>
      <c r="D28" s="478" t="n"/>
      <c r="E28" s="478" t="n"/>
      <c r="F28" s="478" t="n"/>
      <c r="G28" s="478" t="n"/>
      <c r="H28" s="478" t="n"/>
      <c r="I28" s="478" t="n"/>
      <c r="J28" s="478" t="n"/>
      <c r="K28" s="480" t="n"/>
      <c r="L28" s="478" t="n"/>
      <c r="M28" s="478" t="n"/>
      <c r="N28" s="479">
        <f>SUM(B28:M28)</f>
        <v/>
      </c>
    </row>
    <row r="29" ht="19.95" customFormat="1" customHeight="1" s="471">
      <c r="A29" s="475" t="inlineStr">
        <is>
          <t>分厂2</t>
        </is>
      </c>
      <c r="B29" s="476">
        <f>SUM(B30:B33)</f>
        <v/>
      </c>
      <c r="C29" s="476">
        <f>SUM(C30:C33)</f>
        <v/>
      </c>
      <c r="D29" s="476">
        <f>SUM(D30:D33)</f>
        <v/>
      </c>
      <c r="E29" s="476">
        <f>SUM(E30:E33)</f>
        <v/>
      </c>
      <c r="F29" s="476">
        <f>SUM(F30:F33)</f>
        <v/>
      </c>
      <c r="G29" s="476">
        <f>SUM(G30:G33)</f>
        <v/>
      </c>
      <c r="H29" s="476">
        <f>SUM(H30:H33)</f>
        <v/>
      </c>
      <c r="I29" s="476">
        <f>SUM(I30:I33)</f>
        <v/>
      </c>
      <c r="J29" s="476">
        <f>SUM(J30:J33)</f>
        <v/>
      </c>
      <c r="K29" s="476">
        <f>SUM(K30:K33)</f>
        <v/>
      </c>
      <c r="L29" s="476">
        <f>SUM(L30:L33)</f>
        <v/>
      </c>
      <c r="M29" s="476">
        <f>SUM(M30:M33)</f>
        <v/>
      </c>
      <c r="N29" s="476">
        <f>SUM(N30:N33)</f>
        <v/>
      </c>
    </row>
    <row r="30" ht="19.95" customFormat="1" customHeight="1" s="470">
      <c r="A30" s="477" t="inlineStr">
        <is>
          <t>产品1</t>
        </is>
      </c>
      <c r="B30" s="478" t="n"/>
      <c r="C30" s="478" t="n"/>
      <c r="D30" s="478" t="n"/>
      <c r="E30" s="478" t="n"/>
      <c r="F30" s="478" t="n"/>
      <c r="G30" s="478" t="n"/>
      <c r="H30" s="478" t="n"/>
      <c r="I30" s="478" t="n"/>
      <c r="J30" s="478" t="n"/>
      <c r="K30" s="480" t="n"/>
      <c r="L30" s="478" t="n"/>
      <c r="M30" s="478" t="n"/>
      <c r="N30" s="479">
        <f>SUM(B30:M30)</f>
        <v/>
      </c>
    </row>
    <row r="31" ht="19.95" customFormat="1" customHeight="1" s="470">
      <c r="A31" s="477" t="inlineStr">
        <is>
          <t>产品2</t>
        </is>
      </c>
      <c r="B31" s="478" t="n"/>
      <c r="C31" s="478" t="n"/>
      <c r="D31" s="478" t="n"/>
      <c r="E31" s="478" t="n"/>
      <c r="F31" s="478" t="n"/>
      <c r="G31" s="478" t="n"/>
      <c r="H31" s="478" t="n"/>
      <c r="I31" s="478" t="n"/>
      <c r="J31" s="478" t="n"/>
      <c r="K31" s="480" t="n"/>
      <c r="L31" s="478" t="n"/>
      <c r="M31" s="478" t="n"/>
      <c r="N31" s="479">
        <f>SUM(B31:M31)</f>
        <v/>
      </c>
    </row>
    <row r="32" ht="19.95" customFormat="1" customHeight="1" s="470">
      <c r="A32" s="477" t="inlineStr">
        <is>
          <t>产品3</t>
        </is>
      </c>
      <c r="B32" s="478" t="n"/>
      <c r="C32" s="478" t="n"/>
      <c r="D32" s="478" t="n"/>
      <c r="E32" s="478" t="n"/>
      <c r="F32" s="478" t="n"/>
      <c r="G32" s="478" t="n"/>
      <c r="H32" s="478" t="n"/>
      <c r="I32" s="478" t="n"/>
      <c r="J32" s="478" t="n"/>
      <c r="K32" s="480" t="n"/>
      <c r="L32" s="478" t="n"/>
      <c r="M32" s="478" t="n"/>
      <c r="N32" s="479">
        <f>SUM(B32:M32)</f>
        <v/>
      </c>
    </row>
    <row r="33" ht="19.95" customFormat="1" customHeight="1" s="470">
      <c r="A33" s="477" t="inlineStr">
        <is>
          <t>产品4</t>
        </is>
      </c>
      <c r="B33" s="478" t="n"/>
      <c r="C33" s="478" t="n"/>
      <c r="D33" s="478" t="n"/>
      <c r="E33" s="478" t="n"/>
      <c r="F33" s="478" t="n"/>
      <c r="G33" s="478" t="n"/>
      <c r="H33" s="478" t="n"/>
      <c r="I33" s="478" t="n"/>
      <c r="J33" s="478" t="n"/>
      <c r="K33" s="480" t="n"/>
      <c r="L33" s="478" t="n"/>
      <c r="M33" s="478" t="n"/>
      <c r="N33" s="479">
        <f>SUM(B33:M33)</f>
        <v/>
      </c>
    </row>
    <row r="34" ht="19.95" customFormat="1" customHeight="1" s="471">
      <c r="A34" s="481" t="inlineStr">
        <is>
          <t>总计</t>
        </is>
      </c>
      <c r="B34" s="476">
        <f>B24+B29</f>
        <v/>
      </c>
      <c r="C34" s="476">
        <f>C24+C29</f>
        <v/>
      </c>
      <c r="D34" s="476">
        <f>D24+D29</f>
        <v/>
      </c>
      <c r="E34" s="476">
        <f>E24+E29</f>
        <v/>
      </c>
      <c r="F34" s="476">
        <f>F24+F29</f>
        <v/>
      </c>
      <c r="G34" s="476">
        <f>G24+G29</f>
        <v/>
      </c>
      <c r="H34" s="476">
        <f>H24+H29</f>
        <v/>
      </c>
      <c r="I34" s="476">
        <f>I24+I29</f>
        <v/>
      </c>
      <c r="J34" s="476">
        <f>J24+J29</f>
        <v/>
      </c>
      <c r="K34" s="476">
        <f>K24+K29</f>
        <v/>
      </c>
      <c r="L34" s="476">
        <f>L24+L29</f>
        <v/>
      </c>
      <c r="M34" s="476">
        <f>M24+M29</f>
        <v/>
      </c>
      <c r="N34" s="476">
        <f>N24+N29</f>
        <v/>
      </c>
    </row>
    <row r="35" ht="19.95" customFormat="1" customHeight="1" s="482">
      <c r="A35" s="483" t="inlineStr">
        <is>
          <t>3、差异</t>
        </is>
      </c>
      <c r="B35" s="483" t="n"/>
      <c r="C35" s="482" t="n"/>
      <c r="D35" s="482" t="n"/>
      <c r="E35" s="482" t="n"/>
      <c r="F35" s="482" t="n"/>
      <c r="G35" s="482" t="n"/>
      <c r="H35" s="482" t="n"/>
      <c r="I35" s="482" t="n"/>
      <c r="J35" s="482" t="n"/>
      <c r="K35" s="482" t="n"/>
      <c r="L35" s="482" t="n"/>
      <c r="M35" s="482" t="n"/>
      <c r="N35" s="482" t="n"/>
      <c r="O35" s="482" t="n"/>
    </row>
    <row r="36" ht="19.95" customFormat="1" customHeight="1" s="482">
      <c r="A36" s="484" t="inlineStr">
        <is>
          <t>项目</t>
        </is>
      </c>
      <c r="B36" s="485" t="inlineStr">
        <is>
          <t>1月</t>
        </is>
      </c>
      <c r="C36" s="485" t="inlineStr">
        <is>
          <t>2月</t>
        </is>
      </c>
      <c r="D36" s="485" t="inlineStr">
        <is>
          <t>3月</t>
        </is>
      </c>
      <c r="E36" s="485" t="inlineStr">
        <is>
          <t>4月</t>
        </is>
      </c>
      <c r="F36" s="485" t="inlineStr">
        <is>
          <t>5月</t>
        </is>
      </c>
      <c r="G36" s="485" t="inlineStr">
        <is>
          <t>6月</t>
        </is>
      </c>
      <c r="H36" s="485" t="inlineStr">
        <is>
          <t>7月</t>
        </is>
      </c>
      <c r="I36" s="485" t="inlineStr">
        <is>
          <t>8月</t>
        </is>
      </c>
      <c r="J36" s="485" t="inlineStr">
        <is>
          <t>9月</t>
        </is>
      </c>
      <c r="K36" s="485" t="inlineStr">
        <is>
          <t>10月</t>
        </is>
      </c>
      <c r="L36" s="485" t="inlineStr">
        <is>
          <t>11月</t>
        </is>
      </c>
      <c r="M36" s="485" t="inlineStr">
        <is>
          <t>12月</t>
        </is>
      </c>
      <c r="N36" s="485" t="inlineStr">
        <is>
          <t>总计</t>
        </is>
      </c>
      <c r="O36" s="482" t="n"/>
    </row>
    <row r="37" ht="19.95" customFormat="1" customHeight="1" s="482">
      <c r="A37" s="475" t="inlineStr">
        <is>
          <t>分厂1</t>
        </is>
      </c>
      <c r="B37" s="486">
        <f>B11-B24</f>
        <v/>
      </c>
      <c r="C37" s="486">
        <f>C11-C24</f>
        <v/>
      </c>
      <c r="D37" s="486">
        <f>D11-D24</f>
        <v/>
      </c>
      <c r="E37" s="486">
        <f>E11-E24</f>
        <v/>
      </c>
      <c r="F37" s="486">
        <f>F11-F24</f>
        <v/>
      </c>
      <c r="G37" s="486">
        <f>G11-G24</f>
        <v/>
      </c>
      <c r="H37" s="486">
        <f>H11-H24</f>
        <v/>
      </c>
      <c r="I37" s="486">
        <f>I11-I24</f>
        <v/>
      </c>
      <c r="J37" s="486">
        <f>J11-J24</f>
        <v/>
      </c>
      <c r="K37" s="486">
        <f>K11-K24</f>
        <v/>
      </c>
      <c r="L37" s="486">
        <f>L11-L24</f>
        <v/>
      </c>
      <c r="M37" s="486">
        <f>M11-M24</f>
        <v/>
      </c>
      <c r="N37" s="486">
        <f>N11-N24</f>
        <v/>
      </c>
      <c r="O37" s="482" t="n"/>
    </row>
    <row r="38" ht="19.95" customFormat="1" customHeight="1" s="482">
      <c r="A38" s="477" t="inlineStr">
        <is>
          <t>产品1</t>
        </is>
      </c>
      <c r="B38" s="487">
        <f>B12-B25</f>
        <v/>
      </c>
      <c r="C38" s="487">
        <f>C12-C25</f>
        <v/>
      </c>
      <c r="D38" s="487">
        <f>D12-D25</f>
        <v/>
      </c>
      <c r="E38" s="487">
        <f>E12-E25</f>
        <v/>
      </c>
      <c r="F38" s="487">
        <f>F12-F25</f>
        <v/>
      </c>
      <c r="G38" s="487">
        <f>G12-G25</f>
        <v/>
      </c>
      <c r="H38" s="487">
        <f>H12-H25</f>
        <v/>
      </c>
      <c r="I38" s="487">
        <f>I12-I25</f>
        <v/>
      </c>
      <c r="J38" s="487">
        <f>J12-J25</f>
        <v/>
      </c>
      <c r="K38" s="487">
        <f>K12-K25</f>
        <v/>
      </c>
      <c r="L38" s="487">
        <f>L12-L25</f>
        <v/>
      </c>
      <c r="M38" s="487">
        <f>M12-M25</f>
        <v/>
      </c>
      <c r="N38" s="487">
        <f>N12-N25</f>
        <v/>
      </c>
      <c r="O38" s="482" t="n"/>
    </row>
    <row r="39" ht="19.95" customFormat="1" customHeight="1" s="482">
      <c r="A39" s="477" t="inlineStr">
        <is>
          <t>产品2</t>
        </is>
      </c>
      <c r="B39" s="487">
        <f>B13-B26</f>
        <v/>
      </c>
      <c r="C39" s="487">
        <f>C13-C26</f>
        <v/>
      </c>
      <c r="D39" s="487">
        <f>D13-D26</f>
        <v/>
      </c>
      <c r="E39" s="487">
        <f>E13-E26</f>
        <v/>
      </c>
      <c r="F39" s="487">
        <f>F13-F26</f>
        <v/>
      </c>
      <c r="G39" s="487">
        <f>G13-G26</f>
        <v/>
      </c>
      <c r="H39" s="487">
        <f>H13-H26</f>
        <v/>
      </c>
      <c r="I39" s="487">
        <f>I13-I26</f>
        <v/>
      </c>
      <c r="J39" s="487">
        <f>J13-J26</f>
        <v/>
      </c>
      <c r="K39" s="487">
        <f>K13-K26</f>
        <v/>
      </c>
      <c r="L39" s="487">
        <f>L13-L26</f>
        <v/>
      </c>
      <c r="M39" s="487">
        <f>M13-M26</f>
        <v/>
      </c>
      <c r="N39" s="487">
        <f>N13-N26</f>
        <v/>
      </c>
      <c r="O39" s="482" t="n"/>
    </row>
    <row r="40" ht="19.95" customFormat="1" customHeight="1" s="482">
      <c r="A40" s="477" t="inlineStr">
        <is>
          <t>产品3</t>
        </is>
      </c>
      <c r="B40" s="487">
        <f>B14-B27</f>
        <v/>
      </c>
      <c r="C40" s="487">
        <f>C14-C27</f>
        <v/>
      </c>
      <c r="D40" s="487">
        <f>D14-D27</f>
        <v/>
      </c>
      <c r="E40" s="487">
        <f>E14-E27</f>
        <v/>
      </c>
      <c r="F40" s="487">
        <f>F14-F27</f>
        <v/>
      </c>
      <c r="G40" s="487">
        <f>G14-G27</f>
        <v/>
      </c>
      <c r="H40" s="487">
        <f>H14-H27</f>
        <v/>
      </c>
      <c r="I40" s="487">
        <f>I14-I27</f>
        <v/>
      </c>
      <c r="J40" s="487">
        <f>J14-J27</f>
        <v/>
      </c>
      <c r="K40" s="487">
        <f>K14-K27</f>
        <v/>
      </c>
      <c r="L40" s="487">
        <f>L14-L27</f>
        <v/>
      </c>
      <c r="M40" s="487">
        <f>M14-M27</f>
        <v/>
      </c>
      <c r="N40" s="487">
        <f>N14-N27</f>
        <v/>
      </c>
      <c r="O40" s="482" t="n"/>
    </row>
    <row r="41" ht="19.95" customFormat="1" customHeight="1" s="482">
      <c r="A41" s="477" t="inlineStr">
        <is>
          <t>产品4</t>
        </is>
      </c>
      <c r="B41" s="487">
        <f>B15-B28</f>
        <v/>
      </c>
      <c r="C41" s="487">
        <f>C15-C28</f>
        <v/>
      </c>
      <c r="D41" s="487">
        <f>D15-D28</f>
        <v/>
      </c>
      <c r="E41" s="487">
        <f>E15-E28</f>
        <v/>
      </c>
      <c r="F41" s="487">
        <f>F15-F28</f>
        <v/>
      </c>
      <c r="G41" s="487">
        <f>G15-G28</f>
        <v/>
      </c>
      <c r="H41" s="487">
        <f>H15-H28</f>
        <v/>
      </c>
      <c r="I41" s="487">
        <f>I15-I28</f>
        <v/>
      </c>
      <c r="J41" s="487">
        <f>J15-J28</f>
        <v/>
      </c>
      <c r="K41" s="487">
        <f>K15-K28</f>
        <v/>
      </c>
      <c r="L41" s="487">
        <f>L15-L28</f>
        <v/>
      </c>
      <c r="M41" s="487">
        <f>M15-M28</f>
        <v/>
      </c>
      <c r="N41" s="487">
        <f>N15-N28</f>
        <v/>
      </c>
      <c r="O41" s="482" t="n"/>
    </row>
    <row r="42" ht="19.95" customFormat="1" customHeight="1" s="482">
      <c r="A42" s="475" t="inlineStr">
        <is>
          <t>分厂2</t>
        </is>
      </c>
      <c r="B42" s="486">
        <f>B16-B29</f>
        <v/>
      </c>
      <c r="C42" s="486">
        <f>C16-C29</f>
        <v/>
      </c>
      <c r="D42" s="486">
        <f>D16-D29</f>
        <v/>
      </c>
      <c r="E42" s="486">
        <f>E16-E29</f>
        <v/>
      </c>
      <c r="F42" s="486">
        <f>F16-F29</f>
        <v/>
      </c>
      <c r="G42" s="486">
        <f>G16-G29</f>
        <v/>
      </c>
      <c r="H42" s="486">
        <f>H16-H29</f>
        <v/>
      </c>
      <c r="I42" s="486">
        <f>I16-I29</f>
        <v/>
      </c>
      <c r="J42" s="486">
        <f>J16-J29</f>
        <v/>
      </c>
      <c r="K42" s="486">
        <f>K16-K29</f>
        <v/>
      </c>
      <c r="L42" s="486">
        <f>L16-L29</f>
        <v/>
      </c>
      <c r="M42" s="486">
        <f>M16-M29</f>
        <v/>
      </c>
      <c r="N42" s="486">
        <f>N16-N29</f>
        <v/>
      </c>
      <c r="O42" s="482" t="n"/>
    </row>
    <row r="43" ht="19.95" customFormat="1" customHeight="1" s="482">
      <c r="A43" s="477" t="inlineStr">
        <is>
          <t>产品1</t>
        </is>
      </c>
      <c r="B43" s="487">
        <f>B17-B30</f>
        <v/>
      </c>
      <c r="C43" s="487">
        <f>C17-C30</f>
        <v/>
      </c>
      <c r="D43" s="487">
        <f>D17-D30</f>
        <v/>
      </c>
      <c r="E43" s="487">
        <f>E17-E30</f>
        <v/>
      </c>
      <c r="F43" s="487">
        <f>F17-F30</f>
        <v/>
      </c>
      <c r="G43" s="487">
        <f>G17-G30</f>
        <v/>
      </c>
      <c r="H43" s="487">
        <f>H17-H30</f>
        <v/>
      </c>
      <c r="I43" s="487">
        <f>I17-I30</f>
        <v/>
      </c>
      <c r="J43" s="487">
        <f>J17-J30</f>
        <v/>
      </c>
      <c r="K43" s="487">
        <f>K17-K30</f>
        <v/>
      </c>
      <c r="L43" s="487">
        <f>L17-L30</f>
        <v/>
      </c>
      <c r="M43" s="487">
        <f>M17-M30</f>
        <v/>
      </c>
      <c r="N43" s="487">
        <f>N17-N30</f>
        <v/>
      </c>
      <c r="O43" s="482" t="n"/>
    </row>
    <row r="44" ht="19.95" customFormat="1" customHeight="1" s="482">
      <c r="A44" s="477" t="inlineStr">
        <is>
          <t>产品2</t>
        </is>
      </c>
      <c r="B44" s="487">
        <f>B18-B31</f>
        <v/>
      </c>
      <c r="C44" s="487">
        <f>C18-C31</f>
        <v/>
      </c>
      <c r="D44" s="487">
        <f>D18-D31</f>
        <v/>
      </c>
      <c r="E44" s="487">
        <f>E18-E31</f>
        <v/>
      </c>
      <c r="F44" s="487">
        <f>F18-F31</f>
        <v/>
      </c>
      <c r="G44" s="487">
        <f>G18-G31</f>
        <v/>
      </c>
      <c r="H44" s="487">
        <f>H18-H31</f>
        <v/>
      </c>
      <c r="I44" s="487">
        <f>I18-I31</f>
        <v/>
      </c>
      <c r="J44" s="487">
        <f>J18-J31</f>
        <v/>
      </c>
      <c r="K44" s="487">
        <f>K18-K31</f>
        <v/>
      </c>
      <c r="L44" s="487">
        <f>L18-L31</f>
        <v/>
      </c>
      <c r="M44" s="487">
        <f>M18-M31</f>
        <v/>
      </c>
      <c r="N44" s="487">
        <f>N18-N31</f>
        <v/>
      </c>
      <c r="O44" s="482" t="n"/>
    </row>
    <row r="45" ht="19.95" customFormat="1" customHeight="1" s="482">
      <c r="A45" s="477" t="inlineStr">
        <is>
          <t>产品3</t>
        </is>
      </c>
      <c r="B45" s="487">
        <f>B19-B32</f>
        <v/>
      </c>
      <c r="C45" s="487">
        <f>C19-C32</f>
        <v/>
      </c>
      <c r="D45" s="487">
        <f>D19-D32</f>
        <v/>
      </c>
      <c r="E45" s="487">
        <f>E19-E32</f>
        <v/>
      </c>
      <c r="F45" s="487">
        <f>F19-F32</f>
        <v/>
      </c>
      <c r="G45" s="487">
        <f>G19-G32</f>
        <v/>
      </c>
      <c r="H45" s="487">
        <f>H19-H32</f>
        <v/>
      </c>
      <c r="I45" s="487">
        <f>I19-I32</f>
        <v/>
      </c>
      <c r="J45" s="487">
        <f>J19-J32</f>
        <v/>
      </c>
      <c r="K45" s="487">
        <f>K19-K32</f>
        <v/>
      </c>
      <c r="L45" s="487">
        <f>L19-L32</f>
        <v/>
      </c>
      <c r="M45" s="487">
        <f>M19-M32</f>
        <v/>
      </c>
      <c r="N45" s="487">
        <f>N19-N32</f>
        <v/>
      </c>
      <c r="O45" s="482" t="n"/>
    </row>
    <row r="46" ht="19.95" customFormat="1" customHeight="1" s="482">
      <c r="A46" s="477" t="inlineStr">
        <is>
          <t>产品4</t>
        </is>
      </c>
      <c r="B46" s="487">
        <f>B20-B33</f>
        <v/>
      </c>
      <c r="C46" s="487">
        <f>C20-C33</f>
        <v/>
      </c>
      <c r="D46" s="487">
        <f>D20-D33</f>
        <v/>
      </c>
      <c r="E46" s="487">
        <f>E20-E33</f>
        <v/>
      </c>
      <c r="F46" s="487">
        <f>F20-F33</f>
        <v/>
      </c>
      <c r="G46" s="487">
        <f>G20-G33</f>
        <v/>
      </c>
      <c r="H46" s="487">
        <f>H20-H33</f>
        <v/>
      </c>
      <c r="I46" s="487">
        <f>I20-I33</f>
        <v/>
      </c>
      <c r="J46" s="487">
        <f>J20-J33</f>
        <v/>
      </c>
      <c r="K46" s="487">
        <f>K20-K33</f>
        <v/>
      </c>
      <c r="L46" s="487">
        <f>L20-L33</f>
        <v/>
      </c>
      <c r="M46" s="487">
        <f>M20-M33</f>
        <v/>
      </c>
      <c r="N46" s="487">
        <f>N20-N33</f>
        <v/>
      </c>
      <c r="O46" s="482" t="n"/>
    </row>
    <row r="47" ht="19.95" customFormat="1" customHeight="1" s="482">
      <c r="A47" s="481" t="inlineStr">
        <is>
          <t>总计</t>
        </is>
      </c>
      <c r="B47" s="486">
        <f>B21-B34</f>
        <v/>
      </c>
      <c r="C47" s="486">
        <f>C21-C34</f>
        <v/>
      </c>
      <c r="D47" s="486">
        <f>D21-D34</f>
        <v/>
      </c>
      <c r="E47" s="486">
        <f>E21-E34</f>
        <v/>
      </c>
      <c r="F47" s="486">
        <f>F21-F34</f>
        <v/>
      </c>
      <c r="G47" s="486">
        <f>G21-G34</f>
        <v/>
      </c>
      <c r="H47" s="486">
        <f>H21-H34</f>
        <v/>
      </c>
      <c r="I47" s="486">
        <f>I21-I34</f>
        <v/>
      </c>
      <c r="J47" s="486">
        <f>J21-J34</f>
        <v/>
      </c>
      <c r="K47" s="486">
        <f>K21-K34</f>
        <v/>
      </c>
      <c r="L47" s="486">
        <f>L21-L34</f>
        <v/>
      </c>
      <c r="M47" s="486">
        <f>M21-M34</f>
        <v/>
      </c>
      <c r="N47" s="486">
        <f>N21-N34</f>
        <v/>
      </c>
      <c r="O47" s="482" t="n"/>
    </row>
    <row r="48" ht="19.95" customFormat="1" customHeight="1" s="470">
      <c r="A48" s="488" t="inlineStr">
        <is>
          <t>三、审计说明：</t>
        </is>
      </c>
      <c r="B48" s="489" t="n"/>
      <c r="C48" s="489" t="n"/>
      <c r="D48" s="489" t="n"/>
      <c r="E48" s="489" t="n"/>
      <c r="F48" s="489" t="n"/>
      <c r="G48" s="489" t="n"/>
      <c r="H48" s="489" t="n"/>
      <c r="I48" s="489" t="n"/>
      <c r="J48" s="489" t="n"/>
      <c r="K48" s="489" t="n"/>
      <c r="L48" s="489" t="n"/>
      <c r="M48" s="489" t="n"/>
      <c r="N48" s="489" t="n"/>
    </row>
    <row r="49" ht="19.95" customFormat="1" customHeight="1" s="470"/>
    <row r="50" ht="19.95" customFormat="1" customHeight="1" s="470"/>
    <row r="51" ht="19.95" customFormat="1" customHeight="1" s="471">
      <c r="A51" s="470" t="n"/>
      <c r="B51" s="470" t="n"/>
      <c r="C51" s="470" t="n"/>
      <c r="D51" s="470" t="n"/>
      <c r="E51" s="470" t="n"/>
      <c r="F51" s="470" t="n"/>
      <c r="G51" s="470" t="n"/>
      <c r="H51" s="470" t="n"/>
      <c r="I51" s="470" t="n"/>
      <c r="J51" s="470" t="n"/>
      <c r="K51" s="470" t="n"/>
      <c r="L51" s="470" t="n"/>
      <c r="M51" s="470" t="n"/>
    </row>
    <row r="52" ht="19.95" customFormat="1" customHeight="1" s="470">
      <c r="A52" s="471" t="inlineStr">
        <is>
          <t>四、审计结论：</t>
        </is>
      </c>
    </row>
    <row r="53" ht="19.95" customFormat="1" customHeight="1" s="470">
      <c r="A53" s="471" t="n"/>
    </row>
    <row r="54" ht="19.95" customFormat="1" customHeight="1" s="470">
      <c r="A54" s="471" t="n"/>
    </row>
    <row r="55" ht="15.9" customFormat="1" customHeight="1" s="490">
      <c r="A55" s="490" t="n"/>
      <c r="B55" s="490" t="n"/>
      <c r="C55" s="490" t="n"/>
      <c r="D55" s="490" t="n"/>
      <c r="E55" s="490" t="n"/>
      <c r="F55" s="490" t="n"/>
      <c r="G55" s="490" t="n"/>
      <c r="H55" s="490" t="n"/>
      <c r="I55" s="490" t="n"/>
      <c r="J55" s="490" t="n"/>
      <c r="K55" s="490" t="n"/>
      <c r="L55" s="490" t="n"/>
      <c r="M55" s="490" t="n"/>
      <c r="N55" s="490" t="n"/>
      <c r="O55" s="490" t="n"/>
      <c r="P55" s="490" t="n"/>
    </row>
    <row r="56" ht="15.9" customFormat="1" customHeight="1" s="491">
      <c r="A56" s="256" t="inlineStr">
        <is>
          <t>提示：</t>
        </is>
      </c>
      <c r="B56" s="491" t="n"/>
      <c r="C56" s="491" t="n"/>
      <c r="D56" s="491" t="n"/>
      <c r="E56" s="491" t="n"/>
      <c r="F56" s="491" t="n"/>
      <c r="G56" s="491" t="n"/>
      <c r="H56" s="491" t="n"/>
      <c r="I56" s="491" t="n"/>
      <c r="J56" s="491" t="n"/>
      <c r="K56" s="491" t="n"/>
      <c r="L56" s="491" t="n"/>
      <c r="M56" s="491" t="n"/>
      <c r="N56" s="491" t="n"/>
      <c r="O56" s="491" t="n"/>
    </row>
    <row r="57" ht="15.9" customFormat="1" customHeight="1" s="491">
      <c r="A57" s="74" t="inlineStr">
        <is>
          <t>1、本表验算主营业务收入确认数量和成本结转数量是否匹配。</t>
        </is>
      </c>
      <c r="B57" s="491" t="n"/>
      <c r="C57" s="491" t="n"/>
      <c r="D57" s="491" t="n"/>
      <c r="E57" s="491" t="n"/>
      <c r="F57" s="491" t="n"/>
      <c r="G57" s="491" t="n"/>
      <c r="H57" s="491" t="n"/>
      <c r="I57" s="491" t="n"/>
      <c r="J57" s="491" t="n"/>
      <c r="K57" s="491" t="n"/>
      <c r="L57" s="491" t="n"/>
      <c r="M57" s="491" t="n"/>
      <c r="N57" s="491" t="n"/>
      <c r="O57" s="491" t="n"/>
    </row>
    <row r="58" ht="15.9" customFormat="1" customHeight="1" s="491">
      <c r="A58" s="74" t="inlineStr">
        <is>
          <t>2、本表适用制造业中的产品销售，如果项目属于其他行业，请相应修改参考格式。</t>
        </is>
      </c>
      <c r="B58" s="491" t="n"/>
      <c r="C58" s="491" t="n"/>
      <c r="D58" s="491" t="n"/>
      <c r="E58" s="491" t="n"/>
      <c r="F58" s="491" t="n"/>
      <c r="G58" s="491" t="n"/>
      <c r="H58" s="491" t="n"/>
      <c r="I58" s="491" t="n"/>
      <c r="J58" s="491" t="n"/>
      <c r="K58" s="491" t="n"/>
      <c r="L58" s="491" t="n"/>
      <c r="M58" s="491" t="n"/>
      <c r="N58" s="491" t="n"/>
      <c r="O58" s="491" t="n"/>
    </row>
    <row r="59" ht="15.9" customFormat="1" customHeight="1" s="490">
      <c r="A59" s="490" t="n"/>
      <c r="B59" s="490" t="n"/>
      <c r="C59" s="490" t="n"/>
      <c r="D59" s="490" t="n"/>
      <c r="E59" s="490" t="n"/>
      <c r="F59" s="490" t="n"/>
      <c r="G59" s="490" t="n"/>
      <c r="H59" s="490" t="n"/>
      <c r="I59" s="490" t="n"/>
      <c r="J59" s="490" t="n"/>
      <c r="K59" s="490" t="n"/>
      <c r="L59" s="490" t="n"/>
      <c r="M59" s="490" t="n"/>
      <c r="N59" s="490" t="n"/>
      <c r="O59" s="490" t="n"/>
      <c r="P59" s="490" t="n"/>
    </row>
    <row r="60" ht="15.9" customFormat="1" customHeight="1" s="490">
      <c r="A60" s="490" t="n"/>
      <c r="B60" s="490" t="n"/>
      <c r="C60" s="490" t="n"/>
      <c r="D60" s="490" t="n"/>
      <c r="E60" s="490" t="n"/>
      <c r="F60" s="490" t="n"/>
      <c r="G60" s="490" t="n"/>
      <c r="H60" s="490" t="n"/>
      <c r="I60" s="490" t="n"/>
      <c r="J60" s="490" t="n"/>
      <c r="K60" s="490" t="n"/>
      <c r="L60" s="490" t="n"/>
      <c r="M60" s="490" t="n"/>
      <c r="N60" s="490" t="n"/>
      <c r="O60" s="490" t="n"/>
      <c r="P60" s="490" t="n"/>
    </row>
    <row r="61" ht="15.9" customFormat="1" customHeight="1" s="490">
      <c r="A61" s="490" t="n"/>
      <c r="B61" s="490" t="n"/>
      <c r="C61" s="490" t="n"/>
      <c r="D61" s="490" t="n"/>
      <c r="E61" s="490" t="n"/>
      <c r="F61" s="490" t="n"/>
      <c r="G61" s="490" t="n"/>
      <c r="H61" s="490" t="n"/>
      <c r="I61" s="490" t="n"/>
      <c r="J61" s="490" t="n"/>
      <c r="K61" s="490" t="n"/>
      <c r="L61" s="490" t="n"/>
      <c r="M61" s="490" t="n"/>
      <c r="N61" s="490" t="n"/>
      <c r="O61" s="490" t="n"/>
      <c r="P61" s="490" t="n"/>
    </row>
    <row r="62" ht="15.9" customFormat="1" customHeight="1" s="490">
      <c r="A62" s="490" t="n"/>
      <c r="B62" s="490" t="n"/>
      <c r="C62" s="490" t="n"/>
      <c r="D62" s="490" t="n"/>
      <c r="E62" s="490" t="n"/>
      <c r="F62" s="490" t="n"/>
      <c r="G62" s="490" t="n"/>
      <c r="H62" s="490" t="n"/>
      <c r="I62" s="490" t="n"/>
      <c r="J62" s="490" t="n"/>
      <c r="K62" s="490" t="n"/>
      <c r="L62" s="490" t="n"/>
      <c r="M62" s="490" t="n"/>
      <c r="N62" s="490" t="n"/>
      <c r="O62" s="490" t="n"/>
      <c r="P62" s="490" t="n"/>
    </row>
    <row r="63" ht="15.9" customHeight="1" s="356">
      <c r="A63" s="65" t="n"/>
      <c r="B63" s="65" t="n"/>
      <c r="C63" s="65" t="n"/>
      <c r="D63" s="65" t="n"/>
      <c r="E63" s="65" t="n"/>
      <c r="F63" s="65" t="n"/>
      <c r="G63" s="65" t="n"/>
      <c r="H63" s="65" t="n"/>
      <c r="I63" s="65" t="n"/>
      <c r="J63" s="65" t="n"/>
      <c r="K63" s="65" t="n"/>
      <c r="L63" s="65" t="n"/>
      <c r="M63" s="65" t="n"/>
      <c r="N63" s="65" t="n"/>
      <c r="O63" s="65" t="n"/>
      <c r="P63" s="65" t="n"/>
    </row>
    <row r="64" ht="15.9" customHeight="1" s="356">
      <c r="A64" s="65" t="n"/>
      <c r="B64" s="65" t="n"/>
      <c r="C64" s="65" t="n"/>
      <c r="D64" s="65" t="n"/>
      <c r="E64" s="65" t="n"/>
      <c r="F64" s="65" t="n"/>
      <c r="G64" s="65" t="n"/>
      <c r="H64" s="65" t="n"/>
      <c r="I64" s="65" t="n"/>
      <c r="J64" s="65" t="n"/>
      <c r="K64" s="65" t="n"/>
      <c r="L64" s="65" t="n"/>
      <c r="M64" s="65" t="n"/>
      <c r="N64" s="65" t="n"/>
      <c r="O64" s="65" t="n"/>
      <c r="P64" s="65" t="n"/>
    </row>
    <row r="65" ht="15.9" customHeight="1" s="356">
      <c r="A65" s="65" t="n"/>
      <c r="B65" s="65" t="n"/>
      <c r="C65" s="65" t="n"/>
      <c r="D65" s="65" t="n"/>
      <c r="E65" s="65" t="n"/>
      <c r="F65" s="65" t="n"/>
      <c r="G65" s="65" t="n"/>
      <c r="H65" s="65" t="n"/>
      <c r="I65" s="65" t="n"/>
      <c r="J65" s="65" t="n"/>
      <c r="K65" s="65" t="n"/>
      <c r="L65" s="65" t="n"/>
      <c r="M65" s="65" t="n"/>
      <c r="N65" s="65" t="n"/>
      <c r="O65" s="65" t="n"/>
      <c r="P65" s="65" t="n"/>
    </row>
    <row r="66" ht="15.9" customHeight="1" s="356">
      <c r="A66" s="65" t="n"/>
      <c r="B66" s="65" t="n"/>
      <c r="C66" s="65" t="n"/>
      <c r="D66" s="65" t="n"/>
      <c r="E66" s="65" t="n"/>
      <c r="F66" s="65" t="n"/>
      <c r="G66" s="65" t="n"/>
      <c r="H66" s="65" t="n"/>
      <c r="I66" s="65" t="n"/>
      <c r="J66" s="65" t="n"/>
      <c r="K66" s="65" t="n"/>
      <c r="L66" s="65" t="n"/>
      <c r="M66" s="65" t="n"/>
      <c r="N66" s="65" t="n"/>
      <c r="O66" s="65" t="n"/>
      <c r="P66" s="65" t="n"/>
    </row>
    <row r="67" ht="15.9" customHeight="1" s="356">
      <c r="A67" s="65" t="n"/>
      <c r="B67" s="65" t="n"/>
      <c r="C67" s="65" t="n"/>
      <c r="D67" s="65" t="n"/>
      <c r="E67" s="65" t="n"/>
      <c r="F67" s="65" t="n"/>
      <c r="G67" s="65" t="n"/>
      <c r="H67" s="65" t="n"/>
      <c r="I67" s="65" t="n"/>
      <c r="J67" s="65" t="n"/>
      <c r="K67" s="65" t="n"/>
      <c r="L67" s="65" t="n"/>
      <c r="M67" s="65" t="n"/>
      <c r="N67" s="65" t="n"/>
      <c r="O67" s="65" t="n"/>
      <c r="P67" s="65" t="n"/>
    </row>
    <row r="68" ht="15.9" customHeight="1" s="356">
      <c r="A68" s="65" t="n"/>
      <c r="B68" s="65" t="n"/>
      <c r="C68" s="65" t="n"/>
      <c r="D68" s="65" t="n"/>
      <c r="E68" s="65" t="n"/>
      <c r="F68" s="65" t="n"/>
      <c r="G68" s="65" t="n"/>
      <c r="H68" s="65" t="n"/>
      <c r="I68" s="65" t="n"/>
      <c r="J68" s="65" t="n"/>
      <c r="K68" s="65" t="n"/>
      <c r="L68" s="65" t="n"/>
      <c r="M68" s="65" t="n"/>
      <c r="N68" s="65" t="n"/>
      <c r="O68" s="65" t="n"/>
      <c r="P68" s="65" t="n"/>
    </row>
    <row r="69" ht="15.9" customHeight="1" s="356">
      <c r="A69" s="65" t="n"/>
      <c r="B69" s="65" t="n"/>
      <c r="C69" s="65" t="n"/>
      <c r="D69" s="65" t="n"/>
      <c r="E69" s="65" t="n"/>
      <c r="F69" s="65" t="n"/>
      <c r="G69" s="65" t="n"/>
      <c r="H69" s="65" t="n"/>
      <c r="I69" s="65" t="n"/>
      <c r="J69" s="65" t="n"/>
      <c r="K69" s="65" t="n"/>
      <c r="L69" s="65" t="n"/>
      <c r="M69" s="65" t="n"/>
      <c r="N69" s="65" t="n"/>
      <c r="O69" s="65" t="n"/>
      <c r="P69" s="65" t="n"/>
    </row>
    <row r="70" ht="15.9" customHeight="1" s="356">
      <c r="A70" s="65" t="n"/>
      <c r="B70" s="65" t="n"/>
      <c r="C70" s="65" t="n"/>
      <c r="D70" s="65" t="n"/>
      <c r="E70" s="65" t="n"/>
      <c r="F70" s="65" t="n"/>
      <c r="G70" s="65" t="n"/>
      <c r="H70" s="65" t="n"/>
      <c r="I70" s="65" t="n"/>
      <c r="J70" s="65" t="n"/>
      <c r="K70" s="65" t="n"/>
      <c r="L70" s="65" t="n"/>
      <c r="M70" s="65" t="n"/>
      <c r="N70" s="65" t="n"/>
      <c r="O70" s="65" t="n"/>
      <c r="P70" s="65" t="n"/>
    </row>
    <row r="71" ht="15.9" customHeight="1" s="356">
      <c r="A71" s="65" t="n"/>
      <c r="B71" s="65" t="n"/>
      <c r="C71" s="65" t="n"/>
      <c r="D71" s="65" t="n"/>
      <c r="E71" s="65" t="n"/>
      <c r="F71" s="65" t="n"/>
      <c r="G71" s="65" t="n"/>
      <c r="H71" s="65" t="n"/>
      <c r="I71" s="65" t="n"/>
      <c r="J71" s="65" t="n"/>
      <c r="K71" s="65" t="n"/>
      <c r="L71" s="65" t="n"/>
      <c r="M71" s="65" t="n"/>
      <c r="N71" s="65" t="n"/>
      <c r="O71" s="65" t="n"/>
      <c r="P71" s="65" t="n"/>
    </row>
    <row r="72" ht="15.9" customHeight="1" s="356">
      <c r="A72" s="65" t="n"/>
      <c r="B72" s="65" t="n"/>
      <c r="C72" s="65" t="n"/>
      <c r="D72" s="65" t="n"/>
      <c r="E72" s="65" t="n"/>
      <c r="F72" s="65" t="n"/>
      <c r="G72" s="65" t="n"/>
      <c r="H72" s="65" t="n"/>
      <c r="I72" s="65" t="n"/>
      <c r="J72" s="65" t="n"/>
      <c r="K72" s="65" t="n"/>
      <c r="L72" s="65" t="n"/>
      <c r="M72" s="65" t="n"/>
      <c r="N72" s="65" t="n"/>
      <c r="O72" s="65" t="n"/>
      <c r="P72" s="65" t="n"/>
    </row>
    <row r="73" ht="15.9" customHeight="1" s="356">
      <c r="A73" s="65" t="n"/>
      <c r="B73" s="65" t="n"/>
      <c r="C73" s="65" t="n"/>
      <c r="D73" s="65" t="n"/>
      <c r="E73" s="65" t="n"/>
      <c r="F73" s="65" t="n"/>
      <c r="G73" s="65" t="n"/>
      <c r="H73" s="65" t="n"/>
      <c r="I73" s="65" t="n"/>
      <c r="J73" s="65" t="n"/>
      <c r="K73" s="65" t="n"/>
      <c r="L73" s="65" t="n"/>
      <c r="M73" s="65" t="n"/>
      <c r="N73" s="65" t="n"/>
      <c r="O73" s="65" t="n"/>
      <c r="P73" s="65" t="n"/>
    </row>
    <row r="74" ht="15.9" customHeight="1" s="356">
      <c r="A74" s="65" t="n"/>
      <c r="B74" s="65" t="n"/>
      <c r="C74" s="65" t="n"/>
      <c r="D74" s="65" t="n"/>
      <c r="E74" s="65" t="n"/>
      <c r="F74" s="65" t="n"/>
      <c r="G74" s="65" t="n"/>
      <c r="H74" s="65" t="n"/>
      <c r="I74" s="65" t="n"/>
      <c r="J74" s="65" t="n"/>
      <c r="K74" s="65" t="n"/>
      <c r="L74" s="65" t="n"/>
      <c r="M74" s="65" t="n"/>
      <c r="N74" s="65" t="n"/>
      <c r="O74" s="65" t="n"/>
      <c r="P74" s="65" t="n"/>
    </row>
    <row r="75" ht="15.9" customHeight="1" s="356">
      <c r="A75" s="65" t="n"/>
      <c r="B75" s="65" t="n"/>
      <c r="C75" s="65" t="n"/>
      <c r="D75" s="65" t="n"/>
      <c r="E75" s="65" t="n"/>
      <c r="F75" s="65" t="n"/>
      <c r="G75" s="65" t="n"/>
      <c r="H75" s="65" t="n"/>
      <c r="I75" s="65" t="n"/>
      <c r="J75" s="65" t="n"/>
      <c r="K75" s="65" t="n"/>
      <c r="L75" s="65" t="n"/>
      <c r="M75" s="65" t="n"/>
      <c r="N75" s="65" t="n"/>
      <c r="O75" s="65" t="n"/>
      <c r="P75" s="65" t="n"/>
    </row>
    <row r="76" ht="15.9" customHeight="1" s="356">
      <c r="A76" s="65" t="n"/>
      <c r="B76" s="65" t="n"/>
      <c r="C76" s="65" t="n"/>
      <c r="D76" s="65" t="n"/>
      <c r="E76" s="65" t="n"/>
      <c r="F76" s="65" t="n"/>
      <c r="G76" s="65" t="n"/>
      <c r="H76" s="65" t="n"/>
      <c r="I76" s="65" t="n"/>
      <c r="J76" s="65" t="n"/>
      <c r="K76" s="65" t="n"/>
      <c r="L76" s="65" t="n"/>
      <c r="M76" s="65" t="n"/>
      <c r="N76" s="65" t="n"/>
      <c r="O76" s="65" t="n"/>
      <c r="P76" s="65" t="n"/>
    </row>
    <row r="77" ht="15.9" customHeight="1" s="356">
      <c r="A77" s="65" t="n"/>
      <c r="B77" s="65" t="n"/>
      <c r="C77" s="65" t="n"/>
      <c r="D77" s="65" t="n"/>
      <c r="E77" s="65" t="n"/>
      <c r="F77" s="65" t="n"/>
      <c r="G77" s="65" t="n"/>
      <c r="H77" s="65" t="n"/>
      <c r="I77" s="65" t="n"/>
      <c r="J77" s="65" t="n"/>
      <c r="K77" s="65" t="n"/>
      <c r="L77" s="65" t="n"/>
      <c r="M77" s="65" t="n"/>
      <c r="N77" s="65" t="n"/>
      <c r="O77" s="65" t="n"/>
      <c r="P77" s="65" t="n"/>
    </row>
    <row r="78" ht="15.9" customHeight="1" s="356">
      <c r="A78" s="65" t="n"/>
      <c r="B78" s="65" t="n"/>
      <c r="C78" s="65" t="n"/>
      <c r="D78" s="65" t="n"/>
      <c r="E78" s="65" t="n"/>
      <c r="F78" s="65" t="n"/>
      <c r="G78" s="65" t="n"/>
      <c r="H78" s="65" t="n"/>
      <c r="I78" s="65" t="n"/>
      <c r="J78" s="65" t="n"/>
      <c r="K78" s="65" t="n"/>
      <c r="L78" s="65" t="n"/>
      <c r="M78" s="65" t="n"/>
      <c r="N78" s="65" t="n"/>
      <c r="O78" s="65" t="n"/>
      <c r="P78" s="65" t="n"/>
    </row>
    <row r="79" ht="15.9" customHeight="1" s="356">
      <c r="A79" s="65" t="n"/>
      <c r="B79" s="65" t="n"/>
      <c r="C79" s="65" t="n"/>
      <c r="D79" s="65" t="n"/>
      <c r="E79" s="65" t="n"/>
      <c r="F79" s="65" t="n"/>
      <c r="G79" s="65" t="n"/>
      <c r="H79" s="65" t="n"/>
      <c r="I79" s="65" t="n"/>
      <c r="J79" s="65" t="n"/>
      <c r="K79" s="65" t="n"/>
      <c r="L79" s="65" t="n"/>
      <c r="M79" s="65" t="n"/>
      <c r="N79" s="65" t="n"/>
      <c r="O79" s="65" t="n"/>
      <c r="P79" s="65" t="n"/>
    </row>
    <row r="80" ht="15.9" customHeight="1" s="356">
      <c r="A80" s="65" t="n"/>
      <c r="B80" s="65" t="n"/>
      <c r="C80" s="65" t="n"/>
      <c r="D80" s="65" t="n"/>
      <c r="E80" s="65" t="n"/>
      <c r="F80" s="65" t="n"/>
      <c r="G80" s="65" t="n"/>
      <c r="H80" s="65" t="n"/>
      <c r="I80" s="65" t="n"/>
      <c r="J80" s="65" t="n"/>
      <c r="K80" s="65" t="n"/>
      <c r="L80" s="65" t="n"/>
      <c r="M80" s="65" t="n"/>
      <c r="N80" s="65" t="n"/>
      <c r="O80" s="65" t="n"/>
      <c r="P80" s="65" t="n"/>
    </row>
    <row r="81" ht="15.9" customHeight="1" s="356">
      <c r="A81" s="65" t="n"/>
      <c r="B81" s="65" t="n"/>
      <c r="C81" s="65" t="n"/>
      <c r="D81" s="65" t="n"/>
      <c r="E81" s="65" t="n"/>
      <c r="F81" s="65" t="n"/>
      <c r="G81" s="65" t="n"/>
      <c r="H81" s="65" t="n"/>
      <c r="I81" s="65" t="n"/>
      <c r="J81" s="65" t="n"/>
      <c r="K81" s="65" t="n"/>
      <c r="L81" s="65" t="n"/>
      <c r="M81" s="65" t="n"/>
      <c r="N81" s="65" t="n"/>
      <c r="O81" s="65" t="n"/>
      <c r="P81" s="65" t="n"/>
    </row>
  </sheetData>
  <mergeCells count="2">
    <mergeCell ref="A1:O1"/>
    <mergeCell ref="A2:O2"/>
  </mergeCells>
  <hyperlinks>
    <hyperlink ref="N3" location="底稿目录!A1" display="底稿目录!A1"/>
  </hyperlinks>
  <pageMargins left="0.7086614173228347" right="0.7086614173228347" top="0.7480314960629921" bottom="0.7480314960629921" header="0.3149606299212598" footer="0.3149606299212598"/>
  <pageSetup orientation="landscape" paperSize="9" scale="88" fitToHeight="0" blackAndWhite="1"/>
  <headerFooter>
    <oddHeader/>
    <oddFooter>&amp;C&amp;P/&amp;N</oddFooter>
    <evenHeader/>
    <evenFooter/>
    <firstHeader/>
    <firstFooter/>
  </headerFooter>
  <rowBreaks count="1" manualBreakCount="1">
    <brk id="27" min="0" max="13" man="1"/>
  </rowBreaks>
</worksheet>
</file>

<file path=xl/worksheets/sheet9.xml><?xml version="1.0" encoding="utf-8"?>
<worksheet xmlns="http://schemas.openxmlformats.org/spreadsheetml/2006/main">
  <sheetPr codeName="Sheet12">
    <outlinePr summaryBelow="1" summaryRight="1"/>
    <pageSetUpPr/>
  </sheetPr>
  <dimension ref="A1:K36"/>
  <sheetViews>
    <sheetView view="pageBreakPreview" topLeftCell="A25" zoomScaleNormal="115" zoomScaleSheetLayoutView="100" workbookViewId="0">
      <selection activeCell="K12" sqref="K12"/>
    </sheetView>
  </sheetViews>
  <sheetFormatPr baseColWidth="8" defaultColWidth="9" defaultRowHeight="13.8"/>
  <cols>
    <col width="20.796875" customWidth="1" style="34" min="1" max="1"/>
    <col width="16.19921875" bestFit="1" customWidth="1" style="34" min="2" max="2"/>
    <col width="26.09765625" customWidth="1" style="34" min="3" max="3"/>
    <col width="6.69921875" customWidth="1" style="28" min="4" max="4"/>
    <col width="9.69921875" customWidth="1" style="28" min="5" max="5"/>
    <col width="9.59765625" customWidth="1" style="28" min="6" max="6"/>
    <col width="10.5" customWidth="1" style="28" min="7" max="7"/>
    <col width="11.09765625" customWidth="1" style="28" min="8" max="8"/>
    <col width="9" customWidth="1" style="28" min="9" max="16384"/>
  </cols>
  <sheetData>
    <row r="1" ht="20.1" customFormat="1" customHeight="1" s="457">
      <c r="A1" s="345" t="inlineStr">
        <is>
          <t>致同会计师事务所</t>
        </is>
      </c>
    </row>
    <row r="2" ht="24.9" customFormat="1" customHeight="1" s="492">
      <c r="A2" s="346" t="inlineStr">
        <is>
          <t>主营业务成本倒轧表</t>
        </is>
      </c>
    </row>
    <row r="3" ht="20.1" customFormat="1" customHeight="1" s="282">
      <c r="A3" s="457">
        <f>底稿目录!A2</f>
        <v/>
      </c>
      <c r="B3" s="457" t="n"/>
      <c r="C3" s="457">
        <f>底稿目录!A4</f>
        <v/>
      </c>
      <c r="E3" s="457">
        <f>底稿目录!A5</f>
        <v/>
      </c>
      <c r="G3" s="257" t="inlineStr">
        <is>
          <t>索引号：</t>
        </is>
      </c>
      <c r="H3" s="364">
        <f>底稿目录!F10</f>
        <v/>
      </c>
    </row>
    <row r="4" ht="20.1" customFormat="1" customHeight="1" s="282">
      <c r="A4" s="457">
        <f>底稿目录!A3</f>
        <v/>
      </c>
      <c r="B4" s="21" t="n"/>
      <c r="C4" s="457">
        <f>底稿目录!A6</f>
        <v/>
      </c>
      <c r="E4" s="457">
        <f>底稿目录!A7</f>
        <v/>
      </c>
      <c r="G4" s="257" t="inlineStr">
        <is>
          <t>页  次：</t>
        </is>
      </c>
      <c r="K4" s="50" t="n"/>
    </row>
    <row r="5" ht="20.1" customFormat="1" customHeight="1" s="282">
      <c r="A5" s="121" t="inlineStr">
        <is>
          <t>一、审计目标</t>
        </is>
      </c>
      <c r="B5" s="283" t="n"/>
      <c r="C5" s="282" t="n"/>
      <c r="E5" s="282" t="n"/>
      <c r="G5" s="75" t="n"/>
      <c r="H5" s="282" t="n"/>
      <c r="K5" s="50" t="n"/>
    </row>
    <row r="6" ht="20.1" customFormat="1" customHeight="1" s="282">
      <c r="A6" s="283" t="inlineStr">
        <is>
          <t>1.利润表中记录的营业成本已发生，且与被审计单位有关，已记录于恰当的账户；</t>
        </is>
      </c>
      <c r="C6" s="282" t="n"/>
      <c r="E6" s="282" t="n"/>
      <c r="G6" s="75" t="n"/>
      <c r="H6" s="282" t="n"/>
      <c r="K6" s="50" t="n"/>
    </row>
    <row r="7" ht="20.1" customFormat="1" customHeight="1" s="282">
      <c r="A7" s="283" t="inlineStr">
        <is>
          <t>2.所有应当记录的营业成本均已记录，所有应当包括在财务报表中的相关披露均已包括；</t>
        </is>
      </c>
      <c r="C7" s="282" t="n"/>
      <c r="E7" s="282" t="n"/>
      <c r="G7" s="75" t="n"/>
      <c r="H7" s="282" t="n"/>
      <c r="K7" s="50" t="n"/>
    </row>
    <row r="8" ht="20.1" customFormat="1" customHeight="1" s="282">
      <c r="A8" s="283" t="inlineStr">
        <is>
          <t>3.与营业成本有关的金额及其他数据已恰当记录，相关披露已得到恰当计量和描述</t>
        </is>
      </c>
      <c r="C8" s="282" t="n"/>
      <c r="E8" s="282" t="n"/>
      <c r="G8" s="75" t="n"/>
      <c r="H8" s="282" t="n"/>
      <c r="K8" s="50" t="n"/>
    </row>
    <row r="9" ht="20.1" customFormat="1" customHeight="1" s="282">
      <c r="A9" s="83" t="inlineStr">
        <is>
          <t>二、审计过程</t>
        </is>
      </c>
      <c r="B9" s="282" t="n"/>
      <c r="C9" s="282" t="n"/>
      <c r="E9" s="282" t="n"/>
      <c r="G9" s="75" t="n"/>
      <c r="H9" s="282" t="n"/>
      <c r="K9" s="50" t="n"/>
    </row>
    <row r="10" ht="20.1" customFormat="1" customHeight="1" s="25">
      <c r="A10" s="123" t="inlineStr">
        <is>
          <t>项目内容</t>
        </is>
      </c>
      <c r="B10" s="123" t="inlineStr">
        <is>
          <t>计算说明</t>
        </is>
      </c>
      <c r="C10" s="123" t="inlineStr">
        <is>
          <t>数据来源</t>
        </is>
      </c>
      <c r="D10" s="123" t="inlineStr">
        <is>
          <t>索引号</t>
        </is>
      </c>
      <c r="E10" s="123" t="inlineStr">
        <is>
          <t>未审数</t>
        </is>
      </c>
      <c r="F10" s="123" t="inlineStr">
        <is>
          <t>审计调整</t>
        </is>
      </c>
      <c r="G10" s="123" t="inlineStr">
        <is>
          <t>审定数</t>
        </is>
      </c>
      <c r="H10" s="123" t="inlineStr">
        <is>
          <t>上期数</t>
        </is>
      </c>
    </row>
    <row r="11" ht="20.1" customHeight="1" s="356">
      <c r="A11" s="124" t="inlineStr">
        <is>
          <t>期初原材料余额</t>
        </is>
      </c>
      <c r="B11" s="125" t="inlineStr">
        <is>
          <t>⑴</t>
        </is>
      </c>
      <c r="C11" s="124" t="inlineStr">
        <is>
          <t>总账“材料”账户期初余额</t>
        </is>
      </c>
      <c r="D11" s="258" t="n"/>
      <c r="E11" s="465" t="n"/>
      <c r="F11" s="465" t="n"/>
      <c r="G11" s="466">
        <f>E11+F11</f>
        <v/>
      </c>
      <c r="H11" s="465" t="n"/>
    </row>
    <row r="12" ht="20.1" customHeight="1" s="356">
      <c r="A12" s="124" t="inlineStr">
        <is>
          <t>加：本期购入材料净额</t>
        </is>
      </c>
      <c r="B12" s="125" t="inlineStr">
        <is>
          <t>⑵</t>
        </is>
      </c>
      <c r="C12" s="124" t="inlineStr">
        <is>
          <t>“材料”借方购入额扣退货折让金额</t>
        </is>
      </c>
      <c r="D12" s="258" t="n"/>
      <c r="E12" s="465" t="n"/>
      <c r="F12" s="465" t="n"/>
      <c r="G12" s="466">
        <f>E12+F12</f>
        <v/>
      </c>
      <c r="H12" s="465" t="n"/>
    </row>
    <row r="13" ht="20.1" customHeight="1" s="356">
      <c r="A13" s="124" t="inlineStr">
        <is>
          <t>加：其他增加额</t>
        </is>
      </c>
      <c r="B13" s="125" t="inlineStr">
        <is>
          <t>⑶</t>
        </is>
      </c>
      <c r="C13" s="124" t="inlineStr">
        <is>
          <t>“材料”借方其他发生额</t>
        </is>
      </c>
      <c r="D13" s="258" t="n"/>
      <c r="E13" s="465" t="n"/>
      <c r="F13" s="465" t="n"/>
      <c r="G13" s="466">
        <f>E13+F13</f>
        <v/>
      </c>
      <c r="H13" s="465" t="n"/>
    </row>
    <row r="14" ht="20.1" customHeight="1" s="356">
      <c r="A14" s="124" t="inlineStr">
        <is>
          <t>减：期末原材料余额</t>
        </is>
      </c>
      <c r="B14" s="125" t="inlineStr">
        <is>
          <t>⑷</t>
        </is>
      </c>
      <c r="C14" s="124" t="inlineStr">
        <is>
          <t>总账“材料”账户年末余额</t>
        </is>
      </c>
      <c r="D14" s="258" t="n"/>
      <c r="E14" s="465" t="n"/>
      <c r="F14" s="465" t="n"/>
      <c r="G14" s="466">
        <f>E14+F14</f>
        <v/>
      </c>
      <c r="H14" s="465" t="n"/>
    </row>
    <row r="15" ht="20.1" customHeight="1" s="356">
      <c r="A15" s="124" t="inlineStr">
        <is>
          <t>减：其他原材料发出额</t>
        </is>
      </c>
      <c r="B15" s="125" t="inlineStr">
        <is>
          <t>⑸</t>
        </is>
      </c>
      <c r="C15" s="124" t="inlineStr">
        <is>
          <t>“材料”贷方其他发生额</t>
        </is>
      </c>
      <c r="D15" s="258" t="n"/>
      <c r="E15" s="465" t="n"/>
      <c r="F15" s="465" t="n"/>
      <c r="G15" s="466">
        <f>E15+F15</f>
        <v/>
      </c>
      <c r="H15" s="465" t="n"/>
    </row>
    <row r="16" ht="20.1" customHeight="1" s="356">
      <c r="A16" s="128" t="inlineStr">
        <is>
          <t>直接材料成本</t>
        </is>
      </c>
      <c r="B16" s="133" t="inlineStr">
        <is>
          <t>⑹=⑴+⑵+⑶-⑷-⑸</t>
        </is>
      </c>
      <c r="C16" s="130" t="inlineStr">
        <is>
          <t>生产成本明细账</t>
        </is>
      </c>
      <c r="D16" s="259" t="n"/>
      <c r="E16" s="466">
        <f>E11+E12+E13-E14-E15</f>
        <v/>
      </c>
      <c r="F16" s="466">
        <f>F11+F12+F13-F14-F15</f>
        <v/>
      </c>
      <c r="G16" s="466">
        <f>G11+G12+G13-G14-G15</f>
        <v/>
      </c>
      <c r="H16" s="466">
        <f>H11+H12+H13-H14-H15</f>
        <v/>
      </c>
    </row>
    <row r="17" ht="20.1" customHeight="1" s="356">
      <c r="A17" s="124" t="inlineStr">
        <is>
          <t>加：直接人工成本</t>
        </is>
      </c>
      <c r="B17" s="125" t="inlineStr">
        <is>
          <t>⑺</t>
        </is>
      </c>
      <c r="C17" s="124" t="inlineStr">
        <is>
          <t>生产成本明细账</t>
        </is>
      </c>
      <c r="D17" s="258" t="n"/>
      <c r="E17" s="465" t="n"/>
      <c r="F17" s="465" t="n"/>
      <c r="G17" s="466">
        <f>E17+F17</f>
        <v/>
      </c>
      <c r="H17" s="465" t="n"/>
    </row>
    <row r="18" ht="20.1" customHeight="1" s="356">
      <c r="A18" s="124" t="inlineStr">
        <is>
          <t>加：制造费用</t>
        </is>
      </c>
      <c r="B18" s="125" t="inlineStr">
        <is>
          <t>⑻</t>
        </is>
      </c>
      <c r="C18" s="124" t="inlineStr">
        <is>
          <t>生产成本明细账</t>
        </is>
      </c>
      <c r="D18" s="258" t="n"/>
      <c r="E18" s="465" t="n"/>
      <c r="F18" s="465" t="n"/>
      <c r="G18" s="466">
        <f>E18+F18</f>
        <v/>
      </c>
      <c r="H18" s="465" t="n"/>
    </row>
    <row r="19" ht="20.1" customHeight="1" s="356">
      <c r="A19" s="124" t="inlineStr">
        <is>
          <t>其中：材料费用</t>
        </is>
      </c>
      <c r="B19" s="125" t="n"/>
      <c r="C19" s="124" t="inlineStr">
        <is>
          <t>“材料”转入“制造费用”借方金额</t>
        </is>
      </c>
      <c r="D19" s="258" t="n"/>
      <c r="E19" s="465" t="n"/>
      <c r="F19" s="465" t="n"/>
      <c r="G19" s="466">
        <f>E19+F19</f>
        <v/>
      </c>
      <c r="H19" s="465" t="n"/>
    </row>
    <row r="20" ht="20.1" customHeight="1" s="356">
      <c r="A20" s="124" t="inlineStr">
        <is>
          <t>专用工模具</t>
        </is>
      </c>
      <c r="B20" s="125" t="inlineStr">
        <is>
          <t>⑼</t>
        </is>
      </c>
      <c r="C20" s="124" t="inlineStr">
        <is>
          <t>生产成本明细账</t>
        </is>
      </c>
      <c r="D20" s="258" t="n"/>
      <c r="E20" s="465" t="n"/>
      <c r="F20" s="465" t="n"/>
      <c r="G20" s="466">
        <f>E20+F20</f>
        <v/>
      </c>
      <c r="H20" s="465" t="n"/>
    </row>
    <row r="21" ht="20.1" customHeight="1" s="356">
      <c r="A21" s="128" t="inlineStr">
        <is>
          <t>产品生产成本</t>
        </is>
      </c>
      <c r="B21" s="133" t="inlineStr">
        <is>
          <t>⑽=⑹+⑺+⑻+⑼</t>
        </is>
      </c>
      <c r="C21" s="130" t="inlineStr">
        <is>
          <t>“生产成本”借方发生额</t>
        </is>
      </c>
      <c r="D21" s="259" t="n"/>
      <c r="E21" s="466">
        <f>E16+E17+E18+E20</f>
        <v/>
      </c>
      <c r="F21" s="466">
        <f>F16+F17+F18+F20</f>
        <v/>
      </c>
      <c r="G21" s="466">
        <f>G16+G17+G18+G20</f>
        <v/>
      </c>
      <c r="H21" s="466">
        <f>H16+H17+H18+H20</f>
        <v/>
      </c>
    </row>
    <row r="22" ht="20.1" customHeight="1" s="356">
      <c r="A22" s="124" t="inlineStr">
        <is>
          <t>加：在产品期初余额</t>
        </is>
      </c>
      <c r="B22" s="125" t="inlineStr">
        <is>
          <t>⑾</t>
        </is>
      </c>
      <c r="C22" s="124" t="inlineStr">
        <is>
          <t>“生产成本”期初余额</t>
        </is>
      </c>
      <c r="D22" s="258" t="n"/>
      <c r="E22" s="465" t="n"/>
      <c r="F22" s="465" t="n"/>
      <c r="G22" s="466">
        <f>E22+F22</f>
        <v/>
      </c>
      <c r="H22" s="465" t="n"/>
    </row>
    <row r="23" ht="20.1" customHeight="1" s="356">
      <c r="A23" s="124" t="inlineStr">
        <is>
          <t>减：在产品期末余额</t>
        </is>
      </c>
      <c r="B23" s="125" t="inlineStr">
        <is>
          <t>⑿</t>
        </is>
      </c>
      <c r="C23" s="124" t="inlineStr">
        <is>
          <t>“生产成本”期末余额</t>
        </is>
      </c>
      <c r="D23" s="258" t="n"/>
      <c r="E23" s="465" t="n"/>
      <c r="F23" s="465" t="n"/>
      <c r="G23" s="466">
        <f>E23+F23</f>
        <v/>
      </c>
      <c r="H23" s="465" t="n"/>
    </row>
    <row r="24" ht="20.1" customHeight="1" s="356">
      <c r="A24" s="128" t="inlineStr">
        <is>
          <t>产成品（库存商品）成本</t>
        </is>
      </c>
      <c r="B24" s="133" t="inlineStr">
        <is>
          <t>⒀=⑽+⑾-⑿</t>
        </is>
      </c>
      <c r="C24" s="130" t="inlineStr">
        <is>
          <t>“生产成本”转入“产成品”借方金额</t>
        </is>
      </c>
      <c r="D24" s="259" t="n"/>
      <c r="E24" s="466">
        <f>E21+E22-E23</f>
        <v/>
      </c>
      <c r="F24" s="466">
        <f>F21+F22-F23</f>
        <v/>
      </c>
      <c r="G24" s="466">
        <f>G21+G22-G23</f>
        <v/>
      </c>
      <c r="H24" s="466">
        <f>H21+H22-H23</f>
        <v/>
      </c>
    </row>
    <row r="25" ht="20.1" customHeight="1" s="356">
      <c r="A25" s="124" t="inlineStr">
        <is>
          <t>加：产成品期初余额</t>
        </is>
      </c>
      <c r="B25" s="125" t="inlineStr">
        <is>
          <t>⒁</t>
        </is>
      </c>
      <c r="C25" s="124" t="inlineStr">
        <is>
          <t>“产成品”账户期初余额</t>
        </is>
      </c>
      <c r="D25" s="258" t="n"/>
      <c r="E25" s="465" t="n"/>
      <c r="F25" s="465" t="n"/>
      <c r="G25" s="466">
        <f>E25+F25</f>
        <v/>
      </c>
      <c r="H25" s="465" t="n"/>
    </row>
    <row r="26" ht="20.1" customHeight="1" s="356">
      <c r="A26" s="124" t="inlineStr">
        <is>
          <t>加：其他增加额</t>
        </is>
      </c>
      <c r="B26" s="125" t="inlineStr">
        <is>
          <t>⒂</t>
        </is>
      </c>
      <c r="C26" s="124" t="n"/>
      <c r="D26" s="258" t="n"/>
      <c r="E26" s="465" t="n"/>
      <c r="F26" s="465" t="n"/>
      <c r="G26" s="466">
        <f>E26+F26</f>
        <v/>
      </c>
      <c r="H26" s="465" t="n"/>
    </row>
    <row r="27" ht="20.1" customHeight="1" s="356">
      <c r="A27" s="124" t="inlineStr">
        <is>
          <t>减：产成品期末余额</t>
        </is>
      </c>
      <c r="B27" s="125" t="inlineStr">
        <is>
          <t>⒃</t>
        </is>
      </c>
      <c r="C27" s="124" t="inlineStr">
        <is>
          <t>“产成品”账户期末余额</t>
        </is>
      </c>
      <c r="D27" s="258" t="n"/>
      <c r="E27" s="465" t="n"/>
      <c r="F27" s="465" t="n"/>
      <c r="G27" s="466">
        <f>E27+F27</f>
        <v/>
      </c>
      <c r="H27" s="465" t="n"/>
    </row>
    <row r="28" ht="20.1" customHeight="1" s="356">
      <c r="A28" s="124" t="inlineStr">
        <is>
          <t>减：自制自用产品成本</t>
        </is>
      </c>
      <c r="B28" s="126" t="inlineStr">
        <is>
          <t>⒄</t>
        </is>
      </c>
      <c r="C28" s="124" t="inlineStr">
        <is>
          <t>“产成品”转入“生产成本”借方金额</t>
        </is>
      </c>
      <c r="D28" s="258" t="n"/>
      <c r="E28" s="465" t="n"/>
      <c r="F28" s="465" t="n"/>
      <c r="G28" s="466">
        <f>E28+F28</f>
        <v/>
      </c>
      <c r="H28" s="465" t="n"/>
    </row>
    <row r="29" ht="20.1" customHeight="1" s="356">
      <c r="A29" s="124" t="inlineStr">
        <is>
          <t>减：内部领用产品成本</t>
        </is>
      </c>
      <c r="B29" s="126" t="inlineStr">
        <is>
          <t>⒅</t>
        </is>
      </c>
      <c r="C29" s="127" t="inlineStr">
        <is>
          <t>内部领用记录</t>
        </is>
      </c>
      <c r="D29" s="258" t="n"/>
      <c r="E29" s="465" t="n"/>
      <c r="F29" s="465" t="n"/>
      <c r="G29" s="466">
        <f>E29+F29</f>
        <v/>
      </c>
      <c r="H29" s="465" t="n"/>
    </row>
    <row r="30" ht="20.1" customHeight="1" s="356">
      <c r="A30" s="124" t="inlineStr">
        <is>
          <t>减：其他产成品发出额</t>
        </is>
      </c>
      <c r="B30" s="126" t="inlineStr">
        <is>
          <t>⒆</t>
        </is>
      </c>
      <c r="C30" s="124" t="inlineStr">
        <is>
          <t>产成品折价、盘亏、废损会计记录</t>
        </is>
      </c>
      <c r="D30" s="258" t="n"/>
      <c r="E30" s="465" t="n"/>
      <c r="F30" s="465" t="n"/>
      <c r="G30" s="466">
        <f>E30+F30</f>
        <v/>
      </c>
      <c r="H30" s="465" t="n"/>
    </row>
    <row r="31" ht="20.1" customHeight="1" s="356">
      <c r="A31" s="128" t="inlineStr">
        <is>
          <t>主营业务成本</t>
        </is>
      </c>
      <c r="B31" s="129" t="inlineStr">
        <is>
          <t>⒇=⒀+⒁+⒂-⒃-⒄-⒅-⒆</t>
        </is>
      </c>
      <c r="C31" s="130" t="n"/>
      <c r="D31" s="259" t="n"/>
      <c r="E31" s="466">
        <f>E24+E25+E26-E27-E28-E29-E30</f>
        <v/>
      </c>
      <c r="F31" s="466">
        <f>F24+F25+F26-F27-F28-F29-F30</f>
        <v/>
      </c>
      <c r="G31" s="466">
        <f>G24+G25+G26-G27-G28-G29-G30</f>
        <v/>
      </c>
      <c r="H31" s="466">
        <f>H24+H25+H26-H27-H28-H29-H30</f>
        <v/>
      </c>
    </row>
    <row r="32" ht="20.1" customHeight="1" s="356">
      <c r="A32" s="131" t="inlineStr">
        <is>
          <t>三、审计说明：</t>
        </is>
      </c>
      <c r="B32" s="110" t="n"/>
      <c r="C32" s="110" t="n"/>
      <c r="D32" s="111" t="n"/>
      <c r="E32" s="111" t="n"/>
      <c r="F32" s="111" t="n"/>
      <c r="G32" s="111" t="n"/>
      <c r="H32" s="111" t="n"/>
    </row>
    <row r="33" ht="20.1" customHeight="1" s="356">
      <c r="A33" s="34" t="n"/>
      <c r="B33" s="34" t="n"/>
      <c r="C33" s="34" t="n"/>
      <c r="D33" s="28" t="n"/>
      <c r="E33" s="28" t="n"/>
      <c r="F33" s="28" t="n"/>
      <c r="G33" s="28" t="n"/>
      <c r="H33" s="28" t="n"/>
    </row>
    <row r="34" ht="20.1" customHeight="1" s="356">
      <c r="A34" s="34" t="n"/>
      <c r="B34" s="34" t="n"/>
      <c r="C34" s="34" t="n"/>
      <c r="D34" s="28" t="n"/>
      <c r="E34" s="28" t="n"/>
      <c r="F34" s="28" t="n"/>
      <c r="G34" s="28" t="n"/>
      <c r="H34" s="28" t="n"/>
    </row>
    <row r="35" ht="20.1" customHeight="1" s="356">
      <c r="A35" s="132" t="inlineStr">
        <is>
          <t>四、审计结论：</t>
        </is>
      </c>
      <c r="B35" s="34" t="n"/>
      <c r="C35" s="34" t="n"/>
      <c r="D35" s="28" t="n"/>
      <c r="E35" s="28" t="n"/>
      <c r="F35" s="28" t="n"/>
      <c r="G35" s="28" t="n"/>
      <c r="H35" s="28" t="n"/>
    </row>
    <row r="36" ht="20.1" customHeight="1" s="356">
      <c r="A36" s="34" t="n"/>
      <c r="B36" s="34" t="n"/>
      <c r="C36" s="34" t="n"/>
      <c r="D36" s="28" t="n"/>
      <c r="E36" s="28" t="n"/>
      <c r="F36" s="28" t="n"/>
      <c r="G36" s="28" t="n"/>
      <c r="H36" s="28" t="n"/>
    </row>
  </sheetData>
  <mergeCells count="2">
    <mergeCell ref="A2:H2"/>
    <mergeCell ref="A1:H1"/>
  </mergeCells>
  <hyperlinks>
    <hyperlink ref="H3" location="底稿目录!A1" display="底稿目录!A1"/>
  </hyperlinks>
  <printOptions horizontalCentered="1"/>
  <pageMargins left="0.4330708661417323" right="0.3937007874015748" top="0.4724409448818898" bottom="0.2755905511811024" header="0.5118110236220472" footer="0.2362204724409449"/>
  <pageSetup orientation="portrait" paperSize="9" scale="75" fitToHeight="0" firstPageNumber="236" blackAndWhite="1"/>
  <headerFooter alignWithMargins="0">
    <oddHeader/>
    <oddFooter>&amp;C&amp;P/&amp;N</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codeName="Sheet13">
    <outlinePr summaryBelow="1" summaryRight="1"/>
    <pageSetUpPr fitToPage="1"/>
  </sheetPr>
  <dimension ref="A1:H39"/>
  <sheetViews>
    <sheetView view="pageBreakPreview" zoomScaleNormal="130" zoomScaleSheetLayoutView="100" workbookViewId="0">
      <selection activeCell="H3" sqref="H3"/>
    </sheetView>
  </sheetViews>
  <sheetFormatPr baseColWidth="8" defaultColWidth="9" defaultRowHeight="21.9" customHeight="1"/>
  <cols>
    <col width="9" customWidth="1" style="30" min="1" max="2"/>
    <col width="19.19921875" customWidth="1" style="30" min="3" max="3"/>
    <col width="10.59765625" customWidth="1" style="30" min="4" max="5"/>
    <col width="9.59765625" customWidth="1" style="30" min="6" max="6"/>
    <col width="8.3984375" customWidth="1" style="30" min="7" max="7"/>
    <col width="9" customWidth="1" style="30" min="8" max="8"/>
    <col width="9" customWidth="1" style="30" min="9" max="16384"/>
  </cols>
  <sheetData>
    <row r="1" ht="20.1" customHeight="1" s="356">
      <c r="A1" s="345" t="inlineStr">
        <is>
          <t>致同会计师事务所</t>
        </is>
      </c>
    </row>
    <row r="2" ht="24.9" customFormat="1" customHeight="1" s="36">
      <c r="A2" s="349" t="inlineStr">
        <is>
          <t>主营业务成本账户中重大调整事项核查表</t>
        </is>
      </c>
    </row>
    <row r="3" ht="20.1" customHeight="1" s="356">
      <c r="A3" s="457">
        <f>底稿目录!A2</f>
        <v/>
      </c>
      <c r="C3" s="457">
        <f>底稿目录!A4</f>
        <v/>
      </c>
      <c r="E3" s="457">
        <f>底稿目录!A5</f>
        <v/>
      </c>
      <c r="G3" s="1" t="inlineStr">
        <is>
          <t>索引号：</t>
        </is>
      </c>
      <c r="H3" s="364">
        <f>底稿目录!F11</f>
        <v/>
      </c>
    </row>
    <row r="4" ht="20.1" customHeight="1" s="356">
      <c r="A4" s="457">
        <f>底稿目录!A3</f>
        <v/>
      </c>
      <c r="C4" s="457">
        <f>底稿目录!A6</f>
        <v/>
      </c>
      <c r="E4" s="457">
        <f>底稿目录!A7</f>
        <v/>
      </c>
      <c r="G4" s="1" t="inlineStr">
        <is>
          <t>页次：</t>
        </is>
      </c>
      <c r="H4" s="31" t="n"/>
    </row>
    <row r="5" ht="20.4" customHeight="1" s="356">
      <c r="A5" s="33" t="inlineStr">
        <is>
          <t>一、审计目标：</t>
        </is>
      </c>
      <c r="B5" s="30" t="n"/>
      <c r="C5" s="30" t="n"/>
      <c r="D5" s="1" t="n"/>
      <c r="E5" s="30" t="n"/>
      <c r="F5" s="1" t="n"/>
      <c r="H5" s="1" t="n"/>
    </row>
    <row r="6" ht="20.1" customHeight="1" s="356">
      <c r="A6" s="284" t="inlineStr">
        <is>
          <t>1.利润表中记录的营业成本已发生，且与被审计单位有关，已记录于恰当的账户；</t>
        </is>
      </c>
      <c r="B6" s="1" t="n"/>
      <c r="C6" s="30" t="n"/>
      <c r="D6" s="1" t="n"/>
      <c r="E6" s="30" t="n"/>
      <c r="F6" s="1" t="n"/>
      <c r="H6" s="1" t="n"/>
    </row>
    <row r="7" ht="20.1" customHeight="1" s="356">
      <c r="A7" s="284" t="inlineStr">
        <is>
          <t>2. 所有应当记录的营业成本均已记录，所有应当包括在财务报表中的相关披露均已包括；</t>
        </is>
      </c>
      <c r="B7" s="1" t="n"/>
      <c r="C7" s="30" t="n"/>
      <c r="D7" s="1" t="n"/>
      <c r="E7" s="30" t="n"/>
      <c r="F7" s="1" t="n"/>
      <c r="H7" s="1" t="n"/>
    </row>
    <row r="8" ht="20.1" customHeight="1" s="356">
      <c r="A8" s="284" t="inlineStr">
        <is>
          <t>3. 与营业成本有关的金额及其他数据已恰当记录，相关披露已得到恰当计量和描述；</t>
        </is>
      </c>
      <c r="B8" s="1" t="n"/>
      <c r="C8" s="30" t="n"/>
      <c r="D8" s="1" t="n"/>
      <c r="E8" s="30" t="n"/>
      <c r="F8" s="1" t="n"/>
      <c r="H8" s="1" t="n"/>
    </row>
    <row r="9" ht="20.1" customHeight="1" s="356">
      <c r="A9" s="284" t="inlineStr">
        <is>
          <t>4. 营业成本已记录于正确的会计期间；</t>
        </is>
      </c>
      <c r="B9" s="1" t="n"/>
      <c r="C9" s="30" t="n"/>
      <c r="D9" s="1" t="n"/>
      <c r="E9" s="30" t="n"/>
      <c r="F9" s="1" t="n"/>
      <c r="H9" s="1" t="n"/>
    </row>
    <row r="10" ht="20.1" customHeight="1" s="356">
      <c r="A10" s="284" t="inlineStr">
        <is>
          <t>5. 营业成本已被恰当地汇总或分解且表述清楚，相关披露在按照企业会计准则的编制基础下是相关的、可理解的；</t>
        </is>
      </c>
      <c r="B10" s="1" t="n"/>
      <c r="C10" s="30" t="n"/>
      <c r="D10" s="1" t="n"/>
      <c r="E10" s="30" t="n"/>
      <c r="F10" s="1" t="n"/>
      <c r="H10" s="1" t="n"/>
    </row>
    <row r="11" ht="20.1" customHeight="1" s="356">
      <c r="A11" s="33" t="inlineStr">
        <is>
          <t>二、审计过程：</t>
        </is>
      </c>
      <c r="B11" s="30" t="n"/>
      <c r="C11" s="30" t="n"/>
      <c r="D11" s="1" t="n"/>
      <c r="E11" s="30" t="n"/>
      <c r="F11" s="1" t="n"/>
      <c r="H11" s="1" t="n"/>
    </row>
    <row r="12" ht="20.1" customFormat="1" customHeight="1" s="285">
      <c r="A12" s="351" t="inlineStr">
        <is>
          <t>日期</t>
        </is>
      </c>
      <c r="B12" s="351" t="inlineStr">
        <is>
          <t>凭证号</t>
        </is>
      </c>
      <c r="C12" s="351" t="inlineStr">
        <is>
          <t>重大调整事项内容</t>
        </is>
      </c>
      <c r="D12" s="351" t="inlineStr">
        <is>
          <t>调整金额</t>
        </is>
      </c>
      <c r="E12" s="433" t="n"/>
      <c r="F12" s="351" t="inlineStr">
        <is>
          <t>调整理由</t>
        </is>
      </c>
      <c r="G12" s="493" t="n"/>
      <c r="H12" s="494" t="inlineStr">
        <is>
          <t>理由是否充分</t>
        </is>
      </c>
    </row>
    <row r="13" ht="20.1" customFormat="1" customHeight="1" s="285">
      <c r="A13" s="437" t="n"/>
      <c r="B13" s="437" t="n"/>
      <c r="C13" s="437" t="n"/>
      <c r="D13" s="351" t="inlineStr">
        <is>
          <t>借方</t>
        </is>
      </c>
      <c r="E13" s="351" t="inlineStr">
        <is>
          <t>贷方</t>
        </is>
      </c>
      <c r="F13" s="495" t="n"/>
      <c r="G13" s="496" t="n"/>
      <c r="H13" s="437" t="n"/>
    </row>
    <row r="14" ht="20.1" customHeight="1" s="356">
      <c r="A14" s="272" t="n"/>
      <c r="B14" s="159" t="n"/>
      <c r="C14" s="271" t="n"/>
      <c r="D14" s="465" t="n"/>
      <c r="E14" s="465" t="n"/>
      <c r="F14" s="353" t="n"/>
      <c r="G14" s="433" t="n"/>
      <c r="H14" s="273" t="n"/>
    </row>
    <row r="15" ht="20.1" customHeight="1" s="356">
      <c r="A15" s="159" t="n"/>
      <c r="B15" s="159" t="n"/>
      <c r="C15" s="32" t="n"/>
      <c r="D15" s="465" t="n"/>
      <c r="E15" s="465" t="n"/>
      <c r="F15" s="347" t="n"/>
      <c r="G15" s="433" t="n"/>
      <c r="H15" s="159" t="n"/>
    </row>
    <row r="16" ht="20.1" customHeight="1" s="356">
      <c r="A16" s="159" t="n"/>
      <c r="B16" s="159" t="n"/>
      <c r="C16" s="32" t="n"/>
      <c r="D16" s="465" t="n"/>
      <c r="E16" s="465" t="n"/>
      <c r="F16" s="347" t="n"/>
      <c r="G16" s="433" t="n"/>
      <c r="H16" s="159" t="n"/>
    </row>
    <row r="17" ht="20.1" customHeight="1" s="356">
      <c r="A17" s="159" t="n"/>
      <c r="B17" s="159" t="n"/>
      <c r="C17" s="32" t="n"/>
      <c r="D17" s="465" t="n"/>
      <c r="E17" s="465" t="n"/>
      <c r="F17" s="347" t="n"/>
      <c r="G17" s="433" t="n"/>
      <c r="H17" s="159" t="n"/>
    </row>
    <row r="18" ht="20.1" customHeight="1" s="356">
      <c r="A18" s="159" t="n"/>
      <c r="B18" s="159" t="n"/>
      <c r="C18" s="32" t="n"/>
      <c r="D18" s="465" t="n"/>
      <c r="E18" s="465" t="n"/>
      <c r="F18" s="347" t="n"/>
      <c r="G18" s="433" t="n"/>
      <c r="H18" s="159" t="n"/>
    </row>
    <row r="19" ht="20.1" customHeight="1" s="356">
      <c r="A19" s="159" t="n"/>
      <c r="B19" s="159" t="n"/>
      <c r="C19" s="32" t="n"/>
      <c r="D19" s="465" t="n"/>
      <c r="E19" s="465" t="n"/>
      <c r="F19" s="347" t="n"/>
      <c r="G19" s="433" t="n"/>
      <c r="H19" s="159" t="n"/>
    </row>
    <row r="20" ht="20.1" customHeight="1" s="356">
      <c r="A20" s="159" t="n"/>
      <c r="B20" s="159" t="n"/>
      <c r="C20" s="32" t="n"/>
      <c r="D20" s="465" t="n"/>
      <c r="E20" s="465" t="n"/>
      <c r="F20" s="347" t="n"/>
      <c r="G20" s="433" t="n"/>
      <c r="H20" s="159" t="n"/>
    </row>
    <row r="21" ht="20.1" customHeight="1" s="356">
      <c r="A21" s="159" t="n"/>
      <c r="B21" s="159" t="n"/>
      <c r="C21" s="32" t="n"/>
      <c r="D21" s="465" t="n"/>
      <c r="E21" s="465" t="n"/>
      <c r="F21" s="347" t="n"/>
      <c r="G21" s="433" t="n"/>
      <c r="H21" s="159" t="n"/>
    </row>
    <row r="22" ht="20.1" customHeight="1" s="356">
      <c r="A22" s="159" t="n"/>
      <c r="B22" s="159" t="n"/>
      <c r="C22" s="32" t="n"/>
      <c r="D22" s="465" t="n"/>
      <c r="E22" s="465" t="n"/>
      <c r="F22" s="347" t="n"/>
      <c r="G22" s="433" t="n"/>
      <c r="H22" s="159" t="n"/>
    </row>
    <row r="23" ht="20.1" customHeight="1" s="356">
      <c r="A23" s="159" t="n"/>
      <c r="B23" s="159" t="n"/>
      <c r="C23" s="32" t="n"/>
      <c r="D23" s="465" t="n"/>
      <c r="E23" s="465" t="n"/>
      <c r="F23" s="347" t="n"/>
      <c r="G23" s="433" t="n"/>
      <c r="H23" s="159" t="n"/>
    </row>
    <row r="24" ht="20.1" customHeight="1" s="356">
      <c r="A24" s="159" t="n"/>
      <c r="B24" s="159" t="n"/>
      <c r="C24" s="32" t="n"/>
      <c r="D24" s="465" t="n"/>
      <c r="E24" s="465" t="n"/>
      <c r="F24" s="347" t="n"/>
      <c r="G24" s="433" t="n"/>
      <c r="H24" s="159" t="n"/>
    </row>
    <row r="25" ht="20.1" customHeight="1" s="356">
      <c r="A25" s="159" t="n"/>
      <c r="B25" s="159" t="n"/>
      <c r="C25" s="32" t="n"/>
      <c r="D25" s="465" t="n"/>
      <c r="E25" s="465" t="n"/>
      <c r="F25" s="347" t="n"/>
      <c r="G25" s="433" t="n"/>
      <c r="H25" s="159" t="n"/>
    </row>
    <row r="26" ht="20.1" customHeight="1" s="356">
      <c r="A26" s="159" t="n"/>
      <c r="B26" s="159" t="n"/>
      <c r="C26" s="32" t="n"/>
      <c r="D26" s="465" t="n"/>
      <c r="E26" s="465" t="n"/>
      <c r="F26" s="347" t="n"/>
      <c r="G26" s="433" t="n"/>
      <c r="H26" s="159" t="n"/>
    </row>
    <row r="27" ht="20.1" customHeight="1" s="356">
      <c r="A27" s="159" t="n"/>
      <c r="B27" s="159" t="n"/>
      <c r="C27" s="32" t="n"/>
      <c r="D27" s="465" t="n"/>
      <c r="E27" s="465" t="n"/>
      <c r="F27" s="347" t="n"/>
      <c r="G27" s="433" t="n"/>
      <c r="H27" s="159" t="n"/>
    </row>
    <row r="28" ht="20.1" customHeight="1" s="356">
      <c r="A28" s="159" t="n"/>
      <c r="B28" s="159" t="n"/>
      <c r="C28" s="32" t="n"/>
      <c r="D28" s="465" t="n"/>
      <c r="E28" s="465" t="n"/>
      <c r="F28" s="347" t="n"/>
      <c r="G28" s="433" t="n"/>
      <c r="H28" s="159" t="n"/>
    </row>
    <row r="29" ht="20.1" customHeight="1" s="356">
      <c r="A29" s="159" t="n"/>
      <c r="B29" s="159" t="n"/>
      <c r="C29" s="32" t="n"/>
      <c r="D29" s="465" t="n"/>
      <c r="E29" s="465" t="n"/>
      <c r="F29" s="347" t="n"/>
      <c r="G29" s="433" t="n"/>
      <c r="H29" s="159" t="n"/>
    </row>
    <row r="30" ht="20.1" customHeight="1" s="356">
      <c r="A30" s="100" t="inlineStr">
        <is>
          <t>三、审计说明：</t>
        </is>
      </c>
      <c r="B30" s="101" t="n"/>
      <c r="C30" s="101" t="n"/>
      <c r="D30" s="101" t="n"/>
      <c r="E30" s="101" t="n"/>
      <c r="F30" s="101" t="n"/>
      <c r="G30" s="101" t="n"/>
      <c r="H30" s="101" t="n"/>
    </row>
    <row r="31" ht="20.1" customHeight="1" s="356">
      <c r="A31" s="30" t="n"/>
      <c r="B31" s="30" t="n"/>
      <c r="C31" s="30" t="n"/>
      <c r="D31" s="30" t="n"/>
      <c r="E31" s="30" t="n"/>
      <c r="F31" s="30" t="n"/>
      <c r="G31" s="30" t="n"/>
      <c r="H31" s="30" t="n"/>
    </row>
    <row r="32" ht="20.1" customHeight="1" s="356">
      <c r="A32" s="30" t="n"/>
      <c r="B32" s="30" t="n"/>
      <c r="C32" s="30" t="n"/>
      <c r="D32" s="30" t="n"/>
      <c r="E32" s="30" t="n"/>
      <c r="F32" s="30" t="n"/>
      <c r="G32" s="30" t="n"/>
      <c r="H32" s="30" t="n"/>
    </row>
    <row r="33" ht="20.1" customHeight="1" s="356">
      <c r="A33" s="102" t="inlineStr">
        <is>
          <t>四、审计结论：</t>
        </is>
      </c>
      <c r="B33" s="30" t="n"/>
      <c r="C33" s="30" t="n"/>
      <c r="D33" s="30" t="n"/>
      <c r="E33" s="30" t="n"/>
      <c r="F33" s="30" t="n"/>
      <c r="G33" s="30" t="n"/>
      <c r="H33" s="30" t="n"/>
    </row>
    <row r="34" ht="20.1" customHeight="1" s="356">
      <c r="A34" s="30" t="n"/>
      <c r="B34" s="30" t="n"/>
      <c r="C34" s="30" t="n"/>
      <c r="D34" s="30" t="n"/>
      <c r="E34" s="30" t="n"/>
      <c r="F34" s="30" t="n"/>
      <c r="G34" s="30" t="n"/>
      <c r="H34" s="30" t="n"/>
    </row>
    <row r="35" ht="20.1" customHeight="1" s="356">
      <c r="A35" s="30" t="n"/>
      <c r="B35" s="30" t="n"/>
      <c r="C35" s="30" t="n"/>
      <c r="D35" s="30" t="n"/>
      <c r="E35" s="30" t="n"/>
      <c r="F35" s="30" t="n"/>
      <c r="G35" s="30" t="n"/>
      <c r="H35" s="30" t="n"/>
    </row>
    <row r="36" ht="19.8" customHeight="1" s="356"/>
    <row r="37" ht="19.8" customHeight="1" s="356">
      <c r="A37" s="260" t="inlineStr">
        <is>
          <t>提示：</t>
        </is>
      </c>
    </row>
    <row r="38" ht="19.8" customHeight="1" s="356">
      <c r="A38" s="261" t="inlineStr">
        <is>
          <t>1.本表是销售成本审定表的附表，用于审查销售成本帐户中重大调整事项的理由是否充分。</t>
        </is>
      </c>
    </row>
    <row r="39" ht="19.8" customHeight="1" s="356">
      <c r="A39" s="261" t="inlineStr">
        <is>
          <t>2.检查现金返利、实物返利是否冲减或调整存货或购货当期的主营业务成本。</t>
        </is>
      </c>
    </row>
    <row r="40" ht="19.8" customHeight="1" s="356"/>
  </sheetData>
  <mergeCells count="24">
    <mergeCell ref="F29:G29"/>
    <mergeCell ref="B12:B13"/>
    <mergeCell ref="F16:G16"/>
    <mergeCell ref="F19:G19"/>
    <mergeCell ref="F25:G25"/>
    <mergeCell ref="A1:H1"/>
    <mergeCell ref="F21:G21"/>
    <mergeCell ref="F24:G24"/>
    <mergeCell ref="F15:G15"/>
    <mergeCell ref="A12:A13"/>
    <mergeCell ref="C12:C13"/>
    <mergeCell ref="F20:G20"/>
    <mergeCell ref="F18:G18"/>
    <mergeCell ref="F26:G26"/>
    <mergeCell ref="F17:G17"/>
    <mergeCell ref="A2:H2"/>
    <mergeCell ref="H12:H13"/>
    <mergeCell ref="F23:G23"/>
    <mergeCell ref="F28:G28"/>
    <mergeCell ref="F22:G22"/>
    <mergeCell ref="F27:G27"/>
    <mergeCell ref="D12:E12"/>
    <mergeCell ref="F12:G13"/>
    <mergeCell ref="F14:G14"/>
  </mergeCells>
  <hyperlinks>
    <hyperlink ref="H3" location="底稿目录!A1" display="底稿目录!A1"/>
  </hyperlinks>
  <pageMargins left="0.7480314960629921" right="0.4330708661417323" top="0.7874015748031497" bottom="0.7874015748031497" header="0.5118110236220472" footer="0.5118110236220472"/>
  <pageSetup orientation="portrait" paperSize="9" scale="99" fitToHeight="0" blackAndWhite="1" horizontalDpi="360" verticalDpi="360"/>
  <headerFooter alignWithMargins="0">
    <oddHeader/>
    <oddFooter>&amp;C&amp;P/&amp;N</oddFooter>
    <evenHeader/>
    <evenFooter/>
    <firstHeader/>
    <firstFooter/>
  </headerFooter>
</worksheet>
</file>

<file path=xl/worksheets/sheet11.xml><?xml version="1.0" encoding="utf-8"?>
<worksheet xmlns="http://schemas.openxmlformats.org/spreadsheetml/2006/main">
  <sheetPr codeName="Sheet14">
    <outlinePr summaryBelow="1" summaryRight="1"/>
    <pageSetUpPr/>
  </sheetPr>
  <dimension ref="A1:B8"/>
  <sheetViews>
    <sheetView workbookViewId="0">
      <selection activeCell="A1" sqref="A1"/>
    </sheetView>
  </sheetViews>
  <sheetFormatPr baseColWidth="8" defaultRowHeight="15.6"/>
  <sheetData>
    <row r="1">
      <c r="A1" s="0" t="inlineStr">
        <is>
          <t>C1</t>
        </is>
      </c>
      <c r="B1" s="0" t="inlineStr">
        <is>
          <t>Custom 1</t>
        </is>
      </c>
    </row>
    <row r="2">
      <c r="A2" s="0" t="inlineStr">
        <is>
          <t>C2</t>
        </is>
      </c>
      <c r="B2" s="0" t="inlineStr">
        <is>
          <t>Custom 2</t>
        </is>
      </c>
    </row>
    <row r="3">
      <c r="A3" s="0" t="inlineStr">
        <is>
          <t>C3</t>
        </is>
      </c>
      <c r="B3" s="0" t="inlineStr">
        <is>
          <t>Custom 3</t>
        </is>
      </c>
    </row>
    <row r="4">
      <c r="A4" s="0" t="inlineStr">
        <is>
          <t>C4</t>
        </is>
      </c>
      <c r="B4" s="0" t="inlineStr">
        <is>
          <t>Custom 4</t>
        </is>
      </c>
    </row>
    <row r="5">
      <c r="A5" s="0" t="inlineStr">
        <is>
          <t>C5</t>
        </is>
      </c>
      <c r="B5" s="0" t="inlineStr">
        <is>
          <t>Custom 5</t>
        </is>
      </c>
    </row>
    <row r="6">
      <c r="A6" s="0" t="inlineStr">
        <is>
          <t>C6</t>
        </is>
      </c>
      <c r="B6" s="0" t="inlineStr">
        <is>
          <t>Custom 6</t>
        </is>
      </c>
    </row>
    <row r="7">
      <c r="A7" s="0" t="inlineStr">
        <is>
          <t>C7</t>
        </is>
      </c>
      <c r="B7" s="0" t="inlineStr">
        <is>
          <t>Custom 7</t>
        </is>
      </c>
    </row>
    <row r="8">
      <c r="A8" s="0" t="inlineStr">
        <is>
          <t>C8</t>
        </is>
      </c>
      <c r="B8" s="0" t="inlineStr">
        <is>
          <t>Custom 8</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Liufs</dc:creator>
  <dcterms:created xmlns:dcterms="http://purl.org/dc/terms/" xmlns:xsi="http://www.w3.org/2001/XMLSchema-instance" xsi:type="dcterms:W3CDTF">2007-05-20T08:51:05Z</dcterms:created>
  <dcterms:modified xmlns:dcterms="http://purl.org/dc/terms/" xmlns:xsi="http://www.w3.org/2001/XMLSchema-instance" xsi:type="dcterms:W3CDTF">2026-10-07T07:43:23Z</dcterms:modified>
  <cp:lastModifiedBy>何先琴</cp:lastModifiedBy>
  <cp:lastPrinted>2025-08-27T09:35:36Z</cp:lastPrinted>
</cp:coreProperties>
</file>