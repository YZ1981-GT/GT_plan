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I 无形资产循环 修订10.23\"/>
    </mc:Choice>
  </mc:AlternateContent>
  <bookViews>
    <workbookView xWindow="0" yWindow="0" windowWidth="20748" windowHeight="9696" tabRatio="924"/>
  </bookViews>
  <sheets>
    <sheet name="底稿目录" sheetId="4" r:id="rId1"/>
    <sheet name="其他非流动资产实质性程序 I5A" sheetId="14" r:id="rId2"/>
    <sheet name="审定表I5-1" sheetId="5" r:id="rId3"/>
    <sheet name="附注披露（上市公司）" sheetId="8" r:id="rId4"/>
    <sheet name="附注披露（国有企业）" sheetId="9" r:id="rId5"/>
    <sheet name="明细表I5-2" sheetId="6" r:id="rId6"/>
    <sheet name="调整分录汇总I5-3" sheetId="12" r:id="rId7"/>
    <sheet name="针对性检查表I5-4" sheetId="7" r:id="rId8"/>
    <sheet name="GT_Custom" sheetId="10" state="hidden" r:id="rId9"/>
  </sheet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_DAT1" localSheetId="6">#REF!</definedName>
    <definedName name="_DAT1">#REF!</definedName>
    <definedName name="_DAT10" localSheetId="6">#REF!</definedName>
    <definedName name="_DAT10">#REF!</definedName>
    <definedName name="_DAT11" localSheetId="6">#REF!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aas" hidden="1">#REF!</definedName>
    <definedName name="abcdefg" hidden="1">#REF!</definedName>
    <definedName name="AFV" localSheetId="6" hidden="1">#REF!</definedName>
    <definedName name="AFV" hidden="1">#REF!</definedName>
    <definedName name="AS2DocOpenMode">"AS2DocumentEdit"</definedName>
    <definedName name="bs" localSheetId="6" hidden="1">{#N/A,#N/A,FALSE,"BBPREP"}</definedName>
    <definedName name="bs" hidden="1">{#N/A,#N/A,FALSE,"BBPREP"}</definedName>
    <definedName name="bs_1" localSheetId="6" hidden="1">{#N/A,#N/A,FALSE,"BBPREP"}</definedName>
    <definedName name="bs_1" hidden="1">{#N/A,#N/A,FALSE,"BBPREP"}</definedName>
    <definedName name="CarryKnown" localSheetId="6">#REF!</definedName>
    <definedName name="CarryKnown">#REF!</definedName>
    <definedName name="CarryKnownTable" localSheetId="6">#REF!</definedName>
    <definedName name="CarryKnownTable">#REF!</definedName>
    <definedName name="CarryLikely" localSheetId="6">#REF!</definedName>
    <definedName name="CarryLikely">#REF!</definedName>
    <definedName name="CarryLikelyTable" localSheetId="6">#REF!</definedName>
    <definedName name="CarryLikelyTable">#REF!</definedName>
    <definedName name="Carryover_Effect_of_Prior_Year" localSheetId="6">#REF!</definedName>
    <definedName name="Carryover_Effect_of_Prior_Year">#REF!</definedName>
    <definedName name="CarryoverTitle" localSheetId="6">#REF!</definedName>
    <definedName name="CarryoverTitle">#REF!</definedName>
    <definedName name="CC_Instruction" localSheetId="6">#REF!</definedName>
    <definedName name="CC_Instruction">#REF!</definedName>
    <definedName name="CCD" localSheetId="6" hidden="1">#REF!</definedName>
    <definedName name="CCD" hidden="1">#REF!</definedName>
    <definedName name="CDE" localSheetId="6" hidden="1">#REF!</definedName>
    <definedName name="CDE" hidden="1">#REF!</definedName>
    <definedName name="CE_CarryKnownProtection" localSheetId="6">#REF!</definedName>
    <definedName name="CE_CarryKnownProtection">#REF!</definedName>
    <definedName name="CE_CarryKnownTable" localSheetId="6">#REF!</definedName>
    <definedName name="CE_CarryKnownTable">#REF!</definedName>
    <definedName name="CE_CarryLikely1Protection" localSheetId="6">#REF!</definedName>
    <definedName name="CE_CarryLikely1Protection">#REF!</definedName>
    <definedName name="CE_CarryLikely1Table" localSheetId="6">#REF!</definedName>
    <definedName name="CE_CarryLikely1Table">#REF!</definedName>
    <definedName name="CE_CarryLikely2Protection" localSheetId="6">#REF!</definedName>
    <definedName name="CE_CarryLikely2Protection">#REF!</definedName>
    <definedName name="CE_CarryLikely2Table" localSheetId="6">#REF!</definedName>
    <definedName name="CE_CarryLikely2Table">#REF!</definedName>
    <definedName name="CE_CarryTaxable" localSheetId="6">#REF!</definedName>
    <definedName name="CE_CarryTaxable">#REF!</definedName>
    <definedName name="CE_Desc" localSheetId="6">#REF!</definedName>
    <definedName name="CE_Desc">#REF!</definedName>
    <definedName name="CE_Income" localSheetId="6">#REF!</definedName>
    <definedName name="CE_Income">#REF!</definedName>
    <definedName name="CE_KeepFormat" localSheetId="6">#REF!</definedName>
    <definedName name="CE_KeepFormat">#REF!</definedName>
    <definedName name="CE_KnownChange" localSheetId="6">#REF!</definedName>
    <definedName name="CE_KnownChange">#REF!</definedName>
    <definedName name="CE_KnownFormulaProtection" localSheetId="6">#REF!</definedName>
    <definedName name="CE_KnownFormulaProtection">#REF!</definedName>
    <definedName name="CE_KnownImpact" localSheetId="6">#REF!</definedName>
    <definedName name="CE_KnownImpact">#REF!</definedName>
    <definedName name="CE_Likely1Change" localSheetId="6">#REF!</definedName>
    <definedName name="CE_Likely1Change">#REF!</definedName>
    <definedName name="CE_Likely1FormulaProtection" localSheetId="6">#REF!</definedName>
    <definedName name="CE_Likely1FormulaProtection">#REF!</definedName>
    <definedName name="CE_Likely1Impact" localSheetId="6">#REF!</definedName>
    <definedName name="CE_Likely1Impact">#REF!</definedName>
    <definedName name="CE_Likely2Change" localSheetId="6">#REF!</definedName>
    <definedName name="CE_Likely2Change">#REF!</definedName>
    <definedName name="CE_Likely2FormulaProtection" localSheetId="6">#REF!</definedName>
    <definedName name="CE_Likely2FormulaProtection">#REF!</definedName>
    <definedName name="CE_Likely2Impact" localSheetId="6">#REF!</definedName>
    <definedName name="CE_Likely2Impact">#REF!</definedName>
    <definedName name="CE_SheetCorrect" localSheetId="6">#REF!</definedName>
    <definedName name="CE_SheetCorrect">#REF!</definedName>
    <definedName name="CE_StatementImpact" localSheetId="6">#REF!</definedName>
    <definedName name="CE_StatementImpact">#REF!</definedName>
    <definedName name="CE_TotalProtection" localSheetId="6">#REF!</definedName>
    <definedName name="CE_TotalProtection">#REF!</definedName>
    <definedName name="CE_WholeSheet" localSheetId="6">#REF!</definedName>
    <definedName name="CE_WholeSheet">#REF!</definedName>
    <definedName name="CE_XF1" localSheetId="6">#REF!</definedName>
    <definedName name="CE_XF1">#REF!</definedName>
    <definedName name="CE_XF1Rng1" localSheetId="6">#REF!</definedName>
    <definedName name="CE_XF1Rng1">#REF!</definedName>
    <definedName name="CE_XF1Rng2" localSheetId="6">#REF!</definedName>
    <definedName name="CE_XF1Rng2">#REF!</definedName>
    <definedName name="CE_XF2" localSheetId="6">#REF!</definedName>
    <definedName name="CE_XF2">#REF!</definedName>
    <definedName name="CE_XF2Rng1" localSheetId="6">#REF!</definedName>
    <definedName name="CE_XF2Rng1">#REF!</definedName>
    <definedName name="CE_XF2Rng2" localSheetId="6">#REF!</definedName>
    <definedName name="CE_XF2Rng2">#REF!</definedName>
    <definedName name="CE_XF3" localSheetId="6">#REF!</definedName>
    <definedName name="CE_XF3">#REF!</definedName>
    <definedName name="CE_XF3Rng1" localSheetId="6">#REF!</definedName>
    <definedName name="CE_XF3Rng1">#REF!</definedName>
    <definedName name="CE_XF3Rng2" localSheetId="6">#REF!</definedName>
    <definedName name="CE_XF3Rng2">#REF!</definedName>
    <definedName name="ChecklistQuestion1" localSheetId="6">#REF!</definedName>
    <definedName name="ChecklistQuestion1">#REF!</definedName>
    <definedName name="ChecklistQuestion2" localSheetId="6">#REF!</definedName>
    <definedName name="ChecklistQuestion2">#REF!</definedName>
    <definedName name="ChecklistQuestion3" localSheetId="6">#REF!</definedName>
    <definedName name="ChecklistQuestion3">#REF!</definedName>
    <definedName name="Conclusions1" localSheetId="6">#REF!</definedName>
    <definedName name="Conclusions1">#REF!</definedName>
    <definedName name="Conclusions2" localSheetId="6">#REF!</definedName>
    <definedName name="Conclusions2">#REF!</definedName>
    <definedName name="Conclusions3" localSheetId="6">#REF!</definedName>
    <definedName name="Conclusions3">#REF!</definedName>
    <definedName name="Conclusions4" localSheetId="6">#REF!</definedName>
    <definedName name="Conclusions4">#REF!</definedName>
    <definedName name="CorrectKey" localSheetId="6">#REF!</definedName>
    <definedName name="CorrectKey">#REF!</definedName>
    <definedName name="Current_Year_Known_and_Likely_Misstatements" localSheetId="6">#REF!</definedName>
    <definedName name="Current_Year_Known_and_Likely_Misstatements">#REF!</definedName>
    <definedName name="CY_all_Assets" localSheetId="6">#REF!</definedName>
    <definedName name="CY_all_Assets">#REF!</definedName>
    <definedName name="CY_all_Equity" localSheetId="6">#REF!</definedName>
    <definedName name="CY_all_Equity">#REF!</definedName>
    <definedName name="CY_all_Income" localSheetId="6">#REF!</definedName>
    <definedName name="CY_all_Income">#REF!</definedName>
    <definedName name="CY_all_Liabs" localSheetId="6">#REF!</definedName>
    <definedName name="CY_all_Liabs">#REF!</definedName>
    <definedName name="CY_all_RetEarn_bf" localSheetId="6">#REF!</definedName>
    <definedName name="CY_all_RetEarn_bf">#REF!</definedName>
    <definedName name="CY_knw_Assets" localSheetId="6">#REF!</definedName>
    <definedName name="CY_knw_Assets">#REF!</definedName>
    <definedName name="CY_knw_Equity" localSheetId="6">#REF!</definedName>
    <definedName name="CY_knw_Equity">#REF!</definedName>
    <definedName name="CY_knw_Income" localSheetId="6">#REF!</definedName>
    <definedName name="CY_knw_Income">#REF!</definedName>
    <definedName name="CY_knw_Liabs" localSheetId="6">#REF!</definedName>
    <definedName name="CY_knw_Liabs">#REF!</definedName>
    <definedName name="CY_knw_RetEarn_bf" localSheetId="6">#REF!</definedName>
    <definedName name="CY_knw_RetEarn_bf">#REF!</definedName>
    <definedName name="CY_lik_Assets" localSheetId="6">#REF!</definedName>
    <definedName name="CY_lik_Assets">#REF!</definedName>
    <definedName name="CY_lik_Assets_ex" localSheetId="6">#REF!</definedName>
    <definedName name="CY_lik_Assets_ex">#REF!</definedName>
    <definedName name="CY_lik_Assets_ext" localSheetId="6">#REF!</definedName>
    <definedName name="CY_lik_Assets_ext">#REF!</definedName>
    <definedName name="CY_lik_Equity" localSheetId="6">#REF!</definedName>
    <definedName name="CY_lik_Equity">#REF!</definedName>
    <definedName name="CY_lik_Equity_eX" localSheetId="6">#REF!</definedName>
    <definedName name="CY_lik_Equity_eX">#REF!</definedName>
    <definedName name="CY_lik_Equity_eXt" localSheetId="6">#REF!</definedName>
    <definedName name="CY_lik_Equity_eXt">#REF!</definedName>
    <definedName name="CY_lik_Income" localSheetId="6">#REF!</definedName>
    <definedName name="CY_lik_Income">#REF!</definedName>
    <definedName name="CY_lik_Income_Ex" localSheetId="6">#REF!</definedName>
    <definedName name="CY_lik_Income_Ex">#REF!</definedName>
    <definedName name="CY_lik_Income_Ext" localSheetId="6">#REF!</definedName>
    <definedName name="CY_lik_Income_Ext">#REF!</definedName>
    <definedName name="CY_lik_Liabs" localSheetId="6">#REF!</definedName>
    <definedName name="CY_lik_Liabs">#REF!</definedName>
    <definedName name="CY_lik_Liabs_EX" localSheetId="6">#REF!</definedName>
    <definedName name="CY_lik_Liabs_EX">#REF!</definedName>
    <definedName name="CY_lik_Liabs_EXt" localSheetId="6">#REF!</definedName>
    <definedName name="CY_lik_Liabs_EXt">#REF!</definedName>
    <definedName name="CY_lik_RetEarn_bf" localSheetId="6">#REF!</definedName>
    <definedName name="CY_lik_RetEarn_bf">#REF!</definedName>
    <definedName name="CY_tx_all_Equity" localSheetId="6">#REF!</definedName>
    <definedName name="CY_tx_all_Equity">#REF!</definedName>
    <definedName name="CY_tx_all_Income" localSheetId="6">#REF!</definedName>
    <definedName name="CY_tx_all_Income">#REF!</definedName>
    <definedName name="CY_tx_all_Liabs" localSheetId="6">#REF!</definedName>
    <definedName name="CY_tx_all_Liabs">#REF!</definedName>
    <definedName name="CY_tx_all_RetEarn_bf" localSheetId="6">#REF!</definedName>
    <definedName name="CY_tx_all_RetEarn_bf">#REF!</definedName>
    <definedName name="CY_tx_knw_Equity" localSheetId="6">#REF!</definedName>
    <definedName name="CY_tx_knw_Equity">#REF!</definedName>
    <definedName name="CY_tx_knw_Income" localSheetId="6">#REF!</definedName>
    <definedName name="CY_tx_knw_Income">#REF!</definedName>
    <definedName name="CY_tx_knw_Liabs" localSheetId="6">#REF!</definedName>
    <definedName name="CY_tx_knw_Liabs">#REF!</definedName>
    <definedName name="CY_tx_knw_RetEarn_bf" localSheetId="6">#REF!</definedName>
    <definedName name="CY_tx_knw_RetEarn_bf">#REF!</definedName>
    <definedName name="CY_tx_lik_Equity" localSheetId="6">#REF!</definedName>
    <definedName name="CY_tx_lik_Equity">#REF!</definedName>
    <definedName name="CY_tx_lik_Equity_ex" localSheetId="6">#REF!</definedName>
    <definedName name="CY_tx_lik_Equity_ex">#REF!</definedName>
    <definedName name="CY_tx_lik_Equity_ext" localSheetId="6">#REF!</definedName>
    <definedName name="CY_tx_lik_Equity_ext">#REF!</definedName>
    <definedName name="CY_tx_lik_Income" localSheetId="6">#REF!</definedName>
    <definedName name="CY_tx_lik_Income">#REF!</definedName>
    <definedName name="CY_tx_lik_Income_ex" localSheetId="6">#REF!</definedName>
    <definedName name="CY_tx_lik_Income_ex">#REF!</definedName>
    <definedName name="CY_tx_lik_Income_ext" localSheetId="6">#REF!</definedName>
    <definedName name="CY_tx_lik_Income_ext">#REF!</definedName>
    <definedName name="CY_tx_lik_Liabs" localSheetId="6">#REF!</definedName>
    <definedName name="CY_tx_lik_Liabs">#REF!</definedName>
    <definedName name="CY_tx_lik_Liabs_ex" localSheetId="6">#REF!</definedName>
    <definedName name="CY_tx_lik_Liabs_ex">#REF!</definedName>
    <definedName name="CY_tx_lik_Liabs_ext" localSheetId="6">#REF!</definedName>
    <definedName name="CY_tx_lik_Liabs_ext">#REF!</definedName>
    <definedName name="CY_tx_lik_RetEarn_bf" localSheetId="6">#REF!</definedName>
    <definedName name="CY_tx_lik_RetEarn_bf">#REF!</definedName>
    <definedName name="CY_tx_lik_RetEarn_bf_ex" localSheetId="6">#REF!</definedName>
    <definedName name="CY_tx_lik_RetEarn_bf_ex">#REF!</definedName>
    <definedName name="CY_tx_lik_RetEarn_bf_ext" localSheetId="6">#REF!</definedName>
    <definedName name="CY_tx_lik_RetEarn_bf_ext">#REF!</definedName>
    <definedName name="data" localSheetId="6" hidden="1">#REF!</definedName>
    <definedName name="data" hidden="1">#REF!</definedName>
    <definedName name="_xlnm.Database">#REF!</definedName>
    <definedName name="DEX" localSheetId="6" hidden="1">#REF!</definedName>
    <definedName name="DEX" hidden="1">#REF!</definedName>
    <definedName name="EDC" hidden="1">#REF!</definedName>
    <definedName name="Effective_Tax_Rate" localSheetId="6">#REF!</definedName>
    <definedName name="Effective_Tax_Rate">#REF!</definedName>
    <definedName name="FASD" localSheetId="6" hidden="1">#REF!</definedName>
    <definedName name="FASD" hidden="1">#REF!</definedName>
    <definedName name="Known" localSheetId="6">#REF!</definedName>
    <definedName name="Known">#REF!</definedName>
    <definedName name="KnownTable" localSheetId="6">#REF!</definedName>
    <definedName name="KnownTable">#REF!</definedName>
    <definedName name="KnownTitle" localSheetId="6">#REF!</definedName>
    <definedName name="KnownTitle">#REF!</definedName>
    <definedName name="Likely1" localSheetId="6">#REF!</definedName>
    <definedName name="Likely1">#REF!</definedName>
    <definedName name="Likely2" localSheetId="6">#REF!</definedName>
    <definedName name="Likely2">#REF!</definedName>
    <definedName name="LikelyTable1" localSheetId="6">#REF!</definedName>
    <definedName name="LikelyTable1">#REF!</definedName>
    <definedName name="LikelyTable2" localSheetId="6">#REF!</definedName>
    <definedName name="LikelyTable2">#REF!</definedName>
    <definedName name="LikelyTitle" localSheetId="6">#REF!</definedName>
    <definedName name="LikelyTitle">#REF!</definedName>
    <definedName name="Materiality" localSheetId="6">#REF!</definedName>
    <definedName name="Materiality">#REF!</definedName>
    <definedName name="Monetary_Precision" localSheetId="6">#REF!</definedName>
    <definedName name="Monetary_Precision">#REF!</definedName>
    <definedName name="OC_Instruction" localSheetId="6">#REF!</definedName>
    <definedName name="OC_Instruction">#REF!</definedName>
    <definedName name="OtherConditions" localSheetId="6">#REF!</definedName>
    <definedName name="OtherConditions">#REF!</definedName>
    <definedName name="Pre_tax_materiality" localSheetId="6">#REF!</definedName>
    <definedName name="Pre_tax_materiality">#REF!</definedName>
    <definedName name="Precision" localSheetId="6">#REF!</definedName>
    <definedName name="Precision">#REF!</definedName>
    <definedName name="_xlnm.Print_Area" localSheetId="6">'调整分录汇总I5-3'!$A$1:$J$20</definedName>
    <definedName name="_xlnm.Print_Area" localSheetId="4">'附注披露（国有企业）'!$A$1:$E$20</definedName>
    <definedName name="_xlnm.Print_Area" localSheetId="3">'附注披露（上市公司）'!$A$1:$G$22</definedName>
    <definedName name="_xlnm.Print_Area" localSheetId="5">'明细表I5-2'!$A$1:$P$53</definedName>
    <definedName name="_xlnm.Print_Area" localSheetId="1">'其他非流动资产实质性程序 I5A'!$A$1:$I$25</definedName>
    <definedName name="_xlnm.Print_Area" localSheetId="2">'审定表I5-1'!$A$1:$K$57</definedName>
    <definedName name="_xlnm.Print_Area" localSheetId="7">'针对性检查表I5-4'!$A$1:$Q$30</definedName>
    <definedName name="PY_all_Equity" localSheetId="6">#REF!</definedName>
    <definedName name="PY_all_Equity">#REF!</definedName>
    <definedName name="PY_all_Income" localSheetId="6">#REF!</definedName>
    <definedName name="PY_all_Income">#REF!</definedName>
    <definedName name="PY_all_RetEarn" localSheetId="6">#REF!</definedName>
    <definedName name="PY_all_RetEarn">#REF!</definedName>
    <definedName name="PY_knw_Income" localSheetId="6">#REF!</definedName>
    <definedName name="PY_knw_Income">#REF!</definedName>
    <definedName name="PY_knw_RetEarn" localSheetId="6">#REF!</definedName>
    <definedName name="PY_knw_RetEarn">#REF!</definedName>
    <definedName name="PY_lik_Income" localSheetId="6">#REF!</definedName>
    <definedName name="PY_lik_Income">#REF!</definedName>
    <definedName name="PY_lik_RetEarn" localSheetId="6">#REF!</definedName>
    <definedName name="PY_lik_RetEarn">#REF!</definedName>
    <definedName name="PY_tot_knw_Xfoot" localSheetId="6">#REF!</definedName>
    <definedName name="PY_tot_knw_Xfoot">#REF!</definedName>
    <definedName name="PY_tot_lik_Xfoot" localSheetId="6">#REF!</definedName>
    <definedName name="PY_tot_lik_Xfoot">#REF!</definedName>
    <definedName name="PY_tx_all_Income" localSheetId="6">#REF!</definedName>
    <definedName name="PY_tx_all_Income">#REF!</definedName>
    <definedName name="PY_tx_all_RetEarn" localSheetId="6">#REF!</definedName>
    <definedName name="PY_tx_all_RetEarn">#REF!</definedName>
    <definedName name="PY_tx_knw_Income" localSheetId="6">#REF!</definedName>
    <definedName name="PY_tx_knw_Income">#REF!</definedName>
    <definedName name="PY_tx_knw_RetEarn" localSheetId="6">#REF!</definedName>
    <definedName name="PY_tx_knw_RetEarn">#REF!</definedName>
    <definedName name="PY_tx_lik_Income" localSheetId="6">#REF!</definedName>
    <definedName name="PY_tx_lik_Income">#REF!</definedName>
    <definedName name="PY_tx_lik_RetEarn" localSheetId="6">#REF!</definedName>
    <definedName name="PY_tx_lik_RetEarn">#REF!</definedName>
    <definedName name="QC_Instruction" localSheetId="6">#REF!</definedName>
    <definedName name="QC_Instruction">#REF!</definedName>
    <definedName name="Qualitative1" localSheetId="6">#REF!</definedName>
    <definedName name="Qualitative1">#REF!</definedName>
    <definedName name="Qualitative2" localSheetId="6">#REF!</definedName>
    <definedName name="Qualitative2">#REF!</definedName>
    <definedName name="Qualitative3" localSheetId="6">#REF!</definedName>
    <definedName name="Qualitative3">#REF!</definedName>
    <definedName name="QualitativeTextBox" localSheetId="6">#REF!</definedName>
    <definedName name="QualitativeTextBox">#REF!</definedName>
    <definedName name="RDES" localSheetId="6" hidden="1">#REF!</definedName>
    <definedName name="RDES" hidden="1">#REF!</definedName>
    <definedName name="SM_CurrentYearHyplnk" localSheetId="6">#REF!</definedName>
    <definedName name="SM_CurrentYearHyplnk">#REF!</definedName>
    <definedName name="SM_PriorYearHyplnk" localSheetId="6">#REF!</definedName>
    <definedName name="SM_PriorYearHyplnk">#REF!</definedName>
    <definedName name="SM_WholeSheet" localSheetId="6">#REF!</definedName>
    <definedName name="SM_WholeSheet">#REF!</definedName>
    <definedName name="SummaryCOKnownProtection" localSheetId="6">#REF!</definedName>
    <definedName name="SummaryCOKnownProtection">#REF!</definedName>
    <definedName name="SummaryCOLikelyProtection" localSheetId="6">#REF!</definedName>
    <definedName name="SummaryCOLikelyProtection">#REF!</definedName>
    <definedName name="SummaryKnownProtection" localSheetId="6">#REF!</definedName>
    <definedName name="SummaryKnownProtection">#REF!</definedName>
    <definedName name="SummaryLikely1Protection" localSheetId="6">#REF!</definedName>
    <definedName name="SummaryLikely1Protection">#REF!</definedName>
    <definedName name="SummaryLikely2Protection" localSheetId="6">#REF!</definedName>
    <definedName name="SummaryLikely2Protection">#REF!</definedName>
    <definedName name="Tax_Effect_Income" localSheetId="6">#REF!</definedName>
    <definedName name="Tax_Effect_Income">#REF!</definedName>
    <definedName name="Tax_Effect_Liabs" localSheetId="6">#REF!</definedName>
    <definedName name="Tax_Effect_Liabs">#REF!</definedName>
    <definedName name="Tax_Effect_RetEarn" localSheetId="6">#REF!</definedName>
    <definedName name="Tax_Effect_RetEarn">#REF!</definedName>
    <definedName name="Tax_Rate" localSheetId="6">#REF!</definedName>
    <definedName name="Tax_Rate">#REF!</definedName>
    <definedName name="TEST1" localSheetId="6">#REF!</definedName>
    <definedName name="TEST1">#REF!</definedName>
    <definedName name="TESTHKEY" localSheetId="6">#REF!</definedName>
    <definedName name="TESTHKEY">#REF!</definedName>
    <definedName name="TESTKEYS">#REF!</definedName>
    <definedName name="TESTVKEY">#REF!</definedName>
    <definedName name="TextRefCopy1">#REF!</definedName>
    <definedName name="TextRefCopyRangeCount" hidden="1">136</definedName>
    <definedName name="Threshold" localSheetId="6">#REF!</definedName>
    <definedName name="Threshold">#REF!</definedName>
    <definedName name="Threshold_for_Accumulating" localSheetId="6">#REF!</definedName>
    <definedName name="Threshold_for_Accumulating">#REF!</definedName>
    <definedName name="Tot_knw_Xfoot" localSheetId="6">#REF!</definedName>
    <definedName name="Tot_knw_Xfoot">#REF!</definedName>
    <definedName name="Tot_lik_Xfoot" localSheetId="6">#REF!</definedName>
    <definedName name="Tot_lik_Xfoot">#REF!</definedName>
    <definedName name="Tot_lik_Xfoot_ex" localSheetId="6">#REF!</definedName>
    <definedName name="Tot_lik_Xfoot_ex">#REF!</definedName>
    <definedName name="Tot_lik_Xfoot_ext" localSheetId="6">#REF!</definedName>
    <definedName name="Tot_lik_Xfoot_ext">#REF!</definedName>
    <definedName name="TOTAL_KNOWN" localSheetId="6">#REF!</definedName>
    <definedName name="TOTAL_KNOWN">#REF!</definedName>
    <definedName name="TotalCarryOver" localSheetId="6">#REF!</definedName>
    <definedName name="TotalCarryOver">#REF!</definedName>
    <definedName name="TotalCurrentYear" localSheetId="6">#REF!</definedName>
    <definedName name="TotalCurrentYear">#REF!</definedName>
    <definedName name="TotalKnownCheck" localSheetId="6">#REF!</definedName>
    <definedName name="TotalKnownCheck">#REF!</definedName>
    <definedName name="UFPrn20020120153922" localSheetId="6">#REF!</definedName>
    <definedName name="UFPrn20020120153922">#REF!</definedName>
    <definedName name="UFPrn20051027160140" localSheetId="6">#REF!</definedName>
    <definedName name="UFPrn20051027160140">#REF!</definedName>
    <definedName name="UFPrn20051027172739" localSheetId="6">#REF!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hidden="1">#REF!</definedName>
    <definedName name="wer" hidden="1">#REF!</definedName>
    <definedName name="wrn.Aging._.and._.Trend._.Analysis.">{#N/A,#N/A,FALSE,"Aging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1_1">{#N/A,#N/A,FALSE,"Aging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1_4">{#N/A,#N/A,FALSE,"Aging Summary";#N/A,#N/A,FALSE,"Ratio Analysis";#N/A,#N/A,FALSE,"Test 120 Day Accts";#N/A,#N/A,FALSE,"Tickmarks"}</definedName>
    <definedName name="wrn.Aging._.and._.Trend._.Analysis._1_5">{#N/A,#N/A,FALSE,"Aging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2_1">{#N/A,#N/A,FALSE,"Aging Summary";#N/A,#N/A,FALSE,"Ratio Analysis";#N/A,#N/A,FALSE,"Test 120 Day Accts";#N/A,#N/A,FALSE,"Tickmarks"}</definedName>
    <definedName name="wrn.Aging._.and._.Trend._.Analysis._2_2">{#N/A,#N/A,FALSE,"Aging Summary";#N/A,#N/A,FALSE,"Ratio Analysis";#N/A,#N/A,FALSE,"Test 120 Day Accts";#N/A,#N/A,FALSE,"Tickmarks"}</definedName>
    <definedName name="wrn.Aging._.and._.Trend._.Analysis._2_3">{#N/A,#N/A,FALSE,"Aging Summary";#N/A,#N/A,FALSE,"Ratio Analysis";#N/A,#N/A,FALSE,"Test 120 Day Accts";#N/A,#N/A,FALSE,"Tickmarks"}</definedName>
    <definedName name="wrn.Aging._.and._.Trend._.Analysis._2_4">{#N/A,#N/A,FALSE,"Aging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3_1">{#N/A,#N/A,FALSE,"Aging Summary";#N/A,#N/A,FALSE,"Ratio Analysis";#N/A,#N/A,FALSE,"Test 120 Day Accts";#N/A,#N/A,FALSE,"Tickmarks"}</definedName>
    <definedName name="wrn.Aging._.and._.Trend._.Analysis._3_2">{#N/A,#N/A,FALSE,"Aging Summary";#N/A,#N/A,FALSE,"Ratio Analysis";#N/A,#N/A,FALSE,"Test 120 Day Accts";#N/A,#N/A,FALSE,"Tickmarks"}</definedName>
    <definedName name="wrn.Aging._.and._.Trend._.Analysis._3_3">{#N/A,#N/A,FALSE,"Aging Summary";#N/A,#N/A,FALSE,"Ratio Analysis";#N/A,#N/A,FALSE,"Test 120 Day Accts";#N/A,#N/A,FALSE,"Tickmarks"}</definedName>
    <definedName name="wrn.Aging._.and._.Trend._.Analysis._3_4">{#N/A,#N/A,FALSE,"Aging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4_1">{#N/A,#N/A,FALSE,"Aging Summary";#N/A,#N/A,FALSE,"Ratio Analysis";#N/A,#N/A,FALSE,"Test 120 Day Accts";#N/A,#N/A,FALSE,"Tickmarks"}</definedName>
    <definedName name="wrn.Aging._.and._.Trend._.Analysis._4_2">{#N/A,#N/A,FALSE,"Aging Summary";#N/A,#N/A,FALSE,"Ratio Analysis";#N/A,#N/A,FALSE,"Test 120 Day Accts";#N/A,#N/A,FALSE,"Tickmarks"}</definedName>
    <definedName name="wrn.Aging._.and._.Trend._.Analysis._4_3">{#N/A,#N/A,FALSE,"Aging Summary";#N/A,#N/A,FALSE,"Ratio Analysis";#N/A,#N/A,FALSE,"Test 120 Day Accts";#N/A,#N/A,FALSE,"Tickmarks"}</definedName>
    <definedName name="wrn.Aging._.and._.Trend._.Analysis._4_4">{#N/A,#N/A,FALSE,"Aging Summary";#N/A,#N/A,FALSE,"Ratio Analysis";#N/A,#N/A,FALSE,"Test 120 Day Accts";#N/A,#N/A,FALSE,"Tickmarks"}</definedName>
    <definedName name="wrn.Aging._.and._.Trend._.Analysis._5">{#N/A,#N/A,FALSE,"Aging Summary";#N/A,#N/A,FALSE,"Ratio Analysis";#N/A,#N/A,FALSE,"Test 120 Day Accts";#N/A,#N/A,FALSE,"Tickmarks"}</definedName>
    <definedName name="wrn.Aging._.and._.Trend._.Analysis._5_1">{#N/A,#N/A,FALSE,"Aging Summary";#N/A,#N/A,FALSE,"Ratio Analysis";#N/A,#N/A,FALSE,"Test 120 Day Accts";#N/A,#N/A,FALSE,"Tickmarks"}</definedName>
    <definedName name="wrn.Aging._.and._.Trend._.Analysis._5_2">{#N/A,#N/A,FALSE,"Aging Summary";#N/A,#N/A,FALSE,"Ratio Analysis";#N/A,#N/A,FALSE,"Test 120 Day Accts";#N/A,#N/A,FALSE,"Tickmarks"}</definedName>
    <definedName name="wrn.Aging._.and._.Trend._.Analysis._5_3">{#N/A,#N/A,FALSE,"Aging Summary";#N/A,#N/A,FALSE,"Ratio Analysis";#N/A,#N/A,FALSE,"Test 120 Day Accts";#N/A,#N/A,FALSE,"Tickmarks"}</definedName>
    <definedName name="wrn.Aging._.and._.Trend._.Analysis._5_4">{#N/A,#N/A,FALSE,"Aging Summary";#N/A,#N/A,FALSE,"Ratio Analysis";#N/A,#N/A,FALSE,"Test 120 Day Accts";#N/A,#N/A,FALSE,"Tickmarks"}</definedName>
    <definedName name="wrn.new">{#N/A,#N/A,FALSE,"Aging Summary";#N/A,#N/A,FALSE,"Ratio Analysis";#N/A,#N/A,FALSE,"Test 120 Day Accts";#N/A,#N/A,FALSE,"Tickmarks"}</definedName>
    <definedName name="wrn.new_1">{#N/A,#N/A,FALSE,"Aging Summary";#N/A,#N/A,FALSE,"Ratio Analysis";#N/A,#N/A,FALSE,"Test 120 Day Accts";#N/A,#N/A,FALSE,"Tickmarks"}</definedName>
    <definedName name="wrn.new_1_1">{#N/A,#N/A,FALSE,"Aging Summary";#N/A,#N/A,FALSE,"Ratio Analysis";#N/A,#N/A,FALSE,"Test 120 Day Accts";#N/A,#N/A,FALSE,"Tickmarks"}</definedName>
    <definedName name="wrn.new_1_2">{#N/A,#N/A,FALSE,"Aging Summary";#N/A,#N/A,FALSE,"Ratio Analysis";#N/A,#N/A,FALSE,"Test 120 Day Accts";#N/A,#N/A,FALSE,"Tickmarks"}</definedName>
    <definedName name="wrn.new_1_3">{#N/A,#N/A,FALSE,"Aging Summary";#N/A,#N/A,FALSE,"Ratio Analysis";#N/A,#N/A,FALSE,"Test 120 Day Accts";#N/A,#N/A,FALSE,"Tickmarks"}</definedName>
    <definedName name="wrn.new_1_4">{#N/A,#N/A,FALSE,"Aging Summary";#N/A,#N/A,FALSE,"Ratio Analysis";#N/A,#N/A,FALSE,"Test 120 Day Accts";#N/A,#N/A,FALSE,"Tickmarks"}</definedName>
    <definedName name="wrn.new_1_5">{#N/A,#N/A,FALSE,"Aging Summary";#N/A,#N/A,FALSE,"Ratio Analysis";#N/A,#N/A,FALSE,"Test 120 Day Accts";#N/A,#N/A,FALSE,"Tickmarks"}</definedName>
    <definedName name="wrn.new_2">{#N/A,#N/A,FALSE,"Aging Summary";#N/A,#N/A,FALSE,"Ratio Analysis";#N/A,#N/A,FALSE,"Test 120 Day Accts";#N/A,#N/A,FALSE,"Tickmarks"}</definedName>
    <definedName name="wrn.new_2_1">{#N/A,#N/A,FALSE,"Aging Summary";#N/A,#N/A,FALSE,"Ratio Analysis";#N/A,#N/A,FALSE,"Test 120 Day Accts";#N/A,#N/A,FALSE,"Tickmarks"}</definedName>
    <definedName name="wrn.new_2_2">{#N/A,#N/A,FALSE,"Aging Summary";#N/A,#N/A,FALSE,"Ratio Analysis";#N/A,#N/A,FALSE,"Test 120 Day Accts";#N/A,#N/A,FALSE,"Tickmarks"}</definedName>
    <definedName name="wrn.new_2_3">{#N/A,#N/A,FALSE,"Aging Summary";#N/A,#N/A,FALSE,"Ratio Analysis";#N/A,#N/A,FALSE,"Test 120 Day Accts";#N/A,#N/A,FALSE,"Tickmarks"}</definedName>
    <definedName name="wrn.new_2_4">{#N/A,#N/A,FALSE,"Aging Summary";#N/A,#N/A,FALSE,"Ratio Analysis";#N/A,#N/A,FALSE,"Test 120 Day Accts";#N/A,#N/A,FALSE,"Tickmarks"}</definedName>
    <definedName name="wrn.new_3">{#N/A,#N/A,FALSE,"Aging Summary";#N/A,#N/A,FALSE,"Ratio Analysis";#N/A,#N/A,FALSE,"Test 120 Day Accts";#N/A,#N/A,FALSE,"Tickmarks"}</definedName>
    <definedName name="wrn.new_3_1">{#N/A,#N/A,FALSE,"Aging Summary";#N/A,#N/A,FALSE,"Ratio Analysis";#N/A,#N/A,FALSE,"Test 120 Day Accts";#N/A,#N/A,FALSE,"Tickmarks"}</definedName>
    <definedName name="wrn.new_3_2">{#N/A,#N/A,FALSE,"Aging Summary";#N/A,#N/A,FALSE,"Ratio Analysis";#N/A,#N/A,FALSE,"Test 120 Day Accts";#N/A,#N/A,FALSE,"Tickmarks"}</definedName>
    <definedName name="wrn.new_3_3">{#N/A,#N/A,FALSE,"Aging Summary";#N/A,#N/A,FALSE,"Ratio Analysis";#N/A,#N/A,FALSE,"Test 120 Day Accts";#N/A,#N/A,FALSE,"Tickmarks"}</definedName>
    <definedName name="wrn.new_3_4">{#N/A,#N/A,FALSE,"Aging Summary";#N/A,#N/A,FALSE,"Ratio Analysis";#N/A,#N/A,FALSE,"Test 120 Day Accts";#N/A,#N/A,FALSE,"Tickmarks"}</definedName>
    <definedName name="wrn.new_4">{#N/A,#N/A,FALSE,"Aging Summary";#N/A,#N/A,FALSE,"Ratio Analysis";#N/A,#N/A,FALSE,"Test 120 Day Accts";#N/A,#N/A,FALSE,"Tickmarks"}</definedName>
    <definedName name="wrn.new_4_1">{#N/A,#N/A,FALSE,"Aging Summary";#N/A,#N/A,FALSE,"Ratio Analysis";#N/A,#N/A,FALSE,"Test 120 Day Accts";#N/A,#N/A,FALSE,"Tickmarks"}</definedName>
    <definedName name="wrn.new_4_2">{#N/A,#N/A,FALSE,"Aging Summary";#N/A,#N/A,FALSE,"Ratio Analysis";#N/A,#N/A,FALSE,"Test 120 Day Accts";#N/A,#N/A,FALSE,"Tickmarks"}</definedName>
    <definedName name="wrn.new_4_3">{#N/A,#N/A,FALSE,"Aging Summary";#N/A,#N/A,FALSE,"Ratio Analysis";#N/A,#N/A,FALSE,"Test 120 Day Accts";#N/A,#N/A,FALSE,"Tickmarks"}</definedName>
    <definedName name="wrn.new_4_4">{#N/A,#N/A,FALSE,"Aging Summary";#N/A,#N/A,FALSE,"Ratio Analysis";#N/A,#N/A,FALSE,"Test 120 Day Accts";#N/A,#N/A,FALSE,"Tickmarks"}</definedName>
    <definedName name="wrn.new_5">{#N/A,#N/A,FALSE,"Aging Summary";#N/A,#N/A,FALSE,"Ratio Analysis";#N/A,#N/A,FALSE,"Test 120 Day Accts";#N/A,#N/A,FALSE,"Tickmarks"}</definedName>
    <definedName name="wrn.new_5_1">{#N/A,#N/A,FALSE,"Aging Summary";#N/A,#N/A,FALSE,"Ratio Analysis";#N/A,#N/A,FALSE,"Test 120 Day Accts";#N/A,#N/A,FALSE,"Tickmarks"}</definedName>
    <definedName name="wrn.new_5_2">{#N/A,#N/A,FALSE,"Aging Summary";#N/A,#N/A,FALSE,"Ratio Analysis";#N/A,#N/A,FALSE,"Test 120 Day Accts";#N/A,#N/A,FALSE,"Tickmarks"}</definedName>
    <definedName name="wrn.new_5_3">{#N/A,#N/A,FALSE,"Aging Summary";#N/A,#N/A,FALSE,"Ratio Analysis";#N/A,#N/A,FALSE,"Test 120 Day Accts";#N/A,#N/A,FALSE,"Tickmarks"}</definedName>
    <definedName name="wrn.new_5_4">{#N/A,#N/A,FALSE,"Aging Summary";#N/A,#N/A,FALSE,"Ratio Analysis";#N/A,#N/A,FALSE,"Test 120 Day Accts";#N/A,#N/A,FALSE,"Tickmarks"}</definedName>
    <definedName name="XAP" localSheetId="6" hidden="1">#REF!</definedName>
    <definedName name="XAP" hidden="1">#REF!</definedName>
    <definedName name="XAQ" hidden="1">#REF!</definedName>
    <definedName name="XCD" hidden="1">#REF!</definedName>
    <definedName name="XREF_COLUMN_1" hidden="1">#REF!</definedName>
    <definedName name="XREF_COLUMN_3" localSheetId="6" hidden="1">#REF!</definedName>
    <definedName name="XREF_COLUMN_3" hidden="1">#REF!</definedName>
    <definedName name="XRefActiveRow" localSheetId="6" hidden="1">#REF!</definedName>
    <definedName name="XRefActiveRow" hidden="1">#REF!</definedName>
    <definedName name="XRefColumnsCount" hidden="1">2</definedName>
    <definedName name="XRefCopy1" localSheetId="6" hidden="1">#REF!</definedName>
    <definedName name="XRefCopy1" hidden="1">#REF!</definedName>
    <definedName name="XRefCopy1Row" localSheetId="6" hidden="1">#REF!</definedName>
    <definedName name="XRefCopy1Row" hidden="1">#REF!</definedName>
    <definedName name="XRefCopy2Row" localSheetId="6" hidden="1">#REF!</definedName>
    <definedName name="XRefCopy2Row" hidden="1">#REF!</definedName>
    <definedName name="XRefCopyRangeCount" hidden="1">2</definedName>
    <definedName name="XRefPaste1" localSheetId="6" hidden="1">#REF!</definedName>
    <definedName name="XRefPaste1" hidden="1">#REF!</definedName>
    <definedName name="XRefPaste1Row" localSheetId="6" hidden="1">#REF!</definedName>
    <definedName name="XRefPaste1Row" hidden="1">#REF!</definedName>
    <definedName name="XRefPaste2" localSheetId="6"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底稿目录" localSheetId="6" hidden="1">#REF!</definedName>
    <definedName name="底稿目录" hidden="1">#REF!</definedName>
    <definedName name="喂喂喂" localSheetId="6" hidden="1">#REF!</definedName>
    <definedName name="喂喂喂" hidden="1">#REF!</definedName>
    <definedName name="新目录" localSheetId="6"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7" l="1"/>
  <c r="D4" i="7"/>
  <c r="A4" i="7"/>
  <c r="F3" i="7"/>
  <c r="D3" i="7"/>
  <c r="A3" i="7"/>
  <c r="F4" i="12"/>
  <c r="D4" i="12"/>
  <c r="A4" i="12"/>
  <c r="F3" i="12"/>
  <c r="D3" i="12"/>
  <c r="A3" i="12"/>
  <c r="O48" i="6"/>
  <c r="N48" i="6"/>
  <c r="M48" i="6"/>
  <c r="L48" i="6"/>
  <c r="K48" i="6"/>
  <c r="J48" i="6"/>
  <c r="I48" i="6"/>
  <c r="H48" i="6"/>
  <c r="G48" i="6"/>
  <c r="F48" i="6"/>
  <c r="E48" i="6"/>
  <c r="D48" i="6"/>
  <c r="C48" i="6"/>
  <c r="B48" i="6"/>
  <c r="O47" i="6"/>
  <c r="N47" i="6"/>
  <c r="M47" i="6"/>
  <c r="L47" i="6"/>
  <c r="K47" i="6"/>
  <c r="J47" i="6"/>
  <c r="I47" i="6"/>
  <c r="H47" i="6"/>
  <c r="G47" i="6"/>
  <c r="F47" i="6"/>
  <c r="E47" i="6"/>
  <c r="D47" i="6"/>
  <c r="C47" i="6"/>
  <c r="B47" i="6"/>
  <c r="A47" i="6"/>
  <c r="O46" i="6"/>
  <c r="N46" i="6"/>
  <c r="M46" i="6"/>
  <c r="L46" i="6"/>
  <c r="K46" i="6"/>
  <c r="J46" i="6"/>
  <c r="I46" i="6"/>
  <c r="H46" i="6"/>
  <c r="G46" i="6"/>
  <c r="F46" i="6"/>
  <c r="E46" i="6"/>
  <c r="D46" i="6"/>
  <c r="C46" i="6"/>
  <c r="B46" i="6"/>
  <c r="A46" i="6"/>
  <c r="O45" i="6"/>
  <c r="N45" i="6"/>
  <c r="M45" i="6"/>
  <c r="L45" i="6"/>
  <c r="K45" i="6"/>
  <c r="J45" i="6"/>
  <c r="I45" i="6"/>
  <c r="H45" i="6"/>
  <c r="G45" i="6"/>
  <c r="F45" i="6"/>
  <c r="E45" i="6"/>
  <c r="D45" i="6"/>
  <c r="C45" i="6"/>
  <c r="B45" i="6"/>
  <c r="A45" i="6"/>
  <c r="O44" i="6"/>
  <c r="N44" i="6"/>
  <c r="M44" i="6"/>
  <c r="L44" i="6"/>
  <c r="K44" i="6"/>
  <c r="J44" i="6"/>
  <c r="I44" i="6"/>
  <c r="H44" i="6"/>
  <c r="G44" i="6"/>
  <c r="F44" i="6"/>
  <c r="E44" i="6"/>
  <c r="D44" i="6"/>
  <c r="C44" i="6"/>
  <c r="B44" i="6"/>
  <c r="A44" i="6"/>
  <c r="O43" i="6"/>
  <c r="N43" i="6"/>
  <c r="M43" i="6"/>
  <c r="L43" i="6"/>
  <c r="K43" i="6"/>
  <c r="J43" i="6"/>
  <c r="I43" i="6"/>
  <c r="H43" i="6"/>
  <c r="G43" i="6"/>
  <c r="F43" i="6"/>
  <c r="E43" i="6"/>
  <c r="D43" i="6"/>
  <c r="C43" i="6"/>
  <c r="B43" i="6"/>
  <c r="A43" i="6"/>
  <c r="O42" i="6"/>
  <c r="N42" i="6"/>
  <c r="M42" i="6"/>
  <c r="L42" i="6"/>
  <c r="K42" i="6"/>
  <c r="J42" i="6"/>
  <c r="I42" i="6"/>
  <c r="H42" i="6"/>
  <c r="G42" i="6"/>
  <c r="F42" i="6"/>
  <c r="E42" i="6"/>
  <c r="D42" i="6"/>
  <c r="C42" i="6"/>
  <c r="B42" i="6"/>
  <c r="A42" i="6"/>
  <c r="O41" i="6"/>
  <c r="N41" i="6"/>
  <c r="M41" i="6"/>
  <c r="L41" i="6"/>
  <c r="K41" i="6"/>
  <c r="J41" i="6"/>
  <c r="I41" i="6"/>
  <c r="H41" i="6"/>
  <c r="G41" i="6"/>
  <c r="F41" i="6"/>
  <c r="E41" i="6"/>
  <c r="D41" i="6"/>
  <c r="C41" i="6"/>
  <c r="B41" i="6"/>
  <c r="A41" i="6"/>
  <c r="O40" i="6"/>
  <c r="N40" i="6"/>
  <c r="M40" i="6"/>
  <c r="L40" i="6"/>
  <c r="K40" i="6"/>
  <c r="J40" i="6"/>
  <c r="I40" i="6"/>
  <c r="H40" i="6"/>
  <c r="G40" i="6"/>
  <c r="F40" i="6"/>
  <c r="E40" i="6"/>
  <c r="D40" i="6"/>
  <c r="C40" i="6"/>
  <c r="B40" i="6"/>
  <c r="A40" i="6"/>
  <c r="O39" i="6"/>
  <c r="N39" i="6"/>
  <c r="M39" i="6"/>
  <c r="L39" i="6"/>
  <c r="K39" i="6"/>
  <c r="J39" i="6"/>
  <c r="I39" i="6"/>
  <c r="H39" i="6"/>
  <c r="G39" i="6"/>
  <c r="F39" i="6"/>
  <c r="E39" i="6"/>
  <c r="D39" i="6"/>
  <c r="C39" i="6"/>
  <c r="B39" i="6"/>
  <c r="A39" i="6"/>
  <c r="O38" i="6"/>
  <c r="N38" i="6"/>
  <c r="M38" i="6"/>
  <c r="L38" i="6"/>
  <c r="K38" i="6"/>
  <c r="J38" i="6"/>
  <c r="I38" i="6"/>
  <c r="H38" i="6"/>
  <c r="G38" i="6"/>
  <c r="F38" i="6"/>
  <c r="E38" i="6"/>
  <c r="D38" i="6"/>
  <c r="C38" i="6"/>
  <c r="B38" i="6"/>
  <c r="A38" i="6"/>
  <c r="O37" i="6"/>
  <c r="N37" i="6"/>
  <c r="M37" i="6"/>
  <c r="L37" i="6"/>
  <c r="K37" i="6"/>
  <c r="J37" i="6"/>
  <c r="I37" i="6"/>
  <c r="H37" i="6"/>
  <c r="G37" i="6"/>
  <c r="F37" i="6"/>
  <c r="E37" i="6"/>
  <c r="D37" i="6"/>
  <c r="C37" i="6"/>
  <c r="B37" i="6"/>
  <c r="A37" i="6"/>
  <c r="O35" i="6"/>
  <c r="N35" i="6"/>
  <c r="M35" i="6"/>
  <c r="L35" i="6"/>
  <c r="K35" i="6"/>
  <c r="J35" i="6"/>
  <c r="I35" i="6"/>
  <c r="H35" i="6"/>
  <c r="G35" i="6"/>
  <c r="F35" i="6"/>
  <c r="E35" i="6"/>
  <c r="D35" i="6"/>
  <c r="C35" i="6"/>
  <c r="B35" i="6"/>
  <c r="O34" i="6"/>
  <c r="N34" i="6"/>
  <c r="M34" i="6"/>
  <c r="L34" i="6"/>
  <c r="E34" i="6"/>
  <c r="A34" i="6"/>
  <c r="O33" i="6"/>
  <c r="N33" i="6"/>
  <c r="M33" i="6"/>
  <c r="L33" i="6"/>
  <c r="E33" i="6"/>
  <c r="A33" i="6"/>
  <c r="O32" i="6"/>
  <c r="N32" i="6"/>
  <c r="M32" i="6"/>
  <c r="L32" i="6"/>
  <c r="E32" i="6"/>
  <c r="A32" i="6"/>
  <c r="O31" i="6"/>
  <c r="N31" i="6"/>
  <c r="M31" i="6"/>
  <c r="L31" i="6"/>
  <c r="E31" i="6"/>
  <c r="A31" i="6"/>
  <c r="O30" i="6"/>
  <c r="N30" i="6"/>
  <c r="M30" i="6"/>
  <c r="L30" i="6"/>
  <c r="E30" i="6"/>
  <c r="A30" i="6"/>
  <c r="O29" i="6"/>
  <c r="N29" i="6"/>
  <c r="M29" i="6"/>
  <c r="L29" i="6"/>
  <c r="E29" i="6"/>
  <c r="A29" i="6"/>
  <c r="O28" i="6"/>
  <c r="N28" i="6"/>
  <c r="M28" i="6"/>
  <c r="L28" i="6"/>
  <c r="E28" i="6"/>
  <c r="A28" i="6"/>
  <c r="O27" i="6"/>
  <c r="N27" i="6"/>
  <c r="M27" i="6"/>
  <c r="L27" i="6"/>
  <c r="E27" i="6"/>
  <c r="A27" i="6"/>
  <c r="O26" i="6"/>
  <c r="N26" i="6"/>
  <c r="M26" i="6"/>
  <c r="L26" i="6"/>
  <c r="E26" i="6"/>
  <c r="A26" i="6"/>
  <c r="O25" i="6"/>
  <c r="N25" i="6"/>
  <c r="M25" i="6"/>
  <c r="L25" i="6"/>
  <c r="E25" i="6"/>
  <c r="A25" i="6"/>
  <c r="O24" i="6"/>
  <c r="N24" i="6"/>
  <c r="M24" i="6"/>
  <c r="L24" i="6"/>
  <c r="E24" i="6"/>
  <c r="A24" i="6"/>
  <c r="O22" i="6"/>
  <c r="N22" i="6"/>
  <c r="M22" i="6"/>
  <c r="L22" i="6"/>
  <c r="K22" i="6"/>
  <c r="J22" i="6"/>
  <c r="I22" i="6"/>
  <c r="H22" i="6"/>
  <c r="G22" i="6"/>
  <c r="F22" i="6"/>
  <c r="E22" i="6"/>
  <c r="D22" i="6"/>
  <c r="C22" i="6"/>
  <c r="B22" i="6"/>
  <c r="O21" i="6"/>
  <c r="N21" i="6"/>
  <c r="M21" i="6"/>
  <c r="L21" i="6"/>
  <c r="E21" i="6"/>
  <c r="O20" i="6"/>
  <c r="N20" i="6"/>
  <c r="M20" i="6"/>
  <c r="L20" i="6"/>
  <c r="E20" i="6"/>
  <c r="O19" i="6"/>
  <c r="N19" i="6"/>
  <c r="M19" i="6"/>
  <c r="L19" i="6"/>
  <c r="E19" i="6"/>
  <c r="O18" i="6"/>
  <c r="N18" i="6"/>
  <c r="M18" i="6"/>
  <c r="L18" i="6"/>
  <c r="E18" i="6"/>
  <c r="O17" i="6"/>
  <c r="N17" i="6"/>
  <c r="M17" i="6"/>
  <c r="L17" i="6"/>
  <c r="E17" i="6"/>
  <c r="O16" i="6"/>
  <c r="N16" i="6"/>
  <c r="M16" i="6"/>
  <c r="L16" i="6"/>
  <c r="E16" i="6"/>
  <c r="O15" i="6"/>
  <c r="N15" i="6"/>
  <c r="M15" i="6"/>
  <c r="L15" i="6"/>
  <c r="E15" i="6"/>
  <c r="O14" i="6"/>
  <c r="N14" i="6"/>
  <c r="M14" i="6"/>
  <c r="L14" i="6"/>
  <c r="E14" i="6"/>
  <c r="O13" i="6"/>
  <c r="N13" i="6"/>
  <c r="M13" i="6"/>
  <c r="L13" i="6"/>
  <c r="E13" i="6"/>
  <c r="O12" i="6"/>
  <c r="N12" i="6"/>
  <c r="M12" i="6"/>
  <c r="L12" i="6"/>
  <c r="E12" i="6"/>
  <c r="O11" i="6"/>
  <c r="N11" i="6"/>
  <c r="M11" i="6"/>
  <c r="L11" i="6"/>
  <c r="E11" i="6"/>
  <c r="K4" i="6"/>
  <c r="E4" i="6"/>
  <c r="A4" i="6"/>
  <c r="K3" i="6"/>
  <c r="E3" i="6"/>
  <c r="A3" i="6"/>
  <c r="C18" i="9"/>
  <c r="B18" i="9"/>
  <c r="C17" i="9"/>
  <c r="B17" i="9"/>
  <c r="A17" i="9"/>
  <c r="C16" i="9"/>
  <c r="B16" i="9"/>
  <c r="A16" i="9"/>
  <c r="C15" i="9"/>
  <c r="B15" i="9"/>
  <c r="A15" i="9"/>
  <c r="C14" i="9"/>
  <c r="B14" i="9"/>
  <c r="A14" i="9"/>
  <c r="C13" i="9"/>
  <c r="B13" i="9"/>
  <c r="A13" i="9"/>
  <c r="C12" i="9"/>
  <c r="B12" i="9"/>
  <c r="A12" i="9"/>
  <c r="C11" i="9"/>
  <c r="B11" i="9"/>
  <c r="A11" i="9"/>
  <c r="C10" i="9"/>
  <c r="B10" i="9"/>
  <c r="A10" i="9"/>
  <c r="C9" i="9"/>
  <c r="B9" i="9"/>
  <c r="A9" i="9"/>
  <c r="C8" i="9"/>
  <c r="B8" i="9"/>
  <c r="A8" i="9"/>
  <c r="C7" i="9"/>
  <c r="B7" i="9"/>
  <c r="A7" i="9"/>
  <c r="C4" i="9"/>
  <c r="A4" i="9"/>
  <c r="C3" i="9"/>
  <c r="B3" i="9"/>
  <c r="A3" i="9"/>
  <c r="G19" i="8"/>
  <c r="F19" i="8"/>
  <c r="E19" i="8"/>
  <c r="D19" i="8"/>
  <c r="C19" i="8"/>
  <c r="B19" i="8"/>
  <c r="G18" i="8"/>
  <c r="F18" i="8"/>
  <c r="E18" i="8"/>
  <c r="D18" i="8"/>
  <c r="C18" i="8"/>
  <c r="B18" i="8"/>
  <c r="A18" i="8"/>
  <c r="G17" i="8"/>
  <c r="F17" i="8"/>
  <c r="E17" i="8"/>
  <c r="D17" i="8"/>
  <c r="C17" i="8"/>
  <c r="B17" i="8"/>
  <c r="A17" i="8"/>
  <c r="G16" i="8"/>
  <c r="F16" i="8"/>
  <c r="E16" i="8"/>
  <c r="D16" i="8"/>
  <c r="C16" i="8"/>
  <c r="B16" i="8"/>
  <c r="A16" i="8"/>
  <c r="G15" i="8"/>
  <c r="F15" i="8"/>
  <c r="E15" i="8"/>
  <c r="D15" i="8"/>
  <c r="C15" i="8"/>
  <c r="B15" i="8"/>
  <c r="A15" i="8"/>
  <c r="G14" i="8"/>
  <c r="F14" i="8"/>
  <c r="E14" i="8"/>
  <c r="D14" i="8"/>
  <c r="C14" i="8"/>
  <c r="B14" i="8"/>
  <c r="A14" i="8"/>
  <c r="G13" i="8"/>
  <c r="F13" i="8"/>
  <c r="E13" i="8"/>
  <c r="D13" i="8"/>
  <c r="C13" i="8"/>
  <c r="B13" i="8"/>
  <c r="A13" i="8"/>
  <c r="G12" i="8"/>
  <c r="F12" i="8"/>
  <c r="E12" i="8"/>
  <c r="D12" i="8"/>
  <c r="C12" i="8"/>
  <c r="B12" i="8"/>
  <c r="A12" i="8"/>
  <c r="G11" i="8"/>
  <c r="F11" i="8"/>
  <c r="E11" i="8"/>
  <c r="D11" i="8"/>
  <c r="C11" i="8"/>
  <c r="B11" i="8"/>
  <c r="A11" i="8"/>
  <c r="G10" i="8"/>
  <c r="F10" i="8"/>
  <c r="E10" i="8"/>
  <c r="D10" i="8"/>
  <c r="C10" i="8"/>
  <c r="B10" i="8"/>
  <c r="A10" i="8"/>
  <c r="G9" i="8"/>
  <c r="F9" i="8"/>
  <c r="E9" i="8"/>
  <c r="D9" i="8"/>
  <c r="C9" i="8"/>
  <c r="B9" i="8"/>
  <c r="A9" i="8"/>
  <c r="G8" i="8"/>
  <c r="F8" i="8"/>
  <c r="E8" i="8"/>
  <c r="D8" i="8"/>
  <c r="C8" i="8"/>
  <c r="B8" i="8"/>
  <c r="A8" i="8"/>
  <c r="D4" i="8"/>
  <c r="B4" i="8"/>
  <c r="A4" i="8"/>
  <c r="D3" i="8"/>
  <c r="B3" i="8"/>
  <c r="A3" i="8"/>
  <c r="C49" i="5"/>
  <c r="K47" i="5"/>
  <c r="J47" i="5"/>
  <c r="I47" i="5"/>
  <c r="H47" i="5"/>
  <c r="G47" i="5"/>
  <c r="F47" i="5"/>
  <c r="E47" i="5"/>
  <c r="D47" i="5"/>
  <c r="C47" i="5"/>
  <c r="B47" i="5"/>
  <c r="K45" i="5"/>
  <c r="J45" i="5"/>
  <c r="I45" i="5"/>
  <c r="H45" i="5"/>
  <c r="G45" i="5"/>
  <c r="F45" i="5"/>
  <c r="E45" i="5"/>
  <c r="D45" i="5"/>
  <c r="C45" i="5"/>
  <c r="B45" i="5"/>
  <c r="K44" i="5"/>
  <c r="J44" i="5"/>
  <c r="I44" i="5"/>
  <c r="H44" i="5"/>
  <c r="G44" i="5"/>
  <c r="F44" i="5"/>
  <c r="E44" i="5"/>
  <c r="D44" i="5"/>
  <c r="C44" i="5"/>
  <c r="B44" i="5"/>
  <c r="A44" i="5"/>
  <c r="K43" i="5"/>
  <c r="J43" i="5"/>
  <c r="I43" i="5"/>
  <c r="H43" i="5"/>
  <c r="G43" i="5"/>
  <c r="F43" i="5"/>
  <c r="E43" i="5"/>
  <c r="D43" i="5"/>
  <c r="C43" i="5"/>
  <c r="B43" i="5"/>
  <c r="A43" i="5"/>
  <c r="K42" i="5"/>
  <c r="J42" i="5"/>
  <c r="I42" i="5"/>
  <c r="H42" i="5"/>
  <c r="G42" i="5"/>
  <c r="F42" i="5"/>
  <c r="E42" i="5"/>
  <c r="D42" i="5"/>
  <c r="C42" i="5"/>
  <c r="B42" i="5"/>
  <c r="A42" i="5"/>
  <c r="K41" i="5"/>
  <c r="J41" i="5"/>
  <c r="I41" i="5"/>
  <c r="H41" i="5"/>
  <c r="G41" i="5"/>
  <c r="F41" i="5"/>
  <c r="E41" i="5"/>
  <c r="D41" i="5"/>
  <c r="C41" i="5"/>
  <c r="B41" i="5"/>
  <c r="A41" i="5"/>
  <c r="K40" i="5"/>
  <c r="J40" i="5"/>
  <c r="I40" i="5"/>
  <c r="H40" i="5"/>
  <c r="G40" i="5"/>
  <c r="F40" i="5"/>
  <c r="E40" i="5"/>
  <c r="D40" i="5"/>
  <c r="C40" i="5"/>
  <c r="B40" i="5"/>
  <c r="A40" i="5"/>
  <c r="K39" i="5"/>
  <c r="J39" i="5"/>
  <c r="I39" i="5"/>
  <c r="H39" i="5"/>
  <c r="G39" i="5"/>
  <c r="F39" i="5"/>
  <c r="E39" i="5"/>
  <c r="D39" i="5"/>
  <c r="C39" i="5"/>
  <c r="B39" i="5"/>
  <c r="A39" i="5"/>
  <c r="K38" i="5"/>
  <c r="J38" i="5"/>
  <c r="I38" i="5"/>
  <c r="H38" i="5"/>
  <c r="G38" i="5"/>
  <c r="F38" i="5"/>
  <c r="E38" i="5"/>
  <c r="D38" i="5"/>
  <c r="C38" i="5"/>
  <c r="B38" i="5"/>
  <c r="A38" i="5"/>
  <c r="K37" i="5"/>
  <c r="J37" i="5"/>
  <c r="I37" i="5"/>
  <c r="H37" i="5"/>
  <c r="G37" i="5"/>
  <c r="F37" i="5"/>
  <c r="E37" i="5"/>
  <c r="D37" i="5"/>
  <c r="C37" i="5"/>
  <c r="B37" i="5"/>
  <c r="A37" i="5"/>
  <c r="K36" i="5"/>
  <c r="J36" i="5"/>
  <c r="I36" i="5"/>
  <c r="H36" i="5"/>
  <c r="G36" i="5"/>
  <c r="F36" i="5"/>
  <c r="E36" i="5"/>
  <c r="D36" i="5"/>
  <c r="C36" i="5"/>
  <c r="B36" i="5"/>
  <c r="A36" i="5"/>
  <c r="K35" i="5"/>
  <c r="J35" i="5"/>
  <c r="I35" i="5"/>
  <c r="H35" i="5"/>
  <c r="G35" i="5"/>
  <c r="F35" i="5"/>
  <c r="E35" i="5"/>
  <c r="D35" i="5"/>
  <c r="C35" i="5"/>
  <c r="B35" i="5"/>
  <c r="A35" i="5"/>
  <c r="K34" i="5"/>
  <c r="J34" i="5"/>
  <c r="I34" i="5"/>
  <c r="H34" i="5"/>
  <c r="G34" i="5"/>
  <c r="F34" i="5"/>
  <c r="E34" i="5"/>
  <c r="D34" i="5"/>
  <c r="C34" i="5"/>
  <c r="B34" i="5"/>
  <c r="A34" i="5"/>
  <c r="K32" i="5"/>
  <c r="J32" i="5"/>
  <c r="I32" i="5"/>
  <c r="H32" i="5"/>
  <c r="G32" i="5"/>
  <c r="F32" i="5"/>
  <c r="E32" i="5"/>
  <c r="D32" i="5"/>
  <c r="C32" i="5"/>
  <c r="B32" i="5"/>
  <c r="K31" i="5"/>
  <c r="J31" i="5"/>
  <c r="I31" i="5"/>
  <c r="H31" i="5"/>
  <c r="G31" i="5"/>
  <c r="F31" i="5"/>
  <c r="E31" i="5"/>
  <c r="D31" i="5"/>
  <c r="C31" i="5"/>
  <c r="B31" i="5"/>
  <c r="A31" i="5"/>
  <c r="K30" i="5"/>
  <c r="J30" i="5"/>
  <c r="I30" i="5"/>
  <c r="H30" i="5"/>
  <c r="G30" i="5"/>
  <c r="F30" i="5"/>
  <c r="E30" i="5"/>
  <c r="D30" i="5"/>
  <c r="C30" i="5"/>
  <c r="B30" i="5"/>
  <c r="A30" i="5"/>
  <c r="K29" i="5"/>
  <c r="J29" i="5"/>
  <c r="I29" i="5"/>
  <c r="H29" i="5"/>
  <c r="G29" i="5"/>
  <c r="F29" i="5"/>
  <c r="E29" i="5"/>
  <c r="D29" i="5"/>
  <c r="C29" i="5"/>
  <c r="B29" i="5"/>
  <c r="A29" i="5"/>
  <c r="K28" i="5"/>
  <c r="J28" i="5"/>
  <c r="I28" i="5"/>
  <c r="H28" i="5"/>
  <c r="G28" i="5"/>
  <c r="F28" i="5"/>
  <c r="E28" i="5"/>
  <c r="D28" i="5"/>
  <c r="C28" i="5"/>
  <c r="B28" i="5"/>
  <c r="A28" i="5"/>
  <c r="K27" i="5"/>
  <c r="J27" i="5"/>
  <c r="I27" i="5"/>
  <c r="H27" i="5"/>
  <c r="G27" i="5"/>
  <c r="F27" i="5"/>
  <c r="E27" i="5"/>
  <c r="D27" i="5"/>
  <c r="C27" i="5"/>
  <c r="B27" i="5"/>
  <c r="A27" i="5"/>
  <c r="K26" i="5"/>
  <c r="J26" i="5"/>
  <c r="I26" i="5"/>
  <c r="H26" i="5"/>
  <c r="G26" i="5"/>
  <c r="F26" i="5"/>
  <c r="E26" i="5"/>
  <c r="D26" i="5"/>
  <c r="C26" i="5"/>
  <c r="B26" i="5"/>
  <c r="A26" i="5"/>
  <c r="K25" i="5"/>
  <c r="J25" i="5"/>
  <c r="I25" i="5"/>
  <c r="H25" i="5"/>
  <c r="G25" i="5"/>
  <c r="F25" i="5"/>
  <c r="E25" i="5"/>
  <c r="D25" i="5"/>
  <c r="C25" i="5"/>
  <c r="B25" i="5"/>
  <c r="A25" i="5"/>
  <c r="K24" i="5"/>
  <c r="J24" i="5"/>
  <c r="I24" i="5"/>
  <c r="H24" i="5"/>
  <c r="G24" i="5"/>
  <c r="F24" i="5"/>
  <c r="E24" i="5"/>
  <c r="D24" i="5"/>
  <c r="C24" i="5"/>
  <c r="B24" i="5"/>
  <c r="A24" i="5"/>
  <c r="K23" i="5"/>
  <c r="J23" i="5"/>
  <c r="I23" i="5"/>
  <c r="H23" i="5"/>
  <c r="G23" i="5"/>
  <c r="F23" i="5"/>
  <c r="E23" i="5"/>
  <c r="D23" i="5"/>
  <c r="C23" i="5"/>
  <c r="B23" i="5"/>
  <c r="A23" i="5"/>
  <c r="K22" i="5"/>
  <c r="J22" i="5"/>
  <c r="I22" i="5"/>
  <c r="H22" i="5"/>
  <c r="G22" i="5"/>
  <c r="F22" i="5"/>
  <c r="E22" i="5"/>
  <c r="D22" i="5"/>
  <c r="C22" i="5"/>
  <c r="B22" i="5"/>
  <c r="A22" i="5"/>
  <c r="K21" i="5"/>
  <c r="J21" i="5"/>
  <c r="I21" i="5"/>
  <c r="H21" i="5"/>
  <c r="G21" i="5"/>
  <c r="F21" i="5"/>
  <c r="E21" i="5"/>
  <c r="D21" i="5"/>
  <c r="C21" i="5"/>
  <c r="B21" i="5"/>
  <c r="A21" i="5"/>
  <c r="K19" i="5"/>
  <c r="J19" i="5"/>
  <c r="I19" i="5"/>
  <c r="H19" i="5"/>
  <c r="G19" i="5"/>
  <c r="F19" i="5"/>
  <c r="E19" i="5"/>
  <c r="D19" i="5"/>
  <c r="C19" i="5"/>
  <c r="B19" i="5"/>
  <c r="K18" i="5"/>
  <c r="J18" i="5"/>
  <c r="I18" i="5"/>
  <c r="H18" i="5"/>
  <c r="G18" i="5"/>
  <c r="F18" i="5"/>
  <c r="E18" i="5"/>
  <c r="D18" i="5"/>
  <c r="C18" i="5"/>
  <c r="B18" i="5"/>
  <c r="A18" i="5"/>
  <c r="K17" i="5"/>
  <c r="J17" i="5"/>
  <c r="I17" i="5"/>
  <c r="H17" i="5"/>
  <c r="G17" i="5"/>
  <c r="F17" i="5"/>
  <c r="E17" i="5"/>
  <c r="D17" i="5"/>
  <c r="C17" i="5"/>
  <c r="B17" i="5"/>
  <c r="A17" i="5"/>
  <c r="K16" i="5"/>
  <c r="J16" i="5"/>
  <c r="I16" i="5"/>
  <c r="H16" i="5"/>
  <c r="G16" i="5"/>
  <c r="F16" i="5"/>
  <c r="E16" i="5"/>
  <c r="D16" i="5"/>
  <c r="C16" i="5"/>
  <c r="B16" i="5"/>
  <c r="A16" i="5"/>
  <c r="K15" i="5"/>
  <c r="J15" i="5"/>
  <c r="I15" i="5"/>
  <c r="H15" i="5"/>
  <c r="G15" i="5"/>
  <c r="F15" i="5"/>
  <c r="E15" i="5"/>
  <c r="D15" i="5"/>
  <c r="C15" i="5"/>
  <c r="B15" i="5"/>
  <c r="A15" i="5"/>
  <c r="K14" i="5"/>
  <c r="J14" i="5"/>
  <c r="I14" i="5"/>
  <c r="H14" i="5"/>
  <c r="G14" i="5"/>
  <c r="F14" i="5"/>
  <c r="E14" i="5"/>
  <c r="D14" i="5"/>
  <c r="C14" i="5"/>
  <c r="B14" i="5"/>
  <c r="A14" i="5"/>
  <c r="K13" i="5"/>
  <c r="J13" i="5"/>
  <c r="I13" i="5"/>
  <c r="H13" i="5"/>
  <c r="G13" i="5"/>
  <c r="F13" i="5"/>
  <c r="E13" i="5"/>
  <c r="D13" i="5"/>
  <c r="C13" i="5"/>
  <c r="B13" i="5"/>
  <c r="A13" i="5"/>
  <c r="K12" i="5"/>
  <c r="J12" i="5"/>
  <c r="I12" i="5"/>
  <c r="H12" i="5"/>
  <c r="G12" i="5"/>
  <c r="F12" i="5"/>
  <c r="E12" i="5"/>
  <c r="D12" i="5"/>
  <c r="C12" i="5"/>
  <c r="B12" i="5"/>
  <c r="A12" i="5"/>
  <c r="K11" i="5"/>
  <c r="J11" i="5"/>
  <c r="I11" i="5"/>
  <c r="H11" i="5"/>
  <c r="G11" i="5"/>
  <c r="F11" i="5"/>
  <c r="E11" i="5"/>
  <c r="D11" i="5"/>
  <c r="C11" i="5"/>
  <c r="B11" i="5"/>
  <c r="A11" i="5"/>
  <c r="K10" i="5"/>
  <c r="J10" i="5"/>
  <c r="I10" i="5"/>
  <c r="H10" i="5"/>
  <c r="G10" i="5"/>
  <c r="F10" i="5"/>
  <c r="E10" i="5"/>
  <c r="D10" i="5"/>
  <c r="C10" i="5"/>
  <c r="B10" i="5"/>
  <c r="A10" i="5"/>
  <c r="K9" i="5"/>
  <c r="J9" i="5"/>
  <c r="I9" i="5"/>
  <c r="H9" i="5"/>
  <c r="G9" i="5"/>
  <c r="F9" i="5"/>
  <c r="E9" i="5"/>
  <c r="D9" i="5"/>
  <c r="C9" i="5"/>
  <c r="B9" i="5"/>
  <c r="A9" i="5"/>
  <c r="K8" i="5"/>
  <c r="J8" i="5"/>
  <c r="I8" i="5"/>
  <c r="H8" i="5"/>
  <c r="G8" i="5"/>
  <c r="F8" i="5"/>
  <c r="E8" i="5"/>
  <c r="D8" i="5"/>
  <c r="C8" i="5"/>
  <c r="B8" i="5"/>
  <c r="A8" i="5"/>
  <c r="H4" i="5"/>
  <c r="D4" i="5"/>
  <c r="A4" i="5"/>
  <c r="H3" i="5"/>
  <c r="D3" i="5"/>
  <c r="A3" i="5"/>
  <c r="F4" i="14"/>
  <c r="C4" i="14"/>
  <c r="A4" i="14"/>
  <c r="F3" i="14"/>
  <c r="C3" i="14"/>
  <c r="A3" i="14"/>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<sst xmlns="http://schemas.openxmlformats.org/spreadsheetml/2006/main" count="343" uniqueCount="258">
  <si>
    <r>
      <rPr>
        <b/>
        <sz val="12"/>
        <rFont val="宋体"/>
        <family val="3"/>
        <charset val="134"/>
      </rPr>
      <t>底稿开列时，可先在以下单元格填写有关内容，以便其他底稿引用有关数据：</t>
    </r>
  </si>
  <si>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</si>
  <si>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</si>
  <si>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</si>
  <si>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</si>
  <si>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</si>
  <si>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其他非流动资产实质性程序</t>
  </si>
  <si>
    <t>I5A</t>
  </si>
  <si>
    <t>其他非流动资产审定表</t>
  </si>
  <si>
    <t>I5-1</t>
  </si>
  <si>
    <t>其他非流动资产附注披露表（上市公司）</t>
  </si>
  <si>
    <t>其他非流动资产附注披露表（国有企业）</t>
  </si>
  <si>
    <t>其他非流动资产明细表</t>
  </si>
  <si>
    <t>I5-2</t>
  </si>
  <si>
    <t>调整分录汇总</t>
  </si>
  <si>
    <t>I5-3</t>
  </si>
  <si>
    <t>备选</t>
  </si>
  <si>
    <t>其他非流动资产检查表</t>
  </si>
  <si>
    <t>I5-4</t>
  </si>
  <si>
    <t>致同会计师事务所</t>
  </si>
  <si>
    <t>其他非流动资产程序表</t>
  </si>
  <si>
    <r>
      <rPr>
        <sz val="10"/>
        <color indexed="8"/>
        <rFont val="宋体"/>
        <family val="3"/>
        <charset val="134"/>
      </rPr>
      <t>索引号：</t>
    </r>
  </si>
  <si>
    <t>页次：</t>
  </si>
  <si>
    <t>一、本账户涉及的科目</t>
  </si>
  <si>
    <t>其他非流动资产</t>
  </si>
  <si>
    <t>二、审计目标与认定的对应关系</t>
  </si>
  <si>
    <t>审计目标</t>
  </si>
  <si>
    <t>财务报表的认定　</t>
  </si>
  <si>
    <t>存在</t>
  </si>
  <si>
    <t>完整性</t>
  </si>
  <si>
    <t>权利和义务</t>
  </si>
  <si>
    <t>准确性、计价和分摊</t>
  </si>
  <si>
    <t>列报</t>
  </si>
  <si>
    <t>序号</t>
  </si>
  <si>
    <t>程序分类</t>
  </si>
  <si>
    <t>财务报表的认定</t>
  </si>
  <si>
    <t>底稿索引号</t>
  </si>
  <si>
    <t>权利和
义务</t>
  </si>
  <si>
    <t>1</t>
  </si>
  <si>
    <t>获取或编制其他非流动资产的明细表，复核加计是否正确，与总账、明细账合计数核对是否相符，期初余额与上期审定期末余额是否相符，并编制审定表。</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</si>
  <si>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</si>
  <si>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</si>
  <si>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</si>
  <si>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</si>
  <si>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sz val="10"/>
        <color indexed="12"/>
        <rFont val="宋体"/>
        <family val="3"/>
        <charset val="134"/>
      </rPr>
      <t>可参见《审计手册》</t>
    </r>
    <r>
      <rPr>
        <sz val="10"/>
        <color indexed="12"/>
        <rFont val="Arial Narrow"/>
        <family val="2"/>
      </rPr>
      <t>4.2.6</t>
    </r>
    <r>
      <rPr>
        <sz val="10"/>
        <color indexed="12"/>
        <rFont val="宋体"/>
        <family val="3"/>
        <charset val="134"/>
      </rPr>
      <t xml:space="preserve">，由被审计单位生成的信息可能是由系统生成的、或手工编制的、或二者兼而有之的方式生成的。例如，由被审计单位生成的信息可能包括：
</t>
    </r>
    <r>
      <rPr>
        <sz val="10"/>
        <color indexed="12"/>
        <rFont val="Arial Narrow"/>
        <family val="2"/>
      </rPr>
      <t xml:space="preserve">• </t>
    </r>
    <r>
      <rPr>
        <sz val="10"/>
        <color indexed="12"/>
        <rFont val="宋体"/>
        <family val="3"/>
        <charset val="134"/>
      </rPr>
      <t xml:space="preserve">不涉及自定义的、由系统生成的报告（如，固定格式报告）；
</t>
    </r>
    <r>
      <rPr>
        <sz val="10"/>
        <color indexed="12"/>
        <rFont val="Arial Narrow"/>
        <family val="2"/>
      </rPr>
      <t xml:space="preserve">• </t>
    </r>
    <r>
      <rPr>
        <sz val="10"/>
        <color indexed="12"/>
        <rFont val="宋体"/>
        <family val="3"/>
        <charset val="134"/>
      </rPr>
      <t xml:space="preserve">可能通过人工自定义的、由系统生成的报告，例如，（计算机）查询信息或特别定制的报告；
</t>
    </r>
    <r>
      <rPr>
        <sz val="10"/>
        <color indexed="12"/>
        <rFont val="Arial Narrow"/>
        <family val="2"/>
      </rPr>
      <t xml:space="preserve">• </t>
    </r>
    <r>
      <rPr>
        <sz val="10"/>
        <color indexed="12"/>
        <rFont val="宋体"/>
        <family val="3"/>
        <charset val="134"/>
      </rPr>
      <t xml:space="preserve">手工编制的信息，例如，汇总信息的电子表格或用以支持分配、计算以及调节的电子表格；
</t>
    </r>
    <r>
      <rPr>
        <sz val="10"/>
        <color indexed="12"/>
        <rFont val="Arial Narrow"/>
        <family val="2"/>
      </rPr>
      <t xml:space="preserve">• </t>
    </r>
    <r>
      <rPr>
        <sz val="10"/>
        <color indexed="12"/>
        <rFont val="宋体"/>
        <family val="3"/>
        <charset val="134"/>
      </rPr>
      <t xml:space="preserve">其他系统生成或手工编制的信息，例如，由被审计单位编制的客户发票；
</t>
    </r>
    <r>
      <rPr>
        <sz val="10"/>
        <color indexed="12"/>
        <rFont val="Arial Narrow"/>
        <family val="2"/>
      </rPr>
      <t xml:space="preserve">• </t>
    </r>
    <r>
      <rPr>
        <sz val="10"/>
        <color indexed="12"/>
        <rFont val="宋体"/>
        <family val="3"/>
        <charset val="134"/>
      </rPr>
      <t>通过影印、拍摄、扫描或其他方式转换成电子形式的文件记录。</t>
    </r>
  </si>
  <si>
    <t>3</t>
  </si>
  <si>
    <r>
      <rPr>
        <sz val="10"/>
        <rFont val="宋体"/>
        <family val="3"/>
        <charset val="134"/>
      </rPr>
      <t>对期初余额的审计，取得其他非流动资产期初余额明细表复核加计是否正确，与总账、明细账合计数是否相符，检查上期其他非流动资产在本期减少情况以及其他必要追加的审计程序。</t>
    </r>
    <r>
      <rPr>
        <sz val="10"/>
        <color rgb="FFFF0000"/>
        <rFont val="宋体"/>
        <family val="3"/>
        <charset val="134"/>
      </rPr>
      <t>（适用于首次承接）</t>
    </r>
  </si>
  <si>
    <t>4</t>
  </si>
  <si>
    <t>关注会计政策、会计估计合理性、一贯性，关注其是否利用会计政策和会计估计及其变更操纵利润。</t>
  </si>
  <si>
    <t>5</t>
  </si>
  <si>
    <t>对于本期新增的其他非流动资产，根据具体情况，需要检查的支持性文件包括但不限于：
（1）获取有关合同、协议等资料，检查其他非流动资产的构成内容、性质、计价依据，其所有权是否归被审计单位拥有和控制；
（2）抽查重要的原始凭证，检查其他非流动资产的合法性和真实性，查阅有关合同、协议和原始凭证，是否经授权批准，会计处理是否正确。</t>
  </si>
  <si>
    <t>对于本期减少的其他非流动资产，根据具体情况，需要检查的支持性文件包括但不限于：
（1）检查与资产处置相关的合同、发票及其他文件。
（2）重新计算相关的利得或损失。 
（3）确定会计处理是否恰当。</t>
  </si>
  <si>
    <t>7</t>
  </si>
  <si>
    <t>针对存在减值迹象的其他非流动资产，考虑执行下列程序：
（1）获取其他非流动资产的减值明细表；
（2）记录对其他非流动资产可能造成减值的事件或环境变化；
（3）复核用于减值测试的资产分组的合理性；
（4）关注并复核公司确定的减值测试方法与模型是否恰当；关注并复核公司进行减值测试所依据的基础数据是否准确、所选取的关键参数是否恰当，评价所采用的关键假设、所作出的重大估计和判断、所选取的价值类型是否合理，分析减值测试方法与价值类型是否匹配；
（5）取得相关的资产现金流分析。确定相关资产的预测的未来现金流量是合理的；如果现金流量预测表明，资产的账面价值无法收回，获得企业对资产组的公允价值的分析；评价每个评估专家的资质和工作（是否第三方或客户员工），并对完成“专家资质”和“专家工作”的审计程序。确定是否需要在审计项目组中增加一个估值专家，以帮助对公允价值/可收回金额的计算进行评价。
（6）比预期所估计减值准备和已记录的金额，调查所有重大差异；
（7）确定潜在减值是否恰当。
（8）确定上期确认的长期资产减值准备在本期的变动是否适当。</t>
  </si>
  <si>
    <r>
      <rPr>
        <sz val="10"/>
        <rFont val="宋体"/>
        <family val="3"/>
        <charset val="134"/>
      </rPr>
      <t>索引号：</t>
    </r>
  </si>
  <si>
    <r>
      <rPr>
        <b/>
        <sz val="10"/>
        <color indexed="8"/>
        <rFont val="宋体"/>
        <family val="3"/>
        <charset val="134"/>
      </rPr>
      <t>项目</t>
    </r>
  </si>
  <si>
    <t>期初数</t>
  </si>
  <si>
    <t>期末数</t>
  </si>
  <si>
    <t>本期审定数与上期
审定数的比较</t>
  </si>
  <si>
    <t>未审数</t>
  </si>
  <si>
    <t>账项调整</t>
  </si>
  <si>
    <t>重分类调整</t>
  </si>
  <si>
    <t>审定数</t>
  </si>
  <si>
    <t>变动额</t>
  </si>
  <si>
    <t>变动率</t>
  </si>
  <si>
    <t>其他非流动资产原值：</t>
  </si>
  <si>
    <t>差异</t>
  </si>
  <si>
    <r>
      <rPr>
        <b/>
        <sz val="10"/>
        <color indexed="8"/>
        <rFont val="Arial Narrow"/>
        <family val="2"/>
      </rPr>
      <t>1</t>
    </r>
    <r>
      <rPr>
        <b/>
        <sz val="10"/>
        <color indexed="8"/>
        <rFont val="宋体"/>
        <family val="3"/>
        <charset val="134"/>
      </rPr>
      <t>、审计说明：</t>
    </r>
  </si>
  <si>
    <r>
      <rPr>
        <sz val="10"/>
        <color indexed="8"/>
        <rFont val="宋体"/>
        <family val="3"/>
        <charset val="134"/>
      </rPr>
      <t>（</t>
    </r>
    <r>
      <rPr>
        <sz val="10"/>
        <color indexed="8"/>
        <rFont val="Arial Narrow"/>
        <family val="2"/>
      </rPr>
      <t>1</t>
    </r>
    <r>
      <rPr>
        <sz val="10"/>
        <color indexed="8"/>
        <rFont val="宋体"/>
        <family val="3"/>
        <charset val="134"/>
      </rPr>
      <t>）其他非流动资产期末净值较期初净值增加（负数为减少）：</t>
    </r>
  </si>
  <si>
    <r>
      <rPr>
        <sz val="10"/>
        <color indexed="8"/>
        <rFont val="宋体"/>
        <family val="3"/>
        <charset val="134"/>
      </rPr>
      <t>主要原因（比例超过</t>
    </r>
    <r>
      <rPr>
        <sz val="10"/>
        <color indexed="8"/>
        <rFont val="Arial Narrow"/>
        <family val="2"/>
      </rPr>
      <t>30%</t>
    </r>
    <r>
      <rPr>
        <sz val="10"/>
        <color indexed="8"/>
        <rFont val="宋体"/>
        <family val="3"/>
        <charset val="134"/>
      </rPr>
      <t>的）：</t>
    </r>
  </si>
  <si>
    <r>
      <rPr>
        <sz val="10"/>
        <color indexed="8"/>
        <rFont val="宋体"/>
        <family val="3"/>
        <charset val="134"/>
      </rPr>
      <t>（</t>
    </r>
    <r>
      <rPr>
        <sz val="10"/>
        <color indexed="8"/>
        <rFont val="Arial Narrow"/>
        <family val="2"/>
      </rPr>
      <t>2</t>
    </r>
    <r>
      <rPr>
        <sz val="10"/>
        <color indexed="8"/>
        <rFont val="宋体"/>
        <family val="3"/>
        <charset val="134"/>
      </rPr>
      <t>）权属、抵押情况说明：</t>
    </r>
  </si>
  <si>
    <r>
      <rPr>
        <b/>
        <sz val="10"/>
        <color indexed="8"/>
        <rFont val="Arial Narrow"/>
        <family val="2"/>
      </rPr>
      <t>2</t>
    </r>
    <r>
      <rPr>
        <b/>
        <sz val="10"/>
        <color indexed="8"/>
        <rFont val="宋体"/>
        <family val="3"/>
        <charset val="134"/>
      </rPr>
      <t>、审计结论：</t>
    </r>
  </si>
  <si>
    <r>
      <rPr>
        <sz val="10"/>
        <color rgb="FF0000FF"/>
        <rFont val="宋体"/>
        <family val="3"/>
        <charset val="134"/>
      </rPr>
      <t>编制说明：</t>
    </r>
  </si>
  <si>
    <r>
      <rPr>
        <sz val="10"/>
        <color rgb="FF0000FF"/>
        <rFont val="Arial Narrow"/>
        <family val="2"/>
      </rPr>
      <t>1</t>
    </r>
    <r>
      <rPr>
        <sz val="10"/>
        <color rgb="FF0000FF"/>
        <rFont val="宋体"/>
        <family val="3"/>
        <charset val="134"/>
      </rPr>
      <t>、项目类别可分为专利权、非专利技术、商标权、著作权、土地使用权、特许权，具体披露要求可参考</t>
    </r>
  </si>
  <si>
    <r>
      <rPr>
        <sz val="10"/>
        <color rgb="FF0000FF"/>
        <rFont val="宋体"/>
        <family val="3"/>
        <charset val="134"/>
      </rPr>
      <t>《企业会计准则</t>
    </r>
    <r>
      <rPr>
        <sz val="10"/>
        <color rgb="FF0000FF"/>
        <rFont val="Arial Narrow"/>
        <family val="2"/>
      </rPr>
      <t>30</t>
    </r>
    <r>
      <rPr>
        <sz val="10"/>
        <color rgb="FF0000FF"/>
        <rFont val="宋体"/>
        <family val="3"/>
        <charset val="134"/>
      </rPr>
      <t>号</t>
    </r>
    <r>
      <rPr>
        <sz val="10"/>
        <color rgb="FF0000FF"/>
        <rFont val="Arial Narrow"/>
        <family val="2"/>
      </rPr>
      <t>-</t>
    </r>
    <r>
      <rPr>
        <sz val="10"/>
        <color rgb="FF0000FF"/>
        <rFont val="宋体"/>
        <family val="3"/>
        <charset val="134"/>
      </rPr>
      <t>财务报表列报》和证监会的有关规定。</t>
    </r>
  </si>
  <si>
    <r>
      <rPr>
        <sz val="10"/>
        <color rgb="FF0000FF"/>
        <rFont val="Arial Narrow"/>
        <family val="2"/>
      </rPr>
      <t>2</t>
    </r>
    <r>
      <rPr>
        <sz val="10"/>
        <color rgb="FF0000FF"/>
        <rFont val="宋体"/>
        <family val="3"/>
        <charset val="134"/>
      </rPr>
      <t>、企业取得的土地使用权通常应确认为无形资产，但改变土地使用权用途，用于赚取租金或资本增值的，</t>
    </r>
  </si>
  <si>
    <r>
      <rPr>
        <sz val="10"/>
        <color rgb="FF0000FF"/>
        <rFont val="宋体"/>
        <family val="3"/>
        <charset val="134"/>
      </rPr>
      <t>应当将其转为投资性房地产。</t>
    </r>
  </si>
  <si>
    <r>
      <rPr>
        <sz val="10"/>
        <color rgb="FF0000FF"/>
        <rFont val="Arial Narrow"/>
        <family val="2"/>
      </rPr>
      <t>3</t>
    </r>
    <r>
      <rPr>
        <sz val="10"/>
        <color rgb="FF0000FF"/>
        <rFont val="宋体"/>
        <family val="3"/>
        <charset val="134"/>
      </rPr>
      <t>、自行开发建造厂房等建筑物，相关的土地使用权与建筑物应当分别进行处理。外购土地及建筑物支付的价款</t>
    </r>
  </si>
  <si>
    <r>
      <rPr>
        <sz val="10"/>
        <color rgb="FF0000FF"/>
        <rFont val="宋体"/>
        <family val="3"/>
        <charset val="134"/>
      </rPr>
      <t>应当在建筑物与土地使用权之间进行分配；难以合理分配的，应当全部作为固定资产。</t>
    </r>
  </si>
  <si>
    <r>
      <rPr>
        <sz val="10"/>
        <color rgb="FF0000FF"/>
        <rFont val="Arial Narrow"/>
        <family val="2"/>
      </rPr>
      <t>4</t>
    </r>
    <r>
      <rPr>
        <sz val="10"/>
        <color rgb="FF0000FF"/>
        <rFont val="宋体"/>
        <family val="3"/>
        <charset val="134"/>
      </rPr>
      <t>、企业（房地产开发）取得土地用于建造对外出售的房屋建筑物，相关的土地使用权账面价值应当计入</t>
    </r>
  </si>
  <si>
    <r>
      <rPr>
        <sz val="10"/>
        <color rgb="FF0000FF"/>
        <rFont val="宋体"/>
        <family val="3"/>
        <charset val="134"/>
      </rPr>
      <t>所建造的房屋建筑物成本。</t>
    </r>
  </si>
  <si>
    <r>
      <rPr>
        <sz val="10"/>
        <color rgb="FF0000FF"/>
        <rFont val="Arial Narrow"/>
        <family val="2"/>
      </rPr>
      <t>5</t>
    </r>
    <r>
      <rPr>
        <sz val="10"/>
        <color rgb="FF0000FF"/>
        <rFont val="宋体"/>
        <family val="3"/>
        <charset val="134"/>
      </rPr>
      <t>、无论是否存在减值迹象，年末必须对</t>
    </r>
    <r>
      <rPr>
        <sz val="10"/>
        <color rgb="FF0000FF"/>
        <rFont val="Arial Narrow"/>
        <family val="2"/>
      </rPr>
      <t>“</t>
    </r>
    <r>
      <rPr>
        <sz val="10"/>
        <color rgb="FF0000FF"/>
        <rFont val="宋体"/>
        <family val="3"/>
        <charset val="134"/>
      </rPr>
      <t>使用寿命不确定的无形资产</t>
    </r>
    <r>
      <rPr>
        <sz val="10"/>
        <color rgb="FF0000FF"/>
        <rFont val="Arial Narrow"/>
        <family val="2"/>
      </rPr>
      <t>”</t>
    </r>
    <r>
      <rPr>
        <sz val="10"/>
        <color rgb="FF0000FF"/>
        <rFont val="宋体"/>
        <family val="3"/>
        <charset val="134"/>
      </rPr>
      <t>进行减值测试。</t>
    </r>
  </si>
  <si>
    <r>
      <rPr>
        <sz val="10"/>
        <color rgb="FF0000FF"/>
        <rFont val="Arial Narrow"/>
        <family val="2"/>
      </rPr>
      <t>6</t>
    </r>
    <r>
      <rPr>
        <sz val="10"/>
        <color rgb="FF0000FF"/>
        <rFont val="宋体"/>
        <family val="3"/>
        <charset val="134"/>
      </rPr>
      <t>、如适用，根据</t>
    </r>
    <r>
      <rPr>
        <sz val="10"/>
        <color rgb="FF0000FF"/>
        <rFont val="Arial Narrow"/>
        <family val="2"/>
      </rPr>
      <t>1131</t>
    </r>
    <r>
      <rPr>
        <sz val="10"/>
        <color rgb="FF0000FF"/>
        <rFont val="宋体"/>
        <family val="3"/>
        <charset val="134"/>
      </rPr>
      <t>号等审计准则和指南的要求编制，说明涉及事项内容、应对措施、审计结论或解决方法，</t>
    </r>
  </si>
  <si>
    <r>
      <rPr>
        <sz val="10"/>
        <color rgb="FF0000FF"/>
        <rFont val="宋体"/>
        <family val="3"/>
        <charset val="134"/>
      </rPr>
      <t>以及可能对审计报告的影响。</t>
    </r>
  </si>
  <si>
    <r>
      <rPr>
        <sz val="10"/>
        <color rgb="FF0000FF"/>
        <rFont val="Arial Narrow"/>
        <family val="2"/>
      </rPr>
      <t>A</t>
    </r>
    <r>
      <rPr>
        <sz val="10"/>
        <color rgb="FF0000FF"/>
        <rFont val="宋体"/>
        <family val="3"/>
        <charset val="134"/>
      </rPr>
      <t>、风险评估结果和内控了解、测试情况（不适用则说明：不存在重大错报风险。</t>
    </r>
    <r>
      <rPr>
        <sz val="10"/>
        <color rgb="FF0000FF"/>
        <rFont val="Arial Narrow"/>
        <family val="2"/>
      </rPr>
      <t>)</t>
    </r>
  </si>
  <si>
    <r>
      <rPr>
        <sz val="10"/>
        <color rgb="FF0000FF"/>
        <rFont val="Arial Narrow"/>
        <family val="2"/>
      </rPr>
      <t>(</t>
    </r>
    <r>
      <rPr>
        <sz val="10"/>
        <color rgb="FF0000FF"/>
        <rFont val="宋体"/>
        <family val="3"/>
        <charset val="134"/>
      </rPr>
      <t>识别和实际评估的重大错报风险、尤其识特别风险，以及对内控了解和控制测试情况〔采用综合方案时〕）；</t>
    </r>
  </si>
  <si>
    <r>
      <rPr>
        <sz val="10"/>
        <color rgb="FF0000FF"/>
        <rFont val="宋体"/>
        <family val="3"/>
        <charset val="134"/>
      </rPr>
      <t>提示：</t>
    </r>
    <r>
      <rPr>
        <sz val="10"/>
        <color rgb="FF0000FF"/>
        <rFont val="Arial Narrow"/>
        <family val="2"/>
      </rPr>
      <t>a</t>
    </r>
    <r>
      <rPr>
        <sz val="10"/>
        <color rgb="FF0000FF"/>
        <rFont val="宋体"/>
        <family val="3"/>
        <charset val="134"/>
      </rPr>
      <t>、收入科目应当假定存在舞弊的特别风险，如不存在，应说明理由；</t>
    </r>
  </si>
  <si>
    <t>b、涉及特别风险时，应当重点说明有关事项、应当措施、结果〔可索引有关底稿〕。</t>
  </si>
  <si>
    <r>
      <rPr>
        <sz val="10"/>
        <color rgb="FF0000FF"/>
        <rFont val="宋体"/>
        <family val="3"/>
        <charset val="134"/>
      </rPr>
      <t>特别风险涉及的事项包括但不限于：</t>
    </r>
  </si>
  <si>
    <r>
      <rPr>
        <sz val="10"/>
        <color rgb="FF0000FF"/>
        <rFont val="宋体"/>
        <family val="3"/>
        <charset val="134"/>
      </rPr>
      <t>（</t>
    </r>
    <r>
      <rPr>
        <sz val="10"/>
        <color rgb="FF0000FF"/>
        <rFont val="Arial Narrow"/>
        <family val="2"/>
      </rPr>
      <t>1</t>
    </r>
    <r>
      <rPr>
        <sz val="10"/>
        <color rgb="FF0000FF"/>
        <rFont val="宋体"/>
        <family val="3"/>
        <charset val="134"/>
      </rPr>
      <t>）舞弊风险（如</t>
    </r>
    <r>
      <rPr>
        <sz val="10"/>
        <color rgb="FF0000FF"/>
        <rFont val="Arial Narrow"/>
        <family val="2"/>
      </rPr>
      <t>1141</t>
    </r>
    <r>
      <rPr>
        <sz val="10"/>
        <color rgb="FF0000FF"/>
        <rFont val="宋体"/>
        <family val="3"/>
        <charset val="134"/>
      </rPr>
      <t>准则的示例）；（</t>
    </r>
    <r>
      <rPr>
        <sz val="10"/>
        <color rgb="FF0000FF"/>
        <rFont val="Arial Narrow"/>
        <family val="2"/>
      </rPr>
      <t>2</t>
    </r>
    <r>
      <rPr>
        <sz val="10"/>
        <color rgb="FF0000FF"/>
        <rFont val="宋体"/>
        <family val="3"/>
        <charset val="134"/>
      </rPr>
      <t>）重大非常规交易（如企业购并、债务重组、非货币性资产交换、</t>
    </r>
  </si>
  <si>
    <t>重大或有事项、持续经营、违反法律法规等）；(3)重大关联交易；(4)重大判断事项（如重大会计估计、</t>
  </si>
  <si>
    <t>会计政策及其变更）；(5)重大复杂交易；(6)仅通过实质性程序无法应对的重大错报风险（如日常交易采用</t>
  </si>
  <si>
    <r>
      <rPr>
        <sz val="10"/>
        <color rgb="FF0000FF"/>
        <rFont val="宋体"/>
        <family val="3"/>
        <charset val="134"/>
      </rPr>
      <t>高度自动化处理）等等。</t>
    </r>
  </si>
  <si>
    <r>
      <rPr>
        <sz val="10"/>
        <color rgb="FF0000FF"/>
        <rFont val="Arial Narrow"/>
        <family val="2"/>
      </rPr>
      <t>B</t>
    </r>
    <r>
      <rPr>
        <sz val="10"/>
        <color rgb="FF0000FF"/>
        <rFont val="宋体"/>
        <family val="3"/>
        <charset val="134"/>
      </rPr>
      <t>、发现的重大不符事项（如适用）</t>
    </r>
  </si>
  <si>
    <r>
      <rPr>
        <sz val="10"/>
        <color rgb="FF0000FF"/>
        <rFont val="宋体"/>
        <family val="3"/>
        <charset val="134"/>
      </rPr>
      <t>按调整事项，逐笔概述调整原因及对本科目的调整金额，并说明相关底稿的索引号。</t>
    </r>
  </si>
  <si>
    <r>
      <rPr>
        <sz val="10"/>
        <color rgb="FF0000FF"/>
        <rFont val="宋体"/>
        <family val="3"/>
        <charset val="134"/>
      </rPr>
      <t>〔即具体事项内容和调整分录，见经索引的本科目或相关科目的检查表或测算表〕</t>
    </r>
  </si>
  <si>
    <r>
      <rPr>
        <sz val="10"/>
        <color rgb="FF0000FF"/>
        <rFont val="Arial Narrow"/>
        <family val="2"/>
      </rPr>
      <t>7</t>
    </r>
    <r>
      <rPr>
        <sz val="10"/>
        <color rgb="FF0000FF"/>
        <rFont val="宋体"/>
        <family val="3"/>
        <charset val="134"/>
      </rPr>
      <t>、说明基于获取的审计证据，在有关认定方面，是否发现重大错报或存在重大异常。</t>
    </r>
  </si>
  <si>
    <r>
      <rPr>
        <sz val="10"/>
        <color rgb="FF0000FF"/>
        <rFont val="宋体"/>
        <family val="3"/>
        <charset val="134"/>
      </rPr>
      <t>参考结论：</t>
    </r>
  </si>
  <si>
    <t>A、</t>
  </si>
  <si>
    <t>未见异常，可以确认。</t>
  </si>
  <si>
    <t>B、</t>
  </si>
  <si>
    <r>
      <rPr>
        <sz val="10"/>
        <color rgb="FF0000FF"/>
        <rFont val="宋体"/>
        <family val="3"/>
        <charset val="134"/>
      </rPr>
      <t>经审计调整后可确认。</t>
    </r>
  </si>
  <si>
    <t>C、</t>
  </si>
  <si>
    <r>
      <rPr>
        <sz val="10"/>
        <color rgb="FF0000FF"/>
        <rFont val="宋体"/>
        <family val="3"/>
        <charset val="134"/>
      </rPr>
      <t>由于存在上述重大未调整事项（或审计范围受到限制无法获取充分、适当证据），不可确认。</t>
    </r>
  </si>
  <si>
    <r>
      <rPr>
        <b/>
        <sz val="12"/>
        <color indexed="8"/>
        <rFont val="宋体"/>
        <family val="3"/>
        <charset val="134"/>
      </rPr>
      <t>其他非流动资产附注披露表（上市公司）</t>
    </r>
  </si>
  <si>
    <r>
      <rPr>
        <sz val="10"/>
        <color indexed="8"/>
        <rFont val="宋体"/>
        <family val="3"/>
        <charset val="134"/>
        <scheme val="minor"/>
      </rPr>
      <t>其他非流动资产</t>
    </r>
    <r>
      <rPr>
        <sz val="10"/>
        <color indexed="12"/>
        <rFont val="宋体"/>
        <family val="3"/>
        <charset val="134"/>
        <scheme val="minor"/>
      </rPr>
      <t>（注：根据实际情况列示；不存在的项目请删除）</t>
    </r>
  </si>
  <si>
    <t>项  目</t>
  </si>
  <si>
    <t>上年年末数</t>
  </si>
  <si>
    <t>账面余额</t>
  </si>
  <si>
    <t>减值准备</t>
  </si>
  <si>
    <t>账面价值</t>
  </si>
  <si>
    <t>合  计</t>
  </si>
  <si>
    <t>说明：</t>
  </si>
  <si>
    <r>
      <rPr>
        <b/>
        <sz val="12"/>
        <color indexed="8"/>
        <rFont val="宋体"/>
        <family val="3"/>
        <charset val="134"/>
      </rPr>
      <t>其他非流动资产附注披露表（国有企业）</t>
    </r>
  </si>
  <si>
    <r>
      <rPr>
        <sz val="10"/>
        <color indexed="8"/>
        <rFont val="宋体"/>
        <family val="3"/>
        <charset val="134"/>
      </rPr>
      <t>复核人：</t>
    </r>
  </si>
  <si>
    <t>期末余额</t>
  </si>
  <si>
    <t>年初余额</t>
  </si>
  <si>
    <r>
      <rPr>
        <b/>
        <sz val="10"/>
        <color indexed="8"/>
        <rFont val="宋体"/>
        <family val="3"/>
        <charset val="134"/>
      </rPr>
      <t>一、审计目标</t>
    </r>
    <r>
      <rPr>
        <b/>
        <sz val="10"/>
        <color indexed="8"/>
        <rFont val="Arial Narrow"/>
        <family val="2"/>
      </rPr>
      <t>:</t>
    </r>
  </si>
  <si>
    <t>复核其他非流动资产确认和会计处理的正确性。</t>
  </si>
  <si>
    <r>
      <rPr>
        <b/>
        <sz val="10"/>
        <rFont val="宋体"/>
        <family val="3"/>
        <charset val="134"/>
      </rPr>
      <t>二、审计过程：</t>
    </r>
  </si>
  <si>
    <t>期初调整</t>
  </si>
  <si>
    <t>备注</t>
  </si>
  <si>
    <t>本期增加</t>
  </si>
  <si>
    <t>本期减少</t>
  </si>
  <si>
    <t>预付土地出让金</t>
  </si>
  <si>
    <t>预付工程款</t>
  </si>
  <si>
    <t>预付房屋、设备款</t>
  </si>
  <si>
    <t>无形资产预付款</t>
  </si>
  <si>
    <t>预付投资款</t>
  </si>
  <si>
    <t>委托贷款</t>
  </si>
  <si>
    <t>合同资产</t>
  </si>
  <si>
    <r>
      <rPr>
        <sz val="10"/>
        <color rgb="FF0000FF"/>
        <rFont val="微软雅黑"/>
        <family val="2"/>
        <charset val="134"/>
      </rPr>
      <t>相关内容索引至</t>
    </r>
    <r>
      <rPr>
        <sz val="10"/>
        <color rgb="FF0000FF"/>
        <rFont val="Arial Narrow"/>
        <family val="2"/>
      </rPr>
      <t xml:space="preserve">D7 </t>
    </r>
    <r>
      <rPr>
        <sz val="10"/>
        <color rgb="FF0000FF"/>
        <rFont val="宋体"/>
        <family val="3"/>
        <charset val="134"/>
      </rPr>
      <t>合同资产</t>
    </r>
  </si>
  <si>
    <t>合同取得成本</t>
  </si>
  <si>
    <t>相关内容索引至M12 合同取得成本及减值准备</t>
  </si>
  <si>
    <t>合同履约成本</t>
  </si>
  <si>
    <r>
      <rPr>
        <sz val="10"/>
        <color rgb="FF0000FF"/>
        <rFont val="微软雅黑"/>
        <family val="2"/>
        <charset val="134"/>
      </rPr>
      <t>相关内容索引至</t>
    </r>
    <r>
      <rPr>
        <sz val="10"/>
        <color rgb="FF0000FF"/>
        <rFont val="Arial Narrow"/>
        <family val="2"/>
      </rPr>
      <t xml:space="preserve">G2-13 </t>
    </r>
    <r>
      <rPr>
        <sz val="10"/>
        <color rgb="FF0000FF"/>
        <rFont val="微软雅黑"/>
        <family val="2"/>
        <charset val="134"/>
      </rPr>
      <t>合同履约成本</t>
    </r>
  </si>
  <si>
    <t>应收退货成本</t>
  </si>
  <si>
    <t>……</t>
  </si>
  <si>
    <t>合计</t>
  </si>
  <si>
    <t>净值：</t>
  </si>
  <si>
    <t>三、审计说明：</t>
  </si>
  <si>
    <t>四、审计结论：</t>
  </si>
  <si>
    <t>提示：</t>
  </si>
  <si>
    <t>1、</t>
  </si>
  <si>
    <r>
      <rPr>
        <sz val="10"/>
        <color rgb="FF0000FF"/>
        <rFont val="宋体"/>
        <family val="3"/>
        <charset val="134"/>
      </rPr>
      <t>“合同资产</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项目。企业应按照《企业会计准则第</t>
    </r>
    <r>
      <rPr>
        <sz val="10"/>
        <color rgb="FF0000FF"/>
        <rFont val="Arial Narrow"/>
        <family val="2"/>
      </rPr>
      <t xml:space="preserve"> 14 </t>
    </r>
    <r>
      <rPr>
        <sz val="10"/>
        <color rgb="FF0000FF"/>
        <rFont val="宋体"/>
        <family val="3"/>
        <charset val="134"/>
      </rPr>
      <t>号</t>
    </r>
    <r>
      <rPr>
        <sz val="10"/>
        <color rgb="FF0000FF"/>
        <rFont val="Arial Narrow"/>
        <family val="2"/>
      </rPr>
      <t>——</t>
    </r>
    <r>
      <rPr>
        <sz val="10"/>
        <color rgb="FF0000FF"/>
        <rFont val="宋体"/>
        <family val="3"/>
        <charset val="134"/>
      </rPr>
      <t>收入》（财会〔</t>
    </r>
    <r>
      <rPr>
        <sz val="10"/>
        <color rgb="FF0000FF"/>
        <rFont val="Arial Narrow"/>
        <family val="2"/>
      </rPr>
      <t>2017</t>
    </r>
    <r>
      <rPr>
        <sz val="10"/>
        <color rgb="FF0000FF"/>
        <rFont val="宋体"/>
        <family val="3"/>
        <charset val="134"/>
      </rPr>
      <t>〕</t>
    </r>
    <r>
      <rPr>
        <sz val="10"/>
        <color rgb="FF0000FF"/>
        <rFont val="Arial Narrow"/>
        <family val="2"/>
      </rPr>
      <t xml:space="preserve">22 </t>
    </r>
    <r>
      <rPr>
        <sz val="10"/>
        <color rgb="FF0000FF"/>
        <rFont val="宋体"/>
        <family val="3"/>
        <charset val="134"/>
      </rPr>
      <t>号）的相关规定根据本企业履行履约义务与客户付款之间的关系在资产负债表中列示合同资产或合同负债。</t>
    </r>
    <r>
      <rPr>
        <sz val="10"/>
        <color rgb="FF0000FF"/>
        <rFont val="Arial Narrow"/>
        <family val="2"/>
      </rPr>
      <t>“</t>
    </r>
    <r>
      <rPr>
        <sz val="10"/>
        <color rgb="FF0000FF"/>
        <rFont val="宋体"/>
        <family val="3"/>
        <charset val="134"/>
      </rPr>
      <t>合同资产</t>
    </r>
    <r>
      <rPr>
        <sz val="10"/>
        <color rgb="FF0000FF"/>
        <rFont val="Arial Narrow"/>
        <family val="2"/>
      </rPr>
      <t>”</t>
    </r>
    <r>
      <rPr>
        <sz val="10"/>
        <color rgb="FF0000FF"/>
        <rFont val="宋体"/>
        <family val="3"/>
        <charset val="134"/>
      </rPr>
      <t>项目、</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项目，应分别根据</t>
    </r>
    <r>
      <rPr>
        <sz val="10"/>
        <color rgb="FF0000FF"/>
        <rFont val="Arial Narrow"/>
        <family val="2"/>
      </rPr>
      <t>“</t>
    </r>
    <r>
      <rPr>
        <sz val="10"/>
        <color rgb="FF0000FF"/>
        <rFont val="宋体"/>
        <family val="3"/>
        <charset val="134"/>
      </rPr>
      <t>合同资产</t>
    </r>
    <r>
      <rPr>
        <sz val="10"/>
        <color rgb="FF0000FF"/>
        <rFont val="Arial Narrow"/>
        <family val="2"/>
      </rPr>
      <t>”</t>
    </r>
    <r>
      <rPr>
        <sz val="10"/>
        <color rgb="FF0000FF"/>
        <rFont val="宋体"/>
        <family val="3"/>
        <charset val="134"/>
      </rPr>
      <t>科目、</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科目的相关明细科目的期末余额分析填列，同一合同下的合同资产和合同负债应当以净额列示，其中净额为借方余额的，应当根据其流动性在</t>
    </r>
    <r>
      <rPr>
        <sz val="10"/>
        <color rgb="FF0000FF"/>
        <rFont val="Arial Narrow"/>
        <family val="2"/>
      </rPr>
      <t>“</t>
    </r>
    <r>
      <rPr>
        <sz val="10"/>
        <color rgb="FF0000FF"/>
        <rFont val="宋体"/>
        <family val="3"/>
        <charset val="134"/>
      </rPr>
      <t>合同资产</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其他非流动资产</t>
    </r>
    <r>
      <rPr>
        <sz val="10"/>
        <color rgb="FF0000FF"/>
        <rFont val="Arial Narrow"/>
        <family val="2"/>
      </rPr>
      <t>”</t>
    </r>
    <r>
      <rPr>
        <sz val="10"/>
        <color rgb="FF0000FF"/>
        <rFont val="宋体"/>
        <family val="3"/>
        <charset val="134"/>
      </rPr>
      <t>项目中填列，已计提减值准备的，还应减去</t>
    </r>
    <r>
      <rPr>
        <sz val="10"/>
        <color rgb="FF0000FF"/>
        <rFont val="Arial Narrow"/>
        <family val="2"/>
      </rPr>
      <t>“</t>
    </r>
    <r>
      <rPr>
        <sz val="10"/>
        <color rgb="FF0000FF"/>
        <rFont val="宋体"/>
        <family val="3"/>
        <charset val="134"/>
      </rPr>
      <t>合同资产减值准备</t>
    </r>
    <r>
      <rPr>
        <sz val="10"/>
        <color rgb="FF0000FF"/>
        <rFont val="Arial Narrow"/>
        <family val="2"/>
      </rPr>
      <t>”</t>
    </r>
    <r>
      <rPr>
        <sz val="10"/>
        <color rgb="FF0000FF"/>
        <rFont val="宋体"/>
        <family val="3"/>
        <charset val="134"/>
      </rPr>
      <t>科目中相关的期末余额后的金额填列；其中净额为贷方余额的，应当根据其流动性在</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其他非流动负债</t>
    </r>
    <r>
      <rPr>
        <sz val="10"/>
        <color rgb="FF0000FF"/>
        <rFont val="Arial Narrow"/>
        <family val="2"/>
      </rPr>
      <t>”</t>
    </r>
    <r>
      <rPr>
        <sz val="10"/>
        <color rgb="FF0000FF"/>
        <rFont val="宋体"/>
        <family val="3"/>
        <charset val="134"/>
      </rPr>
      <t>项目中填列。</t>
    </r>
  </si>
  <si>
    <t>由于同一合同下的合同资产和合同负债应当以净额列示，企业也可以设置“合同结算”科目（或其他类似科目），以核算同一合同下属于在某一时段内履行履约义务涉及与客户结算对价的合同资产或合同负债，并在此科目下设置“合同结算——价款结算”科目反映定期与客户进行结算的金额，设置“合同结算——收入结转”科目反映按履约进度结转的收入金额。资产负债表日，“合同结算”科目的期末余额在借方的，根据其流动性在“合同资产”或“其他非流动资产”项目中填列；期末余额在贷方的，根据其流动性在“合同负债”或“其他非流动负债”项目中填列。</t>
  </si>
  <si>
    <r>
      <rPr>
        <sz val="10"/>
        <color rgb="FF0000FF"/>
        <rFont val="宋体"/>
        <family val="3"/>
        <charset val="134"/>
      </rPr>
      <t>2</t>
    </r>
    <r>
      <rPr>
        <sz val="10"/>
        <color rgb="FF0000FF"/>
        <rFont val="宋体"/>
        <family val="3"/>
        <charset val="134"/>
      </rPr>
      <t>、</t>
    </r>
  </si>
  <si>
    <r>
      <rPr>
        <sz val="10"/>
        <color rgb="FF0000FF"/>
        <rFont val="宋体"/>
        <family val="3"/>
        <charset val="134"/>
      </rPr>
      <t>（1）</t>
    </r>
    <r>
      <rPr>
        <sz val="10"/>
        <color rgb="FF0000FF"/>
        <rFont val="宋体"/>
        <family val="3"/>
        <charset val="134"/>
      </rPr>
      <t>按照《企业会计准则第 14 号——收入》（财会〔2017〕22 号）的相关规定确认为资产的合同取得成本，应当根据“合同取得成本”科目的明细科目初始确认时摊销期限是否超过一年或一个正常营业周期，在“其他流动资产”或“其他非流动资产”项目中填列，已计提减值准备的，还应减去“合同取得成本减值准备”科目中相关的期末余额后的金额填列。</t>
    </r>
  </si>
  <si>
    <r>
      <rPr>
        <sz val="10"/>
        <color rgb="FF0000FF"/>
        <rFont val="宋体"/>
        <family val="3"/>
        <charset val="134"/>
      </rPr>
      <t>（2）</t>
    </r>
    <r>
      <rPr>
        <sz val="10"/>
        <color rgb="FF0000FF"/>
        <rFont val="宋体"/>
        <family val="3"/>
        <charset val="134"/>
      </rPr>
      <t>按照《企业会计准则第 14 号——收入》（财会〔2017〕22 号）的相关规定确认为资产的合同履约成本，应当根据“合同履约成本”科目的明细科目初始确认时摊销期限是否超过一年或一个正常营业周期，在“存货”或“其他非流动资产”项目中填列，已计提减值准备的，还应减去“合同履约成本减值准备”科目中相关的期末余额后的金额填列。</t>
    </r>
  </si>
  <si>
    <t>（3）按照《企业会计准则第 14 号——收入》（财会〔2017〕22 号）的相关规定确认为资产的应收退货成本，应当根据“应收退货成本”科目是否在一年或一个正常营业周期内出售，在“其他流动资产”或“其他非流动资产”项目中填列。</t>
  </si>
  <si>
    <t>其他非流动资产调整分录汇总表</t>
  </si>
  <si>
    <t>调整事项说明</t>
  </si>
  <si>
    <t>类别（报表调整/账项调整/其他）</t>
  </si>
  <si>
    <t>报表项目</t>
  </si>
  <si>
    <t>科目名称</t>
  </si>
  <si>
    <t>附注项目</t>
  </si>
  <si>
    <t>借方调整金额</t>
  </si>
  <si>
    <t>贷方调整金额</t>
  </si>
  <si>
    <t>索引</t>
  </si>
  <si>
    <t>【注：本底稿适用于调整分录较多、较复杂的项目，且仅列示与本报表项目相关的审计调整。项目组可根据项目实际情况选择是否使用该底稿。】</t>
  </si>
  <si>
    <t>其他非流动资产针对性检查表</t>
  </si>
  <si>
    <r>
      <rPr>
        <sz val="10"/>
        <rFont val="宋体"/>
        <family val="3"/>
        <charset val="134"/>
      </rPr>
      <t>页次：</t>
    </r>
  </si>
  <si>
    <r>
      <rPr>
        <b/>
        <sz val="10"/>
        <rFont val="宋体"/>
        <family val="3"/>
        <charset val="134"/>
      </rPr>
      <t>一、测试目标：</t>
    </r>
  </si>
  <si>
    <r>
      <rPr>
        <sz val="10"/>
        <rFont val="宋体"/>
        <family val="3"/>
        <charset val="134"/>
      </rPr>
      <t>检查其他非流动资产的存在</t>
    </r>
    <r>
      <rPr>
        <sz val="10"/>
        <rFont val="Arial Narrow"/>
        <family val="2"/>
      </rPr>
      <t>/</t>
    </r>
    <r>
      <rPr>
        <sz val="10"/>
        <rFont val="宋体"/>
        <family val="3"/>
        <charset val="134"/>
      </rPr>
      <t>发生、计价和分摊。</t>
    </r>
  </si>
  <si>
    <r>
      <rPr>
        <b/>
        <sz val="10"/>
        <rFont val="宋体"/>
        <family val="3"/>
        <charset val="134"/>
      </rPr>
      <t>二、样本选取标准与规模：</t>
    </r>
  </si>
  <si>
    <r>
      <rPr>
        <sz val="10"/>
        <rFont val="宋体"/>
        <family val="3"/>
        <charset val="134"/>
      </rPr>
      <t>测试总体：</t>
    </r>
  </si>
  <si>
    <r>
      <rPr>
        <sz val="10"/>
        <color indexed="12"/>
        <rFont val="宋体"/>
        <family val="3"/>
        <charset val="134"/>
      </rPr>
      <t>如贷方发生额所有凭证共</t>
    </r>
    <r>
      <rPr>
        <sz val="10"/>
        <color indexed="12"/>
        <rFont val="Arial Narrow"/>
        <family val="2"/>
      </rPr>
      <t>XX</t>
    </r>
    <r>
      <rPr>
        <sz val="10"/>
        <color indexed="12"/>
        <rFont val="宋体"/>
        <family val="3"/>
        <charset val="134"/>
      </rPr>
      <t>笔金额</t>
    </r>
    <r>
      <rPr>
        <sz val="10"/>
        <color indexed="12"/>
        <rFont val="Arial Narrow"/>
        <family val="2"/>
      </rPr>
      <t>XX</t>
    </r>
  </si>
  <si>
    <r>
      <rPr>
        <sz val="10"/>
        <rFont val="宋体"/>
        <family val="3"/>
        <charset val="134"/>
      </rPr>
      <t>特定样本：</t>
    </r>
  </si>
  <si>
    <r>
      <rPr>
        <sz val="10"/>
        <color indexed="12"/>
        <rFont val="Arial Narrow"/>
        <family val="2"/>
      </rPr>
      <t>XX</t>
    </r>
    <r>
      <rPr>
        <sz val="10"/>
        <color indexed="12"/>
        <rFont val="宋体"/>
        <family val="3"/>
        <charset val="134"/>
      </rPr>
      <t>金额以上（大额）、关联方</t>
    </r>
    <r>
      <rPr>
        <sz val="10"/>
        <color indexed="12"/>
        <rFont val="Arial Narrow"/>
        <family val="2"/>
      </rPr>
      <t>/</t>
    </r>
    <r>
      <rPr>
        <sz val="10"/>
        <color indexed="12"/>
        <rFont val="宋体"/>
        <family val="3"/>
        <charset val="134"/>
      </rPr>
      <t>关联交易形成的款项、</t>
    </r>
    <r>
      <rPr>
        <sz val="10"/>
        <color indexed="12"/>
        <rFont val="Arial Narrow"/>
        <family val="2"/>
      </rPr>
      <t>XX</t>
    </r>
    <r>
      <rPr>
        <sz val="10"/>
        <color indexed="12"/>
        <rFont val="宋体"/>
        <family val="3"/>
        <charset val="134"/>
      </rPr>
      <t>异常款项全部测试，共</t>
    </r>
    <r>
      <rPr>
        <sz val="10"/>
        <color indexed="12"/>
        <rFont val="Arial Narrow"/>
        <family val="2"/>
      </rPr>
      <t>XX</t>
    </r>
    <r>
      <rPr>
        <sz val="10"/>
        <color indexed="12"/>
        <rFont val="宋体"/>
        <family val="3"/>
        <charset val="134"/>
      </rPr>
      <t>笔</t>
    </r>
  </si>
  <si>
    <r>
      <rPr>
        <sz val="10"/>
        <rFont val="宋体"/>
        <family val="3"/>
        <charset val="134"/>
      </rPr>
      <t>抽样总体：</t>
    </r>
  </si>
  <si>
    <r>
      <rPr>
        <sz val="10"/>
        <color indexed="12"/>
        <rFont val="宋体"/>
        <family val="3"/>
        <charset val="134"/>
      </rPr>
      <t>测试总体扣除特定样本以外的样本，共</t>
    </r>
    <r>
      <rPr>
        <sz val="10"/>
        <color indexed="12"/>
        <rFont val="Arial Narrow"/>
        <family val="2"/>
      </rPr>
      <t>XX</t>
    </r>
    <r>
      <rPr>
        <sz val="10"/>
        <color indexed="12"/>
        <rFont val="宋体"/>
        <family val="3"/>
        <charset val="134"/>
      </rPr>
      <t>笔、金额</t>
    </r>
    <r>
      <rPr>
        <sz val="10"/>
        <color indexed="12"/>
        <rFont val="Arial Narrow"/>
        <family val="2"/>
      </rPr>
      <t>XX</t>
    </r>
  </si>
  <si>
    <r>
      <rPr>
        <sz val="10"/>
        <rFont val="宋体"/>
        <family val="3"/>
        <charset val="134"/>
      </rPr>
      <t>确定的抽样样本量：</t>
    </r>
  </si>
  <si>
    <r>
      <rPr>
        <sz val="10"/>
        <color indexed="12"/>
        <rFont val="宋体"/>
        <family val="3"/>
        <charset val="134"/>
      </rPr>
      <t>抽取</t>
    </r>
    <r>
      <rPr>
        <sz val="10"/>
        <color indexed="12"/>
        <rFont val="Arial Narrow"/>
        <family val="2"/>
      </rPr>
      <t>XX</t>
    </r>
    <r>
      <rPr>
        <sz val="10"/>
        <color indexed="12"/>
        <rFont val="宋体"/>
        <family val="3"/>
        <charset val="134"/>
      </rPr>
      <t>笔</t>
    </r>
  </si>
  <si>
    <r>
      <rPr>
        <sz val="10"/>
        <color indexed="12"/>
        <rFont val="宋体"/>
        <family val="3"/>
        <charset val="134"/>
      </rPr>
      <t>（如果使用了样本计算器计算样本量，样本量计算过程见</t>
    </r>
    <r>
      <rPr>
        <sz val="10"/>
        <color indexed="12"/>
        <rFont val="Arial Narrow"/>
        <family val="2"/>
      </rPr>
      <t>&lt;XX&gt;</t>
    </r>
    <r>
      <rPr>
        <sz val="10"/>
        <color indexed="12"/>
        <rFont val="宋体"/>
        <family val="3"/>
        <charset val="134"/>
      </rPr>
      <t>底稿）</t>
    </r>
  </si>
  <si>
    <r>
      <rPr>
        <sz val="10"/>
        <rFont val="宋体"/>
        <family val="3"/>
        <charset val="134"/>
      </rPr>
      <t>抽样方法：</t>
    </r>
  </si>
  <si>
    <r>
      <rPr>
        <sz val="10"/>
        <rFont val="宋体"/>
        <family val="3"/>
        <charset val="134"/>
      </rPr>
      <t>抽样过程：</t>
    </r>
  </si>
  <si>
    <r>
      <rPr>
        <sz val="10"/>
        <color indexed="12"/>
        <rFont val="宋体"/>
        <family val="3"/>
        <charset val="134"/>
      </rPr>
      <t>使用</t>
    </r>
    <r>
      <rPr>
        <sz val="10"/>
        <color indexed="12"/>
        <rFont val="Arial Narrow"/>
        <family val="2"/>
      </rPr>
      <t>IDEA</t>
    </r>
    <r>
      <rPr>
        <sz val="10"/>
        <color indexed="12"/>
        <rFont val="宋体"/>
        <family val="3"/>
        <charset val="134"/>
      </rPr>
      <t>（</t>
    </r>
    <r>
      <rPr>
        <sz val="10"/>
        <color indexed="12"/>
        <rFont val="Arial Narrow"/>
        <family val="2"/>
      </rPr>
      <t>XX</t>
    </r>
    <r>
      <rPr>
        <sz val="10"/>
        <color indexed="12"/>
        <rFont val="宋体"/>
        <family val="3"/>
        <charset val="134"/>
      </rPr>
      <t>抽样工具）选择</t>
    </r>
    <r>
      <rPr>
        <sz val="10"/>
        <color indexed="12"/>
        <rFont val="Arial Narrow"/>
        <family val="2"/>
      </rPr>
      <t>XX</t>
    </r>
    <r>
      <rPr>
        <sz val="10"/>
        <color indexed="12"/>
        <rFont val="宋体"/>
        <family val="3"/>
        <charset val="134"/>
      </rPr>
      <t>数量、金额</t>
    </r>
    <r>
      <rPr>
        <sz val="10"/>
        <color indexed="12"/>
        <rFont val="Arial Narrow"/>
        <family val="2"/>
      </rPr>
      <t>XX</t>
    </r>
    <r>
      <rPr>
        <sz val="10"/>
        <color indexed="12"/>
        <rFont val="宋体"/>
        <family val="3"/>
        <charset val="134"/>
      </rPr>
      <t>的样本进行测试，抽样工具中的样本选择过程和结果见</t>
    </r>
    <r>
      <rPr>
        <sz val="10"/>
        <color indexed="12"/>
        <rFont val="Arial Narrow"/>
        <family val="2"/>
      </rPr>
      <t>&lt;XX&gt;</t>
    </r>
    <r>
      <rPr>
        <sz val="10"/>
        <color indexed="12"/>
        <rFont val="宋体"/>
        <family val="3"/>
        <charset val="134"/>
      </rPr>
      <t>底稿</t>
    </r>
  </si>
  <si>
    <r>
      <rPr>
        <b/>
        <sz val="10"/>
        <rFont val="宋体"/>
        <family val="3"/>
        <charset val="134"/>
      </rPr>
      <t>三、测试：</t>
    </r>
  </si>
  <si>
    <r>
      <rPr>
        <b/>
        <sz val="10"/>
        <rFont val="宋体"/>
        <family val="3"/>
        <charset val="134"/>
      </rPr>
      <t>四、审计说明：</t>
    </r>
  </si>
  <si>
    <r>
      <rPr>
        <b/>
        <sz val="10"/>
        <rFont val="宋体"/>
        <family val="3"/>
        <charset val="134"/>
      </rPr>
      <t>五、审计结论：</t>
    </r>
  </si>
  <si>
    <t>C1</t>
  </si>
  <si>
    <t>Custom 1</t>
  </si>
  <si>
    <t>C2</t>
  </si>
  <si>
    <t>Custom 2</t>
  </si>
  <si>
    <t>C3</t>
  </si>
  <si>
    <t>Custom 3</t>
  </si>
  <si>
    <t>C4</t>
  </si>
  <si>
    <t>Custom 4</t>
  </si>
  <si>
    <t>C5</t>
  </si>
  <si>
    <t>Custom 5</t>
  </si>
  <si>
    <t>C6</t>
  </si>
  <si>
    <t>Custom 6</t>
  </si>
  <si>
    <t>C7</t>
  </si>
  <si>
    <t>Custom 7</t>
  </si>
  <si>
    <t>C8</t>
  </si>
  <si>
    <t>Custom 8</t>
  </si>
  <si>
    <t>I5-4</t>
    <phoneticPr fontId="53" type="noConversion"/>
  </si>
  <si>
    <r>
      <t xml:space="preserve">A. </t>
    </r>
    <r>
      <rPr>
        <sz val="10"/>
        <rFont val="宋体"/>
        <family val="3"/>
        <charset val="134"/>
      </rPr>
      <t>资产负债表中记录的其他非流动资产是存在的，且已经记录在恰当的账户中</t>
    </r>
    <phoneticPr fontId="53" type="noConversion"/>
  </si>
  <si>
    <r>
      <t xml:space="preserve">B. </t>
    </r>
    <r>
      <rPr>
        <sz val="10"/>
        <rFont val="宋体"/>
        <family val="3"/>
        <charset val="134"/>
      </rPr>
      <t>所有应记录的其他非流动资产均已记录，所有应当包括在财务报表中的相关披露均已包括</t>
    </r>
    <phoneticPr fontId="53" type="noConversion"/>
  </si>
  <si>
    <r>
      <t xml:space="preserve">C. </t>
    </r>
    <r>
      <rPr>
        <sz val="10"/>
        <rFont val="宋体"/>
        <family val="3"/>
        <charset val="134"/>
      </rPr>
      <t>记录的其他非流动资产由被审计单位拥有或控制</t>
    </r>
    <phoneticPr fontId="53" type="noConversion"/>
  </si>
  <si>
    <r>
      <t xml:space="preserve">E. </t>
    </r>
    <r>
      <rPr>
        <sz val="10"/>
        <rFont val="宋体"/>
        <family val="3"/>
        <charset val="134"/>
      </rPr>
      <t>其他非流动资产已被恰当地汇总或分解且表述清楚，相关披露在按照企业会计准则的编制基础下是相关的、可理解的</t>
    </r>
    <phoneticPr fontId="53" type="noConversion"/>
  </si>
  <si>
    <r>
      <t>A</t>
    </r>
    <r>
      <rPr>
        <sz val="10"/>
        <color rgb="FF0000FF"/>
        <rFont val="宋体"/>
        <family val="3"/>
        <charset val="134"/>
      </rPr>
      <t>、</t>
    </r>
  </si>
  <si>
    <r>
      <rPr>
        <sz val="10"/>
        <color rgb="FF0000FF"/>
        <rFont val="宋体"/>
        <family val="3"/>
        <charset val="134"/>
      </rPr>
      <t>未见异常。</t>
    </r>
  </si>
  <si>
    <r>
      <t>B</t>
    </r>
    <r>
      <rPr>
        <sz val="10"/>
        <color rgb="FF0000FF"/>
        <rFont val="宋体"/>
        <family val="3"/>
        <charset val="134"/>
      </rPr>
      <t>、</t>
    </r>
  </si>
  <si>
    <r>
      <rPr>
        <sz val="10"/>
        <color rgb="FF0000FF"/>
        <rFont val="宋体"/>
        <family val="3"/>
        <charset val="134"/>
      </rPr>
      <t>除以下重大不符事项应当作为调整事项予以调整外，其余未见异常。</t>
    </r>
  </si>
  <si>
    <r>
      <t>C</t>
    </r>
    <r>
      <rPr>
        <sz val="10"/>
        <color rgb="FF0000FF"/>
        <rFont val="宋体"/>
        <family val="3"/>
        <charset val="134"/>
      </rPr>
      <t>、</t>
    </r>
  </si>
  <si>
    <r>
      <rPr>
        <sz val="10"/>
        <color rgb="FF0000FF"/>
        <rFont val="宋体"/>
        <family val="3"/>
        <charset val="134"/>
      </rPr>
      <t>由于存在以下重大未调整事项（或审计范围受到限制无法获取充分、适当证据），不可确认。</t>
    </r>
  </si>
  <si>
    <t>I5-1
/I5-2</t>
    <phoneticPr fontId="53" type="noConversion"/>
  </si>
  <si>
    <t>检查其他非流动资产是否已按企业会计准则或其他适用的规定在财务报表中做出恰当列报和披露。</t>
    <phoneticPr fontId="53" type="noConversion"/>
  </si>
  <si>
    <r>
      <rPr>
        <sz val="10"/>
        <color indexed="12"/>
        <rFont val="宋体"/>
        <family val="3"/>
        <charset val="134"/>
      </rPr>
      <t xml:space="preserve">由被审计单位生成的信息不包括：
</t>
    </r>
    <r>
      <rPr>
        <sz val="10"/>
        <color indexed="12"/>
        <rFont val="Arial Narrow"/>
        <family val="2"/>
      </rPr>
      <t xml:space="preserve">• </t>
    </r>
    <r>
      <rPr>
        <sz val="10"/>
        <color indexed="12"/>
        <rFont val="宋体"/>
        <family val="3"/>
        <charset val="134"/>
      </rPr>
      <t xml:space="preserve">总分类账或明细分类账、试算平衡表、或经审计的财务报表；
</t>
    </r>
    <r>
      <rPr>
        <sz val="10"/>
        <color indexed="12"/>
        <rFont val="Arial Narrow"/>
        <family val="2"/>
      </rPr>
      <t xml:space="preserve">• </t>
    </r>
    <r>
      <rPr>
        <sz val="10"/>
        <color indexed="12"/>
        <rFont val="宋体"/>
        <family val="3"/>
        <charset val="134"/>
      </rPr>
      <t xml:space="preserve">第三方（除了服务机构）的报表或报告，例如，原始银行对账单，或函证的回函；
</t>
    </r>
    <r>
      <rPr>
        <sz val="10"/>
        <color indexed="12"/>
        <rFont val="Arial Narrow"/>
        <family val="2"/>
      </rPr>
      <t xml:space="preserve">• </t>
    </r>
    <r>
      <rPr>
        <sz val="10"/>
        <color indexed="12"/>
        <rFont val="宋体"/>
        <family val="3"/>
        <charset val="134"/>
      </rPr>
      <t>外部数据（例如，第三方发布的数据，如，定价来源）。</t>
    </r>
    <phoneticPr fontId="53" type="noConversion"/>
  </si>
  <si>
    <t>根据评估的舞弊风险等因素增加的审计程序。</t>
  </si>
  <si>
    <t>IPO/上市/新三板/重组/舞弊应对</t>
  </si>
  <si>
    <t>8</t>
    <phoneticPr fontId="53" type="noConversion"/>
  </si>
  <si>
    <t>9</t>
    <phoneticPr fontId="53" type="noConversion"/>
  </si>
  <si>
    <t>备选</t>
    <phoneticPr fontId="53" type="noConversion"/>
  </si>
  <si>
    <r>
      <t>A1-1/</t>
    </r>
    <r>
      <rPr>
        <sz val="10"/>
        <color rgb="FFFF0000"/>
        <rFont val="Arial Narrow"/>
        <family val="2"/>
      </rPr>
      <t>A1-15 /A1-16</t>
    </r>
    <phoneticPr fontId="56" type="noConversion"/>
  </si>
  <si>
    <t>三、计划实施的实质性程序</t>
    <phoneticPr fontId="57" type="noConversion"/>
  </si>
  <si>
    <r>
      <rPr>
        <sz val="10"/>
        <color theme="1"/>
        <rFont val="宋体"/>
        <family val="3"/>
        <charset val="134"/>
      </rPr>
      <t>√</t>
    </r>
    <phoneticPr fontId="57" type="noConversion"/>
  </si>
  <si>
    <r>
      <rPr>
        <b/>
        <sz val="10"/>
        <color theme="1"/>
        <rFont val="宋体"/>
        <family val="3"/>
        <charset val="134"/>
      </rPr>
      <t>√</t>
    </r>
    <phoneticPr fontId="57" type="noConversion"/>
  </si>
  <si>
    <r>
      <rPr>
        <b/>
        <sz val="10"/>
        <rFont val="宋体"/>
        <family val="3"/>
        <charset val="134"/>
      </rPr>
      <t>√</t>
    </r>
    <phoneticPr fontId="57" type="noConversion"/>
  </si>
  <si>
    <r>
      <rPr>
        <sz val="10"/>
        <rFont val="宋体"/>
        <family val="3"/>
        <charset val="134"/>
      </rPr>
      <t>√</t>
    </r>
    <phoneticPr fontId="57" type="noConversion"/>
  </si>
  <si>
    <r>
      <rPr>
        <b/>
        <sz val="10"/>
        <rFont val="宋体"/>
        <family val="3"/>
        <charset val="134"/>
      </rPr>
      <t>√</t>
    </r>
    <phoneticPr fontId="57" type="noConversion"/>
  </si>
  <si>
    <r>
      <rPr>
        <sz val="10"/>
        <rFont val="宋体"/>
        <family val="3"/>
        <charset val="134"/>
      </rPr>
      <t>√</t>
    </r>
    <phoneticPr fontId="57" type="noConversion"/>
  </si>
  <si>
    <r>
      <rPr>
        <sz val="10"/>
        <rFont val="宋体"/>
        <family val="3"/>
        <charset val="134"/>
      </rPr>
      <t>√</t>
    </r>
    <phoneticPr fontId="57" type="noConversion"/>
  </si>
  <si>
    <t>减值准备：</t>
  </si>
  <si>
    <r>
      <t>TB</t>
    </r>
    <r>
      <rPr>
        <b/>
        <sz val="10"/>
        <color rgb="FF000000"/>
        <rFont val="宋体"/>
        <family val="3"/>
        <charset val="134"/>
      </rPr>
      <t>数据：</t>
    </r>
  </si>
  <si>
    <t>项目</t>
  </si>
  <si>
    <t>记账凭证</t>
  </si>
  <si>
    <t>支持性文件</t>
  </si>
  <si>
    <t>核对内容</t>
  </si>
  <si>
    <t>索引号</t>
  </si>
  <si>
    <t>是否异常</t>
  </si>
  <si>
    <t>备注说明</t>
  </si>
  <si>
    <t>日期</t>
  </si>
  <si>
    <t>凭证编号</t>
  </si>
  <si>
    <t>业务内容</t>
  </si>
  <si>
    <t>对方科目</t>
  </si>
  <si>
    <t>对方明细科目</t>
  </si>
  <si>
    <t>借方金额</t>
  </si>
  <si>
    <t>贷方金额</t>
  </si>
  <si>
    <r>
      <t>测试内容说明：</t>
    </r>
    <r>
      <rPr>
        <sz val="10"/>
        <color indexed="10"/>
        <rFont val="Arial Narrow"/>
        <family val="2"/>
      </rPr>
      <t>1.</t>
    </r>
    <r>
      <rPr>
        <sz val="10"/>
        <color indexed="10"/>
        <rFont val="宋体"/>
        <family val="2"/>
      </rPr>
      <t>原始凭证是否齐全；</t>
    </r>
    <r>
      <rPr>
        <sz val="10"/>
        <color indexed="10"/>
        <rFont val="Arial Narrow"/>
        <family val="2"/>
      </rPr>
      <t xml:space="preserve"> 2.</t>
    </r>
    <r>
      <rPr>
        <sz val="10"/>
        <color indexed="10"/>
        <rFont val="宋体"/>
        <family val="2"/>
      </rPr>
      <t>记账凭证与原始凭证是否相符；</t>
    </r>
    <r>
      <rPr>
        <sz val="10"/>
        <color indexed="10"/>
        <rFont val="Arial Narrow"/>
        <family val="2"/>
      </rPr>
      <t>3.</t>
    </r>
    <r>
      <rPr>
        <sz val="10"/>
        <color indexed="10"/>
        <rFont val="宋体"/>
        <family val="2"/>
      </rPr>
      <t>账务处理是否正确；</t>
    </r>
    <r>
      <rPr>
        <sz val="10"/>
        <color indexed="10"/>
        <rFont val="Arial Narrow"/>
        <family val="2"/>
      </rPr>
      <t>4.</t>
    </r>
    <r>
      <rPr>
        <sz val="10"/>
        <color indexed="10"/>
        <rFont val="宋体"/>
        <family val="2"/>
      </rPr>
      <t>是否记录于恰当的会计期间；</t>
    </r>
    <r>
      <rPr>
        <sz val="10"/>
        <color indexed="10"/>
        <rFont val="Arial Narrow"/>
        <family val="2"/>
      </rPr>
      <t>5.……</t>
    </r>
  </si>
  <si>
    <t>名称</t>
    <phoneticPr fontId="53" type="noConversion"/>
  </si>
  <si>
    <t>致同会计师事务所</t>
    <phoneticPr fontId="53" type="noConversion"/>
  </si>
  <si>
    <t>被审计单位：</t>
    <phoneticPr fontId="53" type="noConversion"/>
  </si>
  <si>
    <t>编制人：</t>
    <phoneticPr fontId="53" type="noConversion"/>
  </si>
  <si>
    <t>编制日期：</t>
    <phoneticPr fontId="53" type="noConversion"/>
  </si>
  <si>
    <t>复核人：</t>
    <phoneticPr fontId="53" type="noConversion"/>
  </si>
  <si>
    <t>复核日期：</t>
    <phoneticPr fontId="53" type="noConversion"/>
  </si>
  <si>
    <r>
      <t xml:space="preserve">D. </t>
    </r>
    <r>
      <rPr>
        <sz val="10"/>
        <rFont val="宋体"/>
        <family val="3"/>
        <charset val="134"/>
      </rPr>
      <t>其他非流动资产以恰当的金额包括在财务报表中，与之相关的计价或分摊调整已恰当记录，相关披露已得到恰当计量和描述</t>
    </r>
    <r>
      <rPr>
        <sz val="10"/>
        <rFont val="Arial"/>
        <family val="2"/>
      </rPr>
      <t xml:space="preserve"> </t>
    </r>
    <phoneticPr fontId="5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</si>
  <si>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7" type="noConversion"/>
  </si>
  <si>
    <t>关于工作底稿与审计程序索引号对应的说明</t>
    <phoneticPr fontId="57" type="noConversion"/>
  </si>
  <si>
    <r>
      <t>1.</t>
    </r>
    <r>
      <rPr>
        <b/>
        <sz val="12"/>
        <rFont val="宋体"/>
        <family val="3"/>
        <charset val="134"/>
      </rPr>
      <t>编制的审计工作底稿应与审计程序对应。</t>
    </r>
    <r>
      <rPr>
        <sz val="11"/>
        <color theme="1"/>
        <rFont val="宋体"/>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7" type="noConversion"/>
  </si>
  <si>
    <r>
      <t>2.</t>
    </r>
    <r>
      <rPr>
        <b/>
        <sz val="12"/>
        <rFont val="宋体"/>
        <family val="3"/>
        <charset val="134"/>
      </rPr>
      <t>获取的支持性证据应与审计底稿或程序对应。</t>
    </r>
    <r>
      <rPr>
        <sz val="11"/>
        <color theme="1"/>
        <rFont val="宋体"/>
        <charset val="134"/>
        <scheme val="minor"/>
      </rPr>
      <t>审计项目组在完成底稿时获取的支持性证据应根据底稿索引号编制下一级按自然顺序排序的索引号（如</t>
    </r>
    <r>
      <rPr>
        <sz val="12"/>
        <rFont val="Arial Narrow"/>
        <family val="2"/>
      </rPr>
      <t>D1-2-1</t>
    </r>
    <r>
      <rPr>
        <sz val="11"/>
        <color theme="1"/>
        <rFont val="宋体"/>
        <charset val="134"/>
        <scheme val="minor"/>
      </rPr>
      <t>、</t>
    </r>
    <r>
      <rPr>
        <sz val="12"/>
        <rFont val="Arial Narrow"/>
        <family val="2"/>
      </rPr>
      <t>D1-2-2</t>
    </r>
    <r>
      <rPr>
        <sz val="11"/>
        <color theme="1"/>
        <rFont val="宋体"/>
        <charset val="134"/>
        <scheme val="minor"/>
      </rPr>
      <t>、</t>
    </r>
    <r>
      <rPr>
        <sz val="12"/>
        <rFont val="Arial Narrow"/>
        <family val="2"/>
      </rPr>
      <t>……</t>
    </r>
    <r>
      <rPr>
        <sz val="11"/>
        <color theme="1"/>
        <rFont val="宋体"/>
        <charset val="134"/>
        <scheme val="minor"/>
      </rPr>
      <t>），并在底稿中说明引用的支持性证据、关联索引号。</t>
    </r>
    <phoneticPr fontId="57" type="noConversion"/>
  </si>
  <si>
    <r>
      <rPr>
        <b/>
        <sz val="12"/>
        <rFont val="Arial Narrow"/>
        <family val="2"/>
      </rPr>
      <t>3.</t>
    </r>
    <r>
      <rPr>
        <b/>
        <sz val="12"/>
        <rFont val="宋体"/>
        <family val="3"/>
        <charset val="134"/>
      </rPr>
      <t>工作底稿索引号的编码规则：</t>
    </r>
    <r>
      <rPr>
        <sz val="11"/>
        <color theme="1"/>
        <rFont val="宋体"/>
        <charset val="134"/>
        <scheme val="minor"/>
      </rPr>
      <t>实质性程序索引号按循环从</t>
    </r>
    <r>
      <rPr>
        <sz val="12"/>
        <rFont val="Arial Narrow"/>
        <family val="2"/>
      </rPr>
      <t>“D”</t>
    </r>
    <r>
      <rPr>
        <sz val="11"/>
        <color theme="1"/>
        <rFont val="宋体"/>
        <charset val="134"/>
        <scheme val="minor"/>
      </rPr>
      <t>到</t>
    </r>
    <r>
      <rPr>
        <sz val="12"/>
        <rFont val="Arial Narrow"/>
        <family val="2"/>
      </rPr>
      <t>“N”,</t>
    </r>
    <r>
      <rPr>
        <sz val="11"/>
        <color theme="1"/>
        <rFont val="宋体"/>
        <charset val="134"/>
        <scheme val="minor"/>
      </rPr>
      <t>循环内账户以顺序号排列，模板中底稿索引号按账户顺序</t>
    </r>
    <r>
      <rPr>
        <sz val="12"/>
        <rFont val="Arial Narrow"/>
        <family val="2"/>
      </rPr>
      <t>+</t>
    </r>
    <r>
      <rPr>
        <sz val="11"/>
        <color theme="1"/>
        <rFont val="宋体"/>
        <charset val="134"/>
        <scheme val="minor"/>
      </rPr>
      <t>自然数顺序（即模板中索引号按二级自然顺序排列，如</t>
    </r>
    <r>
      <rPr>
        <sz val="12"/>
        <rFont val="Arial Narrow"/>
        <family val="2"/>
      </rPr>
      <t>D1-1</t>
    </r>
    <r>
      <rPr>
        <sz val="11"/>
        <color theme="1"/>
        <rFont val="宋体"/>
        <charset val="134"/>
        <scheme val="minor"/>
      </rPr>
      <t>、</t>
    </r>
    <r>
      <rPr>
        <sz val="12"/>
        <rFont val="Arial Narrow"/>
        <family val="2"/>
      </rPr>
      <t>D1-2</t>
    </r>
    <r>
      <rPr>
        <sz val="11"/>
        <color theme="1"/>
        <rFont val="宋体"/>
        <charset val="134"/>
        <scheme val="minor"/>
      </rPr>
      <t>、</t>
    </r>
    <r>
      <rPr>
        <sz val="12"/>
        <rFont val="Arial Narrow"/>
        <family val="2"/>
      </rPr>
      <t>D1-3</t>
    </r>
    <r>
      <rPr>
        <sz val="11"/>
        <color theme="1"/>
        <rFont val="宋体"/>
        <charset val="134"/>
        <scheme val="minor"/>
      </rPr>
      <t>、</t>
    </r>
    <r>
      <rPr>
        <sz val="12"/>
        <rFont val="Arial Narrow"/>
        <family val="2"/>
      </rPr>
      <t>……D1-N</t>
    </r>
    <r>
      <rPr>
        <sz val="11"/>
        <color theme="1"/>
        <rFont val="宋体"/>
        <charset val="134"/>
        <scheme val="minor"/>
      </rPr>
      <t>）。</t>
    </r>
    <phoneticPr fontId="57" type="noConversion"/>
  </si>
  <si>
    <t>根据被审计单位实际情况和风险评估情况裁剪、修改或增加审计程序</t>
    <phoneticPr fontId="57" type="noConversion"/>
  </si>
  <si>
    <t>审计程序</t>
    <phoneticPr fontId="56" type="noConversion"/>
  </si>
  <si>
    <t>T1
/</t>
    <phoneticPr fontId="53" type="noConversion"/>
  </si>
  <si>
    <t>随机选样/系统选样/货币单元抽样/随意选样（非统计抽样适用）</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</si>
</sst>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_ * #,##0.0000_ ;_ * \-#,##0.0000_ ;_ * &quot;-&quot;??_ ;_ @_ "/>
  </numFmts>
  <fonts count="68">
    <font>
      <sz val="11"/>
      <color theme="1"/>
      <name val="宋体"/>
      <charset val="134"/>
      <scheme val="minor"/>
    </font>
    <font>
      <sz val="11"/>
      <color theme="1"/>
      <name val="宋体"/>
      <family val="2"/>
      <charset val="134"/>
      <scheme val="minor"/>
    </font>
    <font>
      <sz val="11"/>
      <color theme="1"/>
      <name val="宋体"/>
      <family val="2"/>
      <charset val="134"/>
      <scheme val="minor"/>
    </font>
    <font>
      <b/>
      <sz val="10"/>
      <color indexed="8"/>
      <name val="Arial Narrow"/>
      <family val="2"/>
    </font>
    <font>
      <b/>
      <sz val="12"/>
      <color indexed="8"/>
      <name val="Arial Narrow"/>
      <family val="2"/>
    </font>
    <font>
      <sz val="10"/>
      <color indexed="8"/>
      <name val="Arial Narrow"/>
      <family val="2"/>
    </font>
    <font>
      <b/>
      <sz val="10"/>
      <name val="宋体"/>
      <family val="3"/>
      <charset val="134"/>
    </font>
    <font>
      <b/>
      <sz val="10"/>
      <name val="Arial Narrow"/>
      <family val="2"/>
    </font>
    <font>
      <b/>
      <sz val="12"/>
      <name val="宋体"/>
      <family val="3"/>
      <charset val="134"/>
    </font>
    <font>
      <b/>
      <sz val="12"/>
      <name val="Arial Narrow"/>
      <family val="2"/>
    </font>
    <font>
      <sz val="10"/>
      <name val="Arial Narrow"/>
      <family val="2"/>
    </font>
    <font>
      <sz val="10"/>
      <color indexed="12"/>
      <name val="Arial Narrow"/>
      <family val="2"/>
    </font>
    <font>
      <sz val="12"/>
      <name val="Arial Narrow"/>
      <family val="2"/>
    </font>
    <font>
      <sz val="12"/>
      <color indexed="12"/>
      <name val="Arial Narrow"/>
      <family val="2"/>
    </font>
    <font>
      <sz val="10"/>
      <name val="宋体"/>
      <family val="3"/>
      <charset val="134"/>
    </font>
    <font>
      <sz val="12"/>
      <name val="宋体"/>
      <family val="3"/>
      <charset val="134"/>
    </font>
    <font>
      <sz val="10"/>
      <color indexed="8"/>
      <name val="宋体"/>
      <family val="3"/>
      <charset val="134"/>
    </font>
    <font>
      <b/>
      <sz val="10"/>
      <color indexed="8"/>
      <name val="宋体"/>
      <family val="3"/>
      <charset val="134"/>
    </font>
    <font>
      <b/>
      <sz val="10"/>
      <color rgb="FFE92841"/>
      <name val="Arial Narrow"/>
      <family val="2"/>
    </font>
    <font>
      <sz val="10"/>
      <color rgb="FFFF0000"/>
      <name val="宋体"/>
      <family val="3"/>
      <charset val="134"/>
    </font>
    <font>
      <sz val="12"/>
      <color indexed="12"/>
      <name val="仿宋_GB2312"/>
      <family val="3"/>
      <charset val="134"/>
    </font>
    <font>
      <b/>
      <sz val="10"/>
      <color indexed="10"/>
      <name val="Arial Narrow"/>
      <family val="2"/>
    </font>
    <font>
      <b/>
      <sz val="10"/>
      <color theme="1"/>
      <name val="Arial Narrow"/>
      <family val="2"/>
    </font>
    <font>
      <b/>
      <sz val="10"/>
      <color theme="1"/>
      <name val="宋体"/>
      <family val="3"/>
      <charset val="134"/>
    </font>
    <font>
      <b/>
      <sz val="10"/>
      <color theme="1"/>
      <name val="宋体"/>
      <family val="3"/>
      <charset val="134"/>
    </font>
    <font>
      <sz val="10"/>
      <color rgb="FFFF0000"/>
      <name val="宋体"/>
      <family val="3"/>
      <charset val="134"/>
      <scheme val="minor"/>
    </font>
    <font>
      <sz val="9"/>
      <name val="Arial Narrow"/>
      <family val="2"/>
    </font>
    <font>
      <sz val="10"/>
      <color rgb="FF0000FF"/>
      <name val="宋体"/>
      <family val="3"/>
      <charset val="134"/>
    </font>
    <font>
      <sz val="10"/>
      <color rgb="FF0000FF"/>
      <name val="宋体"/>
      <family val="3"/>
      <charset val="134"/>
    </font>
    <font>
      <sz val="10"/>
      <color rgb="FF0000FF"/>
      <name val="Arial Narrow"/>
      <family val="2"/>
    </font>
    <font>
      <sz val="10"/>
      <color indexed="8"/>
      <name val="宋体"/>
      <family val="3"/>
      <charset val="134"/>
      <scheme val="minor"/>
    </font>
    <font>
      <b/>
      <sz val="10"/>
      <color indexed="8"/>
      <name val="宋体"/>
      <family val="3"/>
      <charset val="134"/>
      <scheme val="minor"/>
    </font>
    <font>
      <sz val="10"/>
      <color theme="1"/>
      <name val="宋体"/>
      <family val="3"/>
      <charset val="134"/>
      <scheme val="minor"/>
    </font>
    <font>
      <sz val="12"/>
      <color indexed="8"/>
      <name val="Arial Narrow"/>
      <family val="2"/>
    </font>
    <font>
      <u/>
      <sz val="11"/>
      <color theme="10"/>
      <name val="宋体"/>
      <family val="3"/>
      <charset val="134"/>
    </font>
    <font>
      <sz val="10"/>
      <name val="Arial"/>
      <family val="2"/>
    </font>
    <font>
      <sz val="10"/>
      <color theme="1"/>
      <name val="Arial Narrow"/>
      <family val="2"/>
    </font>
    <font>
      <b/>
      <sz val="10"/>
      <color rgb="FF000000"/>
      <name val="宋体"/>
      <family val="3"/>
      <charset val="134"/>
    </font>
    <font>
      <sz val="10"/>
      <color theme="1"/>
      <name val="宋体"/>
      <family val="3"/>
      <charset val="134"/>
    </font>
    <font>
      <sz val="10"/>
      <color indexed="8"/>
      <name val="宋体"/>
      <family val="3"/>
      <charset val="134"/>
    </font>
    <font>
      <sz val="10"/>
      <color rgb="FF000000"/>
      <name val="宋体"/>
      <family val="3"/>
      <charset val="134"/>
    </font>
    <font>
      <b/>
      <sz val="12"/>
      <color indexed="8"/>
      <name val="宋体"/>
      <family val="3"/>
      <charset val="134"/>
    </font>
    <font>
      <b/>
      <sz val="10"/>
      <name val="宋体"/>
      <family val="3"/>
      <charset val="134"/>
    </font>
    <font>
      <sz val="10"/>
      <color indexed="12"/>
      <name val="宋体"/>
      <family val="3"/>
      <charset val="134"/>
    </font>
    <font>
      <sz val="11"/>
      <color indexed="8"/>
      <name val="宋体"/>
      <family val="3"/>
      <charset val="134"/>
    </font>
    <font>
      <sz val="11"/>
      <color theme="1"/>
      <name val="宋体"/>
      <family val="3"/>
      <charset val="134"/>
      <scheme val="minor"/>
    </font>
    <font>
      <sz val="11"/>
      <color theme="1"/>
      <name val="宋体"/>
      <family val="3"/>
      <charset val="134"/>
      <scheme val="minor"/>
    </font>
    <font>
      <sz val="10"/>
      <color indexed="8"/>
      <name val="Tahoma"/>
      <family val="2"/>
    </font>
    <font>
      <sz val="11"/>
      <color indexed="8"/>
      <name val="宋体"/>
      <family val="3"/>
      <charset val="134"/>
    </font>
    <font>
      <u/>
      <sz val="11"/>
      <color theme="10"/>
      <name val="宋体"/>
      <family val="3"/>
      <charset val="134"/>
    </font>
    <font>
      <u/>
      <sz val="12"/>
      <color indexed="12"/>
      <name val="宋体"/>
      <family val="3"/>
      <charset val="134"/>
    </font>
    <font>
      <sz val="10"/>
      <color indexed="12"/>
      <name val="宋体"/>
      <family val="3"/>
      <charset val="134"/>
      <scheme val="minor"/>
    </font>
    <font>
      <sz val="10"/>
      <color rgb="FF0000FF"/>
      <name val="微软雅黑"/>
      <family val="2"/>
      <charset val="134"/>
    </font>
    <font>
      <sz val="9"/>
      <name val="宋体"/>
      <family val="3"/>
      <charset val="134"/>
      <scheme val="minor"/>
    </font>
    <font>
      <sz val="10"/>
      <color indexed="8"/>
      <name val="宋体"/>
      <family val="2"/>
    </font>
    <font>
      <sz val="10"/>
      <color rgb="FFFF0000"/>
      <name val="Arial Narrow"/>
      <family val="2"/>
    </font>
    <font>
      <sz val="9"/>
      <name val="宋体"/>
      <family val="2"/>
      <charset val="134"/>
      <scheme val="minor"/>
    </font>
    <font>
      <sz val="9"/>
      <name val="宋体"/>
      <family val="3"/>
      <charset val="134"/>
    </font>
    <font>
      <b/>
      <sz val="10"/>
      <name val="宋体"/>
      <family val="2"/>
    </font>
    <font>
      <b/>
      <sz val="14"/>
      <name val="宋体"/>
      <family val="3"/>
      <charset val="134"/>
    </font>
    <font>
      <sz val="10"/>
      <color indexed="10"/>
      <name val="Arial Narrow"/>
      <family val="2"/>
    </font>
    <font>
      <sz val="10"/>
      <color indexed="10"/>
      <name val="宋体"/>
      <family val="2"/>
    </font>
    <font>
      <b/>
      <sz val="10"/>
      <color indexed="10"/>
      <name val="宋体"/>
      <family val="2"/>
    </font>
    <font>
      <b/>
      <sz val="14"/>
      <name val="Arial Narrow"/>
      <family val="2"/>
    </font>
    <font>
      <b/>
      <sz val="14"/>
      <color indexed="8"/>
      <name val="宋体"/>
      <family val="3"/>
      <charset val="134"/>
    </font>
    <font>
      <b/>
      <sz val="9"/>
      <color indexed="81"/>
      <name val="宋体"/>
      <family val="3"/>
      <charset val="134"/>
    </font>
    <font>
      <sz val="9"/>
      <color indexed="81"/>
      <name val="宋体"/>
      <family val="3"/>
      <charset val="134"/>
    </font>
    <font>
      <sz val="10"/>
      <color theme="10"/>
      <name val="Arial Narrow"/>
      <family val="2"/>
    </font>
  </fonts>
  <fills count="10">
    <fill>
      <patternFill patternType="none"/>
    </fill>
    <fill>
      <patternFill patternType="gray125"/>
    </fill>
    <fill>
      <patternFill patternType="solid">
        <fgColor theme="7" tint="0.79995117038483843"/>
        <bgColor indexed="64"/>
      </patternFill>
    </fill>
    <fill>
      <patternFill patternType="solid">
        <fgColor theme="7" tint="0.59999389629810485"/>
        <bgColor indexed="64"/>
      </patternFill>
    </fill>
    <fill>
      <patternFill patternType="solid">
        <fgColor indexed="9"/>
        <bgColor indexed="64"/>
      </patternFill>
    </fill>
    <fill>
      <patternFill patternType="solid">
        <fgColor rgb="FFE4DFEC"/>
        <bgColor indexed="64"/>
      </patternFill>
    </fill>
    <fill>
      <patternFill patternType="solid">
        <fgColor rgb="FFD9D9D9"/>
        <bgColor indexed="64"/>
      </patternFill>
    </fill>
    <fill>
      <patternFill patternType="solid">
        <fgColor rgb="FFFF00FF"/>
        <bgColor indexed="64"/>
      </patternFill>
    </fill>
    <fill>
      <patternFill patternType="solid">
        <fgColor theme="7" tint="0.79998168889431442"/>
        <bgColor indexed="64"/>
      </patternFill>
    </fill>
    <fill>
      <patternFill patternType="solid">
        <fgColor indexed="14"/>
        <bgColor indexed="64"/>
      </patternFill>
    </fill>
  </fills>
  <borders count="17">
    <border>
      <left/>
      <right/>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bottom style="hair">
        <color auto="1"/>
      </bottom>
      <diagonal/>
    </border>
    <border>
      <left style="hair">
        <color auto="1"/>
      </left>
      <right style="hair">
        <color auto="1"/>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21">
    <xf numFmtId="0" fontId="0" fillId="0" borderId="0">
      <alignment vertical="center"/>
    </xf>
    <xf numFmtId="43" fontId="44" fillId="0" borderId="0" applyFont="0" applyFill="0" applyBorder="0" applyAlignment="0" applyProtection="0">
      <alignment vertical="center"/>
    </xf>
    <xf numFmtId="9" fontId="44" fillId="0" borderId="0" applyFont="0" applyFill="0" applyBorder="0" applyAlignment="0" applyProtection="0">
      <alignment vertical="center"/>
    </xf>
    <xf numFmtId="0" fontId="34" fillId="0" borderId="0" applyNumberFormat="0" applyFill="0" applyBorder="0" applyAlignment="0" applyProtection="0">
      <alignment vertical="top"/>
      <protection locked="0"/>
    </xf>
    <xf numFmtId="9" fontId="15" fillId="0" borderId="0" applyFont="0" applyFill="0" applyBorder="0" applyAlignment="0" applyProtection="0"/>
    <xf numFmtId="176" fontId="15" fillId="0" borderId="0">
      <protection locked="0"/>
    </xf>
    <xf numFmtId="0" fontId="45" fillId="0" borderId="0"/>
    <xf numFmtId="0" fontId="15" fillId="0" borderId="0">
      <protection locked="0"/>
    </xf>
    <xf numFmtId="176" fontId="15" fillId="0" borderId="0">
      <protection locked="0"/>
    </xf>
    <xf numFmtId="176" fontId="46" fillId="0" borderId="0">
      <alignment vertical="center"/>
    </xf>
    <xf numFmtId="176" fontId="15" fillId="0" borderId="0"/>
    <xf numFmtId="176" fontId="47" fillId="0" borderId="0">
      <alignment vertical="center"/>
    </xf>
    <xf numFmtId="176" fontId="48" fillId="0" borderId="0">
      <alignment vertical="center"/>
    </xf>
    <xf numFmtId="0" fontId="46" fillId="0" borderId="0">
      <alignment vertical="center"/>
    </xf>
    <xf numFmtId="0" fontId="15" fillId="0" borderId="0"/>
    <xf numFmtId="0" fontId="15" fillId="0" borderId="0" applyFill="0" applyBorder="0"/>
    <xf numFmtId="176" fontId="15" fillId="0" borderId="0">
      <alignment vertical="center"/>
    </xf>
    <xf numFmtId="176" fontId="49" fillId="0" borderId="0" applyNumberFormat="0" applyFill="0" applyBorder="0" applyAlignment="0" applyProtection="0">
      <alignment vertical="center"/>
    </xf>
    <xf numFmtId="0" fontId="50" fillId="0" borderId="0" applyNumberFormat="0" applyFill="0" applyBorder="0" applyAlignment="0" applyProtection="0">
      <alignment vertical="top"/>
      <protection locked="0"/>
    </xf>
    <xf numFmtId="176" fontId="2" fillId="0" borderId="0">
      <alignment vertical="center"/>
    </xf>
    <xf numFmtId="176" fontId="1" fillId="0" borderId="0">
      <alignment vertical="center"/>
    </xf>
  </cellStyleXfs>
  <cellXfs count="242">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center" vertical="center"/>
    </xf>
    <xf numFmtId="0" fontId="5" fillId="0" borderId="0" xfId="0" applyFont="1">
      <alignment vertical="center"/>
    </xf>
    <xf numFmtId="0" fontId="10" fillId="0" borderId="0" xfId="0" applyFont="1" applyProtection="1">
      <alignment vertical="center"/>
      <protection locked="0"/>
    </xf>
    <xf numFmtId="0" fontId="10" fillId="0" borderId="0" xfId="0" applyFont="1" applyAlignment="1" applyProtection="1">
      <alignment horizontal="left" vertical="center"/>
      <protection locked="0"/>
    </xf>
    <xf numFmtId="14" fontId="10" fillId="0" borderId="0" xfId="0" applyNumberFormat="1" applyFont="1" applyAlignment="1" applyProtection="1">
      <alignment horizontal="left" vertical="center"/>
      <protection locked="0"/>
    </xf>
    <xf numFmtId="0" fontId="10" fillId="0" borderId="0" xfId="0" applyFont="1" applyAlignment="1" applyProtection="1">
      <alignment vertical="center"/>
      <protection locked="0"/>
    </xf>
    <xf numFmtId="0" fontId="7" fillId="0" borderId="0" xfId="14" applyFont="1" applyAlignment="1">
      <alignment horizontal="left" vertical="center"/>
    </xf>
    <xf numFmtId="0" fontId="10" fillId="0" borderId="0" xfId="14" applyFont="1" applyAlignment="1">
      <alignment vertical="center"/>
    </xf>
    <xf numFmtId="0" fontId="10" fillId="0" borderId="0" xfId="0" applyNumberFormat="1" applyFont="1" applyFill="1" applyBorder="1" applyAlignment="1" applyProtection="1">
      <alignment horizontal="left" vertical="center"/>
    </xf>
    <xf numFmtId="0" fontId="11" fillId="0" borderId="0" xfId="0" applyNumberFormat="1" applyFont="1" applyFill="1" applyBorder="1" applyAlignment="1" applyProtection="1">
      <alignment horizontal="left" vertical="center"/>
    </xf>
    <xf numFmtId="0" fontId="12" fillId="0" borderId="0" xfId="0" applyNumberFormat="1" applyFont="1" applyFill="1" applyBorder="1" applyAlignment="1" applyProtection="1">
      <protection locked="0"/>
    </xf>
    <xf numFmtId="0" fontId="7" fillId="0" borderId="0" xfId="14" applyFont="1" applyAlignment="1">
      <alignment vertical="center"/>
    </xf>
    <xf numFmtId="0" fontId="11" fillId="0" borderId="0" xfId="14" applyFont="1" applyAlignment="1" applyProtection="1">
      <alignment horizontal="center" vertical="center"/>
      <protection hidden="1"/>
    </xf>
    <xf numFmtId="0" fontId="10" fillId="0" borderId="0" xfId="14" applyFont="1" applyAlignment="1" applyProtection="1">
      <alignment horizontal="left" vertical="center"/>
      <protection hidden="1"/>
    </xf>
    <xf numFmtId="0" fontId="11" fillId="0" borderId="0" xfId="14" applyFont="1" applyAlignment="1" applyProtection="1">
      <alignment horizontal="left" vertical="center"/>
      <protection locked="0"/>
    </xf>
    <xf numFmtId="0" fontId="10" fillId="0" borderId="0" xfId="14" applyFont="1" applyAlignment="1" applyProtection="1">
      <alignment vertical="center"/>
      <protection locked="0"/>
    </xf>
    <xf numFmtId="0" fontId="7" fillId="0" borderId="0" xfId="0" applyNumberFormat="1" applyFont="1" applyFill="1" applyBorder="1" applyAlignment="1" applyProtection="1">
      <alignment vertical="center"/>
      <protection locked="0"/>
    </xf>
    <xf numFmtId="0" fontId="3" fillId="0" borderId="0" xfId="0" applyNumberFormat="1" applyFont="1" applyFill="1" applyBorder="1" applyAlignment="1" applyProtection="1">
      <alignment vertical="center"/>
    </xf>
    <xf numFmtId="0" fontId="11" fillId="0" borderId="0" xfId="0" applyNumberFormat="1" applyFont="1" applyFill="1" applyBorder="1" applyAlignment="1" applyProtection="1">
      <protection locked="0"/>
    </xf>
    <xf numFmtId="0" fontId="7" fillId="0" borderId="0" xfId="0" applyFont="1" applyProtection="1">
      <alignment vertical="center"/>
      <protection locked="0"/>
    </xf>
    <xf numFmtId="0" fontId="13" fillId="0" borderId="0" xfId="0" applyNumberFormat="1" applyFont="1" applyFill="1" applyBorder="1" applyAlignment="1" applyProtection="1">
      <protection locked="0"/>
    </xf>
    <xf numFmtId="0" fontId="5" fillId="0" borderId="0" xfId="0" applyNumberFormat="1" applyFont="1" applyFill="1" applyBorder="1" applyAlignment="1" applyProtection="1">
      <alignment vertical="center"/>
    </xf>
    <xf numFmtId="0" fontId="14" fillId="0" borderId="0" xfId="7" applyFont="1">
      <protection locked="0"/>
    </xf>
    <xf numFmtId="0" fontId="15" fillId="0" borderId="0" xfId="7" applyAlignment="1">
      <alignment wrapText="1"/>
      <protection locked="0"/>
    </xf>
    <xf numFmtId="0" fontId="15" fillId="0" borderId="0" xfId="7">
      <protection locked="0"/>
    </xf>
    <xf numFmtId="0" fontId="5" fillId="0" borderId="0" xfId="13" applyFont="1">
      <alignment vertical="center"/>
    </xf>
    <xf numFmtId="14" fontId="5" fillId="0" borderId="0" xfId="13" applyNumberFormat="1" applyFont="1">
      <alignment vertical="center"/>
    </xf>
    <xf numFmtId="43" fontId="10" fillId="0" borderId="0" xfId="15" applyNumberFormat="1" applyFont="1" applyBorder="1" applyAlignment="1">
      <alignment vertical="center"/>
    </xf>
    <xf numFmtId="0" fontId="16" fillId="0" borderId="0" xfId="13" applyFont="1">
      <alignment vertical="center"/>
    </xf>
    <xf numFmtId="0" fontId="17" fillId="2" borderId="6" xfId="7" applyFont="1" applyFill="1" applyBorder="1" applyAlignment="1" applyProtection="1">
      <alignment vertical="center" wrapText="1"/>
    </xf>
    <xf numFmtId="176" fontId="6" fillId="2" borderId="6" xfId="10" applyFont="1" applyFill="1" applyBorder="1" applyAlignment="1" applyProtection="1">
      <alignment horizontal="center" vertical="center" wrapText="1"/>
      <protection locked="0"/>
    </xf>
    <xf numFmtId="176" fontId="18" fillId="2" borderId="6" xfId="10" applyFont="1" applyFill="1" applyBorder="1" applyAlignment="1" applyProtection="1">
      <alignment horizontal="center" vertical="center" wrapText="1"/>
      <protection locked="0"/>
    </xf>
    <xf numFmtId="0" fontId="16" fillId="0" borderId="6" xfId="7" applyFont="1" applyBorder="1" applyAlignment="1" applyProtection="1">
      <alignment vertical="center"/>
    </xf>
    <xf numFmtId="0" fontId="14" fillId="0" borderId="6" xfId="7" applyFont="1" applyBorder="1" applyAlignment="1" applyProtection="1">
      <alignment vertical="center"/>
    </xf>
    <xf numFmtId="0" fontId="19" fillId="0" borderId="6" xfId="7" applyFont="1" applyBorder="1" applyAlignment="1" applyProtection="1">
      <alignment horizontal="left" vertical="center" indent="1"/>
    </xf>
    <xf numFmtId="0" fontId="3" fillId="0" borderId="6" xfId="7" applyFont="1" applyBorder="1" applyAlignment="1" applyProtection="1">
      <alignment horizontal="center" vertical="center"/>
    </xf>
    <xf numFmtId="176" fontId="21" fillId="0" borderId="0" xfId="9" applyFont="1">
      <alignment vertical="center"/>
    </xf>
    <xf numFmtId="0" fontId="3" fillId="3" borderId="0" xfId="0" applyFont="1" applyFill="1">
      <alignment vertical="center"/>
    </xf>
    <xf numFmtId="176" fontId="3" fillId="0" borderId="0" xfId="5" applyFont="1" applyAlignment="1" applyProtection="1">
      <alignment vertical="center"/>
    </xf>
    <xf numFmtId="176" fontId="10" fillId="0" borderId="0" xfId="16" applyFont="1">
      <alignment vertical="center"/>
    </xf>
    <xf numFmtId="0" fontId="14" fillId="0" borderId="0" xfId="0" applyFont="1" applyProtection="1">
      <alignment vertical="center"/>
      <protection locked="0"/>
    </xf>
    <xf numFmtId="176" fontId="14" fillId="0" borderId="0" xfId="5" applyFont="1" applyAlignment="1" applyProtection="1">
      <alignment vertical="center"/>
    </xf>
    <xf numFmtId="176" fontId="7" fillId="0" borderId="0" xfId="5" applyFont="1" applyAlignment="1" applyProtection="1">
      <alignment horizontal="left" vertical="center"/>
    </xf>
    <xf numFmtId="176" fontId="10" fillId="0" borderId="0" xfId="5" applyFont="1" applyAlignment="1">
      <alignment vertical="center"/>
      <protection locked="0"/>
    </xf>
    <xf numFmtId="176" fontId="17" fillId="2" borderId="6" xfId="9" applyFont="1" applyFill="1" applyBorder="1" applyAlignment="1" applyProtection="1">
      <alignment horizontal="center" vertical="center"/>
      <protection locked="0"/>
    </xf>
    <xf numFmtId="176" fontId="7" fillId="2" borderId="6" xfId="9" applyFont="1" applyFill="1" applyBorder="1" applyAlignment="1" applyProtection="1">
      <alignment horizontal="center" vertical="center"/>
      <protection locked="0"/>
    </xf>
    <xf numFmtId="176" fontId="3" fillId="2" borderId="6" xfId="9" applyFont="1" applyFill="1" applyBorder="1" applyAlignment="1" applyProtection="1">
      <alignment horizontal="center" vertical="center"/>
      <protection locked="0"/>
    </xf>
    <xf numFmtId="0" fontId="24" fillId="2" borderId="5" xfId="0" applyFont="1" applyFill="1" applyBorder="1" applyAlignment="1">
      <alignment horizontal="left" vertical="center" wrapText="1"/>
    </xf>
    <xf numFmtId="0" fontId="25" fillId="0" borderId="6" xfId="0" applyFont="1" applyBorder="1">
      <alignment vertical="center"/>
    </xf>
    <xf numFmtId="43" fontId="5" fillId="4" borderId="6" xfId="1" applyFont="1" applyFill="1" applyBorder="1">
      <alignment vertical="center"/>
    </xf>
    <xf numFmtId="43" fontId="26" fillId="2" borderId="6" xfId="9" applyNumberFormat="1" applyFont="1" applyFill="1" applyBorder="1" applyAlignment="1">
      <alignment horizontal="right" vertical="center" shrinkToFit="1"/>
    </xf>
    <xf numFmtId="0" fontId="3" fillId="2" borderId="6" xfId="0" applyFont="1" applyFill="1" applyBorder="1" applyAlignment="1">
      <alignment horizontal="center" vertical="center"/>
    </xf>
    <xf numFmtId="0" fontId="17" fillId="0" borderId="0" xfId="0" applyFont="1">
      <alignment vertical="center"/>
    </xf>
    <xf numFmtId="0" fontId="27" fillId="0" borderId="0" xfId="0" applyFont="1">
      <alignment vertical="center"/>
    </xf>
    <xf numFmtId="14" fontId="5" fillId="0" borderId="0" xfId="0" applyNumberFormat="1" applyFont="1">
      <alignment vertical="center"/>
    </xf>
    <xf numFmtId="0" fontId="21" fillId="0" borderId="0" xfId="0" applyFont="1">
      <alignment vertical="center"/>
    </xf>
    <xf numFmtId="176" fontId="15" fillId="0" borderId="0" xfId="8">
      <protection locked="0"/>
    </xf>
    <xf numFmtId="176" fontId="3" fillId="2" borderId="2" xfId="9" applyFont="1" applyFill="1" applyBorder="1" applyAlignment="1" applyProtection="1">
      <alignment horizontal="center" vertical="center"/>
      <protection locked="0"/>
    </xf>
    <xf numFmtId="176" fontId="7" fillId="2" borderId="5" xfId="9" applyFont="1" applyFill="1" applyBorder="1" applyAlignment="1" applyProtection="1">
      <alignment horizontal="center" vertical="center"/>
      <protection locked="0"/>
    </xf>
    <xf numFmtId="43" fontId="5" fillId="2" borderId="6" xfId="1" applyFont="1" applyFill="1" applyBorder="1" applyAlignment="1">
      <alignment horizontal="right" vertical="center"/>
    </xf>
    <xf numFmtId="0" fontId="14" fillId="0" borderId="0" xfId="0" applyFont="1" applyAlignment="1" applyProtection="1">
      <alignment horizontal="right" vertical="center"/>
      <protection locked="0"/>
    </xf>
    <xf numFmtId="0" fontId="29" fillId="0" borderId="0" xfId="0" applyFont="1">
      <alignment vertical="center"/>
    </xf>
    <xf numFmtId="43" fontId="3" fillId="3" borderId="0" xfId="0" applyNumberFormat="1" applyFont="1" applyFill="1">
      <alignment vertical="center"/>
    </xf>
    <xf numFmtId="0" fontId="30" fillId="0" borderId="0" xfId="0" applyFont="1">
      <alignment vertical="center"/>
    </xf>
    <xf numFmtId="0" fontId="30" fillId="0" borderId="0" xfId="0" applyFont="1" applyAlignment="1">
      <alignment horizontal="left" vertical="center"/>
    </xf>
    <xf numFmtId="0" fontId="31" fillId="0" borderId="7" xfId="0" applyFont="1" applyBorder="1" applyAlignment="1">
      <alignment horizontal="center" vertical="center" wrapText="1"/>
    </xf>
    <xf numFmtId="0" fontId="32" fillId="0" borderId="0" xfId="0" applyFont="1" applyAlignment="1">
      <alignment horizontal="justify" vertical="center" wrapText="1"/>
    </xf>
    <xf numFmtId="43" fontId="5" fillId="0" borderId="0" xfId="0" applyNumberFormat="1" applyFont="1" applyAlignment="1">
      <alignment horizontal="right" vertical="center" wrapText="1"/>
    </xf>
    <xf numFmtId="0" fontId="31" fillId="0" borderId="7" xfId="0" applyFont="1" applyBorder="1" applyAlignment="1">
      <alignment horizontal="justify" vertical="center" wrapText="1"/>
    </xf>
    <xf numFmtId="43" fontId="5" fillId="0" borderId="7" xfId="1" applyFont="1" applyFill="1" applyBorder="1" applyAlignment="1">
      <alignment horizontal="right" vertical="center" wrapText="1" shrinkToFit="1"/>
    </xf>
    <xf numFmtId="0" fontId="33" fillId="0" borderId="0" xfId="0" applyFont="1">
      <alignment vertical="center"/>
    </xf>
    <xf numFmtId="0" fontId="31" fillId="0" borderId="8" xfId="0" applyFont="1" applyBorder="1" applyAlignment="1">
      <alignment horizontal="centerContinuous" vertical="center" wrapText="1"/>
    </xf>
    <xf numFmtId="0" fontId="31" fillId="0" borderId="8" xfId="0" applyFont="1" applyBorder="1" applyAlignment="1">
      <alignment horizontal="centerContinuous" vertical="center"/>
    </xf>
    <xf numFmtId="0" fontId="31" fillId="0" borderId="9" xfId="0" applyFont="1" applyBorder="1" applyAlignment="1">
      <alignment horizontal="right" vertical="center" wrapText="1"/>
    </xf>
    <xf numFmtId="0" fontId="31" fillId="0" borderId="9" xfId="0" applyFont="1" applyBorder="1" applyAlignment="1">
      <alignment horizontal="right" vertical="center"/>
    </xf>
    <xf numFmtId="43" fontId="5" fillId="0" borderId="0" xfId="1" applyFont="1" applyAlignment="1">
      <alignment horizontal="right" vertical="center" wrapText="1"/>
    </xf>
    <xf numFmtId="0" fontId="30" fillId="0" borderId="0" xfId="0" applyFont="1" applyAlignment="1">
      <alignment horizontal="justify" vertical="center"/>
    </xf>
    <xf numFmtId="10" fontId="5" fillId="0" borderId="0" xfId="2" applyNumberFormat="1" applyFont="1">
      <alignment vertical="center"/>
    </xf>
    <xf numFmtId="0" fontId="5" fillId="0" borderId="0" xfId="0" applyFont="1" applyAlignment="1">
      <alignment horizontal="right" vertical="center"/>
    </xf>
    <xf numFmtId="176" fontId="6" fillId="2" borderId="6" xfId="9" applyFont="1" applyFill="1" applyBorder="1" applyAlignment="1" applyProtection="1">
      <alignment horizontal="center" vertical="center" wrapText="1"/>
      <protection locked="0"/>
    </xf>
    <xf numFmtId="43" fontId="10" fillId="2" borderId="6" xfId="1" applyFont="1" applyFill="1" applyBorder="1" applyAlignment="1">
      <alignment horizontal="right" vertical="center" wrapText="1"/>
    </xf>
    <xf numFmtId="0" fontId="5" fillId="0" borderId="5" xfId="0" applyFont="1" applyBorder="1">
      <alignment vertical="center"/>
    </xf>
    <xf numFmtId="177" fontId="5" fillId="2" borderId="6" xfId="1" applyNumberFormat="1" applyFont="1" applyFill="1" applyBorder="1" applyAlignment="1">
      <alignment horizontal="right" vertical="center"/>
    </xf>
    <xf numFmtId="43" fontId="3" fillId="0" borderId="0" xfId="0" applyNumberFormat="1" applyFont="1">
      <alignment vertical="center"/>
    </xf>
    <xf numFmtId="0" fontId="10" fillId="0" borderId="0" xfId="1" applyNumberFormat="1" applyFont="1" applyAlignment="1">
      <alignment horizontal="left" vertical="center"/>
    </xf>
    <xf numFmtId="176" fontId="6" fillId="2" borderId="6" xfId="8" applyFont="1" applyFill="1" applyBorder="1" applyAlignment="1">
      <alignment horizontal="center" vertical="center"/>
      <protection locked="0"/>
    </xf>
    <xf numFmtId="10" fontId="17" fillId="2" borderId="6" xfId="2" applyNumberFormat="1" applyFont="1" applyFill="1" applyBorder="1" applyAlignment="1" applyProtection="1">
      <alignment horizontal="center" vertical="center" wrapText="1"/>
      <protection locked="0"/>
    </xf>
    <xf numFmtId="10" fontId="10" fillId="2" borderId="6" xfId="2" applyNumberFormat="1" applyFont="1" applyFill="1" applyBorder="1" applyAlignment="1">
      <alignment horizontal="right" vertical="center" wrapText="1"/>
    </xf>
    <xf numFmtId="10" fontId="3" fillId="0" borderId="0" xfId="2" applyNumberFormat="1" applyFont="1">
      <alignment vertical="center"/>
    </xf>
    <xf numFmtId="0" fontId="28" fillId="0" borderId="0" xfId="0" applyFont="1">
      <alignment vertical="center"/>
    </xf>
    <xf numFmtId="0" fontId="6" fillId="0" borderId="0" xfId="0" applyNumberFormat="1" applyFont="1" applyFill="1" applyBorder="1" applyAlignment="1" applyProtection="1">
      <alignment vertical="center"/>
      <protection locked="0"/>
    </xf>
    <xf numFmtId="0" fontId="10" fillId="0" borderId="0" xfId="0" applyNumberFormat="1" applyFont="1" applyFill="1" applyBorder="1" applyAlignment="1" applyProtection="1">
      <alignment vertical="center"/>
      <protection locked="0"/>
    </xf>
    <xf numFmtId="0" fontId="16"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horizontal="left" vertical="center"/>
      <protection locked="0"/>
    </xf>
    <xf numFmtId="0" fontId="7" fillId="0" borderId="0" xfId="0" applyNumberFormat="1" applyFont="1" applyFill="1" applyBorder="1" applyAlignment="1" applyProtection="1">
      <alignment horizontal="justify" vertical="center"/>
      <protection locked="0"/>
    </xf>
    <xf numFmtId="0" fontId="14" fillId="0" borderId="10" xfId="0" applyNumberFormat="1" applyFont="1" applyFill="1" applyBorder="1" applyAlignment="1" applyProtection="1">
      <alignment horizontal="center" vertical="center" wrapText="1"/>
      <protection locked="0"/>
    </xf>
    <xf numFmtId="0" fontId="35" fillId="0" borderId="10" xfId="0" applyNumberFormat="1" applyFont="1" applyFill="1" applyBorder="1" applyAlignment="1" applyProtection="1">
      <alignment horizontal="center" vertical="center" wrapText="1"/>
      <protection locked="0"/>
    </xf>
    <xf numFmtId="0" fontId="6" fillId="5" borderId="6" xfId="0" applyNumberFormat="1" applyFont="1" applyFill="1" applyBorder="1" applyAlignment="1" applyProtection="1">
      <alignment horizontal="center" vertical="center"/>
      <protection locked="0"/>
    </xf>
    <xf numFmtId="0" fontId="6" fillId="5" borderId="6" xfId="0" applyNumberFormat="1" applyFont="1" applyFill="1" applyBorder="1" applyAlignment="1" applyProtection="1">
      <alignment horizontal="center" vertical="center" wrapText="1"/>
      <protection locked="0"/>
    </xf>
    <xf numFmtId="49" fontId="10" fillId="0" borderId="6" xfId="0" applyNumberFormat="1" applyFont="1" applyFill="1" applyBorder="1" applyAlignment="1" applyProtection="1">
      <alignment horizontal="center" vertical="center"/>
      <protection locked="0"/>
    </xf>
    <xf numFmtId="176" fontId="39" fillId="0" borderId="6" xfId="0" applyNumberFormat="1" applyFont="1" applyFill="1" applyBorder="1" applyAlignment="1" applyProtection="1">
      <alignment vertical="center" wrapText="1"/>
    </xf>
    <xf numFmtId="176" fontId="16" fillId="0" borderId="6" xfId="0" applyNumberFormat="1" applyFont="1" applyFill="1" applyBorder="1" applyAlignment="1" applyProtection="1">
      <alignment horizontal="center" vertical="center" wrapText="1"/>
    </xf>
    <xf numFmtId="0" fontId="16" fillId="0" borderId="6" xfId="0" applyNumberFormat="1" applyFont="1" applyFill="1" applyBorder="1" applyAlignment="1" applyProtection="1">
      <alignment horizontal="center" vertical="center" wrapText="1"/>
    </xf>
    <xf numFmtId="0" fontId="5" fillId="0" borderId="6" xfId="0" applyNumberFormat="1" applyFont="1" applyFill="1" applyBorder="1" applyAlignment="1" applyProtection="1">
      <alignment horizontal="center" vertical="center" wrapText="1"/>
    </xf>
    <xf numFmtId="0" fontId="39" fillId="0" borderId="6" xfId="0" applyNumberFormat="1" applyFont="1" applyFill="1" applyBorder="1" applyAlignment="1" applyProtection="1">
      <alignment vertical="center" wrapText="1"/>
    </xf>
    <xf numFmtId="176" fontId="5" fillId="0" borderId="6" xfId="0" applyNumberFormat="1" applyFont="1" applyFill="1" applyBorder="1" applyAlignment="1" applyProtection="1">
      <alignment vertical="center" wrapText="1"/>
    </xf>
    <xf numFmtId="0" fontId="14" fillId="0" borderId="6" xfId="0" applyNumberFormat="1" applyFont="1" applyFill="1" applyBorder="1" applyAlignment="1" applyProtection="1">
      <alignment vertical="center" wrapText="1"/>
    </xf>
    <xf numFmtId="176" fontId="16" fillId="0" borderId="6" xfId="0" applyNumberFormat="1" applyFont="1" applyFill="1" applyBorder="1" applyAlignment="1" applyProtection="1">
      <alignment vertical="center" wrapText="1"/>
    </xf>
    <xf numFmtId="176" fontId="17" fillId="0" borderId="6" xfId="0" applyNumberFormat="1" applyFont="1" applyFill="1" applyBorder="1" applyAlignment="1" applyProtection="1">
      <alignment horizontal="center" vertical="center" wrapText="1"/>
    </xf>
    <xf numFmtId="176" fontId="5" fillId="0" borderId="6" xfId="0" applyNumberFormat="1" applyFont="1" applyFill="1" applyBorder="1" applyAlignment="1" applyProtection="1">
      <alignment horizontal="center" vertical="center" wrapText="1"/>
    </xf>
    <xf numFmtId="176" fontId="16" fillId="0" borderId="11" xfId="0" applyNumberFormat="1" applyFont="1" applyFill="1" applyBorder="1" applyAlignment="1" applyProtection="1">
      <alignment vertical="center" wrapText="1"/>
    </xf>
    <xf numFmtId="10" fontId="21" fillId="0" borderId="0" xfId="2" applyNumberFormat="1" applyFont="1" applyAlignment="1">
      <alignment horizontal="left" vertical="center"/>
    </xf>
    <xf numFmtId="0" fontId="21" fillId="0" borderId="0" xfId="1" applyNumberFormat="1" applyFont="1" applyAlignment="1">
      <alignment horizontal="left" vertical="center"/>
    </xf>
    <xf numFmtId="176" fontId="10" fillId="0" borderId="6" xfId="0" applyNumberFormat="1" applyFont="1" applyFill="1" applyBorder="1" applyAlignment="1" applyProtection="1">
      <alignment horizontal="center" vertical="center" wrapText="1"/>
    </xf>
    <xf numFmtId="0" fontId="4"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center" vertical="center"/>
    </xf>
    <xf numFmtId="0" fontId="9" fillId="0" borderId="0" xfId="0" applyFont="1" applyProtection="1">
      <alignment vertical="center"/>
      <protection locked="0"/>
    </xf>
    <xf numFmtId="0" fontId="14" fillId="7" borderId="0" xfId="0" applyNumberFormat="1" applyFont="1" applyFill="1" applyBorder="1" applyAlignment="1" applyProtection="1">
      <alignment horizontal="justify" vertical="center" wrapText="1"/>
      <protection locked="0"/>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5" fillId="0" borderId="13" xfId="0" applyFont="1" applyBorder="1" applyAlignment="1">
      <alignment horizontal="center" vertical="center"/>
    </xf>
    <xf numFmtId="0" fontId="34" fillId="0" borderId="13" xfId="3" applyBorder="1" applyAlignment="1" applyProtection="1">
      <alignment vertical="center"/>
    </xf>
    <xf numFmtId="0" fontId="5" fillId="0" borderId="13" xfId="0" applyFont="1" applyBorder="1">
      <alignment vertical="center"/>
    </xf>
    <xf numFmtId="0" fontId="3" fillId="0" borderId="13" xfId="0" applyFont="1" applyBorder="1">
      <alignment vertical="center"/>
    </xf>
    <xf numFmtId="0" fontId="40" fillId="0" borderId="13" xfId="0" applyFont="1" applyBorder="1">
      <alignment vertical="center"/>
    </xf>
    <xf numFmtId="176" fontId="54" fillId="0" borderId="15" xfId="0" applyNumberFormat="1" applyFont="1" applyFill="1" applyBorder="1" applyAlignment="1" applyProtection="1">
      <alignment vertical="center" wrapText="1"/>
    </xf>
    <xf numFmtId="0" fontId="16" fillId="0" borderId="15" xfId="0" applyNumberFormat="1" applyFont="1" applyFill="1" applyBorder="1" applyAlignment="1" applyProtection="1">
      <alignment horizontal="center" vertical="center" wrapText="1"/>
    </xf>
    <xf numFmtId="176" fontId="5" fillId="0" borderId="15" xfId="0" applyNumberFormat="1" applyFont="1" applyFill="1" applyBorder="1" applyAlignment="1" applyProtection="1">
      <alignment horizontal="center" vertical="center" wrapText="1"/>
    </xf>
    <xf numFmtId="176" fontId="10" fillId="0" borderId="15" xfId="0" applyNumberFormat="1" applyFont="1" applyFill="1" applyBorder="1" applyAlignment="1" applyProtection="1">
      <alignment horizontal="center" vertical="center" wrapText="1"/>
    </xf>
    <xf numFmtId="176" fontId="17" fillId="2" borderId="6" xfId="9" applyFont="1" applyFill="1" applyBorder="1" applyAlignment="1" applyProtection="1">
      <alignment horizontal="center" vertical="center"/>
      <protection locked="0"/>
    </xf>
    <xf numFmtId="176" fontId="17" fillId="2" borderId="2" xfId="9" applyFont="1" applyFill="1" applyBorder="1" applyAlignment="1" applyProtection="1">
      <alignment horizontal="center" vertical="center"/>
      <protection locked="0"/>
    </xf>
    <xf numFmtId="0" fontId="10" fillId="0" borderId="15" xfId="13" applyFont="1" applyBorder="1" applyAlignment="1">
      <alignment horizontal="center" vertical="center" wrapText="1"/>
    </xf>
    <xf numFmtId="0" fontId="36" fillId="0" borderId="15" xfId="13" applyFont="1" applyFill="1" applyBorder="1" applyAlignment="1" applyProtection="1">
      <alignment horizontal="center" vertical="center" wrapText="1"/>
    </xf>
    <xf numFmtId="0" fontId="22" fillId="0" borderId="15" xfId="13" applyFont="1" applyFill="1" applyBorder="1" applyAlignment="1" applyProtection="1">
      <alignment horizontal="center" vertical="center" wrapText="1"/>
    </xf>
    <xf numFmtId="176" fontId="10" fillId="0" borderId="4" xfId="12" applyFont="1" applyFill="1" applyBorder="1" applyAlignment="1" applyProtection="1">
      <alignment horizontal="center" vertical="center"/>
      <protection locked="0"/>
    </xf>
    <xf numFmtId="176" fontId="10" fillId="0" borderId="15" xfId="19" applyFont="1" applyFill="1" applyBorder="1" applyAlignment="1" applyProtection="1">
      <alignment horizontal="center" vertical="center"/>
      <protection locked="0"/>
    </xf>
    <xf numFmtId="0" fontId="7" fillId="0" borderId="15" xfId="13" applyFont="1" applyFill="1" applyBorder="1" applyAlignment="1" applyProtection="1">
      <alignment horizontal="center" vertical="center"/>
      <protection locked="0"/>
    </xf>
    <xf numFmtId="0" fontId="10" fillId="0" borderId="15" xfId="13" applyFont="1" applyFill="1" applyBorder="1" applyAlignment="1" applyProtection="1">
      <alignment horizontal="center" vertical="center"/>
      <protection locked="0"/>
    </xf>
    <xf numFmtId="176" fontId="10" fillId="0" borderId="15" xfId="19" applyFont="1" applyFill="1" applyBorder="1" applyAlignment="1" applyProtection="1">
      <alignment horizontal="center" vertical="center" wrapText="1"/>
      <protection locked="0"/>
    </xf>
    <xf numFmtId="176" fontId="7" fillId="0" borderId="15" xfId="11" applyFont="1" applyFill="1" applyBorder="1" applyAlignment="1" applyProtection="1">
      <alignment horizontal="center" vertical="center" wrapText="1"/>
      <protection locked="0"/>
    </xf>
    <xf numFmtId="176" fontId="10" fillId="0" borderId="15" xfId="11" applyFont="1" applyFill="1" applyBorder="1" applyAlignment="1" applyProtection="1">
      <alignment horizontal="center" vertical="center" wrapText="1"/>
      <protection locked="0"/>
    </xf>
    <xf numFmtId="43" fontId="37" fillId="2" borderId="6" xfId="1" applyFont="1" applyFill="1" applyBorder="1" applyAlignment="1">
      <alignment horizontal="left" vertical="center"/>
    </xf>
    <xf numFmtId="0" fontId="17" fillId="2" borderId="6" xfId="0" applyFont="1" applyFill="1" applyBorder="1" applyAlignment="1">
      <alignment horizontal="center" vertical="center"/>
    </xf>
    <xf numFmtId="0" fontId="16" fillId="0" borderId="6" xfId="0" applyFont="1" applyBorder="1">
      <alignment vertical="center"/>
    </xf>
    <xf numFmtId="0" fontId="17" fillId="0" borderId="6" xfId="0" applyFont="1" applyBorder="1" applyAlignment="1">
      <alignment horizontal="center" vertical="center"/>
    </xf>
    <xf numFmtId="176" fontId="6" fillId="2" borderId="6" xfId="9" applyFont="1" applyFill="1" applyBorder="1" applyAlignment="1" applyProtection="1">
      <alignment horizontal="center" vertical="center"/>
      <protection locked="0"/>
    </xf>
    <xf numFmtId="0" fontId="19" fillId="0" borderId="6" xfId="0" applyFont="1" applyBorder="1">
      <alignment vertical="center"/>
    </xf>
    <xf numFmtId="176" fontId="62" fillId="0" borderId="0" xfId="0" applyNumberFormat="1" applyFont="1" applyFill="1" applyBorder="1" applyAlignment="1" applyProtection="1">
      <alignment horizontal="left" vertical="center"/>
      <protection locked="0"/>
    </xf>
    <xf numFmtId="0" fontId="7" fillId="0" borderId="0" xfId="14" applyFont="1" applyBorder="1" applyAlignment="1">
      <alignment vertical="center"/>
    </xf>
    <xf numFmtId="0" fontId="10" fillId="0" borderId="0" xfId="0" applyFont="1" applyBorder="1" applyProtection="1">
      <alignment vertical="center"/>
      <protection locked="0"/>
    </xf>
    <xf numFmtId="176" fontId="6" fillId="5" borderId="16" xfId="0" applyNumberFormat="1" applyFont="1" applyFill="1" applyBorder="1" applyAlignment="1" applyProtection="1">
      <alignment horizontal="center" vertical="center"/>
    </xf>
    <xf numFmtId="176" fontId="6" fillId="5" borderId="15" xfId="0" applyNumberFormat="1" applyFont="1" applyFill="1" applyBorder="1" applyAlignment="1" applyProtection="1">
      <alignment horizontal="center" vertical="center"/>
      <protection locked="0"/>
    </xf>
    <xf numFmtId="176" fontId="6" fillId="5" borderId="15" xfId="0" applyNumberFormat="1" applyFont="1" applyFill="1" applyBorder="1" applyAlignment="1" applyProtection="1">
      <alignment horizontal="center" vertical="center" wrapText="1"/>
      <protection locked="0"/>
    </xf>
    <xf numFmtId="0" fontId="7" fillId="5" borderId="15" xfId="0" applyNumberFormat="1" applyFont="1" applyFill="1" applyBorder="1" applyAlignment="1" applyProtection="1">
      <alignment horizontal="center" vertical="center"/>
      <protection locked="0"/>
    </xf>
    <xf numFmtId="14" fontId="10" fillId="0" borderId="16" xfId="0" applyNumberFormat="1" applyFont="1" applyBorder="1" applyAlignment="1" applyProtection="1">
      <alignment horizontal="left" vertical="center"/>
      <protection locked="0"/>
    </xf>
    <xf numFmtId="0" fontId="10" fillId="0" borderId="15" xfId="0" applyFont="1" applyBorder="1" applyAlignment="1" applyProtection="1">
      <alignment horizontal="left" vertical="center"/>
      <protection locked="0"/>
    </xf>
    <xf numFmtId="0" fontId="10" fillId="0" borderId="15" xfId="0" applyFont="1" applyBorder="1" applyAlignment="1" applyProtection="1">
      <alignment vertical="center" wrapText="1"/>
      <protection locked="0"/>
    </xf>
    <xf numFmtId="43" fontId="10" fillId="0" borderId="15" xfId="1" applyFont="1" applyBorder="1" applyAlignment="1" applyProtection="1">
      <alignment horizontal="left" vertical="center"/>
      <protection locked="0"/>
    </xf>
    <xf numFmtId="0" fontId="5" fillId="0" borderId="15" xfId="0" applyFont="1" applyBorder="1">
      <alignment vertical="center"/>
    </xf>
    <xf numFmtId="0" fontId="10" fillId="0" borderId="0" xfId="0" applyFont="1" applyBorder="1" applyAlignment="1" applyProtection="1">
      <alignment horizontal="left" vertical="center"/>
      <protection locked="0"/>
    </xf>
    <xf numFmtId="0" fontId="10" fillId="0" borderId="0" xfId="0" applyFont="1" applyBorder="1" applyAlignment="1" applyProtection="1">
      <alignment vertical="center" wrapText="1"/>
      <protection locked="0"/>
    </xf>
    <xf numFmtId="43" fontId="10" fillId="0" borderId="0" xfId="1" applyFont="1" applyBorder="1" applyAlignment="1" applyProtection="1">
      <alignment horizontal="left" vertical="center"/>
      <protection locked="0"/>
    </xf>
    <xf numFmtId="0" fontId="3" fillId="0" borderId="0" xfId="0" applyFont="1" applyBorder="1" applyAlignment="1">
      <alignment horizontal="center" vertical="center"/>
    </xf>
    <xf numFmtId="0" fontId="59" fillId="0" borderId="0" xfId="0" applyFont="1" applyAlignment="1" applyProtection="1">
      <alignment horizontal="center" vertical="center"/>
      <protection locked="0"/>
    </xf>
    <xf numFmtId="0" fontId="10" fillId="0" borderId="16" xfId="0" applyFont="1" applyBorder="1" applyAlignment="1" applyProtection="1">
      <alignment horizontal="left" vertical="center"/>
      <protection locked="0"/>
    </xf>
    <xf numFmtId="0" fontId="10" fillId="0" borderId="16" xfId="0" applyFont="1" applyBorder="1" applyAlignment="1" applyProtection="1">
      <alignment vertical="center" wrapText="1"/>
      <protection locked="0"/>
    </xf>
    <xf numFmtId="43" fontId="10" fillId="0" borderId="16" xfId="1" applyFont="1" applyBorder="1" applyAlignment="1" applyProtection="1">
      <alignment horizontal="left" vertical="center"/>
      <protection locked="0"/>
    </xf>
    <xf numFmtId="0" fontId="5" fillId="0" borderId="16" xfId="0" applyFont="1" applyBorder="1">
      <alignment vertical="center"/>
    </xf>
    <xf numFmtId="0" fontId="4" fillId="0" borderId="0" xfId="0" applyFont="1" applyAlignment="1">
      <alignment horizontal="center" vertical="center"/>
    </xf>
    <xf numFmtId="0" fontId="6" fillId="0" borderId="10" xfId="13" applyFont="1" applyFill="1" applyBorder="1" applyAlignment="1" applyProtection="1">
      <alignment horizontal="left" vertical="center" wrapText="1"/>
      <protection locked="0"/>
    </xf>
    <xf numFmtId="0" fontId="35" fillId="0" borderId="16" xfId="0" applyNumberFormat="1" applyFont="1" applyFill="1" applyBorder="1" applyAlignment="1" applyProtection="1">
      <alignment horizontal="left" vertical="center" wrapText="1"/>
      <protection locked="0"/>
    </xf>
    <xf numFmtId="0" fontId="43" fillId="6" borderId="14" xfId="0" applyNumberFormat="1" applyFont="1" applyFill="1" applyBorder="1" applyAlignment="1" applyProtection="1">
      <alignment horizontal="left" vertical="center" wrapText="1"/>
      <protection locked="0"/>
    </xf>
    <xf numFmtId="0" fontId="43" fillId="6" borderId="0" xfId="0" applyNumberFormat="1" applyFont="1" applyFill="1" applyBorder="1" applyAlignment="1" applyProtection="1">
      <alignment horizontal="left" vertical="center" wrapText="1"/>
      <protection locked="0"/>
    </xf>
    <xf numFmtId="0" fontId="11" fillId="6" borderId="14" xfId="0" applyNumberFormat="1" applyFont="1" applyFill="1" applyBorder="1" applyAlignment="1" applyProtection="1">
      <alignment horizontal="left" vertical="center" wrapText="1"/>
      <protection locked="0"/>
    </xf>
    <xf numFmtId="0" fontId="11" fillId="6" borderId="0" xfId="0" applyNumberFormat="1" applyFont="1" applyFill="1" applyBorder="1" applyAlignment="1" applyProtection="1">
      <alignment horizontal="left" vertical="center" wrapText="1"/>
      <protection locked="0"/>
    </xf>
    <xf numFmtId="0" fontId="6" fillId="5" borderId="1" xfId="0" applyNumberFormat="1" applyFont="1" applyFill="1" applyBorder="1" applyAlignment="1" applyProtection="1">
      <alignment horizontal="center" vertical="center" wrapText="1"/>
      <protection locked="0"/>
    </xf>
    <xf numFmtId="0" fontId="6" fillId="5" borderId="5" xfId="0" applyNumberFormat="1" applyFont="1" applyFill="1" applyBorder="1" applyAlignment="1" applyProtection="1">
      <alignment horizontal="center" vertical="center" wrapText="1"/>
      <protection locked="0"/>
    </xf>
    <xf numFmtId="0" fontId="6" fillId="5" borderId="2" xfId="0" applyNumberFormat="1" applyFont="1" applyFill="1" applyBorder="1" applyAlignment="1" applyProtection="1">
      <alignment horizontal="center" vertical="center"/>
      <protection locked="0"/>
    </xf>
    <xf numFmtId="0" fontId="6" fillId="5" borderId="3" xfId="0" applyNumberFormat="1" applyFont="1" applyFill="1" applyBorder="1" applyAlignment="1" applyProtection="1">
      <alignment horizontal="center" vertical="center"/>
      <protection locked="0"/>
    </xf>
    <xf numFmtId="0" fontId="6" fillId="5" borderId="4" xfId="0" applyNumberFormat="1" applyFont="1" applyFill="1" applyBorder="1" applyAlignment="1" applyProtection="1">
      <alignment horizontal="center" vertical="center"/>
      <protection locked="0"/>
    </xf>
    <xf numFmtId="49" fontId="6" fillId="5" borderId="1" xfId="0" applyNumberFormat="1" applyFont="1" applyFill="1" applyBorder="1" applyAlignment="1" applyProtection="1">
      <alignment horizontal="center" vertical="center"/>
      <protection locked="0"/>
    </xf>
    <xf numFmtId="49" fontId="6" fillId="5" borderId="5" xfId="0" applyNumberFormat="1" applyFont="1" applyFill="1" applyBorder="1" applyAlignment="1" applyProtection="1">
      <alignment horizontal="center" vertical="center"/>
      <protection locked="0"/>
    </xf>
    <xf numFmtId="0" fontId="14" fillId="0" borderId="16" xfId="0" applyNumberFormat="1" applyFont="1" applyFill="1" applyBorder="1" applyAlignment="1" applyProtection="1">
      <alignment horizontal="center" vertical="center" wrapText="1"/>
      <protection locked="0"/>
    </xf>
    <xf numFmtId="0" fontId="3" fillId="0" borderId="0" xfId="0" applyFont="1" applyAlignment="1">
      <alignment horizontal="center" vertical="center"/>
    </xf>
    <xf numFmtId="0" fontId="41" fillId="0" borderId="0" xfId="0" applyFont="1" applyAlignment="1">
      <alignment horizontal="center" vertical="center"/>
    </xf>
    <xf numFmtId="0" fontId="6" fillId="8" borderId="16" xfId="0" applyNumberFormat="1" applyFont="1" applyFill="1" applyBorder="1" applyAlignment="1" applyProtection="1">
      <alignment horizontal="center" vertical="center" wrapText="1"/>
      <protection locked="0"/>
    </xf>
    <xf numFmtId="0" fontId="42" fillId="8" borderId="16" xfId="0" applyNumberFormat="1" applyFont="1" applyFill="1" applyBorder="1" applyAlignment="1" applyProtection="1">
      <alignment horizontal="center" vertical="center" wrapText="1"/>
      <protection locked="0"/>
    </xf>
    <xf numFmtId="176" fontId="6" fillId="2" borderId="2" xfId="9" applyFont="1" applyFill="1" applyBorder="1" applyAlignment="1" applyProtection="1">
      <alignment horizontal="center" vertical="center" wrapText="1"/>
      <protection locked="0"/>
    </xf>
    <xf numFmtId="176" fontId="7" fillId="2" borderId="3" xfId="9" applyFont="1" applyFill="1" applyBorder="1" applyAlignment="1" applyProtection="1">
      <alignment horizontal="center" vertical="center" wrapText="1"/>
      <protection locked="0"/>
    </xf>
    <xf numFmtId="176" fontId="7" fillId="2" borderId="4" xfId="9" applyFont="1" applyFill="1" applyBorder="1" applyAlignment="1" applyProtection="1">
      <alignment horizontal="center" vertical="center" wrapText="1"/>
      <protection locked="0"/>
    </xf>
    <xf numFmtId="176" fontId="17" fillId="2" borderId="6" xfId="8" applyFont="1" applyFill="1" applyBorder="1" applyAlignment="1">
      <alignment horizontal="center" vertical="center" wrapText="1"/>
      <protection locked="0"/>
    </xf>
    <xf numFmtId="176" fontId="6" fillId="2" borderId="6" xfId="8" applyFont="1" applyFill="1" applyBorder="1" applyAlignment="1">
      <alignment horizontal="center" vertical="center" wrapText="1"/>
      <protection locked="0"/>
    </xf>
    <xf numFmtId="0" fontId="3" fillId="2" borderId="6" xfId="0" applyFont="1" applyFill="1" applyBorder="1" applyAlignment="1">
      <alignment horizontal="center" vertical="center"/>
    </xf>
    <xf numFmtId="0" fontId="3" fillId="2" borderId="6" xfId="0" applyFont="1" applyFill="1" applyBorder="1">
      <alignment vertical="center"/>
    </xf>
    <xf numFmtId="0" fontId="30" fillId="0" borderId="0" xfId="0" applyFont="1" applyAlignment="1">
      <alignment horizontal="left" vertical="center"/>
    </xf>
    <xf numFmtId="0" fontId="31" fillId="0" borderId="8" xfId="0" applyFont="1" applyBorder="1" applyAlignment="1">
      <alignment horizontal="center" vertical="center" wrapText="1"/>
    </xf>
    <xf numFmtId="0" fontId="31" fillId="0" borderId="9" xfId="0" applyFont="1" applyBorder="1" applyAlignment="1">
      <alignment horizontal="center" vertical="center"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27" fillId="0" borderId="0" xfId="0" applyFont="1" applyAlignment="1">
      <alignment horizontal="left" vertical="center"/>
    </xf>
    <xf numFmtId="0" fontId="23" fillId="2" borderId="1" xfId="0" applyFont="1" applyFill="1" applyBorder="1" applyAlignment="1">
      <alignment horizontal="center" vertical="center" wrapText="1"/>
    </xf>
    <xf numFmtId="0" fontId="23" fillId="2" borderId="5" xfId="0" applyFont="1" applyFill="1" applyBorder="1" applyAlignment="1">
      <alignment horizontal="center" vertical="center" wrapText="1"/>
    </xf>
    <xf numFmtId="176" fontId="6" fillId="2" borderId="1" xfId="9" applyFont="1" applyFill="1" applyBorder="1" applyAlignment="1" applyProtection="1">
      <alignment horizontal="center" vertical="center"/>
      <protection locked="0"/>
    </xf>
    <xf numFmtId="176" fontId="6" fillId="2" borderId="5" xfId="9" applyFont="1" applyFill="1" applyBorder="1" applyAlignment="1" applyProtection="1">
      <alignment horizontal="center" vertical="center"/>
      <protection locked="0"/>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176" fontId="17" fillId="2" borderId="6" xfId="9" applyFont="1" applyFill="1" applyBorder="1" applyAlignment="1" applyProtection="1">
      <alignment horizontal="center" vertical="center"/>
      <protection locked="0"/>
    </xf>
    <xf numFmtId="176" fontId="17" fillId="2" borderId="2" xfId="9" applyFont="1" applyFill="1" applyBorder="1" applyAlignment="1" applyProtection="1">
      <alignment horizontal="center" vertical="center"/>
      <protection locked="0"/>
    </xf>
    <xf numFmtId="176" fontId="17" fillId="2" borderId="3" xfId="9" applyFont="1" applyFill="1" applyBorder="1" applyAlignment="1" applyProtection="1">
      <alignment horizontal="center" vertical="center"/>
      <protection locked="0"/>
    </xf>
    <xf numFmtId="176" fontId="6" fillId="2" borderId="2" xfId="9" applyFont="1" applyFill="1" applyBorder="1" applyAlignment="1" applyProtection="1">
      <alignment horizontal="center" vertical="center"/>
      <protection locked="0"/>
    </xf>
    <xf numFmtId="176" fontId="6" fillId="2" borderId="3" xfId="9" applyFont="1" applyFill="1" applyBorder="1" applyAlignment="1" applyProtection="1">
      <alignment horizontal="center" vertical="center"/>
      <protection locked="0"/>
    </xf>
    <xf numFmtId="176" fontId="6" fillId="2" borderId="4" xfId="9" applyFont="1" applyFill="1" applyBorder="1" applyAlignment="1" applyProtection="1">
      <alignment horizontal="center" vertical="center"/>
      <protection locked="0"/>
    </xf>
    <xf numFmtId="43" fontId="8" fillId="0" borderId="0" xfId="15" applyNumberFormat="1" applyFont="1" applyBorder="1" applyAlignment="1">
      <alignment horizontal="center" vertical="center"/>
    </xf>
    <xf numFmtId="43" fontId="9" fillId="0" borderId="0" xfId="15" applyNumberFormat="1" applyFont="1" applyBorder="1" applyAlignment="1">
      <alignment horizontal="center" vertical="center"/>
    </xf>
    <xf numFmtId="43" fontId="59" fillId="0" borderId="0" xfId="15" applyNumberFormat="1" applyFont="1" applyBorder="1" applyAlignment="1">
      <alignment horizontal="center" vertical="center"/>
    </xf>
    <xf numFmtId="43" fontId="63" fillId="0" borderId="0" xfId="15" applyNumberFormat="1" applyFont="1" applyBorder="1" applyAlignment="1">
      <alignment horizontal="center" vertical="center"/>
    </xf>
    <xf numFmtId="0" fontId="20" fillId="0" borderId="0" xfId="7" applyFont="1" applyAlignment="1">
      <alignment horizontal="left" vertical="center" wrapText="1"/>
      <protection locked="0"/>
    </xf>
    <xf numFmtId="0" fontId="12" fillId="0" borderId="0" xfId="7" applyFont="1" applyAlignment="1">
      <alignment horizontal="left" vertical="center" wrapText="1"/>
      <protection locked="0"/>
    </xf>
    <xf numFmtId="176" fontId="6" fillId="5" borderId="15" xfId="0" applyNumberFormat="1" applyFont="1" applyFill="1" applyBorder="1" applyAlignment="1" applyProtection="1">
      <alignment horizontal="center" vertical="center" wrapText="1"/>
    </xf>
    <xf numFmtId="176" fontId="14" fillId="0" borderId="15" xfId="0" applyNumberFormat="1" applyFont="1" applyFill="1" applyBorder="1" applyAlignment="1" applyProtection="1">
      <alignment horizontal="center"/>
      <protection locked="0"/>
    </xf>
    <xf numFmtId="176" fontId="6" fillId="5" borderId="15" xfId="0" applyNumberFormat="1" applyFont="1" applyFill="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59" fillId="0" borderId="0" xfId="0" applyFont="1" applyAlignment="1" applyProtection="1">
      <alignment horizontal="center" vertical="center"/>
      <protection locked="0"/>
    </xf>
    <xf numFmtId="176" fontId="6" fillId="5" borderId="16" xfId="0" applyNumberFormat="1" applyFont="1" applyFill="1" applyBorder="1" applyAlignment="1" applyProtection="1">
      <alignment horizontal="center" vertical="center"/>
      <protection locked="0"/>
    </xf>
    <xf numFmtId="176" fontId="6" fillId="5" borderId="15" xfId="0" applyNumberFormat="1" applyFont="1" applyFill="1" applyBorder="1" applyAlignment="1" applyProtection="1">
      <alignment horizontal="center" vertical="center" wrapText="1"/>
      <protection locked="0"/>
    </xf>
    <xf numFmtId="176" fontId="58" fillId="5" borderId="15" xfId="0" applyNumberFormat="1" applyFont="1" applyFill="1" applyBorder="1" applyAlignment="1" applyProtection="1">
      <alignment horizontal="center" vertical="center"/>
      <protection locked="0"/>
    </xf>
    <xf numFmtId="0" fontId="10" fillId="9" borderId="0" xfId="0" applyFont="1" applyFill="1" applyBorder="1" applyAlignment="1" applyProtection="1">
      <alignment horizontal="justify" vertical="center" wrapText="1"/>
      <protection locked="0"/>
    </xf>
    <xf numFmtId="0" fontId="9"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3" fillId="0" borderId="0" xfId="0" applyFont="1" applyAlignment="1">
      <alignment vertical="center"/>
    </xf>
    <xf numFmtId="0" fontId="4" fillId="0" borderId="0" xfId="0" applyFont="1" applyAlignment="1">
      <alignment vertical="center"/>
    </xf>
    <xf numFmtId="0" fontId="64" fillId="0" borderId="0" xfId="0" applyFont="1" applyAlignment="1">
      <alignment horizontal="center" vertical="center"/>
    </xf>
    <xf numFmtId="176" fontId="27" fillId="0" borderId="0" xfId="20" applyFont="1" applyFill="1" applyAlignment="1">
      <alignment horizontal="left" vertical="center"/>
    </xf>
    <xf numFmtId="0" fontId="6" fillId="8" borderId="16" xfId="13" applyFont="1" applyFill="1" applyBorder="1" applyAlignment="1" applyProtection="1">
      <alignment horizontal="center" vertical="center" wrapText="1"/>
      <protection locked="0"/>
    </xf>
    <xf numFmtId="176" fontId="55" fillId="0" borderId="6" xfId="0" applyNumberFormat="1" applyFont="1" applyFill="1" applyBorder="1" applyAlignment="1" applyProtection="1">
      <alignment horizontal="center" vertical="center" wrapText="1"/>
    </xf>
    <xf numFmtId="0" fontId="27" fillId="0" borderId="0" xfId="14" applyFont="1" applyAlignment="1">
      <alignment horizontal="left" vertical="center"/>
    </xf>
    <xf numFmtId="0" fontId="67" fillId="0" borderId="0" xfId="3" applyFont="1" applyAlignment="1" applyProtection="1">
      <alignment vertical="center"/>
    </xf>
  </cellXfs>
  <cellStyles count="21">
    <cellStyle name="百分比" xfId="2" builtinId="5"/>
    <cellStyle name="百分比 2" xfId="4"/>
    <cellStyle name="常规" xfId="0" builtinId="0"/>
    <cellStyle name="常规 11 5" xfId="20"/>
    <cellStyle name="常规 2" xfId="5"/>
    <cellStyle name="常规 2 3" xfId="6"/>
    <cellStyle name="常规 2 8" xfId="7"/>
    <cellStyle name="常规 3" xfId="8"/>
    <cellStyle name="常规 4" xfId="9"/>
    <cellStyle name="常规 4 2" xfId="10"/>
    <cellStyle name="常规 5" xfId="11"/>
    <cellStyle name="常规 6" xfId="12"/>
    <cellStyle name="常规 7" xfId="13"/>
    <cellStyle name="常规 7 2" xfId="19"/>
    <cellStyle name="常规_进一步审计程序--销售与收款循环" xfId="14"/>
    <cellStyle name="常规_新审定表" xfId="15"/>
    <cellStyle name="常规_制造费用" xfId="16"/>
    <cellStyle name="超链接" xfId="3" builtinId="8"/>
    <cellStyle name="超链接 2" xfId="17"/>
    <cellStyle name="超链接 3 2" xfId="18"/>
    <cellStyle name="千位分隔" xfId="1" builtinId="3"/>
  </cellStyles>
  <dxfs count="1">
    <dxf>
      <font>
        <color rgb="FFFF0000"/>
      </font>
      <numFmt numFmtId="178" formatCode="0.00_ "/>
    </dxf>
  </dxfs>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9"/>
  <sheetViews>
    <sheetView tabSelected="1" workbookViewId="0">
      <selection activeCell="C16" sqref="C16"/>
    </sheetView>
  </sheetViews>
  <sheetFormatPr defaultColWidth="9" defaultRowHeight="18" customHeight="1"/>
  <cols>
    <col min="1" max="1" width="80.77734375" style="4" customWidth="1"/>
    <col min="2" max="2" width="5.77734375" style="119" customWidth="1"/>
    <col min="3" max="3" width="37.88671875" style="4" customWidth="1"/>
    <col min="4" max="4" width="9" style="119"/>
    <col min="5" max="5" width="16.109375" style="4" customWidth="1"/>
    <col min="6" max="16384" width="9" style="4"/>
  </cols>
  <sheetData>
    <row r="1" spans="1:5" s="117" customFormat="1" ht="18" customHeight="1">
      <c r="A1" s="120" t="s">
        <v>0</v>
      </c>
      <c r="B1" s="172" t="s">
        <v>1</v>
      </c>
      <c r="C1" s="172"/>
      <c r="D1" s="172"/>
      <c r="E1" s="172"/>
    </row>
    <row r="2" spans="1:5" s="118" customFormat="1" ht="18" customHeight="1">
      <c r="A2" s="121" t="s">
        <v>243</v>
      </c>
      <c r="B2" s="122"/>
      <c r="C2" s="122"/>
      <c r="D2" s="122"/>
      <c r="E2" s="122"/>
    </row>
    <row r="3" spans="1:5" s="3" customFormat="1" ht="18" customHeight="1">
      <c r="A3" s="231" t="s">
        <v>249</v>
      </c>
      <c r="B3" s="123" t="s">
        <v>2</v>
      </c>
      <c r="C3" s="123" t="s">
        <v>3</v>
      </c>
      <c r="D3" s="123" t="s">
        <v>4</v>
      </c>
      <c r="E3" s="123" t="s">
        <v>5</v>
      </c>
    </row>
    <row r="4" spans="1:5" ht="18" customHeight="1">
      <c r="A4" s="121" t="s">
        <v>244</v>
      </c>
      <c r="B4" s="124"/>
      <c r="C4" s="125" t="s">
        <v>6</v>
      </c>
      <c r="D4" s="124" t="s">
        <v>7</v>
      </c>
      <c r="E4" s="126"/>
    </row>
    <row r="5" spans="1:5" ht="18" customHeight="1">
      <c r="A5" s="121" t="s">
        <v>245</v>
      </c>
      <c r="B5" s="124">
        <v>1</v>
      </c>
      <c r="C5" s="125" t="s">
        <v>8</v>
      </c>
      <c r="D5" s="124" t="s">
        <v>9</v>
      </c>
      <c r="E5" s="127"/>
    </row>
    <row r="6" spans="1:5" ht="18" customHeight="1">
      <c r="A6" s="121" t="s">
        <v>246</v>
      </c>
      <c r="B6" s="124">
        <v>2</v>
      </c>
      <c r="C6" s="125" t="s">
        <v>10</v>
      </c>
      <c r="D6" s="124"/>
      <c r="E6" s="126"/>
    </row>
    <row r="7" spans="1:5" ht="18" customHeight="1">
      <c r="A7" s="121" t="s">
        <v>247</v>
      </c>
      <c r="B7" s="124">
        <v>3</v>
      </c>
      <c r="C7" s="125" t="s">
        <v>11</v>
      </c>
      <c r="D7" s="124"/>
      <c r="E7" s="126"/>
    </row>
    <row r="8" spans="1:5" ht="18" customHeight="1">
      <c r="B8" s="124">
        <v>4</v>
      </c>
      <c r="C8" s="125" t="s">
        <v>12</v>
      </c>
      <c r="D8" s="124" t="s">
        <v>13</v>
      </c>
      <c r="E8" s="126"/>
    </row>
    <row r="9" spans="1:5" ht="18" customHeight="1">
      <c r="A9" s="167" t="s">
        <v>250</v>
      </c>
      <c r="B9" s="124">
        <v>5</v>
      </c>
      <c r="C9" s="125" t="s">
        <v>14</v>
      </c>
      <c r="D9" s="124" t="s">
        <v>15</v>
      </c>
      <c r="E9" s="128" t="s">
        <v>16</v>
      </c>
    </row>
    <row r="10" spans="1:5" ht="18" customHeight="1">
      <c r="A10" s="232" t="s">
        <v>251</v>
      </c>
      <c r="B10" s="124">
        <v>6</v>
      </c>
      <c r="C10" s="125" t="s">
        <v>17</v>
      </c>
      <c r="D10" s="124" t="s">
        <v>18</v>
      </c>
      <c r="E10" s="126"/>
    </row>
    <row r="11" spans="1:5" ht="18" customHeight="1">
      <c r="A11" s="232"/>
    </row>
    <row r="12" spans="1:5" ht="18" customHeight="1">
      <c r="A12" s="232"/>
    </row>
    <row r="13" spans="1:5" ht="18" customHeight="1">
      <c r="A13" s="232"/>
    </row>
    <row r="14" spans="1:5" ht="18" customHeight="1">
      <c r="A14" s="232" t="s">
        <v>252</v>
      </c>
    </row>
    <row r="15" spans="1:5" ht="18" customHeight="1">
      <c r="A15" s="232"/>
    </row>
    <row r="16" spans="1:5" ht="18" customHeight="1">
      <c r="A16" s="232"/>
    </row>
    <row r="17" spans="1:1" ht="18" customHeight="1">
      <c r="A17" s="233" t="s">
        <v>253</v>
      </c>
    </row>
    <row r="18" spans="1:1" ht="18" customHeight="1">
      <c r="A18" s="233"/>
    </row>
    <row r="19" spans="1:1" ht="18" customHeight="1">
      <c r="A19" s="233"/>
    </row>
  </sheetData>
  <mergeCells count="4">
    <mergeCell ref="B1:E1"/>
    <mergeCell ref="A10:A13"/>
    <mergeCell ref="A14:A16"/>
    <mergeCell ref="A17:A19"/>
  </mergeCells>
  <phoneticPr fontId="53" type="noConversion"/>
  <hyperlinks>
    <hyperlink ref="C5" location="'审定表I5-1'!A1" display="其他非流动资产审定表"/>
    <hyperlink ref="C8:C10" location="审定表K4!A1" display="其他非流动资产明细表"/>
    <hyperlink ref="C10" location="'针对性检查表I5-4'!A1" display="其他非流动资产检查表"/>
    <hyperlink ref="C8" location="'明细表I5-2'!A1" display="其他非流动资产明细表"/>
    <hyperlink ref="C6" location="'附注披露（上市公司）'!A1" display="其他非流动资产附注披露表（上市公司）"/>
    <hyperlink ref="C7" location="'附注披露（国有企业）'!A1" display="其他非流动资产附注披露表（国有企业）"/>
    <hyperlink ref="C4" location="'其他非流动资产实质性程序 I5A -新'!A1" display="其他非流动资产实质性程序"/>
    <hyperlink ref="C9" location="'调整分录汇总I5-3'!A1" display="调整分录汇总"/>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5"/>
  <sheetViews>
    <sheetView view="pageBreakPreview" zoomScaleNormal="100" workbookViewId="0">
      <selection sqref="A1:I1"/>
    </sheetView>
  </sheetViews>
  <sheetFormatPr defaultColWidth="9" defaultRowHeight="19.95" customHeight="1"/>
  <cols>
    <col min="1" max="1" width="4.44140625" customWidth="1"/>
    <col min="2" max="2" width="70.44140625" customWidth="1"/>
    <col min="3" max="3" width="11.5546875" customWidth="1"/>
    <col min="4" max="4" width="5.77734375" customWidth="1"/>
    <col min="5" max="5" width="6.33203125" customWidth="1"/>
    <col min="6" max="6" width="6.88671875" customWidth="1"/>
    <col min="7" max="7" width="8" customWidth="1"/>
    <col min="8" max="8" width="5.6640625" customWidth="1"/>
    <col min="9" max="9" width="7.33203125" customWidth="1"/>
  </cols>
  <sheetData>
    <row r="1" spans="1:11" s="1" customFormat="1" ht="19.95" customHeight="1">
      <c r="A1" s="188" t="s">
        <v>19</v>
      </c>
      <c r="B1" s="188"/>
      <c r="C1" s="188"/>
      <c r="D1" s="188"/>
      <c r="E1" s="188"/>
      <c r="F1" s="188"/>
      <c r="G1" s="188"/>
      <c r="H1" s="188"/>
      <c r="I1" s="188"/>
      <c r="J1" s="234"/>
      <c r="K1" s="234"/>
    </row>
    <row r="2" spans="1:11" s="2" customFormat="1" ht="19.95" customHeight="1">
      <c r="A2" s="236" t="s">
        <v>20</v>
      </c>
      <c r="B2" s="236"/>
      <c r="C2" s="236"/>
      <c r="D2" s="236"/>
      <c r="E2" s="236"/>
      <c r="F2" s="236"/>
      <c r="G2" s="236"/>
      <c r="H2" s="236"/>
      <c r="I2" s="236"/>
      <c r="J2" s="235"/>
      <c r="K2" s="235"/>
    </row>
    <row r="3" spans="1:11" s="4" customFormat="1" ht="19.95" customHeight="1">
      <c r="A3" s="4" t="str">
        <f>底稿目录!A2</f>
        <v>被审计单位：</v>
      </c>
      <c r="C3" s="4" t="str">
        <f>底稿目录!A4</f>
        <v>编制人：</v>
      </c>
      <c r="F3" s="57" t="str">
        <f>底稿目录!A5</f>
        <v>编制日期：</v>
      </c>
      <c r="H3" s="57" t="s">
        <v>21</v>
      </c>
      <c r="I3" s="241" t="s">
        <v>7</v>
      </c>
      <c r="J3" s="114"/>
    </row>
    <row r="4" spans="1:11" s="4" customFormat="1" ht="19.95" customHeight="1">
      <c r="A4" s="4" t="str">
        <f>底稿目录!A3</f>
        <v>截止日：202X年12月31日</v>
      </c>
      <c r="C4" s="4" t="str">
        <f>底稿目录!A6</f>
        <v>复核人：</v>
      </c>
      <c r="F4" s="57" t="str">
        <f>底稿目录!A7</f>
        <v>复核日期：</v>
      </c>
      <c r="H4" s="57" t="s">
        <v>22</v>
      </c>
      <c r="I4" s="87"/>
      <c r="J4" s="115"/>
    </row>
    <row r="5" spans="1:11" ht="19.95" customHeight="1">
      <c r="A5" s="93" t="s">
        <v>23</v>
      </c>
      <c r="B5" s="94"/>
      <c r="C5" s="94"/>
      <c r="D5" s="94"/>
      <c r="E5" s="94"/>
      <c r="F5" s="94"/>
      <c r="G5" s="94"/>
      <c r="H5" s="94"/>
      <c r="I5" s="94"/>
    </row>
    <row r="6" spans="1:11" ht="19.95" customHeight="1">
      <c r="A6" s="95" t="s">
        <v>24</v>
      </c>
      <c r="B6" s="94"/>
      <c r="C6" s="94"/>
      <c r="D6" s="94"/>
      <c r="E6" s="94"/>
      <c r="F6" s="94"/>
      <c r="G6" s="94"/>
      <c r="H6" s="94"/>
      <c r="I6" s="94"/>
    </row>
    <row r="7" spans="1:11" ht="19.95" customHeight="1">
      <c r="A7" s="96" t="s">
        <v>25</v>
      </c>
      <c r="B7" s="97"/>
      <c r="C7" s="97"/>
      <c r="D7" s="94"/>
      <c r="E7" s="94"/>
      <c r="F7" s="94"/>
      <c r="G7" s="94"/>
      <c r="H7" s="94"/>
      <c r="I7" s="94"/>
    </row>
    <row r="8" spans="1:11" ht="19.95" customHeight="1">
      <c r="A8" s="189" t="s">
        <v>26</v>
      </c>
      <c r="B8" s="189"/>
      <c r="C8" s="189"/>
      <c r="D8" s="189"/>
      <c r="E8" s="189"/>
      <c r="F8" s="189"/>
      <c r="G8" s="190" t="s">
        <v>27</v>
      </c>
      <c r="H8" s="190"/>
      <c r="I8" s="190"/>
    </row>
    <row r="9" spans="1:11" ht="19.95" customHeight="1">
      <c r="A9" s="174" t="s">
        <v>197</v>
      </c>
      <c r="B9" s="174"/>
      <c r="C9" s="174"/>
      <c r="D9" s="174"/>
      <c r="E9" s="174"/>
      <c r="F9" s="174"/>
      <c r="G9" s="186" t="s">
        <v>28</v>
      </c>
      <c r="H9" s="186"/>
      <c r="I9" s="186"/>
    </row>
    <row r="10" spans="1:11" ht="19.95" customHeight="1">
      <c r="A10" s="174" t="s">
        <v>198</v>
      </c>
      <c r="B10" s="174"/>
      <c r="C10" s="174"/>
      <c r="D10" s="174"/>
      <c r="E10" s="174"/>
      <c r="F10" s="174"/>
      <c r="G10" s="186" t="s">
        <v>29</v>
      </c>
      <c r="H10" s="186"/>
      <c r="I10" s="186"/>
    </row>
    <row r="11" spans="1:11" ht="19.95" customHeight="1">
      <c r="A11" s="174" t="s">
        <v>199</v>
      </c>
      <c r="B11" s="174"/>
      <c r="C11" s="174"/>
      <c r="D11" s="174"/>
      <c r="E11" s="174"/>
      <c r="F11" s="174"/>
      <c r="G11" s="186" t="s">
        <v>30</v>
      </c>
      <c r="H11" s="186"/>
      <c r="I11" s="186"/>
    </row>
    <row r="12" spans="1:11" ht="19.95" customHeight="1">
      <c r="A12" s="174" t="s">
        <v>248</v>
      </c>
      <c r="B12" s="174"/>
      <c r="C12" s="174"/>
      <c r="D12" s="174"/>
      <c r="E12" s="174"/>
      <c r="F12" s="174"/>
      <c r="G12" s="186" t="s">
        <v>31</v>
      </c>
      <c r="H12" s="186"/>
      <c r="I12" s="186"/>
    </row>
    <row r="13" spans="1:11" ht="19.95" customHeight="1">
      <c r="A13" s="174" t="s">
        <v>200</v>
      </c>
      <c r="B13" s="174"/>
      <c r="C13" s="174"/>
      <c r="D13" s="174"/>
      <c r="E13" s="174"/>
      <c r="F13" s="174"/>
      <c r="G13" s="186" t="s">
        <v>32</v>
      </c>
      <c r="H13" s="186"/>
      <c r="I13" s="186"/>
    </row>
    <row r="14" spans="1:11" ht="19.95" customHeight="1">
      <c r="A14" s="173" t="s">
        <v>216</v>
      </c>
      <c r="B14" s="173"/>
      <c r="C14" s="98"/>
      <c r="D14" s="99"/>
      <c r="E14" s="99"/>
      <c r="F14" s="99"/>
      <c r="G14" s="99"/>
      <c r="H14" s="99"/>
      <c r="I14" s="99"/>
    </row>
    <row r="15" spans="1:11" ht="19.95" customHeight="1">
      <c r="A15" s="184" t="s">
        <v>33</v>
      </c>
      <c r="B15" s="238" t="s">
        <v>255</v>
      </c>
      <c r="C15" s="179" t="s">
        <v>34</v>
      </c>
      <c r="D15" s="181" t="s">
        <v>35</v>
      </c>
      <c r="E15" s="182"/>
      <c r="F15" s="182"/>
      <c r="G15" s="182"/>
      <c r="H15" s="183"/>
      <c r="I15" s="179" t="s">
        <v>36</v>
      </c>
    </row>
    <row r="16" spans="1:11" ht="36">
      <c r="A16" s="185"/>
      <c r="B16" s="238"/>
      <c r="C16" s="180"/>
      <c r="D16" s="100" t="s">
        <v>28</v>
      </c>
      <c r="E16" s="100" t="s">
        <v>29</v>
      </c>
      <c r="F16" s="101" t="s">
        <v>37</v>
      </c>
      <c r="G16" s="101" t="s">
        <v>31</v>
      </c>
      <c r="H16" s="101" t="s">
        <v>32</v>
      </c>
      <c r="I16" s="180"/>
      <c r="J16" s="237" t="s">
        <v>254</v>
      </c>
    </row>
    <row r="17" spans="1:19" ht="34.200000000000003" customHeight="1">
      <c r="A17" s="102" t="s">
        <v>38</v>
      </c>
      <c r="B17" s="103" t="s">
        <v>39</v>
      </c>
      <c r="C17" s="104" t="s">
        <v>40</v>
      </c>
      <c r="D17" s="136" t="s">
        <v>217</v>
      </c>
      <c r="E17" s="136" t="s">
        <v>217</v>
      </c>
      <c r="F17" s="136"/>
      <c r="G17" s="137" t="s">
        <v>218</v>
      </c>
      <c r="H17" s="138"/>
      <c r="I17" s="116" t="s">
        <v>207</v>
      </c>
    </row>
    <row r="18" spans="1:19" ht="55.2" customHeight="1">
      <c r="A18" s="102" t="s">
        <v>42</v>
      </c>
      <c r="B18" s="107" t="s">
        <v>43</v>
      </c>
      <c r="C18" s="104" t="s">
        <v>40</v>
      </c>
      <c r="D18" s="139"/>
      <c r="E18" s="140" t="s">
        <v>219</v>
      </c>
      <c r="F18" s="139"/>
      <c r="G18" s="141" t="s">
        <v>220</v>
      </c>
      <c r="H18" s="142"/>
      <c r="I18" s="239" t="s">
        <v>256</v>
      </c>
      <c r="J18" s="175" t="s">
        <v>44</v>
      </c>
      <c r="K18" s="176"/>
      <c r="L18" s="176"/>
      <c r="M18" s="176"/>
      <c r="N18" s="176"/>
      <c r="O18" s="176"/>
      <c r="P18" s="176"/>
      <c r="Q18" s="176"/>
      <c r="R18" s="176"/>
      <c r="S18" s="176"/>
    </row>
    <row r="19" spans="1:19" ht="42" customHeight="1">
      <c r="A19" s="102" t="s">
        <v>45</v>
      </c>
      <c r="B19" s="109" t="s">
        <v>46</v>
      </c>
      <c r="C19" s="104" t="s">
        <v>16</v>
      </c>
      <c r="D19" s="143" t="s">
        <v>221</v>
      </c>
      <c r="E19" s="144" t="s">
        <v>222</v>
      </c>
      <c r="F19" s="144" t="s">
        <v>222</v>
      </c>
      <c r="G19" s="144" t="s">
        <v>223</v>
      </c>
      <c r="H19" s="144"/>
      <c r="I19" s="116"/>
      <c r="J19" s="177" t="s">
        <v>209</v>
      </c>
      <c r="K19" s="178"/>
      <c r="L19" s="178"/>
      <c r="M19" s="178"/>
      <c r="N19" s="178"/>
      <c r="O19" s="178"/>
      <c r="P19" s="178"/>
      <c r="Q19" s="178"/>
      <c r="R19" s="178"/>
    </row>
    <row r="20" spans="1:19" ht="34.200000000000003" customHeight="1">
      <c r="A20" s="102" t="s">
        <v>47</v>
      </c>
      <c r="B20" s="107" t="s">
        <v>48</v>
      </c>
      <c r="C20" s="104" t="s">
        <v>40</v>
      </c>
      <c r="D20" s="105" t="s">
        <v>41</v>
      </c>
      <c r="E20" s="105" t="s">
        <v>41</v>
      </c>
      <c r="F20" s="106"/>
      <c r="G20" s="105" t="s">
        <v>41</v>
      </c>
      <c r="H20" s="108"/>
      <c r="I20" s="116" t="s">
        <v>207</v>
      </c>
    </row>
    <row r="21" spans="1:19" ht="78.599999999999994" customHeight="1">
      <c r="A21" s="102" t="s">
        <v>49</v>
      </c>
      <c r="B21" s="110" t="s">
        <v>50</v>
      </c>
      <c r="C21" s="104" t="s">
        <v>40</v>
      </c>
      <c r="D21" s="143" t="s">
        <v>219</v>
      </c>
      <c r="E21" s="144"/>
      <c r="F21" s="144" t="s">
        <v>223</v>
      </c>
      <c r="G21" s="144" t="s">
        <v>223</v>
      </c>
      <c r="H21" s="144"/>
      <c r="I21" s="116" t="s">
        <v>196</v>
      </c>
    </row>
    <row r="22" spans="1:19" ht="60">
      <c r="A22" s="102">
        <v>6</v>
      </c>
      <c r="B22" s="113" t="s">
        <v>51</v>
      </c>
      <c r="C22" s="104" t="s">
        <v>40</v>
      </c>
      <c r="D22" s="144" t="s">
        <v>223</v>
      </c>
      <c r="E22" s="144" t="s">
        <v>223</v>
      </c>
      <c r="F22" s="144"/>
      <c r="G22" s="143" t="s">
        <v>219</v>
      </c>
      <c r="H22" s="144"/>
      <c r="I22" s="116" t="s">
        <v>196</v>
      </c>
    </row>
    <row r="23" spans="1:19" ht="207.6" customHeight="1">
      <c r="A23" s="102" t="s">
        <v>52</v>
      </c>
      <c r="B23" s="113" t="s">
        <v>53</v>
      </c>
      <c r="C23" s="104" t="s">
        <v>214</v>
      </c>
      <c r="D23" s="111"/>
      <c r="E23" s="104"/>
      <c r="F23" s="112"/>
      <c r="G23" s="111" t="s">
        <v>41</v>
      </c>
      <c r="H23" s="112"/>
      <c r="I23" s="116"/>
    </row>
    <row r="24" spans="1:19" ht="36">
      <c r="A24" s="102" t="s">
        <v>212</v>
      </c>
      <c r="B24" s="129" t="s">
        <v>210</v>
      </c>
      <c r="C24" s="130" t="s">
        <v>211</v>
      </c>
      <c r="D24" s="131"/>
      <c r="E24" s="131"/>
      <c r="F24" s="131"/>
      <c r="G24" s="131"/>
      <c r="H24" s="131"/>
      <c r="I24" s="132"/>
    </row>
    <row r="25" spans="1:19" ht="41.4">
      <c r="A25" s="102" t="s">
        <v>213</v>
      </c>
      <c r="B25" s="110" t="s">
        <v>208</v>
      </c>
      <c r="C25" s="104" t="s">
        <v>40</v>
      </c>
      <c r="D25" s="112"/>
      <c r="E25" s="112"/>
      <c r="F25" s="112"/>
      <c r="G25" s="112"/>
      <c r="H25" s="111" t="s">
        <v>41</v>
      </c>
      <c r="I25" s="135" t="s">
        <v>215</v>
      </c>
    </row>
  </sheetData>
  <mergeCells count="22">
    <mergeCell ref="A11:F11"/>
    <mergeCell ref="A12:F12"/>
    <mergeCell ref="G8:I8"/>
    <mergeCell ref="G9:I9"/>
    <mergeCell ref="G10:I10"/>
    <mergeCell ref="G11:I11"/>
    <mergeCell ref="G12:I12"/>
    <mergeCell ref="A8:F8"/>
    <mergeCell ref="A9:F9"/>
    <mergeCell ref="A10:F10"/>
    <mergeCell ref="A1:I1"/>
    <mergeCell ref="A2:I2"/>
    <mergeCell ref="A14:B14"/>
    <mergeCell ref="A13:F13"/>
    <mergeCell ref="J18:S18"/>
    <mergeCell ref="J19:R19"/>
    <mergeCell ref="I15:I16"/>
    <mergeCell ref="D15:H15"/>
    <mergeCell ref="A15:A16"/>
    <mergeCell ref="B15:B16"/>
    <mergeCell ref="C15:C16"/>
    <mergeCell ref="G13:I13"/>
  </mergeCells>
  <phoneticPr fontId="53" type="noConversion"/>
  <hyperlinks>
    <hyperlink ref="I3" location="底稿目录!D4" display="I5A"/>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89"/>
  <sheetViews>
    <sheetView view="pageBreakPreview" zoomScaleNormal="100" workbookViewId="0">
      <selection sqref="A1:K1"/>
    </sheetView>
  </sheetViews>
  <sheetFormatPr defaultColWidth="9" defaultRowHeight="18" customHeight="1"/>
  <cols>
    <col min="1" max="1" width="25.6640625" style="4" customWidth="1"/>
    <col min="2" max="9" width="9.6640625" style="4" customWidth="1"/>
    <col min="10" max="10" width="9" style="4"/>
    <col min="11" max="11" width="9" style="80"/>
    <col min="12" max="16384" width="9" style="4"/>
  </cols>
  <sheetData>
    <row r="1" spans="1:11" s="1" customFormat="1" ht="20.100000000000001" customHeight="1">
      <c r="A1" s="188" t="s">
        <v>19</v>
      </c>
      <c r="B1" s="188"/>
      <c r="C1" s="188"/>
      <c r="D1" s="188"/>
      <c r="E1" s="188"/>
      <c r="F1" s="188"/>
      <c r="G1" s="188"/>
      <c r="H1" s="188"/>
      <c r="I1" s="188"/>
      <c r="J1" s="188"/>
      <c r="K1" s="188"/>
    </row>
    <row r="2" spans="1:11" s="2" customFormat="1" ht="24.9" customHeight="1">
      <c r="A2" s="236" t="s">
        <v>8</v>
      </c>
      <c r="B2" s="236"/>
      <c r="C2" s="236"/>
      <c r="D2" s="236"/>
      <c r="E2" s="236"/>
      <c r="F2" s="236"/>
      <c r="G2" s="236"/>
      <c r="H2" s="236"/>
      <c r="I2" s="236"/>
      <c r="J2" s="236"/>
      <c r="K2" s="236"/>
    </row>
    <row r="3" spans="1:11" ht="20.100000000000001" customHeight="1">
      <c r="A3" s="4" t="str">
        <f>底稿目录!A2</f>
        <v>被审计单位：</v>
      </c>
      <c r="D3" s="4" t="str">
        <f>底稿目录!A4</f>
        <v>编制人：</v>
      </c>
      <c r="G3" s="81"/>
      <c r="H3" s="57" t="str">
        <f>底稿目录!A5</f>
        <v>编制日期：</v>
      </c>
      <c r="J3" s="57" t="s">
        <v>21</v>
      </c>
      <c r="K3" s="241" t="s">
        <v>9</v>
      </c>
    </row>
    <row r="4" spans="1:11" ht="20.100000000000001" customHeight="1">
      <c r="A4" s="4" t="str">
        <f>底稿目录!A3</f>
        <v>截止日：202X年12月31日</v>
      </c>
      <c r="D4" s="4" t="str">
        <f>底稿目录!A6</f>
        <v>复核人：</v>
      </c>
      <c r="G4" s="81"/>
      <c r="H4" s="57" t="str">
        <f>底稿目录!A7</f>
        <v>复核日期：</v>
      </c>
      <c r="J4" s="57" t="s">
        <v>22</v>
      </c>
      <c r="K4" s="87"/>
    </row>
    <row r="5" spans="1:11" s="1" customFormat="1" ht="30.75" customHeight="1">
      <c r="A5" s="196" t="s">
        <v>55</v>
      </c>
      <c r="B5" s="191" t="s">
        <v>56</v>
      </c>
      <c r="C5" s="192"/>
      <c r="D5" s="192"/>
      <c r="E5" s="193"/>
      <c r="F5" s="191" t="s">
        <v>57</v>
      </c>
      <c r="G5" s="192"/>
      <c r="H5" s="192"/>
      <c r="I5" s="193"/>
      <c r="J5" s="194" t="s">
        <v>58</v>
      </c>
      <c r="K5" s="195"/>
    </row>
    <row r="6" spans="1:11" s="3" customFormat="1" ht="25.5" customHeight="1">
      <c r="A6" s="197"/>
      <c r="B6" s="82" t="s">
        <v>59</v>
      </c>
      <c r="C6" s="82" t="s">
        <v>60</v>
      </c>
      <c r="D6" s="82" t="s">
        <v>61</v>
      </c>
      <c r="E6" s="82" t="s">
        <v>62</v>
      </c>
      <c r="F6" s="82" t="s">
        <v>59</v>
      </c>
      <c r="G6" s="82" t="s">
        <v>60</v>
      </c>
      <c r="H6" s="82" t="s">
        <v>61</v>
      </c>
      <c r="I6" s="82" t="s">
        <v>62</v>
      </c>
      <c r="J6" s="88" t="s">
        <v>63</v>
      </c>
      <c r="K6" s="89" t="s">
        <v>64</v>
      </c>
    </row>
    <row r="7" spans="1:11" s="3" customFormat="1" ht="25.5" customHeight="1">
      <c r="A7" s="145" t="s">
        <v>65</v>
      </c>
      <c r="B7" s="82"/>
      <c r="C7" s="82"/>
      <c r="D7" s="82"/>
      <c r="E7" s="82"/>
      <c r="F7" s="82"/>
      <c r="G7" s="82"/>
      <c r="H7" s="82"/>
      <c r="I7" s="82"/>
      <c r="J7" s="88"/>
      <c r="K7" s="89"/>
    </row>
    <row r="8" spans="1:11" ht="20.100000000000001" customHeight="1">
      <c r="A8" s="147" t="str">
        <f>'明细表I5-2'!A11</f>
        <v>预付土地出让金</v>
      </c>
      <c r="B8" s="83">
        <f>'明细表I5-2'!B11</f>
        <v>0</v>
      </c>
      <c r="C8" s="83">
        <f>'明细表I5-2'!F11</f>
        <v>0</v>
      </c>
      <c r="D8" s="83">
        <f>'明细表I5-2'!G11</f>
        <v>0</v>
      </c>
      <c r="E8" s="83">
        <f>'明细表I5-2'!L11</f>
        <v>0</v>
      </c>
      <c r="F8" s="83">
        <f>'明细表I5-2'!E11</f>
        <v>0</v>
      </c>
      <c r="G8" s="83">
        <f>'明细表I5-2'!F11+'明细表I5-2'!H11-'明细表I5-2'!I11</f>
        <v>0</v>
      </c>
      <c r="H8" s="83">
        <f>'明细表I5-2'!G11+'明细表I5-2'!J11-'明细表I5-2'!K11</f>
        <v>0</v>
      </c>
      <c r="I8" s="83">
        <f>'明细表I5-2'!O11</f>
        <v>0</v>
      </c>
      <c r="J8" s="83">
        <f t="shared" ref="J8:J19" si="0">I8-E8</f>
        <v>0</v>
      </c>
      <c r="K8" s="90">
        <f t="shared" ref="K8:K19" si="1">IF(AND(E8=0,J8=0),0,IF(AND(E8=0,J8&gt;0),1,J8/E8))</f>
        <v>0</v>
      </c>
    </row>
    <row r="9" spans="1:11" ht="20.100000000000001" customHeight="1">
      <c r="A9" s="147" t="str">
        <f>'明细表I5-2'!A12</f>
        <v>预付工程款</v>
      </c>
      <c r="B9" s="83">
        <f>'明细表I5-2'!B12</f>
        <v>0</v>
      </c>
      <c r="C9" s="83">
        <f>'明细表I5-2'!F12</f>
        <v>0</v>
      </c>
      <c r="D9" s="83">
        <f>'明细表I5-2'!G12</f>
        <v>0</v>
      </c>
      <c r="E9" s="83">
        <f>'明细表I5-2'!L12</f>
        <v>0</v>
      </c>
      <c r="F9" s="83">
        <f>'明细表I5-2'!E12</f>
        <v>0</v>
      </c>
      <c r="G9" s="83">
        <f>'明细表I5-2'!F12+'明细表I5-2'!H12-'明细表I5-2'!I12</f>
        <v>0</v>
      </c>
      <c r="H9" s="83">
        <f>'明细表I5-2'!G12+'明细表I5-2'!J12-'明细表I5-2'!K12</f>
        <v>0</v>
      </c>
      <c r="I9" s="83">
        <f>'明细表I5-2'!O12</f>
        <v>0</v>
      </c>
      <c r="J9" s="83">
        <f t="shared" si="0"/>
        <v>0</v>
      </c>
      <c r="K9" s="90">
        <f t="shared" si="1"/>
        <v>0</v>
      </c>
    </row>
    <row r="10" spans="1:11" ht="20.100000000000001" customHeight="1">
      <c r="A10" s="147" t="str">
        <f>'明细表I5-2'!A13</f>
        <v>预付房屋、设备款</v>
      </c>
      <c r="B10" s="83">
        <f>'明细表I5-2'!B13</f>
        <v>0</v>
      </c>
      <c r="C10" s="83">
        <f>'明细表I5-2'!F13</f>
        <v>0</v>
      </c>
      <c r="D10" s="83">
        <f>'明细表I5-2'!G13</f>
        <v>0</v>
      </c>
      <c r="E10" s="83">
        <f>'明细表I5-2'!L13</f>
        <v>0</v>
      </c>
      <c r="F10" s="83">
        <f>'明细表I5-2'!E13</f>
        <v>0</v>
      </c>
      <c r="G10" s="83">
        <f>'明细表I5-2'!F13+'明细表I5-2'!H13-'明细表I5-2'!I13</f>
        <v>0</v>
      </c>
      <c r="H10" s="83">
        <f>'明细表I5-2'!G13+'明细表I5-2'!J13-'明细表I5-2'!K13</f>
        <v>0</v>
      </c>
      <c r="I10" s="83">
        <f>'明细表I5-2'!O13</f>
        <v>0</v>
      </c>
      <c r="J10" s="83">
        <f t="shared" si="0"/>
        <v>0</v>
      </c>
      <c r="K10" s="90">
        <f t="shared" si="1"/>
        <v>0</v>
      </c>
    </row>
    <row r="11" spans="1:11" ht="20.100000000000001" customHeight="1">
      <c r="A11" s="147" t="str">
        <f>'明细表I5-2'!A14</f>
        <v>无形资产预付款</v>
      </c>
      <c r="B11" s="83">
        <f>'明细表I5-2'!B14</f>
        <v>0</v>
      </c>
      <c r="C11" s="83">
        <f>'明细表I5-2'!F14</f>
        <v>0</v>
      </c>
      <c r="D11" s="83">
        <f>'明细表I5-2'!G14</f>
        <v>0</v>
      </c>
      <c r="E11" s="83">
        <f>'明细表I5-2'!L14</f>
        <v>0</v>
      </c>
      <c r="F11" s="83">
        <f>'明细表I5-2'!E14</f>
        <v>0</v>
      </c>
      <c r="G11" s="83">
        <f>'明细表I5-2'!F14+'明细表I5-2'!H14-'明细表I5-2'!I14</f>
        <v>0</v>
      </c>
      <c r="H11" s="83">
        <f>'明细表I5-2'!G14+'明细表I5-2'!J14-'明细表I5-2'!K14</f>
        <v>0</v>
      </c>
      <c r="I11" s="83">
        <f>'明细表I5-2'!O14</f>
        <v>0</v>
      </c>
      <c r="J11" s="83">
        <f t="shared" si="0"/>
        <v>0</v>
      </c>
      <c r="K11" s="90">
        <f t="shared" si="1"/>
        <v>0</v>
      </c>
    </row>
    <row r="12" spans="1:11" ht="20.100000000000001" customHeight="1">
      <c r="A12" s="147" t="str">
        <f>'明细表I5-2'!A15</f>
        <v>预付投资款</v>
      </c>
      <c r="B12" s="83">
        <f>'明细表I5-2'!B15</f>
        <v>0</v>
      </c>
      <c r="C12" s="83">
        <f>'明细表I5-2'!F15</f>
        <v>0</v>
      </c>
      <c r="D12" s="83">
        <f>'明细表I5-2'!G15</f>
        <v>0</v>
      </c>
      <c r="E12" s="83">
        <f>'明细表I5-2'!L15</f>
        <v>0</v>
      </c>
      <c r="F12" s="83">
        <f>'明细表I5-2'!E15</f>
        <v>0</v>
      </c>
      <c r="G12" s="83">
        <f>'明细表I5-2'!F15+'明细表I5-2'!H15-'明细表I5-2'!I15</f>
        <v>0</v>
      </c>
      <c r="H12" s="83">
        <f>'明细表I5-2'!G15+'明细表I5-2'!J15-'明细表I5-2'!K15</f>
        <v>0</v>
      </c>
      <c r="I12" s="83">
        <f>'明细表I5-2'!O15</f>
        <v>0</v>
      </c>
      <c r="J12" s="83">
        <f t="shared" si="0"/>
        <v>0</v>
      </c>
      <c r="K12" s="90">
        <f t="shared" si="1"/>
        <v>0</v>
      </c>
    </row>
    <row r="13" spans="1:11" ht="20.100000000000001" customHeight="1">
      <c r="A13" s="147" t="str">
        <f>'明细表I5-2'!A16</f>
        <v>委托贷款</v>
      </c>
      <c r="B13" s="83">
        <f>'明细表I5-2'!B16</f>
        <v>0</v>
      </c>
      <c r="C13" s="83">
        <f>'明细表I5-2'!F16</f>
        <v>0</v>
      </c>
      <c r="D13" s="83">
        <f>'明细表I5-2'!G16</f>
        <v>0</v>
      </c>
      <c r="E13" s="83">
        <f>'明细表I5-2'!L16</f>
        <v>0</v>
      </c>
      <c r="F13" s="83">
        <f>'明细表I5-2'!E16</f>
        <v>0</v>
      </c>
      <c r="G13" s="83">
        <f>'明细表I5-2'!F16+'明细表I5-2'!H16-'明细表I5-2'!I16</f>
        <v>0</v>
      </c>
      <c r="H13" s="83">
        <f>'明细表I5-2'!G16+'明细表I5-2'!J16-'明细表I5-2'!K16</f>
        <v>0</v>
      </c>
      <c r="I13" s="83">
        <f>'明细表I5-2'!O16</f>
        <v>0</v>
      </c>
      <c r="J13" s="83">
        <f t="shared" si="0"/>
        <v>0</v>
      </c>
      <c r="K13" s="90">
        <f t="shared" si="1"/>
        <v>0</v>
      </c>
    </row>
    <row r="14" spans="1:11" ht="20.100000000000001" customHeight="1">
      <c r="A14" s="147" t="str">
        <f>'明细表I5-2'!A17</f>
        <v>合同资产</v>
      </c>
      <c r="B14" s="83">
        <f>'明细表I5-2'!B17</f>
        <v>0</v>
      </c>
      <c r="C14" s="83">
        <f>'明细表I5-2'!F17</f>
        <v>0</v>
      </c>
      <c r="D14" s="83">
        <f>'明细表I5-2'!G17</f>
        <v>0</v>
      </c>
      <c r="E14" s="83">
        <f>'明细表I5-2'!L17</f>
        <v>0</v>
      </c>
      <c r="F14" s="83">
        <f>'明细表I5-2'!E17</f>
        <v>0</v>
      </c>
      <c r="G14" s="83">
        <f>'明细表I5-2'!F17+'明细表I5-2'!H17-'明细表I5-2'!I17</f>
        <v>0</v>
      </c>
      <c r="H14" s="83">
        <f>'明细表I5-2'!G17+'明细表I5-2'!J17-'明细表I5-2'!K17</f>
        <v>0</v>
      </c>
      <c r="I14" s="83">
        <f>'明细表I5-2'!O17</f>
        <v>0</v>
      </c>
      <c r="J14" s="83">
        <f t="shared" si="0"/>
        <v>0</v>
      </c>
      <c r="K14" s="90">
        <f t="shared" si="1"/>
        <v>0</v>
      </c>
    </row>
    <row r="15" spans="1:11" ht="20.100000000000001" customHeight="1">
      <c r="A15" s="147" t="str">
        <f>'明细表I5-2'!A18</f>
        <v>合同取得成本</v>
      </c>
      <c r="B15" s="83">
        <f>'明细表I5-2'!B18</f>
        <v>0</v>
      </c>
      <c r="C15" s="83">
        <f>'明细表I5-2'!F18</f>
        <v>0</v>
      </c>
      <c r="D15" s="83">
        <f>'明细表I5-2'!G18</f>
        <v>0</v>
      </c>
      <c r="E15" s="83">
        <f>'明细表I5-2'!L18</f>
        <v>0</v>
      </c>
      <c r="F15" s="83">
        <f>'明细表I5-2'!E18</f>
        <v>0</v>
      </c>
      <c r="G15" s="83">
        <f>'明细表I5-2'!F18+'明细表I5-2'!H18-'明细表I5-2'!I18</f>
        <v>0</v>
      </c>
      <c r="H15" s="83">
        <f>'明细表I5-2'!G18+'明细表I5-2'!J18-'明细表I5-2'!K18</f>
        <v>0</v>
      </c>
      <c r="I15" s="83">
        <f>'明细表I5-2'!O18</f>
        <v>0</v>
      </c>
      <c r="J15" s="83">
        <f t="shared" si="0"/>
        <v>0</v>
      </c>
      <c r="K15" s="90">
        <f t="shared" si="1"/>
        <v>0</v>
      </c>
    </row>
    <row r="16" spans="1:11" ht="20.100000000000001" customHeight="1">
      <c r="A16" s="147" t="str">
        <f>'明细表I5-2'!A19</f>
        <v>合同履约成本</v>
      </c>
      <c r="B16" s="83">
        <f>'明细表I5-2'!B19</f>
        <v>0</v>
      </c>
      <c r="C16" s="83">
        <f>'明细表I5-2'!F19</f>
        <v>0</v>
      </c>
      <c r="D16" s="83">
        <f>'明细表I5-2'!G19</f>
        <v>0</v>
      </c>
      <c r="E16" s="83">
        <f>'明细表I5-2'!L19</f>
        <v>0</v>
      </c>
      <c r="F16" s="83">
        <f>'明细表I5-2'!E19</f>
        <v>0</v>
      </c>
      <c r="G16" s="83">
        <f>'明细表I5-2'!F19+'明细表I5-2'!H19-'明细表I5-2'!I19</f>
        <v>0</v>
      </c>
      <c r="H16" s="83">
        <f>'明细表I5-2'!G19+'明细表I5-2'!J19-'明细表I5-2'!K19</f>
        <v>0</v>
      </c>
      <c r="I16" s="83">
        <f>'明细表I5-2'!O19</f>
        <v>0</v>
      </c>
      <c r="J16" s="83">
        <f t="shared" si="0"/>
        <v>0</v>
      </c>
      <c r="K16" s="90">
        <f t="shared" si="1"/>
        <v>0</v>
      </c>
    </row>
    <row r="17" spans="1:11" ht="20.100000000000001" customHeight="1">
      <c r="A17" s="147" t="str">
        <f>'明细表I5-2'!A20</f>
        <v>应收退货成本</v>
      </c>
      <c r="B17" s="83">
        <f>'明细表I5-2'!B20</f>
        <v>0</v>
      </c>
      <c r="C17" s="83">
        <f>'明细表I5-2'!F20</f>
        <v>0</v>
      </c>
      <c r="D17" s="83">
        <f>'明细表I5-2'!G20</f>
        <v>0</v>
      </c>
      <c r="E17" s="83">
        <f>'明细表I5-2'!L20</f>
        <v>0</v>
      </c>
      <c r="F17" s="83">
        <f>'明细表I5-2'!E20</f>
        <v>0</v>
      </c>
      <c r="G17" s="83">
        <f>'明细表I5-2'!F20+'明细表I5-2'!H20-'明细表I5-2'!I20</f>
        <v>0</v>
      </c>
      <c r="H17" s="83">
        <f>'明细表I5-2'!G20+'明细表I5-2'!J20-'明细表I5-2'!K20</f>
        <v>0</v>
      </c>
      <c r="I17" s="83">
        <f>'明细表I5-2'!O20</f>
        <v>0</v>
      </c>
      <c r="J17" s="83">
        <f t="shared" si="0"/>
        <v>0</v>
      </c>
      <c r="K17" s="90">
        <f t="shared" si="1"/>
        <v>0</v>
      </c>
    </row>
    <row r="18" spans="1:11" ht="20.100000000000001" customHeight="1">
      <c r="A18" s="147" t="str">
        <f>'明细表I5-2'!A21</f>
        <v>……</v>
      </c>
      <c r="B18" s="83">
        <f>'明细表I5-2'!B21</f>
        <v>0</v>
      </c>
      <c r="C18" s="83">
        <f>'明细表I5-2'!F21</f>
        <v>0</v>
      </c>
      <c r="D18" s="83">
        <f>'明细表I5-2'!G21</f>
        <v>0</v>
      </c>
      <c r="E18" s="83">
        <f>'明细表I5-2'!L21</f>
        <v>0</v>
      </c>
      <c r="F18" s="83">
        <f>'明细表I5-2'!E21</f>
        <v>0</v>
      </c>
      <c r="G18" s="83">
        <f>'明细表I5-2'!F21+'明细表I5-2'!H21-'明细表I5-2'!I21</f>
        <v>0</v>
      </c>
      <c r="H18" s="83">
        <f>'明细表I5-2'!G21+'明细表I5-2'!J21-'明细表I5-2'!K21</f>
        <v>0</v>
      </c>
      <c r="I18" s="83">
        <f>'明细表I5-2'!O21</f>
        <v>0</v>
      </c>
      <c r="J18" s="83">
        <f t="shared" si="0"/>
        <v>0</v>
      </c>
      <c r="K18" s="90">
        <f t="shared" si="1"/>
        <v>0</v>
      </c>
    </row>
    <row r="19" spans="1:11" s="1" customFormat="1" ht="20.100000000000001" customHeight="1">
      <c r="A19" s="146" t="s">
        <v>138</v>
      </c>
      <c r="B19" s="83">
        <f>SUM(B8:B18)</f>
        <v>0</v>
      </c>
      <c r="C19" s="83">
        <f t="shared" ref="C19:E19" si="2">SUM(C8:C18)</f>
        <v>0</v>
      </c>
      <c r="D19" s="83">
        <f t="shared" si="2"/>
        <v>0</v>
      </c>
      <c r="E19" s="83">
        <f t="shared" si="2"/>
        <v>0</v>
      </c>
      <c r="F19" s="83">
        <f t="shared" ref="F19" si="3">SUM(F8:F18)</f>
        <v>0</v>
      </c>
      <c r="G19" s="83">
        <f t="shared" ref="G19" si="4">SUM(G8:G18)</f>
        <v>0</v>
      </c>
      <c r="H19" s="83">
        <f t="shared" ref="H19" si="5">SUM(H8:H18)</f>
        <v>0</v>
      </c>
      <c r="I19" s="83">
        <f t="shared" ref="I19" si="6">SUM(I8:I18)</f>
        <v>0</v>
      </c>
      <c r="J19" s="83">
        <f t="shared" si="0"/>
        <v>0</v>
      </c>
      <c r="K19" s="90">
        <f t="shared" si="1"/>
        <v>0</v>
      </c>
    </row>
    <row r="20" spans="1:11" s="1" customFormat="1" ht="20.100000000000001" customHeight="1">
      <c r="A20" s="145" t="s">
        <v>224</v>
      </c>
      <c r="B20" s="82"/>
      <c r="C20" s="82"/>
      <c r="D20" s="82"/>
      <c r="E20" s="82"/>
      <c r="F20" s="82"/>
      <c r="G20" s="82"/>
      <c r="H20" s="82"/>
      <c r="I20" s="82"/>
      <c r="J20" s="88"/>
      <c r="K20" s="89"/>
    </row>
    <row r="21" spans="1:11" s="1" customFormat="1" ht="20.100000000000001" customHeight="1">
      <c r="A21" s="147" t="str">
        <f>A8</f>
        <v>预付土地出让金</v>
      </c>
      <c r="B21" s="83">
        <f>'明细表I5-2'!B24</f>
        <v>0</v>
      </c>
      <c r="C21" s="83">
        <f>'明细表I5-2'!F24</f>
        <v>0</v>
      </c>
      <c r="D21" s="83">
        <f>'明细表I5-2'!G24</f>
        <v>0</v>
      </c>
      <c r="E21" s="83">
        <f>'明细表I5-2'!L24</f>
        <v>0</v>
      </c>
      <c r="F21" s="83">
        <f>'明细表I5-2'!E24</f>
        <v>0</v>
      </c>
      <c r="G21" s="83">
        <f>'明细表I5-2'!F24+'明细表I5-2'!H24-'明细表I5-2'!I24</f>
        <v>0</v>
      </c>
      <c r="H21" s="83">
        <f>'明细表I5-2'!G24+'明细表I5-2'!J24-'明细表I5-2'!K24</f>
        <v>0</v>
      </c>
      <c r="I21" s="83">
        <f>'明细表I5-2'!O24</f>
        <v>0</v>
      </c>
      <c r="J21" s="83">
        <f>I21-E21</f>
        <v>0</v>
      </c>
      <c r="K21" s="90">
        <f>IF(AND(E21=0,J21=0),0,IF(AND(E21=0,J21&gt;0),1,J21/E21))</f>
        <v>0</v>
      </c>
    </row>
    <row r="22" spans="1:11" s="1" customFormat="1" ht="20.100000000000001" customHeight="1">
      <c r="A22" s="147" t="str">
        <f t="shared" ref="A22:A31" si="7">A9</f>
        <v>预付工程款</v>
      </c>
      <c r="B22" s="83">
        <f>'明细表I5-2'!B25</f>
        <v>0</v>
      </c>
      <c r="C22" s="83">
        <f>'明细表I5-2'!F25</f>
        <v>0</v>
      </c>
      <c r="D22" s="83">
        <f>'明细表I5-2'!G25</f>
        <v>0</v>
      </c>
      <c r="E22" s="83">
        <f>'明细表I5-2'!L25</f>
        <v>0</v>
      </c>
      <c r="F22" s="83">
        <f>'明细表I5-2'!E25</f>
        <v>0</v>
      </c>
      <c r="G22" s="83">
        <f>'明细表I5-2'!F25+'明细表I5-2'!H25-'明细表I5-2'!I25</f>
        <v>0</v>
      </c>
      <c r="H22" s="83">
        <f>'明细表I5-2'!G25+'明细表I5-2'!J25-'明细表I5-2'!K25</f>
        <v>0</v>
      </c>
      <c r="I22" s="83">
        <f>'明细表I5-2'!O25</f>
        <v>0</v>
      </c>
      <c r="J22" s="83">
        <f t="shared" ref="J22:J32" si="8">I22-E22</f>
        <v>0</v>
      </c>
      <c r="K22" s="90">
        <f t="shared" ref="K22:K32" si="9">IF(AND(E22=0,J22=0),0,IF(AND(E22=0,J22&gt;0),1,J22/E22))</f>
        <v>0</v>
      </c>
    </row>
    <row r="23" spans="1:11" s="1" customFormat="1" ht="20.100000000000001" customHeight="1">
      <c r="A23" s="147" t="str">
        <f t="shared" si="7"/>
        <v>预付房屋、设备款</v>
      </c>
      <c r="B23" s="83">
        <f>'明细表I5-2'!B26</f>
        <v>0</v>
      </c>
      <c r="C23" s="83">
        <f>'明细表I5-2'!F26</f>
        <v>0</v>
      </c>
      <c r="D23" s="83">
        <f>'明细表I5-2'!G26</f>
        <v>0</v>
      </c>
      <c r="E23" s="83">
        <f>'明细表I5-2'!L26</f>
        <v>0</v>
      </c>
      <c r="F23" s="83">
        <f>'明细表I5-2'!E26</f>
        <v>0</v>
      </c>
      <c r="G23" s="83">
        <f>'明细表I5-2'!F26+'明细表I5-2'!H26-'明细表I5-2'!I26</f>
        <v>0</v>
      </c>
      <c r="H23" s="83">
        <f>'明细表I5-2'!G26+'明细表I5-2'!J26-'明细表I5-2'!K26</f>
        <v>0</v>
      </c>
      <c r="I23" s="83">
        <f>'明细表I5-2'!O26</f>
        <v>0</v>
      </c>
      <c r="J23" s="83">
        <f t="shared" si="8"/>
        <v>0</v>
      </c>
      <c r="K23" s="90">
        <f t="shared" si="9"/>
        <v>0</v>
      </c>
    </row>
    <row r="24" spans="1:11" s="1" customFormat="1" ht="20.100000000000001" customHeight="1">
      <c r="A24" s="147" t="str">
        <f t="shared" si="7"/>
        <v>无形资产预付款</v>
      </c>
      <c r="B24" s="83">
        <f>'明细表I5-2'!B27</f>
        <v>0</v>
      </c>
      <c r="C24" s="83">
        <f>'明细表I5-2'!F27</f>
        <v>0</v>
      </c>
      <c r="D24" s="83">
        <f>'明细表I5-2'!G27</f>
        <v>0</v>
      </c>
      <c r="E24" s="83">
        <f>'明细表I5-2'!L27</f>
        <v>0</v>
      </c>
      <c r="F24" s="83">
        <f>'明细表I5-2'!E27</f>
        <v>0</v>
      </c>
      <c r="G24" s="83">
        <f>'明细表I5-2'!F27+'明细表I5-2'!H27-'明细表I5-2'!I27</f>
        <v>0</v>
      </c>
      <c r="H24" s="83">
        <f>'明细表I5-2'!G27+'明细表I5-2'!J27-'明细表I5-2'!K27</f>
        <v>0</v>
      </c>
      <c r="I24" s="83">
        <f>'明细表I5-2'!O27</f>
        <v>0</v>
      </c>
      <c r="J24" s="83">
        <f t="shared" si="8"/>
        <v>0</v>
      </c>
      <c r="K24" s="90">
        <f t="shared" si="9"/>
        <v>0</v>
      </c>
    </row>
    <row r="25" spans="1:11" s="1" customFormat="1" ht="20.100000000000001" customHeight="1">
      <c r="A25" s="147" t="str">
        <f t="shared" si="7"/>
        <v>预付投资款</v>
      </c>
      <c r="B25" s="83">
        <f>'明细表I5-2'!B28</f>
        <v>0</v>
      </c>
      <c r="C25" s="83">
        <f>'明细表I5-2'!F28</f>
        <v>0</v>
      </c>
      <c r="D25" s="83">
        <f>'明细表I5-2'!G28</f>
        <v>0</v>
      </c>
      <c r="E25" s="83">
        <f>'明细表I5-2'!L28</f>
        <v>0</v>
      </c>
      <c r="F25" s="83">
        <f>'明细表I5-2'!E28</f>
        <v>0</v>
      </c>
      <c r="G25" s="83">
        <f>'明细表I5-2'!F28+'明细表I5-2'!H28-'明细表I5-2'!I28</f>
        <v>0</v>
      </c>
      <c r="H25" s="83">
        <f>'明细表I5-2'!G28+'明细表I5-2'!J28-'明细表I5-2'!K28</f>
        <v>0</v>
      </c>
      <c r="I25" s="83">
        <f>'明细表I5-2'!O28</f>
        <v>0</v>
      </c>
      <c r="J25" s="83">
        <f t="shared" si="8"/>
        <v>0</v>
      </c>
      <c r="K25" s="90">
        <f t="shared" si="9"/>
        <v>0</v>
      </c>
    </row>
    <row r="26" spans="1:11" s="1" customFormat="1" ht="20.100000000000001" customHeight="1">
      <c r="A26" s="147" t="str">
        <f t="shared" si="7"/>
        <v>委托贷款</v>
      </c>
      <c r="B26" s="83">
        <f>'明细表I5-2'!B29</f>
        <v>0</v>
      </c>
      <c r="C26" s="83">
        <f>'明细表I5-2'!F29</f>
        <v>0</v>
      </c>
      <c r="D26" s="83">
        <f>'明细表I5-2'!G29</f>
        <v>0</v>
      </c>
      <c r="E26" s="83">
        <f>'明细表I5-2'!L29</f>
        <v>0</v>
      </c>
      <c r="F26" s="83">
        <f>'明细表I5-2'!E29</f>
        <v>0</v>
      </c>
      <c r="G26" s="83">
        <f>'明细表I5-2'!F29+'明细表I5-2'!H29-'明细表I5-2'!I29</f>
        <v>0</v>
      </c>
      <c r="H26" s="83">
        <f>'明细表I5-2'!G29+'明细表I5-2'!J29-'明细表I5-2'!K29</f>
        <v>0</v>
      </c>
      <c r="I26" s="83">
        <f>'明细表I5-2'!O29</f>
        <v>0</v>
      </c>
      <c r="J26" s="83">
        <f t="shared" si="8"/>
        <v>0</v>
      </c>
      <c r="K26" s="90">
        <f t="shared" si="9"/>
        <v>0</v>
      </c>
    </row>
    <row r="27" spans="1:11" s="1" customFormat="1" ht="20.100000000000001" customHeight="1">
      <c r="A27" s="147" t="str">
        <f t="shared" si="7"/>
        <v>合同资产</v>
      </c>
      <c r="B27" s="83">
        <f>'明细表I5-2'!B30</f>
        <v>0</v>
      </c>
      <c r="C27" s="83">
        <f>'明细表I5-2'!F30</f>
        <v>0</v>
      </c>
      <c r="D27" s="83">
        <f>'明细表I5-2'!G30</f>
        <v>0</v>
      </c>
      <c r="E27" s="83">
        <f>'明细表I5-2'!L30</f>
        <v>0</v>
      </c>
      <c r="F27" s="83">
        <f>'明细表I5-2'!E30</f>
        <v>0</v>
      </c>
      <c r="G27" s="83">
        <f>'明细表I5-2'!F30+'明细表I5-2'!H30-'明细表I5-2'!I30</f>
        <v>0</v>
      </c>
      <c r="H27" s="83">
        <f>'明细表I5-2'!G30+'明细表I5-2'!J30-'明细表I5-2'!K30</f>
        <v>0</v>
      </c>
      <c r="I27" s="83">
        <f>'明细表I5-2'!O30</f>
        <v>0</v>
      </c>
      <c r="J27" s="83">
        <f t="shared" si="8"/>
        <v>0</v>
      </c>
      <c r="K27" s="90">
        <f t="shared" si="9"/>
        <v>0</v>
      </c>
    </row>
    <row r="28" spans="1:11" s="1" customFormat="1" ht="20.100000000000001" customHeight="1">
      <c r="A28" s="147" t="str">
        <f t="shared" si="7"/>
        <v>合同取得成本</v>
      </c>
      <c r="B28" s="83">
        <f>'明细表I5-2'!B31</f>
        <v>0</v>
      </c>
      <c r="C28" s="83">
        <f>'明细表I5-2'!F31</f>
        <v>0</v>
      </c>
      <c r="D28" s="83">
        <f>'明细表I5-2'!G31</f>
        <v>0</v>
      </c>
      <c r="E28" s="83">
        <f>'明细表I5-2'!L31</f>
        <v>0</v>
      </c>
      <c r="F28" s="83">
        <f>'明细表I5-2'!E31</f>
        <v>0</v>
      </c>
      <c r="G28" s="83">
        <f>'明细表I5-2'!F31+'明细表I5-2'!H31-'明细表I5-2'!I31</f>
        <v>0</v>
      </c>
      <c r="H28" s="83">
        <f>'明细表I5-2'!G31+'明细表I5-2'!J31-'明细表I5-2'!K31</f>
        <v>0</v>
      </c>
      <c r="I28" s="83">
        <f>'明细表I5-2'!O31</f>
        <v>0</v>
      </c>
      <c r="J28" s="83">
        <f t="shared" si="8"/>
        <v>0</v>
      </c>
      <c r="K28" s="90">
        <f t="shared" si="9"/>
        <v>0</v>
      </c>
    </row>
    <row r="29" spans="1:11" s="1" customFormat="1" ht="20.100000000000001" customHeight="1">
      <c r="A29" s="147" t="str">
        <f t="shared" si="7"/>
        <v>合同履约成本</v>
      </c>
      <c r="B29" s="83">
        <f>'明细表I5-2'!B32</f>
        <v>0</v>
      </c>
      <c r="C29" s="83">
        <f>'明细表I5-2'!F32</f>
        <v>0</v>
      </c>
      <c r="D29" s="83">
        <f>'明细表I5-2'!G32</f>
        <v>0</v>
      </c>
      <c r="E29" s="83">
        <f>'明细表I5-2'!L32</f>
        <v>0</v>
      </c>
      <c r="F29" s="83">
        <f>'明细表I5-2'!E32</f>
        <v>0</v>
      </c>
      <c r="G29" s="83">
        <f>'明细表I5-2'!F32+'明细表I5-2'!H32-'明细表I5-2'!I32</f>
        <v>0</v>
      </c>
      <c r="H29" s="83">
        <f>'明细表I5-2'!G32+'明细表I5-2'!J32-'明细表I5-2'!K32</f>
        <v>0</v>
      </c>
      <c r="I29" s="83">
        <f>'明细表I5-2'!O32</f>
        <v>0</v>
      </c>
      <c r="J29" s="83">
        <f t="shared" si="8"/>
        <v>0</v>
      </c>
      <c r="K29" s="90">
        <f t="shared" si="9"/>
        <v>0</v>
      </c>
    </row>
    <row r="30" spans="1:11" s="1" customFormat="1" ht="20.100000000000001" customHeight="1">
      <c r="A30" s="147" t="str">
        <f t="shared" si="7"/>
        <v>应收退货成本</v>
      </c>
      <c r="B30" s="83">
        <f>'明细表I5-2'!B33</f>
        <v>0</v>
      </c>
      <c r="C30" s="83">
        <f>'明细表I5-2'!F33</f>
        <v>0</v>
      </c>
      <c r="D30" s="83">
        <f>'明细表I5-2'!G33</f>
        <v>0</v>
      </c>
      <c r="E30" s="83">
        <f>'明细表I5-2'!L33</f>
        <v>0</v>
      </c>
      <c r="F30" s="83">
        <f>'明细表I5-2'!E33</f>
        <v>0</v>
      </c>
      <c r="G30" s="83">
        <f>'明细表I5-2'!F33+'明细表I5-2'!H33-'明细表I5-2'!I33</f>
        <v>0</v>
      </c>
      <c r="H30" s="83">
        <f>'明细表I5-2'!G33+'明细表I5-2'!J33-'明细表I5-2'!K33</f>
        <v>0</v>
      </c>
      <c r="I30" s="83">
        <f>'明细表I5-2'!O33</f>
        <v>0</v>
      </c>
      <c r="J30" s="83">
        <f t="shared" si="8"/>
        <v>0</v>
      </c>
      <c r="K30" s="90">
        <f t="shared" si="9"/>
        <v>0</v>
      </c>
    </row>
    <row r="31" spans="1:11" s="1" customFormat="1" ht="20.100000000000001" customHeight="1">
      <c r="A31" s="147" t="str">
        <f t="shared" si="7"/>
        <v>……</v>
      </c>
      <c r="B31" s="83">
        <f>'明细表I5-2'!B34</f>
        <v>0</v>
      </c>
      <c r="C31" s="83">
        <f>'明细表I5-2'!F34</f>
        <v>0</v>
      </c>
      <c r="D31" s="83">
        <f>'明细表I5-2'!G34</f>
        <v>0</v>
      </c>
      <c r="E31" s="83">
        <f>'明细表I5-2'!L34</f>
        <v>0</v>
      </c>
      <c r="F31" s="83">
        <f>'明细表I5-2'!E34</f>
        <v>0</v>
      </c>
      <c r="G31" s="83">
        <f>'明细表I5-2'!F34+'明细表I5-2'!H34-'明细表I5-2'!I34</f>
        <v>0</v>
      </c>
      <c r="H31" s="83">
        <f>'明细表I5-2'!G34+'明细表I5-2'!J34-'明细表I5-2'!K34</f>
        <v>0</v>
      </c>
      <c r="I31" s="83">
        <f>'明细表I5-2'!O34</f>
        <v>0</v>
      </c>
      <c r="J31" s="83">
        <f t="shared" si="8"/>
        <v>0</v>
      </c>
      <c r="K31" s="90">
        <f t="shared" si="9"/>
        <v>0</v>
      </c>
    </row>
    <row r="32" spans="1:11" s="1" customFormat="1" ht="20.100000000000001" customHeight="1">
      <c r="A32" s="146" t="s">
        <v>138</v>
      </c>
      <c r="B32" s="83">
        <f>SUM(B21:B31)</f>
        <v>0</v>
      </c>
      <c r="C32" s="83">
        <f t="shared" ref="C32:I32" si="10">SUM(C21:C31)</f>
        <v>0</v>
      </c>
      <c r="D32" s="83">
        <f t="shared" si="10"/>
        <v>0</v>
      </c>
      <c r="E32" s="83">
        <f t="shared" si="10"/>
        <v>0</v>
      </c>
      <c r="F32" s="83">
        <f t="shared" si="10"/>
        <v>0</v>
      </c>
      <c r="G32" s="83">
        <f t="shared" si="10"/>
        <v>0</v>
      </c>
      <c r="H32" s="83">
        <f t="shared" si="10"/>
        <v>0</v>
      </c>
      <c r="I32" s="83">
        <f t="shared" si="10"/>
        <v>0</v>
      </c>
      <c r="J32" s="83">
        <f t="shared" si="8"/>
        <v>0</v>
      </c>
      <c r="K32" s="90">
        <f t="shared" si="9"/>
        <v>0</v>
      </c>
    </row>
    <row r="33" spans="1:11" s="1" customFormat="1" ht="20.100000000000001" customHeight="1">
      <c r="A33" s="145" t="s">
        <v>139</v>
      </c>
      <c r="B33" s="82"/>
      <c r="C33" s="82"/>
      <c r="D33" s="82"/>
      <c r="E33" s="82"/>
      <c r="F33" s="82"/>
      <c r="G33" s="82"/>
      <c r="H33" s="82"/>
      <c r="I33" s="82"/>
      <c r="J33" s="88"/>
      <c r="K33" s="89"/>
    </row>
    <row r="34" spans="1:11" s="1" customFormat="1" ht="20.100000000000001" customHeight="1">
      <c r="A34" s="147" t="str">
        <f>A21</f>
        <v>预付土地出让金</v>
      </c>
      <c r="B34" s="83">
        <f>B8-B21</f>
        <v>0</v>
      </c>
      <c r="C34" s="83">
        <f t="shared" ref="C34:K34" si="11">C8-C21</f>
        <v>0</v>
      </c>
      <c r="D34" s="83">
        <f t="shared" si="11"/>
        <v>0</v>
      </c>
      <c r="E34" s="83">
        <f t="shared" si="11"/>
        <v>0</v>
      </c>
      <c r="F34" s="83">
        <f t="shared" si="11"/>
        <v>0</v>
      </c>
      <c r="G34" s="83">
        <f t="shared" si="11"/>
        <v>0</v>
      </c>
      <c r="H34" s="83">
        <f t="shared" si="11"/>
        <v>0</v>
      </c>
      <c r="I34" s="83">
        <f t="shared" si="11"/>
        <v>0</v>
      </c>
      <c r="J34" s="83">
        <f t="shared" si="11"/>
        <v>0</v>
      </c>
      <c r="K34" s="90">
        <f t="shared" si="11"/>
        <v>0</v>
      </c>
    </row>
    <row r="35" spans="1:11" s="1" customFormat="1" ht="20.100000000000001" customHeight="1">
      <c r="A35" s="147" t="str">
        <f t="shared" ref="A35:A44" si="12">A22</f>
        <v>预付工程款</v>
      </c>
      <c r="B35" s="83">
        <f t="shared" ref="B35:K35" si="13">B9-B22</f>
        <v>0</v>
      </c>
      <c r="C35" s="83">
        <f t="shared" si="13"/>
        <v>0</v>
      </c>
      <c r="D35" s="83">
        <f t="shared" si="13"/>
        <v>0</v>
      </c>
      <c r="E35" s="83">
        <f t="shared" si="13"/>
        <v>0</v>
      </c>
      <c r="F35" s="83">
        <f t="shared" si="13"/>
        <v>0</v>
      </c>
      <c r="G35" s="83">
        <f t="shared" si="13"/>
        <v>0</v>
      </c>
      <c r="H35" s="83">
        <f t="shared" si="13"/>
        <v>0</v>
      </c>
      <c r="I35" s="83">
        <f t="shared" si="13"/>
        <v>0</v>
      </c>
      <c r="J35" s="83">
        <f t="shared" si="13"/>
        <v>0</v>
      </c>
      <c r="K35" s="90">
        <f t="shared" si="13"/>
        <v>0</v>
      </c>
    </row>
    <row r="36" spans="1:11" s="1" customFormat="1" ht="20.100000000000001" customHeight="1">
      <c r="A36" s="147" t="str">
        <f t="shared" si="12"/>
        <v>预付房屋、设备款</v>
      </c>
      <c r="B36" s="83">
        <f t="shared" ref="B36:K36" si="14">B10-B23</f>
        <v>0</v>
      </c>
      <c r="C36" s="83">
        <f t="shared" si="14"/>
        <v>0</v>
      </c>
      <c r="D36" s="83">
        <f t="shared" si="14"/>
        <v>0</v>
      </c>
      <c r="E36" s="83">
        <f t="shared" si="14"/>
        <v>0</v>
      </c>
      <c r="F36" s="83">
        <f t="shared" si="14"/>
        <v>0</v>
      </c>
      <c r="G36" s="83">
        <f t="shared" si="14"/>
        <v>0</v>
      </c>
      <c r="H36" s="83">
        <f t="shared" si="14"/>
        <v>0</v>
      </c>
      <c r="I36" s="83">
        <f t="shared" si="14"/>
        <v>0</v>
      </c>
      <c r="J36" s="83">
        <f t="shared" si="14"/>
        <v>0</v>
      </c>
      <c r="K36" s="90">
        <f t="shared" si="14"/>
        <v>0</v>
      </c>
    </row>
    <row r="37" spans="1:11" s="1" customFormat="1" ht="20.100000000000001" customHeight="1">
      <c r="A37" s="147" t="str">
        <f t="shared" si="12"/>
        <v>无形资产预付款</v>
      </c>
      <c r="B37" s="83">
        <f t="shared" ref="B37:K37" si="15">B11-B24</f>
        <v>0</v>
      </c>
      <c r="C37" s="83">
        <f t="shared" si="15"/>
        <v>0</v>
      </c>
      <c r="D37" s="83">
        <f t="shared" si="15"/>
        <v>0</v>
      </c>
      <c r="E37" s="83">
        <f t="shared" si="15"/>
        <v>0</v>
      </c>
      <c r="F37" s="83">
        <f t="shared" si="15"/>
        <v>0</v>
      </c>
      <c r="G37" s="83">
        <f t="shared" si="15"/>
        <v>0</v>
      </c>
      <c r="H37" s="83">
        <f t="shared" si="15"/>
        <v>0</v>
      </c>
      <c r="I37" s="83">
        <f t="shared" si="15"/>
        <v>0</v>
      </c>
      <c r="J37" s="83">
        <f t="shared" si="15"/>
        <v>0</v>
      </c>
      <c r="K37" s="90">
        <f t="shared" si="15"/>
        <v>0</v>
      </c>
    </row>
    <row r="38" spans="1:11" s="1" customFormat="1" ht="20.100000000000001" customHeight="1">
      <c r="A38" s="147" t="str">
        <f t="shared" si="12"/>
        <v>预付投资款</v>
      </c>
      <c r="B38" s="83">
        <f t="shared" ref="B38:K38" si="16">B12-B25</f>
        <v>0</v>
      </c>
      <c r="C38" s="83">
        <f t="shared" si="16"/>
        <v>0</v>
      </c>
      <c r="D38" s="83">
        <f t="shared" si="16"/>
        <v>0</v>
      </c>
      <c r="E38" s="83">
        <f t="shared" si="16"/>
        <v>0</v>
      </c>
      <c r="F38" s="83">
        <f t="shared" si="16"/>
        <v>0</v>
      </c>
      <c r="G38" s="83">
        <f t="shared" si="16"/>
        <v>0</v>
      </c>
      <c r="H38" s="83">
        <f t="shared" si="16"/>
        <v>0</v>
      </c>
      <c r="I38" s="83">
        <f t="shared" si="16"/>
        <v>0</v>
      </c>
      <c r="J38" s="83">
        <f t="shared" si="16"/>
        <v>0</v>
      </c>
      <c r="K38" s="90">
        <f t="shared" si="16"/>
        <v>0</v>
      </c>
    </row>
    <row r="39" spans="1:11" s="1" customFormat="1" ht="20.100000000000001" customHeight="1">
      <c r="A39" s="147" t="str">
        <f t="shared" si="12"/>
        <v>委托贷款</v>
      </c>
      <c r="B39" s="83">
        <f t="shared" ref="B39:K39" si="17">B13-B26</f>
        <v>0</v>
      </c>
      <c r="C39" s="83">
        <f t="shared" si="17"/>
        <v>0</v>
      </c>
      <c r="D39" s="83">
        <f t="shared" si="17"/>
        <v>0</v>
      </c>
      <c r="E39" s="83">
        <f t="shared" si="17"/>
        <v>0</v>
      </c>
      <c r="F39" s="83">
        <f t="shared" si="17"/>
        <v>0</v>
      </c>
      <c r="G39" s="83">
        <f t="shared" si="17"/>
        <v>0</v>
      </c>
      <c r="H39" s="83">
        <f t="shared" si="17"/>
        <v>0</v>
      </c>
      <c r="I39" s="83">
        <f t="shared" si="17"/>
        <v>0</v>
      </c>
      <c r="J39" s="83">
        <f t="shared" si="17"/>
        <v>0</v>
      </c>
      <c r="K39" s="90">
        <f t="shared" si="17"/>
        <v>0</v>
      </c>
    </row>
    <row r="40" spans="1:11" s="1" customFormat="1" ht="20.100000000000001" customHeight="1">
      <c r="A40" s="147" t="str">
        <f t="shared" si="12"/>
        <v>合同资产</v>
      </c>
      <c r="B40" s="83">
        <f t="shared" ref="B40:K40" si="18">B14-B27</f>
        <v>0</v>
      </c>
      <c r="C40" s="83">
        <f t="shared" si="18"/>
        <v>0</v>
      </c>
      <c r="D40" s="83">
        <f t="shared" si="18"/>
        <v>0</v>
      </c>
      <c r="E40" s="83">
        <f t="shared" si="18"/>
        <v>0</v>
      </c>
      <c r="F40" s="83">
        <f t="shared" si="18"/>
        <v>0</v>
      </c>
      <c r="G40" s="83">
        <f t="shared" si="18"/>
        <v>0</v>
      </c>
      <c r="H40" s="83">
        <f t="shared" si="18"/>
        <v>0</v>
      </c>
      <c r="I40" s="83">
        <f t="shared" si="18"/>
        <v>0</v>
      </c>
      <c r="J40" s="83">
        <f t="shared" si="18"/>
        <v>0</v>
      </c>
      <c r="K40" s="90">
        <f t="shared" si="18"/>
        <v>0</v>
      </c>
    </row>
    <row r="41" spans="1:11" s="1" customFormat="1" ht="20.100000000000001" customHeight="1">
      <c r="A41" s="147" t="str">
        <f t="shared" si="12"/>
        <v>合同取得成本</v>
      </c>
      <c r="B41" s="83">
        <f t="shared" ref="B41:K41" si="19">B15-B28</f>
        <v>0</v>
      </c>
      <c r="C41" s="83">
        <f t="shared" si="19"/>
        <v>0</v>
      </c>
      <c r="D41" s="83">
        <f t="shared" si="19"/>
        <v>0</v>
      </c>
      <c r="E41" s="83">
        <f t="shared" si="19"/>
        <v>0</v>
      </c>
      <c r="F41" s="83">
        <f t="shared" si="19"/>
        <v>0</v>
      </c>
      <c r="G41" s="83">
        <f t="shared" si="19"/>
        <v>0</v>
      </c>
      <c r="H41" s="83">
        <f t="shared" si="19"/>
        <v>0</v>
      </c>
      <c r="I41" s="83">
        <f t="shared" si="19"/>
        <v>0</v>
      </c>
      <c r="J41" s="83">
        <f t="shared" si="19"/>
        <v>0</v>
      </c>
      <c r="K41" s="90">
        <f t="shared" si="19"/>
        <v>0</v>
      </c>
    </row>
    <row r="42" spans="1:11" s="1" customFormat="1" ht="20.100000000000001" customHeight="1">
      <c r="A42" s="147" t="str">
        <f t="shared" si="12"/>
        <v>合同履约成本</v>
      </c>
      <c r="B42" s="83">
        <f t="shared" ref="B42:K42" si="20">B16-B29</f>
        <v>0</v>
      </c>
      <c r="C42" s="83">
        <f t="shared" si="20"/>
        <v>0</v>
      </c>
      <c r="D42" s="83">
        <f t="shared" si="20"/>
        <v>0</v>
      </c>
      <c r="E42" s="83">
        <f t="shared" si="20"/>
        <v>0</v>
      </c>
      <c r="F42" s="83">
        <f t="shared" si="20"/>
        <v>0</v>
      </c>
      <c r="G42" s="83">
        <f t="shared" si="20"/>
        <v>0</v>
      </c>
      <c r="H42" s="83">
        <f t="shared" si="20"/>
        <v>0</v>
      </c>
      <c r="I42" s="83">
        <f t="shared" si="20"/>
        <v>0</v>
      </c>
      <c r="J42" s="83">
        <f t="shared" si="20"/>
        <v>0</v>
      </c>
      <c r="K42" s="90">
        <f t="shared" si="20"/>
        <v>0</v>
      </c>
    </row>
    <row r="43" spans="1:11" s="1" customFormat="1" ht="20.100000000000001" customHeight="1">
      <c r="A43" s="147" t="str">
        <f t="shared" si="12"/>
        <v>应收退货成本</v>
      </c>
      <c r="B43" s="83">
        <f t="shared" ref="B43:K43" si="21">B17-B30</f>
        <v>0</v>
      </c>
      <c r="C43" s="83">
        <f t="shared" si="21"/>
        <v>0</v>
      </c>
      <c r="D43" s="83">
        <f t="shared" si="21"/>
        <v>0</v>
      </c>
      <c r="E43" s="83">
        <f t="shared" si="21"/>
        <v>0</v>
      </c>
      <c r="F43" s="83">
        <f t="shared" si="21"/>
        <v>0</v>
      </c>
      <c r="G43" s="83">
        <f t="shared" si="21"/>
        <v>0</v>
      </c>
      <c r="H43" s="83">
        <f t="shared" si="21"/>
        <v>0</v>
      </c>
      <c r="I43" s="83">
        <f t="shared" si="21"/>
        <v>0</v>
      </c>
      <c r="J43" s="83">
        <f t="shared" si="21"/>
        <v>0</v>
      </c>
      <c r="K43" s="90">
        <f t="shared" si="21"/>
        <v>0</v>
      </c>
    </row>
    <row r="44" spans="1:11" s="1" customFormat="1" ht="20.100000000000001" customHeight="1">
      <c r="A44" s="147" t="str">
        <f t="shared" si="12"/>
        <v>……</v>
      </c>
      <c r="B44" s="83">
        <f t="shared" ref="B44:K44" si="22">B18-B31</f>
        <v>0</v>
      </c>
      <c r="C44" s="83">
        <f t="shared" si="22"/>
        <v>0</v>
      </c>
      <c r="D44" s="83">
        <f t="shared" si="22"/>
        <v>0</v>
      </c>
      <c r="E44" s="83">
        <f t="shared" si="22"/>
        <v>0</v>
      </c>
      <c r="F44" s="83">
        <f t="shared" si="22"/>
        <v>0</v>
      </c>
      <c r="G44" s="83">
        <f t="shared" si="22"/>
        <v>0</v>
      </c>
      <c r="H44" s="83">
        <f t="shared" si="22"/>
        <v>0</v>
      </c>
      <c r="I44" s="83">
        <f t="shared" si="22"/>
        <v>0</v>
      </c>
      <c r="J44" s="83">
        <f t="shared" si="22"/>
        <v>0</v>
      </c>
      <c r="K44" s="90">
        <f t="shared" si="22"/>
        <v>0</v>
      </c>
    </row>
    <row r="45" spans="1:11" s="1" customFormat="1" ht="20.100000000000001" customHeight="1">
      <c r="A45" s="146" t="s">
        <v>138</v>
      </c>
      <c r="B45" s="83">
        <f>SUM(B34:B44)</f>
        <v>0</v>
      </c>
      <c r="C45" s="83">
        <f t="shared" ref="C45:K45" si="23">SUM(C34:C44)</f>
        <v>0</v>
      </c>
      <c r="D45" s="83">
        <f t="shared" si="23"/>
        <v>0</v>
      </c>
      <c r="E45" s="83">
        <f t="shared" si="23"/>
        <v>0</v>
      </c>
      <c r="F45" s="83">
        <f t="shared" si="23"/>
        <v>0</v>
      </c>
      <c r="G45" s="83">
        <f t="shared" si="23"/>
        <v>0</v>
      </c>
      <c r="H45" s="83">
        <f t="shared" si="23"/>
        <v>0</v>
      </c>
      <c r="I45" s="83">
        <f t="shared" si="23"/>
        <v>0</v>
      </c>
      <c r="J45" s="83">
        <f t="shared" si="23"/>
        <v>0</v>
      </c>
      <c r="K45" s="90">
        <f t="shared" si="23"/>
        <v>0</v>
      </c>
    </row>
    <row r="46" spans="1:11" s="1" customFormat="1" ht="20.100000000000001" customHeight="1">
      <c r="A46" s="148" t="s">
        <v>225</v>
      </c>
      <c r="B46" s="84"/>
      <c r="C46" s="84"/>
      <c r="D46" s="84"/>
      <c r="E46" s="84"/>
      <c r="F46" s="84"/>
      <c r="G46" s="84"/>
      <c r="H46" s="84"/>
      <c r="I46" s="84"/>
      <c r="J46" s="84"/>
      <c r="K46" s="84"/>
    </row>
    <row r="47" spans="1:11" s="1" customFormat="1" ht="20.100000000000001" customHeight="1">
      <c r="A47" s="148" t="s">
        <v>66</v>
      </c>
      <c r="B47" s="85">
        <f t="shared" ref="B47:G47" si="24">B45-B46</f>
        <v>0</v>
      </c>
      <c r="C47" s="85">
        <f t="shared" si="24"/>
        <v>0</v>
      </c>
      <c r="D47" s="85">
        <f t="shared" si="24"/>
        <v>0</v>
      </c>
      <c r="E47" s="85">
        <f t="shared" si="24"/>
        <v>0</v>
      </c>
      <c r="F47" s="85">
        <f t="shared" si="24"/>
        <v>0</v>
      </c>
      <c r="G47" s="85">
        <f t="shared" si="24"/>
        <v>0</v>
      </c>
      <c r="H47" s="85">
        <f t="shared" ref="H47" si="25">H45-H46</f>
        <v>0</v>
      </c>
      <c r="I47" s="85">
        <f t="shared" ref="I47" si="26">I45-I46</f>
        <v>0</v>
      </c>
      <c r="J47" s="85">
        <f t="shared" ref="J47" si="27">J45-J46</f>
        <v>0</v>
      </c>
      <c r="K47" s="85">
        <f t="shared" ref="K47" si="28">K45-K46</f>
        <v>0</v>
      </c>
    </row>
    <row r="48" spans="1:11" s="1" customFormat="1" ht="20.100000000000001" customHeight="1">
      <c r="A48" s="1" t="s">
        <v>67</v>
      </c>
      <c r="B48" s="86"/>
      <c r="C48" s="86"/>
      <c r="D48" s="86"/>
      <c r="E48" s="86"/>
      <c r="F48" s="86"/>
      <c r="G48" s="86"/>
      <c r="H48" s="86"/>
      <c r="I48" s="86"/>
      <c r="J48" s="86"/>
      <c r="K48" s="86"/>
    </row>
    <row r="49" spans="1:11" ht="20.100000000000001" customHeight="1">
      <c r="A49" s="4" t="s">
        <v>68</v>
      </c>
      <c r="C49" s="80" t="e">
        <f>IF(AND(I19=0,F19&gt;0),1,(I19-F19)/F19)</f>
        <v>#DIV/0!</v>
      </c>
    </row>
    <row r="50" spans="1:11" ht="20.100000000000001" customHeight="1">
      <c r="A50" s="4" t="s">
        <v>69</v>
      </c>
    </row>
    <row r="51" spans="1:11" ht="20.100000000000001" customHeight="1"/>
    <row r="52" spans="1:11" ht="20.100000000000001" customHeight="1"/>
    <row r="53" spans="1:11" ht="20.100000000000001" customHeight="1">
      <c r="A53" s="4" t="s">
        <v>70</v>
      </c>
    </row>
    <row r="54" spans="1:11" ht="20.100000000000001" customHeight="1"/>
    <row r="55" spans="1:11" ht="20.100000000000001" customHeight="1"/>
    <row r="56" spans="1:11" s="1" customFormat="1" ht="20.100000000000001" customHeight="1">
      <c r="A56" s="1" t="s">
        <v>71</v>
      </c>
      <c r="K56" s="91"/>
    </row>
    <row r="57" spans="1:11" ht="20.100000000000001" customHeight="1"/>
    <row r="59" spans="1:11" ht="13.8">
      <c r="A59" s="64" t="s">
        <v>72</v>
      </c>
      <c r="B59" s="64"/>
      <c r="C59" s="64"/>
    </row>
    <row r="60" spans="1:11" ht="13.8">
      <c r="A60" s="64" t="s">
        <v>73</v>
      </c>
      <c r="B60" s="64"/>
      <c r="C60" s="64"/>
    </row>
    <row r="61" spans="1:11" ht="13.8">
      <c r="A61" s="64" t="s">
        <v>74</v>
      </c>
      <c r="B61" s="64"/>
      <c r="C61" s="64"/>
    </row>
    <row r="62" spans="1:11" ht="13.8">
      <c r="A62" s="64" t="s">
        <v>75</v>
      </c>
      <c r="B62" s="64"/>
      <c r="C62" s="64"/>
    </row>
    <row r="63" spans="1:11" ht="13.8">
      <c r="A63" s="64" t="s">
        <v>76</v>
      </c>
      <c r="B63" s="64"/>
      <c r="C63" s="64"/>
    </row>
    <row r="64" spans="1:11" ht="13.8">
      <c r="A64" s="64" t="s">
        <v>77</v>
      </c>
      <c r="B64" s="64"/>
      <c r="C64" s="64"/>
    </row>
    <row r="65" spans="1:3" ht="13.8">
      <c r="A65" s="64" t="s">
        <v>78</v>
      </c>
      <c r="B65" s="64"/>
      <c r="C65" s="64"/>
    </row>
    <row r="66" spans="1:3" ht="13.8">
      <c r="A66" s="64" t="s">
        <v>79</v>
      </c>
      <c r="B66" s="64"/>
      <c r="C66" s="64"/>
    </row>
    <row r="67" spans="1:3" ht="13.8">
      <c r="A67" s="64" t="s">
        <v>80</v>
      </c>
      <c r="B67" s="64"/>
      <c r="C67" s="64"/>
    </row>
    <row r="68" spans="1:3" ht="13.8">
      <c r="A68" s="64" t="s">
        <v>81</v>
      </c>
      <c r="B68" s="64"/>
      <c r="C68" s="64"/>
    </row>
    <row r="69" spans="1:3" ht="18" customHeight="1">
      <c r="A69" s="64"/>
      <c r="B69" s="64"/>
      <c r="C69" s="64"/>
    </row>
    <row r="70" spans="1:3" ht="13.8">
      <c r="A70" s="64" t="s">
        <v>82</v>
      </c>
      <c r="B70" s="64"/>
      <c r="C70" s="64"/>
    </row>
    <row r="71" spans="1:3" ht="13.8">
      <c r="A71" s="64" t="s">
        <v>83</v>
      </c>
      <c r="B71" s="64"/>
      <c r="C71" s="64"/>
    </row>
    <row r="72" spans="1:3" ht="13.8">
      <c r="A72" s="64" t="s">
        <v>84</v>
      </c>
      <c r="B72" s="64"/>
      <c r="C72" s="64"/>
    </row>
    <row r="73" spans="1:3" ht="13.8">
      <c r="A73" s="64" t="s">
        <v>85</v>
      </c>
      <c r="B73" s="64"/>
      <c r="C73" s="64"/>
    </row>
    <row r="74" spans="1:3" ht="13.8">
      <c r="A74" s="64" t="s">
        <v>86</v>
      </c>
      <c r="B74" s="64"/>
      <c r="C74" s="64"/>
    </row>
    <row r="75" spans="1:3" ht="13.8">
      <c r="A75" s="64" t="s">
        <v>87</v>
      </c>
      <c r="B75" s="64"/>
      <c r="C75" s="64"/>
    </row>
    <row r="76" spans="1:3" ht="13.8">
      <c r="A76" s="64" t="s">
        <v>88</v>
      </c>
      <c r="B76" s="64"/>
      <c r="C76" s="64"/>
    </row>
    <row r="77" spans="1:3" ht="13.8">
      <c r="A77" s="64" t="s">
        <v>89</v>
      </c>
      <c r="B77" s="64"/>
      <c r="C77" s="64"/>
    </row>
    <row r="78" spans="1:3" ht="13.8">
      <c r="A78" s="64" t="s">
        <v>90</v>
      </c>
      <c r="B78" s="64"/>
      <c r="C78" s="64"/>
    </row>
    <row r="79" spans="1:3" ht="13.8">
      <c r="A79" s="64" t="s">
        <v>91</v>
      </c>
      <c r="B79" s="64"/>
      <c r="C79" s="64"/>
    </row>
    <row r="80" spans="1:3" ht="13.8">
      <c r="A80" s="64" t="s">
        <v>92</v>
      </c>
      <c r="B80" s="64"/>
      <c r="C80" s="64"/>
    </row>
    <row r="81" spans="1:3" ht="13.8">
      <c r="A81" s="64" t="s">
        <v>93</v>
      </c>
      <c r="B81" s="64"/>
      <c r="C81" s="64"/>
    </row>
    <row r="82" spans="1:3" ht="13.8">
      <c r="A82" s="64" t="s">
        <v>94</v>
      </c>
      <c r="B82" s="64"/>
      <c r="C82" s="64"/>
    </row>
    <row r="83" spans="1:3" ht="13.8">
      <c r="A83" s="64" t="s">
        <v>95</v>
      </c>
      <c r="B83" s="64"/>
      <c r="C83" s="64"/>
    </row>
    <row r="84" spans="1:3" ht="18" customHeight="1">
      <c r="A84" s="64"/>
      <c r="B84" s="64"/>
      <c r="C84" s="64"/>
    </row>
    <row r="85" spans="1:3" ht="13.8">
      <c r="A85" s="64" t="s">
        <v>96</v>
      </c>
      <c r="B85" s="64"/>
      <c r="C85" s="64"/>
    </row>
    <row r="86" spans="1:3" ht="13.8">
      <c r="A86" s="64" t="s">
        <v>97</v>
      </c>
      <c r="B86" s="64"/>
      <c r="C86" s="64"/>
    </row>
    <row r="87" spans="1:3" ht="13.8">
      <c r="A87" s="64" t="s">
        <v>98</v>
      </c>
      <c r="B87" s="92" t="s">
        <v>99</v>
      </c>
      <c r="C87" s="64"/>
    </row>
    <row r="88" spans="1:3" ht="13.8">
      <c r="A88" s="64" t="s">
        <v>100</v>
      </c>
      <c r="B88" s="64" t="s">
        <v>101</v>
      </c>
      <c r="C88" s="64"/>
    </row>
    <row r="89" spans="1:3" ht="13.8">
      <c r="A89" s="64" t="s">
        <v>102</v>
      </c>
      <c r="B89" s="64" t="s">
        <v>103</v>
      </c>
      <c r="C89" s="64"/>
    </row>
  </sheetData>
  <mergeCells count="6">
    <mergeCell ref="A1:K1"/>
    <mergeCell ref="A2:K2"/>
    <mergeCell ref="B5:E5"/>
    <mergeCell ref="F5:I5"/>
    <mergeCell ref="J5:K5"/>
    <mergeCell ref="A5:A6"/>
  </mergeCells>
  <phoneticPr fontId="53" type="noConversion"/>
  <conditionalFormatting sqref="B47:K47">
    <cfRule type="cellIs" dxfId="0" priority="1" operator="notEqual">
      <formula>0</formula>
    </cfRule>
  </conditionalFormatting>
  <dataValidations count="1">
    <dataValidation type="list" allowBlank="1" showInputMessage="1" showErrorMessage="1" sqref="B56">
      <formula1>$B$87:$B$89</formula1>
    </dataValidation>
  </dataValidations>
  <hyperlinks>
    <hyperlink ref="K3" location="底稿目录!D5" display="I5-1"/>
  </hyperlinks>
  <printOptions horizontalCentered="1"/>
  <pageMargins left="0.59055118110236227" right="0.59055118110236227" top="0.78740157480314965" bottom="0.39370078740157483" header="0.51181102362204722" footer="0.31496062992125984"/>
  <pageSetup paperSize="9" scale="86" fitToHeight="2"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3"/>
  <sheetViews>
    <sheetView view="pageBreakPreview" zoomScaleNormal="100" workbookViewId="0">
      <selection activeCell="J9" sqref="J8:J9"/>
    </sheetView>
  </sheetViews>
  <sheetFormatPr defaultColWidth="9" defaultRowHeight="18" customHeight="1"/>
  <cols>
    <col min="1" max="1" width="30.6640625" style="4" customWidth="1"/>
    <col min="2" max="7" width="12.88671875" style="4" customWidth="1"/>
    <col min="8" max="16384" width="9" style="4"/>
  </cols>
  <sheetData>
    <row r="1" spans="1:7" s="1" customFormat="1" ht="20.100000000000001" customHeight="1">
      <c r="A1" s="187" t="s">
        <v>19</v>
      </c>
      <c r="B1" s="187"/>
      <c r="C1" s="187"/>
      <c r="D1" s="187"/>
      <c r="E1" s="187"/>
    </row>
    <row r="2" spans="1:7" s="2" customFormat="1" ht="24.9" customHeight="1">
      <c r="A2" s="172" t="s">
        <v>104</v>
      </c>
      <c r="B2" s="172"/>
      <c r="C2" s="172"/>
      <c r="D2" s="172"/>
      <c r="E2" s="172"/>
    </row>
    <row r="3" spans="1:7" ht="20.100000000000001" customHeight="1">
      <c r="A3" s="4" t="str">
        <f>底稿目录!A2</f>
        <v>被审计单位：</v>
      </c>
      <c r="B3" s="4" t="str">
        <f>底稿目录!A4</f>
        <v>编制人：</v>
      </c>
      <c r="D3" s="4" t="str">
        <f>底稿目录!A5</f>
        <v>编制日期：</v>
      </c>
      <c r="F3" s="4" t="s">
        <v>21</v>
      </c>
      <c r="G3" s="58"/>
    </row>
    <row r="4" spans="1:7" ht="20.100000000000001" customHeight="1">
      <c r="A4" s="4" t="str">
        <f>底稿目录!A3</f>
        <v>截止日：202X年12月31日</v>
      </c>
      <c r="B4" s="4" t="str">
        <f>底稿目录!A6</f>
        <v>复核人：</v>
      </c>
      <c r="D4" s="4" t="str">
        <f>底稿目录!A7</f>
        <v>复核日期：</v>
      </c>
      <c r="F4" s="4" t="s">
        <v>22</v>
      </c>
      <c r="G4" s="58"/>
    </row>
    <row r="5" spans="1:7" s="66" customFormat="1" ht="20.100000000000001" customHeight="1">
      <c r="A5" s="198" t="s">
        <v>105</v>
      </c>
      <c r="B5" s="198"/>
      <c r="C5" s="198"/>
    </row>
    <row r="6" spans="1:7" s="66" customFormat="1" ht="20.100000000000001" customHeight="1">
      <c r="A6" s="199" t="s">
        <v>106</v>
      </c>
      <c r="B6" s="74" t="s">
        <v>57</v>
      </c>
      <c r="C6" s="74"/>
      <c r="D6" s="75"/>
      <c r="E6" s="75" t="s">
        <v>107</v>
      </c>
      <c r="F6" s="75"/>
      <c r="G6" s="75"/>
    </row>
    <row r="7" spans="1:7" s="66" customFormat="1" ht="20.100000000000001" customHeight="1">
      <c r="A7" s="200"/>
      <c r="B7" s="76" t="s">
        <v>108</v>
      </c>
      <c r="C7" s="76" t="s">
        <v>109</v>
      </c>
      <c r="D7" s="77" t="s">
        <v>110</v>
      </c>
      <c r="E7" s="77" t="s">
        <v>108</v>
      </c>
      <c r="F7" s="77" t="s">
        <v>109</v>
      </c>
      <c r="G7" s="77" t="s">
        <v>110</v>
      </c>
    </row>
    <row r="8" spans="1:7" s="66" customFormat="1" ht="20.100000000000001" customHeight="1">
      <c r="A8" s="69" t="str">
        <f>'明细表I5-2'!A11</f>
        <v>预付土地出让金</v>
      </c>
      <c r="B8" s="78">
        <f>SUMIF('明细表I5-2'!$A$10:$A$22,$A8,'明细表I5-2'!$O$10:$O$22)</f>
        <v>0</v>
      </c>
      <c r="C8" s="78">
        <f>SUMIF('明细表I5-2'!$A$23:$A$35,$A8,'明细表I5-2'!$O$23:$O$35)</f>
        <v>0</v>
      </c>
      <c r="D8" s="78">
        <f>B8-C8</f>
        <v>0</v>
      </c>
      <c r="E8" s="78">
        <f>SUMIF('明细表I5-2'!$A$10:$A$22,$A8,'明细表I5-2'!$L$10:$L$22)</f>
        <v>0</v>
      </c>
      <c r="F8" s="78">
        <f>SUMIF('明细表I5-2'!$A$23:$A$35,$A8,'明细表I5-2'!$L$23:$L$35)</f>
        <v>0</v>
      </c>
      <c r="G8" s="78">
        <f>E8-F8</f>
        <v>0</v>
      </c>
    </row>
    <row r="9" spans="1:7" s="66" customFormat="1" ht="20.100000000000001" customHeight="1">
      <c r="A9" s="69" t="str">
        <f>'明细表I5-2'!A12</f>
        <v>预付工程款</v>
      </c>
      <c r="B9" s="78">
        <f>SUMIF('明细表I5-2'!$A$10:$A$22,$A9,'明细表I5-2'!$O$10:$O$22)</f>
        <v>0</v>
      </c>
      <c r="C9" s="78">
        <f>SUMIF('明细表I5-2'!$A$23:$A$35,$A9,'明细表I5-2'!$O$23:$O$35)</f>
        <v>0</v>
      </c>
      <c r="D9" s="78">
        <f t="shared" ref="D9:D18" si="0">B9-C9</f>
        <v>0</v>
      </c>
      <c r="E9" s="78">
        <f>SUMIF('明细表I5-2'!$A$10:$A$22,$A9,'明细表I5-2'!$L$10:$L$22)</f>
        <v>0</v>
      </c>
      <c r="F9" s="78">
        <f>SUMIF('明细表I5-2'!$A$23:$A$35,$A9,'明细表I5-2'!$L$23:$L$35)</f>
        <v>0</v>
      </c>
      <c r="G9" s="78">
        <f t="shared" ref="G9:G18" si="1">E9-F9</f>
        <v>0</v>
      </c>
    </row>
    <row r="10" spans="1:7" s="66" customFormat="1" ht="20.100000000000001" customHeight="1">
      <c r="A10" s="69" t="str">
        <f>'明细表I5-2'!A13</f>
        <v>预付房屋、设备款</v>
      </c>
      <c r="B10" s="78">
        <f>SUMIF('明细表I5-2'!$A$10:$A$22,$A10,'明细表I5-2'!$O$10:$O$22)</f>
        <v>0</v>
      </c>
      <c r="C10" s="78">
        <f>SUMIF('明细表I5-2'!$A$23:$A$35,$A10,'明细表I5-2'!$O$23:$O$35)</f>
        <v>0</v>
      </c>
      <c r="D10" s="78">
        <f t="shared" si="0"/>
        <v>0</v>
      </c>
      <c r="E10" s="78">
        <f>SUMIF('明细表I5-2'!$A$10:$A$22,$A10,'明细表I5-2'!$L$10:$L$22)</f>
        <v>0</v>
      </c>
      <c r="F10" s="78">
        <f>SUMIF('明细表I5-2'!$A$23:$A$35,$A10,'明细表I5-2'!$L$23:$L$35)</f>
        <v>0</v>
      </c>
      <c r="G10" s="78">
        <f t="shared" si="1"/>
        <v>0</v>
      </c>
    </row>
    <row r="11" spans="1:7" s="66" customFormat="1" ht="20.100000000000001" customHeight="1">
      <c r="A11" s="69" t="str">
        <f>'明细表I5-2'!A14</f>
        <v>无形资产预付款</v>
      </c>
      <c r="B11" s="78">
        <f>SUMIF('明细表I5-2'!$A$10:$A$22,$A11,'明细表I5-2'!$O$10:$O$22)</f>
        <v>0</v>
      </c>
      <c r="C11" s="78">
        <f>SUMIF('明细表I5-2'!$A$23:$A$35,$A11,'明细表I5-2'!$O$23:$O$35)</f>
        <v>0</v>
      </c>
      <c r="D11" s="78">
        <f t="shared" si="0"/>
        <v>0</v>
      </c>
      <c r="E11" s="78">
        <f>SUMIF('明细表I5-2'!$A$10:$A$22,$A11,'明细表I5-2'!$L$10:$L$22)</f>
        <v>0</v>
      </c>
      <c r="F11" s="78">
        <f>SUMIF('明细表I5-2'!$A$23:$A$35,$A11,'明细表I5-2'!$L$23:$L$35)</f>
        <v>0</v>
      </c>
      <c r="G11" s="78">
        <f t="shared" si="1"/>
        <v>0</v>
      </c>
    </row>
    <row r="12" spans="1:7" s="66" customFormat="1" ht="20.100000000000001" customHeight="1">
      <c r="A12" s="69" t="str">
        <f>'明细表I5-2'!A15</f>
        <v>预付投资款</v>
      </c>
      <c r="B12" s="78">
        <f>SUMIF('明细表I5-2'!$A$10:$A$22,$A12,'明细表I5-2'!$O$10:$O$22)</f>
        <v>0</v>
      </c>
      <c r="C12" s="78">
        <f>SUMIF('明细表I5-2'!$A$23:$A$35,$A12,'明细表I5-2'!$O$23:$O$35)</f>
        <v>0</v>
      </c>
      <c r="D12" s="78">
        <f t="shared" si="0"/>
        <v>0</v>
      </c>
      <c r="E12" s="78">
        <f>SUMIF('明细表I5-2'!$A$10:$A$22,$A12,'明细表I5-2'!$L$10:$L$22)</f>
        <v>0</v>
      </c>
      <c r="F12" s="78">
        <f>SUMIF('明细表I5-2'!$A$23:$A$35,$A12,'明细表I5-2'!$L$23:$L$35)</f>
        <v>0</v>
      </c>
      <c r="G12" s="78">
        <f t="shared" si="1"/>
        <v>0</v>
      </c>
    </row>
    <row r="13" spans="1:7" s="66" customFormat="1" ht="20.100000000000001" customHeight="1">
      <c r="A13" s="69" t="str">
        <f>'明细表I5-2'!A16</f>
        <v>委托贷款</v>
      </c>
      <c r="B13" s="78">
        <f>SUMIF('明细表I5-2'!$A$10:$A$22,$A13,'明细表I5-2'!$O$10:$O$22)</f>
        <v>0</v>
      </c>
      <c r="C13" s="78">
        <f>SUMIF('明细表I5-2'!$A$23:$A$35,$A13,'明细表I5-2'!$O$23:$O$35)</f>
        <v>0</v>
      </c>
      <c r="D13" s="78">
        <f t="shared" si="0"/>
        <v>0</v>
      </c>
      <c r="E13" s="78">
        <f>SUMIF('明细表I5-2'!$A$10:$A$22,$A13,'明细表I5-2'!$L$10:$L$22)</f>
        <v>0</v>
      </c>
      <c r="F13" s="78">
        <f>SUMIF('明细表I5-2'!$A$23:$A$35,$A13,'明细表I5-2'!$L$23:$L$35)</f>
        <v>0</v>
      </c>
      <c r="G13" s="78">
        <f t="shared" si="1"/>
        <v>0</v>
      </c>
    </row>
    <row r="14" spans="1:7" s="66" customFormat="1" ht="20.100000000000001" customHeight="1">
      <c r="A14" s="69" t="str">
        <f>'明细表I5-2'!A17</f>
        <v>合同资产</v>
      </c>
      <c r="B14" s="78">
        <f>SUMIF('明细表I5-2'!$A$10:$A$22,$A14,'明细表I5-2'!$O$10:$O$22)</f>
        <v>0</v>
      </c>
      <c r="C14" s="78">
        <f>SUMIF('明细表I5-2'!$A$23:$A$35,$A14,'明细表I5-2'!$O$23:$O$35)</f>
        <v>0</v>
      </c>
      <c r="D14" s="78">
        <f t="shared" si="0"/>
        <v>0</v>
      </c>
      <c r="E14" s="78">
        <f>SUMIF('明细表I5-2'!$A$10:$A$22,$A14,'明细表I5-2'!$L$10:$L$22)</f>
        <v>0</v>
      </c>
      <c r="F14" s="78">
        <f>SUMIF('明细表I5-2'!$A$23:$A$35,$A14,'明细表I5-2'!$L$23:$L$35)</f>
        <v>0</v>
      </c>
      <c r="G14" s="78">
        <f t="shared" si="1"/>
        <v>0</v>
      </c>
    </row>
    <row r="15" spans="1:7" s="66" customFormat="1" ht="20.100000000000001" customHeight="1">
      <c r="A15" s="69" t="str">
        <f>'明细表I5-2'!A18</f>
        <v>合同取得成本</v>
      </c>
      <c r="B15" s="78">
        <f>SUMIF('明细表I5-2'!$A$10:$A$22,$A15,'明细表I5-2'!$O$10:$O$22)</f>
        <v>0</v>
      </c>
      <c r="C15" s="78">
        <f>SUMIF('明细表I5-2'!$A$23:$A$35,$A15,'明细表I5-2'!$O$23:$O$35)</f>
        <v>0</v>
      </c>
      <c r="D15" s="78">
        <f t="shared" si="0"/>
        <v>0</v>
      </c>
      <c r="E15" s="78">
        <f>SUMIF('明细表I5-2'!$A$10:$A$22,$A15,'明细表I5-2'!$L$10:$L$22)</f>
        <v>0</v>
      </c>
      <c r="F15" s="78">
        <f>SUMIF('明细表I5-2'!$A$23:$A$35,$A15,'明细表I5-2'!$L$23:$L$35)</f>
        <v>0</v>
      </c>
      <c r="G15" s="78">
        <f t="shared" si="1"/>
        <v>0</v>
      </c>
    </row>
    <row r="16" spans="1:7" s="66" customFormat="1" ht="20.100000000000001" customHeight="1">
      <c r="A16" s="69" t="str">
        <f>'明细表I5-2'!A19</f>
        <v>合同履约成本</v>
      </c>
      <c r="B16" s="78">
        <f>SUMIF('明细表I5-2'!$A$10:$A$22,$A16,'明细表I5-2'!$O$10:$O$22)</f>
        <v>0</v>
      </c>
      <c r="C16" s="78">
        <f>SUMIF('明细表I5-2'!$A$23:$A$35,$A16,'明细表I5-2'!$O$23:$O$35)</f>
        <v>0</v>
      </c>
      <c r="D16" s="78">
        <f t="shared" si="0"/>
        <v>0</v>
      </c>
      <c r="E16" s="78">
        <f>SUMIF('明细表I5-2'!$A$10:$A$22,$A16,'明细表I5-2'!$L$10:$L$22)</f>
        <v>0</v>
      </c>
      <c r="F16" s="78">
        <f>SUMIF('明细表I5-2'!$A$23:$A$35,$A16,'明细表I5-2'!$L$23:$L$35)</f>
        <v>0</v>
      </c>
      <c r="G16" s="78">
        <f t="shared" si="1"/>
        <v>0</v>
      </c>
    </row>
    <row r="17" spans="1:7" s="66" customFormat="1" ht="20.100000000000001" customHeight="1">
      <c r="A17" s="69" t="str">
        <f>'明细表I5-2'!A20</f>
        <v>应收退货成本</v>
      </c>
      <c r="B17" s="78">
        <f>SUMIF('明细表I5-2'!$A$10:$A$22,$A17,'明细表I5-2'!$O$10:$O$22)</f>
        <v>0</v>
      </c>
      <c r="C17" s="78">
        <f>SUMIF('明细表I5-2'!$A$23:$A$35,$A17,'明细表I5-2'!$O$23:$O$35)</f>
        <v>0</v>
      </c>
      <c r="D17" s="78">
        <f t="shared" si="0"/>
        <v>0</v>
      </c>
      <c r="E17" s="78">
        <f>SUMIF('明细表I5-2'!$A$10:$A$22,$A17,'明细表I5-2'!$L$10:$L$22)</f>
        <v>0</v>
      </c>
      <c r="F17" s="78">
        <f>SUMIF('明细表I5-2'!$A$23:$A$35,$A17,'明细表I5-2'!$L$23:$L$35)</f>
        <v>0</v>
      </c>
      <c r="G17" s="78">
        <f t="shared" si="1"/>
        <v>0</v>
      </c>
    </row>
    <row r="18" spans="1:7" s="66" customFormat="1" ht="20.100000000000001" customHeight="1">
      <c r="A18" s="69" t="str">
        <f>'明细表I5-2'!A21</f>
        <v>……</v>
      </c>
      <c r="B18" s="78">
        <f>SUMIF('明细表I5-2'!$A$10:$A$22,$A18,'明细表I5-2'!$O$10:$O$22)</f>
        <v>0</v>
      </c>
      <c r="C18" s="78">
        <f>SUMIF('明细表I5-2'!$A$23:$A$35,$A18,'明细表I5-2'!$O$23:$O$35)</f>
        <v>0</v>
      </c>
      <c r="D18" s="78">
        <f t="shared" si="0"/>
        <v>0</v>
      </c>
      <c r="E18" s="78">
        <f>SUMIF('明细表I5-2'!$A$10:$A$22,$A18,'明细表I5-2'!$L$10:$L$22)</f>
        <v>0</v>
      </c>
      <c r="F18" s="78">
        <f>SUMIF('明细表I5-2'!$A$23:$A$35,$A18,'明细表I5-2'!$L$23:$L$35)</f>
        <v>0</v>
      </c>
      <c r="G18" s="78">
        <f t="shared" si="1"/>
        <v>0</v>
      </c>
    </row>
    <row r="19" spans="1:7" s="66" customFormat="1" ht="20.100000000000001" customHeight="1">
      <c r="A19" s="71" t="s">
        <v>111</v>
      </c>
      <c r="B19" s="72">
        <f>SUM(B8:B18)</f>
        <v>0</v>
      </c>
      <c r="C19" s="72">
        <f t="shared" ref="C19:G19" si="2">SUM(C8:C18)</f>
        <v>0</v>
      </c>
      <c r="D19" s="72">
        <f t="shared" si="2"/>
        <v>0</v>
      </c>
      <c r="E19" s="72">
        <f t="shared" si="2"/>
        <v>0</v>
      </c>
      <c r="F19" s="72">
        <f t="shared" si="2"/>
        <v>0</v>
      </c>
      <c r="G19" s="72">
        <f t="shared" si="2"/>
        <v>0</v>
      </c>
    </row>
    <row r="20" spans="1:7" s="66" customFormat="1" ht="20.100000000000001" customHeight="1">
      <c r="A20" s="79" t="s">
        <v>112</v>
      </c>
    </row>
    <row r="21" spans="1:7" s="66" customFormat="1" ht="20.100000000000001" customHeight="1"/>
    <row r="22" spans="1:7" s="66" customFormat="1" ht="20.100000000000001" customHeight="1"/>
    <row r="23" spans="1:7" s="66" customFormat="1" ht="18" customHeight="1"/>
  </sheetData>
  <mergeCells count="4">
    <mergeCell ref="A1:E1"/>
    <mergeCell ref="A2:E2"/>
    <mergeCell ref="A5:C5"/>
    <mergeCell ref="A6:A7"/>
  </mergeCells>
  <phoneticPr fontId="53" type="noConversion"/>
  <pageMargins left="0.70866141732283505" right="0.70866141732283505" top="0.74803149606299202" bottom="0.74803149606299202" header="0.31496062992126" footer="0.31496062992126"/>
  <pageSetup paperSize="9" scale="82"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0"/>
  <sheetViews>
    <sheetView view="pageBreakPreview" zoomScaleNormal="100" workbookViewId="0">
      <selection activeCell="K10" sqref="K10"/>
    </sheetView>
  </sheetViews>
  <sheetFormatPr defaultColWidth="9" defaultRowHeight="18" customHeight="1"/>
  <cols>
    <col min="1" max="1" width="30.6640625" style="4" customWidth="1"/>
    <col min="2" max="5" width="14.6640625" style="4" customWidth="1"/>
    <col min="6" max="16384" width="9" style="4"/>
  </cols>
  <sheetData>
    <row r="1" spans="1:5" s="1" customFormat="1" ht="20.100000000000001" customHeight="1">
      <c r="A1" s="187" t="s">
        <v>19</v>
      </c>
      <c r="B1" s="187"/>
      <c r="C1" s="187"/>
      <c r="D1" s="187"/>
      <c r="E1" s="187"/>
    </row>
    <row r="2" spans="1:5" s="2" customFormat="1" ht="24.9" customHeight="1">
      <c r="A2" s="172" t="s">
        <v>113</v>
      </c>
      <c r="B2" s="172"/>
      <c r="C2" s="172"/>
      <c r="D2" s="172"/>
      <c r="E2" s="172"/>
    </row>
    <row r="3" spans="1:5" ht="20.100000000000001" customHeight="1">
      <c r="A3" s="4" t="str">
        <f>底稿目录!A2</f>
        <v>被审计单位：</v>
      </c>
      <c r="B3" s="4" t="str">
        <f>底稿目录!A4</f>
        <v>编制人：</v>
      </c>
      <c r="C3" s="4" t="str">
        <f>底稿目录!A5</f>
        <v>编制日期：</v>
      </c>
      <c r="D3" s="4" t="s">
        <v>21</v>
      </c>
      <c r="E3" s="58"/>
    </row>
    <row r="4" spans="1:5" ht="20.100000000000001" customHeight="1">
      <c r="A4" s="4" t="str">
        <f>底稿目录!A3</f>
        <v>截止日：202X年12月31日</v>
      </c>
      <c r="B4" s="4" t="s">
        <v>114</v>
      </c>
      <c r="C4" s="4" t="str">
        <f>底稿目录!A7</f>
        <v>复核日期：</v>
      </c>
      <c r="D4" s="4" t="s">
        <v>22</v>
      </c>
      <c r="E4" s="58"/>
    </row>
    <row r="5" spans="1:5" s="66" customFormat="1" ht="20.100000000000001" customHeight="1">
      <c r="A5" s="67" t="s">
        <v>24</v>
      </c>
    </row>
    <row r="6" spans="1:5" s="66" customFormat="1" ht="20.100000000000001" customHeight="1">
      <c r="A6" s="68" t="s">
        <v>106</v>
      </c>
      <c r="B6" s="68" t="s">
        <v>115</v>
      </c>
      <c r="C6" s="68" t="s">
        <v>116</v>
      </c>
    </row>
    <row r="7" spans="1:5" s="66" customFormat="1" ht="20.100000000000001" customHeight="1">
      <c r="A7" s="69" t="str">
        <f>'明细表I5-2'!A11</f>
        <v>预付土地出让金</v>
      </c>
      <c r="B7" s="70">
        <f>SUMIF('明细表I5-2'!$A$36:$A$48,$A7,'明细表I5-2'!$O$36:$O$48)</f>
        <v>0</v>
      </c>
      <c r="C7" s="70">
        <f>SUMIF('明细表I5-2'!$A$36:$A$48,$A7,'明细表I5-2'!$L$36:$L$48)</f>
        <v>0</v>
      </c>
    </row>
    <row r="8" spans="1:5" s="66" customFormat="1" ht="20.100000000000001" customHeight="1">
      <c r="A8" s="69" t="str">
        <f>'明细表I5-2'!A12</f>
        <v>预付工程款</v>
      </c>
      <c r="B8" s="70">
        <f>SUMIF('明细表I5-2'!$A$36:$A$48,$A8,'明细表I5-2'!$O$36:$O$48)</f>
        <v>0</v>
      </c>
      <c r="C8" s="70">
        <f>SUMIF('明细表I5-2'!$A$36:$A$48,$A8,'明细表I5-2'!$L$36:$L$48)</f>
        <v>0</v>
      </c>
    </row>
    <row r="9" spans="1:5" s="66" customFormat="1" ht="20.100000000000001" customHeight="1">
      <c r="A9" s="69" t="str">
        <f>'明细表I5-2'!A13</f>
        <v>预付房屋、设备款</v>
      </c>
      <c r="B9" s="70">
        <f>SUMIF('明细表I5-2'!$A$36:$A$48,$A9,'明细表I5-2'!$O$36:$O$48)</f>
        <v>0</v>
      </c>
      <c r="C9" s="70">
        <f>SUMIF('明细表I5-2'!$A$36:$A$48,$A9,'明细表I5-2'!$L$36:$L$48)</f>
        <v>0</v>
      </c>
    </row>
    <row r="10" spans="1:5" s="66" customFormat="1" ht="20.100000000000001" customHeight="1">
      <c r="A10" s="69" t="str">
        <f>'明细表I5-2'!A14</f>
        <v>无形资产预付款</v>
      </c>
      <c r="B10" s="70">
        <f>SUMIF('明细表I5-2'!$A$36:$A$48,$A10,'明细表I5-2'!$O$36:$O$48)</f>
        <v>0</v>
      </c>
      <c r="C10" s="70">
        <f>SUMIF('明细表I5-2'!$A$36:$A$48,$A10,'明细表I5-2'!$L$36:$L$48)</f>
        <v>0</v>
      </c>
    </row>
    <row r="11" spans="1:5" s="66" customFormat="1" ht="20.100000000000001" customHeight="1">
      <c r="A11" s="69" t="str">
        <f>'明细表I5-2'!A15</f>
        <v>预付投资款</v>
      </c>
      <c r="B11" s="70">
        <f>SUMIF('明细表I5-2'!$A$36:$A$48,$A11,'明细表I5-2'!$O$36:$O$48)</f>
        <v>0</v>
      </c>
      <c r="C11" s="70">
        <f>SUMIF('明细表I5-2'!$A$36:$A$48,$A11,'明细表I5-2'!$L$36:$L$48)</f>
        <v>0</v>
      </c>
    </row>
    <row r="12" spans="1:5" s="66" customFormat="1" ht="20.100000000000001" customHeight="1">
      <c r="A12" s="69" t="str">
        <f>'明细表I5-2'!A16</f>
        <v>委托贷款</v>
      </c>
      <c r="B12" s="70">
        <f>SUMIF('明细表I5-2'!$A$36:$A$48,$A12,'明细表I5-2'!$O$36:$O$48)</f>
        <v>0</v>
      </c>
      <c r="C12" s="70">
        <f>SUMIF('明细表I5-2'!$A$36:$A$48,$A12,'明细表I5-2'!$L$36:$L$48)</f>
        <v>0</v>
      </c>
    </row>
    <row r="13" spans="1:5" s="66" customFormat="1" ht="20.100000000000001" customHeight="1">
      <c r="A13" s="69" t="str">
        <f>'明细表I5-2'!A17</f>
        <v>合同资产</v>
      </c>
      <c r="B13" s="70">
        <f>SUMIF('明细表I5-2'!$A$36:$A$48,$A13,'明细表I5-2'!$O$36:$O$48)</f>
        <v>0</v>
      </c>
      <c r="C13" s="70">
        <f>SUMIF('明细表I5-2'!$A$36:$A$48,$A13,'明细表I5-2'!$L$36:$L$48)</f>
        <v>0</v>
      </c>
    </row>
    <row r="14" spans="1:5" s="66" customFormat="1" ht="20.100000000000001" customHeight="1">
      <c r="A14" s="69" t="str">
        <f>'明细表I5-2'!A18</f>
        <v>合同取得成本</v>
      </c>
      <c r="B14" s="70">
        <f>SUMIF('明细表I5-2'!$A$36:$A$48,$A14,'明细表I5-2'!$O$36:$O$48)</f>
        <v>0</v>
      </c>
      <c r="C14" s="70">
        <f>SUMIF('明细表I5-2'!$A$36:$A$48,$A14,'明细表I5-2'!$L$36:$L$48)</f>
        <v>0</v>
      </c>
    </row>
    <row r="15" spans="1:5" s="66" customFormat="1" ht="20.100000000000001" customHeight="1">
      <c r="A15" s="69" t="str">
        <f>'明细表I5-2'!A19</f>
        <v>合同履约成本</v>
      </c>
      <c r="B15" s="70">
        <f>SUMIF('明细表I5-2'!$A$36:$A$48,$A15,'明细表I5-2'!$O$36:$O$48)</f>
        <v>0</v>
      </c>
      <c r="C15" s="70">
        <f>SUMIF('明细表I5-2'!$A$36:$A$48,$A15,'明细表I5-2'!$L$36:$L$48)</f>
        <v>0</v>
      </c>
    </row>
    <row r="16" spans="1:5" s="66" customFormat="1" ht="20.100000000000001" customHeight="1">
      <c r="A16" s="69" t="str">
        <f>'明细表I5-2'!A20</f>
        <v>应收退货成本</v>
      </c>
      <c r="B16" s="70">
        <f>SUMIF('明细表I5-2'!$A$36:$A$48,$A16,'明细表I5-2'!$O$36:$O$48)</f>
        <v>0</v>
      </c>
      <c r="C16" s="70">
        <f>SUMIF('明细表I5-2'!$A$36:$A$48,$A16,'明细表I5-2'!$L$36:$L$48)</f>
        <v>0</v>
      </c>
    </row>
    <row r="17" spans="1:5" s="66" customFormat="1" ht="20.100000000000001" customHeight="1">
      <c r="A17" s="69" t="str">
        <f>'明细表I5-2'!A21</f>
        <v>……</v>
      </c>
      <c r="B17" s="70">
        <f>SUMIF('明细表I5-2'!$A$36:$A$48,$A17,'明细表I5-2'!$O$36:$O$48)</f>
        <v>0</v>
      </c>
      <c r="C17" s="70">
        <f>SUMIF('明细表I5-2'!$A$36:$A$48,$A17,'明细表I5-2'!$L$36:$L$48)</f>
        <v>0</v>
      </c>
    </row>
    <row r="18" spans="1:5" s="66" customFormat="1" ht="20.100000000000001" customHeight="1">
      <c r="A18" s="71" t="s">
        <v>111</v>
      </c>
      <c r="B18" s="72">
        <f>SUM(B7:B17)</f>
        <v>0</v>
      </c>
      <c r="C18" s="72">
        <f>SUM(C7:C17)</f>
        <v>0</v>
      </c>
    </row>
    <row r="19" spans="1:5" s="66" customFormat="1" ht="20.100000000000001" customHeight="1"/>
    <row r="20" spans="1:5" ht="20.100000000000001" customHeight="1">
      <c r="A20" s="73"/>
      <c r="B20" s="73"/>
      <c r="C20" s="73"/>
      <c r="D20" s="73"/>
      <c r="E20" s="73"/>
    </row>
  </sheetData>
  <mergeCells count="2">
    <mergeCell ref="A1:E1"/>
    <mergeCell ref="A2:E2"/>
  </mergeCells>
  <phoneticPr fontId="53" type="noConversion"/>
  <printOptions horizontalCentered="1"/>
  <pageMargins left="0.59055118110236204" right="0.59055118110236204" top="0.78740157480314998" bottom="0.39370078740157499" header="0.511811023622047" footer="0.31496062992126"/>
  <pageSetup paperSize="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Z63"/>
  <sheetViews>
    <sheetView view="pageBreakPreview" zoomScaleNormal="100" workbookViewId="0">
      <selection sqref="A1:P1"/>
    </sheetView>
  </sheetViews>
  <sheetFormatPr defaultColWidth="9" defaultRowHeight="18" customHeight="1"/>
  <cols>
    <col min="1" max="1" width="23" style="4" customWidth="1"/>
    <col min="2" max="5" width="9.6640625" style="4" customWidth="1"/>
    <col min="6" max="7" width="10.109375" style="4" customWidth="1"/>
    <col min="8" max="16384" width="9" style="4"/>
  </cols>
  <sheetData>
    <row r="1" spans="1:26" s="1" customFormat="1" ht="19.95" customHeight="1">
      <c r="A1" s="188" t="s">
        <v>19</v>
      </c>
      <c r="B1" s="188"/>
      <c r="C1" s="188"/>
      <c r="D1" s="188"/>
      <c r="E1" s="188"/>
      <c r="F1" s="188"/>
      <c r="G1" s="188"/>
      <c r="H1" s="188"/>
      <c r="I1" s="188"/>
      <c r="J1" s="188"/>
      <c r="K1" s="188"/>
      <c r="L1" s="188"/>
      <c r="M1" s="188"/>
      <c r="N1" s="188"/>
      <c r="O1" s="188"/>
      <c r="P1" s="188"/>
    </row>
    <row r="2" spans="1:26" s="2" customFormat="1" ht="19.95" customHeight="1">
      <c r="A2" s="236" t="s">
        <v>12</v>
      </c>
      <c r="B2" s="236"/>
      <c r="C2" s="236"/>
      <c r="D2" s="236"/>
      <c r="E2" s="236"/>
      <c r="F2" s="236"/>
      <c r="G2" s="236"/>
      <c r="H2" s="236"/>
      <c r="I2" s="236"/>
      <c r="J2" s="236"/>
      <c r="K2" s="236"/>
      <c r="L2" s="236"/>
      <c r="M2" s="236"/>
      <c r="N2" s="236"/>
      <c r="O2" s="236"/>
      <c r="P2" s="236"/>
    </row>
    <row r="3" spans="1:26" ht="20.100000000000001" customHeight="1">
      <c r="A3" s="4" t="str">
        <f>底稿目录!A2</f>
        <v>被审计单位：</v>
      </c>
      <c r="E3" s="4" t="str">
        <f>底稿目录!A4</f>
        <v>编制人：</v>
      </c>
      <c r="K3" s="57" t="str">
        <f>底稿目录!A5</f>
        <v>编制日期：</v>
      </c>
      <c r="L3" s="57"/>
      <c r="O3" s="57" t="s">
        <v>21</v>
      </c>
      <c r="P3" s="241" t="s">
        <v>13</v>
      </c>
    </row>
    <row r="4" spans="1:26" ht="20.100000000000001" customHeight="1">
      <c r="A4" s="4" t="str">
        <f>底稿目录!A3</f>
        <v>截止日：202X年12月31日</v>
      </c>
      <c r="E4" s="4" t="str">
        <f>底稿目录!A6</f>
        <v>复核人：</v>
      </c>
      <c r="K4" s="57" t="str">
        <f>底稿目录!A7</f>
        <v>复核日期：</v>
      </c>
      <c r="L4" s="57"/>
      <c r="O4" s="57" t="s">
        <v>22</v>
      </c>
      <c r="P4" s="58"/>
    </row>
    <row r="5" spans="1:26" s="5" customFormat="1" ht="20.100000000000001" customHeight="1">
      <c r="A5" s="41" t="s">
        <v>117</v>
      </c>
      <c r="E5" s="42"/>
      <c r="H5" s="43"/>
      <c r="I5" s="43"/>
      <c r="J5" s="59"/>
      <c r="M5" s="43"/>
      <c r="T5" s="63"/>
      <c r="U5" s="63"/>
      <c r="V5" s="63"/>
      <c r="W5" s="63"/>
      <c r="X5" s="63"/>
      <c r="Y5" s="63"/>
      <c r="Z5" s="63"/>
    </row>
    <row r="6" spans="1:26" s="5" customFormat="1" ht="20.100000000000001" customHeight="1">
      <c r="A6" s="44" t="s">
        <v>118</v>
      </c>
      <c r="E6" s="42"/>
      <c r="H6" s="43"/>
      <c r="I6" s="43"/>
      <c r="J6" s="59"/>
      <c r="M6" s="43"/>
      <c r="T6" s="63"/>
      <c r="U6" s="63"/>
      <c r="V6" s="63"/>
      <c r="W6" s="63"/>
      <c r="X6" s="63"/>
      <c r="Y6" s="63"/>
      <c r="Z6" s="63"/>
    </row>
    <row r="7" spans="1:26" s="5" customFormat="1" ht="20.100000000000001" customHeight="1">
      <c r="A7" s="45" t="s">
        <v>119</v>
      </c>
      <c r="B7" s="46"/>
      <c r="E7" s="42"/>
      <c r="H7" s="43"/>
      <c r="I7" s="43"/>
      <c r="J7" s="59"/>
      <c r="M7" s="43"/>
      <c r="T7" s="63"/>
      <c r="U7" s="63"/>
      <c r="V7" s="63"/>
      <c r="W7" s="63"/>
      <c r="X7" s="63"/>
      <c r="Y7" s="63"/>
      <c r="Z7" s="63"/>
    </row>
    <row r="8" spans="1:26" s="3" customFormat="1" ht="20.100000000000001" customHeight="1">
      <c r="A8" s="204" t="s">
        <v>226</v>
      </c>
      <c r="B8" s="208" t="s">
        <v>59</v>
      </c>
      <c r="C8" s="209"/>
      <c r="D8" s="209"/>
      <c r="E8" s="210"/>
      <c r="F8" s="211" t="s">
        <v>120</v>
      </c>
      <c r="G8" s="211"/>
      <c r="H8" s="211" t="s">
        <v>60</v>
      </c>
      <c r="I8" s="211"/>
      <c r="J8" s="212" t="s">
        <v>61</v>
      </c>
      <c r="K8" s="213"/>
      <c r="L8" s="214" t="s">
        <v>62</v>
      </c>
      <c r="M8" s="215"/>
      <c r="N8" s="215"/>
      <c r="O8" s="216"/>
      <c r="P8" s="206" t="s">
        <v>121</v>
      </c>
    </row>
    <row r="9" spans="1:26" s="3" customFormat="1" ht="20.100000000000001" customHeight="1">
      <c r="A9" s="205"/>
      <c r="B9" s="149" t="s">
        <v>56</v>
      </c>
      <c r="C9" s="149" t="s">
        <v>122</v>
      </c>
      <c r="D9" s="149" t="s">
        <v>123</v>
      </c>
      <c r="E9" s="149" t="s">
        <v>57</v>
      </c>
      <c r="F9" s="133" t="s">
        <v>60</v>
      </c>
      <c r="G9" s="133" t="s">
        <v>61</v>
      </c>
      <c r="H9" s="133" t="s">
        <v>122</v>
      </c>
      <c r="I9" s="133" t="s">
        <v>123</v>
      </c>
      <c r="J9" s="134" t="s">
        <v>122</v>
      </c>
      <c r="K9" s="134" t="s">
        <v>123</v>
      </c>
      <c r="L9" s="149" t="s">
        <v>56</v>
      </c>
      <c r="M9" s="149" t="s">
        <v>122</v>
      </c>
      <c r="N9" s="149" t="s">
        <v>123</v>
      </c>
      <c r="O9" s="149" t="s">
        <v>57</v>
      </c>
      <c r="P9" s="207"/>
    </row>
    <row r="10" spans="1:26" s="3" customFormat="1" ht="20.100000000000001" customHeight="1">
      <c r="A10" s="50" t="s">
        <v>65</v>
      </c>
      <c r="B10" s="48"/>
      <c r="C10" s="48"/>
      <c r="D10" s="48"/>
      <c r="E10" s="48"/>
      <c r="F10" s="47"/>
      <c r="G10" s="47"/>
      <c r="H10" s="49"/>
      <c r="I10" s="49"/>
      <c r="J10" s="60"/>
      <c r="K10" s="60"/>
      <c r="L10" s="48"/>
      <c r="M10" s="48"/>
      <c r="N10" s="48"/>
      <c r="O10" s="48"/>
      <c r="P10" s="61"/>
    </row>
    <row r="11" spans="1:26" ht="20.100000000000001" customHeight="1">
      <c r="A11" s="51" t="s">
        <v>124</v>
      </c>
      <c r="B11" s="52"/>
      <c r="C11" s="52"/>
      <c r="D11" s="52"/>
      <c r="E11" s="53">
        <f t="shared" ref="E11:E21" si="0">SUM(B11:C11)-D11</f>
        <v>0</v>
      </c>
      <c r="F11" s="52"/>
      <c r="G11" s="52"/>
      <c r="H11" s="52"/>
      <c r="I11" s="52"/>
      <c r="J11" s="52"/>
      <c r="K11" s="52"/>
      <c r="L11" s="62">
        <f>B11+F11+G11</f>
        <v>0</v>
      </c>
      <c r="M11" s="62">
        <f>C11+H11+J11</f>
        <v>0</v>
      </c>
      <c r="N11" s="62">
        <f>D11+I11+K11</f>
        <v>0</v>
      </c>
      <c r="O11" s="62">
        <f>L11+M11-N11</f>
        <v>0</v>
      </c>
      <c r="P11" s="52"/>
    </row>
    <row r="12" spans="1:26" ht="20.100000000000001" customHeight="1">
      <c r="A12" s="51" t="s">
        <v>125</v>
      </c>
      <c r="B12" s="52"/>
      <c r="C12" s="52"/>
      <c r="D12" s="52"/>
      <c r="E12" s="53">
        <f t="shared" si="0"/>
        <v>0</v>
      </c>
      <c r="F12" s="52"/>
      <c r="G12" s="52"/>
      <c r="H12" s="52"/>
      <c r="I12" s="52"/>
      <c r="J12" s="52"/>
      <c r="K12" s="52"/>
      <c r="L12" s="62">
        <f t="shared" ref="L12:L16" si="1">B12+F12+G12</f>
        <v>0</v>
      </c>
      <c r="M12" s="62">
        <f t="shared" ref="M12:M16" si="2">C12+H12+J12</f>
        <v>0</v>
      </c>
      <c r="N12" s="62">
        <f t="shared" ref="N12:N16" si="3">D12+I12+K12</f>
        <v>0</v>
      </c>
      <c r="O12" s="62">
        <f t="shared" ref="O12:O16" si="4">L12+M12-N12</f>
        <v>0</v>
      </c>
      <c r="P12" s="52"/>
    </row>
    <row r="13" spans="1:26" ht="20.100000000000001" customHeight="1">
      <c r="A13" s="51" t="s">
        <v>126</v>
      </c>
      <c r="B13" s="52"/>
      <c r="C13" s="52"/>
      <c r="D13" s="52"/>
      <c r="E13" s="53">
        <f t="shared" si="0"/>
        <v>0</v>
      </c>
      <c r="F13" s="52"/>
      <c r="G13" s="52"/>
      <c r="H13" s="52"/>
      <c r="I13" s="52"/>
      <c r="J13" s="52"/>
      <c r="K13" s="52"/>
      <c r="L13" s="62">
        <f t="shared" si="1"/>
        <v>0</v>
      </c>
      <c r="M13" s="62">
        <f t="shared" si="2"/>
        <v>0</v>
      </c>
      <c r="N13" s="62">
        <f t="shared" si="3"/>
        <v>0</v>
      </c>
      <c r="O13" s="62">
        <f t="shared" si="4"/>
        <v>0</v>
      </c>
      <c r="P13" s="52"/>
    </row>
    <row r="14" spans="1:26" ht="20.100000000000001" customHeight="1">
      <c r="A14" s="51" t="s">
        <v>127</v>
      </c>
      <c r="B14" s="52"/>
      <c r="C14" s="52"/>
      <c r="D14" s="52"/>
      <c r="E14" s="53">
        <f t="shared" si="0"/>
        <v>0</v>
      </c>
      <c r="F14" s="52"/>
      <c r="G14" s="52"/>
      <c r="H14" s="52"/>
      <c r="I14" s="52"/>
      <c r="J14" s="52"/>
      <c r="K14" s="52"/>
      <c r="L14" s="62">
        <f t="shared" si="1"/>
        <v>0</v>
      </c>
      <c r="M14" s="62">
        <f t="shared" si="2"/>
        <v>0</v>
      </c>
      <c r="N14" s="62">
        <f t="shared" si="3"/>
        <v>0</v>
      </c>
      <c r="O14" s="62">
        <f t="shared" si="4"/>
        <v>0</v>
      </c>
      <c r="P14" s="52"/>
    </row>
    <row r="15" spans="1:26" ht="20.100000000000001" customHeight="1">
      <c r="A15" s="51" t="s">
        <v>128</v>
      </c>
      <c r="B15" s="52"/>
      <c r="C15" s="52"/>
      <c r="D15" s="52"/>
      <c r="E15" s="53">
        <f t="shared" si="0"/>
        <v>0</v>
      </c>
      <c r="F15" s="52"/>
      <c r="G15" s="52"/>
      <c r="H15" s="52"/>
      <c r="I15" s="52"/>
      <c r="J15" s="52"/>
      <c r="K15" s="52"/>
      <c r="L15" s="62">
        <f t="shared" si="1"/>
        <v>0</v>
      </c>
      <c r="M15" s="62">
        <f t="shared" si="2"/>
        <v>0</v>
      </c>
      <c r="N15" s="62">
        <f t="shared" si="3"/>
        <v>0</v>
      </c>
      <c r="O15" s="62">
        <f t="shared" si="4"/>
        <v>0</v>
      </c>
      <c r="P15" s="52"/>
    </row>
    <row r="16" spans="1:26" ht="20.100000000000001" customHeight="1">
      <c r="A16" s="51" t="s">
        <v>129</v>
      </c>
      <c r="B16" s="52"/>
      <c r="C16" s="52"/>
      <c r="D16" s="52"/>
      <c r="E16" s="53">
        <f t="shared" si="0"/>
        <v>0</v>
      </c>
      <c r="F16" s="52"/>
      <c r="G16" s="52"/>
      <c r="H16" s="52"/>
      <c r="I16" s="52"/>
      <c r="J16" s="52"/>
      <c r="K16" s="52"/>
      <c r="L16" s="62">
        <f t="shared" si="1"/>
        <v>0</v>
      </c>
      <c r="M16" s="62">
        <f t="shared" si="2"/>
        <v>0</v>
      </c>
      <c r="N16" s="62">
        <f t="shared" si="3"/>
        <v>0</v>
      </c>
      <c r="O16" s="62">
        <f t="shared" si="4"/>
        <v>0</v>
      </c>
      <c r="P16" s="52"/>
    </row>
    <row r="17" spans="1:19" ht="20.100000000000001" customHeight="1">
      <c r="A17" s="51" t="s">
        <v>130</v>
      </c>
      <c r="B17" s="52"/>
      <c r="C17" s="52"/>
      <c r="D17" s="52"/>
      <c r="E17" s="53">
        <f t="shared" si="0"/>
        <v>0</v>
      </c>
      <c r="F17" s="52"/>
      <c r="G17" s="52"/>
      <c r="H17" s="52"/>
      <c r="I17" s="52"/>
      <c r="J17" s="52"/>
      <c r="K17" s="52"/>
      <c r="L17" s="62">
        <f t="shared" ref="L17:L21" si="5">B17+F17+G17</f>
        <v>0</v>
      </c>
      <c r="M17" s="62">
        <f t="shared" ref="M17:M21" si="6">C17+H17+J17</f>
        <v>0</v>
      </c>
      <c r="N17" s="62">
        <f t="shared" ref="N17:N21" si="7">D17+I17+K17</f>
        <v>0</v>
      </c>
      <c r="O17" s="62">
        <f t="shared" ref="O17:O21" si="8">L17+M17-N17</f>
        <v>0</v>
      </c>
      <c r="P17" s="52"/>
      <c r="Q17" s="64" t="s">
        <v>131</v>
      </c>
    </row>
    <row r="18" spans="1:19" ht="20.100000000000001" customHeight="1">
      <c r="A18" s="51" t="s">
        <v>132</v>
      </c>
      <c r="B18" s="52"/>
      <c r="C18" s="52"/>
      <c r="D18" s="52"/>
      <c r="E18" s="53">
        <f t="shared" si="0"/>
        <v>0</v>
      </c>
      <c r="F18" s="52"/>
      <c r="G18" s="52"/>
      <c r="H18" s="52"/>
      <c r="I18" s="52"/>
      <c r="J18" s="52"/>
      <c r="K18" s="52"/>
      <c r="L18" s="62">
        <f t="shared" si="5"/>
        <v>0</v>
      </c>
      <c r="M18" s="62">
        <f t="shared" si="6"/>
        <v>0</v>
      </c>
      <c r="N18" s="62">
        <f t="shared" si="7"/>
        <v>0</v>
      </c>
      <c r="O18" s="62">
        <f t="shared" si="8"/>
        <v>0</v>
      </c>
      <c r="P18" s="52"/>
      <c r="Q18" s="64" t="s">
        <v>133</v>
      </c>
    </row>
    <row r="19" spans="1:19" ht="20.100000000000001" customHeight="1">
      <c r="A19" s="51" t="s">
        <v>134</v>
      </c>
      <c r="B19" s="52"/>
      <c r="C19" s="52"/>
      <c r="D19" s="52"/>
      <c r="E19" s="53">
        <f t="shared" si="0"/>
        <v>0</v>
      </c>
      <c r="F19" s="52"/>
      <c r="G19" s="52"/>
      <c r="H19" s="52"/>
      <c r="I19" s="52"/>
      <c r="J19" s="52"/>
      <c r="K19" s="52"/>
      <c r="L19" s="62">
        <f t="shared" si="5"/>
        <v>0</v>
      </c>
      <c r="M19" s="62">
        <f t="shared" si="6"/>
        <v>0</v>
      </c>
      <c r="N19" s="62">
        <f t="shared" si="7"/>
        <v>0</v>
      </c>
      <c r="O19" s="62">
        <f t="shared" si="8"/>
        <v>0</v>
      </c>
      <c r="P19" s="52"/>
      <c r="Q19" s="64" t="s">
        <v>135</v>
      </c>
    </row>
    <row r="20" spans="1:19" ht="20.100000000000001" customHeight="1">
      <c r="A20" s="51" t="s">
        <v>136</v>
      </c>
      <c r="B20" s="52"/>
      <c r="C20" s="52"/>
      <c r="D20" s="52"/>
      <c r="E20" s="53">
        <f t="shared" si="0"/>
        <v>0</v>
      </c>
      <c r="F20" s="52"/>
      <c r="G20" s="52"/>
      <c r="H20" s="52"/>
      <c r="I20" s="52"/>
      <c r="J20" s="52"/>
      <c r="K20" s="52"/>
      <c r="L20" s="62">
        <f t="shared" si="5"/>
        <v>0</v>
      </c>
      <c r="M20" s="62">
        <f t="shared" si="6"/>
        <v>0</v>
      </c>
      <c r="N20" s="62">
        <f t="shared" si="7"/>
        <v>0</v>
      </c>
      <c r="O20" s="62">
        <f t="shared" si="8"/>
        <v>0</v>
      </c>
      <c r="P20" s="52"/>
      <c r="Q20" s="64"/>
    </row>
    <row r="21" spans="1:19" ht="20.100000000000001" customHeight="1">
      <c r="A21" s="51" t="s">
        <v>137</v>
      </c>
      <c r="B21" s="52"/>
      <c r="C21" s="52"/>
      <c r="D21" s="52"/>
      <c r="E21" s="53">
        <f t="shared" si="0"/>
        <v>0</v>
      </c>
      <c r="F21" s="52"/>
      <c r="G21" s="52"/>
      <c r="H21" s="52"/>
      <c r="I21" s="52"/>
      <c r="J21" s="52"/>
      <c r="K21" s="52"/>
      <c r="L21" s="62">
        <f t="shared" si="5"/>
        <v>0</v>
      </c>
      <c r="M21" s="62">
        <f t="shared" si="6"/>
        <v>0</v>
      </c>
      <c r="N21" s="62">
        <f t="shared" si="7"/>
        <v>0</v>
      </c>
      <c r="O21" s="62">
        <f t="shared" si="8"/>
        <v>0</v>
      </c>
      <c r="P21" s="52"/>
    </row>
    <row r="22" spans="1:19" s="40" customFormat="1" ht="20.100000000000001" customHeight="1">
      <c r="A22" s="146" t="s">
        <v>138</v>
      </c>
      <c r="B22" s="53">
        <f t="shared" ref="B22:O22" si="9">SUM(B11:B21)</f>
        <v>0</v>
      </c>
      <c r="C22" s="53">
        <f t="shared" si="9"/>
        <v>0</v>
      </c>
      <c r="D22" s="53">
        <f t="shared" si="9"/>
        <v>0</v>
      </c>
      <c r="E22" s="53">
        <f t="shared" si="9"/>
        <v>0</v>
      </c>
      <c r="F22" s="53">
        <f t="shared" si="9"/>
        <v>0</v>
      </c>
      <c r="G22" s="53">
        <f t="shared" si="9"/>
        <v>0</v>
      </c>
      <c r="H22" s="53">
        <f t="shared" si="9"/>
        <v>0</v>
      </c>
      <c r="I22" s="53">
        <f t="shared" si="9"/>
        <v>0</v>
      </c>
      <c r="J22" s="53">
        <f t="shared" si="9"/>
        <v>0</v>
      </c>
      <c r="K22" s="53">
        <f t="shared" si="9"/>
        <v>0</v>
      </c>
      <c r="L22" s="53">
        <f t="shared" si="9"/>
        <v>0</v>
      </c>
      <c r="M22" s="53">
        <f t="shared" si="9"/>
        <v>0</v>
      </c>
      <c r="N22" s="53">
        <f t="shared" si="9"/>
        <v>0</v>
      </c>
      <c r="O22" s="53">
        <f t="shared" si="9"/>
        <v>0</v>
      </c>
      <c r="P22" s="52"/>
    </row>
    <row r="23" spans="1:19" s="40" customFormat="1" ht="20.100000000000001" customHeight="1">
      <c r="A23" s="145" t="s">
        <v>224</v>
      </c>
      <c r="B23" s="54"/>
      <c r="C23" s="54"/>
      <c r="D23" s="54"/>
      <c r="E23" s="54"/>
      <c r="F23" s="54"/>
      <c r="G23" s="54"/>
      <c r="H23" s="54"/>
      <c r="I23" s="54"/>
      <c r="J23" s="54"/>
      <c r="K23" s="54"/>
      <c r="L23" s="54"/>
      <c r="M23" s="54"/>
      <c r="N23" s="54"/>
      <c r="O23" s="54"/>
      <c r="P23" s="61"/>
    </row>
    <row r="24" spans="1:19" s="40" customFormat="1" ht="20.100000000000001" customHeight="1">
      <c r="A24" s="150" t="str">
        <f t="shared" ref="A24:A34" si="10">A11</f>
        <v>预付土地出让金</v>
      </c>
      <c r="B24" s="52"/>
      <c r="C24" s="52"/>
      <c r="D24" s="52"/>
      <c r="E24" s="53">
        <f t="shared" ref="E24:E34" si="11">SUM(B24:C24)-D24</f>
        <v>0</v>
      </c>
      <c r="F24" s="52"/>
      <c r="G24" s="52"/>
      <c r="H24" s="52"/>
      <c r="I24" s="52"/>
      <c r="J24" s="52"/>
      <c r="K24" s="52"/>
      <c r="L24" s="62">
        <f>B24+F24+G24</f>
        <v>0</v>
      </c>
      <c r="M24" s="62">
        <f>C24+H24+J24</f>
        <v>0</v>
      </c>
      <c r="N24" s="62">
        <f>D24+I24+K24</f>
        <v>0</v>
      </c>
      <c r="O24" s="62">
        <f>L24+M24-N24</f>
        <v>0</v>
      </c>
      <c r="P24" s="52"/>
    </row>
    <row r="25" spans="1:19" s="40" customFormat="1" ht="20.100000000000001" customHeight="1">
      <c r="A25" s="150" t="str">
        <f t="shared" si="10"/>
        <v>预付工程款</v>
      </c>
      <c r="B25" s="52"/>
      <c r="C25" s="52"/>
      <c r="D25" s="52"/>
      <c r="E25" s="53">
        <f t="shared" si="11"/>
        <v>0</v>
      </c>
      <c r="F25" s="52"/>
      <c r="G25" s="52"/>
      <c r="H25" s="52"/>
      <c r="I25" s="52"/>
      <c r="J25" s="52"/>
      <c r="K25" s="52"/>
      <c r="L25" s="62">
        <f t="shared" ref="L25:L34" si="12">B25+F25+G25</f>
        <v>0</v>
      </c>
      <c r="M25" s="62">
        <f t="shared" ref="M25:M34" si="13">C25+H25+J25</f>
        <v>0</v>
      </c>
      <c r="N25" s="62">
        <f t="shared" ref="N25:N34" si="14">D25+I25+K25</f>
        <v>0</v>
      </c>
      <c r="O25" s="62">
        <f t="shared" ref="O25:O34" si="15">L25+M25-N25</f>
        <v>0</v>
      </c>
      <c r="P25" s="52"/>
    </row>
    <row r="26" spans="1:19" s="40" customFormat="1" ht="20.100000000000001" customHeight="1">
      <c r="A26" s="150" t="str">
        <f t="shared" si="10"/>
        <v>预付房屋、设备款</v>
      </c>
      <c r="B26" s="52"/>
      <c r="C26" s="52"/>
      <c r="D26" s="52"/>
      <c r="E26" s="53">
        <f t="shared" si="11"/>
        <v>0</v>
      </c>
      <c r="F26" s="52"/>
      <c r="G26" s="52"/>
      <c r="H26" s="52"/>
      <c r="I26" s="52"/>
      <c r="J26" s="52"/>
      <c r="K26" s="52"/>
      <c r="L26" s="62">
        <f t="shared" si="12"/>
        <v>0</v>
      </c>
      <c r="M26" s="62">
        <f t="shared" si="13"/>
        <v>0</v>
      </c>
      <c r="N26" s="62">
        <f t="shared" si="14"/>
        <v>0</v>
      </c>
      <c r="O26" s="62">
        <f t="shared" si="15"/>
        <v>0</v>
      </c>
      <c r="P26" s="52"/>
    </row>
    <row r="27" spans="1:19" s="40" customFormat="1" ht="20.100000000000001" customHeight="1">
      <c r="A27" s="150" t="str">
        <f t="shared" si="10"/>
        <v>无形资产预付款</v>
      </c>
      <c r="B27" s="52"/>
      <c r="C27" s="52"/>
      <c r="D27" s="52"/>
      <c r="E27" s="53">
        <f t="shared" si="11"/>
        <v>0</v>
      </c>
      <c r="F27" s="52"/>
      <c r="G27" s="52"/>
      <c r="H27" s="52"/>
      <c r="I27" s="52"/>
      <c r="J27" s="52"/>
      <c r="K27" s="52"/>
      <c r="L27" s="62">
        <f t="shared" si="12"/>
        <v>0</v>
      </c>
      <c r="M27" s="62">
        <f t="shared" si="13"/>
        <v>0</v>
      </c>
      <c r="N27" s="62">
        <f t="shared" si="14"/>
        <v>0</v>
      </c>
      <c r="O27" s="62">
        <f t="shared" si="15"/>
        <v>0</v>
      </c>
      <c r="P27" s="52"/>
    </row>
    <row r="28" spans="1:19" s="40" customFormat="1" ht="20.100000000000001" customHeight="1">
      <c r="A28" s="150" t="str">
        <f t="shared" si="10"/>
        <v>预付投资款</v>
      </c>
      <c r="B28" s="52"/>
      <c r="C28" s="52"/>
      <c r="D28" s="52"/>
      <c r="E28" s="53">
        <f t="shared" si="11"/>
        <v>0</v>
      </c>
      <c r="F28" s="52"/>
      <c r="G28" s="52"/>
      <c r="H28" s="52"/>
      <c r="I28" s="52"/>
      <c r="J28" s="52"/>
      <c r="K28" s="52"/>
      <c r="L28" s="62">
        <f t="shared" si="12"/>
        <v>0</v>
      </c>
      <c r="M28" s="62">
        <f t="shared" si="13"/>
        <v>0</v>
      </c>
      <c r="N28" s="62">
        <f t="shared" si="14"/>
        <v>0</v>
      </c>
      <c r="O28" s="62">
        <f t="shared" si="15"/>
        <v>0</v>
      </c>
      <c r="P28" s="52"/>
    </row>
    <row r="29" spans="1:19" s="40" customFormat="1" ht="20.100000000000001" customHeight="1">
      <c r="A29" s="150" t="str">
        <f t="shared" si="10"/>
        <v>委托贷款</v>
      </c>
      <c r="B29" s="52"/>
      <c r="C29" s="52"/>
      <c r="D29" s="52"/>
      <c r="E29" s="53">
        <f t="shared" si="11"/>
        <v>0</v>
      </c>
      <c r="F29" s="52"/>
      <c r="G29" s="52"/>
      <c r="H29" s="52"/>
      <c r="I29" s="52"/>
      <c r="J29" s="52"/>
      <c r="K29" s="52"/>
      <c r="L29" s="62">
        <f t="shared" si="12"/>
        <v>0</v>
      </c>
      <c r="M29" s="62">
        <f t="shared" si="13"/>
        <v>0</v>
      </c>
      <c r="N29" s="62">
        <f t="shared" si="14"/>
        <v>0</v>
      </c>
      <c r="O29" s="62">
        <f t="shared" si="15"/>
        <v>0</v>
      </c>
      <c r="P29" s="52"/>
    </row>
    <row r="30" spans="1:19" s="40" customFormat="1" ht="20.100000000000001" customHeight="1">
      <c r="A30" s="150" t="str">
        <f t="shared" si="10"/>
        <v>合同资产</v>
      </c>
      <c r="B30" s="52"/>
      <c r="C30" s="52"/>
      <c r="D30" s="52"/>
      <c r="E30" s="53">
        <f t="shared" si="11"/>
        <v>0</v>
      </c>
      <c r="F30" s="52"/>
      <c r="G30" s="52"/>
      <c r="H30" s="52"/>
      <c r="I30" s="52"/>
      <c r="J30" s="52"/>
      <c r="K30" s="52"/>
      <c r="L30" s="62">
        <f t="shared" si="12"/>
        <v>0</v>
      </c>
      <c r="M30" s="62">
        <f t="shared" si="13"/>
        <v>0</v>
      </c>
      <c r="N30" s="62">
        <f t="shared" si="14"/>
        <v>0</v>
      </c>
      <c r="O30" s="62">
        <f t="shared" si="15"/>
        <v>0</v>
      </c>
      <c r="P30" s="52"/>
      <c r="S30" s="65"/>
    </row>
    <row r="31" spans="1:19" s="40" customFormat="1" ht="20.100000000000001" customHeight="1">
      <c r="A31" s="150" t="str">
        <f t="shared" si="10"/>
        <v>合同取得成本</v>
      </c>
      <c r="B31" s="52"/>
      <c r="C31" s="52"/>
      <c r="D31" s="52"/>
      <c r="E31" s="53">
        <f t="shared" si="11"/>
        <v>0</v>
      </c>
      <c r="F31" s="52"/>
      <c r="G31" s="52"/>
      <c r="H31" s="52"/>
      <c r="I31" s="52"/>
      <c r="J31" s="52"/>
      <c r="K31" s="52"/>
      <c r="L31" s="62">
        <f t="shared" si="12"/>
        <v>0</v>
      </c>
      <c r="M31" s="62">
        <f t="shared" si="13"/>
        <v>0</v>
      </c>
      <c r="N31" s="62">
        <f t="shared" si="14"/>
        <v>0</v>
      </c>
      <c r="O31" s="62">
        <f t="shared" si="15"/>
        <v>0</v>
      </c>
      <c r="P31" s="52"/>
    </row>
    <row r="32" spans="1:19" s="40" customFormat="1" ht="20.100000000000001" customHeight="1">
      <c r="A32" s="150" t="str">
        <f t="shared" si="10"/>
        <v>合同履约成本</v>
      </c>
      <c r="B32" s="52"/>
      <c r="C32" s="52"/>
      <c r="D32" s="52"/>
      <c r="E32" s="53">
        <f t="shared" si="11"/>
        <v>0</v>
      </c>
      <c r="F32" s="52"/>
      <c r="G32" s="52"/>
      <c r="H32" s="52"/>
      <c r="I32" s="52"/>
      <c r="J32" s="52"/>
      <c r="K32" s="52"/>
      <c r="L32" s="62">
        <f t="shared" si="12"/>
        <v>0</v>
      </c>
      <c r="M32" s="62">
        <f t="shared" si="13"/>
        <v>0</v>
      </c>
      <c r="N32" s="62">
        <f t="shared" si="14"/>
        <v>0</v>
      </c>
      <c r="O32" s="62">
        <f t="shared" si="15"/>
        <v>0</v>
      </c>
      <c r="P32" s="52"/>
    </row>
    <row r="33" spans="1:18" s="40" customFormat="1" ht="20.100000000000001" customHeight="1">
      <c r="A33" s="150" t="str">
        <f t="shared" si="10"/>
        <v>应收退货成本</v>
      </c>
      <c r="B33" s="52"/>
      <c r="C33" s="52"/>
      <c r="D33" s="52"/>
      <c r="E33" s="53">
        <f t="shared" si="11"/>
        <v>0</v>
      </c>
      <c r="F33" s="52"/>
      <c r="G33" s="52"/>
      <c r="H33" s="52"/>
      <c r="I33" s="52"/>
      <c r="J33" s="52"/>
      <c r="K33" s="52"/>
      <c r="L33" s="62">
        <f t="shared" si="12"/>
        <v>0</v>
      </c>
      <c r="M33" s="62">
        <f t="shared" si="13"/>
        <v>0</v>
      </c>
      <c r="N33" s="62">
        <f t="shared" si="14"/>
        <v>0</v>
      </c>
      <c r="O33" s="62">
        <f t="shared" si="15"/>
        <v>0</v>
      </c>
      <c r="P33" s="52"/>
      <c r="R33" s="65"/>
    </row>
    <row r="34" spans="1:18" s="40" customFormat="1" ht="20.100000000000001" customHeight="1">
      <c r="A34" s="150" t="str">
        <f t="shared" si="10"/>
        <v>……</v>
      </c>
      <c r="B34" s="52"/>
      <c r="C34" s="52"/>
      <c r="D34" s="52"/>
      <c r="E34" s="53">
        <f t="shared" si="11"/>
        <v>0</v>
      </c>
      <c r="F34" s="52"/>
      <c r="G34" s="52"/>
      <c r="H34" s="52"/>
      <c r="I34" s="52"/>
      <c r="J34" s="52"/>
      <c r="K34" s="52"/>
      <c r="L34" s="62">
        <f t="shared" si="12"/>
        <v>0</v>
      </c>
      <c r="M34" s="62">
        <f t="shared" si="13"/>
        <v>0</v>
      </c>
      <c r="N34" s="62">
        <f t="shared" si="14"/>
        <v>0</v>
      </c>
      <c r="O34" s="62">
        <f t="shared" si="15"/>
        <v>0</v>
      </c>
      <c r="P34" s="52"/>
      <c r="R34" s="65"/>
    </row>
    <row r="35" spans="1:18" s="40" customFormat="1" ht="20.100000000000001" customHeight="1">
      <c r="A35" s="146" t="s">
        <v>138</v>
      </c>
      <c r="B35" s="53">
        <f t="shared" ref="B35:O35" si="16">SUM(B24:B34)</f>
        <v>0</v>
      </c>
      <c r="C35" s="53">
        <f t="shared" si="16"/>
        <v>0</v>
      </c>
      <c r="D35" s="53">
        <f t="shared" si="16"/>
        <v>0</v>
      </c>
      <c r="E35" s="53">
        <f t="shared" si="16"/>
        <v>0</v>
      </c>
      <c r="F35" s="53">
        <f t="shared" si="16"/>
        <v>0</v>
      </c>
      <c r="G35" s="53">
        <f t="shared" si="16"/>
        <v>0</v>
      </c>
      <c r="H35" s="53">
        <f t="shared" si="16"/>
        <v>0</v>
      </c>
      <c r="I35" s="53">
        <f t="shared" si="16"/>
        <v>0</v>
      </c>
      <c r="J35" s="53">
        <f t="shared" si="16"/>
        <v>0</v>
      </c>
      <c r="K35" s="53">
        <f t="shared" si="16"/>
        <v>0</v>
      </c>
      <c r="L35" s="53">
        <f t="shared" si="16"/>
        <v>0</v>
      </c>
      <c r="M35" s="53">
        <f t="shared" si="16"/>
        <v>0</v>
      </c>
      <c r="N35" s="53">
        <f t="shared" si="16"/>
        <v>0</v>
      </c>
      <c r="O35" s="53">
        <f t="shared" si="16"/>
        <v>0</v>
      </c>
      <c r="P35" s="52"/>
    </row>
    <row r="36" spans="1:18" s="40" customFormat="1" ht="20.100000000000001" customHeight="1">
      <c r="A36" s="145" t="s">
        <v>139</v>
      </c>
      <c r="B36" s="54"/>
      <c r="C36" s="54"/>
      <c r="D36" s="54"/>
      <c r="E36" s="54"/>
      <c r="F36" s="54"/>
      <c r="G36" s="54"/>
      <c r="H36" s="54"/>
      <c r="I36" s="54"/>
      <c r="J36" s="54"/>
      <c r="K36" s="54"/>
      <c r="L36" s="54"/>
      <c r="M36" s="54"/>
      <c r="N36" s="54"/>
      <c r="O36" s="54"/>
      <c r="P36" s="61"/>
    </row>
    <row r="37" spans="1:18" s="40" customFormat="1" ht="20.100000000000001" customHeight="1">
      <c r="A37" s="150" t="str">
        <f t="shared" ref="A37:A47" si="17">A24</f>
        <v>预付土地出让金</v>
      </c>
      <c r="B37" s="53">
        <f t="shared" ref="B37:O37" si="18">B11-B24</f>
        <v>0</v>
      </c>
      <c r="C37" s="53">
        <f t="shared" si="18"/>
        <v>0</v>
      </c>
      <c r="D37" s="53">
        <f t="shared" si="18"/>
        <v>0</v>
      </c>
      <c r="E37" s="53">
        <f t="shared" si="18"/>
        <v>0</v>
      </c>
      <c r="F37" s="53">
        <f t="shared" si="18"/>
        <v>0</v>
      </c>
      <c r="G37" s="53">
        <f t="shared" si="18"/>
        <v>0</v>
      </c>
      <c r="H37" s="53">
        <f t="shared" si="18"/>
        <v>0</v>
      </c>
      <c r="I37" s="53">
        <f t="shared" si="18"/>
        <v>0</v>
      </c>
      <c r="J37" s="53">
        <f t="shared" si="18"/>
        <v>0</v>
      </c>
      <c r="K37" s="53">
        <f t="shared" si="18"/>
        <v>0</v>
      </c>
      <c r="L37" s="53">
        <f t="shared" si="18"/>
        <v>0</v>
      </c>
      <c r="M37" s="53">
        <f t="shared" si="18"/>
        <v>0</v>
      </c>
      <c r="N37" s="53">
        <f t="shared" si="18"/>
        <v>0</v>
      </c>
      <c r="O37" s="53">
        <f t="shared" si="18"/>
        <v>0</v>
      </c>
      <c r="P37" s="52"/>
    </row>
    <row r="38" spans="1:18" s="40" customFormat="1" ht="20.100000000000001" customHeight="1">
      <c r="A38" s="150" t="str">
        <f t="shared" si="17"/>
        <v>预付工程款</v>
      </c>
      <c r="B38" s="53">
        <f t="shared" ref="B38:O38" si="19">B12-B25</f>
        <v>0</v>
      </c>
      <c r="C38" s="53">
        <f t="shared" si="19"/>
        <v>0</v>
      </c>
      <c r="D38" s="53">
        <f t="shared" si="19"/>
        <v>0</v>
      </c>
      <c r="E38" s="53">
        <f t="shared" si="19"/>
        <v>0</v>
      </c>
      <c r="F38" s="53">
        <f t="shared" si="19"/>
        <v>0</v>
      </c>
      <c r="G38" s="53">
        <f t="shared" si="19"/>
        <v>0</v>
      </c>
      <c r="H38" s="53">
        <f t="shared" si="19"/>
        <v>0</v>
      </c>
      <c r="I38" s="53">
        <f t="shared" si="19"/>
        <v>0</v>
      </c>
      <c r="J38" s="53">
        <f t="shared" si="19"/>
        <v>0</v>
      </c>
      <c r="K38" s="53">
        <f t="shared" si="19"/>
        <v>0</v>
      </c>
      <c r="L38" s="53">
        <f t="shared" si="19"/>
        <v>0</v>
      </c>
      <c r="M38" s="53">
        <f t="shared" si="19"/>
        <v>0</v>
      </c>
      <c r="N38" s="53">
        <f t="shared" si="19"/>
        <v>0</v>
      </c>
      <c r="O38" s="53">
        <f t="shared" si="19"/>
        <v>0</v>
      </c>
      <c r="P38" s="52"/>
    </row>
    <row r="39" spans="1:18" s="40" customFormat="1" ht="20.100000000000001" customHeight="1">
      <c r="A39" s="150" t="str">
        <f t="shared" si="17"/>
        <v>预付房屋、设备款</v>
      </c>
      <c r="B39" s="53">
        <f t="shared" ref="B39:O39" si="20">B13-B26</f>
        <v>0</v>
      </c>
      <c r="C39" s="53">
        <f t="shared" si="20"/>
        <v>0</v>
      </c>
      <c r="D39" s="53">
        <f t="shared" si="20"/>
        <v>0</v>
      </c>
      <c r="E39" s="53">
        <f t="shared" si="20"/>
        <v>0</v>
      </c>
      <c r="F39" s="53">
        <f t="shared" si="20"/>
        <v>0</v>
      </c>
      <c r="G39" s="53">
        <f t="shared" si="20"/>
        <v>0</v>
      </c>
      <c r="H39" s="53">
        <f t="shared" si="20"/>
        <v>0</v>
      </c>
      <c r="I39" s="53">
        <f t="shared" si="20"/>
        <v>0</v>
      </c>
      <c r="J39" s="53">
        <f t="shared" si="20"/>
        <v>0</v>
      </c>
      <c r="K39" s="53">
        <f t="shared" si="20"/>
        <v>0</v>
      </c>
      <c r="L39" s="53">
        <f t="shared" si="20"/>
        <v>0</v>
      </c>
      <c r="M39" s="53">
        <f t="shared" si="20"/>
        <v>0</v>
      </c>
      <c r="N39" s="53">
        <f t="shared" si="20"/>
        <v>0</v>
      </c>
      <c r="O39" s="53">
        <f t="shared" si="20"/>
        <v>0</v>
      </c>
      <c r="P39" s="52"/>
    </row>
    <row r="40" spans="1:18" s="40" customFormat="1" ht="20.100000000000001" customHeight="1">
      <c r="A40" s="150" t="str">
        <f t="shared" si="17"/>
        <v>无形资产预付款</v>
      </c>
      <c r="B40" s="53">
        <f t="shared" ref="B40:O40" si="21">B14-B27</f>
        <v>0</v>
      </c>
      <c r="C40" s="53">
        <f t="shared" si="21"/>
        <v>0</v>
      </c>
      <c r="D40" s="53">
        <f t="shared" si="21"/>
        <v>0</v>
      </c>
      <c r="E40" s="53">
        <f t="shared" si="21"/>
        <v>0</v>
      </c>
      <c r="F40" s="53">
        <f t="shared" si="21"/>
        <v>0</v>
      </c>
      <c r="G40" s="53">
        <f t="shared" si="21"/>
        <v>0</v>
      </c>
      <c r="H40" s="53">
        <f t="shared" si="21"/>
        <v>0</v>
      </c>
      <c r="I40" s="53">
        <f t="shared" si="21"/>
        <v>0</v>
      </c>
      <c r="J40" s="53">
        <f t="shared" si="21"/>
        <v>0</v>
      </c>
      <c r="K40" s="53">
        <f t="shared" si="21"/>
        <v>0</v>
      </c>
      <c r="L40" s="53">
        <f t="shared" si="21"/>
        <v>0</v>
      </c>
      <c r="M40" s="53">
        <f t="shared" si="21"/>
        <v>0</v>
      </c>
      <c r="N40" s="53">
        <f t="shared" si="21"/>
        <v>0</v>
      </c>
      <c r="O40" s="53">
        <f t="shared" si="21"/>
        <v>0</v>
      </c>
      <c r="P40" s="52"/>
    </row>
    <row r="41" spans="1:18" s="40" customFormat="1" ht="20.100000000000001" customHeight="1">
      <c r="A41" s="150" t="str">
        <f t="shared" si="17"/>
        <v>预付投资款</v>
      </c>
      <c r="B41" s="53">
        <f t="shared" ref="B41:O41" si="22">B15-B28</f>
        <v>0</v>
      </c>
      <c r="C41" s="53">
        <f t="shared" si="22"/>
        <v>0</v>
      </c>
      <c r="D41" s="53">
        <f t="shared" si="22"/>
        <v>0</v>
      </c>
      <c r="E41" s="53">
        <f t="shared" si="22"/>
        <v>0</v>
      </c>
      <c r="F41" s="53">
        <f t="shared" si="22"/>
        <v>0</v>
      </c>
      <c r="G41" s="53">
        <f t="shared" si="22"/>
        <v>0</v>
      </c>
      <c r="H41" s="53">
        <f t="shared" si="22"/>
        <v>0</v>
      </c>
      <c r="I41" s="53">
        <f t="shared" si="22"/>
        <v>0</v>
      </c>
      <c r="J41" s="53">
        <f t="shared" si="22"/>
        <v>0</v>
      </c>
      <c r="K41" s="53">
        <f t="shared" si="22"/>
        <v>0</v>
      </c>
      <c r="L41" s="53">
        <f t="shared" si="22"/>
        <v>0</v>
      </c>
      <c r="M41" s="53">
        <f t="shared" si="22"/>
        <v>0</v>
      </c>
      <c r="N41" s="53">
        <f t="shared" si="22"/>
        <v>0</v>
      </c>
      <c r="O41" s="53">
        <f t="shared" si="22"/>
        <v>0</v>
      </c>
      <c r="P41" s="52"/>
    </row>
    <row r="42" spans="1:18" s="40" customFormat="1" ht="20.100000000000001" customHeight="1">
      <c r="A42" s="150" t="str">
        <f t="shared" si="17"/>
        <v>委托贷款</v>
      </c>
      <c r="B42" s="53">
        <f t="shared" ref="B42:O42" si="23">B16-B29</f>
        <v>0</v>
      </c>
      <c r="C42" s="53">
        <f t="shared" si="23"/>
        <v>0</v>
      </c>
      <c r="D42" s="53">
        <f t="shared" si="23"/>
        <v>0</v>
      </c>
      <c r="E42" s="53">
        <f t="shared" si="23"/>
        <v>0</v>
      </c>
      <c r="F42" s="53">
        <f t="shared" si="23"/>
        <v>0</v>
      </c>
      <c r="G42" s="53">
        <f t="shared" si="23"/>
        <v>0</v>
      </c>
      <c r="H42" s="53">
        <f t="shared" si="23"/>
        <v>0</v>
      </c>
      <c r="I42" s="53">
        <f t="shared" si="23"/>
        <v>0</v>
      </c>
      <c r="J42" s="53">
        <f t="shared" si="23"/>
        <v>0</v>
      </c>
      <c r="K42" s="53">
        <f t="shared" si="23"/>
        <v>0</v>
      </c>
      <c r="L42" s="53">
        <f t="shared" si="23"/>
        <v>0</v>
      </c>
      <c r="M42" s="53">
        <f t="shared" si="23"/>
        <v>0</v>
      </c>
      <c r="N42" s="53">
        <f t="shared" si="23"/>
        <v>0</v>
      </c>
      <c r="O42" s="53">
        <f t="shared" si="23"/>
        <v>0</v>
      </c>
      <c r="P42" s="52"/>
    </row>
    <row r="43" spans="1:18" s="40" customFormat="1" ht="20.100000000000001" customHeight="1">
      <c r="A43" s="150" t="str">
        <f t="shared" si="17"/>
        <v>合同资产</v>
      </c>
      <c r="B43" s="53">
        <f t="shared" ref="B43:O43" si="24">B17-B30</f>
        <v>0</v>
      </c>
      <c r="C43" s="53">
        <f t="shared" si="24"/>
        <v>0</v>
      </c>
      <c r="D43" s="53">
        <f t="shared" si="24"/>
        <v>0</v>
      </c>
      <c r="E43" s="53">
        <f t="shared" si="24"/>
        <v>0</v>
      </c>
      <c r="F43" s="53">
        <f t="shared" si="24"/>
        <v>0</v>
      </c>
      <c r="G43" s="53">
        <f t="shared" si="24"/>
        <v>0</v>
      </c>
      <c r="H43" s="53">
        <f t="shared" si="24"/>
        <v>0</v>
      </c>
      <c r="I43" s="53">
        <f t="shared" si="24"/>
        <v>0</v>
      </c>
      <c r="J43" s="53">
        <f t="shared" si="24"/>
        <v>0</v>
      </c>
      <c r="K43" s="53">
        <f t="shared" si="24"/>
        <v>0</v>
      </c>
      <c r="L43" s="53">
        <f t="shared" si="24"/>
        <v>0</v>
      </c>
      <c r="M43" s="53">
        <f t="shared" si="24"/>
        <v>0</v>
      </c>
      <c r="N43" s="53">
        <f t="shared" si="24"/>
        <v>0</v>
      </c>
      <c r="O43" s="53">
        <f t="shared" si="24"/>
        <v>0</v>
      </c>
      <c r="P43" s="52"/>
    </row>
    <row r="44" spans="1:18" s="40" customFormat="1" ht="20.100000000000001" customHeight="1">
      <c r="A44" s="150" t="str">
        <f t="shared" si="17"/>
        <v>合同取得成本</v>
      </c>
      <c r="B44" s="53">
        <f t="shared" ref="B44:O44" si="25">B18-B31</f>
        <v>0</v>
      </c>
      <c r="C44" s="53">
        <f t="shared" si="25"/>
        <v>0</v>
      </c>
      <c r="D44" s="53">
        <f t="shared" si="25"/>
        <v>0</v>
      </c>
      <c r="E44" s="53">
        <f t="shared" si="25"/>
        <v>0</v>
      </c>
      <c r="F44" s="53">
        <f t="shared" si="25"/>
        <v>0</v>
      </c>
      <c r="G44" s="53">
        <f t="shared" si="25"/>
        <v>0</v>
      </c>
      <c r="H44" s="53">
        <f t="shared" si="25"/>
        <v>0</v>
      </c>
      <c r="I44" s="53">
        <f t="shared" si="25"/>
        <v>0</v>
      </c>
      <c r="J44" s="53">
        <f t="shared" si="25"/>
        <v>0</v>
      </c>
      <c r="K44" s="53">
        <f t="shared" si="25"/>
        <v>0</v>
      </c>
      <c r="L44" s="53">
        <f t="shared" si="25"/>
        <v>0</v>
      </c>
      <c r="M44" s="53">
        <f t="shared" si="25"/>
        <v>0</v>
      </c>
      <c r="N44" s="53">
        <f t="shared" si="25"/>
        <v>0</v>
      </c>
      <c r="O44" s="53">
        <f t="shared" si="25"/>
        <v>0</v>
      </c>
      <c r="P44" s="52"/>
    </row>
    <row r="45" spans="1:18" s="40" customFormat="1" ht="20.100000000000001" customHeight="1">
      <c r="A45" s="150" t="str">
        <f t="shared" si="17"/>
        <v>合同履约成本</v>
      </c>
      <c r="B45" s="53">
        <f t="shared" ref="B45:O45" si="26">B19-B32</f>
        <v>0</v>
      </c>
      <c r="C45" s="53">
        <f t="shared" si="26"/>
        <v>0</v>
      </c>
      <c r="D45" s="53">
        <f t="shared" si="26"/>
        <v>0</v>
      </c>
      <c r="E45" s="53">
        <f t="shared" si="26"/>
        <v>0</v>
      </c>
      <c r="F45" s="53">
        <f t="shared" si="26"/>
        <v>0</v>
      </c>
      <c r="G45" s="53">
        <f t="shared" si="26"/>
        <v>0</v>
      </c>
      <c r="H45" s="53">
        <f t="shared" si="26"/>
        <v>0</v>
      </c>
      <c r="I45" s="53">
        <f t="shared" si="26"/>
        <v>0</v>
      </c>
      <c r="J45" s="53">
        <f t="shared" si="26"/>
        <v>0</v>
      </c>
      <c r="K45" s="53">
        <f t="shared" si="26"/>
        <v>0</v>
      </c>
      <c r="L45" s="53">
        <f t="shared" si="26"/>
        <v>0</v>
      </c>
      <c r="M45" s="53">
        <f t="shared" si="26"/>
        <v>0</v>
      </c>
      <c r="N45" s="53">
        <f t="shared" si="26"/>
        <v>0</v>
      </c>
      <c r="O45" s="53">
        <f t="shared" si="26"/>
        <v>0</v>
      </c>
      <c r="P45" s="52"/>
    </row>
    <row r="46" spans="1:18" s="40" customFormat="1" ht="20.100000000000001" customHeight="1">
      <c r="A46" s="150" t="str">
        <f t="shared" si="17"/>
        <v>应收退货成本</v>
      </c>
      <c r="B46" s="53">
        <f t="shared" ref="B46:O46" si="27">B20-B33</f>
        <v>0</v>
      </c>
      <c r="C46" s="53">
        <f t="shared" si="27"/>
        <v>0</v>
      </c>
      <c r="D46" s="53">
        <f t="shared" si="27"/>
        <v>0</v>
      </c>
      <c r="E46" s="53">
        <f t="shared" si="27"/>
        <v>0</v>
      </c>
      <c r="F46" s="53">
        <f t="shared" si="27"/>
        <v>0</v>
      </c>
      <c r="G46" s="53">
        <f t="shared" si="27"/>
        <v>0</v>
      </c>
      <c r="H46" s="53">
        <f t="shared" si="27"/>
        <v>0</v>
      </c>
      <c r="I46" s="53">
        <f t="shared" si="27"/>
        <v>0</v>
      </c>
      <c r="J46" s="53">
        <f t="shared" si="27"/>
        <v>0</v>
      </c>
      <c r="K46" s="53">
        <f t="shared" si="27"/>
        <v>0</v>
      </c>
      <c r="L46" s="53">
        <f t="shared" si="27"/>
        <v>0</v>
      </c>
      <c r="M46" s="53">
        <f t="shared" si="27"/>
        <v>0</v>
      </c>
      <c r="N46" s="53">
        <f t="shared" si="27"/>
        <v>0</v>
      </c>
      <c r="O46" s="53">
        <f t="shared" si="27"/>
        <v>0</v>
      </c>
      <c r="P46" s="52"/>
    </row>
    <row r="47" spans="1:18" s="40" customFormat="1" ht="20.100000000000001" customHeight="1">
      <c r="A47" s="150" t="str">
        <f t="shared" si="17"/>
        <v>……</v>
      </c>
      <c r="B47" s="53">
        <f t="shared" ref="B47:O47" si="28">B21-B34</f>
        <v>0</v>
      </c>
      <c r="C47" s="53">
        <f t="shared" si="28"/>
        <v>0</v>
      </c>
      <c r="D47" s="53">
        <f t="shared" si="28"/>
        <v>0</v>
      </c>
      <c r="E47" s="53">
        <f t="shared" si="28"/>
        <v>0</v>
      </c>
      <c r="F47" s="53">
        <f t="shared" si="28"/>
        <v>0</v>
      </c>
      <c r="G47" s="53">
        <f t="shared" si="28"/>
        <v>0</v>
      </c>
      <c r="H47" s="53">
        <f t="shared" si="28"/>
        <v>0</v>
      </c>
      <c r="I47" s="53">
        <f t="shared" si="28"/>
        <v>0</v>
      </c>
      <c r="J47" s="53">
        <f t="shared" si="28"/>
        <v>0</v>
      </c>
      <c r="K47" s="53">
        <f t="shared" si="28"/>
        <v>0</v>
      </c>
      <c r="L47" s="53">
        <f t="shared" si="28"/>
        <v>0</v>
      </c>
      <c r="M47" s="53">
        <f t="shared" si="28"/>
        <v>0</v>
      </c>
      <c r="N47" s="53">
        <f t="shared" si="28"/>
        <v>0</v>
      </c>
      <c r="O47" s="53">
        <f t="shared" si="28"/>
        <v>0</v>
      </c>
      <c r="P47" s="52"/>
    </row>
    <row r="48" spans="1:18" s="40" customFormat="1" ht="20.100000000000001" customHeight="1">
      <c r="A48" s="146" t="s">
        <v>138</v>
      </c>
      <c r="B48" s="53">
        <f t="shared" ref="B48:O48" si="29">SUM(B37:B47)</f>
        <v>0</v>
      </c>
      <c r="C48" s="53">
        <f t="shared" si="29"/>
        <v>0</v>
      </c>
      <c r="D48" s="53">
        <f t="shared" si="29"/>
        <v>0</v>
      </c>
      <c r="E48" s="53">
        <f t="shared" si="29"/>
        <v>0</v>
      </c>
      <c r="F48" s="53">
        <f t="shared" si="29"/>
        <v>0</v>
      </c>
      <c r="G48" s="53">
        <f t="shared" si="29"/>
        <v>0</v>
      </c>
      <c r="H48" s="53">
        <f t="shared" si="29"/>
        <v>0</v>
      </c>
      <c r="I48" s="53">
        <f t="shared" si="29"/>
        <v>0</v>
      </c>
      <c r="J48" s="53">
        <f t="shared" si="29"/>
        <v>0</v>
      </c>
      <c r="K48" s="53">
        <f t="shared" si="29"/>
        <v>0</v>
      </c>
      <c r="L48" s="53">
        <f t="shared" si="29"/>
        <v>0</v>
      </c>
      <c r="M48" s="53">
        <f t="shared" si="29"/>
        <v>0</v>
      </c>
      <c r="N48" s="53">
        <f t="shared" si="29"/>
        <v>0</v>
      </c>
      <c r="O48" s="53">
        <f t="shared" si="29"/>
        <v>0</v>
      </c>
      <c r="P48" s="52"/>
    </row>
    <row r="49" spans="1:13" s="1" customFormat="1" ht="20.100000000000001" customHeight="1">
      <c r="A49" s="55" t="s">
        <v>140</v>
      </c>
    </row>
    <row r="50" spans="1:13" ht="20.100000000000001" customHeight="1"/>
    <row r="51" spans="1:13" ht="20.100000000000001" customHeight="1">
      <c r="A51" s="55" t="s">
        <v>141</v>
      </c>
    </row>
    <row r="52" spans="1:13" ht="20.100000000000001" customHeight="1"/>
    <row r="53" spans="1:13" ht="20.100000000000001" customHeight="1"/>
    <row r="55" spans="1:13" ht="18" customHeight="1">
      <c r="A55" s="56" t="s">
        <v>142</v>
      </c>
    </row>
    <row r="56" spans="1:13" ht="18" customHeight="1">
      <c r="A56" s="202" t="s">
        <v>143</v>
      </c>
      <c r="B56" s="202"/>
      <c r="C56" s="202"/>
      <c r="D56" s="202"/>
      <c r="E56" s="202"/>
      <c r="F56" s="202"/>
      <c r="G56" s="202"/>
      <c r="H56" s="202"/>
      <c r="I56" s="202"/>
      <c r="J56" s="202"/>
      <c r="K56" s="202"/>
      <c r="L56" s="202"/>
      <c r="M56" s="202"/>
    </row>
    <row r="57" spans="1:13" ht="53.25" customHeight="1">
      <c r="A57" s="202" t="s">
        <v>144</v>
      </c>
      <c r="B57" s="202"/>
      <c r="C57" s="202"/>
      <c r="D57" s="202"/>
      <c r="E57" s="202"/>
      <c r="F57" s="202"/>
      <c r="G57" s="202"/>
      <c r="H57" s="202"/>
      <c r="I57" s="202"/>
      <c r="J57" s="202"/>
      <c r="K57" s="202"/>
      <c r="L57" s="202"/>
      <c r="M57" s="202"/>
    </row>
    <row r="58" spans="1:13" ht="53.25" customHeight="1">
      <c r="A58" s="202" t="s">
        <v>145</v>
      </c>
      <c r="B58" s="202"/>
      <c r="C58" s="202"/>
      <c r="D58" s="202"/>
      <c r="E58" s="202"/>
      <c r="F58" s="202"/>
      <c r="G58" s="202"/>
      <c r="H58" s="202"/>
      <c r="I58" s="202"/>
      <c r="J58" s="202"/>
      <c r="K58" s="202"/>
      <c r="L58" s="202"/>
      <c r="M58" s="202"/>
    </row>
    <row r="59" spans="1:13" ht="13.8">
      <c r="A59" s="202" t="s">
        <v>146</v>
      </c>
      <c r="B59" s="202"/>
      <c r="C59" s="202"/>
      <c r="D59" s="202"/>
      <c r="E59" s="202"/>
      <c r="F59" s="202"/>
      <c r="G59" s="202"/>
      <c r="H59" s="202"/>
      <c r="I59" s="202"/>
      <c r="J59" s="202"/>
      <c r="K59" s="202"/>
      <c r="L59" s="202"/>
      <c r="M59" s="202"/>
    </row>
    <row r="60" spans="1:13" ht="27" customHeight="1">
      <c r="A60" s="201" t="s">
        <v>147</v>
      </c>
      <c r="B60" s="202"/>
      <c r="C60" s="202"/>
      <c r="D60" s="202"/>
      <c r="E60" s="202"/>
      <c r="F60" s="202"/>
      <c r="G60" s="202"/>
      <c r="H60" s="202"/>
      <c r="I60" s="202"/>
      <c r="J60" s="202"/>
      <c r="K60" s="202"/>
      <c r="L60" s="202"/>
      <c r="M60" s="202"/>
    </row>
    <row r="61" spans="1:13" ht="29.25" customHeight="1">
      <c r="A61" s="201" t="s">
        <v>148</v>
      </c>
      <c r="B61" s="202"/>
      <c r="C61" s="202"/>
      <c r="D61" s="202"/>
      <c r="E61" s="202"/>
      <c r="F61" s="202"/>
      <c r="G61" s="202"/>
      <c r="H61" s="202"/>
      <c r="I61" s="202"/>
      <c r="J61" s="202"/>
      <c r="K61" s="202"/>
      <c r="L61" s="202"/>
      <c r="M61" s="202"/>
    </row>
    <row r="62" spans="1:13" ht="26.25" customHeight="1">
      <c r="A62" s="203" t="s">
        <v>149</v>
      </c>
      <c r="B62" s="203"/>
      <c r="C62" s="203"/>
      <c r="D62" s="203"/>
      <c r="E62" s="203"/>
      <c r="F62" s="203"/>
      <c r="G62" s="203"/>
      <c r="H62" s="203"/>
      <c r="I62" s="203"/>
      <c r="J62" s="203"/>
      <c r="K62" s="203"/>
      <c r="L62" s="203"/>
      <c r="M62" s="203"/>
    </row>
    <row r="63" spans="1:13" ht="59.25" customHeight="1">
      <c r="A63" s="202"/>
      <c r="B63" s="202"/>
      <c r="C63" s="202"/>
      <c r="D63" s="202"/>
      <c r="E63" s="202"/>
      <c r="F63" s="202"/>
      <c r="G63" s="202"/>
      <c r="H63" s="202"/>
      <c r="I63" s="202"/>
      <c r="J63" s="202"/>
      <c r="K63" s="202"/>
      <c r="L63" s="202"/>
      <c r="M63" s="202"/>
    </row>
  </sheetData>
  <mergeCells count="17">
    <mergeCell ref="A1:P1"/>
    <mergeCell ref="A2:P2"/>
    <mergeCell ref="B8:E8"/>
    <mergeCell ref="F8:G8"/>
    <mergeCell ref="H8:I8"/>
    <mergeCell ref="J8:K8"/>
    <mergeCell ref="L8:O8"/>
    <mergeCell ref="A61:M61"/>
    <mergeCell ref="A62:M62"/>
    <mergeCell ref="A63:M63"/>
    <mergeCell ref="A8:A9"/>
    <mergeCell ref="P8:P9"/>
    <mergeCell ref="A56:M56"/>
    <mergeCell ref="A57:M57"/>
    <mergeCell ref="A58:M58"/>
    <mergeCell ref="A59:M59"/>
    <mergeCell ref="A60:M60"/>
  </mergeCells>
  <phoneticPr fontId="53" type="noConversion"/>
  <hyperlinks>
    <hyperlink ref="P3" location="底稿目录!D8" display="I5-2"/>
  </hyperlinks>
  <printOptions horizontalCentered="1"/>
  <pageMargins left="0.59055118110236227" right="0.59055118110236227" top="0.78740157480314965" bottom="0.39370078740157483" header="0.51181102362204722" footer="0.31496062992125984"/>
  <pageSetup paperSize="9" scale="70"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view="pageBreakPreview" zoomScaleNormal="100" workbookViewId="0">
      <selection activeCell="J3" sqref="J3"/>
    </sheetView>
  </sheetViews>
  <sheetFormatPr defaultColWidth="8.88671875" defaultRowHeight="19.95" customHeight="1"/>
  <cols>
    <col min="1" max="1" width="23" style="27" customWidth="1"/>
    <col min="2" max="2" width="19.21875" style="27" customWidth="1"/>
    <col min="3" max="3" width="8.88671875" style="27" customWidth="1"/>
    <col min="4" max="16384" width="8.88671875" style="27"/>
  </cols>
  <sheetData>
    <row r="1" spans="1:10" ht="19.95" customHeight="1">
      <c r="A1" s="217" t="s">
        <v>242</v>
      </c>
      <c r="B1" s="218"/>
      <c r="C1" s="218"/>
      <c r="D1" s="218"/>
      <c r="E1" s="218"/>
      <c r="F1" s="218"/>
      <c r="G1" s="218"/>
      <c r="H1" s="218"/>
      <c r="I1" s="218"/>
      <c r="J1" s="218"/>
    </row>
    <row r="2" spans="1:10" ht="19.95" customHeight="1">
      <c r="A2" s="219" t="s">
        <v>150</v>
      </c>
      <c r="B2" s="219"/>
      <c r="C2" s="219"/>
      <c r="D2" s="220"/>
      <c r="E2" s="220"/>
      <c r="F2" s="220"/>
      <c r="G2" s="220"/>
      <c r="H2" s="220"/>
      <c r="I2" s="220"/>
      <c r="J2" s="220"/>
    </row>
    <row r="3" spans="1:10" s="25" customFormat="1" ht="19.95" customHeight="1">
      <c r="A3" s="28" t="str">
        <f>底稿目录!A2</f>
        <v>被审计单位：</v>
      </c>
      <c r="B3" s="28"/>
      <c r="C3" s="28"/>
      <c r="D3" s="28" t="str">
        <f>底稿目录!A4</f>
        <v>编制人：</v>
      </c>
      <c r="E3" s="28"/>
      <c r="F3" s="29" t="str">
        <f>底稿目录!A5</f>
        <v>编制日期：</v>
      </c>
      <c r="H3" s="30"/>
      <c r="I3" s="29" t="s">
        <v>21</v>
      </c>
      <c r="J3" s="241" t="s">
        <v>15</v>
      </c>
    </row>
    <row r="4" spans="1:10" ht="19.95" customHeight="1">
      <c r="A4" s="28" t="str">
        <f>底稿目录!A3</f>
        <v>截止日：202X年12月31日</v>
      </c>
      <c r="B4" s="28"/>
      <c r="C4" s="28"/>
      <c r="D4" s="31" t="str">
        <f>底稿目录!A6</f>
        <v>复核人：</v>
      </c>
      <c r="E4" s="28"/>
      <c r="F4" s="29" t="str">
        <f>底稿目录!A7</f>
        <v>复核日期：</v>
      </c>
      <c r="H4" s="30"/>
      <c r="I4" s="29" t="s">
        <v>22</v>
      </c>
      <c r="J4" s="39"/>
    </row>
    <row r="5" spans="1:10" s="26" customFormat="1" ht="24">
      <c r="A5" s="32" t="s">
        <v>151</v>
      </c>
      <c r="B5" s="32" t="s">
        <v>152</v>
      </c>
      <c r="C5" s="32" t="s">
        <v>153</v>
      </c>
      <c r="D5" s="33" t="s">
        <v>154</v>
      </c>
      <c r="E5" s="33" t="s">
        <v>155</v>
      </c>
      <c r="F5" s="34" t="s">
        <v>137</v>
      </c>
      <c r="G5" s="33" t="s">
        <v>156</v>
      </c>
      <c r="H5" s="33" t="s">
        <v>157</v>
      </c>
      <c r="I5" s="33" t="s">
        <v>158</v>
      </c>
      <c r="J5" s="33" t="s">
        <v>121</v>
      </c>
    </row>
    <row r="6" spans="1:10" ht="19.95" customHeight="1">
      <c r="A6" s="35"/>
      <c r="B6" s="35"/>
      <c r="C6" s="35"/>
      <c r="D6" s="35"/>
      <c r="E6" s="35"/>
      <c r="F6" s="35"/>
      <c r="G6" s="35"/>
      <c r="H6" s="35"/>
      <c r="I6" s="35"/>
      <c r="J6" s="35"/>
    </row>
    <row r="7" spans="1:10" ht="19.95" customHeight="1">
      <c r="A7" s="36"/>
      <c r="B7" s="35"/>
      <c r="C7" s="35"/>
      <c r="D7" s="35"/>
      <c r="E7" s="35"/>
      <c r="F7" s="35"/>
      <c r="G7" s="35"/>
      <c r="H7" s="35"/>
      <c r="I7" s="35"/>
      <c r="J7" s="35"/>
    </row>
    <row r="8" spans="1:10" ht="19.95" customHeight="1">
      <c r="A8" s="37"/>
      <c r="B8" s="35"/>
      <c r="C8" s="35"/>
      <c r="D8" s="35"/>
      <c r="E8" s="35"/>
      <c r="F8" s="35"/>
      <c r="G8" s="35"/>
      <c r="H8" s="35"/>
      <c r="I8" s="35"/>
      <c r="J8" s="35"/>
    </row>
    <row r="9" spans="1:10" ht="19.95" customHeight="1">
      <c r="A9" s="37"/>
      <c r="B9" s="35"/>
      <c r="C9" s="35"/>
      <c r="D9" s="35"/>
      <c r="E9" s="35"/>
      <c r="F9" s="35"/>
      <c r="G9" s="35"/>
      <c r="H9" s="35"/>
      <c r="I9" s="35"/>
      <c r="J9" s="35"/>
    </row>
    <row r="10" spans="1:10" ht="19.95" customHeight="1">
      <c r="A10" s="37"/>
      <c r="B10" s="35"/>
      <c r="C10" s="35"/>
      <c r="D10" s="35"/>
      <c r="E10" s="35"/>
      <c r="F10" s="35"/>
      <c r="G10" s="35"/>
      <c r="H10" s="35"/>
      <c r="I10" s="35"/>
      <c r="J10" s="35"/>
    </row>
    <row r="11" spans="1:10" ht="19.95" customHeight="1">
      <c r="A11" s="38"/>
      <c r="B11" s="35"/>
      <c r="C11" s="35"/>
      <c r="D11" s="35"/>
      <c r="E11" s="35"/>
      <c r="F11" s="35"/>
      <c r="G11" s="35"/>
      <c r="H11" s="35"/>
      <c r="I11" s="35"/>
      <c r="J11" s="35"/>
    </row>
    <row r="12" spans="1:10" ht="19.95" customHeight="1">
      <c r="A12" s="37"/>
      <c r="B12" s="35"/>
      <c r="C12" s="35"/>
      <c r="D12" s="35"/>
      <c r="E12" s="35"/>
      <c r="F12" s="35"/>
      <c r="G12" s="35"/>
      <c r="H12" s="35"/>
      <c r="I12" s="35"/>
      <c r="J12" s="35"/>
    </row>
    <row r="13" spans="1:10" ht="19.95" customHeight="1">
      <c r="A13" s="37"/>
      <c r="B13" s="35"/>
      <c r="C13" s="35"/>
      <c r="D13" s="35"/>
      <c r="E13" s="35"/>
      <c r="F13" s="35"/>
      <c r="G13" s="35"/>
      <c r="H13" s="35"/>
      <c r="I13" s="35"/>
      <c r="J13" s="35"/>
    </row>
    <row r="14" spans="1:10" ht="19.95" customHeight="1">
      <c r="A14" s="37"/>
      <c r="B14" s="35"/>
      <c r="C14" s="35"/>
      <c r="D14" s="35"/>
      <c r="E14" s="35"/>
      <c r="F14" s="35"/>
      <c r="G14" s="35"/>
      <c r="H14" s="35"/>
      <c r="I14" s="35"/>
      <c r="J14" s="35"/>
    </row>
    <row r="15" spans="1:10" ht="19.95" customHeight="1">
      <c r="A15" s="37"/>
      <c r="B15" s="35"/>
      <c r="C15" s="35"/>
      <c r="D15" s="35"/>
      <c r="E15" s="35"/>
      <c r="F15" s="35"/>
      <c r="G15" s="35"/>
      <c r="H15" s="35"/>
      <c r="I15" s="35"/>
      <c r="J15" s="35"/>
    </row>
    <row r="16" spans="1:10" ht="19.95" customHeight="1">
      <c r="A16" s="37"/>
      <c r="B16" s="35"/>
      <c r="C16" s="35"/>
      <c r="D16" s="35"/>
      <c r="E16" s="35"/>
      <c r="F16" s="35"/>
      <c r="G16" s="35"/>
      <c r="H16" s="35"/>
      <c r="I16" s="35"/>
      <c r="J16" s="35"/>
    </row>
    <row r="17" spans="1:10" ht="19.95" customHeight="1">
      <c r="A17" s="37"/>
      <c r="B17" s="35"/>
      <c r="C17" s="35"/>
      <c r="D17" s="35"/>
      <c r="E17" s="35"/>
      <c r="F17" s="35"/>
      <c r="G17" s="35"/>
      <c r="H17" s="35"/>
      <c r="I17" s="35"/>
      <c r="J17" s="35"/>
    </row>
    <row r="18" spans="1:10" ht="19.95" customHeight="1">
      <c r="A18" s="37"/>
      <c r="B18" s="35"/>
      <c r="C18" s="35"/>
      <c r="D18" s="35"/>
      <c r="E18" s="35"/>
      <c r="F18" s="35"/>
      <c r="G18" s="35"/>
      <c r="H18" s="35"/>
      <c r="I18" s="35"/>
      <c r="J18" s="35"/>
    </row>
    <row r="19" spans="1:10" ht="19.95" customHeight="1">
      <c r="A19" s="37"/>
      <c r="B19" s="35"/>
      <c r="C19" s="35"/>
      <c r="D19" s="35"/>
      <c r="E19" s="35"/>
      <c r="F19" s="35"/>
      <c r="G19" s="35"/>
      <c r="H19" s="35"/>
      <c r="I19" s="35"/>
      <c r="J19" s="35"/>
    </row>
    <row r="20" spans="1:10" ht="19.95" customHeight="1">
      <c r="A20" s="37"/>
      <c r="B20" s="35"/>
      <c r="C20" s="35"/>
      <c r="D20" s="35"/>
      <c r="E20" s="35"/>
      <c r="F20" s="35"/>
      <c r="G20" s="35"/>
      <c r="H20" s="35"/>
      <c r="I20" s="35"/>
      <c r="J20" s="35"/>
    </row>
    <row r="21" spans="1:10" ht="15.6">
      <c r="A21" s="221" t="s">
        <v>159</v>
      </c>
      <c r="B21" s="222"/>
      <c r="C21" s="222"/>
      <c r="D21" s="222"/>
      <c r="E21" s="222"/>
      <c r="F21" s="222"/>
      <c r="G21" s="222"/>
      <c r="H21" s="222"/>
      <c r="I21" s="222"/>
      <c r="J21" s="222"/>
    </row>
  </sheetData>
  <mergeCells count="3">
    <mergeCell ref="A1:J1"/>
    <mergeCell ref="A2:J2"/>
    <mergeCell ref="A21:J21"/>
  </mergeCells>
  <phoneticPr fontId="53" type="noConversion"/>
  <dataValidations count="1">
    <dataValidation type="list" allowBlank="1" showInputMessage="1" showErrorMessage="1" sqref="B6:B20">
      <formula1>"账项调整,报表调整,其他"</formula1>
    </dataValidation>
  </dataValidations>
  <hyperlinks>
    <hyperlink ref="J3" location="底稿目录!D9" display="I5-3"/>
  </hyperlinks>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35"/>
  <sheetViews>
    <sheetView view="pageBreakPreview" zoomScaleNormal="100" workbookViewId="0">
      <selection sqref="A1:Q1"/>
    </sheetView>
  </sheetViews>
  <sheetFormatPr defaultColWidth="9" defaultRowHeight="18" customHeight="1"/>
  <cols>
    <col min="1" max="1" width="11.77734375" style="4" customWidth="1"/>
    <col min="2" max="5" width="10.6640625" style="4" customWidth="1"/>
    <col min="6" max="6" width="13.6640625" style="4" customWidth="1"/>
    <col min="7" max="7" width="10.6640625" style="4" customWidth="1"/>
    <col min="8" max="8" width="14.6640625" style="4" customWidth="1"/>
    <col min="9" max="9" width="13.6640625" style="4" customWidth="1"/>
    <col min="10" max="14" width="3.6640625" style="4" customWidth="1"/>
    <col min="15" max="16384" width="9" style="4"/>
  </cols>
  <sheetData>
    <row r="1" spans="1:18" s="1" customFormat="1" ht="20.100000000000001" customHeight="1">
      <c r="A1" s="226" t="s">
        <v>19</v>
      </c>
      <c r="B1" s="226"/>
      <c r="C1" s="226"/>
      <c r="D1" s="226"/>
      <c r="E1" s="226"/>
      <c r="F1" s="226"/>
      <c r="G1" s="226"/>
      <c r="H1" s="226"/>
      <c r="I1" s="226"/>
      <c r="J1" s="226"/>
      <c r="K1" s="226"/>
      <c r="L1" s="226"/>
      <c r="M1" s="226"/>
      <c r="N1" s="226"/>
      <c r="O1" s="226"/>
      <c r="P1" s="226"/>
      <c r="Q1" s="226"/>
    </row>
    <row r="2" spans="1:18" s="2" customFormat="1" ht="24.9" customHeight="1">
      <c r="A2" s="227" t="s">
        <v>160</v>
      </c>
      <c r="B2" s="227"/>
      <c r="C2" s="227"/>
      <c r="D2" s="227"/>
      <c r="E2" s="227"/>
      <c r="F2" s="227"/>
      <c r="G2" s="227"/>
      <c r="H2" s="227"/>
      <c r="I2" s="227"/>
      <c r="J2" s="227"/>
      <c r="K2" s="227"/>
      <c r="L2" s="227"/>
      <c r="M2" s="227"/>
      <c r="N2" s="227"/>
      <c r="O2" s="227"/>
      <c r="P2" s="227"/>
      <c r="Q2" s="227"/>
    </row>
    <row r="3" spans="1:18" s="1" customFormat="1" ht="20.100000000000001" customHeight="1">
      <c r="A3" s="5" t="str">
        <f>底稿目录!A2</f>
        <v>被审计单位：</v>
      </c>
      <c r="B3" s="6"/>
      <c r="C3" s="6"/>
      <c r="D3" s="6" t="str">
        <f>底稿目录!A4</f>
        <v>编制人：</v>
      </c>
      <c r="F3" s="7" t="str">
        <f>底稿目录!A5</f>
        <v>编制日期：</v>
      </c>
      <c r="I3" s="8"/>
      <c r="J3" s="8"/>
      <c r="P3" s="8" t="s">
        <v>54</v>
      </c>
      <c r="Q3" s="241" t="s">
        <v>18</v>
      </c>
      <c r="R3" s="8"/>
    </row>
    <row r="4" spans="1:18" ht="20.100000000000001" customHeight="1">
      <c r="A4" s="5" t="str">
        <f>底稿目录!A3</f>
        <v>截止日：202X年12月31日</v>
      </c>
      <c r="B4" s="6"/>
      <c r="C4" s="6"/>
      <c r="D4" s="6" t="str">
        <f>底稿目录!A6</f>
        <v>复核人：</v>
      </c>
      <c r="F4" s="7" t="str">
        <f>底稿目录!A7</f>
        <v>复核日期：</v>
      </c>
      <c r="I4" s="8"/>
      <c r="J4" s="8"/>
      <c r="P4" s="8" t="s">
        <v>161</v>
      </c>
      <c r="Q4" s="8"/>
      <c r="R4" s="8"/>
    </row>
    <row r="5" spans="1:18" ht="20.100000000000001" customHeight="1">
      <c r="A5" s="9" t="s">
        <v>162</v>
      </c>
      <c r="B5" s="9"/>
      <c r="C5" s="9"/>
      <c r="D5" s="9"/>
      <c r="E5" s="9"/>
      <c r="F5" s="9"/>
      <c r="G5" s="9"/>
      <c r="H5" s="9"/>
      <c r="I5" s="9"/>
      <c r="J5" s="9"/>
      <c r="K5" s="9"/>
      <c r="L5" s="9"/>
      <c r="M5" s="9"/>
      <c r="N5" s="18"/>
    </row>
    <row r="6" spans="1:18" ht="20.100000000000001" customHeight="1">
      <c r="A6" s="10" t="s">
        <v>163</v>
      </c>
      <c r="C6" s="10"/>
      <c r="D6" s="10"/>
      <c r="E6" s="10"/>
      <c r="F6" s="10"/>
      <c r="G6" s="10"/>
      <c r="H6" s="10"/>
      <c r="I6" s="10"/>
      <c r="J6" s="10"/>
      <c r="K6" s="10"/>
      <c r="L6" s="10"/>
      <c r="M6" s="10"/>
      <c r="N6" s="18"/>
    </row>
    <row r="7" spans="1:18" s="1" customFormat="1" ht="20.100000000000001" customHeight="1">
      <c r="A7" s="9" t="s">
        <v>164</v>
      </c>
      <c r="B7" s="9"/>
      <c r="C7" s="9"/>
      <c r="D7" s="9"/>
      <c r="E7" s="9"/>
      <c r="F7" s="9"/>
      <c r="G7" s="9"/>
      <c r="H7" s="9"/>
      <c r="I7" s="9"/>
      <c r="J7" s="9"/>
      <c r="K7" s="9"/>
      <c r="L7" s="9"/>
      <c r="M7" s="9"/>
      <c r="N7" s="18"/>
    </row>
    <row r="8" spans="1:18" s="1" customFormat="1" ht="20.100000000000001" customHeight="1">
      <c r="A8" s="11" t="s">
        <v>165</v>
      </c>
      <c r="B8" s="12" t="s">
        <v>166</v>
      </c>
      <c r="C8" s="13"/>
      <c r="D8" s="13"/>
      <c r="G8" s="11" t="s">
        <v>167</v>
      </c>
      <c r="H8" s="12" t="s">
        <v>168</v>
      </c>
      <c r="I8" s="13"/>
      <c r="J8" s="13"/>
      <c r="K8" s="13"/>
      <c r="L8" s="13"/>
      <c r="M8" s="13"/>
      <c r="N8" s="13"/>
      <c r="Q8" s="13"/>
      <c r="R8" s="13"/>
    </row>
    <row r="9" spans="1:18" s="1" customFormat="1" ht="20.100000000000001" customHeight="1">
      <c r="A9" s="11" t="s">
        <v>169</v>
      </c>
      <c r="B9" s="12" t="s">
        <v>170</v>
      </c>
      <c r="C9" s="13"/>
      <c r="D9" s="13"/>
      <c r="G9" s="11" t="s">
        <v>171</v>
      </c>
      <c r="H9" s="12"/>
      <c r="I9" s="12" t="s">
        <v>172</v>
      </c>
      <c r="J9" s="12" t="s">
        <v>173</v>
      </c>
      <c r="K9" s="12"/>
      <c r="L9" s="12"/>
      <c r="M9" s="12"/>
      <c r="N9" s="13"/>
      <c r="Q9" s="13"/>
      <c r="R9" s="13"/>
    </row>
    <row r="10" spans="1:18" s="1" customFormat="1" ht="20.100000000000001" customHeight="1">
      <c r="A10" s="11" t="s">
        <v>174</v>
      </c>
      <c r="B10" s="240" t="s">
        <v>257</v>
      </c>
      <c r="C10" s="13"/>
      <c r="D10" s="13"/>
      <c r="G10" s="11" t="s">
        <v>175</v>
      </c>
      <c r="H10" s="12" t="s">
        <v>176</v>
      </c>
      <c r="I10" s="13"/>
      <c r="J10" s="13"/>
      <c r="K10" s="13"/>
      <c r="L10" s="13"/>
      <c r="M10" s="13"/>
      <c r="N10" s="13"/>
      <c r="Q10" s="13"/>
      <c r="R10" s="13"/>
    </row>
    <row r="11" spans="1:18" ht="20.100000000000001" customHeight="1">
      <c r="A11" s="14" t="s">
        <v>177</v>
      </c>
      <c r="B11" s="15"/>
      <c r="C11" s="15"/>
      <c r="D11" s="15"/>
      <c r="E11" s="16"/>
      <c r="F11" s="17"/>
      <c r="G11" s="17"/>
      <c r="H11" s="18"/>
      <c r="I11" s="18"/>
      <c r="J11" s="18"/>
      <c r="K11" s="18"/>
      <c r="L11" s="18"/>
      <c r="M11" s="18"/>
      <c r="N11" s="18"/>
    </row>
    <row r="12" spans="1:18" s="3" customFormat="1" ht="20.100000000000001" customHeight="1">
      <c r="A12" s="151" t="s">
        <v>240</v>
      </c>
      <c r="B12" s="163"/>
      <c r="C12" s="164"/>
      <c r="D12" s="164"/>
      <c r="E12" s="163"/>
      <c r="F12" s="163"/>
      <c r="G12" s="165"/>
      <c r="H12" s="165"/>
      <c r="I12" s="165"/>
      <c r="J12" s="165"/>
      <c r="K12" s="165"/>
      <c r="L12" s="165"/>
      <c r="M12" s="165"/>
      <c r="N12" s="164"/>
      <c r="O12" s="166"/>
      <c r="P12" s="166"/>
      <c r="Q12" s="166"/>
    </row>
    <row r="13" spans="1:18" ht="20.100000000000001" customHeight="1">
      <c r="A13" s="228" t="s">
        <v>227</v>
      </c>
      <c r="B13" s="225"/>
      <c r="C13" s="225"/>
      <c r="D13" s="225"/>
      <c r="E13" s="225"/>
      <c r="F13" s="225"/>
      <c r="G13" s="225"/>
      <c r="H13" s="225"/>
      <c r="I13" s="229" t="s">
        <v>228</v>
      </c>
      <c r="J13" s="230" t="s">
        <v>229</v>
      </c>
      <c r="K13" s="230"/>
      <c r="L13" s="230"/>
      <c r="M13" s="230"/>
      <c r="N13" s="230"/>
      <c r="O13" s="223" t="s">
        <v>230</v>
      </c>
      <c r="P13" s="223" t="s">
        <v>231</v>
      </c>
      <c r="Q13" s="225" t="s">
        <v>232</v>
      </c>
    </row>
    <row r="14" spans="1:18" ht="20.100000000000001" customHeight="1">
      <c r="A14" s="154" t="s">
        <v>241</v>
      </c>
      <c r="B14" s="155" t="s">
        <v>233</v>
      </c>
      <c r="C14" s="155" t="s">
        <v>234</v>
      </c>
      <c r="D14" s="155" t="s">
        <v>235</v>
      </c>
      <c r="E14" s="155" t="s">
        <v>236</v>
      </c>
      <c r="F14" s="155" t="s">
        <v>237</v>
      </c>
      <c r="G14" s="156" t="s">
        <v>238</v>
      </c>
      <c r="H14" s="156" t="s">
        <v>239</v>
      </c>
      <c r="I14" s="224"/>
      <c r="J14" s="157">
        <v>1</v>
      </c>
      <c r="K14" s="157">
        <v>2</v>
      </c>
      <c r="L14" s="157">
        <v>3</v>
      </c>
      <c r="M14" s="157">
        <v>4</v>
      </c>
      <c r="N14" s="157">
        <v>5</v>
      </c>
      <c r="O14" s="224"/>
      <c r="P14" s="224"/>
      <c r="Q14" s="224"/>
    </row>
    <row r="15" spans="1:18" ht="20.100000000000001" customHeight="1">
      <c r="A15" s="158"/>
      <c r="B15" s="159"/>
      <c r="C15" s="160"/>
      <c r="D15" s="160"/>
      <c r="E15" s="159"/>
      <c r="F15" s="159"/>
      <c r="G15" s="161"/>
      <c r="H15" s="161"/>
      <c r="I15" s="161"/>
      <c r="J15" s="161"/>
      <c r="K15" s="161"/>
      <c r="L15" s="161"/>
      <c r="M15" s="161"/>
      <c r="N15" s="160"/>
      <c r="O15" s="162"/>
      <c r="P15" s="162"/>
      <c r="Q15" s="162"/>
    </row>
    <row r="16" spans="1:18" ht="20.100000000000001" customHeight="1">
      <c r="A16" s="158"/>
      <c r="B16" s="168"/>
      <c r="C16" s="169"/>
      <c r="D16" s="169"/>
      <c r="E16" s="168"/>
      <c r="F16" s="168"/>
      <c r="G16" s="170"/>
      <c r="H16" s="170"/>
      <c r="I16" s="170"/>
      <c r="J16" s="170"/>
      <c r="K16" s="170"/>
      <c r="L16" s="170"/>
      <c r="M16" s="170"/>
      <c r="N16" s="169"/>
      <c r="O16" s="171"/>
      <c r="P16" s="171"/>
      <c r="Q16" s="171"/>
    </row>
    <row r="17" spans="1:17" ht="20.100000000000001" customHeight="1">
      <c r="A17" s="158"/>
      <c r="B17" s="168"/>
      <c r="C17" s="169"/>
      <c r="D17" s="169"/>
      <c r="E17" s="168"/>
      <c r="F17" s="168"/>
      <c r="G17" s="170"/>
      <c r="H17" s="170"/>
      <c r="I17" s="170"/>
      <c r="J17" s="170"/>
      <c r="K17" s="170"/>
      <c r="L17" s="170"/>
      <c r="M17" s="170"/>
      <c r="N17" s="169"/>
      <c r="O17" s="171"/>
      <c r="P17" s="171"/>
      <c r="Q17" s="171"/>
    </row>
    <row r="18" spans="1:17" ht="20.100000000000001" customHeight="1">
      <c r="A18" s="158"/>
      <c r="B18" s="168"/>
      <c r="C18" s="169"/>
      <c r="D18" s="169"/>
      <c r="E18" s="168"/>
      <c r="F18" s="168"/>
      <c r="G18" s="170"/>
      <c r="H18" s="170"/>
      <c r="I18" s="170"/>
      <c r="J18" s="170"/>
      <c r="K18" s="170"/>
      <c r="L18" s="170"/>
      <c r="M18" s="170"/>
      <c r="N18" s="169"/>
      <c r="O18" s="171"/>
      <c r="P18" s="171"/>
      <c r="Q18" s="171"/>
    </row>
    <row r="19" spans="1:17" ht="20.100000000000001" customHeight="1">
      <c r="A19" s="158"/>
      <c r="B19" s="168"/>
      <c r="C19" s="169"/>
      <c r="D19" s="169"/>
      <c r="E19" s="168"/>
      <c r="F19" s="168"/>
      <c r="G19" s="170"/>
      <c r="H19" s="170"/>
      <c r="I19" s="170"/>
      <c r="J19" s="170"/>
      <c r="K19" s="170"/>
      <c r="L19" s="170"/>
      <c r="M19" s="170"/>
      <c r="N19" s="169"/>
      <c r="O19" s="171"/>
      <c r="P19" s="171"/>
      <c r="Q19" s="171"/>
    </row>
    <row r="20" spans="1:17" ht="20.100000000000001" customHeight="1">
      <c r="A20" s="158"/>
      <c r="B20" s="168"/>
      <c r="C20" s="169"/>
      <c r="D20" s="169"/>
      <c r="E20" s="168"/>
      <c r="F20" s="168"/>
      <c r="G20" s="170"/>
      <c r="H20" s="170"/>
      <c r="I20" s="170"/>
      <c r="J20" s="170"/>
      <c r="K20" s="170"/>
      <c r="L20" s="170"/>
      <c r="M20" s="170"/>
      <c r="N20" s="169"/>
      <c r="O20" s="171"/>
      <c r="P20" s="171"/>
      <c r="Q20" s="171"/>
    </row>
    <row r="21" spans="1:17" ht="20.100000000000001" customHeight="1">
      <c r="A21" s="158"/>
      <c r="B21" s="168"/>
      <c r="C21" s="169"/>
      <c r="D21" s="169"/>
      <c r="E21" s="168"/>
      <c r="F21" s="168"/>
      <c r="G21" s="170"/>
      <c r="H21" s="170"/>
      <c r="I21" s="170"/>
      <c r="J21" s="170"/>
      <c r="K21" s="170"/>
      <c r="L21" s="170"/>
      <c r="M21" s="170"/>
      <c r="N21" s="169"/>
      <c r="O21" s="171"/>
      <c r="P21" s="171"/>
      <c r="Q21" s="171"/>
    </row>
    <row r="22" spans="1:17" ht="20.100000000000001" customHeight="1">
      <c r="A22" s="158"/>
      <c r="B22" s="168"/>
      <c r="C22" s="169"/>
      <c r="D22" s="169"/>
      <c r="E22" s="168"/>
      <c r="F22" s="168"/>
      <c r="G22" s="170"/>
      <c r="H22" s="170"/>
      <c r="I22" s="170"/>
      <c r="J22" s="170"/>
      <c r="K22" s="170"/>
      <c r="L22" s="170"/>
      <c r="M22" s="170"/>
      <c r="N22" s="169"/>
      <c r="O22" s="171"/>
      <c r="P22" s="171"/>
      <c r="Q22" s="171"/>
    </row>
    <row r="23" spans="1:17" ht="20.100000000000001" customHeight="1">
      <c r="A23" s="158"/>
      <c r="B23" s="168"/>
      <c r="C23" s="169"/>
      <c r="D23" s="169"/>
      <c r="E23" s="168"/>
      <c r="F23" s="168"/>
      <c r="G23" s="170"/>
      <c r="H23" s="170"/>
      <c r="I23" s="170"/>
      <c r="J23" s="170"/>
      <c r="K23" s="170"/>
      <c r="L23" s="170"/>
      <c r="M23" s="170"/>
      <c r="N23" s="169"/>
      <c r="O23" s="171"/>
      <c r="P23" s="171"/>
      <c r="Q23" s="171"/>
    </row>
    <row r="24" spans="1:17" ht="20.100000000000001" customHeight="1">
      <c r="A24" s="158"/>
      <c r="B24" s="159"/>
      <c r="C24" s="160"/>
      <c r="D24" s="162"/>
      <c r="E24" s="160"/>
      <c r="F24" s="159"/>
      <c r="G24" s="161"/>
      <c r="H24" s="161"/>
      <c r="I24" s="161"/>
      <c r="J24" s="161"/>
      <c r="K24" s="161"/>
      <c r="L24" s="161"/>
      <c r="M24" s="161"/>
      <c r="N24" s="160"/>
      <c r="O24" s="162"/>
      <c r="P24" s="162"/>
      <c r="Q24" s="162"/>
    </row>
    <row r="25" spans="1:17" ht="20.100000000000001" customHeight="1">
      <c r="A25" s="158"/>
      <c r="B25" s="159"/>
      <c r="C25" s="160"/>
      <c r="D25" s="160"/>
      <c r="E25" s="159"/>
      <c r="F25" s="159"/>
      <c r="G25" s="161"/>
      <c r="H25" s="162"/>
      <c r="I25" s="161"/>
      <c r="J25" s="161"/>
      <c r="K25" s="161"/>
      <c r="L25" s="161"/>
      <c r="M25" s="161"/>
      <c r="N25" s="160"/>
      <c r="O25" s="162"/>
      <c r="P25" s="162"/>
      <c r="Q25" s="162"/>
    </row>
    <row r="26" spans="1:17" s="1" customFormat="1" ht="20.100000000000001" customHeight="1">
      <c r="A26" s="152" t="s">
        <v>178</v>
      </c>
      <c r="B26" s="153"/>
      <c r="C26" s="153"/>
      <c r="D26" s="153"/>
      <c r="E26" s="153"/>
      <c r="F26" s="153"/>
      <c r="G26" s="19"/>
      <c r="H26" s="20"/>
      <c r="I26" s="20"/>
      <c r="J26" s="20"/>
      <c r="K26" s="20"/>
      <c r="L26" s="20"/>
      <c r="M26" s="20"/>
      <c r="N26" s="20"/>
    </row>
    <row r="27" spans="1:17" s="1" customFormat="1" ht="20.100000000000001" customHeight="1">
      <c r="A27" s="5"/>
      <c r="B27" s="5"/>
      <c r="C27" s="5"/>
      <c r="D27" s="5"/>
      <c r="E27" s="5"/>
      <c r="F27" s="5"/>
      <c r="G27" s="21"/>
      <c r="H27" s="21"/>
      <c r="I27" s="13"/>
      <c r="J27" s="13"/>
      <c r="K27" s="13"/>
      <c r="L27" s="13"/>
      <c r="M27" s="13"/>
    </row>
    <row r="28" spans="1:17" s="1" customFormat="1" ht="20.100000000000001" customHeight="1">
      <c r="A28" s="22"/>
      <c r="B28" s="22"/>
      <c r="C28" s="22"/>
      <c r="D28" s="22"/>
      <c r="E28" s="22"/>
      <c r="F28" s="22"/>
      <c r="G28" s="21"/>
      <c r="H28" s="21"/>
      <c r="I28" s="23"/>
      <c r="J28" s="23"/>
      <c r="K28" s="23"/>
      <c r="L28" s="23"/>
      <c r="M28" s="23"/>
    </row>
    <row r="29" spans="1:17" ht="20.100000000000001" customHeight="1">
      <c r="A29" s="22" t="s">
        <v>179</v>
      </c>
      <c r="B29" s="5"/>
      <c r="C29" s="5"/>
      <c r="D29" s="5"/>
      <c r="E29" s="5"/>
      <c r="F29" s="5"/>
      <c r="G29" s="21"/>
      <c r="H29" s="23"/>
      <c r="I29" s="23"/>
      <c r="J29" s="23"/>
      <c r="K29" s="23"/>
      <c r="L29" s="23"/>
      <c r="M29" s="23"/>
      <c r="N29" s="24"/>
    </row>
    <row r="30" spans="1:17" ht="20.100000000000001" customHeight="1">
      <c r="A30" s="5"/>
      <c r="B30" s="5"/>
      <c r="C30" s="5"/>
      <c r="D30" s="5"/>
      <c r="E30" s="5"/>
      <c r="F30" s="5"/>
      <c r="G30" s="5"/>
      <c r="H30" s="5"/>
      <c r="I30" s="5"/>
      <c r="J30" s="5"/>
      <c r="K30" s="5"/>
      <c r="L30" s="5"/>
      <c r="M30" s="5"/>
      <c r="N30" s="6"/>
    </row>
    <row r="31" spans="1:17" ht="18" customHeight="1">
      <c r="A31" s="64" t="s">
        <v>72</v>
      </c>
      <c r="B31" s="64"/>
      <c r="C31" s="64"/>
      <c r="D31" s="64"/>
    </row>
    <row r="32" spans="1:17" ht="18" customHeight="1">
      <c r="A32" s="64" t="s">
        <v>97</v>
      </c>
      <c r="B32" s="64"/>
      <c r="C32" s="64"/>
      <c r="D32" s="64"/>
    </row>
    <row r="33" spans="1:4" ht="18" customHeight="1">
      <c r="A33" s="64" t="s">
        <v>201</v>
      </c>
      <c r="B33" s="64" t="s">
        <v>202</v>
      </c>
      <c r="C33" s="64"/>
      <c r="D33" s="64"/>
    </row>
    <row r="34" spans="1:4" ht="18" customHeight="1">
      <c r="A34" s="64" t="s">
        <v>203</v>
      </c>
      <c r="B34" s="64" t="s">
        <v>204</v>
      </c>
      <c r="C34" s="64"/>
      <c r="D34" s="64"/>
    </row>
    <row r="35" spans="1:4" ht="18" customHeight="1">
      <c r="A35" s="64" t="s">
        <v>205</v>
      </c>
      <c r="B35" s="64" t="s">
        <v>206</v>
      </c>
      <c r="C35" s="64"/>
      <c r="D35" s="64"/>
    </row>
  </sheetData>
  <mergeCells count="8">
    <mergeCell ref="P13:P14"/>
    <mergeCell ref="Q13:Q14"/>
    <mergeCell ref="A1:Q1"/>
    <mergeCell ref="A2:Q2"/>
    <mergeCell ref="A13:H13"/>
    <mergeCell ref="I13:I14"/>
    <mergeCell ref="J13:N13"/>
    <mergeCell ref="O13:O14"/>
  </mergeCells>
  <phoneticPr fontId="53" type="noConversion"/>
  <hyperlinks>
    <hyperlink ref="Q3" location="底稿目录!D10" display="I5-4"/>
  </hyperlinks>
  <printOptions horizontalCentered="1"/>
  <pageMargins left="0.59055118110236227" right="0.59055118110236227" top="0.78740157480314965" bottom="0.39370078740157483" header="0.51181102362204722" footer="0.31496062992125984"/>
  <pageSetup paperSize="9" scale="83" fitToHeight="5"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ColWidth="9" defaultRowHeight="14.4"/>
  <sheetData>
    <row r="1" spans="1:2">
      <c r="A1" t="s">
        <v>180</v>
      </c>
      <c r="B1" t="s">
        <v>181</v>
      </c>
    </row>
    <row r="2" spans="1:2">
      <c r="A2" t="s">
        <v>182</v>
      </c>
      <c r="B2" t="s">
        <v>183</v>
      </c>
    </row>
    <row r="3" spans="1:2">
      <c r="A3" t="s">
        <v>184</v>
      </c>
      <c r="B3" t="s">
        <v>185</v>
      </c>
    </row>
    <row r="4" spans="1:2">
      <c r="A4" t="s">
        <v>186</v>
      </c>
      <c r="B4" t="s">
        <v>187</v>
      </c>
    </row>
    <row r="5" spans="1:2">
      <c r="A5" t="s">
        <v>188</v>
      </c>
      <c r="B5" t="s">
        <v>189</v>
      </c>
    </row>
    <row r="6" spans="1:2">
      <c r="A6" t="s">
        <v>190</v>
      </c>
      <c r="B6" t="s">
        <v>191</v>
      </c>
    </row>
    <row r="7" spans="1:2">
      <c r="A7" t="s">
        <v>192</v>
      </c>
      <c r="B7" t="s">
        <v>193</v>
      </c>
    </row>
    <row r="8" spans="1:2">
      <c r="A8" t="s">
        <v>194</v>
      </c>
      <c r="B8" t="s">
        <v>195</v>
      </c>
    </row>
  </sheetData>
  <phoneticPr fontId="5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7</vt:i4>
      </vt:variant>
    </vt:vector>
  </HeadingPairs>
  <TitlesOfParts>
    <vt:vector size="16" baseType="lpstr">
      <vt:lpstr>底稿目录</vt:lpstr>
      <vt:lpstr>其他非流动资产实质性程序 I5A</vt:lpstr>
      <vt:lpstr>审定表I5-1</vt:lpstr>
      <vt:lpstr>附注披露（上市公司）</vt:lpstr>
      <vt:lpstr>附注披露（国有企业）</vt:lpstr>
      <vt:lpstr>明细表I5-2</vt:lpstr>
      <vt:lpstr>调整分录汇总I5-3</vt:lpstr>
      <vt:lpstr>针对性检查表I5-4</vt:lpstr>
      <vt:lpstr>GT_Custom</vt:lpstr>
      <vt:lpstr>'调整分录汇总I5-3'!Print_Area</vt:lpstr>
      <vt:lpstr>'附注披露（国有企业）'!Print_Area</vt:lpstr>
      <vt:lpstr>'附注披露（上市公司）'!Print_Area</vt:lpstr>
      <vt:lpstr>'明细表I5-2'!Print_Area</vt:lpstr>
      <vt:lpstr>'其他非流动资产实质性程序 I5A'!Print_Area</vt:lpstr>
      <vt:lpstr>'审定表I5-1'!Print_Area</vt:lpstr>
      <vt:lpstr>'针对性检查表I5-4'!Print_Area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cp:lastPrinted>2025-10-31T03:20:44Z</cp:lastPrinted>
  <dcterms:created xsi:type="dcterms:W3CDTF">2006-09-13T11:21:00Z</dcterms:created>
  <dcterms:modified xsi:type="dcterms:W3CDTF">2025-10-31T03:22:11Z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AD04463084A74ADCB4BFA38426557941_12</vt:lpwstr>
  </property>
  <property fmtid="{D5CDD505-2E9C-101B-9397-08002B2CF9AE}" pid="3" name="KSOProductBuildVer">
    <vt:lpwstr>2052-12.1.0.22529</vt:lpwstr>
  </property>
</Properties>
</file>