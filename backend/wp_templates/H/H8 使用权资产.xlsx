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0600" tabRatio="869" firstSheet="6" activeTab="10"/>
  </bookViews>
  <sheets>
    <sheet name="底稿目录" sheetId="1" r:id="rId1"/>
    <sheet name="使用权资产实质性程序表H8A" sheetId="2" r:id="rId2"/>
    <sheet name="审定表H8-1" sheetId="3" r:id="rId3"/>
    <sheet name="附注披露信息（上市公司）" sheetId="4" r:id="rId4"/>
    <sheet name="附注披露信息（国企）" sheetId="5" r:id="rId5"/>
    <sheet name="明细表H8-2" sheetId="6" r:id="rId6"/>
    <sheet name="调整分录汇总H8-3" sheetId="7" r:id="rId7"/>
    <sheet name="租赁的识别H8-4" sheetId="8" r:id="rId8"/>
    <sheet name="租赁期的确定H8-5" sheetId="9" r:id="rId9"/>
    <sheet name="使用权资产 租赁负债初始及后续计量（按年）H8-6" sheetId="10" r:id="rId10"/>
    <sheet name="使用权资产 租赁负债初始及后续计量（按月）H8-6" sheetId="11" r:id="rId11"/>
    <sheet name="租赁变更H8-7" sheetId="12" r:id="rId12"/>
    <sheet name="折旧测算表（不含减值）H8-8" sheetId="23" r:id="rId13"/>
    <sheet name="折旧测算表（含减值）H8-8" sheetId="24" r:id="rId14"/>
    <sheet name="折旧分配分析表H8-9" sheetId="15" r:id="rId15"/>
    <sheet name="减值测算表H8-10" sheetId="22" r:id="rId16"/>
    <sheet name="可收回金额测试表H8-11" sheetId="17" r:id="rId17"/>
    <sheet name="减少检查表H8-12" sheetId="18" r:id="rId18"/>
    <sheet name="简化处理的租赁检查表H8-13" sheetId="21" r:id="rId19"/>
    <sheet name="关联交易检查表H8-14" sheetId="20" r:id="rId20"/>
  </sheets>
  <externalReferences>
    <externalReference r:id="rId21"/>
    <externalReference r:id="rId22"/>
    <externalReference r:id="rId23"/>
  </externalReferences>
  <definedNames>
    <definedName name="_xlnm._FilterDatabase" localSheetId="10" hidden="1">'使用权资产 租赁负债初始及后续计量（按月）H8-6'!$A$21:$K$350</definedName>
    <definedName name="_xlnm.Print_Titles" localSheetId="1">使用权资产实质性程序表H8A!$15:$16</definedName>
    <definedName name="_xlnm.Print_Area" localSheetId="1">使用权资产实质性程序表H8A!$A$1:$I$31</definedName>
    <definedName name="_xlnm.Print_Area" localSheetId="2">'审定表H8-1'!$A$1:$I$47</definedName>
    <definedName name="_xlnm.Print_Area" localSheetId="3">'附注披露信息（上市公司）'!$A$1:$F$51</definedName>
    <definedName name="_xlnm.Print_Area" localSheetId="4">'附注披露信息（国企）'!$A$1:$E$32</definedName>
    <definedName name="_xlnm.Print_Titles" localSheetId="5">'明细表H8-2'!$A:$C</definedName>
    <definedName name="_xlnm.Print_Area" localSheetId="5">'明细表H8-2'!$A$1:$BF$43</definedName>
    <definedName name="_xlnm.Print_Area" localSheetId="6">'调整分录汇总H8-3'!$A$1:$J$23</definedName>
    <definedName name="_xlnm.Print_Area" localSheetId="7">'租赁的识别H8-4'!$A$1:$G$60</definedName>
    <definedName name="_xlnm.Print_Area" localSheetId="8">'租赁期的确定H8-5'!$A$1:$F$43</definedName>
    <definedName name="_xlnm.Print_Area" localSheetId="9">'使用权资产 租赁负债初始及后续计量（按年）H8-6'!$A$1:$K$57</definedName>
    <definedName name="_xlnm.Print_Titles" localSheetId="10">'使用权资产 租赁负债初始及后续计量（按月）H8-6'!$21:$21</definedName>
    <definedName name="_xlnm.Print_Area" localSheetId="10">'使用权资产 租赁负债初始及后续计量（按月）H8-6'!$A$1:$M$359</definedName>
    <definedName name="_xlnm.Print_Area" localSheetId="11">'租赁变更H8-7'!$A$1:$I$91</definedName>
    <definedName name="_xlnm.Print_Area" localSheetId="14">'折旧分配分析表H8-9'!$A$1:$J$19</definedName>
    <definedName name="_xlnm.Print_Area" localSheetId="16">'可收回金额测试表H8-11'!$A$1:$O$36</definedName>
    <definedName name="_xlnm.Print_Area" localSheetId="17">'减少检查表H8-12'!$A$1:$V$37</definedName>
    <definedName name="_xlnm.Print_Area" localSheetId="19">'关联交易检查表H8-14'!$A$1:$O$32</definedName>
    <definedName name="_xlnm.Print_Area" localSheetId="18">'简化处理的租赁检查表H8-13'!$A$1:$R$27</definedName>
    <definedName name="_xlnm.Print_Area" localSheetId="15">'减值测算表H8-10'!$A$1:$M$28</definedName>
    <definedName name="_xlnm.Print_Titles" localSheetId="12">'折旧测算表（不含减值）H8-8'!$7:$8</definedName>
    <definedName name="_xlnm.Print_Area" localSheetId="12">'折旧测算表（不含减值）H8-8'!$A$1:$R$22</definedName>
    <definedName name="_xlnm.Print_Area" localSheetId="13">'折旧测算表（含减值）H8-8'!$A$1:$X$27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何先琴</author>
  </authors>
  <commentList>
    <comment ref="B15" authorId="0">
      <text>
        <r>
          <rPr>
            <sz val="10"/>
            <rFont val="宋体"/>
            <charset val="134"/>
          </rPr>
          <t>专业技术部:
根据被审计单位实际情况和风险评估情况裁剪、修改或增加审计程序</t>
        </r>
      </text>
    </comment>
  </commentList>
</comments>
</file>

<file path=xl/comments2.xml><?xml version="1.0" encoding="utf-8"?>
<comments xmlns="http://schemas.openxmlformats.org/spreadsheetml/2006/main">
  <authors>
    <author>H8-6</author>
  </authors>
  <commentList>
    <comment ref="A21" authorId="0">
      <text>
        <r>
          <rPr>
            <sz val="10"/>
            <rFont val="宋体"/>
            <charset val="134"/>
          </rPr>
          <t>先判断租赁期，再填第22行C22/E22；H8-6将自动带入。若§2重新评估后租期变化，请同步改E22。</t>
        </r>
      </text>
    </comment>
    <comment ref="C22" authorId="0">
      <text>
        <r>
          <rPr>
            <sz val="10"/>
            <rFont val="宋体"/>
            <charset val="134"/>
          </rPr>
          <t>租赁期开始日。H8-6按年B9、按月C15默认引用本格。</t>
        </r>
      </text>
    </comment>
    <comment ref="E22" authorId="0">
      <text>
        <r>
          <rPr>
            <sz val="10"/>
            <rFont val="宋体"/>
            <charset val="134"/>
          </rPr>
          <t>含续租可能后的届满日。H8-6按月C16默认引用本格。</t>
        </r>
      </text>
    </comment>
    <comment ref="I22" authorId="0">
      <text>
        <r>
          <rPr>
            <sz val="10"/>
            <rFont val="宋体"/>
            <charset val="134"/>
          </rPr>
          <t>有效年数。H8-6按年L9默认引用。</t>
        </r>
      </text>
    </comment>
  </commentList>
</comments>
</file>

<file path=xl/comments3.xml><?xml version="1.0" encoding="utf-8"?>
<comments xmlns="http://schemas.openxmlformats.org/spreadsheetml/2006/main">
  <authors>
    <author>H8-6</author>
  </authors>
  <commentList>
    <comment ref="B9" authorId="0">
      <text>
        <r>
          <rPr>
            <sz val="10"/>
            <rFont val="宋体"/>
            <charset val="134"/>
          </rPr>
          <t>默认引用租赁期的确定H8-5!C22起租日；可覆盖。</t>
        </r>
      </text>
    </comment>
    <comment ref="E9" authorId="0">
      <text>
        <r>
          <rPr>
            <sz val="10"/>
            <rFont val="宋体"/>
            <charset val="134"/>
          </rPr>
          <t>租赁期（年，含续租）。改此单元格即可驱动整张按年表行数（经L9）。</t>
        </r>
      </text>
    </comment>
    <comment ref="G9" authorId="0">
      <text>
        <r>
          <rPr>
            <sz val="10"/>
            <rFont val="宋体"/>
            <charset val="134"/>
          </rPr>
          <t>增量借款利率；与H9折现率通常一致，除非改用内含利率。</t>
        </r>
      </text>
    </comment>
    <comment ref="H9" authorId="0">
      <text>
        <r>
          <rPr>
            <sz val="10"/>
            <rFont val="宋体"/>
            <charset val="134"/>
          </rPr>
          <t>默认=增量借款利率G9；若采用合同内含利率，可覆盖为具体数值。</t>
        </r>
      </text>
    </comment>
    <comment ref="I9" authorId="0">
      <text>
        <r>
          <rPr>
            <sz val="10"/>
            <rFont val="宋体"/>
            <charset val="134"/>
          </rPr>
          <t>摊销年限；折旧=入账/MIN(L9,I9)。</t>
        </r>
      </text>
    </comment>
    <comment ref="K9" authorId="0">
      <text>
        <r>
          <rPr>
            <sz val="10"/>
            <rFont val="宋体"/>
            <charset val="134"/>
          </rPr>
          <t>必填：每年租金（不含税）。</t>
        </r>
      </text>
    </comment>
    <comment ref="L9" authorId="0">
      <text>
        <r>
          <rPr>
            <sz val="10"/>
            <rFont val="宋体"/>
            <charset val="134"/>
          </rPr>
          <t>默认引用租赁期的确定H8-5!I22。也可覆盖为整数5/10/15；表2/表3按此动态启用（最多30年）。</t>
        </r>
      </text>
    </comment>
    <comment ref="M9" authorId="0">
      <text>
        <r>
          <rPr>
            <sz val="10"/>
            <rFont val="宋体"/>
            <charset val="134"/>
          </rPr>
          <t>初始直接费用（只进使用权资产，不进负债）。</t>
        </r>
      </text>
    </comment>
    <comment ref="N9" authorId="0">
      <text>
        <r>
          <rPr>
            <sz val="10"/>
            <rFont val="宋体"/>
            <charset val="134"/>
          </rPr>
          <t>随L9自动检查第L9年负债期末是否≈0</t>
        </r>
      </text>
    </comment>
    <comment ref="O9" authorId="0">
      <text>
        <r>
          <rPr>
            <sz val="10"/>
            <rFont val="宋体"/>
            <charset val="134"/>
          </rPr>
          <t>检查折旧期满年使用权资产净值是否≈0</t>
        </r>
      </text>
    </comment>
    <comment ref="P9" authorId="0">
      <text>
        <r>
          <rPr>
            <sz val="10"/>
            <rFont val="宋体"/>
            <charset val="134"/>
          </rPr>
          <t>检查计算区借方合计与贷方合计</t>
        </r>
      </text>
    </comment>
    <comment ref="Q9" authorId="0">
      <text>
        <r>
          <rPr>
            <sz val="10"/>
            <rFont val="宋体"/>
            <charset val="134"/>
          </rPr>
          <t>期初：首期折现期0进预付，利息=(期初−付款)×利率。期末：折现期1..n，利息=期初×利率，再减付款。</t>
        </r>
      </text>
    </comment>
    <comment ref="F13" authorId="0">
      <text>
        <r>
          <rPr>
            <sz val="10"/>
            <rFont val="宋体"/>
            <charset val="134"/>
          </rPr>
          <t>递延所得税示意引用表3第1年期末；起租日口径可改为F50×税率/I50×税率。</t>
        </r>
      </text>
    </comment>
  </commentList>
</comments>
</file>

<file path=xl/comments4.xml><?xml version="1.0" encoding="utf-8"?>
<comments xmlns="http://schemas.openxmlformats.org/spreadsheetml/2006/main">
  <authors>
    <author>H8-6</author>
  </authors>
  <commentList>
    <comment ref="C14" authorId="0">
      <text>
        <r>
          <rPr>
            <sz val="10"/>
            <rFont val="宋体"/>
            <charset val="134"/>
          </rPr>
          <t>录入使用权资产名称/合同标的，与H8-2、按年表A9对应。</t>
        </r>
      </text>
    </comment>
    <comment ref="C15" authorId="0">
      <text>
        <r>
          <rPr>
            <sz val="10"/>
            <rFont val="宋体"/>
            <charset val="134"/>
          </rPr>
          <t>默认引用租赁期的确定H8-5!C22。</t>
        </r>
      </text>
    </comment>
    <comment ref="N15" authorId="0">
      <text>
        <r>
          <rPr>
            <sz val="10"/>
            <rFont val="宋体"/>
            <charset val="134"/>
          </rPr>
          <t>检查第C18个月负债余额是否≈0</t>
        </r>
      </text>
    </comment>
    <comment ref="O15" authorId="0">
      <text>
        <r>
          <rPr>
            <sz val="10"/>
            <rFont val="宋体"/>
            <charset val="134"/>
          </rPr>
          <t>检查折旧合计是否约等于入账价值</t>
        </r>
      </text>
    </comment>
    <comment ref="P15" authorId="0">
      <text>
        <r>
          <rPr>
            <sz val="10"/>
            <rFont val="宋体"/>
            <charset val="134"/>
          </rPr>
          <t>检查本表J20是否与按年表L9一致</t>
        </r>
      </text>
    </comment>
    <comment ref="C16" authorId="0">
      <text>
        <r>
          <rPr>
            <sz val="10"/>
            <rFont val="宋体"/>
            <charset val="134"/>
          </rPr>
          <t>默认引用租赁期的确定H8-5!E22约满日；也可改回按J20推算。</t>
        </r>
      </text>
    </comment>
    <comment ref="C17" authorId="0">
      <text>
        <r>
          <rPr>
            <sz val="10"/>
            <rFont val="宋体"/>
            <charset val="134"/>
          </rPr>
          <t>年折现率；月利息=余额×C17/12。</t>
        </r>
      </text>
    </comment>
    <comment ref="C18" authorId="0">
      <text>
        <r>
          <rPr>
            <sz val="10"/>
            <rFont val="宋体"/>
            <charset val="134"/>
          </rPr>
          <t>租赁月数随C15/C16自动变。</t>
        </r>
      </text>
    </comment>
    <comment ref="C20" authorId="0">
      <text>
        <r>
          <rPr>
            <sz val="10"/>
            <rFont val="宋体"/>
            <charset val="134"/>
          </rPr>
          <t>每年支付的合同租金（不含税）。</t>
        </r>
      </text>
    </comment>
    <comment ref="E20" authorId="0">
      <text>
        <r>
          <rPr>
            <sz val="10"/>
            <rFont val="宋体"/>
            <charset val="134"/>
          </rPr>
          <t>支付月份(1-12)。起租当月记入H预付，不重复记C列。</t>
        </r>
      </text>
    </comment>
    <comment ref="G20" authorId="0">
      <text>
        <r>
          <rPr>
            <sz val="10"/>
            <rFont val="宋体"/>
            <charset val="134"/>
          </rPr>
          <t>初始直接费用，与预付一并进H22。</t>
        </r>
      </text>
    </comment>
    <comment ref="J20" authorId="0">
      <text>
        <r>
          <rPr>
            <sz val="10"/>
            <rFont val="宋体"/>
            <charset val="134"/>
          </rPr>
          <t>默认链接按年表L9（其本身默认来自H8-5!I22）。可覆盖为整数。</t>
        </r>
      </text>
    </comment>
    <comment ref="L20" authorId="0">
      <text>
        <r>
          <rPr>
            <sz val="10"/>
            <rFont val="宋体"/>
            <charset val="134"/>
          </rPr>
          <t>使用寿命月数，默认=J20×12。折旧分母=MIN(C18,L20)。可覆盖为更短寿命。</t>
        </r>
      </text>
    </comment>
    <comment ref="O20" authorId="0">
      <text>
        <r>
          <rPr>
            <sz val="10"/>
            <rFont val="宋体"/>
            <charset val="134"/>
          </rPr>
          <t>默认链接按年表Q9付款时点；可覆盖为期初/期末。</t>
        </r>
      </text>
    </comment>
    <comment ref="D22" authorId="0">
      <text>
        <r>
          <rPr>
            <sz val="10"/>
            <rFont val="宋体"/>
            <charset val="134"/>
          </rPr>
          <t>复原成本/终止罚款等计入负债的项目；初始直接费用请填H列而非本列。</t>
        </r>
      </text>
    </comment>
    <comment ref="E22" authorId="0">
      <text>
        <r>
          <rPr>
            <sz val="10"/>
            <rFont val="宋体"/>
            <charset val="134"/>
          </rPr>
          <t>折现用月利率r/12；与后续行一致。</t>
        </r>
      </text>
    </comment>
    <comment ref="F22" authorId="0">
      <text>
        <r>
          <rPr>
            <sz val="10"/>
            <rFont val="宋体"/>
            <charset val="134"/>
          </rPr>
          <t>首月利息=年利率/12×初始现值合计E349（开始日尚未扣减后续付款）。</t>
        </r>
      </text>
    </comment>
    <comment ref="G22" authorId="0">
      <text>
        <r>
          <rPr>
            <sz val="10"/>
            <rFont val="宋体"/>
            <charset val="134"/>
          </rPr>
          <t>首月负债余额=E349+首月利息；嗣后G=上期末−本月付款+本月利息。</t>
        </r>
      </text>
    </comment>
    <comment ref="H22" authorId="0">
      <text>
        <r>
          <rPr>
            <sz val="10"/>
            <rFont val="宋体"/>
            <charset val="134"/>
          </rPr>
          <t>期初含预付年租金；期末仅初始直接费用。</t>
        </r>
      </text>
    </comment>
    <comment ref="J22" authorId="0">
      <text>
        <r>
          <rPr>
            <sz val="10"/>
            <rFont val="宋体"/>
            <charset val="134"/>
          </rPr>
          <t>首月累计折旧起点为0；次月起I列计提后累加。</t>
        </r>
      </text>
    </comment>
    <comment ref="K22" authorId="0">
      <text>
        <r>
          <rPr>
            <sz val="10"/>
            <rFont val="宋体"/>
            <charset val="134"/>
          </rPr>
          <t>使用权资产净值首月=E349+H349−当月折旧；汇总区E15引用。</t>
        </r>
      </text>
    </comment>
    <comment ref="F23" authorId="0">
      <text>
        <r>
          <rPr>
            <sz val="10"/>
            <rFont val="宋体"/>
            <charset val="134"/>
          </rPr>
          <t>租期外利息为0；期内=上月末负债余额×月利率。</t>
        </r>
      </text>
    </comment>
    <comment ref="I23" authorId="0">
      <text>
        <r>
          <rPr>
            <sz val="10"/>
            <rFont val="宋体"/>
            <charset val="134"/>
          </rPr>
          <t>次月起折旧；分母=MAX(MIN(C18,L20)-1,1) 以便折尽；过约满日或超折旧月数则停止。</t>
        </r>
      </text>
    </comment>
    <comment ref="C34" authorId="0">
      <text>
        <r>
          <rPr>
            <sz val="10"/>
            <rFont val="宋体"/>
            <charset val="134"/>
          </rPr>
          <t>已改为公式：由C20年租金+E20支付月份+$C$15/$C$16租期自动生成，勿再手工填死。</t>
        </r>
      </text>
    </comment>
    <comment ref="E349" authorId="0">
      <text>
        <r>
          <rPr>
            <sz val="10"/>
            <rFont val="宋体"/>
            <charset val="134"/>
          </rPr>
          <t>各期租赁付款额现值合计→初始负债主要部分；汇总区F16引用。</t>
        </r>
      </text>
    </comment>
    <comment ref="H349" authorId="0">
      <text>
        <r>
          <rPr>
            <sz val="10"/>
            <rFont val="宋体"/>
            <charset val="134"/>
          </rPr>
          <t>开始日或之前支付的租金/复原等成本调整合计→使用权资产加项。</t>
        </r>
      </text>
    </comment>
  </commentList>
</comments>
</file>

<file path=xl/comments5.xml><?xml version="1.0" encoding="utf-8"?>
<comments xmlns="http://schemas.openxmlformats.org/spreadsheetml/2006/main">
  <authors>
    <author>Windows 用户</author>
  </authors>
  <commentList>
    <comment ref="G27" authorId="0">
      <text>
        <r>
          <rPr>
            <sz val="10"/>
            <rFont val="宋体"/>
            <charset val="134"/>
          </rPr>
          <t>技术部:
在租赁期开始日或之前支付的租赁付款额</t>
        </r>
      </text>
    </comment>
    <comment ref="G62" authorId="0">
      <text>
        <r>
          <rPr>
            <sz val="10"/>
            <rFont val="宋体"/>
            <charset val="134"/>
          </rPr>
          <t>技术部:
在租赁期开始日或之前支付的租赁付款额</t>
        </r>
      </text>
    </comment>
  </commentList>
</comments>
</file>

<file path=xl/comments6.xml><?xml version="1.0" encoding="utf-8"?>
<comments xmlns="http://schemas.openxmlformats.org/spreadsheetml/2006/main">
  <authors>
    <author>H8-8</author>
  </authors>
  <commentList>
    <comment ref="D8" authorId="0">
      <text>
        <r>
          <rPr>
            <sz val="10"/>
            <rFont val="宋体"/>
            <charset val="134"/>
          </rPr>
          <t>取自H8-2原值/入账值</t>
        </r>
      </text>
    </comment>
    <comment ref="E8" authorId="0">
      <text>
        <r>
          <rPr>
            <sz val="10"/>
            <rFont val="宋体"/>
            <charset val="134"/>
          </rPr>
          <t>账面累计折旧期末，与H8-2勾稽</t>
        </r>
      </text>
    </comment>
    <comment ref="N8" authorId="0">
      <text>
        <r>
          <rPr>
            <sz val="10"/>
            <rFont val="宋体"/>
            <charset val="134"/>
          </rPr>
          <t>测算月折旧=原值×(1−残值率)/使用月限</t>
        </r>
      </text>
    </comment>
    <comment ref="O8" authorId="0">
      <text>
        <r>
          <rPr>
            <sz val="10"/>
            <rFont val="宋体"/>
            <charset val="134"/>
          </rPr>
          <t>应与H8-1累计折旧本期计提、H8-9分配合计勾稽</t>
        </r>
      </text>
    </comment>
  </commentList>
</comments>
</file>

<file path=xl/comments7.xml><?xml version="1.0" encoding="utf-8"?>
<comments xmlns="http://schemas.openxmlformats.org/spreadsheetml/2006/main">
  <authors>
    <author>H8-8</author>
  </authors>
  <commentList>
    <comment ref="F8" authorId="0">
      <text>
        <r>
          <rPr>
            <sz val="10"/>
            <rFont val="宋体"/>
            <charset val="134"/>
          </rPr>
          <t>取自H8-2减值准备/或H8-10⑦已计提</t>
        </r>
      </text>
    </comment>
    <comment ref="T8" authorId="0">
      <text>
        <r>
          <rPr>
            <sz val="10"/>
            <rFont val="宋体"/>
            <charset val="134"/>
          </rPr>
          <t>减值后月折旧=(可折旧额−减值时累计−减值)/剩余月数</t>
        </r>
      </text>
    </comment>
    <comment ref="U8" authorId="0">
      <text>
        <r>
          <rPr>
            <sz val="10"/>
            <rFont val="宋体"/>
            <charset val="134"/>
          </rPr>
          <t>本期=减值前月数×R+减值后月数×T；勾稽H8-1/H8-9</t>
        </r>
      </text>
    </comment>
  </commentList>
</comments>
</file>

<file path=xl/comments8.xml><?xml version="1.0" encoding="utf-8"?>
<comments xmlns="http://schemas.openxmlformats.org/spreadsheetml/2006/main">
  <authors>
    <author>H8-10</author>
  </authors>
  <commentList>
    <comment ref="D7" authorId="0">
      <text>
        <r>
          <rPr>
            <sz val="10"/>
            <rFont val="宋体"/>
            <charset val="134"/>
          </rPr>
          <t>口径：原值−累计折旧，不含减值准备。可与明细表H8-2/审定表H8-1原值、累计折旧勾稽；勿直接填审定净值（净值已扣减值）。</t>
        </r>
      </text>
    </comment>
    <comment ref="J7" authorId="0">
      <text>
        <r>
          <rPr>
            <sz val="10"/>
            <rFont val="宋体"/>
            <charset val="134"/>
          </rPr>
          <t>CAS8：资产减值损失一经确认，在以后会计期间不得转回。若⑦＞⑥，差额记入⑨「多提待查」，查明是否处置结转遗漏等，禁止做转回分录。</t>
        </r>
      </text>
    </comment>
    <comment ref="E8" authorId="0">
      <text>
        <r>
          <rPr>
            <sz val="10"/>
            <rFont val="宋体"/>
            <charset val="134"/>
          </rPr>
          <t>取自可收回金额测试表H8-11「公允价值−处置费用」；无活跃市场时可留空，以④为准。</t>
        </r>
      </text>
    </comment>
    <comment ref="F8" authorId="0">
      <text>
        <r>
          <rPr>
            <sz val="10"/>
            <rFont val="宋体"/>
            <charset val="134"/>
          </rPr>
          <t>取自H8-11 DCF现值；无减值迹象（B=×）时勿填，公式将强制⑤⑥⑧=0。</t>
        </r>
      </text>
    </comment>
  </commentList>
</comments>
</file>

<file path=xl/comments9.xml><?xml version="1.0" encoding="utf-8"?>
<comments xmlns="http://schemas.openxmlformats.org/spreadsheetml/2006/main">
  <authors>
    <author>H8-13</author>
  </authors>
  <commentList>
    <comment ref="D9" authorId="0">
      <text>
        <r>
          <rPr>
            <sz val="10"/>
            <rFont val="宋体"/>
            <charset val="134"/>
          </rPr>
          <t>租赁合同编号，便于与合同台账、费用明细勾稽。</t>
        </r>
      </text>
    </comment>
    <comment ref="G9" authorId="0">
      <text>
        <r>
          <rPr>
            <sz val="10"/>
            <rFont val="宋体"/>
            <charset val="134"/>
          </rPr>
          <t>优先按起止日自动推算；也可手工填入。含续租选择权时按准则确定的租赁期填列。≤12 且无购买选择权 → 可归短期。</t>
        </r>
      </text>
    </comment>
    <comment ref="H9" authorId="0">
      <text>
        <r>
          <rPr>
            <sz val="10"/>
            <rFont val="宋体"/>
            <charset val="134"/>
          </rPr>
          <t>标的资产全新状态下的价值（绝对金额，实务阈值 40,000 元），与承租人规模无关。</t>
        </r>
      </text>
    </comment>
    <comment ref="I9" authorId="0">
      <text>
        <r>
          <rPr>
            <sz val="10"/>
            <rFont val="宋体"/>
            <charset val="134"/>
          </rPr>
          <t>自动判断：短期 / 低价值 / 短期+低价值 / 不符合。不符合者应确认使用权资产。</t>
        </r>
      </text>
    </comment>
    <comment ref="K9" authorId="0">
      <text>
        <r>
          <rPr>
            <sz val="10"/>
            <rFont val="宋体"/>
            <charset val="134"/>
          </rPr>
          <t>本期财务报告期间应计提租金的月份数（含不足整月的按实际政策折算）。</t>
        </r>
      </text>
    </comment>
    <comment ref="L9" authorId="0">
      <text>
        <r>
          <rPr>
            <sz val="10"/>
            <rFont val="宋体"/>
            <charset val="134"/>
          </rPr>
          <t>直线法：本期应计租金 = 月租金 × 本期应计月数。有免租期/递进租金时按系统合理方法调整后填月租金或月数。</t>
        </r>
      </text>
    </comment>
    <comment ref="N9" authorId="0">
      <text>
        <r>
          <rPr>
            <sz val="10"/>
            <rFont val="宋体"/>
            <charset val="134"/>
          </rPr>
          <t>差异 = 本期应计租金 − 账面本期租金。重大差异须追查。</t>
        </r>
      </text>
    </comment>
    <comment ref="O9" authorId="0">
      <text>
        <r>
          <rPr>
            <sz val="10"/>
            <rFont val="宋体"/>
            <charset val="134"/>
          </rPr>
          <t>是否与管理费用/制造费用/研发支出等相关科目勾稽一致。</t>
        </r>
      </text>
    </comment>
    <comment ref="Q9" authorId="0">
      <text>
        <r>
          <rPr>
            <sz val="10"/>
            <rFont val="宋体"/>
            <charset val="134"/>
          </rPr>
          <t>符合简化条件 / 不符合应确认ROU / 待核实</t>
        </r>
      </text>
    </comment>
  </commentList>
</comments>
</file>

<file path=xl/sharedStrings.xml><?xml version="1.0" encoding="utf-8"?>
<sst xmlns="http://schemas.openxmlformats.org/spreadsheetml/2006/main" count="1347" uniqueCount="753">
  <si>
    <t>底稿开列时，可先在以下单元格填写有关内容，以便其他底稿引用有关数据：</t>
  </si>
  <si>
    <t>被审计单位：</t>
  </si>
  <si>
    <t>截止日：202X年12月31日</t>
  </si>
  <si>
    <t>序号</t>
  </si>
  <si>
    <t>内容</t>
  </si>
  <si>
    <t>索引号</t>
  </si>
  <si>
    <t>备注</t>
  </si>
  <si>
    <t>编制人：</t>
  </si>
  <si>
    <t>使用权资产实质性程序表</t>
  </si>
  <si>
    <t>H8A</t>
  </si>
  <si>
    <t>复核人：</t>
  </si>
  <si>
    <t>审定表</t>
  </si>
  <si>
    <t>H8-1</t>
  </si>
  <si>
    <t>编制日期：</t>
  </si>
  <si>
    <t>附注披露信息（上市公司）</t>
  </si>
  <si>
    <t>无需打印</t>
  </si>
  <si>
    <t>复核日期：</t>
  </si>
  <si>
    <t>附注披露信息（国企）</t>
  </si>
  <si>
    <t>使用权资产类别设置（以下内容请根据实际情况修改）：</t>
  </si>
  <si>
    <t>明细表</t>
  </si>
  <si>
    <t>H8-2</t>
  </si>
  <si>
    <t>房屋及建筑物</t>
  </si>
  <si>
    <t>调整分录汇总</t>
  </si>
  <si>
    <t>H8-3</t>
  </si>
  <si>
    <t>机器设备</t>
  </si>
  <si>
    <t>租赁的识别</t>
  </si>
  <si>
    <t>H8-4</t>
  </si>
  <si>
    <t>运输设备</t>
  </si>
  <si>
    <t>租赁期的确定</t>
  </si>
  <si>
    <t>H8-5</t>
  </si>
  <si>
    <t>办公设备</t>
  </si>
  <si>
    <t>使用权资产 租赁负债初始及后续计量（按年）</t>
  </si>
  <si>
    <t>H8-6</t>
  </si>
  <si>
    <t>选择使用</t>
  </si>
  <si>
    <t>其他设备</t>
  </si>
  <si>
    <t>使用权资产 租赁负债初始及后续计量（按月）</t>
  </si>
  <si>
    <t>……</t>
  </si>
  <si>
    <t>租赁变更</t>
  </si>
  <si>
    <t>H8-7</t>
  </si>
  <si>
    <t>折旧测算表（不含减值）</t>
  </si>
  <si>
    <t>H8-8</t>
  </si>
  <si>
    <t>关于工作底稿与审计程序索引号对应的说明</t>
  </si>
  <si>
    <t>折旧测算表（含减值）</t>
  </si>
  <si>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</si>
  <si>
    <t>折旧分配分析表</t>
  </si>
  <si>
    <t>H8-9</t>
  </si>
  <si>
    <t>减值测算表</t>
  </si>
  <si>
    <t>H8-10</t>
  </si>
  <si>
    <t>可收回金额测试表</t>
  </si>
  <si>
    <t>H8-11</t>
  </si>
  <si>
    <t>减少检查表</t>
  </si>
  <si>
    <t>H8-12</t>
  </si>
  <si>
    <t>2.获取的支持性证据应与审计底稿或程序对应。审计项目组在完成底稿时获取的支持性证据应根据底稿索引号编制下一级按自然顺序排序的索引号（如D1-2-1、D1-2-2、……），并在底稿中说明引用的支持性证据、关联索引号。</t>
  </si>
  <si>
    <t>简化处理的租赁检查表</t>
  </si>
  <si>
    <t>H8-13</t>
  </si>
  <si>
    <t>关联交易检查表</t>
  </si>
  <si>
    <t>H8-14</t>
  </si>
  <si>
    <t>3.工作底稿索引号的编码规则：实质性程序索引号按循环从“D”到“N”,循环内账户以顺序号排列，模板中底稿索引号按账户顺序+自然数顺序（即模板中索引号按二级自然顺序排列，如D1-1、D1-2、D1-3、……D1-N）。</t>
  </si>
  <si>
    <t>致同会计师事务所</t>
  </si>
  <si>
    <t>索引号：</t>
  </si>
  <si>
    <t>页  次：</t>
  </si>
  <si>
    <t>一、本账户涉及的科目</t>
  </si>
  <si>
    <t>使用权资产、累计折旧、减值准备</t>
  </si>
  <si>
    <t>二、审计目标与认定的对应关系</t>
  </si>
  <si>
    <t>审计目标</t>
  </si>
  <si>
    <t>财务报表的认定　</t>
  </si>
  <si>
    <t>A. 资产负债表中记录的使用权资产是存在的，且已记录于恰当的账户</t>
  </si>
  <si>
    <t>存在</t>
  </si>
  <si>
    <t>B. 所有应记录的使用权资产均已记录，所有应当包括在财务报表中的相关披露均已包括</t>
  </si>
  <si>
    <t>完整性</t>
  </si>
  <si>
    <t>C. 记录的使用权资产由被审计单位拥有或控制；</t>
  </si>
  <si>
    <t>权利和义务</t>
  </si>
  <si>
    <t xml:space="preserve">D. 使用权资产以恰当的金额包括在财务报表中，与之相关的计价或分摊调整已恰当记录，相关披露已得到恰当计量和描述 </t>
  </si>
  <si>
    <t>准确性、计价和分摊</t>
  </si>
  <si>
    <t>E. 使用权资产已被恰当地汇总或分解且表述清楚，相关披露在按照企业会计准则的编制基础下是相关的、可理解的</t>
  </si>
  <si>
    <t>列报</t>
  </si>
  <si>
    <t>三、计划实施的实质性程序</t>
  </si>
  <si>
    <t>审计程序</t>
  </si>
  <si>
    <t>程序分类</t>
  </si>
  <si>
    <t>财务报表的认定</t>
  </si>
  <si>
    <t>底稿索引号</t>
  </si>
  <si>
    <t>权利和
义务</t>
  </si>
  <si>
    <t>根据被审计单位实际情况和风险评估情况裁剪、修改或增加审计程序</t>
  </si>
  <si>
    <t>1</t>
  </si>
  <si>
    <t xml:space="preserve">获取或编制使用权资产的明细表，完成以下工作，并编制审定表
（1）复核加计是否正确，并与总账数和明细账合计数核对是否相符，期初余额与上期审定期末余额是否相符；
（2）分析使用权资产与上期变动情况；
（3）询问闲置资产或未入账资产处置情况（如有）。 </t>
  </si>
  <si>
    <t>常规★</t>
  </si>
  <si>
    <t>√</t>
  </si>
  <si>
    <t>H8-1
/H8-2</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</si>
  <si>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</si>
  <si>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</si>
  <si>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
/</t>
  </si>
  <si>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</si>
  <si>
    <t>3</t>
  </si>
  <si>
    <t>对期初余额的审计，取得上期使用权资产明细表复核加计是否正确，与总账、明细账合计数是否相符； 重新测算期初累计折旧余额准确性；对单项金额重大资产，进行实地查看资产或检查支持性文件，其他必要追加的审计程序。（适用于首次承接）</t>
  </si>
  <si>
    <t>备选</t>
  </si>
  <si>
    <t>由被审计单位生成的信息不包括：
• 总分类账或明细分类账、试算平衡表、或经审计的财务报表；
• 第三方（除了服务机构）的报表或报告，例如，原始银行对账单，或函证的回函；
• 外部数据（例如，第三方发布的数据，如，定价来源）。</t>
  </si>
  <si>
    <t>4</t>
  </si>
  <si>
    <t>关注会计政策、会计估计合理性、一贯性，关注其是否利用会计政策和会计估计及其变更操纵利润。</t>
  </si>
  <si>
    <t>5</t>
  </si>
  <si>
    <t>检查相关合同的主要条款，询问被审计单位将该合同识别为租赁或者包含租赁的理由，检查租赁的识别和租赁期的确定是否符合企业会计准则的规定</t>
  </si>
  <si>
    <t>H8-4
/H8-5</t>
  </si>
  <si>
    <t>6</t>
  </si>
  <si>
    <t>检查使用权资产、租赁负债的初始计量和后续计量：
（1）获取相关租赁合同/协议，检查初始直接费用、或有租金确认、折现率是否合理，使用权资产和租赁负债的入账价值是否正确和会计处理是否正确。
（2）当存在续租选择权、购买选择权和终止租赁选择权时，了解被审计单位对是否行使相关权利做出的判断，检查其判断依据是否充分，并评估对使用权资产、租赁负债入账价值的影响；
（3）按实际利率法重新计算未确认融资费用摊销、租赁负债余额，计算使用权资产余额，与被审计单位账面记录核对是否一致；
（4）重估或租赁变更等原因导致租赁付款额发生变动时，重新计量租赁负债账面价值会计处理是否正确；</t>
  </si>
  <si>
    <t>H8-6
/H8-7</t>
  </si>
  <si>
    <t>7</t>
  </si>
  <si>
    <t>检查累计折旧，考虑执行以下程序：
（1）获取或编制使用权资产累计折旧明细表，复核加计是否正确，并与总账数和明细账合计数核对是否相符
（2）检查折旧年限的确定是否恰当；续租选择权、购买选择权和终止租赁选择权对租赁期的影响是否已充分考虑，是否根据租赁的具体情况，已合理选择租赁期或者租赁资产预计剩余使用寿命作为折旧年限
（3）重新计算本期折旧金额是否正确，与相关科目核对是否相符。当存在减值时，是否按照扣除减值损失之后的使用权资产账面价值进行后续折旧
（4）检查折旧分配到成本、费用的情况，关注分配是否合理，与上期分配方法是否一致。</t>
  </si>
  <si>
    <t>H8-8
/H8-9</t>
  </si>
  <si>
    <t>8</t>
  </si>
  <si>
    <t>监盘使用权资产：
（1）取得使用权资产存放地点清单等，初步确定监盘方式、时间、监盘计划；
（2）获取被审计单位对于使用权资产的盘点计划，制定和实施监盘计划（如有）；
（3）取得使用权资产地点清单，初步确定监盘方式、时间、监盘计划；
（4）观察被审计单位制定的盘点程序的执行情况
（5）抽取使用权资产盘点，并检查使用权资产的状态（正常、空置、出租等）；
（6）评价使用权资产盘点结果，完成监盘小结。</t>
  </si>
  <si>
    <t>具体盘点底稿参考固定资产</t>
  </si>
  <si>
    <t>9</t>
  </si>
  <si>
    <t>结合使用权资产清单及资产的实际使用情况，了解使用权资产的状态。针对存在减值迹象的使用权资产，考虑执行下列程序：
获取被审计单位在资产负债表日就使用权资产是否可能发生减值迹象的判断的说明，判断其合理性。对于已计提减值准备的使用权资产，检查减值测试相关参数是否合理，减值准备计提是否正确。如存在管理层聘请评估专家出具的评估报告，复核评估报告。</t>
  </si>
  <si>
    <t>H8-10
/H8-11</t>
  </si>
  <si>
    <t>10</t>
  </si>
  <si>
    <t>检查本期使用权资产的减少：
（1）对于因不再使用租赁资产导致的减少，检查使用权资产减少是否与租赁合同/协议约定的租赁结束日一致，租赁资产移交手续是否齐全，会计处理是否正确；
（2）对于因转租使用权资产形成融资租赁导致的减少，获取转租合同，检查转租手续是否齐全，判断其会计处理是否正确。</t>
  </si>
  <si>
    <t>11</t>
  </si>
  <si>
    <t>当存在将短期租赁和低价值资产租赁进行简化处理情形时，对本期直接计入当期损益的短期租赁费用和低价值资产租赁费用进行复核；</t>
  </si>
  <si>
    <t>12</t>
  </si>
  <si>
    <t>检查关联交易情况，检查关联交易的真实性、合理性及合规性；检查关联交易会计处理是否正确，考虑是否存在未识别的关联方，检查关联交易和余额披露是否正确。</t>
  </si>
  <si>
    <t>13</t>
  </si>
  <si>
    <t xml:space="preserve">必要时函证租赁资产、租赁期、应付和已付租金、租赁条款等信息。 </t>
  </si>
  <si>
    <t>IPO/上市/新三板/重组/舞弊应对</t>
  </si>
  <si>
    <t>H0</t>
  </si>
  <si>
    <t>14</t>
  </si>
  <si>
    <t>根据评估的舞弊风险等因素增加的审计程序。</t>
  </si>
  <si>
    <t>15</t>
  </si>
  <si>
    <t>检查使用权资产是否已按企业会计准则或其他适用的规定在财务报表中做出恰当列报和披露</t>
  </si>
  <si>
    <t>A 1-1/A1-15 /A1-16</t>
  </si>
  <si>
    <t>使用权资产、累计折旧及减值准备审定表</t>
  </si>
  <si>
    <t>项目</t>
  </si>
  <si>
    <t>期初数</t>
  </si>
  <si>
    <t>期末数</t>
  </si>
  <si>
    <t>本期审定数与上期
审定数的比较</t>
  </si>
  <si>
    <t>未审数</t>
  </si>
  <si>
    <t>账项调整</t>
  </si>
  <si>
    <t>审定数</t>
  </si>
  <si>
    <t>变动额</t>
  </si>
  <si>
    <t>变动率</t>
  </si>
  <si>
    <t>一、使用权资产原值</t>
  </si>
  <si>
    <t>合计</t>
  </si>
  <si>
    <t>二、累计折旧</t>
  </si>
  <si>
    <t>三、减值准备</t>
  </si>
  <si>
    <t>四、净值</t>
  </si>
  <si>
    <t>试算平衡表数</t>
  </si>
  <si>
    <t>差异</t>
  </si>
  <si>
    <t>1、审计说明：</t>
  </si>
  <si>
    <t>（1）使用权资产期末净值较期初净值增加（负数为减少）：</t>
  </si>
  <si>
    <t>主要原因（比例超过30%的）：</t>
  </si>
  <si>
    <t>（2）采用简化处理方法的情况说明：（短期租赁、低价值资产和未纳入租赁负债计量的可变租赁付款额当期计入费用的情况）</t>
  </si>
  <si>
    <t>（3）转租情况说明：（转租使用权资产取得的收入）</t>
  </si>
  <si>
    <t>2、审计结论：</t>
  </si>
  <si>
    <t>附注披露表（上市公司）</t>
  </si>
  <si>
    <t>项  目</t>
  </si>
  <si>
    <t>合  计</t>
  </si>
  <si>
    <t>返回目录</t>
  </si>
  <si>
    <t>一、账面原值：</t>
  </si>
  <si>
    <t xml:space="preserve">    1.期初余额</t>
  </si>
  <si>
    <t xml:space="preserve">    2.本期增加金额</t>
  </si>
  <si>
    <t xml:space="preserve">    （1）租入</t>
  </si>
  <si>
    <t xml:space="preserve">    （2）租赁负债调整</t>
  </si>
  <si>
    <t xml:space="preserve">    ……</t>
  </si>
  <si>
    <t xml:space="preserve">    3.本期减少金额</t>
  </si>
  <si>
    <t xml:space="preserve">    （1）转租赁为融资租赁</t>
  </si>
  <si>
    <t xml:space="preserve">    （2）转让或持有待售</t>
  </si>
  <si>
    <t xml:space="preserve">    （3）其他减少</t>
  </si>
  <si>
    <t xml:space="preserve">    4. 期末余额</t>
  </si>
  <si>
    <t xml:space="preserve">    （1）计提</t>
  </si>
  <si>
    <t xml:space="preserve">    （2）其他增加</t>
  </si>
  <si>
    <t>四、账面价值</t>
  </si>
  <si>
    <t xml:space="preserve">    1. 期末账面价值</t>
  </si>
  <si>
    <t xml:space="preserve">    2. 期初账面价值</t>
  </si>
  <si>
    <t>本公司确认与短期租赁和低价值资产租赁相关的租赁费用见附注五、82。</t>
  </si>
  <si>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15号文第十九条（十九）</t>
  </si>
  <si>
    <t>注意：1、本年执行减值测试的，即使未计提减值，也要参照上述要求披露。2、估计可收回金额时通常不应使用重置成本法。】</t>
  </si>
  <si>
    <t>附注披露信息（国有企业）</t>
  </si>
  <si>
    <t>期初余额</t>
  </si>
  <si>
    <t>本期增加</t>
  </si>
  <si>
    <t>本期减少</t>
  </si>
  <si>
    <t>期末余额</t>
  </si>
  <si>
    <t>一、账面原值合计</t>
  </si>
  <si>
    <t>XX</t>
  </si>
  <si>
    <t>其中：土地</t>
  </si>
  <si>
    <t xml:space="preserve">      房屋、建筑物</t>
  </si>
  <si>
    <t xml:space="preserve">      机器、运输、办公设备</t>
  </si>
  <si>
    <t xml:space="preserve">      其他</t>
  </si>
  <si>
    <t>二、累计折旧合计</t>
  </si>
  <si>
    <t>三、使用权资产账面净值合计</t>
  </si>
  <si>
    <t>——</t>
  </si>
  <si>
    <t>四、减值准备合计</t>
  </si>
  <si>
    <t>五、使用权资产账面价值合计</t>
  </si>
  <si>
    <t>使用权资产、累计折旧及减值准备明细表</t>
  </si>
  <si>
    <t>一、审计目标：</t>
  </si>
  <si>
    <t>1. 资产负债表中记录的使用权资产是存在的，且已记录于恰当的账户；2. 所有应记录的使用权资产均已记录，所有应当包括在财务报表中的相关披露均已包括；3.使用权资产以恰当的金额包括在财务报表中，与之相关的计价或分摊调整已恰当记录，相关披露已得到恰当计量和描述。</t>
  </si>
  <si>
    <t>二、审计过程：</t>
  </si>
  <si>
    <t>使用权资产类别</t>
  </si>
  <si>
    <t>使用权资产名称</t>
  </si>
  <si>
    <t>使用权资产编号</t>
  </si>
  <si>
    <t>使用权资产原值</t>
  </si>
  <si>
    <t>累计折旧</t>
  </si>
  <si>
    <t>减值准备</t>
  </si>
  <si>
    <t>审定净值</t>
  </si>
  <si>
    <t>期初调整</t>
  </si>
  <si>
    <t>期初净值</t>
  </si>
  <si>
    <t>期末净值</t>
  </si>
  <si>
    <t>本期租入</t>
  </si>
  <si>
    <t>租赁负债调整</t>
  </si>
  <si>
    <t>其他增加</t>
  </si>
  <si>
    <t>转租赁为融资租赁</t>
  </si>
  <si>
    <t>转让或持有待售</t>
  </si>
  <si>
    <t>其他减少</t>
  </si>
  <si>
    <t>本期计提</t>
  </si>
  <si>
    <t>其中：</t>
  </si>
  <si>
    <t>三、审计说明：</t>
  </si>
  <si>
    <t>四、审计结论：</t>
  </si>
  <si>
    <t>提示：</t>
  </si>
  <si>
    <t>编制说明：</t>
  </si>
  <si>
    <t>1.承租人会计处理不再区分经营租赁和融资租赁，而是采用单一的会计处理模型，也就是说，除采用简化处理的短期租赁和低价值资产租赁外，</t>
  </si>
  <si>
    <t>承租人通常应当自租赁期开始日起按月计提使用权资产的折旧。</t>
  </si>
  <si>
    <t>在租赁期开始日后，承租人应当按照《企业会计准则第8号——资产减值》的规定，确定使用权资产是否发生减值，并对已识别的减值损失进行会计处理。</t>
  </si>
  <si>
    <t>2.对所有租赁均确认使用权资产和租赁负债，参照固定资产准则对使用权资产计提折旧，采用固定的周期性利率确认每期利息费用。</t>
  </si>
  <si>
    <t>当月计提确有困难的，也可从下月起计提折旧，并在附注中予以披露。</t>
  </si>
  <si>
    <t>使用权资产减值准备一旦计提，不得转回。</t>
  </si>
  <si>
    <t>3.审计说明可以概述:(1)程序的测试情况、结果;(2)拟调整事项及其调整分录、未调整事项及其影响，审计范围受到限制情况及其影响。</t>
  </si>
  <si>
    <t>4.审计结论可参考：A、未见异常。 B、除上述重大不符事项应当作为调整事项予以调整外，其余未见异常。
C、由于存在以下重大未调整事项(或审计范围受到限制无法获取充分、适当证据)，不可确认。</t>
  </si>
  <si>
    <t>使用权资产调整分录汇总表</t>
  </si>
  <si>
    <t>调整事项说明</t>
  </si>
  <si>
    <t>类别（报表调整/账项调整/其他）</t>
  </si>
  <si>
    <t>报表项目</t>
  </si>
  <si>
    <t>科目名称</t>
  </si>
  <si>
    <t>附注项目</t>
  </si>
  <si>
    <t>借方调整金额</t>
  </si>
  <si>
    <t>贷方调整金额</t>
  </si>
  <si>
    <t>索引</t>
  </si>
  <si>
    <t>提示：本底稿适用于调整分录较多、较复杂的项目，且仅列示与本报表项目相关的审计调整。项目组可根据项目实际情况选择是否使用该底稿。</t>
  </si>
  <si>
    <t>1. 资产负债表中记录的使用权资产是存在的，且已记录于恰当的账户；2. 所有应记录的使用权资产均已记录，所有应当包括在财务报表中的相关披露均已包括；3. 使用权资产以恰当的金额包括在财务报表中，与之相关的计价或分摊调整已恰当记录，相关披露已得到恰当计量和描述。</t>
  </si>
  <si>
    <t>1. 租赁的识别</t>
  </si>
  <si>
    <t>要素（同时满足）</t>
  </si>
  <si>
    <t>公司具体情况</t>
  </si>
  <si>
    <t>是否满足</t>
  </si>
  <si>
    <t>（1）是否存在已识别资产</t>
  </si>
  <si>
    <t>通常由合同明确指定，也可以在资产可供客户使用时隐性指定</t>
  </si>
  <si>
    <t>①物理可区分</t>
  </si>
  <si>
    <t>如果资产的部分产能在物理上可区分(例如，建筑物的一层)，则该部分产能属于已识别资产</t>
  </si>
  <si>
    <t>②供应方实质性替换权</t>
  </si>
  <si>
    <t>如果资产供应方在整个使用期间拥有对该资产的实质性替换权，则该资产不属于已识别资产</t>
  </si>
  <si>
    <t>如果合同仅赋予资产供应方在特定日期或者特定事件发生日或之后拥有替换资产的权利或义务，考虑到资产供应方没有在整个使用期间替换资产的实际能力，资产供应方的替换权不具有实质性。
与资产位于资产供应方所在地相比， 如果资产位于客户所在地或其他位置，替换资产所需要的成本更有可能超过其所能获取的利益。资产供应方在资产运行结果不佳或者进行技术升级的情况下，因修理和维护而替换资产的权利或义务不属于实质性替换权。</t>
  </si>
  <si>
    <t>同时符合下列条件时，表明资产供应方拥有资产的实质性替换权：拥有在整个使用期间替换资产的实际能力；通过行使替换资产的权利将获得经济利益。</t>
  </si>
  <si>
    <t>例如，客户无法阻止供应方替换资产，且用于替换的资产对于资产供应方而言易于获得或者可以在合理期间内取得；
替换资产的预期经济利益将超过替换资产所得成本。</t>
  </si>
  <si>
    <t>（2）是否有权约定使用期间主导已识别资产的使用</t>
  </si>
  <si>
    <t>合同中包含旨在保护资产供应方在已识别资产或其他资产中的权益、保护资产供应方的工作人员或者确保资产供应方不因客户使用租赁资产而违反法律法规的条款和条件，本身不足以否定客户拥有主导资产使用的权利。</t>
  </si>
  <si>
    <t>在合同中，"一定期间" 也可以表述为已识别资产的使用量，例如，某项设备的产出量。如果客户有权在部分合同期内控制已识别资产的使用，则合同包含一项在该部分合同期间的租赁。</t>
  </si>
  <si>
    <t>①有权在整个使用期间主导已识别资产的使用目的和使用方式；或</t>
  </si>
  <si>
    <t>如果客户有权在整个使用期间在合同界定的使用权范围内改变资产的使用目的和使用方式，则视为客户有权在该使用期间主导资产的使用目的和使用方式。</t>
  </si>
  <si>
    <t>在判断客户是否有权在整个使用期间主导，已识别资产的使用目的和使用方式时，企业应当考虑在该使用期间与改变资产的使用目的和使用方式最为相关的决策权。相关决策权是指对使用资产所产生的经济利益产生影响的决策权。</t>
  </si>
  <si>
    <t>②已识别资产的使用目的和使用方式在使用期间前已预先确定，并且：</t>
  </si>
  <si>
    <t>例如，通过设计资产或在合同中对资产的使用做出限制来预先确定相关决策</t>
  </si>
  <si>
    <t>有权在整个使用期间自行或主导他人按照其确定的方式运营该资产；或</t>
  </si>
  <si>
    <t>除非资产(或资产的特定方面) 由客户设计，企业应当仅考虑在使用期间对资产使用做出决策的权利。</t>
  </si>
  <si>
    <t>如果客户仅能在使用期间之前指定资产的产出而没有与资产使用相关的任何其他决策权，则该客户享有的权利与任何购买该项商品或服务的其他客户享有的权利并无不同。</t>
  </si>
  <si>
    <t>设计了已识别资产(或资产的特定方面)并在设计时已预先确定了该资产在整个使用期间的使用目的和使用方式</t>
  </si>
  <si>
    <t>例如，电厂的使用目的和使用方式，即是否发电、发电时间和发电量；卡车的使用目的和使用方式，即在规定时间内将指定货物从A地运至B地</t>
  </si>
  <si>
    <t>（3）是否有权获得在使用期间内因使用已识别资产所产生的几乎全部经济利益</t>
  </si>
  <si>
    <t xml:space="preserve">应当在约定的客户权利范围内考虑其所产生的经济利益；
应当有权获得整个使用期间使用该资产所产生的几乎全部经济利益(例如，在整个使用期间独家使用该资产) </t>
  </si>
  <si>
    <t>使用资产所产生的经济利益包括资产的主要产出和副产品(包括来源于这些项目的潜在现金流量)以及通过与第三方之间的商业交易实现的其他经济利益。
如果合同规定客户应向资产供应方或另一方支付因使用资产所产生的部分现金流量作为对价，该现金流量仍应视为客户因使用资产而获得的经济利益的一部分。</t>
  </si>
  <si>
    <t>结 论</t>
  </si>
  <si>
    <t>2.租赁的分拆</t>
  </si>
  <si>
    <t>是否适用</t>
  </si>
  <si>
    <t>条件（同时满足）</t>
  </si>
  <si>
    <t>（1）承租人可从单独使用该资产或将其与易于获得的其他资源一起使用中获利；</t>
  </si>
  <si>
    <t>易于获得的资源是指出租人或其他供应方单独销售或出租的商品或服务， 或者承租人已从出租人或其他交易中获得的资源</t>
  </si>
  <si>
    <t>（2）该资产与合同中的其他资产不存在高度依赖或高度关联关系。</t>
  </si>
  <si>
    <t>若承租人租入资产的决定不会对承租人使用合同中的其他资产的权利产生重大影响，则表明该项资产与合同中的其他资产不存在高度依赖或高度关联关系</t>
  </si>
  <si>
    <t>在分拆合同包含的租赁和非租赁部分时，承租人应当按照各项租赁部分单独价格及非租赁部分的单独价格之和的相对比例分担合同对价。</t>
  </si>
  <si>
    <t>注1：合同中同时包含多项单独租赁的，承租人和出租人应当将合同予以分拆，并分别各项单独租赁进行会计处理。</t>
  </si>
  <si>
    <t>注2：为简化处理，承租人可以按照租赁资产的类别选择是否分拆合同包含的租赁和非租赁部分。</t>
  </si>
  <si>
    <t>3.租赁的合并</t>
  </si>
  <si>
    <t>条件（任一）</t>
  </si>
  <si>
    <t>（1）该两份或多份合同基于总体商业目的而订立并构成一揽子交易，若不作为整体考虑则无法理解其总体商业目的；</t>
  </si>
  <si>
    <t>在该情况下，对每份合同独立进行会计处理可能无法忠实反映（faithful representation）整个交易</t>
  </si>
  <si>
    <t>（2）该两份或多份合同中的某份合同的对价金额取决于其他合同的定价或履行情况；</t>
  </si>
  <si>
    <t>（3）该两份或多份合同让渡的资产使用权合起来构成一项单独租赁。</t>
  </si>
  <si>
    <t>注：两份或多份合同合并为一份合同进行会计处理的，仍然需要区分该一份合同中的租赁部分和非租赁部分。</t>
  </si>
  <si>
    <t>4. 短期租赁</t>
  </si>
  <si>
    <t>是</t>
  </si>
  <si>
    <t>（1）租赁期不超过12个月</t>
  </si>
  <si>
    <t>短期租赁，是指在租赁期开始日，租赁期不超过12个月的租赁</t>
  </si>
  <si>
    <t>考虑续租选择权后租赁期不超过12个月</t>
  </si>
  <si>
    <t>续签合同租赁期不超过12个月</t>
  </si>
  <si>
    <t>否</t>
  </si>
  <si>
    <t>（2）不包含购买选择权</t>
  </si>
  <si>
    <t>包含购买选择权的租赁不属于短期租赁</t>
  </si>
  <si>
    <t>注1：对于短期租赁，承租人应当按照租赁资产的类别作出本准则第三十二条所述的会计处理选择。如房屋建筑物、机器设备、设车辆等类别。</t>
  </si>
  <si>
    <t>注2：按照简化会计处理的短期租赁发生租赁变更或者其他原因导致租赁期发生变化的，承租人应当将其视为一项新租赁，重新按照上述原则</t>
  </si>
  <si>
    <t>判断项新租赁是否可以选择简化会计处理。</t>
  </si>
  <si>
    <t>5.低价值资产租赁</t>
  </si>
  <si>
    <t>（1）单项租赁资产为全新资产时价值较低（如低于人民币40 000元）</t>
  </si>
  <si>
    <t>应基于租赁资产的全新状态下的价值进行评估，不应考虑资产已被使用的年限。
低价值资产租赁的标准应该是一个绝对金额，不受承租人规模、性质等影响、也不考虑该资产对于承租人或相关租赁交易的重要性。</t>
  </si>
  <si>
    <t>（2）并未转租赁或者并不预期要把相关资产进行转租赁</t>
  </si>
  <si>
    <t>如果承租人已经或者预期要把相关资产进行转租赁，则不能将原租赁按照低价值资产租赁进行简化会计处理。</t>
  </si>
  <si>
    <t>注：对于低价值资产租赁，承租人可根据每项租赁的具体情况作出本准则第三十二条所述的会计处理选择。</t>
  </si>
  <si>
    <t>在合同开始日，企业应当评估合同是否为租赁或者包含租赁。</t>
  </si>
  <si>
    <t>除非合同条款或条件发生变化，企业无需重新评估合同是否为租赁或者是否包含租赁。</t>
  </si>
  <si>
    <t>第三十二条  对于短期租赁和低价值资产租赁，承租人可以选择不确认使用权资产和租赁负债。</t>
  </si>
  <si>
    <t>作出该选择的，承租人应当将短期租赁和低价值资产租赁的租赁付款额，在租赁期内各个期间按照直线法或其他系统合理的方法计入相关资产成本或当期损益。</t>
  </si>
  <si>
    <t>其他系统合理的方法能够更好地反映承租人的受益模式的，承租人应当采用该方法。</t>
  </si>
  <si>
    <t>1. 租赁期的确定【承租人有权使用租赁资产且不可撤销的期间】</t>
  </si>
  <si>
    <t>合同信息</t>
  </si>
  <si>
    <t>是否包含</t>
  </si>
  <si>
    <t>（1）租赁协议约定的起租日或租金起付日</t>
  </si>
  <si>
    <t>不包含</t>
  </si>
  <si>
    <t>租赁协议中对起租日或租金支付时间的约定，并不影响租赁期开始日的判断。</t>
  </si>
  <si>
    <t>（2）租赁期开始日【出租人提供租赁资产使其可供承租人使用的起始日期】</t>
  </si>
  <si>
    <t>包含</t>
  </si>
  <si>
    <t>租赁期自租赁期开始日起计算，并包括出租人为承租人提供的免租期。
如果承租人在租赁协议约定的起租日或租金起付日之前，已获得对租赁资产使用权的控制，则表明租赁期已经开始。</t>
  </si>
  <si>
    <t>（3）不可撤销期间</t>
  </si>
  <si>
    <t>在确定租赁期和评估不可撤销租赁期间时，企业应根据租赁条款约定确定可强制执行合同的期间。</t>
  </si>
  <si>
    <t>①仅出租人有权终止租赁，则不可撤销的租赁期包括终止租赁选择权所涵盖的期间；</t>
  </si>
  <si>
    <t>如果只有出租人有权终止租赁，则不可撤销的租赁期包括终止租赁选择权所涵盖的期间。</t>
  </si>
  <si>
    <t>②如果只有承租人有权终止租赁，则在确定租赁期时，应将该项权利视为承租人可行使的终止租赁选择权予以考虑；</t>
  </si>
  <si>
    <t>应当评估承租人是否合理确定将不行使终止租赁选择权，需考虑的因素详见下（4）。
合理确定将不会行使终止租赁选择权的，租赁期应包括终止租赁选择权涵盖的期间。</t>
  </si>
  <si>
    <t>通常，租赁的不可撤销期间越短，承租人不行使终止租赁选择权的可能性就越大。</t>
  </si>
  <si>
    <t>③双方均有权单方面终止，且罚款金额不重大。</t>
  </si>
  <si>
    <t>如果承租人和出租人双方均有权在未经另一方许可的情况下终止租赁，且罚款金额不重大，则该租赁不再可强制执行。</t>
  </si>
  <si>
    <t>应当对罚款作出广义解释以同时涵盖终止租赁付款及其他类型的经济处罚，包括弃置或拆卸不可移除的租赁改良所发生的成本。</t>
  </si>
  <si>
    <t>（4）续租选择权涵盖的期间</t>
  </si>
  <si>
    <t>应当评估承租人是否合理确定将行使续租选择权。
合理确定将行使续租选择权的，租赁期应包括续租选择权涵盖的期间。</t>
  </si>
  <si>
    <t>同等条件下优先续约不是无条件续约的权利，不属于续约选择权（续约选择权是公司的一项权利，只要公司愿意，都可以无条件续约）</t>
  </si>
  <si>
    <t>考虑对承租人行使续租选择权带来经济利益的所有相关事实和情况</t>
  </si>
  <si>
    <t>需考虑的因素：①与市价相比，选择权期间的合同条款和条件；②在合同期内，承租人进行或预期进行重大租赁资产改良；③与终止租赁相关的成本；④租赁资产对承租人运营的重要程度；⑤与行使选择权相关的条件及满足相关条件的可能性。</t>
  </si>
  <si>
    <t>与租赁的其他条款相结合判断</t>
  </si>
  <si>
    <t>例如，无论承租人是否行使选择权，均保证向出租人支付基本相等的最低或固定现金，在此情形下，应假设承租人合理确定将行使续租选择权选择权。</t>
  </si>
  <si>
    <t>（5）购买选择权</t>
  </si>
  <si>
    <t>购买选择权的评估方式应与续租选择权或终止租赁选择权的评估方式相同，购买选择权在经济上与将租赁期延长至租赁资产全部剩余经济寿命的续租选择权类似。</t>
  </si>
  <si>
    <t>确定的租赁期（结构化·供H8-6引用）</t>
  </si>
  <si>
    <t>起租日</t>
  </si>
  <si>
    <t>约满日</t>
  </si>
  <si>
    <t>租赁期(月)</t>
  </si>
  <si>
    <t>租赁期(年)</t>
  </si>
  <si>
    <t>2. 对租赁期和购买选择权的重新评估</t>
  </si>
  <si>
    <t>2.1 承租人可控范围内的重大事件或变化的情形</t>
  </si>
  <si>
    <t>情形</t>
  </si>
  <si>
    <t>是/否</t>
  </si>
  <si>
    <t>①重大租赁资产改良</t>
  </si>
  <si>
    <t>在租赁期开始日未预计到的重大租赁资产改良，在可行使续租选择权、终止租赁选择权或购买选择权时，预期将为承租人带来重大经济利益</t>
  </si>
  <si>
    <t>发生承租人可控范围内的重大事件或变化，且影响承租人是否合理确定将行使相应选择权的，承租人应当对其是否合理确定将行使续租选择权、购买选择权或不行使终止租赁选择权进行重新评估，并根据重新评估结果修改租赁期</t>
  </si>
  <si>
    <t>②租赁资产的重大改动或定制化调整</t>
  </si>
  <si>
    <t>在租赁期开始日未预计到的租赁资产的重大改动或定制化调整</t>
  </si>
  <si>
    <t>③直接相关的经营决策</t>
  </si>
  <si>
    <t>承租人做出的与行使或不行使选择权直接相关的经营决策。例如，决定续租互补性资产、处置可替代的资产或处置包含相关使用权资产的业务</t>
  </si>
  <si>
    <t>2.2 根据重新评估结果修改租赁期</t>
  </si>
  <si>
    <t>（1）承租人实际行使了选择权，但该选择权在之前企业确定租赁期时未涵盖；</t>
  </si>
  <si>
    <t>（2）承租人未实际行使选择权但该选择权在之前企业确定租赁期时已涵盖；</t>
  </si>
  <si>
    <t>（3）某些事件的发生，导致根据合同规定承租人有义务行使选择权，但该选择权在之前企业确定租赁期时未涵盖；</t>
  </si>
  <si>
    <t>（4）某些事件的发生，导致根据合同规定禁止承租人行使选择权，但该选择权在之前企业确定租赁期时已涵盖。</t>
  </si>
  <si>
    <t>重新确定的租赁期</t>
  </si>
  <si>
    <t>租赁期是指承租人有权使用租赁资产且不可撤销的期间。</t>
  </si>
  <si>
    <t>租赁期自租赁期开始日起计算。</t>
  </si>
  <si>
    <t>一、审计目标：确认使用权资产与租赁负债按 CAS21 以恰当金额初始确认并后续计量；初始计量：使用权资产=租赁付款额现值(未付部分)+租赁期开始日或之前支付的租赁付款额+初始直接费用+预计复原成本−租赁激励；租赁负债=尚未支付的租赁付款额按增量借款利率/内含利率折现；后续：负债按实际利率法摊余成本，资产按直线法(或其他系统合理方法)折旧，折旧期=min(租赁期,使用寿命)（能合理确定取得所有权时取使用寿命）；相关递延所得税与披露恰当。</t>
  </si>
  <si>
    <t>二、审计过程：①核对合同/H8-4识别结论与H8-5租赁期（含续租/终止选择权）；②复核折现率（优先合同内含利率，否则增量借款利率）与付款时点（期初/期末）；③验算表2现值合计=表3负债期初，使用权资产入账=现值+预付+初始直接费用±复原/激励；④抽查后续利息=(期初负债−本期付款)×年折现率、折旧=入账价值/摊销年限，期末勾稽H8-1/H9；⑤复杂长租、非固定年付或需月结时改用「按月」表，并与本表年化结果交叉复核。索引：H8-4 / H8-5 / H8-7 / H8-8 / H9。</t>
  </si>
  <si>
    <t>1. 租赁合同的基本信息（H8-5带入 + L9动态期数 + Q9付款时点）</t>
  </si>
  <si>
    <t>租赁期开始日</t>
  </si>
  <si>
    <t>合同约定初始期满日</t>
  </si>
  <si>
    <t>续租期（年）</t>
  </si>
  <si>
    <t>租赁期（考虑续租可能后）</t>
  </si>
  <si>
    <t>租赁期截止日期</t>
  </si>
  <si>
    <t>增量借款利率</t>
  </si>
  <si>
    <t>折现率</t>
  </si>
  <si>
    <t>使用权资产摊销期限（年）</t>
  </si>
  <si>
    <t>适用税率</t>
  </si>
  <si>
    <t>年租金(不含税)</t>
  </si>
  <si>
    <t>有效付款期数(年)</t>
  </si>
  <si>
    <t>初始直接费用</t>
  </si>
  <si>
    <t>自动自检</t>
  </si>
  <si>
    <t>付款时点</t>
  </si>
  <si>
    <t>XX设备</t>
  </si>
  <si>
    <t>期初</t>
  </si>
  <si>
    <t>【编制入口·必填黄格】先填H8-5的C22起租日/E22约满日 → 本表B9/L9自动带入；再填K9年租金、M9初始直接费用、G9折现率、Q9付款时点(期初/期末)、I9摊销年限。</t>
  </si>
  <si>
    <t>计    算    区    域</t>
  </si>
  <si>
    <t>借</t>
  </si>
  <si>
    <t>贷</t>
  </si>
  <si>
    <t>使用权资产</t>
  </si>
  <si>
    <t>递延所得税资产</t>
  </si>
  <si>
    <t>租赁负债</t>
  </si>
  <si>
    <t>递延所得税负债</t>
  </si>
  <si>
    <t>预付租金+初始直接费用</t>
  </si>
  <si>
    <t>所得税费用</t>
  </si>
  <si>
    <t>2. 计算租赁负债余额（L9动态期数 + Q9付款时点，最多30年）</t>
  </si>
  <si>
    <t>租金支付日期</t>
  </si>
  <si>
    <t>剩余合同租金（不含税）</t>
  </si>
  <si>
    <t>租赁付款额原值</t>
  </si>
  <si>
    <t>租赁负债折现期(年)</t>
  </si>
  <si>
    <t>租赁负债折现系数</t>
  </si>
  <si>
    <t>租赁付款额现值</t>
  </si>
  <si>
    <t>租赁预付款</t>
  </si>
  <si>
    <t>使用权资产初始确认金额</t>
  </si>
  <si>
    <t>Q9=期初：第0期进预付；Q9=期末：折现期从1起、无租金预付。年租金K9，期数L9（H8-5）。</t>
  </si>
  <si>
    <t>3. 租赁负债及使用权资产后续计量（随L9/Q9动态）</t>
  </si>
  <si>
    <t>期间</t>
  </si>
  <si>
    <t>对应递延所得税资产</t>
  </si>
  <si>
    <t>对应递延所得税负债</t>
  </si>
  <si>
    <t>租赁付款额</t>
  </si>
  <si>
    <t>支付月份</t>
  </si>
  <si>
    <t>利息费用</t>
  </si>
  <si>
    <t>折旧费用</t>
  </si>
  <si>
    <t>自检：①L9来自H8-5可覆盖；②Q9期初/期末切换后重算；③第L9年负债期末≈0；④折旧合计≈I50；⑤右侧N9:P9自动自检。</t>
  </si>
  <si>
    <t>三、审计说明：H8-5起租/约满/期数；付款时点(Q9)；折现率；初始计量；后续利息/折旧；与H8-1、H9勾稽。</t>
  </si>
  <si>
    <t>四、审计结论：□初始及后续计量准确、与账面/H9无重大差异  □除下列差异外未见异常  □存在重大未调整差异不可确认。差异说明：__________。索引：H8-1 / H8-4 / H8-5 / H9。</t>
  </si>
  <si>
    <t>提示（编制）：</t>
  </si>
  <si>
    <t>1、流程：H8-5填C22/E22 → 本表L9/B9自动带入 → 填K9/M9/G9/Q9 → 表2/表3自动生成。</t>
  </si>
  <si>
    <t>2、Q9选「期末」时无租金预付、折现期从1起；选「期初」时首期进预付列。寿命I9与L9取短折旧。</t>
  </si>
  <si>
    <t>3、按月表J20默认勾稽本表L9；复杂月付用按月表。变更H8-7；减值折旧H8-8。</t>
  </si>
  <si>
    <t>【编制入口·必填黄格】C15/C16默认H8-5；J20默认=按年L9；O20付款时点默认=按年Q9；再填C17折现率、C20年租金、E20支付月、G20初始直接费用、L20寿命月数。</t>
  </si>
  <si>
    <t>填表说明（按月·动态）：【核心】J20默认=按年L9；也可直接改年数。C16/C18随年数变；填C15/C17/C20/E20/G20/L20后，明细自动生成。右侧N15:P15为自动自检。月利率=年利率/12。</t>
  </si>
  <si>
    <t>1、</t>
  </si>
  <si>
    <t>租赁期开始日*(必填）</t>
  </si>
  <si>
    <t>必填项，实际起租/交接日，填写格式为YYYY-MM-DD 如：2021-01-01（驱动B列逐月序列）。</t>
  </si>
  <si>
    <t>2、</t>
  </si>
  <si>
    <t>约满日期*(必填）</t>
  </si>
  <si>
    <t>必填项，考虑续租可能后的租赁期届满日（应与H8-5一致），格式YYYY-MM-DD；摊销期限C18据此计算。</t>
  </si>
  <si>
    <t>3、</t>
  </si>
  <si>
    <t>折现率*(必填）</t>
  </si>
  <si>
    <t>按合同内含利率或增量借款利率确定年折现率；利息列使用年利率/12。与按年表H9应一致。</t>
  </si>
  <si>
    <t>4、</t>
  </si>
  <si>
    <t>摊销期限</t>
  </si>
  <si>
    <t>租期来自H8-5或J20。寿命短于租期时改L20。</t>
  </si>
  <si>
    <t>5、</t>
  </si>
  <si>
    <t>月折旧额</t>
  </si>
  <si>
    <t>月折旧按MIN(C18,L20)次月起折尽；O20=期末时首笔租金不早于起租后12个月。</t>
  </si>
  <si>
    <t>输    入    区    域</t>
  </si>
  <si>
    <t>约满日期(考虑续租可能后）</t>
  </si>
  <si>
    <t>本合同折现率（例）</t>
  </si>
  <si>
    <t>预付租金</t>
  </si>
  <si>
    <t>年租金(不含税)*</t>
  </si>
  <si>
    <t>每年支付月份*</t>
  </si>
  <si>
    <t>租赁期(年)*</t>
  </si>
  <si>
    <t>使用寿命(月)</t>
  </si>
  <si>
    <t>期数</t>
  </si>
  <si>
    <t>月份</t>
  </si>
  <si>
    <t>合同租金
（不含税）</t>
  </si>
  <si>
    <t>复原成本、终止租赁罚金等</t>
  </si>
  <si>
    <t>租赁付款额现值(折现到租赁期开始日)</t>
  </si>
  <si>
    <t>租赁付款额现值余额</t>
  </si>
  <si>
    <t>使用权资产调整
（租赁期开始日前支付的租金、复原成本等）</t>
  </si>
  <si>
    <t>月折旧额（次月起计提）</t>
  </si>
  <si>
    <t>使用权资产累计折旧</t>
  </si>
  <si>
    <t>使用权资产余值</t>
  </si>
  <si>
    <t>自检：①H8-5日期已带入；②O20与按年Q9一致；③末月负债≈0；④折旧合计≈入账；⑤J20≈按年L9。</t>
  </si>
  <si>
    <t>1.租赁条件是否真实、完整（合同/补充协议/续租与终止选择权，索引H8-4/H8-5）</t>
  </si>
  <si>
    <t>2.所采用的折现率是否正确（内含利率或增量借款利率；月利率=年利率/12的口径是否披露）</t>
  </si>
  <si>
    <t>3.使用权资产入账价值是否正确（现值+预付/初始直接费用/复原成本−激励；与H9负债初始一致）</t>
  </si>
  <si>
    <t>4.按月利息/折旧计提时点、付款归属月是否与合同一致；与按年表或H8-1/H9年末余额勾稽结果。</t>
  </si>
  <si>
    <t>四、审计结论：□按月计量准确、与账面/H9及按年表无重大差异  □除下列差异外未见异常  □存在重大未调整差异不可确认。差异说明：__________。索引：H8-1 / H8-4 / H8-5 / H8-8 / H9。</t>
  </si>
  <si>
    <t>一、审计目标：1. 资产负债表中记录的使用权资产是存在的，且已记录于恰当的账户；2. 所有应记录的使用权资产均已记录，所有应当包括在财务报表中的相关披露均已包括；3. 记录的使用权资产由被审计单位拥有或控制；4. 使用权资产以恰当的金额包括在财务报表中，与之相关的计价或分摊调整已恰当记录，相关披露已得到恰当计量和描述。</t>
  </si>
  <si>
    <t>1. 租赁变更情况</t>
  </si>
  <si>
    <t>1. 1 租赁变更是否作为一项单独租赁</t>
  </si>
  <si>
    <t>分析</t>
  </si>
  <si>
    <t>（1）该租赁变更通过增加一项或多项租赁资产的使用权而扩大了租赁范围；</t>
  </si>
  <si>
    <t>租赁变更，是指原合同条款之外的租赁范围、租赁对价、租赁期限的变更，包括增加或终止一项或多项租赁资产的使用权，延长或缩短合同规定的租赁期等。</t>
  </si>
  <si>
    <t>（2）增加的对价与租赁范围扩大部分的单独价格按该合同情况调整后的金额相当。</t>
  </si>
  <si>
    <t>1.2 租赁变更未作为一项单独租赁处理</t>
  </si>
  <si>
    <t>（1）租赁变更导致租赁范围缩小或租赁期缩短</t>
  </si>
  <si>
    <t>承租人应当调减使用权资产的账面价值，以反映租赁的部分终止或完全终止。承租人应将部分终止或完全终止租赁的相关利得或损失计入当期损益。</t>
  </si>
  <si>
    <t>（2）其他租赁变更</t>
  </si>
  <si>
    <t>第6年末，情况发生变化，合理确定将行使额外5年续租选择权</t>
  </si>
  <si>
    <t>承租人应当相应调整使用权资产的账面价值。</t>
  </si>
  <si>
    <t>2. 原租赁合同</t>
  </si>
  <si>
    <t>2.1 原租赁合同的基本信息</t>
  </si>
  <si>
    <t>2.2 计算租赁负债余额</t>
  </si>
  <si>
    <t>租赁负债折现期(年）</t>
  </si>
  <si>
    <t>2.3 租赁负债及使用权资产后续计量</t>
  </si>
  <si>
    <t>2021年度</t>
  </si>
  <si>
    <t>2022年度</t>
  </si>
  <si>
    <t>2023年度</t>
  </si>
  <si>
    <t>2024年度</t>
  </si>
  <si>
    <t>2025年度</t>
  </si>
  <si>
    <t>2026年度</t>
  </si>
  <si>
    <t>2027年度</t>
  </si>
  <si>
    <t>2028年度</t>
  </si>
  <si>
    <t>2029年度</t>
  </si>
  <si>
    <t>2030年度</t>
  </si>
  <si>
    <t>3. 新租赁合同</t>
  </si>
  <si>
    <t>3.1 新租赁合同的基本信息</t>
  </si>
  <si>
    <t>续租期改变（年）</t>
  </si>
  <si>
    <t>3.2 计算租赁负债余额</t>
  </si>
  <si>
    <t>3.3 租赁负债及使用权资产后续计量</t>
  </si>
  <si>
    <t>2031年度</t>
  </si>
  <si>
    <t>2032年度</t>
  </si>
  <si>
    <t>2033年度</t>
  </si>
  <si>
    <t>2034年度</t>
  </si>
  <si>
    <t>2035年度</t>
  </si>
  <si>
    <t>使用权资产折旧测算表</t>
  </si>
  <si>
    <t>一、审计目标：确认未计提减值的使用权资产折旧以恰当金额计入报表；折旧期=min(租赁期,使用寿命)（能合理确定取得所有权时取使用寿命）；直线法月折旧=原值×(1−残值率)÷使用月限；本期及累计折旧测算与账面无重大差异；相关披露恰当（CAS21第21条）。</t>
  </si>
  <si>
    <t>二、审计过程：①自明细表H8-2带入类别/名称/编号/原值/累计折旧/开始使用日期；②核对使用年限与租赁期，确认折旧期取短；残值率无所有权转移预期时通常为0；③按折旧期初/期末测算本期月数、测算月折旧、当期折旧费用及累计差异；④差异&gt;0.01查明原因；⑤本期折旧合计与审定表H8-1累计折旧本期计提、分配表H8-9勾稽。若资产已计提减值，改用「折旧测算表（含减值）H8-8」。</t>
  </si>
  <si>
    <t>折旧期初：</t>
  </si>
  <si>
    <t>折旧期末：</t>
  </si>
  <si>
    <t>各列顺序可按需调整；非公式列请「选择性粘贴-数值」。公式：使用月限J、测算到期日K、已提月份L、本期月数M、测算月折旧N=原值×(1−残值率)/J、当期折旧O=N×M、月折旧差异P=账面月折旧−N、累计测算Q=N×L、累计差异R=账面累计−Q。</t>
  </si>
  <si>
    <t>原值</t>
  </si>
  <si>
    <t>开始使用日期</t>
  </si>
  <si>
    <t>使用年限</t>
  </si>
  <si>
    <t>残值率</t>
  </si>
  <si>
    <t>账面月折旧额</t>
  </si>
  <si>
    <t>使用月限</t>
  </si>
  <si>
    <t>测算到期日</t>
  </si>
  <si>
    <t>已提折旧月份</t>
  </si>
  <si>
    <t>本期折旧月份</t>
  </si>
  <si>
    <t>测算月折旧</t>
  </si>
  <si>
    <t>当期折旧费用</t>
  </si>
  <si>
    <t>月折旧额差异</t>
  </si>
  <si>
    <t>累计折旧费用</t>
  </si>
  <si>
    <t>累计折旧额差异</t>
  </si>
  <si>
    <t>三、审计说明：参数来源（H8-2）、折旧期判断依据、重大差异原因、与H8-1/H8-9勾稽结果。</t>
  </si>
  <si>
    <t>四、审计结论：□折旧测算准确、与账面无重大差异  □除下列差异外未见异常  □存在重大未调整差异不可确认。索引：H8-1 / H8-2 / H8-9。</t>
  </si>
  <si>
    <t>《企业会计准则第21号——租赁》</t>
  </si>
  <si>
    <t>第二十一条  承租人应当参照《企业会计准则第4号——固定资产》有关折旧规定，对使用权资产计提折旧。</t>
  </si>
  <si>
    <t>承租人能够合理确定租赁期届满时取得租赁资产所有权的，应当在租赁资产剩余使用寿命内计提折旧。无法合理确定租赁期届满时能够取得租赁资产所有权的，应当在租赁期与租赁资产剩余使用寿命两者孰短的期间内计提折旧。</t>
  </si>
  <si>
    <t>一、审计目标：确认已计提减值的使用权资产后续折旧以恰当金额计入报表；减值后月折旧=(原值×(1−残值率)−减值时累计折旧−减值准备)/剩余月数；本期折旧=减值前月数×原月折旧+减值后月数×新月折旧；减值一经确认不得转回（CAS21第21条+CAS8）；披露恰当。</t>
  </si>
  <si>
    <t>二、审计过程：①自H8-2带入原值/累计折旧/减值准备；②减值金额、时点与减值测算表H8-10、可收回金额测试表H8-11勾稽（本表F7为模板全局减值日示例，实务宜按资产填写减值日）；③测算减值前/后月数及新旧月折旧；④当期折旧费用与账面、H8-1本期计提、H8-9分配勾稽；⑤无减值资产请改用「不含减值」表。</t>
  </si>
  <si>
    <t>计提减值准备日期：</t>
  </si>
  <si>
    <t>含减值关键公式：R=减值前月折旧；S=R×减值时已提月数；T=(原值×(1−残值率)−S−减值)/剩余月数；U=R×本期减值前月数+T×本期减值后月数；W=减值前累计+减值后累计。非公式列请粘贴数值。有⑧补提时须先完成H8-10再回本表重算。</t>
  </si>
  <si>
    <t>截止计提减值准备日计提月份</t>
  </si>
  <si>
    <t>本期折旧月份（减值前）</t>
  </si>
  <si>
    <t>本期折旧月份（减值后）</t>
  </si>
  <si>
    <t>计提减值准备前月折旧</t>
  </si>
  <si>
    <t>计提减值准备前累计折旧</t>
  </si>
  <si>
    <t>计提减值准备后月折旧</t>
  </si>
  <si>
    <t>三、审计说明：减值迹象/可收回金额索引(H8-10/H8-11)、减值日与分段月数、新月折旧计算、与账面差异原因、与H8-9勾稽。</t>
  </si>
  <si>
    <t>四、审计结论：□减值后折旧测算准确  □除下列差异外未见异常  □存在重大未调整差异不可确认。索引：H8-1 / H8-2 / H8-9 / H8-10 / H8-11。提示：减值不得转回。</t>
  </si>
  <si>
    <t>使用权资产折旧分配分析表</t>
  </si>
  <si>
    <t>一、审计目标：使用权资产以恰当的金额包括在财务报表中，与之相关的计价或分摊调整已恰当记录，相关披露已得到恰当计量和描述。</t>
  </si>
  <si>
    <t>营业成本</t>
  </si>
  <si>
    <t>制造费用</t>
  </si>
  <si>
    <t>销售费用</t>
  </si>
  <si>
    <t>管理费用</t>
  </si>
  <si>
    <t>研发支出</t>
  </si>
  <si>
    <t>…</t>
  </si>
  <si>
    <t>勾稽关系情况</t>
  </si>
  <si>
    <t>勾稽一致，详见xx-XX</t>
  </si>
  <si>
    <t>1.检查折旧分配到各种费用的情况，将“累计折旧”账户贷方的本期计提折旧额与相应成本费用中的折旧费用明细账户的借方相比较，以查明所计提折旧金额是否已全部摊入本期产品成本或费用。</t>
  </si>
  <si>
    <t>2.确定分配方法是否合理，本期分配方法与上期是否一致。</t>
  </si>
  <si>
    <t>使用权资产减值测算表</t>
  </si>
  <si>
    <t>一、审计目标：确认使用权资产减值准备以恰当金额计入财务报表；减值迹象识别充分，可收回金额=max(公允减处置费用,预计未来现金流量现值)测算合理；本期补提/结转会计处理正确；减值一经确认不得转回（CAS8）；相关披露恰当。</t>
  </si>
  <si>
    <t>是否存在减值迹象</t>
  </si>
  <si>
    <t>减值迹象描述</t>
  </si>
  <si>
    <t>账面价值
（原值−累计折旧，不含减值）</t>
  </si>
  <si>
    <t>可收回金额</t>
  </si>
  <si>
    <t>期末应计提的减值金额
（当⑤＜②）</t>
  </si>
  <si>
    <t>期末账面已计提的减值准备</t>
  </si>
  <si>
    <t>本期应补提的减值准备
（减值一经确认不得转回）</t>
  </si>
  <si>
    <t>工作底稿索引号</t>
  </si>
  <si>
    <t>多提待查金额
（⑦＞⑥，不得转回）</t>
  </si>
  <si>
    <t>公允价值减处置费用的净额</t>
  </si>
  <si>
    <t>预计未来现金流量现值</t>
  </si>
  <si>
    <t>可收回金额（③、④较高者）</t>
  </si>
  <si>
    <t>①</t>
  </si>
  <si>
    <t>②</t>
  </si>
  <si>
    <t>③</t>
  </si>
  <si>
    <t>④</t>
  </si>
  <si>
    <t>⑤=MAX(③,④)</t>
  </si>
  <si>
    <t>⑥=MAX(②−⑤,0)</t>
  </si>
  <si>
    <t>⑦</t>
  </si>
  <si>
    <t>⑧=MAX(⑥−⑦,0)</t>
  </si>
  <si>
    <t>⑨=MAX(⑦−⑥,0)</t>
  </si>
  <si>
    <t>编制说明：①先评减值迹象（B列）；有迹象者完成H8-11可收回金额测试后回填③④；②账面价值取自H8-2原值−累计折旧（不含减值）；⑦取自账面减值准备科目余额；⑧&gt;0需建议补提并考虑切换「折旧测算表（含减值）H8-8」；⑨&gt;0须查多提原因（处置结转等），禁止转回。</t>
  </si>
  <si>
    <t>经审计：（1）减值迹象识别□充分 / □需补充；（2）可收回金额测算□合理 / □需调整；（3）本期应补提合计（⑧）______元，已建议调整□是 / □否 / □不适用；（4）多提待查（⑨）______元，原因及处理____________________；（5）使用权资产减值准备在重大方面□公允反映 / □存在错报风险。</t>
  </si>
  <si>
    <t>1.获取或编制使用权资产减值准备明细表，复核加计正确，并与总账、明细账及审定表H8-1减值准备余额核对相符；账面价值②与明细表H8-2原值、累计折旧勾稽。</t>
  </si>
  <si>
    <t>2.检查减值准备计提的批准程序及书面依据是否充分；会计处理是否正确。注意：CAS8规定减值损失一经确认不得转回；资产处置/转让时相应减值准备应一并结转（终止确认），结转≠转回，勿混淆。</t>
  </si>
  <si>
    <t>3.存在减值迹象的项目，须完成可收回金额测试表H8-11（公允净额及/或DCF），将③④回填本表；无减值迹象（B=×）不得仅凭估计计提减值。</t>
  </si>
  <si>
    <t>4.重新测试管理层减值估计的合理性，比较预期与已记录金额，调查重大差异；本期补提后应切换至「折旧测算表（含减值）H8-8」重算后续折旧，并与H8-9分配分析勾稽。</t>
  </si>
  <si>
    <t>5.检查上期已确认减值准备本期变动是否适当（处置结转、重分类等）；若⑨多提待查&gt;0，查明原因并评估是否需调整，禁止以「转回」冲减资产减值损失。</t>
  </si>
  <si>
    <t>使用权资产减值准备测试表-可收回金额</t>
  </si>
  <si>
    <t>（一）资产的公允价值减去处置费用后的净额</t>
  </si>
  <si>
    <t>公允价值</t>
  </si>
  <si>
    <t>处置费用（资产处置的直接归属费用）</t>
  </si>
  <si>
    <t>公允价值-处置费用</t>
  </si>
  <si>
    <t>销售协议价格</t>
  </si>
  <si>
    <t>说明</t>
  </si>
  <si>
    <t>资产活跃市场价格</t>
  </si>
  <si>
    <t>估计价格</t>
  </si>
  <si>
    <t>法律费用</t>
  </si>
  <si>
    <t>相关税费</t>
  </si>
  <si>
    <t>搬运费</t>
  </si>
  <si>
    <t>直接费用</t>
  </si>
  <si>
    <t>其他费用</t>
  </si>
  <si>
    <t>处置费用合计</t>
  </si>
  <si>
    <t>审计说明：</t>
  </si>
  <si>
    <t>（二）资产预计未来现金流量的现值</t>
  </si>
  <si>
    <t>预计未来现金流量</t>
  </si>
  <si>
    <t>预算或者预测期</t>
  </si>
  <si>
    <t>以后年度</t>
  </si>
  <si>
    <t>行业的长期平均增长率</t>
  </si>
  <si>
    <t>市场长期平均增长率</t>
  </si>
  <si>
    <t>所在国家或地区的长期平均增长率</t>
  </si>
  <si>
    <t>增长率确定依据</t>
  </si>
  <si>
    <t>预计未来现金流量的现值</t>
  </si>
  <si>
    <t>第一年</t>
  </si>
  <si>
    <t>第二年</t>
  </si>
  <si>
    <t>第三年</t>
  </si>
  <si>
    <t>第四年</t>
  </si>
  <si>
    <t>第五年</t>
  </si>
  <si>
    <t>基数</t>
  </si>
  <si>
    <t>增长率</t>
  </si>
  <si>
    <t>现金净流量（税前）</t>
  </si>
  <si>
    <t>折现系数</t>
  </si>
  <si>
    <t>（企业管理层如能证明递增的增长率是合理的，可以以递增的增长率为基础。）</t>
  </si>
  <si>
    <t>现值</t>
  </si>
  <si>
    <t>（建立在预算或者预测基础上的预计现金流量最多涵盖5年，更长期间需证明合理性。）</t>
  </si>
  <si>
    <t>所得税率</t>
  </si>
  <si>
    <t>债务总额
D</t>
  </si>
  <si>
    <t>资本总额
E</t>
  </si>
  <si>
    <t>债务成本Kd</t>
  </si>
  <si>
    <t>无风险报酬率Rf</t>
  </si>
  <si>
    <t>β系数</t>
  </si>
  <si>
    <t>市场平均收益率Rm</t>
  </si>
  <si>
    <t>资本成本Ke</t>
  </si>
  <si>
    <t>WACC
(税后)</t>
  </si>
  <si>
    <t>折现率
(税前)</t>
  </si>
  <si>
    <t>税后折税前调整说明</t>
  </si>
  <si>
    <t>税率调整</t>
  </si>
  <si>
    <t>调整说明</t>
  </si>
  <si>
    <t>加权平均资金成本</t>
  </si>
  <si>
    <t>（三）可收回金额</t>
  </si>
  <si>
    <t>资产的公允价值减去处置费用后的净额与资产预计未来现金流量的现值两者之间较高者</t>
  </si>
  <si>
    <t>1、可收回金额应当根据资产的公允价值减去处置费用后的净额与资产预计未来现金流量的现值两者之间较高者确定。</t>
  </si>
  <si>
    <t>2、资产的公允价值减去处置费用后的净额，应当根据公平交易中销售协议价格减去可直接归属于该资产处置费用的金额确定。不存在销售协议但存在资产活跃市场的，</t>
  </si>
  <si>
    <t>应当按照该资产的市场价格减去处置费用后的金额确定。资产的市场价格通常应当根据资产的买方出价确定。在不存在销售协议和资产活跃市场的情况下，应当</t>
  </si>
  <si>
    <t>以可获取的最佳信息为基础，估计资产的公允价值减去处置费用后的净额，该净额可以参考同行业类似资产的最近交易价格或者结果进行估计。企业按照上述规定</t>
  </si>
  <si>
    <t>仍然无法可靠估计资产的公允价值减去处置费用后的净额的，应当以该资产预计未来现金流量的现值作为其可收回金额。</t>
  </si>
  <si>
    <t>3、处置费用包括与资产处置有关的法律费用、相关税费、搬运费以及为使资产达到可销售状态所发生的直接费用等。</t>
  </si>
  <si>
    <t>4、资产预计未来现金流量的现值，应当按照资产在持续使用过程中和最终处置时所产生的预计未来现金流量，选择恰当的折现率对其进行折现后的金额加以确定。</t>
  </si>
  <si>
    <t>5、预计资产的未来现金流量，应当以经企业管理层批准的最近财务预算或者预测数据，以及该预算或者预测期之后年份稳定的或者递减的增长率为基础。</t>
  </si>
  <si>
    <t>预计的资产未来现金流量应当包括下列各项：</t>
  </si>
  <si>
    <t>　　（一）资产持续使用过程中预计产生的现金流入。</t>
  </si>
  <si>
    <t>　　（二）为实现资产持续使用过程中产生的现金流入所必需的预计现金流出（包括为使资产达到预定可使用状态所发生的现金流出）。该现金流出应当是可直接归属</t>
  </si>
  <si>
    <t>于或者可通过合理和一致的基础分配到资产中的现金流出。</t>
  </si>
  <si>
    <t>　　（三）资产使用寿命结束时，处置资产所收到或者支付的净现金流量。该现金流量应当是在公平交易中，熟悉情况的交易双方自愿进行交易时，企业预期可从资产的</t>
  </si>
  <si>
    <t>处置中获取或者支付的、减去预计处置费用后的金额。</t>
  </si>
  <si>
    <t>建立在预算或者预测基础上的预计现金流量最多涵盖5年（涵盖更长的期间需证明合理性）。</t>
  </si>
  <si>
    <t>6、折现率是反映当前市场货币时间价值和资产特定风险的税前利率。该折现率是企业在购置或者投资资产时所要求的必要报酬率。</t>
  </si>
  <si>
    <t>折现率的确定通常应当以该资产的市场利率为依据。无法从市场获得的，可以使用替代利率估计折现率。</t>
  </si>
  <si>
    <t>加权平均资金成本（税后）:</t>
  </si>
  <si>
    <t>折现率应当反映与内含在预计现金流量中的假设相一致的假设</t>
  </si>
  <si>
    <t>折现率的口径应与现金流的口径一致，即现金流若为税后则相应折现率取税后。</t>
  </si>
  <si>
    <t>债务总额（D）</t>
  </si>
  <si>
    <t>Capital Employed（CE）中债权人享有的部分，指有息债务总额，一般指长期占用的有息负债；</t>
  </si>
  <si>
    <t>如果企业的长期资产有一部分是由短期负债支撑的，可以用短期借款+长期借款。</t>
  </si>
  <si>
    <t>严格来说，计算WACC应使用债务总额的市场价值；一般认为负债的市场价值和账面价值相同。</t>
  </si>
  <si>
    <t>资本总额（E）</t>
  </si>
  <si>
    <t>Capital Employed（CE）中股东投入的部分，包含股本、股本溢价及留存收益。</t>
  </si>
  <si>
    <t>严格来说，计算WACC应使用资本总额的市场价值；一般认为资本的市场价值就是股票市值。</t>
  </si>
  <si>
    <t>税前债务成本（Kd）</t>
  </si>
  <si>
    <t>应当是未来的增量资金的边际成本，不是已经筹集资金的历史成本。</t>
  </si>
  <si>
    <t>实务中可以选择企业或可比企业发行的长期债券的到期收益率（将债券在预期存续期间内的未来现金流量，折现为该债券当前市价所使用的利率）。</t>
  </si>
  <si>
    <t>若企业没有上市的债券，也找不到合适的可比公司，则可以使用增量借款利率或企业最近一次借款的利率。</t>
  </si>
  <si>
    <t>通常可选择上市交易的政府长期债券的到期收益率（10年期财政部债券名义利率）。</t>
  </si>
  <si>
    <t>指β=1的股票要求的收益率，也是指包括所有股票的组合即市场组合要求的收益率。</t>
  </si>
  <si>
    <t>建议采用几何平均收益率，并应选择较长的时间跨度（既包括经济繁荣时期，也包括经济衰退时期）。</t>
  </si>
  <si>
    <t>资产组的收益率与市场组合之间的相关性，反映了相对于市场组合而言特定资产的系统风险。</t>
  </si>
  <si>
    <t>计算β值时，需要考虑有关预测期间的长度和收益计量的时间间隔。在公司风险特征无重大变化时，可以采用5年或更长的预测期长度；</t>
  </si>
  <si>
    <t>收益计量的时间间隔一般使用每周或每月的收益率。</t>
  </si>
  <si>
    <t>资产组，是指企业可以认定的最小资产组合，其产生的现金流入应当基本上独立于其他资产或者资产组产生的现金流入。</t>
  </si>
  <si>
    <t>使用权资产/租赁负债减少检查表</t>
  </si>
  <si>
    <t>一、审计目标：1.资产负债表中记录的使用权是存在的，且已记录于恰当的账户；2.所有应记录的使用权资产均已记录，所有应当包括在财务报表中的相关披露均已包括；3.使用权资产以恰当的金额包括在财务报表中，与之相关的计价或分摊调整已恰当记录，相关披露已得到恰当计量和描述。</t>
  </si>
  <si>
    <t>二、样本选取标准与规模：</t>
  </si>
  <si>
    <t>测试总体：</t>
  </si>
  <si>
    <t>如使用权资产贷方发生额所有凭证共XX笔金额XX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</si>
  <si>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</si>
  <si>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</si>
  <si>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</si>
  <si>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</si>
  <si>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</si>
  <si>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</si>
  <si>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</si>
  <si>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</si>
  <si>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随机选样/系统选样/货币单元抽样/随意选样（非统计抽样适用）</t>
  </si>
  <si>
    <t>抽样过程：</t>
  </si>
  <si>
    <t>使用IDEA（XX抽样工具）选择XX数量、金额XX的样本进行测试，抽样工具中的样本选择过程和结果见&lt;XX&gt;底稿</t>
  </si>
  <si>
    <t>三、测试过程：</t>
  </si>
  <si>
    <t>测试内容说明：1.原始凭证是否齐全； 2.记账凭证与原始凭证是否相符；3.账务处理是否正确；4.是否记录于恰当的会计期间；5.……</t>
  </si>
  <si>
    <t>减少方式</t>
  </si>
  <si>
    <t>减少日期</t>
  </si>
  <si>
    <t>凭证号</t>
  </si>
  <si>
    <t>对方科目</t>
  </si>
  <si>
    <t>减少情况</t>
  </si>
  <si>
    <t>支持性文件</t>
  </si>
  <si>
    <t>核对内容</t>
  </si>
  <si>
    <t>是否异常</t>
  </si>
  <si>
    <t>备注说明</t>
  </si>
  <si>
    <t>数量</t>
  </si>
  <si>
    <t>净值</t>
  </si>
  <si>
    <t>本期减少使用权资产合计</t>
  </si>
  <si>
    <t>检查比例</t>
  </si>
  <si>
    <t>四、审计说明：</t>
  </si>
  <si>
    <t>1.如果检查比例较低应扩大检查样本量或说明原因</t>
  </si>
  <si>
    <t>2.……</t>
  </si>
  <si>
    <t>五、审计结论：</t>
  </si>
  <si>
    <t>1. 确认被审计单位对短期租赁及低价值资产租赁采用简化处理符合《企业会计准则第21号——租赁》第32条：租赁期不超过12个月（不含购买选择权），或全新状态下价值较低（实务阈值≤40,000元）且未转租；不符合条件的租赁已确认使用权资产与租赁负债。</t>
  </si>
  <si>
    <t>2. 确认简化处理项下租赁付款额已按直线法（或其他系统合理方法）计入相关资产成本或当期损益，本期应计租金费用完整、准确，并与相关费用科目勾稽一致；重大差异已追查并考虑调整。</t>
  </si>
  <si>
    <t>资产类别</t>
  </si>
  <si>
    <t>资产名称</t>
  </si>
  <si>
    <t>合同号</t>
  </si>
  <si>
    <t>租赁到期日</t>
  </si>
  <si>
    <t>全新资产价值</t>
  </si>
  <si>
    <t>简化类型</t>
  </si>
  <si>
    <t>月租金</t>
  </si>
  <si>
    <t>本期应计月数</t>
  </si>
  <si>
    <t>本期应计租金</t>
  </si>
  <si>
    <t>账面本期租金</t>
  </si>
  <si>
    <t>勾稽一致</t>
  </si>
  <si>
    <t>费用科目</t>
  </si>
  <si>
    <t>核查结论</t>
  </si>
  <si>
    <t>笔不符合</t>
  </si>
  <si>
    <t>（说明抽查范围、简化处理政策一贯性、免租期/递进租金处理、与费用科目勾稽结果，以及「不符合」笔数的后续处理——是否已转入 H8-2/H9 确认。）</t>
  </si>
  <si>
    <t>经检查，本期简化处理的租赁□符合 / □基本符合 / □不符合 CAS21 第32条条件；租金费用计提□准确 / □存在差异已调整 / □待进一步核实。</t>
  </si>
  <si>
    <t>提示（编制要点）：</t>
  </si>
  <si>
    <t>① 短期租赁：租赁期开始日确定的租赁期不超过12个月；含购买选择权的不属于短期租赁；转租中的转租人不得对原租赁选用短期简化。</t>
  </si>
  <si>
    <t>② 低价值资产租赁：按标的资产全新状态绝对金额判断（实务阈值人民币40,000元），与承租人规模、性质无关；预期转租的不适用。</t>
  </si>
  <si>
    <t>③ 简化处理会计：不确认使用权资产和租赁负债，将租赁付款额在租赁期内按直线法或其他系统合理方法计入相关资产成本或当期损益。</t>
  </si>
  <si>
    <t>④ 费用重算：本期应计租金＝月租金×本期应计月数；存在免租期或租金递增时，应先将合同总对价按系统合理方法分摊后再填列月租金/月数。</t>
  </si>
  <si>
    <t>⑤ 「简化类型＝不符合」的租赁应转入 H8-2/H9 按完整租赁模型确认；差异（N列）重大时须追查至凭证与科目余额并考虑调整。</t>
  </si>
  <si>
    <t>⑥ 本表索引号为 H8-13，勿与 H8-12（减少/终止检查表）混淆。</t>
  </si>
  <si>
    <t>关联交易检查表（使用权资产、租赁负债）</t>
  </si>
  <si>
    <t>一、审计目标:</t>
  </si>
  <si>
    <t>使用权资产的审计目标：1.资产负债表中记录的使用权资产是存在的，且已记录于恰当的账户；2.所有应记录的使用权资产均已记录，所有应当包括在财务报表中的相关披露均已包括；3.记录的使用权资产由被审计单位拥有或控制。4.使用权资产资产以恰当的金额包括在财务报表中，与之相关的计价或分摊调整已恰当记录，相关披露已得到恰当计量和描述；5.使用权资产已被恰当地汇总或分解且表述清楚，相关披露在按照企业会计准则的编制基础下是相关的、可理解的。</t>
  </si>
  <si>
    <t>租赁负债的审计目标：1.资产负债表中记录的租赁负债是存在的，且已记录于恰当的账户；2.所有应记录的租赁负债均已记录，所有应当包括在财务报表中的相关披露均已包括；3.记录的租赁负债由被审计单位拥有或控制。；4.租赁负债以恰当的金额包括在财务报表中，与之相关的计价或分摊调整已恰当记录，相关披露已得到恰当计量和描述；5.租赁负债已被恰当地汇总或分解且表述清楚，相关披露在按照企业会计准则的编制基础下是相关的、可理解的。</t>
  </si>
  <si>
    <t>1.使用权资产</t>
  </si>
  <si>
    <t>关联单位名称</t>
  </si>
  <si>
    <t>关联方关系</t>
  </si>
  <si>
    <t>租赁项目</t>
  </si>
  <si>
    <t>租赁资产种类</t>
  </si>
  <si>
    <t>租赁发生时间及到期日</t>
  </si>
  <si>
    <t>使用权资产原值期末审定数</t>
  </si>
  <si>
    <t>使用权资产累计折旧期末审定数</t>
  </si>
  <si>
    <t>使用权资产减值准备期末审定数</t>
  </si>
  <si>
    <t>使用权资产净值</t>
  </si>
  <si>
    <t>本期新增使用权资产金额（原值）</t>
  </si>
  <si>
    <t>使用权资产本期折旧金额</t>
  </si>
  <si>
    <t>定价政策</t>
  </si>
  <si>
    <t>关联交易是否存在异常</t>
  </si>
  <si>
    <t>2.租赁负债</t>
  </si>
  <si>
    <t>关联方名称</t>
  </si>
  <si>
    <t>关联关系</t>
  </si>
  <si>
    <t>租赁负债期末审定数</t>
  </si>
  <si>
    <t>本期应支付的租赁款项</t>
  </si>
  <si>
    <t>本期承担的租赁负债利息支出</t>
  </si>
  <si>
    <t>勿删</t>
  </si>
  <si>
    <t>实际控制人</t>
  </si>
  <si>
    <t>控股股东</t>
  </si>
  <si>
    <t>控股股东、实际控制人的附属企业</t>
  </si>
  <si>
    <t>持有5%以上股份的法人或其他组织</t>
  </si>
  <si>
    <t>联营企业</t>
  </si>
  <si>
    <t>合营企业</t>
  </si>
  <si>
    <t>董高监等关键管理人员</t>
  </si>
  <si>
    <t>其他关联方</t>
  </si>
</sst>
</file>

<file path=xl/styles.xml><?xml version="1.0" encoding="utf-8"?>
<styleSheet xmlns="http://schemas.openxmlformats.org/spreadsheetml/2006/main" xmlns:mc="http://schemas.openxmlformats.org/markup-compatibility/2006" xmlns:xr9="http://schemas.microsoft.com/office/spreadsheetml/2016/revision9" mc:Ignorable="xr9">
  <numFmts count="7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quot;\&quot;#,##0;&quot;\&quot;&quot;\&quot;\-#,##0"/>
    <numFmt numFmtId="187" formatCode="0%;\(0%\)"/>
    <numFmt numFmtId="188" formatCode="0.0%"/>
    <numFmt numFmtId="189" formatCode="\¥#,##0;\-\¥#,##0"/>
    <numFmt numFmtId="190" formatCode="#.\ \ "/>
    <numFmt numFmtId="191" formatCode="##.\ \ "/>
    <numFmt numFmtId="192" formatCode="#,##0;\-#,##0;&quot;-&quot;"/>
    <numFmt numFmtId="193" formatCode="#,##0&quot; F&quot;_);\(#,##0&quot; F&quot;\)"/>
    <numFmt numFmtId="194" formatCode="\(#,##0\)\ "/>
    <numFmt numFmtId="195" formatCode="[Blue]0.0%;[Blue]\(0.0%\)"/>
    <numFmt numFmtId="196" formatCode="0.0%;\(0.0%\)"/>
    <numFmt numFmtId="197" formatCode="[Red]0.0%;[Red]\(0.0%\)"/>
    <numFmt numFmtId="198" formatCode="[Blue]#,##0_);[Blue]\(#,##0\)"/>
    <numFmt numFmtId="199" formatCode="#,##0_);[Blue]\(#,##0\)"/>
    <numFmt numFmtId="200" formatCode="&quot;$&quot;#,##0;[Red]&quot;$&quot;&quot;$&quot;&quot;$&quot;&quot;$&quot;&quot;$&quot;&quot;$&quot;&quot;$&quot;\-#,##0"/>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0;\-&quot;?#,##0"/>
    <numFmt numFmtId="213" formatCode="_-* #,##0\¥_-;\-* #,##0\¥_-;_-* &quot;-&quot;\¥_-;_-@_-"/>
    <numFmt numFmtId="214" formatCode="0%_);\(0%\)"/>
    <numFmt numFmtId="215" formatCode="#\ ??/??"/>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4" formatCode="_([$€-2]* #,##0.00_);_([$€-2]* \(#,##0.00\);_([$€-2]* &quot;-&quot;??_)"/>
    <numFmt numFmtId="235" formatCode="_ * #,##0_ ;_ * \-#,##0_ ;_ * &quot;-&quot;??_ ;_ @_ "/>
    <numFmt numFmtId="236" formatCode="_ * #,##0.0000_ ;_ * \-#,##0.0000_ ;_ * &quot;-&quot;??_ ;_ @_ "/>
    <numFmt numFmtId="237" formatCode="[$-F800]dddd\,\ mmmm\ dd\,\ yyyy"/>
    <numFmt numFmtId="238" formatCode="yyyy&quot;年&quot;m&quot;月&quot;;@"/>
    <numFmt numFmtId="239" formatCode="#,##0_ "/>
    <numFmt numFmtId="240" formatCode="yyyy/mm/dd"/>
    <numFmt numFmtId="241" formatCode="0_);[Red]\(0\)"/>
    <numFmt numFmtId="242" formatCode="_ * #,##0.00000000_ ;_ * \-#,##0.00000000_ ;_ * &quot;-&quot;??_ ;_ @_ "/>
    <numFmt numFmtId="243" formatCode="yyyy/m/d;@"/>
    <numFmt numFmtId="244" formatCode="#,##0.00_);[Red]\(#,##0.00\)"/>
    <numFmt numFmtId="245" formatCode="#,##0_);[Red]\(#,##0\)"/>
    <numFmt numFmtId="246" formatCode="0.0000"/>
    <numFmt numFmtId="247" formatCode="#,##0.00_ "/>
    <numFmt numFmtId="248" formatCode="_ \¥* #,##0.00_ ;_ \¥* \-#,##0.00_ ;_ \¥* &quot;-&quot;??_ ;_ @_ "/>
    <numFmt numFmtId="249" formatCode="0.0000%"/>
  </numFmts>
  <fonts count="200">
    <font>
      <sz val="12"/>
      <name val="宋体"/>
      <charset val="134"/>
    </font>
    <font>
      <sz val="12"/>
      <name val="Arial Narrow"/>
      <charset val="134"/>
    </font>
    <font>
      <sz val="14"/>
      <name val="Arial Narrow"/>
      <charset val="134"/>
    </font>
    <font>
      <sz val="10"/>
      <name val="Arial Narrow"/>
      <charset val="134"/>
    </font>
    <font>
      <b/>
      <sz val="12"/>
      <name val="宋体"/>
      <charset val="134"/>
    </font>
    <font>
      <b/>
      <sz val="14"/>
      <name val="宋体"/>
      <charset val="134"/>
    </font>
    <font>
      <sz val="10"/>
      <name val="宋体"/>
      <charset val="134"/>
      <scheme val="minor"/>
    </font>
    <font>
      <sz val="10"/>
      <color indexed="12"/>
      <name val="Arial Narrow"/>
      <charset val="134"/>
    </font>
    <font>
      <b/>
      <sz val="10"/>
      <color indexed="8"/>
      <name val="Arial Narrow"/>
      <charset val="134"/>
    </font>
    <font>
      <sz val="9"/>
      <name val="宋体"/>
      <charset val="134"/>
    </font>
    <font>
      <b/>
      <sz val="10"/>
      <name val="Arial Narrow"/>
      <charset val="134"/>
    </font>
    <font>
      <sz val="10"/>
      <color rgb="FF0000FF"/>
      <name val="Arial Narrow"/>
      <charset val="134"/>
    </font>
    <font>
      <b/>
      <sz val="12"/>
      <name val="宋体"/>
      <charset val="134"/>
    </font>
    <font>
      <b/>
      <sz val="14"/>
      <name val="宋体"/>
      <charset val="134"/>
    </font>
    <font>
      <sz val="10"/>
      <name val="宋体"/>
      <charset val="134"/>
    </font>
    <font>
      <b/>
      <sz val="10"/>
      <name val="宋体"/>
      <charset val="134"/>
    </font>
    <font>
      <b/>
      <sz val="16"/>
      <color rgb="FF1F4E79"/>
      <name val="宋体"/>
      <charset val="134"/>
    </font>
    <font>
      <b/>
      <sz val="14"/>
      <color rgb="FF1F4E79"/>
      <name val="宋体"/>
      <charset val="134"/>
    </font>
    <font>
      <sz val="10"/>
      <name val="宋体"/>
      <charset val="134"/>
    </font>
    <font>
      <b/>
      <sz val="11"/>
      <color rgb="FFC00000"/>
      <name val="宋体"/>
      <charset val="134"/>
    </font>
    <font>
      <b/>
      <sz val="10"/>
      <name val="宋体"/>
      <charset val="134"/>
    </font>
    <font>
      <b/>
      <sz val="10"/>
      <color indexed="8"/>
      <name val="宋体"/>
      <charset val="134"/>
    </font>
    <font>
      <sz val="10"/>
      <name val="宋体"/>
      <charset val="134"/>
    </font>
    <font>
      <sz val="10"/>
      <color indexed="8"/>
      <name val="宋体"/>
      <charset val="134"/>
    </font>
    <font>
      <b/>
      <sz val="9"/>
      <name val="宋体"/>
      <charset val="134"/>
    </font>
    <font>
      <sz val="10"/>
      <color rgb="FFFF0000"/>
      <name val="宋体"/>
      <charset val="134"/>
    </font>
    <font>
      <sz val="10"/>
      <color theme="1"/>
      <name val="宋体"/>
      <charset val="134"/>
    </font>
    <font>
      <i/>
      <sz val="9"/>
      <color rgb="FF808080"/>
      <name val="宋体"/>
      <charset val="134"/>
    </font>
    <font>
      <b/>
      <sz val="10"/>
      <color rgb="FF0563C1"/>
      <name val="宋体"/>
      <charset val="134"/>
    </font>
    <font>
      <sz val="9"/>
      <color rgb="FF0563C1"/>
      <name val="宋体"/>
      <charset val="134"/>
    </font>
    <font>
      <sz val="10"/>
      <color rgb="FF0000FF"/>
      <name val="宋体"/>
      <charset val="134"/>
    </font>
    <font>
      <b/>
      <sz val="12"/>
      <name val="Arial Narrow"/>
      <charset val="134"/>
    </font>
    <font>
      <b/>
      <sz val="14"/>
      <name val="Arial Narrow"/>
      <charset val="134"/>
    </font>
    <font>
      <sz val="10"/>
      <color rgb="FF0000FF"/>
      <name val="宋体"/>
      <charset val="134"/>
    </font>
    <font>
      <sz val="10"/>
      <color rgb="FFFF0000"/>
      <name val="Arial Narrow"/>
      <charset val="134"/>
    </font>
    <font>
      <b/>
      <sz val="10"/>
      <name val="宋体"/>
      <charset val="134"/>
    </font>
    <font>
      <sz val="10"/>
      <color theme="1"/>
      <name val="Arial Narrow"/>
      <charset val="134"/>
    </font>
    <font>
      <b/>
      <u/>
      <sz val="10"/>
      <color indexed="10"/>
      <name val="Arial Narrow"/>
      <charset val="134"/>
    </font>
    <font>
      <i/>
      <sz val="10"/>
      <color indexed="12"/>
      <name val="宋体"/>
      <charset val="134"/>
    </font>
    <font>
      <sz val="12"/>
      <name val="宋体"/>
      <charset val="134"/>
    </font>
    <font>
      <sz val="14"/>
      <name val="宋体"/>
      <charset val="134"/>
    </font>
    <font>
      <sz val="10"/>
      <color indexed="48"/>
      <name val="宋体"/>
      <charset val="134"/>
    </font>
    <font>
      <sz val="10"/>
      <color indexed="12"/>
      <name val="宋体"/>
      <charset val="134"/>
    </font>
    <font>
      <b/>
      <u/>
      <sz val="10"/>
      <color indexed="10"/>
      <name val="宋体"/>
      <charset val="134"/>
    </font>
    <font>
      <b/>
      <sz val="12"/>
      <color indexed="8"/>
      <name val="宋体"/>
      <charset val="134"/>
    </font>
    <font>
      <b/>
      <sz val="14"/>
      <color indexed="8"/>
      <name val="宋体"/>
      <charset val="134"/>
    </font>
    <font>
      <sz val="10"/>
      <color indexed="8"/>
      <name val="Arial Narrow"/>
      <charset val="134"/>
    </font>
    <font>
      <sz val="9"/>
      <color rgb="FF833C0C"/>
      <name val="宋体"/>
      <charset val="134"/>
    </font>
    <font>
      <b/>
      <sz val="10"/>
      <color indexed="12"/>
      <name val="宋体"/>
      <charset val="134"/>
    </font>
    <font>
      <sz val="12"/>
      <color rgb="FF0000FF"/>
      <name val="Arial Narrow"/>
      <charset val="134"/>
    </font>
    <font>
      <sz val="14"/>
      <color rgb="FF0000FF"/>
      <name val="Arial Narrow"/>
      <charset val="134"/>
    </font>
    <font>
      <u/>
      <sz val="10"/>
      <color rgb="FFFF0000"/>
      <name val="Arial Narrow"/>
      <charset val="134"/>
    </font>
    <font>
      <b/>
      <sz val="10"/>
      <color rgb="FF000000"/>
      <name val="Arial Narrow"/>
      <charset val="134"/>
    </font>
    <font>
      <sz val="10"/>
      <color rgb="FF000000"/>
      <name val="Arial Narrow"/>
      <charset val="134"/>
    </font>
    <font>
      <b/>
      <sz val="10"/>
      <color rgb="FF0000FF"/>
      <name val="Arial Narrow"/>
      <charset val="134"/>
    </font>
    <font>
      <b/>
      <sz val="10"/>
      <color theme="1"/>
      <name val="Arial Narrow"/>
      <charset val="134"/>
    </font>
    <font>
      <b/>
      <sz val="10"/>
      <color rgb="FFFF0000"/>
      <name val="Arial Narrow"/>
      <charset val="134"/>
    </font>
    <font>
      <i/>
      <sz val="10"/>
      <color rgb="FF0000FF"/>
      <name val="宋体"/>
      <charset val="134"/>
    </font>
    <font>
      <b/>
      <sz val="12"/>
      <color rgb="FF0000FF"/>
      <name val="Arial Narrow"/>
      <charset val="134"/>
    </font>
    <font>
      <b/>
      <sz val="14"/>
      <color rgb="FF0000FF"/>
      <name val="Arial Narrow"/>
      <charset val="134"/>
    </font>
    <font>
      <b/>
      <sz val="10"/>
      <color rgb="FF0000FF"/>
      <name val="宋体"/>
      <charset val="134"/>
    </font>
    <font>
      <sz val="9"/>
      <color indexed="12"/>
      <name val="Arial Narrow"/>
      <charset val="134"/>
    </font>
    <font>
      <sz val="9"/>
      <color indexed="12"/>
      <name val="宋体"/>
      <charset val="134"/>
    </font>
    <font>
      <sz val="9"/>
      <name val="Arial Narrow"/>
      <charset val="134"/>
    </font>
    <font>
      <sz val="9"/>
      <name val="宋体"/>
      <charset val="134"/>
    </font>
    <font>
      <sz val="10"/>
      <name val="Times New Roman"/>
      <charset val="134"/>
    </font>
    <font>
      <sz val="9"/>
      <color rgb="FF0000FF"/>
      <name val="Arial Narrow"/>
      <charset val="134"/>
    </font>
    <font>
      <u/>
      <sz val="10"/>
      <color rgb="FFE4DFEC"/>
      <name val="Arial Narrow"/>
      <charset val="134"/>
    </font>
    <font>
      <b/>
      <sz val="10"/>
      <color rgb="FFE4DFEC"/>
      <name val="Arial Narrow"/>
      <charset val="134"/>
    </font>
    <font>
      <sz val="10"/>
      <color rgb="FFE4DFEC"/>
      <name val="Arial Narrow"/>
      <charset val="134"/>
    </font>
    <font>
      <b/>
      <sz val="10"/>
      <color rgb="FFE92841"/>
      <name val="Arial Narrow"/>
      <charset val="134"/>
    </font>
    <font>
      <i/>
      <u/>
      <sz val="10"/>
      <color indexed="12"/>
      <name val="Arial Narrow"/>
      <charset val="134"/>
    </font>
    <font>
      <sz val="10"/>
      <color indexed="12"/>
      <name val="宋体"/>
      <charset val="134"/>
    </font>
    <font>
      <sz val="10"/>
      <color rgb="FF0066FF"/>
      <name val="Arial Narrow"/>
      <charset val="134"/>
    </font>
    <font>
      <sz val="10"/>
      <color rgb="FF0000FF"/>
      <name val="宋体"/>
      <charset val="134"/>
      <scheme val="major"/>
    </font>
    <font>
      <b/>
      <sz val="12"/>
      <color indexed="8"/>
      <name val="Arial Narrow"/>
      <charset val="134"/>
    </font>
    <font>
      <b/>
      <sz val="14"/>
      <color indexed="8"/>
      <name val="Arial Narrow"/>
      <charset val="134"/>
    </font>
    <font>
      <b/>
      <sz val="10"/>
      <color indexed="8"/>
      <name val="宋体"/>
      <charset val="134"/>
    </font>
    <font>
      <u/>
      <sz val="10"/>
      <name val="Arial Narrow"/>
      <charset val="134"/>
    </font>
    <font>
      <b/>
      <sz val="10"/>
      <color indexed="12"/>
      <name val="Arial Narrow"/>
      <charset val="134"/>
    </font>
    <font>
      <sz val="10"/>
      <color theme="1"/>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0"/>
      <name val="Times New Roman"/>
      <charset val="134"/>
    </font>
    <font>
      <u val="singleAccounting"/>
      <vertAlign val="subscript"/>
      <sz val="10"/>
      <name val="Times New Roman"/>
      <charset val="134"/>
    </font>
    <font>
      <i/>
      <sz val="9"/>
      <name val="Times New Roman"/>
      <charset val="134"/>
    </font>
    <font>
      <sz val="7"/>
      <name val="Helv"/>
      <charset val="134"/>
    </font>
    <font>
      <b/>
      <sz val="10"/>
      <name val="MS Sans Serif"/>
      <charset val="134"/>
    </font>
    <font>
      <sz val="10"/>
      <name val="Arial"/>
      <charset val="134"/>
    </font>
    <font>
      <u/>
      <sz val="7.5"/>
      <color indexed="36"/>
      <name val="Arial"/>
      <charset val="134"/>
    </font>
    <font>
      <sz val="8"/>
      <name val="Arial"/>
      <charset val="134"/>
    </font>
    <font>
      <u/>
      <sz val="7.5"/>
      <color indexed="12"/>
      <name val="Arial"/>
      <charset val="134"/>
    </font>
    <font>
      <sz val="10"/>
      <name val="Courier"/>
      <charset val="134"/>
    </font>
    <font>
      <sz val="7"/>
      <color indexed="10"/>
      <name val="Helv"/>
      <charset val="134"/>
    </font>
    <font>
      <sz val="11"/>
      <color theme="1"/>
      <name val="宋体"/>
      <charset val="134"/>
      <scheme val="minor"/>
    </font>
    <font>
      <sz val="11"/>
      <color indexed="8"/>
      <name val="宋体"/>
      <charset val="134"/>
    </font>
    <font>
      <sz val="11"/>
      <color theme="1"/>
      <name val="宋体"/>
      <charset val="134"/>
      <scheme val="minor"/>
    </font>
    <font>
      <sz val="11"/>
      <name val="ＭＳ Ｐゴシック"/>
      <charset val="134"/>
    </font>
    <font>
      <sz val="12"/>
      <name val="???"/>
      <charset val="134"/>
    </font>
    <font>
      <sz val="10"/>
      <color indexed="8"/>
      <name val="Arial"/>
      <charset val="134"/>
    </font>
    <font>
      <sz val="10"/>
      <name val="Helv"/>
      <charset val="134"/>
    </font>
    <font>
      <sz val="13"/>
      <name val="Tms Rmn"/>
      <charset val="134"/>
    </font>
    <font>
      <sz val="11"/>
      <color indexed="8"/>
      <name val="Calibri"/>
      <charset val="134"/>
    </font>
    <font>
      <sz val="11"/>
      <color indexed="9"/>
      <name val="Calibri"/>
      <charset val="134"/>
    </font>
    <font>
      <sz val="10"/>
      <name val="Book Antiqua"/>
      <charset val="134"/>
    </font>
    <font>
      <b/>
      <sz val="10"/>
      <name val="Book Antiqua"/>
      <charset val="134"/>
    </font>
    <font>
      <sz val="12"/>
      <color indexed="8"/>
      <name val="宋体"/>
      <charset val="134"/>
    </font>
    <font>
      <sz val="12"/>
      <color indexed="9"/>
      <name val="宋体"/>
      <charset val="134"/>
    </font>
    <font>
      <sz val="8"/>
      <name val="Times New Roman"/>
      <charset val="134"/>
    </font>
    <font>
      <sz val="11"/>
      <color indexed="20"/>
      <name val="Calibri"/>
      <charset val="134"/>
    </font>
    <font>
      <b/>
      <sz val="11"/>
      <color indexed="52"/>
      <name val="Calibri"/>
      <charset val="134"/>
    </font>
    <font>
      <b/>
      <sz val="10"/>
      <name val="Helv"/>
      <charset val="134"/>
    </font>
    <font>
      <b/>
      <sz val="11"/>
      <color indexed="9"/>
      <name val="Calibri"/>
      <charset val="134"/>
    </font>
    <font>
      <b/>
      <sz val="13"/>
      <name val="Tms Rmn"/>
      <charset val="134"/>
    </font>
    <font>
      <b/>
      <sz val="8"/>
      <name val="Arial"/>
      <charset val="134"/>
    </font>
    <font>
      <sz val="10"/>
      <name val="MS Sans Serif"/>
      <charset val="134"/>
    </font>
    <font>
      <sz val="10"/>
      <name val="MS Serif"/>
      <charset val="134"/>
    </font>
    <font>
      <sz val="12"/>
      <name val="Arial"/>
      <charset val="134"/>
    </font>
    <font>
      <sz val="12"/>
      <name val="Tms Rmn"/>
      <charset val="134"/>
    </font>
    <font>
      <sz val="10"/>
      <color indexed="16"/>
      <name val="MS Serif"/>
      <charset val="134"/>
    </font>
    <font>
      <sz val="9"/>
      <name val="Times New Roman"/>
      <charset val="134"/>
    </font>
    <font>
      <i/>
      <sz val="11"/>
      <color indexed="23"/>
      <name val="Calibri"/>
      <charset val="134"/>
    </font>
    <font>
      <sz val="11"/>
      <color indexed="17"/>
      <name val="Calibri"/>
      <charset val="134"/>
    </font>
    <font>
      <b/>
      <sz val="12"/>
      <name val="Helv"/>
      <charset val="134"/>
    </font>
    <font>
      <b/>
      <sz val="12"/>
      <name val="Arial"/>
      <charset val="134"/>
    </font>
    <font>
      <b/>
      <sz val="10"/>
      <name val="Arial"/>
      <charset val="134"/>
    </font>
    <font>
      <b/>
      <sz val="15"/>
      <color indexed="56"/>
      <name val="Calibri"/>
      <charset val="134"/>
    </font>
    <font>
      <b/>
      <sz val="13"/>
      <color indexed="56"/>
      <name val="Calibri"/>
      <charset val="134"/>
    </font>
    <font>
      <b/>
      <sz val="11"/>
      <color indexed="56"/>
      <name val="Calibri"/>
      <charset val="134"/>
    </font>
    <font>
      <sz val="11"/>
      <color indexed="62"/>
      <name val="Calibri"/>
      <charset val="134"/>
    </font>
    <font>
      <sz val="12"/>
      <name val="Helv"/>
      <charset val="134"/>
    </font>
    <font>
      <sz val="11"/>
      <color indexed="52"/>
      <name val="Calibri"/>
      <charset val="134"/>
    </font>
    <font>
      <sz val="12"/>
      <color indexed="9"/>
      <name val="Helv"/>
      <charset val="134"/>
    </font>
    <font>
      <b/>
      <sz val="11"/>
      <name val="Helv"/>
      <charset val="134"/>
    </font>
    <font>
      <sz val="11"/>
      <color indexed="60"/>
      <name val="Calibri"/>
      <charset val="134"/>
    </font>
    <font>
      <sz val="7"/>
      <name val="Small Fonts"/>
      <charset val="134"/>
    </font>
    <font>
      <sz val="10"/>
      <color indexed="8"/>
      <name val="MS Sans Serif"/>
      <charset val="134"/>
    </font>
    <font>
      <b/>
      <sz val="11"/>
      <color indexed="63"/>
      <name val="Calibri"/>
      <charset val="134"/>
    </font>
    <font>
      <sz val="10"/>
      <name val="Tms Rmn"/>
      <charset val="134"/>
    </font>
    <font>
      <sz val="8"/>
      <color indexed="16"/>
      <name val="Century Schoolbook"/>
      <charset val="134"/>
    </font>
    <font>
      <sz val="9"/>
      <color indexed="8"/>
      <name val="宋体"/>
      <charset val="134"/>
    </font>
    <font>
      <b/>
      <sz val="10"/>
      <color indexed="8"/>
      <name val="Arial"/>
      <charset val="134"/>
    </font>
    <font>
      <b/>
      <sz val="10"/>
      <color indexed="39"/>
      <name val="Arial"/>
      <charset val="134"/>
    </font>
    <font>
      <b/>
      <sz val="12"/>
      <color indexed="8"/>
      <name val="Arial"/>
      <charset val="134"/>
    </font>
    <font>
      <sz val="10"/>
      <color indexed="39"/>
      <name val="Arial"/>
      <charset val="134"/>
    </font>
    <font>
      <sz val="19"/>
      <color indexed="48"/>
      <name val="Arial"/>
      <charset val="134"/>
    </font>
    <font>
      <sz val="10"/>
      <color indexed="10"/>
      <name val="Arial"/>
      <charset val="134"/>
    </font>
    <font>
      <b/>
      <i/>
      <sz val="10"/>
      <name val="Times New Roman"/>
      <charset val="134"/>
    </font>
    <font>
      <b/>
      <sz val="12"/>
      <name val="MS Sans Serif"/>
      <charset val="134"/>
    </font>
    <font>
      <sz val="12"/>
      <name val="MS Sans Serif"/>
      <charset val="134"/>
    </font>
    <font>
      <b/>
      <sz val="8"/>
      <color indexed="8"/>
      <name val="Helv"/>
      <charset val="134"/>
    </font>
    <font>
      <b/>
      <sz val="10"/>
      <color indexed="10"/>
      <name val="Arial"/>
      <charset val="134"/>
    </font>
    <font>
      <b/>
      <sz val="9"/>
      <name val="Times New Roman"/>
      <charset val="134"/>
    </font>
    <font>
      <b/>
      <sz val="11"/>
      <color indexed="8"/>
      <name val="Calibri"/>
      <charset val="134"/>
    </font>
    <font>
      <sz val="11"/>
      <color indexed="10"/>
      <name val="Calibri"/>
      <charset val="134"/>
    </font>
    <font>
      <sz val="10"/>
      <name val="Geneva"/>
      <charset val="134"/>
    </font>
    <font>
      <sz val="11"/>
      <name val="明朝"/>
      <charset val="134"/>
    </font>
    <font>
      <sz val="14"/>
      <name val="柧挬"/>
      <charset val="134"/>
    </font>
    <font>
      <sz val="8"/>
      <name val="Century Schoolbook"/>
      <charset val="134"/>
    </font>
    <font>
      <b/>
      <sz val="18"/>
      <color indexed="62"/>
      <name val="宋体"/>
      <charset val="134"/>
    </font>
    <font>
      <sz val="11"/>
      <color indexed="26"/>
      <name val="宋体"/>
      <charset val="134"/>
    </font>
    <font>
      <sz val="11"/>
      <color indexed="20"/>
      <name val="宋体"/>
      <charset val="134"/>
    </font>
    <font>
      <sz val="12"/>
      <color indexed="16"/>
      <name val="宋体"/>
      <charset val="134"/>
    </font>
    <font>
      <sz val="11"/>
      <color indexed="9"/>
      <name val="宋体"/>
      <charset val="134"/>
    </font>
    <font>
      <sz val="11"/>
      <color rgb="FF9C0006"/>
      <name val="宋体"/>
      <charset val="134"/>
      <scheme val="minor"/>
    </font>
    <font>
      <sz val="12"/>
      <color indexed="20"/>
      <name val="宋体"/>
      <charset val="134"/>
    </font>
    <font>
      <sz val="10"/>
      <color indexed="20"/>
      <name val="Times New Roman"/>
      <charset val="134"/>
    </font>
    <font>
      <u/>
      <sz val="9"/>
      <color indexed="12"/>
      <name val="Times New Roman"/>
      <charset val="134"/>
    </font>
    <font>
      <u/>
      <sz val="11"/>
      <color theme="10"/>
      <name val="宋体"/>
      <charset val="134"/>
    </font>
    <font>
      <sz val="11"/>
      <color indexed="38"/>
      <name val="宋体"/>
      <charset val="134"/>
    </font>
    <font>
      <sz val="11"/>
      <color indexed="17"/>
      <name val="宋体"/>
      <charset val="134"/>
    </font>
    <font>
      <sz val="12"/>
      <color indexed="17"/>
      <name val="宋体"/>
      <charset val="134"/>
    </font>
    <font>
      <sz val="11"/>
      <color rgb="FF006100"/>
      <name val="宋体"/>
      <charset val="134"/>
      <scheme val="minor"/>
    </font>
    <font>
      <sz val="10"/>
      <color indexed="17"/>
      <name val="Times New Roman"/>
      <charset val="134"/>
    </font>
    <font>
      <sz val="11"/>
      <color indexed="21"/>
      <name val="宋体"/>
      <charset val="134"/>
    </font>
    <font>
      <sz val="12"/>
      <name val="新細明體"/>
      <charset val="134"/>
    </font>
    <font>
      <sz val="12"/>
      <name val="官帕眉"/>
      <charset val="134"/>
    </font>
    <font>
      <sz val="10"/>
      <name val="奔覆眉"/>
      <charset val="134"/>
    </font>
    <font>
      <sz val="12"/>
      <name val="柧挬"/>
      <charset val="134"/>
    </font>
    <font>
      <sz val="12"/>
      <name val="바탕체"/>
      <charset val="134"/>
    </font>
    <font>
      <sz val="10"/>
      <name val="宋体"/>
      <charset val="134"/>
    </font>
  </fonts>
  <fills count="101">
    <fill>
      <patternFill patternType="none"/>
    </fill>
    <fill>
      <patternFill patternType="gray125"/>
    </fill>
    <fill>
      <patternFill patternType="solid">
        <fgColor theme="7" tint="0.799981688894314"/>
        <bgColor indexed="64"/>
      </patternFill>
    </fill>
    <fill>
      <patternFill patternType="solid">
        <fgColor rgb="FFE4DFEC"/>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FF0000"/>
        <bgColor indexed="64"/>
      </patternFill>
    </fill>
    <fill>
      <patternFill patternType="solid">
        <fgColor theme="7" tint="0.799981688894314"/>
        <bgColor rgb="FFB7DEE8"/>
      </patternFill>
    </fill>
    <fill>
      <patternFill patternType="solid">
        <fgColor rgb="FFFFF8E7"/>
        <bgColor indexed="64"/>
      </patternFill>
    </fill>
    <fill>
      <patternFill patternType="solid">
        <fgColor rgb="FFDCD5E5"/>
        <bgColor indexed="64"/>
      </patternFill>
    </fill>
    <fill>
      <patternFill patternType="solid">
        <fgColor rgb="FF0000FF"/>
        <bgColor indexed="64"/>
      </patternFill>
    </fill>
    <fill>
      <patternFill patternType="solid">
        <fgColor rgb="FFFFFF00"/>
        <bgColor indexed="64"/>
      </patternFill>
    </fill>
    <fill>
      <patternFill patternType="solid">
        <fgColor theme="0" tint="-0.149998474074526"/>
        <bgColor indexed="64"/>
      </patternFill>
    </fill>
    <fill>
      <patternFill patternType="solid">
        <fgColor indexed="14"/>
        <bgColor indexed="64"/>
      </patternFill>
    </fill>
    <fill>
      <patternFill patternType="solid">
        <fgColor theme="0"/>
        <bgColor indexed="64"/>
      </patternFill>
    </fill>
    <fill>
      <patternFill patternType="solid">
        <fgColor theme="0" tint="-0.499984740745262"/>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
      <patternFill patternType="solid">
        <fgColor indexed="26"/>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55"/>
        <bgColor indexed="64"/>
      </patternFill>
    </fill>
    <fill>
      <patternFill patternType="solid">
        <fgColor indexed="13"/>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9"/>
        <bgColor indexed="9"/>
      </patternFill>
    </fill>
    <fill>
      <patternFill patternType="solid">
        <fgColor indexed="45"/>
        <bgColor indexed="45"/>
      </patternFill>
    </fill>
    <fill>
      <patternFill patternType="solid">
        <fgColor rgb="FFFFC7CE"/>
        <bgColor indexed="64"/>
      </patternFill>
    </fill>
    <fill>
      <patternFill patternType="solid">
        <fgColor indexed="56"/>
        <bgColor indexed="64"/>
      </patternFill>
    </fill>
    <fill>
      <patternFill patternType="solid">
        <fgColor rgb="FFC6EFCE"/>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45">
    <border>
      <left/>
      <right/>
      <top/>
      <bottom/>
      <diagonal/>
    </border>
    <border>
      <left style="hair">
        <color auto="1"/>
      </left>
      <right style="hair">
        <color auto="1"/>
      </right>
      <top style="hair">
        <color auto="1"/>
      </top>
      <bottom style="hair">
        <color auto="1"/>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style="hair">
        <color auto="1"/>
      </right>
      <top/>
      <bottom/>
      <diagonal/>
    </border>
    <border>
      <left style="hair">
        <color auto="1"/>
      </left>
      <right/>
      <top style="hair">
        <color auto="1"/>
      </top>
      <bottom/>
      <diagonal/>
    </border>
    <border>
      <left style="hair">
        <color auto="1"/>
      </left>
      <right style="hair">
        <color auto="1"/>
      </right>
      <top style="hair">
        <color auto="1"/>
      </top>
      <bottom/>
      <diagonal/>
    </border>
    <border>
      <left style="thin">
        <color auto="1"/>
      </left>
      <right style="thin">
        <color auto="1"/>
      </right>
      <top style="thin">
        <color auto="1"/>
      </top>
      <bottom style="thin">
        <color auto="1"/>
      </bottom>
      <diagonal/>
    </border>
    <border>
      <left style="hair">
        <color auto="1"/>
      </left>
      <right/>
      <top/>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style="thin">
        <color auto="1"/>
      </top>
      <bottom/>
      <diagonal/>
    </border>
    <border>
      <left/>
      <right/>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845">
    <xf numFmtId="0" fontId="0" fillId="0" borderId="0">
      <protection locked="0"/>
    </xf>
    <xf numFmtId="43" fontId="0" fillId="0" borderId="0"/>
    <xf numFmtId="44" fontId="81" fillId="0" borderId="0" applyFont="0" applyFill="0" applyBorder="0" applyAlignment="0" applyProtection="0">
      <alignment vertical="center"/>
    </xf>
    <xf numFmtId="9" fontId="0" fillId="0" borderId="0"/>
    <xf numFmtId="41" fontId="81" fillId="0" borderId="0" applyFont="0" applyFill="0" applyBorder="0" applyAlignment="0" applyProtection="0">
      <alignment vertical="center"/>
    </xf>
    <xf numFmtId="42" fontId="81" fillId="0" borderId="0" applyFont="0" applyFill="0" applyBorder="0" applyAlignment="0" applyProtection="0">
      <alignment vertical="center"/>
    </xf>
    <xf numFmtId="0" fontId="82" fillId="0" borderId="0">
      <alignment vertical="top"/>
      <protection locked="0"/>
    </xf>
    <xf numFmtId="0" fontId="83" fillId="0" borderId="0" applyNumberFormat="0" applyFill="0" applyBorder="0" applyAlignment="0" applyProtection="0">
      <alignment vertical="center"/>
    </xf>
    <xf numFmtId="0" fontId="81" fillId="19" borderId="23" applyNumberFormat="0" applyFont="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0" borderId="24" applyNumberFormat="0" applyFill="0" applyAlignment="0" applyProtection="0">
      <alignment vertical="center"/>
    </xf>
    <xf numFmtId="0" fontId="88" fillId="0" borderId="24" applyNumberFormat="0" applyFill="0" applyAlignment="0" applyProtection="0">
      <alignment vertical="center"/>
    </xf>
    <xf numFmtId="0" fontId="89" fillId="0" borderId="25" applyNumberFormat="0" applyFill="0" applyAlignment="0" applyProtection="0">
      <alignment vertical="center"/>
    </xf>
    <xf numFmtId="0" fontId="89" fillId="0" borderId="0" applyNumberFormat="0" applyFill="0" applyBorder="0" applyAlignment="0" applyProtection="0">
      <alignment vertical="center"/>
    </xf>
    <xf numFmtId="0" fontId="90" fillId="20" borderId="26" applyNumberFormat="0" applyAlignment="0" applyProtection="0">
      <alignment vertical="center"/>
    </xf>
    <xf numFmtId="0" fontId="91" fillId="21" borderId="27" applyNumberFormat="0" applyAlignment="0" applyProtection="0">
      <alignment vertical="center"/>
    </xf>
    <xf numFmtId="0" fontId="92" fillId="21" borderId="26" applyNumberFormat="0" applyAlignment="0" applyProtection="0">
      <alignment vertical="center"/>
    </xf>
    <xf numFmtId="0" fontId="93" fillId="22" borderId="28" applyNumberFormat="0" applyAlignment="0" applyProtection="0">
      <alignment vertical="center"/>
    </xf>
    <xf numFmtId="0" fontId="94" fillId="0" borderId="29" applyNumberFormat="0" applyFill="0" applyAlignment="0" applyProtection="0">
      <alignment vertical="center"/>
    </xf>
    <xf numFmtId="0" fontId="95" fillId="0" borderId="30" applyNumberFormat="0" applyFill="0" applyAlignment="0" applyProtection="0">
      <alignment vertical="center"/>
    </xf>
    <xf numFmtId="0" fontId="96" fillId="23" borderId="0" applyNumberFormat="0" applyBorder="0" applyAlignment="0" applyProtection="0">
      <alignment vertical="center"/>
    </xf>
    <xf numFmtId="0" fontId="97" fillId="24" borderId="0" applyNumberFormat="0" applyBorder="0" applyAlignment="0" applyProtection="0">
      <alignment vertical="center"/>
    </xf>
    <xf numFmtId="0" fontId="98" fillId="25" borderId="0" applyNumberFormat="0" applyBorder="0" applyAlignment="0" applyProtection="0">
      <alignment vertical="center"/>
    </xf>
    <xf numFmtId="0" fontId="99" fillId="26"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99" fillId="29" borderId="0" applyNumberFormat="0" applyBorder="0" applyAlignment="0" applyProtection="0">
      <alignment vertical="center"/>
    </xf>
    <xf numFmtId="0" fontId="99" fillId="30"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33" borderId="0" applyNumberFormat="0" applyBorder="0" applyAlignment="0" applyProtection="0">
      <alignment vertical="center"/>
    </xf>
    <xf numFmtId="0" fontId="99" fillId="34" borderId="0" applyNumberFormat="0" applyBorder="0" applyAlignment="0" applyProtection="0">
      <alignment vertical="center"/>
    </xf>
    <xf numFmtId="0" fontId="100" fillId="35" borderId="0" applyNumberFormat="0" applyBorder="0" applyAlignment="0" applyProtection="0">
      <alignment vertical="center"/>
    </xf>
    <xf numFmtId="0" fontId="100" fillId="36" borderId="0" applyNumberFormat="0" applyBorder="0" applyAlignment="0" applyProtection="0">
      <alignment vertical="center"/>
    </xf>
    <xf numFmtId="0" fontId="99" fillId="37" borderId="0" applyNumberFormat="0" applyBorder="0" applyAlignment="0" applyProtection="0">
      <alignment vertical="center"/>
    </xf>
    <xf numFmtId="0" fontId="99" fillId="38" borderId="0" applyNumberFormat="0" applyBorder="0" applyAlignment="0" applyProtection="0">
      <alignment vertical="center"/>
    </xf>
    <xf numFmtId="0" fontId="100" fillId="39" borderId="0" applyNumberFormat="0" applyBorder="0" applyAlignment="0" applyProtection="0">
      <alignment vertical="center"/>
    </xf>
    <xf numFmtId="0" fontId="100" fillId="40" borderId="0" applyNumberFormat="0" applyBorder="0" applyAlignment="0" applyProtection="0">
      <alignment vertical="center"/>
    </xf>
    <xf numFmtId="0" fontId="99" fillId="41" borderId="0" applyNumberFormat="0" applyBorder="0" applyAlignment="0" applyProtection="0">
      <alignment vertical="center"/>
    </xf>
    <xf numFmtId="0" fontId="99" fillId="42" borderId="0" applyNumberFormat="0" applyBorder="0" applyAlignment="0" applyProtection="0">
      <alignment vertical="center"/>
    </xf>
    <xf numFmtId="0" fontId="100" fillId="43" borderId="0" applyNumberFormat="0" applyBorder="0" applyAlignment="0" applyProtection="0">
      <alignment vertical="center"/>
    </xf>
    <xf numFmtId="0" fontId="100" fillId="44" borderId="0" applyNumberFormat="0" applyBorder="0" applyAlignment="0" applyProtection="0">
      <alignment vertical="center"/>
    </xf>
    <xf numFmtId="0" fontId="99" fillId="45" borderId="0" applyNumberFormat="0" applyBorder="0" applyAlignment="0" applyProtection="0">
      <alignment vertical="center"/>
    </xf>
    <xf numFmtId="0" fontId="99" fillId="46" borderId="0" applyNumberFormat="0" applyBorder="0" applyAlignment="0" applyProtection="0">
      <alignment vertical="center"/>
    </xf>
    <xf numFmtId="0" fontId="100" fillId="47" borderId="0" applyNumberFormat="0" applyBorder="0" applyAlignment="0" applyProtection="0">
      <alignment vertical="center"/>
    </xf>
    <xf numFmtId="0" fontId="100" fillId="48" borderId="0" applyNumberFormat="0" applyBorder="0" applyAlignment="0" applyProtection="0">
      <alignment vertical="center"/>
    </xf>
    <xf numFmtId="0" fontId="99" fillId="49" borderId="0" applyNumberFormat="0" applyBorder="0" applyAlignment="0" applyProtection="0">
      <alignment vertical="center"/>
    </xf>
    <xf numFmtId="0" fontId="101" fillId="0" borderId="0"/>
    <xf numFmtId="0" fontId="0" fillId="0" borderId="0"/>
    <xf numFmtId="49" fontId="102" fillId="0" borderId="0">
      <alignment horizontal="left"/>
    </xf>
    <xf numFmtId="176" fontId="102" fillId="0" borderId="0">
      <alignment horizontal="right"/>
    </xf>
    <xf numFmtId="177" fontId="102" fillId="0" borderId="0">
      <alignment horizontal="right"/>
    </xf>
    <xf numFmtId="178" fontId="103" fillId="0" borderId="0">
      <alignment horizontal="center"/>
    </xf>
    <xf numFmtId="179" fontId="103" fillId="0" borderId="0">
      <alignment horizontal="center"/>
    </xf>
    <xf numFmtId="180" fontId="104" fillId="0" borderId="0">
      <alignment horizontal="right"/>
    </xf>
    <xf numFmtId="181" fontId="102" fillId="0" borderId="0">
      <alignment horizontal="right"/>
    </xf>
    <xf numFmtId="182" fontId="102" fillId="0" borderId="0">
      <alignment horizontal="right"/>
    </xf>
    <xf numFmtId="183" fontId="102" fillId="0" borderId="0">
      <alignment horizontal="right"/>
    </xf>
    <xf numFmtId="184" fontId="102" fillId="0" borderId="0">
      <alignment horizontal="right"/>
    </xf>
    <xf numFmtId="3" fontId="105" fillId="0" borderId="0"/>
    <xf numFmtId="185" fontId="106" fillId="0" borderId="21"/>
    <xf numFmtId="41" fontId="107" fillId="0" borderId="0"/>
    <xf numFmtId="43" fontId="107" fillId="0" borderId="0"/>
    <xf numFmtId="0" fontId="102" fillId="0" borderId="0"/>
    <xf numFmtId="0" fontId="108" fillId="0" borderId="0">
      <alignment vertical="top"/>
      <protection locked="0"/>
    </xf>
    <xf numFmtId="38" fontId="109" fillId="50" borderId="0"/>
    <xf numFmtId="0" fontId="110" fillId="0" borderId="0">
      <alignment vertical="top"/>
      <protection locked="0"/>
    </xf>
    <xf numFmtId="10" fontId="109" fillId="51" borderId="16"/>
    <xf numFmtId="0" fontId="111" fillId="0" borderId="0"/>
    <xf numFmtId="186" fontId="0" fillId="0" borderId="0"/>
    <xf numFmtId="10" fontId="107" fillId="0" borderId="0"/>
    <xf numFmtId="3" fontId="112" fillId="0" borderId="0"/>
    <xf numFmtId="0" fontId="0" fillId="0" borderId="0">
      <protection locked="0"/>
    </xf>
    <xf numFmtId="0" fontId="0" fillId="0" borderId="0">
      <protection locked="0"/>
    </xf>
    <xf numFmtId="0" fontId="0" fillId="0" borderId="0">
      <alignment vertical="center"/>
    </xf>
    <xf numFmtId="0" fontId="0" fillId="0" borderId="0">
      <alignment vertical="center"/>
    </xf>
    <xf numFmtId="0" fontId="0" fillId="0" borderId="0"/>
    <xf numFmtId="0" fontId="102" fillId="0" borderId="0">
      <protection locked="0"/>
    </xf>
    <xf numFmtId="0" fontId="0" fillId="0" borderId="0"/>
    <xf numFmtId="0" fontId="0" fillId="0" borderId="0">
      <alignment vertical="center"/>
    </xf>
    <xf numFmtId="0" fontId="0" fillId="0" borderId="0"/>
    <xf numFmtId="0" fontId="113" fillId="0" borderId="0">
      <alignment vertical="center"/>
    </xf>
    <xf numFmtId="43" fontId="114" fillId="0" borderId="0">
      <alignment vertical="center"/>
    </xf>
    <xf numFmtId="0" fontId="0" fillId="0" borderId="0">
      <alignment vertical="center"/>
      <protection locked="0"/>
    </xf>
    <xf numFmtId="0" fontId="0" fillId="0" borderId="0">
      <protection locked="0"/>
    </xf>
    <xf numFmtId="0" fontId="115" fillId="0" borderId="0">
      <alignment vertical="center"/>
    </xf>
    <xf numFmtId="0" fontId="0" fillId="0" borderId="0"/>
    <xf numFmtId="0" fontId="113" fillId="0" borderId="0">
      <alignment vertical="center"/>
    </xf>
    <xf numFmtId="43" fontId="114" fillId="0" borderId="0">
      <alignment vertical="center"/>
    </xf>
    <xf numFmtId="0" fontId="0" fillId="0" borderId="0">
      <protection locked="0"/>
    </xf>
    <xf numFmtId="0" fontId="0" fillId="0" borderId="0"/>
    <xf numFmtId="0" fontId="107" fillId="0" borderId="0"/>
    <xf numFmtId="0" fontId="107" fillId="0" borderId="0"/>
    <xf numFmtId="0" fontId="0" fillId="0" borderId="0"/>
    <xf numFmtId="0" fontId="107" fillId="0" borderId="0"/>
    <xf numFmtId="0" fontId="107" fillId="0" borderId="0"/>
    <xf numFmtId="0" fontId="107" fillId="0" borderId="0"/>
    <xf numFmtId="0" fontId="116" fillId="0" borderId="0"/>
    <xf numFmtId="0" fontId="116" fillId="0" borderId="0"/>
    <xf numFmtId="0" fontId="11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49" fontId="102" fillId="0" borderId="0">
      <alignment horizontal="left"/>
    </xf>
    <xf numFmtId="0" fontId="118" fillId="0" borderId="0">
      <alignment vertical="top"/>
      <protection locked="0"/>
    </xf>
    <xf numFmtId="0" fontId="118" fillId="0" borderId="0">
      <alignment vertical="top"/>
    </xf>
    <xf numFmtId="0" fontId="107" fillId="0" borderId="0">
      <protection locked="0"/>
    </xf>
    <xf numFmtId="0" fontId="118" fillId="0" borderId="0">
      <alignment vertical="top"/>
      <protection locked="0"/>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07" fillId="0" borderId="0">
      <protection locked="0"/>
    </xf>
    <xf numFmtId="0" fontId="119" fillId="0" borderId="0"/>
    <xf numFmtId="0" fontId="119" fillId="0" borderId="0"/>
    <xf numFmtId="0" fontId="119" fillId="0" borderId="0"/>
    <xf numFmtId="0" fontId="119" fillId="0" borderId="0"/>
    <xf numFmtId="0" fontId="119" fillId="0" borderId="0"/>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9" fillId="0" borderId="0"/>
    <xf numFmtId="0" fontId="119" fillId="0" borderId="0"/>
    <xf numFmtId="0" fontId="119" fillId="0" borderId="0"/>
    <xf numFmtId="0" fontId="119" fillId="0" borderId="0"/>
    <xf numFmtId="0" fontId="119" fillId="0" borderId="0"/>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9" fillId="0" borderId="0"/>
    <xf numFmtId="0" fontId="119" fillId="0" borderId="0"/>
    <xf numFmtId="0" fontId="119" fillId="0" borderId="0"/>
    <xf numFmtId="0" fontId="119" fillId="0" borderId="0"/>
    <xf numFmtId="0" fontId="119" fillId="0" borderId="0"/>
    <xf numFmtId="0" fontId="118" fillId="0" borderId="0">
      <alignment vertical="top"/>
    </xf>
    <xf numFmtId="0" fontId="107" fillId="0" borderId="0"/>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xf>
    <xf numFmtId="0" fontId="118" fillId="0" borderId="0">
      <alignment vertical="top"/>
    </xf>
    <xf numFmtId="0" fontId="101" fillId="0" borderId="0"/>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9" fillId="0" borderId="0"/>
    <xf numFmtId="0" fontId="118" fillId="0" borderId="0">
      <alignment vertical="top"/>
    </xf>
    <xf numFmtId="0" fontId="118" fillId="0" borderId="0">
      <alignment vertical="top"/>
    </xf>
    <xf numFmtId="0" fontId="118" fillId="0" borderId="0">
      <alignment vertical="top"/>
    </xf>
    <xf numFmtId="0" fontId="119" fillId="0" borderId="0"/>
    <xf numFmtId="0" fontId="119" fillId="0" borderId="0"/>
    <xf numFmtId="0" fontId="119" fillId="0" borderId="0"/>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9" fillId="0" borderId="0"/>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9" fillId="0" borderId="0"/>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xf>
    <xf numFmtId="0" fontId="118" fillId="0" borderId="0">
      <alignment vertical="top"/>
      <protection locked="0"/>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9" fillId="0" borderId="0"/>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8" fillId="0" borderId="0">
      <alignment vertical="top"/>
      <protection locked="0"/>
    </xf>
    <xf numFmtId="0" fontId="119" fillId="0" borderId="0"/>
    <xf numFmtId="187" fontId="120" fillId="0" borderId="0"/>
    <xf numFmtId="0" fontId="101" fillId="0" borderId="0"/>
    <xf numFmtId="188" fontId="120" fillId="0" borderId="0"/>
    <xf numFmtId="10" fontId="120" fillId="0" borderId="0"/>
    <xf numFmtId="189" fontId="0" fillId="0" borderId="0"/>
    <xf numFmtId="0" fontId="121" fillId="52" borderId="0"/>
    <xf numFmtId="0" fontId="121" fillId="53" borderId="0"/>
    <xf numFmtId="0" fontId="121" fillId="54" borderId="0"/>
    <xf numFmtId="0" fontId="121" fillId="55" borderId="0"/>
    <xf numFmtId="0" fontId="121" fillId="56" borderId="0"/>
    <xf numFmtId="0" fontId="121" fillId="57" borderId="0"/>
    <xf numFmtId="0" fontId="121" fillId="58" borderId="0"/>
    <xf numFmtId="0" fontId="121" fillId="59" borderId="0"/>
    <xf numFmtId="0" fontId="121" fillId="60" borderId="0"/>
    <xf numFmtId="0" fontId="121" fillId="55" borderId="0"/>
    <xf numFmtId="0" fontId="121" fillId="58" borderId="0"/>
    <xf numFmtId="0" fontId="121" fillId="61" borderId="0"/>
    <xf numFmtId="0" fontId="122" fillId="62" borderId="0"/>
    <xf numFmtId="0" fontId="122" fillId="59" borderId="0"/>
    <xf numFmtId="0" fontId="122" fillId="60" borderId="0"/>
    <xf numFmtId="0" fontId="122" fillId="63" borderId="0"/>
    <xf numFmtId="0" fontId="122" fillId="64" borderId="0"/>
    <xf numFmtId="0" fontId="122" fillId="65" borderId="0"/>
    <xf numFmtId="0" fontId="123" fillId="0" borderId="16">
      <alignment horizontal="center"/>
    </xf>
    <xf numFmtId="0" fontId="123" fillId="0" borderId="16">
      <alignment horizontal="center"/>
    </xf>
    <xf numFmtId="0" fontId="123" fillId="0" borderId="16">
      <alignment horizontal="center"/>
    </xf>
    <xf numFmtId="0" fontId="124" fillId="0" borderId="0"/>
    <xf numFmtId="0" fontId="124" fillId="0" borderId="19">
      <alignment horizontal="center"/>
      <protection locked="0"/>
    </xf>
    <xf numFmtId="0" fontId="123" fillId="0" borderId="0">
      <alignment horizontal="center"/>
      <protection locked="0"/>
    </xf>
    <xf numFmtId="0" fontId="123" fillId="66" borderId="0"/>
    <xf numFmtId="0" fontId="123" fillId="0" borderId="0">
      <protection locked="0"/>
    </xf>
    <xf numFmtId="0" fontId="123" fillId="0" borderId="0"/>
    <xf numFmtId="190" fontId="123" fillId="0" borderId="0"/>
    <xf numFmtId="191" fontId="123" fillId="0" borderId="0"/>
    <xf numFmtId="0" fontId="124" fillId="67" borderId="0">
      <alignment horizontal="right"/>
    </xf>
    <xf numFmtId="0" fontId="123" fillId="0" borderId="0"/>
    <xf numFmtId="0" fontId="122" fillId="68" borderId="0"/>
    <xf numFmtId="0" fontId="125" fillId="69" borderId="0"/>
    <xf numFmtId="0" fontId="125" fillId="69" borderId="0"/>
    <xf numFmtId="0" fontId="126" fillId="70" borderId="0"/>
    <xf numFmtId="0" fontId="122" fillId="71" borderId="0"/>
    <xf numFmtId="0" fontId="125" fillId="72" borderId="0"/>
    <xf numFmtId="0" fontId="125" fillId="73" borderId="0"/>
    <xf numFmtId="0" fontId="126" fillId="74" borderId="0"/>
    <xf numFmtId="0" fontId="122" fillId="75" borderId="0"/>
    <xf numFmtId="0" fontId="125" fillId="72" borderId="0"/>
    <xf numFmtId="0" fontId="125" fillId="76" borderId="0"/>
    <xf numFmtId="0" fontId="126" fillId="73" borderId="0"/>
    <xf numFmtId="0" fontId="122" fillId="63" borderId="0"/>
    <xf numFmtId="0" fontId="125" fillId="69" borderId="0"/>
    <xf numFmtId="0" fontId="125" fillId="73" borderId="0"/>
    <xf numFmtId="0" fontId="126" fillId="73" borderId="0"/>
    <xf numFmtId="0" fontId="122" fillId="64" borderId="0"/>
    <xf numFmtId="0" fontId="125" fillId="77" borderId="0"/>
    <xf numFmtId="0" fontId="125" fillId="69" borderId="0"/>
    <xf numFmtId="0" fontId="126" fillId="70" borderId="0"/>
    <xf numFmtId="0" fontId="122" fillId="78" borderId="0"/>
    <xf numFmtId="0" fontId="125" fillId="72" borderId="0"/>
    <xf numFmtId="0" fontId="125" fillId="79" borderId="0"/>
    <xf numFmtId="0" fontId="126" fillId="79" borderId="0"/>
    <xf numFmtId="0" fontId="127" fillId="0" borderId="0">
      <alignment horizontal="center" wrapText="1"/>
      <protection locked="0"/>
    </xf>
    <xf numFmtId="0" fontId="128" fillId="53" borderId="0"/>
    <xf numFmtId="185" fontId="106" fillId="0" borderId="21"/>
    <xf numFmtId="185" fontId="106" fillId="0" borderId="21"/>
    <xf numFmtId="192" fontId="118" fillId="0" borderId="0"/>
    <xf numFmtId="193" fontId="0" fillId="0" borderId="0"/>
    <xf numFmtId="194" fontId="107" fillId="0" borderId="0"/>
    <xf numFmtId="195" fontId="107" fillId="0" borderId="0"/>
    <xf numFmtId="196" fontId="107" fillId="0" borderId="0"/>
    <xf numFmtId="197" fontId="107" fillId="0" borderId="0"/>
    <xf numFmtId="198" fontId="107" fillId="0" borderId="0"/>
    <xf numFmtId="199" fontId="107" fillId="0" borderId="0"/>
    <xf numFmtId="194" fontId="107" fillId="0" borderId="0"/>
    <xf numFmtId="0" fontId="129" fillId="50" borderId="31"/>
    <xf numFmtId="0" fontId="130" fillId="0" borderId="0"/>
    <xf numFmtId="0" fontId="131" fillId="80" borderId="32"/>
    <xf numFmtId="0" fontId="132" fillId="0" borderId="33">
      <alignment horizontal="center"/>
    </xf>
    <xf numFmtId="0" fontId="133" fillId="0" borderId="34">
      <alignment horizontal="center"/>
    </xf>
    <xf numFmtId="200" fontId="107" fillId="0" borderId="0"/>
    <xf numFmtId="200" fontId="107" fillId="0" borderId="0"/>
    <xf numFmtId="200" fontId="107" fillId="0" borderId="0"/>
    <xf numFmtId="200" fontId="107" fillId="0" borderId="0"/>
    <xf numFmtId="200" fontId="107" fillId="0" borderId="0"/>
    <xf numFmtId="200" fontId="107" fillId="0" borderId="0"/>
    <xf numFmtId="200" fontId="107" fillId="0" borderId="0"/>
    <xf numFmtId="200" fontId="107" fillId="0" borderId="0"/>
    <xf numFmtId="42" fontId="0" fillId="0" borderId="0"/>
    <xf numFmtId="198" fontId="107" fillId="0" borderId="0"/>
    <xf numFmtId="43" fontId="0" fillId="0" borderId="0"/>
    <xf numFmtId="43" fontId="0" fillId="0" borderId="0"/>
    <xf numFmtId="201" fontId="102" fillId="0" borderId="0"/>
    <xf numFmtId="37" fontId="120" fillId="0" borderId="0"/>
    <xf numFmtId="202" fontId="120" fillId="0" borderId="0"/>
    <xf numFmtId="39" fontId="120" fillId="0" borderId="0"/>
    <xf numFmtId="40" fontId="134" fillId="0" borderId="0"/>
    <xf numFmtId="0" fontId="135" fillId="0" borderId="0">
      <alignment horizontal="left"/>
    </xf>
    <xf numFmtId="0" fontId="111" fillId="0" borderId="0"/>
    <xf numFmtId="42" fontId="136" fillId="0" borderId="0"/>
    <xf numFmtId="194" fontId="107" fillId="0" borderId="0"/>
    <xf numFmtId="185" fontId="120" fillId="0" borderId="0"/>
    <xf numFmtId="203" fontId="120" fillId="0" borderId="0"/>
    <xf numFmtId="204" fontId="0" fillId="0" borderId="0"/>
    <xf numFmtId="205" fontId="102" fillId="0" borderId="0"/>
    <xf numFmtId="206" fontId="107" fillId="0" borderId="0">
      <protection locked="0"/>
    </xf>
    <xf numFmtId="15" fontId="134" fillId="0" borderId="0"/>
    <xf numFmtId="14" fontId="118" fillId="0" borderId="0"/>
    <xf numFmtId="206" fontId="107" fillId="0" borderId="0">
      <protection locked="0"/>
    </xf>
    <xf numFmtId="207" fontId="102" fillId="0" borderId="0"/>
    <xf numFmtId="0" fontId="137" fillId="0" borderId="0"/>
    <xf numFmtId="198" fontId="107" fillId="0" borderId="0"/>
    <xf numFmtId="194" fontId="107" fillId="0" borderId="0"/>
    <xf numFmtId="198" fontId="107" fillId="0" borderId="0"/>
    <xf numFmtId="199" fontId="107" fillId="0" borderId="0"/>
    <xf numFmtId="194" fontId="107" fillId="0" borderId="0"/>
    <xf numFmtId="0" fontId="138" fillId="0" borderId="0">
      <alignment horizontal="left"/>
    </xf>
    <xf numFmtId="0" fontId="139" fillId="0" borderId="0">
      <alignment horizontal="left"/>
    </xf>
    <xf numFmtId="0" fontId="139" fillId="0" borderId="0">
      <alignment horizontal="left"/>
    </xf>
    <xf numFmtId="0" fontId="139" fillId="0" borderId="0">
      <alignment horizontal="left"/>
    </xf>
    <xf numFmtId="0" fontId="109" fillId="81" borderId="16"/>
    <xf numFmtId="0" fontId="109" fillId="81" borderId="16"/>
    <xf numFmtId="0" fontId="109" fillId="81" borderId="16"/>
    <xf numFmtId="0" fontId="109" fillId="81" borderId="16"/>
    <xf numFmtId="0" fontId="109" fillId="81" borderId="16"/>
    <xf numFmtId="0" fontId="109" fillId="81" borderId="16"/>
    <xf numFmtId="0" fontId="109" fillId="81" borderId="16"/>
    <xf numFmtId="0" fontId="140" fillId="0" borderId="0"/>
    <xf numFmtId="206" fontId="107" fillId="0" borderId="0">
      <protection locked="0"/>
    </xf>
    <xf numFmtId="206" fontId="107" fillId="0" borderId="0">
      <protection locked="0"/>
    </xf>
    <xf numFmtId="206" fontId="107" fillId="0" borderId="0">
      <protection locked="0"/>
    </xf>
    <xf numFmtId="206" fontId="107" fillId="0" borderId="0">
      <protection locked="0"/>
    </xf>
    <xf numFmtId="206" fontId="107" fillId="0" borderId="0">
      <protection locked="0"/>
    </xf>
    <xf numFmtId="206" fontId="107" fillId="0" borderId="0">
      <protection locked="0"/>
    </xf>
    <xf numFmtId="206" fontId="107" fillId="0" borderId="0">
      <protection locked="0"/>
    </xf>
    <xf numFmtId="206" fontId="107" fillId="0" borderId="0">
      <protection locked="0"/>
    </xf>
    <xf numFmtId="0" fontId="141" fillId="54" borderId="0"/>
    <xf numFmtId="0" fontId="142" fillId="0" borderId="0">
      <alignment horizontal="left"/>
    </xf>
    <xf numFmtId="0" fontId="143" fillId="0" borderId="18">
      <alignment horizontal="left" vertical="center"/>
    </xf>
    <xf numFmtId="0" fontId="143" fillId="0" borderId="18">
      <alignment horizontal="left" vertical="center"/>
    </xf>
    <xf numFmtId="0" fontId="143" fillId="0" borderId="18">
      <alignment horizontal="left" vertical="center"/>
    </xf>
    <xf numFmtId="0" fontId="143" fillId="0" borderId="35">
      <alignment horizontal="left" vertical="center"/>
    </xf>
    <xf numFmtId="0" fontId="143" fillId="0" borderId="35">
      <alignment horizontal="left" vertical="center"/>
    </xf>
    <xf numFmtId="0" fontId="143" fillId="0" borderId="35">
      <alignment horizontal="left" vertical="center"/>
    </xf>
    <xf numFmtId="14" fontId="144" fillId="56" borderId="19">
      <alignment horizontal="center" vertical="center" wrapText="1"/>
    </xf>
    <xf numFmtId="0" fontId="145" fillId="0" borderId="36"/>
    <xf numFmtId="0" fontId="146" fillId="0" borderId="37"/>
    <xf numFmtId="0" fontId="147" fillId="0" borderId="38"/>
    <xf numFmtId="0" fontId="147" fillId="0" borderId="0"/>
    <xf numFmtId="206" fontId="107" fillId="0" borderId="0">
      <protection locked="0"/>
    </xf>
    <xf numFmtId="206" fontId="107" fillId="0" borderId="0">
      <protection locked="0"/>
    </xf>
    <xf numFmtId="0" fontId="148" fillId="57" borderId="31"/>
    <xf numFmtId="10" fontId="109" fillId="51" borderId="16"/>
    <xf numFmtId="10" fontId="109" fillId="51" borderId="16"/>
    <xf numFmtId="202" fontId="149" fillId="82" borderId="0"/>
    <xf numFmtId="208" fontId="0" fillId="82" borderId="0"/>
    <xf numFmtId="0" fontId="102" fillId="0" borderId="0">
      <alignment horizontal="left" vertical="center"/>
    </xf>
    <xf numFmtId="0" fontId="102" fillId="0" borderId="0">
      <alignment horizontal="left" vertical="center"/>
    </xf>
    <xf numFmtId="0" fontId="102" fillId="0" borderId="0">
      <alignment horizontal="left" vertical="center"/>
    </xf>
    <xf numFmtId="198" fontId="107" fillId="0" borderId="0"/>
    <xf numFmtId="194" fontId="107" fillId="0" borderId="0"/>
    <xf numFmtId="198" fontId="107" fillId="0" borderId="0"/>
    <xf numFmtId="199" fontId="107" fillId="0" borderId="0"/>
    <xf numFmtId="194" fontId="107" fillId="0" borderId="0"/>
    <xf numFmtId="0" fontId="150" fillId="0" borderId="39"/>
    <xf numFmtId="202" fontId="151" fillId="83" borderId="0"/>
    <xf numFmtId="208" fontId="0" fillId="83" borderId="0"/>
    <xf numFmtId="41" fontId="107" fillId="0" borderId="0"/>
    <xf numFmtId="43" fontId="107" fillId="0" borderId="0"/>
    <xf numFmtId="0" fontId="107" fillId="0" borderId="0"/>
    <xf numFmtId="0" fontId="107" fillId="0" borderId="0"/>
    <xf numFmtId="0" fontId="152" fillId="0" borderId="19"/>
    <xf numFmtId="42" fontId="107" fillId="0" borderId="0"/>
    <xf numFmtId="209" fontId="107" fillId="0" borderId="0"/>
    <xf numFmtId="0" fontId="107" fillId="0" borderId="0"/>
    <xf numFmtId="0" fontId="107" fillId="0" borderId="0"/>
    <xf numFmtId="210" fontId="107" fillId="0" borderId="0"/>
    <xf numFmtId="211" fontId="0" fillId="0" borderId="0"/>
    <xf numFmtId="0" fontId="153" fillId="84" borderId="0"/>
    <xf numFmtId="0" fontId="102" fillId="0" borderId="0"/>
    <xf numFmtId="37" fontId="154" fillId="0" borderId="0"/>
    <xf numFmtId="186" fontId="0" fillId="0" borderId="0"/>
    <xf numFmtId="0" fontId="107" fillId="0" borderId="0"/>
    <xf numFmtId="0" fontId="107" fillId="0" borderId="0"/>
    <xf numFmtId="0" fontId="0" fillId="0" borderId="0"/>
    <xf numFmtId="0" fontId="0" fillId="0" borderId="0"/>
    <xf numFmtId="0" fontId="0" fillId="0" borderId="0">
      <alignment vertical="center"/>
    </xf>
    <xf numFmtId="0" fontId="134" fillId="0" borderId="0"/>
    <xf numFmtId="0" fontId="155" fillId="0" borderId="0"/>
    <xf numFmtId="0" fontId="107" fillId="51" borderId="40"/>
    <xf numFmtId="212" fontId="0" fillId="0" borderId="0"/>
    <xf numFmtId="213" fontId="0" fillId="0" borderId="0"/>
    <xf numFmtId="0" fontId="156" fillId="50" borderId="41"/>
    <xf numFmtId="14" fontId="127" fillId="0" borderId="0">
      <alignment horizontal="center" wrapText="1"/>
      <protection locked="0"/>
    </xf>
    <xf numFmtId="214" fontId="107" fillId="0" borderId="0"/>
    <xf numFmtId="197" fontId="107" fillId="0" borderId="0"/>
    <xf numFmtId="187" fontId="107" fillId="0" borderId="0"/>
    <xf numFmtId="9" fontId="119" fillId="0" borderId="0"/>
    <xf numFmtId="215" fontId="107" fillId="0" borderId="0"/>
    <xf numFmtId="0" fontId="109" fillId="50" borderId="16"/>
    <xf numFmtId="0" fontId="109" fillId="50" borderId="16"/>
    <xf numFmtId="0" fontId="109" fillId="50" borderId="16"/>
    <xf numFmtId="0" fontId="109" fillId="50" borderId="16"/>
    <xf numFmtId="0" fontId="109" fillId="50" borderId="16"/>
    <xf numFmtId="0" fontId="109" fillId="50" borderId="16"/>
    <xf numFmtId="0" fontId="109" fillId="50" borderId="16"/>
    <xf numFmtId="198" fontId="107" fillId="0" borderId="0"/>
    <xf numFmtId="194" fontId="107" fillId="0" borderId="0"/>
    <xf numFmtId="198" fontId="107" fillId="0" borderId="0"/>
    <xf numFmtId="199" fontId="107" fillId="0" borderId="0"/>
    <xf numFmtId="194" fontId="107" fillId="0" borderId="0"/>
    <xf numFmtId="4" fontId="139" fillId="0" borderId="0">
      <alignment horizontal="right"/>
    </xf>
    <xf numFmtId="216" fontId="157" fillId="0" borderId="0"/>
    <xf numFmtId="189" fontId="157" fillId="0" borderId="0"/>
    <xf numFmtId="0" fontId="134" fillId="0" borderId="0">
      <alignment horizontal="left"/>
    </xf>
    <xf numFmtId="0" fontId="106" fillId="0" borderId="19">
      <alignment horizontal="center"/>
    </xf>
    <xf numFmtId="4" fontId="158" fillId="0" borderId="0">
      <alignment horizontal="right"/>
    </xf>
    <xf numFmtId="217" fontId="101" fillId="0" borderId="0">
      <alignment horizontal="left"/>
    </xf>
    <xf numFmtId="218" fontId="0" fillId="0" borderId="0">
      <alignment horizontal="left"/>
    </xf>
    <xf numFmtId="41" fontId="102" fillId="0" borderId="0"/>
    <xf numFmtId="0" fontId="159" fillId="85" borderId="0">
      <alignment horizontal="left" vertical="center"/>
    </xf>
    <xf numFmtId="0" fontId="159" fillId="85" borderId="0">
      <alignment horizontal="right" vertical="center"/>
    </xf>
    <xf numFmtId="4" fontId="160" fillId="84" borderId="42">
      <alignment vertical="center"/>
    </xf>
    <xf numFmtId="4" fontId="161" fillId="84" borderId="42">
      <alignment vertical="center"/>
    </xf>
    <xf numFmtId="4" fontId="160" fillId="84" borderId="42">
      <alignment horizontal="left" vertical="center" indent="1"/>
    </xf>
    <xf numFmtId="0" fontId="160" fillId="84" borderId="42">
      <alignment horizontal="left" vertical="top" indent="1"/>
    </xf>
    <xf numFmtId="4" fontId="160" fillId="86" borderId="0">
      <alignment horizontal="left" vertical="center" indent="1"/>
    </xf>
    <xf numFmtId="4" fontId="118" fillId="53" borderId="42">
      <alignment horizontal="right" vertical="center"/>
    </xf>
    <xf numFmtId="4" fontId="118" fillId="59" borderId="42">
      <alignment horizontal="right" vertical="center"/>
    </xf>
    <xf numFmtId="4" fontId="118" fillId="71" borderId="42">
      <alignment horizontal="right" vertical="center"/>
    </xf>
    <xf numFmtId="4" fontId="118" fillId="61" borderId="42">
      <alignment horizontal="right" vertical="center"/>
    </xf>
    <xf numFmtId="4" fontId="118" fillId="65" borderId="42">
      <alignment horizontal="right" vertical="center"/>
    </xf>
    <xf numFmtId="4" fontId="118" fillId="78" borderId="42">
      <alignment horizontal="right" vertical="center"/>
    </xf>
    <xf numFmtId="4" fontId="118" fillId="75" borderId="42">
      <alignment horizontal="right" vertical="center"/>
    </xf>
    <xf numFmtId="4" fontId="118" fillId="87" borderId="42">
      <alignment horizontal="right" vertical="center"/>
    </xf>
    <xf numFmtId="4" fontId="118" fillId="60" borderId="42">
      <alignment horizontal="right" vertical="center"/>
    </xf>
    <xf numFmtId="4" fontId="160" fillId="88" borderId="43">
      <alignment horizontal="left" vertical="center" indent="1"/>
    </xf>
    <xf numFmtId="4" fontId="118" fillId="89" borderId="0">
      <alignment horizontal="left" vertical="center" indent="1"/>
    </xf>
    <xf numFmtId="4" fontId="162" fillId="90" borderId="0">
      <alignment horizontal="left" vertical="center" indent="1"/>
    </xf>
    <xf numFmtId="4" fontId="118" fillId="86" borderId="42">
      <alignment horizontal="right" vertical="center"/>
    </xf>
    <xf numFmtId="4" fontId="118" fillId="89" borderId="0">
      <alignment horizontal="left" vertical="center" indent="1"/>
    </xf>
    <xf numFmtId="4" fontId="118" fillId="86" borderId="0">
      <alignment horizontal="left" vertical="center" indent="1"/>
    </xf>
    <xf numFmtId="0" fontId="107" fillId="90" borderId="42">
      <alignment horizontal="left" vertical="center" indent="1"/>
    </xf>
    <xf numFmtId="0" fontId="107" fillId="90" borderId="42">
      <alignment horizontal="left" vertical="top" indent="1"/>
    </xf>
    <xf numFmtId="0" fontId="107" fillId="86" borderId="42">
      <alignment horizontal="left" vertical="center" indent="1"/>
    </xf>
    <xf numFmtId="0" fontId="107" fillId="86" borderId="42">
      <alignment horizontal="left" vertical="top" indent="1"/>
    </xf>
    <xf numFmtId="0" fontId="107" fillId="58" borderId="42">
      <alignment horizontal="left" vertical="center" indent="1"/>
    </xf>
    <xf numFmtId="0" fontId="107" fillId="58" borderId="42">
      <alignment horizontal="left" vertical="top" indent="1"/>
    </xf>
    <xf numFmtId="0" fontId="107" fillId="89" borderId="42">
      <alignment horizontal="left" vertical="center" indent="1"/>
    </xf>
    <xf numFmtId="0" fontId="107" fillId="89" borderId="42">
      <alignment horizontal="left" vertical="top" indent="1"/>
    </xf>
    <xf numFmtId="4" fontId="118" fillId="51" borderId="42">
      <alignment vertical="center"/>
    </xf>
    <xf numFmtId="4" fontId="163" fillId="51" borderId="42">
      <alignment vertical="center"/>
    </xf>
    <xf numFmtId="4" fontId="118" fillId="51" borderId="42">
      <alignment horizontal="left" vertical="center" indent="1"/>
    </xf>
    <xf numFmtId="0" fontId="118" fillId="51" borderId="42">
      <alignment horizontal="left" vertical="top" indent="1"/>
    </xf>
    <xf numFmtId="4" fontId="118" fillId="89" borderId="42">
      <alignment horizontal="right" vertical="center"/>
    </xf>
    <xf numFmtId="4" fontId="163" fillId="89" borderId="42">
      <alignment horizontal="right" vertical="center"/>
    </xf>
    <xf numFmtId="4" fontId="118" fillId="86" borderId="42">
      <alignment horizontal="left" vertical="center" indent="1"/>
    </xf>
    <xf numFmtId="0" fontId="118" fillId="86" borderId="42">
      <alignment horizontal="left" vertical="top" indent="1"/>
    </xf>
    <xf numFmtId="4" fontId="164" fillId="82" borderId="0">
      <alignment horizontal="left" vertical="center" indent="1"/>
    </xf>
    <xf numFmtId="4" fontId="165" fillId="89" borderId="42">
      <alignment horizontal="right" vertical="center"/>
    </xf>
    <xf numFmtId="0" fontId="166" fillId="0" borderId="0">
      <alignment horizontal="left"/>
    </xf>
    <xf numFmtId="0" fontId="166" fillId="0" borderId="0">
      <alignment horizontal="left"/>
    </xf>
    <xf numFmtId="0" fontId="166" fillId="0" borderId="0">
      <alignment horizontal="left"/>
    </xf>
    <xf numFmtId="43" fontId="109" fillId="0" borderId="1"/>
    <xf numFmtId="0" fontId="155" fillId="0" borderId="0"/>
    <xf numFmtId="0" fontId="167" fillId="0" borderId="16">
      <alignment horizontal="center"/>
    </xf>
    <xf numFmtId="0" fontId="167" fillId="0" borderId="16">
      <alignment horizontal="center"/>
    </xf>
    <xf numFmtId="0" fontId="167" fillId="0" borderId="16">
      <alignment horizontal="center"/>
    </xf>
    <xf numFmtId="0" fontId="167" fillId="0" borderId="16">
      <alignment horizontal="center"/>
    </xf>
    <xf numFmtId="0" fontId="167" fillId="0" borderId="16">
      <alignment horizontal="center"/>
    </xf>
    <xf numFmtId="0" fontId="167" fillId="0" borderId="16">
      <alignment horizontal="center"/>
    </xf>
    <xf numFmtId="0" fontId="167" fillId="0" borderId="16">
      <alignment horizontal="center"/>
    </xf>
    <xf numFmtId="0" fontId="167" fillId="0" borderId="0">
      <alignment horizontal="center" vertical="center"/>
    </xf>
    <xf numFmtId="0" fontId="167" fillId="0" borderId="0">
      <alignment horizontal="center" vertical="center"/>
    </xf>
    <xf numFmtId="0" fontId="167" fillId="0" borderId="0">
      <alignment horizontal="center" vertical="center"/>
    </xf>
    <xf numFmtId="0" fontId="168" fillId="91" borderId="0">
      <alignment horizontal="left" vertical="center"/>
    </xf>
    <xf numFmtId="0" fontId="168" fillId="91" borderId="0">
      <alignment horizontal="left" vertical="center"/>
    </xf>
    <xf numFmtId="0" fontId="168" fillId="91" borderId="0">
      <alignment horizontal="left" vertical="center"/>
    </xf>
    <xf numFmtId="0" fontId="152" fillId="0" borderId="0"/>
    <xf numFmtId="40" fontId="169" fillId="0" borderId="0">
      <alignment horizontal="right"/>
    </xf>
    <xf numFmtId="49" fontId="118" fillId="0" borderId="0"/>
    <xf numFmtId="219" fontId="118" fillId="0" borderId="0"/>
    <xf numFmtId="220" fontId="107" fillId="0" borderId="0"/>
    <xf numFmtId="0" fontId="170" fillId="0" borderId="0">
      <alignment horizontal="left" vertical="top"/>
    </xf>
    <xf numFmtId="0" fontId="170" fillId="0" borderId="0">
      <alignment horizontal="left" vertical="top"/>
    </xf>
    <xf numFmtId="0" fontId="170" fillId="0" borderId="0">
      <alignment horizontal="left" vertical="top"/>
    </xf>
    <xf numFmtId="0" fontId="171" fillId="0" borderId="0">
      <alignment horizontal="center"/>
    </xf>
    <xf numFmtId="0" fontId="171" fillId="0" borderId="0">
      <alignment horizontal="center"/>
    </xf>
    <xf numFmtId="0" fontId="171" fillId="0" borderId="0">
      <alignment horizontal="center"/>
    </xf>
    <xf numFmtId="0" fontId="172" fillId="0" borderId="44"/>
    <xf numFmtId="221" fontId="107" fillId="0" borderId="0"/>
    <xf numFmtId="222" fontId="107" fillId="0" borderId="0"/>
    <xf numFmtId="223" fontId="0" fillId="0" borderId="0"/>
    <xf numFmtId="224" fontId="0" fillId="0" borderId="0"/>
    <xf numFmtId="0" fontId="173" fillId="0" borderId="0"/>
    <xf numFmtId="0" fontId="174" fillId="0" borderId="0">
      <alignment horizontal="center" vertical="center" wrapText="1"/>
    </xf>
    <xf numFmtId="0" fontId="174" fillId="0" borderId="0">
      <alignment horizontal="center" vertical="center" wrapText="1"/>
    </xf>
    <xf numFmtId="0" fontId="174" fillId="0" borderId="0">
      <alignment horizontal="center" vertical="center" wrapText="1"/>
    </xf>
    <xf numFmtId="9" fontId="175" fillId="0" borderId="0"/>
    <xf numFmtId="0" fontId="101" fillId="0" borderId="0"/>
    <xf numFmtId="0" fontId="3" fillId="0" borderId="0"/>
    <xf numFmtId="225" fontId="101" fillId="0" borderId="0"/>
    <xf numFmtId="226" fontId="101" fillId="0" borderId="0"/>
    <xf numFmtId="41" fontId="107" fillId="0" borderId="0"/>
    <xf numFmtId="9" fontId="101" fillId="0" borderId="0"/>
    <xf numFmtId="9" fontId="0" fillId="0" borderId="0">
      <alignment vertical="center"/>
    </xf>
    <xf numFmtId="9" fontId="0" fillId="0" borderId="0">
      <alignment vertical="center"/>
    </xf>
    <xf numFmtId="9" fontId="107" fillId="0" borderId="0"/>
    <xf numFmtId="9" fontId="0" fillId="0" borderId="0"/>
    <xf numFmtId="180" fontId="104" fillId="0" borderId="0">
      <alignment horizontal="right"/>
    </xf>
    <xf numFmtId="0" fontId="176" fillId="0" borderId="0"/>
    <xf numFmtId="0" fontId="176" fillId="0" borderId="0"/>
    <xf numFmtId="4" fontId="177" fillId="0" borderId="0">
      <alignment horizontal="right"/>
    </xf>
    <xf numFmtId="0" fontId="178" fillId="0" borderId="0"/>
    <xf numFmtId="0" fontId="179" fillId="61" borderId="0">
      <alignment vertical="center"/>
    </xf>
    <xf numFmtId="0" fontId="180" fillId="53" borderId="0">
      <alignment vertical="center"/>
    </xf>
    <xf numFmtId="0" fontId="180" fillId="53" borderId="0">
      <alignment vertical="center"/>
    </xf>
    <xf numFmtId="0" fontId="179" fillId="61" borderId="0">
      <alignment vertical="center"/>
    </xf>
    <xf numFmtId="0" fontId="181" fillId="92" borderId="0"/>
    <xf numFmtId="0" fontId="180" fillId="53" borderId="0">
      <alignment vertical="center"/>
    </xf>
    <xf numFmtId="0" fontId="180" fillId="53" borderId="0">
      <alignment vertical="center"/>
    </xf>
    <xf numFmtId="0" fontId="180" fillId="53" borderId="0">
      <alignment vertical="center"/>
    </xf>
    <xf numFmtId="0" fontId="180" fillId="53" borderId="0">
      <alignment vertical="center"/>
    </xf>
    <xf numFmtId="0" fontId="180" fillId="53" borderId="0">
      <alignment vertical="center"/>
    </xf>
    <xf numFmtId="0" fontId="180" fillId="53" borderId="0">
      <alignment vertical="center"/>
    </xf>
    <xf numFmtId="0" fontId="180" fillId="53" borderId="0">
      <alignment vertical="center"/>
    </xf>
    <xf numFmtId="0" fontId="180" fillId="53" borderId="0">
      <alignment vertical="center"/>
    </xf>
    <xf numFmtId="0" fontId="179" fillId="61" borderId="0">
      <alignment vertical="center"/>
    </xf>
    <xf numFmtId="0" fontId="179" fillId="61" borderId="0">
      <alignment vertical="center"/>
    </xf>
    <xf numFmtId="0" fontId="182" fillId="81" borderId="0">
      <alignment vertical="center"/>
    </xf>
    <xf numFmtId="0" fontId="180" fillId="53" borderId="0">
      <alignment vertical="center"/>
    </xf>
    <xf numFmtId="0" fontId="183" fillId="93" borderId="0">
      <alignment vertical="center"/>
    </xf>
    <xf numFmtId="0" fontId="184" fillId="53" borderId="0">
      <alignment vertical="center"/>
    </xf>
    <xf numFmtId="0" fontId="184" fillId="53" borderId="0">
      <alignment vertical="center"/>
    </xf>
    <xf numFmtId="0" fontId="179" fillId="61" borderId="0">
      <alignment vertical="center"/>
    </xf>
    <xf numFmtId="0" fontId="179" fillId="61" borderId="0">
      <alignment vertical="center"/>
    </xf>
    <xf numFmtId="0" fontId="179" fillId="61" borderId="0">
      <alignment vertical="center"/>
    </xf>
    <xf numFmtId="0" fontId="179" fillId="61" borderId="0">
      <alignment vertical="center"/>
    </xf>
    <xf numFmtId="0" fontId="182" fillId="81" borderId="0">
      <alignment vertical="center"/>
    </xf>
    <xf numFmtId="0" fontId="179" fillId="61" borderId="0">
      <alignment vertical="center"/>
    </xf>
    <xf numFmtId="0" fontId="179" fillId="61" borderId="0">
      <alignment vertical="center"/>
    </xf>
    <xf numFmtId="0" fontId="179" fillId="61" borderId="0">
      <alignment vertical="center"/>
    </xf>
    <xf numFmtId="0" fontId="179" fillId="61" borderId="0">
      <alignment vertical="center"/>
    </xf>
    <xf numFmtId="0" fontId="180" fillId="53" borderId="0">
      <alignment vertical="center"/>
    </xf>
    <xf numFmtId="0" fontId="179" fillId="61" borderId="0">
      <alignment vertical="center"/>
    </xf>
    <xf numFmtId="0" fontId="180" fillId="53" borderId="0">
      <alignment vertical="center"/>
    </xf>
    <xf numFmtId="0" fontId="179" fillId="61" borderId="0">
      <alignment vertical="center"/>
    </xf>
    <xf numFmtId="0" fontId="179" fillId="61" borderId="0">
      <alignment vertical="center"/>
    </xf>
    <xf numFmtId="0" fontId="179" fillId="61" borderId="0">
      <alignment vertical="center"/>
    </xf>
    <xf numFmtId="0" fontId="179" fillId="61" borderId="0">
      <alignment vertical="center"/>
    </xf>
    <xf numFmtId="0" fontId="179" fillId="61" borderId="0">
      <alignment vertical="center"/>
    </xf>
    <xf numFmtId="0" fontId="179" fillId="61" borderId="0">
      <alignment vertical="center"/>
    </xf>
    <xf numFmtId="0" fontId="179" fillId="61" borderId="0">
      <alignment vertical="center"/>
    </xf>
    <xf numFmtId="0" fontId="179" fillId="61" borderId="0">
      <alignment vertical="center"/>
    </xf>
    <xf numFmtId="0" fontId="179" fillId="78" borderId="0">
      <alignment vertical="center"/>
    </xf>
    <xf numFmtId="0" fontId="179" fillId="61" borderId="0">
      <alignment vertical="center"/>
    </xf>
    <xf numFmtId="0" fontId="179" fillId="61" borderId="0">
      <alignment vertical="center"/>
    </xf>
    <xf numFmtId="0" fontId="185" fillId="55"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5" fillId="0" borderId="0">
      <alignment vertical="center"/>
    </xf>
    <xf numFmtId="0" fontId="115" fillId="0" borderId="0">
      <alignment vertical="center"/>
    </xf>
    <xf numFmtId="0" fontId="0" fillId="0" borderId="0">
      <alignment vertical="center"/>
    </xf>
    <xf numFmtId="0" fontId="0" fillId="0" borderId="0">
      <alignment vertical="center"/>
    </xf>
    <xf numFmtId="0" fontId="0"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07" fillId="0" borderId="0"/>
    <xf numFmtId="0" fontId="125" fillId="0" borderId="0">
      <alignment vertical="center"/>
      <protection locked="0"/>
    </xf>
    <xf numFmtId="0" fontId="0" fillId="0" borderId="0">
      <alignment vertical="center"/>
      <protection locked="0"/>
    </xf>
    <xf numFmtId="0" fontId="113" fillId="0" borderId="0">
      <alignment vertical="center"/>
    </xf>
    <xf numFmtId="0" fontId="0" fillId="0" borderId="0">
      <alignment vertical="center"/>
      <protection locked="0"/>
    </xf>
    <xf numFmtId="0" fontId="114" fillId="0" borderId="0">
      <alignment vertical="center"/>
    </xf>
    <xf numFmtId="0" fontId="113" fillId="0" borderId="0">
      <alignment vertical="center"/>
    </xf>
    <xf numFmtId="0" fontId="115" fillId="0" borderId="0"/>
    <xf numFmtId="0" fontId="0" fillId="0" borderId="0">
      <alignment vertical="center"/>
    </xf>
    <xf numFmtId="0" fontId="115" fillId="0" borderId="0"/>
    <xf numFmtId="0" fontId="0" fillId="0" borderId="0">
      <alignment vertical="center"/>
    </xf>
    <xf numFmtId="0" fontId="0" fillId="0" borderId="0">
      <alignment vertical="center"/>
    </xf>
    <xf numFmtId="0" fontId="114" fillId="0" borderId="0">
      <alignment vertical="center"/>
    </xf>
    <xf numFmtId="0" fontId="0" fillId="0" borderId="0">
      <protection locked="0"/>
    </xf>
    <xf numFmtId="0" fontId="101" fillId="0" borderId="0"/>
    <xf numFmtId="0" fontId="0" fillId="0" borderId="0"/>
    <xf numFmtId="0" fontId="0" fillId="0" borderId="0">
      <protection locked="0"/>
    </xf>
    <xf numFmtId="0" fontId="0" fillId="0" borderId="0">
      <protection locked="0"/>
    </xf>
    <xf numFmtId="0" fontId="18" fillId="0" borderId="0"/>
    <xf numFmtId="0" fontId="0" fillId="0" borderId="0">
      <protection locked="0"/>
    </xf>
    <xf numFmtId="0" fontId="0" fillId="0" borderId="0">
      <alignment vertical="center"/>
    </xf>
    <xf numFmtId="0" fontId="0" fillId="0" borderId="0">
      <alignment vertical="center"/>
      <protection locked="0"/>
    </xf>
    <xf numFmtId="0" fontId="18" fillId="0" borderId="0"/>
    <xf numFmtId="0" fontId="0" fillId="0" borderId="0"/>
    <xf numFmtId="0" fontId="0" fillId="0" borderId="0">
      <alignment vertical="center"/>
    </xf>
    <xf numFmtId="0" fontId="0" fillId="0" borderId="0">
      <protection locked="0"/>
    </xf>
    <xf numFmtId="0" fontId="0" fillId="0" borderId="0">
      <alignment vertical="center"/>
    </xf>
    <xf numFmtId="0" fontId="0" fillId="0" borderId="0"/>
    <xf numFmtId="0" fontId="113" fillId="0" borderId="0">
      <alignment vertical="center"/>
    </xf>
    <xf numFmtId="0" fontId="113" fillId="0" borderId="0">
      <alignment vertical="center"/>
    </xf>
    <xf numFmtId="0" fontId="114" fillId="0" borderId="0">
      <alignment vertical="center"/>
    </xf>
    <xf numFmtId="0" fontId="113" fillId="0" borderId="0">
      <alignment vertical="center"/>
    </xf>
    <xf numFmtId="0" fontId="0" fillId="0" borderId="0">
      <alignment vertical="center"/>
      <protection locked="0"/>
    </xf>
    <xf numFmtId="0" fontId="0" fillId="0" borderId="0"/>
    <xf numFmtId="0" fontId="0" fillId="0" borderId="0"/>
    <xf numFmtId="0" fontId="115" fillId="0" borderId="0">
      <alignment vertical="center"/>
    </xf>
    <xf numFmtId="0" fontId="115" fillId="0" borderId="0">
      <alignment vertical="center"/>
    </xf>
    <xf numFmtId="0" fontId="125" fillId="0" borderId="0">
      <alignment vertical="center"/>
    </xf>
    <xf numFmtId="0" fontId="115" fillId="0" borderId="0">
      <alignment vertical="center"/>
    </xf>
    <xf numFmtId="0" fontId="115" fillId="0" borderId="0">
      <alignment vertical="center"/>
    </xf>
    <xf numFmtId="0" fontId="115" fillId="0" borderId="0">
      <alignment vertical="center"/>
    </xf>
    <xf numFmtId="0" fontId="115" fillId="0" borderId="0">
      <alignment vertical="center"/>
    </xf>
    <xf numFmtId="0" fontId="113" fillId="0" borderId="0">
      <alignment vertical="center"/>
    </xf>
    <xf numFmtId="0" fontId="115" fillId="0" borderId="0">
      <alignment vertical="center"/>
    </xf>
    <xf numFmtId="0" fontId="115" fillId="0" borderId="0">
      <alignment vertical="center"/>
    </xf>
    <xf numFmtId="0" fontId="115" fillId="0" borderId="0">
      <alignment vertical="center"/>
    </xf>
    <xf numFmtId="0" fontId="107" fillId="0" borderId="0"/>
    <xf numFmtId="0" fontId="115" fillId="0" borderId="0">
      <alignment vertical="center"/>
    </xf>
    <xf numFmtId="0" fontId="115" fillId="0" borderId="0">
      <alignment vertical="center"/>
    </xf>
    <xf numFmtId="0" fontId="113" fillId="0" borderId="0">
      <alignment vertical="center"/>
    </xf>
    <xf numFmtId="0" fontId="115" fillId="0" borderId="0">
      <alignment vertical="center"/>
    </xf>
    <xf numFmtId="0" fontId="115" fillId="0" borderId="0">
      <alignment vertical="center"/>
    </xf>
    <xf numFmtId="0" fontId="113" fillId="0" borderId="0">
      <alignment vertical="center"/>
    </xf>
    <xf numFmtId="0" fontId="115" fillId="0" borderId="0">
      <alignment vertical="center"/>
    </xf>
    <xf numFmtId="0" fontId="113" fillId="0" borderId="0">
      <alignment vertical="center"/>
    </xf>
    <xf numFmtId="0" fontId="115"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3" fillId="0" borderId="0">
      <alignment vertical="center"/>
    </xf>
    <xf numFmtId="0" fontId="115" fillId="0" borderId="0">
      <alignment vertical="center"/>
    </xf>
    <xf numFmtId="0" fontId="186" fillId="0" borderId="0">
      <alignment vertical="top"/>
      <protection locked="0"/>
    </xf>
    <xf numFmtId="0" fontId="82" fillId="0" borderId="0">
      <alignment vertical="top"/>
      <protection locked="0"/>
    </xf>
    <xf numFmtId="0" fontId="82" fillId="0" borderId="0">
      <alignment vertical="top"/>
      <protection locked="0"/>
    </xf>
    <xf numFmtId="0" fontId="82" fillId="0" borderId="0">
      <alignment vertical="top"/>
      <protection locked="0"/>
    </xf>
    <xf numFmtId="0" fontId="187" fillId="0" borderId="0">
      <alignment vertical="top"/>
      <protection locked="0"/>
    </xf>
    <xf numFmtId="0" fontId="106" fillId="0" borderId="0"/>
    <xf numFmtId="0" fontId="188" fillId="94" borderId="0">
      <alignment vertical="center"/>
    </xf>
    <xf numFmtId="0" fontId="189" fillId="54" borderId="0">
      <alignment vertical="center"/>
    </xf>
    <xf numFmtId="0" fontId="189" fillId="94" borderId="0">
      <alignment vertical="center"/>
    </xf>
    <xf numFmtId="0" fontId="189" fillId="94" borderId="0">
      <alignment vertical="center"/>
    </xf>
    <xf numFmtId="0" fontId="189" fillId="94" borderId="0">
      <alignment vertical="center"/>
    </xf>
    <xf numFmtId="0" fontId="189" fillId="54" borderId="0">
      <alignment vertical="center"/>
    </xf>
    <xf numFmtId="0" fontId="188" fillId="94" borderId="0">
      <alignment vertical="center"/>
    </xf>
    <xf numFmtId="0" fontId="190" fillId="76" borderId="0"/>
    <xf numFmtId="0" fontId="189" fillId="54" borderId="0">
      <alignment vertical="center"/>
    </xf>
    <xf numFmtId="0" fontId="189" fillId="54" borderId="0">
      <alignment vertical="center"/>
    </xf>
    <xf numFmtId="0" fontId="189" fillId="54" borderId="0">
      <alignment vertical="center"/>
    </xf>
    <xf numFmtId="0" fontId="189" fillId="54" borderId="0">
      <alignment vertical="center"/>
    </xf>
    <xf numFmtId="0" fontId="189" fillId="54" borderId="0">
      <alignment vertical="center"/>
    </xf>
    <xf numFmtId="0" fontId="189" fillId="54" borderId="0">
      <alignment vertical="center"/>
    </xf>
    <xf numFmtId="0" fontId="189" fillId="54" borderId="0">
      <alignment vertical="center"/>
    </xf>
    <xf numFmtId="0" fontId="189" fillId="54" borderId="0">
      <alignment vertical="center"/>
    </xf>
    <xf numFmtId="0" fontId="189" fillId="94" borderId="0">
      <alignment vertical="center"/>
    </xf>
    <xf numFmtId="0" fontId="188" fillId="94" borderId="0">
      <alignment vertical="center"/>
    </xf>
    <xf numFmtId="0" fontId="189" fillId="54" borderId="0">
      <alignment vertical="center"/>
    </xf>
    <xf numFmtId="0" fontId="191" fillId="95" borderId="0">
      <alignment vertical="center"/>
    </xf>
    <xf numFmtId="0" fontId="192" fillId="54" borderId="0">
      <alignment vertical="center"/>
    </xf>
    <xf numFmtId="0" fontId="190" fillId="54" borderId="0">
      <alignment vertical="center"/>
    </xf>
    <xf numFmtId="0" fontId="188" fillId="94" borderId="0">
      <alignment vertical="center"/>
    </xf>
    <xf numFmtId="0" fontId="189" fillId="94" borderId="0">
      <alignment vertical="center"/>
    </xf>
    <xf numFmtId="0" fontId="188" fillId="94" borderId="0">
      <alignment vertical="center"/>
    </xf>
    <xf numFmtId="0" fontId="188" fillId="94" borderId="0">
      <alignment vertical="center"/>
    </xf>
    <xf numFmtId="0" fontId="188" fillId="94" borderId="0">
      <alignment vertical="center"/>
    </xf>
    <xf numFmtId="0" fontId="193" fillId="96" borderId="0">
      <alignment vertical="center"/>
    </xf>
    <xf numFmtId="0" fontId="188" fillId="94" borderId="0">
      <alignment vertical="center"/>
    </xf>
    <xf numFmtId="0" fontId="193" fillId="96" borderId="0">
      <alignment vertical="center"/>
    </xf>
    <xf numFmtId="0" fontId="189" fillId="94" borderId="0">
      <alignment vertical="center"/>
    </xf>
    <xf numFmtId="0" fontId="188" fillId="94" borderId="0">
      <alignment vertical="center"/>
    </xf>
    <xf numFmtId="0" fontId="188" fillId="94" borderId="0">
      <alignment vertical="center"/>
    </xf>
    <xf numFmtId="0" fontId="189" fillId="54" borderId="0">
      <alignment vertical="center"/>
    </xf>
    <xf numFmtId="0" fontId="188" fillId="94" borderId="0">
      <alignment vertical="center"/>
    </xf>
    <xf numFmtId="0" fontId="189" fillId="54" borderId="0">
      <alignment vertical="center"/>
    </xf>
    <xf numFmtId="0" fontId="188" fillId="94" borderId="0">
      <alignment vertical="center"/>
    </xf>
    <xf numFmtId="0" fontId="189" fillId="94" borderId="0">
      <alignment vertical="center"/>
    </xf>
    <xf numFmtId="0" fontId="188" fillId="94" borderId="0">
      <alignment vertical="center"/>
    </xf>
    <xf numFmtId="0" fontId="189" fillId="94" borderId="0">
      <alignment vertical="center"/>
    </xf>
    <xf numFmtId="0" fontId="188" fillId="94" borderId="0">
      <alignment vertical="center"/>
    </xf>
    <xf numFmtId="0" fontId="188" fillId="94" borderId="0">
      <alignment vertical="center"/>
    </xf>
    <xf numFmtId="0" fontId="188" fillId="94" borderId="0">
      <alignment vertical="center"/>
    </xf>
    <xf numFmtId="0" fontId="188" fillId="94" borderId="0">
      <alignment vertical="center"/>
    </xf>
    <xf numFmtId="0" fontId="189" fillId="94" borderId="0">
      <alignment vertical="center"/>
    </xf>
    <xf numFmtId="0" fontId="188" fillId="94" borderId="0">
      <alignment vertical="center"/>
    </xf>
    <xf numFmtId="0" fontId="188" fillId="94" borderId="0">
      <alignment vertical="center"/>
    </xf>
    <xf numFmtId="0" fontId="189" fillId="94" borderId="0">
      <alignment vertical="center"/>
    </xf>
    <xf numFmtId="0" fontId="188" fillId="94" borderId="0">
      <alignment vertical="center"/>
    </xf>
    <xf numFmtId="0" fontId="188" fillId="94" borderId="0">
      <alignment vertical="center"/>
    </xf>
    <xf numFmtId="0" fontId="189" fillId="94" borderId="0">
      <alignment vertical="center"/>
    </xf>
    <xf numFmtId="0" fontId="188" fillId="94" borderId="0">
      <alignment vertical="center"/>
    </xf>
    <xf numFmtId="0" fontId="189" fillId="97" borderId="0">
      <alignment vertical="center"/>
    </xf>
    <xf numFmtId="0" fontId="188" fillId="94" borderId="0">
      <alignment vertical="center"/>
    </xf>
    <xf numFmtId="0" fontId="193" fillId="96" borderId="0">
      <alignment vertical="center"/>
    </xf>
    <xf numFmtId="0" fontId="188" fillId="94" borderId="0">
      <alignment vertical="center"/>
    </xf>
    <xf numFmtId="0" fontId="193" fillId="96" borderId="0">
      <alignment vertical="center"/>
    </xf>
    <xf numFmtId="0" fontId="189" fillId="94" borderId="0">
      <alignment vertical="center"/>
    </xf>
    <xf numFmtId="0" fontId="192" fillId="56" borderId="0">
      <alignment vertical="center"/>
    </xf>
    <xf numFmtId="4" fontId="174" fillId="0" borderId="0"/>
    <xf numFmtId="41" fontId="107" fillId="0" borderId="0"/>
    <xf numFmtId="227" fontId="194" fillId="0" borderId="0"/>
    <xf numFmtId="228" fontId="194" fillId="0" borderId="0"/>
    <xf numFmtId="229" fontId="107" fillId="0" borderId="0"/>
    <xf numFmtId="230" fontId="107" fillId="0" borderId="0"/>
    <xf numFmtId="0" fontId="101" fillId="0" borderId="0"/>
    <xf numFmtId="1" fontId="101" fillId="0" borderId="0"/>
    <xf numFmtId="231" fontId="195" fillId="0" borderId="0"/>
    <xf numFmtId="232" fontId="195" fillId="0" borderId="0"/>
    <xf numFmtId="227" fontId="101" fillId="0" borderId="0"/>
    <xf numFmtId="228" fontId="101" fillId="0" borderId="0"/>
    <xf numFmtId="0" fontId="102" fillId="0" borderId="0"/>
    <xf numFmtId="41" fontId="102" fillId="0" borderId="0"/>
    <xf numFmtId="43" fontId="102" fillId="0" borderId="0"/>
    <xf numFmtId="41" fontId="101" fillId="0" borderId="0"/>
    <xf numFmtId="43" fontId="101" fillId="0" borderId="0"/>
    <xf numFmtId="43" fontId="0" fillId="0" borderId="0">
      <alignment vertical="center"/>
    </xf>
    <xf numFmtId="43" fontId="0" fillId="0" borderId="0"/>
    <xf numFmtId="43" fontId="0" fillId="0" borderId="0">
      <alignment vertical="center"/>
    </xf>
    <xf numFmtId="43" fontId="101" fillId="0" borderId="0"/>
    <xf numFmtId="43" fontId="0" fillId="0" borderId="0"/>
    <xf numFmtId="43" fontId="18" fillId="0" borderId="0"/>
    <xf numFmtId="43" fontId="0" fillId="0" borderId="0"/>
    <xf numFmtId="0" fontId="107" fillId="0" borderId="0"/>
    <xf numFmtId="43" fontId="0" fillId="0" borderId="0"/>
    <xf numFmtId="43" fontId="113" fillId="0" borderId="0">
      <alignment vertical="center"/>
    </xf>
    <xf numFmtId="41" fontId="0" fillId="0" borderId="0"/>
    <xf numFmtId="41" fontId="101" fillId="0" borderId="0"/>
    <xf numFmtId="0" fontId="196" fillId="0" borderId="0"/>
    <xf numFmtId="0" fontId="44" fillId="98" borderId="0"/>
    <xf numFmtId="0" fontId="44" fillId="99" borderId="0"/>
    <xf numFmtId="0" fontId="44" fillId="100" borderId="0"/>
    <xf numFmtId="209" fontId="107" fillId="0" borderId="0"/>
    <xf numFmtId="233" fontId="174" fillId="0" borderId="0"/>
    <xf numFmtId="0" fontId="118" fillId="0" borderId="0">
      <alignment vertical="top"/>
    </xf>
    <xf numFmtId="0" fontId="118" fillId="0" borderId="0">
      <alignment vertical="top"/>
    </xf>
    <xf numFmtId="0" fontId="118" fillId="0" borderId="0">
      <alignment vertical="top"/>
    </xf>
    <xf numFmtId="0" fontId="118" fillId="0" borderId="0">
      <alignment vertical="top"/>
      <protection locked="0"/>
    </xf>
    <xf numFmtId="0" fontId="194" fillId="0" borderId="0"/>
    <xf numFmtId="0" fontId="197" fillId="0" borderId="0"/>
    <xf numFmtId="40" fontId="176" fillId="0" borderId="0"/>
    <xf numFmtId="38" fontId="176" fillId="0" borderId="0"/>
    <xf numFmtId="226" fontId="107" fillId="0" borderId="16"/>
    <xf numFmtId="226" fontId="107" fillId="0" borderId="16"/>
    <xf numFmtId="226" fontId="107" fillId="0" borderId="16"/>
    <xf numFmtId="38" fontId="116" fillId="0" borderId="0"/>
    <xf numFmtId="40" fontId="116" fillId="0" borderId="0"/>
    <xf numFmtId="0" fontId="116" fillId="0" borderId="0"/>
    <xf numFmtId="0" fontId="116" fillId="0" borderId="0"/>
    <xf numFmtId="0" fontId="198" fillId="0" borderId="0"/>
    <xf numFmtId="0" fontId="0" fillId="0" borderId="0"/>
    <xf numFmtId="0" fontId="101" fillId="0" borderId="0"/>
    <xf numFmtId="9" fontId="115" fillId="0" borderId="0">
      <alignment vertical="center"/>
    </xf>
    <xf numFmtId="0" fontId="0" fillId="0" borderId="0">
      <protection locked="0"/>
    </xf>
    <xf numFmtId="0" fontId="82" fillId="0" borderId="0">
      <alignment vertical="top"/>
      <protection locked="0"/>
    </xf>
    <xf numFmtId="0" fontId="18" fillId="0" borderId="0"/>
    <xf numFmtId="234" fontId="0" fillId="0" borderId="0">
      <protection locked="0"/>
    </xf>
    <xf numFmtId="234" fontId="0" fillId="0" borderId="0"/>
    <xf numFmtId="0" fontId="0" fillId="0" borderId="0">
      <protection locked="0"/>
    </xf>
    <xf numFmtId="234" fontId="115" fillId="0" borderId="0">
      <alignment vertical="center"/>
    </xf>
    <xf numFmtId="43" fontId="0" fillId="0" borderId="0">
      <alignment vertical="center"/>
    </xf>
    <xf numFmtId="234" fontId="115" fillId="0" borderId="0">
      <alignment vertical="center"/>
    </xf>
  </cellStyleXfs>
  <cellXfs count="773">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pplyProtection="1">
      <alignment vertical="center"/>
      <protection locked="0"/>
    </xf>
    <xf numFmtId="0" fontId="3" fillId="0" borderId="0" xfId="0" applyFont="1" applyAlignment="1" applyProtection="1">
      <alignment vertical="center"/>
      <protection locked="0"/>
    </xf>
    <xf numFmtId="0" fontId="4"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3" fillId="0" borderId="0" xfId="0" applyFont="1" applyAlignment="1" applyProtection="1">
      <alignment vertical="center" wrapText="1"/>
      <protection locked="0"/>
    </xf>
    <xf numFmtId="0" fontId="6" fillId="0" borderId="0" xfId="0" applyFont="1" applyAlignment="1" applyProtection="1">
      <alignment horizontal="right" vertical="center"/>
      <protection locked="0"/>
    </xf>
    <xf numFmtId="0" fontId="7" fillId="0" borderId="0" xfId="6" applyFont="1" applyAlignment="1" applyProtection="1">
      <alignment vertical="center"/>
      <protection locked="0"/>
    </xf>
    <xf numFmtId="0" fontId="3" fillId="0" borderId="0" xfId="85" applyFont="1" applyAlignment="1" applyProtection="1">
      <alignment horizontal="left" vertical="center"/>
      <protection locked="0"/>
    </xf>
    <xf numFmtId="0" fontId="8" fillId="0" borderId="0" xfId="74" applyFont="1" applyAlignment="1" applyProtection="1">
      <alignment vertical="center"/>
    </xf>
    <xf numFmtId="0" fontId="3" fillId="0" borderId="0" xfId="80" applyFont="1" applyAlignment="1">
      <alignment horizontal="left" vertical="center" wrapText="1"/>
    </xf>
    <xf numFmtId="0" fontId="3" fillId="0" borderId="0" xfId="80" applyFont="1" applyAlignment="1">
      <alignment horizontal="left" vertical="center"/>
    </xf>
    <xf numFmtId="0" fontId="3" fillId="0" borderId="0" xfId="80" applyFont="1" applyAlignment="1">
      <alignment vertical="center" wrapText="1"/>
    </xf>
    <xf numFmtId="0" fontId="9" fillId="0" borderId="0" xfId="92" applyFont="1" applyAlignment="1">
      <alignment horizontal="left" vertical="center" wrapText="1"/>
    </xf>
    <xf numFmtId="0" fontId="3" fillId="0" borderId="0" xfId="78" applyFont="1" applyAlignment="1" applyProtection="1">
      <alignment vertical="center" wrapText="1"/>
      <protection locked="0"/>
    </xf>
    <xf numFmtId="0" fontId="10" fillId="2" borderId="1" xfId="0" applyFont="1" applyFill="1" applyBorder="1" applyAlignment="1" applyProtection="1">
      <alignment horizontal="center" vertical="center" wrapText="1"/>
    </xf>
    <xf numFmtId="0" fontId="10" fillId="2" borderId="1" xfId="0" applyFont="1" applyFill="1" applyBorder="1" applyAlignment="1" applyProtection="1">
      <alignment horizontal="center" vertical="center" wrapText="1"/>
      <protection locked="0"/>
    </xf>
    <xf numFmtId="0" fontId="10" fillId="2" borderId="1" xfId="838" applyFont="1" applyFill="1" applyBorder="1" applyAlignment="1">
      <alignment horizontal="center" vertical="center" wrapText="1"/>
    </xf>
    <xf numFmtId="0" fontId="3" fillId="0" borderId="1" xfId="80" applyFont="1" applyBorder="1" applyAlignment="1" applyProtection="1">
      <alignment vertical="center"/>
      <protection locked="0"/>
    </xf>
    <xf numFmtId="0" fontId="3" fillId="0" borderId="1" xfId="0" applyFont="1" applyBorder="1" applyAlignment="1" applyProtection="1">
      <alignment vertical="center"/>
      <protection locked="0"/>
    </xf>
    <xf numFmtId="14" fontId="3" fillId="0" borderId="1" xfId="0" applyNumberFormat="1" applyFont="1" applyBorder="1" applyAlignment="1" applyProtection="1">
      <alignment vertical="center"/>
      <protection locked="0"/>
    </xf>
    <xf numFmtId="43" fontId="3" fillId="0" borderId="1" xfId="1" applyFont="1" applyBorder="1" applyAlignment="1" applyProtection="1">
      <alignment vertical="center"/>
      <protection locked="0"/>
    </xf>
    <xf numFmtId="0" fontId="3" fillId="0" borderId="1" xfId="0" applyFont="1" applyBorder="1" applyAlignment="1" applyProtection="1">
      <alignment horizontal="center" vertical="center"/>
      <protection locked="0"/>
    </xf>
    <xf numFmtId="49" fontId="3" fillId="0" borderId="1" xfId="0" applyNumberFormat="1" applyFont="1" applyBorder="1" applyAlignment="1" applyProtection="1">
      <alignment horizontal="center" vertical="center"/>
      <protection locked="0"/>
    </xf>
    <xf numFmtId="0" fontId="8" fillId="0" borderId="0" xfId="91" applyFont="1" applyAlignment="1" applyProtection="1">
      <alignment vertical="center"/>
    </xf>
    <xf numFmtId="0" fontId="8" fillId="2" borderId="1" xfId="91" applyFont="1" applyFill="1" applyBorder="1" applyAlignment="1" applyProtection="1">
      <alignment horizontal="center" vertical="center" wrapText="1"/>
    </xf>
    <xf numFmtId="0" fontId="11" fillId="0" borderId="0" xfId="80" applyFont="1" applyAlignment="1" applyProtection="1">
      <alignment vertical="center"/>
      <protection locked="0"/>
    </xf>
    <xf numFmtId="0" fontId="11" fillId="0" borderId="0" xfId="0" applyFont="1" applyAlignment="1" applyProtection="1">
      <alignment vertical="center"/>
      <protection locked="0"/>
    </xf>
    <xf numFmtId="0" fontId="12" fillId="0" borderId="0" xfId="0" applyFont="1" applyAlignment="1" applyProtection="1">
      <alignment vertical="center"/>
      <protection locked="0"/>
    </xf>
    <xf numFmtId="0" fontId="13" fillId="0" borderId="0" xfId="0" applyFont="1" applyAlignment="1" applyProtection="1">
      <alignment vertical="center"/>
      <protection locked="0"/>
    </xf>
    <xf numFmtId="0" fontId="14" fillId="0" borderId="0" xfId="78" applyFont="1" applyAlignment="1" applyProtection="1">
      <alignment vertical="center"/>
      <protection locked="0"/>
    </xf>
    <xf numFmtId="0" fontId="14" fillId="0" borderId="0" xfId="0" applyFont="1" applyAlignment="1" applyProtection="1">
      <alignment horizontal="center" vertical="center"/>
      <protection locked="0"/>
    </xf>
    <xf numFmtId="0" fontId="15" fillId="3" borderId="0" xfId="0" applyFont="1" applyFill="1" applyAlignment="1" applyProtection="1">
      <alignment vertical="center"/>
      <protection locked="0"/>
    </xf>
    <xf numFmtId="0" fontId="14" fillId="0" borderId="0" xfId="0" applyFont="1" applyAlignment="1" applyProtection="1">
      <alignment vertical="center"/>
      <protection locked="0"/>
    </xf>
    <xf numFmtId="0" fontId="0" fillId="0" borderId="0" xfId="0" applyProtection="1"/>
    <xf numFmtId="0" fontId="14" fillId="0" borderId="0" xfId="0" applyFont="1" applyAlignment="1" applyProtection="1">
      <alignment vertical="center" wrapText="1"/>
      <protection locked="0"/>
    </xf>
    <xf numFmtId="49" fontId="16" fillId="0" borderId="0" xfId="0" applyNumberFormat="1" applyFont="1" applyAlignment="1" applyProtection="1">
      <alignment horizontal="center" vertical="center"/>
      <protection locked="0"/>
    </xf>
    <xf numFmtId="0" fontId="17" fillId="0" borderId="0" xfId="0" applyFont="1" applyAlignment="1" applyProtection="1">
      <alignment horizontal="center" vertical="center"/>
      <protection locked="0"/>
    </xf>
    <xf numFmtId="14" fontId="14" fillId="0" borderId="0" xfId="0" applyNumberFormat="1" applyFont="1" applyAlignment="1" applyProtection="1">
      <alignment vertical="center"/>
      <protection locked="0"/>
    </xf>
    <xf numFmtId="0" fontId="18" fillId="0" borderId="0" xfId="0" applyFont="1" applyAlignment="1" applyProtection="1">
      <alignment horizontal="right" vertical="center"/>
      <protection locked="0"/>
    </xf>
    <xf numFmtId="0" fontId="19" fillId="0" borderId="0" xfId="6" applyFont="1" applyAlignment="1" applyProtection="1">
      <alignment vertical="center"/>
      <protection locked="0"/>
    </xf>
    <xf numFmtId="0" fontId="14" fillId="0" borderId="0" xfId="85" applyFont="1" applyAlignment="1" applyProtection="1">
      <alignment horizontal="left" vertical="center"/>
      <protection locked="0"/>
    </xf>
    <xf numFmtId="0" fontId="20" fillId="0" borderId="0" xfId="74" applyFont="1" applyAlignment="1" applyProtection="1">
      <alignment vertical="center"/>
    </xf>
    <xf numFmtId="0" fontId="14" fillId="0" borderId="0" xfId="80" applyFont="1" applyAlignment="1">
      <alignment horizontal="left" vertical="center"/>
    </xf>
    <xf numFmtId="0" fontId="21" fillId="0" borderId="0" xfId="74" applyFont="1" applyAlignment="1" applyProtection="1">
      <alignment vertical="center"/>
    </xf>
    <xf numFmtId="0" fontId="14" fillId="0" borderId="0" xfId="80" applyFont="1" applyAlignment="1">
      <alignment horizontal="left" vertical="center" wrapText="1"/>
    </xf>
    <xf numFmtId="0" fontId="22" fillId="0" borderId="0" xfId="74" applyFont="1" applyAlignment="1" applyProtection="1">
      <alignment vertical="top"/>
    </xf>
    <xf numFmtId="0" fontId="23" fillId="0" borderId="0" xfId="74" applyFont="1" applyAlignment="1" applyProtection="1">
      <alignment vertical="center"/>
    </xf>
    <xf numFmtId="0" fontId="24" fillId="4" borderId="2"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4" borderId="2" xfId="80" applyFont="1" applyFill="1" applyBorder="1" applyAlignment="1">
      <alignment horizontal="center" vertical="center" wrapText="1"/>
    </xf>
    <xf numFmtId="49" fontId="14" fillId="0" borderId="2" xfId="0" applyNumberFormat="1" applyFont="1" applyBorder="1" applyAlignment="1" applyProtection="1">
      <alignment horizontal="center"/>
      <protection locked="0"/>
    </xf>
    <xf numFmtId="0" fontId="23" fillId="0" borderId="2" xfId="0" applyFont="1" applyBorder="1" applyAlignment="1" applyProtection="1">
      <alignment vertical="center"/>
    </xf>
    <xf numFmtId="0" fontId="14" fillId="0" borderId="2" xfId="0" applyFont="1" applyBorder="1" applyAlignment="1" applyProtection="1">
      <alignment vertical="center"/>
      <protection locked="0"/>
    </xf>
    <xf numFmtId="14" fontId="14" fillId="0" borderId="2" xfId="0" applyNumberFormat="1" applyFont="1" applyBorder="1" applyAlignment="1" applyProtection="1">
      <alignment vertical="center"/>
      <protection locked="0"/>
    </xf>
    <xf numFmtId="1" fontId="14" fillId="5" borderId="2" xfId="0" applyNumberFormat="1" applyFont="1" applyFill="1" applyBorder="1" applyAlignment="1" applyProtection="1">
      <alignment vertical="center"/>
      <protection locked="0"/>
    </xf>
    <xf numFmtId="4" fontId="14" fillId="0" borderId="2" xfId="1" applyNumberFormat="1" applyFont="1" applyBorder="1" applyAlignment="1" applyProtection="1">
      <alignment vertical="center"/>
      <protection locked="0"/>
    </xf>
    <xf numFmtId="43" fontId="14" fillId="5" borderId="2" xfId="1" applyFont="1" applyFill="1" applyBorder="1" applyAlignment="1" applyProtection="1">
      <alignment horizontal="center"/>
      <protection locked="0"/>
    </xf>
    <xf numFmtId="1" fontId="14" fillId="2" borderId="2" xfId="1" applyNumberFormat="1" applyFont="1" applyFill="1" applyBorder="1" applyAlignment="1">
      <alignment horizontal="right" vertical="center" wrapText="1"/>
    </xf>
    <xf numFmtId="4" fontId="14" fillId="5" borderId="2" xfId="1" applyNumberFormat="1" applyFont="1" applyFill="1" applyBorder="1" applyAlignment="1" applyProtection="1">
      <alignment vertical="center" shrinkToFit="1"/>
      <protection locked="0"/>
    </xf>
    <xf numFmtId="4" fontId="14" fillId="2" borderId="2" xfId="1" applyNumberFormat="1" applyFont="1" applyFill="1" applyBorder="1" applyAlignment="1">
      <alignment horizontal="right" vertical="center" wrapText="1"/>
    </xf>
    <xf numFmtId="4" fontId="25" fillId="5" borderId="2" xfId="80" applyNumberFormat="1" applyFont="1" applyFill="1" applyBorder="1" applyAlignment="1">
      <alignment horizontal="left" vertical="center"/>
    </xf>
    <xf numFmtId="49" fontId="14" fillId="0" borderId="2" xfId="0" applyNumberFormat="1" applyFont="1" applyBorder="1" applyAlignment="1" applyProtection="1">
      <alignment horizontal="center" vertical="center"/>
      <protection locked="0"/>
    </xf>
    <xf numFmtId="0" fontId="14" fillId="0" borderId="2" xfId="80" applyFont="1" applyBorder="1" applyAlignment="1">
      <alignment horizontal="left" vertical="center"/>
    </xf>
    <xf numFmtId="4" fontId="26" fillId="5" borderId="2" xfId="80" applyNumberFormat="1" applyFont="1" applyFill="1" applyBorder="1" applyAlignment="1">
      <alignment horizontal="left" vertical="center"/>
    </xf>
    <xf numFmtId="49" fontId="20" fillId="6" borderId="2" xfId="0" applyNumberFormat="1" applyFont="1" applyFill="1" applyBorder="1" applyAlignment="1" applyProtection="1">
      <alignment horizontal="center" vertical="center"/>
      <protection locked="0"/>
    </xf>
    <xf numFmtId="0" fontId="0" fillId="0" borderId="3" xfId="0" applyBorder="1" applyProtection="1">
      <protection locked="0"/>
    </xf>
    <xf numFmtId="0" fontId="0" fillId="0" borderId="4" xfId="0" applyBorder="1" applyProtection="1">
      <protection locked="0"/>
    </xf>
    <xf numFmtId="14" fontId="15" fillId="6" borderId="2" xfId="0" applyNumberFormat="1" applyFont="1" applyFill="1" applyBorder="1" applyAlignment="1" applyProtection="1">
      <alignment vertical="center"/>
      <protection locked="0"/>
    </xf>
    <xf numFmtId="4" fontId="20" fillId="6" borderId="2" xfId="1" applyNumberFormat="1" applyFont="1" applyFill="1" applyBorder="1" applyAlignment="1">
      <alignment horizontal="right" vertical="center" wrapText="1"/>
    </xf>
    <xf numFmtId="43" fontId="15" fillId="6" borderId="2" xfId="1" applyFont="1" applyFill="1" applyBorder="1" applyAlignment="1" applyProtection="1">
      <alignment vertical="center"/>
      <protection locked="0"/>
    </xf>
    <xf numFmtId="4" fontId="20" fillId="6" borderId="2" xfId="1" applyNumberFormat="1" applyFont="1" applyFill="1" applyBorder="1" applyAlignment="1" applyProtection="1">
      <alignment vertical="center"/>
      <protection locked="0"/>
    </xf>
    <xf numFmtId="43" fontId="15" fillId="6" borderId="2" xfId="1" applyFont="1" applyFill="1" applyBorder="1" applyAlignment="1">
      <alignment horizontal="right" vertical="center" wrapText="1"/>
    </xf>
    <xf numFmtId="4" fontId="20" fillId="6" borderId="2" xfId="80" applyNumberFormat="1" applyFont="1" applyFill="1" applyBorder="1" applyAlignment="1">
      <alignment horizontal="left" vertical="center"/>
    </xf>
    <xf numFmtId="49" fontId="15" fillId="6" borderId="2" xfId="0" applyNumberFormat="1" applyFont="1" applyFill="1" applyBorder="1" applyAlignment="1" applyProtection="1">
      <alignment horizontal="center" vertical="center"/>
      <protection locked="0"/>
    </xf>
    <xf numFmtId="0" fontId="15" fillId="6" borderId="2" xfId="80" applyFont="1" applyFill="1" applyBorder="1" applyAlignment="1">
      <alignment horizontal="left" vertical="center"/>
    </xf>
    <xf numFmtId="0" fontId="15" fillId="7" borderId="2" xfId="80" applyFont="1" applyFill="1" applyBorder="1" applyAlignment="1">
      <alignment horizontal="left" vertical="center"/>
    </xf>
    <xf numFmtId="43" fontId="21" fillId="0" borderId="0" xfId="1" applyFont="1" applyAlignment="1">
      <alignment vertical="center"/>
    </xf>
    <xf numFmtId="0" fontId="14" fillId="0" borderId="0" xfId="80" applyFont="1" applyAlignment="1" applyProtection="1">
      <alignment vertical="center" wrapText="1"/>
      <protection locked="0"/>
    </xf>
    <xf numFmtId="49" fontId="20" fillId="0" borderId="0" xfId="1" applyNumberFormat="1" applyFont="1" applyAlignment="1">
      <alignment horizontal="right" vertical="center" shrinkToFit="1"/>
    </xf>
    <xf numFmtId="0" fontId="14" fillId="0" borderId="0" xfId="80" applyFont="1" applyAlignment="1" applyProtection="1">
      <alignment horizontal="left" vertical="center"/>
      <protection locked="0"/>
    </xf>
    <xf numFmtId="49" fontId="15" fillId="0" borderId="0" xfId="1" applyNumberFormat="1" applyFont="1" applyAlignment="1">
      <alignment horizontal="right" vertical="center" shrinkToFit="1"/>
    </xf>
    <xf numFmtId="49" fontId="27" fillId="0" borderId="0" xfId="1" applyNumberFormat="1" applyFont="1" applyAlignment="1"/>
    <xf numFmtId="0" fontId="14" fillId="0" borderId="0" xfId="80" applyFont="1" applyAlignment="1" applyProtection="1">
      <alignment vertical="center"/>
      <protection locked="0"/>
    </xf>
    <xf numFmtId="0" fontId="14" fillId="0" borderId="0" xfId="80" applyFont="1" applyAlignment="1" applyProtection="1">
      <alignment horizontal="centerContinuous" vertical="center" wrapText="1"/>
      <protection locked="0"/>
    </xf>
    <xf numFmtId="49" fontId="22" fillId="0" borderId="0" xfId="1" applyNumberFormat="1" applyFont="1" applyAlignment="1"/>
    <xf numFmtId="0" fontId="14" fillId="0" borderId="0" xfId="80" applyFont="1" applyAlignment="1" applyProtection="1">
      <alignment wrapText="1"/>
      <protection locked="0"/>
    </xf>
    <xf numFmtId="0" fontId="28" fillId="0" borderId="0" xfId="80" applyFont="1" applyProtection="1">
      <protection locked="0"/>
    </xf>
    <xf numFmtId="0" fontId="14" fillId="0" borderId="0" xfId="80" applyFont="1" applyProtection="1">
      <protection locked="0"/>
    </xf>
    <xf numFmtId="0" fontId="29" fillId="0" borderId="0" xfId="80" applyFont="1" applyAlignment="1" applyProtection="1">
      <protection locked="0"/>
    </xf>
    <xf numFmtId="0" fontId="29" fillId="8" borderId="0" xfId="80" applyFont="1" applyFill="1" applyAlignment="1"/>
    <xf numFmtId="0" fontId="29" fillId="8" borderId="0" xfId="80" applyFont="1" applyFill="1" applyAlignment="1" applyProtection="1">
      <protection locked="0"/>
    </xf>
    <xf numFmtId="0" fontId="30" fillId="0" borderId="0" xfId="80" applyFont="1" applyProtection="1">
      <protection locked="0"/>
    </xf>
    <xf numFmtId="0" fontId="31" fillId="0" borderId="0" xfId="0" applyFont="1" applyAlignment="1" applyProtection="1">
      <alignment vertical="center"/>
      <protection locked="0"/>
    </xf>
    <xf numFmtId="0" fontId="32" fillId="0" borderId="0" xfId="0" applyFont="1" applyAlignment="1" applyProtection="1">
      <alignment vertical="center"/>
      <protection locked="0"/>
    </xf>
    <xf numFmtId="0" fontId="3" fillId="0" borderId="0" xfId="78" applyFont="1" applyAlignment="1" applyProtection="1">
      <alignment vertical="center"/>
      <protection locked="0"/>
    </xf>
    <xf numFmtId="0" fontId="3" fillId="0" borderId="0" xfId="0" applyFont="1" applyProtection="1">
      <protection locked="0"/>
    </xf>
    <xf numFmtId="0" fontId="3" fillId="2" borderId="0" xfId="0" applyFont="1" applyFill="1" applyAlignment="1" applyProtection="1">
      <alignment vertical="center"/>
      <protection locked="0"/>
    </xf>
    <xf numFmtId="0" fontId="10" fillId="0" borderId="0" xfId="0" applyFont="1" applyAlignment="1" applyProtection="1">
      <alignment vertical="center"/>
      <protection locked="0"/>
    </xf>
    <xf numFmtId="49" fontId="3" fillId="0" borderId="0" xfId="0" applyNumberFormat="1" applyFont="1" applyAlignment="1" applyProtection="1">
      <alignment vertical="center"/>
      <protection locked="0"/>
    </xf>
    <xf numFmtId="0" fontId="3" fillId="0" borderId="0" xfId="77" applyFont="1" applyAlignment="1">
      <alignment vertical="center"/>
    </xf>
    <xf numFmtId="49" fontId="3" fillId="0" borderId="0" xfId="0" applyNumberFormat="1" applyFont="1" applyAlignment="1" applyProtection="1">
      <alignment horizontal="left" vertical="center"/>
      <protection locked="0"/>
    </xf>
    <xf numFmtId="0" fontId="10" fillId="0" borderId="0" xfId="78" applyFont="1" applyAlignment="1">
      <alignment horizontal="left" vertical="center" wrapText="1"/>
    </xf>
    <xf numFmtId="0" fontId="10" fillId="0" borderId="0" xfId="78" applyFont="1" applyAlignment="1">
      <alignment vertical="center" wrapText="1"/>
    </xf>
    <xf numFmtId="234" fontId="10" fillId="0" borderId="0" xfId="840" applyFont="1" applyAlignment="1">
      <alignment horizontal="left" vertical="center"/>
    </xf>
    <xf numFmtId="234" fontId="3" fillId="0" borderId="0" xfId="839" applyFont="1" applyProtection="1">
      <protection locked="0"/>
    </xf>
    <xf numFmtId="49" fontId="10" fillId="0" borderId="0" xfId="78" applyNumberFormat="1" applyFont="1" applyAlignment="1">
      <alignment horizontal="left" vertical="center"/>
    </xf>
    <xf numFmtId="234" fontId="3" fillId="0" borderId="0" xfId="840" applyFont="1" applyAlignment="1">
      <alignment horizontal="left" vertical="center"/>
    </xf>
    <xf numFmtId="234" fontId="11" fillId="0" borderId="0" xfId="840" applyFont="1" applyAlignment="1">
      <alignment horizontal="left" vertical="center"/>
    </xf>
    <xf numFmtId="0" fontId="11" fillId="0" borderId="0" xfId="78" applyFont="1" applyAlignment="1">
      <alignment horizontal="left" vertical="center"/>
    </xf>
    <xf numFmtId="0" fontId="33" fillId="0" borderId="0" xfId="78" applyFont="1" applyAlignment="1">
      <alignment horizontal="left" vertical="center"/>
    </xf>
    <xf numFmtId="0" fontId="10" fillId="0" borderId="0" xfId="78" applyFont="1" applyAlignment="1">
      <alignment vertical="center"/>
    </xf>
    <xf numFmtId="0" fontId="7" fillId="0" borderId="0" xfId="78" applyFont="1" applyAlignment="1" applyProtection="1">
      <alignment horizontal="center" vertical="center"/>
      <protection hidden="1"/>
    </xf>
    <xf numFmtId="0" fontId="3" fillId="0" borderId="0" xfId="78" applyFont="1" applyAlignment="1" applyProtection="1">
      <alignment horizontal="left" vertical="center"/>
      <protection hidden="1"/>
    </xf>
    <xf numFmtId="0" fontId="7" fillId="0" borderId="0" xfId="78" applyFont="1" applyAlignment="1" applyProtection="1">
      <alignment horizontal="left" vertical="center"/>
      <protection locked="0"/>
    </xf>
    <xf numFmtId="0" fontId="34" fillId="0" borderId="0" xfId="0" applyFont="1" applyAlignment="1" applyProtection="1">
      <alignment horizontal="left" vertical="center"/>
      <protection locked="0"/>
    </xf>
    <xf numFmtId="0" fontId="10" fillId="2" borderId="1" xfId="0" applyFont="1" applyFill="1" applyBorder="1" applyAlignment="1" applyProtection="1">
      <alignment horizontal="center" vertical="center"/>
      <protection locked="0"/>
    </xf>
    <xf numFmtId="0" fontId="10" fillId="2" borderId="5" xfId="0" applyFont="1" applyFill="1" applyBorder="1" applyAlignment="1" applyProtection="1">
      <alignment horizontal="center" vertical="center"/>
      <protection locked="0"/>
    </xf>
    <xf numFmtId="0" fontId="0" fillId="0" borderId="6" xfId="0" applyBorder="1" applyProtection="1">
      <protection locked="0"/>
    </xf>
    <xf numFmtId="0" fontId="35" fillId="2" borderId="1" xfId="82" applyFont="1" applyFill="1" applyBorder="1" applyAlignment="1" applyProtection="1">
      <alignment horizontal="center" vertical="center" wrapText="1"/>
      <protection locked="0"/>
    </xf>
    <xf numFmtId="0" fontId="35" fillId="9" borderId="1" xfId="74" applyFont="1" applyFill="1" applyBorder="1" applyAlignment="1" applyProtection="1">
      <alignment horizontal="center" vertical="center" wrapText="1"/>
    </xf>
    <xf numFmtId="0" fontId="35" fillId="2" borderId="1" xfId="82" applyFont="1" applyFill="1" applyBorder="1" applyAlignment="1" applyProtection="1">
      <alignment horizontal="center" vertical="center"/>
      <protection locked="0"/>
    </xf>
    <xf numFmtId="0" fontId="0" fillId="0" borderId="7" xfId="0" applyBorder="1" applyProtection="1">
      <protection locked="0"/>
    </xf>
    <xf numFmtId="0" fontId="10" fillId="2" borderId="7" xfId="0" applyFont="1" applyFill="1" applyBorder="1" applyAlignment="1" applyProtection="1">
      <alignment horizontal="center" vertical="center"/>
      <protection locked="0"/>
    </xf>
    <xf numFmtId="0" fontId="0" fillId="0" borderId="7" xfId="0" applyBorder="1" applyProtection="1"/>
    <xf numFmtId="0" fontId="11" fillId="2" borderId="0" xfId="0" applyFont="1" applyFill="1" applyAlignment="1" applyProtection="1">
      <alignment horizontal="left"/>
      <protection locked="0"/>
    </xf>
    <xf numFmtId="0" fontId="3" fillId="0" borderId="1" xfId="0" applyFont="1" applyBorder="1" applyAlignment="1" applyProtection="1">
      <alignment horizontal="left" vertical="center"/>
      <protection locked="0"/>
    </xf>
    <xf numFmtId="49" fontId="3" fillId="0" borderId="1" xfId="0" applyNumberFormat="1" applyFont="1" applyBorder="1" applyAlignment="1" applyProtection="1">
      <alignment vertical="center" wrapText="1"/>
      <protection locked="0"/>
    </xf>
    <xf numFmtId="0" fontId="3" fillId="0" borderId="1" xfId="0" applyFont="1" applyBorder="1" applyAlignment="1" applyProtection="1">
      <alignment vertical="center" wrapText="1"/>
      <protection locked="0"/>
    </xf>
    <xf numFmtId="43" fontId="36" fillId="0" borderId="1" xfId="1" applyFont="1" applyBorder="1" applyAlignment="1">
      <alignment vertical="center"/>
    </xf>
    <xf numFmtId="14" fontId="3" fillId="0" borderId="1" xfId="0" applyNumberFormat="1" applyFont="1" applyBorder="1" applyAlignment="1" applyProtection="1">
      <alignment vertical="center" wrapText="1"/>
      <protection locked="0"/>
    </xf>
    <xf numFmtId="43" fontId="3" fillId="0" borderId="1" xfId="1" applyFont="1" applyBorder="1" applyAlignment="1" applyProtection="1">
      <alignment horizontal="left" vertical="center"/>
      <protection locked="0"/>
    </xf>
    <xf numFmtId="43" fontId="3" fillId="2" borderId="5" xfId="1" applyFont="1" applyFill="1" applyBorder="1" applyAlignment="1">
      <alignment horizontal="right" vertical="center" wrapText="1"/>
    </xf>
    <xf numFmtId="49" fontId="3" fillId="0" borderId="1" xfId="665" applyNumberFormat="1" applyFont="1" applyBorder="1" applyAlignment="1" applyProtection="1">
      <alignment horizontal="center" vertical="center"/>
      <protection locked="0"/>
    </xf>
    <xf numFmtId="49" fontId="3" fillId="0" borderId="1" xfId="665" applyNumberFormat="1" applyFont="1" applyBorder="1" applyAlignment="1" applyProtection="1">
      <alignment vertical="center"/>
      <protection locked="0"/>
    </xf>
    <xf numFmtId="49" fontId="10" fillId="2" borderId="1" xfId="0" applyNumberFormat="1" applyFont="1" applyFill="1" applyBorder="1" applyAlignment="1" applyProtection="1">
      <alignment horizontal="center" vertical="center"/>
      <protection locked="0"/>
    </xf>
    <xf numFmtId="0" fontId="0" fillId="0" borderId="8" xfId="0" applyBorder="1" applyProtection="1">
      <protection locked="0"/>
    </xf>
    <xf numFmtId="43" fontId="10" fillId="2" borderId="1" xfId="1" applyFont="1" applyFill="1" applyBorder="1" applyAlignment="1">
      <alignment horizontal="right" vertical="center" wrapText="1"/>
    </xf>
    <xf numFmtId="43" fontId="10" fillId="2" borderId="5" xfId="1" applyFont="1" applyFill="1" applyBorder="1" applyAlignment="1">
      <alignment horizontal="right" vertical="center" wrapText="1"/>
    </xf>
    <xf numFmtId="0" fontId="3" fillId="3" borderId="1" xfId="0" applyFont="1" applyFill="1" applyBorder="1" applyAlignment="1" applyProtection="1">
      <alignment vertical="center" wrapText="1"/>
      <protection locked="0"/>
    </xf>
    <xf numFmtId="0" fontId="3" fillId="3" borderId="1" xfId="0" applyFont="1" applyFill="1" applyBorder="1" applyAlignment="1" applyProtection="1">
      <alignment horizontal="left" vertical="center"/>
      <protection locked="0"/>
    </xf>
    <xf numFmtId="43" fontId="10" fillId="3" borderId="1" xfId="1" applyFont="1" applyFill="1" applyBorder="1" applyAlignment="1">
      <alignment horizontal="right" vertical="center" wrapText="1"/>
    </xf>
    <xf numFmtId="49" fontId="3" fillId="3" borderId="7" xfId="0" applyNumberFormat="1" applyFont="1" applyFill="1" applyBorder="1" applyAlignment="1" applyProtection="1">
      <alignment horizontal="justify" vertical="center"/>
      <protection locked="0"/>
    </xf>
    <xf numFmtId="0" fontId="3" fillId="3" borderId="7" xfId="0" applyFont="1" applyFill="1" applyBorder="1" applyAlignment="1" applyProtection="1">
      <alignment vertical="center" wrapText="1"/>
      <protection locked="0"/>
    </xf>
    <xf numFmtId="49" fontId="35" fillId="2" borderId="1" xfId="0" applyNumberFormat="1" applyFont="1" applyFill="1" applyBorder="1" applyAlignment="1" applyProtection="1">
      <alignment horizontal="center" vertical="center"/>
      <protection locked="0"/>
    </xf>
    <xf numFmtId="10" fontId="10" fillId="3" borderId="1" xfId="3" applyNumberFormat="1" applyFont="1" applyFill="1" applyBorder="1" applyAlignment="1">
      <alignment horizontal="right" vertical="center" wrapText="1"/>
    </xf>
    <xf numFmtId="49" fontId="3" fillId="3" borderId="1" xfId="0" applyNumberFormat="1" applyFont="1" applyFill="1" applyBorder="1" applyAlignment="1" applyProtection="1">
      <alignment horizontal="justify" vertical="center"/>
      <protection locked="0"/>
    </xf>
    <xf numFmtId="0" fontId="10" fillId="0" borderId="9" xfId="78" applyFont="1" applyBorder="1" applyAlignment="1">
      <alignment vertical="center"/>
    </xf>
    <xf numFmtId="0" fontId="3" fillId="0" borderId="9" xfId="0" applyFont="1" applyBorder="1" applyAlignment="1" applyProtection="1">
      <alignment vertical="center"/>
      <protection locked="0"/>
    </xf>
    <xf numFmtId="49" fontId="10" fillId="0" borderId="9" xfId="0" applyNumberFormat="1" applyFont="1" applyBorder="1" applyAlignment="1" applyProtection="1">
      <alignment vertical="center"/>
      <protection locked="0"/>
    </xf>
    <xf numFmtId="49" fontId="3" fillId="0" borderId="9" xfId="0" applyNumberFormat="1" applyFont="1" applyBorder="1" applyAlignment="1" applyProtection="1">
      <alignment horizontal="center" vertical="center"/>
      <protection locked="0"/>
    </xf>
    <xf numFmtId="0" fontId="3" fillId="0" borderId="9" xfId="0" applyFont="1" applyBorder="1" applyAlignment="1" applyProtection="1">
      <alignment horizontal="left" vertical="center"/>
      <protection locked="0"/>
    </xf>
    <xf numFmtId="0" fontId="34" fillId="0" borderId="0" xfId="74" applyFont="1" applyAlignment="1" applyProtection="1">
      <alignment vertical="center"/>
      <protection locked="0"/>
    </xf>
    <xf numFmtId="49" fontId="11" fillId="0" borderId="0" xfId="0" applyNumberFormat="1" applyFont="1" applyAlignment="1" applyProtection="1">
      <alignment horizontal="left" vertical="center"/>
      <protection locked="0"/>
    </xf>
    <xf numFmtId="49" fontId="3" fillId="0" borderId="0" xfId="0" applyNumberFormat="1" applyFont="1" applyAlignment="1" applyProtection="1">
      <alignment horizontal="center" vertical="center"/>
      <protection locked="0"/>
    </xf>
    <xf numFmtId="0" fontId="3" fillId="0" borderId="0" xfId="0" applyFont="1" applyAlignment="1" applyProtection="1">
      <alignment horizontal="left" vertical="center"/>
      <protection locked="0"/>
    </xf>
    <xf numFmtId="49" fontId="10" fillId="0" borderId="0" xfId="0" applyNumberFormat="1" applyFont="1" applyAlignment="1" applyProtection="1">
      <alignment vertical="center"/>
      <protection locked="0"/>
    </xf>
    <xf numFmtId="49" fontId="10" fillId="0" borderId="0" xfId="0" applyNumberFormat="1" applyFont="1" applyAlignment="1" applyProtection="1">
      <alignment horizontal="left" vertical="center"/>
      <protection locked="0"/>
    </xf>
    <xf numFmtId="0" fontId="10" fillId="0" borderId="0" xfId="0" applyFont="1" applyAlignment="1" applyProtection="1">
      <alignment horizontal="left" vertical="center"/>
      <protection locked="0"/>
    </xf>
    <xf numFmtId="0" fontId="3" fillId="0" borderId="0" xfId="0" applyFont="1" applyAlignment="1" applyProtection="1">
      <alignment horizontal="center" vertical="center"/>
      <protection locked="0"/>
    </xf>
    <xf numFmtId="0" fontId="1" fillId="0" borderId="0" xfId="76" applyFont="1" applyAlignment="1">
      <alignment vertical="center"/>
    </xf>
    <xf numFmtId="0" fontId="2" fillId="0" borderId="0" xfId="76" applyFont="1" applyAlignment="1">
      <alignment vertical="center"/>
    </xf>
    <xf numFmtId="49" fontId="4" fillId="0" borderId="0" xfId="76" applyNumberFormat="1" applyFont="1" applyAlignment="1">
      <alignment horizontal="center" vertical="center"/>
    </xf>
    <xf numFmtId="0" fontId="5" fillId="0" borderId="0" xfId="76" applyFont="1" applyAlignment="1">
      <alignment horizontal="center" vertical="center"/>
    </xf>
    <xf numFmtId="0" fontId="3" fillId="0" borderId="0" xfId="74" applyFont="1" applyAlignment="1" applyProtection="1">
      <alignment vertical="center"/>
    </xf>
    <xf numFmtId="0" fontId="37" fillId="0" borderId="0" xfId="74" applyFont="1" applyAlignment="1" applyProtection="1">
      <alignment horizontal="center"/>
    </xf>
    <xf numFmtId="0" fontId="3" fillId="0" borderId="0" xfId="75" applyFont="1" applyProtection="1">
      <protection locked="0"/>
    </xf>
    <xf numFmtId="0" fontId="3" fillId="0" borderId="0" xfId="0" applyFont="1" applyAlignment="1" applyProtection="1">
      <alignment horizontal="right" vertical="center"/>
      <protection locked="0"/>
    </xf>
    <xf numFmtId="0" fontId="10" fillId="0" borderId="0" xfId="74" applyFont="1" applyAlignment="1" applyProtection="1">
      <alignment horizontal="left" vertical="center"/>
    </xf>
    <xf numFmtId="0" fontId="3" fillId="0" borderId="0" xfId="74" applyFont="1" applyAlignment="1" applyProtection="1">
      <alignment vertical="center"/>
      <protection locked="0"/>
    </xf>
    <xf numFmtId="0" fontId="10" fillId="2" borderId="1" xfId="0" applyFont="1" applyFill="1" applyBorder="1" applyAlignment="1" applyProtection="1">
      <alignment horizontal="centerContinuous" vertical="center" wrapText="1"/>
      <protection locked="0"/>
    </xf>
    <xf numFmtId="0" fontId="3" fillId="2" borderId="1" xfId="0" applyFont="1" applyFill="1" applyBorder="1" applyAlignment="1" applyProtection="1">
      <alignment horizontal="centerContinuous" vertical="center"/>
      <protection locked="0"/>
    </xf>
    <xf numFmtId="0" fontId="3" fillId="0" borderId="1" xfId="0" applyFont="1" applyBorder="1" applyAlignment="1" applyProtection="1">
      <alignment horizontal="center" vertical="center" wrapText="1"/>
      <protection locked="0"/>
    </xf>
    <xf numFmtId="43" fontId="3" fillId="0" borderId="1" xfId="0" applyNumberFormat="1" applyFont="1" applyBorder="1" applyAlignment="1" applyProtection="1">
      <alignment horizontal="justify" vertical="center" wrapText="1"/>
      <protection locked="0"/>
    </xf>
    <xf numFmtId="43" fontId="3" fillId="0" borderId="1" xfId="0" applyNumberFormat="1" applyFont="1" applyBorder="1" applyAlignment="1" applyProtection="1">
      <alignment horizontal="center" vertical="center" wrapText="1"/>
      <protection locked="0"/>
    </xf>
    <xf numFmtId="43" fontId="3" fillId="2" borderId="1" xfId="1" applyFont="1" applyFill="1" applyBorder="1" applyAlignment="1">
      <alignment vertical="center"/>
    </xf>
    <xf numFmtId="0" fontId="10" fillId="3" borderId="1" xfId="0" applyFont="1" applyFill="1" applyBorder="1" applyAlignment="1" applyProtection="1">
      <alignment horizontal="center" vertical="center" wrapText="1"/>
      <protection locked="0"/>
    </xf>
    <xf numFmtId="43" fontId="10" fillId="3" borderId="1" xfId="1" applyFont="1" applyFill="1" applyBorder="1" applyAlignment="1">
      <alignment vertical="center"/>
    </xf>
    <xf numFmtId="43" fontId="10" fillId="3" borderId="1" xfId="1"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235" fontId="3" fillId="2" borderId="1" xfId="1" applyNumberFormat="1" applyFont="1" applyFill="1" applyBorder="1" applyAlignment="1">
      <alignment vertical="center"/>
    </xf>
    <xf numFmtId="9" fontId="3" fillId="0" borderId="1" xfId="3" applyFont="1" applyBorder="1" applyAlignment="1" applyProtection="1">
      <alignment horizontal="center" vertical="center" wrapText="1"/>
      <protection locked="0"/>
    </xf>
    <xf numFmtId="10" fontId="3" fillId="0" borderId="1" xfId="3" applyNumberFormat="1" applyFont="1" applyBorder="1" applyAlignment="1" applyProtection="1">
      <alignment vertical="center"/>
      <protection locked="0"/>
    </xf>
    <xf numFmtId="235" fontId="3" fillId="0" borderId="1" xfId="1" applyNumberFormat="1" applyFont="1" applyBorder="1" applyAlignment="1">
      <alignment vertical="center"/>
    </xf>
    <xf numFmtId="43" fontId="10" fillId="0" borderId="1" xfId="0" applyNumberFormat="1" applyFont="1" applyBorder="1" applyAlignment="1" applyProtection="1">
      <alignment horizontal="center" vertical="center" wrapText="1"/>
      <protection locked="0"/>
    </xf>
    <xf numFmtId="236" fontId="3" fillId="2" borderId="1" xfId="1" applyNumberFormat="1" applyFont="1" applyFill="1" applyBorder="1" applyAlignment="1">
      <alignment vertical="center"/>
    </xf>
    <xf numFmtId="0" fontId="7" fillId="0" borderId="1" xfId="74" applyFont="1" applyBorder="1" applyAlignment="1" applyProtection="1">
      <alignment vertical="center"/>
      <protection locked="0"/>
    </xf>
    <xf numFmtId="10" fontId="3" fillId="0" borderId="1" xfId="3" applyNumberFormat="1" applyFont="1" applyBorder="1" applyAlignment="1" applyProtection="1">
      <alignment horizontal="center" vertical="center" wrapText="1"/>
      <protection locked="0"/>
    </xf>
    <xf numFmtId="43" fontId="3" fillId="0" borderId="1" xfId="0" applyNumberFormat="1" applyFont="1" applyBorder="1" applyAlignment="1" applyProtection="1">
      <alignment vertical="center"/>
      <protection locked="0"/>
    </xf>
    <xf numFmtId="0" fontId="0" fillId="0" borderId="13" xfId="0" applyBorder="1" applyProtection="1">
      <protection locked="0"/>
    </xf>
    <xf numFmtId="0" fontId="10" fillId="2" borderId="1" xfId="0" applyFont="1" applyFill="1" applyBorder="1" applyAlignment="1" applyProtection="1">
      <alignment horizontal="centerContinuous" vertical="center"/>
      <protection locked="0"/>
    </xf>
    <xf numFmtId="9" fontId="3" fillId="0" borderId="1" xfId="0" applyNumberFormat="1" applyFont="1" applyBorder="1" applyAlignment="1" applyProtection="1">
      <alignment horizontal="center" vertical="center" wrapText="1"/>
      <protection locked="0"/>
    </xf>
    <xf numFmtId="10" fontId="3" fillId="2" borderId="1" xfId="3" applyNumberFormat="1" applyFont="1" applyFill="1" applyBorder="1" applyAlignment="1">
      <alignment vertical="center"/>
    </xf>
    <xf numFmtId="0" fontId="10" fillId="0" borderId="0" xfId="0" applyFont="1" applyAlignment="1" applyProtection="1">
      <alignment horizontal="right" vertical="center"/>
      <protection locked="0"/>
    </xf>
    <xf numFmtId="43" fontId="10" fillId="2" borderId="0" xfId="0" applyNumberFormat="1" applyFont="1" applyFill="1" applyAlignment="1" applyProtection="1">
      <alignment horizontal="left" vertical="center"/>
      <protection locked="0"/>
    </xf>
    <xf numFmtId="43" fontId="10" fillId="0" borderId="0" xfId="0" applyNumberFormat="1" applyFont="1" applyAlignment="1" applyProtection="1">
      <alignment horizontal="left" vertical="center"/>
      <protection locked="0"/>
    </xf>
    <xf numFmtId="0" fontId="38" fillId="0" borderId="0" xfId="0" applyFont="1" applyAlignment="1" applyProtection="1">
      <alignment horizontal="left" vertical="center"/>
      <protection locked="0"/>
    </xf>
    <xf numFmtId="0" fontId="7" fillId="0" borderId="0" xfId="0" applyFont="1" applyAlignment="1" applyProtection="1">
      <alignment horizontal="left" vertical="center"/>
      <protection locked="0"/>
    </xf>
    <xf numFmtId="0" fontId="3" fillId="0" borderId="0" xfId="79" applyFont="1" applyProtection="1">
      <protection locked="0"/>
    </xf>
    <xf numFmtId="0" fontId="39" fillId="0" borderId="0" xfId="76" applyFont="1" applyAlignment="1">
      <alignment vertical="center"/>
    </xf>
    <xf numFmtId="0" fontId="40" fillId="0" borderId="0" xfId="76" applyFont="1" applyAlignment="1">
      <alignment vertical="center"/>
    </xf>
    <xf numFmtId="0" fontId="41" fillId="3" borderId="0" xfId="0" applyFont="1" applyFill="1" applyAlignment="1" applyProtection="1">
      <alignment vertical="center"/>
      <protection locked="0"/>
    </xf>
    <xf numFmtId="0" fontId="14" fillId="3" borderId="0" xfId="0" applyFont="1" applyFill="1" applyAlignment="1" applyProtection="1">
      <alignment vertical="center"/>
      <protection locked="0"/>
    </xf>
    <xf numFmtId="49" fontId="12" fillId="0" borderId="0" xfId="76" applyNumberFormat="1" applyFont="1" applyAlignment="1">
      <alignment horizontal="center" vertical="center"/>
    </xf>
    <xf numFmtId="0" fontId="17" fillId="0" borderId="0" xfId="76" applyFont="1" applyAlignment="1">
      <alignment horizontal="center" vertical="center"/>
    </xf>
    <xf numFmtId="0" fontId="14" fillId="0" borderId="0" xfId="74" applyFont="1" applyAlignment="1" applyProtection="1">
      <alignment vertical="center"/>
      <protection locked="0"/>
    </xf>
    <xf numFmtId="0" fontId="42" fillId="0" borderId="0" xfId="6" applyFont="1" applyAlignment="1" applyProtection="1">
      <alignment vertical="center"/>
      <protection locked="0"/>
    </xf>
    <xf numFmtId="0" fontId="22" fillId="0" borderId="0" xfId="74" applyFont="1" applyAlignment="1" applyProtection="1">
      <alignment horizontal="left" vertical="center"/>
    </xf>
    <xf numFmtId="0" fontId="14" fillId="0" borderId="0" xfId="74" applyFont="1" applyAlignment="1" applyProtection="1">
      <alignment vertical="center"/>
    </xf>
    <xf numFmtId="0" fontId="43" fillId="0" borderId="0" xfId="74" applyFont="1" applyAlignment="1" applyProtection="1">
      <alignment horizontal="center"/>
    </xf>
    <xf numFmtId="0" fontId="14" fillId="0" borderId="0" xfId="77" applyFont="1" applyAlignment="1">
      <alignment vertical="center"/>
    </xf>
    <xf numFmtId="49" fontId="14" fillId="0" borderId="0" xfId="0" applyNumberFormat="1" applyFont="1" applyAlignment="1" applyProtection="1">
      <alignment vertical="center"/>
      <protection locked="0"/>
    </xf>
    <xf numFmtId="0" fontId="14" fillId="0" borderId="0" xfId="75" applyFont="1" applyProtection="1">
      <protection locked="0"/>
    </xf>
    <xf numFmtId="0" fontId="14" fillId="0" borderId="0" xfId="0" applyFont="1" applyAlignment="1" applyProtection="1">
      <alignment horizontal="right" vertical="center"/>
      <protection locked="0"/>
    </xf>
    <xf numFmtId="0" fontId="15" fillId="0" borderId="0" xfId="74" applyFont="1" applyAlignment="1" applyProtection="1">
      <alignment horizontal="left" vertical="center"/>
    </xf>
    <xf numFmtId="0" fontId="0" fillId="0" borderId="2" xfId="0" applyBorder="1" applyProtection="1">
      <protection locked="0"/>
    </xf>
    <xf numFmtId="0" fontId="24" fillId="4" borderId="2" xfId="0" applyFont="1" applyFill="1" applyBorder="1" applyAlignment="1" applyProtection="1">
      <alignment horizontal="center" vertical="center" wrapText="1"/>
    </xf>
    <xf numFmtId="0" fontId="0" fillId="4" borderId="2" xfId="0" applyFill="1" applyBorder="1" applyProtection="1">
      <protection locked="0"/>
    </xf>
    <xf numFmtId="0" fontId="0" fillId="0" borderId="2" xfId="0" applyBorder="1" applyProtection="1"/>
    <xf numFmtId="0" fontId="14" fillId="0" borderId="2" xfId="0" applyFont="1" applyBorder="1" applyAlignment="1" applyProtection="1">
      <alignment horizontal="justify" vertical="center" wrapText="1"/>
      <protection locked="0"/>
    </xf>
    <xf numFmtId="43" fontId="23" fillId="0" borderId="2" xfId="1" applyFont="1" applyBorder="1" applyAlignment="1">
      <alignment horizontal="center" vertical="center"/>
    </xf>
    <xf numFmtId="43" fontId="14" fillId="0" borderId="2" xfId="0" applyNumberFormat="1" applyFont="1" applyBorder="1" applyAlignment="1" applyProtection="1">
      <alignment horizontal="justify" vertical="center" wrapText="1"/>
      <protection locked="0"/>
    </xf>
    <xf numFmtId="4" fontId="14" fillId="0" borderId="2" xfId="1" applyNumberFormat="1" applyFont="1" applyBorder="1" applyAlignment="1" applyProtection="1">
      <alignment horizontal="justify" vertical="center" wrapText="1"/>
      <protection locked="0"/>
    </xf>
    <xf numFmtId="4" fontId="14" fillId="5" borderId="2" xfId="1" applyNumberFormat="1" applyFont="1" applyFill="1" applyBorder="1" applyAlignment="1">
      <alignment vertical="center"/>
    </xf>
    <xf numFmtId="4" fontId="14" fillId="0" borderId="2" xfId="1" applyNumberFormat="1" applyFont="1" applyBorder="1" applyAlignment="1">
      <alignment vertical="center"/>
    </xf>
    <xf numFmtId="49" fontId="14" fillId="0" borderId="2" xfId="0" applyNumberFormat="1" applyFont="1" applyBorder="1" applyAlignment="1" applyProtection="1">
      <alignment horizontal="center" vertical="center" wrapText="1"/>
      <protection locked="0"/>
    </xf>
    <xf numFmtId="4" fontId="0" fillId="5" borderId="2" xfId="0" applyNumberFormat="1" applyFill="1" applyBorder="1" applyProtection="1"/>
    <xf numFmtId="0" fontId="20" fillId="6" borderId="1" xfId="0" applyFont="1" applyFill="1" applyBorder="1" applyAlignment="1" applyProtection="1">
      <alignment horizontal="center" vertical="center" wrapText="1"/>
      <protection locked="0"/>
    </xf>
    <xf numFmtId="235" fontId="15" fillId="6" borderId="2" xfId="1" applyNumberFormat="1" applyFont="1" applyFill="1" applyBorder="1" applyAlignment="1">
      <alignment vertical="center"/>
    </xf>
    <xf numFmtId="4" fontId="20" fillId="6" borderId="2" xfId="1" applyNumberFormat="1" applyFont="1" applyFill="1" applyBorder="1" applyAlignment="1">
      <alignment vertical="center"/>
    </xf>
    <xf numFmtId="43" fontId="15" fillId="6" borderId="2" xfId="1" applyFont="1" applyFill="1" applyBorder="1" applyAlignment="1" applyProtection="1">
      <alignment horizontal="justify" vertical="center" wrapText="1"/>
      <protection locked="0"/>
    </xf>
    <xf numFmtId="4" fontId="20" fillId="7" borderId="2" xfId="0" applyNumberFormat="1" applyFont="1" applyFill="1" applyBorder="1" applyProtection="1"/>
    <xf numFmtId="0" fontId="20" fillId="0" borderId="9" xfId="0" applyFont="1" applyBorder="1" applyAlignment="1" applyProtection="1">
      <alignment vertical="center"/>
      <protection locked="0"/>
    </xf>
    <xf numFmtId="0" fontId="14" fillId="0" borderId="9" xfId="0" applyFont="1" applyBorder="1" applyAlignment="1" applyProtection="1">
      <alignment vertical="center"/>
      <protection locked="0"/>
    </xf>
    <xf numFmtId="0" fontId="29" fillId="10" borderId="0" xfId="0" applyFont="1" applyFill="1" applyAlignment="1" applyProtection="1">
      <alignment horizontal="left" vertical="center"/>
    </xf>
    <xf numFmtId="0" fontId="20" fillId="0" borderId="0" xfId="0" applyFont="1" applyAlignment="1" applyProtection="1">
      <alignment vertical="center"/>
      <protection locked="0"/>
    </xf>
    <xf numFmtId="0" fontId="22" fillId="0" borderId="0" xfId="0" applyFont="1" applyAlignment="1" applyProtection="1">
      <alignment horizontal="left" vertical="center"/>
    </xf>
    <xf numFmtId="0" fontId="29" fillId="0" borderId="0" xfId="0" applyFont="1" applyAlignment="1" applyProtection="1">
      <alignment horizontal="left" vertical="center"/>
      <protection locked="0"/>
    </xf>
    <xf numFmtId="0" fontId="1" fillId="0" borderId="0" xfId="0" applyFont="1" applyAlignment="1" applyProtection="1">
      <alignment vertical="center"/>
    </xf>
    <xf numFmtId="0" fontId="2" fillId="0" borderId="0" xfId="0" applyFont="1" applyAlignment="1" applyProtection="1">
      <alignment vertical="center"/>
    </xf>
    <xf numFmtId="0" fontId="3" fillId="0" borderId="0" xfId="0" applyFont="1" applyAlignment="1" applyProtection="1">
      <alignment vertical="center"/>
    </xf>
    <xf numFmtId="0" fontId="44" fillId="0" borderId="0" xfId="0" applyFont="1" applyAlignment="1" applyProtection="1">
      <alignment horizontal="center" vertical="center"/>
    </xf>
    <xf numFmtId="0" fontId="45" fillId="0" borderId="0" xfId="0" applyFont="1" applyAlignment="1" applyProtection="1">
      <alignment horizontal="center" vertical="center"/>
    </xf>
    <xf numFmtId="0" fontId="46" fillId="0" borderId="0" xfId="0" applyFont="1" applyAlignment="1" applyProtection="1">
      <alignment vertical="center"/>
    </xf>
    <xf numFmtId="14" fontId="46" fillId="0" borderId="0" xfId="0" applyNumberFormat="1" applyFont="1" applyAlignment="1" applyProtection="1">
      <alignment vertical="center"/>
    </xf>
    <xf numFmtId="43" fontId="3" fillId="0" borderId="0" xfId="74" applyNumberFormat="1" applyFont="1" applyAlignment="1" applyProtection="1">
      <alignment vertical="center"/>
    </xf>
    <xf numFmtId="43" fontId="3" fillId="0" borderId="0" xfId="0" applyNumberFormat="1" applyFont="1" applyAlignment="1" applyProtection="1">
      <alignment vertical="center"/>
      <protection locked="0"/>
    </xf>
    <xf numFmtId="43" fontId="3" fillId="0" borderId="0" xfId="77" applyNumberFormat="1" applyFont="1" applyAlignment="1">
      <alignment vertical="center"/>
    </xf>
    <xf numFmtId="14" fontId="3" fillId="0" borderId="0" xfId="0" applyNumberFormat="1" applyFont="1" applyAlignment="1" applyProtection="1">
      <alignment vertical="center"/>
      <protection locked="0"/>
    </xf>
    <xf numFmtId="49" fontId="10" fillId="0" borderId="5" xfId="1" applyNumberFormat="1" applyFont="1" applyBorder="1" applyAlignment="1">
      <alignment horizontal="center" vertical="center" shrinkToFit="1"/>
    </xf>
    <xf numFmtId="0" fontId="34" fillId="0" borderId="1" xfId="0" applyFont="1" applyBorder="1" applyAlignment="1" applyProtection="1">
      <alignment horizontal="justify" vertical="center" wrapText="1"/>
      <protection locked="0"/>
    </xf>
    <xf numFmtId="43" fontId="3" fillId="0" borderId="1" xfId="0" applyNumberFormat="1" applyFont="1" applyBorder="1" applyAlignment="1" applyProtection="1">
      <alignment horizontal="right" vertical="center" wrapText="1"/>
      <protection locked="0"/>
    </xf>
    <xf numFmtId="49" fontId="10" fillId="0" borderId="14" xfId="1" applyNumberFormat="1" applyFont="1" applyBorder="1" applyAlignment="1">
      <alignment horizontal="center" vertical="center" shrinkToFit="1"/>
    </xf>
    <xf numFmtId="0" fontId="34" fillId="0" borderId="15" xfId="0" applyFont="1" applyBorder="1" applyAlignment="1" applyProtection="1">
      <alignment horizontal="justify" vertical="center" wrapText="1"/>
      <protection locked="0"/>
    </xf>
    <xf numFmtId="43" fontId="3" fillId="0" borderId="15" xfId="0" applyNumberFormat="1" applyFont="1" applyBorder="1" applyAlignment="1" applyProtection="1">
      <alignment horizontal="right" vertical="center" wrapText="1"/>
      <protection locked="0"/>
    </xf>
    <xf numFmtId="43" fontId="10" fillId="2" borderId="15" xfId="1" applyFont="1" applyFill="1" applyBorder="1" applyAlignment="1">
      <alignment horizontal="right" vertical="center" wrapText="1"/>
    </xf>
    <xf numFmtId="0" fontId="3" fillId="2" borderId="1" xfId="0" applyFont="1" applyFill="1" applyBorder="1" applyAlignment="1" applyProtection="1">
      <alignment horizontal="right" vertical="center"/>
    </xf>
    <xf numFmtId="0" fontId="34" fillId="2" borderId="1" xfId="0" applyFont="1" applyFill="1" applyBorder="1" applyAlignment="1" applyProtection="1">
      <alignment horizontal="center" vertical="center" wrapText="1"/>
    </xf>
    <xf numFmtId="0" fontId="33" fillId="0" borderId="0" xfId="0" applyFont="1" applyAlignment="1" applyProtection="1">
      <alignment vertical="center"/>
    </xf>
    <xf numFmtId="0" fontId="11" fillId="0" borderId="0" xfId="0" applyFont="1" applyAlignment="1" applyProtection="1">
      <alignment vertical="center"/>
    </xf>
    <xf numFmtId="43" fontId="14" fillId="0" borderId="0" xfId="1" applyFont="1" applyAlignment="1">
      <alignment vertical="center"/>
    </xf>
    <xf numFmtId="43" fontId="18" fillId="0" borderId="0" xfId="1" applyFont="1" applyAlignment="1">
      <alignment horizontal="center" vertical="center" wrapText="1"/>
    </xf>
    <xf numFmtId="0" fontId="15" fillId="0" borderId="0" xfId="0" applyFont="1" applyAlignment="1" applyProtection="1">
      <alignment vertical="center"/>
      <protection locked="0"/>
    </xf>
    <xf numFmtId="0" fontId="13" fillId="0" borderId="0" xfId="76" applyFont="1" applyAlignment="1">
      <alignment horizontal="center" vertical="center"/>
    </xf>
    <xf numFmtId="43" fontId="14" fillId="0" borderId="0" xfId="74" applyNumberFormat="1" applyFont="1" applyAlignment="1" applyProtection="1">
      <alignment vertical="center"/>
    </xf>
    <xf numFmtId="43" fontId="14" fillId="0" borderId="0" xfId="0" applyNumberFormat="1" applyFont="1" applyAlignment="1" applyProtection="1">
      <alignment vertical="center"/>
      <protection locked="0"/>
    </xf>
    <xf numFmtId="43" fontId="14" fillId="0" borderId="0" xfId="77" applyNumberFormat="1" applyFont="1" applyAlignment="1">
      <alignment vertical="center"/>
    </xf>
    <xf numFmtId="14" fontId="14" fillId="0" borderId="0" xfId="75" applyNumberFormat="1" applyFont="1" applyProtection="1">
      <protection locked="0"/>
    </xf>
    <xf numFmtId="43" fontId="14" fillId="2" borderId="16" xfId="1" applyFont="1" applyFill="1" applyBorder="1" applyAlignment="1">
      <alignment horizontal="center" vertical="center"/>
    </xf>
    <xf numFmtId="14" fontId="14" fillId="0" borderId="16" xfId="1" applyNumberFormat="1" applyFont="1" applyBorder="1" applyAlignment="1">
      <alignment vertical="center" shrinkToFit="1"/>
    </xf>
    <xf numFmtId="43" fontId="14" fillId="2" borderId="16" xfId="1" applyFont="1" applyFill="1" applyBorder="1" applyAlignment="1">
      <alignment horizontal="center" vertical="center" shrinkToFit="1"/>
    </xf>
    <xf numFmtId="43" fontId="29" fillId="0" borderId="0" xfId="1" applyFont="1" applyAlignment="1">
      <alignment vertical="center"/>
    </xf>
    <xf numFmtId="9" fontId="14" fillId="0" borderId="0" xfId="3" applyFont="1" applyAlignment="1">
      <alignment vertical="center"/>
    </xf>
    <xf numFmtId="43" fontId="35" fillId="2" borderId="7" xfId="1" applyFont="1" applyFill="1" applyBorder="1" applyAlignment="1" applyProtection="1">
      <alignment horizontal="center" vertical="center"/>
      <protection locked="0"/>
    </xf>
    <xf numFmtId="43" fontId="35" fillId="2" borderId="7" xfId="1" applyFont="1" applyFill="1" applyBorder="1" applyAlignment="1" applyProtection="1">
      <alignment horizontal="center" vertical="center" wrapText="1"/>
      <protection locked="0"/>
    </xf>
    <xf numFmtId="43" fontId="35" fillId="2" borderId="7" xfId="1" applyFont="1" applyFill="1" applyBorder="1" applyAlignment="1">
      <alignment horizontal="center" vertical="center" wrapText="1"/>
    </xf>
    <xf numFmtId="43" fontId="35" fillId="2" borderId="1" xfId="1" applyFont="1" applyFill="1" applyBorder="1" applyAlignment="1">
      <alignment horizontal="center" vertical="center" wrapText="1"/>
    </xf>
    <xf numFmtId="43" fontId="14" fillId="3" borderId="1" xfId="1" applyFont="1" applyFill="1" applyBorder="1" applyAlignment="1">
      <alignment vertical="center" shrinkToFit="1"/>
    </xf>
    <xf numFmtId="43" fontId="14" fillId="3" borderId="1" xfId="1" applyFont="1" applyFill="1" applyBorder="1" applyAlignment="1">
      <alignment vertical="center"/>
    </xf>
    <xf numFmtId="14" fontId="14" fillId="0" borderId="1" xfId="1" applyNumberFormat="1" applyFont="1" applyBorder="1" applyAlignment="1">
      <alignment horizontal="center" vertical="center"/>
    </xf>
    <xf numFmtId="43" fontId="14" fillId="0" borderId="1" xfId="1" applyFont="1" applyBorder="1" applyAlignment="1">
      <alignment horizontal="center" vertical="center"/>
    </xf>
    <xf numFmtId="9" fontId="14" fillId="0" borderId="1" xfId="3" applyFont="1" applyBorder="1" applyAlignment="1">
      <alignment horizontal="center" vertical="center"/>
    </xf>
    <xf numFmtId="43" fontId="14" fillId="0" borderId="1" xfId="1" applyFont="1" applyBorder="1" applyAlignment="1">
      <alignment vertical="center"/>
    </xf>
    <xf numFmtId="43" fontId="14" fillId="2" borderId="1" xfId="1" applyFont="1" applyFill="1" applyBorder="1" applyAlignment="1">
      <alignment horizontal="center" vertical="center"/>
    </xf>
    <xf numFmtId="14" fontId="14" fillId="2" borderId="1" xfId="1" applyNumberFormat="1" applyFont="1" applyFill="1" applyBorder="1" applyAlignment="1">
      <alignment vertical="center"/>
    </xf>
    <xf numFmtId="43" fontId="14" fillId="2" borderId="1" xfId="1" applyFont="1" applyFill="1" applyBorder="1" applyAlignment="1">
      <alignment vertical="center"/>
    </xf>
    <xf numFmtId="43" fontId="14" fillId="3" borderId="1" xfId="1" applyFont="1" applyFill="1" applyBorder="1" applyAlignment="1">
      <alignment horizontal="center" vertical="center"/>
    </xf>
    <xf numFmtId="14" fontId="14" fillId="3" borderId="1" xfId="1" applyNumberFormat="1" applyFont="1" applyFill="1" applyBorder="1" applyAlignment="1">
      <alignment vertical="center"/>
    </xf>
    <xf numFmtId="0" fontId="15" fillId="2" borderId="1" xfId="0" applyFont="1" applyFill="1" applyBorder="1" applyAlignment="1" applyProtection="1">
      <alignment horizontal="center" vertical="center"/>
      <protection locked="0"/>
    </xf>
    <xf numFmtId="43" fontId="15" fillId="3" borderId="1" xfId="1" applyFont="1" applyFill="1" applyBorder="1" applyAlignment="1">
      <alignment vertical="center"/>
    </xf>
    <xf numFmtId="43" fontId="15" fillId="3" borderId="1" xfId="1" applyFont="1" applyFill="1" applyBorder="1" applyAlignment="1">
      <alignment horizontal="center" vertical="center"/>
    </xf>
    <xf numFmtId="0" fontId="15" fillId="2" borderId="1" xfId="0" applyFont="1" applyFill="1" applyBorder="1" applyAlignment="1" applyProtection="1">
      <alignment horizontal="left" vertical="center"/>
      <protection locked="0"/>
    </xf>
    <xf numFmtId="14" fontId="15" fillId="0" borderId="1" xfId="0" applyNumberFormat="1" applyFont="1" applyBorder="1" applyAlignment="1" applyProtection="1">
      <alignment horizontal="center" vertical="center"/>
      <protection locked="0"/>
    </xf>
    <xf numFmtId="0" fontId="15" fillId="0" borderId="1" xfId="0" applyFont="1" applyBorder="1" applyAlignment="1" applyProtection="1">
      <alignment horizontal="center" vertical="center"/>
      <protection locked="0"/>
    </xf>
    <xf numFmtId="9" fontId="15" fillId="0" borderId="1" xfId="3" applyFont="1" applyBorder="1" applyAlignment="1" applyProtection="1">
      <alignment horizontal="center" vertical="center"/>
      <protection locked="0"/>
    </xf>
    <xf numFmtId="0" fontId="15" fillId="0" borderId="1" xfId="0" applyFont="1" applyBorder="1" applyAlignment="1" applyProtection="1">
      <alignment vertical="center"/>
      <protection locked="0"/>
    </xf>
    <xf numFmtId="43" fontId="15" fillId="0" borderId="1" xfId="1" applyFont="1" applyBorder="1" applyAlignment="1" applyProtection="1">
      <alignment vertical="center"/>
      <protection locked="0"/>
    </xf>
    <xf numFmtId="235" fontId="15" fillId="3" borderId="1" xfId="1" applyNumberFormat="1" applyFont="1" applyFill="1" applyBorder="1" applyAlignment="1">
      <alignment vertical="center"/>
    </xf>
    <xf numFmtId="0" fontId="47" fillId="10" borderId="0" xfId="0" applyFont="1" applyFill="1" applyAlignment="1" applyProtection="1">
      <alignment horizontal="left" vertical="center"/>
    </xf>
    <xf numFmtId="0" fontId="30" fillId="0" borderId="0" xfId="0" applyFont="1" applyAlignment="1" applyProtection="1">
      <alignment vertical="center"/>
      <protection locked="0"/>
    </xf>
    <xf numFmtId="43" fontId="39" fillId="0" borderId="0" xfId="76" applyNumberFormat="1" applyFont="1" applyAlignment="1">
      <alignment vertical="center"/>
    </xf>
    <xf numFmtId="43" fontId="40" fillId="0" borderId="0" xfId="76" applyNumberFormat="1" applyFont="1" applyAlignment="1">
      <alignment vertical="center"/>
    </xf>
    <xf numFmtId="43" fontId="15" fillId="0" borderId="0" xfId="0" applyNumberFormat="1" applyFont="1" applyAlignment="1" applyProtection="1">
      <alignment vertical="center"/>
      <protection locked="0"/>
    </xf>
    <xf numFmtId="43" fontId="42" fillId="0" borderId="0" xfId="0" applyNumberFormat="1" applyFont="1" applyAlignment="1" applyProtection="1">
      <alignment vertical="center"/>
      <protection locked="0"/>
    </xf>
    <xf numFmtId="0" fontId="4" fillId="0" borderId="0" xfId="76" applyFont="1" applyAlignment="1">
      <alignment horizontal="center" vertical="center"/>
    </xf>
    <xf numFmtId="43" fontId="12" fillId="0" borderId="0" xfId="76" applyNumberFormat="1" applyFont="1" applyAlignment="1">
      <alignment horizontal="center" vertical="center"/>
    </xf>
    <xf numFmtId="43" fontId="13" fillId="0" borderId="0" xfId="76" applyNumberFormat="1" applyFont="1" applyAlignment="1">
      <alignment horizontal="center" vertical="center"/>
    </xf>
    <xf numFmtId="43" fontId="14" fillId="0" borderId="0" xfId="0" applyNumberFormat="1" applyFont="1" applyAlignment="1" applyProtection="1">
      <alignment vertical="center" wrapText="1"/>
      <protection locked="0"/>
    </xf>
    <xf numFmtId="0" fontId="22" fillId="0" borderId="0" xfId="74" applyFont="1" applyAlignment="1" applyProtection="1">
      <alignment horizontal="left" vertical="center" wrapText="1"/>
    </xf>
    <xf numFmtId="43" fontId="14" fillId="0" borderId="0" xfId="0" applyNumberFormat="1" applyFont="1" applyAlignment="1" applyProtection="1">
      <alignment horizontal="right" vertical="center"/>
      <protection locked="0"/>
    </xf>
    <xf numFmtId="43" fontId="14" fillId="0" borderId="0" xfId="74" applyNumberFormat="1" applyFont="1" applyAlignment="1" applyProtection="1">
      <alignment vertical="center"/>
      <protection locked="0"/>
    </xf>
    <xf numFmtId="14" fontId="29" fillId="0" borderId="0" xfId="1" applyNumberFormat="1" applyFont="1" applyAlignment="1">
      <alignment vertical="center"/>
    </xf>
    <xf numFmtId="43" fontId="14" fillId="0" borderId="0" xfId="3" applyNumberFormat="1" applyFont="1" applyAlignment="1">
      <alignment vertical="center"/>
    </xf>
    <xf numFmtId="14" fontId="14" fillId="0" borderId="0" xfId="1" applyNumberFormat="1" applyFont="1" applyAlignment="1">
      <alignment vertical="center"/>
    </xf>
    <xf numFmtId="43" fontId="35" fillId="2" borderId="7" xfId="1" applyFont="1" applyFill="1" applyBorder="1" applyAlignment="1" applyProtection="1">
      <alignment vertical="center" wrapText="1"/>
      <protection locked="0"/>
    </xf>
    <xf numFmtId="14" fontId="35" fillId="2" borderId="1" xfId="1" applyNumberFormat="1" applyFont="1" applyFill="1" applyBorder="1" applyAlignment="1">
      <alignment horizontal="center" vertical="center" wrapText="1"/>
    </xf>
    <xf numFmtId="43" fontId="14" fillId="2" borderId="1" xfId="1" applyFont="1" applyFill="1" applyBorder="1" applyAlignment="1" applyProtection="1">
      <alignment vertical="center" shrinkToFit="1"/>
      <protection locked="0"/>
    </xf>
    <xf numFmtId="43" fontId="14" fillId="2" borderId="1" xfId="1" applyFont="1" applyFill="1" applyBorder="1" applyAlignment="1">
      <alignment horizontal="right" vertical="center" wrapText="1"/>
    </xf>
    <xf numFmtId="14" fontId="14" fillId="2" borderId="1" xfId="1" applyNumberFormat="1" applyFont="1" applyFill="1" applyBorder="1" applyAlignment="1">
      <alignment horizontal="right" vertical="center" wrapText="1"/>
    </xf>
    <xf numFmtId="43" fontId="15" fillId="2" borderId="1" xfId="0" applyNumberFormat="1" applyFont="1" applyFill="1" applyBorder="1" applyAlignment="1" applyProtection="1">
      <alignment horizontal="centerContinuous" vertical="center"/>
      <protection locked="0"/>
    </xf>
    <xf numFmtId="43" fontId="15" fillId="2" borderId="1" xfId="1" applyFont="1" applyFill="1" applyBorder="1" applyAlignment="1">
      <alignment horizontal="right" vertical="center" wrapText="1"/>
    </xf>
    <xf numFmtId="14" fontId="15" fillId="2" borderId="1" xfId="1" applyNumberFormat="1" applyFont="1" applyFill="1" applyBorder="1" applyAlignment="1">
      <alignment horizontal="right" vertical="center" wrapText="1"/>
    </xf>
    <xf numFmtId="43" fontId="15" fillId="3" borderId="1" xfId="1" applyFont="1" applyFill="1" applyBorder="1" applyAlignment="1">
      <alignment horizontal="right" vertical="center" wrapText="1"/>
    </xf>
    <xf numFmtId="43" fontId="15" fillId="2" borderId="1" xfId="0" applyNumberFormat="1" applyFont="1" applyFill="1" applyBorder="1" applyAlignment="1" applyProtection="1">
      <alignment horizontal="left" vertical="center"/>
      <protection locked="0"/>
    </xf>
    <xf numFmtId="43" fontId="15" fillId="0" borderId="1" xfId="0" applyNumberFormat="1" applyFont="1" applyBorder="1" applyAlignment="1" applyProtection="1">
      <alignment horizontal="center" vertical="center"/>
      <protection locked="0"/>
    </xf>
    <xf numFmtId="43" fontId="15" fillId="0" borderId="1" xfId="3" applyNumberFormat="1" applyFont="1" applyBorder="1" applyAlignment="1" applyProtection="1">
      <alignment horizontal="center" vertical="center"/>
      <protection locked="0"/>
    </xf>
    <xf numFmtId="43" fontId="38" fillId="0" borderId="0" xfId="0" applyNumberFormat="1" applyFont="1" applyAlignment="1" applyProtection="1">
      <alignment vertical="center"/>
      <protection locked="0"/>
    </xf>
    <xf numFmtId="14" fontId="42" fillId="0" borderId="0" xfId="0" applyNumberFormat="1" applyFont="1" applyAlignment="1" applyProtection="1">
      <alignment vertical="center"/>
      <protection locked="0"/>
    </xf>
    <xf numFmtId="43" fontId="48" fillId="0" borderId="0" xfId="0" applyNumberFormat="1" applyFont="1" applyAlignment="1" applyProtection="1">
      <alignment vertical="center"/>
      <protection locked="0"/>
    </xf>
    <xf numFmtId="43" fontId="30" fillId="0" borderId="0" xfId="0" applyNumberFormat="1" applyFont="1" applyAlignment="1" applyProtection="1">
      <alignment vertical="center"/>
      <protection locked="0"/>
    </xf>
    <xf numFmtId="43" fontId="1" fillId="0" borderId="0" xfId="88" applyNumberFormat="1" applyFont="1" applyAlignment="1">
      <alignment vertical="center"/>
    </xf>
    <xf numFmtId="43" fontId="2" fillId="0" borderId="0" xfId="88" applyNumberFormat="1" applyFont="1" applyAlignment="1">
      <alignment vertical="center"/>
    </xf>
    <xf numFmtId="43" fontId="3" fillId="0" borderId="0" xfId="88" applyNumberFormat="1" applyFont="1" applyAlignment="1">
      <alignment vertical="center"/>
    </xf>
    <xf numFmtId="43" fontId="7" fillId="0" borderId="0" xfId="88" applyNumberFormat="1" applyFont="1" applyAlignment="1">
      <alignment vertical="center"/>
    </xf>
    <xf numFmtId="49" fontId="11" fillId="0" borderId="0" xfId="88" applyNumberFormat="1" applyFont="1" applyAlignment="1">
      <alignment vertical="center"/>
    </xf>
    <xf numFmtId="0" fontId="4" fillId="0" borderId="0" xfId="88" applyFont="1" applyAlignment="1">
      <alignment horizontal="center" vertical="center"/>
    </xf>
    <xf numFmtId="49" fontId="49" fillId="0" borderId="0" xfId="88" applyNumberFormat="1" applyFont="1" applyAlignment="1">
      <alignment vertical="center" wrapText="1"/>
    </xf>
    <xf numFmtId="0" fontId="5" fillId="0" borderId="0" xfId="88" applyFont="1" applyAlignment="1">
      <alignment horizontal="center" vertical="center" wrapText="1"/>
    </xf>
    <xf numFmtId="49" fontId="50" fillId="0" borderId="0" xfId="88" applyNumberFormat="1" applyFont="1" applyAlignment="1">
      <alignment vertical="center" wrapText="1"/>
    </xf>
    <xf numFmtId="43" fontId="3" fillId="0" borderId="0" xfId="88" applyNumberFormat="1" applyFont="1" applyAlignment="1">
      <alignment horizontal="left" vertical="center"/>
    </xf>
    <xf numFmtId="49" fontId="11" fillId="0" borderId="0" xfId="88" applyNumberFormat="1" applyFont="1" applyAlignment="1">
      <alignment vertical="center" wrapText="1"/>
    </xf>
    <xf numFmtId="0" fontId="10" fillId="0" borderId="0" xfId="833" applyFont="1" applyAlignment="1">
      <alignment vertical="center" wrapText="1"/>
    </xf>
    <xf numFmtId="0" fontId="10" fillId="0" borderId="0" xfId="833" applyFont="1" applyAlignment="1">
      <alignment vertical="center"/>
    </xf>
    <xf numFmtId="0" fontId="10" fillId="0" borderId="0" xfId="833" applyFont="1" applyAlignment="1">
      <alignment horizontal="left" vertical="center"/>
    </xf>
    <xf numFmtId="0" fontId="3" fillId="0" borderId="0" xfId="834" applyFont="1" applyAlignment="1">
      <alignment vertical="center"/>
    </xf>
    <xf numFmtId="0" fontId="51" fillId="0" borderId="0" xfId="834" applyFont="1" applyAlignment="1">
      <alignment horizontal="center" vertical="center"/>
    </xf>
    <xf numFmtId="0" fontId="52" fillId="3" borderId="1" xfId="669" applyFont="1" applyFill="1" applyBorder="1" applyAlignment="1" applyProtection="1">
      <alignment horizontal="center" vertical="center" wrapText="1"/>
      <protection locked="0"/>
    </xf>
    <xf numFmtId="0" fontId="10" fillId="3" borderId="1" xfId="834" applyFont="1" applyFill="1" applyBorder="1" applyAlignment="1">
      <alignment horizontal="center" vertical="center"/>
    </xf>
    <xf numFmtId="0" fontId="0" fillId="0" borderId="6" xfId="0" applyBorder="1" applyProtection="1"/>
    <xf numFmtId="0" fontId="0" fillId="0" borderId="8" xfId="0" applyBorder="1" applyProtection="1"/>
    <xf numFmtId="0" fontId="53" fillId="3" borderId="1" xfId="669" applyFont="1" applyFill="1" applyBorder="1" applyAlignment="1" applyProtection="1">
      <alignment horizontal="justify" vertical="center" wrapText="1"/>
      <protection locked="0"/>
    </xf>
    <xf numFmtId="0" fontId="53" fillId="0" borderId="1" xfId="669" applyFont="1" applyBorder="1" applyAlignment="1" applyProtection="1">
      <alignment horizontal="justify" vertical="center" wrapText="1"/>
      <protection locked="0"/>
    </xf>
    <xf numFmtId="0" fontId="34" fillId="0" borderId="1" xfId="834" applyFont="1" applyBorder="1" applyAlignment="1">
      <alignment horizontal="center" vertical="center"/>
    </xf>
    <xf numFmtId="0" fontId="3" fillId="0" borderId="1" xfId="834" applyFont="1" applyBorder="1" applyAlignment="1">
      <alignment vertical="center" wrapText="1"/>
    </xf>
    <xf numFmtId="0" fontId="3" fillId="0" borderId="1" xfId="834" applyFont="1" applyBorder="1" applyAlignment="1">
      <alignment vertical="center"/>
    </xf>
    <xf numFmtId="0" fontId="53" fillId="0" borderId="1" xfId="669" applyFont="1" applyBorder="1" applyAlignment="1" applyProtection="1">
      <alignment vertical="center" wrapText="1"/>
      <protection locked="0"/>
    </xf>
    <xf numFmtId="0" fontId="34" fillId="0" borderId="1" xfId="669" applyFont="1" applyBorder="1" applyAlignment="1" applyProtection="1">
      <alignment horizontal="justify" vertical="center" wrapText="1"/>
      <protection locked="0"/>
    </xf>
    <xf numFmtId="0" fontId="10" fillId="0" borderId="0" xfId="669" applyFont="1" applyAlignment="1" applyProtection="1">
      <alignment vertical="center"/>
      <protection locked="0"/>
    </xf>
    <xf numFmtId="14" fontId="3" fillId="0" borderId="0" xfId="834" applyNumberFormat="1" applyFont="1" applyAlignment="1">
      <alignment horizontal="center" vertical="center"/>
    </xf>
    <xf numFmtId="0" fontId="10" fillId="3" borderId="1" xfId="834" applyFont="1" applyFill="1" applyBorder="1" applyAlignment="1">
      <alignment horizontal="center" vertical="center" wrapText="1"/>
    </xf>
    <xf numFmtId="237" fontId="10" fillId="3" borderId="1" xfId="834" applyNumberFormat="1" applyFont="1" applyFill="1" applyBorder="1" applyAlignment="1">
      <alignment horizontal="center" vertical="center" wrapText="1"/>
    </xf>
    <xf numFmtId="0" fontId="34" fillId="0" borderId="1" xfId="669" applyFont="1" applyBorder="1" applyAlignment="1" applyProtection="1">
      <alignment vertical="center" wrapText="1"/>
      <protection locked="0"/>
    </xf>
    <xf numFmtId="14" fontId="34" fillId="0" borderId="1" xfId="640" applyNumberFormat="1" applyFont="1" applyBorder="1" applyAlignment="1">
      <alignment horizontal="center" vertical="center" wrapText="1"/>
    </xf>
    <xf numFmtId="10" fontId="34" fillId="0" borderId="1" xfId="835" applyNumberFormat="1" applyFont="1" applyBorder="1" applyAlignment="1">
      <alignment vertical="center"/>
    </xf>
    <xf numFmtId="0" fontId="34" fillId="0" borderId="1" xfId="1" applyNumberFormat="1" applyFont="1" applyBorder="1" applyAlignment="1">
      <alignment horizontal="center" vertical="center"/>
    </xf>
    <xf numFmtId="0" fontId="11" fillId="0" borderId="1" xfId="669" applyFont="1" applyBorder="1" applyAlignment="1" applyProtection="1">
      <alignment vertical="center" wrapText="1"/>
      <protection locked="0"/>
    </xf>
    <xf numFmtId="0" fontId="11" fillId="0" borderId="1" xfId="640" applyFont="1" applyBorder="1" applyAlignment="1">
      <alignment horizontal="center" vertical="center" wrapText="1"/>
    </xf>
    <xf numFmtId="0" fontId="3" fillId="0" borderId="1" xfId="834" applyFont="1" applyBorder="1" applyAlignment="1">
      <alignment horizontal="center" vertical="center"/>
    </xf>
    <xf numFmtId="14" fontId="36" fillId="0" borderId="1" xfId="640" applyNumberFormat="1" applyFont="1" applyBorder="1" applyAlignment="1">
      <alignment horizontal="center" vertical="center" wrapText="1"/>
    </xf>
    <xf numFmtId="0" fontId="3" fillId="0" borderId="1" xfId="1" applyNumberFormat="1" applyFont="1" applyBorder="1" applyAlignment="1">
      <alignment horizontal="center" vertical="center"/>
    </xf>
    <xf numFmtId="0" fontId="3" fillId="0" borderId="0" xfId="669" applyFont="1" applyAlignment="1" applyProtection="1">
      <alignment vertical="center"/>
      <protection locked="0"/>
    </xf>
    <xf numFmtId="43" fontId="11" fillId="0" borderId="0" xfId="88" applyNumberFormat="1" applyFont="1" applyAlignment="1">
      <alignment vertical="center"/>
    </xf>
    <xf numFmtId="43" fontId="54" fillId="0" borderId="0" xfId="88" applyNumberFormat="1" applyFont="1" applyAlignment="1">
      <alignment vertical="center"/>
    </xf>
    <xf numFmtId="238" fontId="34" fillId="0" borderId="1" xfId="669" applyNumberFormat="1" applyFont="1" applyBorder="1" applyAlignment="1" applyProtection="1">
      <alignment horizontal="center" vertical="center"/>
      <protection locked="0"/>
    </xf>
    <xf numFmtId="43" fontId="34" fillId="0" borderId="1" xfId="1" applyFont="1" applyBorder="1" applyAlignment="1">
      <alignment vertical="center"/>
    </xf>
    <xf numFmtId="236" fontId="34" fillId="0" borderId="1" xfId="1" applyNumberFormat="1" applyFont="1" applyBorder="1" applyAlignment="1">
      <alignment vertical="center"/>
    </xf>
    <xf numFmtId="43" fontId="34" fillId="0" borderId="1" xfId="834" applyNumberFormat="1" applyFont="1" applyBorder="1" applyAlignment="1">
      <alignment horizontal="center" vertical="center"/>
    </xf>
    <xf numFmtId="43" fontId="3" fillId="0" borderId="1" xfId="1" applyFont="1" applyBorder="1" applyAlignment="1">
      <alignment vertical="center"/>
    </xf>
    <xf numFmtId="236" fontId="3" fillId="0" borderId="1" xfId="1" applyNumberFormat="1" applyFont="1" applyBorder="1" applyAlignment="1">
      <alignment vertical="center"/>
    </xf>
    <xf numFmtId="239" fontId="11" fillId="0" borderId="0" xfId="640" applyNumberFormat="1" applyFont="1" applyAlignment="1">
      <alignment vertical="center"/>
    </xf>
    <xf numFmtId="239" fontId="36" fillId="0" borderId="0" xfId="640" applyNumberFormat="1" applyFont="1" applyAlignment="1">
      <alignment vertical="center"/>
    </xf>
    <xf numFmtId="43" fontId="10" fillId="3" borderId="1" xfId="1" applyFont="1" applyFill="1" applyBorder="1" applyAlignment="1">
      <alignment horizontal="center" vertical="center" wrapText="1"/>
    </xf>
    <xf numFmtId="0" fontId="3" fillId="0" borderId="0" xfId="88" applyFont="1" applyAlignment="1">
      <alignment horizontal="center" vertical="center"/>
    </xf>
    <xf numFmtId="238" fontId="3" fillId="0" borderId="0" xfId="669" applyNumberFormat="1" applyFont="1" applyAlignment="1" applyProtection="1">
      <alignment vertical="center"/>
      <protection locked="0"/>
    </xf>
    <xf numFmtId="43" fontId="3" fillId="0" borderId="0" xfId="834" applyNumberFormat="1" applyFont="1" applyAlignment="1">
      <alignment vertical="center"/>
    </xf>
    <xf numFmtId="0" fontId="55" fillId="3" borderId="1" xfId="640" applyFont="1" applyFill="1" applyBorder="1" applyAlignment="1">
      <alignment horizontal="center" vertical="center" wrapText="1"/>
    </xf>
    <xf numFmtId="239" fontId="55" fillId="3" borderId="1" xfId="640" applyNumberFormat="1" applyFont="1" applyFill="1" applyBorder="1" applyAlignment="1">
      <alignment horizontal="center" vertical="center" wrapText="1"/>
    </xf>
    <xf numFmtId="0" fontId="55" fillId="3" borderId="1" xfId="834" applyFont="1" applyFill="1" applyBorder="1" applyAlignment="1">
      <alignment horizontal="center" vertical="center" wrapText="1"/>
    </xf>
    <xf numFmtId="0" fontId="3" fillId="0" borderId="1" xfId="88" applyFont="1" applyBorder="1" applyAlignment="1">
      <alignment horizontal="center" vertical="center"/>
    </xf>
    <xf numFmtId="43" fontId="56" fillId="0" borderId="1" xfId="1" applyFont="1" applyBorder="1" applyAlignment="1">
      <alignment vertical="center"/>
    </xf>
    <xf numFmtId="0" fontId="56" fillId="3" borderId="1" xfId="834" applyFont="1" applyFill="1" applyBorder="1" applyAlignment="1">
      <alignment horizontal="center" vertical="center" wrapText="1"/>
    </xf>
    <xf numFmtId="43" fontId="56" fillId="3" borderId="1" xfId="1" applyFont="1" applyFill="1" applyBorder="1" applyAlignment="1">
      <alignment horizontal="center" vertical="center" wrapText="1"/>
    </xf>
    <xf numFmtId="43" fontId="3" fillId="0" borderId="1" xfId="834" applyNumberFormat="1" applyFont="1" applyBorder="1" applyAlignment="1">
      <alignment horizontal="center" vertical="center"/>
    </xf>
    <xf numFmtId="0" fontId="3" fillId="0" borderId="0" xfId="669" applyFont="1" applyAlignment="1" applyProtection="1">
      <alignment horizontal="left" vertical="center" wrapText="1"/>
      <protection locked="0"/>
    </xf>
    <xf numFmtId="0" fontId="34" fillId="0" borderId="0" xfId="669" applyFont="1" applyAlignment="1" applyProtection="1">
      <alignment horizontal="left" vertical="center" wrapText="1"/>
      <protection locked="0"/>
    </xf>
    <xf numFmtId="43" fontId="57" fillId="0" borderId="0" xfId="88" applyNumberFormat="1" applyFont="1" applyAlignment="1">
      <alignment vertical="center"/>
    </xf>
    <xf numFmtId="43" fontId="10" fillId="0" borderId="0" xfId="88" applyNumberFormat="1" applyFont="1" applyAlignment="1">
      <alignment vertical="center"/>
    </xf>
    <xf numFmtId="0" fontId="31" fillId="0" borderId="0" xfId="86" applyFont="1" applyAlignment="1" applyProtection="1">
      <alignment vertical="center"/>
      <protection locked="0"/>
    </xf>
    <xf numFmtId="0" fontId="32" fillId="0" borderId="0" xfId="86" applyFont="1" applyAlignment="1" applyProtection="1">
      <alignment vertical="center"/>
      <protection locked="0"/>
    </xf>
    <xf numFmtId="0" fontId="3" fillId="0" borderId="0" xfId="86" applyFont="1" applyAlignment="1" applyProtection="1">
      <alignment vertical="center"/>
      <protection locked="0"/>
    </xf>
    <xf numFmtId="0" fontId="3" fillId="0" borderId="0" xfId="89" applyFont="1" applyAlignment="1" applyProtection="1">
      <alignment horizontal="left" vertical="center"/>
      <protection locked="0"/>
    </xf>
    <xf numFmtId="0" fontId="10" fillId="0" borderId="0" xfId="89" applyFont="1" applyAlignment="1" applyProtection="1">
      <alignment vertical="center"/>
      <protection locked="0"/>
    </xf>
    <xf numFmtId="0" fontId="18" fillId="0" borderId="0" xfId="89" applyFont="1" applyAlignment="1" applyProtection="1">
      <alignment horizontal="center" vertical="center" wrapText="1"/>
      <protection locked="0"/>
    </xf>
    <xf numFmtId="0" fontId="3" fillId="0" borderId="0" xfId="89" applyFont="1" applyAlignment="1" applyProtection="1">
      <alignment vertical="center" wrapText="1"/>
      <protection locked="0"/>
    </xf>
    <xf numFmtId="0" fontId="56" fillId="0" borderId="0" xfId="89" applyFont="1" applyAlignment="1" applyProtection="1">
      <alignment vertical="center"/>
      <protection locked="0"/>
    </xf>
    <xf numFmtId="0" fontId="3" fillId="0" borderId="0" xfId="89" applyFont="1" applyAlignment="1" applyProtection="1">
      <alignment vertical="center"/>
      <protection locked="0"/>
    </xf>
    <xf numFmtId="0" fontId="3" fillId="0" borderId="0" xfId="89" applyFont="1" applyAlignment="1" applyProtection="1">
      <alignment horizontal="center" vertical="center"/>
      <protection locked="0"/>
    </xf>
    <xf numFmtId="43" fontId="3" fillId="0" borderId="0" xfId="90" applyFont="1" applyAlignment="1" applyProtection="1">
      <alignment vertical="center"/>
      <protection locked="0"/>
    </xf>
    <xf numFmtId="0" fontId="11" fillId="0" borderId="0" xfId="89" applyFont="1" applyAlignment="1" applyProtection="1">
      <alignment vertical="center"/>
      <protection locked="0"/>
    </xf>
    <xf numFmtId="49" fontId="31" fillId="0" borderId="0" xfId="86" applyNumberFormat="1" applyFont="1" applyAlignment="1" applyProtection="1">
      <alignment horizontal="center" vertical="center"/>
      <protection locked="0"/>
    </xf>
    <xf numFmtId="0" fontId="58" fillId="0" borderId="0" xfId="86" applyFont="1" applyAlignment="1" applyProtection="1">
      <alignment vertical="center"/>
      <protection locked="0"/>
    </xf>
    <xf numFmtId="0" fontId="5" fillId="0" borderId="0" xfId="86" applyFont="1" applyAlignment="1" applyProtection="1">
      <alignment horizontal="center" vertical="center"/>
      <protection locked="0"/>
    </xf>
    <xf numFmtId="0" fontId="59" fillId="0" borderId="0" xfId="86" applyFont="1" applyAlignment="1" applyProtection="1">
      <alignment vertical="center"/>
      <protection locked="0"/>
    </xf>
    <xf numFmtId="0" fontId="11" fillId="0" borderId="0" xfId="86" applyFont="1" applyAlignment="1" applyProtection="1">
      <alignment vertical="center"/>
      <protection locked="0"/>
    </xf>
    <xf numFmtId="0" fontId="29" fillId="6" borderId="0" xfId="0" applyFont="1" applyFill="1" applyAlignment="1" applyProtection="1">
      <alignment horizontal="left" vertical="center" wrapText="1"/>
    </xf>
    <xf numFmtId="0" fontId="29" fillId="10" borderId="0" xfId="89" applyFont="1" applyFill="1" applyAlignment="1" applyProtection="1">
      <alignment horizontal="left" vertical="center"/>
      <protection locked="0"/>
    </xf>
    <xf numFmtId="0" fontId="55" fillId="0" borderId="0" xfId="86" applyFont="1" applyAlignment="1" applyProtection="1">
      <alignment vertical="center"/>
    </xf>
    <xf numFmtId="0" fontId="3" fillId="0" borderId="0" xfId="86" applyFont="1" applyAlignment="1" applyProtection="1">
      <alignment vertical="center" wrapText="1"/>
      <protection locked="0"/>
    </xf>
    <xf numFmtId="0" fontId="3" fillId="0" borderId="0" xfId="86" applyFont="1" applyAlignment="1" applyProtection="1">
      <alignment horizontal="right" vertical="center"/>
      <protection locked="0"/>
    </xf>
    <xf numFmtId="0" fontId="3" fillId="0" borderId="0" xfId="89" applyFont="1" applyAlignment="1">
      <alignment vertical="center"/>
    </xf>
    <xf numFmtId="0" fontId="29" fillId="0" borderId="0" xfId="89" applyFont="1" applyAlignment="1" applyProtection="1">
      <alignment horizontal="left" vertical="center"/>
      <protection locked="0"/>
    </xf>
    <xf numFmtId="0" fontId="29" fillId="0" borderId="0" xfId="89" applyFont="1" applyAlignment="1">
      <alignment horizontal="left" vertical="center"/>
    </xf>
    <xf numFmtId="0" fontId="55" fillId="3" borderId="1" xfId="86" applyFont="1" applyFill="1" applyBorder="1" applyAlignment="1" applyProtection="1">
      <alignment horizontal="center" vertical="center"/>
      <protection locked="0"/>
    </xf>
    <xf numFmtId="0" fontId="35" fillId="3" borderId="1" xfId="89" applyFont="1" applyFill="1" applyBorder="1" applyAlignment="1" applyProtection="1">
      <alignment horizontal="left" vertical="center"/>
      <protection locked="0"/>
    </xf>
    <xf numFmtId="0" fontId="3" fillId="0" borderId="1" xfId="89" applyFont="1" applyBorder="1" applyAlignment="1" applyProtection="1">
      <alignment horizontal="center" vertical="center"/>
      <protection locked="0"/>
    </xf>
    <xf numFmtId="14" fontId="3" fillId="3" borderId="1" xfId="89" applyNumberFormat="1" applyFont="1" applyFill="1" applyBorder="1" applyAlignment="1" applyProtection="1">
      <alignment horizontal="center" vertical="center"/>
      <protection locked="0"/>
    </xf>
    <xf numFmtId="14" fontId="10" fillId="0" borderId="1" xfId="89" applyNumberFormat="1" applyFont="1" applyBorder="1" applyAlignment="1" applyProtection="1">
      <alignment horizontal="center" vertical="center"/>
      <protection locked="0"/>
    </xf>
    <xf numFmtId="41" fontId="10" fillId="3" borderId="1" xfId="89" applyNumberFormat="1" applyFont="1" applyFill="1" applyBorder="1" applyAlignment="1" applyProtection="1">
      <alignment horizontal="left" vertical="center"/>
      <protection locked="0"/>
    </xf>
    <xf numFmtId="14" fontId="35" fillId="0" borderId="1" xfId="89" applyNumberFormat="1" applyFont="1" applyBorder="1" applyAlignment="1" applyProtection="1">
      <alignment horizontal="center" vertical="center"/>
      <protection locked="0"/>
    </xf>
    <xf numFmtId="43" fontId="35" fillId="0" borderId="1" xfId="1" applyFont="1" applyBorder="1" applyAlignment="1">
      <alignment horizontal="center" vertical="center"/>
    </xf>
    <xf numFmtId="0" fontId="24" fillId="5" borderId="0" xfId="89" applyFont="1" applyFill="1" applyAlignment="1" applyProtection="1">
      <alignment horizontal="left" vertical="center" wrapText="1"/>
      <protection locked="0"/>
    </xf>
    <xf numFmtId="240" fontId="34" fillId="0" borderId="1" xfId="89" applyNumberFormat="1" applyFont="1" applyBorder="1" applyAlignment="1" applyProtection="1">
      <alignment horizontal="center" vertical="center"/>
      <protection locked="0"/>
    </xf>
    <xf numFmtId="41" fontId="35" fillId="3" borderId="1" xfId="89" applyNumberFormat="1" applyFont="1" applyFill="1" applyBorder="1" applyAlignment="1" applyProtection="1">
      <alignment horizontal="center" vertical="center"/>
      <protection locked="0"/>
    </xf>
    <xf numFmtId="41" fontId="35" fillId="3" borderId="1" xfId="89" applyNumberFormat="1" applyFont="1" applyFill="1" applyBorder="1" applyAlignment="1" applyProtection="1">
      <alignment horizontal="left" vertical="center"/>
      <protection locked="0"/>
    </xf>
    <xf numFmtId="0" fontId="24" fillId="5" borderId="0" xfId="89" applyFont="1" applyFill="1" applyAlignment="1" applyProtection="1">
      <alignment vertical="center"/>
      <protection locked="0"/>
    </xf>
    <xf numFmtId="0" fontId="24" fillId="5" borderId="0" xfId="0" applyFont="1" applyFill="1" applyProtection="1"/>
    <xf numFmtId="240" fontId="34" fillId="5" borderId="1" xfId="89" applyNumberFormat="1" applyFont="1" applyFill="1" applyBorder="1" applyAlignment="1" applyProtection="1">
      <alignment horizontal="center" vertical="center"/>
      <protection locked="0"/>
    </xf>
    <xf numFmtId="0" fontId="35" fillId="3" borderId="1" xfId="89" applyFont="1" applyFill="1" applyBorder="1" applyAlignment="1" applyProtection="1">
      <alignment horizontal="center" vertical="center"/>
      <protection locked="0"/>
    </xf>
    <xf numFmtId="10" fontId="34" fillId="0" borderId="1" xfId="89" applyNumberFormat="1" applyFont="1" applyBorder="1" applyAlignment="1" applyProtection="1">
      <alignment horizontal="center" vertical="center"/>
      <protection locked="0"/>
    </xf>
    <xf numFmtId="241" fontId="56" fillId="3" borderId="1" xfId="86" applyNumberFormat="1" applyFont="1" applyFill="1" applyBorder="1" applyAlignment="1" applyProtection="1">
      <alignment horizontal="center" vertical="center"/>
    </xf>
    <xf numFmtId="0" fontId="10" fillId="0" borderId="1" xfId="89" applyFont="1" applyBorder="1" applyAlignment="1" applyProtection="1">
      <alignment vertical="center"/>
      <protection locked="0"/>
    </xf>
    <xf numFmtId="43" fontId="56" fillId="0" borderId="1" xfId="89" applyNumberFormat="1" applyFont="1" applyBorder="1" applyAlignment="1" applyProtection="1">
      <alignment vertical="center"/>
      <protection locked="0"/>
    </xf>
    <xf numFmtId="43" fontId="10" fillId="0" borderId="0" xfId="90" applyFont="1" applyAlignment="1" applyProtection="1">
      <alignment vertical="center"/>
      <protection locked="0"/>
    </xf>
    <xf numFmtId="242" fontId="10" fillId="0" borderId="0" xfId="1" applyNumberFormat="1" applyFont="1" applyAlignment="1" applyProtection="1">
      <alignment vertical="center"/>
      <protection locked="0"/>
    </xf>
    <xf numFmtId="0" fontId="54" fillId="0" borderId="0" xfId="89" applyFont="1" applyAlignment="1" applyProtection="1">
      <alignment vertical="center"/>
      <protection locked="0"/>
    </xf>
    <xf numFmtId="10" fontId="56" fillId="3" borderId="1" xfId="3" applyNumberFormat="1" applyFont="1" applyFill="1" applyBorder="1" applyAlignment="1">
      <alignment horizontal="center" vertical="center"/>
    </xf>
    <xf numFmtId="43" fontId="10" fillId="0" borderId="1" xfId="89" applyNumberFormat="1" applyFont="1" applyBorder="1" applyAlignment="1" applyProtection="1">
      <alignment vertical="center"/>
      <protection locked="0"/>
    </xf>
    <xf numFmtId="0" fontId="24" fillId="0" borderId="0" xfId="89" applyFont="1" applyAlignment="1" applyProtection="1">
      <alignment horizontal="left" vertical="center" wrapText="1"/>
      <protection locked="0"/>
    </xf>
    <xf numFmtId="0" fontId="10" fillId="6" borderId="0" xfId="89" applyFont="1" applyFill="1" applyAlignment="1" applyProtection="1">
      <alignment vertical="center"/>
      <protection locked="0"/>
    </xf>
    <xf numFmtId="43" fontId="10" fillId="6" borderId="0" xfId="89" applyNumberFormat="1" applyFont="1" applyFill="1" applyAlignment="1" applyProtection="1">
      <alignment vertical="center"/>
      <protection locked="0"/>
    </xf>
    <xf numFmtId="43" fontId="24" fillId="0" borderId="0" xfId="89" applyNumberFormat="1" applyFont="1" applyAlignment="1" applyProtection="1">
      <alignment horizontal="left" vertical="center" wrapText="1"/>
      <protection locked="0"/>
    </xf>
    <xf numFmtId="43" fontId="10" fillId="0" borderId="0" xfId="89" applyNumberFormat="1" applyFont="1" applyAlignment="1" applyProtection="1">
      <alignment vertical="center"/>
      <protection locked="0"/>
    </xf>
    <xf numFmtId="43" fontId="24" fillId="0" borderId="0" xfId="1" applyFont="1" applyAlignment="1">
      <alignment horizontal="left" vertical="center" wrapText="1"/>
    </xf>
    <xf numFmtId="0" fontId="0" fillId="6" borderId="0" xfId="0" applyFill="1" applyProtection="1"/>
    <xf numFmtId="0" fontId="35" fillId="3" borderId="1" xfId="89" applyFont="1" applyFill="1" applyBorder="1" applyAlignment="1" applyProtection="1">
      <alignment horizontal="center" vertical="center" wrapText="1"/>
      <protection locked="0"/>
    </xf>
    <xf numFmtId="243" fontId="35" fillId="3" borderId="1" xfId="89" applyNumberFormat="1" applyFont="1" applyFill="1" applyBorder="1" applyAlignment="1" applyProtection="1">
      <alignment horizontal="center" vertical="center" wrapText="1"/>
      <protection locked="0"/>
    </xf>
    <xf numFmtId="41" fontId="35" fillId="3" borderId="1" xfId="89" applyNumberFormat="1" applyFont="1" applyFill="1" applyBorder="1" applyAlignment="1" applyProtection="1">
      <alignment horizontal="center" vertical="center" wrapText="1"/>
      <protection locked="0"/>
    </xf>
    <xf numFmtId="0" fontId="60" fillId="0" borderId="0" xfId="89" applyFont="1" applyAlignment="1" applyProtection="1">
      <alignment vertical="center"/>
      <protection locked="0"/>
    </xf>
    <xf numFmtId="0" fontId="3" fillId="0" borderId="1" xfId="89" applyFont="1" applyBorder="1" applyAlignment="1">
      <alignment horizontal="center" vertical="center"/>
    </xf>
    <xf numFmtId="238" fontId="3" fillId="3" borderId="1" xfId="89" applyNumberFormat="1" applyFont="1" applyFill="1" applyBorder="1" applyAlignment="1">
      <alignment horizontal="center" vertical="center"/>
    </xf>
    <xf numFmtId="4" fontId="3" fillId="0" borderId="1" xfId="89" applyNumberFormat="1" applyFont="1" applyBorder="1" applyAlignment="1" applyProtection="1">
      <alignment horizontal="center" vertical="center"/>
      <protection locked="0"/>
    </xf>
    <xf numFmtId="43" fontId="3" fillId="2" borderId="1" xfId="1" applyFont="1" applyFill="1" applyBorder="1" applyAlignment="1">
      <alignment horizontal="right" vertical="center"/>
    </xf>
    <xf numFmtId="4" fontId="3" fillId="2" borderId="1" xfId="1" applyNumberFormat="1" applyFont="1" applyFill="1" applyBorder="1" applyAlignment="1">
      <alignment horizontal="right" vertical="center"/>
    </xf>
    <xf numFmtId="4" fontId="34" fillId="0" borderId="1" xfId="1" applyNumberFormat="1" applyFont="1" applyBorder="1" applyAlignment="1" applyProtection="1">
      <alignment horizontal="right" vertical="center"/>
      <protection locked="0"/>
    </xf>
    <xf numFmtId="4" fontId="3" fillId="0" borderId="1" xfId="1" applyNumberFormat="1" applyFont="1" applyBorder="1" applyAlignment="1">
      <alignment horizontal="right" vertical="center"/>
    </xf>
    <xf numFmtId="4" fontId="3" fillId="3" borderId="1" xfId="1" applyNumberFormat="1" applyFont="1" applyFill="1" applyBorder="1" applyAlignment="1">
      <alignment horizontal="right" vertical="center"/>
    </xf>
    <xf numFmtId="4" fontId="3" fillId="2" borderId="1" xfId="89" applyNumberFormat="1" applyFont="1" applyFill="1" applyBorder="1" applyAlignment="1" applyProtection="1">
      <alignment vertical="center" wrapText="1"/>
      <protection locked="0"/>
    </xf>
    <xf numFmtId="0" fontId="11" fillId="0" borderId="0" xfId="89" applyFont="1" applyAlignment="1" applyProtection="1">
      <alignment horizontal="center" vertical="center" wrapText="1"/>
      <protection locked="0"/>
    </xf>
    <xf numFmtId="0" fontId="3" fillId="0" borderId="0" xfId="89" applyFont="1" applyAlignment="1" applyProtection="1">
      <alignment horizontal="center" vertical="center" wrapText="1"/>
      <protection locked="0"/>
    </xf>
    <xf numFmtId="0" fontId="3" fillId="2" borderId="1" xfId="89" applyFont="1" applyFill="1" applyBorder="1" applyAlignment="1">
      <alignment horizontal="center" vertical="center"/>
    </xf>
    <xf numFmtId="0" fontId="3" fillId="0" borderId="1" xfId="89" applyFont="1" applyBorder="1" applyAlignment="1" applyProtection="1">
      <alignment vertical="center"/>
      <protection locked="0"/>
    </xf>
    <xf numFmtId="43" fontId="3" fillId="0" borderId="1" xfId="1" applyFont="1" applyBorder="1" applyAlignment="1" applyProtection="1">
      <alignment vertical="center" wrapText="1"/>
      <protection locked="0"/>
    </xf>
    <xf numFmtId="43" fontId="3" fillId="0" borderId="1" xfId="1" applyFont="1" applyBorder="1" applyAlignment="1" applyProtection="1">
      <alignment horizontal="right" vertical="center"/>
      <protection locked="0"/>
    </xf>
    <xf numFmtId="43" fontId="3" fillId="0" borderId="1" xfId="1" applyFont="1" applyBorder="1" applyAlignment="1" applyProtection="1">
      <alignment horizontal="center" vertical="center"/>
      <protection locked="0"/>
    </xf>
    <xf numFmtId="238" fontId="3" fillId="2" borderId="1" xfId="89" applyNumberFormat="1" applyFont="1" applyFill="1" applyBorder="1" applyAlignment="1">
      <alignment horizontal="center" vertical="center"/>
    </xf>
    <xf numFmtId="4" fontId="34" fillId="0" borderId="1" xfId="89" applyNumberFormat="1" applyFont="1" applyBorder="1" applyAlignment="1" applyProtection="1">
      <alignment horizontal="center" vertical="center"/>
      <protection locked="0"/>
    </xf>
    <xf numFmtId="43" fontId="56" fillId="0" borderId="1" xfId="1" applyFont="1" applyBorder="1" applyAlignment="1" applyProtection="1">
      <alignment horizontal="center" vertical="center"/>
      <protection locked="0"/>
    </xf>
    <xf numFmtId="14" fontId="3" fillId="0" borderId="1" xfId="1" applyNumberFormat="1" applyFont="1" applyBorder="1" applyAlignment="1" applyProtection="1">
      <alignment horizontal="center" vertical="center"/>
      <protection locked="0"/>
    </xf>
    <xf numFmtId="244" fontId="36" fillId="0" borderId="1" xfId="89" applyNumberFormat="1" applyFont="1" applyBorder="1" applyAlignment="1" applyProtection="1">
      <alignment horizontal="center" vertical="center"/>
      <protection locked="0"/>
    </xf>
    <xf numFmtId="0" fontId="3" fillId="3" borderId="1" xfId="89" applyFont="1" applyFill="1" applyBorder="1" applyAlignment="1" applyProtection="1">
      <alignment horizontal="center" vertical="center"/>
      <protection locked="0"/>
    </xf>
    <xf numFmtId="245" fontId="10" fillId="3" borderId="1" xfId="89" applyNumberFormat="1" applyFont="1" applyFill="1" applyBorder="1" applyAlignment="1" applyProtection="1">
      <alignment horizontal="center" vertical="center"/>
      <protection locked="0"/>
    </xf>
    <xf numFmtId="43" fontId="10" fillId="3" borderId="1" xfId="1" applyFont="1" applyFill="1" applyBorder="1" applyAlignment="1">
      <alignment horizontal="center" vertical="center"/>
    </xf>
    <xf numFmtId="43" fontId="10" fillId="3" borderId="1" xfId="1" applyFont="1" applyFill="1" applyBorder="1" applyAlignment="1">
      <alignment horizontal="right" vertical="center"/>
    </xf>
    <xf numFmtId="0" fontId="29" fillId="5" borderId="0" xfId="89" applyFont="1" applyFill="1" applyAlignment="1" applyProtection="1">
      <alignment horizontal="left" vertical="center"/>
      <protection locked="0"/>
    </xf>
    <xf numFmtId="245" fontId="10" fillId="0" borderId="0" xfId="89" applyNumberFormat="1" applyFont="1" applyAlignment="1" applyProtection="1">
      <alignment horizontal="center" vertical="center"/>
      <protection locked="0"/>
    </xf>
    <xf numFmtId="43" fontId="10" fillId="0" borderId="0" xfId="1" applyFont="1" applyAlignment="1">
      <alignment horizontal="center" vertical="center"/>
    </xf>
    <xf numFmtId="43" fontId="10" fillId="0" borderId="0" xfId="1" applyFont="1" applyAlignment="1">
      <alignment horizontal="right" vertical="center"/>
    </xf>
    <xf numFmtId="239" fontId="10" fillId="0" borderId="0" xfId="89" applyNumberFormat="1" applyFont="1" applyAlignment="1" applyProtection="1">
      <alignment horizontal="right" vertical="center"/>
      <protection locked="0"/>
    </xf>
    <xf numFmtId="0" fontId="47" fillId="10" borderId="0" xfId="91" applyFont="1" applyFill="1" applyAlignment="1" applyProtection="1">
      <alignment horizontal="left" vertical="center"/>
    </xf>
    <xf numFmtId="43" fontId="8" fillId="0" borderId="0" xfId="1" applyFont="1" applyAlignment="1">
      <alignment vertical="center"/>
    </xf>
    <xf numFmtId="0" fontId="3" fillId="0" borderId="0" xfId="92" applyFont="1" applyAlignment="1" applyProtection="1">
      <alignment vertical="center" wrapText="1"/>
      <protection locked="0"/>
    </xf>
    <xf numFmtId="0" fontId="3" fillId="0" borderId="0" xfId="92" applyFont="1" applyAlignment="1" applyProtection="1">
      <alignment horizontal="centerContinuous" vertical="center" wrapText="1"/>
      <protection locked="0"/>
    </xf>
    <xf numFmtId="0" fontId="47" fillId="0" borderId="0" xfId="92" applyFont="1" applyAlignment="1" applyProtection="1">
      <alignment horizontal="left" vertical="center"/>
      <protection locked="0"/>
    </xf>
    <xf numFmtId="49" fontId="10" fillId="0" borderId="0" xfId="1" applyNumberFormat="1" applyFont="1" applyAlignment="1">
      <alignment horizontal="right" vertical="center" shrinkToFit="1"/>
    </xf>
    <xf numFmtId="43" fontId="10" fillId="0" borderId="0" xfId="1" applyFont="1" applyAlignment="1">
      <alignment horizontal="right" vertical="center" shrinkToFit="1"/>
    </xf>
    <xf numFmtId="43" fontId="3" fillId="0" borderId="0" xfId="1" applyFont="1" applyAlignment="1" applyProtection="1">
      <alignment vertical="center"/>
      <protection locked="0"/>
    </xf>
    <xf numFmtId="0" fontId="3" fillId="0" borderId="0" xfId="92" applyFont="1" applyAlignment="1" applyProtection="1">
      <alignment vertical="center"/>
      <protection locked="0"/>
    </xf>
    <xf numFmtId="49" fontId="47" fillId="0" borderId="0" xfId="1" applyNumberFormat="1" applyFont="1" applyAlignment="1">
      <alignment horizontal="left" vertical="center"/>
    </xf>
    <xf numFmtId="0" fontId="3" fillId="0" borderId="0" xfId="92" applyFont="1" applyAlignment="1" applyProtection="1">
      <alignment horizontal="left" vertical="center"/>
      <protection locked="0"/>
    </xf>
    <xf numFmtId="0" fontId="10" fillId="0" borderId="0" xfId="92" applyFont="1" applyAlignment="1" applyProtection="1">
      <alignment horizontal="left" vertical="center" wrapText="1"/>
      <protection locked="0"/>
    </xf>
    <xf numFmtId="49" fontId="10" fillId="0" borderId="0" xfId="1" applyNumberFormat="1" applyFont="1" applyAlignment="1">
      <alignment horizontal="right" vertical="center"/>
    </xf>
    <xf numFmtId="41" fontId="3" fillId="0" borderId="0" xfId="89" applyNumberFormat="1" applyFont="1" applyAlignment="1" applyProtection="1">
      <alignment horizontal="center" vertical="center"/>
      <protection locked="0"/>
    </xf>
    <xf numFmtId="41" fontId="10" fillId="0" borderId="0" xfId="89" applyNumberFormat="1" applyFont="1" applyAlignment="1" applyProtection="1">
      <alignment horizontal="center" vertical="center"/>
      <protection locked="0"/>
    </xf>
    <xf numFmtId="43" fontId="3" fillId="0" borderId="0" xfId="89" applyNumberFormat="1" applyFont="1" applyAlignment="1" applyProtection="1">
      <alignment vertical="center"/>
      <protection locked="0"/>
    </xf>
    <xf numFmtId="43" fontId="61" fillId="0" borderId="0" xfId="88" applyNumberFormat="1" applyFont="1" applyAlignment="1">
      <alignment vertical="center"/>
    </xf>
    <xf numFmtId="43" fontId="62" fillId="0" borderId="0" xfId="88" applyNumberFormat="1" applyFont="1" applyAlignment="1">
      <alignment vertical="center"/>
    </xf>
    <xf numFmtId="43" fontId="63" fillId="0" borderId="0" xfId="88" applyNumberFormat="1" applyFont="1" applyAlignment="1">
      <alignment vertical="center"/>
    </xf>
    <xf numFmtId="0" fontId="31" fillId="0" borderId="0" xfId="88" applyFont="1" applyAlignment="1">
      <alignment horizontal="center" vertical="center"/>
    </xf>
    <xf numFmtId="0" fontId="22" fillId="0" borderId="0" xfId="833" applyFont="1" applyAlignment="1">
      <alignment horizontal="left" vertical="center" wrapText="1"/>
    </xf>
    <xf numFmtId="0" fontId="20" fillId="0" borderId="0" xfId="669" applyFont="1" applyAlignment="1" applyProtection="1">
      <alignment horizontal="left" vertical="center"/>
      <protection locked="0"/>
    </xf>
    <xf numFmtId="0" fontId="35" fillId="3" borderId="1" xfId="834" applyFont="1" applyFill="1" applyBorder="1" applyAlignment="1">
      <alignment horizontal="center" vertical="center" wrapText="1"/>
    </xf>
    <xf numFmtId="0" fontId="20" fillId="3" borderId="0" xfId="834" applyFont="1" applyFill="1" applyAlignment="1">
      <alignment horizontal="center" vertical="center" wrapText="1"/>
    </xf>
    <xf numFmtId="49" fontId="20" fillId="0" borderId="0" xfId="88" applyNumberFormat="1" applyFont="1" applyAlignment="1">
      <alignment vertical="center" wrapText="1"/>
    </xf>
    <xf numFmtId="0" fontId="20" fillId="0" borderId="0" xfId="0" applyFont="1" applyProtection="1"/>
    <xf numFmtId="0" fontId="24" fillId="5" borderId="0" xfId="0" applyFont="1" applyFill="1" applyAlignment="1" applyProtection="1">
      <alignment horizontal="left" vertical="center" wrapText="1"/>
    </xf>
    <xf numFmtId="240" fontId="34" fillId="0" borderId="1" xfId="640" applyNumberFormat="1" applyFont="1" applyBorder="1" applyAlignment="1">
      <alignment horizontal="center" vertical="center" wrapText="1"/>
    </xf>
    <xf numFmtId="0" fontId="34" fillId="3" borderId="1" xfId="834" applyFont="1" applyFill="1" applyBorder="1" applyAlignment="1">
      <alignment horizontal="center" vertical="center"/>
    </xf>
    <xf numFmtId="14" fontId="34" fillId="3" borderId="1" xfId="640" applyNumberFormat="1" applyFont="1" applyFill="1" applyBorder="1" applyAlignment="1">
      <alignment horizontal="center" vertical="center" wrapText="1"/>
    </xf>
    <xf numFmtId="9" fontId="34" fillId="0" borderId="1" xfId="1" applyNumberFormat="1" applyFont="1" applyBorder="1" applyAlignment="1">
      <alignment horizontal="center" vertical="center"/>
    </xf>
    <xf numFmtId="0" fontId="34" fillId="6" borderId="0" xfId="1" applyNumberFormat="1" applyFont="1" applyFill="1" applyAlignment="1">
      <alignment horizontal="center" vertical="center"/>
    </xf>
    <xf numFmtId="49" fontId="11" fillId="6" borderId="0" xfId="88" applyNumberFormat="1" applyFont="1" applyFill="1" applyAlignment="1">
      <alignment vertical="center" wrapText="1"/>
    </xf>
    <xf numFmtId="0" fontId="29" fillId="6" borderId="0" xfId="669" applyFont="1" applyFill="1" applyAlignment="1" applyProtection="1">
      <alignment vertical="center"/>
      <protection locked="0"/>
    </xf>
    <xf numFmtId="0" fontId="29" fillId="6" borderId="0" xfId="0" applyFont="1" applyFill="1" applyAlignment="1" applyProtection="1">
      <alignment vertical="center" wrapText="1"/>
      <protection locked="0"/>
    </xf>
    <xf numFmtId="0" fontId="3" fillId="0" borderId="0" xfId="1" applyNumberFormat="1" applyFont="1" applyAlignment="1">
      <alignment horizontal="center" vertical="center"/>
    </xf>
    <xf numFmtId="0" fontId="11" fillId="0" borderId="0" xfId="669" applyFont="1" applyAlignment="1" applyProtection="1">
      <alignment vertical="center" wrapText="1"/>
      <protection locked="0"/>
    </xf>
    <xf numFmtId="0" fontId="11" fillId="0" borderId="0" xfId="640" applyFont="1" applyAlignment="1">
      <alignment horizontal="center" vertical="center" wrapText="1"/>
    </xf>
    <xf numFmtId="0" fontId="3" fillId="0" borderId="0" xfId="834" applyFont="1" applyAlignment="1">
      <alignment horizontal="center" vertical="center"/>
    </xf>
    <xf numFmtId="14" fontId="36" fillId="0" borderId="0" xfId="640" applyNumberFormat="1" applyFont="1" applyAlignment="1">
      <alignment horizontal="center" vertical="center" wrapText="1"/>
    </xf>
    <xf numFmtId="0" fontId="20" fillId="3" borderId="1" xfId="834" applyFont="1" applyFill="1" applyBorder="1" applyAlignment="1">
      <alignment vertical="center" wrapText="1"/>
    </xf>
    <xf numFmtId="0" fontId="10" fillId="3" borderId="0" xfId="834" applyFont="1" applyFill="1" applyAlignment="1">
      <alignment horizontal="center" vertical="center" wrapText="1"/>
    </xf>
    <xf numFmtId="43" fontId="29" fillId="10" borderId="0" xfId="88" applyNumberFormat="1" applyFont="1" applyFill="1" applyAlignment="1">
      <alignment horizontal="left" vertical="center" wrapText="1"/>
    </xf>
    <xf numFmtId="240" fontId="34" fillId="0" borderId="1" xfId="669" applyNumberFormat="1" applyFont="1" applyBorder="1" applyAlignment="1" applyProtection="1">
      <alignment horizontal="center" vertical="center"/>
      <protection locked="0"/>
    </xf>
    <xf numFmtId="4" fontId="34" fillId="0" borderId="1" xfId="1" applyNumberFormat="1" applyFont="1" applyBorder="1" applyAlignment="1">
      <alignment vertical="center"/>
    </xf>
    <xf numFmtId="246" fontId="3" fillId="3" borderId="1" xfId="1" applyNumberFormat="1" applyFont="1" applyFill="1" applyBorder="1" applyAlignment="1">
      <alignment vertical="center"/>
    </xf>
    <xf numFmtId="4" fontId="3" fillId="3" borderId="1" xfId="1" applyNumberFormat="1" applyFont="1" applyFill="1" applyBorder="1" applyAlignment="1">
      <alignment vertical="center"/>
    </xf>
    <xf numFmtId="4" fontId="34" fillId="0" borderId="1" xfId="834" applyNumberFormat="1" applyFont="1" applyBorder="1" applyAlignment="1">
      <alignment horizontal="center" vertical="center"/>
    </xf>
    <xf numFmtId="43" fontId="3" fillId="0" borderId="0" xfId="1" applyFont="1" applyAlignment="1">
      <alignment vertical="center"/>
    </xf>
    <xf numFmtId="4" fontId="3" fillId="0" borderId="1" xfId="834" applyNumberFormat="1" applyFont="1" applyBorder="1" applyAlignment="1">
      <alignment horizontal="center" vertical="center"/>
    </xf>
    <xf numFmtId="4" fontId="3" fillId="0" borderId="1" xfId="1" applyNumberFormat="1" applyFont="1" applyBorder="1" applyAlignment="1">
      <alignment vertical="center"/>
    </xf>
    <xf numFmtId="240" fontId="14" fillId="0" borderId="1" xfId="88" applyNumberFormat="1" applyFont="1" applyBorder="1" applyAlignment="1">
      <alignment horizontal="center" vertical="center"/>
    </xf>
    <xf numFmtId="4" fontId="25" fillId="0" borderId="1" xfId="1" applyNumberFormat="1" applyFont="1" applyBorder="1" applyAlignment="1">
      <alignment vertical="center"/>
    </xf>
    <xf numFmtId="0" fontId="14" fillId="0" borderId="1" xfId="1" applyNumberFormat="1" applyFont="1" applyBorder="1" applyAlignment="1">
      <alignment horizontal="center" vertical="center"/>
    </xf>
    <xf numFmtId="246" fontId="25" fillId="0" borderId="1" xfId="1" applyNumberFormat="1" applyFont="1" applyBorder="1" applyAlignment="1">
      <alignment vertical="center"/>
    </xf>
    <xf numFmtId="43" fontId="25" fillId="0" borderId="1" xfId="1" applyFont="1" applyBorder="1" applyAlignment="1">
      <alignment vertical="center"/>
    </xf>
    <xf numFmtId="49" fontId="30" fillId="0" borderId="0" xfId="88" applyNumberFormat="1" applyFont="1" applyAlignment="1">
      <alignment vertical="center" wrapText="1"/>
    </xf>
    <xf numFmtId="43" fontId="20" fillId="0" borderId="0" xfId="88" applyNumberFormat="1" applyFont="1" applyAlignment="1">
      <alignment horizontal="left" vertical="center"/>
    </xf>
    <xf numFmtId="43" fontId="20" fillId="0" borderId="0" xfId="88" applyNumberFormat="1" applyFont="1" applyAlignment="1">
      <alignment horizontal="left" vertical="center" wrapText="1"/>
    </xf>
    <xf numFmtId="0" fontId="64" fillId="0" borderId="0" xfId="0" applyFont="1" applyProtection="1"/>
    <xf numFmtId="240" fontId="25" fillId="0" borderId="1" xfId="669" applyNumberFormat="1" applyFont="1" applyBorder="1" applyAlignment="1" applyProtection="1">
      <alignment horizontal="center" vertical="center"/>
      <protection locked="0"/>
    </xf>
    <xf numFmtId="0" fontId="65" fillId="0" borderId="1" xfId="834" applyFont="1" applyBorder="1" applyAlignment="1">
      <alignment vertical="center"/>
    </xf>
    <xf numFmtId="246" fontId="14" fillId="3" borderId="1" xfId="1" applyNumberFormat="1" applyFont="1" applyFill="1" applyBorder="1" applyAlignment="1">
      <alignment vertical="center"/>
    </xf>
    <xf numFmtId="4" fontId="14" fillId="3" borderId="1" xfId="1" applyNumberFormat="1" applyFont="1" applyFill="1" applyBorder="1" applyAlignment="1">
      <alignment vertical="center"/>
    </xf>
    <xf numFmtId="4" fontId="65" fillId="0" borderId="1" xfId="834" applyNumberFormat="1" applyFont="1" applyBorder="1" applyAlignment="1">
      <alignment horizontal="center" vertical="center"/>
    </xf>
    <xf numFmtId="4" fontId="14" fillId="0" borderId="1" xfId="1" applyNumberFormat="1" applyFont="1" applyBorder="1" applyAlignment="1">
      <alignment vertical="center"/>
    </xf>
    <xf numFmtId="43" fontId="30" fillId="0" borderId="0" xfId="88" applyNumberFormat="1" applyFont="1" applyAlignment="1">
      <alignment vertical="center"/>
    </xf>
    <xf numFmtId="0" fontId="24" fillId="0" borderId="0" xfId="0" applyFont="1" applyAlignment="1" applyProtection="1"/>
    <xf numFmtId="4" fontId="9" fillId="0" borderId="0" xfId="0" applyNumberFormat="1" applyFont="1" applyAlignment="1" applyProtection="1"/>
    <xf numFmtId="49" fontId="66" fillId="0" borderId="0" xfId="88" applyNumberFormat="1" applyFont="1" applyAlignment="1">
      <alignment vertical="center"/>
    </xf>
    <xf numFmtId="0" fontId="29" fillId="5" borderId="0" xfId="0" applyFont="1" applyFill="1" applyAlignment="1" applyProtection="1">
      <alignment horizontal="left" vertical="center" wrapText="1"/>
    </xf>
    <xf numFmtId="0" fontId="47" fillId="10" borderId="0" xfId="0" applyFont="1" applyFill="1" applyAlignment="1" applyProtection="1">
      <alignment horizontal="left" vertical="center" wrapText="1"/>
    </xf>
    <xf numFmtId="0" fontId="29" fillId="0" borderId="0" xfId="0" applyFont="1" applyAlignment="1" applyProtection="1">
      <alignment horizontal="left" vertical="center" wrapText="1"/>
    </xf>
    <xf numFmtId="0" fontId="29" fillId="0" borderId="0" xfId="0" applyFont="1" applyAlignment="1" applyProtection="1">
      <alignment horizontal="left" vertical="center"/>
    </xf>
    <xf numFmtId="0" fontId="32" fillId="0" borderId="0" xfId="88" applyFont="1" applyAlignment="1">
      <alignment horizontal="center" vertical="center"/>
    </xf>
    <xf numFmtId="0" fontId="3" fillId="0" borderId="0" xfId="669" applyFont="1" applyAlignment="1" applyProtection="1">
      <alignment vertical="center" wrapText="1"/>
      <protection locked="0"/>
    </xf>
    <xf numFmtId="0" fontId="11" fillId="0" borderId="17" xfId="0" applyFont="1" applyBorder="1" applyAlignment="1" applyProtection="1">
      <alignment vertical="center" wrapText="1"/>
      <protection locked="0"/>
    </xf>
    <xf numFmtId="0" fontId="53" fillId="3" borderId="1" xfId="669" applyFont="1" applyFill="1" applyBorder="1" applyAlignment="1" applyProtection="1">
      <alignment horizontal="left" vertical="center" wrapText="1" indent="1"/>
      <protection locked="0"/>
    </xf>
    <xf numFmtId="49" fontId="3" fillId="0" borderId="0" xfId="88" applyNumberFormat="1" applyFont="1" applyAlignment="1">
      <alignment vertical="center" wrapText="1"/>
    </xf>
    <xf numFmtId="0" fontId="20" fillId="10" borderId="1" xfId="669" applyFont="1" applyFill="1" applyBorder="1" applyAlignment="1" applyProtection="1">
      <alignment horizontal="left" vertical="center" wrapText="1"/>
      <protection locked="0"/>
    </xf>
    <xf numFmtId="0" fontId="24" fillId="0" borderId="0" xfId="834" applyFont="1" applyAlignment="1">
      <alignment vertical="center"/>
    </xf>
    <xf numFmtId="240" fontId="3" fillId="6" borderId="0" xfId="834" applyNumberFormat="1" applyFont="1" applyFill="1" applyAlignment="1">
      <alignment vertical="center"/>
    </xf>
    <xf numFmtId="49" fontId="11" fillId="5" borderId="0" xfId="88" applyNumberFormat="1" applyFont="1" applyFill="1" applyAlignment="1">
      <alignment vertical="center" wrapText="1"/>
    </xf>
    <xf numFmtId="0" fontId="24" fillId="0" borderId="0" xfId="0" applyFont="1" applyProtection="1"/>
    <xf numFmtId="0" fontId="0" fillId="5" borderId="0" xfId="0" applyFill="1" applyProtection="1"/>
    <xf numFmtId="49" fontId="11" fillId="0" borderId="17" xfId="88" applyNumberFormat="1" applyFont="1" applyBorder="1" applyAlignment="1">
      <alignment vertical="center" wrapText="1"/>
    </xf>
    <xf numFmtId="0" fontId="0" fillId="0" borderId="17" xfId="0" applyBorder="1" applyProtection="1"/>
    <xf numFmtId="0" fontId="3" fillId="0" borderId="0" xfId="669" applyFont="1" applyAlignment="1" applyProtection="1">
      <alignment horizontal="center" vertical="center" wrapText="1"/>
      <protection locked="0"/>
    </xf>
    <xf numFmtId="0" fontId="3" fillId="0" borderId="0" xfId="665" applyFont="1" applyProtection="1">
      <protection locked="0"/>
    </xf>
    <xf numFmtId="43" fontId="58" fillId="0" borderId="0" xfId="88" applyNumberFormat="1" applyFont="1" applyAlignment="1">
      <alignment horizontal="center" vertical="center"/>
    </xf>
    <xf numFmtId="43" fontId="59" fillId="0" borderId="0" xfId="88" applyNumberFormat="1" applyFont="1" applyAlignment="1">
      <alignment horizontal="center" vertical="center"/>
    </xf>
    <xf numFmtId="0" fontId="54" fillId="0" borderId="0" xfId="833" applyFont="1" applyAlignment="1">
      <alignment vertical="center"/>
    </xf>
    <xf numFmtId="0" fontId="54" fillId="0" borderId="0" xfId="833" applyFont="1" applyAlignment="1">
      <alignment horizontal="left" vertical="center"/>
    </xf>
    <xf numFmtId="0" fontId="11" fillId="0" borderId="0" xfId="834" applyFont="1" applyAlignment="1">
      <alignment vertical="center"/>
    </xf>
    <xf numFmtId="0" fontId="54" fillId="11" borderId="0" xfId="834" applyFont="1" applyFill="1" applyAlignment="1">
      <alignment horizontal="center" vertical="center"/>
    </xf>
    <xf numFmtId="0" fontId="52" fillId="0" borderId="1" xfId="669" applyFont="1" applyBorder="1" applyAlignment="1" applyProtection="1">
      <alignment horizontal="justify" vertical="center" wrapText="1"/>
      <protection locked="0"/>
    </xf>
    <xf numFmtId="0" fontId="3" fillId="3" borderId="1" xfId="669" applyFont="1" applyFill="1" applyBorder="1" applyAlignment="1" applyProtection="1">
      <alignment horizontal="center" vertical="center" wrapText="1"/>
      <protection locked="0"/>
    </xf>
    <xf numFmtId="0" fontId="11" fillId="0" borderId="0" xfId="834" applyFont="1" applyAlignment="1">
      <alignment vertical="center" wrapText="1"/>
    </xf>
    <xf numFmtId="43" fontId="3" fillId="0" borderId="0" xfId="88" applyNumberFormat="1" applyFont="1" applyAlignment="1">
      <alignment vertical="center" wrapText="1"/>
    </xf>
    <xf numFmtId="0" fontId="11" fillId="0" borderId="17" xfId="834" applyFont="1" applyBorder="1" applyAlignment="1">
      <alignment vertical="center" wrapText="1"/>
    </xf>
    <xf numFmtId="0" fontId="53" fillId="0" borderId="1" xfId="669" applyFont="1" applyBorder="1" applyAlignment="1" applyProtection="1">
      <alignment horizontal="left" vertical="center" wrapText="1" indent="1"/>
      <protection locked="0"/>
    </xf>
    <xf numFmtId="0" fontId="52" fillId="0" borderId="1" xfId="669" applyFont="1" applyBorder="1" applyAlignment="1" applyProtection="1">
      <alignment horizontal="center" vertical="center" wrapText="1"/>
      <protection locked="0"/>
    </xf>
    <xf numFmtId="0" fontId="53" fillId="3" borderId="5" xfId="669" applyFont="1" applyFill="1" applyBorder="1" applyAlignment="1" applyProtection="1">
      <alignment horizontal="left" vertical="center" wrapText="1"/>
      <protection locked="0"/>
    </xf>
    <xf numFmtId="0" fontId="11" fillId="0" borderId="0" xfId="669" applyFont="1" applyAlignment="1" applyProtection="1">
      <alignment vertical="center"/>
      <protection locked="0"/>
    </xf>
    <xf numFmtId="0" fontId="51" fillId="3" borderId="0" xfId="834" applyFont="1" applyFill="1" applyAlignment="1">
      <alignment horizontal="center" vertical="center"/>
    </xf>
    <xf numFmtId="0" fontId="11" fillId="12" borderId="0" xfId="834" applyFont="1" applyFill="1" applyAlignment="1">
      <alignment vertical="center"/>
    </xf>
    <xf numFmtId="0" fontId="51" fillId="2" borderId="0" xfId="834" applyFont="1" applyFill="1" applyAlignment="1">
      <alignment horizontal="center" vertical="center"/>
    </xf>
    <xf numFmtId="0" fontId="34" fillId="0" borderId="1" xfId="669" applyFont="1" applyBorder="1" applyAlignment="1" applyProtection="1">
      <alignment horizontal="left" vertical="center" wrapText="1"/>
      <protection locked="0"/>
    </xf>
    <xf numFmtId="0" fontId="3" fillId="3" borderId="1" xfId="834" applyFont="1" applyFill="1" applyBorder="1" applyAlignment="1">
      <alignment horizontal="center" vertical="center"/>
    </xf>
    <xf numFmtId="43" fontId="3" fillId="0" borderId="1" xfId="88" applyNumberFormat="1" applyFont="1" applyBorder="1" applyAlignment="1">
      <alignment vertical="center"/>
    </xf>
    <xf numFmtId="43" fontId="11" fillId="0" borderId="0" xfId="88" applyNumberFormat="1" applyFont="1" applyAlignment="1">
      <alignment vertical="center" wrapText="1"/>
    </xf>
    <xf numFmtId="0" fontId="53" fillId="0" borderId="1" xfId="669" applyFont="1" applyBorder="1" applyAlignment="1" applyProtection="1">
      <alignment horizontal="center" vertical="center" wrapText="1"/>
      <protection locked="0"/>
    </xf>
    <xf numFmtId="0" fontId="53" fillId="3" borderId="1" xfId="669" applyFont="1" applyFill="1" applyBorder="1" applyAlignment="1" applyProtection="1">
      <alignment horizontal="left" vertical="center" wrapText="1"/>
      <protection locked="0"/>
    </xf>
    <xf numFmtId="0" fontId="67" fillId="3" borderId="0" xfId="834" applyFont="1" applyFill="1" applyAlignment="1">
      <alignment horizontal="center" vertical="center"/>
    </xf>
    <xf numFmtId="0" fontId="68" fillId="3" borderId="1" xfId="834" applyFont="1" applyFill="1" applyBorder="1" applyAlignment="1">
      <alignment horizontal="center" vertical="center"/>
    </xf>
    <xf numFmtId="0" fontId="69" fillId="3" borderId="1" xfId="834" applyFont="1" applyFill="1" applyBorder="1" applyAlignment="1">
      <alignment horizontal="center" vertical="center"/>
    </xf>
    <xf numFmtId="0" fontId="53" fillId="0" borderId="1" xfId="669" applyFont="1" applyBorder="1" applyAlignment="1" applyProtection="1">
      <alignment horizontal="left" vertical="center" wrapText="1"/>
      <protection locked="0"/>
    </xf>
    <xf numFmtId="0" fontId="11" fillId="0" borderId="0" xfId="669" applyFont="1" applyAlignment="1" applyProtection="1">
      <alignment horizontal="left" vertical="center" wrapText="1"/>
      <protection locked="0"/>
    </xf>
    <xf numFmtId="0" fontId="11" fillId="0" borderId="0" xfId="665" applyFont="1" applyProtection="1">
      <protection locked="0"/>
    </xf>
    <xf numFmtId="0" fontId="1" fillId="0" borderId="0" xfId="836" applyFont="1" applyProtection="1">
      <protection locked="0"/>
    </xf>
    <xf numFmtId="0" fontId="2" fillId="0" borderId="0" xfId="836" applyFont="1" applyProtection="1">
      <protection locked="0"/>
    </xf>
    <xf numFmtId="0" fontId="3" fillId="0" borderId="0" xfId="836" applyFont="1" applyAlignment="1" applyProtection="1">
      <alignment horizontal="center" wrapText="1"/>
      <protection locked="0"/>
    </xf>
    <xf numFmtId="0" fontId="3" fillId="0" borderId="0" xfId="836" applyFont="1" applyProtection="1">
      <protection locked="0"/>
    </xf>
    <xf numFmtId="0" fontId="8" fillId="2" borderId="1" xfId="836" applyFont="1" applyFill="1" applyBorder="1" applyAlignment="1" applyProtection="1">
      <alignment horizontal="center" vertical="center" wrapText="1"/>
    </xf>
    <xf numFmtId="0" fontId="8" fillId="3" borderId="1" xfId="836" applyFont="1" applyFill="1" applyBorder="1" applyAlignment="1" applyProtection="1">
      <alignment horizontal="center" vertical="center" wrapText="1"/>
    </xf>
    <xf numFmtId="0" fontId="10" fillId="2" borderId="1" xfId="80" applyFont="1" applyFill="1" applyBorder="1" applyAlignment="1" applyProtection="1">
      <alignment horizontal="center" vertical="center" wrapText="1"/>
      <protection locked="0"/>
    </xf>
    <xf numFmtId="0" fontId="10" fillId="3" borderId="1" xfId="80" applyFont="1" applyFill="1" applyBorder="1" applyAlignment="1" applyProtection="1">
      <alignment horizontal="center" vertical="center" wrapText="1"/>
      <protection locked="0"/>
    </xf>
    <xf numFmtId="0" fontId="70" fillId="2" borderId="1" xfId="80" applyFont="1" applyFill="1" applyBorder="1" applyAlignment="1" applyProtection="1">
      <alignment horizontal="center" vertical="center" wrapText="1"/>
      <protection locked="0"/>
    </xf>
    <xf numFmtId="0" fontId="46" fillId="0" borderId="1" xfId="836" applyFont="1" applyBorder="1" applyAlignment="1" applyProtection="1">
      <alignment vertical="center"/>
    </xf>
    <xf numFmtId="43" fontId="46" fillId="0" borderId="1" xfId="1" applyFont="1" applyBorder="1" applyAlignment="1">
      <alignment vertical="center"/>
    </xf>
    <xf numFmtId="49" fontId="46" fillId="0" borderId="1" xfId="836" applyNumberFormat="1" applyFont="1" applyBorder="1" applyAlignment="1" applyProtection="1">
      <alignment horizontal="center" vertical="center"/>
    </xf>
    <xf numFmtId="43" fontId="10" fillId="0" borderId="9" xfId="88" applyNumberFormat="1" applyFont="1" applyBorder="1" applyAlignment="1">
      <alignment horizontal="left" vertical="center"/>
    </xf>
    <xf numFmtId="43" fontId="3" fillId="0" borderId="9" xfId="88" applyNumberFormat="1" applyFont="1" applyBorder="1" applyAlignment="1">
      <alignment horizontal="left" vertical="center"/>
    </xf>
    <xf numFmtId="43" fontId="71" fillId="0" borderId="9" xfId="837" applyNumberFormat="1" applyFont="1" applyBorder="1" applyAlignment="1" applyProtection="1">
      <alignment horizontal="center" vertical="center"/>
    </xf>
    <xf numFmtId="0" fontId="10" fillId="0" borderId="0" xfId="834" applyFont="1" applyAlignment="1">
      <alignment vertical="center"/>
    </xf>
    <xf numFmtId="244" fontId="72" fillId="0" borderId="0" xfId="704" applyNumberFormat="1" applyFont="1" applyAlignment="1" applyProtection="1">
      <alignment horizontal="left" vertical="center"/>
      <protection locked="0"/>
    </xf>
    <xf numFmtId="0" fontId="3" fillId="3" borderId="0" xfId="0" applyFont="1" applyFill="1" applyAlignment="1" applyProtection="1">
      <alignment horizontal="center" vertical="center" wrapText="1"/>
      <protection locked="0"/>
    </xf>
    <xf numFmtId="0" fontId="3" fillId="3" borderId="0" xfId="0" applyFont="1" applyFill="1" applyAlignment="1" applyProtection="1">
      <alignment vertical="center" wrapText="1"/>
      <protection locked="0"/>
    </xf>
    <xf numFmtId="0" fontId="10" fillId="3" borderId="0" xfId="0" applyFont="1" applyFill="1" applyAlignment="1" applyProtection="1">
      <alignment vertical="center"/>
      <protection locked="0"/>
    </xf>
    <xf numFmtId="49" fontId="31" fillId="0" borderId="0" xfId="76" applyNumberFormat="1" applyFont="1" applyAlignment="1">
      <alignment horizontal="center" vertical="center"/>
    </xf>
    <xf numFmtId="0" fontId="32" fillId="0" borderId="0" xfId="76" applyFont="1" applyAlignment="1">
      <alignment horizontal="center" vertical="center"/>
    </xf>
    <xf numFmtId="0" fontId="46" fillId="0" borderId="0" xfId="74" applyFont="1" applyAlignment="1" applyProtection="1">
      <alignment vertical="center"/>
    </xf>
    <xf numFmtId="0" fontId="8" fillId="3" borderId="1" xfId="74" applyFont="1" applyFill="1" applyBorder="1" applyAlignment="1" applyProtection="1">
      <alignment horizontal="center" vertical="center"/>
    </xf>
    <xf numFmtId="0" fontId="8" fillId="3" borderId="1" xfId="0" applyFont="1" applyFill="1" applyBorder="1" applyAlignment="1" applyProtection="1">
      <alignment horizontal="center" vertical="center"/>
    </xf>
    <xf numFmtId="0" fontId="0" fillId="0" borderId="10" xfId="0" applyBorder="1" applyProtection="1"/>
    <xf numFmtId="0" fontId="8" fillId="3" borderId="1" xfId="80" applyFont="1" applyFill="1" applyBorder="1" applyAlignment="1" applyProtection="1">
      <alignment horizontal="center" vertical="center"/>
      <protection locked="0"/>
    </xf>
    <xf numFmtId="0" fontId="0" fillId="0" borderId="11" xfId="0" applyBorder="1" applyProtection="1"/>
    <xf numFmtId="0" fontId="0" fillId="0" borderId="12" xfId="0" applyBorder="1" applyProtection="1"/>
    <xf numFmtId="0" fontId="8" fillId="3" borderId="1" xfId="0" applyFont="1" applyFill="1" applyBorder="1" applyAlignment="1" applyProtection="1">
      <alignment horizontal="center" vertical="center" wrapText="1"/>
    </xf>
    <xf numFmtId="0" fontId="46" fillId="0" borderId="1" xfId="0" applyFont="1" applyBorder="1" applyAlignment="1" applyProtection="1">
      <alignment vertical="center"/>
    </xf>
    <xf numFmtId="49" fontId="3" fillId="0" borderId="1" xfId="0" applyNumberFormat="1" applyFont="1" applyBorder="1" applyAlignment="1" applyProtection="1">
      <alignment horizontal="justify" vertical="center"/>
      <protection locked="0"/>
    </xf>
    <xf numFmtId="43" fontId="3" fillId="2" borderId="1" xfId="1" applyFont="1" applyFill="1" applyBorder="1" applyAlignment="1">
      <alignment horizontal="right" vertical="center" wrapText="1"/>
    </xf>
    <xf numFmtId="0" fontId="10" fillId="3" borderId="1" xfId="0" applyFont="1" applyFill="1" applyBorder="1" applyAlignment="1" applyProtection="1">
      <alignment horizontal="center" vertical="center"/>
      <protection locked="0"/>
    </xf>
    <xf numFmtId="0" fontId="10" fillId="2" borderId="1" xfId="0" applyFont="1" applyFill="1" applyBorder="1" applyAlignment="1" applyProtection="1">
      <alignment horizontal="left" vertical="center"/>
      <protection locked="0"/>
    </xf>
    <xf numFmtId="0" fontId="35" fillId="2" borderId="1" xfId="0" applyFont="1" applyFill="1" applyBorder="1" applyAlignment="1" applyProtection="1">
      <alignment horizontal="left" vertical="center"/>
      <protection locked="0"/>
    </xf>
    <xf numFmtId="0" fontId="33" fillId="0" borderId="0" xfId="0" applyFont="1" applyAlignment="1" applyProtection="1">
      <alignment vertical="center"/>
      <protection locked="0"/>
    </xf>
    <xf numFmtId="0" fontId="73" fillId="0" borderId="0" xfId="0" applyFont="1" applyAlignment="1" applyProtection="1">
      <alignment vertical="center"/>
      <protection locked="0"/>
    </xf>
    <xf numFmtId="43" fontId="74" fillId="0" borderId="0" xfId="1" applyFont="1" applyAlignment="1" applyProtection="1">
      <alignment horizontal="left" vertical="center"/>
      <protection locked="0"/>
    </xf>
    <xf numFmtId="0" fontId="7" fillId="0" borderId="0" xfId="0" applyFont="1" applyAlignment="1" applyProtection="1">
      <alignment vertical="center"/>
      <protection locked="0"/>
    </xf>
    <xf numFmtId="247" fontId="3" fillId="0" borderId="0" xfId="1" applyNumberFormat="1" applyFont="1" applyAlignment="1" applyProtection="1">
      <alignment vertical="center"/>
      <protection locked="0"/>
    </xf>
    <xf numFmtId="247" fontId="53" fillId="0" borderId="0" xfId="1" applyNumberFormat="1" applyFont="1" applyAlignment="1" applyProtection="1">
      <alignment horizontal="right" vertical="center" wrapText="1"/>
      <protection locked="0"/>
    </xf>
    <xf numFmtId="247" fontId="3" fillId="0" borderId="0" xfId="1" applyNumberFormat="1" applyFont="1" applyAlignment="1" applyProtection="1">
      <alignment horizontal="right" vertical="center" wrapText="1"/>
      <protection locked="0"/>
    </xf>
    <xf numFmtId="247" fontId="10" fillId="0" borderId="0" xfId="1" applyNumberFormat="1" applyFont="1" applyAlignment="1" applyProtection="1">
      <alignment horizontal="right" vertical="center" wrapText="1"/>
      <protection locked="0"/>
    </xf>
    <xf numFmtId="0" fontId="1" fillId="0" borderId="0" xfId="75" applyFont="1" applyProtection="1">
      <protection locked="0"/>
    </xf>
    <xf numFmtId="0" fontId="2" fillId="0" borderId="0" xfId="75" applyFont="1" applyProtection="1">
      <protection locked="0"/>
    </xf>
    <xf numFmtId="49" fontId="31" fillId="0" borderId="0" xfId="75" applyNumberFormat="1" applyFont="1" applyAlignment="1" applyProtection="1">
      <alignment horizontal="center" vertical="center"/>
      <protection locked="0"/>
    </xf>
    <xf numFmtId="0" fontId="31" fillId="0" borderId="0" xfId="75" applyFont="1" applyAlignment="1" applyProtection="1">
      <alignment vertical="center"/>
      <protection locked="0"/>
    </xf>
    <xf numFmtId="0" fontId="32" fillId="0" borderId="0" xfId="75" applyFont="1" applyAlignment="1" applyProtection="1">
      <alignment horizontal="center" vertical="center"/>
      <protection locked="0"/>
    </xf>
    <xf numFmtId="0" fontId="32" fillId="0" borderId="0" xfId="75" applyFont="1" applyAlignment="1" applyProtection="1">
      <alignment vertical="center"/>
      <protection locked="0"/>
    </xf>
    <xf numFmtId="0" fontId="6" fillId="0" borderId="0" xfId="0" applyFont="1" applyAlignment="1" applyProtection="1">
      <alignment horizontal="left" vertical="center"/>
      <protection locked="0"/>
    </xf>
    <xf numFmtId="0" fontId="10" fillId="0" borderId="0" xfId="0" applyFont="1" applyAlignment="1" applyProtection="1">
      <alignment horizontal="justify" vertical="center"/>
    </xf>
    <xf numFmtId="0" fontId="3" fillId="0" borderId="0" xfId="75" applyFont="1" applyAlignment="1" applyProtection="1">
      <alignment horizontal="left" vertical="center"/>
      <protection locked="0"/>
    </xf>
    <xf numFmtId="0" fontId="52" fillId="0" borderId="18" xfId="0" applyFont="1" applyBorder="1" applyAlignment="1" applyProtection="1">
      <alignment horizontal="justify" vertical="center" wrapText="1"/>
      <protection locked="0"/>
    </xf>
    <xf numFmtId="0" fontId="52" fillId="0" borderId="18" xfId="0" applyFont="1" applyBorder="1" applyAlignment="1" applyProtection="1">
      <alignment horizontal="right" vertical="center" wrapText="1"/>
      <protection locked="0"/>
    </xf>
    <xf numFmtId="0" fontId="53" fillId="0" borderId="0" xfId="0" applyFont="1" applyAlignment="1" applyProtection="1">
      <alignment horizontal="justify" vertical="center" wrapText="1"/>
      <protection locked="0"/>
    </xf>
    <xf numFmtId="0" fontId="3" fillId="0" borderId="0" xfId="0" applyFont="1" applyAlignment="1" applyProtection="1">
      <alignment horizontal="right" vertical="center" wrapText="1"/>
      <protection locked="0"/>
    </xf>
    <xf numFmtId="0" fontId="53" fillId="0" borderId="19" xfId="0" applyFont="1" applyBorder="1" applyAlignment="1" applyProtection="1">
      <alignment horizontal="justify" vertical="center" wrapText="1"/>
      <protection locked="0"/>
    </xf>
    <xf numFmtId="0" fontId="3" fillId="0" borderId="19" xfId="0" applyFont="1" applyBorder="1" applyAlignment="1" applyProtection="1">
      <alignment horizontal="right" vertical="center" wrapText="1"/>
      <protection locked="0"/>
    </xf>
    <xf numFmtId="0" fontId="52" fillId="0" borderId="0" xfId="0" applyFont="1" applyAlignment="1" applyProtection="1">
      <alignment horizontal="justify" vertical="center"/>
    </xf>
    <xf numFmtId="0" fontId="53" fillId="0" borderId="0" xfId="0" applyFont="1" applyAlignment="1" applyProtection="1">
      <alignment vertical="center"/>
    </xf>
    <xf numFmtId="0" fontId="75" fillId="0" borderId="0" xfId="0" applyFont="1" applyAlignment="1" applyProtection="1">
      <alignment horizontal="center" vertical="center"/>
    </xf>
    <xf numFmtId="0" fontId="1" fillId="0" borderId="0" xfId="75" applyFont="1" applyAlignment="1" applyProtection="1">
      <alignment horizontal="left" vertical="center"/>
      <protection locked="0"/>
    </xf>
    <xf numFmtId="0" fontId="76" fillId="0" borderId="0" xfId="0" applyFont="1" applyAlignment="1" applyProtection="1">
      <alignment horizontal="center" vertical="center"/>
    </xf>
    <xf numFmtId="43" fontId="3" fillId="0" borderId="0" xfId="50" applyNumberFormat="1" applyFont="1" applyAlignment="1">
      <alignment vertical="center"/>
    </xf>
    <xf numFmtId="0" fontId="36" fillId="0" borderId="0" xfId="0" applyFont="1" applyAlignment="1" applyProtection="1">
      <alignment vertical="center"/>
    </xf>
    <xf numFmtId="0" fontId="52" fillId="0" borderId="18" xfId="0" applyFont="1" applyBorder="1" applyAlignment="1" applyProtection="1">
      <alignment horizontal="left" vertical="center"/>
      <protection locked="0"/>
    </xf>
    <xf numFmtId="0" fontId="52" fillId="0" borderId="18" xfId="0" applyFont="1" applyBorder="1" applyAlignment="1" applyProtection="1">
      <alignment horizontal="right" vertical="center"/>
      <protection locked="0"/>
    </xf>
    <xf numFmtId="0" fontId="53" fillId="0" borderId="0" xfId="0" applyFont="1" applyAlignment="1" applyProtection="1">
      <alignment horizontal="left" vertical="center"/>
      <protection locked="0"/>
    </xf>
    <xf numFmtId="0" fontId="53" fillId="0" borderId="0" xfId="0" applyFont="1" applyAlignment="1" applyProtection="1">
      <alignment horizontal="justify" vertical="center"/>
      <protection locked="0"/>
    </xf>
    <xf numFmtId="0" fontId="53" fillId="0" borderId="19" xfId="0" applyFont="1" applyBorder="1" applyAlignment="1" applyProtection="1">
      <alignment horizontal="left" vertical="center"/>
      <protection locked="0"/>
    </xf>
    <xf numFmtId="0" fontId="3" fillId="0" borderId="19" xfId="0" applyFont="1" applyBorder="1" applyAlignment="1" applyProtection="1">
      <alignment horizontal="right" vertical="center"/>
      <protection locked="0"/>
    </xf>
    <xf numFmtId="0" fontId="11" fillId="0" borderId="20" xfId="0" applyFont="1" applyBorder="1" applyAlignment="1" applyProtection="1">
      <alignment horizontal="left" vertical="center" wrapText="1"/>
      <protection locked="0"/>
    </xf>
    <xf numFmtId="0" fontId="0" fillId="0" borderId="20" xfId="0" applyBorder="1" applyProtection="1">
      <protection locked="0"/>
    </xf>
    <xf numFmtId="0" fontId="11" fillId="0" borderId="0" xfId="0" applyFont="1" applyAlignment="1" applyProtection="1">
      <alignment horizontal="left" vertical="center" wrapText="1"/>
      <protection locked="0"/>
    </xf>
    <xf numFmtId="0" fontId="11" fillId="13" borderId="0" xfId="0" applyFont="1" applyFill="1" applyAlignment="1" applyProtection="1">
      <alignment horizontal="left" vertical="center" wrapText="1"/>
      <protection locked="0"/>
    </xf>
    <xf numFmtId="43" fontId="1" fillId="0" borderId="0" xfId="50" applyNumberFormat="1" applyFont="1" applyAlignment="1">
      <alignment vertical="center"/>
    </xf>
    <xf numFmtId="43" fontId="2" fillId="0" borderId="0" xfId="50" applyNumberFormat="1" applyFont="1" applyAlignment="1">
      <alignment vertical="center"/>
    </xf>
    <xf numFmtId="0" fontId="8" fillId="0" borderId="0" xfId="0" applyFont="1" applyAlignment="1" applyProtection="1">
      <alignment vertical="center"/>
    </xf>
    <xf numFmtId="43" fontId="7" fillId="0" borderId="0" xfId="50" applyNumberFormat="1" applyFont="1" applyAlignment="1">
      <alignment vertical="center"/>
    </xf>
    <xf numFmtId="49" fontId="75" fillId="0" borderId="0" xfId="0" applyNumberFormat="1" applyFont="1" applyAlignment="1" applyProtection="1">
      <alignment horizontal="center" vertical="center"/>
    </xf>
    <xf numFmtId="0" fontId="8" fillId="2" borderId="1" xfId="0" applyFont="1" applyFill="1" applyBorder="1" applyAlignment="1" applyProtection="1">
      <alignment horizontal="center" vertical="center"/>
    </xf>
    <xf numFmtId="0" fontId="8" fillId="2" borderId="1" xfId="75" applyFont="1" applyFill="1" applyBorder="1" applyAlignment="1" applyProtection="1">
      <alignment horizontal="center" vertical="center" wrapText="1"/>
      <protection locked="0"/>
    </xf>
    <xf numFmtId="0" fontId="10" fillId="2" borderId="1" xfId="75" applyFont="1" applyFill="1" applyBorder="1" applyAlignment="1" applyProtection="1">
      <alignment horizontal="center" vertical="center"/>
      <protection locked="0"/>
    </xf>
    <xf numFmtId="0" fontId="8" fillId="2" borderId="1" xfId="0" applyFont="1" applyFill="1" applyBorder="1" applyAlignment="1" applyProtection="1">
      <alignment vertical="center"/>
    </xf>
    <xf numFmtId="43" fontId="46" fillId="2" borderId="1" xfId="1" applyFont="1" applyFill="1" applyBorder="1" applyAlignment="1">
      <alignment horizontal="right" vertical="center"/>
    </xf>
    <xf numFmtId="10" fontId="3" fillId="2" borderId="1" xfId="3" applyNumberFormat="1" applyFont="1" applyFill="1" applyBorder="1" applyAlignment="1">
      <alignment horizontal="right" vertical="center" wrapText="1"/>
    </xf>
    <xf numFmtId="0" fontId="8" fillId="0" borderId="1" xfId="0" applyFont="1" applyBorder="1" applyAlignment="1" applyProtection="1">
      <alignment horizontal="center" vertical="center"/>
    </xf>
    <xf numFmtId="248" fontId="3" fillId="2" borderId="1" xfId="1" applyNumberFormat="1" applyFont="1" applyFill="1" applyBorder="1" applyAlignment="1">
      <alignment horizontal="right" vertical="center" wrapText="1"/>
    </xf>
    <xf numFmtId="248" fontId="3" fillId="2" borderId="1" xfId="3" applyNumberFormat="1" applyFont="1" applyFill="1" applyBorder="1" applyAlignment="1">
      <alignment horizontal="right" vertical="center" wrapText="1"/>
    </xf>
    <xf numFmtId="0" fontId="77" fillId="3" borderId="1" xfId="0" applyFont="1" applyFill="1" applyBorder="1" applyAlignment="1" applyProtection="1">
      <alignment horizontal="center" vertical="center"/>
    </xf>
    <xf numFmtId="43" fontId="46" fillId="3" borderId="1" xfId="1" applyFont="1" applyFill="1" applyBorder="1" applyAlignment="1">
      <alignment horizontal="right" vertical="center"/>
    </xf>
    <xf numFmtId="43" fontId="46" fillId="0" borderId="1" xfId="1" applyFont="1" applyBorder="1" applyAlignment="1">
      <alignment horizontal="right" vertical="center"/>
    </xf>
    <xf numFmtId="43" fontId="10" fillId="0" borderId="0" xfId="50" applyNumberFormat="1" applyFont="1" applyAlignment="1">
      <alignment vertical="center"/>
    </xf>
    <xf numFmtId="0" fontId="3" fillId="0" borderId="0" xfId="49" applyFont="1" applyAlignment="1">
      <alignment vertical="center"/>
    </xf>
    <xf numFmtId="249" fontId="78" fillId="0" borderId="0" xfId="3" applyNumberFormat="1" applyFont="1" applyAlignment="1">
      <alignment horizontal="left" vertical="center"/>
    </xf>
    <xf numFmtId="43" fontId="3" fillId="0" borderId="21" xfId="50" applyNumberFormat="1" applyFont="1" applyBorder="1" applyAlignment="1">
      <alignment vertical="center"/>
    </xf>
    <xf numFmtId="43" fontId="38" fillId="0" borderId="0" xfId="50" applyNumberFormat="1" applyFont="1" applyAlignment="1">
      <alignment vertical="center"/>
    </xf>
    <xf numFmtId="43" fontId="79" fillId="0" borderId="0" xfId="50" applyNumberFormat="1" applyFont="1" applyAlignment="1">
      <alignment vertical="center"/>
    </xf>
    <xf numFmtId="0" fontId="3" fillId="0" borderId="0" xfId="85" applyFont="1" applyAlignment="1" applyProtection="1">
      <alignment vertical="center"/>
      <protection locked="0"/>
    </xf>
    <xf numFmtId="49" fontId="3" fillId="0" borderId="0" xfId="77" applyNumberFormat="1" applyFont="1" applyAlignment="1">
      <alignment horizontal="left" vertical="center"/>
    </xf>
    <xf numFmtId="0" fontId="31" fillId="0" borderId="0" xfId="76" applyFont="1" applyAlignment="1">
      <alignment horizontal="center" vertical="center"/>
    </xf>
    <xf numFmtId="0" fontId="10" fillId="0" borderId="0" xfId="85" applyFont="1" applyAlignment="1" applyProtection="1">
      <alignment horizontal="left" vertical="center"/>
      <protection locked="0"/>
    </xf>
    <xf numFmtId="49" fontId="35" fillId="0" borderId="0" xfId="839" applyNumberFormat="1" applyFont="1" applyAlignment="1" applyProtection="1">
      <alignment horizontal="left" vertical="center"/>
      <protection locked="0"/>
    </xf>
    <xf numFmtId="0" fontId="10" fillId="0" borderId="0" xfId="85" applyFont="1" applyAlignment="1" applyProtection="1">
      <alignment horizontal="justify" vertical="center"/>
      <protection locked="0"/>
    </xf>
    <xf numFmtId="0" fontId="35" fillId="2" borderId="1" xfId="85" applyFont="1" applyFill="1" applyBorder="1" applyAlignment="1" applyProtection="1">
      <alignment horizontal="center" vertical="center" wrapText="1"/>
      <protection locked="0"/>
    </xf>
    <xf numFmtId="0" fontId="10" fillId="2" borderId="1" xfId="85" applyFont="1" applyFill="1" applyBorder="1" applyAlignment="1" applyProtection="1">
      <alignment horizontal="center" vertical="center" wrapText="1"/>
      <protection locked="0"/>
    </xf>
    <xf numFmtId="0" fontId="3" fillId="0" borderId="1" xfId="85" applyFont="1" applyBorder="1" applyAlignment="1" applyProtection="1">
      <alignment horizontal="left" vertical="center" wrapText="1"/>
      <protection locked="0"/>
    </xf>
    <xf numFmtId="0" fontId="3" fillId="0" borderId="1" xfId="85" applyFont="1" applyBorder="1" applyAlignment="1" applyProtection="1">
      <alignment horizontal="center" vertical="center" wrapText="1"/>
      <protection locked="0"/>
    </xf>
    <xf numFmtId="0" fontId="35" fillId="0" borderId="22" xfId="87" applyFont="1" applyBorder="1" applyAlignment="1" applyProtection="1">
      <alignment horizontal="left" vertical="center" wrapText="1"/>
      <protection locked="0"/>
    </xf>
    <xf numFmtId="0" fontId="0" fillId="0" borderId="22" xfId="0" applyBorder="1" applyProtection="1">
      <protection locked="0"/>
    </xf>
    <xf numFmtId="49" fontId="10" fillId="3" borderId="1" xfId="85" applyNumberFormat="1" applyFont="1" applyFill="1" applyBorder="1" applyAlignment="1" applyProtection="1">
      <alignment horizontal="center" vertical="center"/>
      <protection locked="0"/>
    </xf>
    <xf numFmtId="0" fontId="35" fillId="2" borderId="1" xfId="87" applyFont="1" applyFill="1" applyBorder="1" applyAlignment="1" applyProtection="1">
      <alignment horizontal="center" vertical="center" wrapText="1"/>
      <protection locked="0"/>
    </xf>
    <xf numFmtId="0" fontId="10" fillId="3" borderId="1" xfId="701" applyFont="1" applyFill="1" applyBorder="1" applyAlignment="1" applyProtection="1">
      <alignment horizontal="center" vertical="center" wrapText="1"/>
      <protection locked="0"/>
    </xf>
    <xf numFmtId="0" fontId="10" fillId="3" borderId="1" xfId="701" applyFont="1" applyFill="1" applyBorder="1" applyAlignment="1" applyProtection="1">
      <alignment horizontal="center" vertical="center"/>
      <protection locked="0"/>
    </xf>
    <xf numFmtId="234" fontId="33" fillId="0" borderId="0" xfId="844" applyFont="1" applyAlignment="1">
      <alignment horizontal="left" vertical="center"/>
    </xf>
    <xf numFmtId="49" fontId="3" fillId="0" borderId="1" xfId="85" applyNumberFormat="1" applyFont="1" applyBorder="1" applyAlignment="1" applyProtection="1">
      <alignment horizontal="center" vertical="center"/>
      <protection locked="0"/>
    </xf>
    <xf numFmtId="0" fontId="3" fillId="0" borderId="1" xfId="81" applyFont="1" applyBorder="1" applyAlignment="1" applyProtection="1">
      <alignment horizontal="left" vertical="center" wrapText="1"/>
      <protection locked="0"/>
    </xf>
    <xf numFmtId="0" fontId="36" fillId="0" borderId="1" xfId="85" applyFont="1" applyBorder="1" applyAlignment="1" applyProtection="1">
      <alignment horizontal="center" vertical="center" wrapText="1"/>
    </xf>
    <xf numFmtId="234" fontId="36" fillId="0" borderId="1" xfId="839" applyFont="1" applyBorder="1" applyAlignment="1" applyProtection="1">
      <alignment horizontal="center" vertical="center" wrapText="1"/>
    </xf>
    <xf numFmtId="234" fontId="55" fillId="0" borderId="1" xfId="839" applyFont="1" applyBorder="1" applyAlignment="1" applyProtection="1">
      <alignment horizontal="center" vertical="center" wrapText="1"/>
    </xf>
    <xf numFmtId="0" fontId="3" fillId="0" borderId="1" xfId="701" applyFont="1" applyBorder="1" applyAlignment="1" applyProtection="1">
      <alignment horizontal="center" vertical="center" wrapText="1"/>
      <protection locked="0"/>
    </xf>
    <xf numFmtId="49" fontId="18" fillId="0" borderId="1" xfId="85" applyNumberFormat="1" applyFont="1" applyBorder="1" applyAlignment="1" applyProtection="1">
      <alignment horizontal="left" vertical="center" wrapText="1"/>
      <protection locked="0"/>
    </xf>
    <xf numFmtId="0" fontId="36" fillId="0" borderId="1" xfId="81" applyFont="1" applyBorder="1" applyAlignment="1">
      <alignment horizontal="center" vertical="center" wrapText="1"/>
    </xf>
    <xf numFmtId="234" fontId="3" fillId="0" borderId="1" xfId="839" applyFont="1" applyBorder="1" applyAlignment="1" applyProtection="1">
      <alignment horizontal="center" vertical="center"/>
      <protection locked="0"/>
    </xf>
    <xf numFmtId="0" fontId="3" fillId="0" borderId="1" xfId="81" applyFont="1" applyBorder="1" applyAlignment="1" applyProtection="1">
      <alignment horizontal="center" vertical="center" wrapText="1"/>
      <protection locked="0"/>
    </xf>
    <xf numFmtId="0" fontId="34" fillId="0" borderId="1" xfId="81" applyFont="1" applyBorder="1" applyAlignment="1" applyProtection="1">
      <alignment horizontal="center" vertical="center" wrapText="1"/>
      <protection locked="0"/>
    </xf>
    <xf numFmtId="0" fontId="11" fillId="14" borderId="0" xfId="836" applyFont="1" applyFill="1" applyAlignment="1" applyProtection="1">
      <alignment horizontal="left" vertical="center" wrapText="1"/>
      <protection locked="0"/>
    </xf>
    <xf numFmtId="49" fontId="3" fillId="0" borderId="5" xfId="85" applyNumberFormat="1" applyFont="1" applyBorder="1" applyAlignment="1" applyProtection="1">
      <alignment horizontal="left" vertical="center" wrapText="1"/>
      <protection locked="0"/>
    </xf>
    <xf numFmtId="0" fontId="10" fillId="0" borderId="1" xfId="81" applyFont="1" applyBorder="1" applyAlignment="1" applyProtection="1">
      <alignment horizontal="center" vertical="center" wrapText="1"/>
      <protection locked="0"/>
    </xf>
    <xf numFmtId="234" fontId="66" fillId="14" borderId="17" xfId="839" applyFont="1" applyFill="1" applyBorder="1" applyAlignment="1" applyProtection="1">
      <alignment horizontal="left" vertical="center" wrapText="1"/>
      <protection locked="0"/>
    </xf>
    <xf numFmtId="0" fontId="18" fillId="0" borderId="1" xfId="81" applyFont="1" applyBorder="1" applyAlignment="1" applyProtection="1">
      <alignment horizontal="left" vertical="center" wrapText="1"/>
      <protection locked="0"/>
    </xf>
    <xf numFmtId="49" fontId="3" fillId="0" borderId="1" xfId="1" applyNumberFormat="1" applyFont="1" applyBorder="1" applyAlignment="1" applyProtection="1">
      <alignment horizontal="left" vertical="center" wrapText="1"/>
      <protection locked="0"/>
    </xf>
    <xf numFmtId="0" fontId="10" fillId="0" borderId="1" xfId="701" applyFont="1" applyBorder="1" applyAlignment="1" applyProtection="1">
      <alignment horizontal="center" vertical="center"/>
      <protection locked="0"/>
    </xf>
    <xf numFmtId="234" fontId="36" fillId="0" borderId="1" xfId="842" applyFont="1" applyBorder="1" applyAlignment="1">
      <alignment vertical="center" wrapText="1"/>
    </xf>
    <xf numFmtId="0" fontId="3" fillId="0" borderId="6" xfId="81" applyFont="1" applyBorder="1" applyAlignment="1" applyProtection="1">
      <alignment horizontal="center" vertical="center" wrapText="1"/>
      <protection locked="0"/>
    </xf>
    <xf numFmtId="0" fontId="3" fillId="0" borderId="8" xfId="81" applyFont="1" applyBorder="1" applyAlignment="1" applyProtection="1">
      <alignment horizontal="center" vertical="center" wrapText="1"/>
      <protection locked="0"/>
    </xf>
    <xf numFmtId="0" fontId="33" fillId="0" borderId="0" xfId="77" applyFont="1" applyAlignment="1">
      <alignment vertical="center"/>
    </xf>
    <xf numFmtId="0" fontId="18" fillId="0" borderId="1" xfId="85" applyFont="1" applyBorder="1" applyAlignment="1" applyProtection="1">
      <alignment horizontal="left" vertical="center" wrapText="1"/>
      <protection locked="0"/>
    </xf>
    <xf numFmtId="0" fontId="36" fillId="0" borderId="7" xfId="81" applyFont="1" applyBorder="1" applyAlignment="1">
      <alignment horizontal="center" vertical="center" wrapText="1"/>
    </xf>
    <xf numFmtId="0" fontId="3" fillId="0" borderId="1" xfId="85" applyFont="1" applyBorder="1" applyAlignment="1" applyProtection="1">
      <alignment vertical="center" wrapText="1"/>
      <protection locked="0"/>
    </xf>
    <xf numFmtId="0" fontId="3" fillId="0" borderId="8" xfId="85" applyFont="1" applyBorder="1" applyAlignment="1" applyProtection="1">
      <alignment vertical="center" wrapText="1"/>
      <protection locked="0"/>
    </xf>
    <xf numFmtId="234" fontId="80" fillId="0" borderId="1" xfId="839" applyFont="1" applyBorder="1" applyAlignment="1" applyProtection="1">
      <alignment horizontal="center" vertical="center" wrapText="1"/>
    </xf>
    <xf numFmtId="0" fontId="18" fillId="0" borderId="5" xfId="85" applyFont="1" applyBorder="1" applyAlignment="1" applyProtection="1">
      <alignment horizontal="left" vertical="center" wrapText="1"/>
      <protection locked="0"/>
    </xf>
    <xf numFmtId="49" fontId="3" fillId="0" borderId="1" xfId="1" applyNumberFormat="1" applyFont="1" applyBorder="1" applyAlignment="1" applyProtection="1">
      <alignment horizontal="center" vertical="center" wrapText="1"/>
      <protection locked="0"/>
    </xf>
    <xf numFmtId="241" fontId="3" fillId="0" borderId="0" xfId="0" applyNumberFormat="1" applyFont="1" applyProtection="1">
      <protection locked="0"/>
    </xf>
    <xf numFmtId="0" fontId="3" fillId="0" borderId="0" xfId="0" applyFont="1" applyAlignment="1" applyProtection="1">
      <alignment horizontal="center"/>
      <protection locked="0"/>
    </xf>
    <xf numFmtId="241" fontId="3" fillId="0" borderId="0" xfId="0" applyNumberFormat="1" applyFont="1" applyAlignment="1" applyProtection="1">
      <alignment vertical="center"/>
      <protection locked="0"/>
    </xf>
    <xf numFmtId="0" fontId="3" fillId="15" borderId="0" xfId="0" applyFont="1" applyFill="1" applyAlignment="1" applyProtection="1">
      <alignment horizontal="justify" vertical="center" wrapText="1"/>
      <protection locked="0"/>
    </xf>
    <xf numFmtId="0" fontId="3" fillId="0" borderId="0" xfId="0" applyFont="1" applyAlignment="1" applyProtection="1">
      <alignment horizontal="justify" wrapText="1"/>
      <protection locked="0"/>
    </xf>
    <xf numFmtId="0" fontId="10" fillId="16" borderId="16" xfId="841" applyFont="1" applyFill="1" applyBorder="1" applyAlignment="1" applyProtection="1">
      <alignment horizontal="center" vertical="center"/>
      <protection locked="0"/>
    </xf>
    <xf numFmtId="0" fontId="3" fillId="0" borderId="0" xfId="0" applyFont="1" applyAlignment="1" applyProtection="1">
      <alignment horizontal="justify" vertical="center" wrapText="1"/>
      <protection locked="0"/>
    </xf>
    <xf numFmtId="241" fontId="3" fillId="0" borderId="16" xfId="0" applyNumberFormat="1" applyFont="1" applyBorder="1" applyAlignment="1" applyProtection="1">
      <alignment horizontal="center" vertical="center" wrapText="1"/>
      <protection locked="0"/>
    </xf>
    <xf numFmtId="0" fontId="72" fillId="0" borderId="16" xfId="6" applyFont="1" applyBorder="1" applyAlignment="1" applyProtection="1">
      <alignment vertical="center"/>
      <protection locked="0"/>
    </xf>
    <xf numFmtId="0" fontId="3" fillId="0" borderId="16"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3" fillId="0" borderId="16" xfId="0" applyFont="1" applyBorder="1" applyAlignment="1" applyProtection="1">
      <alignment vertical="center"/>
      <protection locked="0"/>
    </xf>
    <xf numFmtId="0" fontId="7" fillId="0" borderId="16" xfId="6" applyFont="1" applyBorder="1" applyAlignment="1" applyProtection="1">
      <alignment vertical="center"/>
      <protection locked="0"/>
    </xf>
    <xf numFmtId="0" fontId="52" fillId="17" borderId="0" xfId="0" applyFont="1" applyFill="1" applyAlignment="1" applyProtection="1">
      <alignment vertical="center"/>
    </xf>
    <xf numFmtId="0" fontId="53" fillId="18" borderId="0" xfId="0" applyFont="1" applyFill="1" applyAlignment="1" applyProtection="1">
      <alignment vertical="center"/>
    </xf>
    <xf numFmtId="0" fontId="31" fillId="0" borderId="0" xfId="0" applyFont="1" applyAlignment="1" applyProtection="1">
      <alignment horizontal="left" vertical="center" wrapText="1"/>
      <protection locked="0"/>
    </xf>
    <xf numFmtId="0" fontId="1" fillId="0" borderId="0" xfId="0" applyFont="1" applyAlignment="1" applyProtection="1">
      <alignment horizontal="left" vertical="center" wrapText="1"/>
      <protection locked="0"/>
    </xf>
  </cellXfs>
  <cellStyles count="84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c-资产类" xfId="49"/>
    <cellStyle name="常规_新审定表" xfId="50"/>
    <cellStyle name="@_text" xfId="51"/>
    <cellStyle name="{Comma [0]}" xfId="52"/>
    <cellStyle name="{Comma}" xfId="53"/>
    <cellStyle name="{Date}" xfId="54"/>
    <cellStyle name="{Month}" xfId="55"/>
    <cellStyle name="{Percent}" xfId="56"/>
    <cellStyle name="{Thousand [0]}" xfId="57"/>
    <cellStyle name="{Thousand}" xfId="58"/>
    <cellStyle name="{Z'0000(1 dec)}" xfId="59"/>
    <cellStyle name="{Z'0000(4 dec)}" xfId="60"/>
    <cellStyle name="Black" xfId="61"/>
    <cellStyle name="Border" xfId="62"/>
    <cellStyle name="Dezimal [0]_laroux" xfId="63"/>
    <cellStyle name="Dezimal_laroux" xfId="64"/>
    <cellStyle name="Euro" xfId="65"/>
    <cellStyle name="Followed Hyperlink_AheadBehind.xls Chart 23" xfId="66"/>
    <cellStyle name="Grey" xfId="67"/>
    <cellStyle name="Hyperlink_AheadBehind.xls Chart 23" xfId="68"/>
    <cellStyle name="Input [yellow]" xfId="69"/>
    <cellStyle name="Non défini" xfId="70"/>
    <cellStyle name="Normal - Style1" xfId="71"/>
    <cellStyle name="Percent [2]" xfId="72"/>
    <cellStyle name="Red" xfId="73"/>
    <cellStyle name="常规 2" xfId="74"/>
    <cellStyle name="常规 3" xfId="75"/>
    <cellStyle name="常规_Book1" xfId="76"/>
    <cellStyle name="常规_制造费用" xfId="77"/>
    <cellStyle name="常规_进一步审计程序--销售与收款循环" xfId="78"/>
    <cellStyle name="常规_sheet" xfId="79"/>
    <cellStyle name="常规 4" xfId="80"/>
    <cellStyle name="常规 5" xfId="81"/>
    <cellStyle name="常规 2 2" xfId="82"/>
    <cellStyle name="常规 3 3" xfId="83"/>
    <cellStyle name="千位分隔 2 4" xfId="84"/>
    <cellStyle name="常规 6" xfId="85"/>
    <cellStyle name="常规 3 2 3" xfId="86"/>
    <cellStyle name="常规 7" xfId="87"/>
    <cellStyle name="常规_新审定表 2" xfId="88"/>
    <cellStyle name="常规 3 3 3" xfId="89"/>
    <cellStyle name="千位分隔 2 4 2" xfId="90"/>
    <cellStyle name="常规 2 10" xfId="91"/>
    <cellStyle name="常规 4 2 2" xfId="92"/>
    <cellStyle name="_x000a_mouse.drv=lm" xfId="93"/>
    <cellStyle name="%" xfId="94"/>
    <cellStyle name="% 2" xfId="95"/>
    <cellStyle name="?" xfId="96"/>
    <cellStyle name="? 2" xfId="97"/>
    <cellStyle name="? 3" xfId="98"/>
    <cellStyle name="??" xfId="99"/>
    <cellStyle name="?? [0]" xfId="100"/>
    <cellStyle name="??_0N-HANDLING " xfId="101"/>
    <cellStyle name="?餡_x000c_k" xfId="102"/>
    <cellStyle name="?餡_x000c_k 2" xfId="103"/>
    <cellStyle name="?餡_x000c_k 3" xfId="104"/>
    <cellStyle name="?餡_x000c_k?_x000d_^" xfId="105"/>
    <cellStyle name="?餡_x000c_k?_x000d_^ 2" xfId="106"/>
    <cellStyle name="?餡_x000c_k?_x000d_^ 3" xfId="107"/>
    <cellStyle name="?餡_x000c_k?_x000d_^黇_x0001_??_x0007__x0001__x0001_" xfId="108"/>
    <cellStyle name="?餡_x000c_k?_x000d_^黇_x0001_??_x0007__x0001__x0001_ 2" xfId="109"/>
    <cellStyle name="?餡_x000c_k?_x000d_^黇_x0001_??_x0007__x0001__x0001_ 3" xfId="110"/>
    <cellStyle name="@_text_子公司附注汇总(房开公司)" xfId="111"/>
    <cellStyle name="_(本部)2006年年报审计PBC表" xfId="112"/>
    <cellStyle name="_07930建造合同" xfId="113"/>
    <cellStyle name="_12月项目部访问及审计-德勤" xfId="114"/>
    <cellStyle name="_2005-08-31审计底稿－李" xfId="115"/>
    <cellStyle name="_2005年工作底稿" xfId="116"/>
    <cellStyle name="_2005年工作底稿_3-2-A1B-银行存款" xfId="117"/>
    <cellStyle name="_2005年工作底稿_3-2-Z17A-固定资产" xfId="118"/>
    <cellStyle name="_2005年工作底稿_Sheet1" xfId="119"/>
    <cellStyle name="_2005审计报表及附注-中国建材股份模板（房屋）" xfId="120"/>
    <cellStyle name="_2005审计报表及附注-中国建材股份模板（房屋） 2" xfId="121"/>
    <cellStyle name="_2005审计报表及附注-中国建材股份模板（房屋） 3" xfId="122"/>
    <cellStyle name="_2006年年报审计PBC表（合并）" xfId="123"/>
    <cellStyle name="_2006年年报审计PBC表-XX" xfId="124"/>
    <cellStyle name="_2006年年报审计PBC表-XXX" xfId="125"/>
    <cellStyle name="_2006年年报审计PBC表-XXX 2" xfId="126"/>
    <cellStyle name="_2006年年报审计PBC表-XXX 3" xfId="127"/>
    <cellStyle name="_2006年年报审计PBC表-福州分公司" xfId="128"/>
    <cellStyle name="_2006年年报审计PBC表-云南分公司" xfId="129"/>
    <cellStyle name="_2006年年报审计填报资料" xfId="130"/>
    <cellStyle name="_2006年年报审计填报资料 2" xfId="131"/>
    <cellStyle name="_2006年年报审计填报资料 3" xfId="132"/>
    <cellStyle name="_2007调整分录-鲁佳" xfId="133"/>
    <cellStyle name="_3-2-A22-无形资产" xfId="134"/>
    <cellStyle name="_3-2-A4-应收账款" xfId="135"/>
    <cellStyle name="_A17固定资产" xfId="136"/>
    <cellStyle name="_A23无形资产" xfId="137"/>
    <cellStyle name="_A3应收票据" xfId="138"/>
    <cellStyle name="_A6应收账款" xfId="139"/>
    <cellStyle name="_A6应收账款_3-2-A1B-银行存款" xfId="140"/>
    <cellStyle name="_A6应收账款_3-2-Z17A-固定资产" xfId="141"/>
    <cellStyle name="_A6应收账款_Sheet1" xfId="142"/>
    <cellStyle name="_B10其他未交款" xfId="143"/>
    <cellStyle name="_B13预收账款2005" xfId="144"/>
    <cellStyle name="_B6应付工资" xfId="145"/>
    <cellStyle name="_B7应付福利费" xfId="146"/>
    <cellStyle name="_B9应交税金2005" xfId="147"/>
    <cellStyle name="_Book1" xfId="148"/>
    <cellStyle name="_Book1 2" xfId="149"/>
    <cellStyle name="_Book1 3" xfId="150"/>
    <cellStyle name="_CREC(Huo" xfId="151"/>
    <cellStyle name="_D11营业外支出" xfId="152"/>
    <cellStyle name="_D12所得税2005" xfId="153"/>
    <cellStyle name="_D1主营业务收入" xfId="154"/>
    <cellStyle name="_D3主营业务税金及附加" xfId="155"/>
    <cellStyle name="_D4其他业务利润" xfId="156"/>
    <cellStyle name="_ET_STYLE_NoName_00_" xfId="157"/>
    <cellStyle name="_ET_STYLE_NoName_00__2007调整分录-鲁佳" xfId="158"/>
    <cellStyle name="_ET_STYLE_NoName_00__股份本部" xfId="159"/>
    <cellStyle name="_ET_STYLE_NoName_00__股份本部_1" xfId="160"/>
    <cellStyle name="_ET_STYLE_NoName_00__股份本部_3" xfId="161"/>
    <cellStyle name="_ET_STYLE_NoName_00__股份本部_6_股份本部_2" xfId="162"/>
    <cellStyle name="_ET_STYLE_NoName_00__股份本部_7_股份本部_3" xfId="163"/>
    <cellStyle name="_J1000-存货-ZHHG" xfId="164"/>
    <cellStyle name="_PBC审核提示" xfId="165"/>
    <cellStyle name="_PBC审核提示 2" xfId="166"/>
    <cellStyle name="_PBC审核提示 3" xfId="167"/>
    <cellStyle name="_Sheet1" xfId="168"/>
    <cellStyle name="_宝丽华房地产20051231" xfId="169"/>
    <cellStyle name="_宝丽华房地产20051231 2" xfId="170"/>
    <cellStyle name="_宝丽华房地产20051231 3" xfId="171"/>
    <cellStyle name="_保证金-企业填写部分" xfId="172"/>
    <cellStyle name="_保证金-企业填写部分 2" xfId="173"/>
    <cellStyle name="_保证金-企业填写部分 3" xfId="174"/>
    <cellStyle name="_北新房屋2004年审-刘" xfId="175"/>
    <cellStyle name="_北新房屋2004年审-刘 2" xfId="176"/>
    <cellStyle name="_北新房屋2004年审-刘 3" xfId="177"/>
    <cellStyle name="_北新股份2005年审工作底稿" xfId="178"/>
    <cellStyle name="_北新股份2005年审工作底稿 2" xfId="179"/>
    <cellStyle name="_北新股份2005年审工作底稿 3" xfId="180"/>
    <cellStyle name="_北新建材关连交易基础表051230（10－12月版）更新稿" xfId="181"/>
    <cellStyle name="_北新建材关连交易基础表051230（10－12月版）更新稿 2" xfId="182"/>
    <cellStyle name="_北新建材关连交易基础表051230（10－12月版）更新稿 3" xfId="183"/>
    <cellStyle name="_北新建材-会计报表附注模版" xfId="184"/>
    <cellStyle name="_北新建材-会计报表附注模版 2" xfId="185"/>
    <cellStyle name="_北新建材-会计报表附注模版 3" xfId="186"/>
    <cellStyle name="_北新龙之星2004年审工作底稿" xfId="187"/>
    <cellStyle name="_北新龙之星2004年审工作底稿 2" xfId="188"/>
    <cellStyle name="_北新龙之星2004年审工作底稿 3" xfId="189"/>
    <cellStyle name="_北新物流2005底稿-刘" xfId="190"/>
    <cellStyle name="_北新物流2005底稿-刘 2" xfId="191"/>
    <cellStyle name="_北新物流2005底稿-刘 3" xfId="192"/>
    <cellStyle name="_北新置换memo" xfId="193"/>
    <cellStyle name="_北新置换memo 2" xfId="194"/>
    <cellStyle name="_北新置换memo 3" xfId="195"/>
    <cellStyle name="_本部其他应收应付年审底稿--鲁佳pb" xfId="196"/>
    <cellStyle name="_存货结转测试" xfId="197"/>
    <cellStyle name="_存货结转测试 2" xfId="198"/>
    <cellStyle name="_存货结转测试 3" xfId="199"/>
    <cellStyle name="_存货数量与明细05.12" xfId="200"/>
    <cellStyle name="_存货数量与明细05.12 2" xfId="201"/>
    <cellStyle name="_存货数量与明细05.12 3" xfId="202"/>
    <cellStyle name="_动力厂2004年审工作底稿-刘" xfId="203"/>
    <cellStyle name="_动力厂2004年审工作底稿-刘 2" xfId="204"/>
    <cellStyle name="_动力厂2004年审工作底稿-刘 3" xfId="205"/>
    <cellStyle name="_分工" xfId="206"/>
    <cellStyle name="_分工 2" xfId="207"/>
    <cellStyle name="_分工 3" xfId="208"/>
    <cellStyle name="_封面" xfId="209"/>
    <cellStyle name="_工程施工项目现场审计提示" xfId="210"/>
    <cellStyle name="_工程施工项目现场审计提示 2" xfId="211"/>
    <cellStyle name="_工程施工项目现场审计提示 3" xfId="212"/>
    <cellStyle name="_公司填表" xfId="213"/>
    <cellStyle name="_公司填表-2005蔡" xfId="214"/>
    <cellStyle name="_公司填表-2005李志刚" xfId="215"/>
    <cellStyle name="_公司填表2005-吴" xfId="216"/>
    <cellStyle name="_公司填表2005-吴_3-2-A1B-银行存款" xfId="217"/>
    <cellStyle name="_公司填表2005-吴_3-2-Z17A-固定资产" xfId="218"/>
    <cellStyle name="_公司填表2005-吴_Sheet1" xfId="219"/>
    <cellStyle name="_公司填表2005-修改" xfId="220"/>
    <cellStyle name="_公司填表2005-修改_3-2-A1B-银行存款" xfId="221"/>
    <cellStyle name="_公司填表2005-修改_3-2-Z17A-固定资产" xfId="222"/>
    <cellStyle name="_公司填表2005-修改_Sheet1" xfId="223"/>
    <cellStyle name="_公司填表2005-修改后" xfId="224"/>
    <cellStyle name="_公司填表2005-修改后_3-2-A1B-银行存款" xfId="225"/>
    <cellStyle name="_公司填表2005-修改后_3-2-Z17A-固定资产" xfId="226"/>
    <cellStyle name="_公司填表2005-修改后_Sheet1" xfId="227"/>
    <cellStyle name="_公司填表-2005杨" xfId="228"/>
    <cellStyle name="_关联交易" xfId="229"/>
    <cellStyle name="_关联交易 2" xfId="230"/>
    <cellStyle name="_关联交易 3" xfId="231"/>
    <cellStyle name="_关联交易、往来统计表" xfId="232"/>
    <cellStyle name="_关联交易、往来统计表 2" xfId="233"/>
    <cellStyle name="_关联交易、往来统计表 3" xfId="234"/>
    <cellStyle name="_合并报表审计调整模板(CREC)" xfId="235"/>
    <cellStyle name="_合并公司2006年度科目明细表(定稿)" xfId="236"/>
    <cellStyle name="_建造合同-宜万指（正式版）" xfId="237"/>
    <cellStyle name="_建造合同-宜万指（正式版） 2" xfId="238"/>
    <cellStyle name="_建造合同-宜万指（正式版） 3" xfId="239"/>
    <cellStyle name="_科目核对表" xfId="240"/>
    <cellStyle name="_科目核对表 2" xfId="241"/>
    <cellStyle name="_科目核对表 3" xfId="242"/>
    <cellStyle name="_刘青分工填列信息统计" xfId="243"/>
    <cellStyle name="_刘青分工－子公司审计模板-电务" xfId="244"/>
    <cellStyle name="_刘青分工－子公司审计模板－铁达本部" xfId="245"/>
    <cellStyle name="_母PL" xfId="246"/>
    <cellStyle name="_母PL 2" xfId="247"/>
    <cellStyle name="_母PL 3" xfId="248"/>
    <cellStyle name="_母公司底稿-鲁佳" xfId="249"/>
    <cellStyle name="_年审筹资循环资料清单" xfId="250"/>
    <cellStyle name="_凭证抽查-05年" xfId="251"/>
    <cellStyle name="_人员分工备忘录" xfId="252"/>
    <cellStyle name="_人员分工备忘录 2" xfId="253"/>
    <cellStyle name="_人员分工备忘录 3" xfId="254"/>
    <cellStyle name="_审计底稿-轩" xfId="255"/>
    <cellStyle name="_审计所需资料清单－子公司" xfId="256"/>
    <cellStyle name="_审计所需资料清单－子公司 2" xfId="257"/>
    <cellStyle name="_审计所需资料清单－子公司 3" xfId="258"/>
    <cellStyle name="_审计提示模版" xfId="259"/>
    <cellStyle name="_审计提示模版-母公司部分" xfId="260"/>
    <cellStyle name="_铁鸿源－刘青分工－子公司审计模板" xfId="261"/>
    <cellStyle name="_兴华审计成本" xfId="262"/>
    <cellStyle name="_岩土长投--急0121报王占学" xfId="263"/>
    <cellStyle name="_一公司建造合同前5名" xfId="264"/>
    <cellStyle name="_一公司建造合同前5名 2" xfId="265"/>
    <cellStyle name="_一公司建造合同前5名 3" xfId="266"/>
    <cellStyle name="_一公司－刘丰收" xfId="267"/>
    <cellStyle name="_一公司－刘丰收 2" xfId="268"/>
    <cellStyle name="_一公司－刘丰收 3" xfId="269"/>
    <cellStyle name="_银行询证函统计－大表" xfId="270"/>
    <cellStyle name="_应收账款账龄--04、05" xfId="271"/>
    <cellStyle name="_长期借款－江阴" xfId="272"/>
    <cellStyle name="_长期借款－江阴 2" xfId="273"/>
    <cellStyle name="_长期借款－江阴 3" xfId="274"/>
    <cellStyle name="_子公司筹资循环－刘青" xfId="275"/>
    <cellStyle name="_子公司审计提示模版-Liufs" xfId="276"/>
    <cellStyle name="_子公司审计提示模版-Liufs 2" xfId="277"/>
    <cellStyle name="_子公司审计提示模版-Liufs 3" xfId="278"/>
    <cellStyle name="_子公司填表" xfId="279"/>
    <cellStyle name="0%" xfId="280"/>
    <cellStyle name="0,0_x000d__x000a_NA_x000d__x000a_" xfId="281"/>
    <cellStyle name="0.0%" xfId="282"/>
    <cellStyle name="0.00%" xfId="283"/>
    <cellStyle name="00" xfId="284"/>
    <cellStyle name="20% - Accent1" xfId="285"/>
    <cellStyle name="20% - Accent2" xfId="286"/>
    <cellStyle name="20% - Accent3" xfId="287"/>
    <cellStyle name="20% - Accent4" xfId="288"/>
    <cellStyle name="20% - Accent5" xfId="289"/>
    <cellStyle name="20% - Accent6" xfId="290"/>
    <cellStyle name="40% - Accent1" xfId="291"/>
    <cellStyle name="40% - Accent2" xfId="292"/>
    <cellStyle name="40% - Accent3" xfId="293"/>
    <cellStyle name="40% - Accent4" xfId="294"/>
    <cellStyle name="40% - Accent5" xfId="295"/>
    <cellStyle name="40% - Accent6" xfId="296"/>
    <cellStyle name="60% - Accent1" xfId="297"/>
    <cellStyle name="60% - Accent2" xfId="298"/>
    <cellStyle name="60% - Accent3" xfId="299"/>
    <cellStyle name="60% - Accent4" xfId="300"/>
    <cellStyle name="60% - Accent5" xfId="301"/>
    <cellStyle name="60% - Accent6" xfId="302"/>
    <cellStyle name="AA FRAME" xfId="303"/>
    <cellStyle name="AA FRAME 2" xfId="304"/>
    <cellStyle name="AA FRAME 2 2" xfId="305"/>
    <cellStyle name="AA HEADING" xfId="306"/>
    <cellStyle name="AA INITIALS" xfId="307"/>
    <cellStyle name="AA INPUT" xfId="308"/>
    <cellStyle name="AA LOCK" xfId="309"/>
    <cellStyle name="AA MGR NAME" xfId="310"/>
    <cellStyle name="AA NORMAL" xfId="311"/>
    <cellStyle name="AA NUMBER" xfId="312"/>
    <cellStyle name="AA NUMBER2" xfId="313"/>
    <cellStyle name="AA QUESTION" xfId="314"/>
    <cellStyle name="AA SHADE" xfId="315"/>
    <cellStyle name="Accent1" xfId="316"/>
    <cellStyle name="Accent1 - 20%" xfId="317"/>
    <cellStyle name="Accent1 - 40%" xfId="318"/>
    <cellStyle name="Accent1 - 60%" xfId="319"/>
    <cellStyle name="Accent2" xfId="320"/>
    <cellStyle name="Accent2 - 20%" xfId="321"/>
    <cellStyle name="Accent2 - 40%" xfId="322"/>
    <cellStyle name="Accent2 - 60%" xfId="323"/>
    <cellStyle name="Accent3" xfId="324"/>
    <cellStyle name="Accent3 - 20%" xfId="325"/>
    <cellStyle name="Accent3 - 40%" xfId="326"/>
    <cellStyle name="Accent3 - 60%" xfId="327"/>
    <cellStyle name="Accent4" xfId="328"/>
    <cellStyle name="Accent4 - 20%" xfId="329"/>
    <cellStyle name="Accent4 - 40%" xfId="330"/>
    <cellStyle name="Accent4 - 60%" xfId="331"/>
    <cellStyle name="Accent5" xfId="332"/>
    <cellStyle name="Accent5 - 20%" xfId="333"/>
    <cellStyle name="Accent5 - 40%" xfId="334"/>
    <cellStyle name="Accent5 - 60%" xfId="335"/>
    <cellStyle name="Accent6" xfId="336"/>
    <cellStyle name="Accent6 - 20%" xfId="337"/>
    <cellStyle name="Accent6 - 40%" xfId="338"/>
    <cellStyle name="Accent6 - 60%" xfId="339"/>
    <cellStyle name="args.style" xfId="340"/>
    <cellStyle name="Bad" xfId="341"/>
    <cellStyle name="Border 2" xfId="342"/>
    <cellStyle name="Border 2 2" xfId="343"/>
    <cellStyle name="Calc Currency (0)" xfId="344"/>
    <cellStyle name="Calc Currency (0) 2" xfId="345"/>
    <cellStyle name="Calc Currency (2)" xfId="346"/>
    <cellStyle name="Calc Percent (0)" xfId="347"/>
    <cellStyle name="Calc Percent (1)" xfId="348"/>
    <cellStyle name="Calc Percent (2)" xfId="349"/>
    <cellStyle name="Calc Units (0)" xfId="350"/>
    <cellStyle name="Calc Units (1)" xfId="351"/>
    <cellStyle name="Calc Units (2)" xfId="352"/>
    <cellStyle name="Calculation" xfId="353"/>
    <cellStyle name="category" xfId="354"/>
    <cellStyle name="Check Cell" xfId="355"/>
    <cellStyle name="Col Heads" xfId="356"/>
    <cellStyle name="Column_Title" xfId="357"/>
    <cellStyle name="Comma  - Style1" xfId="358"/>
    <cellStyle name="Comma  - Style2" xfId="359"/>
    <cellStyle name="Comma  - Style3" xfId="360"/>
    <cellStyle name="Comma  - Style4" xfId="361"/>
    <cellStyle name="Comma  - Style5" xfId="362"/>
    <cellStyle name="Comma  - Style6" xfId="363"/>
    <cellStyle name="Comma  - Style7" xfId="364"/>
    <cellStyle name="Comma  - Style8" xfId="365"/>
    <cellStyle name="Comma [0]" xfId="366"/>
    <cellStyle name="Comma [00]" xfId="367"/>
    <cellStyle name="Comma 28" xfId="368"/>
    <cellStyle name="Comma 28 2" xfId="369"/>
    <cellStyle name="comma zerodec" xfId="370"/>
    <cellStyle name="Comma,0" xfId="371"/>
    <cellStyle name="Comma,1" xfId="372"/>
    <cellStyle name="Comma,2" xfId="373"/>
    <cellStyle name="Comma_ rislugp" xfId="374"/>
    <cellStyle name="Copied" xfId="375"/>
    <cellStyle name="COST1" xfId="376"/>
    <cellStyle name="Currency [0]" xfId="377"/>
    <cellStyle name="Currency [00]" xfId="378"/>
    <cellStyle name="Currency,0" xfId="379"/>
    <cellStyle name="Currency,2" xfId="380"/>
    <cellStyle name="Currency_ rislugp" xfId="381"/>
    <cellStyle name="Currency1" xfId="382"/>
    <cellStyle name="Date" xfId="383"/>
    <cellStyle name="Date 2" xfId="384"/>
    <cellStyle name="Date Short" xfId="385"/>
    <cellStyle name="Date_ A1-货币资金审定表" xfId="386"/>
    <cellStyle name="Dollar (zero dec)" xfId="387"/>
    <cellStyle name="E&amp;Y House" xfId="388"/>
    <cellStyle name="Enter Currency (0)" xfId="389"/>
    <cellStyle name="Enter Currency (2)" xfId="390"/>
    <cellStyle name="Enter Units (0)" xfId="391"/>
    <cellStyle name="Enter Units (1)" xfId="392"/>
    <cellStyle name="Enter Units (2)" xfId="393"/>
    <cellStyle name="Entered" xfId="394"/>
    <cellStyle name="entry" xfId="395"/>
    <cellStyle name="entry 2" xfId="396"/>
    <cellStyle name="entry 3" xfId="397"/>
    <cellStyle name="entry box" xfId="398"/>
    <cellStyle name="entry box 2" xfId="399"/>
    <cellStyle name="entry box 2 2" xfId="400"/>
    <cellStyle name="entry box 2 2 2" xfId="401"/>
    <cellStyle name="entry box 3" xfId="402"/>
    <cellStyle name="entry box 4" xfId="403"/>
    <cellStyle name="entry box 4 2" xfId="404"/>
    <cellStyle name="Explanatory Text" xfId="405"/>
    <cellStyle name="F2" xfId="406"/>
    <cellStyle name="F3" xfId="407"/>
    <cellStyle name="F4" xfId="408"/>
    <cellStyle name="F5" xfId="409"/>
    <cellStyle name="F6" xfId="410"/>
    <cellStyle name="F7" xfId="411"/>
    <cellStyle name="F8" xfId="412"/>
    <cellStyle name="Fixed" xfId="413"/>
    <cellStyle name="Good" xfId="414"/>
    <cellStyle name="HEADER" xfId="415"/>
    <cellStyle name="Header1" xfId="416"/>
    <cellStyle name="Header1 2" xfId="417"/>
    <cellStyle name="Header1 3" xfId="418"/>
    <cellStyle name="Header2" xfId="419"/>
    <cellStyle name="Header2 2" xfId="420"/>
    <cellStyle name="Header2 3" xfId="421"/>
    <cellStyle name="Heading" xfId="422"/>
    <cellStyle name="Heading 1" xfId="423"/>
    <cellStyle name="Heading 2" xfId="424"/>
    <cellStyle name="Heading 3" xfId="425"/>
    <cellStyle name="Heading 4" xfId="426"/>
    <cellStyle name="Heading1" xfId="427"/>
    <cellStyle name="Heading2" xfId="428"/>
    <cellStyle name="Input" xfId="429"/>
    <cellStyle name="Input [yellow] 2" xfId="430"/>
    <cellStyle name="Input [yellow] 2 2" xfId="431"/>
    <cellStyle name="Input Cells" xfId="432"/>
    <cellStyle name="Input Cells 2" xfId="433"/>
    <cellStyle name="left" xfId="434"/>
    <cellStyle name="left 2" xfId="435"/>
    <cellStyle name="left 3" xfId="436"/>
    <cellStyle name="Link Currency (0)" xfId="437"/>
    <cellStyle name="Link Currency (2)" xfId="438"/>
    <cellStyle name="Link Units (0)" xfId="439"/>
    <cellStyle name="Link Units (1)" xfId="440"/>
    <cellStyle name="Link Units (2)" xfId="441"/>
    <cellStyle name="Linked Cell" xfId="442"/>
    <cellStyle name="Linked Cells" xfId="443"/>
    <cellStyle name="Linked Cells 2" xfId="444"/>
    <cellStyle name="Millares [0]_laroux" xfId="445"/>
    <cellStyle name="Millares_laroux" xfId="446"/>
    <cellStyle name="Milliers [0]_!!!GO" xfId="447"/>
    <cellStyle name="Milliers_!!!GO" xfId="448"/>
    <cellStyle name="Model" xfId="449"/>
    <cellStyle name="Moneda [0]_laroux" xfId="450"/>
    <cellStyle name="Moneda_laroux" xfId="451"/>
    <cellStyle name="Monétaire [0]_!!!GO" xfId="452"/>
    <cellStyle name="Monétaire_!!!GO" xfId="453"/>
    <cellStyle name="Mon閠aire [0]_laroux" xfId="454"/>
    <cellStyle name="Mon閠aire_laroux" xfId="455"/>
    <cellStyle name="Neutral" xfId="456"/>
    <cellStyle name="New Times Roman" xfId="457"/>
    <cellStyle name="no dec" xfId="458"/>
    <cellStyle name="Normal - Style1 2" xfId="459"/>
    <cellStyle name="Normal 2" xfId="460"/>
    <cellStyle name="Normal 2 2" xfId="461"/>
    <cellStyle name="Normal 21" xfId="462"/>
    <cellStyle name="Normal 21 2" xfId="463"/>
    <cellStyle name="Normal 3 2" xfId="464"/>
    <cellStyle name="Normal_ rislugp" xfId="465"/>
    <cellStyle name="Normalny_Arkusz1" xfId="466"/>
    <cellStyle name="Note" xfId="467"/>
    <cellStyle name="Œ…‹æØ‚è [0.00]_Region Orders (2)" xfId="468"/>
    <cellStyle name="Œ…‹æØ‚è_Region Orders (2)" xfId="469"/>
    <cellStyle name="Output" xfId="470"/>
    <cellStyle name="per.style" xfId="471"/>
    <cellStyle name="Percent (0)" xfId="472"/>
    <cellStyle name="Percent [0]" xfId="473"/>
    <cellStyle name="Percent [00]" xfId="474"/>
    <cellStyle name="Percent_!!!GO" xfId="475"/>
    <cellStyle name="Pourcentage_pldt" xfId="476"/>
    <cellStyle name="Prefilled" xfId="477"/>
    <cellStyle name="Prefilled 2" xfId="478"/>
    <cellStyle name="Prefilled 2 2" xfId="479"/>
    <cellStyle name="Prefilled 2 2 2" xfId="480"/>
    <cellStyle name="Prefilled 3" xfId="481"/>
    <cellStyle name="Prefilled 4" xfId="482"/>
    <cellStyle name="Prefilled 4 2" xfId="483"/>
    <cellStyle name="PrePop Currency (0)" xfId="484"/>
    <cellStyle name="PrePop Currency (2)" xfId="485"/>
    <cellStyle name="PrePop Units (0)" xfId="486"/>
    <cellStyle name="PrePop Units (1)" xfId="487"/>
    <cellStyle name="PrePop Units (2)" xfId="488"/>
    <cellStyle name="price" xfId="489"/>
    <cellStyle name="pricing" xfId="490"/>
    <cellStyle name="pricing 2" xfId="491"/>
    <cellStyle name="PSChar" xfId="492"/>
    <cellStyle name="PSHeading" xfId="493"/>
    <cellStyle name="revised" xfId="494"/>
    <cellStyle name="RevList" xfId="495"/>
    <cellStyle name="RevList 2" xfId="496"/>
    <cellStyle name="row_def_array" xfId="497"/>
    <cellStyle name="S4" xfId="498"/>
    <cellStyle name="S5" xfId="499"/>
    <cellStyle name="SAPBEXaggData" xfId="500"/>
    <cellStyle name="SAPBEXaggDataEmph" xfId="501"/>
    <cellStyle name="SAPBEXaggItem" xfId="502"/>
    <cellStyle name="SAPBEXaggItemX" xfId="503"/>
    <cellStyle name="SAPBEXchaText" xfId="504"/>
    <cellStyle name="SAPBEXexcBad7" xfId="505"/>
    <cellStyle name="SAPBEXexcBad8" xfId="506"/>
    <cellStyle name="SAPBEXexcBad9" xfId="507"/>
    <cellStyle name="SAPBEXexcCritical4" xfId="508"/>
    <cellStyle name="SAPBEXexcCritical5" xfId="509"/>
    <cellStyle name="SAPBEXexcCritical6" xfId="510"/>
    <cellStyle name="SAPBEXexcGood1" xfId="511"/>
    <cellStyle name="SAPBEXexcGood2" xfId="512"/>
    <cellStyle name="SAPBEXexcGood3" xfId="513"/>
    <cellStyle name="SAPBEXfilterDrill" xfId="514"/>
    <cellStyle name="SAPBEXfilterItem" xfId="515"/>
    <cellStyle name="SAPBEXfilterText" xfId="516"/>
    <cellStyle name="SAPBEXformats" xfId="517"/>
    <cellStyle name="SAPBEXheaderItem" xfId="518"/>
    <cellStyle name="SAPBEXheaderText" xfId="519"/>
    <cellStyle name="SAPBEXHLevel0" xfId="520"/>
    <cellStyle name="SAPBEXHLevel0X" xfId="521"/>
    <cellStyle name="SAPBEXHLevel1" xfId="522"/>
    <cellStyle name="SAPBEXHLevel1X" xfId="523"/>
    <cellStyle name="SAPBEXHLevel2" xfId="524"/>
    <cellStyle name="SAPBEXHLevel2X" xfId="525"/>
    <cellStyle name="SAPBEXHLevel3" xfId="526"/>
    <cellStyle name="SAPBEXHLevel3X" xfId="527"/>
    <cellStyle name="SAPBEXresData" xfId="528"/>
    <cellStyle name="SAPBEXresDataEmph" xfId="529"/>
    <cellStyle name="SAPBEXresItem" xfId="530"/>
    <cellStyle name="SAPBEXresItemX" xfId="531"/>
    <cellStyle name="SAPBEXstdData" xfId="532"/>
    <cellStyle name="SAPBEXstdDataEmph" xfId="533"/>
    <cellStyle name="SAPBEXstdItem" xfId="534"/>
    <cellStyle name="SAPBEXstdItemX" xfId="535"/>
    <cellStyle name="SAPBEXtitle" xfId="536"/>
    <cellStyle name="SAPBEXundefined" xfId="537"/>
    <cellStyle name="section" xfId="538"/>
    <cellStyle name="section 2" xfId="539"/>
    <cellStyle name="section 3" xfId="540"/>
    <cellStyle name="SOR" xfId="541"/>
    <cellStyle name="Standard_AREAS" xfId="542"/>
    <cellStyle name="style" xfId="543"/>
    <cellStyle name="style 2" xfId="544"/>
    <cellStyle name="style 2 2" xfId="545"/>
    <cellStyle name="style 2 2 2" xfId="546"/>
    <cellStyle name="style 3" xfId="547"/>
    <cellStyle name="style 4" xfId="548"/>
    <cellStyle name="style 4 2" xfId="549"/>
    <cellStyle name="style1" xfId="550"/>
    <cellStyle name="style1 2" xfId="551"/>
    <cellStyle name="style1 3" xfId="552"/>
    <cellStyle name="style2" xfId="553"/>
    <cellStyle name="style2 2" xfId="554"/>
    <cellStyle name="style2 3" xfId="555"/>
    <cellStyle name="subhead" xfId="556"/>
    <cellStyle name="Subtotal" xfId="557"/>
    <cellStyle name="Text Indent A" xfId="558"/>
    <cellStyle name="Text Indent B" xfId="559"/>
    <cellStyle name="Text Indent C" xfId="560"/>
    <cellStyle name="Tickmark" xfId="561"/>
    <cellStyle name="Tickmark 2" xfId="562"/>
    <cellStyle name="Tickmark 3" xfId="563"/>
    <cellStyle name="title" xfId="564"/>
    <cellStyle name="title 2" xfId="565"/>
    <cellStyle name="title 3" xfId="566"/>
    <cellStyle name="Total" xfId="567"/>
    <cellStyle name="Tusental (0)_pldt" xfId="568"/>
    <cellStyle name="Tusental_pldt" xfId="569"/>
    <cellStyle name="Valuta (0)_pldt" xfId="570"/>
    <cellStyle name="Valuta_pldt" xfId="571"/>
    <cellStyle name="Warning Text" xfId="572"/>
    <cellStyle name="wrap" xfId="573"/>
    <cellStyle name="wrap 2" xfId="574"/>
    <cellStyle name="wrap 3" xfId="575"/>
    <cellStyle name="パーセント_laroux" xfId="576"/>
    <cellStyle name="_PLDT" xfId="577"/>
    <cellStyle name="_laroux" xfId="578"/>
    <cellStyle name="だ[0]_PLDT" xfId="579"/>
    <cellStyle name="だ_PLDT" xfId="580"/>
    <cellStyle name="だ[0]_Total (2)" xfId="581"/>
    <cellStyle name="だ_laroux" xfId="582"/>
    <cellStyle name="百分比 2" xfId="583"/>
    <cellStyle name="百分比 2 2" xfId="584"/>
    <cellStyle name="百分比 2 3" xfId="585"/>
    <cellStyle name="百分比 3" xfId="586"/>
    <cellStyle name="百分比 4" xfId="587"/>
    <cellStyle name="捠壿 [0.00]_PRODUCT DETAIL Q1" xfId="588"/>
    <cellStyle name="捠壿_PRODUCT DETAIL Q1" xfId="589"/>
    <cellStyle name="標準_１１月価格表" xfId="590"/>
    <cellStyle name="表标题" xfId="591"/>
    <cellStyle name="差_10存货" xfId="592"/>
    <cellStyle name="差_19-无形资产（空白模板）" xfId="593"/>
    <cellStyle name="差_2-交易性金融资产（空白模板）" xfId="594"/>
    <cellStyle name="差_2应收账款" xfId="595"/>
    <cellStyle name="差_3-2 进一步审计程序-采购与付款循环" xfId="596"/>
    <cellStyle name="差_3-3 进一步审计程序-存货与生产循环" xfId="597"/>
    <cellStyle name="差_37-长期借款（空白模板）" xfId="598"/>
    <cellStyle name="差_49-营业收入（空白模板）" xfId="599"/>
    <cellStyle name="差_4-应收账款（空白模板）" xfId="600"/>
    <cellStyle name="差_50-营业成本（空白模板）" xfId="601"/>
    <cellStyle name="差_51-营业税金及附加（空白模板）" xfId="602"/>
    <cellStyle name="差_54-财务费用（空白模板）" xfId="603"/>
    <cellStyle name="差_55-资产减值损失（空白模板）" xfId="604"/>
    <cellStyle name="差_9管理费用" xfId="605"/>
    <cellStyle name="差_Book2" xfId="606"/>
    <cellStyle name="差_dxn底稿目录" xfId="607"/>
    <cellStyle name="差_Sheet1" xfId="608"/>
    <cellStyle name="差_StartUp" xfId="609"/>
    <cellStyle name="差_T1000-主营业务收入-LJCH" xfId="610"/>
    <cellStyle name="差_Z14-长期应收款（函证汇总表样本）" xfId="611"/>
    <cellStyle name="差_ZA0货币资金审定表 " xfId="612"/>
    <cellStyle name="差_财务费用" xfId="613"/>
    <cellStyle name="差_程序表模版" xfId="614"/>
    <cellStyle name="差_存货" xfId="615"/>
    <cellStyle name="差_大信底稿目录" xfId="616"/>
    <cellStyle name="差_底稿设置宏" xfId="617"/>
    <cellStyle name="差_管理费用" xfId="618"/>
    <cellStyle name="差_货币资金" xfId="619"/>
    <cellStyle name="差_货币资金 天职" xfId="620"/>
    <cellStyle name="差_货币资金 岳华" xfId="621"/>
    <cellStyle name="差_其他应付款" xfId="622"/>
    <cellStyle name="差_其他应付款—YH" xfId="623"/>
    <cellStyle name="差_未分配利润" xfId="624"/>
    <cellStyle name="差_无形资产" xfId="625"/>
    <cellStyle name="差_应付账款" xfId="626"/>
    <cellStyle name="差_应付职工薪酬" xfId="627"/>
    <cellStyle name="差_应收账款" xfId="628"/>
    <cellStyle name="差_盈余公积" xfId="629"/>
    <cellStyle name="差_长期应付款" xfId="630"/>
    <cellStyle name="差_账项明细表" xfId="631"/>
    <cellStyle name="差_资本公积" xfId="632"/>
    <cellStyle name="差_资产负债标准底稿" xfId="633"/>
    <cellStyle name="差_资产负债类底稿模版" xfId="634"/>
    <cellStyle name="差_子公司附注汇总(房开公司)" xfId="635"/>
    <cellStyle name="常规 10" xfId="636"/>
    <cellStyle name="常规 10 2" xfId="637"/>
    <cellStyle name="常规 10 3" xfId="638"/>
    <cellStyle name="常规 10 4" xfId="639"/>
    <cellStyle name="常规 10 5" xfId="640"/>
    <cellStyle name="常规 11" xfId="641"/>
    <cellStyle name="常规 11 2" xfId="642"/>
    <cellStyle name="常规 11 3" xfId="643"/>
    <cellStyle name="常规 11 4" xfId="644"/>
    <cellStyle name="常规 12 2" xfId="645"/>
    <cellStyle name="常规 12 3" xfId="646"/>
    <cellStyle name="常规 12 4" xfId="647"/>
    <cellStyle name="常规 13 2" xfId="648"/>
    <cellStyle name="常规 13 3" xfId="649"/>
    <cellStyle name="常规 13 4" xfId="650"/>
    <cellStyle name="常规 2 2 2" xfId="651"/>
    <cellStyle name="常规 2 2 2 2" xfId="652"/>
    <cellStyle name="常规 2 2 3" xfId="653"/>
    <cellStyle name="常规 2 2 3 2" xfId="654"/>
    <cellStyle name="常规 2 2 4" xfId="655"/>
    <cellStyle name="常规 2 2 5" xfId="656"/>
    <cellStyle name="常规 2 3" xfId="657"/>
    <cellStyle name="常规 2 3 2" xfId="658"/>
    <cellStyle name="常规 2 3 3" xfId="659"/>
    <cellStyle name="常规 2 4" xfId="660"/>
    <cellStyle name="常规 2 4 2" xfId="661"/>
    <cellStyle name="常规 2 5" xfId="662"/>
    <cellStyle name="常规 2 6" xfId="663"/>
    <cellStyle name="常规 2 7" xfId="664"/>
    <cellStyle name="常规 2 8" xfId="665"/>
    <cellStyle name="常规 2 9" xfId="666"/>
    <cellStyle name="常规 2_10存货" xfId="667"/>
    <cellStyle name="常规 3 2" xfId="668"/>
    <cellStyle name="常规 3 2 2" xfId="669"/>
    <cellStyle name="常规 3 2 4" xfId="670"/>
    <cellStyle name="常规 3 3 2" xfId="671"/>
    <cellStyle name="常规 3 4" xfId="672"/>
    <cellStyle name="常规 3 4 2" xfId="673"/>
    <cellStyle name="常规 3_10存货" xfId="674"/>
    <cellStyle name="常规 4 2" xfId="675"/>
    <cellStyle name="常规 4 3" xfId="676"/>
    <cellStyle name="常规 4 3 2" xfId="677"/>
    <cellStyle name="常规 4 4" xfId="678"/>
    <cellStyle name="常规 4 5" xfId="679"/>
    <cellStyle name="常规 5 2" xfId="680"/>
    <cellStyle name="常规 5 3" xfId="681"/>
    <cellStyle name="常规 5 3 2" xfId="682"/>
    <cellStyle name="常规 5 4" xfId="683"/>
    <cellStyle name="常规 5 5" xfId="684"/>
    <cellStyle name="常规 6 2" xfId="685"/>
    <cellStyle name="常规 6 2 2" xfId="686"/>
    <cellStyle name="常规 6 2 3" xfId="687"/>
    <cellStyle name="常规 6 2 4" xfId="688"/>
    <cellStyle name="常规 6 3" xfId="689"/>
    <cellStyle name="常规 6 3 2" xfId="690"/>
    <cellStyle name="常规 6 3 2 2" xfId="691"/>
    <cellStyle name="常规 6 3 3" xfId="692"/>
    <cellStyle name="常规 6 3 4" xfId="693"/>
    <cellStyle name="常规 6 4" xfId="694"/>
    <cellStyle name="常规 6 4 2" xfId="695"/>
    <cellStyle name="常规 6 4 3" xfId="696"/>
    <cellStyle name="常规 6 5" xfId="697"/>
    <cellStyle name="常规 6 5 2" xfId="698"/>
    <cellStyle name="常规 6 6" xfId="699"/>
    <cellStyle name="常规 6 7" xfId="700"/>
    <cellStyle name="常规 7 2" xfId="701"/>
    <cellStyle name="常规 7 2 2" xfId="702"/>
    <cellStyle name="常规 7 2 3" xfId="703"/>
    <cellStyle name="常规 7 3" xfId="704"/>
    <cellStyle name="常规 7 3 2" xfId="705"/>
    <cellStyle name="常规 7 4" xfId="706"/>
    <cellStyle name="常规 7 5" xfId="707"/>
    <cellStyle name="常规 8" xfId="708"/>
    <cellStyle name="常规 8 2" xfId="709"/>
    <cellStyle name="常规 8 3" xfId="710"/>
    <cellStyle name="常规 8 4" xfId="711"/>
    <cellStyle name="常规 9" xfId="712"/>
    <cellStyle name="常规 9 2" xfId="713"/>
    <cellStyle name="常规 9 3" xfId="714"/>
    <cellStyle name="常规 9 4" xfId="715"/>
    <cellStyle name="常规 9 5" xfId="716"/>
    <cellStyle name="超级链接_A4应收账款" xfId="717"/>
    <cellStyle name="超链接 2" xfId="718"/>
    <cellStyle name="超链接 2 2" xfId="719"/>
    <cellStyle name="超链接 2 3" xfId="720"/>
    <cellStyle name="超链接 3" xfId="721"/>
    <cellStyle name="分级显示行_1_4附件二凯旋评估表" xfId="722"/>
    <cellStyle name="好_10存货" xfId="723"/>
    <cellStyle name="好_19-无形资产（空白模板）" xfId="724"/>
    <cellStyle name="好_1财务费用" xfId="725"/>
    <cellStyle name="好_1营业收入" xfId="726"/>
    <cellStyle name="好_1资产减值损失" xfId="727"/>
    <cellStyle name="好_2-交易性金融资产（空白模板）" xfId="728"/>
    <cellStyle name="好_2应收账款" xfId="729"/>
    <cellStyle name="好_3-2 进一步审计程序-采购与付款循环" xfId="730"/>
    <cellStyle name="好_3-3 进一步审计程序-存货与生产循环" xfId="731"/>
    <cellStyle name="好_37-长期借款（空白模板）" xfId="732"/>
    <cellStyle name="好_49-营业收入（空白模板）" xfId="733"/>
    <cellStyle name="好_4-应收账款（空白模板）" xfId="734"/>
    <cellStyle name="好_50-营业成本（空白模板）" xfId="735"/>
    <cellStyle name="好_51-营业税金及附加（空白模板）" xfId="736"/>
    <cellStyle name="好_54-财务费用（空白模板）" xfId="737"/>
    <cellStyle name="好_55-资产减值损失（空白模板）" xfId="738"/>
    <cellStyle name="好_9管理费用" xfId="739"/>
    <cellStyle name="好_Book2" xfId="740"/>
    <cellStyle name="好_Sheet1" xfId="741"/>
    <cellStyle name="好_StartUp" xfId="742"/>
    <cellStyle name="好_T1000-主营业务收入" xfId="743"/>
    <cellStyle name="好_Z14-长期应收款（函证汇总表样本）" xfId="744"/>
    <cellStyle name="好_ZA0货币资金审定表 " xfId="745"/>
    <cellStyle name="好_财务费用" xfId="746"/>
    <cellStyle name="好_程序表模版" xfId="747"/>
    <cellStyle name="好_存货" xfId="748"/>
    <cellStyle name="好_存货 - 复制" xfId="749"/>
    <cellStyle name="好_大信底稿目录" xfId="750"/>
    <cellStyle name="好_底稿设置宏" xfId="751"/>
    <cellStyle name="好_底稿设置宏_大信底稿目录" xfId="752"/>
    <cellStyle name="好_管理费用" xfId="753"/>
    <cellStyle name="好_货币资金" xfId="754"/>
    <cellStyle name="好_货币资金 天职" xfId="755"/>
    <cellStyle name="好_货币资金 岳华" xfId="756"/>
    <cellStyle name="好_其他应付款" xfId="757"/>
    <cellStyle name="好_其他应付款—YH" xfId="758"/>
    <cellStyle name="好_其他应收款" xfId="759"/>
    <cellStyle name="好_实收资本(股本)" xfId="760"/>
    <cellStyle name="好_未分配利润" xfId="761"/>
    <cellStyle name="好_无形资产" xfId="762"/>
    <cellStyle name="好_银行函证结果汇总表" xfId="763"/>
    <cellStyle name="好_应付债券" xfId="764"/>
    <cellStyle name="好_应付账款" xfId="765"/>
    <cellStyle name="好_应付职工薪酬" xfId="766"/>
    <cellStyle name="好_应收利息" xfId="767"/>
    <cellStyle name="好_应收账款" xfId="768"/>
    <cellStyle name="好_盈余公积" xfId="769"/>
    <cellStyle name="好_营业收入" xfId="770"/>
    <cellStyle name="好_预收款项" xfId="771"/>
    <cellStyle name="好_长期借款—TZ" xfId="772"/>
    <cellStyle name="好_长期应付款" xfId="773"/>
    <cellStyle name="好_账项明细表" xfId="774"/>
    <cellStyle name="好_资本公积" xfId="775"/>
    <cellStyle name="好_资产负债标准底稿" xfId="776"/>
    <cellStyle name="好_资产负债标准底稿_大信底稿目录" xfId="777"/>
    <cellStyle name="好_资产负债类底稿模版" xfId="778"/>
    <cellStyle name="好_资产负债类底稿模版_大信底稿目录" xfId="779"/>
    <cellStyle name="好_资产减值损失" xfId="780"/>
    <cellStyle name="好_子公司附注汇总(房开公司)" xfId="781"/>
    <cellStyle name="桁区切り [0.00]_１１月価格表" xfId="782"/>
    <cellStyle name="桁区切り_１１月価格表" xfId="783"/>
    <cellStyle name="貨幣 [0]_SGV" xfId="784"/>
    <cellStyle name="貨幣_SGV" xfId="785"/>
    <cellStyle name="霓付 [0]_1202" xfId="786"/>
    <cellStyle name="霓付_1202" xfId="787"/>
    <cellStyle name="妞" xfId="788"/>
    <cellStyle name="欧" xfId="789"/>
    <cellStyle name="烹拳 [0]_1202" xfId="790"/>
    <cellStyle name="烹拳_1202" xfId="791"/>
    <cellStyle name="砯刽 [0]_PLDT" xfId="792"/>
    <cellStyle name="砯刽_PLDT" xfId="793"/>
    <cellStyle name="普通_ 白土" xfId="794"/>
    <cellStyle name="千分位[0]_ 白土" xfId="795"/>
    <cellStyle name="千分位_ 白土" xfId="796"/>
    <cellStyle name="千位[0]_ 应交税金审定表" xfId="797"/>
    <cellStyle name="千位_ 应交税金审定表" xfId="798"/>
    <cellStyle name="千位分隔 2" xfId="799"/>
    <cellStyle name="千位分隔 2 2" xfId="800"/>
    <cellStyle name="千位分隔 2 3" xfId="801"/>
    <cellStyle name="千位分隔 2 5" xfId="802"/>
    <cellStyle name="千位分隔 3" xfId="803"/>
    <cellStyle name="千位分隔 3 2" xfId="804"/>
    <cellStyle name="千位分隔 3 3" xfId="805"/>
    <cellStyle name="千位分隔 3 4" xfId="806"/>
    <cellStyle name="千位分隔 4" xfId="807"/>
    <cellStyle name="千位分隔 5" xfId="808"/>
    <cellStyle name="千位分隔[0] 2" xfId="809"/>
    <cellStyle name="千位分隔[0] 2 2" xfId="810"/>
    <cellStyle name="钎霖_(沥焊何巩)岿喊牢盔拌裙" xfId="811"/>
    <cellStyle name="强调 1" xfId="812"/>
    <cellStyle name="强调 2" xfId="813"/>
    <cellStyle name="强调 3" xfId="814"/>
    <cellStyle name="通貨 [0.00]_１１月価格表" xfId="815"/>
    <cellStyle name="通貨_１１月価格表" xfId="816"/>
    <cellStyle name="样式 1" xfId="817"/>
    <cellStyle name="样式 1 2" xfId="818"/>
    <cellStyle name="样式 1 3" xfId="819"/>
    <cellStyle name="样式 1 4" xfId="820"/>
    <cellStyle name="一般_SGV" xfId="821"/>
    <cellStyle name="昗弨_BOOKSHIP" xfId="822"/>
    <cellStyle name="寘嬫愗傝 [0.00]_PRODUCT DETAIL Q1" xfId="823"/>
    <cellStyle name="寘嬫愗傝_PRODUCT DETAIL Q1" xfId="824"/>
    <cellStyle name="资产" xfId="825"/>
    <cellStyle name="资产 2" xfId="826"/>
    <cellStyle name="资产 2 2" xfId="827"/>
    <cellStyle name="콤마 [0]_BOILER-CO1" xfId="828"/>
    <cellStyle name="콤마_BOILER-CO1" xfId="829"/>
    <cellStyle name="통화 [0]_BOILER-CO1" xfId="830"/>
    <cellStyle name="통화_BOILER-CO1" xfId="831"/>
    <cellStyle name="표준_0N-HANDLING " xfId="832"/>
    <cellStyle name="常规_进一步审计程序--销售与收款循环 2" xfId="833"/>
    <cellStyle name="常规_c-资产类 2" xfId="834"/>
    <cellStyle name="百分比 5" xfId="835"/>
    <cellStyle name="常规 7 6" xfId="836"/>
    <cellStyle name="超链接 2 2 2" xfId="837"/>
    <cellStyle name="常规_SA 营业收入" xfId="838"/>
    <cellStyle name="常规 7 7" xfId="839"/>
    <cellStyle name="常规_进一步审计程序--销售与收款循环 3" xfId="840"/>
    <cellStyle name="常规_通用表" xfId="841"/>
    <cellStyle name="常规 13" xfId="842"/>
    <cellStyle name="千位分隔 6" xfId="843"/>
    <cellStyle name="常规 11 5" xfId="84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externalLink" Target="externalLinks/externalLink3.xml"/><Relationship Id="rId22" Type="http://schemas.openxmlformats.org/officeDocument/2006/relationships/externalLink" Target="externalLinks/externalLink2.xml"/><Relationship Id="rId21" Type="http://schemas.openxmlformats.org/officeDocument/2006/relationships/externalLink" Target="externalLinks/externalLink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200025</xdr:colOff>
      <xdr:row>63</xdr:row>
      <xdr:rowOff>57150</xdr:rowOff>
    </xdr:from>
    <xdr:to>
      <xdr:col>6</xdr:col>
      <xdr:colOff>812607</xdr:colOff>
      <xdr:row>78</xdr:row>
      <xdr:rowOff>254111</xdr:rowOff>
    </xdr:to>
    <xdr:pic>
      <xdr:nvPicPr>
        <xdr:cNvPr id="3" name="Picture 2"/>
        <xdr:cNvPicPr>
          <a:picLocks noChangeAspect="1" noChangeArrowheads="1"/>
        </xdr:cNvPicPr>
      </xdr:nvPicPr>
      <xdr:blipFill>
        <a:blip r:embed="rId1"/>
        <a:srcRect/>
        <a:stretch>
          <a:fillRect/>
        </a:stretch>
      </xdr:blipFill>
      <xdr:spPr>
        <a:xfrm>
          <a:off x="200025" y="20324445"/>
          <a:ext cx="7058660" cy="399732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310515</xdr:colOff>
      <xdr:row>8</xdr:row>
      <xdr:rowOff>32385</xdr:rowOff>
    </xdr:from>
    <xdr:to>
      <xdr:col>10</xdr:col>
      <xdr:colOff>672081</xdr:colOff>
      <xdr:row>13</xdr:row>
      <xdr:rowOff>306124</xdr:rowOff>
    </xdr:to>
    <xdr:pic>
      <xdr:nvPicPr>
        <xdr:cNvPr id="3" name="Picture 2"/>
        <xdr:cNvPicPr>
          <a:picLocks noChangeAspect="1" noChangeArrowheads="1"/>
        </xdr:cNvPicPr>
      </xdr:nvPicPr>
      <xdr:blipFill>
        <a:blip r:embed="rId1"/>
        <a:srcRect/>
        <a:stretch>
          <a:fillRect/>
        </a:stretch>
      </xdr:blipFill>
      <xdr:spPr>
        <a:xfrm>
          <a:off x="11428095" y="2385060"/>
          <a:ext cx="3721735" cy="1978660"/>
        </a:xfrm>
        <a:prstGeom prst="rect">
          <a:avLst/>
        </a:prstGeom>
        <a:noFill/>
        <a:ln>
          <a:noFill/>
          <a:prstDash val="solid"/>
        </a:ln>
      </xdr:spPr>
    </xdr:pic>
    <xdr:clientData/>
  </xdr:twoCellAnchor>
  <xdr:twoCellAnchor editAs="oneCell">
    <xdr:from>
      <xdr:col>7</xdr:col>
      <xdr:colOff>41910</xdr:colOff>
      <xdr:row>18</xdr:row>
      <xdr:rowOff>36195</xdr:rowOff>
    </xdr:from>
    <xdr:to>
      <xdr:col>10</xdr:col>
      <xdr:colOff>575309</xdr:colOff>
      <xdr:row>26</xdr:row>
      <xdr:rowOff>38100</xdr:rowOff>
    </xdr:to>
    <xdr:pic>
      <xdr:nvPicPr>
        <xdr:cNvPr id="5" name="Picture 2"/>
        <xdr:cNvPicPr>
          <a:picLocks noChangeAspect="1" noChangeArrowheads="1"/>
        </xdr:cNvPicPr>
      </xdr:nvPicPr>
      <xdr:blipFill>
        <a:blip r:embed="rId2"/>
        <a:srcRect/>
        <a:stretch>
          <a:fillRect/>
        </a:stretch>
      </xdr:blipFill>
      <xdr:spPr>
        <a:xfrm>
          <a:off x="11159490" y="6496050"/>
          <a:ext cx="3893185" cy="2028825"/>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66674</xdr:colOff>
      <xdr:row>19</xdr:row>
      <xdr:rowOff>57151</xdr:rowOff>
    </xdr:from>
    <xdr:to>
      <xdr:col>14</xdr:col>
      <xdr:colOff>239394</xdr:colOff>
      <xdr:row>28</xdr:row>
      <xdr:rowOff>121921</xdr:rowOff>
    </xdr:to>
    <xdr:pic>
      <xdr:nvPicPr>
        <xdr:cNvPr id="3" name="Picture 2"/>
        <xdr:cNvPicPr>
          <a:picLocks noChangeAspect="1" noChangeArrowheads="1"/>
        </xdr:cNvPicPr>
      </xdr:nvPicPr>
      <xdr:blipFill>
        <a:blip r:embed="rId1"/>
        <a:srcRect/>
        <a:stretch>
          <a:fillRect/>
        </a:stretch>
      </xdr:blipFill>
      <xdr:spPr>
        <a:xfrm>
          <a:off x="9872980" y="6369685"/>
          <a:ext cx="4408170" cy="2345055"/>
        </a:xfrm>
        <a:prstGeom prst="rect">
          <a:avLst/>
        </a:prstGeom>
        <a:noFill/>
        <a:ln>
          <a:noFill/>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8%20&#20351;&#29992;&#26435;&#36164;&#20135;_H813enhanc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8%20&#20351;&#29992;&#26435;&#36164;&#20135;_H810enhanc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8%20&#20351;&#29992;&#26435;&#36164;&#20135;_H88enhanc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底稿目录"/>
      <sheetName val="使用权资产实质性程序表H8A"/>
      <sheetName val="审定表H8-1"/>
      <sheetName val="附注披露信息（上市公司）"/>
      <sheetName val="附注披露信息（国企）"/>
      <sheetName val="明细表H8-2"/>
      <sheetName val="调整分录汇总H8-3"/>
      <sheetName val="租赁的识别H8-4"/>
      <sheetName val="租赁期的确定H8-5"/>
      <sheetName val="使用权资产 租赁负责初始及后续计量（按年）H8-6"/>
      <sheetName val="使用权资产 租赁负责初始及后续计量（按月）H8-6"/>
      <sheetName val="租赁变更H8-7"/>
      <sheetName val="折旧测算表（不含减值）H8-8"/>
      <sheetName val="折旧测算表（含减值）H8-8"/>
      <sheetName val="折旧分配分析表H8-9"/>
      <sheetName val="减值测算表H8-10"/>
      <sheetName val="可收回金额测试表H8-11"/>
      <sheetName val="减少检查表H8-12"/>
      <sheetName val="关联交易检查表H8-14"/>
    </sheetNames>
    <sheetDataSet>
      <sheetData sheetId="0">
        <row r="2">
          <cell r="A2" t="str">
            <v>被审计单位：</v>
          </cell>
        </row>
        <row r="3">
          <cell r="A3" t="str">
            <v>截止日：202X年12月31日</v>
          </cell>
        </row>
        <row r="4">
          <cell r="A4" t="str">
            <v>编制人：</v>
          </cell>
        </row>
        <row r="5">
          <cell r="A5" t="str">
            <v>复核人：</v>
          </cell>
        </row>
        <row r="6">
          <cell r="A6" t="str">
            <v>编制日期：</v>
          </cell>
        </row>
        <row r="7">
          <cell r="A7" t="str">
            <v>复核日期：</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底稿目录"/>
      <sheetName val="使用权资产实质性程序表H8A"/>
      <sheetName val="审定表H8-1"/>
      <sheetName val="附注披露信息（上市公司）"/>
      <sheetName val="附注披露信息（国企）"/>
      <sheetName val="明细表H8-2"/>
      <sheetName val="调整分录汇总H8-3"/>
      <sheetName val="租赁的识别H8-4"/>
      <sheetName val="租赁期的确定H8-5"/>
      <sheetName val="使用权资产 租赁负责初始及后续计量（按年）H8-6"/>
      <sheetName val="使用权资产 租赁负责初始及后续计量（按月）H8-6"/>
      <sheetName val="租赁变更H8-7"/>
      <sheetName val="折旧测算表（不含减值）H8-8"/>
      <sheetName val="折旧测算表（含减值）H8-8"/>
      <sheetName val="折旧分配分析表H8-9"/>
      <sheetName val="可收回金额测试表H8-11"/>
      <sheetName val="减少检查表H8-12"/>
      <sheetName val="简化处理的租赁检查表H8-13"/>
      <sheetName val="关联交易检查表H8-14"/>
    </sheetNames>
    <sheetDataSet>
      <sheetData sheetId="0">
        <row r="2">
          <cell r="A2" t="str">
            <v>被审计单位：</v>
          </cell>
        </row>
        <row r="3">
          <cell r="A3" t="str">
            <v>截止日：202X年12月31日</v>
          </cell>
        </row>
        <row r="4">
          <cell r="A4" t="str">
            <v>编制人：</v>
          </cell>
        </row>
        <row r="5">
          <cell r="A5" t="str">
            <v>复核人：</v>
          </cell>
        </row>
        <row r="6">
          <cell r="A6" t="str">
            <v>编制日期：</v>
          </cell>
        </row>
        <row r="7">
          <cell r="A7" t="str">
            <v>复核日期：</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底稿目录"/>
      <sheetName val="使用权资产实质性程序表H8A"/>
      <sheetName val="审定表H8-1"/>
      <sheetName val="附注披露信息（上市公司）"/>
      <sheetName val="附注披露信息（国企）"/>
      <sheetName val="明细表H8-2"/>
      <sheetName val="调整分录汇总H8-3"/>
      <sheetName val="租赁的识别H8-4"/>
      <sheetName val="租赁期的确定H8-5"/>
      <sheetName val="使用权资产 租赁负责初始及后续计量（按年）H8-6"/>
      <sheetName val="使用权资产 租赁负责初始及后续计量（按月）H8-6"/>
      <sheetName val="租赁变更H8-7"/>
      <sheetName val="折旧分配分析表H8-9"/>
      <sheetName val="减值测算表H8-10"/>
      <sheetName val="可收回金额测试表H8-11"/>
      <sheetName val="减少检查表H8-12"/>
      <sheetName val="简化处理的租赁检查表H8-13"/>
      <sheetName val="关联交易检查表H8-14"/>
    </sheetNames>
    <sheetDataSet>
      <sheetData sheetId="0">
        <row r="2">
          <cell r="A2" t="str">
            <v>被审计单位：</v>
          </cell>
        </row>
        <row r="3">
          <cell r="A3" t="str">
            <v>截止日：202X年12月31日</v>
          </cell>
        </row>
        <row r="4">
          <cell r="A4" t="str">
            <v>编制人：</v>
          </cell>
        </row>
        <row r="5">
          <cell r="A5" t="str">
            <v>复核人：</v>
          </cell>
        </row>
        <row r="6">
          <cell r="A6" t="str">
            <v>编制日期：</v>
          </cell>
        </row>
        <row r="7">
          <cell r="A7" t="str">
            <v>复核日期：</v>
          </cell>
        </row>
      </sheetData>
      <sheetData sheetId="1"/>
      <sheetData sheetId="2"/>
      <sheetData sheetId="3"/>
      <sheetData sheetId="4"/>
      <sheetData sheetId="5">
        <row r="12">
          <cell r="S12">
            <v>0</v>
          </cell>
        </row>
        <row r="12">
          <cell r="AJ12">
            <v>0</v>
          </cell>
        </row>
        <row r="12">
          <cell r="BA12">
            <v>0</v>
          </cell>
        </row>
        <row r="13">
          <cell r="S13">
            <v>0</v>
          </cell>
        </row>
        <row r="13">
          <cell r="AJ13">
            <v>0</v>
          </cell>
        </row>
        <row r="13">
          <cell r="BA13">
            <v>0</v>
          </cell>
        </row>
        <row r="14">
          <cell r="S14">
            <v>0</v>
          </cell>
        </row>
        <row r="14">
          <cell r="AJ14">
            <v>0</v>
          </cell>
        </row>
        <row r="14">
          <cell r="BA14">
            <v>0</v>
          </cell>
        </row>
        <row r="15">
          <cell r="S15">
            <v>0</v>
          </cell>
        </row>
        <row r="15">
          <cell r="AJ15">
            <v>0</v>
          </cell>
        </row>
        <row r="15">
          <cell r="BA15">
            <v>0</v>
          </cell>
        </row>
        <row r="16">
          <cell r="S16">
            <v>0</v>
          </cell>
        </row>
        <row r="16">
          <cell r="AJ16">
            <v>0</v>
          </cell>
        </row>
        <row r="16">
          <cell r="BA16">
            <v>0</v>
          </cell>
        </row>
        <row r="28">
          <cell r="S28">
            <v>0</v>
          </cell>
        </row>
        <row r="28">
          <cell r="AJ28">
            <v>0</v>
          </cell>
        </row>
        <row r="28">
          <cell r="BA28">
            <v>0</v>
          </cell>
        </row>
        <row r="29">
          <cell r="S29">
            <v>0</v>
          </cell>
        </row>
        <row r="29">
          <cell r="AJ29">
            <v>0</v>
          </cell>
        </row>
        <row r="29">
          <cell r="BA29">
            <v>0</v>
          </cell>
        </row>
        <row r="30">
          <cell r="S30">
            <v>0</v>
          </cell>
        </row>
        <row r="30">
          <cell r="AJ30">
            <v>0</v>
          </cell>
        </row>
        <row r="30">
          <cell r="BA30">
            <v>0</v>
          </cell>
        </row>
        <row r="31">
          <cell r="S31">
            <v>0</v>
          </cell>
        </row>
        <row r="31">
          <cell r="AJ31">
            <v>0</v>
          </cell>
        </row>
        <row r="31">
          <cell r="BA31">
            <v>0</v>
          </cell>
        </row>
        <row r="33">
          <cell r="A33" t="str">
            <v>其中：</v>
          </cell>
        </row>
        <row r="34">
          <cell r="A34" t="str">
            <v>房屋及建筑物</v>
          </cell>
        </row>
        <row r="35">
          <cell r="A35" t="str">
            <v>机器设备</v>
          </cell>
        </row>
        <row r="36">
          <cell r="A36" t="str">
            <v>运输设备</v>
          </cell>
        </row>
        <row r="37">
          <cell r="A37" t="str">
            <v>办公设备</v>
          </cell>
        </row>
        <row r="38">
          <cell r="A38" t="str">
            <v>其他设备</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26"/>
  <sheetViews>
    <sheetView workbookViewId="0">
      <selection activeCell="A1" sqref="A1"/>
    </sheetView>
  </sheetViews>
  <sheetFormatPr defaultColWidth="8.7" defaultRowHeight="19.95" customHeight="1" outlineLevelCol="7"/>
  <cols>
    <col min="1" max="1" width="77.6" style="97" customWidth="1"/>
    <col min="2" max="2" width="2" style="97" customWidth="1"/>
    <col min="3" max="3" width="2.1" style="97" customWidth="1"/>
    <col min="4" max="4" width="5" style="756" customWidth="1"/>
    <col min="5" max="5" width="33.4" style="97" customWidth="1"/>
    <col min="6" max="6" width="9.5" style="757" customWidth="1"/>
    <col min="7" max="7" width="10.7" style="97" customWidth="1"/>
    <col min="8" max="16384" width="8.7" style="97" customWidth="1"/>
  </cols>
  <sheetData>
    <row r="1" s="3" customFormat="1" customHeight="1" spans="1:8">
      <c r="A1" s="99" t="s">
        <v>0</v>
      </c>
      <c r="D1" s="758"/>
      <c r="F1" s="160"/>
    </row>
    <row r="2" customHeight="1" spans="1:8">
      <c r="A2" s="759" t="s">
        <v>1</v>
      </c>
      <c r="B2" s="760"/>
      <c r="C2" s="760"/>
      <c r="G2" s="760"/>
      <c r="H2" s="760"/>
    </row>
    <row r="3" customHeight="1" spans="1:8">
      <c r="A3" s="759" t="s">
        <v>2</v>
      </c>
      <c r="B3" s="760"/>
      <c r="C3" s="760"/>
      <c r="D3" s="761" t="s">
        <v>3</v>
      </c>
      <c r="E3" s="761" t="s">
        <v>4</v>
      </c>
      <c r="F3" s="761" t="s">
        <v>5</v>
      </c>
      <c r="G3" s="761" t="s">
        <v>6</v>
      </c>
      <c r="H3" s="762"/>
    </row>
    <row r="4" customHeight="1" spans="1:8">
      <c r="A4" s="759" t="s">
        <v>7</v>
      </c>
      <c r="D4" s="763">
        <v>1</v>
      </c>
      <c r="E4" s="764" t="s">
        <v>8</v>
      </c>
      <c r="F4" s="765" t="s">
        <v>9</v>
      </c>
      <c r="G4" s="766"/>
      <c r="H4" s="762"/>
    </row>
    <row r="5" customHeight="1" spans="1:8">
      <c r="A5" s="759" t="s">
        <v>10</v>
      </c>
      <c r="D5" s="763">
        <v>2</v>
      </c>
      <c r="E5" s="764" t="s">
        <v>11</v>
      </c>
      <c r="F5" s="765" t="s">
        <v>12</v>
      </c>
      <c r="G5" s="767"/>
      <c r="H5" s="3"/>
    </row>
    <row r="6" customHeight="1" spans="1:8">
      <c r="A6" s="759" t="s">
        <v>13</v>
      </c>
      <c r="D6" s="763">
        <v>3</v>
      </c>
      <c r="E6" s="768" t="s">
        <v>14</v>
      </c>
      <c r="F6" s="765"/>
      <c r="G6" s="767" t="s">
        <v>15</v>
      </c>
    </row>
    <row r="7" customHeight="1" spans="1:8">
      <c r="A7" s="759" t="s">
        <v>16</v>
      </c>
      <c r="D7" s="763">
        <v>4</v>
      </c>
      <c r="E7" s="768" t="s">
        <v>17</v>
      </c>
      <c r="F7" s="765"/>
      <c r="G7" s="767" t="s">
        <v>15</v>
      </c>
    </row>
    <row r="8" customHeight="1" spans="1:8">
      <c r="A8" s="769" t="s">
        <v>18</v>
      </c>
      <c r="D8" s="763">
        <v>5</v>
      </c>
      <c r="E8" s="764" t="s">
        <v>19</v>
      </c>
      <c r="F8" s="765" t="s">
        <v>20</v>
      </c>
      <c r="G8" s="767"/>
      <c r="H8" s="3"/>
    </row>
    <row r="9" customHeight="1" spans="1:8">
      <c r="A9" s="770" t="s">
        <v>21</v>
      </c>
      <c r="D9" s="763">
        <v>6</v>
      </c>
      <c r="E9" s="764" t="s">
        <v>22</v>
      </c>
      <c r="F9" s="765" t="s">
        <v>23</v>
      </c>
      <c r="G9" s="767"/>
      <c r="H9" s="3"/>
    </row>
    <row r="10" customHeight="1" spans="1:8">
      <c r="A10" s="770" t="s">
        <v>24</v>
      </c>
      <c r="D10" s="763">
        <v>7</v>
      </c>
      <c r="E10" s="764" t="s">
        <v>25</v>
      </c>
      <c r="F10" s="765" t="s">
        <v>26</v>
      </c>
      <c r="G10" s="767"/>
      <c r="H10" s="3"/>
    </row>
    <row r="11" customHeight="1" spans="1:8">
      <c r="A11" s="770" t="s">
        <v>27</v>
      </c>
      <c r="D11" s="763">
        <v>8</v>
      </c>
      <c r="E11" s="764" t="s">
        <v>28</v>
      </c>
      <c r="F11" s="765" t="s">
        <v>29</v>
      </c>
      <c r="G11" s="767"/>
      <c r="H11" s="3"/>
    </row>
    <row r="12" customHeight="1" spans="1:8">
      <c r="A12" s="770" t="s">
        <v>30</v>
      </c>
      <c r="D12" s="763">
        <v>9</v>
      </c>
      <c r="E12" s="764" t="s">
        <v>31</v>
      </c>
      <c r="F12" s="765" t="s">
        <v>32</v>
      </c>
      <c r="G12" s="767" t="s">
        <v>33</v>
      </c>
    </row>
    <row r="13" customHeight="1" spans="1:8">
      <c r="A13" s="770" t="s">
        <v>34</v>
      </c>
      <c r="D13" s="763">
        <v>10</v>
      </c>
      <c r="E13" s="764" t="s">
        <v>35</v>
      </c>
      <c r="F13" s="765" t="s">
        <v>32</v>
      </c>
      <c r="G13" s="767" t="s">
        <v>33</v>
      </c>
    </row>
    <row r="14" customHeight="1" spans="1:8">
      <c r="A14" s="770" t="s">
        <v>36</v>
      </c>
      <c r="D14" s="763">
        <v>11</v>
      </c>
      <c r="E14" s="764" t="s">
        <v>37</v>
      </c>
      <c r="F14" s="765" t="s">
        <v>38</v>
      </c>
      <c r="G14" s="767"/>
    </row>
    <row r="15" customHeight="1" spans="1:8">
      <c r="A15" s="760"/>
      <c r="D15" s="763">
        <v>12</v>
      </c>
      <c r="E15" s="764" t="s">
        <v>39</v>
      </c>
      <c r="F15" s="765" t="s">
        <v>40</v>
      </c>
      <c r="G15" s="767" t="s">
        <v>33</v>
      </c>
    </row>
    <row r="16" customHeight="1" spans="1:8">
      <c r="A16" s="5" t="s">
        <v>41</v>
      </c>
      <c r="D16" s="763">
        <v>13</v>
      </c>
      <c r="E16" s="764" t="s">
        <v>42</v>
      </c>
      <c r="F16" s="765" t="s">
        <v>40</v>
      </c>
      <c r="G16" s="767" t="s">
        <v>33</v>
      </c>
      <c r="H16" s="3"/>
    </row>
    <row r="17" customHeight="1" spans="1:8">
      <c r="A17" s="771" t="s">
        <v>43</v>
      </c>
      <c r="D17" s="763">
        <v>14</v>
      </c>
      <c r="E17" s="764" t="s">
        <v>44</v>
      </c>
      <c r="F17" s="765" t="s">
        <v>45</v>
      </c>
      <c r="G17" s="767"/>
      <c r="H17" s="3"/>
    </row>
    <row r="18" customHeight="1" spans="1:8">
      <c r="A18"/>
      <c r="D18" s="763">
        <v>15</v>
      </c>
      <c r="E18" s="764" t="s">
        <v>46</v>
      </c>
      <c r="F18" s="765" t="s">
        <v>47</v>
      </c>
      <c r="G18" s="767"/>
      <c r="H18" s="3"/>
    </row>
    <row r="19" customHeight="1" spans="1:8">
      <c r="A19"/>
      <c r="D19" s="763">
        <v>16</v>
      </c>
      <c r="E19" s="764" t="s">
        <v>48</v>
      </c>
      <c r="F19" s="765" t="s">
        <v>49</v>
      </c>
      <c r="G19" s="767"/>
      <c r="H19" s="3"/>
    </row>
    <row r="20" customHeight="1" spans="1:8">
      <c r="A20"/>
      <c r="D20" s="763">
        <v>17</v>
      </c>
      <c r="E20" s="764" t="s">
        <v>50</v>
      </c>
      <c r="F20" s="765" t="s">
        <v>51</v>
      </c>
      <c r="G20" s="767"/>
      <c r="H20" s="3"/>
    </row>
    <row r="21" customHeight="1" spans="1:8">
      <c r="A21" s="771" t="s">
        <v>52</v>
      </c>
      <c r="D21" s="763">
        <v>18</v>
      </c>
      <c r="E21" s="764" t="s">
        <v>53</v>
      </c>
      <c r="F21" s="765" t="s">
        <v>54</v>
      </c>
      <c r="G21" s="767"/>
      <c r="H21" s="3"/>
    </row>
    <row r="22" customHeight="1" spans="1:8">
      <c r="A22"/>
      <c r="D22" s="763">
        <v>19</v>
      </c>
      <c r="E22" s="764" t="s">
        <v>55</v>
      </c>
      <c r="F22" s="765" t="s">
        <v>56</v>
      </c>
      <c r="G22" s="767"/>
      <c r="H22" s="3"/>
    </row>
    <row r="23" customHeight="1" spans="1:8">
      <c r="A23"/>
    </row>
    <row r="24" customHeight="1" spans="1:8">
      <c r="A24" s="772" t="s">
        <v>57</v>
      </c>
    </row>
    <row r="25" customHeight="1" spans="1:8">
      <c r="A25"/>
    </row>
    <row r="26" customHeight="1" spans="1:8">
      <c r="A26"/>
    </row>
  </sheetData>
  <mergeCells count="3">
    <mergeCell ref="A17:A20"/>
    <mergeCell ref="A21:A23"/>
    <mergeCell ref="A24:A26"/>
  </mergeCells>
  <hyperlinks>
    <hyperlink ref="E4" location="'使用权资产实质性程序表H8A'!A1" display="使用权资产实质性程序表"/>
    <hyperlink ref="E5" location="'审定表H8-1'!A1" display="审定表"/>
    <hyperlink ref="E6" location="'附注披露信息（上市公司）'!A1" display="附注披露信息（上市公司）"/>
    <hyperlink ref="E7" location="'附注披露信息（国企）'!A1" display="附注披露信息（国企）"/>
    <hyperlink ref="E8" location="'明细表H8-2'!A1" display="明细表"/>
    <hyperlink ref="E9" location="'调整分录汇总H8-3'!A1" display="调整分录汇总"/>
    <hyperlink ref="E10" location="'租赁的识别H8-4'!A1" display="租赁的识别"/>
    <hyperlink ref="E11" location="'租赁期的确定H8-5'!A1" display="租赁期的确定"/>
    <hyperlink ref="E12" location="'使用权资产 租赁负责初始及后续计量（按年）H8-6'!A1" display="使用权资产 租赁负债初始及后续计量（按年）"/>
    <hyperlink ref="E13" location="'使用权资产 租赁负责初始及后续计量（按月）H8-6'!A1" display="使用权资产 租赁负债初始及后续计量（按月）"/>
    <hyperlink ref="E14" location="'租赁变更H8-7'!A1" display="租赁变更"/>
    <hyperlink ref="E15" location="'折旧测算表（不含减值）H8-8'!A1" display="折旧测算表（不含减值）"/>
    <hyperlink ref="E16" location="'折旧测算表（含减值）H8-8'!A1" display="折旧测算表（含减值）"/>
    <hyperlink ref="E17" location="'折旧分配分析表H8-9'!A1" display="折旧分配分析表"/>
    <hyperlink ref="E18" location="'减值测算表H8-10'!A1" display="减值测算表"/>
    <hyperlink ref="E19" location="'可收回金额测试表H8-11'!A1" display="可收回金额测试表"/>
    <hyperlink ref="E20" location="'减少检查表H8-12'!A1" display="减少检查表"/>
    <hyperlink ref="E21" location="'简化处理的租赁检查表H8-13'!A1" display="简化处理的租赁检查表"/>
    <hyperlink ref="E22" location="'关联交易检查表H8-14'!A1" display="关联交易检查表"/>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59"/>
  <sheetViews>
    <sheetView view="pageBreakPreview" zoomScaleNormal="100" workbookViewId="0">
      <selection activeCell="A1" sqref="A1:I1"/>
    </sheetView>
  </sheetViews>
  <sheetFormatPr defaultColWidth="9" defaultRowHeight="19.95" customHeight="1"/>
  <cols>
    <col min="1" max="1" width="4.3" style="711" customWidth="1"/>
    <col min="2" max="2" width="64.6" style="101" customWidth="1"/>
    <col min="3" max="3" width="11.6" style="101" customWidth="1"/>
    <col min="4" max="4" width="5.5" style="101" customWidth="1"/>
    <col min="5" max="5" width="6.6" style="101" customWidth="1"/>
    <col min="6" max="6" width="6.8" style="101" customWidth="1"/>
    <col min="7" max="7" width="7.1" style="101" customWidth="1"/>
    <col min="8" max="8" width="5.1" style="101" customWidth="1"/>
    <col min="9" max="9" width="7.5" style="101" customWidth="1"/>
    <col min="10" max="10" width="45" style="101" customWidth="1"/>
    <col min="11" max="16384" width="9" style="101" customWidth="1"/>
  </cols>
  <sheetData>
    <row r="1" s="161" customFormat="1" customHeight="1" spans="1:10">
      <c r="A1" s="712" t="s">
        <v>58</v>
      </c>
    </row>
    <row r="2" s="162" customFormat="1" customHeight="1" spans="1:10">
      <c r="A2" s="632" t="s">
        <v>8</v>
      </c>
    </row>
    <row r="3" s="710" customFormat="1" customHeight="1" spans="1:10">
      <c r="A3" s="710" t="str">
        <f>底稿目录!A2</f>
        <v>被审计单位：</v>
      </c>
      <c r="C3" s="710" t="str">
        <f>底稿目录!A4</f>
        <v>编制人：</v>
      </c>
      <c r="E3" s="710" t="str">
        <f>底稿目录!A6</f>
        <v>编制日期：</v>
      </c>
      <c r="H3" s="7" t="s">
        <v>59</v>
      </c>
      <c r="I3" s="8" t="s">
        <v>9</v>
      </c>
    </row>
    <row r="4" s="710" customFormat="1" customHeight="1" spans="1:10">
      <c r="A4" s="710" t="str">
        <f>底稿目录!A3</f>
        <v>截止日：202X年12月31日</v>
      </c>
      <c r="C4" s="710" t="str">
        <f>底稿目录!A5</f>
        <v>复核人：</v>
      </c>
      <c r="E4" s="710" t="str">
        <f>底稿目录!A7</f>
        <v>复核日期：</v>
      </c>
      <c r="H4" s="7" t="s">
        <v>60</v>
      </c>
      <c r="I4" s="9"/>
    </row>
    <row r="5" customHeight="1" spans="1:10">
      <c r="A5" s="713" t="s">
        <v>61</v>
      </c>
      <c r="B5"/>
    </row>
    <row r="6" customHeight="1" spans="1:10">
      <c r="A6" s="9" t="s">
        <v>62</v>
      </c>
      <c r="B6" s="9"/>
      <c r="C6" s="9"/>
      <c r="D6" s="9"/>
      <c r="E6" s="9"/>
      <c r="F6" s="9"/>
      <c r="G6" s="9"/>
      <c r="H6" s="9"/>
      <c r="I6" s="9"/>
    </row>
    <row r="7" s="710" customFormat="1" customHeight="1" spans="1:10">
      <c r="A7" s="714" t="s">
        <v>63</v>
      </c>
      <c r="B7" s="713"/>
      <c r="C7" s="715"/>
    </row>
    <row r="8" s="710" customFormat="1" customHeight="1" spans="1:10">
      <c r="A8" s="716" t="s">
        <v>64</v>
      </c>
      <c r="B8" s="119"/>
      <c r="C8" s="119"/>
      <c r="D8" s="119"/>
      <c r="E8" s="119"/>
      <c r="F8" s="137"/>
      <c r="G8" s="717" t="s">
        <v>65</v>
      </c>
      <c r="H8" s="119"/>
      <c r="I8" s="137"/>
    </row>
    <row r="9" s="710" customFormat="1" customHeight="1" spans="1:10">
      <c r="A9" s="718" t="s">
        <v>66</v>
      </c>
      <c r="B9" s="119"/>
      <c r="C9" s="119"/>
      <c r="D9" s="119"/>
      <c r="E9" s="119"/>
      <c r="F9" s="137"/>
      <c r="G9" s="719" t="s">
        <v>67</v>
      </c>
      <c r="H9" s="119"/>
      <c r="I9" s="137"/>
    </row>
    <row r="10" s="710" customFormat="1" customHeight="1" spans="1:10">
      <c r="A10" s="718" t="s">
        <v>68</v>
      </c>
      <c r="B10" s="119"/>
      <c r="C10" s="119"/>
      <c r="D10" s="119"/>
      <c r="E10" s="119"/>
      <c r="F10" s="137"/>
      <c r="G10" s="719" t="s">
        <v>69</v>
      </c>
      <c r="H10" s="119"/>
      <c r="I10" s="137"/>
    </row>
    <row r="11" s="710" customFormat="1" customHeight="1" spans="1:10">
      <c r="A11" s="718" t="s">
        <v>70</v>
      </c>
      <c r="B11" s="119"/>
      <c r="C11" s="119"/>
      <c r="D11" s="119"/>
      <c r="E11" s="119"/>
      <c r="F11" s="137"/>
      <c r="G11" s="719" t="s">
        <v>71</v>
      </c>
      <c r="H11" s="119"/>
      <c r="I11" s="137"/>
    </row>
    <row r="12" s="710" customFormat="1" customHeight="1" spans="1:10">
      <c r="A12" s="718" t="s">
        <v>72</v>
      </c>
      <c r="B12" s="119"/>
      <c r="C12" s="119"/>
      <c r="D12" s="119"/>
      <c r="E12" s="119"/>
      <c r="F12" s="137"/>
      <c r="G12" s="719" t="s">
        <v>73</v>
      </c>
      <c r="H12" s="119"/>
      <c r="I12" s="137"/>
    </row>
    <row r="13" s="710" customFormat="1" customHeight="1" spans="1:10">
      <c r="A13" s="718" t="s">
        <v>74</v>
      </c>
      <c r="B13" s="119"/>
      <c r="C13" s="119"/>
      <c r="D13" s="119"/>
      <c r="E13" s="119"/>
      <c r="F13" s="137"/>
      <c r="G13" s="719" t="s">
        <v>75</v>
      </c>
      <c r="H13" s="119"/>
      <c r="I13" s="137"/>
    </row>
    <row r="14" s="710" customFormat="1" customHeight="1" spans="1:10">
      <c r="A14" s="720" t="s">
        <v>76</v>
      </c>
      <c r="B14" s="721"/>
      <c r="C14" s="715"/>
    </row>
    <row r="15" s="710" customFormat="1" customHeight="1" spans="1:10">
      <c r="A15" s="722" t="s">
        <v>3</v>
      </c>
      <c r="B15" s="723" t="s">
        <v>77</v>
      </c>
      <c r="C15" s="724" t="s">
        <v>78</v>
      </c>
      <c r="D15" s="725" t="s">
        <v>79</v>
      </c>
      <c r="E15" s="119"/>
      <c r="F15" s="119"/>
      <c r="G15" s="119"/>
      <c r="H15" s="137"/>
      <c r="I15" s="724" t="s">
        <v>80</v>
      </c>
    </row>
    <row r="16" s="710" customFormat="1" ht="36.6" customHeight="1" spans="1:10">
      <c r="A16" s="123"/>
      <c r="B16" s="123"/>
      <c r="C16" s="123"/>
      <c r="D16" s="725" t="s">
        <v>67</v>
      </c>
      <c r="E16" s="725" t="s">
        <v>69</v>
      </c>
      <c r="F16" s="724" t="s">
        <v>81</v>
      </c>
      <c r="G16" s="724" t="s">
        <v>73</v>
      </c>
      <c r="H16" s="724" t="s">
        <v>75</v>
      </c>
      <c r="I16" s="123"/>
      <c r="J16" s="726" t="s">
        <v>82</v>
      </c>
    </row>
    <row r="17" s="710" customFormat="1" ht="72.6" customHeight="1" spans="1:12">
      <c r="A17" s="727" t="s">
        <v>83</v>
      </c>
      <c r="B17" s="728" t="s">
        <v>84</v>
      </c>
      <c r="C17" s="729" t="s">
        <v>85</v>
      </c>
      <c r="D17" s="730" t="s">
        <v>86</v>
      </c>
      <c r="E17" s="730" t="s">
        <v>86</v>
      </c>
      <c r="F17" s="730"/>
      <c r="G17" s="731" t="s">
        <v>86</v>
      </c>
      <c r="H17" s="732"/>
      <c r="I17" s="719" t="s">
        <v>87</v>
      </c>
    </row>
    <row r="18" s="710" customFormat="1" ht="53.4" customHeight="1" spans="1:12">
      <c r="A18" s="727" t="s">
        <v>88</v>
      </c>
      <c r="B18" s="733" t="s">
        <v>89</v>
      </c>
      <c r="C18" s="734" t="s">
        <v>85</v>
      </c>
      <c r="D18" s="735" t="s">
        <v>86</v>
      </c>
      <c r="E18" s="735" t="s">
        <v>86</v>
      </c>
      <c r="F18" s="735"/>
      <c r="G18" s="735" t="s">
        <v>86</v>
      </c>
      <c r="H18" s="736"/>
      <c r="I18" s="737" t="s">
        <v>90</v>
      </c>
      <c r="J18" s="738" t="s">
        <v>91</v>
      </c>
      <c r="K18"/>
      <c r="L18"/>
    </row>
    <row r="19" s="710" customFormat="1" ht="37.8" customHeight="1" spans="1:12">
      <c r="A19" s="727" t="s">
        <v>92</v>
      </c>
      <c r="B19" s="739" t="s">
        <v>93</v>
      </c>
      <c r="C19" s="734" t="s">
        <v>94</v>
      </c>
      <c r="D19" s="740" t="s">
        <v>86</v>
      </c>
      <c r="E19" s="736" t="s">
        <v>86</v>
      </c>
      <c r="F19" s="736" t="s">
        <v>86</v>
      </c>
      <c r="G19" s="736" t="s">
        <v>86</v>
      </c>
      <c r="H19" s="736"/>
      <c r="I19" s="719"/>
      <c r="J19" s="741" t="s">
        <v>95</v>
      </c>
      <c r="K19"/>
      <c r="L19"/>
    </row>
    <row r="20" ht="46.2" customHeight="1" spans="1:12">
      <c r="A20" s="727" t="s">
        <v>96</v>
      </c>
      <c r="B20" s="742" t="s">
        <v>97</v>
      </c>
      <c r="C20" s="734" t="s">
        <v>85</v>
      </c>
      <c r="D20" s="736" t="s">
        <v>86</v>
      </c>
      <c r="E20" s="736" t="s">
        <v>86</v>
      </c>
      <c r="F20" s="736"/>
      <c r="G20" s="740" t="s">
        <v>86</v>
      </c>
      <c r="H20" s="736"/>
      <c r="I20" s="719" t="s">
        <v>87</v>
      </c>
    </row>
    <row r="21" ht="36" customHeight="1" spans="1:12">
      <c r="A21" s="727" t="s">
        <v>98</v>
      </c>
      <c r="B21" s="742" t="s">
        <v>99</v>
      </c>
      <c r="C21" s="734" t="s">
        <v>85</v>
      </c>
      <c r="D21" s="740" t="s">
        <v>86</v>
      </c>
      <c r="E21" s="736"/>
      <c r="F21" s="736" t="s">
        <v>86</v>
      </c>
      <c r="G21" s="740"/>
      <c r="H21" s="736"/>
      <c r="I21" s="719" t="s">
        <v>100</v>
      </c>
    </row>
    <row r="22" ht="145.2" customHeight="1" spans="1:12">
      <c r="A22" s="727" t="s">
        <v>101</v>
      </c>
      <c r="B22" s="728" t="s">
        <v>102</v>
      </c>
      <c r="C22" s="729" t="s">
        <v>85</v>
      </c>
      <c r="D22" s="740" t="s">
        <v>86</v>
      </c>
      <c r="E22" s="736" t="s">
        <v>86</v>
      </c>
      <c r="F22" s="736" t="s">
        <v>86</v>
      </c>
      <c r="G22" s="740" t="s">
        <v>86</v>
      </c>
      <c r="H22" s="736"/>
      <c r="I22" s="719" t="s">
        <v>103</v>
      </c>
    </row>
    <row r="23" ht="129" customHeight="1" spans="1:12">
      <c r="A23" s="727" t="s">
        <v>104</v>
      </c>
      <c r="B23" s="743" t="s">
        <v>105</v>
      </c>
      <c r="C23" s="729" t="s">
        <v>85</v>
      </c>
      <c r="D23" s="736"/>
      <c r="E23" s="736"/>
      <c r="F23" s="736"/>
      <c r="G23" s="744" t="s">
        <v>86</v>
      </c>
      <c r="H23" s="736"/>
      <c r="I23" s="719" t="s">
        <v>106</v>
      </c>
    </row>
    <row r="24" ht="94.2" customHeight="1" spans="1:12">
      <c r="A24" s="727" t="s">
        <v>107</v>
      </c>
      <c r="B24" s="745" t="s">
        <v>108</v>
      </c>
      <c r="C24" s="729" t="s">
        <v>94</v>
      </c>
      <c r="D24" s="740" t="s">
        <v>86</v>
      </c>
      <c r="E24" s="746"/>
      <c r="F24" s="736" t="s">
        <v>86</v>
      </c>
      <c r="G24" s="736" t="s">
        <v>86</v>
      </c>
      <c r="H24" s="747"/>
      <c r="I24" s="719"/>
      <c r="J24" s="748" t="s">
        <v>109</v>
      </c>
    </row>
    <row r="25" ht="79.8" customHeight="1" spans="1:12">
      <c r="A25" s="727" t="s">
        <v>110</v>
      </c>
      <c r="B25" s="749" t="s">
        <v>111</v>
      </c>
      <c r="C25" s="729" t="s">
        <v>85</v>
      </c>
      <c r="D25" s="736"/>
      <c r="E25" s="736"/>
      <c r="F25" s="736"/>
      <c r="G25" s="740" t="s">
        <v>86</v>
      </c>
      <c r="H25" s="736"/>
      <c r="I25" s="719" t="s">
        <v>112</v>
      </c>
    </row>
    <row r="26" ht="66.6" customHeight="1" spans="1:12">
      <c r="A26" s="727" t="s">
        <v>113</v>
      </c>
      <c r="B26" s="749" t="s">
        <v>114</v>
      </c>
      <c r="C26" s="750" t="s">
        <v>85</v>
      </c>
      <c r="D26" s="736" t="s">
        <v>86</v>
      </c>
      <c r="E26" s="736" t="s">
        <v>86</v>
      </c>
      <c r="F26" s="736"/>
      <c r="G26" s="740" t="s">
        <v>86</v>
      </c>
      <c r="H26" s="751"/>
      <c r="I26" s="719" t="s">
        <v>51</v>
      </c>
    </row>
    <row r="27" ht="43.2" customHeight="1" spans="1:12">
      <c r="A27" s="727" t="s">
        <v>115</v>
      </c>
      <c r="B27" s="749" t="s">
        <v>116</v>
      </c>
      <c r="C27" s="729" t="s">
        <v>85</v>
      </c>
      <c r="D27" s="736"/>
      <c r="E27" s="736" t="s">
        <v>86</v>
      </c>
      <c r="F27" s="736"/>
      <c r="G27" s="744" t="s">
        <v>86</v>
      </c>
      <c r="H27" s="752"/>
      <c r="I27" s="719" t="s">
        <v>54</v>
      </c>
    </row>
    <row r="28" ht="37.8" customHeight="1" spans="1:12">
      <c r="A28" s="727" t="s">
        <v>117</v>
      </c>
      <c r="B28" s="718" t="s">
        <v>118</v>
      </c>
      <c r="C28" s="729" t="s">
        <v>85</v>
      </c>
      <c r="D28" s="744" t="s">
        <v>86</v>
      </c>
      <c r="E28" s="736" t="s">
        <v>86</v>
      </c>
      <c r="F28" s="736" t="s">
        <v>86</v>
      </c>
      <c r="G28" s="744" t="s">
        <v>86</v>
      </c>
      <c r="H28" s="736" t="s">
        <v>86</v>
      </c>
      <c r="I28" s="719" t="s">
        <v>56</v>
      </c>
    </row>
    <row r="29" ht="30.6" customHeight="1" spans="1:12">
      <c r="A29" s="727" t="s">
        <v>119</v>
      </c>
      <c r="B29" s="749" t="s">
        <v>120</v>
      </c>
      <c r="C29" s="753" t="s">
        <v>121</v>
      </c>
      <c r="D29" s="740" t="s">
        <v>86</v>
      </c>
      <c r="E29" s="477"/>
      <c r="F29" s="736" t="s">
        <v>86</v>
      </c>
      <c r="G29" s="736" t="s">
        <v>86</v>
      </c>
      <c r="H29" s="736"/>
      <c r="I29" s="719" t="s">
        <v>122</v>
      </c>
    </row>
    <row r="30" ht="41.4" customHeight="1" spans="1:12">
      <c r="A30" s="727" t="s">
        <v>123</v>
      </c>
      <c r="B30" s="718" t="s">
        <v>124</v>
      </c>
      <c r="C30" s="753" t="s">
        <v>121</v>
      </c>
      <c r="D30" s="736"/>
      <c r="E30" s="736"/>
      <c r="F30" s="736"/>
      <c r="G30" s="736"/>
      <c r="H30" s="736"/>
      <c r="I30" s="719"/>
    </row>
    <row r="31" ht="27" customHeight="1" spans="1:12">
      <c r="A31" s="727" t="s">
        <v>125</v>
      </c>
      <c r="B31" s="754" t="s">
        <v>126</v>
      </c>
      <c r="C31" s="729" t="s">
        <v>85</v>
      </c>
      <c r="D31" s="736"/>
      <c r="E31" s="736"/>
      <c r="F31" s="736"/>
      <c r="G31" s="736"/>
      <c r="H31" s="736" t="s">
        <v>86</v>
      </c>
      <c r="I31" s="755" t="s">
        <v>127</v>
      </c>
    </row>
    <row r="59" s="711" customFormat="1" customHeight="1" spans="2:9">
      <c r="B59" s="101"/>
      <c r="C59" s="101"/>
      <c r="D59" s="101"/>
      <c r="E59" s="101"/>
      <c r="F59" s="101"/>
      <c r="G59" s="101"/>
      <c r="H59" s="101"/>
      <c r="I59" s="101"/>
    </row>
  </sheetData>
  <mergeCells count="23">
    <mergeCell ref="A1:I1"/>
    <mergeCell ref="A2:I2"/>
    <mergeCell ref="A5:B5"/>
    <mergeCell ref="A8:F8"/>
    <mergeCell ref="G8:I8"/>
    <mergeCell ref="A9:F9"/>
    <mergeCell ref="G9:I9"/>
    <mergeCell ref="A10:F10"/>
    <mergeCell ref="G10:I10"/>
    <mergeCell ref="A11:F11"/>
    <mergeCell ref="G11:I11"/>
    <mergeCell ref="A12:F12"/>
    <mergeCell ref="G12:I12"/>
    <mergeCell ref="A13:F13"/>
    <mergeCell ref="G13:I13"/>
    <mergeCell ref="A14:B14"/>
    <mergeCell ref="D15:H15"/>
    <mergeCell ref="J18:L18"/>
    <mergeCell ref="J19:L19"/>
    <mergeCell ref="A15:A16"/>
    <mergeCell ref="B15:B16"/>
    <mergeCell ref="C15:C16"/>
    <mergeCell ref="I15:I16"/>
  </mergeCells>
  <hyperlinks>
    <hyperlink ref="I3" location="底稿目录!A1" display="H8A"/>
  </hyperlinks>
  <printOptions horizontalCentered="1"/>
  <pageMargins left="0.708661417322835" right="0.708661417322835" top="0.748031496062992" bottom="0.748031496062992" header="0.31496062992126" footer="0.31496062992126"/>
  <pageSetup paperSize="9" scale="68" fitToHeight="2" orientation="portrait" blackAndWhite="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I65"/>
  <sheetViews>
    <sheetView view="pageBreakPreview" zoomScaleNormal="100" workbookViewId="0">
      <selection activeCell="A1" sqref="A1:I1"/>
    </sheetView>
  </sheetViews>
  <sheetFormatPr defaultColWidth="9" defaultRowHeight="19.95" customHeight="1"/>
  <cols>
    <col min="1" max="1" width="25.7" style="675" customWidth="1"/>
    <col min="2" max="7" width="11" style="675" customWidth="1"/>
    <col min="8" max="16384" width="9" style="675" customWidth="1"/>
  </cols>
  <sheetData>
    <row r="1" s="687" customFormat="1" customHeight="1" spans="1:9">
      <c r="A1" s="691" t="s">
        <v>58</v>
      </c>
    </row>
    <row r="2" s="688" customFormat="1" customHeight="1" spans="1:9">
      <c r="A2" s="674" t="s">
        <v>128</v>
      </c>
    </row>
    <row r="3" customHeight="1" spans="1:9">
      <c r="A3" s="3" t="str">
        <f>底稿目录!A2</f>
        <v>被审计单位：</v>
      </c>
      <c r="B3" s="3"/>
      <c r="C3" s="3" t="str">
        <f>底稿目录!A4</f>
        <v>编制人：</v>
      </c>
      <c r="D3" s="3"/>
      <c r="F3" s="3" t="str">
        <f>底稿目录!A6</f>
        <v>编制日期：</v>
      </c>
      <c r="H3" s="7" t="s">
        <v>59</v>
      </c>
      <c r="I3" s="8" t="s">
        <v>12</v>
      </c>
    </row>
    <row r="4" customHeight="1" spans="1:9">
      <c r="A4" s="3" t="str">
        <f>底稿目录!A3</f>
        <v>截止日：202X年12月31日</v>
      </c>
      <c r="B4" s="3"/>
      <c r="C4" s="3" t="str">
        <f>底稿目录!A5</f>
        <v>复核人：</v>
      </c>
      <c r="D4" s="3"/>
      <c r="F4" s="3" t="str">
        <f>底稿目录!A7</f>
        <v>复核日期：</v>
      </c>
      <c r="H4" s="7" t="s">
        <v>60</v>
      </c>
      <c r="I4" s="9"/>
    </row>
    <row r="5" ht="26.4" customHeight="1" spans="1:9">
      <c r="A5" s="692" t="s">
        <v>129</v>
      </c>
      <c r="B5" s="617" t="s">
        <v>130</v>
      </c>
      <c r="C5" s="119"/>
      <c r="D5" s="137"/>
      <c r="E5" s="617" t="s">
        <v>131</v>
      </c>
      <c r="F5" s="119"/>
      <c r="G5" s="137"/>
      <c r="H5" s="693" t="s">
        <v>132</v>
      </c>
      <c r="I5" s="137"/>
    </row>
    <row r="6" customHeight="1" spans="1:9">
      <c r="A6" s="125"/>
      <c r="B6" s="617" t="s">
        <v>133</v>
      </c>
      <c r="C6" s="617" t="s">
        <v>134</v>
      </c>
      <c r="D6" s="617" t="s">
        <v>135</v>
      </c>
      <c r="E6" s="617" t="s">
        <v>133</v>
      </c>
      <c r="F6" s="617" t="s">
        <v>134</v>
      </c>
      <c r="G6" s="617" t="s">
        <v>135</v>
      </c>
      <c r="H6" s="694" t="s">
        <v>136</v>
      </c>
      <c r="I6" s="693" t="s">
        <v>137</v>
      </c>
    </row>
    <row r="7" s="689" customFormat="1" customHeight="1" spans="1:9">
      <c r="A7" s="695" t="s">
        <v>138</v>
      </c>
      <c r="B7" s="696"/>
      <c r="C7" s="696"/>
      <c r="D7" s="696"/>
      <c r="E7" s="696"/>
      <c r="F7" s="696"/>
      <c r="G7" s="696"/>
      <c r="H7" s="643"/>
      <c r="I7" s="697"/>
    </row>
    <row r="8" s="689" customFormat="1" customHeight="1" spans="1:9">
      <c r="A8" s="641" t="str">
        <f>底稿目录!A9</f>
        <v>房屋及建筑物</v>
      </c>
      <c r="B8" s="696">
        <f>'明细表H8-2'!D34</f>
        <v>0</v>
      </c>
      <c r="C8" s="696">
        <f>'明细表H8-2'!L34</f>
        <v>0</v>
      </c>
      <c r="D8" s="696">
        <f>B8+C8</f>
        <v>0</v>
      </c>
      <c r="E8" s="696">
        <f>'明细表H8-2'!K34</f>
        <v>0</v>
      </c>
      <c r="F8" s="696">
        <f>'明细表H8-2'!L34+'明细表H8-2'!M34+'明细表H8-2'!N34+'明细表H8-2'!O34-'明细表H8-2'!P34-'明细表H8-2'!Q34-'明细表H8-2'!R34</f>
        <v>0</v>
      </c>
      <c r="G8" s="696">
        <f>E8+F8</f>
        <v>0</v>
      </c>
      <c r="H8" s="643">
        <f t="shared" ref="H8:H13" si="0">G8-D8</f>
        <v>0</v>
      </c>
      <c r="I8" s="697">
        <f t="shared" ref="I8:I13" si="1">IF(AND(D8=0,H8=0),0,IF(AND(D8=0,H8&gt;0),1,H8/D8))</f>
        <v>0</v>
      </c>
    </row>
    <row r="9" s="689" customFormat="1" customHeight="1" spans="1:9">
      <c r="A9" s="641" t="str">
        <f>底稿目录!A10</f>
        <v>机器设备</v>
      </c>
      <c r="B9" s="696">
        <f>'明细表H8-2'!D35</f>
        <v>0</v>
      </c>
      <c r="C9" s="696">
        <f>'明细表H8-2'!L35</f>
        <v>0</v>
      </c>
      <c r="D9" s="696">
        <f>B9+C9</f>
        <v>0</v>
      </c>
      <c r="E9" s="696">
        <f>'明细表H8-2'!K35</f>
        <v>0</v>
      </c>
      <c r="F9" s="696">
        <f>'明细表H8-2'!L35+'明细表H8-2'!M35+'明细表H8-2'!N35+'明细表H8-2'!O35-'明细表H8-2'!P35-'明细表H8-2'!Q35-'明细表H8-2'!R35</f>
        <v>0</v>
      </c>
      <c r="G9" s="696">
        <f>E9+F9</f>
        <v>0</v>
      </c>
      <c r="H9" s="643">
        <f t="shared" si="0"/>
        <v>0</v>
      </c>
      <c r="I9" s="697">
        <f t="shared" si="1"/>
        <v>0</v>
      </c>
    </row>
    <row r="10" s="689" customFormat="1" customHeight="1" spans="1:9">
      <c r="A10" s="641" t="str">
        <f>底稿目录!A11</f>
        <v>运输设备</v>
      </c>
      <c r="B10" s="696">
        <f>'明细表H8-2'!D36</f>
        <v>0</v>
      </c>
      <c r="C10" s="696">
        <f>'明细表H8-2'!L36</f>
        <v>0</v>
      </c>
      <c r="D10" s="696">
        <f>B10+C10</f>
        <v>0</v>
      </c>
      <c r="E10" s="696">
        <f>'明细表H8-2'!K36</f>
        <v>0</v>
      </c>
      <c r="F10" s="696">
        <f>'明细表H8-2'!L36+'明细表H8-2'!M36+'明细表H8-2'!N36+'明细表H8-2'!O36-'明细表H8-2'!P36-'明细表H8-2'!Q36-'明细表H8-2'!R36</f>
        <v>0</v>
      </c>
      <c r="G10" s="696">
        <f>E10+F10</f>
        <v>0</v>
      </c>
      <c r="H10" s="643">
        <f t="shared" si="0"/>
        <v>0</v>
      </c>
      <c r="I10" s="697">
        <f t="shared" si="1"/>
        <v>0</v>
      </c>
    </row>
    <row r="11" s="689" customFormat="1" customHeight="1" spans="1:9">
      <c r="A11" s="641" t="str">
        <f>底稿目录!A12</f>
        <v>办公设备</v>
      </c>
      <c r="B11" s="696">
        <f>'明细表H8-2'!D37</f>
        <v>0</v>
      </c>
      <c r="C11" s="696">
        <f>'明细表H8-2'!L37</f>
        <v>0</v>
      </c>
      <c r="D11" s="696">
        <f>B11+C11</f>
        <v>0</v>
      </c>
      <c r="E11" s="696">
        <f>'明细表H8-2'!K37</f>
        <v>0</v>
      </c>
      <c r="F11" s="696">
        <f>'明细表H8-2'!L37+'明细表H8-2'!M37+'明细表H8-2'!N37+'明细表H8-2'!O37-'明细表H8-2'!P37-'明细表H8-2'!Q37-'明细表H8-2'!R37</f>
        <v>0</v>
      </c>
      <c r="G11" s="696">
        <f>E11+F11</f>
        <v>0</v>
      </c>
      <c r="H11" s="643">
        <f t="shared" si="0"/>
        <v>0</v>
      </c>
      <c r="I11" s="697">
        <f t="shared" si="1"/>
        <v>0</v>
      </c>
    </row>
    <row r="12" s="689" customFormat="1" customHeight="1" spans="1:9">
      <c r="A12" s="641" t="str">
        <f>底稿目录!A13</f>
        <v>其他设备</v>
      </c>
      <c r="B12" s="696">
        <f>'明细表H8-2'!D38</f>
        <v>0</v>
      </c>
      <c r="C12" s="696">
        <f>'明细表H8-2'!L38</f>
        <v>0</v>
      </c>
      <c r="D12" s="696">
        <f>B12+C12</f>
        <v>0</v>
      </c>
      <c r="E12" s="696">
        <f>'明细表H8-2'!K38</f>
        <v>0</v>
      </c>
      <c r="F12" s="696">
        <f>'明细表H8-2'!L38+'明细表H8-2'!M38+'明细表H8-2'!N38+'明细表H8-2'!O38-'明细表H8-2'!P38-'明细表H8-2'!Q38-'明细表H8-2'!R38</f>
        <v>0</v>
      </c>
      <c r="G12" s="696">
        <f>E12+F12</f>
        <v>0</v>
      </c>
      <c r="H12" s="643">
        <f t="shared" si="0"/>
        <v>0</v>
      </c>
      <c r="I12" s="697">
        <f t="shared" si="1"/>
        <v>0</v>
      </c>
    </row>
    <row r="13" s="689" customFormat="1" customHeight="1" spans="1:9">
      <c r="A13" s="698" t="s">
        <v>139</v>
      </c>
      <c r="B13" s="696">
        <f t="shared" ref="B13:G13" si="2">SUM(B8:B12)</f>
        <v>0</v>
      </c>
      <c r="C13" s="696">
        <f t="shared" si="2"/>
        <v>0</v>
      </c>
      <c r="D13" s="696">
        <f t="shared" si="2"/>
        <v>0</v>
      </c>
      <c r="E13" s="696">
        <f t="shared" si="2"/>
        <v>0</v>
      </c>
      <c r="F13" s="696">
        <f t="shared" si="2"/>
        <v>0</v>
      </c>
      <c r="G13" s="696">
        <f t="shared" si="2"/>
        <v>0</v>
      </c>
      <c r="H13" s="643">
        <f t="shared" si="0"/>
        <v>0</v>
      </c>
      <c r="I13" s="697">
        <f t="shared" si="1"/>
        <v>0</v>
      </c>
    </row>
    <row r="14" s="689" customFormat="1" customHeight="1" spans="1:9">
      <c r="A14" s="695" t="s">
        <v>140</v>
      </c>
      <c r="B14" s="696"/>
      <c r="C14" s="696"/>
      <c r="D14" s="696"/>
      <c r="E14" s="696"/>
      <c r="F14" s="696"/>
      <c r="G14" s="696"/>
      <c r="H14" s="699"/>
      <c r="I14" s="700"/>
    </row>
    <row r="15" s="689" customFormat="1" customHeight="1" spans="1:9">
      <c r="A15" s="641" t="str">
        <f>A8</f>
        <v>房屋及建筑物</v>
      </c>
      <c r="B15" s="696">
        <f>'明细表H8-2'!W34</f>
        <v>0</v>
      </c>
      <c r="C15" s="696">
        <f>'明细表H8-2'!AD34</f>
        <v>0</v>
      </c>
      <c r="D15" s="696">
        <f>B15+C15</f>
        <v>0</v>
      </c>
      <c r="E15" s="696">
        <f>'明细表H8-2'!AC34</f>
        <v>0</v>
      </c>
      <c r="F15" s="696">
        <f>'明细表H8-2'!AD34+'明细表H8-2'!AE34+'明细表H8-2'!AF34-'明细表H8-2'!AG34-'明细表H8-2'!AH34-'明细表H8-2'!AI34</f>
        <v>0</v>
      </c>
      <c r="G15" s="696">
        <f>E15+F15</f>
        <v>0</v>
      </c>
      <c r="H15" s="643">
        <f t="shared" ref="H15:H20" si="3">G15-D15</f>
        <v>0</v>
      </c>
      <c r="I15" s="697">
        <f t="shared" ref="I15:I20" si="4">IF(AND(D15=0,H15=0),0,IF(AND(D15=0,H15&gt;0),1,H15/D15))</f>
        <v>0</v>
      </c>
    </row>
    <row r="16" s="689" customFormat="1" customHeight="1" spans="1:9">
      <c r="A16" s="641" t="str">
        <f>A9</f>
        <v>机器设备</v>
      </c>
      <c r="B16" s="696">
        <f>'明细表H8-2'!W35</f>
        <v>0</v>
      </c>
      <c r="C16" s="696">
        <f>'明细表H8-2'!AD35</f>
        <v>0</v>
      </c>
      <c r="D16" s="696">
        <f>B16+C16</f>
        <v>0</v>
      </c>
      <c r="E16" s="696">
        <f>'明细表H8-2'!AC35</f>
        <v>0</v>
      </c>
      <c r="F16" s="696">
        <f>'明细表H8-2'!AD35+'明细表H8-2'!AE35+'明细表H8-2'!AF35-'明细表H8-2'!AG35-'明细表H8-2'!AH35-'明细表H8-2'!AI35</f>
        <v>0</v>
      </c>
      <c r="G16" s="696">
        <f>E16+F16</f>
        <v>0</v>
      </c>
      <c r="H16" s="643">
        <f t="shared" si="3"/>
        <v>0</v>
      </c>
      <c r="I16" s="697">
        <f t="shared" si="4"/>
        <v>0</v>
      </c>
    </row>
    <row r="17" s="689" customFormat="1" customHeight="1" spans="1:9">
      <c r="A17" s="641" t="str">
        <f>A10</f>
        <v>运输设备</v>
      </c>
      <c r="B17" s="696">
        <f>'明细表H8-2'!W36</f>
        <v>0</v>
      </c>
      <c r="C17" s="696">
        <f>'明细表H8-2'!AD36</f>
        <v>0</v>
      </c>
      <c r="D17" s="696">
        <f>B17+C17</f>
        <v>0</v>
      </c>
      <c r="E17" s="696">
        <f>'明细表H8-2'!AC36</f>
        <v>0</v>
      </c>
      <c r="F17" s="696">
        <f>'明细表H8-2'!AD36+'明细表H8-2'!AE36+'明细表H8-2'!AF36-'明细表H8-2'!AG36-'明细表H8-2'!AH36-'明细表H8-2'!AI36</f>
        <v>0</v>
      </c>
      <c r="G17" s="696">
        <f>E17+F17</f>
        <v>0</v>
      </c>
      <c r="H17" s="643">
        <f t="shared" si="3"/>
        <v>0</v>
      </c>
      <c r="I17" s="697">
        <f t="shared" si="4"/>
        <v>0</v>
      </c>
    </row>
    <row r="18" s="689" customFormat="1" customHeight="1" spans="1:9">
      <c r="A18" s="641" t="str">
        <f>A11</f>
        <v>办公设备</v>
      </c>
      <c r="B18" s="696">
        <f>'明细表H8-2'!W37</f>
        <v>0</v>
      </c>
      <c r="C18" s="696">
        <f>'明细表H8-2'!AD37</f>
        <v>0</v>
      </c>
      <c r="D18" s="696">
        <f>B18+C18</f>
        <v>0</v>
      </c>
      <c r="E18" s="696">
        <f>'明细表H8-2'!AC37</f>
        <v>0</v>
      </c>
      <c r="F18" s="696">
        <f>'明细表H8-2'!AD37+'明细表H8-2'!AE37+'明细表H8-2'!AF37-'明细表H8-2'!AG37-'明细表H8-2'!AH37-'明细表H8-2'!AI37</f>
        <v>0</v>
      </c>
      <c r="G18" s="696">
        <f>E18+F18</f>
        <v>0</v>
      </c>
      <c r="H18" s="643">
        <f t="shared" si="3"/>
        <v>0</v>
      </c>
      <c r="I18" s="697">
        <f t="shared" si="4"/>
        <v>0</v>
      </c>
    </row>
    <row r="19" s="689" customFormat="1" customHeight="1" spans="1:9">
      <c r="A19" s="641" t="str">
        <f>A12</f>
        <v>其他设备</v>
      </c>
      <c r="B19" s="696">
        <f>'明细表H8-2'!W38</f>
        <v>0</v>
      </c>
      <c r="C19" s="696">
        <f>'明细表H8-2'!AD38</f>
        <v>0</v>
      </c>
      <c r="D19" s="696">
        <f>B19+C19</f>
        <v>0</v>
      </c>
      <c r="E19" s="696">
        <f>'明细表H8-2'!AC38</f>
        <v>0</v>
      </c>
      <c r="F19" s="696">
        <f>'明细表H8-2'!AD38+'明细表H8-2'!AE38+'明细表H8-2'!AF38-'明细表H8-2'!AG38-'明细表H8-2'!AH38-'明细表H8-2'!AI38</f>
        <v>0</v>
      </c>
      <c r="G19" s="696">
        <f>E19+F19</f>
        <v>0</v>
      </c>
      <c r="H19" s="643">
        <f t="shared" si="3"/>
        <v>0</v>
      </c>
      <c r="I19" s="697">
        <f t="shared" si="4"/>
        <v>0</v>
      </c>
    </row>
    <row r="20" s="689" customFormat="1" customHeight="1" spans="1:9">
      <c r="A20" s="698" t="s">
        <v>139</v>
      </c>
      <c r="B20" s="696">
        <f t="shared" ref="B20:G20" si="5">SUM(B15:B19)</f>
        <v>0</v>
      </c>
      <c r="C20" s="696">
        <f t="shared" si="5"/>
        <v>0</v>
      </c>
      <c r="D20" s="696">
        <f t="shared" si="5"/>
        <v>0</v>
      </c>
      <c r="E20" s="696">
        <f t="shared" si="5"/>
        <v>0</v>
      </c>
      <c r="F20" s="696">
        <f t="shared" si="5"/>
        <v>0</v>
      </c>
      <c r="G20" s="696">
        <f t="shared" si="5"/>
        <v>0</v>
      </c>
      <c r="H20" s="643">
        <f t="shared" si="3"/>
        <v>0</v>
      </c>
      <c r="I20" s="697">
        <f t="shared" si="4"/>
        <v>0</v>
      </c>
    </row>
    <row r="21" s="689" customFormat="1" customHeight="1" spans="1:9">
      <c r="A21" s="695" t="s">
        <v>141</v>
      </c>
      <c r="B21" s="696"/>
      <c r="C21" s="696"/>
      <c r="D21" s="696"/>
      <c r="E21" s="696"/>
      <c r="F21" s="696"/>
      <c r="G21" s="696"/>
      <c r="H21" s="699"/>
      <c r="I21" s="697"/>
    </row>
    <row r="22" s="689" customFormat="1" customHeight="1" spans="1:9">
      <c r="A22" s="641" t="str">
        <f>A15</f>
        <v>房屋及建筑物</v>
      </c>
      <c r="B22" s="696">
        <f>'明细表H8-2'!AN34</f>
        <v>0</v>
      </c>
      <c r="C22" s="696">
        <f>'明细表H8-2'!AU34</f>
        <v>0</v>
      </c>
      <c r="D22" s="696">
        <f>B22+C22</f>
        <v>0</v>
      </c>
      <c r="E22" s="696">
        <f>'明细表H8-2'!AT34</f>
        <v>0</v>
      </c>
      <c r="F22" s="696">
        <f>'明细表H8-2'!AU34+'明细表H8-2'!AV34+'明细表H8-2'!AW34-'明细表H8-2'!AX34-'明细表H8-2'!AY34-'明细表H8-2'!AZ34</f>
        <v>0</v>
      </c>
      <c r="G22" s="696">
        <f>E22+F22</f>
        <v>0</v>
      </c>
      <c r="H22" s="643">
        <f t="shared" ref="H22:H27" si="6">G22-D22</f>
        <v>0</v>
      </c>
      <c r="I22" s="697">
        <f t="shared" ref="I22:I27" si="7">IF(AND(D22=0,H22=0),0,IF(AND(D22=0,H22&gt;0),1,H22/D22))</f>
        <v>0</v>
      </c>
    </row>
    <row r="23" s="689" customFormat="1" customHeight="1" spans="1:9">
      <c r="A23" s="641" t="str">
        <f>A16</f>
        <v>机器设备</v>
      </c>
      <c r="B23" s="696">
        <f>'明细表H8-2'!AN35</f>
        <v>0</v>
      </c>
      <c r="C23" s="696">
        <f>'明细表H8-2'!AU35</f>
        <v>0</v>
      </c>
      <c r="D23" s="696">
        <f>B23+C23</f>
        <v>0</v>
      </c>
      <c r="E23" s="696">
        <f>'明细表H8-2'!AT35</f>
        <v>0</v>
      </c>
      <c r="F23" s="696">
        <f>'明细表H8-2'!AU35+'明细表H8-2'!AV35+'明细表H8-2'!AW35-'明细表H8-2'!AX35-'明细表H8-2'!AY35-'明细表H8-2'!AZ35</f>
        <v>0</v>
      </c>
      <c r="G23" s="696">
        <f>E23+F23</f>
        <v>0</v>
      </c>
      <c r="H23" s="643">
        <f t="shared" si="6"/>
        <v>0</v>
      </c>
      <c r="I23" s="697">
        <f t="shared" si="7"/>
        <v>0</v>
      </c>
    </row>
    <row r="24" s="689" customFormat="1" customHeight="1" spans="1:9">
      <c r="A24" s="641" t="str">
        <f>A17</f>
        <v>运输设备</v>
      </c>
      <c r="B24" s="696">
        <f>'明细表H8-2'!AN36</f>
        <v>0</v>
      </c>
      <c r="C24" s="696">
        <f>'明细表H8-2'!AU36</f>
        <v>0</v>
      </c>
      <c r="D24" s="696">
        <f>B24+C24</f>
        <v>0</v>
      </c>
      <c r="E24" s="696">
        <f>'明细表H8-2'!AT36</f>
        <v>0</v>
      </c>
      <c r="F24" s="696">
        <f>'明细表H8-2'!AU36+'明细表H8-2'!AV36+'明细表H8-2'!AW36-'明细表H8-2'!AX36-'明细表H8-2'!AY36-'明细表H8-2'!AZ36</f>
        <v>0</v>
      </c>
      <c r="G24" s="696">
        <f>E24+F24</f>
        <v>0</v>
      </c>
      <c r="H24" s="643">
        <f t="shared" si="6"/>
        <v>0</v>
      </c>
      <c r="I24" s="697">
        <f t="shared" si="7"/>
        <v>0</v>
      </c>
    </row>
    <row r="25" s="689" customFormat="1" customHeight="1" spans="1:9">
      <c r="A25" s="641" t="str">
        <f>A18</f>
        <v>办公设备</v>
      </c>
      <c r="B25" s="696">
        <f>'明细表H8-2'!AN37</f>
        <v>0</v>
      </c>
      <c r="C25" s="696">
        <f>'明细表H8-2'!AU37</f>
        <v>0</v>
      </c>
      <c r="D25" s="696">
        <f>B25+C25</f>
        <v>0</v>
      </c>
      <c r="E25" s="696">
        <f>'明细表H8-2'!AT37</f>
        <v>0</v>
      </c>
      <c r="F25" s="696">
        <f>'明细表H8-2'!AU37+'明细表H8-2'!AV37+'明细表H8-2'!AW37-'明细表H8-2'!AX37-'明细表H8-2'!AY37-'明细表H8-2'!AZ37</f>
        <v>0</v>
      </c>
      <c r="G25" s="696">
        <f>E25+F25</f>
        <v>0</v>
      </c>
      <c r="H25" s="643">
        <f t="shared" si="6"/>
        <v>0</v>
      </c>
      <c r="I25" s="697">
        <f t="shared" si="7"/>
        <v>0</v>
      </c>
    </row>
    <row r="26" s="689" customFormat="1" customHeight="1" spans="1:9">
      <c r="A26" s="641" t="str">
        <f>A19</f>
        <v>其他设备</v>
      </c>
      <c r="B26" s="696">
        <f>'明细表H8-2'!AN38</f>
        <v>0</v>
      </c>
      <c r="C26" s="696">
        <f>'明细表H8-2'!AU38</f>
        <v>0</v>
      </c>
      <c r="D26" s="696">
        <f>B26+C26</f>
        <v>0</v>
      </c>
      <c r="E26" s="696">
        <f>'明细表H8-2'!AT38</f>
        <v>0</v>
      </c>
      <c r="F26" s="696">
        <f>'明细表H8-2'!AU38+'明细表H8-2'!AV38+'明细表H8-2'!AW38-'明细表H8-2'!AX38-'明细表H8-2'!AY38-'明细表H8-2'!AZ38</f>
        <v>0</v>
      </c>
      <c r="G26" s="696">
        <f>E26+F26</f>
        <v>0</v>
      </c>
      <c r="H26" s="643">
        <f t="shared" si="6"/>
        <v>0</v>
      </c>
      <c r="I26" s="697">
        <f t="shared" si="7"/>
        <v>0</v>
      </c>
    </row>
    <row r="27" s="689" customFormat="1" customHeight="1" spans="1:9">
      <c r="A27" s="698" t="s">
        <v>139</v>
      </c>
      <c r="B27" s="696">
        <f t="shared" ref="B27:G27" si="8">SUM(B22:B26)</f>
        <v>0</v>
      </c>
      <c r="C27" s="696">
        <f t="shared" si="8"/>
        <v>0</v>
      </c>
      <c r="D27" s="696">
        <f t="shared" si="8"/>
        <v>0</v>
      </c>
      <c r="E27" s="696">
        <f t="shared" si="8"/>
        <v>0</v>
      </c>
      <c r="F27" s="696">
        <f t="shared" si="8"/>
        <v>0</v>
      </c>
      <c r="G27" s="696">
        <f t="shared" si="8"/>
        <v>0</v>
      </c>
      <c r="H27" s="643">
        <f t="shared" si="6"/>
        <v>0</v>
      </c>
      <c r="I27" s="697">
        <f t="shared" si="7"/>
        <v>0</v>
      </c>
    </row>
    <row r="28" s="689" customFormat="1" customHeight="1" spans="1:9">
      <c r="A28" s="695" t="s">
        <v>142</v>
      </c>
      <c r="B28" s="696"/>
      <c r="C28" s="696"/>
      <c r="D28" s="696"/>
      <c r="E28" s="696"/>
      <c r="F28" s="696"/>
      <c r="G28" s="696"/>
      <c r="H28" s="643"/>
      <c r="I28" s="697"/>
    </row>
    <row r="29" s="689" customFormat="1" customHeight="1" spans="1:9">
      <c r="A29" s="641" t="str">
        <f>A22</f>
        <v>房屋及建筑物</v>
      </c>
      <c r="B29" s="696">
        <f t="shared" ref="B29:G29" si="9">B8-B15-B22</f>
        <v>0</v>
      </c>
      <c r="C29" s="696">
        <f t="shared" si="9"/>
        <v>0</v>
      </c>
      <c r="D29" s="696">
        <f t="shared" si="9"/>
        <v>0</v>
      </c>
      <c r="E29" s="696">
        <f t="shared" si="9"/>
        <v>0</v>
      </c>
      <c r="F29" s="696">
        <f t="shared" si="9"/>
        <v>0</v>
      </c>
      <c r="G29" s="696">
        <f t="shared" si="9"/>
        <v>0</v>
      </c>
      <c r="H29" s="643">
        <f t="shared" ref="H29:H34" si="10">G29-D29</f>
        <v>0</v>
      </c>
      <c r="I29" s="697">
        <f t="shared" ref="I29:I34" si="11">IF(AND(D29=0,H29=0),0,IF(AND(D29=0,H29&gt;0),1,H29/D29))</f>
        <v>0</v>
      </c>
    </row>
    <row r="30" s="689" customFormat="1" customHeight="1" spans="1:9">
      <c r="A30" s="641" t="str">
        <f>A23</f>
        <v>机器设备</v>
      </c>
      <c r="B30" s="696">
        <f t="shared" ref="B30:G30" si="12">B9-B16-B23</f>
        <v>0</v>
      </c>
      <c r="C30" s="696">
        <f t="shared" si="12"/>
        <v>0</v>
      </c>
      <c r="D30" s="696">
        <f t="shared" si="12"/>
        <v>0</v>
      </c>
      <c r="E30" s="696">
        <f t="shared" si="12"/>
        <v>0</v>
      </c>
      <c r="F30" s="696">
        <f t="shared" si="12"/>
        <v>0</v>
      </c>
      <c r="G30" s="696">
        <f t="shared" si="12"/>
        <v>0</v>
      </c>
      <c r="H30" s="643">
        <f t="shared" si="10"/>
        <v>0</v>
      </c>
      <c r="I30" s="697">
        <f t="shared" si="11"/>
        <v>0</v>
      </c>
    </row>
    <row r="31" s="689" customFormat="1" customHeight="1" spans="1:9">
      <c r="A31" s="641" t="str">
        <f>A24</f>
        <v>运输设备</v>
      </c>
      <c r="B31" s="696">
        <f t="shared" ref="B31:G31" si="13">B10-B17-B24</f>
        <v>0</v>
      </c>
      <c r="C31" s="696">
        <f t="shared" si="13"/>
        <v>0</v>
      </c>
      <c r="D31" s="696">
        <f t="shared" si="13"/>
        <v>0</v>
      </c>
      <c r="E31" s="696">
        <f t="shared" si="13"/>
        <v>0</v>
      </c>
      <c r="F31" s="696">
        <f t="shared" si="13"/>
        <v>0</v>
      </c>
      <c r="G31" s="696">
        <f t="shared" si="13"/>
        <v>0</v>
      </c>
      <c r="H31" s="643">
        <f t="shared" si="10"/>
        <v>0</v>
      </c>
      <c r="I31" s="697">
        <f t="shared" si="11"/>
        <v>0</v>
      </c>
    </row>
    <row r="32" s="689" customFormat="1" customHeight="1" spans="1:9">
      <c r="A32" s="641" t="str">
        <f>A25</f>
        <v>办公设备</v>
      </c>
      <c r="B32" s="696">
        <f t="shared" ref="B32:G32" si="14">B11-B18-B25</f>
        <v>0</v>
      </c>
      <c r="C32" s="696">
        <f t="shared" si="14"/>
        <v>0</v>
      </c>
      <c r="D32" s="696">
        <f t="shared" si="14"/>
        <v>0</v>
      </c>
      <c r="E32" s="696">
        <f t="shared" si="14"/>
        <v>0</v>
      </c>
      <c r="F32" s="696">
        <f t="shared" si="14"/>
        <v>0</v>
      </c>
      <c r="G32" s="696">
        <f t="shared" si="14"/>
        <v>0</v>
      </c>
      <c r="H32" s="643">
        <f t="shared" si="10"/>
        <v>0</v>
      </c>
      <c r="I32" s="697">
        <f t="shared" si="11"/>
        <v>0</v>
      </c>
    </row>
    <row r="33" s="689" customFormat="1" customHeight="1" spans="1:9">
      <c r="A33" s="641" t="str">
        <f>A26</f>
        <v>其他设备</v>
      </c>
      <c r="B33" s="696">
        <f t="shared" ref="B33:G33" si="15">B12-B19-B26</f>
        <v>0</v>
      </c>
      <c r="C33" s="696">
        <f t="shared" si="15"/>
        <v>0</v>
      </c>
      <c r="D33" s="696">
        <f t="shared" si="15"/>
        <v>0</v>
      </c>
      <c r="E33" s="696">
        <f t="shared" si="15"/>
        <v>0</v>
      </c>
      <c r="F33" s="696">
        <f t="shared" si="15"/>
        <v>0</v>
      </c>
      <c r="G33" s="696">
        <f t="shared" si="15"/>
        <v>0</v>
      </c>
      <c r="H33" s="643">
        <f t="shared" si="10"/>
        <v>0</v>
      </c>
      <c r="I33" s="697">
        <f t="shared" si="11"/>
        <v>0</v>
      </c>
    </row>
    <row r="34" s="689" customFormat="1" customHeight="1" spans="1:9">
      <c r="A34" s="698" t="s">
        <v>139</v>
      </c>
      <c r="B34" s="696">
        <f t="shared" ref="B34:G34" si="16">SUM(B29:B33)</f>
        <v>0</v>
      </c>
      <c r="C34" s="696">
        <f t="shared" si="16"/>
        <v>0</v>
      </c>
      <c r="D34" s="696">
        <f t="shared" si="16"/>
        <v>0</v>
      </c>
      <c r="E34" s="696">
        <f t="shared" si="16"/>
        <v>0</v>
      </c>
      <c r="F34" s="696">
        <f t="shared" si="16"/>
        <v>0</v>
      </c>
      <c r="G34" s="696">
        <f t="shared" si="16"/>
        <v>0</v>
      </c>
      <c r="H34" s="643">
        <f t="shared" si="10"/>
        <v>0</v>
      </c>
      <c r="I34" s="697">
        <f t="shared" si="11"/>
        <v>0</v>
      </c>
    </row>
    <row r="35" s="689" customFormat="1" customHeight="1" spans="1:9">
      <c r="A35" s="701" t="s">
        <v>143</v>
      </c>
      <c r="B35" s="702"/>
      <c r="C35" s="702"/>
      <c r="D35" s="703"/>
      <c r="E35" s="696"/>
      <c r="F35" s="696"/>
      <c r="G35" s="703"/>
      <c r="H35" s="643"/>
      <c r="I35" s="697"/>
    </row>
    <row r="36" s="689" customFormat="1" customHeight="1" spans="1:9">
      <c r="A36" s="701" t="s">
        <v>144</v>
      </c>
      <c r="B36" s="696"/>
      <c r="C36" s="696"/>
      <c r="D36" s="696">
        <f>D34-D35</f>
        <v>0</v>
      </c>
      <c r="E36" s="696"/>
      <c r="F36" s="696"/>
      <c r="G36" s="696">
        <f>G34-G35</f>
        <v>0</v>
      </c>
      <c r="H36" s="643"/>
      <c r="I36" s="697"/>
    </row>
    <row r="37" customHeight="1" spans="1:9">
      <c r="A37" s="704" t="s">
        <v>145</v>
      </c>
    </row>
    <row r="38" customHeight="1" spans="1:9">
      <c r="A38" s="705" t="s">
        <v>146</v>
      </c>
      <c r="D38" s="706"/>
    </row>
    <row r="39" customHeight="1" spans="1:9">
      <c r="A39" s="705" t="s">
        <v>147</v>
      </c>
    </row>
    <row r="41" customHeight="1" spans="1:9">
      <c r="A41" s="675" t="s">
        <v>148</v>
      </c>
    </row>
    <row r="43" customHeight="1" spans="1:9">
      <c r="A43" s="675" t="s">
        <v>149</v>
      </c>
    </row>
    <row r="44" customHeight="1" spans="1:9">
      <c r="A44" s="707"/>
    </row>
    <row r="45" customHeight="1" spans="1:9">
      <c r="A45" s="704" t="s">
        <v>150</v>
      </c>
    </row>
    <row r="49" s="690" customFormat="1" customHeight="1" spans="1:1">
      <c r="A49" s="708"/>
    </row>
    <row r="50" s="690" customFormat="1" customHeight="1"/>
    <row r="51" s="690" customFormat="1" customHeight="1"/>
    <row r="52" s="690" customFormat="1" customHeight="1"/>
    <row r="53" s="690" customFormat="1" customHeight="1"/>
    <row r="54" s="690" customFormat="1" customHeight="1"/>
    <row r="55" s="690" customFormat="1" customHeight="1"/>
    <row r="56" s="690" customFormat="1" customHeight="1" spans="1:1">
      <c r="A56" s="709"/>
    </row>
    <row r="57" s="690" customFormat="1" customHeight="1"/>
    <row r="58" s="690" customFormat="1" customHeight="1"/>
    <row r="59" customHeight="1" spans="1:1">
      <c r="A59" s="690"/>
    </row>
    <row r="60" customHeight="1" spans="1:1">
      <c r="A60" s="690"/>
    </row>
    <row r="61" customHeight="1" spans="1:1">
      <c r="A61" s="690"/>
    </row>
    <row r="62" customHeight="1" spans="1:1">
      <c r="A62" s="690"/>
    </row>
    <row r="63" customHeight="1" spans="1:1">
      <c r="A63" s="690"/>
    </row>
    <row r="65" customHeight="1" spans="1:1">
      <c r="A65" s="690"/>
    </row>
  </sheetData>
  <mergeCells count="6">
    <mergeCell ref="A1:I1"/>
    <mergeCell ref="A2:I2"/>
    <mergeCell ref="B5:D5"/>
    <mergeCell ref="E5:G5"/>
    <mergeCell ref="H5:I5"/>
    <mergeCell ref="A5:A6"/>
  </mergeCells>
  <hyperlinks>
    <hyperlink ref="I3" location="底稿目录!A1" display="H8-1"/>
  </hyperlinks>
  <printOptions horizontalCentered="1"/>
  <pageMargins left="0.826771653543307" right="0.354330708661417" top="0.590551181102362" bottom="0.433070866141732" header="0.511811023622047" footer="0.275590551181102"/>
  <pageSetup paperSize="9" scale="77" fitToHeight="3" orientation="portrait" blackAndWhite="1"/>
  <headerFooter alignWithMargins="0">
    <oddFooter>&amp;C&amp;P/&amp;N</oddFooter>
  </headerFooter>
  <rowBreaks count="1" manualBreakCount="1">
    <brk id="27" max="11"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48"/>
  <sheetViews>
    <sheetView view="pageBreakPreview" zoomScaleNormal="100" workbookViewId="0">
      <selection activeCell="A1" sqref="A1:F1"/>
    </sheetView>
  </sheetViews>
  <sheetFormatPr defaultColWidth="9" defaultRowHeight="19.95" customHeight="1" outlineLevelCol="6"/>
  <cols>
    <col min="1" max="1" width="27.2" style="167" customWidth="1"/>
    <col min="2" max="6" width="17.2" style="167" customWidth="1"/>
    <col min="7" max="7" width="14.6" style="167" customWidth="1"/>
    <col min="8" max="8" width="14.1" style="167" customWidth="1"/>
    <col min="9" max="16384" width="9" style="167" customWidth="1"/>
  </cols>
  <sheetData>
    <row r="1" s="655" customFormat="1" customHeight="1" spans="1:7">
      <c r="A1" s="672" t="s">
        <v>58</v>
      </c>
      <c r="G1" s="673"/>
    </row>
    <row r="2" s="656" customFormat="1" customHeight="1" spans="1:7">
      <c r="A2" s="674" t="s">
        <v>151</v>
      </c>
    </row>
    <row r="3" customHeight="1" spans="1:7">
      <c r="A3" s="3" t="str">
        <f>底稿目录!A2</f>
        <v>被审计单位：</v>
      </c>
      <c r="B3" s="3"/>
      <c r="C3" s="3" t="str">
        <f>底稿目录!A4</f>
        <v>编制人：</v>
      </c>
      <c r="D3" s="3"/>
      <c r="E3" s="3" t="str">
        <f>底稿目录!A6</f>
        <v>编制日期：</v>
      </c>
      <c r="F3" s="661" t="s">
        <v>59</v>
      </c>
      <c r="G3" s="675"/>
    </row>
    <row r="4" customHeight="1" spans="1:7">
      <c r="A4" s="3" t="str">
        <f>底稿目录!A3</f>
        <v>截止日：202X年12月31日</v>
      </c>
      <c r="B4" s="3"/>
      <c r="C4" s="3" t="str">
        <f>底稿目录!A5</f>
        <v>复核人：</v>
      </c>
      <c r="D4" s="3"/>
      <c r="E4" s="3" t="str">
        <f>底稿目录!A7</f>
        <v>复核日期：</v>
      </c>
      <c r="F4" s="661" t="s">
        <v>60</v>
      </c>
      <c r="G4" s="675"/>
    </row>
    <row r="5" customHeight="1" spans="1:7">
      <c r="A5" s="662"/>
      <c r="B5" s="676"/>
      <c r="C5" s="676"/>
      <c r="D5" s="676"/>
      <c r="E5" s="676"/>
      <c r="F5" s="676"/>
    </row>
    <row r="6" customHeight="1" spans="1:7">
      <c r="A6" s="677" t="s">
        <v>152</v>
      </c>
      <c r="B6" s="678" t="s">
        <v>21</v>
      </c>
      <c r="C6" s="678" t="s">
        <v>24</v>
      </c>
      <c r="D6" s="678" t="s">
        <v>27</v>
      </c>
      <c r="E6" s="678" t="s">
        <v>36</v>
      </c>
      <c r="F6" s="678" t="s">
        <v>153</v>
      </c>
      <c r="G6" s="8" t="s">
        <v>154</v>
      </c>
    </row>
    <row r="7" customHeight="1" spans="1:7">
      <c r="A7" s="679" t="s">
        <v>155</v>
      </c>
      <c r="B7" s="680"/>
      <c r="C7" s="168"/>
      <c r="D7" s="168"/>
      <c r="E7" s="168"/>
      <c r="F7" s="168"/>
    </row>
    <row r="8" customHeight="1" spans="1:7">
      <c r="A8" s="679" t="s">
        <v>156</v>
      </c>
      <c r="B8" s="168"/>
      <c r="C8" s="168"/>
      <c r="D8" s="168"/>
      <c r="E8" s="168"/>
      <c r="F8" s="168"/>
    </row>
    <row r="9" customHeight="1" spans="1:7">
      <c r="A9" s="679" t="s">
        <v>157</v>
      </c>
      <c r="B9" s="168"/>
      <c r="C9" s="168"/>
      <c r="D9" s="168"/>
      <c r="E9" s="168"/>
      <c r="F9" s="168"/>
    </row>
    <row r="10" customHeight="1" spans="1:7">
      <c r="A10" s="679" t="s">
        <v>158</v>
      </c>
      <c r="B10" s="168"/>
      <c r="C10" s="168"/>
      <c r="D10" s="168"/>
      <c r="E10" s="168"/>
      <c r="F10" s="168"/>
    </row>
    <row r="11" customHeight="1" spans="1:7">
      <c r="A11" s="679" t="s">
        <v>159</v>
      </c>
      <c r="B11" s="168"/>
      <c r="C11" s="168"/>
      <c r="D11" s="168"/>
      <c r="E11" s="168"/>
      <c r="F11" s="168"/>
    </row>
    <row r="12" customHeight="1" spans="1:7">
      <c r="A12" s="679" t="s">
        <v>160</v>
      </c>
      <c r="B12" s="168"/>
      <c r="C12" s="168"/>
      <c r="D12" s="168"/>
      <c r="E12" s="168"/>
      <c r="F12" s="168"/>
    </row>
    <row r="13" customHeight="1" spans="1:7">
      <c r="A13" s="679" t="s">
        <v>161</v>
      </c>
      <c r="B13" s="168"/>
      <c r="C13" s="168"/>
      <c r="D13" s="168"/>
      <c r="E13" s="168"/>
      <c r="F13" s="168"/>
    </row>
    <row r="14" customHeight="1" spans="1:7">
      <c r="A14" s="679" t="s">
        <v>162</v>
      </c>
      <c r="B14" s="168"/>
      <c r="C14" s="168"/>
      <c r="D14" s="168"/>
      <c r="E14" s="168"/>
      <c r="F14" s="168"/>
    </row>
    <row r="15" customHeight="1" spans="1:7">
      <c r="A15" s="679" t="s">
        <v>163</v>
      </c>
      <c r="B15" s="168"/>
      <c r="C15" s="168"/>
      <c r="D15" s="168"/>
      <c r="E15" s="168"/>
      <c r="F15" s="168"/>
    </row>
    <row r="16" customHeight="1" spans="1:7">
      <c r="A16" s="679" t="s">
        <v>164</v>
      </c>
      <c r="B16" s="168"/>
      <c r="C16" s="168"/>
      <c r="D16" s="168"/>
      <c r="E16" s="168"/>
      <c r="F16" s="168"/>
    </row>
    <row r="17" customHeight="1" spans="1:6">
      <c r="A17" s="679" t="s">
        <v>160</v>
      </c>
      <c r="B17" s="168"/>
      <c r="C17" s="168"/>
      <c r="D17" s="168"/>
      <c r="E17" s="168"/>
      <c r="F17" s="168"/>
    </row>
    <row r="18" customHeight="1" spans="1:6">
      <c r="A18" s="679" t="s">
        <v>165</v>
      </c>
      <c r="B18" s="168"/>
      <c r="C18" s="168"/>
      <c r="D18" s="168"/>
      <c r="E18" s="168"/>
      <c r="F18" s="168"/>
    </row>
    <row r="19" customHeight="1" spans="1:6">
      <c r="A19" s="679" t="s">
        <v>140</v>
      </c>
      <c r="B19" s="680"/>
      <c r="C19" s="168"/>
      <c r="D19" s="168"/>
      <c r="E19" s="168"/>
      <c r="F19" s="168"/>
    </row>
    <row r="20" customHeight="1" spans="1:6">
      <c r="A20" s="679" t="s">
        <v>156</v>
      </c>
      <c r="B20" s="168"/>
      <c r="C20" s="168"/>
      <c r="D20" s="168"/>
      <c r="E20" s="168"/>
      <c r="F20" s="168"/>
    </row>
    <row r="21" customHeight="1" spans="1:6">
      <c r="A21" s="679" t="s">
        <v>157</v>
      </c>
      <c r="B21" s="168"/>
      <c r="C21" s="168"/>
      <c r="D21" s="168"/>
      <c r="E21" s="168"/>
      <c r="F21" s="168"/>
    </row>
    <row r="22" customHeight="1" spans="1:6">
      <c r="A22" s="679" t="s">
        <v>166</v>
      </c>
      <c r="B22" s="168"/>
      <c r="C22" s="168"/>
      <c r="D22" s="168"/>
      <c r="E22" s="168"/>
      <c r="F22" s="168"/>
    </row>
    <row r="23" customHeight="1" spans="1:6">
      <c r="A23" s="679" t="s">
        <v>167</v>
      </c>
      <c r="B23" s="168"/>
      <c r="C23" s="168"/>
      <c r="D23" s="168"/>
      <c r="E23" s="168"/>
      <c r="F23" s="168"/>
    </row>
    <row r="24" customHeight="1" spans="1:6">
      <c r="A24" s="679" t="s">
        <v>160</v>
      </c>
      <c r="B24" s="168"/>
      <c r="C24" s="168"/>
      <c r="D24" s="168"/>
      <c r="E24" s="168"/>
      <c r="F24" s="168"/>
    </row>
    <row r="25" customHeight="1" spans="1:6">
      <c r="A25" s="679" t="s">
        <v>161</v>
      </c>
      <c r="B25" s="168"/>
      <c r="C25" s="168"/>
      <c r="D25" s="168"/>
      <c r="E25" s="168"/>
      <c r="F25" s="168"/>
    </row>
    <row r="26" customHeight="1" spans="1:6">
      <c r="A26" s="679" t="s">
        <v>162</v>
      </c>
      <c r="B26" s="168"/>
      <c r="C26" s="168"/>
      <c r="D26" s="168"/>
      <c r="E26" s="168"/>
      <c r="F26" s="168"/>
    </row>
    <row r="27" customHeight="1" spans="1:6">
      <c r="A27" s="679" t="s">
        <v>163</v>
      </c>
      <c r="B27" s="168"/>
      <c r="C27" s="168"/>
      <c r="D27" s="168"/>
      <c r="E27" s="168"/>
      <c r="F27" s="168"/>
    </row>
    <row r="28" customHeight="1" spans="1:6">
      <c r="A28" s="679" t="s">
        <v>164</v>
      </c>
      <c r="B28" s="168"/>
      <c r="C28" s="168"/>
      <c r="D28" s="168"/>
      <c r="E28" s="168"/>
      <c r="F28" s="168"/>
    </row>
    <row r="29" customHeight="1" spans="1:6">
      <c r="A29" s="679" t="s">
        <v>160</v>
      </c>
      <c r="B29" s="168"/>
      <c r="C29" s="168"/>
      <c r="D29" s="168"/>
      <c r="E29" s="168"/>
      <c r="F29" s="168"/>
    </row>
    <row r="30" customHeight="1" spans="1:6">
      <c r="A30" s="679" t="s">
        <v>165</v>
      </c>
      <c r="B30" s="168"/>
      <c r="C30" s="168"/>
      <c r="D30" s="168"/>
      <c r="E30" s="168"/>
      <c r="F30" s="168"/>
    </row>
    <row r="31" customHeight="1" spans="1:6">
      <c r="A31" s="679" t="s">
        <v>141</v>
      </c>
      <c r="B31" s="680"/>
      <c r="C31" s="168"/>
      <c r="D31" s="168"/>
      <c r="E31" s="168"/>
      <c r="F31" s="168"/>
    </row>
    <row r="32" customHeight="1" spans="1:6">
      <c r="A32" s="679" t="s">
        <v>156</v>
      </c>
      <c r="B32" s="168"/>
      <c r="C32" s="168"/>
      <c r="D32" s="168"/>
      <c r="E32" s="168"/>
      <c r="F32" s="168"/>
    </row>
    <row r="33" customHeight="1" spans="1:6">
      <c r="A33" s="679" t="s">
        <v>157</v>
      </c>
      <c r="B33" s="168"/>
      <c r="C33" s="168"/>
      <c r="D33" s="168"/>
      <c r="E33" s="168"/>
      <c r="F33" s="168"/>
    </row>
    <row r="34" customHeight="1" spans="1:6">
      <c r="A34" s="679" t="s">
        <v>166</v>
      </c>
      <c r="B34" s="168"/>
      <c r="C34" s="168"/>
      <c r="D34" s="168"/>
      <c r="E34" s="168"/>
      <c r="F34" s="168"/>
    </row>
    <row r="35" customHeight="1" spans="1:6">
      <c r="A35" s="679" t="s">
        <v>167</v>
      </c>
      <c r="B35" s="168"/>
      <c r="C35" s="168"/>
      <c r="D35" s="168"/>
      <c r="E35" s="168"/>
      <c r="F35" s="168"/>
    </row>
    <row r="36" customHeight="1" spans="1:6">
      <c r="A36" s="679" t="s">
        <v>160</v>
      </c>
      <c r="B36" s="168"/>
      <c r="C36" s="168"/>
      <c r="D36" s="168"/>
      <c r="E36" s="168"/>
      <c r="F36" s="168"/>
    </row>
    <row r="37" customHeight="1" spans="1:6">
      <c r="A37" s="679" t="s">
        <v>161</v>
      </c>
      <c r="B37" s="168"/>
      <c r="C37" s="168"/>
      <c r="D37" s="168"/>
      <c r="E37" s="168"/>
      <c r="F37" s="168"/>
    </row>
    <row r="38" customHeight="1" spans="1:6">
      <c r="A38" s="679" t="s">
        <v>162</v>
      </c>
      <c r="B38" s="168"/>
      <c r="C38" s="168"/>
      <c r="D38" s="168"/>
      <c r="E38" s="168"/>
      <c r="F38" s="168"/>
    </row>
    <row r="39" customHeight="1" spans="1:6">
      <c r="A39" s="679" t="s">
        <v>163</v>
      </c>
      <c r="B39" s="168"/>
      <c r="C39" s="168"/>
      <c r="D39" s="168"/>
      <c r="E39" s="168"/>
      <c r="F39" s="168"/>
    </row>
    <row r="40" customHeight="1" spans="1:6">
      <c r="A40" s="679" t="s">
        <v>164</v>
      </c>
      <c r="B40" s="168"/>
      <c r="C40" s="168"/>
      <c r="D40" s="168"/>
      <c r="E40" s="168"/>
      <c r="F40" s="168"/>
    </row>
    <row r="41" customHeight="1" spans="1:6">
      <c r="A41" s="679" t="s">
        <v>160</v>
      </c>
      <c r="B41" s="168"/>
      <c r="C41" s="168"/>
      <c r="D41" s="168"/>
      <c r="E41" s="168"/>
      <c r="F41" s="168"/>
    </row>
    <row r="42" customHeight="1" spans="1:6">
      <c r="A42" s="679" t="s">
        <v>165</v>
      </c>
      <c r="B42" s="168"/>
      <c r="C42" s="168"/>
      <c r="D42" s="168"/>
      <c r="E42" s="168"/>
      <c r="F42" s="168"/>
    </row>
    <row r="43" customHeight="1" spans="1:6">
      <c r="A43" s="679" t="s">
        <v>168</v>
      </c>
      <c r="B43" s="680"/>
      <c r="C43" s="168"/>
      <c r="D43" s="168"/>
      <c r="E43" s="168"/>
      <c r="F43" s="168"/>
    </row>
    <row r="44" customHeight="1" spans="1:6">
      <c r="A44" s="679" t="s">
        <v>169</v>
      </c>
      <c r="B44" s="168"/>
      <c r="C44" s="168"/>
      <c r="D44" s="168"/>
      <c r="E44" s="168"/>
      <c r="F44" s="168"/>
    </row>
    <row r="45" customHeight="1" spans="1:6">
      <c r="A45" s="681" t="s">
        <v>170</v>
      </c>
      <c r="B45" s="682"/>
      <c r="C45" s="682"/>
      <c r="D45" s="682"/>
      <c r="E45" s="682"/>
      <c r="F45" s="682"/>
    </row>
    <row r="46" customHeight="1" spans="1:6">
      <c r="A46" s="683" t="s">
        <v>171</v>
      </c>
      <c r="B46" s="684"/>
      <c r="C46" s="684"/>
      <c r="D46" s="684"/>
      <c r="E46" s="684"/>
      <c r="F46" s="684"/>
    </row>
    <row r="47" customHeight="1" spans="1:6">
      <c r="A47" s="685" t="s">
        <v>172</v>
      </c>
      <c r="B47"/>
      <c r="C47"/>
      <c r="D47"/>
      <c r="E47"/>
      <c r="F47"/>
    </row>
    <row r="48" customHeight="1" spans="1:6">
      <c r="A48" s="686" t="s">
        <v>173</v>
      </c>
      <c r="B48"/>
      <c r="C48"/>
      <c r="D48"/>
      <c r="E48"/>
      <c r="F48"/>
    </row>
  </sheetData>
  <mergeCells count="5">
    <mergeCell ref="A1:F1"/>
    <mergeCell ref="A2:F2"/>
    <mergeCell ref="A46:F46"/>
    <mergeCell ref="A47:F47"/>
    <mergeCell ref="A48:F48"/>
  </mergeCells>
  <hyperlinks>
    <hyperlink ref="G6" location="底稿目录!A1" display="返回目录"/>
  </hyperlinks>
  <printOptions horizontalCentered="1"/>
  <pageMargins left="0.984251968503937" right="0.748031496062992" top="0.984251968503937" bottom="0.984251968503937" header="0.511811023622047" footer="0.511811023622047"/>
  <pageSetup paperSize="9" scale="58" fitToHeight="100" orientation="portrait" blackAndWhite="1" cellComments="atEnd"/>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IU32"/>
  <sheetViews>
    <sheetView view="pageBreakPreview" zoomScaleNormal="100" workbookViewId="0">
      <selection activeCell="A1" sqref="A1:E1"/>
    </sheetView>
  </sheetViews>
  <sheetFormatPr defaultColWidth="9" defaultRowHeight="19.95" customHeight="1"/>
  <cols>
    <col min="1" max="1" width="27.2" style="167" customWidth="1"/>
    <col min="2" max="5" width="17.2" style="167" customWidth="1"/>
    <col min="6" max="6" width="14.6" style="167" customWidth="1"/>
    <col min="7" max="7" width="14.1" style="167" customWidth="1"/>
    <col min="8" max="16384" width="9" style="167" customWidth="1"/>
  </cols>
  <sheetData>
    <row r="1" s="655" customFormat="1" customHeight="1" spans="1:255">
      <c r="A1" s="657" t="s">
        <v>58</v>
      </c>
      <c r="B1"/>
      <c r="C1"/>
      <c r="D1"/>
      <c r="E1"/>
      <c r="F1" s="658"/>
      <c r="G1" s="658"/>
      <c r="H1" s="658"/>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8"/>
      <c r="AO1" s="658"/>
      <c r="AP1" s="658"/>
      <c r="AQ1" s="658"/>
      <c r="AR1" s="658"/>
      <c r="AS1" s="658"/>
      <c r="AT1" s="658"/>
      <c r="AU1" s="658"/>
      <c r="AV1" s="658"/>
      <c r="AW1" s="658"/>
      <c r="AX1" s="658"/>
      <c r="AY1" s="658"/>
      <c r="AZ1" s="658"/>
      <c r="BA1" s="658"/>
      <c r="BB1" s="658"/>
      <c r="BC1" s="658"/>
      <c r="BD1" s="658"/>
      <c r="BE1" s="658"/>
      <c r="BF1" s="658"/>
      <c r="BG1" s="658"/>
      <c r="BH1" s="658"/>
      <c r="BI1" s="658"/>
      <c r="BJ1" s="658"/>
      <c r="BK1" s="658"/>
      <c r="BL1" s="658"/>
      <c r="BM1" s="658"/>
      <c r="BN1" s="658"/>
      <c r="BO1" s="658"/>
      <c r="BP1" s="658"/>
      <c r="BQ1" s="658"/>
      <c r="BR1" s="658"/>
      <c r="BS1" s="658"/>
      <c r="BT1" s="658"/>
      <c r="BU1" s="658"/>
      <c r="BV1" s="658"/>
      <c r="BW1" s="658"/>
      <c r="BX1" s="658"/>
      <c r="BY1" s="658"/>
      <c r="BZ1" s="658"/>
      <c r="CA1" s="658"/>
      <c r="CB1" s="658"/>
      <c r="CC1" s="658"/>
      <c r="CD1" s="658"/>
      <c r="CE1" s="658"/>
      <c r="CF1" s="658"/>
      <c r="CG1" s="658"/>
      <c r="CH1" s="658"/>
      <c r="CI1" s="658"/>
      <c r="CJ1" s="658"/>
      <c r="CK1" s="658"/>
      <c r="CL1" s="658"/>
      <c r="CM1" s="658"/>
      <c r="CN1" s="658"/>
      <c r="CO1" s="658"/>
      <c r="CP1" s="658"/>
      <c r="CQ1" s="658"/>
      <c r="CR1" s="658"/>
      <c r="CS1" s="658"/>
      <c r="CT1" s="658"/>
      <c r="CU1" s="658"/>
      <c r="CV1" s="658"/>
      <c r="CW1" s="658"/>
      <c r="CX1" s="658"/>
      <c r="CY1" s="658"/>
      <c r="CZ1" s="658"/>
      <c r="DA1" s="658"/>
      <c r="DB1" s="658"/>
      <c r="DC1" s="658"/>
      <c r="DD1" s="658"/>
      <c r="DE1" s="658"/>
      <c r="DF1" s="658"/>
      <c r="DG1" s="658"/>
      <c r="DH1" s="658"/>
      <c r="DI1" s="658"/>
      <c r="DJ1" s="658"/>
      <c r="DK1" s="658"/>
      <c r="DL1" s="658"/>
      <c r="DM1" s="658"/>
      <c r="DN1" s="658"/>
      <c r="DO1" s="658"/>
      <c r="DP1" s="658"/>
      <c r="DQ1" s="658"/>
      <c r="DR1" s="658"/>
      <c r="DS1" s="658"/>
      <c r="DT1" s="658"/>
      <c r="DU1" s="658"/>
      <c r="DV1" s="658"/>
      <c r="DW1" s="658"/>
      <c r="DX1" s="658"/>
      <c r="DY1" s="658"/>
      <c r="DZ1" s="658"/>
      <c r="EA1" s="658"/>
      <c r="EB1" s="658"/>
      <c r="EC1" s="658"/>
      <c r="ED1" s="658"/>
      <c r="EE1" s="658"/>
      <c r="EF1" s="658"/>
      <c r="EG1" s="658"/>
      <c r="EH1" s="658"/>
      <c r="EI1" s="658"/>
      <c r="EJ1" s="658"/>
      <c r="EK1" s="658"/>
      <c r="EL1" s="658"/>
      <c r="EM1" s="658"/>
      <c r="EN1" s="658"/>
      <c r="EO1" s="658"/>
      <c r="EP1" s="658"/>
      <c r="EQ1" s="658"/>
      <c r="ER1" s="658"/>
      <c r="ES1" s="658"/>
      <c r="ET1" s="658"/>
      <c r="EU1" s="658"/>
      <c r="EV1" s="658"/>
      <c r="EW1" s="658"/>
      <c r="EX1" s="658"/>
      <c r="EY1" s="658"/>
      <c r="EZ1" s="658"/>
      <c r="FA1" s="658"/>
      <c r="FB1" s="658"/>
      <c r="FC1" s="658"/>
      <c r="FD1" s="658"/>
      <c r="FE1" s="658"/>
      <c r="FF1" s="658"/>
      <c r="FG1" s="658"/>
      <c r="FH1" s="658"/>
      <c r="FI1" s="658"/>
      <c r="FJ1" s="658"/>
      <c r="FK1" s="658"/>
      <c r="FL1" s="658"/>
      <c r="FM1" s="658"/>
      <c r="FN1" s="658"/>
      <c r="FO1" s="658"/>
      <c r="FP1" s="658"/>
      <c r="FQ1" s="658"/>
      <c r="FR1" s="658"/>
      <c r="FS1" s="658"/>
      <c r="FT1" s="658"/>
      <c r="FU1" s="658"/>
      <c r="FV1" s="658"/>
      <c r="FW1" s="658"/>
      <c r="FX1" s="658"/>
      <c r="FY1" s="658"/>
      <c r="FZ1" s="658"/>
      <c r="GA1" s="658"/>
      <c r="GB1" s="658"/>
      <c r="GC1" s="658"/>
      <c r="GD1" s="658"/>
      <c r="GE1" s="658"/>
      <c r="GF1" s="658"/>
      <c r="GG1" s="658"/>
      <c r="GH1" s="658"/>
      <c r="GI1" s="658"/>
      <c r="GJ1" s="658"/>
      <c r="GK1" s="658"/>
      <c r="GL1" s="658"/>
      <c r="GM1" s="658"/>
      <c r="GN1" s="658"/>
      <c r="GO1" s="658"/>
      <c r="GP1" s="658"/>
      <c r="GQ1" s="658"/>
      <c r="GR1" s="658"/>
      <c r="GS1" s="658"/>
      <c r="GT1" s="658"/>
      <c r="GU1" s="658"/>
      <c r="GV1" s="658"/>
      <c r="GW1" s="658"/>
      <c r="GX1" s="658"/>
      <c r="GY1" s="658"/>
      <c r="GZ1" s="658"/>
      <c r="HA1" s="658"/>
      <c r="HB1" s="658"/>
      <c r="HC1" s="658"/>
      <c r="HD1" s="658"/>
      <c r="HE1" s="658"/>
      <c r="HF1" s="658"/>
      <c r="HG1" s="658"/>
      <c r="HH1" s="658"/>
      <c r="HI1" s="658"/>
      <c r="HJ1" s="658"/>
      <c r="HK1" s="658"/>
      <c r="HL1" s="658"/>
      <c r="HM1" s="658"/>
      <c r="HN1" s="658"/>
      <c r="HO1" s="658"/>
      <c r="HP1" s="658"/>
      <c r="HQ1" s="658"/>
      <c r="HR1" s="658"/>
      <c r="HS1" s="658"/>
      <c r="HT1" s="658"/>
      <c r="HU1" s="658"/>
      <c r="HV1" s="658"/>
      <c r="HW1" s="658"/>
      <c r="HX1" s="658"/>
      <c r="HY1" s="658"/>
      <c r="HZ1" s="658"/>
      <c r="IA1" s="658"/>
      <c r="IB1" s="658"/>
      <c r="IC1" s="658"/>
      <c r="ID1" s="658"/>
      <c r="IE1" s="658"/>
      <c r="IF1" s="658"/>
      <c r="IG1" s="658"/>
      <c r="IH1" s="658"/>
      <c r="II1" s="658"/>
      <c r="IJ1" s="658"/>
      <c r="IK1" s="658"/>
      <c r="IL1" s="658"/>
      <c r="IM1" s="658"/>
      <c r="IN1" s="658"/>
      <c r="IO1" s="658"/>
      <c r="IP1" s="658"/>
      <c r="IQ1" s="658"/>
      <c r="IR1" s="658"/>
      <c r="IS1" s="658"/>
      <c r="IT1" s="658"/>
      <c r="IU1" s="658"/>
    </row>
    <row r="2" s="656" customFormat="1" customHeight="1" spans="1:255">
      <c r="A2" s="659" t="s">
        <v>174</v>
      </c>
      <c r="B2"/>
      <c r="C2"/>
      <c r="D2"/>
      <c r="E2"/>
      <c r="F2" s="659"/>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c r="AF2" s="660"/>
      <c r="AG2" s="660"/>
      <c r="AH2" s="660"/>
      <c r="AI2" s="660"/>
      <c r="AJ2" s="660"/>
      <c r="AK2" s="660"/>
      <c r="AL2" s="660"/>
      <c r="AM2" s="660"/>
      <c r="AN2" s="660"/>
      <c r="AO2" s="660"/>
      <c r="AP2" s="660"/>
      <c r="AQ2" s="660"/>
      <c r="AR2" s="660"/>
      <c r="AS2" s="660"/>
      <c r="AT2" s="660"/>
      <c r="AU2" s="660"/>
      <c r="AV2" s="660"/>
      <c r="AW2" s="660"/>
      <c r="AX2" s="660"/>
      <c r="AY2" s="660"/>
      <c r="AZ2" s="660"/>
      <c r="BA2" s="660"/>
      <c r="BB2" s="660"/>
      <c r="BC2" s="660"/>
      <c r="BD2" s="660"/>
      <c r="BE2" s="660"/>
      <c r="BF2" s="660"/>
      <c r="BG2" s="660"/>
      <c r="BH2" s="660"/>
      <c r="BI2" s="660"/>
      <c r="BJ2" s="660"/>
      <c r="BK2" s="660"/>
      <c r="BL2" s="660"/>
      <c r="BM2" s="660"/>
      <c r="BN2" s="660"/>
      <c r="BO2" s="660"/>
      <c r="BP2" s="660"/>
      <c r="BQ2" s="660"/>
      <c r="BR2" s="660"/>
      <c r="BS2" s="660"/>
      <c r="BT2" s="660"/>
      <c r="BU2" s="660"/>
      <c r="BV2" s="660"/>
      <c r="BW2" s="660"/>
      <c r="BX2" s="660"/>
      <c r="BY2" s="660"/>
      <c r="BZ2" s="660"/>
      <c r="CA2" s="660"/>
      <c r="CB2" s="660"/>
      <c r="CC2" s="660"/>
      <c r="CD2" s="660"/>
      <c r="CE2" s="660"/>
      <c r="CF2" s="660"/>
      <c r="CG2" s="660"/>
      <c r="CH2" s="660"/>
      <c r="CI2" s="660"/>
      <c r="CJ2" s="660"/>
      <c r="CK2" s="660"/>
      <c r="CL2" s="660"/>
      <c r="CM2" s="660"/>
      <c r="CN2" s="660"/>
      <c r="CO2" s="660"/>
      <c r="CP2" s="660"/>
      <c r="CQ2" s="660"/>
      <c r="CR2" s="660"/>
      <c r="CS2" s="660"/>
      <c r="CT2" s="660"/>
      <c r="CU2" s="660"/>
      <c r="CV2" s="660"/>
      <c r="CW2" s="660"/>
      <c r="CX2" s="660"/>
      <c r="CY2" s="660"/>
      <c r="CZ2" s="660"/>
      <c r="DA2" s="660"/>
      <c r="DB2" s="660"/>
      <c r="DC2" s="660"/>
      <c r="DD2" s="660"/>
      <c r="DE2" s="660"/>
      <c r="DF2" s="660"/>
      <c r="DG2" s="660"/>
      <c r="DH2" s="660"/>
      <c r="DI2" s="660"/>
      <c r="DJ2" s="660"/>
      <c r="DK2" s="660"/>
      <c r="DL2" s="660"/>
      <c r="DM2" s="660"/>
      <c r="DN2" s="660"/>
      <c r="DO2" s="660"/>
      <c r="DP2" s="660"/>
      <c r="DQ2" s="660"/>
      <c r="DR2" s="660"/>
      <c r="DS2" s="660"/>
      <c r="DT2" s="660"/>
      <c r="DU2" s="660"/>
      <c r="DV2" s="660"/>
      <c r="DW2" s="660"/>
      <c r="DX2" s="660"/>
      <c r="DY2" s="660"/>
      <c r="DZ2" s="660"/>
      <c r="EA2" s="660"/>
      <c r="EB2" s="660"/>
      <c r="EC2" s="660"/>
      <c r="ED2" s="660"/>
      <c r="EE2" s="660"/>
      <c r="EF2" s="660"/>
      <c r="EG2" s="660"/>
      <c r="EH2" s="660"/>
      <c r="EI2" s="660"/>
      <c r="EJ2" s="660"/>
      <c r="EK2" s="660"/>
      <c r="EL2" s="660"/>
      <c r="EM2" s="660"/>
      <c r="EN2" s="660"/>
      <c r="EO2" s="660"/>
      <c r="EP2" s="660"/>
      <c r="EQ2" s="660"/>
      <c r="ER2" s="660"/>
      <c r="ES2" s="660"/>
      <c r="ET2" s="660"/>
      <c r="EU2" s="660"/>
      <c r="EV2" s="660"/>
      <c r="EW2" s="660"/>
      <c r="EX2" s="660"/>
      <c r="EY2" s="660"/>
      <c r="EZ2" s="660"/>
      <c r="FA2" s="660"/>
      <c r="FB2" s="660"/>
      <c r="FC2" s="660"/>
      <c r="FD2" s="660"/>
      <c r="FE2" s="660"/>
      <c r="FF2" s="660"/>
      <c r="FG2" s="660"/>
      <c r="FH2" s="660"/>
      <c r="FI2" s="660"/>
      <c r="FJ2" s="660"/>
      <c r="FK2" s="660"/>
      <c r="FL2" s="660"/>
      <c r="FM2" s="660"/>
      <c r="FN2" s="660"/>
      <c r="FO2" s="660"/>
      <c r="FP2" s="660"/>
      <c r="FQ2" s="660"/>
      <c r="FR2" s="660"/>
      <c r="FS2" s="660"/>
      <c r="FT2" s="660"/>
      <c r="FU2" s="660"/>
      <c r="FV2" s="660"/>
      <c r="FW2" s="660"/>
      <c r="FX2" s="660"/>
      <c r="FY2" s="660"/>
      <c r="FZ2" s="660"/>
      <c r="GA2" s="660"/>
      <c r="GB2" s="660"/>
      <c r="GC2" s="660"/>
      <c r="GD2" s="660"/>
      <c r="GE2" s="660"/>
      <c r="GF2" s="660"/>
      <c r="GG2" s="660"/>
      <c r="GH2" s="660"/>
      <c r="GI2" s="660"/>
      <c r="GJ2" s="660"/>
      <c r="GK2" s="660"/>
      <c r="GL2" s="660"/>
      <c r="GM2" s="660"/>
      <c r="GN2" s="660"/>
      <c r="GO2" s="660"/>
      <c r="GP2" s="660"/>
      <c r="GQ2" s="660"/>
      <c r="GR2" s="660"/>
      <c r="GS2" s="660"/>
      <c r="GT2" s="660"/>
      <c r="GU2" s="660"/>
      <c r="GV2" s="660"/>
      <c r="GW2" s="660"/>
      <c r="GX2" s="660"/>
      <c r="GY2" s="660"/>
      <c r="GZ2" s="660"/>
      <c r="HA2" s="660"/>
      <c r="HB2" s="660"/>
      <c r="HC2" s="660"/>
      <c r="HD2" s="660"/>
      <c r="HE2" s="660"/>
      <c r="HF2" s="660"/>
      <c r="HG2" s="660"/>
      <c r="HH2" s="660"/>
      <c r="HI2" s="660"/>
      <c r="HJ2" s="660"/>
      <c r="HK2" s="660"/>
      <c r="HL2" s="660"/>
      <c r="HM2" s="660"/>
      <c r="HN2" s="660"/>
      <c r="HO2" s="660"/>
      <c r="HP2" s="660"/>
      <c r="HQ2" s="660"/>
      <c r="HR2" s="660"/>
      <c r="HS2" s="660"/>
      <c r="HT2" s="660"/>
      <c r="HU2" s="660"/>
      <c r="HV2" s="660"/>
      <c r="HW2" s="660"/>
      <c r="HX2" s="660"/>
      <c r="HY2" s="660"/>
      <c r="HZ2" s="660"/>
      <c r="IA2" s="660"/>
      <c r="IB2" s="660"/>
      <c r="IC2" s="660"/>
      <c r="ID2" s="660"/>
      <c r="IE2" s="660"/>
      <c r="IF2" s="660"/>
      <c r="IG2" s="660"/>
      <c r="IH2" s="660"/>
      <c r="II2" s="660"/>
      <c r="IJ2" s="660"/>
      <c r="IK2" s="660"/>
      <c r="IL2" s="660"/>
      <c r="IM2" s="660"/>
      <c r="IN2" s="660"/>
      <c r="IO2" s="660"/>
      <c r="IP2" s="660"/>
      <c r="IQ2" s="660"/>
      <c r="IR2" s="660"/>
      <c r="IS2" s="660"/>
      <c r="IT2" s="660"/>
      <c r="IU2" s="660"/>
    </row>
    <row r="3" customHeight="1" spans="1:255">
      <c r="A3" s="3" t="str">
        <f>底稿目录!A2</f>
        <v>被审计单位：</v>
      </c>
      <c r="B3" s="3" t="str">
        <f>底稿目录!A4</f>
        <v>编制人：</v>
      </c>
      <c r="D3" s="3" t="str">
        <f>底稿目录!A6</f>
        <v>编制日期：</v>
      </c>
      <c r="E3" s="661" t="s">
        <v>59</v>
      </c>
    </row>
    <row r="4" customHeight="1" spans="1:255">
      <c r="A4" s="3" t="str">
        <f>底稿目录!A3</f>
        <v>截止日：202X年12月31日</v>
      </c>
      <c r="B4" s="3" t="str">
        <f>底稿目录!A5</f>
        <v>复核人：</v>
      </c>
      <c r="D4" s="3" t="str">
        <f>底稿目录!A7</f>
        <v>复核日期：</v>
      </c>
      <c r="E4" s="661" t="s">
        <v>60</v>
      </c>
    </row>
    <row r="5" customHeight="1" spans="1:255">
      <c r="A5" s="662"/>
      <c r="B5" s="3"/>
      <c r="C5" s="3"/>
      <c r="F5" s="663"/>
    </row>
    <row r="6" customHeight="1" spans="1:255">
      <c r="A6" s="664" t="s">
        <v>152</v>
      </c>
      <c r="B6" s="665" t="s">
        <v>175</v>
      </c>
      <c r="C6" s="665" t="s">
        <v>176</v>
      </c>
      <c r="D6" s="665" t="s">
        <v>177</v>
      </c>
      <c r="E6" s="665" t="s">
        <v>178</v>
      </c>
      <c r="F6" s="8" t="s">
        <v>154</v>
      </c>
    </row>
    <row r="7" customHeight="1" spans="1:255">
      <c r="A7" s="666" t="s">
        <v>179</v>
      </c>
      <c r="B7" s="667" t="s">
        <v>180</v>
      </c>
      <c r="C7" s="667" t="s">
        <v>180</v>
      </c>
      <c r="D7" s="667" t="s">
        <v>180</v>
      </c>
      <c r="E7" s="667" t="s">
        <v>180</v>
      </c>
    </row>
    <row r="8" customHeight="1" spans="1:255">
      <c r="A8" s="666" t="s">
        <v>181</v>
      </c>
      <c r="B8" s="667"/>
      <c r="C8" s="667"/>
      <c r="D8" s="667"/>
      <c r="E8" s="667"/>
    </row>
    <row r="9" customHeight="1" spans="1:255">
      <c r="A9" s="666" t="s">
        <v>182</v>
      </c>
      <c r="B9" s="667"/>
      <c r="C9" s="667"/>
      <c r="D9" s="667"/>
      <c r="E9" s="667"/>
    </row>
    <row r="10" customHeight="1" spans="1:255">
      <c r="A10" s="666" t="s">
        <v>183</v>
      </c>
      <c r="B10" s="667"/>
      <c r="C10" s="667"/>
      <c r="D10" s="667"/>
      <c r="E10" s="667"/>
    </row>
    <row r="11" customHeight="1" spans="1:255">
      <c r="A11" s="666" t="s">
        <v>184</v>
      </c>
      <c r="B11" s="667"/>
      <c r="C11" s="667"/>
      <c r="D11" s="667"/>
      <c r="E11" s="667"/>
    </row>
    <row r="12" customHeight="1" spans="1:255">
      <c r="A12" s="666" t="s">
        <v>185</v>
      </c>
      <c r="B12" s="667" t="s">
        <v>180</v>
      </c>
      <c r="C12" s="667" t="s">
        <v>180</v>
      </c>
      <c r="D12" s="667" t="s">
        <v>180</v>
      </c>
      <c r="E12" s="667" t="s">
        <v>180</v>
      </c>
    </row>
    <row r="13" customHeight="1" spans="1:255">
      <c r="A13" s="666" t="s">
        <v>181</v>
      </c>
      <c r="B13" s="667"/>
      <c r="C13" s="667"/>
      <c r="D13" s="667"/>
      <c r="E13" s="667"/>
    </row>
    <row r="14" customHeight="1" spans="1:255">
      <c r="A14" s="666" t="s">
        <v>182</v>
      </c>
      <c r="B14" s="667"/>
      <c r="C14" s="667"/>
      <c r="D14" s="667"/>
      <c r="E14" s="667"/>
    </row>
    <row r="15" customHeight="1" spans="1:255">
      <c r="A15" s="666" t="s">
        <v>183</v>
      </c>
      <c r="B15" s="667"/>
      <c r="C15" s="667"/>
      <c r="D15" s="667"/>
      <c r="E15" s="667"/>
    </row>
    <row r="16" customHeight="1" spans="1:255">
      <c r="A16" s="666" t="s">
        <v>184</v>
      </c>
      <c r="B16" s="667"/>
      <c r="C16" s="667"/>
      <c r="D16" s="667"/>
      <c r="E16" s="667"/>
    </row>
    <row r="17" customHeight="1" spans="1:5">
      <c r="A17" s="666" t="s">
        <v>186</v>
      </c>
      <c r="B17" s="667" t="s">
        <v>180</v>
      </c>
      <c r="C17" s="667" t="s">
        <v>187</v>
      </c>
      <c r="D17" s="667" t="s">
        <v>187</v>
      </c>
      <c r="E17" s="667" t="s">
        <v>180</v>
      </c>
    </row>
    <row r="18" customHeight="1" spans="1:5">
      <c r="A18" s="666" t="s">
        <v>181</v>
      </c>
      <c r="B18" s="667"/>
      <c r="C18" s="667" t="s">
        <v>187</v>
      </c>
      <c r="D18" s="667" t="s">
        <v>187</v>
      </c>
      <c r="E18" s="667"/>
    </row>
    <row r="19" customHeight="1" spans="1:5">
      <c r="A19" s="666" t="s">
        <v>182</v>
      </c>
      <c r="B19" s="667"/>
      <c r="C19" s="667" t="s">
        <v>187</v>
      </c>
      <c r="D19" s="667" t="s">
        <v>187</v>
      </c>
      <c r="E19" s="667"/>
    </row>
    <row r="20" customHeight="1" spans="1:5">
      <c r="A20" s="666" t="s">
        <v>183</v>
      </c>
      <c r="B20" s="667"/>
      <c r="C20" s="667" t="s">
        <v>187</v>
      </c>
      <c r="D20" s="667" t="s">
        <v>187</v>
      </c>
      <c r="E20" s="667"/>
    </row>
    <row r="21" customHeight="1" spans="1:5">
      <c r="A21" s="666" t="s">
        <v>184</v>
      </c>
      <c r="B21" s="667"/>
      <c r="C21" s="667" t="s">
        <v>187</v>
      </c>
      <c r="D21" s="667" t="s">
        <v>187</v>
      </c>
      <c r="E21" s="667"/>
    </row>
    <row r="22" customHeight="1" spans="1:5">
      <c r="A22" s="666" t="s">
        <v>188</v>
      </c>
      <c r="B22" s="667" t="s">
        <v>180</v>
      </c>
      <c r="C22" s="667" t="s">
        <v>180</v>
      </c>
      <c r="D22" s="667" t="s">
        <v>180</v>
      </c>
      <c r="E22" s="667" t="s">
        <v>180</v>
      </c>
    </row>
    <row r="23" customHeight="1" spans="1:5">
      <c r="A23" s="666" t="s">
        <v>181</v>
      </c>
      <c r="B23" s="667"/>
      <c r="C23" s="667"/>
      <c r="D23" s="667"/>
      <c r="E23" s="667"/>
    </row>
    <row r="24" customHeight="1" spans="1:5">
      <c r="A24" s="666" t="s">
        <v>182</v>
      </c>
      <c r="B24" s="667"/>
      <c r="C24" s="667"/>
      <c r="D24" s="667"/>
      <c r="E24" s="667"/>
    </row>
    <row r="25" customHeight="1" spans="1:5">
      <c r="A25" s="666" t="s">
        <v>183</v>
      </c>
      <c r="B25" s="667"/>
      <c r="C25" s="667"/>
      <c r="D25" s="667"/>
      <c r="E25" s="667"/>
    </row>
    <row r="26" customHeight="1" spans="1:5">
      <c r="A26" s="666" t="s">
        <v>184</v>
      </c>
      <c r="B26" s="667" t="s">
        <v>180</v>
      </c>
      <c r="C26" s="667" t="s">
        <v>180</v>
      </c>
      <c r="D26" s="667" t="s">
        <v>180</v>
      </c>
      <c r="E26" s="667" t="s">
        <v>180</v>
      </c>
    </row>
    <row r="27" customHeight="1" spans="1:5">
      <c r="A27" s="666" t="s">
        <v>189</v>
      </c>
      <c r="B27" s="667" t="s">
        <v>180</v>
      </c>
      <c r="C27" s="667" t="s">
        <v>187</v>
      </c>
      <c r="D27" s="667" t="s">
        <v>187</v>
      </c>
      <c r="E27" s="667" t="s">
        <v>180</v>
      </c>
    </row>
    <row r="28" customHeight="1" spans="1:5">
      <c r="A28" s="666" t="s">
        <v>181</v>
      </c>
      <c r="B28" s="667"/>
      <c r="C28" s="667" t="s">
        <v>187</v>
      </c>
      <c r="D28" s="667" t="s">
        <v>187</v>
      </c>
      <c r="E28" s="667"/>
    </row>
    <row r="29" customHeight="1" spans="1:5">
      <c r="A29" s="666" t="s">
        <v>182</v>
      </c>
      <c r="B29" s="667"/>
      <c r="C29" s="667" t="s">
        <v>187</v>
      </c>
      <c r="D29" s="667" t="s">
        <v>187</v>
      </c>
      <c r="E29" s="667"/>
    </row>
    <row r="30" customHeight="1" spans="1:5">
      <c r="A30" s="666" t="s">
        <v>183</v>
      </c>
      <c r="B30" s="667"/>
      <c r="C30" s="667" t="s">
        <v>187</v>
      </c>
      <c r="D30" s="667" t="s">
        <v>187</v>
      </c>
      <c r="E30" s="667"/>
    </row>
    <row r="31" customHeight="1" spans="1:5">
      <c r="A31" s="668" t="s">
        <v>184</v>
      </c>
      <c r="B31" s="669" t="s">
        <v>180</v>
      </c>
      <c r="C31" s="669" t="s">
        <v>187</v>
      </c>
      <c r="D31" s="669" t="s">
        <v>187</v>
      </c>
      <c r="E31" s="669" t="s">
        <v>180</v>
      </c>
    </row>
    <row r="32" customHeight="1" spans="1:5">
      <c r="A32" s="670"/>
      <c r="B32" s="671"/>
      <c r="C32" s="671"/>
      <c r="D32" s="671"/>
      <c r="E32" s="671"/>
    </row>
  </sheetData>
  <mergeCells count="2">
    <mergeCell ref="A1:E1"/>
    <mergeCell ref="A2:E2"/>
  </mergeCells>
  <hyperlinks>
    <hyperlink ref="F6" location="底稿目录!A1" display="返回目录"/>
  </hyperlinks>
  <printOptions horizontalCentered="1"/>
  <pageMargins left="0.984251968503937" right="0.748031496062992" top="0.984251968503937" bottom="0.984251968503937" header="0.511811023622047" footer="0.511811023622047"/>
  <pageSetup paperSize="9" scale="59" fitToHeight="100" orientation="portrait" blackAndWhite="1" cellComments="atEnd"/>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BF79"/>
  <sheetViews>
    <sheetView view="pageBreakPreview" zoomScaleNormal="100" workbookViewId="0">
      <selection activeCell="A1" sqref="A1:V1"/>
    </sheetView>
  </sheetViews>
  <sheetFormatPr defaultColWidth="9" defaultRowHeight="19.95" customHeight="1"/>
  <cols>
    <col min="1" max="1" width="9.7" style="3" customWidth="1"/>
    <col min="2" max="2" width="11.5" style="3" customWidth="1"/>
    <col min="3" max="3" width="8" style="3" customWidth="1"/>
    <col min="4" max="4" width="10.7" style="3" customWidth="1"/>
    <col min="5" max="5" width="10.6" style="3" customWidth="1"/>
    <col min="6" max="6" width="9.6" style="3" customWidth="1"/>
    <col min="7" max="7" width="10.6" style="3" customWidth="1"/>
    <col min="8" max="9" width="10.9" style="3" customWidth="1"/>
    <col min="10" max="10" width="8.6" style="3" customWidth="1"/>
    <col min="11" max="12" width="11.4" style="3" customWidth="1"/>
    <col min="13" max="13" width="10.7" style="3" customWidth="1"/>
    <col min="14" max="14" width="9.5" style="3" customWidth="1"/>
    <col min="15" max="15" width="10.7" style="3" customWidth="1"/>
    <col min="16" max="16" width="9.7" style="3" customWidth="1"/>
    <col min="17" max="17" width="8.8" style="3" customWidth="1"/>
    <col min="18" max="18" width="8.4" style="3" customWidth="1"/>
    <col min="19" max="19" width="10.4" style="3" customWidth="1"/>
    <col min="20" max="21" width="10.6" style="3" customWidth="1"/>
    <col min="22" max="22" width="11.7" style="3" customWidth="1"/>
    <col min="23" max="23" width="10.9" style="3" customWidth="1"/>
    <col min="24" max="24" width="9.2" style="3" customWidth="1"/>
    <col min="25" max="25" width="8.7" style="3" customWidth="1"/>
    <col min="26" max="26" width="9.9" style="3" customWidth="1"/>
    <col min="27" max="27" width="9.3" style="3" customWidth="1"/>
    <col min="28" max="28" width="9.1" style="3" customWidth="1"/>
    <col min="29" max="30" width="10.7" style="3" customWidth="1"/>
    <col min="31" max="35" width="9" style="3" customWidth="1"/>
    <col min="36" max="36" width="10.7" style="3" customWidth="1"/>
    <col min="37" max="38" width="9" style="3" customWidth="1"/>
    <col min="39" max="39" width="10.7" style="3" customWidth="1"/>
    <col min="40" max="42" width="9" style="3" customWidth="1"/>
    <col min="43" max="43" width="7.9" style="3" customWidth="1"/>
    <col min="44" max="44" width="8.4" style="3" customWidth="1"/>
    <col min="45" max="45" width="9" style="3" customWidth="1"/>
    <col min="46" max="46" width="12" style="3" customWidth="1"/>
    <col min="47" max="47" width="8.6" style="3" customWidth="1"/>
    <col min="48" max="55" width="10.9" style="3" customWidth="1"/>
    <col min="56" max="16384" width="9" style="3" customWidth="1"/>
  </cols>
  <sheetData>
    <row r="1" s="161" customFormat="1" customHeight="1" spans="1:58">
      <c r="A1" s="631" t="s">
        <v>58</v>
      </c>
      <c r="W1" s="631" t="s">
        <v>58</v>
      </c>
      <c r="AN1" s="631" t="s">
        <v>58</v>
      </c>
    </row>
    <row r="2" s="162" customFormat="1" customHeight="1" spans="1:58">
      <c r="A2" s="632" t="s">
        <v>190</v>
      </c>
      <c r="W2" s="632" t="s">
        <v>190</v>
      </c>
      <c r="AN2" s="632" t="s">
        <v>190</v>
      </c>
    </row>
    <row r="3" customHeight="1" spans="1:58">
      <c r="A3" s="3" t="str">
        <f>底稿目录!A2</f>
        <v>被审计单位：</v>
      </c>
      <c r="G3" s="3" t="str">
        <f>底稿目录!A4</f>
        <v>编制人：</v>
      </c>
      <c r="J3" s="167"/>
      <c r="K3" s="167"/>
      <c r="P3" s="3" t="str">
        <f>底稿目录!A6</f>
        <v>编制日期：</v>
      </c>
      <c r="U3" s="7" t="s">
        <v>59</v>
      </c>
      <c r="V3" s="8" t="s">
        <v>20</v>
      </c>
      <c r="AC3" s="167" t="str">
        <f>底稿目录!A4</f>
        <v>编制人：</v>
      </c>
      <c r="AD3" s="167"/>
      <c r="AI3" s="3" t="str">
        <f>底稿目录!A6</f>
        <v>编制日期：</v>
      </c>
      <c r="AL3" s="7" t="s">
        <v>59</v>
      </c>
      <c r="AM3" s="8" t="s">
        <v>20</v>
      </c>
      <c r="AT3" s="167" t="str">
        <f>底稿目录!A4</f>
        <v>编制人：</v>
      </c>
      <c r="AU3" s="167"/>
      <c r="AZ3" s="252"/>
      <c r="BA3" s="3" t="str">
        <f>AI3</f>
        <v>编制日期：</v>
      </c>
      <c r="BE3" s="7" t="s">
        <v>59</v>
      </c>
      <c r="BF3" s="8" t="s">
        <v>20</v>
      </c>
    </row>
    <row r="4" customHeight="1" spans="1:58">
      <c r="A4" s="3" t="str">
        <f>底稿目录!A3</f>
        <v>截止日：202X年12月31日</v>
      </c>
      <c r="G4" s="3" t="str">
        <f>底稿目录!A5</f>
        <v>复核人：</v>
      </c>
      <c r="J4" s="167"/>
      <c r="K4" s="167"/>
      <c r="P4" s="3" t="str">
        <f>底稿目录!A7</f>
        <v>复核日期：</v>
      </c>
      <c r="U4" s="7" t="s">
        <v>60</v>
      </c>
      <c r="V4" s="9"/>
      <c r="AC4" s="167" t="str">
        <f>底稿目录!A5</f>
        <v>复核人：</v>
      </c>
      <c r="AD4" s="167"/>
      <c r="AI4" s="3" t="str">
        <f>底稿目录!A7</f>
        <v>复核日期：</v>
      </c>
      <c r="AL4" s="7" t="s">
        <v>60</v>
      </c>
      <c r="AM4" s="9"/>
      <c r="AT4" s="167" t="str">
        <f>底稿目录!A5</f>
        <v>复核人：</v>
      </c>
      <c r="AU4" s="167"/>
      <c r="AZ4" s="252"/>
      <c r="BA4" s="3" t="str">
        <f>AI4</f>
        <v>复核日期：</v>
      </c>
      <c r="BE4" s="7" t="s">
        <v>60</v>
      </c>
      <c r="BF4" s="9"/>
    </row>
    <row r="5" customHeight="1" spans="1:58">
      <c r="A5" s="10" t="s">
        <v>191</v>
      </c>
      <c r="B5" s="497"/>
      <c r="C5" s="165"/>
      <c r="J5" s="167"/>
      <c r="K5" s="167"/>
      <c r="V5" s="168"/>
      <c r="W5" s="168"/>
      <c r="X5" s="168"/>
      <c r="Y5" s="168"/>
      <c r="Z5" s="168"/>
      <c r="AA5" s="168"/>
      <c r="AB5" s="168"/>
      <c r="AC5" s="168"/>
      <c r="AD5" s="168"/>
    </row>
    <row r="6" s="3" customFormat="1" customHeight="1" spans="1:58">
      <c r="A6" s="633" t="s">
        <v>192</v>
      </c>
      <c r="B6" s="497"/>
      <c r="C6" s="165"/>
      <c r="J6" s="167"/>
      <c r="K6" s="167"/>
      <c r="V6" s="168"/>
      <c r="W6" s="168"/>
      <c r="X6" s="168"/>
      <c r="Y6" s="168"/>
      <c r="Z6" s="168"/>
      <c r="AA6" s="168"/>
      <c r="AB6" s="168"/>
      <c r="AC6" s="168"/>
      <c r="AD6" s="168"/>
    </row>
    <row r="7" customHeight="1" spans="1:58">
      <c r="A7" s="169" t="s">
        <v>193</v>
      </c>
      <c r="B7" s="170"/>
      <c r="C7" s="101"/>
      <c r="J7" s="167"/>
      <c r="K7" s="167"/>
      <c r="V7" s="168"/>
      <c r="W7" s="168"/>
      <c r="X7" s="168"/>
      <c r="Y7" s="168"/>
      <c r="Z7" s="168"/>
      <c r="AA7" s="168"/>
      <c r="AB7" s="168"/>
      <c r="AC7" s="168"/>
      <c r="AD7" s="168"/>
    </row>
    <row r="8" s="628" customFormat="1" customHeight="1" spans="1:58">
      <c r="A8" s="177" t="s">
        <v>194</v>
      </c>
      <c r="B8" s="177" t="s">
        <v>195</v>
      </c>
      <c r="C8" s="177" t="s">
        <v>196</v>
      </c>
      <c r="D8" s="634" t="s">
        <v>197</v>
      </c>
      <c r="E8" s="352"/>
      <c r="F8" s="352"/>
      <c r="G8" s="352"/>
      <c r="H8" s="352"/>
      <c r="I8" s="352"/>
      <c r="J8" s="352"/>
      <c r="K8" s="352"/>
      <c r="L8" s="352"/>
      <c r="M8" s="352"/>
      <c r="N8" s="352"/>
      <c r="O8" s="352"/>
      <c r="P8" s="352"/>
      <c r="Q8" s="352"/>
      <c r="R8" s="352"/>
      <c r="S8" s="352"/>
      <c r="T8" s="352"/>
      <c r="U8" s="352"/>
      <c r="V8" s="353"/>
      <c r="W8" s="635" t="s">
        <v>198</v>
      </c>
      <c r="X8" s="352"/>
      <c r="Y8" s="352"/>
      <c r="Z8" s="352"/>
      <c r="AA8" s="352"/>
      <c r="AB8" s="352"/>
      <c r="AC8" s="352"/>
      <c r="AD8" s="352"/>
      <c r="AE8" s="352"/>
      <c r="AF8" s="352"/>
      <c r="AG8" s="352"/>
      <c r="AH8" s="352"/>
      <c r="AI8" s="352"/>
      <c r="AJ8" s="352"/>
      <c r="AK8" s="352"/>
      <c r="AL8" s="352"/>
      <c r="AM8" s="353"/>
      <c r="AN8" s="635" t="s">
        <v>199</v>
      </c>
      <c r="AO8" s="352"/>
      <c r="AP8" s="352"/>
      <c r="AQ8" s="352"/>
      <c r="AR8" s="352"/>
      <c r="AS8" s="352"/>
      <c r="AT8" s="352"/>
      <c r="AU8" s="352"/>
      <c r="AV8" s="352"/>
      <c r="AW8" s="352"/>
      <c r="AX8" s="352"/>
      <c r="AY8" s="352"/>
      <c r="AZ8" s="352"/>
      <c r="BA8" s="352"/>
      <c r="BB8" s="352"/>
      <c r="BC8" s="352"/>
      <c r="BD8" s="353"/>
      <c r="BE8" s="635" t="s">
        <v>200</v>
      </c>
      <c r="BF8" s="636"/>
    </row>
    <row r="9" s="628" customFormat="1" customHeight="1" spans="1:58">
      <c r="A9" s="193"/>
      <c r="B9" s="193"/>
      <c r="C9" s="193"/>
      <c r="D9" s="637" t="s">
        <v>130</v>
      </c>
      <c r="E9" s="634" t="s">
        <v>133</v>
      </c>
      <c r="F9" s="352"/>
      <c r="G9" s="352"/>
      <c r="H9" s="352"/>
      <c r="I9" s="352"/>
      <c r="J9" s="352"/>
      <c r="K9" s="353"/>
      <c r="L9" s="637" t="s">
        <v>201</v>
      </c>
      <c r="M9" s="637" t="s">
        <v>134</v>
      </c>
      <c r="N9" s="119"/>
      <c r="O9" s="119"/>
      <c r="P9" s="119"/>
      <c r="Q9" s="119"/>
      <c r="R9" s="137"/>
      <c r="S9" s="637" t="s">
        <v>135</v>
      </c>
      <c r="T9" s="119"/>
      <c r="U9" s="119"/>
      <c r="V9" s="137"/>
      <c r="W9" s="637" t="s">
        <v>130</v>
      </c>
      <c r="X9" s="635" t="s">
        <v>133</v>
      </c>
      <c r="Y9" s="352"/>
      <c r="Z9" s="352"/>
      <c r="AA9" s="352"/>
      <c r="AB9" s="352"/>
      <c r="AC9" s="353"/>
      <c r="AD9" s="637" t="s">
        <v>201</v>
      </c>
      <c r="AE9" s="637" t="s">
        <v>134</v>
      </c>
      <c r="AF9" s="119"/>
      <c r="AG9" s="119"/>
      <c r="AH9" s="119"/>
      <c r="AI9" s="137"/>
      <c r="AJ9" s="637" t="s">
        <v>135</v>
      </c>
      <c r="AK9" s="119"/>
      <c r="AL9" s="119"/>
      <c r="AM9" s="137"/>
      <c r="AN9" s="637" t="s">
        <v>130</v>
      </c>
      <c r="AO9" s="635" t="s">
        <v>133</v>
      </c>
      <c r="AP9" s="352"/>
      <c r="AQ9" s="352"/>
      <c r="AR9" s="352"/>
      <c r="AS9" s="352"/>
      <c r="AT9" s="353"/>
      <c r="AU9" s="637" t="s">
        <v>201</v>
      </c>
      <c r="AV9" s="637" t="s">
        <v>134</v>
      </c>
      <c r="AW9" s="119"/>
      <c r="AX9" s="119"/>
      <c r="AY9" s="119"/>
      <c r="AZ9" s="137"/>
      <c r="BA9" s="637" t="s">
        <v>135</v>
      </c>
      <c r="BB9" s="119"/>
      <c r="BC9" s="119"/>
      <c r="BD9" s="137"/>
      <c r="BE9" s="638"/>
      <c r="BF9" s="639"/>
    </row>
    <row r="10" s="628" customFormat="1" customHeight="1" spans="1:58">
      <c r="A10" s="193"/>
      <c r="B10" s="193"/>
      <c r="C10" s="193"/>
      <c r="D10" s="193"/>
      <c r="E10" s="635" t="s">
        <v>176</v>
      </c>
      <c r="F10" s="352"/>
      <c r="G10" s="353"/>
      <c r="H10" s="635" t="s">
        <v>177</v>
      </c>
      <c r="I10" s="352"/>
      <c r="J10" s="353"/>
      <c r="K10" s="635" t="s">
        <v>131</v>
      </c>
      <c r="L10" s="193"/>
      <c r="M10" s="635" t="s">
        <v>176</v>
      </c>
      <c r="N10" s="352"/>
      <c r="O10" s="353"/>
      <c r="P10" s="635" t="s">
        <v>177</v>
      </c>
      <c r="Q10" s="352"/>
      <c r="R10" s="353"/>
      <c r="S10" s="637" t="s">
        <v>130</v>
      </c>
      <c r="T10" s="637" t="s">
        <v>176</v>
      </c>
      <c r="U10" s="637" t="s">
        <v>177</v>
      </c>
      <c r="V10" s="637" t="s">
        <v>131</v>
      </c>
      <c r="W10" s="193"/>
      <c r="X10" s="635" t="s">
        <v>176</v>
      </c>
      <c r="Y10" s="353"/>
      <c r="Z10" s="635" t="s">
        <v>177</v>
      </c>
      <c r="AA10" s="352"/>
      <c r="AB10" s="353"/>
      <c r="AC10" s="637" t="s">
        <v>131</v>
      </c>
      <c r="AD10" s="193"/>
      <c r="AE10" s="635" t="s">
        <v>176</v>
      </c>
      <c r="AF10" s="353"/>
      <c r="AG10" s="635" t="s">
        <v>177</v>
      </c>
      <c r="AH10" s="352"/>
      <c r="AI10" s="353"/>
      <c r="AJ10" s="637" t="s">
        <v>130</v>
      </c>
      <c r="AK10" s="635" t="s">
        <v>176</v>
      </c>
      <c r="AL10" s="635" t="s">
        <v>177</v>
      </c>
      <c r="AM10" s="637" t="s">
        <v>131</v>
      </c>
      <c r="AN10" s="193"/>
      <c r="AO10" s="635" t="s">
        <v>176</v>
      </c>
      <c r="AP10" s="353"/>
      <c r="AQ10" s="635" t="s">
        <v>177</v>
      </c>
      <c r="AR10" s="352"/>
      <c r="AS10" s="353"/>
      <c r="AT10" s="637" t="s">
        <v>131</v>
      </c>
      <c r="AU10" s="193"/>
      <c r="AV10" s="635" t="s">
        <v>176</v>
      </c>
      <c r="AW10" s="353"/>
      <c r="AX10" s="635" t="s">
        <v>177</v>
      </c>
      <c r="AY10" s="352"/>
      <c r="AZ10" s="353"/>
      <c r="BA10" s="637" t="s">
        <v>130</v>
      </c>
      <c r="BB10" s="637" t="s">
        <v>176</v>
      </c>
      <c r="BC10" s="637" t="s">
        <v>177</v>
      </c>
      <c r="BD10" s="637" t="s">
        <v>131</v>
      </c>
      <c r="BE10" s="640" t="s">
        <v>202</v>
      </c>
      <c r="BF10" s="640" t="s">
        <v>203</v>
      </c>
    </row>
    <row r="11" s="629" customFormat="1" ht="24" customHeight="1" spans="1:58">
      <c r="A11" s="123"/>
      <c r="B11" s="123"/>
      <c r="C11" s="123"/>
      <c r="D11" s="123"/>
      <c r="E11" s="640" t="s">
        <v>204</v>
      </c>
      <c r="F11" s="640" t="s">
        <v>205</v>
      </c>
      <c r="G11" s="640" t="s">
        <v>206</v>
      </c>
      <c r="H11" s="640" t="s">
        <v>207</v>
      </c>
      <c r="I11" s="640" t="s">
        <v>208</v>
      </c>
      <c r="J11" s="640" t="s">
        <v>209</v>
      </c>
      <c r="K11" s="125"/>
      <c r="L11" s="123"/>
      <c r="M11" s="640" t="s">
        <v>204</v>
      </c>
      <c r="N11" s="640" t="s">
        <v>205</v>
      </c>
      <c r="O11" s="640" t="s">
        <v>206</v>
      </c>
      <c r="P11" s="640" t="s">
        <v>207</v>
      </c>
      <c r="Q11" s="640" t="s">
        <v>208</v>
      </c>
      <c r="R11" s="640" t="s">
        <v>209</v>
      </c>
      <c r="S11" s="123"/>
      <c r="T11" s="123"/>
      <c r="U11" s="123"/>
      <c r="V11" s="123"/>
      <c r="W11" s="123"/>
      <c r="X11" s="640" t="s">
        <v>210</v>
      </c>
      <c r="Y11" s="640" t="s">
        <v>206</v>
      </c>
      <c r="Z11" s="640" t="s">
        <v>207</v>
      </c>
      <c r="AA11" s="640" t="s">
        <v>208</v>
      </c>
      <c r="AB11" s="640" t="s">
        <v>209</v>
      </c>
      <c r="AC11" s="123"/>
      <c r="AD11" s="123"/>
      <c r="AE11" s="640" t="s">
        <v>210</v>
      </c>
      <c r="AF11" s="640" t="s">
        <v>206</v>
      </c>
      <c r="AG11" s="640" t="s">
        <v>207</v>
      </c>
      <c r="AH11" s="640" t="s">
        <v>208</v>
      </c>
      <c r="AI11" s="640" t="s">
        <v>209</v>
      </c>
      <c r="AJ11" s="123"/>
      <c r="AK11" s="125"/>
      <c r="AL11" s="125"/>
      <c r="AM11" s="123"/>
      <c r="AN11" s="123"/>
      <c r="AO11" s="640" t="s">
        <v>210</v>
      </c>
      <c r="AP11" s="640" t="s">
        <v>206</v>
      </c>
      <c r="AQ11" s="640" t="s">
        <v>207</v>
      </c>
      <c r="AR11" s="640" t="s">
        <v>208</v>
      </c>
      <c r="AS11" s="640" t="s">
        <v>209</v>
      </c>
      <c r="AT11" s="123"/>
      <c r="AU11" s="123"/>
      <c r="AV11" s="640" t="s">
        <v>210</v>
      </c>
      <c r="AW11" s="640" t="s">
        <v>206</v>
      </c>
      <c r="AX11" s="640" t="s">
        <v>207</v>
      </c>
      <c r="AY11" s="640" t="s">
        <v>208</v>
      </c>
      <c r="AZ11" s="640" t="s">
        <v>209</v>
      </c>
      <c r="BA11" s="123"/>
      <c r="BB11" s="123"/>
      <c r="BC11" s="123"/>
      <c r="BD11" s="123"/>
      <c r="BE11" s="125"/>
      <c r="BF11" s="125"/>
    </row>
    <row r="12" customHeight="1" spans="1:58">
      <c r="A12" s="641"/>
      <c r="B12" s="641"/>
      <c r="C12" s="642"/>
      <c r="D12" s="621"/>
      <c r="E12" s="621"/>
      <c r="F12" s="621"/>
      <c r="G12" s="621"/>
      <c r="H12" s="621"/>
      <c r="I12" s="621"/>
      <c r="J12" s="621"/>
      <c r="K12" s="643">
        <f t="shared" ref="K12:K31" si="0">SUM(D12:G12)-SUM(H12:J12)</f>
        <v>0</v>
      </c>
      <c r="L12" s="621"/>
      <c r="M12" s="621"/>
      <c r="N12" s="621"/>
      <c r="O12" s="621"/>
      <c r="P12" s="621"/>
      <c r="Q12" s="621"/>
      <c r="R12" s="621"/>
      <c r="S12" s="643">
        <f t="shared" ref="S12:S31" si="1">D12+L12</f>
        <v>0</v>
      </c>
      <c r="T12" s="643">
        <f t="shared" ref="T12:T31" si="2">(E12+F12+G12)+M12+N12+O12</f>
        <v>0</v>
      </c>
      <c r="U12" s="643">
        <f t="shared" ref="U12:U31" si="3">(H12+I12+J12)+P12+Q12+R12</f>
        <v>0</v>
      </c>
      <c r="V12" s="643">
        <f t="shared" ref="V12:V31" si="4">S12+T12-U12</f>
        <v>0</v>
      </c>
      <c r="W12" s="621"/>
      <c r="X12" s="621"/>
      <c r="Y12" s="621"/>
      <c r="Z12" s="621"/>
      <c r="AA12" s="621"/>
      <c r="AB12" s="621"/>
      <c r="AC12" s="643">
        <f t="shared" ref="AC12:AC31" si="5">SUM(W12:Y12)-SUM(Z12:AB12)</f>
        <v>0</v>
      </c>
      <c r="AD12" s="621"/>
      <c r="AE12" s="621"/>
      <c r="AF12" s="621"/>
      <c r="AG12" s="621"/>
      <c r="AH12" s="621"/>
      <c r="AI12" s="621"/>
      <c r="AJ12" s="643">
        <f t="shared" ref="AJ12:AJ31" si="6">W12+AD12</f>
        <v>0</v>
      </c>
      <c r="AK12" s="643">
        <f t="shared" ref="AK12:AK31" si="7">X12+AE12+Y12+AF12</f>
        <v>0</v>
      </c>
      <c r="AL12" s="643">
        <f t="shared" ref="AL12:AL31" si="8">Z12+AI12+AB12+AA12+AG12+AH12</f>
        <v>0</v>
      </c>
      <c r="AM12" s="643">
        <f t="shared" ref="AM12:AM31" si="9">AJ12+AK12-AL12</f>
        <v>0</v>
      </c>
      <c r="AN12" s="621"/>
      <c r="AO12" s="621"/>
      <c r="AP12" s="621"/>
      <c r="AQ12" s="621"/>
      <c r="AR12" s="621"/>
      <c r="AS12" s="621"/>
      <c r="AT12" s="643">
        <f t="shared" ref="AT12:AT31" si="10">SUM(AN12:AP12)-SUM(AQ12:AS12)</f>
        <v>0</v>
      </c>
      <c r="AU12" s="621"/>
      <c r="AV12" s="621"/>
      <c r="AW12" s="621"/>
      <c r="AX12" s="621"/>
      <c r="AY12" s="621"/>
      <c r="AZ12" s="621"/>
      <c r="BA12" s="643">
        <f t="shared" ref="BA12:BA31" si="11">AN12+AU12</f>
        <v>0</v>
      </c>
      <c r="BB12" s="643">
        <f t="shared" ref="BB12:BB31" si="12">AO12+AV12+AP12+AW12</f>
        <v>0</v>
      </c>
      <c r="BC12" s="643">
        <f t="shared" ref="BC12:BC31" si="13">AQ12+AZ12+AS12+AR12+AX12+AY12</f>
        <v>0</v>
      </c>
      <c r="BD12" s="643">
        <f t="shared" ref="BD12:BD31" si="14">BA12+BB12-BC12</f>
        <v>0</v>
      </c>
      <c r="BE12" s="643">
        <f t="shared" ref="BE12:BE31" si="15">S12-AJ12-BA12</f>
        <v>0</v>
      </c>
      <c r="BF12" s="643">
        <f t="shared" ref="BF12:BF31" si="16">V12-AM12-BD12</f>
        <v>0</v>
      </c>
    </row>
    <row r="13" customHeight="1" spans="1:58">
      <c r="A13" s="641"/>
      <c r="B13" s="641"/>
      <c r="C13" s="642"/>
      <c r="D13" s="621"/>
      <c r="E13" s="621"/>
      <c r="F13" s="621"/>
      <c r="G13" s="621"/>
      <c r="H13" s="621"/>
      <c r="I13" s="621"/>
      <c r="J13" s="621"/>
      <c r="K13" s="643">
        <f t="shared" si="0"/>
        <v>0</v>
      </c>
      <c r="L13" s="621"/>
      <c r="M13" s="621"/>
      <c r="N13" s="621"/>
      <c r="O13" s="621"/>
      <c r="P13" s="621"/>
      <c r="Q13" s="621"/>
      <c r="R13" s="621"/>
      <c r="S13" s="643">
        <f t="shared" si="1"/>
        <v>0</v>
      </c>
      <c r="T13" s="643">
        <f t="shared" si="2"/>
        <v>0</v>
      </c>
      <c r="U13" s="643">
        <f t="shared" si="3"/>
        <v>0</v>
      </c>
      <c r="V13" s="643">
        <f t="shared" si="4"/>
        <v>0</v>
      </c>
      <c r="W13" s="621"/>
      <c r="X13" s="621"/>
      <c r="Y13" s="621"/>
      <c r="Z13" s="621"/>
      <c r="AA13" s="621"/>
      <c r="AB13" s="621"/>
      <c r="AC13" s="643">
        <f t="shared" si="5"/>
        <v>0</v>
      </c>
      <c r="AD13" s="621"/>
      <c r="AE13" s="621"/>
      <c r="AF13" s="621"/>
      <c r="AG13" s="621"/>
      <c r="AH13" s="621"/>
      <c r="AI13" s="621"/>
      <c r="AJ13" s="643">
        <f t="shared" si="6"/>
        <v>0</v>
      </c>
      <c r="AK13" s="643">
        <f t="shared" si="7"/>
        <v>0</v>
      </c>
      <c r="AL13" s="643">
        <f t="shared" si="8"/>
        <v>0</v>
      </c>
      <c r="AM13" s="643">
        <f t="shared" si="9"/>
        <v>0</v>
      </c>
      <c r="AN13" s="621"/>
      <c r="AO13" s="621"/>
      <c r="AP13" s="621"/>
      <c r="AQ13" s="621"/>
      <c r="AR13" s="621"/>
      <c r="AS13" s="621"/>
      <c r="AT13" s="643">
        <f t="shared" si="10"/>
        <v>0</v>
      </c>
      <c r="AU13" s="621"/>
      <c r="AV13" s="621"/>
      <c r="AW13" s="621"/>
      <c r="AX13" s="621"/>
      <c r="AY13" s="621"/>
      <c r="AZ13" s="621"/>
      <c r="BA13" s="643">
        <f t="shared" si="11"/>
        <v>0</v>
      </c>
      <c r="BB13" s="643">
        <f t="shared" si="12"/>
        <v>0</v>
      </c>
      <c r="BC13" s="643">
        <f t="shared" si="13"/>
        <v>0</v>
      </c>
      <c r="BD13" s="643">
        <f t="shared" si="14"/>
        <v>0</v>
      </c>
      <c r="BE13" s="643">
        <f t="shared" si="15"/>
        <v>0</v>
      </c>
      <c r="BF13" s="643">
        <f t="shared" si="16"/>
        <v>0</v>
      </c>
    </row>
    <row r="14" customHeight="1" spans="1:58">
      <c r="A14" s="641"/>
      <c r="B14" s="641"/>
      <c r="C14" s="642"/>
      <c r="D14" s="621"/>
      <c r="E14" s="621"/>
      <c r="F14" s="621"/>
      <c r="G14" s="621"/>
      <c r="H14" s="621"/>
      <c r="I14" s="621"/>
      <c r="J14" s="621"/>
      <c r="K14" s="643">
        <f t="shared" si="0"/>
        <v>0</v>
      </c>
      <c r="L14" s="621"/>
      <c r="M14" s="621"/>
      <c r="N14" s="621"/>
      <c r="O14" s="621"/>
      <c r="P14" s="621"/>
      <c r="Q14" s="621"/>
      <c r="R14" s="621"/>
      <c r="S14" s="643">
        <f t="shared" si="1"/>
        <v>0</v>
      </c>
      <c r="T14" s="643">
        <f t="shared" si="2"/>
        <v>0</v>
      </c>
      <c r="U14" s="643">
        <f t="shared" si="3"/>
        <v>0</v>
      </c>
      <c r="V14" s="643">
        <f t="shared" si="4"/>
        <v>0</v>
      </c>
      <c r="W14" s="621"/>
      <c r="X14" s="621"/>
      <c r="Y14" s="621"/>
      <c r="Z14" s="621"/>
      <c r="AA14" s="621"/>
      <c r="AB14" s="621"/>
      <c r="AC14" s="643">
        <f t="shared" si="5"/>
        <v>0</v>
      </c>
      <c r="AD14" s="621"/>
      <c r="AE14" s="621"/>
      <c r="AF14" s="621"/>
      <c r="AG14" s="621"/>
      <c r="AH14" s="621"/>
      <c r="AI14" s="621"/>
      <c r="AJ14" s="643">
        <f t="shared" si="6"/>
        <v>0</v>
      </c>
      <c r="AK14" s="643">
        <f t="shared" si="7"/>
        <v>0</v>
      </c>
      <c r="AL14" s="643">
        <f t="shared" si="8"/>
        <v>0</v>
      </c>
      <c r="AM14" s="643">
        <f t="shared" si="9"/>
        <v>0</v>
      </c>
      <c r="AN14" s="621"/>
      <c r="AO14" s="621"/>
      <c r="AP14" s="621"/>
      <c r="AQ14" s="621"/>
      <c r="AR14" s="621"/>
      <c r="AS14" s="621"/>
      <c r="AT14" s="643">
        <f t="shared" si="10"/>
        <v>0</v>
      </c>
      <c r="AU14" s="621"/>
      <c r="AV14" s="621"/>
      <c r="AW14" s="621"/>
      <c r="AX14" s="621"/>
      <c r="AY14" s="621"/>
      <c r="AZ14" s="621"/>
      <c r="BA14" s="643">
        <f t="shared" si="11"/>
        <v>0</v>
      </c>
      <c r="BB14" s="643">
        <f t="shared" si="12"/>
        <v>0</v>
      </c>
      <c r="BC14" s="643">
        <f t="shared" si="13"/>
        <v>0</v>
      </c>
      <c r="BD14" s="643">
        <f t="shared" si="14"/>
        <v>0</v>
      </c>
      <c r="BE14" s="643">
        <f t="shared" si="15"/>
        <v>0</v>
      </c>
      <c r="BF14" s="643">
        <f t="shared" si="16"/>
        <v>0</v>
      </c>
    </row>
    <row r="15" customHeight="1" spans="1:58">
      <c r="A15" s="641"/>
      <c r="B15" s="641"/>
      <c r="C15" s="642"/>
      <c r="D15" s="621"/>
      <c r="E15" s="621"/>
      <c r="F15" s="621"/>
      <c r="G15" s="621"/>
      <c r="H15" s="621"/>
      <c r="I15" s="621"/>
      <c r="J15" s="621"/>
      <c r="K15" s="643">
        <f t="shared" si="0"/>
        <v>0</v>
      </c>
      <c r="L15" s="621"/>
      <c r="M15" s="621"/>
      <c r="N15" s="621"/>
      <c r="O15" s="621"/>
      <c r="P15" s="621"/>
      <c r="Q15" s="621"/>
      <c r="R15" s="621"/>
      <c r="S15" s="643">
        <f t="shared" si="1"/>
        <v>0</v>
      </c>
      <c r="T15" s="643">
        <f t="shared" si="2"/>
        <v>0</v>
      </c>
      <c r="U15" s="643">
        <f t="shared" si="3"/>
        <v>0</v>
      </c>
      <c r="V15" s="643">
        <f t="shared" si="4"/>
        <v>0</v>
      </c>
      <c r="W15" s="621"/>
      <c r="X15" s="621"/>
      <c r="Y15" s="621"/>
      <c r="Z15" s="621"/>
      <c r="AA15" s="621"/>
      <c r="AB15" s="621"/>
      <c r="AC15" s="643">
        <f t="shared" si="5"/>
        <v>0</v>
      </c>
      <c r="AD15" s="621"/>
      <c r="AE15" s="621"/>
      <c r="AF15" s="621"/>
      <c r="AG15" s="621"/>
      <c r="AH15" s="621"/>
      <c r="AI15" s="621"/>
      <c r="AJ15" s="643">
        <f t="shared" si="6"/>
        <v>0</v>
      </c>
      <c r="AK15" s="643">
        <f t="shared" si="7"/>
        <v>0</v>
      </c>
      <c r="AL15" s="643">
        <f t="shared" si="8"/>
        <v>0</v>
      </c>
      <c r="AM15" s="643">
        <f t="shared" si="9"/>
        <v>0</v>
      </c>
      <c r="AN15" s="621"/>
      <c r="AO15" s="621"/>
      <c r="AP15" s="621"/>
      <c r="AQ15" s="621"/>
      <c r="AR15" s="621"/>
      <c r="AS15" s="621"/>
      <c r="AT15" s="643">
        <f t="shared" si="10"/>
        <v>0</v>
      </c>
      <c r="AU15" s="621"/>
      <c r="AV15" s="621"/>
      <c r="AW15" s="621"/>
      <c r="AX15" s="621"/>
      <c r="AY15" s="621"/>
      <c r="AZ15" s="621"/>
      <c r="BA15" s="643">
        <f t="shared" si="11"/>
        <v>0</v>
      </c>
      <c r="BB15" s="643">
        <f t="shared" si="12"/>
        <v>0</v>
      </c>
      <c r="BC15" s="643">
        <f t="shared" si="13"/>
        <v>0</v>
      </c>
      <c r="BD15" s="643">
        <f t="shared" si="14"/>
        <v>0</v>
      </c>
      <c r="BE15" s="643">
        <f t="shared" si="15"/>
        <v>0</v>
      </c>
      <c r="BF15" s="643">
        <f t="shared" si="16"/>
        <v>0</v>
      </c>
    </row>
    <row r="16" customHeight="1" spans="1:58">
      <c r="A16" s="641"/>
      <c r="B16" s="641"/>
      <c r="C16" s="642"/>
      <c r="D16" s="621"/>
      <c r="E16" s="621"/>
      <c r="F16" s="621"/>
      <c r="G16" s="621"/>
      <c r="H16" s="621"/>
      <c r="I16" s="621"/>
      <c r="J16" s="621"/>
      <c r="K16" s="643">
        <f t="shared" si="0"/>
        <v>0</v>
      </c>
      <c r="L16" s="621"/>
      <c r="M16" s="621"/>
      <c r="N16" s="621"/>
      <c r="O16" s="621"/>
      <c r="P16" s="621"/>
      <c r="Q16" s="621"/>
      <c r="R16" s="621"/>
      <c r="S16" s="643">
        <f t="shared" si="1"/>
        <v>0</v>
      </c>
      <c r="T16" s="643">
        <f t="shared" si="2"/>
        <v>0</v>
      </c>
      <c r="U16" s="643">
        <f t="shared" si="3"/>
        <v>0</v>
      </c>
      <c r="V16" s="643">
        <f t="shared" si="4"/>
        <v>0</v>
      </c>
      <c r="W16" s="621"/>
      <c r="X16" s="621"/>
      <c r="Y16" s="621"/>
      <c r="Z16" s="621"/>
      <c r="AA16" s="621"/>
      <c r="AB16" s="621"/>
      <c r="AC16" s="643">
        <f t="shared" si="5"/>
        <v>0</v>
      </c>
      <c r="AD16" s="621"/>
      <c r="AE16" s="621"/>
      <c r="AF16" s="621"/>
      <c r="AG16" s="621"/>
      <c r="AH16" s="621"/>
      <c r="AI16" s="621"/>
      <c r="AJ16" s="643">
        <f t="shared" si="6"/>
        <v>0</v>
      </c>
      <c r="AK16" s="643">
        <f t="shared" si="7"/>
        <v>0</v>
      </c>
      <c r="AL16" s="643">
        <f t="shared" si="8"/>
        <v>0</v>
      </c>
      <c r="AM16" s="643">
        <f t="shared" si="9"/>
        <v>0</v>
      </c>
      <c r="AN16" s="621"/>
      <c r="AO16" s="621"/>
      <c r="AP16" s="621"/>
      <c r="AQ16" s="621"/>
      <c r="AR16" s="621"/>
      <c r="AS16" s="621"/>
      <c r="AT16" s="643">
        <f t="shared" si="10"/>
        <v>0</v>
      </c>
      <c r="AU16" s="621"/>
      <c r="AV16" s="621"/>
      <c r="AW16" s="621"/>
      <c r="AX16" s="621"/>
      <c r="AY16" s="621"/>
      <c r="AZ16" s="621"/>
      <c r="BA16" s="643">
        <f t="shared" si="11"/>
        <v>0</v>
      </c>
      <c r="BB16" s="643">
        <f t="shared" si="12"/>
        <v>0</v>
      </c>
      <c r="BC16" s="643">
        <f t="shared" si="13"/>
        <v>0</v>
      </c>
      <c r="BD16" s="643">
        <f t="shared" si="14"/>
        <v>0</v>
      </c>
      <c r="BE16" s="643">
        <f t="shared" si="15"/>
        <v>0</v>
      </c>
      <c r="BF16" s="643">
        <f t="shared" si="16"/>
        <v>0</v>
      </c>
    </row>
    <row r="17" customHeight="1" spans="1:58">
      <c r="A17" s="641"/>
      <c r="B17" s="641"/>
      <c r="C17" s="642"/>
      <c r="D17" s="621"/>
      <c r="E17" s="621"/>
      <c r="F17" s="621"/>
      <c r="G17" s="621"/>
      <c r="H17" s="621"/>
      <c r="I17" s="621"/>
      <c r="J17" s="621"/>
      <c r="K17" s="643">
        <f t="shared" si="0"/>
        <v>0</v>
      </c>
      <c r="L17" s="621"/>
      <c r="M17" s="621"/>
      <c r="N17" s="621"/>
      <c r="O17" s="621"/>
      <c r="P17" s="621"/>
      <c r="Q17" s="621"/>
      <c r="R17" s="621"/>
      <c r="S17" s="643">
        <f t="shared" si="1"/>
        <v>0</v>
      </c>
      <c r="T17" s="643">
        <f t="shared" si="2"/>
        <v>0</v>
      </c>
      <c r="U17" s="643">
        <f t="shared" si="3"/>
        <v>0</v>
      </c>
      <c r="V17" s="643">
        <f t="shared" si="4"/>
        <v>0</v>
      </c>
      <c r="W17" s="621"/>
      <c r="X17" s="621"/>
      <c r="Y17" s="621"/>
      <c r="Z17" s="621"/>
      <c r="AA17" s="621"/>
      <c r="AB17" s="621"/>
      <c r="AC17" s="643">
        <f t="shared" si="5"/>
        <v>0</v>
      </c>
      <c r="AD17" s="621"/>
      <c r="AE17" s="621"/>
      <c r="AF17" s="621"/>
      <c r="AG17" s="621"/>
      <c r="AH17" s="621"/>
      <c r="AI17" s="621"/>
      <c r="AJ17" s="643">
        <f t="shared" si="6"/>
        <v>0</v>
      </c>
      <c r="AK17" s="643">
        <f t="shared" si="7"/>
        <v>0</v>
      </c>
      <c r="AL17" s="643">
        <f t="shared" si="8"/>
        <v>0</v>
      </c>
      <c r="AM17" s="643">
        <f t="shared" si="9"/>
        <v>0</v>
      </c>
      <c r="AN17" s="621"/>
      <c r="AO17" s="621"/>
      <c r="AP17" s="621"/>
      <c r="AQ17" s="621"/>
      <c r="AR17" s="621"/>
      <c r="AS17" s="621"/>
      <c r="AT17" s="643">
        <f t="shared" si="10"/>
        <v>0</v>
      </c>
      <c r="AU17" s="621"/>
      <c r="AV17" s="621"/>
      <c r="AW17" s="621"/>
      <c r="AX17" s="621"/>
      <c r="AY17" s="621"/>
      <c r="AZ17" s="621"/>
      <c r="BA17" s="643">
        <f t="shared" si="11"/>
        <v>0</v>
      </c>
      <c r="BB17" s="643">
        <f t="shared" si="12"/>
        <v>0</v>
      </c>
      <c r="BC17" s="643">
        <f t="shared" si="13"/>
        <v>0</v>
      </c>
      <c r="BD17" s="643">
        <f t="shared" si="14"/>
        <v>0</v>
      </c>
      <c r="BE17" s="643">
        <f t="shared" si="15"/>
        <v>0</v>
      </c>
      <c r="BF17" s="643">
        <f t="shared" si="16"/>
        <v>0</v>
      </c>
    </row>
    <row r="18" customHeight="1" spans="1:58">
      <c r="A18" s="641"/>
      <c r="B18" s="641"/>
      <c r="C18" s="642"/>
      <c r="D18" s="621"/>
      <c r="E18" s="621"/>
      <c r="F18" s="621"/>
      <c r="G18" s="621"/>
      <c r="H18" s="621"/>
      <c r="I18" s="621"/>
      <c r="J18" s="621"/>
      <c r="K18" s="643">
        <f t="shared" si="0"/>
        <v>0</v>
      </c>
      <c r="L18" s="621"/>
      <c r="M18" s="621"/>
      <c r="N18" s="621"/>
      <c r="O18" s="621"/>
      <c r="P18" s="621"/>
      <c r="Q18" s="621"/>
      <c r="R18" s="621"/>
      <c r="S18" s="643">
        <f t="shared" si="1"/>
        <v>0</v>
      </c>
      <c r="T18" s="643">
        <f t="shared" si="2"/>
        <v>0</v>
      </c>
      <c r="U18" s="643">
        <f t="shared" si="3"/>
        <v>0</v>
      </c>
      <c r="V18" s="643">
        <f t="shared" si="4"/>
        <v>0</v>
      </c>
      <c r="W18" s="621"/>
      <c r="X18" s="621"/>
      <c r="Y18" s="621"/>
      <c r="Z18" s="621"/>
      <c r="AA18" s="621"/>
      <c r="AB18" s="621"/>
      <c r="AC18" s="643">
        <f t="shared" si="5"/>
        <v>0</v>
      </c>
      <c r="AD18" s="621"/>
      <c r="AE18" s="621"/>
      <c r="AF18" s="621"/>
      <c r="AG18" s="621"/>
      <c r="AH18" s="621"/>
      <c r="AI18" s="621"/>
      <c r="AJ18" s="643">
        <f t="shared" si="6"/>
        <v>0</v>
      </c>
      <c r="AK18" s="643">
        <f t="shared" si="7"/>
        <v>0</v>
      </c>
      <c r="AL18" s="643">
        <f t="shared" si="8"/>
        <v>0</v>
      </c>
      <c r="AM18" s="643">
        <f t="shared" si="9"/>
        <v>0</v>
      </c>
      <c r="AN18" s="621"/>
      <c r="AO18" s="621"/>
      <c r="AP18" s="621"/>
      <c r="AQ18" s="621"/>
      <c r="AR18" s="621"/>
      <c r="AS18" s="621"/>
      <c r="AT18" s="643">
        <f t="shared" si="10"/>
        <v>0</v>
      </c>
      <c r="AU18" s="621"/>
      <c r="AV18" s="621"/>
      <c r="AW18" s="621"/>
      <c r="AX18" s="621"/>
      <c r="AY18" s="621"/>
      <c r="AZ18" s="621"/>
      <c r="BA18" s="643">
        <f t="shared" si="11"/>
        <v>0</v>
      </c>
      <c r="BB18" s="643">
        <f t="shared" si="12"/>
        <v>0</v>
      </c>
      <c r="BC18" s="643">
        <f t="shared" si="13"/>
        <v>0</v>
      </c>
      <c r="BD18" s="643">
        <f t="shared" si="14"/>
        <v>0</v>
      </c>
      <c r="BE18" s="643">
        <f t="shared" si="15"/>
        <v>0</v>
      </c>
      <c r="BF18" s="643">
        <f t="shared" si="16"/>
        <v>0</v>
      </c>
    </row>
    <row r="19" customHeight="1" spans="1:58">
      <c r="A19" s="641"/>
      <c r="B19" s="641"/>
      <c r="C19" s="642"/>
      <c r="D19" s="621"/>
      <c r="E19" s="621"/>
      <c r="F19" s="621"/>
      <c r="G19" s="621"/>
      <c r="H19" s="621"/>
      <c r="I19" s="621"/>
      <c r="J19" s="621"/>
      <c r="K19" s="643">
        <f t="shared" si="0"/>
        <v>0</v>
      </c>
      <c r="L19" s="621"/>
      <c r="M19" s="621"/>
      <c r="N19" s="621"/>
      <c r="O19" s="621"/>
      <c r="P19" s="621"/>
      <c r="Q19" s="621"/>
      <c r="R19" s="621"/>
      <c r="S19" s="643">
        <f t="shared" si="1"/>
        <v>0</v>
      </c>
      <c r="T19" s="643">
        <f t="shared" si="2"/>
        <v>0</v>
      </c>
      <c r="U19" s="643">
        <f t="shared" si="3"/>
        <v>0</v>
      </c>
      <c r="V19" s="643">
        <f t="shared" si="4"/>
        <v>0</v>
      </c>
      <c r="W19" s="621"/>
      <c r="X19" s="621"/>
      <c r="Y19" s="621"/>
      <c r="Z19" s="621"/>
      <c r="AA19" s="621"/>
      <c r="AB19" s="621"/>
      <c r="AC19" s="643">
        <f t="shared" si="5"/>
        <v>0</v>
      </c>
      <c r="AD19" s="621"/>
      <c r="AE19" s="621"/>
      <c r="AF19" s="621"/>
      <c r="AG19" s="621"/>
      <c r="AH19" s="621"/>
      <c r="AI19" s="621"/>
      <c r="AJ19" s="643">
        <f t="shared" si="6"/>
        <v>0</v>
      </c>
      <c r="AK19" s="643">
        <f t="shared" si="7"/>
        <v>0</v>
      </c>
      <c r="AL19" s="643">
        <f t="shared" si="8"/>
        <v>0</v>
      </c>
      <c r="AM19" s="643">
        <f t="shared" si="9"/>
        <v>0</v>
      </c>
      <c r="AN19" s="621"/>
      <c r="AO19" s="621"/>
      <c r="AP19" s="621"/>
      <c r="AQ19" s="621"/>
      <c r="AR19" s="621"/>
      <c r="AS19" s="621"/>
      <c r="AT19" s="643">
        <f t="shared" si="10"/>
        <v>0</v>
      </c>
      <c r="AU19" s="621"/>
      <c r="AV19" s="621"/>
      <c r="AW19" s="621"/>
      <c r="AX19" s="621"/>
      <c r="AY19" s="621"/>
      <c r="AZ19" s="621"/>
      <c r="BA19" s="643">
        <f t="shared" si="11"/>
        <v>0</v>
      </c>
      <c r="BB19" s="643">
        <f t="shared" si="12"/>
        <v>0</v>
      </c>
      <c r="BC19" s="643">
        <f t="shared" si="13"/>
        <v>0</v>
      </c>
      <c r="BD19" s="643">
        <f t="shared" si="14"/>
        <v>0</v>
      </c>
      <c r="BE19" s="643">
        <f t="shared" si="15"/>
        <v>0</v>
      </c>
      <c r="BF19" s="643">
        <f t="shared" si="16"/>
        <v>0</v>
      </c>
    </row>
    <row r="20" customHeight="1" spans="1:58">
      <c r="A20" s="641"/>
      <c r="B20" s="641"/>
      <c r="C20" s="642"/>
      <c r="D20" s="621"/>
      <c r="E20" s="621"/>
      <c r="F20" s="621"/>
      <c r="G20" s="621"/>
      <c r="H20" s="621"/>
      <c r="I20" s="621"/>
      <c r="J20" s="621"/>
      <c r="K20" s="643">
        <f t="shared" si="0"/>
        <v>0</v>
      </c>
      <c r="L20" s="621"/>
      <c r="M20" s="621"/>
      <c r="N20" s="621"/>
      <c r="O20" s="621"/>
      <c r="P20" s="621"/>
      <c r="Q20" s="621"/>
      <c r="R20" s="621"/>
      <c r="S20" s="643">
        <f t="shared" si="1"/>
        <v>0</v>
      </c>
      <c r="T20" s="643">
        <f t="shared" si="2"/>
        <v>0</v>
      </c>
      <c r="U20" s="643">
        <f t="shared" si="3"/>
        <v>0</v>
      </c>
      <c r="V20" s="643">
        <f t="shared" si="4"/>
        <v>0</v>
      </c>
      <c r="W20" s="621"/>
      <c r="X20" s="621"/>
      <c r="Y20" s="621"/>
      <c r="Z20" s="621"/>
      <c r="AA20" s="621"/>
      <c r="AB20" s="621"/>
      <c r="AC20" s="643">
        <f t="shared" si="5"/>
        <v>0</v>
      </c>
      <c r="AD20" s="621"/>
      <c r="AE20" s="621"/>
      <c r="AF20" s="621"/>
      <c r="AG20" s="621"/>
      <c r="AH20" s="621"/>
      <c r="AI20" s="621"/>
      <c r="AJ20" s="643">
        <f t="shared" si="6"/>
        <v>0</v>
      </c>
      <c r="AK20" s="643">
        <f t="shared" si="7"/>
        <v>0</v>
      </c>
      <c r="AL20" s="643">
        <f t="shared" si="8"/>
        <v>0</v>
      </c>
      <c r="AM20" s="643">
        <f t="shared" si="9"/>
        <v>0</v>
      </c>
      <c r="AN20" s="621"/>
      <c r="AO20" s="621"/>
      <c r="AP20" s="621"/>
      <c r="AQ20" s="621"/>
      <c r="AR20" s="621"/>
      <c r="AS20" s="621"/>
      <c r="AT20" s="643">
        <f t="shared" si="10"/>
        <v>0</v>
      </c>
      <c r="AU20" s="621"/>
      <c r="AV20" s="621"/>
      <c r="AW20" s="621"/>
      <c r="AX20" s="621"/>
      <c r="AY20" s="621"/>
      <c r="AZ20" s="621"/>
      <c r="BA20" s="643">
        <f t="shared" si="11"/>
        <v>0</v>
      </c>
      <c r="BB20" s="643">
        <f t="shared" si="12"/>
        <v>0</v>
      </c>
      <c r="BC20" s="643">
        <f t="shared" si="13"/>
        <v>0</v>
      </c>
      <c r="BD20" s="643">
        <f t="shared" si="14"/>
        <v>0</v>
      </c>
      <c r="BE20" s="643">
        <f t="shared" si="15"/>
        <v>0</v>
      </c>
      <c r="BF20" s="643">
        <f t="shared" si="16"/>
        <v>0</v>
      </c>
    </row>
    <row r="21" customHeight="1" spans="1:58">
      <c r="A21" s="641"/>
      <c r="B21" s="641"/>
      <c r="C21" s="642"/>
      <c r="D21" s="621"/>
      <c r="E21" s="621"/>
      <c r="F21" s="621"/>
      <c r="G21" s="621"/>
      <c r="H21" s="621"/>
      <c r="I21" s="621"/>
      <c r="J21" s="621"/>
      <c r="K21" s="643">
        <f t="shared" si="0"/>
        <v>0</v>
      </c>
      <c r="L21" s="621"/>
      <c r="M21" s="621"/>
      <c r="N21" s="621"/>
      <c r="O21" s="621"/>
      <c r="P21" s="621"/>
      <c r="Q21" s="621"/>
      <c r="R21" s="621"/>
      <c r="S21" s="643">
        <f t="shared" si="1"/>
        <v>0</v>
      </c>
      <c r="T21" s="643">
        <f t="shared" si="2"/>
        <v>0</v>
      </c>
      <c r="U21" s="643">
        <f t="shared" si="3"/>
        <v>0</v>
      </c>
      <c r="V21" s="643">
        <f t="shared" si="4"/>
        <v>0</v>
      </c>
      <c r="W21" s="621"/>
      <c r="X21" s="621"/>
      <c r="Y21" s="621"/>
      <c r="Z21" s="621"/>
      <c r="AA21" s="621"/>
      <c r="AB21" s="621"/>
      <c r="AC21" s="643">
        <f t="shared" si="5"/>
        <v>0</v>
      </c>
      <c r="AD21" s="621"/>
      <c r="AE21" s="621"/>
      <c r="AF21" s="621"/>
      <c r="AG21" s="621"/>
      <c r="AH21" s="621"/>
      <c r="AI21" s="621"/>
      <c r="AJ21" s="643">
        <f t="shared" si="6"/>
        <v>0</v>
      </c>
      <c r="AK21" s="643">
        <f t="shared" si="7"/>
        <v>0</v>
      </c>
      <c r="AL21" s="643">
        <f t="shared" si="8"/>
        <v>0</v>
      </c>
      <c r="AM21" s="643">
        <f t="shared" si="9"/>
        <v>0</v>
      </c>
      <c r="AN21" s="621"/>
      <c r="AO21" s="621"/>
      <c r="AP21" s="621"/>
      <c r="AQ21" s="621"/>
      <c r="AR21" s="621"/>
      <c r="AS21" s="621"/>
      <c r="AT21" s="643">
        <f t="shared" si="10"/>
        <v>0</v>
      </c>
      <c r="AU21" s="621"/>
      <c r="AV21" s="621"/>
      <c r="AW21" s="621"/>
      <c r="AX21" s="621"/>
      <c r="AY21" s="621"/>
      <c r="AZ21" s="621"/>
      <c r="BA21" s="643">
        <f t="shared" si="11"/>
        <v>0</v>
      </c>
      <c r="BB21" s="643">
        <f t="shared" si="12"/>
        <v>0</v>
      </c>
      <c r="BC21" s="643">
        <f t="shared" si="13"/>
        <v>0</v>
      </c>
      <c r="BD21" s="643">
        <f t="shared" si="14"/>
        <v>0</v>
      </c>
      <c r="BE21" s="643">
        <f t="shared" si="15"/>
        <v>0</v>
      </c>
      <c r="BF21" s="643">
        <f t="shared" si="16"/>
        <v>0</v>
      </c>
    </row>
    <row r="22" customHeight="1" spans="1:58">
      <c r="A22" s="641"/>
      <c r="B22" s="641"/>
      <c r="C22" s="642"/>
      <c r="D22" s="621"/>
      <c r="E22" s="621"/>
      <c r="F22" s="621"/>
      <c r="G22" s="621"/>
      <c r="H22" s="621"/>
      <c r="I22" s="621"/>
      <c r="J22" s="621"/>
      <c r="K22" s="643">
        <f t="shared" si="0"/>
        <v>0</v>
      </c>
      <c r="L22" s="621"/>
      <c r="M22" s="621"/>
      <c r="N22" s="621"/>
      <c r="O22" s="621"/>
      <c r="P22" s="621"/>
      <c r="Q22" s="621"/>
      <c r="R22" s="621"/>
      <c r="S22" s="643">
        <f t="shared" si="1"/>
        <v>0</v>
      </c>
      <c r="T22" s="643">
        <f t="shared" si="2"/>
        <v>0</v>
      </c>
      <c r="U22" s="643">
        <f t="shared" si="3"/>
        <v>0</v>
      </c>
      <c r="V22" s="643">
        <f t="shared" si="4"/>
        <v>0</v>
      </c>
      <c r="W22" s="621"/>
      <c r="X22" s="621"/>
      <c r="Y22" s="621"/>
      <c r="Z22" s="621"/>
      <c r="AA22" s="621"/>
      <c r="AB22" s="621"/>
      <c r="AC22" s="643">
        <f t="shared" si="5"/>
        <v>0</v>
      </c>
      <c r="AD22" s="621"/>
      <c r="AE22" s="621"/>
      <c r="AF22" s="621"/>
      <c r="AG22" s="621"/>
      <c r="AH22" s="621"/>
      <c r="AI22" s="621"/>
      <c r="AJ22" s="643">
        <f t="shared" si="6"/>
        <v>0</v>
      </c>
      <c r="AK22" s="643">
        <f t="shared" si="7"/>
        <v>0</v>
      </c>
      <c r="AL22" s="643">
        <f t="shared" si="8"/>
        <v>0</v>
      </c>
      <c r="AM22" s="643">
        <f t="shared" si="9"/>
        <v>0</v>
      </c>
      <c r="AN22" s="621"/>
      <c r="AO22" s="621"/>
      <c r="AP22" s="621"/>
      <c r="AQ22" s="621"/>
      <c r="AR22" s="621"/>
      <c r="AS22" s="621"/>
      <c r="AT22" s="643">
        <f t="shared" si="10"/>
        <v>0</v>
      </c>
      <c r="AU22" s="621"/>
      <c r="AV22" s="621"/>
      <c r="AW22" s="621"/>
      <c r="AX22" s="621"/>
      <c r="AY22" s="621"/>
      <c r="AZ22" s="621"/>
      <c r="BA22" s="643">
        <f t="shared" si="11"/>
        <v>0</v>
      </c>
      <c r="BB22" s="643">
        <f t="shared" si="12"/>
        <v>0</v>
      </c>
      <c r="BC22" s="643">
        <f t="shared" si="13"/>
        <v>0</v>
      </c>
      <c r="BD22" s="643">
        <f t="shared" si="14"/>
        <v>0</v>
      </c>
      <c r="BE22" s="643">
        <f t="shared" si="15"/>
        <v>0</v>
      </c>
      <c r="BF22" s="643">
        <f t="shared" si="16"/>
        <v>0</v>
      </c>
    </row>
    <row r="23" customHeight="1" spans="1:58">
      <c r="A23" s="641"/>
      <c r="B23" s="641"/>
      <c r="C23" s="642"/>
      <c r="D23" s="621"/>
      <c r="E23" s="621"/>
      <c r="F23" s="621"/>
      <c r="G23" s="621"/>
      <c r="H23" s="621"/>
      <c r="I23" s="621"/>
      <c r="J23" s="621"/>
      <c r="K23" s="643">
        <f t="shared" si="0"/>
        <v>0</v>
      </c>
      <c r="L23" s="621"/>
      <c r="M23" s="621"/>
      <c r="N23" s="621"/>
      <c r="O23" s="621"/>
      <c r="P23" s="621"/>
      <c r="Q23" s="621"/>
      <c r="R23" s="621"/>
      <c r="S23" s="643">
        <f t="shared" si="1"/>
        <v>0</v>
      </c>
      <c r="T23" s="643">
        <f t="shared" si="2"/>
        <v>0</v>
      </c>
      <c r="U23" s="643">
        <f t="shared" si="3"/>
        <v>0</v>
      </c>
      <c r="V23" s="643">
        <f t="shared" si="4"/>
        <v>0</v>
      </c>
      <c r="W23" s="621"/>
      <c r="X23" s="621"/>
      <c r="Y23" s="621"/>
      <c r="Z23" s="621"/>
      <c r="AA23" s="621"/>
      <c r="AB23" s="621"/>
      <c r="AC23" s="643">
        <f t="shared" si="5"/>
        <v>0</v>
      </c>
      <c r="AD23" s="621"/>
      <c r="AE23" s="621"/>
      <c r="AF23" s="621"/>
      <c r="AG23" s="621"/>
      <c r="AH23" s="621"/>
      <c r="AI23" s="621"/>
      <c r="AJ23" s="643">
        <f t="shared" si="6"/>
        <v>0</v>
      </c>
      <c r="AK23" s="643">
        <f t="shared" si="7"/>
        <v>0</v>
      </c>
      <c r="AL23" s="643">
        <f t="shared" si="8"/>
        <v>0</v>
      </c>
      <c r="AM23" s="643">
        <f t="shared" si="9"/>
        <v>0</v>
      </c>
      <c r="AN23" s="621"/>
      <c r="AO23" s="621"/>
      <c r="AP23" s="621"/>
      <c r="AQ23" s="621"/>
      <c r="AR23" s="621"/>
      <c r="AS23" s="621"/>
      <c r="AT23" s="643">
        <f t="shared" si="10"/>
        <v>0</v>
      </c>
      <c r="AU23" s="621"/>
      <c r="AV23" s="621"/>
      <c r="AW23" s="621"/>
      <c r="AX23" s="621"/>
      <c r="AY23" s="621"/>
      <c r="AZ23" s="621"/>
      <c r="BA23" s="643">
        <f t="shared" si="11"/>
        <v>0</v>
      </c>
      <c r="BB23" s="643">
        <f t="shared" si="12"/>
        <v>0</v>
      </c>
      <c r="BC23" s="643">
        <f t="shared" si="13"/>
        <v>0</v>
      </c>
      <c r="BD23" s="643">
        <f t="shared" si="14"/>
        <v>0</v>
      </c>
      <c r="BE23" s="643">
        <f t="shared" si="15"/>
        <v>0</v>
      </c>
      <c r="BF23" s="643">
        <f t="shared" si="16"/>
        <v>0</v>
      </c>
    </row>
    <row r="24" customHeight="1" spans="1:58">
      <c r="A24" s="641"/>
      <c r="B24" s="641"/>
      <c r="C24" s="642"/>
      <c r="D24" s="621"/>
      <c r="E24" s="621"/>
      <c r="F24" s="621"/>
      <c r="G24" s="621"/>
      <c r="H24" s="621"/>
      <c r="I24" s="621"/>
      <c r="J24" s="621"/>
      <c r="K24" s="643">
        <f t="shared" si="0"/>
        <v>0</v>
      </c>
      <c r="L24" s="621"/>
      <c r="M24" s="621"/>
      <c r="N24" s="621"/>
      <c r="O24" s="621"/>
      <c r="P24" s="621"/>
      <c r="Q24" s="621"/>
      <c r="R24" s="621"/>
      <c r="S24" s="643">
        <f t="shared" si="1"/>
        <v>0</v>
      </c>
      <c r="T24" s="643">
        <f t="shared" si="2"/>
        <v>0</v>
      </c>
      <c r="U24" s="643">
        <f t="shared" si="3"/>
        <v>0</v>
      </c>
      <c r="V24" s="643">
        <f t="shared" si="4"/>
        <v>0</v>
      </c>
      <c r="W24" s="621"/>
      <c r="X24" s="621"/>
      <c r="Y24" s="621"/>
      <c r="Z24" s="621"/>
      <c r="AA24" s="621"/>
      <c r="AB24" s="621"/>
      <c r="AC24" s="643">
        <f t="shared" si="5"/>
        <v>0</v>
      </c>
      <c r="AD24" s="621"/>
      <c r="AE24" s="621"/>
      <c r="AF24" s="621"/>
      <c r="AG24" s="621"/>
      <c r="AH24" s="621"/>
      <c r="AI24" s="621"/>
      <c r="AJ24" s="643">
        <f t="shared" si="6"/>
        <v>0</v>
      </c>
      <c r="AK24" s="643">
        <f t="shared" si="7"/>
        <v>0</v>
      </c>
      <c r="AL24" s="643">
        <f t="shared" si="8"/>
        <v>0</v>
      </c>
      <c r="AM24" s="643">
        <f t="shared" si="9"/>
        <v>0</v>
      </c>
      <c r="AN24" s="621"/>
      <c r="AO24" s="621"/>
      <c r="AP24" s="621"/>
      <c r="AQ24" s="621"/>
      <c r="AR24" s="621"/>
      <c r="AS24" s="621"/>
      <c r="AT24" s="643">
        <f t="shared" si="10"/>
        <v>0</v>
      </c>
      <c r="AU24" s="621"/>
      <c r="AV24" s="621"/>
      <c r="AW24" s="621"/>
      <c r="AX24" s="621"/>
      <c r="AY24" s="621"/>
      <c r="AZ24" s="621"/>
      <c r="BA24" s="643">
        <f t="shared" si="11"/>
        <v>0</v>
      </c>
      <c r="BB24" s="643">
        <f t="shared" si="12"/>
        <v>0</v>
      </c>
      <c r="BC24" s="643">
        <f t="shared" si="13"/>
        <v>0</v>
      </c>
      <c r="BD24" s="643">
        <f t="shared" si="14"/>
        <v>0</v>
      </c>
      <c r="BE24" s="643">
        <f t="shared" si="15"/>
        <v>0</v>
      </c>
      <c r="BF24" s="643">
        <f t="shared" si="16"/>
        <v>0</v>
      </c>
    </row>
    <row r="25" customHeight="1" spans="1:58">
      <c r="A25" s="641"/>
      <c r="B25" s="641"/>
      <c r="C25" s="642"/>
      <c r="D25" s="621"/>
      <c r="E25" s="621"/>
      <c r="F25" s="621"/>
      <c r="G25" s="621"/>
      <c r="H25" s="621"/>
      <c r="I25" s="621"/>
      <c r="J25" s="621"/>
      <c r="K25" s="643">
        <f t="shared" si="0"/>
        <v>0</v>
      </c>
      <c r="L25" s="621"/>
      <c r="M25" s="621"/>
      <c r="N25" s="621"/>
      <c r="O25" s="621"/>
      <c r="P25" s="621"/>
      <c r="Q25" s="621"/>
      <c r="R25" s="621"/>
      <c r="S25" s="643">
        <f t="shared" si="1"/>
        <v>0</v>
      </c>
      <c r="T25" s="643">
        <f t="shared" si="2"/>
        <v>0</v>
      </c>
      <c r="U25" s="643">
        <f t="shared" si="3"/>
        <v>0</v>
      </c>
      <c r="V25" s="643">
        <f t="shared" si="4"/>
        <v>0</v>
      </c>
      <c r="W25" s="621"/>
      <c r="X25" s="621"/>
      <c r="Y25" s="621"/>
      <c r="Z25" s="621"/>
      <c r="AA25" s="621"/>
      <c r="AB25" s="621"/>
      <c r="AC25" s="643">
        <f t="shared" si="5"/>
        <v>0</v>
      </c>
      <c r="AD25" s="621"/>
      <c r="AE25" s="621"/>
      <c r="AF25" s="621"/>
      <c r="AG25" s="621"/>
      <c r="AH25" s="621"/>
      <c r="AI25" s="621"/>
      <c r="AJ25" s="643">
        <f t="shared" si="6"/>
        <v>0</v>
      </c>
      <c r="AK25" s="643">
        <f t="shared" si="7"/>
        <v>0</v>
      </c>
      <c r="AL25" s="643">
        <f t="shared" si="8"/>
        <v>0</v>
      </c>
      <c r="AM25" s="643">
        <f t="shared" si="9"/>
        <v>0</v>
      </c>
      <c r="AN25" s="621"/>
      <c r="AO25" s="621"/>
      <c r="AP25" s="621"/>
      <c r="AQ25" s="621"/>
      <c r="AR25" s="621"/>
      <c r="AS25" s="621"/>
      <c r="AT25" s="643">
        <f t="shared" si="10"/>
        <v>0</v>
      </c>
      <c r="AU25" s="621"/>
      <c r="AV25" s="621"/>
      <c r="AW25" s="621"/>
      <c r="AX25" s="621"/>
      <c r="AY25" s="621"/>
      <c r="AZ25" s="621"/>
      <c r="BA25" s="643">
        <f t="shared" si="11"/>
        <v>0</v>
      </c>
      <c r="BB25" s="643">
        <f t="shared" si="12"/>
        <v>0</v>
      </c>
      <c r="BC25" s="643">
        <f t="shared" si="13"/>
        <v>0</v>
      </c>
      <c r="BD25" s="643">
        <f t="shared" si="14"/>
        <v>0</v>
      </c>
      <c r="BE25" s="643">
        <f t="shared" si="15"/>
        <v>0</v>
      </c>
      <c r="BF25" s="643">
        <f t="shared" si="16"/>
        <v>0</v>
      </c>
    </row>
    <row r="26" customHeight="1" spans="1:58">
      <c r="A26" s="641"/>
      <c r="B26" s="641"/>
      <c r="C26" s="642"/>
      <c r="D26" s="621"/>
      <c r="E26" s="621"/>
      <c r="F26" s="621"/>
      <c r="G26" s="621"/>
      <c r="H26" s="621"/>
      <c r="I26" s="621"/>
      <c r="J26" s="621"/>
      <c r="K26" s="643">
        <f t="shared" si="0"/>
        <v>0</v>
      </c>
      <c r="L26" s="621"/>
      <c r="M26" s="621"/>
      <c r="N26" s="621"/>
      <c r="O26" s="621"/>
      <c r="P26" s="621"/>
      <c r="Q26" s="621"/>
      <c r="R26" s="621"/>
      <c r="S26" s="643">
        <f t="shared" si="1"/>
        <v>0</v>
      </c>
      <c r="T26" s="643">
        <f t="shared" si="2"/>
        <v>0</v>
      </c>
      <c r="U26" s="643">
        <f t="shared" si="3"/>
        <v>0</v>
      </c>
      <c r="V26" s="643">
        <f t="shared" si="4"/>
        <v>0</v>
      </c>
      <c r="W26" s="621"/>
      <c r="X26" s="621"/>
      <c r="Y26" s="621"/>
      <c r="Z26" s="621"/>
      <c r="AA26" s="621"/>
      <c r="AB26" s="621"/>
      <c r="AC26" s="643">
        <f t="shared" si="5"/>
        <v>0</v>
      </c>
      <c r="AD26" s="621"/>
      <c r="AE26" s="621"/>
      <c r="AF26" s="621"/>
      <c r="AG26" s="621"/>
      <c r="AH26" s="621"/>
      <c r="AI26" s="621"/>
      <c r="AJ26" s="643">
        <f t="shared" si="6"/>
        <v>0</v>
      </c>
      <c r="AK26" s="643">
        <f t="shared" si="7"/>
        <v>0</v>
      </c>
      <c r="AL26" s="643">
        <f t="shared" si="8"/>
        <v>0</v>
      </c>
      <c r="AM26" s="643">
        <f t="shared" si="9"/>
        <v>0</v>
      </c>
      <c r="AN26" s="621"/>
      <c r="AO26" s="621"/>
      <c r="AP26" s="621"/>
      <c r="AQ26" s="621"/>
      <c r="AR26" s="621"/>
      <c r="AS26" s="621"/>
      <c r="AT26" s="643">
        <f t="shared" si="10"/>
        <v>0</v>
      </c>
      <c r="AU26" s="621"/>
      <c r="AV26" s="621"/>
      <c r="AW26" s="621"/>
      <c r="AX26" s="621"/>
      <c r="AY26" s="621"/>
      <c r="AZ26" s="621"/>
      <c r="BA26" s="643">
        <f t="shared" si="11"/>
        <v>0</v>
      </c>
      <c r="BB26" s="643">
        <f t="shared" si="12"/>
        <v>0</v>
      </c>
      <c r="BC26" s="643">
        <f t="shared" si="13"/>
        <v>0</v>
      </c>
      <c r="BD26" s="643">
        <f t="shared" si="14"/>
        <v>0</v>
      </c>
      <c r="BE26" s="643">
        <f t="shared" si="15"/>
        <v>0</v>
      </c>
      <c r="BF26" s="643">
        <f t="shared" si="16"/>
        <v>0</v>
      </c>
    </row>
    <row r="27" customHeight="1" spans="1:58">
      <c r="A27" s="641"/>
      <c r="B27" s="641"/>
      <c r="C27" s="642"/>
      <c r="D27" s="621"/>
      <c r="E27" s="621"/>
      <c r="F27" s="621"/>
      <c r="G27" s="621"/>
      <c r="H27" s="621"/>
      <c r="I27" s="621"/>
      <c r="J27" s="621"/>
      <c r="K27" s="643">
        <f t="shared" si="0"/>
        <v>0</v>
      </c>
      <c r="L27" s="621"/>
      <c r="M27" s="621"/>
      <c r="N27" s="621"/>
      <c r="O27" s="621"/>
      <c r="P27" s="621"/>
      <c r="Q27" s="621"/>
      <c r="R27" s="621"/>
      <c r="S27" s="643">
        <f t="shared" si="1"/>
        <v>0</v>
      </c>
      <c r="T27" s="643">
        <f t="shared" si="2"/>
        <v>0</v>
      </c>
      <c r="U27" s="643">
        <f t="shared" si="3"/>
        <v>0</v>
      </c>
      <c r="V27" s="643">
        <f t="shared" si="4"/>
        <v>0</v>
      </c>
      <c r="W27" s="621"/>
      <c r="X27" s="621"/>
      <c r="Y27" s="621"/>
      <c r="Z27" s="621"/>
      <c r="AA27" s="621"/>
      <c r="AB27" s="621"/>
      <c r="AC27" s="643">
        <f t="shared" si="5"/>
        <v>0</v>
      </c>
      <c r="AD27" s="621"/>
      <c r="AE27" s="621"/>
      <c r="AF27" s="621"/>
      <c r="AG27" s="621"/>
      <c r="AH27" s="621"/>
      <c r="AI27" s="621"/>
      <c r="AJ27" s="643">
        <f t="shared" si="6"/>
        <v>0</v>
      </c>
      <c r="AK27" s="643">
        <f t="shared" si="7"/>
        <v>0</v>
      </c>
      <c r="AL27" s="643">
        <f t="shared" si="8"/>
        <v>0</v>
      </c>
      <c r="AM27" s="643">
        <f t="shared" si="9"/>
        <v>0</v>
      </c>
      <c r="AN27" s="621"/>
      <c r="AO27" s="621"/>
      <c r="AP27" s="621"/>
      <c r="AQ27" s="621"/>
      <c r="AR27" s="621"/>
      <c r="AS27" s="621"/>
      <c r="AT27" s="643">
        <f t="shared" si="10"/>
        <v>0</v>
      </c>
      <c r="AU27" s="621"/>
      <c r="AV27" s="621"/>
      <c r="AW27" s="621"/>
      <c r="AX27" s="621"/>
      <c r="AY27" s="621"/>
      <c r="AZ27" s="621"/>
      <c r="BA27" s="643">
        <f t="shared" si="11"/>
        <v>0</v>
      </c>
      <c r="BB27" s="643">
        <f t="shared" si="12"/>
        <v>0</v>
      </c>
      <c r="BC27" s="643">
        <f t="shared" si="13"/>
        <v>0</v>
      </c>
      <c r="BD27" s="643">
        <f t="shared" si="14"/>
        <v>0</v>
      </c>
      <c r="BE27" s="643">
        <f t="shared" si="15"/>
        <v>0</v>
      </c>
      <c r="BF27" s="643">
        <f t="shared" si="16"/>
        <v>0</v>
      </c>
    </row>
    <row r="28" customHeight="1" spans="1:58">
      <c r="A28" s="641"/>
      <c r="B28" s="641"/>
      <c r="C28" s="642"/>
      <c r="D28" s="621"/>
      <c r="E28" s="621"/>
      <c r="F28" s="621"/>
      <c r="G28" s="621"/>
      <c r="H28" s="621"/>
      <c r="I28" s="621"/>
      <c r="J28" s="621"/>
      <c r="K28" s="643">
        <f t="shared" si="0"/>
        <v>0</v>
      </c>
      <c r="L28" s="621"/>
      <c r="M28" s="621"/>
      <c r="N28" s="621"/>
      <c r="O28" s="621"/>
      <c r="P28" s="621"/>
      <c r="Q28" s="621"/>
      <c r="R28" s="621"/>
      <c r="S28" s="643">
        <f t="shared" si="1"/>
        <v>0</v>
      </c>
      <c r="T28" s="643">
        <f t="shared" si="2"/>
        <v>0</v>
      </c>
      <c r="U28" s="643">
        <f t="shared" si="3"/>
        <v>0</v>
      </c>
      <c r="V28" s="643">
        <f t="shared" si="4"/>
        <v>0</v>
      </c>
      <c r="W28" s="621"/>
      <c r="X28" s="621"/>
      <c r="Y28" s="621"/>
      <c r="Z28" s="621"/>
      <c r="AA28" s="621"/>
      <c r="AB28" s="621"/>
      <c r="AC28" s="643">
        <f t="shared" si="5"/>
        <v>0</v>
      </c>
      <c r="AD28" s="621"/>
      <c r="AE28" s="621"/>
      <c r="AF28" s="621"/>
      <c r="AG28" s="621"/>
      <c r="AH28" s="621"/>
      <c r="AI28" s="621"/>
      <c r="AJ28" s="643">
        <f t="shared" si="6"/>
        <v>0</v>
      </c>
      <c r="AK28" s="643">
        <f t="shared" si="7"/>
        <v>0</v>
      </c>
      <c r="AL28" s="643">
        <f t="shared" si="8"/>
        <v>0</v>
      </c>
      <c r="AM28" s="643">
        <f t="shared" si="9"/>
        <v>0</v>
      </c>
      <c r="AN28" s="621"/>
      <c r="AO28" s="621"/>
      <c r="AP28" s="621"/>
      <c r="AQ28" s="621"/>
      <c r="AR28" s="621"/>
      <c r="AS28" s="621"/>
      <c r="AT28" s="643">
        <f t="shared" si="10"/>
        <v>0</v>
      </c>
      <c r="AU28" s="621"/>
      <c r="AV28" s="621"/>
      <c r="AW28" s="621"/>
      <c r="AX28" s="621"/>
      <c r="AY28" s="621"/>
      <c r="AZ28" s="621"/>
      <c r="BA28" s="643">
        <f t="shared" si="11"/>
        <v>0</v>
      </c>
      <c r="BB28" s="643">
        <f t="shared" si="12"/>
        <v>0</v>
      </c>
      <c r="BC28" s="643">
        <f t="shared" si="13"/>
        <v>0</v>
      </c>
      <c r="BD28" s="643">
        <f t="shared" si="14"/>
        <v>0</v>
      </c>
      <c r="BE28" s="643">
        <f t="shared" si="15"/>
        <v>0</v>
      </c>
      <c r="BF28" s="643">
        <f t="shared" si="16"/>
        <v>0</v>
      </c>
    </row>
    <row r="29" customHeight="1" spans="1:58">
      <c r="A29" s="641"/>
      <c r="B29" s="641"/>
      <c r="C29" s="642"/>
      <c r="D29" s="621"/>
      <c r="E29" s="621"/>
      <c r="F29" s="621"/>
      <c r="G29" s="621"/>
      <c r="H29" s="621"/>
      <c r="I29" s="621"/>
      <c r="J29" s="621"/>
      <c r="K29" s="643">
        <f t="shared" si="0"/>
        <v>0</v>
      </c>
      <c r="L29" s="621"/>
      <c r="M29" s="621"/>
      <c r="N29" s="621"/>
      <c r="O29" s="621"/>
      <c r="P29" s="621"/>
      <c r="Q29" s="621"/>
      <c r="R29" s="621"/>
      <c r="S29" s="643">
        <f t="shared" si="1"/>
        <v>0</v>
      </c>
      <c r="T29" s="643">
        <f t="shared" si="2"/>
        <v>0</v>
      </c>
      <c r="U29" s="643">
        <f t="shared" si="3"/>
        <v>0</v>
      </c>
      <c r="V29" s="643">
        <f t="shared" si="4"/>
        <v>0</v>
      </c>
      <c r="W29" s="621"/>
      <c r="X29" s="621"/>
      <c r="Y29" s="621"/>
      <c r="Z29" s="621"/>
      <c r="AA29" s="621"/>
      <c r="AB29" s="621"/>
      <c r="AC29" s="643">
        <f t="shared" si="5"/>
        <v>0</v>
      </c>
      <c r="AD29" s="621"/>
      <c r="AE29" s="621"/>
      <c r="AF29" s="621"/>
      <c r="AG29" s="621"/>
      <c r="AH29" s="621"/>
      <c r="AI29" s="621"/>
      <c r="AJ29" s="643">
        <f t="shared" si="6"/>
        <v>0</v>
      </c>
      <c r="AK29" s="643">
        <f t="shared" si="7"/>
        <v>0</v>
      </c>
      <c r="AL29" s="643">
        <f t="shared" si="8"/>
        <v>0</v>
      </c>
      <c r="AM29" s="643">
        <f t="shared" si="9"/>
        <v>0</v>
      </c>
      <c r="AN29" s="621"/>
      <c r="AO29" s="621"/>
      <c r="AP29" s="621"/>
      <c r="AQ29" s="621"/>
      <c r="AR29" s="621"/>
      <c r="AS29" s="621"/>
      <c r="AT29" s="643">
        <f t="shared" si="10"/>
        <v>0</v>
      </c>
      <c r="AU29" s="621"/>
      <c r="AV29" s="621"/>
      <c r="AW29" s="621"/>
      <c r="AX29" s="621"/>
      <c r="AY29" s="621"/>
      <c r="AZ29" s="621"/>
      <c r="BA29" s="643">
        <f t="shared" si="11"/>
        <v>0</v>
      </c>
      <c r="BB29" s="643">
        <f t="shared" si="12"/>
        <v>0</v>
      </c>
      <c r="BC29" s="643">
        <f t="shared" si="13"/>
        <v>0</v>
      </c>
      <c r="BD29" s="643">
        <f t="shared" si="14"/>
        <v>0</v>
      </c>
      <c r="BE29" s="643">
        <f t="shared" si="15"/>
        <v>0</v>
      </c>
      <c r="BF29" s="643">
        <f t="shared" si="16"/>
        <v>0</v>
      </c>
    </row>
    <row r="30" customHeight="1" spans="1:58">
      <c r="A30" s="641"/>
      <c r="B30" s="641"/>
      <c r="C30" s="642"/>
      <c r="D30" s="621"/>
      <c r="E30" s="621"/>
      <c r="F30" s="621"/>
      <c r="G30" s="621"/>
      <c r="H30" s="621"/>
      <c r="I30" s="621"/>
      <c r="J30" s="621"/>
      <c r="K30" s="643">
        <f t="shared" si="0"/>
        <v>0</v>
      </c>
      <c r="L30" s="621"/>
      <c r="M30" s="621"/>
      <c r="N30" s="621"/>
      <c r="O30" s="621"/>
      <c r="P30" s="621"/>
      <c r="Q30" s="621"/>
      <c r="R30" s="621"/>
      <c r="S30" s="643">
        <f t="shared" si="1"/>
        <v>0</v>
      </c>
      <c r="T30" s="643">
        <f t="shared" si="2"/>
        <v>0</v>
      </c>
      <c r="U30" s="643">
        <f t="shared" si="3"/>
        <v>0</v>
      </c>
      <c r="V30" s="643">
        <f t="shared" si="4"/>
        <v>0</v>
      </c>
      <c r="W30" s="621"/>
      <c r="X30" s="621"/>
      <c r="Y30" s="621"/>
      <c r="Z30" s="621"/>
      <c r="AA30" s="621"/>
      <c r="AB30" s="621"/>
      <c r="AC30" s="643">
        <f t="shared" si="5"/>
        <v>0</v>
      </c>
      <c r="AD30" s="621"/>
      <c r="AE30" s="621"/>
      <c r="AF30" s="621"/>
      <c r="AG30" s="621"/>
      <c r="AH30" s="621"/>
      <c r="AI30" s="621"/>
      <c r="AJ30" s="643">
        <f t="shared" si="6"/>
        <v>0</v>
      </c>
      <c r="AK30" s="643">
        <f t="shared" si="7"/>
        <v>0</v>
      </c>
      <c r="AL30" s="643">
        <f t="shared" si="8"/>
        <v>0</v>
      </c>
      <c r="AM30" s="643">
        <f t="shared" si="9"/>
        <v>0</v>
      </c>
      <c r="AN30" s="621"/>
      <c r="AO30" s="621"/>
      <c r="AP30" s="621"/>
      <c r="AQ30" s="621"/>
      <c r="AR30" s="621"/>
      <c r="AS30" s="621"/>
      <c r="AT30" s="643">
        <f t="shared" si="10"/>
        <v>0</v>
      </c>
      <c r="AU30" s="621"/>
      <c r="AV30" s="621"/>
      <c r="AW30" s="621"/>
      <c r="AX30" s="621"/>
      <c r="AY30" s="621"/>
      <c r="AZ30" s="621"/>
      <c r="BA30" s="643">
        <f t="shared" si="11"/>
        <v>0</v>
      </c>
      <c r="BB30" s="643">
        <f t="shared" si="12"/>
        <v>0</v>
      </c>
      <c r="BC30" s="643">
        <f t="shared" si="13"/>
        <v>0</v>
      </c>
      <c r="BD30" s="643">
        <f t="shared" si="14"/>
        <v>0</v>
      </c>
      <c r="BE30" s="643">
        <f t="shared" si="15"/>
        <v>0</v>
      </c>
      <c r="BF30" s="643">
        <f t="shared" si="16"/>
        <v>0</v>
      </c>
    </row>
    <row r="31" customHeight="1" spans="1:58">
      <c r="A31" s="641"/>
      <c r="B31" s="641"/>
      <c r="C31" s="642"/>
      <c r="D31" s="621"/>
      <c r="E31" s="621"/>
      <c r="F31" s="621"/>
      <c r="G31" s="621"/>
      <c r="H31" s="621"/>
      <c r="I31" s="621"/>
      <c r="J31" s="621"/>
      <c r="K31" s="643">
        <f t="shared" si="0"/>
        <v>0</v>
      </c>
      <c r="L31" s="621"/>
      <c r="M31" s="621"/>
      <c r="N31" s="621"/>
      <c r="O31" s="621"/>
      <c r="P31" s="621"/>
      <c r="Q31" s="621"/>
      <c r="R31" s="621"/>
      <c r="S31" s="643">
        <f t="shared" si="1"/>
        <v>0</v>
      </c>
      <c r="T31" s="643">
        <f t="shared" si="2"/>
        <v>0</v>
      </c>
      <c r="U31" s="643">
        <f t="shared" si="3"/>
        <v>0</v>
      </c>
      <c r="V31" s="643">
        <f t="shared" si="4"/>
        <v>0</v>
      </c>
      <c r="W31" s="621"/>
      <c r="X31" s="621"/>
      <c r="Y31" s="621"/>
      <c r="Z31" s="621"/>
      <c r="AA31" s="621"/>
      <c r="AB31" s="621"/>
      <c r="AC31" s="643">
        <f t="shared" si="5"/>
        <v>0</v>
      </c>
      <c r="AD31" s="621"/>
      <c r="AE31" s="621"/>
      <c r="AF31" s="621"/>
      <c r="AG31" s="621"/>
      <c r="AH31" s="621"/>
      <c r="AI31" s="621"/>
      <c r="AJ31" s="643">
        <f t="shared" si="6"/>
        <v>0</v>
      </c>
      <c r="AK31" s="643">
        <f t="shared" si="7"/>
        <v>0</v>
      </c>
      <c r="AL31" s="643">
        <f t="shared" si="8"/>
        <v>0</v>
      </c>
      <c r="AM31" s="643">
        <f t="shared" si="9"/>
        <v>0</v>
      </c>
      <c r="AN31" s="621"/>
      <c r="AO31" s="621"/>
      <c r="AP31" s="621"/>
      <c r="AQ31" s="621"/>
      <c r="AR31" s="621"/>
      <c r="AS31" s="621"/>
      <c r="AT31" s="643">
        <f t="shared" si="10"/>
        <v>0</v>
      </c>
      <c r="AU31" s="621"/>
      <c r="AV31" s="621"/>
      <c r="AW31" s="621"/>
      <c r="AX31" s="621"/>
      <c r="AY31" s="621"/>
      <c r="AZ31" s="621"/>
      <c r="BA31" s="643">
        <f t="shared" si="11"/>
        <v>0</v>
      </c>
      <c r="BB31" s="643">
        <f t="shared" si="12"/>
        <v>0</v>
      </c>
      <c r="BC31" s="643">
        <f t="shared" si="13"/>
        <v>0</v>
      </c>
      <c r="BD31" s="643">
        <f t="shared" si="14"/>
        <v>0</v>
      </c>
      <c r="BE31" s="643">
        <f t="shared" si="15"/>
        <v>0</v>
      </c>
      <c r="BF31" s="643">
        <f t="shared" si="16"/>
        <v>0</v>
      </c>
    </row>
    <row r="32" s="630" customFormat="1" customHeight="1" spans="1:58">
      <c r="A32" s="644" t="s">
        <v>139</v>
      </c>
      <c r="B32" s="119"/>
      <c r="C32" s="137"/>
      <c r="D32" s="142">
        <f t="shared" ref="D32:BF32" si="17">SUM(D12:D31)</f>
        <v>0</v>
      </c>
      <c r="E32" s="142">
        <f t="shared" si="17"/>
        <v>0</v>
      </c>
      <c r="F32" s="142">
        <f t="shared" si="17"/>
        <v>0</v>
      </c>
      <c r="G32" s="142">
        <f t="shared" si="17"/>
        <v>0</v>
      </c>
      <c r="H32" s="142">
        <f t="shared" si="17"/>
        <v>0</v>
      </c>
      <c r="I32" s="142">
        <f t="shared" si="17"/>
        <v>0</v>
      </c>
      <c r="J32" s="142">
        <f t="shared" si="17"/>
        <v>0</v>
      </c>
      <c r="K32" s="142">
        <f t="shared" si="17"/>
        <v>0</v>
      </c>
      <c r="L32" s="142">
        <f t="shared" si="17"/>
        <v>0</v>
      </c>
      <c r="M32" s="142">
        <f t="shared" si="17"/>
        <v>0</v>
      </c>
      <c r="N32" s="142">
        <f t="shared" si="17"/>
        <v>0</v>
      </c>
      <c r="O32" s="142">
        <f t="shared" si="17"/>
        <v>0</v>
      </c>
      <c r="P32" s="142">
        <f t="shared" si="17"/>
        <v>0</v>
      </c>
      <c r="Q32" s="142">
        <f t="shared" si="17"/>
        <v>0</v>
      </c>
      <c r="R32" s="142">
        <f t="shared" si="17"/>
        <v>0</v>
      </c>
      <c r="S32" s="142">
        <f t="shared" si="17"/>
        <v>0</v>
      </c>
      <c r="T32" s="142">
        <f t="shared" si="17"/>
        <v>0</v>
      </c>
      <c r="U32" s="142">
        <f t="shared" si="17"/>
        <v>0</v>
      </c>
      <c r="V32" s="142">
        <f t="shared" si="17"/>
        <v>0</v>
      </c>
      <c r="W32" s="142">
        <f t="shared" si="17"/>
        <v>0</v>
      </c>
      <c r="X32" s="142">
        <f t="shared" si="17"/>
        <v>0</v>
      </c>
      <c r="Y32" s="142">
        <f t="shared" si="17"/>
        <v>0</v>
      </c>
      <c r="Z32" s="142">
        <f t="shared" si="17"/>
        <v>0</v>
      </c>
      <c r="AA32" s="142">
        <f t="shared" si="17"/>
        <v>0</v>
      </c>
      <c r="AB32" s="142">
        <f t="shared" si="17"/>
        <v>0</v>
      </c>
      <c r="AC32" s="142">
        <f t="shared" si="17"/>
        <v>0</v>
      </c>
      <c r="AD32" s="142">
        <f t="shared" si="17"/>
        <v>0</v>
      </c>
      <c r="AE32" s="142">
        <f t="shared" si="17"/>
        <v>0</v>
      </c>
      <c r="AF32" s="142">
        <f t="shared" si="17"/>
        <v>0</v>
      </c>
      <c r="AG32" s="142">
        <f t="shared" si="17"/>
        <v>0</v>
      </c>
      <c r="AH32" s="142">
        <f t="shared" si="17"/>
        <v>0</v>
      </c>
      <c r="AI32" s="142">
        <f t="shared" si="17"/>
        <v>0</v>
      </c>
      <c r="AJ32" s="142">
        <f t="shared" si="17"/>
        <v>0</v>
      </c>
      <c r="AK32" s="142">
        <f t="shared" si="17"/>
        <v>0</v>
      </c>
      <c r="AL32" s="142">
        <f t="shared" si="17"/>
        <v>0</v>
      </c>
      <c r="AM32" s="142">
        <f t="shared" si="17"/>
        <v>0</v>
      </c>
      <c r="AN32" s="142">
        <f t="shared" si="17"/>
        <v>0</v>
      </c>
      <c r="AO32" s="142">
        <f t="shared" si="17"/>
        <v>0</v>
      </c>
      <c r="AP32" s="142">
        <f t="shared" si="17"/>
        <v>0</v>
      </c>
      <c r="AQ32" s="142">
        <f t="shared" si="17"/>
        <v>0</v>
      </c>
      <c r="AR32" s="142">
        <f t="shared" si="17"/>
        <v>0</v>
      </c>
      <c r="AS32" s="142">
        <f t="shared" si="17"/>
        <v>0</v>
      </c>
      <c r="AT32" s="142">
        <f t="shared" si="17"/>
        <v>0</v>
      </c>
      <c r="AU32" s="142">
        <f t="shared" si="17"/>
        <v>0</v>
      </c>
      <c r="AV32" s="142">
        <f t="shared" si="17"/>
        <v>0</v>
      </c>
      <c r="AW32" s="142">
        <f t="shared" si="17"/>
        <v>0</v>
      </c>
      <c r="AX32" s="142">
        <f t="shared" si="17"/>
        <v>0</v>
      </c>
      <c r="AY32" s="142">
        <f t="shared" si="17"/>
        <v>0</v>
      </c>
      <c r="AZ32" s="142">
        <f t="shared" si="17"/>
        <v>0</v>
      </c>
      <c r="BA32" s="142">
        <f t="shared" si="17"/>
        <v>0</v>
      </c>
      <c r="BB32" s="142">
        <f t="shared" si="17"/>
        <v>0</v>
      </c>
      <c r="BC32" s="142">
        <f t="shared" si="17"/>
        <v>0</v>
      </c>
      <c r="BD32" s="142">
        <f t="shared" si="17"/>
        <v>0</v>
      </c>
      <c r="BE32" s="142">
        <f t="shared" si="17"/>
        <v>0</v>
      </c>
      <c r="BF32" s="142">
        <f t="shared" si="17"/>
        <v>0</v>
      </c>
    </row>
    <row r="33" customHeight="1" spans="1:58">
      <c r="A33" s="645" t="s">
        <v>211</v>
      </c>
      <c r="B33" s="119"/>
      <c r="C33" s="137"/>
      <c r="D33" s="643"/>
      <c r="E33" s="643"/>
      <c r="F33" s="643"/>
      <c r="G33" s="643"/>
      <c r="H33" s="643"/>
      <c r="I33" s="643"/>
      <c r="J33" s="643"/>
      <c r="K33" s="643"/>
      <c r="L33" s="643"/>
      <c r="M33" s="643"/>
      <c r="N33" s="643"/>
      <c r="O33" s="643"/>
      <c r="P33" s="643"/>
      <c r="Q33" s="643"/>
      <c r="R33" s="643"/>
      <c r="S33" s="643"/>
      <c r="T33" s="643"/>
      <c r="U33" s="643"/>
      <c r="V33" s="643"/>
      <c r="W33" s="643"/>
      <c r="X33" s="643"/>
      <c r="Y33" s="643"/>
      <c r="Z33" s="643"/>
      <c r="AA33" s="643"/>
      <c r="AB33" s="643"/>
      <c r="AC33" s="643"/>
      <c r="AD33" s="643"/>
      <c r="AE33" s="643"/>
      <c r="AF33" s="643"/>
      <c r="AG33" s="643"/>
      <c r="AH33" s="643"/>
      <c r="AI33" s="643"/>
      <c r="AJ33" s="643"/>
      <c r="AK33" s="643"/>
      <c r="AL33" s="643"/>
      <c r="AM33" s="643"/>
      <c r="AN33" s="643"/>
      <c r="AO33" s="643"/>
      <c r="AP33" s="643"/>
      <c r="AQ33" s="643"/>
      <c r="AR33" s="643"/>
      <c r="AS33" s="643"/>
      <c r="AT33" s="643"/>
      <c r="AU33" s="643"/>
      <c r="AV33" s="643"/>
      <c r="AW33" s="643"/>
      <c r="AX33" s="643"/>
      <c r="AY33" s="643"/>
      <c r="AZ33" s="643"/>
      <c r="BA33" s="643"/>
      <c r="BB33" s="643"/>
      <c r="BC33" s="643"/>
      <c r="BD33" s="643"/>
      <c r="BE33" s="643"/>
      <c r="BF33" s="643"/>
    </row>
    <row r="34" customHeight="1" spans="1:58">
      <c r="A34" s="646" t="str">
        <f>底稿目录!A9</f>
        <v>房屋及建筑物</v>
      </c>
      <c r="B34" s="119"/>
      <c r="C34" s="137"/>
      <c r="D34" s="643">
        <f t="shared" ref="D34:BF34" si="18">SUMPRODUCT(($A$12:$A$31=$A34)*(D$12:D$31))</f>
        <v>0</v>
      </c>
      <c r="E34" s="643">
        <f t="shared" si="18"/>
        <v>0</v>
      </c>
      <c r="F34" s="643">
        <f t="shared" si="18"/>
        <v>0</v>
      </c>
      <c r="G34" s="643">
        <f t="shared" si="18"/>
        <v>0</v>
      </c>
      <c r="H34" s="643">
        <f t="shared" si="18"/>
        <v>0</v>
      </c>
      <c r="I34" s="643">
        <f t="shared" si="18"/>
        <v>0</v>
      </c>
      <c r="J34" s="643">
        <f t="shared" si="18"/>
        <v>0</v>
      </c>
      <c r="K34" s="643">
        <f t="shared" si="18"/>
        <v>0</v>
      </c>
      <c r="L34" s="643">
        <f t="shared" si="18"/>
        <v>0</v>
      </c>
      <c r="M34" s="643">
        <f t="shared" si="18"/>
        <v>0</v>
      </c>
      <c r="N34" s="643">
        <f t="shared" si="18"/>
        <v>0</v>
      </c>
      <c r="O34" s="643">
        <f t="shared" si="18"/>
        <v>0</v>
      </c>
      <c r="P34" s="643">
        <f t="shared" si="18"/>
        <v>0</v>
      </c>
      <c r="Q34" s="643">
        <f t="shared" si="18"/>
        <v>0</v>
      </c>
      <c r="R34" s="643">
        <f t="shared" si="18"/>
        <v>0</v>
      </c>
      <c r="S34" s="643">
        <f t="shared" si="18"/>
        <v>0</v>
      </c>
      <c r="T34" s="643">
        <f t="shared" si="18"/>
        <v>0</v>
      </c>
      <c r="U34" s="643">
        <f t="shared" si="18"/>
        <v>0</v>
      </c>
      <c r="V34" s="643">
        <f t="shared" si="18"/>
        <v>0</v>
      </c>
      <c r="W34" s="643">
        <f t="shared" si="18"/>
        <v>0</v>
      </c>
      <c r="X34" s="643">
        <f t="shared" si="18"/>
        <v>0</v>
      </c>
      <c r="Y34" s="643">
        <f t="shared" si="18"/>
        <v>0</v>
      </c>
      <c r="Z34" s="643">
        <f t="shared" si="18"/>
        <v>0</v>
      </c>
      <c r="AA34" s="643">
        <f t="shared" si="18"/>
        <v>0</v>
      </c>
      <c r="AB34" s="643">
        <f t="shared" si="18"/>
        <v>0</v>
      </c>
      <c r="AC34" s="643">
        <f t="shared" si="18"/>
        <v>0</v>
      </c>
      <c r="AD34" s="643">
        <f t="shared" si="18"/>
        <v>0</v>
      </c>
      <c r="AE34" s="643">
        <f t="shared" si="18"/>
        <v>0</v>
      </c>
      <c r="AF34" s="643">
        <f t="shared" si="18"/>
        <v>0</v>
      </c>
      <c r="AG34" s="643">
        <f t="shared" si="18"/>
        <v>0</v>
      </c>
      <c r="AH34" s="643">
        <f t="shared" si="18"/>
        <v>0</v>
      </c>
      <c r="AI34" s="643">
        <f t="shared" si="18"/>
        <v>0</v>
      </c>
      <c r="AJ34" s="643">
        <f t="shared" si="18"/>
        <v>0</v>
      </c>
      <c r="AK34" s="643">
        <f t="shared" si="18"/>
        <v>0</v>
      </c>
      <c r="AL34" s="643">
        <f t="shared" si="18"/>
        <v>0</v>
      </c>
      <c r="AM34" s="643">
        <f t="shared" si="18"/>
        <v>0</v>
      </c>
      <c r="AN34" s="643">
        <f t="shared" si="18"/>
        <v>0</v>
      </c>
      <c r="AO34" s="643">
        <f t="shared" si="18"/>
        <v>0</v>
      </c>
      <c r="AP34" s="643">
        <f t="shared" si="18"/>
        <v>0</v>
      </c>
      <c r="AQ34" s="643">
        <f t="shared" si="18"/>
        <v>0</v>
      </c>
      <c r="AR34" s="643">
        <f t="shared" si="18"/>
        <v>0</v>
      </c>
      <c r="AS34" s="643">
        <f t="shared" si="18"/>
        <v>0</v>
      </c>
      <c r="AT34" s="643">
        <f t="shared" si="18"/>
        <v>0</v>
      </c>
      <c r="AU34" s="643">
        <f t="shared" si="18"/>
        <v>0</v>
      </c>
      <c r="AV34" s="643">
        <f t="shared" si="18"/>
        <v>0</v>
      </c>
      <c r="AW34" s="643">
        <f t="shared" si="18"/>
        <v>0</v>
      </c>
      <c r="AX34" s="643">
        <f t="shared" si="18"/>
        <v>0</v>
      </c>
      <c r="AY34" s="643">
        <f t="shared" si="18"/>
        <v>0</v>
      </c>
      <c r="AZ34" s="643">
        <f t="shared" si="18"/>
        <v>0</v>
      </c>
      <c r="BA34" s="643">
        <f t="shared" si="18"/>
        <v>0</v>
      </c>
      <c r="BB34" s="643">
        <f t="shared" si="18"/>
        <v>0</v>
      </c>
      <c r="BC34" s="643">
        <f t="shared" si="18"/>
        <v>0</v>
      </c>
      <c r="BD34" s="643">
        <f t="shared" si="18"/>
        <v>0</v>
      </c>
      <c r="BE34" s="643">
        <f t="shared" si="18"/>
        <v>0</v>
      </c>
      <c r="BF34" s="643">
        <f t="shared" si="18"/>
        <v>0</v>
      </c>
    </row>
    <row r="35" customHeight="1" spans="1:58">
      <c r="A35" s="646" t="str">
        <f>底稿目录!A10</f>
        <v>机器设备</v>
      </c>
      <c r="B35" s="119"/>
      <c r="C35" s="137"/>
      <c r="D35" s="643">
        <f t="shared" ref="D35:P35" si="19">SUMPRODUCT(($A$12:$A$31=$A35)*(D$12:D$31))</f>
        <v>0</v>
      </c>
      <c r="E35" s="643">
        <f t="shared" si="19"/>
        <v>0</v>
      </c>
      <c r="F35" s="643">
        <f t="shared" si="19"/>
        <v>0</v>
      </c>
      <c r="G35" s="643">
        <f t="shared" si="19"/>
        <v>0</v>
      </c>
      <c r="H35" s="643">
        <f t="shared" si="19"/>
        <v>0</v>
      </c>
      <c r="I35" s="643">
        <f t="shared" si="19"/>
        <v>0</v>
      </c>
      <c r="J35" s="643">
        <f t="shared" si="19"/>
        <v>0</v>
      </c>
      <c r="K35" s="643">
        <f t="shared" si="19"/>
        <v>0</v>
      </c>
      <c r="L35" s="643">
        <f t="shared" si="19"/>
        <v>0</v>
      </c>
      <c r="M35" s="643">
        <f t="shared" si="19"/>
        <v>0</v>
      </c>
      <c r="N35" s="643">
        <f t="shared" si="19"/>
        <v>0</v>
      </c>
      <c r="O35" s="643">
        <f t="shared" si="19"/>
        <v>0</v>
      </c>
      <c r="P35" s="643">
        <f t="shared" si="19"/>
        <v>0</v>
      </c>
      <c r="Q35" s="643">
        <f t="array" ref="Q35">SUMPRODUCT(($A$12:$A$31=$A35)*(Q$12:Q$31))</f>
        <v>0</v>
      </c>
      <c r="R35" s="643">
        <f t="array" ref="R35">SUMPRODUCT(($A$12:$A$31=$A35)*(R$12:R$31))</f>
        <v>0</v>
      </c>
      <c r="S35" s="643">
        <f t="array" ref="S35">SUMPRODUCT(($A$12:$A$31=$A35)*(S$12:S$31))</f>
        <v>0</v>
      </c>
      <c r="T35" s="643">
        <f t="array" ref="T35">SUMPRODUCT(($A$12:$A$31=$A35)*(T$12:T$31))</f>
        <v>0</v>
      </c>
      <c r="U35" s="643">
        <f t="shared" ref="U35:BF35" si="20">SUMPRODUCT(($A$12:$A$31=$A35)*(U$12:U$31))</f>
        <v>0</v>
      </c>
      <c r="V35" s="643">
        <f t="shared" si="20"/>
        <v>0</v>
      </c>
      <c r="W35" s="643">
        <f t="shared" si="20"/>
        <v>0</v>
      </c>
      <c r="X35" s="643">
        <f t="shared" si="20"/>
        <v>0</v>
      </c>
      <c r="Y35" s="643">
        <f t="shared" si="20"/>
        <v>0</v>
      </c>
      <c r="Z35" s="643">
        <f t="shared" si="20"/>
        <v>0</v>
      </c>
      <c r="AA35" s="643">
        <f t="shared" si="20"/>
        <v>0</v>
      </c>
      <c r="AB35" s="643">
        <f t="shared" si="20"/>
        <v>0</v>
      </c>
      <c r="AC35" s="643">
        <f t="shared" si="20"/>
        <v>0</v>
      </c>
      <c r="AD35" s="643">
        <f t="shared" si="20"/>
        <v>0</v>
      </c>
      <c r="AE35" s="643">
        <f t="shared" si="20"/>
        <v>0</v>
      </c>
      <c r="AF35" s="643">
        <f t="shared" si="20"/>
        <v>0</v>
      </c>
      <c r="AG35" s="643">
        <f t="shared" si="20"/>
        <v>0</v>
      </c>
      <c r="AH35" s="643">
        <f t="shared" si="20"/>
        <v>0</v>
      </c>
      <c r="AI35" s="643">
        <f t="shared" si="20"/>
        <v>0</v>
      </c>
      <c r="AJ35" s="643">
        <f t="shared" si="20"/>
        <v>0</v>
      </c>
      <c r="AK35" s="643">
        <f t="shared" si="20"/>
        <v>0</v>
      </c>
      <c r="AL35" s="643">
        <f t="shared" si="20"/>
        <v>0</v>
      </c>
      <c r="AM35" s="643">
        <f t="shared" si="20"/>
        <v>0</v>
      </c>
      <c r="AN35" s="643">
        <f t="shared" si="20"/>
        <v>0</v>
      </c>
      <c r="AO35" s="643">
        <f t="shared" si="20"/>
        <v>0</v>
      </c>
      <c r="AP35" s="643">
        <f t="shared" si="20"/>
        <v>0</v>
      </c>
      <c r="AQ35" s="643">
        <f t="shared" si="20"/>
        <v>0</v>
      </c>
      <c r="AR35" s="643">
        <f t="shared" si="20"/>
        <v>0</v>
      </c>
      <c r="AS35" s="643">
        <f t="shared" si="20"/>
        <v>0</v>
      </c>
      <c r="AT35" s="643">
        <f t="shared" si="20"/>
        <v>0</v>
      </c>
      <c r="AU35" s="643">
        <f t="shared" si="20"/>
        <v>0</v>
      </c>
      <c r="AV35" s="643">
        <f t="shared" si="20"/>
        <v>0</v>
      </c>
      <c r="AW35" s="643">
        <f t="shared" si="20"/>
        <v>0</v>
      </c>
      <c r="AX35" s="643">
        <f t="shared" si="20"/>
        <v>0</v>
      </c>
      <c r="AY35" s="643">
        <f t="shared" si="20"/>
        <v>0</v>
      </c>
      <c r="AZ35" s="643">
        <f t="shared" si="20"/>
        <v>0</v>
      </c>
      <c r="BA35" s="643">
        <f t="shared" si="20"/>
        <v>0</v>
      </c>
      <c r="BB35" s="643">
        <f t="shared" si="20"/>
        <v>0</v>
      </c>
      <c r="BC35" s="643">
        <f t="shared" si="20"/>
        <v>0</v>
      </c>
      <c r="BD35" s="643">
        <f t="shared" si="20"/>
        <v>0</v>
      </c>
      <c r="BE35" s="643">
        <f t="shared" si="20"/>
        <v>0</v>
      </c>
      <c r="BF35" s="643">
        <f t="shared" si="20"/>
        <v>0</v>
      </c>
    </row>
    <row r="36" customHeight="1" spans="1:58">
      <c r="A36" s="646" t="str">
        <f>底稿目录!A11</f>
        <v>运输设备</v>
      </c>
      <c r="B36" s="119"/>
      <c r="C36" s="137"/>
      <c r="D36" s="643">
        <f t="shared" ref="D36:BF36" si="21">SUMPRODUCT(($A$12:$A$31=$A36)*(D$12:D$31))</f>
        <v>0</v>
      </c>
      <c r="E36" s="643">
        <f t="shared" si="21"/>
        <v>0</v>
      </c>
      <c r="F36" s="643">
        <f t="shared" si="21"/>
        <v>0</v>
      </c>
      <c r="G36" s="643">
        <f t="shared" si="21"/>
        <v>0</v>
      </c>
      <c r="H36" s="643">
        <f t="shared" si="21"/>
        <v>0</v>
      </c>
      <c r="I36" s="643">
        <f t="shared" si="21"/>
        <v>0</v>
      </c>
      <c r="J36" s="643">
        <f t="shared" si="21"/>
        <v>0</v>
      </c>
      <c r="K36" s="643">
        <f t="shared" si="21"/>
        <v>0</v>
      </c>
      <c r="L36" s="643">
        <f t="shared" si="21"/>
        <v>0</v>
      </c>
      <c r="M36" s="643">
        <f t="shared" si="21"/>
        <v>0</v>
      </c>
      <c r="N36" s="643">
        <f t="shared" si="21"/>
        <v>0</v>
      </c>
      <c r="O36" s="643">
        <f t="shared" si="21"/>
        <v>0</v>
      </c>
      <c r="P36" s="643">
        <f t="shared" si="21"/>
        <v>0</v>
      </c>
      <c r="Q36" s="643">
        <f t="shared" si="21"/>
        <v>0</v>
      </c>
      <c r="R36" s="643">
        <f t="shared" si="21"/>
        <v>0</v>
      </c>
      <c r="S36" s="643">
        <f t="shared" si="21"/>
        <v>0</v>
      </c>
      <c r="T36" s="643">
        <f t="shared" si="21"/>
        <v>0</v>
      </c>
      <c r="U36" s="643">
        <f t="shared" si="21"/>
        <v>0</v>
      </c>
      <c r="V36" s="643">
        <f t="shared" si="21"/>
        <v>0</v>
      </c>
      <c r="W36" s="643">
        <f t="shared" si="21"/>
        <v>0</v>
      </c>
      <c r="X36" s="643">
        <f t="shared" si="21"/>
        <v>0</v>
      </c>
      <c r="Y36" s="643">
        <f t="shared" si="21"/>
        <v>0</v>
      </c>
      <c r="Z36" s="643">
        <f t="shared" si="21"/>
        <v>0</v>
      </c>
      <c r="AA36" s="643">
        <f t="shared" si="21"/>
        <v>0</v>
      </c>
      <c r="AB36" s="643">
        <f t="shared" si="21"/>
        <v>0</v>
      </c>
      <c r="AC36" s="643">
        <f t="shared" si="21"/>
        <v>0</v>
      </c>
      <c r="AD36" s="643">
        <f t="shared" si="21"/>
        <v>0</v>
      </c>
      <c r="AE36" s="643">
        <f t="shared" si="21"/>
        <v>0</v>
      </c>
      <c r="AF36" s="643">
        <f t="shared" si="21"/>
        <v>0</v>
      </c>
      <c r="AG36" s="643">
        <f t="shared" si="21"/>
        <v>0</v>
      </c>
      <c r="AH36" s="643">
        <f t="shared" si="21"/>
        <v>0</v>
      </c>
      <c r="AI36" s="643">
        <f t="shared" si="21"/>
        <v>0</v>
      </c>
      <c r="AJ36" s="643">
        <f t="shared" si="21"/>
        <v>0</v>
      </c>
      <c r="AK36" s="643">
        <f t="shared" si="21"/>
        <v>0</v>
      </c>
      <c r="AL36" s="643">
        <f t="shared" si="21"/>
        <v>0</v>
      </c>
      <c r="AM36" s="643">
        <f t="shared" si="21"/>
        <v>0</v>
      </c>
      <c r="AN36" s="643">
        <f t="shared" si="21"/>
        <v>0</v>
      </c>
      <c r="AO36" s="643">
        <f t="shared" si="21"/>
        <v>0</v>
      </c>
      <c r="AP36" s="643">
        <f t="shared" si="21"/>
        <v>0</v>
      </c>
      <c r="AQ36" s="643">
        <f t="shared" si="21"/>
        <v>0</v>
      </c>
      <c r="AR36" s="643">
        <f t="shared" si="21"/>
        <v>0</v>
      </c>
      <c r="AS36" s="643">
        <f t="shared" si="21"/>
        <v>0</v>
      </c>
      <c r="AT36" s="643">
        <f t="shared" si="21"/>
        <v>0</v>
      </c>
      <c r="AU36" s="643">
        <f t="shared" si="21"/>
        <v>0</v>
      </c>
      <c r="AV36" s="643">
        <f t="shared" si="21"/>
        <v>0</v>
      </c>
      <c r="AW36" s="643">
        <f t="shared" si="21"/>
        <v>0</v>
      </c>
      <c r="AX36" s="643">
        <f t="shared" si="21"/>
        <v>0</v>
      </c>
      <c r="AY36" s="643">
        <f t="shared" si="21"/>
        <v>0</v>
      </c>
      <c r="AZ36" s="643">
        <f t="shared" si="21"/>
        <v>0</v>
      </c>
      <c r="BA36" s="643">
        <f t="shared" si="21"/>
        <v>0</v>
      </c>
      <c r="BB36" s="643">
        <f t="shared" si="21"/>
        <v>0</v>
      </c>
      <c r="BC36" s="643">
        <f t="shared" si="21"/>
        <v>0</v>
      </c>
      <c r="BD36" s="643">
        <f t="shared" si="21"/>
        <v>0</v>
      </c>
      <c r="BE36" s="643">
        <f t="shared" si="21"/>
        <v>0</v>
      </c>
      <c r="BF36" s="643">
        <f t="shared" si="21"/>
        <v>0</v>
      </c>
    </row>
    <row r="37" customHeight="1" spans="1:58">
      <c r="A37" s="646" t="str">
        <f>底稿目录!A12</f>
        <v>办公设备</v>
      </c>
      <c r="B37" s="119"/>
      <c r="C37" s="137"/>
      <c r="D37" s="643">
        <f t="shared" ref="D37:BF37" si="22">SUMPRODUCT(($A$12:$A$31=$A37)*(D$12:D$31))</f>
        <v>0</v>
      </c>
      <c r="E37" s="643">
        <f t="shared" si="22"/>
        <v>0</v>
      </c>
      <c r="F37" s="643">
        <f t="shared" si="22"/>
        <v>0</v>
      </c>
      <c r="G37" s="643">
        <f t="shared" si="22"/>
        <v>0</v>
      </c>
      <c r="H37" s="643">
        <f t="shared" si="22"/>
        <v>0</v>
      </c>
      <c r="I37" s="643">
        <f t="shared" si="22"/>
        <v>0</v>
      </c>
      <c r="J37" s="643">
        <f t="shared" si="22"/>
        <v>0</v>
      </c>
      <c r="K37" s="643">
        <f t="shared" si="22"/>
        <v>0</v>
      </c>
      <c r="L37" s="643">
        <f t="shared" si="22"/>
        <v>0</v>
      </c>
      <c r="M37" s="643">
        <f t="shared" si="22"/>
        <v>0</v>
      </c>
      <c r="N37" s="643">
        <f t="shared" si="22"/>
        <v>0</v>
      </c>
      <c r="O37" s="643">
        <f t="shared" si="22"/>
        <v>0</v>
      </c>
      <c r="P37" s="643">
        <f t="shared" si="22"/>
        <v>0</v>
      </c>
      <c r="Q37" s="643">
        <f t="shared" si="22"/>
        <v>0</v>
      </c>
      <c r="R37" s="643">
        <f t="shared" si="22"/>
        <v>0</v>
      </c>
      <c r="S37" s="643">
        <f t="shared" si="22"/>
        <v>0</v>
      </c>
      <c r="T37" s="643">
        <f t="shared" si="22"/>
        <v>0</v>
      </c>
      <c r="U37" s="643">
        <f t="shared" si="22"/>
        <v>0</v>
      </c>
      <c r="V37" s="643">
        <f t="shared" si="22"/>
        <v>0</v>
      </c>
      <c r="W37" s="643">
        <f t="shared" si="22"/>
        <v>0</v>
      </c>
      <c r="X37" s="643">
        <f t="shared" si="22"/>
        <v>0</v>
      </c>
      <c r="Y37" s="643">
        <f t="shared" si="22"/>
        <v>0</v>
      </c>
      <c r="Z37" s="643">
        <f t="shared" si="22"/>
        <v>0</v>
      </c>
      <c r="AA37" s="643">
        <f t="shared" si="22"/>
        <v>0</v>
      </c>
      <c r="AB37" s="643">
        <f t="shared" si="22"/>
        <v>0</v>
      </c>
      <c r="AC37" s="643">
        <f t="shared" si="22"/>
        <v>0</v>
      </c>
      <c r="AD37" s="643">
        <f t="shared" si="22"/>
        <v>0</v>
      </c>
      <c r="AE37" s="643">
        <f t="shared" si="22"/>
        <v>0</v>
      </c>
      <c r="AF37" s="643">
        <f t="shared" si="22"/>
        <v>0</v>
      </c>
      <c r="AG37" s="643">
        <f t="shared" si="22"/>
        <v>0</v>
      </c>
      <c r="AH37" s="643">
        <f t="shared" si="22"/>
        <v>0</v>
      </c>
      <c r="AI37" s="643">
        <f t="shared" si="22"/>
        <v>0</v>
      </c>
      <c r="AJ37" s="643">
        <f t="shared" si="22"/>
        <v>0</v>
      </c>
      <c r="AK37" s="643">
        <f t="shared" si="22"/>
        <v>0</v>
      </c>
      <c r="AL37" s="643">
        <f t="shared" si="22"/>
        <v>0</v>
      </c>
      <c r="AM37" s="643">
        <f t="shared" si="22"/>
        <v>0</v>
      </c>
      <c r="AN37" s="643">
        <f t="shared" si="22"/>
        <v>0</v>
      </c>
      <c r="AO37" s="643">
        <f t="shared" si="22"/>
        <v>0</v>
      </c>
      <c r="AP37" s="643">
        <f t="shared" si="22"/>
        <v>0</v>
      </c>
      <c r="AQ37" s="643">
        <f t="shared" si="22"/>
        <v>0</v>
      </c>
      <c r="AR37" s="643">
        <f t="shared" si="22"/>
        <v>0</v>
      </c>
      <c r="AS37" s="643">
        <f t="shared" si="22"/>
        <v>0</v>
      </c>
      <c r="AT37" s="643">
        <f t="shared" si="22"/>
        <v>0</v>
      </c>
      <c r="AU37" s="643">
        <f t="shared" si="22"/>
        <v>0</v>
      </c>
      <c r="AV37" s="643">
        <f t="shared" si="22"/>
        <v>0</v>
      </c>
      <c r="AW37" s="643">
        <f t="shared" si="22"/>
        <v>0</v>
      </c>
      <c r="AX37" s="643">
        <f t="shared" si="22"/>
        <v>0</v>
      </c>
      <c r="AY37" s="643">
        <f t="shared" si="22"/>
        <v>0</v>
      </c>
      <c r="AZ37" s="643">
        <f t="shared" si="22"/>
        <v>0</v>
      </c>
      <c r="BA37" s="643">
        <f t="shared" si="22"/>
        <v>0</v>
      </c>
      <c r="BB37" s="643">
        <f t="shared" si="22"/>
        <v>0</v>
      </c>
      <c r="BC37" s="643">
        <f t="shared" si="22"/>
        <v>0</v>
      </c>
      <c r="BD37" s="643">
        <f t="shared" si="22"/>
        <v>0</v>
      </c>
      <c r="BE37" s="643">
        <f t="shared" si="22"/>
        <v>0</v>
      </c>
      <c r="BF37" s="643">
        <f t="shared" si="22"/>
        <v>0</v>
      </c>
    </row>
    <row r="38" customHeight="1" spans="1:58">
      <c r="A38" s="646" t="str">
        <f>底稿目录!A13</f>
        <v>其他设备</v>
      </c>
      <c r="B38" s="119"/>
      <c r="C38" s="137"/>
      <c r="D38" s="643">
        <f t="shared" ref="D38:BF38" si="23">SUMPRODUCT(($A$12:$A$31=$A38)*(D$12:D$31))</f>
        <v>0</v>
      </c>
      <c r="E38" s="643">
        <f t="shared" si="23"/>
        <v>0</v>
      </c>
      <c r="F38" s="643">
        <f t="shared" si="23"/>
        <v>0</v>
      </c>
      <c r="G38" s="643">
        <f t="shared" si="23"/>
        <v>0</v>
      </c>
      <c r="H38" s="643">
        <f t="shared" si="23"/>
        <v>0</v>
      </c>
      <c r="I38" s="643">
        <f t="shared" si="23"/>
        <v>0</v>
      </c>
      <c r="J38" s="643">
        <f t="shared" si="23"/>
        <v>0</v>
      </c>
      <c r="K38" s="643">
        <f t="shared" si="23"/>
        <v>0</v>
      </c>
      <c r="L38" s="643">
        <f t="shared" si="23"/>
        <v>0</v>
      </c>
      <c r="M38" s="643">
        <f t="shared" si="23"/>
        <v>0</v>
      </c>
      <c r="N38" s="643">
        <f t="shared" si="23"/>
        <v>0</v>
      </c>
      <c r="O38" s="643">
        <f t="shared" si="23"/>
        <v>0</v>
      </c>
      <c r="P38" s="643">
        <f t="shared" si="23"/>
        <v>0</v>
      </c>
      <c r="Q38" s="643">
        <f t="shared" si="23"/>
        <v>0</v>
      </c>
      <c r="R38" s="643">
        <f t="shared" si="23"/>
        <v>0</v>
      </c>
      <c r="S38" s="643">
        <f t="shared" si="23"/>
        <v>0</v>
      </c>
      <c r="T38" s="643">
        <f t="shared" si="23"/>
        <v>0</v>
      </c>
      <c r="U38" s="643">
        <f t="shared" si="23"/>
        <v>0</v>
      </c>
      <c r="V38" s="643">
        <f t="shared" si="23"/>
        <v>0</v>
      </c>
      <c r="W38" s="643">
        <f t="shared" si="23"/>
        <v>0</v>
      </c>
      <c r="X38" s="643">
        <f t="shared" si="23"/>
        <v>0</v>
      </c>
      <c r="Y38" s="643">
        <f t="shared" si="23"/>
        <v>0</v>
      </c>
      <c r="Z38" s="643">
        <f t="shared" si="23"/>
        <v>0</v>
      </c>
      <c r="AA38" s="643">
        <f t="shared" si="23"/>
        <v>0</v>
      </c>
      <c r="AB38" s="643">
        <f t="shared" si="23"/>
        <v>0</v>
      </c>
      <c r="AC38" s="643">
        <f t="shared" si="23"/>
        <v>0</v>
      </c>
      <c r="AD38" s="643">
        <f t="shared" si="23"/>
        <v>0</v>
      </c>
      <c r="AE38" s="643">
        <f t="shared" si="23"/>
        <v>0</v>
      </c>
      <c r="AF38" s="643">
        <f t="shared" si="23"/>
        <v>0</v>
      </c>
      <c r="AG38" s="643">
        <f t="shared" si="23"/>
        <v>0</v>
      </c>
      <c r="AH38" s="643">
        <f t="shared" si="23"/>
        <v>0</v>
      </c>
      <c r="AI38" s="643">
        <f t="shared" si="23"/>
        <v>0</v>
      </c>
      <c r="AJ38" s="643">
        <f t="shared" si="23"/>
        <v>0</v>
      </c>
      <c r="AK38" s="643">
        <f t="shared" si="23"/>
        <v>0</v>
      </c>
      <c r="AL38" s="643">
        <f t="shared" si="23"/>
        <v>0</v>
      </c>
      <c r="AM38" s="643">
        <f t="shared" si="23"/>
        <v>0</v>
      </c>
      <c r="AN38" s="643">
        <f t="shared" si="23"/>
        <v>0</v>
      </c>
      <c r="AO38" s="643">
        <f t="shared" si="23"/>
        <v>0</v>
      </c>
      <c r="AP38" s="643">
        <f t="shared" si="23"/>
        <v>0</v>
      </c>
      <c r="AQ38" s="643">
        <f t="shared" si="23"/>
        <v>0</v>
      </c>
      <c r="AR38" s="643">
        <f t="shared" si="23"/>
        <v>0</v>
      </c>
      <c r="AS38" s="643">
        <f t="shared" si="23"/>
        <v>0</v>
      </c>
      <c r="AT38" s="643">
        <f t="shared" si="23"/>
        <v>0</v>
      </c>
      <c r="AU38" s="643">
        <f t="shared" si="23"/>
        <v>0</v>
      </c>
      <c r="AV38" s="643">
        <f t="shared" si="23"/>
        <v>0</v>
      </c>
      <c r="AW38" s="643">
        <f t="shared" si="23"/>
        <v>0</v>
      </c>
      <c r="AX38" s="643">
        <f t="shared" si="23"/>
        <v>0</v>
      </c>
      <c r="AY38" s="643">
        <f t="shared" si="23"/>
        <v>0</v>
      </c>
      <c r="AZ38" s="643">
        <f t="shared" si="23"/>
        <v>0</v>
      </c>
      <c r="BA38" s="643">
        <f t="shared" si="23"/>
        <v>0</v>
      </c>
      <c r="BB38" s="643">
        <f t="shared" si="23"/>
        <v>0</v>
      </c>
      <c r="BC38" s="643">
        <f t="shared" si="23"/>
        <v>0</v>
      </c>
      <c r="BD38" s="643">
        <f t="shared" si="23"/>
        <v>0</v>
      </c>
      <c r="BE38" s="643">
        <f t="shared" si="23"/>
        <v>0</v>
      </c>
      <c r="BF38" s="643">
        <f t="shared" si="23"/>
        <v>0</v>
      </c>
    </row>
    <row r="39" customHeight="1" spans="1:58">
      <c r="B39" s="99"/>
      <c r="C39" s="99"/>
      <c r="D39" s="99" t="s">
        <v>212</v>
      </c>
      <c r="N39" s="99" t="s">
        <v>213</v>
      </c>
      <c r="S39" s="99"/>
    </row>
    <row r="45" customHeight="1" spans="1:58">
      <c r="A45" s="647" t="s">
        <v>214</v>
      </c>
      <c r="C45" s="648"/>
      <c r="D45" s="648"/>
      <c r="E45" s="648"/>
      <c r="F45" s="648"/>
      <c r="G45" s="648"/>
      <c r="H45" s="648"/>
      <c r="I45" s="648"/>
      <c r="J45" s="648"/>
      <c r="K45" s="648"/>
      <c r="L45" s="648"/>
      <c r="W45" s="3" t="s">
        <v>215</v>
      </c>
      <c r="AN45" s="3" t="s">
        <v>215</v>
      </c>
    </row>
    <row r="46" customHeight="1" spans="1:58">
      <c r="A46" s="28" t="s">
        <v>216</v>
      </c>
      <c r="C46" s="648"/>
      <c r="D46" s="648"/>
      <c r="E46" s="648"/>
      <c r="F46" s="648"/>
      <c r="G46" s="648"/>
      <c r="H46" s="648"/>
      <c r="I46" s="648"/>
      <c r="J46" s="648"/>
      <c r="K46" s="648"/>
      <c r="L46" s="648"/>
      <c r="W46" s="3" t="s">
        <v>217</v>
      </c>
      <c r="AN46" s="3" t="s">
        <v>218</v>
      </c>
    </row>
    <row r="47" customHeight="1" spans="1:58">
      <c r="A47" s="28" t="s">
        <v>219</v>
      </c>
      <c r="C47" s="648"/>
      <c r="D47" s="648"/>
      <c r="E47" s="648"/>
      <c r="F47" s="648"/>
      <c r="G47" s="648"/>
      <c r="H47" s="648"/>
      <c r="I47" s="648"/>
      <c r="J47" s="648"/>
      <c r="K47" s="648"/>
      <c r="L47" s="648"/>
      <c r="W47" s="3" t="s">
        <v>220</v>
      </c>
      <c r="AN47" s="3" t="s">
        <v>221</v>
      </c>
    </row>
    <row r="48" customHeight="1" spans="1:58">
      <c r="A48" s="28" t="s">
        <v>222</v>
      </c>
      <c r="C48" s="648"/>
      <c r="D48" s="648"/>
      <c r="E48" s="648"/>
      <c r="F48" s="648"/>
      <c r="G48" s="648"/>
      <c r="H48" s="648"/>
      <c r="I48" s="648"/>
      <c r="J48" s="648"/>
      <c r="K48" s="648"/>
      <c r="L48" s="648"/>
    </row>
    <row r="49" customHeight="1" spans="1:12">
      <c r="A49" s="28" t="s">
        <v>223</v>
      </c>
      <c r="C49" s="648"/>
      <c r="D49" s="648"/>
      <c r="E49" s="648"/>
      <c r="F49" s="648"/>
      <c r="G49" s="648"/>
      <c r="H49" s="648"/>
      <c r="I49" s="648"/>
      <c r="J49" s="648"/>
      <c r="K49" s="648"/>
      <c r="L49" s="648"/>
    </row>
    <row r="50" customHeight="1" spans="1:12">
      <c r="A50" s="649"/>
      <c r="B50" s="650"/>
      <c r="C50" s="650"/>
    </row>
    <row r="51" customHeight="1" spans="1:12">
      <c r="A51" s="649"/>
      <c r="B51" s="650"/>
      <c r="C51" s="650"/>
    </row>
    <row r="52" customHeight="1" spans="1:12">
      <c r="A52" s="28"/>
    </row>
    <row r="53" customHeight="1" spans="1:12">
      <c r="A53" s="28"/>
    </row>
    <row r="54" customHeight="1" spans="1:12">
      <c r="A54" s="28"/>
    </row>
    <row r="55" customHeight="1" spans="1:12">
      <c r="A55" s="28"/>
    </row>
    <row r="56" customHeight="1" spans="1:12">
      <c r="A56" s="28"/>
    </row>
    <row r="69" customHeight="1" spans="46:46">
      <c r="AT69" s="651"/>
    </row>
    <row r="70" customHeight="1" spans="46:46">
      <c r="AT70" s="651"/>
    </row>
    <row r="71" customHeight="1" spans="46:46">
      <c r="AT71" s="651"/>
    </row>
    <row r="72" customHeight="1" spans="46:46">
      <c r="AT72" s="652"/>
    </row>
    <row r="73" customHeight="1" spans="46:46">
      <c r="AT73" s="652"/>
    </row>
    <row r="74" customHeight="1" spans="46:46">
      <c r="AT74" s="651"/>
    </row>
    <row r="75" customHeight="1" spans="46:46">
      <c r="AT75" s="651"/>
    </row>
    <row r="76" customHeight="1" spans="46:46">
      <c r="AT76" s="653"/>
    </row>
    <row r="77" customHeight="1" spans="46:46">
      <c r="AT77" s="653"/>
    </row>
    <row r="78" customHeight="1" spans="46:46">
      <c r="AT78" s="653"/>
    </row>
    <row r="79" customHeight="1" spans="46:46">
      <c r="AT79" s="654"/>
    </row>
  </sheetData>
  <mergeCells count="64">
    <mergeCell ref="A1:V1"/>
    <mergeCell ref="W1:AM1"/>
    <mergeCell ref="AN1:BF1"/>
    <mergeCell ref="A2:V2"/>
    <mergeCell ref="W2:AM2"/>
    <mergeCell ref="AN2:BF2"/>
    <mergeCell ref="D8:V8"/>
    <mergeCell ref="W8:AM8"/>
    <mergeCell ref="AN8:BD8"/>
    <mergeCell ref="E9:K9"/>
    <mergeCell ref="M9:R9"/>
    <mergeCell ref="S9:V9"/>
    <mergeCell ref="X9:AC9"/>
    <mergeCell ref="AE9:AI9"/>
    <mergeCell ref="AJ9:AM9"/>
    <mergeCell ref="AO9:AT9"/>
    <mergeCell ref="AV9:AZ9"/>
    <mergeCell ref="BA9:BD9"/>
    <mergeCell ref="E10:G10"/>
    <mergeCell ref="H10:J10"/>
    <mergeCell ref="M10:O10"/>
    <mergeCell ref="P10:R10"/>
    <mergeCell ref="X10:Y10"/>
    <mergeCell ref="Z10:AB10"/>
    <mergeCell ref="AE10:AF10"/>
    <mergeCell ref="AG10:AI10"/>
    <mergeCell ref="AO10:AP10"/>
    <mergeCell ref="AQ10:AS10"/>
    <mergeCell ref="AV10:AW10"/>
    <mergeCell ref="AX10:AZ10"/>
    <mergeCell ref="A32:C32"/>
    <mergeCell ref="A33:C33"/>
    <mergeCell ref="A34:C34"/>
    <mergeCell ref="A35:C35"/>
    <mergeCell ref="A36:C36"/>
    <mergeCell ref="A37:C37"/>
    <mergeCell ref="A38:C38"/>
    <mergeCell ref="A8:A11"/>
    <mergeCell ref="B8:B11"/>
    <mergeCell ref="C8:C11"/>
    <mergeCell ref="D9:D11"/>
    <mergeCell ref="K10:K11"/>
    <mergeCell ref="L9:L11"/>
    <mergeCell ref="S10:S11"/>
    <mergeCell ref="T10:T11"/>
    <mergeCell ref="U10:U11"/>
    <mergeCell ref="V10:V11"/>
    <mergeCell ref="W9:W11"/>
    <mergeCell ref="AC10:AC11"/>
    <mergeCell ref="AD9:AD11"/>
    <mergeCell ref="AJ10:AJ11"/>
    <mergeCell ref="AK10:AK11"/>
    <mergeCell ref="AL10:AL11"/>
    <mergeCell ref="AM10:AM11"/>
    <mergeCell ref="AN9:AN11"/>
    <mergeCell ref="AT10:AT11"/>
    <mergeCell ref="AU9:AU11"/>
    <mergeCell ref="BA10:BA11"/>
    <mergeCell ref="BB10:BB11"/>
    <mergeCell ref="BC10:BC11"/>
    <mergeCell ref="BD10:BD11"/>
    <mergeCell ref="BE10:BE11"/>
    <mergeCell ref="BF10:BF11"/>
    <mergeCell ref="BE8:BF9"/>
  </mergeCells>
  <hyperlinks>
    <hyperlink ref="V3" location="底稿目录!A1" display="H8-2"/>
    <hyperlink ref="AM3" location="底稿目录!A1" display="H8-2"/>
    <hyperlink ref="BF3" location="底稿目录!A1" display="H8-2"/>
  </hyperlinks>
  <printOptions horizontalCentered="1"/>
  <pageMargins left="0.275590551181102" right="0.236220472440945" top="0.47244094488189" bottom="0.47244094488189" header="0.31496062992126" footer="0.31496062992126"/>
  <pageSetup paperSize="9" scale="57" fitToWidth="3" orientation="landscape" blackAndWhite="1"/>
  <headerFooter alignWithMargins="0">
    <oddFooter>&amp;C&amp;P/&amp;N</oddFooter>
  </headerFooter>
  <colBreaks count="2" manualBreakCount="2">
    <brk id="22" max="44" man="1"/>
    <brk id="39" max="44"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J24"/>
  <sheetViews>
    <sheetView view="pageBreakPreview" zoomScaleNormal="100" workbookViewId="0">
      <selection activeCell="A1" sqref="A1:J1"/>
    </sheetView>
  </sheetViews>
  <sheetFormatPr defaultColWidth="9" defaultRowHeight="19.95" customHeight="1"/>
  <cols>
    <col min="1" max="1" width="20.7" style="614" customWidth="1"/>
    <col min="2" max="2" width="17.7" style="614" customWidth="1"/>
    <col min="3" max="3" width="11.4" style="614" customWidth="1"/>
    <col min="4" max="4" width="13.8" style="614" customWidth="1"/>
    <col min="5" max="5" width="11.6" style="614" customWidth="1"/>
    <col min="6" max="6" width="11.4" style="614" customWidth="1"/>
    <col min="7" max="7" width="10.6" style="614" customWidth="1"/>
    <col min="8" max="8" width="10.9" style="614" customWidth="1"/>
    <col min="9" max="16384" width="9" style="614" customWidth="1"/>
  </cols>
  <sheetData>
    <row r="1" s="611" customFormat="1" customHeight="1" spans="1:10">
      <c r="A1" s="511" t="s">
        <v>58</v>
      </c>
    </row>
    <row r="2" s="612" customFormat="1" customHeight="1" spans="1:10">
      <c r="A2" s="566" t="s">
        <v>224</v>
      </c>
    </row>
    <row r="3" customHeight="1" spans="1:10">
      <c r="A3" s="336" t="str">
        <f>底稿目录!A2</f>
        <v>被审计单位：</v>
      </c>
      <c r="B3" s="336"/>
      <c r="C3" s="336"/>
      <c r="D3" s="336" t="str">
        <f>底稿目录!A4</f>
        <v>编制人：</v>
      </c>
      <c r="E3" s="336"/>
      <c r="F3" s="343"/>
      <c r="G3" s="336" t="str">
        <f>底稿目录!A6</f>
        <v>编制日期：</v>
      </c>
      <c r="H3" s="336"/>
      <c r="I3" s="7" t="s">
        <v>59</v>
      </c>
      <c r="J3" s="8" t="s">
        <v>23</v>
      </c>
    </row>
    <row r="4" customHeight="1" spans="1:10">
      <c r="A4" s="336" t="str">
        <f>底稿目录!A3</f>
        <v>截止日：202X年12月31日</v>
      </c>
      <c r="B4" s="336"/>
      <c r="C4" s="336"/>
      <c r="D4" s="336" t="str">
        <f>底稿目录!A5</f>
        <v>复核人：</v>
      </c>
      <c r="E4" s="336"/>
      <c r="F4" s="343"/>
      <c r="G4" s="336" t="str">
        <f>底稿目录!A7</f>
        <v>复核日期：</v>
      </c>
      <c r="H4" s="336"/>
      <c r="I4" s="7" t="s">
        <v>60</v>
      </c>
      <c r="J4" s="9"/>
    </row>
    <row r="5" s="613" customFormat="1" ht="27.6" customHeight="1" spans="1:10">
      <c r="A5" s="615" t="s">
        <v>225</v>
      </c>
      <c r="B5" s="615" t="s">
        <v>226</v>
      </c>
      <c r="C5" s="616" t="s">
        <v>227</v>
      </c>
      <c r="D5" s="617" t="s">
        <v>228</v>
      </c>
      <c r="E5" s="618" t="s">
        <v>229</v>
      </c>
      <c r="F5" s="619" t="s">
        <v>36</v>
      </c>
      <c r="G5" s="617" t="s">
        <v>230</v>
      </c>
      <c r="H5" s="617" t="s">
        <v>231</v>
      </c>
      <c r="I5" s="617" t="s">
        <v>232</v>
      </c>
      <c r="J5" s="617" t="s">
        <v>6</v>
      </c>
    </row>
    <row r="6" customHeight="1" spans="1:10">
      <c r="A6" s="620"/>
      <c r="B6" s="620"/>
      <c r="C6" s="620"/>
      <c r="D6" s="620"/>
      <c r="E6" s="620"/>
      <c r="F6" s="620"/>
      <c r="G6" s="621"/>
      <c r="H6" s="621"/>
      <c r="I6" s="622"/>
      <c r="J6" s="620"/>
    </row>
    <row r="7" customHeight="1" spans="1:10">
      <c r="A7" s="620"/>
      <c r="B7" s="620"/>
      <c r="C7" s="620"/>
      <c r="D7" s="620"/>
      <c r="E7" s="620"/>
      <c r="F7" s="620"/>
      <c r="G7" s="621"/>
      <c r="H7" s="621"/>
      <c r="I7" s="622"/>
      <c r="J7" s="620"/>
    </row>
    <row r="8" customHeight="1" spans="1:10">
      <c r="A8" s="620"/>
      <c r="B8" s="620"/>
      <c r="C8" s="620"/>
      <c r="D8" s="620"/>
      <c r="E8" s="620"/>
      <c r="F8" s="620"/>
      <c r="G8" s="621"/>
      <c r="H8" s="621"/>
      <c r="I8" s="622"/>
      <c r="J8" s="620"/>
    </row>
    <row r="9" customHeight="1" spans="1:10">
      <c r="A9" s="620"/>
      <c r="B9" s="620"/>
      <c r="C9" s="620"/>
      <c r="D9" s="620"/>
      <c r="E9" s="620"/>
      <c r="F9" s="620"/>
      <c r="G9" s="621"/>
      <c r="H9" s="621"/>
      <c r="I9" s="622"/>
      <c r="J9" s="620"/>
    </row>
    <row r="10" customHeight="1" spans="1:10">
      <c r="A10" s="620"/>
      <c r="B10" s="620"/>
      <c r="C10" s="620"/>
      <c r="D10" s="620"/>
      <c r="E10" s="620"/>
      <c r="F10" s="620"/>
      <c r="G10" s="621"/>
      <c r="H10" s="621"/>
      <c r="I10" s="622"/>
      <c r="J10" s="620"/>
    </row>
    <row r="11" customHeight="1" spans="1:10">
      <c r="A11" s="620"/>
      <c r="B11" s="620"/>
      <c r="C11" s="620"/>
      <c r="D11" s="620"/>
      <c r="E11" s="620"/>
      <c r="F11" s="620"/>
      <c r="G11" s="621"/>
      <c r="H11" s="621"/>
      <c r="I11" s="622"/>
      <c r="J11" s="620"/>
    </row>
    <row r="12" customHeight="1" spans="1:10">
      <c r="A12" s="620"/>
      <c r="B12" s="620"/>
      <c r="C12" s="620"/>
      <c r="D12" s="620"/>
      <c r="E12" s="620"/>
      <c r="F12" s="620"/>
      <c r="G12" s="621"/>
      <c r="H12" s="621"/>
      <c r="I12" s="622"/>
      <c r="J12" s="620"/>
    </row>
    <row r="13" customHeight="1" spans="1:10">
      <c r="A13" s="620"/>
      <c r="B13" s="620"/>
      <c r="C13" s="620"/>
      <c r="D13" s="620"/>
      <c r="E13" s="620"/>
      <c r="F13" s="620"/>
      <c r="G13" s="621"/>
      <c r="H13" s="621"/>
      <c r="I13" s="622"/>
      <c r="J13" s="620"/>
    </row>
    <row r="14" customHeight="1" spans="1:10">
      <c r="A14" s="620"/>
      <c r="B14" s="620"/>
      <c r="C14" s="620"/>
      <c r="D14" s="620"/>
      <c r="E14" s="620"/>
      <c r="F14" s="620"/>
      <c r="G14" s="621"/>
      <c r="H14" s="621"/>
      <c r="I14" s="622"/>
      <c r="J14" s="620"/>
    </row>
    <row r="15" customHeight="1" spans="1:10">
      <c r="A15" s="620"/>
      <c r="B15" s="620"/>
      <c r="C15" s="620"/>
      <c r="D15" s="620"/>
      <c r="E15" s="620"/>
      <c r="F15" s="620"/>
      <c r="G15" s="621"/>
      <c r="H15" s="621"/>
      <c r="I15" s="622"/>
      <c r="J15" s="620"/>
    </row>
    <row r="16" customHeight="1" spans="1:10">
      <c r="A16" s="620"/>
      <c r="B16" s="620"/>
      <c r="C16" s="620"/>
      <c r="D16" s="620"/>
      <c r="E16" s="620"/>
      <c r="F16" s="620"/>
      <c r="G16" s="621"/>
      <c r="H16" s="621"/>
      <c r="I16" s="622"/>
      <c r="J16" s="620"/>
    </row>
    <row r="17" customHeight="1" spans="1:10">
      <c r="A17" s="620"/>
      <c r="B17" s="620"/>
      <c r="C17" s="620"/>
      <c r="D17" s="620"/>
      <c r="E17" s="620"/>
      <c r="F17" s="620"/>
      <c r="G17" s="621"/>
      <c r="H17" s="621"/>
      <c r="I17" s="622"/>
      <c r="J17" s="620"/>
    </row>
    <row r="18" customHeight="1" spans="1:10">
      <c r="A18" s="620"/>
      <c r="B18" s="620"/>
      <c r="C18" s="620"/>
      <c r="D18" s="620"/>
      <c r="E18" s="620"/>
      <c r="F18" s="620"/>
      <c r="G18" s="621"/>
      <c r="H18" s="621"/>
      <c r="I18" s="622"/>
      <c r="J18" s="620"/>
    </row>
    <row r="19" customHeight="1" spans="1:10">
      <c r="A19" s="620"/>
      <c r="B19" s="620"/>
      <c r="C19" s="620"/>
      <c r="D19" s="620"/>
      <c r="E19" s="620"/>
      <c r="F19" s="620"/>
      <c r="G19" s="621"/>
      <c r="H19" s="621"/>
      <c r="I19" s="622"/>
      <c r="J19" s="620"/>
    </row>
    <row r="20" customHeight="1" spans="1:10">
      <c r="A20" s="620"/>
      <c r="B20" s="620"/>
      <c r="C20" s="620"/>
      <c r="D20" s="620"/>
      <c r="E20" s="620"/>
      <c r="F20" s="620"/>
      <c r="G20" s="621"/>
      <c r="H20" s="621"/>
      <c r="I20" s="622"/>
      <c r="J20" s="620"/>
    </row>
    <row r="21" customHeight="1" spans="1:10">
      <c r="A21" s="623"/>
      <c r="B21" s="623"/>
      <c r="C21" s="623"/>
      <c r="D21" s="624"/>
      <c r="E21" s="624"/>
      <c r="F21" s="624"/>
      <c r="G21" s="625"/>
      <c r="H21" s="625"/>
      <c r="I21" s="624"/>
      <c r="J21" s="626"/>
    </row>
    <row r="24" customHeight="1" spans="1:10">
      <c r="A24" s="627" t="s">
        <v>233</v>
      </c>
    </row>
  </sheetData>
  <mergeCells count="2">
    <mergeCell ref="A1:J1"/>
    <mergeCell ref="A2:J2"/>
  </mergeCells>
  <dataValidations count="1">
    <dataValidation type="list" allowBlank="1" showInputMessage="1" showErrorMessage="1" sqref="B6:B20">
      <formula1>"账项调整,报表调整,其他"</formula1>
    </dataValidation>
  </dataValidations>
  <hyperlinks>
    <hyperlink ref="J3" location="底稿目录!A1" display="H8-3"/>
  </hyperlinks>
  <printOptions horizontalCentered="1"/>
  <pageMargins left="0.708661417322835" right="0.708661417322835" top="0.748031496062992" bottom="0.748031496062992" header="0.31496062992126" footer="0.31496062992126"/>
  <pageSetup paperSize="9" scale="95" orientation="landscape" blackAndWhite="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J90"/>
  <sheetViews>
    <sheetView view="pageBreakPreview" zoomScaleNormal="130" workbookViewId="0">
      <selection activeCell="A1" sqref="A1:G1"/>
    </sheetView>
  </sheetViews>
  <sheetFormatPr defaultColWidth="9" defaultRowHeight="19.95" customHeight="1"/>
  <cols>
    <col min="1" max="1" width="16.7" style="336" customWidth="1"/>
    <col min="2" max="2" width="13.7" style="336" customWidth="1"/>
    <col min="3" max="3" width="12.7" style="336" customWidth="1"/>
    <col min="4" max="4" width="10.4" style="336" customWidth="1"/>
    <col min="5" max="5" width="12.7" style="336" customWidth="1"/>
    <col min="6" max="6" width="18.4" style="336" customWidth="1"/>
    <col min="7" max="7" width="23.4" style="336" customWidth="1"/>
    <col min="8" max="8" width="30.5" style="375" customWidth="1"/>
    <col min="9" max="9" width="35.7" style="338" customWidth="1"/>
    <col min="10" max="16384" width="9" style="336" customWidth="1"/>
  </cols>
  <sheetData>
    <row r="1" s="334" customFormat="1" customHeight="1" spans="1:10">
      <c r="A1" s="511" t="s">
        <v>58</v>
      </c>
      <c r="H1" s="581"/>
      <c r="I1" s="340"/>
    </row>
    <row r="2" s="335" customFormat="1" customHeight="1" spans="1:10">
      <c r="A2" s="566" t="s">
        <v>25</v>
      </c>
      <c r="H2" s="582"/>
      <c r="I2" s="342"/>
    </row>
    <row r="3" customHeight="1" spans="1:10">
      <c r="A3" s="336" t="str">
        <f>底稿目录!A2</f>
        <v>被审计单位：</v>
      </c>
      <c r="D3" s="343" t="str">
        <f>底稿目录!A4</f>
        <v>编制人：</v>
      </c>
      <c r="E3" s="336" t="str">
        <f>底稿目录!A6</f>
        <v>编制日期：</v>
      </c>
      <c r="F3" s="7" t="s">
        <v>59</v>
      </c>
      <c r="G3" s="8" t="s">
        <v>26</v>
      </c>
      <c r="I3" s="344"/>
    </row>
    <row r="4" customHeight="1" spans="1:10">
      <c r="A4" s="336" t="str">
        <f>底稿目录!A3</f>
        <v>截止日：202X年12月31日</v>
      </c>
      <c r="D4" s="343" t="str">
        <f>底稿目录!A5</f>
        <v>复核人：</v>
      </c>
      <c r="E4" s="336" t="str">
        <f>底稿目录!A7</f>
        <v>复核日期：</v>
      </c>
      <c r="F4" s="7" t="s">
        <v>60</v>
      </c>
      <c r="G4" s="9"/>
      <c r="I4" s="344"/>
    </row>
    <row r="5" customHeight="1" spans="1:10">
      <c r="A5" s="346" t="s">
        <v>191</v>
      </c>
      <c r="B5" s="346"/>
      <c r="C5" s="346"/>
      <c r="D5" s="346"/>
      <c r="E5" s="346"/>
      <c r="F5" s="346"/>
      <c r="G5" s="346"/>
      <c r="H5" s="583"/>
      <c r="I5" s="344"/>
    </row>
    <row r="6" s="336" customFormat="1" ht="37.8" customHeight="1" spans="1:10">
      <c r="A6" s="567" t="s">
        <v>234</v>
      </c>
      <c r="B6"/>
      <c r="C6"/>
      <c r="D6"/>
      <c r="E6"/>
      <c r="F6"/>
      <c r="G6"/>
      <c r="H6" s="528"/>
      <c r="I6" s="344"/>
    </row>
    <row r="7" customHeight="1" spans="1:10">
      <c r="A7" s="347" t="s">
        <v>193</v>
      </c>
      <c r="H7" s="584"/>
      <c r="I7" s="344"/>
    </row>
    <row r="8" customHeight="1" spans="1:10">
      <c r="A8" s="361"/>
      <c r="B8" s="348"/>
      <c r="C8" s="348"/>
      <c r="D8" s="348"/>
      <c r="E8" s="348"/>
      <c r="F8" s="348"/>
      <c r="G8" s="348"/>
      <c r="H8" s="585"/>
      <c r="I8" s="344"/>
    </row>
    <row r="9" customHeight="1" spans="1:10">
      <c r="A9" s="361" t="s">
        <v>235</v>
      </c>
      <c r="B9" s="348"/>
      <c r="C9" s="348"/>
      <c r="D9" s="348"/>
      <c r="E9" s="348"/>
      <c r="F9" s="349"/>
      <c r="G9" s="348"/>
      <c r="H9" s="585"/>
      <c r="I9" s="344"/>
    </row>
    <row r="10" customHeight="1" spans="1:10">
      <c r="A10" s="350" t="s">
        <v>236</v>
      </c>
      <c r="B10" s="137"/>
      <c r="C10" s="350" t="s">
        <v>237</v>
      </c>
      <c r="D10" s="119"/>
      <c r="E10" s="137"/>
      <c r="F10" s="351" t="s">
        <v>238</v>
      </c>
      <c r="G10" s="351" t="s">
        <v>232</v>
      </c>
      <c r="H10" s="586"/>
      <c r="I10" s="344"/>
    </row>
    <row r="11" customHeight="1" spans="1:10">
      <c r="A11" s="587" t="s">
        <v>239</v>
      </c>
      <c r="B11" s="137"/>
      <c r="C11" s="355"/>
      <c r="D11" s="119"/>
      <c r="E11" s="137"/>
      <c r="F11" s="588" t="str">
        <f>IF(AND(F12="是",F13="否"),"是","否")</f>
        <v>否</v>
      </c>
      <c r="G11" s="358"/>
      <c r="H11" s="589" t="s">
        <v>240</v>
      </c>
      <c r="I11" s="344"/>
    </row>
    <row r="12" customHeight="1" spans="1:10">
      <c r="A12" s="355" t="s">
        <v>241</v>
      </c>
      <c r="B12" s="137"/>
      <c r="C12" s="355"/>
      <c r="D12" s="119"/>
      <c r="E12" s="137"/>
      <c r="F12" s="588"/>
      <c r="G12" s="358"/>
      <c r="H12" s="589" t="s">
        <v>242</v>
      </c>
      <c r="I12" s="344"/>
      <c r="J12" s="590"/>
    </row>
    <row r="13" customHeight="1" spans="1:10">
      <c r="A13" s="355" t="s">
        <v>243</v>
      </c>
      <c r="B13" s="137"/>
      <c r="C13" s="355"/>
      <c r="D13" s="119"/>
      <c r="E13" s="137"/>
      <c r="F13" s="588"/>
      <c r="G13" s="358"/>
      <c r="H13" s="591" t="s">
        <v>244</v>
      </c>
      <c r="I13" s="344" t="s">
        <v>245</v>
      </c>
    </row>
    <row r="14" ht="66" customHeight="1" spans="1:10">
      <c r="A14" s="592" t="s">
        <v>246</v>
      </c>
      <c r="B14" s="137"/>
      <c r="C14" s="355"/>
      <c r="D14" s="119"/>
      <c r="E14" s="137"/>
      <c r="F14" s="588"/>
      <c r="G14" s="358"/>
      <c r="H14" s="591" t="s">
        <v>247</v>
      </c>
    </row>
    <row r="15" ht="37.8" customHeight="1" spans="1:10">
      <c r="A15" s="587" t="s">
        <v>248</v>
      </c>
      <c r="B15" s="137"/>
      <c r="C15" s="355"/>
      <c r="D15" s="119"/>
      <c r="E15" s="137"/>
      <c r="F15" s="588"/>
      <c r="G15" s="358"/>
      <c r="H15" s="589" t="s">
        <v>249</v>
      </c>
      <c r="I15" s="344" t="s">
        <v>250</v>
      </c>
    </row>
    <row r="16" ht="33" customHeight="1" spans="1:10">
      <c r="A16" s="355" t="s">
        <v>251</v>
      </c>
      <c r="B16" s="137"/>
      <c r="C16" s="355"/>
      <c r="D16" s="119"/>
      <c r="E16" s="137"/>
      <c r="F16" s="588"/>
      <c r="G16" s="358"/>
      <c r="H16" s="589" t="s">
        <v>252</v>
      </c>
      <c r="I16" s="344" t="s">
        <v>253</v>
      </c>
    </row>
    <row r="17" ht="33" customHeight="1" spans="1:10">
      <c r="A17" s="355" t="s">
        <v>254</v>
      </c>
      <c r="B17" s="137"/>
      <c r="C17" s="355"/>
      <c r="D17" s="119"/>
      <c r="E17" s="137"/>
      <c r="F17" s="588"/>
      <c r="G17" s="358"/>
      <c r="H17" s="589" t="s">
        <v>255</v>
      </c>
      <c r="I17" s="344"/>
    </row>
    <row r="18" ht="42.6" customHeight="1" spans="1:10">
      <c r="A18" s="592" t="s">
        <v>256</v>
      </c>
      <c r="B18" s="137"/>
      <c r="C18" s="355"/>
      <c r="D18" s="119"/>
      <c r="E18" s="137"/>
      <c r="F18" s="588"/>
      <c r="G18" s="358"/>
      <c r="H18" s="589" t="s">
        <v>257</v>
      </c>
      <c r="I18" s="344" t="s">
        <v>258</v>
      </c>
    </row>
    <row r="19" ht="54" customHeight="1" spans="1:10">
      <c r="A19" s="592" t="s">
        <v>259</v>
      </c>
      <c r="B19" s="137"/>
      <c r="C19" s="355"/>
      <c r="D19" s="119"/>
      <c r="E19" s="137"/>
      <c r="F19" s="588"/>
      <c r="G19" s="358"/>
      <c r="H19" s="589" t="s">
        <v>260</v>
      </c>
      <c r="I19" s="344"/>
    </row>
    <row r="20" ht="45" customHeight="1" spans="1:10">
      <c r="A20" s="587" t="s">
        <v>261</v>
      </c>
      <c r="B20" s="137"/>
      <c r="C20" s="355"/>
      <c r="D20" s="119"/>
      <c r="E20" s="137"/>
      <c r="F20" s="588"/>
      <c r="G20" s="358"/>
      <c r="H20" s="589" t="s">
        <v>262</v>
      </c>
      <c r="I20" s="344" t="s">
        <v>263</v>
      </c>
    </row>
    <row r="21" customHeight="1" spans="1:10">
      <c r="A21" s="593" t="s">
        <v>264</v>
      </c>
      <c r="B21" s="137"/>
      <c r="C21" s="594" t="str">
        <f>IF(AND(F11="是",F15="是",F20="是"),"合同为租赁或者包含租赁","不包含租赁")</f>
        <v>不包含租赁</v>
      </c>
      <c r="D21" s="119"/>
      <c r="E21" s="119"/>
      <c r="F21" s="119"/>
      <c r="G21" s="119"/>
      <c r="H21" s="595"/>
      <c r="I21" s="344"/>
    </row>
    <row r="22" customHeight="1" spans="1:10">
      <c r="A22" s="374"/>
      <c r="B22" s="348"/>
      <c r="C22" s="348"/>
      <c r="D22" s="348"/>
      <c r="E22" s="348"/>
      <c r="F22" s="348"/>
      <c r="G22" s="348"/>
      <c r="H22" s="585"/>
      <c r="I22" s="344"/>
    </row>
    <row r="23" customHeight="1" spans="1:10">
      <c r="A23" s="361" t="s">
        <v>265</v>
      </c>
      <c r="B23" s="348"/>
      <c r="C23" s="348"/>
      <c r="D23" s="348"/>
      <c r="E23" s="348" t="s">
        <v>266</v>
      </c>
      <c r="F23" s="596"/>
      <c r="G23" s="348"/>
      <c r="H23" s="585"/>
      <c r="I23" s="344"/>
    </row>
    <row r="24" customHeight="1" spans="1:10">
      <c r="A24" s="351" t="s">
        <v>267</v>
      </c>
      <c r="B24" s="353"/>
      <c r="C24" s="351" t="s">
        <v>237</v>
      </c>
      <c r="D24" s="352"/>
      <c r="E24" s="353"/>
      <c r="F24" s="351" t="s">
        <v>238</v>
      </c>
      <c r="G24" s="351" t="s">
        <v>232</v>
      </c>
      <c r="H24" s="586"/>
      <c r="I24" s="344"/>
    </row>
    <row r="25" ht="43.2" customHeight="1" spans="1:10">
      <c r="A25" s="355" t="s">
        <v>268</v>
      </c>
      <c r="B25" s="137"/>
      <c r="C25" s="355"/>
      <c r="D25" s="119"/>
      <c r="E25" s="137"/>
      <c r="F25" s="588"/>
      <c r="G25" s="358"/>
      <c r="H25" s="589" t="s">
        <v>269</v>
      </c>
      <c r="I25" s="344"/>
      <c r="J25" s="590"/>
    </row>
    <row r="26" ht="39.6" customHeight="1" spans="1:10">
      <c r="A26" s="355" t="s">
        <v>270</v>
      </c>
      <c r="B26" s="137"/>
      <c r="C26" s="355"/>
      <c r="D26" s="119"/>
      <c r="E26" s="137"/>
      <c r="F26" s="588"/>
      <c r="G26" s="358"/>
      <c r="H26" s="589" t="s">
        <v>271</v>
      </c>
      <c r="I26" s="344"/>
    </row>
    <row r="27" customHeight="1" spans="1:10">
      <c r="A27" s="593" t="s">
        <v>264</v>
      </c>
      <c r="B27" s="137"/>
      <c r="C27" s="359" t="str">
        <f>IF(AND(F25="是",F26="是"),"构成合同中的一项单独租赁","无须分拆")</f>
        <v>无须分拆</v>
      </c>
      <c r="D27" s="119"/>
      <c r="E27" s="119"/>
      <c r="F27" s="119"/>
      <c r="G27" s="137"/>
      <c r="H27" s="595"/>
      <c r="I27" s="344" t="s">
        <v>272</v>
      </c>
    </row>
    <row r="28" customHeight="1" spans="1:10">
      <c r="A28" s="348" t="s">
        <v>273</v>
      </c>
      <c r="B28" s="348"/>
      <c r="C28" s="348"/>
      <c r="D28" s="348"/>
      <c r="E28" s="348"/>
      <c r="F28" s="348"/>
      <c r="G28" s="348"/>
      <c r="H28" s="585"/>
      <c r="I28" s="344"/>
    </row>
    <row r="29" customHeight="1" spans="1:10">
      <c r="A29" s="348" t="s">
        <v>274</v>
      </c>
      <c r="B29" s="348"/>
      <c r="C29" s="348"/>
      <c r="D29" s="348"/>
      <c r="E29" s="348"/>
      <c r="F29" s="348"/>
      <c r="G29" s="348"/>
      <c r="H29" s="597"/>
      <c r="I29" s="344"/>
    </row>
    <row r="30" customHeight="1" spans="1:10">
      <c r="A30" s="374"/>
      <c r="B30" s="348"/>
      <c r="C30" s="348"/>
      <c r="D30" s="348"/>
      <c r="E30" s="348"/>
      <c r="F30" s="348"/>
      <c r="G30" s="348"/>
      <c r="H30" s="597"/>
      <c r="I30" s="344"/>
    </row>
    <row r="31" customHeight="1" spans="1:10">
      <c r="A31" s="361" t="s">
        <v>275</v>
      </c>
      <c r="B31" s="348"/>
      <c r="C31" s="348"/>
      <c r="D31" s="348"/>
      <c r="E31" s="348" t="s">
        <v>266</v>
      </c>
      <c r="F31" s="598"/>
      <c r="G31" s="348"/>
      <c r="H31" s="585"/>
      <c r="I31" s="344"/>
    </row>
    <row r="32" customHeight="1" spans="1:10">
      <c r="A32" s="350" t="s">
        <v>276</v>
      </c>
      <c r="B32" s="137"/>
      <c r="C32" s="350" t="s">
        <v>237</v>
      </c>
      <c r="D32" s="119"/>
      <c r="E32" s="137"/>
      <c r="F32" s="351" t="s">
        <v>238</v>
      </c>
      <c r="G32" s="351" t="s">
        <v>232</v>
      </c>
      <c r="H32" s="586"/>
      <c r="I32" s="344"/>
    </row>
    <row r="33" ht="51.6" customHeight="1" spans="1:10">
      <c r="A33" s="355" t="s">
        <v>277</v>
      </c>
      <c r="B33" s="137"/>
      <c r="C33" s="355"/>
      <c r="D33" s="119"/>
      <c r="E33" s="137"/>
      <c r="F33" s="588"/>
      <c r="G33" s="358"/>
      <c r="H33" s="589" t="s">
        <v>278</v>
      </c>
      <c r="I33" s="344"/>
    </row>
    <row r="34" ht="41.4" customHeight="1" spans="1:10">
      <c r="A34" s="355" t="s">
        <v>279</v>
      </c>
      <c r="B34" s="137"/>
      <c r="C34" s="355"/>
      <c r="D34" s="119"/>
      <c r="E34" s="137"/>
      <c r="F34" s="588"/>
      <c r="G34" s="358"/>
      <c r="H34" s="585"/>
      <c r="I34" s="344"/>
    </row>
    <row r="35" ht="37.2" customHeight="1" spans="1:10">
      <c r="A35" s="355" t="s">
        <v>280</v>
      </c>
      <c r="B35" s="137"/>
      <c r="C35" s="355"/>
      <c r="D35" s="119"/>
      <c r="E35" s="137"/>
      <c r="F35" s="588"/>
      <c r="G35" s="358"/>
      <c r="H35" s="585"/>
      <c r="I35" s="344"/>
    </row>
    <row r="36" customHeight="1" spans="1:10">
      <c r="A36" s="593" t="s">
        <v>264</v>
      </c>
      <c r="B36" s="137"/>
      <c r="C36" s="594" t="str">
        <f>IF(OR(F33="是",F34="是",F35="是"),"应当合并为一份合同进行会计处理","单项租赁")</f>
        <v>单项租赁</v>
      </c>
      <c r="D36" s="119"/>
      <c r="E36" s="119"/>
      <c r="F36" s="119"/>
      <c r="G36" s="119"/>
      <c r="H36" s="595"/>
    </row>
    <row r="37" customHeight="1" spans="1:10">
      <c r="A37" s="348" t="s">
        <v>281</v>
      </c>
      <c r="B37" s="348"/>
      <c r="C37" s="348"/>
      <c r="D37" s="348"/>
      <c r="E37" s="348"/>
      <c r="F37" s="348"/>
      <c r="G37" s="348"/>
      <c r="H37" s="585"/>
    </row>
    <row r="38" customHeight="1" spans="1:10">
      <c r="A38" s="348"/>
      <c r="B38" s="348"/>
      <c r="C38" s="348"/>
      <c r="D38" s="348"/>
      <c r="E38" s="348"/>
      <c r="F38" s="348"/>
      <c r="G38" s="348"/>
      <c r="H38" s="585"/>
      <c r="I38" s="344"/>
    </row>
    <row r="39" customHeight="1" spans="1:10">
      <c r="A39" s="361" t="s">
        <v>282</v>
      </c>
      <c r="B39" s="348"/>
      <c r="C39" s="348"/>
      <c r="E39" s="348" t="s">
        <v>266</v>
      </c>
      <c r="F39" s="349" t="s">
        <v>283</v>
      </c>
      <c r="G39" s="348"/>
      <c r="H39" s="585"/>
      <c r="I39" s="585"/>
      <c r="J39" s="570"/>
    </row>
    <row r="40" customHeight="1" spans="1:10">
      <c r="A40" s="350" t="s">
        <v>267</v>
      </c>
      <c r="B40" s="137"/>
      <c r="C40" s="350" t="s">
        <v>237</v>
      </c>
      <c r="D40" s="119"/>
      <c r="E40" s="137"/>
      <c r="F40" s="351" t="s">
        <v>238</v>
      </c>
      <c r="G40" s="351" t="s">
        <v>232</v>
      </c>
      <c r="I40" s="375"/>
    </row>
    <row r="41" customHeight="1" spans="1:10">
      <c r="A41" s="354" t="s">
        <v>284</v>
      </c>
      <c r="B41" s="137"/>
      <c r="C41" s="599"/>
      <c r="D41" s="119"/>
      <c r="E41" s="137"/>
      <c r="F41" s="600" t="str">
        <f>IF(AND(F42="是",F43="是"),"是","否")</f>
        <v>否</v>
      </c>
      <c r="G41" s="601"/>
      <c r="H41" s="602" t="s">
        <v>285</v>
      </c>
      <c r="I41" s="375"/>
    </row>
    <row r="42" ht="28.2" customHeight="1" spans="1:10">
      <c r="A42" s="569" t="s">
        <v>286</v>
      </c>
      <c r="B42" s="137"/>
      <c r="C42" s="599"/>
      <c r="D42" s="119"/>
      <c r="E42" s="137"/>
      <c r="F42" s="520" t="s">
        <v>283</v>
      </c>
      <c r="G42" s="601"/>
      <c r="I42" s="375"/>
    </row>
    <row r="43" customHeight="1" spans="1:10">
      <c r="A43" s="569" t="s">
        <v>287</v>
      </c>
      <c r="B43" s="137"/>
      <c r="C43" s="599"/>
      <c r="D43" s="119"/>
      <c r="E43" s="137"/>
      <c r="F43" s="520" t="s">
        <v>288</v>
      </c>
      <c r="G43" s="601"/>
      <c r="I43" s="375"/>
    </row>
    <row r="44" customHeight="1" spans="1:10">
      <c r="A44" s="354" t="s">
        <v>289</v>
      </c>
      <c r="B44" s="137"/>
      <c r="C44" s="603"/>
      <c r="D44" s="119"/>
      <c r="E44" s="137"/>
      <c r="F44" s="520" t="s">
        <v>283</v>
      </c>
      <c r="G44" s="601"/>
      <c r="H44" s="375" t="s">
        <v>290</v>
      </c>
      <c r="I44" s="375"/>
    </row>
    <row r="45" customHeight="1" spans="1:10">
      <c r="A45" s="350" t="s">
        <v>264</v>
      </c>
      <c r="B45" s="137"/>
      <c r="C45" s="604" t="str">
        <f>IF(AND(F41="是",F44="是"),"属于短期租赁","不属于短期租赁")</f>
        <v>不属于短期租赁</v>
      </c>
      <c r="D45" s="119"/>
      <c r="E45" s="119"/>
      <c r="F45" s="119"/>
      <c r="G45" s="137"/>
      <c r="I45" s="375"/>
    </row>
    <row r="46" customHeight="1" spans="1:10">
      <c r="A46" s="374" t="s">
        <v>291</v>
      </c>
      <c r="B46" s="348"/>
      <c r="C46" s="348"/>
      <c r="D46" s="348"/>
      <c r="E46" s="348"/>
      <c r="F46" s="348"/>
      <c r="G46" s="348"/>
      <c r="I46" s="375"/>
    </row>
    <row r="47" customHeight="1" spans="1:10">
      <c r="A47" s="374" t="s">
        <v>292</v>
      </c>
      <c r="B47" s="348"/>
      <c r="C47" s="348"/>
      <c r="D47" s="348"/>
      <c r="E47" s="348"/>
      <c r="F47" s="348"/>
      <c r="G47" s="348"/>
      <c r="H47" s="585"/>
      <c r="I47" s="585"/>
      <c r="J47" s="570"/>
    </row>
    <row r="48" customHeight="1" spans="1:10">
      <c r="A48" s="374" t="s">
        <v>293</v>
      </c>
      <c r="B48" s="348"/>
      <c r="C48" s="348"/>
      <c r="D48" s="348"/>
      <c r="E48" s="348"/>
      <c r="F48" s="348"/>
      <c r="G48" s="348"/>
      <c r="H48" s="585"/>
      <c r="I48" s="585"/>
      <c r="J48" s="570"/>
    </row>
    <row r="49" customHeight="1" spans="1:10">
      <c r="A49" s="374"/>
      <c r="B49" s="348"/>
      <c r="C49" s="348"/>
      <c r="D49" s="348"/>
      <c r="E49" s="348"/>
      <c r="F49" s="348"/>
      <c r="G49" s="348"/>
      <c r="H49" s="585"/>
      <c r="I49" s="585"/>
      <c r="J49" s="570"/>
    </row>
    <row r="50" customHeight="1" spans="1:10">
      <c r="A50" s="361" t="s">
        <v>294</v>
      </c>
      <c r="B50" s="348"/>
      <c r="C50" s="348"/>
      <c r="D50" s="348"/>
      <c r="E50" s="348" t="s">
        <v>266</v>
      </c>
      <c r="F50" s="605"/>
      <c r="G50" s="348"/>
      <c r="H50" s="585"/>
      <c r="I50" s="585"/>
      <c r="J50" s="570"/>
    </row>
    <row r="51" customHeight="1" spans="1:10">
      <c r="A51" s="350" t="s">
        <v>267</v>
      </c>
      <c r="B51" s="137"/>
      <c r="C51" s="350" t="s">
        <v>237</v>
      </c>
      <c r="D51" s="119"/>
      <c r="E51" s="137"/>
      <c r="F51" s="606"/>
      <c r="G51" s="351" t="s">
        <v>232</v>
      </c>
      <c r="H51" s="585"/>
      <c r="I51" s="585"/>
      <c r="J51" s="570"/>
    </row>
    <row r="52" ht="34.8" customHeight="1" spans="1:10">
      <c r="A52" s="354" t="s">
        <v>295</v>
      </c>
      <c r="B52" s="137"/>
      <c r="C52" s="354"/>
      <c r="D52" s="119"/>
      <c r="E52" s="137"/>
      <c r="F52" s="607"/>
      <c r="G52" s="358"/>
      <c r="H52" s="589" t="s">
        <v>296</v>
      </c>
      <c r="I52" s="585"/>
      <c r="J52" s="570"/>
    </row>
    <row r="53" ht="33" customHeight="1" spans="1:10">
      <c r="A53" s="354" t="s">
        <v>297</v>
      </c>
      <c r="B53" s="137"/>
      <c r="C53" s="354"/>
      <c r="D53" s="119"/>
      <c r="E53" s="137"/>
      <c r="F53" s="607"/>
      <c r="G53" s="358"/>
      <c r="H53" s="589" t="s">
        <v>298</v>
      </c>
      <c r="I53" s="589"/>
      <c r="J53" s="570"/>
    </row>
    <row r="54" customHeight="1" spans="1:10">
      <c r="A54" s="350" t="s">
        <v>264</v>
      </c>
      <c r="B54" s="137"/>
      <c r="C54" s="608" t="str">
        <f>IF(AND(F52="是",F53="是"),"属于低价值资产租赁","不属于低价值资产租赁")</f>
        <v>不属于低价值资产租赁</v>
      </c>
      <c r="D54" s="119"/>
      <c r="E54" s="119"/>
      <c r="F54" s="119"/>
      <c r="G54" s="137"/>
      <c r="H54" s="585"/>
      <c r="I54" s="585"/>
      <c r="J54" s="570"/>
    </row>
    <row r="55" customHeight="1" spans="1:10">
      <c r="A55" s="348" t="s">
        <v>299</v>
      </c>
      <c r="B55" s="348"/>
      <c r="C55" s="348"/>
      <c r="D55" s="348"/>
      <c r="E55" s="348"/>
      <c r="F55" s="348"/>
      <c r="G55" s="348"/>
      <c r="H55" s="584"/>
      <c r="I55" s="344"/>
      <c r="J55" s="570"/>
    </row>
    <row r="56" customHeight="1" spans="1:10">
      <c r="A56" s="347" t="s">
        <v>212</v>
      </c>
      <c r="H56" s="584"/>
      <c r="I56" s="344"/>
    </row>
    <row r="57" customHeight="1" spans="1:10">
      <c r="A57" s="397"/>
      <c r="B57"/>
      <c r="C57"/>
      <c r="D57"/>
      <c r="E57"/>
      <c r="F57"/>
      <c r="G57"/>
      <c r="H57" s="609"/>
      <c r="I57" s="344"/>
    </row>
    <row r="58" customHeight="1" spans="1:10">
      <c r="A58" s="579"/>
      <c r="B58" s="579"/>
      <c r="C58" s="579"/>
      <c r="D58" s="579"/>
      <c r="E58" s="579"/>
      <c r="F58" s="579"/>
      <c r="G58" s="580"/>
      <c r="H58" s="610"/>
      <c r="I58" s="344"/>
    </row>
    <row r="59" customHeight="1" spans="1:10">
      <c r="A59" s="347" t="s">
        <v>213</v>
      </c>
      <c r="H59" s="584"/>
      <c r="I59" s="344"/>
    </row>
    <row r="60" customHeight="1" spans="1:10">
      <c r="A60" s="398"/>
      <c r="B60"/>
      <c r="C60"/>
      <c r="D60"/>
      <c r="E60"/>
      <c r="F60"/>
      <c r="G60"/>
      <c r="H60" s="609"/>
      <c r="I60" s="344"/>
    </row>
    <row r="62" s="337" customFormat="1" customHeight="1" spans="1:10">
      <c r="A62" s="399" t="s">
        <v>214</v>
      </c>
      <c r="H62" s="375"/>
      <c r="I62" s="338"/>
    </row>
    <row r="63" s="337" customFormat="1" customHeight="1" spans="1:10">
      <c r="A63" s="375" t="s">
        <v>300</v>
      </c>
      <c r="H63" s="375"/>
      <c r="I63" s="338"/>
    </row>
    <row r="64" s="337" customFormat="1" customHeight="1" spans="1:10">
      <c r="A64" s="336"/>
      <c r="H64" s="375"/>
      <c r="I64" s="338"/>
    </row>
    <row r="65" s="337" customFormat="1" customHeight="1" spans="1:9">
      <c r="A65" s="336"/>
      <c r="H65" s="375"/>
      <c r="I65" s="338"/>
    </row>
    <row r="66" s="337" customFormat="1" customHeight="1" spans="1:9">
      <c r="A66" s="336"/>
      <c r="H66" s="375"/>
      <c r="I66" s="338"/>
    </row>
    <row r="67" s="337" customFormat="1" customHeight="1" spans="1:9">
      <c r="A67" s="336"/>
      <c r="H67" s="375"/>
      <c r="I67" s="338"/>
    </row>
    <row r="68" s="337" customFormat="1" customHeight="1" spans="1:9">
      <c r="A68" s="336"/>
      <c r="H68" s="375"/>
      <c r="I68" s="338"/>
    </row>
    <row r="69" s="337" customFormat="1" customHeight="1" spans="1:9">
      <c r="A69" s="336"/>
      <c r="H69" s="375"/>
      <c r="I69" s="338"/>
    </row>
    <row r="86" customHeight="1" spans="1:1">
      <c r="A86" s="336" t="s">
        <v>301</v>
      </c>
    </row>
    <row r="88" customHeight="1" spans="1:1">
      <c r="A88" s="336" t="s">
        <v>302</v>
      </c>
    </row>
    <row r="89" customHeight="1" spans="1:1">
      <c r="A89" s="336" t="s">
        <v>303</v>
      </c>
    </row>
    <row r="90" customHeight="1" spans="1:1">
      <c r="A90" s="336" t="s">
        <v>304</v>
      </c>
    </row>
  </sheetData>
  <mergeCells count="71">
    <mergeCell ref="A1:G1"/>
    <mergeCell ref="A2:G2"/>
    <mergeCell ref="A6:G6"/>
    <mergeCell ref="A7:G7"/>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G21"/>
    <mergeCell ref="A24:B24"/>
    <mergeCell ref="C24:E24"/>
    <mergeCell ref="A25:B25"/>
    <mergeCell ref="C25:E25"/>
    <mergeCell ref="A26:B26"/>
    <mergeCell ref="C26:E26"/>
    <mergeCell ref="A27:B27"/>
    <mergeCell ref="C27:G27"/>
    <mergeCell ref="A32:B32"/>
    <mergeCell ref="C32:E32"/>
    <mergeCell ref="A33:B33"/>
    <mergeCell ref="C33:E33"/>
    <mergeCell ref="A34:B34"/>
    <mergeCell ref="C34:E34"/>
    <mergeCell ref="A35:B35"/>
    <mergeCell ref="C35:E35"/>
    <mergeCell ref="A36:B36"/>
    <mergeCell ref="C36:G36"/>
    <mergeCell ref="A40:B40"/>
    <mergeCell ref="C40:E40"/>
    <mergeCell ref="A41:B41"/>
    <mergeCell ref="C41:E41"/>
    <mergeCell ref="A42:B42"/>
    <mergeCell ref="C42:E42"/>
    <mergeCell ref="A43:B43"/>
    <mergeCell ref="C43:E43"/>
    <mergeCell ref="A44:B44"/>
    <mergeCell ref="C44:E44"/>
    <mergeCell ref="A45:B45"/>
    <mergeCell ref="C45:G45"/>
    <mergeCell ref="A51:B51"/>
    <mergeCell ref="C51:E51"/>
    <mergeCell ref="A52:B52"/>
    <mergeCell ref="C52:E52"/>
    <mergeCell ref="A53:B53"/>
    <mergeCell ref="C53:E53"/>
    <mergeCell ref="A54:B54"/>
    <mergeCell ref="C54:G54"/>
    <mergeCell ref="A56:G56"/>
    <mergeCell ref="A57:G57"/>
    <mergeCell ref="A59:G59"/>
    <mergeCell ref="A60:G60"/>
    <mergeCell ref="I13:I14"/>
  </mergeCells>
  <dataValidations count="1">
    <dataValidation type="list" allowBlank="1" showInputMessage="1" showErrorMessage="1" sqref="F9 F12 F14 F23 F31 F39 F50 F16:F20 F25:F26 F33:F35 F42:F44 F52:F53">
      <formula1>"是,否"</formula1>
    </dataValidation>
  </dataValidations>
  <hyperlinks>
    <hyperlink ref="G3" location="底稿目录!A1" display="H8-4"/>
  </hyperlinks>
  <printOptions horizontalCentered="1"/>
  <pageMargins left="0.94488188976378" right="0.275590551181102" top="0.62992125984252" bottom="0.511811023622047" header="0.511811023622047" footer="0.354330708661417"/>
  <pageSetup paperSize="9" scale="78" fitToHeight="0" orientation="portrait" blackAndWhite="1" cellComments="atEnd"/>
  <headerFooter alignWithMargins="0">
    <oddFooter>&amp;C&amp;P/&amp;N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I52"/>
  <sheetViews>
    <sheetView view="pageBreakPreview" zoomScaleNormal="130" workbookViewId="0">
      <selection activeCell="A1" sqref="A1:F1"/>
    </sheetView>
  </sheetViews>
  <sheetFormatPr defaultColWidth="9" defaultRowHeight="19.95" customHeight="1"/>
  <cols>
    <col min="1" max="1" width="16.2" style="336" customWidth="1"/>
    <col min="2" max="2" width="12.6" style="336" customWidth="1"/>
    <col min="3" max="3" width="11.6" style="336" customWidth="1"/>
    <col min="4" max="4" width="18.5" style="336" customWidth="1"/>
    <col min="5" max="5" width="28.8" style="336" customWidth="1"/>
    <col min="6" max="6" width="16.8" style="336" customWidth="1"/>
    <col min="7" max="7" width="41.4" style="338" customWidth="1"/>
    <col min="8" max="8" width="26.1" style="336" customWidth="1"/>
    <col min="9" max="16384" width="9" style="336" customWidth="1"/>
  </cols>
  <sheetData>
    <row r="1" s="334" customFormat="1" customHeight="1" spans="1:8">
      <c r="A1" s="511" t="s">
        <v>58</v>
      </c>
      <c r="G1" s="340"/>
    </row>
    <row r="2" s="335" customFormat="1" customHeight="1" spans="1:8">
      <c r="A2" s="566" t="s">
        <v>28</v>
      </c>
      <c r="G2" s="342"/>
    </row>
    <row r="3" customHeight="1" spans="1:8">
      <c r="A3" s="336" t="str">
        <f>底稿目录!A2</f>
        <v>被审计单位：</v>
      </c>
      <c r="C3" s="343" t="str">
        <f>底稿目录!A4</f>
        <v>编制人：</v>
      </c>
      <c r="D3" s="336" t="str">
        <f>底稿目录!A6</f>
        <v>编制日期：</v>
      </c>
      <c r="E3" s="7" t="s">
        <v>59</v>
      </c>
      <c r="F3" s="8" t="s">
        <v>29</v>
      </c>
      <c r="G3" s="344"/>
    </row>
    <row r="4" customHeight="1" spans="1:8">
      <c r="A4" s="336" t="str">
        <f>底稿目录!A3</f>
        <v>截止日：202X年12月31日</v>
      </c>
      <c r="C4" s="343" t="str">
        <f>底稿目录!A5</f>
        <v>复核人：</v>
      </c>
      <c r="D4" s="336" t="str">
        <f>底稿目录!A7</f>
        <v>复核日期：</v>
      </c>
      <c r="E4" s="7" t="s">
        <v>60</v>
      </c>
      <c r="F4" s="9"/>
      <c r="G4" s="344"/>
    </row>
    <row r="5" customHeight="1" spans="1:8">
      <c r="A5" s="347" t="s">
        <v>191</v>
      </c>
      <c r="G5" s="344"/>
    </row>
    <row r="6" s="336" customFormat="1" ht="45.6" customHeight="1" spans="1:8">
      <c r="A6" s="567" t="s">
        <v>234</v>
      </c>
      <c r="B6"/>
      <c r="C6"/>
      <c r="D6"/>
      <c r="E6"/>
      <c r="F6"/>
      <c r="G6" s="344"/>
    </row>
    <row r="7" customHeight="1" spans="1:8">
      <c r="A7" s="347" t="s">
        <v>193</v>
      </c>
      <c r="G7" s="344"/>
    </row>
    <row r="8" customHeight="1" spans="1:8">
      <c r="A8" s="361"/>
      <c r="B8" s="348"/>
      <c r="C8" s="348"/>
      <c r="D8" s="348"/>
      <c r="E8" s="348"/>
      <c r="F8" s="348"/>
      <c r="G8" s="344"/>
    </row>
    <row r="9" customHeight="1" spans="1:8">
      <c r="A9" s="361" t="s">
        <v>305</v>
      </c>
      <c r="B9" s="348"/>
      <c r="C9" s="348"/>
      <c r="D9" s="348"/>
      <c r="E9" s="348"/>
      <c r="F9" s="348"/>
      <c r="G9" s="344"/>
    </row>
    <row r="10" customHeight="1" spans="1:8">
      <c r="A10" s="350" t="s">
        <v>129</v>
      </c>
      <c r="B10" s="137"/>
      <c r="C10" s="350" t="s">
        <v>306</v>
      </c>
      <c r="D10" s="137"/>
      <c r="E10" s="351" t="s">
        <v>307</v>
      </c>
      <c r="F10" s="351" t="s">
        <v>232</v>
      </c>
      <c r="G10" s="344"/>
    </row>
    <row r="11" ht="33" customHeight="1" spans="1:8">
      <c r="A11" s="354" t="s">
        <v>308</v>
      </c>
      <c r="B11" s="137"/>
      <c r="C11" s="355"/>
      <c r="D11" s="137"/>
      <c r="E11" s="356" t="s">
        <v>309</v>
      </c>
      <c r="F11" s="358"/>
      <c r="G11" s="344" t="s">
        <v>310</v>
      </c>
    </row>
    <row r="12" ht="41.4" customHeight="1" spans="1:8">
      <c r="A12" s="354" t="s">
        <v>311</v>
      </c>
      <c r="B12" s="137"/>
      <c r="C12" s="355"/>
      <c r="D12" s="137"/>
      <c r="E12" s="356" t="s">
        <v>312</v>
      </c>
      <c r="F12" s="358"/>
      <c r="G12" s="568" t="s">
        <v>313</v>
      </c>
    </row>
    <row r="13" customHeight="1" spans="1:8">
      <c r="A13" s="354" t="s">
        <v>314</v>
      </c>
      <c r="B13" s="137"/>
      <c r="C13" s="355"/>
      <c r="D13" s="137"/>
      <c r="E13" s="356"/>
      <c r="F13" s="358"/>
      <c r="G13" s="344" t="s">
        <v>315</v>
      </c>
    </row>
    <row r="14" ht="42.6" customHeight="1" spans="1:8">
      <c r="A14" s="569" t="s">
        <v>316</v>
      </c>
      <c r="B14" s="137"/>
      <c r="C14" s="355"/>
      <c r="D14" s="137"/>
      <c r="E14" s="356" t="s">
        <v>312</v>
      </c>
      <c r="F14" s="358"/>
      <c r="G14" s="344" t="s">
        <v>317</v>
      </c>
    </row>
    <row r="15" ht="52.2" customHeight="1" spans="1:8">
      <c r="A15" s="569" t="s">
        <v>318</v>
      </c>
      <c r="B15" s="137"/>
      <c r="C15" s="355"/>
      <c r="D15" s="137"/>
      <c r="E15" s="356"/>
      <c r="F15" s="358"/>
      <c r="G15" s="344" t="s">
        <v>319</v>
      </c>
      <c r="H15" s="344" t="s">
        <v>320</v>
      </c>
    </row>
    <row r="16" ht="31.2" customHeight="1" spans="1:8">
      <c r="A16" s="569" t="s">
        <v>321</v>
      </c>
      <c r="B16" s="137"/>
      <c r="C16" s="355"/>
      <c r="D16" s="137"/>
      <c r="E16" s="356" t="s">
        <v>309</v>
      </c>
      <c r="F16" s="358"/>
      <c r="G16" s="344" t="s">
        <v>322</v>
      </c>
      <c r="H16" s="344" t="s">
        <v>323</v>
      </c>
    </row>
    <row r="17" customHeight="1" spans="1:9">
      <c r="A17" s="354" t="s">
        <v>324</v>
      </c>
      <c r="B17" s="137"/>
      <c r="C17" s="355"/>
      <c r="D17" s="137"/>
      <c r="E17" s="356"/>
      <c r="F17" s="358"/>
      <c r="G17" s="344" t="s">
        <v>325</v>
      </c>
      <c r="H17" s="568" t="s">
        <v>326</v>
      </c>
    </row>
    <row r="18" ht="43.2" customHeight="1" spans="1:9">
      <c r="A18" s="569" t="s">
        <v>327</v>
      </c>
      <c r="B18" s="137"/>
      <c r="C18" s="355"/>
      <c r="D18" s="137"/>
      <c r="E18" s="356"/>
      <c r="F18" s="358"/>
      <c r="G18" s="344" t="s">
        <v>328</v>
      </c>
      <c r="H18" s="570"/>
    </row>
    <row r="19" customHeight="1" spans="1:9">
      <c r="A19" s="569" t="s">
        <v>329</v>
      </c>
      <c r="B19" s="137"/>
      <c r="C19" s="355"/>
      <c r="D19" s="137"/>
      <c r="E19" s="356"/>
      <c r="F19" s="358"/>
      <c r="G19" s="344" t="s">
        <v>330</v>
      </c>
    </row>
    <row r="20" customHeight="1" spans="1:9">
      <c r="A20" s="354" t="s">
        <v>331</v>
      </c>
      <c r="B20" s="137"/>
      <c r="C20" s="355"/>
      <c r="D20" s="137"/>
      <c r="E20" s="356"/>
      <c r="F20" s="358"/>
      <c r="G20" s="344" t="s">
        <v>332</v>
      </c>
    </row>
    <row r="21" customHeight="1" spans="1:9">
      <c r="A21" s="571" t="s">
        <v>333</v>
      </c>
      <c r="B21" s="119"/>
      <c r="C21" s="119"/>
      <c r="D21" s="119"/>
      <c r="E21" s="119"/>
      <c r="F21" s="119"/>
      <c r="G21" s="119"/>
      <c r="H21" s="119"/>
      <c r="I21" s="137"/>
    </row>
    <row r="22" customHeight="1" spans="1:9">
      <c r="A22" s="374"/>
      <c r="B22" s="572" t="s">
        <v>334</v>
      </c>
      <c r="C22" s="573">
        <v>44197</v>
      </c>
      <c r="D22" s="572" t="s">
        <v>335</v>
      </c>
      <c r="E22" s="573">
        <v>47848</v>
      </c>
      <c r="F22" s="572" t="s">
        <v>336</v>
      </c>
      <c r="G22" s="574">
        <f>(YEAR($E$22)-YEAR($C$22))*12+MONTH($E$22)-MONTH($C$22)+1</f>
        <v>120</v>
      </c>
      <c r="H22" s="575" t="s">
        <v>337</v>
      </c>
      <c r="I22" s="576">
        <f>MAX(1,ROUND($G$22/12,0))</f>
        <v>10</v>
      </c>
    </row>
    <row r="23" customHeight="1" spans="1:9">
      <c r="A23" s="361" t="s">
        <v>338</v>
      </c>
      <c r="B23" s="348"/>
      <c r="C23" s="348"/>
      <c r="D23" s="348"/>
      <c r="E23" s="348"/>
      <c r="F23" s="348"/>
      <c r="G23" s="344"/>
    </row>
    <row r="24" customHeight="1" spans="1:9">
      <c r="A24" s="361" t="s">
        <v>339</v>
      </c>
      <c r="B24" s="348"/>
      <c r="C24" s="348"/>
      <c r="D24" s="348" t="s">
        <v>266</v>
      </c>
      <c r="E24" s="349" t="s">
        <v>283</v>
      </c>
      <c r="F24" s="348"/>
      <c r="G24" s="344"/>
    </row>
    <row r="25" customHeight="1" spans="1:9">
      <c r="A25" s="350" t="s">
        <v>340</v>
      </c>
      <c r="B25" s="137"/>
      <c r="C25" s="350" t="s">
        <v>306</v>
      </c>
      <c r="D25" s="137"/>
      <c r="E25" s="351" t="s">
        <v>341</v>
      </c>
      <c r="F25" s="351" t="s">
        <v>232</v>
      </c>
      <c r="G25" s="344"/>
    </row>
    <row r="26" customHeight="1" spans="1:9">
      <c r="A26" s="354" t="s">
        <v>342</v>
      </c>
      <c r="B26" s="137"/>
      <c r="C26" s="355"/>
      <c r="D26" s="137"/>
      <c r="E26" s="356" t="s">
        <v>283</v>
      </c>
      <c r="F26" s="358"/>
      <c r="G26" s="344" t="s">
        <v>343</v>
      </c>
      <c r="H26" s="577" t="s">
        <v>344</v>
      </c>
    </row>
    <row r="27" customHeight="1" spans="1:9">
      <c r="A27" s="354" t="s">
        <v>345</v>
      </c>
      <c r="B27" s="137"/>
      <c r="C27" s="355"/>
      <c r="D27" s="137"/>
      <c r="E27" s="356"/>
      <c r="F27" s="358"/>
      <c r="G27" s="344" t="s">
        <v>346</v>
      </c>
      <c r="H27" s="578"/>
    </row>
    <row r="28" customHeight="1" spans="1:9">
      <c r="A28" s="354" t="s">
        <v>347</v>
      </c>
      <c r="B28" s="137"/>
      <c r="C28" s="355"/>
      <c r="D28" s="137"/>
      <c r="E28" s="356"/>
      <c r="F28" s="358"/>
      <c r="G28" s="344" t="s">
        <v>348</v>
      </c>
      <c r="H28" s="578"/>
    </row>
    <row r="29" customHeight="1" spans="1:9">
      <c r="A29" s="350" t="s">
        <v>264</v>
      </c>
      <c r="B29" s="137"/>
      <c r="C29" s="359" t="str">
        <f>IF(OR(E26="是",E27="是",E28="是"),"应当重新评估是否合理确定将行使续租选择权、购买选择权或不行使终止租赁选择权","无需重新评估")</f>
        <v>应当重新评估是否合理确定将行使续租选择权、购买选择权或不行使终止租赁选择权</v>
      </c>
      <c r="D29" s="119"/>
      <c r="E29" s="119"/>
      <c r="F29" s="137"/>
      <c r="G29" s="344"/>
    </row>
    <row r="30" customHeight="1" spans="1:9">
      <c r="A30" s="374"/>
      <c r="B30" s="348"/>
      <c r="C30" s="348"/>
      <c r="D30" s="348"/>
      <c r="E30" s="348"/>
      <c r="F30" s="348"/>
      <c r="G30" s="344"/>
    </row>
    <row r="31" customHeight="1" spans="1:9">
      <c r="A31" s="361" t="s">
        <v>349</v>
      </c>
      <c r="B31" s="348"/>
      <c r="C31" s="348"/>
      <c r="D31" s="348" t="s">
        <v>266</v>
      </c>
      <c r="E31" s="349" t="s">
        <v>283</v>
      </c>
      <c r="F31" s="348"/>
      <c r="G31" s="344"/>
    </row>
    <row r="32" customHeight="1" spans="1:9">
      <c r="A32" s="350" t="s">
        <v>340</v>
      </c>
      <c r="B32" s="137"/>
      <c r="C32" s="350" t="s">
        <v>306</v>
      </c>
      <c r="D32" s="137"/>
      <c r="E32" s="351" t="s">
        <v>341</v>
      </c>
      <c r="F32" s="351" t="s">
        <v>232</v>
      </c>
      <c r="G32" s="344"/>
    </row>
    <row r="33" ht="46.2" customHeight="1" spans="1:7">
      <c r="A33" s="354" t="s">
        <v>350</v>
      </c>
      <c r="B33" s="137"/>
      <c r="C33" s="355"/>
      <c r="D33" s="137"/>
      <c r="E33" s="356" t="s">
        <v>283</v>
      </c>
      <c r="F33" s="358"/>
      <c r="G33" s="577"/>
    </row>
    <row r="34" ht="45" customHeight="1" spans="1:7">
      <c r="A34" s="354" t="s">
        <v>351</v>
      </c>
      <c r="B34" s="137"/>
      <c r="C34" s="355"/>
      <c r="D34" s="137"/>
      <c r="E34" s="356"/>
      <c r="F34" s="358"/>
      <c r="G34" s="578"/>
    </row>
    <row r="35" ht="54.6" customHeight="1" spans="1:7">
      <c r="A35" s="354" t="s">
        <v>352</v>
      </c>
      <c r="B35" s="137"/>
      <c r="C35" s="355"/>
      <c r="D35" s="137"/>
      <c r="E35" s="356"/>
      <c r="F35" s="358"/>
      <c r="G35" s="578"/>
    </row>
    <row r="36" ht="56.4" customHeight="1" spans="1:7">
      <c r="A36" s="354" t="s">
        <v>353</v>
      </c>
      <c r="B36" s="137"/>
      <c r="C36" s="355"/>
      <c r="D36" s="137"/>
      <c r="E36" s="356"/>
      <c r="F36" s="358"/>
      <c r="G36" s="578"/>
    </row>
    <row r="37" customHeight="1" spans="1:7">
      <c r="A37" s="350" t="s">
        <v>354</v>
      </c>
      <c r="B37" s="137"/>
      <c r="C37" s="359"/>
      <c r="D37" s="119"/>
      <c r="E37" s="119"/>
      <c r="F37" s="137"/>
      <c r="G37" s="344"/>
    </row>
    <row r="38" customHeight="1" spans="1:7">
      <c r="A38" s="374"/>
      <c r="B38" s="348"/>
      <c r="C38" s="348"/>
      <c r="D38" s="348"/>
      <c r="E38" s="348"/>
      <c r="F38" s="348"/>
      <c r="G38" s="344"/>
    </row>
    <row r="39" customHeight="1" spans="1:7">
      <c r="A39" s="347" t="s">
        <v>212</v>
      </c>
      <c r="G39" s="344"/>
    </row>
    <row r="40" customHeight="1" spans="1:7">
      <c r="A40" s="397"/>
      <c r="B40"/>
      <c r="C40"/>
      <c r="D40"/>
      <c r="E40"/>
      <c r="F40"/>
      <c r="G40" s="344"/>
    </row>
    <row r="41" customHeight="1" spans="1:7">
      <c r="A41" s="579"/>
      <c r="B41" s="579"/>
      <c r="C41" s="579"/>
      <c r="D41" s="579"/>
      <c r="E41" s="579"/>
      <c r="F41" s="580"/>
      <c r="G41" s="344"/>
    </row>
    <row r="42" customHeight="1" spans="1:7">
      <c r="A42" s="347" t="s">
        <v>213</v>
      </c>
      <c r="G42" s="344"/>
    </row>
    <row r="43" customHeight="1" spans="1:7">
      <c r="A43" s="398"/>
      <c r="B43"/>
      <c r="C43"/>
      <c r="D43"/>
      <c r="E43"/>
      <c r="F43"/>
      <c r="G43" s="344"/>
    </row>
    <row r="45" s="337" customFormat="1" customHeight="1" spans="1:7">
      <c r="A45" s="399" t="s">
        <v>214</v>
      </c>
      <c r="G45" s="338"/>
    </row>
    <row r="46" s="337" customFormat="1" customHeight="1" spans="1:7">
      <c r="A46" s="375" t="s">
        <v>355</v>
      </c>
      <c r="G46" s="338"/>
    </row>
    <row r="47" s="337" customFormat="1" customHeight="1" spans="1:7">
      <c r="A47" s="375" t="s">
        <v>356</v>
      </c>
      <c r="G47" s="338"/>
    </row>
    <row r="48" s="337" customFormat="1" customHeight="1" spans="1:7">
      <c r="A48" s="336"/>
      <c r="G48" s="338"/>
    </row>
    <row r="49" s="337" customFormat="1" customHeight="1" spans="1:7">
      <c r="A49" s="336"/>
      <c r="G49" s="338"/>
    </row>
    <row r="50" s="337" customFormat="1" customHeight="1" spans="1:7">
      <c r="A50" s="336"/>
      <c r="G50" s="338"/>
    </row>
    <row r="51" s="337" customFormat="1" customHeight="1" spans="1:7">
      <c r="A51" s="336"/>
      <c r="G51" s="338"/>
    </row>
    <row r="52" s="337" customFormat="1" customHeight="1" spans="1:7">
      <c r="A52" s="336"/>
      <c r="G52" s="338"/>
    </row>
  </sheetData>
  <mergeCells count="56">
    <mergeCell ref="A1:F1"/>
    <mergeCell ref="A2:F2"/>
    <mergeCell ref="A5:F5"/>
    <mergeCell ref="A6:F6"/>
    <mergeCell ref="A7:F7"/>
    <mergeCell ref="A10:B10"/>
    <mergeCell ref="C10:D10"/>
    <mergeCell ref="A11:B11"/>
    <mergeCell ref="C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I21"/>
    <mergeCell ref="A25:B25"/>
    <mergeCell ref="C25:D25"/>
    <mergeCell ref="A26:B26"/>
    <mergeCell ref="C26:D26"/>
    <mergeCell ref="A27:B27"/>
    <mergeCell ref="C27:D27"/>
    <mergeCell ref="A28:B28"/>
    <mergeCell ref="C28:D28"/>
    <mergeCell ref="A29:B29"/>
    <mergeCell ref="C29:F29"/>
    <mergeCell ref="A32:B32"/>
    <mergeCell ref="C32:D32"/>
    <mergeCell ref="A33:B33"/>
    <mergeCell ref="C33:D33"/>
    <mergeCell ref="A34:B34"/>
    <mergeCell ref="C34:D34"/>
    <mergeCell ref="A35:B35"/>
    <mergeCell ref="C35:D35"/>
    <mergeCell ref="A36:B36"/>
    <mergeCell ref="C36:D36"/>
    <mergeCell ref="A37:B37"/>
    <mergeCell ref="C37:F37"/>
    <mergeCell ref="A39:F39"/>
    <mergeCell ref="A40:F40"/>
    <mergeCell ref="A42:F42"/>
    <mergeCell ref="A43:F43"/>
    <mergeCell ref="G33:G36"/>
    <mergeCell ref="H26:H28"/>
  </mergeCells>
  <dataValidations count="2">
    <dataValidation type="list" allowBlank="1" showInputMessage="1" showErrorMessage="1" sqref="E24 E31 E26:E28 E33:E36">
      <formula1>"是,否"</formula1>
    </dataValidation>
    <dataValidation type="list" allowBlank="1" showInputMessage="1" showErrorMessage="1" sqref="E11:E20">
      <formula1>"包含,不包含"</formula1>
    </dataValidation>
  </dataValidations>
  <hyperlinks>
    <hyperlink ref="F3" location="底稿目录!A1" display="H8-5"/>
  </hyperlinks>
  <printOptions horizontalCentered="1"/>
  <pageMargins left="0.94488188976378" right="0.275590551181102" top="0.62992125984252" bottom="0.511811023622047" header="0.511811023622047" footer="0.354330708661417"/>
  <pageSetup paperSize="9" scale="80" fitToHeight="0" orientation="portrait" blackAndWhite="1" cellComments="atEnd"/>
  <headerFooter alignWithMargins="0">
    <oddFooter>&amp;C&amp;P/&amp;N</oddFooter>
  </headerFooter>
  <rowBreaks count="1" manualBreakCount="1">
    <brk id="30" max="8"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Q86"/>
  <sheetViews>
    <sheetView view="pageBreakPreview" zoomScaleNormal="130" topLeftCell="A13" workbookViewId="0">
      <selection activeCell="G58" sqref="G58:G59"/>
    </sheetView>
  </sheetViews>
  <sheetFormatPr defaultColWidth="9" defaultRowHeight="19.95" customHeight="1"/>
  <cols>
    <col min="1" max="1" width="14.9" style="336" customWidth="1"/>
    <col min="2" max="2" width="13.2" style="336" customWidth="1"/>
    <col min="3" max="3" width="11.1" style="336" customWidth="1"/>
    <col min="4" max="4" width="10.4" style="336" customWidth="1"/>
    <col min="5" max="5" width="16.4166666666667" style="336" customWidth="1"/>
    <col min="6" max="6" width="10.4" style="336" customWidth="1"/>
    <col min="7" max="7" width="10.5" style="336" customWidth="1"/>
    <col min="8" max="8" width="9.4" style="336" customWidth="1"/>
    <col min="9" max="9" width="12.2" style="336" customWidth="1"/>
    <col min="10" max="10" width="9.6" style="336" customWidth="1"/>
    <col min="11" max="11" width="10.5833333333333" style="336" customWidth="1"/>
    <col min="12" max="12" width="37.5833333333333" style="338" customWidth="1"/>
    <col min="13" max="16384" width="9" style="336" customWidth="1"/>
  </cols>
  <sheetData>
    <row r="1" s="334" customFormat="1" customHeight="1" spans="1:17">
      <c r="A1" s="511" t="s">
        <v>58</v>
      </c>
      <c r="L1" s="340"/>
    </row>
    <row r="2" s="335" customFormat="1" customHeight="1" spans="1:17">
      <c r="A2" s="341" t="s">
        <v>31</v>
      </c>
      <c r="L2" s="342"/>
    </row>
    <row r="3" customHeight="1" spans="1:17">
      <c r="A3" s="336" t="str">
        <f>底稿目录!A2</f>
        <v>被审计单位：</v>
      </c>
      <c r="D3" s="343" t="str">
        <f>底稿目录!A4</f>
        <v>编制人：</v>
      </c>
      <c r="F3" s="336" t="str">
        <f>底稿目录!A6</f>
        <v>编制日期：</v>
      </c>
      <c r="H3" s="7" t="s">
        <v>59</v>
      </c>
      <c r="I3" s="8" t="s">
        <v>32</v>
      </c>
      <c r="J3" s="8"/>
      <c r="K3" s="8"/>
      <c r="L3" s="344"/>
    </row>
    <row r="4" customHeight="1" spans="1:17">
      <c r="A4" s="336" t="str">
        <f>底稿目录!A3</f>
        <v>截止日：202X年12月31日</v>
      </c>
      <c r="D4" s="343" t="str">
        <f>底稿目录!A5</f>
        <v>复核人：</v>
      </c>
      <c r="F4" s="336" t="str">
        <f>底稿目录!A7</f>
        <v>复核日期：</v>
      </c>
      <c r="H4" s="7" t="s">
        <v>60</v>
      </c>
      <c r="I4" s="9"/>
      <c r="J4" s="9"/>
      <c r="K4" s="9"/>
      <c r="L4" s="344"/>
    </row>
    <row r="5" s="336" customFormat="1" ht="59" customHeight="1" spans="1:17">
      <c r="A5" s="512" t="s">
        <v>357</v>
      </c>
      <c r="L5" s="344"/>
    </row>
    <row r="6" ht="77" customHeight="1" spans="1:17">
      <c r="A6" s="512" t="s">
        <v>358</v>
      </c>
      <c r="B6" s="512"/>
      <c r="C6" s="512"/>
      <c r="D6" s="512"/>
      <c r="E6" s="512"/>
      <c r="F6" s="512"/>
      <c r="G6" s="512"/>
      <c r="H6" s="512"/>
      <c r="I6" s="512"/>
      <c r="J6" s="512"/>
      <c r="K6" s="512"/>
      <c r="L6" s="344"/>
    </row>
    <row r="7" customHeight="1" spans="1:17">
      <c r="A7" s="513" t="s">
        <v>359</v>
      </c>
      <c r="B7" s="348"/>
      <c r="C7" s="348"/>
      <c r="D7" s="348"/>
      <c r="E7" s="348"/>
      <c r="G7" s="362"/>
      <c r="H7" s="348"/>
      <c r="I7" s="348"/>
      <c r="J7" s="348"/>
      <c r="K7" s="348"/>
      <c r="L7" s="344"/>
    </row>
    <row r="8" ht="33.6" customHeight="1" spans="1:17">
      <c r="A8" s="363" t="s">
        <v>195</v>
      </c>
      <c r="B8" s="363" t="s">
        <v>360</v>
      </c>
      <c r="C8" s="363" t="s">
        <v>361</v>
      </c>
      <c r="D8" s="364" t="s">
        <v>362</v>
      </c>
      <c r="E8" s="363" t="s">
        <v>363</v>
      </c>
      <c r="F8" s="363" t="s">
        <v>364</v>
      </c>
      <c r="G8" s="364" t="s">
        <v>365</v>
      </c>
      <c r="H8" s="364" t="s">
        <v>366</v>
      </c>
      <c r="I8" s="363" t="s">
        <v>367</v>
      </c>
      <c r="J8" s="514" t="s">
        <v>368</v>
      </c>
      <c r="K8" s="515" t="s">
        <v>369</v>
      </c>
      <c r="L8" s="516" t="s">
        <v>370</v>
      </c>
      <c r="M8" s="517" t="s">
        <v>371</v>
      </c>
      <c r="N8" s="518" t="s">
        <v>372</v>
      </c>
      <c r="Q8" s="517" t="s">
        <v>373</v>
      </c>
    </row>
    <row r="9" customHeight="1" spans="1:17">
      <c r="A9" s="365" t="s">
        <v>374</v>
      </c>
      <c r="B9" s="519">
        <f>'租赁期的确定H8-5'!C22</f>
        <v>44197</v>
      </c>
      <c r="C9" s="366">
        <v>47118</v>
      </c>
      <c r="D9" s="356">
        <f>2</f>
        <v>2</v>
      </c>
      <c r="E9" s="520">
        <f>(YEAR(C9)-YEAR(B9))+D9+(MONTH(C9)-MONTH(B9)+1)/12</f>
        <v>10</v>
      </c>
      <c r="F9" s="521">
        <f>DATE(YEAR(C9)+D9,MONTH(C9),DAY(C9))</f>
        <v>47848</v>
      </c>
      <c r="G9" s="367">
        <v>0.05</v>
      </c>
      <c r="H9" s="367">
        <f>G9</f>
        <v>0.05</v>
      </c>
      <c r="I9" s="368">
        <v>10</v>
      </c>
      <c r="J9" s="522">
        <v>0.25</v>
      </c>
      <c r="K9" s="523">
        <v>50000</v>
      </c>
      <c r="L9" s="524">
        <f>'租赁期的确定H8-5'!I22</f>
        <v>10</v>
      </c>
      <c r="M9" s="457">
        <v>15000</v>
      </c>
      <c r="N9" s="439" t="str">
        <f>IF(OR($L$9="",$L$9&lt;1),"待填期数",IF(ABS(INDEX($F$39:$F$50,$L$9))&lt;1,"✓负债期末≈0","×查负债摊销"))</f>
        <v>✓负债期末≈0</v>
      </c>
      <c r="O9" s="439" t="str">
        <f>IF(OR($L$9="",$L$9&lt;1),"待填期数",IF(ABS(INDEX($I$39:$I$50,MIN($L$9,$I$9)))&lt;1,"✓折旧折尽","×查折旧/寿命"))</f>
        <v>✓折旧折尽</v>
      </c>
      <c r="P9" s="439" t="str">
        <f>IF(ABS($B$16-$C$16)&lt;0.01,"✓计算区借贷平衡","×计算区不平衡")</f>
        <v>✓计算区借贷平衡</v>
      </c>
      <c r="Q9" s="457" t="s">
        <v>375</v>
      </c>
    </row>
    <row r="10" s="336" customFormat="1" customHeight="1" spans="1:17">
      <c r="A10" s="525" t="s">
        <v>376</v>
      </c>
      <c r="B10" s="526"/>
      <c r="C10" s="526"/>
      <c r="D10" s="526"/>
      <c r="E10" s="526"/>
      <c r="F10" s="526"/>
      <c r="G10" s="526"/>
      <c r="H10" s="526"/>
      <c r="I10" s="526"/>
      <c r="J10" s="526"/>
      <c r="K10" s="526"/>
      <c r="L10" s="526"/>
      <c r="M10" s="526"/>
    </row>
    <row r="11" customHeight="1" spans="1:17">
      <c r="A11" s="426" t="s">
        <v>377</v>
      </c>
      <c r="B11" s="119"/>
      <c r="C11" s="119"/>
      <c r="D11" s="119"/>
      <c r="E11" s="119"/>
      <c r="F11" s="119"/>
      <c r="G11" s="137"/>
      <c r="H11" s="527"/>
      <c r="I11" s="527"/>
      <c r="J11" s="527"/>
      <c r="K11" s="527"/>
      <c r="L11" s="344"/>
    </row>
    <row r="12" customHeight="1" spans="1:17">
      <c r="A12" s="429"/>
      <c r="B12" s="430" t="s">
        <v>378</v>
      </c>
      <c r="C12" s="430" t="s">
        <v>379</v>
      </c>
      <c r="D12" s="430"/>
      <c r="E12" s="431"/>
      <c r="F12" s="432" t="s">
        <v>378</v>
      </c>
      <c r="G12" s="433" t="s">
        <v>379</v>
      </c>
      <c r="H12" s="527"/>
      <c r="I12" s="527"/>
      <c r="J12" s="527"/>
      <c r="K12" s="527"/>
      <c r="L12" s="344"/>
    </row>
    <row r="13" customHeight="1" spans="1:17">
      <c r="A13" s="436" t="s">
        <v>380</v>
      </c>
      <c r="B13" s="378">
        <f>I34</f>
        <v>420391.083782203</v>
      </c>
      <c r="C13" s="381"/>
      <c r="D13" s="378"/>
      <c r="E13" s="437" t="s">
        <v>381</v>
      </c>
      <c r="F13" s="378">
        <f>J39</f>
        <v>93290.1594928282</v>
      </c>
      <c r="G13" s="378"/>
      <c r="H13" s="527"/>
      <c r="I13" s="527"/>
      <c r="J13" s="527"/>
      <c r="K13" s="527"/>
      <c r="L13" s="344"/>
    </row>
    <row r="14" customHeight="1" spans="1:17">
      <c r="A14" s="441" t="s">
        <v>382</v>
      </c>
      <c r="B14" s="381"/>
      <c r="C14" s="378">
        <f>F34</f>
        <v>355391.083782203</v>
      </c>
      <c r="D14" s="381"/>
      <c r="E14" s="437" t="s">
        <v>383</v>
      </c>
      <c r="F14" s="378"/>
      <c r="G14" s="378">
        <f>K39</f>
        <v>94587.9938509956</v>
      </c>
      <c r="H14" s="527"/>
      <c r="I14" s="527"/>
      <c r="J14" s="527"/>
      <c r="K14" s="527"/>
      <c r="L14" s="344"/>
    </row>
    <row r="15" customHeight="1" spans="1:17">
      <c r="A15" s="427" t="s">
        <v>384</v>
      </c>
      <c r="B15" s="381"/>
      <c r="C15" s="378">
        <f>H34+G34</f>
        <v>65000</v>
      </c>
      <c r="D15" s="381"/>
      <c r="E15" s="437" t="s">
        <v>385</v>
      </c>
      <c r="F15" s="378">
        <f>G14-F13</f>
        <v>1297.8343581674</v>
      </c>
      <c r="G15" s="378"/>
      <c r="H15" s="527"/>
      <c r="I15" s="527"/>
      <c r="J15" s="527"/>
      <c r="K15" s="527"/>
      <c r="L15" s="344"/>
    </row>
    <row r="16" customHeight="1" spans="1:17">
      <c r="A16" s="444"/>
      <c r="B16" s="445">
        <f>SUM(B13:B15)</f>
        <v>420391.083782203</v>
      </c>
      <c r="C16" s="445">
        <f>SUM(C13:C15)</f>
        <v>420391.083782203</v>
      </c>
      <c r="D16" s="445"/>
      <c r="E16" s="378"/>
      <c r="F16" s="445"/>
      <c r="G16" s="393"/>
      <c r="H16" s="527"/>
      <c r="I16" s="527"/>
      <c r="J16" s="527"/>
      <c r="K16" s="527"/>
      <c r="L16" s="344"/>
    </row>
    <row r="17" customHeight="1" spans="1:13">
      <c r="A17" s="528"/>
      <c r="B17" s="529"/>
      <c r="C17" s="530"/>
      <c r="D17" s="530"/>
      <c r="E17" s="530"/>
      <c r="F17" s="531"/>
      <c r="G17" s="530"/>
      <c r="H17" s="527"/>
      <c r="I17" s="527"/>
      <c r="J17" s="527"/>
      <c r="K17" s="527"/>
      <c r="L17" s="344"/>
    </row>
    <row r="18" customHeight="1" spans="1:13">
      <c r="A18" s="513" t="s">
        <v>386</v>
      </c>
      <c r="B18" s="348"/>
      <c r="C18" s="348"/>
      <c r="D18" s="348"/>
      <c r="E18" s="348"/>
      <c r="F18" s="348"/>
      <c r="G18" s="348"/>
      <c r="H18" s="348"/>
      <c r="I18" s="348"/>
      <c r="J18" s="348"/>
      <c r="K18" s="348"/>
      <c r="L18" s="375"/>
    </row>
    <row r="19" ht="28.2" customHeight="1" spans="1:13">
      <c r="A19" s="532" t="s">
        <v>387</v>
      </c>
      <c r="B19" s="532" t="s">
        <v>388</v>
      </c>
      <c r="C19" s="532" t="s">
        <v>389</v>
      </c>
      <c r="D19" s="532" t="s">
        <v>390</v>
      </c>
      <c r="E19" s="532" t="s">
        <v>391</v>
      </c>
      <c r="F19" s="532" t="s">
        <v>392</v>
      </c>
      <c r="G19" s="532" t="s">
        <v>393</v>
      </c>
      <c r="H19" s="532" t="s">
        <v>371</v>
      </c>
      <c r="I19" s="532" t="s">
        <v>394</v>
      </c>
      <c r="J19" s="533"/>
      <c r="K19" s="533"/>
      <c r="L19" s="534" t="s">
        <v>395</v>
      </c>
    </row>
    <row r="20" customHeight="1" spans="1:13">
      <c r="A20" s="535">
        <f>IF($L$9&gt;0,$B$9,"")</f>
        <v>44197</v>
      </c>
      <c r="B20" s="536">
        <f>IF($L$9&gt;0,$K$9,0)</f>
        <v>50000</v>
      </c>
      <c r="C20" s="536">
        <f>IF(OR($L$9&lt;=0,D20="",AND($Q$9&lt;&gt;"期末",D20=0)),0,B20)</f>
        <v>0</v>
      </c>
      <c r="D20" s="358">
        <f>IF($L$9&gt;0,IF($Q$9="期末",0+1,0),"")</f>
        <v>0</v>
      </c>
      <c r="E20" s="537">
        <f>IF($L$9&gt;0,1/(1+$H$9)^D20,"")</f>
        <v>1</v>
      </c>
      <c r="F20" s="538">
        <f>IF($L$9&gt;0,C20*E20,0)</f>
        <v>0</v>
      </c>
      <c r="G20" s="539">
        <f>IF(AND($L$9&gt;0,$Q$9&lt;&gt;"期末",D20=0),B20,0)</f>
        <v>50000</v>
      </c>
      <c r="H20" s="536">
        <f>$M$9</f>
        <v>15000</v>
      </c>
      <c r="I20" s="381"/>
      <c r="J20" s="540"/>
      <c r="K20" s="540"/>
      <c r="L20" s="375"/>
    </row>
    <row r="21" customHeight="1" spans="1:13">
      <c r="A21" s="535">
        <f>IF($L$9&gt;1,DATE(YEAR(A20)+1,MONTH(A20),DAY(A20)),"")</f>
        <v>44562</v>
      </c>
      <c r="B21" s="536">
        <f>IF($L$9&gt;1,$K$9,0)</f>
        <v>50000</v>
      </c>
      <c r="C21" s="536">
        <f>IF(OR($L$9&lt;=1,D21="",AND($Q$9&lt;&gt;"期末",D21=0)),0,B21)</f>
        <v>50000</v>
      </c>
      <c r="D21" s="358">
        <f>IF($L$9&gt;1,IF($Q$9="期末",1+1,1),"")</f>
        <v>1</v>
      </c>
      <c r="E21" s="537">
        <f>IF($L$9&gt;1,1/(1+$H$9)^D21,"")</f>
        <v>0.952380952380952</v>
      </c>
      <c r="F21" s="538">
        <f>IF($L$9&gt;1,C21*E21,0)</f>
        <v>47619.0476190476</v>
      </c>
      <c r="G21" s="541">
        <f>IF(AND($L$9&gt;1,$Q$9&lt;&gt;"期末",D21=0),B21,0)</f>
        <v>0</v>
      </c>
      <c r="H21" s="542">
        <v>0</v>
      </c>
      <c r="I21" s="381"/>
      <c r="J21" s="540"/>
      <c r="K21" s="540"/>
      <c r="L21" s="375"/>
    </row>
    <row r="22" customHeight="1" spans="1:13">
      <c r="A22" s="535">
        <f>IF($L$9&gt;2,DATE(YEAR(A21)+1,MONTH(A21),DAY(A21)),"")</f>
        <v>44927</v>
      </c>
      <c r="B22" s="536">
        <f>IF($L$9&gt;2,$K$9,0)</f>
        <v>50000</v>
      </c>
      <c r="C22" s="536">
        <f>IF(OR($L$9&lt;=2,D22="",AND($Q$9&lt;&gt;"期末",D22=0)),0,B22)</f>
        <v>50000</v>
      </c>
      <c r="D22" s="358">
        <f>IF($L$9&gt;2,IF($Q$9="期末",2+1,2),"")</f>
        <v>2</v>
      </c>
      <c r="E22" s="537">
        <f>IF($L$9&gt;2,1/(1+$H$9)^D22,"")</f>
        <v>0.90702947845805</v>
      </c>
      <c r="F22" s="538">
        <f>IF($L$9&gt;2,C22*E22,0)</f>
        <v>45351.4739229025</v>
      </c>
      <c r="G22" s="541">
        <f>IF(AND($L$9&gt;2,$Q$9&lt;&gt;"期末",D22=0),B22,0)</f>
        <v>0</v>
      </c>
      <c r="H22" s="542">
        <v>0</v>
      </c>
      <c r="I22" s="381"/>
      <c r="J22" s="540"/>
      <c r="K22" s="540"/>
      <c r="L22" s="375"/>
    </row>
    <row r="23" customHeight="1" spans="1:13">
      <c r="A23" s="535">
        <f>IF($L$9&gt;3,DATE(YEAR(A22)+1,MONTH(A22),DAY(A22)),"")</f>
        <v>45292</v>
      </c>
      <c r="B23" s="536">
        <f>IF($L$9&gt;3,$K$9,0)</f>
        <v>50000</v>
      </c>
      <c r="C23" s="536">
        <f>IF(OR($L$9&lt;=3,D23="",AND($Q$9&lt;&gt;"期末",D23=0)),0,B23)</f>
        <v>50000</v>
      </c>
      <c r="D23" s="358">
        <f>IF($L$9&gt;3,IF($Q$9="期末",3+1,3),"")</f>
        <v>3</v>
      </c>
      <c r="E23" s="537">
        <f>IF($L$9&gt;3,1/(1+$H$9)^D23,"")</f>
        <v>0.863837598531476</v>
      </c>
      <c r="F23" s="538">
        <f>IF($L$9&gt;3,C23*E23,0)</f>
        <v>43191.8799265738</v>
      </c>
      <c r="G23" s="541">
        <f>IF(AND($L$9&gt;3,$Q$9&lt;&gt;"期末",D23=0),B23,0)</f>
        <v>0</v>
      </c>
      <c r="H23" s="542">
        <v>0</v>
      </c>
      <c r="I23" s="381"/>
      <c r="J23" s="540"/>
      <c r="K23" s="540"/>
      <c r="L23" s="375"/>
    </row>
    <row r="24" customHeight="1" spans="1:13">
      <c r="A24" s="535">
        <f>IF($L$9&gt;4,DATE(YEAR(A23)+1,MONTH(A23),DAY(A23)),"")</f>
        <v>45658</v>
      </c>
      <c r="B24" s="536">
        <f>IF($L$9&gt;4,$K$9,0)</f>
        <v>50000</v>
      </c>
      <c r="C24" s="536">
        <f>IF(OR($L$9&lt;=4,D24="",AND($Q$9&lt;&gt;"期末",D24=0)),0,B24)</f>
        <v>50000</v>
      </c>
      <c r="D24" s="358">
        <f>IF($L$9&gt;4,IF($Q$9="期末",4+1,4),"")</f>
        <v>4</v>
      </c>
      <c r="E24" s="537">
        <f>IF($L$9&gt;4,1/(1+$H$9)^D24,"")</f>
        <v>0.822702474791882</v>
      </c>
      <c r="F24" s="538">
        <f>IF($L$9&gt;4,C24*E24,0)</f>
        <v>41135.1237395941</v>
      </c>
      <c r="G24" s="541">
        <f>IF(AND($L$9&gt;4,$Q$9&lt;&gt;"期末",D24=0),B24,0)</f>
        <v>0</v>
      </c>
      <c r="H24" s="542">
        <v>0</v>
      </c>
      <c r="I24" s="381"/>
      <c r="J24" s="540"/>
      <c r="K24" s="540"/>
      <c r="L24" s="375"/>
    </row>
    <row r="25" customHeight="1" spans="1:13">
      <c r="A25" s="535">
        <f>IF($L$9&gt;5,DATE(YEAR(A24)+1,MONTH(A24),DAY(A24)),"")</f>
        <v>46023</v>
      </c>
      <c r="B25" s="536">
        <f>IF($L$9&gt;5,$K$9,0)</f>
        <v>50000</v>
      </c>
      <c r="C25" s="536">
        <f>IF(OR($L$9&lt;=5,D25="",AND($Q$9&lt;&gt;"期末",D25=0)),0,B25)</f>
        <v>50000</v>
      </c>
      <c r="D25" s="358">
        <f>IF($L$9&gt;5,IF($Q$9="期末",5+1,5),"")</f>
        <v>5</v>
      </c>
      <c r="E25" s="537">
        <f>IF($L$9&gt;5,1/(1+$H$9)^D25,"")</f>
        <v>0.783526166468459</v>
      </c>
      <c r="F25" s="538">
        <f>IF($L$9&gt;5,C25*E25,0)</f>
        <v>39176.3083234229</v>
      </c>
      <c r="G25" s="541">
        <f>IF(AND($L$9&gt;5,$Q$9&lt;&gt;"期末",D25=0),B25,0)</f>
        <v>0</v>
      </c>
      <c r="H25" s="542">
        <v>0</v>
      </c>
      <c r="I25" s="381"/>
      <c r="J25" s="540"/>
      <c r="K25" s="540"/>
      <c r="L25" s="383"/>
      <c r="M25" s="384"/>
    </row>
    <row r="26" customHeight="1" spans="1:13">
      <c r="A26" s="535">
        <f>IF($L$9&gt;6,DATE(YEAR(A25)+1,MONTH(A25),DAY(A25)),"")</f>
        <v>46388</v>
      </c>
      <c r="B26" s="536">
        <f>IF($L$9&gt;6,$K$9,0)</f>
        <v>50000</v>
      </c>
      <c r="C26" s="536">
        <f>IF(OR($L$9&lt;=6,D26="",AND($Q$9&lt;&gt;"期末",D26=0)),0,B26)</f>
        <v>50000</v>
      </c>
      <c r="D26" s="358">
        <f>IF($L$9&gt;6,IF($Q$9="期末",6+1,6),"")</f>
        <v>6</v>
      </c>
      <c r="E26" s="537">
        <f>IF($L$9&gt;6,1/(1+$H$9)^D26,"")</f>
        <v>0.746215396636627</v>
      </c>
      <c r="F26" s="538">
        <f>IF($L$9&gt;6,C26*E26,0)</f>
        <v>37310.7698318314</v>
      </c>
      <c r="G26" s="541">
        <f>IF(AND($L$9&gt;6,$Q$9&lt;&gt;"期末",D26=0),B26,0)</f>
        <v>0</v>
      </c>
      <c r="H26" s="542">
        <v>0</v>
      </c>
      <c r="I26" s="381"/>
      <c r="J26" s="540"/>
      <c r="K26" s="540"/>
      <c r="L26" s="383"/>
      <c r="M26" s="384"/>
    </row>
    <row r="27" customHeight="1" spans="1:13">
      <c r="A27" s="535">
        <f>IF($L$9&gt;7,DATE(YEAR(A26)+1,MONTH(A26),DAY(A26)),"")</f>
        <v>46753</v>
      </c>
      <c r="B27" s="536">
        <f>IF($L$9&gt;7,$K$9,0)</f>
        <v>50000</v>
      </c>
      <c r="C27" s="536">
        <f>IF(OR($L$9&lt;=7,D27="",AND($Q$9&lt;&gt;"期末",D27=0)),0,B27)</f>
        <v>50000</v>
      </c>
      <c r="D27" s="358">
        <f>IF($L$9&gt;7,IF($Q$9="期末",7+1,7),"")</f>
        <v>7</v>
      </c>
      <c r="E27" s="537">
        <f>IF($L$9&gt;7,1/(1+$H$9)^D27,"")</f>
        <v>0.710681330130121</v>
      </c>
      <c r="F27" s="538">
        <f>IF($L$9&gt;7,C27*E27,0)</f>
        <v>35534.0665065061</v>
      </c>
      <c r="G27" s="541">
        <f>IF(AND($L$9&gt;7,$Q$9&lt;&gt;"期末",D27=0),B27,0)</f>
        <v>0</v>
      </c>
      <c r="H27" s="542">
        <v>0</v>
      </c>
      <c r="I27" s="381"/>
      <c r="J27" s="540"/>
      <c r="K27" s="540"/>
      <c r="L27" s="375"/>
    </row>
    <row r="28" customHeight="1" spans="1:13">
      <c r="A28" s="535">
        <f>IF($L$9&gt;8,DATE(YEAR(A27)+1,MONTH(A27),DAY(A27)),"")</f>
        <v>47119</v>
      </c>
      <c r="B28" s="536">
        <f>IF($L$9&gt;8,$K$9,0)</f>
        <v>50000</v>
      </c>
      <c r="C28" s="536">
        <f>IF(OR($L$9&lt;=8,D28="",AND($Q$9&lt;&gt;"期末",D28=0)),0,B28)</f>
        <v>50000</v>
      </c>
      <c r="D28" s="358">
        <f>IF($L$9&gt;8,IF($Q$9="期末",8+1,8),"")</f>
        <v>8</v>
      </c>
      <c r="E28" s="537">
        <f>IF($L$9&gt;8,1/(1+$H$9)^D28,"")</f>
        <v>0.676839362028687</v>
      </c>
      <c r="F28" s="538">
        <f>IF($L$9&gt;8,C28*E28,0)</f>
        <v>33841.9681014344</v>
      </c>
      <c r="G28" s="541">
        <f>IF(AND($L$9&gt;8,$Q$9&lt;&gt;"期末",D28=0),B28,0)</f>
        <v>0</v>
      </c>
      <c r="H28" s="542">
        <v>0</v>
      </c>
      <c r="I28" s="381"/>
      <c r="J28" s="540"/>
      <c r="K28" s="540"/>
      <c r="L28" s="375"/>
    </row>
    <row r="29" customHeight="1" spans="1:13">
      <c r="A29" s="535">
        <f>IF($L$9&gt;9,DATE(YEAR(A28)+1,MONTH(A28),DAY(A28)),"")</f>
        <v>47484</v>
      </c>
      <c r="B29" s="536">
        <f>IF($L$9&gt;9,$K$9,0)</f>
        <v>50000</v>
      </c>
      <c r="C29" s="536">
        <f>IF(OR($L$9&lt;=9,D29="",AND($Q$9&lt;&gt;"期末",D29=0)),0,B29)</f>
        <v>50000</v>
      </c>
      <c r="D29" s="358">
        <f>IF($L$9&gt;9,IF($Q$9="期末",9+1,9),"")</f>
        <v>9</v>
      </c>
      <c r="E29" s="537">
        <f>IF($L$9&gt;9,1/(1+$H$9)^D29,"")</f>
        <v>0.644608916217797</v>
      </c>
      <c r="F29" s="538">
        <f>IF($L$9&gt;9,C29*E29,0)</f>
        <v>32230.4458108899</v>
      </c>
      <c r="G29" s="541">
        <f>IF(AND($L$9&gt;9,$Q$9&lt;&gt;"期末",D29=0),B29,0)</f>
        <v>0</v>
      </c>
      <c r="H29" s="542">
        <v>0</v>
      </c>
      <c r="I29" s="381"/>
      <c r="J29" s="540"/>
      <c r="K29" s="540"/>
      <c r="L29" s="375"/>
    </row>
    <row r="30" customHeight="1" spans="1:13">
      <c r="A30" s="543" t="str">
        <f>IF($L$9&gt;26,DATE(YEAR(#REF!)+1,MONTH(#REF!),DAY(#REF!)),"")</f>
        <v/>
      </c>
      <c r="B30" s="544">
        <f>IF($L$9&gt;26,$K$9,0)</f>
        <v>0</v>
      </c>
      <c r="C30" s="544">
        <f>IF(OR($L$9&lt;=26,D30="",AND($Q$9&lt;&gt;"期末",D30=0)),0,B30)</f>
        <v>0</v>
      </c>
      <c r="D30" s="545" t="str">
        <f>IF($L$9&gt;26,IF($Q$9="期末",26+1,26),"")</f>
        <v/>
      </c>
      <c r="E30" s="546" t="str">
        <f>IF($L$9&gt;26,1/(1+$H$9)^D30,"")</f>
        <v/>
      </c>
      <c r="F30" s="544">
        <f>IF($L$9&gt;26,C30*E30,0)</f>
        <v>0</v>
      </c>
      <c r="G30" s="544">
        <f>IF(AND($L$9&gt;26,$Q$9&lt;&gt;"期末",D30=0),B30,0)</f>
        <v>0</v>
      </c>
      <c r="H30" s="544">
        <v>0</v>
      </c>
      <c r="I30" s="547"/>
      <c r="J30" s="547"/>
      <c r="K30" s="547"/>
      <c r="L30" s="548"/>
    </row>
    <row r="31" customHeight="1" spans="1:13">
      <c r="A31" s="543" t="str">
        <f>IF($L$9&gt;27,DATE(YEAR(A30)+1,MONTH(A30),DAY(A30)),"")</f>
        <v/>
      </c>
      <c r="B31" s="544">
        <f>IF($L$9&gt;27,$K$9,0)</f>
        <v>0</v>
      </c>
      <c r="C31" s="544">
        <f>IF(OR($L$9&lt;=27,D31="",AND($Q$9&lt;&gt;"期末",D31=0)),0,B31)</f>
        <v>0</v>
      </c>
      <c r="D31" s="545" t="str">
        <f>IF($L$9&gt;27,IF($Q$9="期末",27+1,27),"")</f>
        <v/>
      </c>
      <c r="E31" s="546" t="str">
        <f>IF($L$9&gt;27,1/(1+$H$9)^D31,"")</f>
        <v/>
      </c>
      <c r="F31" s="544">
        <f>IF($L$9&gt;27,C31*E31,0)</f>
        <v>0</v>
      </c>
      <c r="G31" s="544">
        <f>IF(AND($L$9&gt;27,$Q$9&lt;&gt;"期末",D31=0),B31,0)</f>
        <v>0</v>
      </c>
      <c r="H31" s="544">
        <v>0</v>
      </c>
      <c r="I31" s="547"/>
      <c r="J31" s="547"/>
      <c r="K31" s="547"/>
      <c r="L31" s="548"/>
    </row>
    <row r="32" customHeight="1" spans="1:13">
      <c r="A32" s="543" t="str">
        <f>IF($L$9&gt;28,DATE(YEAR(A31)+1,MONTH(A31),DAY(A31)),"")</f>
        <v/>
      </c>
      <c r="B32" s="544">
        <f>IF($L$9&gt;28,$K$9,0)</f>
        <v>0</v>
      </c>
      <c r="C32" s="544">
        <f>IF(OR($L$9&lt;=28,D32="",AND($Q$9&lt;&gt;"期末",D32=0)),0,B32)</f>
        <v>0</v>
      </c>
      <c r="D32" s="545" t="str">
        <f>IF($L$9&gt;28,IF($Q$9="期末",28+1,28),"")</f>
        <v/>
      </c>
      <c r="E32" s="546" t="str">
        <f>IF($L$9&gt;28,1/(1+$H$9)^D32,"")</f>
        <v/>
      </c>
      <c r="F32" s="544">
        <f>IF($L$9&gt;28,C32*E32,0)</f>
        <v>0</v>
      </c>
      <c r="G32" s="544">
        <f>IF(AND($L$9&gt;28,$Q$9&lt;&gt;"期末",D32=0),B32,0)</f>
        <v>0</v>
      </c>
      <c r="H32" s="544">
        <v>0</v>
      </c>
      <c r="I32" s="547"/>
      <c r="J32" s="547"/>
      <c r="K32" s="547"/>
      <c r="L32" s="548"/>
    </row>
    <row r="33" customHeight="1" spans="1:12">
      <c r="A33" s="543" t="str">
        <f>IF($L$9&gt;29,DATE(YEAR(A32)+1,MONTH(A32),DAY(A32)),"")</f>
        <v/>
      </c>
      <c r="B33" s="544">
        <f>IF($L$9&gt;29,$K$9,0)</f>
        <v>0</v>
      </c>
      <c r="C33" s="544">
        <f>IF(OR($L$9&lt;=29,D33="",AND($Q$9&lt;&gt;"期末",D33=0)),0,B33)</f>
        <v>0</v>
      </c>
      <c r="D33" s="545" t="str">
        <f>IF($L$9&gt;29,IF($Q$9="期末",29+1,29),"")</f>
        <v/>
      </c>
      <c r="E33" s="546" t="str">
        <f>IF($L$9&gt;29,1/(1+$H$9)^D33,"")</f>
        <v/>
      </c>
      <c r="F33" s="544">
        <f>IF($L$9&gt;29,C33*E33,0)</f>
        <v>0</v>
      </c>
      <c r="G33" s="544">
        <f>IF(AND($L$9&gt;29,$Q$9&lt;&gt;"期末",D33=0),B33,0)</f>
        <v>0</v>
      </c>
      <c r="H33" s="544">
        <v>0</v>
      </c>
      <c r="I33" s="547"/>
      <c r="J33" s="547"/>
      <c r="K33" s="547"/>
      <c r="L33" s="548"/>
    </row>
    <row r="34" customHeight="1" spans="1:12">
      <c r="A34" s="543" t="s">
        <v>139</v>
      </c>
      <c r="B34" s="544">
        <f>SUM(B20:B33)</f>
        <v>500000</v>
      </c>
      <c r="C34" s="544">
        <f>SUM(C20:C33)</f>
        <v>450000</v>
      </c>
      <c r="D34" s="545"/>
      <c r="E34" s="546"/>
      <c r="F34" s="544">
        <f>SUM(F20:F33)</f>
        <v>355391.083782203</v>
      </c>
      <c r="G34" s="544">
        <f>SUM(G20:G33)</f>
        <v>50000</v>
      </c>
      <c r="H34" s="544">
        <f>SUM(H20:H33)</f>
        <v>15000</v>
      </c>
      <c r="I34" s="547">
        <f>F34+G34+H34</f>
        <v>420391.083782203</v>
      </c>
      <c r="J34" s="547"/>
      <c r="K34" s="547"/>
      <c r="L34" s="548"/>
    </row>
    <row r="35"/>
    <row r="36" s="337" customFormat="1" customHeight="1" spans="1:12">
      <c r="A36" s="549" t="s">
        <v>396</v>
      </c>
      <c r="L36" s="338"/>
    </row>
    <row r="37" s="337" customFormat="1" customHeight="1" spans="1:12">
      <c r="A37" s="550" t="s">
        <v>397</v>
      </c>
      <c r="B37" s="517" t="s">
        <v>382</v>
      </c>
      <c r="G37" s="517" t="s">
        <v>380</v>
      </c>
      <c r="J37" s="517" t="s">
        <v>398</v>
      </c>
      <c r="K37" s="517" t="s">
        <v>399</v>
      </c>
      <c r="L37" s="338"/>
    </row>
    <row r="38" s="337" customFormat="1" customHeight="1" spans="1:12">
      <c r="B38" s="551" t="s">
        <v>175</v>
      </c>
      <c r="C38" s="551" t="s">
        <v>400</v>
      </c>
      <c r="D38" s="551" t="s">
        <v>401</v>
      </c>
      <c r="E38" s="551" t="s">
        <v>402</v>
      </c>
      <c r="F38" s="551" t="s">
        <v>178</v>
      </c>
      <c r="G38" s="551" t="s">
        <v>175</v>
      </c>
      <c r="H38" s="551" t="s">
        <v>403</v>
      </c>
      <c r="I38" s="551" t="s">
        <v>178</v>
      </c>
      <c r="L38" s="338"/>
    </row>
    <row r="39" s="508" customFormat="1" customHeight="1" spans="1:12">
      <c r="A39" s="552" t="str">
        <f>IF($L$9&gt;0,TEXT(YEAR($B$9)+0,"0")&amp;"年度","")</f>
        <v>2021年度</v>
      </c>
      <c r="B39" s="544">
        <f>IF($L$9&gt;0,F34,0)</f>
        <v>355391.083782203</v>
      </c>
      <c r="C39" s="544">
        <f>IF($L$9&gt;0,C20,0)</f>
        <v>0</v>
      </c>
      <c r="D39" s="553">
        <f>IF($L$9&gt;0,MONTH($B$9),"")</f>
        <v>1</v>
      </c>
      <c r="E39" s="554">
        <f>IF($L$9&gt;0,IF($Q$9="期末",B39*$H$9,(B39-C39)*$H$9),0)</f>
        <v>17769.5541891101</v>
      </c>
      <c r="F39" s="555">
        <f>IF($L$9&gt;0,IF($Q$9="期末",B39+E39-C39,B39-C39+E39),0)</f>
        <v>373160.637971313</v>
      </c>
      <c r="G39" s="556">
        <f>IF($L$9&gt;0,I34,0)</f>
        <v>420391.083782203</v>
      </c>
      <c r="H39" s="557">
        <f>IF(AND($L$9&gt;0,0&lt;MIN($L$9,$I$9)),$I$34/MIN($L$9,$I$9),0)</f>
        <v>42039.1083782203</v>
      </c>
      <c r="I39" s="286">
        <f>IF($L$9&gt;0,G39-H39,0)</f>
        <v>378351.975403982</v>
      </c>
      <c r="J39" s="264">
        <f>IF($L$9&gt;0,F39*$J$9,0)</f>
        <v>93290.1594928282</v>
      </c>
      <c r="K39" s="264">
        <f>IF($L$9&gt;0,I39*$J$9,0)</f>
        <v>94587.9938509956</v>
      </c>
      <c r="L39" s="558"/>
    </row>
    <row r="40" s="509" customFormat="1" customHeight="1" spans="1:12">
      <c r="A40" s="552" t="str">
        <f>IF($L$9&gt;1,TEXT(YEAR($B$9)+1,"0")&amp;"年度","")</f>
        <v>2022年度</v>
      </c>
      <c r="B40" s="544">
        <f>IF($L$9&gt;1,B39-C39+E39,0)</f>
        <v>373160.637971313</v>
      </c>
      <c r="C40" s="544">
        <f>IF($L$9&gt;1,C21,0)</f>
        <v>50000</v>
      </c>
      <c r="D40" s="553">
        <f>IF($L$9&gt;1,MONTH($B$9),"")</f>
        <v>1</v>
      </c>
      <c r="E40" s="554">
        <f>IF($L$9&gt;1,IF($Q$9="期末",B40*$H$9,(B40-C40)*$H$9),0)</f>
        <v>16158.0318985656</v>
      </c>
      <c r="F40" s="555">
        <f>IF($L$9&gt;1,IF($Q$9="期末",B40+E40-C40,B40-C40+E40),0)</f>
        <v>339318.669869878</v>
      </c>
      <c r="G40" s="556">
        <f>IF($L$9&gt;1,I39,0)</f>
        <v>378351.975403982</v>
      </c>
      <c r="H40" s="557">
        <f>IF(AND($L$9&gt;1,1&lt;MIN($L$9,$I$9)),$I$34/MIN($L$9,$I$9),0)</f>
        <v>42039.1083782203</v>
      </c>
      <c r="I40" s="286">
        <f>IF($L$9&gt;1,G40-H40,0)</f>
        <v>336312.867025762</v>
      </c>
      <c r="J40" s="264">
        <f>IF($L$9&gt;1,F40*$J$9,0)</f>
        <v>84829.6674674696</v>
      </c>
      <c r="K40" s="264">
        <f>IF($L$9&gt;1,I40*$J$9,0)</f>
        <v>84078.2167564405</v>
      </c>
      <c r="L40" s="558"/>
    </row>
    <row r="41" s="509" customFormat="1" customHeight="1" spans="1:12">
      <c r="A41" s="552" t="str">
        <f>IF($L$9&gt;2,TEXT(YEAR($B$9)+2,"0")&amp;"年度","")</f>
        <v>2023年度</v>
      </c>
      <c r="B41" s="544">
        <f>IF($L$9&gt;2,B40-C40+E40,0)</f>
        <v>339318.669869878</v>
      </c>
      <c r="C41" s="544">
        <f>IF($L$9&gt;2,C22,0)</f>
        <v>50000</v>
      </c>
      <c r="D41" s="553">
        <f>IF($L$9&gt;2,MONTH($B$9),"")</f>
        <v>1</v>
      </c>
      <c r="E41" s="554">
        <f>IF($L$9&gt;2,IF($Q$9="期末",B41*$H$9,(B41-C41)*$H$9),0)</f>
        <v>14465.9334934939</v>
      </c>
      <c r="F41" s="555">
        <f>IF($L$9&gt;2,IF($Q$9="期末",B41+E41-C41,B41-C41+E41),0)</f>
        <v>303784.603363372</v>
      </c>
      <c r="G41" s="556">
        <f>IF($L$9&gt;2,I40,0)</f>
        <v>336312.867025762</v>
      </c>
      <c r="H41" s="557">
        <f>IF(AND($L$9&gt;2,2&lt;MIN($L$9,$I$9)),$I$34/MIN($L$9,$I$9),0)</f>
        <v>42039.1083782203</v>
      </c>
      <c r="I41" s="286">
        <f>IF($L$9&gt;2,G41-H41,0)</f>
        <v>294273.758647542</v>
      </c>
      <c r="J41" s="264">
        <f>IF($L$9&gt;2,F41*$J$9,0)</f>
        <v>75946.1508408431</v>
      </c>
      <c r="K41" s="264">
        <f>IF($L$9&gt;2,I41*$J$9,0)</f>
        <v>73568.4396618855</v>
      </c>
      <c r="L41" s="558"/>
    </row>
    <row r="42" s="509" customFormat="1" customHeight="1" spans="1:12">
      <c r="A42" s="552" t="str">
        <f>IF($L$9&gt;3,TEXT(YEAR($B$9)+3,"0")&amp;"年度","")</f>
        <v>2024年度</v>
      </c>
      <c r="B42" s="544">
        <f>IF($L$9&gt;3,B41-C41+E41,0)</f>
        <v>303784.603363372</v>
      </c>
      <c r="C42" s="544">
        <f>IF($L$9&gt;3,C23,0)</f>
        <v>50000</v>
      </c>
      <c r="D42" s="553">
        <f>IF($L$9&gt;3,MONTH($B$9),"")</f>
        <v>1</v>
      </c>
      <c r="E42" s="554">
        <f>IF($L$9&gt;3,IF($Q$9="期末",B42*$H$9,(B42-C42)*$H$9),0)</f>
        <v>12689.2301681686</v>
      </c>
      <c r="F42" s="555">
        <f>IF($L$9&gt;3,IF($Q$9="期末",B42+E42-C42,B42-C42+E42),0)</f>
        <v>266473.833531541</v>
      </c>
      <c r="G42" s="556">
        <f>IF($L$9&gt;3,I41,0)</f>
        <v>294273.758647542</v>
      </c>
      <c r="H42" s="557">
        <f>IF(AND($L$9&gt;3,3&lt;MIN($L$9,$I$9)),$I$34/MIN($L$9,$I$9),0)</f>
        <v>42039.1083782203</v>
      </c>
      <c r="I42" s="286">
        <f>IF($L$9&gt;3,G42-H42,0)</f>
        <v>252234.650269322</v>
      </c>
      <c r="J42" s="264">
        <f>IF($L$9&gt;3,F42*$J$9,0)</f>
        <v>66618.4583828852</v>
      </c>
      <c r="K42" s="264">
        <f>IF($L$9&gt;3,I42*$J$9,0)</f>
        <v>63058.6625673304</v>
      </c>
      <c r="L42" s="558"/>
    </row>
    <row r="43" s="509" customFormat="1" customHeight="1" spans="1:12">
      <c r="A43" s="552" t="str">
        <f>IF($L$9&gt;4,TEXT(YEAR($B$9)+4,"0")&amp;"年度","")</f>
        <v>2025年度</v>
      </c>
      <c r="B43" s="544">
        <f>IF($L$9&gt;4,B42-C42+E42,0)</f>
        <v>266473.833531541</v>
      </c>
      <c r="C43" s="544">
        <f>IF($L$9&gt;4,C24,0)</f>
        <v>50000</v>
      </c>
      <c r="D43" s="553">
        <f>IF($L$9&gt;4,MONTH($B$9),"")</f>
        <v>1</v>
      </c>
      <c r="E43" s="554">
        <f>IF($L$9&gt;4,IF($Q$9="期末",B43*$H$9,(B43-C43)*$H$9),0)</f>
        <v>10823.691676577</v>
      </c>
      <c r="F43" s="555">
        <f>IF($L$9&gt;4,IF($Q$9="期末",B43+E43-C43,B43-C43+E43),0)</f>
        <v>227297.525208118</v>
      </c>
      <c r="G43" s="556">
        <f>IF($L$9&gt;4,I42,0)</f>
        <v>252234.650269322</v>
      </c>
      <c r="H43" s="557">
        <f>IF(AND($L$9&gt;4,4&lt;MIN($L$9,$I$9)),$I$34/MIN($L$9,$I$9),0)</f>
        <v>42039.1083782203</v>
      </c>
      <c r="I43" s="286">
        <f>IF($L$9&gt;4,G43-H43,0)</f>
        <v>210195.541891101</v>
      </c>
      <c r="J43" s="264">
        <f>IF($L$9&gt;4,F43*$J$9,0)</f>
        <v>56824.3813020295</v>
      </c>
      <c r="K43" s="264">
        <f>IF($L$9&gt;4,I43*$J$9,0)</f>
        <v>52548.8854727753</v>
      </c>
      <c r="L43" s="558"/>
    </row>
    <row r="44" s="509" customFormat="1" customHeight="1" spans="1:12">
      <c r="A44" s="552" t="str">
        <f>IF($L$9&gt;5,TEXT(YEAR($B$9)+5,"0")&amp;"年度","")</f>
        <v>2026年度</v>
      </c>
      <c r="B44" s="544">
        <f>IF($L$9&gt;5,B43-C43+E43,0)</f>
        <v>227297.525208118</v>
      </c>
      <c r="C44" s="544">
        <f>IF($L$9&gt;5,C25,0)</f>
        <v>50000</v>
      </c>
      <c r="D44" s="553">
        <f>IF($L$9&gt;5,MONTH($B$9),"")</f>
        <v>1</v>
      </c>
      <c r="E44" s="554">
        <f>IF($L$9&gt;5,IF($Q$9="期末",B44*$H$9,(B44-C44)*$H$9),0)</f>
        <v>8864.8762604059</v>
      </c>
      <c r="F44" s="555">
        <f>IF($L$9&gt;5,IF($Q$9="期末",B44+E44-C44,B44-C44+E44),0)</f>
        <v>186162.401468524</v>
      </c>
      <c r="G44" s="556">
        <f>IF($L$9&gt;5,I43,0)</f>
        <v>210195.541891101</v>
      </c>
      <c r="H44" s="557">
        <f>IF(AND($L$9&gt;5,5&lt;MIN($L$9,$I$9)),$I$34/MIN($L$9,$I$9),0)</f>
        <v>42039.1083782203</v>
      </c>
      <c r="I44" s="286">
        <f>IF($L$9&gt;5,G44-H44,0)</f>
        <v>168156.433512881</v>
      </c>
      <c r="J44" s="264">
        <f>IF($L$9&gt;5,F44*$J$9,0)</f>
        <v>46540.600367131</v>
      </c>
      <c r="K44" s="264">
        <f>IF($L$9&gt;5,I44*$J$9,0)</f>
        <v>42039.1083782203</v>
      </c>
      <c r="L44" s="558"/>
    </row>
    <row r="45" s="509" customFormat="1" customHeight="1" spans="1:12">
      <c r="A45" s="552" t="str">
        <f>IF($L$9&gt;6,TEXT(YEAR($B$9)+6,"0")&amp;"年度","")</f>
        <v>2027年度</v>
      </c>
      <c r="B45" s="544">
        <f>IF($L$9&gt;6,B44-C44+E44,0)</f>
        <v>186162.401468524</v>
      </c>
      <c r="C45" s="544">
        <f>IF($L$9&gt;6,C26,0)</f>
        <v>50000</v>
      </c>
      <c r="D45" s="553">
        <f>IF($L$9&gt;6,MONTH($B$9),"")</f>
        <v>1</v>
      </c>
      <c r="E45" s="554">
        <f>IF($L$9&gt;6,IF($Q$9="期末",B45*$H$9,(B45-C45)*$H$9),0)</f>
        <v>6808.12007342619</v>
      </c>
      <c r="F45" s="555">
        <f>IF($L$9&gt;6,IF($Q$9="期末",B45+E45-C45,B45-C45+E45),0)</f>
        <v>142970.52154195</v>
      </c>
      <c r="G45" s="556">
        <f>IF($L$9&gt;6,I44,0)</f>
        <v>168156.433512881</v>
      </c>
      <c r="H45" s="557">
        <f>IF(AND($L$9&gt;6,6&lt;MIN($L$9,$I$9)),$I$34/MIN($L$9,$I$9),0)</f>
        <v>42039.1083782203</v>
      </c>
      <c r="I45" s="286">
        <f>IF($L$9&gt;6,G45-H45,0)</f>
        <v>126117.325134661</v>
      </c>
      <c r="J45" s="264">
        <f>IF($L$9&gt;6,F45*$J$9,0)</f>
        <v>35742.6303854875</v>
      </c>
      <c r="K45" s="264">
        <f>IF($L$9&gt;6,I45*$J$9,0)</f>
        <v>31529.3312836652</v>
      </c>
      <c r="L45" s="558"/>
    </row>
    <row r="46" s="509" customFormat="1" customHeight="1" spans="1:12">
      <c r="A46" s="552" t="str">
        <f>IF($L$9&gt;7,TEXT(YEAR($B$9)+7,"0")&amp;"年度","")</f>
        <v>2028年度</v>
      </c>
      <c r="B46" s="544">
        <f>IF($L$9&gt;7,B45-C45+E45,0)</f>
        <v>142970.52154195</v>
      </c>
      <c r="C46" s="544">
        <f>IF($L$9&gt;7,C27,0)</f>
        <v>50000</v>
      </c>
      <c r="D46" s="553">
        <f>IF($L$9&gt;7,MONTH($B$9),"")</f>
        <v>1</v>
      </c>
      <c r="E46" s="554">
        <f>IF($L$9&gt;7,IF($Q$9="期末",B46*$H$9,(B46-C46)*$H$9),0)</f>
        <v>4648.5260770975</v>
      </c>
      <c r="F46" s="555">
        <f>IF($L$9&gt;7,IF($Q$9="期末",B46+E46-C46,B46-C46+E46),0)</f>
        <v>97619.0476190476</v>
      </c>
      <c r="G46" s="556">
        <f>IF($L$9&gt;7,I45,0)</f>
        <v>126117.325134661</v>
      </c>
      <c r="H46" s="557">
        <f>IF(AND($L$9&gt;7,7&lt;MIN($L$9,$I$9)),$I$34/MIN($L$9,$I$9),0)</f>
        <v>42039.1083782203</v>
      </c>
      <c r="I46" s="286">
        <f>IF($L$9&gt;7,G46-H46,0)</f>
        <v>84078.2167564406</v>
      </c>
      <c r="J46" s="264">
        <f>IF($L$9&gt;7,F46*$J$9,0)</f>
        <v>24404.7619047619</v>
      </c>
      <c r="K46" s="264">
        <f>IF($L$9&gt;7,I46*$J$9,0)</f>
        <v>21019.5541891101</v>
      </c>
      <c r="L46" s="558"/>
    </row>
    <row r="47" s="509" customFormat="1" customHeight="1" spans="1:12">
      <c r="A47" s="552" t="str">
        <f>IF($L$9&gt;8,TEXT(YEAR($B$9)+8,"0")&amp;"年度","")</f>
        <v>2029年度</v>
      </c>
      <c r="B47" s="544">
        <f>IF($L$9&gt;8,B46-C46+E46,0)</f>
        <v>97619.0476190476</v>
      </c>
      <c r="C47" s="544">
        <f>IF($L$9&gt;8,C28,0)</f>
        <v>50000</v>
      </c>
      <c r="D47" s="553">
        <f>IF($L$9&gt;8,MONTH($B$9),"")</f>
        <v>1</v>
      </c>
      <c r="E47" s="554">
        <f>IF($L$9&gt;8,IF($Q$9="期末",B47*$H$9,(B47-C47)*$H$9),0)</f>
        <v>2380.95238095238</v>
      </c>
      <c r="F47" s="555">
        <f>IF($L$9&gt;8,IF($Q$9="期末",B47+E47-C47,B47-C47+E47),0)</f>
        <v>50000</v>
      </c>
      <c r="G47" s="556">
        <f>IF($L$9&gt;8,I46,0)</f>
        <v>84078.2167564406</v>
      </c>
      <c r="H47" s="557">
        <f>IF(AND($L$9&gt;8,8&lt;MIN($L$9,$I$9)),$I$34/MIN($L$9,$I$9),0)</f>
        <v>42039.1083782203</v>
      </c>
      <c r="I47" s="286">
        <f>IF($L$9&gt;8,G47-H47,0)</f>
        <v>42039.1083782203</v>
      </c>
      <c r="J47" s="264">
        <f>IF($L$9&gt;8,F47*$J$9,0)</f>
        <v>12500</v>
      </c>
      <c r="K47" s="264">
        <f>IF($L$9&gt;8,I47*$J$9,0)</f>
        <v>10509.7770945551</v>
      </c>
      <c r="L47" s="558"/>
    </row>
    <row r="48" s="509" customFormat="1" customHeight="1" spans="1:12">
      <c r="A48" s="552" t="str">
        <f>IF($L$9&gt;9,TEXT(YEAR($B$9)+9,"0")&amp;"年度","")</f>
        <v>2030年度</v>
      </c>
      <c r="B48" s="544">
        <f>IF($L$9&gt;9,B47-C47+E47,0)</f>
        <v>50000</v>
      </c>
      <c r="C48" s="544">
        <f>IF($L$9&gt;9,C29,0)</f>
        <v>50000</v>
      </c>
      <c r="D48" s="553">
        <f>IF($L$9&gt;9,MONTH($B$9),"")</f>
        <v>1</v>
      </c>
      <c r="E48" s="554">
        <f>IF($L$9&gt;9,IF($Q$9="期末",B48*$H$9,(B48-C48)*$H$9),0)</f>
        <v>0</v>
      </c>
      <c r="F48" s="555">
        <f>IF($L$9&gt;9,IF($Q$9="期末",B48+E48-C48,B48-C48+E48),0)</f>
        <v>0</v>
      </c>
      <c r="G48" s="556">
        <f>IF($L$9&gt;9,I47,0)</f>
        <v>42039.1083782203</v>
      </c>
      <c r="H48" s="557">
        <f>IF(AND($L$9&gt;9,9&lt;MIN($L$9,$I$9)),$I$34/MIN($L$9,$I$9),0)</f>
        <v>42039.1083782203</v>
      </c>
      <c r="I48" s="286">
        <f>IF($L$9&gt;9,G48-H48,0)</f>
        <v>0</v>
      </c>
      <c r="J48" s="264">
        <f>IF($L$9&gt;9,F48*$J$9,0)</f>
        <v>0</v>
      </c>
      <c r="K48" s="264">
        <f>IF($L$9&gt;9,I48*$J$9,0)</f>
        <v>0</v>
      </c>
      <c r="L48" s="558"/>
    </row>
    <row r="49" s="509" customFormat="1" customHeight="1" spans="1:12">
      <c r="A49" s="552" t="str">
        <f>IF($L$9&gt;19,TEXT(YEAR($B$9)+19,"0")&amp;"年度","")</f>
        <v/>
      </c>
      <c r="B49" s="544">
        <f>IF($L$9&gt;19,#REF!-#REF!+#REF!,0)</f>
        <v>0</v>
      </c>
      <c r="C49" s="544">
        <f>IF($L$9&gt;19,#REF!,0)</f>
        <v>0</v>
      </c>
      <c r="D49" s="553" t="str">
        <f>IF($L$9&gt;19,MONTH($B$9),"")</f>
        <v/>
      </c>
      <c r="E49" s="554">
        <f>IF($L$9&gt;19,IF($Q$9="期末",B49*$H$9,(B49-C49)*$H$9),0)</f>
        <v>0</v>
      </c>
      <c r="F49" s="555">
        <f>IF($L$9&gt;19,IF($Q$9="期末",B49+E49-C49,B49-C49+E49),0)</f>
        <v>0</v>
      </c>
      <c r="G49" s="556">
        <f>IF($L$9&gt;19,#REF!,0)</f>
        <v>0</v>
      </c>
      <c r="H49" s="557">
        <f>IF(AND($L$9&gt;19,19&lt;MIN($L$9,$I$9)),$I$34/MIN($L$9,$I$9),0)</f>
        <v>0</v>
      </c>
      <c r="I49" s="286">
        <f>IF($L$9&gt;19,G49-H49,0)</f>
        <v>0</v>
      </c>
      <c r="J49" s="264">
        <f>IF($L$9&gt;19,F49*$J$9,0)</f>
        <v>0</v>
      </c>
      <c r="K49" s="264">
        <f>IF($L$9&gt;19,I49*$J$9,0)</f>
        <v>0</v>
      </c>
      <c r="L49" s="558"/>
    </row>
    <row r="50" s="509" customFormat="1" customHeight="1" spans="1:12">
      <c r="A50" s="552" t="str">
        <f>IF($L$9&gt;20,TEXT(YEAR($B$9)+20,"0")&amp;"年度","")</f>
        <v/>
      </c>
      <c r="B50" s="544">
        <f>IF($L$9&gt;20,B49-C49+E49,0)</f>
        <v>0</v>
      </c>
      <c r="C50" s="544">
        <f>IF($L$9&gt;20,#REF!,0)</f>
        <v>0</v>
      </c>
      <c r="D50" s="553" t="str">
        <f>IF($L$9&gt;20,MONTH($B$9),"")</f>
        <v/>
      </c>
      <c r="E50" s="554">
        <f>IF($L$9&gt;20,IF($Q$9="期末",B50*$H$9,(B50-C50)*$H$9),0)</f>
        <v>0</v>
      </c>
      <c r="F50" s="555">
        <f>IF($L$9&gt;20,IF($Q$9="期末",B50+E50-C50,B50-C50+E50),0)</f>
        <v>0</v>
      </c>
      <c r="G50" s="556">
        <f>IF($L$9&gt;20,I49,0)</f>
        <v>0</v>
      </c>
      <c r="H50" s="557">
        <f>IF(AND($L$9&gt;20,20&lt;MIN($L$9,$I$9)),$I$34/MIN($L$9,$I$9),0)</f>
        <v>0</v>
      </c>
      <c r="I50" s="286">
        <f>IF($L$9&gt;20,G50-H50,0)</f>
        <v>0</v>
      </c>
      <c r="J50" s="264">
        <f>IF($L$9&gt;20,F50*$J$9,0)</f>
        <v>0</v>
      </c>
      <c r="K50" s="264">
        <f>IF($L$9&gt;20,I50*$J$9,0)</f>
        <v>0</v>
      </c>
      <c r="L50" s="558"/>
    </row>
    <row r="51" s="510" customFormat="1" ht="12" spans="1:12">
      <c r="A51" s="559" t="s">
        <v>139</v>
      </c>
      <c r="B51" s="510"/>
      <c r="C51" s="560">
        <f>SUM(C39:C50)</f>
        <v>450000</v>
      </c>
      <c r="E51" s="560">
        <f>SUM(E39:E50)</f>
        <v>94608.9162177973</v>
      </c>
      <c r="H51" s="560">
        <f>SUM(H39:H50)</f>
        <v>420391.083782203</v>
      </c>
      <c r="L51" s="561"/>
    </row>
    <row r="52" spans="1:12">
      <c r="A52" s="562" t="s">
        <v>404</v>
      </c>
    </row>
    <row r="53" spans="1:12">
      <c r="A53" s="563" t="s">
        <v>405</v>
      </c>
    </row>
    <row r="54"/>
    <row r="55" spans="1:12">
      <c r="A55" s="563" t="s">
        <v>406</v>
      </c>
    </row>
    <row r="56"/>
    <row r="57"/>
    <row r="58" spans="1:12">
      <c r="A58" s="564" t="s">
        <v>407</v>
      </c>
    </row>
    <row r="59" ht="15" spans="1:12">
      <c r="A59" s="565" t="s">
        <v>408</v>
      </c>
    </row>
    <row r="60" ht="15" spans="1:12">
      <c r="A60" s="565" t="s">
        <v>409</v>
      </c>
    </row>
    <row r="61" ht="15" spans="1:12">
      <c r="A61" s="565" t="s">
        <v>410</v>
      </c>
    </row>
    <row r="62"/>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sheetData>
  <mergeCells count="13">
    <mergeCell ref="A1:K1"/>
    <mergeCell ref="A2:K2"/>
    <mergeCell ref="A5:K5"/>
    <mergeCell ref="A6:K6"/>
    <mergeCell ref="A11:G11"/>
    <mergeCell ref="B37:F37"/>
    <mergeCell ref="G37:I37"/>
    <mergeCell ref="A52:I52"/>
    <mergeCell ref="A53:I53"/>
    <mergeCell ref="A55:I55"/>
    <mergeCell ref="A37:A38"/>
    <mergeCell ref="J37:J38"/>
    <mergeCell ref="K37:K38"/>
  </mergeCells>
  <dataValidations count="3">
    <dataValidation type="whole" operator="between" allowBlank="1" showInputMessage="1" showErrorMessage="1" errorTitle="输入无效" error="请输入1~50的整数" promptTitle="编制输入" prompt="摊销/使用寿命年限（年）" sqref="I9">
      <formula1>1</formula1>
      <formula2>50</formula2>
    </dataValidation>
    <dataValidation type="whole" operator="between" allowBlank="1" showInputMessage="1" showErrorMessage="1" errorTitle="输入无效" error="请输入1~30的整数" promptTitle="编制输入" prompt="有效付款期数1~30年；也可保留=ROUND(E9)公式" sqref="L9">
      <formula1>1</formula1>
      <formula2>30</formula2>
    </dataValidation>
    <dataValidation type="list" showInputMessage="1" showErrorMessage="1" errorTitle="输入无效" error="请选择：期初,期末" promptTitle="编制选择" prompt="期初付=首期进预付；期末付=各期均折现进负债" sqref="Q9">
      <formula1>"期初,期末"</formula1>
    </dataValidation>
  </dataValidations>
  <hyperlinks>
    <hyperlink ref="I3" location="底稿目录!A1" display="H8-6"/>
  </hyperlinks>
  <printOptions horizontalCentered="1"/>
  <pageMargins left="0.94488188976378" right="0.275590551181102" top="0.62992125984252" bottom="0.511811023622047" header="0.511811023622047" footer="0.354330708661417"/>
  <pageSetup paperSize="9" scale="65" fitToHeight="0" orientation="portrait" blackAndWhite="1"/>
  <headerFooter alignWithMargins="0">
    <oddFooter>&amp;C&amp;P/&amp;N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P361"/>
  <sheetViews>
    <sheetView tabSelected="1" view="pageBreakPreview" zoomScaleNormal="100" topLeftCell="A19" workbookViewId="0">
      <selection activeCell="K34" sqref="K34"/>
    </sheetView>
  </sheetViews>
  <sheetFormatPr defaultColWidth="8.1" defaultRowHeight="19.95" customHeight="1"/>
  <cols>
    <col min="1" max="1" width="4.9" style="409" customWidth="1"/>
    <col min="2" max="2" width="16.1" style="409" customWidth="1"/>
    <col min="3" max="3" width="11.4" style="410" customWidth="1"/>
    <col min="4" max="4" width="11.6" style="409" customWidth="1"/>
    <col min="5" max="7" width="12.6" style="411" customWidth="1"/>
    <col min="8" max="8" width="19.3" style="409" customWidth="1"/>
    <col min="9" max="9" width="12" style="409" customWidth="1"/>
    <col min="10" max="10" width="12.5" style="409" customWidth="1"/>
    <col min="11" max="11" width="12.4" style="409" customWidth="1"/>
    <col min="12" max="12" width="11.4" style="409" customWidth="1"/>
    <col min="13" max="13" width="11.1" style="409" customWidth="1"/>
    <col min="14" max="14" width="12.6" style="412" customWidth="1"/>
    <col min="15" max="16384" width="8.1" style="409" customWidth="1"/>
  </cols>
  <sheetData>
    <row r="1" s="401" customFormat="1" customHeight="1" spans="1:16">
      <c r="A1" s="413" t="s">
        <v>58</v>
      </c>
      <c r="B1"/>
      <c r="C1"/>
      <c r="D1"/>
      <c r="E1"/>
      <c r="F1"/>
      <c r="G1"/>
      <c r="H1"/>
      <c r="I1"/>
      <c r="J1"/>
      <c r="K1"/>
      <c r="L1"/>
      <c r="M1"/>
      <c r="N1" s="414"/>
    </row>
    <row r="2" s="402" customFormat="1" customHeight="1" spans="1:16">
      <c r="A2" s="415" t="s">
        <v>35</v>
      </c>
      <c r="B2"/>
      <c r="C2"/>
      <c r="D2"/>
      <c r="E2"/>
      <c r="F2"/>
      <c r="G2"/>
      <c r="H2"/>
      <c r="I2"/>
      <c r="J2"/>
      <c r="K2"/>
      <c r="L2"/>
      <c r="M2"/>
      <c r="N2" s="416"/>
    </row>
    <row r="3" s="403" customFormat="1" customHeight="1" spans="1:16">
      <c r="A3" s="403" t="str">
        <f>底稿目录!A2</f>
        <v>被审计单位：</v>
      </c>
      <c r="E3" s="403" t="str">
        <f>底稿目录!A4</f>
        <v>编制人：</v>
      </c>
      <c r="I3" s="336" t="str">
        <f>底稿目录!A6</f>
        <v>编制日期：</v>
      </c>
      <c r="L3" s="7" t="s">
        <v>59</v>
      </c>
      <c r="M3" s="8" t="s">
        <v>32</v>
      </c>
      <c r="N3" s="417"/>
    </row>
    <row r="4" s="403" customFormat="1" customHeight="1" spans="1:16">
      <c r="A4" s="403" t="str">
        <f>底稿目录!A3</f>
        <v>截止日：202X年12月31日</v>
      </c>
      <c r="E4" s="403" t="str">
        <f>底稿目录!A5</f>
        <v>复核人：</v>
      </c>
      <c r="I4" s="336" t="str">
        <f>底稿目录!A7</f>
        <v>复核日期：</v>
      </c>
      <c r="L4" s="7" t="s">
        <v>60</v>
      </c>
      <c r="M4" s="9"/>
      <c r="N4" s="417"/>
    </row>
    <row r="5" s="403" customFormat="1" customHeight="1" spans="1:16">
      <c r="A5" s="418" t="s">
        <v>411</v>
      </c>
      <c r="N5" s="417"/>
    </row>
    <row r="6" s="403" customFormat="1" customHeight="1" spans="1:16">
      <c r="A6" s="419" t="s">
        <v>412</v>
      </c>
      <c r="B6" s="420"/>
      <c r="C6" s="421"/>
      <c r="N6" s="417"/>
    </row>
    <row r="7" s="403" customFormat="1" customHeight="1" spans="1:16">
      <c r="A7" s="422" t="s">
        <v>413</v>
      </c>
      <c r="B7" s="423" t="s">
        <v>414</v>
      </c>
      <c r="C7" s="424" t="s">
        <v>415</v>
      </c>
      <c r="N7" s="417"/>
    </row>
    <row r="8" s="403" customFormat="1" customHeight="1" spans="1:16">
      <c r="A8" s="422" t="s">
        <v>416</v>
      </c>
      <c r="B8" s="423" t="s">
        <v>417</v>
      </c>
      <c r="C8" s="424" t="s">
        <v>418</v>
      </c>
      <c r="N8" s="417"/>
    </row>
    <row r="9" s="403" customFormat="1" customHeight="1" spans="1:16">
      <c r="A9" s="422" t="s">
        <v>419</v>
      </c>
      <c r="B9" s="423" t="s">
        <v>420</v>
      </c>
      <c r="C9" s="424" t="s">
        <v>421</v>
      </c>
      <c r="N9" s="417"/>
    </row>
    <row r="10" s="403" customFormat="1" customHeight="1" spans="1:16">
      <c r="A10" s="422" t="s">
        <v>422</v>
      </c>
      <c r="B10" s="423" t="s">
        <v>423</v>
      </c>
      <c r="C10" s="425" t="s">
        <v>424</v>
      </c>
      <c r="N10" s="417"/>
    </row>
    <row r="11" s="403" customFormat="1" customHeight="1" spans="1:16">
      <c r="A11" s="422" t="s">
        <v>425</v>
      </c>
      <c r="B11" s="423" t="s">
        <v>426</v>
      </c>
      <c r="C11" s="425" t="s">
        <v>427</v>
      </c>
      <c r="N11" s="417"/>
    </row>
    <row r="12" s="403" customFormat="1" customHeight="1" spans="1:16">
      <c r="A12" s="423"/>
      <c r="C12" s="423"/>
      <c r="N12" s="417"/>
    </row>
    <row r="13" customHeight="1" spans="1:16">
      <c r="A13" s="426" t="s">
        <v>428</v>
      </c>
      <c r="B13" s="119"/>
      <c r="C13" s="137"/>
      <c r="D13" s="426" t="s">
        <v>377</v>
      </c>
      <c r="E13" s="119"/>
      <c r="F13" s="119"/>
      <c r="G13" s="119"/>
      <c r="H13" s="119"/>
      <c r="I13" s="119"/>
      <c r="J13" s="137"/>
    </row>
    <row r="14" s="404" customFormat="1" customHeight="1" spans="1:16">
      <c r="A14" s="427" t="s">
        <v>195</v>
      </c>
      <c r="B14" s="137"/>
      <c r="C14" s="428" t="s">
        <v>374</v>
      </c>
      <c r="D14" s="429"/>
      <c r="E14" s="430" t="s">
        <v>378</v>
      </c>
      <c r="F14" s="430" t="s">
        <v>379</v>
      </c>
      <c r="G14" s="430"/>
      <c r="H14" s="431"/>
      <c r="I14" s="432" t="s">
        <v>378</v>
      </c>
      <c r="J14" s="433" t="s">
        <v>379</v>
      </c>
      <c r="N14" s="434" t="s">
        <v>372</v>
      </c>
      <c r="O14" s="409"/>
      <c r="P14" s="409"/>
    </row>
    <row r="15" customHeight="1" spans="1:16">
      <c r="A15" s="427" t="s">
        <v>360</v>
      </c>
      <c r="B15" s="137"/>
      <c r="C15" s="435">
        <f>'租赁期的确定H8-5'!C22</f>
        <v>44197</v>
      </c>
      <c r="D15" s="436" t="s">
        <v>380</v>
      </c>
      <c r="E15" s="378">
        <f>K22</f>
        <v>418559.449060824</v>
      </c>
      <c r="F15" s="381"/>
      <c r="G15" s="378"/>
      <c r="H15" s="437" t="s">
        <v>381</v>
      </c>
      <c r="I15" s="378">
        <f>L22</f>
        <v>88758.1533579776</v>
      </c>
      <c r="J15" s="378"/>
      <c r="N15" s="438" t="str">
        <f>IF($C$18&lt;=0,"待填租期",IF(ABS(INDEX($G$22:$G$348,$C$18))&lt;1,"✓末月负债≈0","×查利息/付款"))</f>
        <v>✓末月负债≈0</v>
      </c>
      <c r="O15" s="439" t="str">
        <f>IF($C$18&lt;=0,"待填租期",IF(ABS($I$349-($E$349+$H$349))&lt;1,"✓折旧合计≈入账","×查折旧折尽"))</f>
        <v>✓折旧合计≈入账</v>
      </c>
      <c r="P15" s="439" t="str">
        <f>IF(ABS($J$20-'使用权资产 租赁负债初始及后续计量（按年）H8-6'!L9)&lt;0.1,"✓与按年L9一致","△与按年L9不一致")</f>
        <v>✓与按年L9一致</v>
      </c>
    </row>
    <row r="16" customHeight="1" spans="1:16">
      <c r="A16" s="427" t="s">
        <v>429</v>
      </c>
      <c r="B16" s="137"/>
      <c r="C16" s="440">
        <f>'租赁期的确定H8-5'!E22</f>
        <v>47848</v>
      </c>
      <c r="D16" s="441" t="s">
        <v>382</v>
      </c>
      <c r="E16" s="381"/>
      <c r="F16" s="378">
        <f>E349</f>
        <v>353559.449060824</v>
      </c>
      <c r="G16" s="381"/>
      <c r="H16" s="437" t="s">
        <v>383</v>
      </c>
      <c r="I16" s="378"/>
      <c r="J16" s="378">
        <f>M22</f>
        <v>104639.862265206</v>
      </c>
    </row>
    <row r="17" customHeight="1" spans="1:15">
      <c r="A17" s="427" t="s">
        <v>430</v>
      </c>
      <c r="B17" s="137"/>
      <c r="C17" s="442">
        <v>0.05</v>
      </c>
      <c r="D17" s="441" t="s">
        <v>431</v>
      </c>
      <c r="E17" s="381"/>
      <c r="F17" s="378">
        <f>H349</f>
        <v>65000</v>
      </c>
      <c r="G17" s="381"/>
      <c r="H17" s="437" t="s">
        <v>385</v>
      </c>
      <c r="I17" s="378">
        <f>J16-I15</f>
        <v>15881.7089072283</v>
      </c>
      <c r="J17" s="378"/>
    </row>
    <row r="18" s="405" customFormat="1" customHeight="1" spans="1:15">
      <c r="A18" s="427" t="s">
        <v>423</v>
      </c>
      <c r="B18" s="137"/>
      <c r="C18" s="443">
        <f>(YEAR($C$16)-YEAR($C$15))*12+MONTH($C$16)-MONTH($C$15)+1</f>
        <v>120</v>
      </c>
      <c r="D18" s="444"/>
      <c r="E18" s="445">
        <f>SUM(E15:E17)</f>
        <v>418559.449060824</v>
      </c>
      <c r="F18" s="445">
        <f>SUM(F15:F17)</f>
        <v>418559.449060824</v>
      </c>
      <c r="G18" s="445"/>
      <c r="H18" s="378"/>
      <c r="I18" s="445">
        <f>SUM(I15:I17)</f>
        <v>104639.862265206</v>
      </c>
      <c r="J18" s="393">
        <f>SUM(J15:J17)</f>
        <v>104639.862265206</v>
      </c>
      <c r="K18" s="446"/>
      <c r="L18" s="447"/>
      <c r="N18" s="448"/>
    </row>
    <row r="19" s="405" customFormat="1" customHeight="1" spans="1:15">
      <c r="A19" s="427" t="s">
        <v>368</v>
      </c>
      <c r="B19" s="427"/>
      <c r="C19" s="449">
        <v>0.25</v>
      </c>
      <c r="D19" s="444"/>
      <c r="E19" s="450"/>
      <c r="F19" s="450"/>
      <c r="G19" s="450"/>
      <c r="H19" s="381"/>
      <c r="I19" s="381"/>
      <c r="J19" s="381"/>
      <c r="K19" s="446"/>
      <c r="L19" s="447"/>
      <c r="N19" s="448"/>
    </row>
    <row r="20" s="405" customFormat="1" customHeight="1" spans="1:15">
      <c r="A20" s="451" t="s">
        <v>432</v>
      </c>
      <c r="B20" s="405"/>
      <c r="C20" s="452">
        <v>50000</v>
      </c>
      <c r="D20" s="451" t="s">
        <v>433</v>
      </c>
      <c r="E20" s="453">
        <v>1</v>
      </c>
      <c r="F20" s="454" t="s">
        <v>371</v>
      </c>
      <c r="G20" s="453">
        <v>15000</v>
      </c>
      <c r="H20" s="455"/>
      <c r="I20" s="454" t="s">
        <v>434</v>
      </c>
      <c r="J20" s="453">
        <f>'使用权资产 租赁负债初始及后续计量（按年）H8-6'!L9</f>
        <v>10</v>
      </c>
      <c r="K20" s="456" t="s">
        <v>435</v>
      </c>
      <c r="L20" s="457">
        <f>$J$20*12</f>
        <v>120</v>
      </c>
      <c r="N20" s="451" t="s">
        <v>373</v>
      </c>
      <c r="O20" s="457" t="str">
        <f>'使用权资产 租赁负债初始及后续计量（按年）H8-6'!Q9</f>
        <v>期初</v>
      </c>
    </row>
    <row r="21" s="406" customFormat="1" ht="36" customHeight="1" spans="1:15">
      <c r="A21" s="458" t="s">
        <v>436</v>
      </c>
      <c r="B21" s="459" t="s">
        <v>437</v>
      </c>
      <c r="C21" s="458" t="s">
        <v>438</v>
      </c>
      <c r="D21" s="458" t="s">
        <v>439</v>
      </c>
      <c r="E21" s="460" t="s">
        <v>440</v>
      </c>
      <c r="F21" s="460" t="s">
        <v>402</v>
      </c>
      <c r="G21" s="460" t="s">
        <v>441</v>
      </c>
      <c r="H21" s="458" t="s">
        <v>442</v>
      </c>
      <c r="I21" s="460" t="s">
        <v>443</v>
      </c>
      <c r="J21" s="460" t="s">
        <v>444</v>
      </c>
      <c r="K21" s="460" t="s">
        <v>445</v>
      </c>
      <c r="L21" s="460" t="s">
        <v>398</v>
      </c>
      <c r="M21" s="460" t="s">
        <v>399</v>
      </c>
      <c r="N21" s="461"/>
    </row>
    <row r="22" s="407" customFormat="1" customHeight="1" spans="1:15">
      <c r="A22" s="462">
        <v>1</v>
      </c>
      <c r="B22" s="463">
        <f>C15</f>
        <v>44197</v>
      </c>
      <c r="C22" s="464">
        <f t="shared" ref="C22:C85" si="0">IF(AND(A22&lt;=$C$18,MONTH(B22)=$E$20,B22&lt;=$C$16,IF($O$20="期末",B22&gt;=EDATE($C$15,12),B22&gt;$C$15)),$C$20,0)</f>
        <v>0</v>
      </c>
      <c r="D22" s="22"/>
      <c r="E22" s="465">
        <f t="shared" ref="E22:E85" si="1">(D22+C22)/(POWER((1+$C$17/12),A22-1))</f>
        <v>0</v>
      </c>
      <c r="F22" s="466">
        <f>IF($C$18&lt;=0,0,$C$17/12*E349)</f>
        <v>1473.16437108676</v>
      </c>
      <c r="G22" s="466">
        <f>IF($C$18&lt;=0,0,F22+E349)</f>
        <v>355032.61343191</v>
      </c>
      <c r="H22" s="467">
        <f>IF($O$20="期末",$G$20,$C$20+$G$20)</f>
        <v>65000</v>
      </c>
      <c r="I22" s="468">
        <v>0</v>
      </c>
      <c r="J22" s="468">
        <v>0</v>
      </c>
      <c r="K22" s="469">
        <f>$E$349+$H$349-I22</f>
        <v>418559.449060824</v>
      </c>
      <c r="L22" s="470">
        <f t="shared" ref="L22:L85" si="2">IF(G22=0,0,G22*$C$19)</f>
        <v>88758.1533579776</v>
      </c>
      <c r="M22" s="470">
        <f t="shared" ref="M22:M85" si="3">IF(K22=0,0,K22*$C$19)</f>
        <v>104639.862265206</v>
      </c>
      <c r="N22" s="471"/>
      <c r="O22" s="472"/>
    </row>
    <row r="23" customHeight="1" spans="1:15">
      <c r="A23" s="473">
        <f t="shared" ref="A23:A86" si="4">A22+1</f>
        <v>2</v>
      </c>
      <c r="B23" s="463">
        <f t="shared" ref="B23:B86" si="5">EDATE(B22,1)</f>
        <v>44228</v>
      </c>
      <c r="C23" s="464">
        <f t="shared" si="0"/>
        <v>0</v>
      </c>
      <c r="D23" s="22"/>
      <c r="E23" s="465">
        <f t="shared" si="1"/>
        <v>0</v>
      </c>
      <c r="F23" s="466">
        <f t="shared" ref="F23:F86" si="6">IF(OR(B23&gt;$C$16,A23&gt;$C$18),0,$C$17/12*(G22-C23))</f>
        <v>1479.30255596629</v>
      </c>
      <c r="G23" s="466">
        <f t="shared" ref="G23:G86" si="7">IF(OR(B23&gt;$C$16,A23&gt;$C$18),0,G22-C23+F23)</f>
        <v>356511.915987877</v>
      </c>
      <c r="H23" s="474"/>
      <c r="I23" s="469">
        <f t="shared" ref="I23:I86" si="8">IF(OR(B23&gt;$C$16,($A23-1)&gt;=MIN($C$18,$L$20),MIN($C$18,$L$20)&lt;=1),0,($E$349+$H$349)/MAX(MIN($C$18,$L$20)-1,1))</f>
        <v>3517.30629462877</v>
      </c>
      <c r="J23" s="469">
        <f t="shared" ref="J23:J86" si="9">IF(I23=0,0,J22+I23)</f>
        <v>3517.30629462877</v>
      </c>
      <c r="K23" s="469">
        <f t="shared" ref="K23:K86" si="10">IF(OR(B23&gt;$C$16,A23&gt;$C$18),0,K22-I23)</f>
        <v>415042.142766195</v>
      </c>
      <c r="L23" s="470">
        <f t="shared" si="2"/>
        <v>89127.9789969692</v>
      </c>
      <c r="M23" s="470">
        <f t="shared" si="3"/>
        <v>103760.535691549</v>
      </c>
      <c r="N23" s="471"/>
      <c r="O23" s="472"/>
    </row>
    <row r="24" customHeight="1" spans="1:15">
      <c r="A24" s="473">
        <f t="shared" si="4"/>
        <v>3</v>
      </c>
      <c r="B24" s="463">
        <f t="shared" si="5"/>
        <v>44256</v>
      </c>
      <c r="C24" s="464">
        <f t="shared" si="0"/>
        <v>0</v>
      </c>
      <c r="D24" s="475"/>
      <c r="E24" s="465">
        <f t="shared" si="1"/>
        <v>0</v>
      </c>
      <c r="F24" s="466">
        <f t="shared" si="6"/>
        <v>1485.46631661615</v>
      </c>
      <c r="G24" s="466">
        <f t="shared" si="7"/>
        <v>357997.382304493</v>
      </c>
      <c r="H24" s="476"/>
      <c r="I24" s="469">
        <f t="shared" si="8"/>
        <v>3517.30629462877</v>
      </c>
      <c r="J24" s="469">
        <f t="shared" si="9"/>
        <v>7034.61258925754</v>
      </c>
      <c r="K24" s="469">
        <f t="shared" si="10"/>
        <v>411524.836471566</v>
      </c>
      <c r="L24" s="470">
        <f t="shared" si="2"/>
        <v>89499.3455761232</v>
      </c>
      <c r="M24" s="470">
        <f t="shared" si="3"/>
        <v>102881.209117892</v>
      </c>
      <c r="N24" s="471"/>
      <c r="O24" s="472"/>
    </row>
    <row r="25" customHeight="1" spans="1:15">
      <c r="A25" s="473">
        <f t="shared" si="4"/>
        <v>4</v>
      </c>
      <c r="B25" s="463">
        <f t="shared" si="5"/>
        <v>44287</v>
      </c>
      <c r="C25" s="464">
        <f t="shared" si="0"/>
        <v>0</v>
      </c>
      <c r="D25" s="477"/>
      <c r="E25" s="465">
        <f t="shared" si="1"/>
        <v>0</v>
      </c>
      <c r="F25" s="466">
        <f t="shared" si="6"/>
        <v>1491.65575960205</v>
      </c>
      <c r="G25" s="466">
        <f t="shared" si="7"/>
        <v>359489.038064095</v>
      </c>
      <c r="H25" s="476"/>
      <c r="I25" s="469">
        <f t="shared" si="8"/>
        <v>3517.30629462877</v>
      </c>
      <c r="J25" s="469">
        <f t="shared" si="9"/>
        <v>10551.9188838863</v>
      </c>
      <c r="K25" s="469">
        <f t="shared" si="10"/>
        <v>408007.530176937</v>
      </c>
      <c r="L25" s="470">
        <f t="shared" si="2"/>
        <v>89872.2595160237</v>
      </c>
      <c r="M25" s="470">
        <f t="shared" si="3"/>
        <v>102001.882544234</v>
      </c>
      <c r="N25" s="471"/>
      <c r="O25" s="472"/>
    </row>
    <row r="26" customHeight="1" spans="1:15">
      <c r="A26" s="473">
        <f t="shared" si="4"/>
        <v>5</v>
      </c>
      <c r="B26" s="463">
        <f t="shared" si="5"/>
        <v>44317</v>
      </c>
      <c r="C26" s="464">
        <f t="shared" si="0"/>
        <v>0</v>
      </c>
      <c r="D26" s="477"/>
      <c r="E26" s="465">
        <f t="shared" si="1"/>
        <v>0</v>
      </c>
      <c r="F26" s="466">
        <f t="shared" si="6"/>
        <v>1497.87099193373</v>
      </c>
      <c r="G26" s="466">
        <f t="shared" si="7"/>
        <v>360986.909056029</v>
      </c>
      <c r="H26" s="476"/>
      <c r="I26" s="469">
        <f t="shared" si="8"/>
        <v>3517.30629462877</v>
      </c>
      <c r="J26" s="469">
        <f t="shared" si="9"/>
        <v>14069.2251785151</v>
      </c>
      <c r="K26" s="469">
        <f t="shared" si="10"/>
        <v>404490.223882309</v>
      </c>
      <c r="L26" s="470">
        <f t="shared" si="2"/>
        <v>90246.7272640071</v>
      </c>
      <c r="M26" s="470">
        <f t="shared" si="3"/>
        <v>101122.555970577</v>
      </c>
      <c r="N26" s="471"/>
      <c r="O26" s="472"/>
    </row>
    <row r="27" customHeight="1" spans="1:15">
      <c r="A27" s="473">
        <f t="shared" si="4"/>
        <v>6</v>
      </c>
      <c r="B27" s="463">
        <f t="shared" si="5"/>
        <v>44348</v>
      </c>
      <c r="C27" s="464">
        <f t="shared" si="0"/>
        <v>0</v>
      </c>
      <c r="D27" s="477"/>
      <c r="E27" s="465">
        <f t="shared" si="1"/>
        <v>0</v>
      </c>
      <c r="F27" s="466">
        <f t="shared" si="6"/>
        <v>1504.11212106679</v>
      </c>
      <c r="G27" s="466">
        <f t="shared" si="7"/>
        <v>362491.021177095</v>
      </c>
      <c r="H27" s="476"/>
      <c r="I27" s="469">
        <f t="shared" si="8"/>
        <v>3517.30629462877</v>
      </c>
      <c r="J27" s="469">
        <f t="shared" si="9"/>
        <v>17586.5314731438</v>
      </c>
      <c r="K27" s="469">
        <f t="shared" si="10"/>
        <v>400972.91758768</v>
      </c>
      <c r="L27" s="470">
        <f t="shared" si="2"/>
        <v>90622.7552942738</v>
      </c>
      <c r="M27" s="470">
        <f t="shared" si="3"/>
        <v>100243.22939692</v>
      </c>
      <c r="N27" s="471"/>
      <c r="O27" s="472"/>
    </row>
    <row r="28" customHeight="1" spans="1:15">
      <c r="A28" s="473">
        <f t="shared" si="4"/>
        <v>7</v>
      </c>
      <c r="B28" s="463">
        <f t="shared" si="5"/>
        <v>44378</v>
      </c>
      <c r="C28" s="464">
        <f t="shared" si="0"/>
        <v>0</v>
      </c>
      <c r="D28" s="477"/>
      <c r="E28" s="465">
        <f t="shared" si="1"/>
        <v>0</v>
      </c>
      <c r="F28" s="466">
        <f t="shared" si="6"/>
        <v>1510.37925490456</v>
      </c>
      <c r="G28" s="466">
        <f t="shared" si="7"/>
        <v>364001.400432</v>
      </c>
      <c r="H28" s="476"/>
      <c r="I28" s="469">
        <f t="shared" si="8"/>
        <v>3517.30629462877</v>
      </c>
      <c r="J28" s="469">
        <f t="shared" si="9"/>
        <v>21103.8377677726</v>
      </c>
      <c r="K28" s="469">
        <f t="shared" si="10"/>
        <v>397455.611293051</v>
      </c>
      <c r="L28" s="470">
        <f t="shared" si="2"/>
        <v>91000.350108</v>
      </c>
      <c r="M28" s="470">
        <f t="shared" si="3"/>
        <v>99363.9028232627</v>
      </c>
      <c r="N28" s="471"/>
      <c r="O28" s="472"/>
    </row>
    <row r="29" customHeight="1" spans="1:15">
      <c r="A29" s="473">
        <f t="shared" si="4"/>
        <v>8</v>
      </c>
      <c r="B29" s="463">
        <f t="shared" si="5"/>
        <v>44409</v>
      </c>
      <c r="C29" s="464">
        <f t="shared" si="0"/>
        <v>0</v>
      </c>
      <c r="D29" s="477"/>
      <c r="E29" s="465">
        <f t="shared" si="1"/>
        <v>0</v>
      </c>
      <c r="F29" s="466">
        <f t="shared" si="6"/>
        <v>1516.6725018</v>
      </c>
      <c r="G29" s="466">
        <f t="shared" si="7"/>
        <v>365518.0729338</v>
      </c>
      <c r="H29" s="476"/>
      <c r="I29" s="469">
        <f t="shared" si="8"/>
        <v>3517.30629462877</v>
      </c>
      <c r="J29" s="469">
        <f t="shared" si="9"/>
        <v>24621.1440624014</v>
      </c>
      <c r="K29" s="469">
        <f t="shared" si="10"/>
        <v>393938.304998422</v>
      </c>
      <c r="L29" s="470">
        <f t="shared" si="2"/>
        <v>91379.51823345</v>
      </c>
      <c r="M29" s="470">
        <f t="shared" si="3"/>
        <v>98484.5762496056</v>
      </c>
      <c r="N29" s="471"/>
      <c r="O29" s="472"/>
    </row>
    <row r="30" customHeight="1" spans="1:15">
      <c r="A30" s="473">
        <f t="shared" si="4"/>
        <v>9</v>
      </c>
      <c r="B30" s="463">
        <f t="shared" si="5"/>
        <v>44440</v>
      </c>
      <c r="C30" s="464">
        <f t="shared" si="0"/>
        <v>0</v>
      </c>
      <c r="D30" s="477"/>
      <c r="E30" s="465">
        <f t="shared" si="1"/>
        <v>0</v>
      </c>
      <c r="F30" s="466">
        <f t="shared" si="6"/>
        <v>1522.9919705575</v>
      </c>
      <c r="G30" s="466">
        <f t="shared" si="7"/>
        <v>367041.064904357</v>
      </c>
      <c r="H30" s="476"/>
      <c r="I30" s="469">
        <f t="shared" si="8"/>
        <v>3517.30629462877</v>
      </c>
      <c r="J30" s="469">
        <f t="shared" si="9"/>
        <v>28138.4503570302</v>
      </c>
      <c r="K30" s="469">
        <f t="shared" si="10"/>
        <v>390420.998703793</v>
      </c>
      <c r="L30" s="470">
        <f t="shared" si="2"/>
        <v>91760.2662260894</v>
      </c>
      <c r="M30" s="470">
        <f t="shared" si="3"/>
        <v>97605.2496759484</v>
      </c>
      <c r="N30" s="471"/>
      <c r="O30" s="472"/>
    </row>
    <row r="31" customHeight="1" spans="1:15">
      <c r="A31" s="473">
        <f t="shared" si="4"/>
        <v>10</v>
      </c>
      <c r="B31" s="478">
        <f t="shared" si="5"/>
        <v>44470</v>
      </c>
      <c r="C31" s="464">
        <f t="shared" si="0"/>
        <v>0</v>
      </c>
      <c r="D31" s="477"/>
      <c r="E31" s="465">
        <f t="shared" si="1"/>
        <v>0</v>
      </c>
      <c r="F31" s="466">
        <f t="shared" si="6"/>
        <v>1529.33777043482</v>
      </c>
      <c r="G31" s="466">
        <f t="shared" si="7"/>
        <v>368570.402674792</v>
      </c>
      <c r="H31" s="476"/>
      <c r="I31" s="469">
        <f t="shared" si="8"/>
        <v>3517.30629462877</v>
      </c>
      <c r="J31" s="469">
        <f t="shared" si="9"/>
        <v>31655.7566516589</v>
      </c>
      <c r="K31" s="469">
        <f t="shared" si="10"/>
        <v>386903.692409165</v>
      </c>
      <c r="L31" s="470">
        <f t="shared" si="2"/>
        <v>92142.6006686981</v>
      </c>
      <c r="M31" s="470">
        <f t="shared" si="3"/>
        <v>96725.9231022912</v>
      </c>
      <c r="N31" s="471"/>
      <c r="O31" s="472"/>
    </row>
    <row r="32" customHeight="1" spans="1:15">
      <c r="A32" s="473">
        <f t="shared" si="4"/>
        <v>11</v>
      </c>
      <c r="B32" s="478">
        <f t="shared" si="5"/>
        <v>44501</v>
      </c>
      <c r="C32" s="464">
        <f t="shared" si="0"/>
        <v>0</v>
      </c>
      <c r="D32" s="477"/>
      <c r="E32" s="465">
        <f t="shared" si="1"/>
        <v>0</v>
      </c>
      <c r="F32" s="466">
        <f t="shared" si="6"/>
        <v>1535.71001114497</v>
      </c>
      <c r="G32" s="466">
        <f t="shared" si="7"/>
        <v>370106.112685937</v>
      </c>
      <c r="H32" s="476"/>
      <c r="I32" s="469">
        <f t="shared" si="8"/>
        <v>3517.30629462877</v>
      </c>
      <c r="J32" s="469">
        <f t="shared" si="9"/>
        <v>35173.0629462877</v>
      </c>
      <c r="K32" s="469">
        <f t="shared" si="10"/>
        <v>383386.386114536</v>
      </c>
      <c r="L32" s="470">
        <f t="shared" si="2"/>
        <v>92526.5281714843</v>
      </c>
      <c r="M32" s="470">
        <f t="shared" si="3"/>
        <v>95846.596528634</v>
      </c>
      <c r="N32" s="471"/>
      <c r="O32" s="472"/>
    </row>
    <row r="33" customHeight="1" spans="1:15">
      <c r="A33" s="473">
        <f t="shared" si="4"/>
        <v>12</v>
      </c>
      <c r="B33" s="478">
        <f t="shared" si="5"/>
        <v>44531</v>
      </c>
      <c r="C33" s="464">
        <f t="shared" si="0"/>
        <v>0</v>
      </c>
      <c r="D33" s="477"/>
      <c r="E33" s="465">
        <f t="shared" si="1"/>
        <v>0</v>
      </c>
      <c r="F33" s="466">
        <f t="shared" si="6"/>
        <v>1542.10880285807</v>
      </c>
      <c r="G33" s="466">
        <f t="shared" si="7"/>
        <v>371648.221488795</v>
      </c>
      <c r="H33" s="476"/>
      <c r="I33" s="469">
        <f t="shared" si="8"/>
        <v>3517.30629462877</v>
      </c>
      <c r="J33" s="469">
        <f t="shared" si="9"/>
        <v>38690.3692409165</v>
      </c>
      <c r="K33" s="469">
        <f t="shared" si="10"/>
        <v>379869.079819907</v>
      </c>
      <c r="L33" s="470">
        <f t="shared" si="2"/>
        <v>92912.0553721988</v>
      </c>
      <c r="M33" s="470">
        <f t="shared" si="3"/>
        <v>94967.2699549768</v>
      </c>
      <c r="N33" s="471"/>
      <c r="O33" s="472"/>
    </row>
    <row r="34" customHeight="1" spans="1:15">
      <c r="A34" s="473">
        <f t="shared" si="4"/>
        <v>13</v>
      </c>
      <c r="B34" s="478">
        <f t="shared" si="5"/>
        <v>44562</v>
      </c>
      <c r="C34" s="479">
        <f t="shared" si="0"/>
        <v>50000</v>
      </c>
      <c r="D34" s="477"/>
      <c r="E34" s="465">
        <f t="shared" si="1"/>
        <v>47566.4120824379</v>
      </c>
      <c r="F34" s="466">
        <f t="shared" si="6"/>
        <v>1340.20092286998</v>
      </c>
      <c r="G34" s="466">
        <f t="shared" si="7"/>
        <v>322988.422411665</v>
      </c>
      <c r="H34" s="476"/>
      <c r="I34" s="469">
        <f t="shared" si="8"/>
        <v>3517.30629462877</v>
      </c>
      <c r="J34" s="469">
        <f t="shared" si="9"/>
        <v>42207.6755355452</v>
      </c>
      <c r="K34" s="469">
        <f t="shared" si="10"/>
        <v>376351.773525278</v>
      </c>
      <c r="L34" s="470">
        <f t="shared" si="2"/>
        <v>80747.1056029163</v>
      </c>
      <c r="M34" s="470">
        <f t="shared" si="3"/>
        <v>94087.9433813196</v>
      </c>
    </row>
    <row r="35" customHeight="1" spans="1:15">
      <c r="A35" s="473">
        <f t="shared" si="4"/>
        <v>14</v>
      </c>
      <c r="B35" s="478">
        <f t="shared" si="5"/>
        <v>44593</v>
      </c>
      <c r="C35" s="464">
        <f t="shared" si="0"/>
        <v>0</v>
      </c>
      <c r="D35" s="477"/>
      <c r="E35" s="465">
        <f t="shared" si="1"/>
        <v>0</v>
      </c>
      <c r="F35" s="466">
        <f t="shared" si="6"/>
        <v>1345.78509338194</v>
      </c>
      <c r="G35" s="466">
        <f t="shared" si="7"/>
        <v>324334.207505047</v>
      </c>
      <c r="H35" s="476"/>
      <c r="I35" s="469">
        <f t="shared" si="8"/>
        <v>3517.30629462877</v>
      </c>
      <c r="J35" s="469">
        <f t="shared" si="9"/>
        <v>45724.981830174</v>
      </c>
      <c r="K35" s="469">
        <f t="shared" si="10"/>
        <v>372834.46723065</v>
      </c>
      <c r="L35" s="470">
        <f t="shared" si="2"/>
        <v>81083.5518762618</v>
      </c>
      <c r="M35" s="470">
        <f t="shared" si="3"/>
        <v>93208.6168076624</v>
      </c>
    </row>
    <row r="36" customHeight="1" spans="1:15">
      <c r="A36" s="473">
        <f t="shared" si="4"/>
        <v>15</v>
      </c>
      <c r="B36" s="478">
        <f t="shared" si="5"/>
        <v>44621</v>
      </c>
      <c r="C36" s="464">
        <f t="shared" si="0"/>
        <v>0</v>
      </c>
      <c r="D36" s="477"/>
      <c r="E36" s="465">
        <f t="shared" si="1"/>
        <v>0</v>
      </c>
      <c r="F36" s="466">
        <f t="shared" si="6"/>
        <v>1351.39253127103</v>
      </c>
      <c r="G36" s="466">
        <f t="shared" si="7"/>
        <v>325685.600036318</v>
      </c>
      <c r="H36" s="476"/>
      <c r="I36" s="469">
        <f t="shared" si="8"/>
        <v>3517.30629462877</v>
      </c>
      <c r="J36" s="469">
        <f t="shared" si="9"/>
        <v>49242.2881248028</v>
      </c>
      <c r="K36" s="469">
        <f t="shared" si="10"/>
        <v>369317.160936021</v>
      </c>
      <c r="L36" s="470">
        <f t="shared" si="2"/>
        <v>81421.4000090796</v>
      </c>
      <c r="M36" s="470">
        <f t="shared" si="3"/>
        <v>92329.2902340052</v>
      </c>
    </row>
    <row r="37" customHeight="1" spans="1:15">
      <c r="A37" s="473">
        <f t="shared" si="4"/>
        <v>16</v>
      </c>
      <c r="B37" s="478">
        <f t="shared" si="5"/>
        <v>44652</v>
      </c>
      <c r="C37" s="464">
        <f t="shared" si="0"/>
        <v>0</v>
      </c>
      <c r="D37" s="477"/>
      <c r="E37" s="465">
        <f t="shared" si="1"/>
        <v>0</v>
      </c>
      <c r="F37" s="466">
        <f t="shared" si="6"/>
        <v>1357.02333348466</v>
      </c>
      <c r="G37" s="466">
        <f t="shared" si="7"/>
        <v>327042.623369803</v>
      </c>
      <c r="H37" s="476"/>
      <c r="I37" s="469">
        <f t="shared" si="8"/>
        <v>3517.30629462877</v>
      </c>
      <c r="J37" s="469">
        <f t="shared" si="9"/>
        <v>52759.5944194315</v>
      </c>
      <c r="K37" s="469">
        <f t="shared" si="10"/>
        <v>365799.854641392</v>
      </c>
      <c r="L37" s="470">
        <f t="shared" si="2"/>
        <v>81760.6558424507</v>
      </c>
      <c r="M37" s="470">
        <f t="shared" si="3"/>
        <v>91449.963660348</v>
      </c>
    </row>
    <row r="38" customHeight="1" spans="1:15">
      <c r="A38" s="473">
        <f t="shared" si="4"/>
        <v>17</v>
      </c>
      <c r="B38" s="478">
        <f t="shared" si="5"/>
        <v>44682</v>
      </c>
      <c r="C38" s="464">
        <f t="shared" si="0"/>
        <v>0</v>
      </c>
      <c r="D38" s="477"/>
      <c r="E38" s="465">
        <f t="shared" si="1"/>
        <v>0</v>
      </c>
      <c r="F38" s="466">
        <f t="shared" si="6"/>
        <v>1362.67759737418</v>
      </c>
      <c r="G38" s="466">
        <f t="shared" si="7"/>
        <v>328405.300967177</v>
      </c>
      <c r="H38" s="476"/>
      <c r="I38" s="469">
        <f t="shared" si="8"/>
        <v>3517.30629462877</v>
      </c>
      <c r="J38" s="469">
        <f t="shared" si="9"/>
        <v>56276.9007140603</v>
      </c>
      <c r="K38" s="469">
        <f t="shared" si="10"/>
        <v>362282.548346763</v>
      </c>
      <c r="L38" s="470">
        <f t="shared" si="2"/>
        <v>82101.3252417943</v>
      </c>
      <c r="M38" s="470">
        <f t="shared" si="3"/>
        <v>90570.6370866908</v>
      </c>
    </row>
    <row r="39" customHeight="1" spans="1:15">
      <c r="A39" s="473">
        <f t="shared" si="4"/>
        <v>18</v>
      </c>
      <c r="B39" s="478">
        <f t="shared" si="5"/>
        <v>44713</v>
      </c>
      <c r="C39" s="464">
        <f t="shared" si="0"/>
        <v>0</v>
      </c>
      <c r="D39" s="477"/>
      <c r="E39" s="465">
        <f t="shared" si="1"/>
        <v>0</v>
      </c>
      <c r="F39" s="466">
        <f t="shared" si="6"/>
        <v>1368.35542069657</v>
      </c>
      <c r="G39" s="466">
        <f t="shared" si="7"/>
        <v>329773.656387874</v>
      </c>
      <c r="H39" s="476"/>
      <c r="I39" s="469">
        <f t="shared" si="8"/>
        <v>3517.30629462877</v>
      </c>
      <c r="J39" s="469">
        <f t="shared" si="9"/>
        <v>59794.2070086891</v>
      </c>
      <c r="K39" s="469">
        <f t="shared" si="10"/>
        <v>358765.242052135</v>
      </c>
      <c r="L39" s="470">
        <f t="shared" si="2"/>
        <v>82443.4140969684</v>
      </c>
      <c r="M39" s="470">
        <f t="shared" si="3"/>
        <v>89691.3105130336</v>
      </c>
    </row>
    <row r="40" customHeight="1" spans="1:15">
      <c r="A40" s="473">
        <f t="shared" si="4"/>
        <v>19</v>
      </c>
      <c r="B40" s="478">
        <f t="shared" si="5"/>
        <v>44743</v>
      </c>
      <c r="C40" s="464">
        <f t="shared" si="0"/>
        <v>0</v>
      </c>
      <c r="D40" s="477"/>
      <c r="E40" s="465">
        <f t="shared" si="1"/>
        <v>0</v>
      </c>
      <c r="F40" s="466">
        <f t="shared" si="6"/>
        <v>1374.05690161614</v>
      </c>
      <c r="G40" s="466">
        <f t="shared" si="7"/>
        <v>331147.71328949</v>
      </c>
      <c r="H40" s="476"/>
      <c r="I40" s="469">
        <f t="shared" si="8"/>
        <v>3517.30629462877</v>
      </c>
      <c r="J40" s="469">
        <f t="shared" si="9"/>
        <v>63311.5133033178</v>
      </c>
      <c r="K40" s="469">
        <f t="shared" si="10"/>
        <v>355247.935757506</v>
      </c>
      <c r="L40" s="470">
        <f t="shared" si="2"/>
        <v>82786.9283223724</v>
      </c>
      <c r="M40" s="470">
        <f t="shared" si="3"/>
        <v>88811.9839393764</v>
      </c>
    </row>
    <row r="41" customHeight="1" spans="1:15">
      <c r="A41" s="473">
        <f t="shared" si="4"/>
        <v>20</v>
      </c>
      <c r="B41" s="478">
        <f t="shared" si="5"/>
        <v>44774</v>
      </c>
      <c r="C41" s="464">
        <f t="shared" si="0"/>
        <v>0</v>
      </c>
      <c r="D41" s="477"/>
      <c r="E41" s="465">
        <f t="shared" si="1"/>
        <v>0</v>
      </c>
      <c r="F41" s="466">
        <f t="shared" si="6"/>
        <v>1379.78213870621</v>
      </c>
      <c r="G41" s="466">
        <f t="shared" si="7"/>
        <v>332527.495428196</v>
      </c>
      <c r="H41" s="476"/>
      <c r="I41" s="469">
        <f t="shared" si="8"/>
        <v>3517.30629462877</v>
      </c>
      <c r="J41" s="469">
        <f t="shared" si="9"/>
        <v>66828.8195979466</v>
      </c>
      <c r="K41" s="469">
        <f t="shared" si="10"/>
        <v>351730.629462877</v>
      </c>
      <c r="L41" s="470">
        <f t="shared" si="2"/>
        <v>83131.873857049</v>
      </c>
      <c r="M41" s="470">
        <f t="shared" si="3"/>
        <v>87932.6573657192</v>
      </c>
    </row>
    <row r="42" customHeight="1" spans="1:15">
      <c r="A42" s="473">
        <f t="shared" si="4"/>
        <v>21</v>
      </c>
      <c r="B42" s="478">
        <f t="shared" si="5"/>
        <v>44805</v>
      </c>
      <c r="C42" s="464">
        <f t="shared" si="0"/>
        <v>0</v>
      </c>
      <c r="D42" s="477"/>
      <c r="E42" s="465">
        <f t="shared" si="1"/>
        <v>0</v>
      </c>
      <c r="F42" s="466">
        <f t="shared" si="6"/>
        <v>1385.53123095082</v>
      </c>
      <c r="G42" s="466">
        <f t="shared" si="7"/>
        <v>333913.026659147</v>
      </c>
      <c r="H42" s="476"/>
      <c r="I42" s="469">
        <f t="shared" si="8"/>
        <v>3517.30629462877</v>
      </c>
      <c r="J42" s="469">
        <f t="shared" si="9"/>
        <v>70346.1258925754</v>
      </c>
      <c r="K42" s="469">
        <f t="shared" si="10"/>
        <v>348213.323168248</v>
      </c>
      <c r="L42" s="470">
        <f t="shared" si="2"/>
        <v>83478.2566647867</v>
      </c>
      <c r="M42" s="470">
        <f t="shared" si="3"/>
        <v>87053.3307920621</v>
      </c>
    </row>
    <row r="43" customHeight="1" spans="1:15">
      <c r="A43" s="473">
        <f t="shared" si="4"/>
        <v>22</v>
      </c>
      <c r="B43" s="478">
        <f t="shared" si="5"/>
        <v>44835</v>
      </c>
      <c r="C43" s="464">
        <f t="shared" si="0"/>
        <v>0</v>
      </c>
      <c r="D43" s="477"/>
      <c r="E43" s="465">
        <f t="shared" si="1"/>
        <v>0</v>
      </c>
      <c r="F43" s="466">
        <f t="shared" si="6"/>
        <v>1391.30427774644</v>
      </c>
      <c r="G43" s="466">
        <f t="shared" si="7"/>
        <v>335304.330936893</v>
      </c>
      <c r="H43" s="476"/>
      <c r="I43" s="469">
        <f t="shared" si="8"/>
        <v>3517.30629462877</v>
      </c>
      <c r="J43" s="469">
        <f t="shared" si="9"/>
        <v>73863.4321872041</v>
      </c>
      <c r="K43" s="469">
        <f t="shared" si="10"/>
        <v>344696.016873619</v>
      </c>
      <c r="L43" s="470">
        <f t="shared" si="2"/>
        <v>83826.0827342233</v>
      </c>
      <c r="M43" s="470">
        <f t="shared" si="3"/>
        <v>86174.0042184049</v>
      </c>
    </row>
    <row r="44" customHeight="1" spans="1:15">
      <c r="A44" s="473">
        <f t="shared" si="4"/>
        <v>23</v>
      </c>
      <c r="B44" s="478">
        <f t="shared" si="5"/>
        <v>44866</v>
      </c>
      <c r="C44" s="464">
        <f t="shared" si="0"/>
        <v>0</v>
      </c>
      <c r="D44" s="477"/>
      <c r="E44" s="465">
        <f t="shared" si="1"/>
        <v>0</v>
      </c>
      <c r="F44" s="466">
        <f t="shared" si="6"/>
        <v>1397.10137890372</v>
      </c>
      <c r="G44" s="466">
        <f t="shared" si="7"/>
        <v>336701.432315797</v>
      </c>
      <c r="H44" s="476"/>
      <c r="I44" s="469">
        <f t="shared" si="8"/>
        <v>3517.30629462877</v>
      </c>
      <c r="J44" s="469">
        <f t="shared" si="9"/>
        <v>77380.7384818329</v>
      </c>
      <c r="K44" s="469">
        <f t="shared" si="10"/>
        <v>341178.710578991</v>
      </c>
      <c r="L44" s="470">
        <f t="shared" si="2"/>
        <v>84175.3580789493</v>
      </c>
      <c r="M44" s="470">
        <f t="shared" si="3"/>
        <v>85294.6776447477</v>
      </c>
    </row>
    <row r="45" customHeight="1" spans="1:15">
      <c r="A45" s="473">
        <f t="shared" si="4"/>
        <v>24</v>
      </c>
      <c r="B45" s="478">
        <f t="shared" si="5"/>
        <v>44896</v>
      </c>
      <c r="C45" s="464">
        <f t="shared" si="0"/>
        <v>0</v>
      </c>
      <c r="D45" s="477"/>
      <c r="E45" s="465">
        <f t="shared" si="1"/>
        <v>0</v>
      </c>
      <c r="F45" s="466">
        <f t="shared" si="6"/>
        <v>1402.92263464915</v>
      </c>
      <c r="G45" s="466">
        <f t="shared" si="7"/>
        <v>338104.354950446</v>
      </c>
      <c r="H45" s="476"/>
      <c r="I45" s="469">
        <f t="shared" si="8"/>
        <v>3517.30629462877</v>
      </c>
      <c r="J45" s="469">
        <f t="shared" si="9"/>
        <v>80898.0447764617</v>
      </c>
      <c r="K45" s="469">
        <f t="shared" si="10"/>
        <v>337661.404284362</v>
      </c>
      <c r="L45" s="470">
        <f t="shared" si="2"/>
        <v>84526.0887376115</v>
      </c>
      <c r="M45" s="470">
        <f t="shared" si="3"/>
        <v>84415.3510710905</v>
      </c>
    </row>
    <row r="46" customHeight="1" spans="1:15">
      <c r="A46" s="473">
        <f t="shared" si="4"/>
        <v>25</v>
      </c>
      <c r="B46" s="478">
        <f t="shared" si="5"/>
        <v>44927</v>
      </c>
      <c r="C46" s="464">
        <f t="shared" si="0"/>
        <v>50000</v>
      </c>
      <c r="D46" s="477"/>
      <c r="E46" s="465">
        <f t="shared" si="1"/>
        <v>45251.2711679259</v>
      </c>
      <c r="F46" s="466">
        <f t="shared" si="6"/>
        <v>1200.43481229353</v>
      </c>
      <c r="G46" s="466">
        <f t="shared" si="7"/>
        <v>289304.78976274</v>
      </c>
      <c r="H46" s="476"/>
      <c r="I46" s="469">
        <f t="shared" si="8"/>
        <v>3517.30629462877</v>
      </c>
      <c r="J46" s="469">
        <f t="shared" si="9"/>
        <v>84415.3510710905</v>
      </c>
      <c r="K46" s="469">
        <f t="shared" si="10"/>
        <v>334144.097989733</v>
      </c>
      <c r="L46" s="470">
        <f t="shared" si="2"/>
        <v>72326.1974406849</v>
      </c>
      <c r="M46" s="470">
        <f t="shared" si="3"/>
        <v>83536.0244974333</v>
      </c>
    </row>
    <row r="47" customHeight="1" spans="1:15">
      <c r="A47" s="473">
        <f t="shared" si="4"/>
        <v>26</v>
      </c>
      <c r="B47" s="478">
        <f t="shared" si="5"/>
        <v>44958</v>
      </c>
      <c r="C47" s="464">
        <f t="shared" si="0"/>
        <v>0</v>
      </c>
      <c r="D47" s="477"/>
      <c r="E47" s="465">
        <f t="shared" si="1"/>
        <v>0</v>
      </c>
      <c r="F47" s="466">
        <f t="shared" si="6"/>
        <v>1205.43662401142</v>
      </c>
      <c r="G47" s="466">
        <f t="shared" si="7"/>
        <v>290510.226386751</v>
      </c>
      <c r="H47" s="476"/>
      <c r="I47" s="469">
        <f t="shared" si="8"/>
        <v>3517.30629462877</v>
      </c>
      <c r="J47" s="469">
        <f t="shared" si="9"/>
        <v>87932.6573657192</v>
      </c>
      <c r="K47" s="469">
        <f t="shared" si="10"/>
        <v>330626.791695104</v>
      </c>
      <c r="L47" s="470">
        <f t="shared" si="2"/>
        <v>72627.5565966878</v>
      </c>
      <c r="M47" s="470">
        <f t="shared" si="3"/>
        <v>82656.6979237761</v>
      </c>
    </row>
    <row r="48" customHeight="1" spans="1:15">
      <c r="A48" s="473">
        <f t="shared" si="4"/>
        <v>27</v>
      </c>
      <c r="B48" s="478">
        <f t="shared" si="5"/>
        <v>44986</v>
      </c>
      <c r="C48" s="464">
        <f t="shared" si="0"/>
        <v>0</v>
      </c>
      <c r="D48" s="477"/>
      <c r="E48" s="465">
        <f t="shared" si="1"/>
        <v>0</v>
      </c>
      <c r="F48" s="466">
        <f t="shared" si="6"/>
        <v>1210.45927661146</v>
      </c>
      <c r="G48" s="466">
        <f t="shared" si="7"/>
        <v>291720.685663363</v>
      </c>
      <c r="H48" s="476"/>
      <c r="I48" s="469">
        <f t="shared" si="8"/>
        <v>3517.30629462877</v>
      </c>
      <c r="J48" s="469">
        <f t="shared" si="9"/>
        <v>91449.963660348</v>
      </c>
      <c r="K48" s="469">
        <f t="shared" si="10"/>
        <v>327109.485400476</v>
      </c>
      <c r="L48" s="470">
        <f t="shared" si="2"/>
        <v>72930.1714158406</v>
      </c>
      <c r="M48" s="470">
        <f t="shared" si="3"/>
        <v>81777.3713501189</v>
      </c>
    </row>
    <row r="49" customHeight="1" spans="1:13">
      <c r="A49" s="473">
        <f t="shared" si="4"/>
        <v>28</v>
      </c>
      <c r="B49" s="478">
        <f t="shared" si="5"/>
        <v>45017</v>
      </c>
      <c r="C49" s="464">
        <f t="shared" si="0"/>
        <v>0</v>
      </c>
      <c r="D49" s="477"/>
      <c r="E49" s="465">
        <f t="shared" si="1"/>
        <v>0</v>
      </c>
      <c r="F49" s="466">
        <f t="shared" si="6"/>
        <v>1215.50285693068</v>
      </c>
      <c r="G49" s="466">
        <f t="shared" si="7"/>
        <v>292936.188520293</v>
      </c>
      <c r="H49" s="476"/>
      <c r="I49" s="469">
        <f t="shared" si="8"/>
        <v>3517.30629462877</v>
      </c>
      <c r="J49" s="469">
        <f t="shared" si="9"/>
        <v>94967.2699549768</v>
      </c>
      <c r="K49" s="469">
        <f t="shared" si="10"/>
        <v>323592.179105847</v>
      </c>
      <c r="L49" s="470">
        <f t="shared" si="2"/>
        <v>73234.0471300733</v>
      </c>
      <c r="M49" s="470">
        <f t="shared" si="3"/>
        <v>80898.0447764617</v>
      </c>
    </row>
    <row r="50" customHeight="1" spans="1:13">
      <c r="A50" s="473">
        <f t="shared" si="4"/>
        <v>29</v>
      </c>
      <c r="B50" s="478">
        <f t="shared" si="5"/>
        <v>45047</v>
      </c>
      <c r="C50" s="464">
        <f t="shared" si="0"/>
        <v>0</v>
      </c>
      <c r="D50" s="477"/>
      <c r="E50" s="465">
        <f t="shared" si="1"/>
        <v>0</v>
      </c>
      <c r="F50" s="466">
        <f t="shared" si="6"/>
        <v>1220.56745216789</v>
      </c>
      <c r="G50" s="466">
        <f t="shared" si="7"/>
        <v>294156.755972461</v>
      </c>
      <c r="H50" s="476"/>
      <c r="I50" s="469">
        <f t="shared" si="8"/>
        <v>3517.30629462877</v>
      </c>
      <c r="J50" s="469">
        <f t="shared" si="9"/>
        <v>98484.5762496055</v>
      </c>
      <c r="K50" s="469">
        <f t="shared" si="10"/>
        <v>320074.872811218</v>
      </c>
      <c r="L50" s="470">
        <f t="shared" si="2"/>
        <v>73539.1889931153</v>
      </c>
      <c r="M50" s="470">
        <f t="shared" si="3"/>
        <v>80018.7182028045</v>
      </c>
    </row>
    <row r="51" customHeight="1" spans="1:13">
      <c r="A51" s="473">
        <f t="shared" si="4"/>
        <v>30</v>
      </c>
      <c r="B51" s="478">
        <f t="shared" si="5"/>
        <v>45078</v>
      </c>
      <c r="C51" s="464">
        <f t="shared" si="0"/>
        <v>0</v>
      </c>
      <c r="D51" s="477"/>
      <c r="E51" s="465">
        <f t="shared" si="1"/>
        <v>0</v>
      </c>
      <c r="F51" s="466">
        <f t="shared" si="6"/>
        <v>1225.65314988525</v>
      </c>
      <c r="G51" s="466">
        <f t="shared" si="7"/>
        <v>295382.409122346</v>
      </c>
      <c r="H51" s="476"/>
      <c r="I51" s="469">
        <f t="shared" si="8"/>
        <v>3517.30629462877</v>
      </c>
      <c r="J51" s="469">
        <f t="shared" si="9"/>
        <v>102001.882544234</v>
      </c>
      <c r="K51" s="469">
        <f t="shared" si="10"/>
        <v>316557.566516589</v>
      </c>
      <c r="L51" s="470">
        <f t="shared" si="2"/>
        <v>73845.6022805866</v>
      </c>
      <c r="M51" s="470">
        <f t="shared" si="3"/>
        <v>79139.3916291473</v>
      </c>
    </row>
    <row r="52" customHeight="1" spans="1:13">
      <c r="A52" s="473">
        <f t="shared" si="4"/>
        <v>31</v>
      </c>
      <c r="B52" s="478">
        <f t="shared" si="5"/>
        <v>45108</v>
      </c>
      <c r="C52" s="464">
        <f t="shared" si="0"/>
        <v>0</v>
      </c>
      <c r="D52" s="477"/>
      <c r="E52" s="465">
        <f t="shared" si="1"/>
        <v>0</v>
      </c>
      <c r="F52" s="466">
        <f t="shared" si="6"/>
        <v>1230.76003800978</v>
      </c>
      <c r="G52" s="466">
        <f t="shared" si="7"/>
        <v>296613.169160356</v>
      </c>
      <c r="H52" s="476"/>
      <c r="I52" s="469">
        <f t="shared" si="8"/>
        <v>3517.30629462877</v>
      </c>
      <c r="J52" s="469">
        <f t="shared" si="9"/>
        <v>105519.188838863</v>
      </c>
      <c r="K52" s="469">
        <f t="shared" si="10"/>
        <v>313040.260221961</v>
      </c>
      <c r="L52" s="470">
        <f t="shared" si="2"/>
        <v>74153.292290089</v>
      </c>
      <c r="M52" s="470">
        <f t="shared" si="3"/>
        <v>78260.0650554901</v>
      </c>
    </row>
    <row r="53" customHeight="1" spans="1:13">
      <c r="A53" s="473">
        <f t="shared" si="4"/>
        <v>32</v>
      </c>
      <c r="B53" s="478">
        <f t="shared" si="5"/>
        <v>45139</v>
      </c>
      <c r="C53" s="464">
        <f t="shared" si="0"/>
        <v>0</v>
      </c>
      <c r="D53" s="477"/>
      <c r="E53" s="465">
        <f t="shared" si="1"/>
        <v>0</v>
      </c>
      <c r="F53" s="466">
        <f t="shared" si="6"/>
        <v>1235.88820483482</v>
      </c>
      <c r="G53" s="466">
        <f t="shared" si="7"/>
        <v>297849.057365191</v>
      </c>
      <c r="H53" s="476"/>
      <c r="I53" s="469">
        <f t="shared" si="8"/>
        <v>3517.30629462877</v>
      </c>
      <c r="J53" s="469">
        <f t="shared" si="9"/>
        <v>109036.495133492</v>
      </c>
      <c r="K53" s="469">
        <f t="shared" si="10"/>
        <v>309522.953927332</v>
      </c>
      <c r="L53" s="470">
        <f t="shared" si="2"/>
        <v>74462.2643412977</v>
      </c>
      <c r="M53" s="470">
        <f t="shared" si="3"/>
        <v>77380.7384818329</v>
      </c>
    </row>
    <row r="54" customHeight="1" spans="1:13">
      <c r="A54" s="473">
        <f t="shared" si="4"/>
        <v>33</v>
      </c>
      <c r="B54" s="478">
        <f t="shared" si="5"/>
        <v>45170</v>
      </c>
      <c r="C54" s="464">
        <f t="shared" si="0"/>
        <v>0</v>
      </c>
      <c r="D54" s="477"/>
      <c r="E54" s="465">
        <f t="shared" si="1"/>
        <v>0</v>
      </c>
      <c r="F54" s="466">
        <f t="shared" si="6"/>
        <v>1241.03773902163</v>
      </c>
      <c r="G54" s="466">
        <f t="shared" si="7"/>
        <v>299090.095104213</v>
      </c>
      <c r="H54" s="476"/>
      <c r="I54" s="469">
        <f t="shared" si="8"/>
        <v>3517.30629462877</v>
      </c>
      <c r="J54" s="469">
        <f t="shared" si="9"/>
        <v>112553.801428121</v>
      </c>
      <c r="K54" s="469">
        <f t="shared" si="10"/>
        <v>306005.647632703</v>
      </c>
      <c r="L54" s="470">
        <f t="shared" si="2"/>
        <v>74772.5237760531</v>
      </c>
      <c r="M54" s="470">
        <f t="shared" si="3"/>
        <v>76501.4119081758</v>
      </c>
    </row>
    <row r="55" customHeight="1" spans="1:13">
      <c r="A55" s="473">
        <f t="shared" si="4"/>
        <v>34</v>
      </c>
      <c r="B55" s="478">
        <f t="shared" si="5"/>
        <v>45200</v>
      </c>
      <c r="C55" s="464">
        <f t="shared" si="0"/>
        <v>0</v>
      </c>
      <c r="D55" s="477"/>
      <c r="E55" s="465">
        <f t="shared" si="1"/>
        <v>0</v>
      </c>
      <c r="F55" s="466">
        <f t="shared" si="6"/>
        <v>1246.20872960089</v>
      </c>
      <c r="G55" s="466">
        <f t="shared" si="7"/>
        <v>300336.303833813</v>
      </c>
      <c r="H55" s="476"/>
      <c r="I55" s="469">
        <f t="shared" si="8"/>
        <v>3517.30629462877</v>
      </c>
      <c r="J55" s="469">
        <f t="shared" si="9"/>
        <v>116071.107722749</v>
      </c>
      <c r="K55" s="469">
        <f t="shared" si="10"/>
        <v>302488.341338074</v>
      </c>
      <c r="L55" s="470">
        <f t="shared" si="2"/>
        <v>75084.0759584534</v>
      </c>
      <c r="M55" s="470">
        <f t="shared" si="3"/>
        <v>75622.0853345186</v>
      </c>
    </row>
    <row r="56" customHeight="1" spans="1:13">
      <c r="A56" s="473">
        <f t="shared" si="4"/>
        <v>35</v>
      </c>
      <c r="B56" s="478">
        <f t="shared" si="5"/>
        <v>45231</v>
      </c>
      <c r="C56" s="464">
        <f t="shared" si="0"/>
        <v>0</v>
      </c>
      <c r="D56" s="477"/>
      <c r="E56" s="465">
        <f t="shared" si="1"/>
        <v>0</v>
      </c>
      <c r="F56" s="466">
        <f t="shared" si="6"/>
        <v>1251.40126597422</v>
      </c>
      <c r="G56" s="466">
        <f t="shared" si="7"/>
        <v>301587.705099788</v>
      </c>
      <c r="H56" s="476"/>
      <c r="I56" s="469">
        <f t="shared" si="8"/>
        <v>3517.30629462877</v>
      </c>
      <c r="J56" s="469">
        <f t="shared" si="9"/>
        <v>119588.414017378</v>
      </c>
      <c r="K56" s="469">
        <f t="shared" si="10"/>
        <v>298971.035043445</v>
      </c>
      <c r="L56" s="470">
        <f t="shared" si="2"/>
        <v>75396.9262749469</v>
      </c>
      <c r="M56" s="470">
        <f t="shared" si="3"/>
        <v>74742.7587608614</v>
      </c>
    </row>
    <row r="57" customHeight="1" spans="1:13">
      <c r="A57" s="473">
        <f t="shared" si="4"/>
        <v>36</v>
      </c>
      <c r="B57" s="478">
        <f t="shared" si="5"/>
        <v>45261</v>
      </c>
      <c r="C57" s="464">
        <f t="shared" si="0"/>
        <v>0</v>
      </c>
      <c r="D57" s="477"/>
      <c r="E57" s="465">
        <f t="shared" si="1"/>
        <v>0</v>
      </c>
      <c r="F57" s="466">
        <f t="shared" si="6"/>
        <v>1256.61543791578</v>
      </c>
      <c r="G57" s="466">
        <f t="shared" si="7"/>
        <v>302844.320537703</v>
      </c>
      <c r="H57" s="476"/>
      <c r="I57" s="469">
        <f t="shared" si="8"/>
        <v>3517.30629462877</v>
      </c>
      <c r="J57" s="469">
        <f t="shared" si="9"/>
        <v>123105.720312007</v>
      </c>
      <c r="K57" s="469">
        <f t="shared" si="10"/>
        <v>295453.728748817</v>
      </c>
      <c r="L57" s="470">
        <f t="shared" si="2"/>
        <v>75711.0801344259</v>
      </c>
      <c r="M57" s="470">
        <f t="shared" si="3"/>
        <v>73863.4321872042</v>
      </c>
    </row>
    <row r="58" customHeight="1" spans="1:13">
      <c r="A58" s="473">
        <f t="shared" si="4"/>
        <v>37</v>
      </c>
      <c r="B58" s="478">
        <f t="shared" si="5"/>
        <v>45292</v>
      </c>
      <c r="C58" s="464">
        <f t="shared" si="0"/>
        <v>50000</v>
      </c>
      <c r="D58" s="477"/>
      <c r="E58" s="465">
        <f t="shared" si="1"/>
        <v>43048.812232554</v>
      </c>
      <c r="F58" s="466">
        <f t="shared" si="6"/>
        <v>1053.51800224043</v>
      </c>
      <c r="G58" s="466">
        <f t="shared" si="7"/>
        <v>253897.838539944</v>
      </c>
      <c r="H58" s="476"/>
      <c r="I58" s="469">
        <f t="shared" si="8"/>
        <v>3517.30629462877</v>
      </c>
      <c r="J58" s="469">
        <f t="shared" si="9"/>
        <v>126623.026606636</v>
      </c>
      <c r="K58" s="469">
        <f t="shared" si="10"/>
        <v>291936.422454188</v>
      </c>
      <c r="L58" s="470">
        <f t="shared" si="2"/>
        <v>63474.459634986</v>
      </c>
      <c r="M58" s="470">
        <f t="shared" si="3"/>
        <v>72984.105613547</v>
      </c>
    </row>
    <row r="59" customHeight="1" spans="1:13">
      <c r="A59" s="473">
        <f t="shared" si="4"/>
        <v>38</v>
      </c>
      <c r="B59" s="478">
        <f t="shared" si="5"/>
        <v>45323</v>
      </c>
      <c r="C59" s="464">
        <f t="shared" si="0"/>
        <v>0</v>
      </c>
      <c r="D59" s="477"/>
      <c r="E59" s="465">
        <f t="shared" si="1"/>
        <v>0</v>
      </c>
      <c r="F59" s="466">
        <f t="shared" si="6"/>
        <v>1057.9076605831</v>
      </c>
      <c r="G59" s="466">
        <f t="shared" si="7"/>
        <v>254955.746200527</v>
      </c>
      <c r="H59" s="476"/>
      <c r="I59" s="469">
        <f t="shared" si="8"/>
        <v>3517.30629462877</v>
      </c>
      <c r="J59" s="469">
        <f t="shared" si="9"/>
        <v>130140.332901264</v>
      </c>
      <c r="K59" s="469">
        <f t="shared" si="10"/>
        <v>288419.116159559</v>
      </c>
      <c r="L59" s="470">
        <f t="shared" si="2"/>
        <v>63738.9365501317</v>
      </c>
      <c r="M59" s="470">
        <f t="shared" si="3"/>
        <v>72104.7790398898</v>
      </c>
    </row>
    <row r="60" customHeight="1" spans="1:13">
      <c r="A60" s="473">
        <f t="shared" si="4"/>
        <v>39</v>
      </c>
      <c r="B60" s="478">
        <f t="shared" si="5"/>
        <v>45352</v>
      </c>
      <c r="C60" s="464">
        <f t="shared" si="0"/>
        <v>0</v>
      </c>
      <c r="D60" s="477"/>
      <c r="E60" s="465">
        <f t="shared" si="1"/>
        <v>0</v>
      </c>
      <c r="F60" s="466">
        <f t="shared" si="6"/>
        <v>1062.31560916886</v>
      </c>
      <c r="G60" s="466">
        <f t="shared" si="7"/>
        <v>256018.061809696</v>
      </c>
      <c r="H60" s="476"/>
      <c r="I60" s="469">
        <f t="shared" si="8"/>
        <v>3517.30629462877</v>
      </c>
      <c r="J60" s="469">
        <f t="shared" si="9"/>
        <v>133657.639195893</v>
      </c>
      <c r="K60" s="469">
        <f t="shared" si="10"/>
        <v>284901.80986493</v>
      </c>
      <c r="L60" s="470">
        <f t="shared" si="2"/>
        <v>64004.515452424</v>
      </c>
      <c r="M60" s="470">
        <f t="shared" si="3"/>
        <v>71225.4524662326</v>
      </c>
    </row>
    <row r="61" customHeight="1" spans="1:13">
      <c r="A61" s="473">
        <f t="shared" si="4"/>
        <v>40</v>
      </c>
      <c r="B61" s="478">
        <f t="shared" si="5"/>
        <v>45383</v>
      </c>
      <c r="C61" s="464">
        <f t="shared" si="0"/>
        <v>0</v>
      </c>
      <c r="D61" s="477"/>
      <c r="E61" s="465">
        <f t="shared" si="1"/>
        <v>0</v>
      </c>
      <c r="F61" s="466">
        <f t="shared" si="6"/>
        <v>1066.74192420707</v>
      </c>
      <c r="G61" s="466">
        <f t="shared" si="7"/>
        <v>257084.803733903</v>
      </c>
      <c r="H61" s="476"/>
      <c r="I61" s="469">
        <f t="shared" si="8"/>
        <v>3517.30629462877</v>
      </c>
      <c r="J61" s="469">
        <f t="shared" si="9"/>
        <v>137174.945490522</v>
      </c>
      <c r="K61" s="469">
        <f t="shared" si="10"/>
        <v>281384.503570302</v>
      </c>
      <c r="L61" s="470">
        <f t="shared" si="2"/>
        <v>64271.2009334757</v>
      </c>
      <c r="M61" s="470">
        <f t="shared" si="3"/>
        <v>70346.1258925754</v>
      </c>
    </row>
    <row r="62" customHeight="1" spans="1:13">
      <c r="A62" s="473">
        <f t="shared" si="4"/>
        <v>41</v>
      </c>
      <c r="B62" s="478">
        <f t="shared" si="5"/>
        <v>45413</v>
      </c>
      <c r="C62" s="464">
        <f t="shared" si="0"/>
        <v>0</v>
      </c>
      <c r="D62" s="477"/>
      <c r="E62" s="465">
        <f t="shared" si="1"/>
        <v>0</v>
      </c>
      <c r="F62" s="466">
        <f t="shared" si="6"/>
        <v>1071.1866822246</v>
      </c>
      <c r="G62" s="466">
        <f t="shared" si="7"/>
        <v>258155.990416128</v>
      </c>
      <c r="H62" s="476"/>
      <c r="I62" s="469">
        <f t="shared" si="8"/>
        <v>3517.30629462877</v>
      </c>
      <c r="J62" s="469">
        <f t="shared" si="9"/>
        <v>140692.251785151</v>
      </c>
      <c r="K62" s="469">
        <f t="shared" si="10"/>
        <v>277867.197275673</v>
      </c>
      <c r="L62" s="470">
        <f t="shared" si="2"/>
        <v>64538.9976040319</v>
      </c>
      <c r="M62" s="470">
        <f t="shared" si="3"/>
        <v>69466.7993189182</v>
      </c>
    </row>
    <row r="63" customHeight="1" spans="1:13">
      <c r="A63" s="473">
        <f t="shared" si="4"/>
        <v>42</v>
      </c>
      <c r="B63" s="478">
        <f t="shared" si="5"/>
        <v>45444</v>
      </c>
      <c r="C63" s="464">
        <f t="shared" si="0"/>
        <v>0</v>
      </c>
      <c r="D63" s="477"/>
      <c r="E63" s="465">
        <f t="shared" si="1"/>
        <v>0</v>
      </c>
      <c r="F63" s="466">
        <f t="shared" si="6"/>
        <v>1075.6499600672</v>
      </c>
      <c r="G63" s="466">
        <f t="shared" si="7"/>
        <v>259231.640376195</v>
      </c>
      <c r="H63" s="476"/>
      <c r="I63" s="469">
        <f t="shared" si="8"/>
        <v>3517.30629462877</v>
      </c>
      <c r="J63" s="469">
        <f t="shared" si="9"/>
        <v>144209.55807978</v>
      </c>
      <c r="K63" s="469">
        <f t="shared" si="10"/>
        <v>274349.890981044</v>
      </c>
      <c r="L63" s="470">
        <f t="shared" si="2"/>
        <v>64807.9100940487</v>
      </c>
      <c r="M63" s="470">
        <f t="shared" si="3"/>
        <v>68587.472745261</v>
      </c>
    </row>
    <row r="64" customHeight="1" spans="1:13">
      <c r="A64" s="473">
        <f t="shared" si="4"/>
        <v>43</v>
      </c>
      <c r="B64" s="478">
        <f t="shared" si="5"/>
        <v>45474</v>
      </c>
      <c r="C64" s="464">
        <f t="shared" si="0"/>
        <v>0</v>
      </c>
      <c r="D64" s="477"/>
      <c r="E64" s="465">
        <f t="shared" si="1"/>
        <v>0</v>
      </c>
      <c r="F64" s="466">
        <f t="shared" si="6"/>
        <v>1080.13183490081</v>
      </c>
      <c r="G64" s="466">
        <f t="shared" si="7"/>
        <v>260311.772211096</v>
      </c>
      <c r="H64" s="476"/>
      <c r="I64" s="469">
        <f t="shared" si="8"/>
        <v>3517.30629462877</v>
      </c>
      <c r="J64" s="469">
        <f t="shared" si="9"/>
        <v>147726.864374408</v>
      </c>
      <c r="K64" s="469">
        <f t="shared" si="10"/>
        <v>270832.584686415</v>
      </c>
      <c r="L64" s="470">
        <f t="shared" si="2"/>
        <v>65077.9430527739</v>
      </c>
      <c r="M64" s="470">
        <f t="shared" si="3"/>
        <v>67708.1461716038</v>
      </c>
    </row>
    <row r="65" customHeight="1" spans="1:13">
      <c r="A65" s="473">
        <f t="shared" si="4"/>
        <v>44</v>
      </c>
      <c r="B65" s="478">
        <f t="shared" si="5"/>
        <v>45505</v>
      </c>
      <c r="C65" s="464">
        <f t="shared" si="0"/>
        <v>0</v>
      </c>
      <c r="D65" s="477"/>
      <c r="E65" s="465">
        <f t="shared" si="1"/>
        <v>0</v>
      </c>
      <c r="F65" s="466">
        <f t="shared" si="6"/>
        <v>1084.6323842129</v>
      </c>
      <c r="G65" s="466">
        <f t="shared" si="7"/>
        <v>261396.404595308</v>
      </c>
      <c r="H65" s="476"/>
      <c r="I65" s="469">
        <f t="shared" si="8"/>
        <v>3517.30629462877</v>
      </c>
      <c r="J65" s="469">
        <f t="shared" si="9"/>
        <v>151244.170669037</v>
      </c>
      <c r="K65" s="469">
        <f t="shared" si="10"/>
        <v>267315.278391787</v>
      </c>
      <c r="L65" s="470">
        <f t="shared" si="2"/>
        <v>65349.1011488271</v>
      </c>
      <c r="M65" s="470">
        <f t="shared" si="3"/>
        <v>66828.8195979466</v>
      </c>
    </row>
    <row r="66" customHeight="1" spans="1:13">
      <c r="A66" s="473">
        <f t="shared" si="4"/>
        <v>45</v>
      </c>
      <c r="B66" s="478">
        <f t="shared" si="5"/>
        <v>45536</v>
      </c>
      <c r="C66" s="464">
        <f t="shared" si="0"/>
        <v>0</v>
      </c>
      <c r="D66" s="477"/>
      <c r="E66" s="465">
        <f t="shared" si="1"/>
        <v>0</v>
      </c>
      <c r="F66" s="466">
        <f t="shared" si="6"/>
        <v>1089.15168581379</v>
      </c>
      <c r="G66" s="466">
        <f t="shared" si="7"/>
        <v>262485.556281122</v>
      </c>
      <c r="H66" s="476"/>
      <c r="I66" s="469">
        <f t="shared" si="8"/>
        <v>3517.30629462877</v>
      </c>
      <c r="J66" s="469">
        <f t="shared" si="9"/>
        <v>154761.476963666</v>
      </c>
      <c r="K66" s="469">
        <f t="shared" si="10"/>
        <v>263797.972097158</v>
      </c>
      <c r="L66" s="470">
        <f t="shared" si="2"/>
        <v>65621.3890702806</v>
      </c>
      <c r="M66" s="470">
        <f t="shared" si="3"/>
        <v>65949.4930242894</v>
      </c>
    </row>
    <row r="67" customHeight="1" spans="1:13">
      <c r="A67" s="473">
        <f t="shared" si="4"/>
        <v>46</v>
      </c>
      <c r="B67" s="478">
        <f t="shared" si="5"/>
        <v>45566</v>
      </c>
      <c r="C67" s="464">
        <f t="shared" si="0"/>
        <v>0</v>
      </c>
      <c r="D67" s="477"/>
      <c r="E67" s="465">
        <f t="shared" si="1"/>
        <v>0</v>
      </c>
      <c r="F67" s="466">
        <f t="shared" si="6"/>
        <v>1093.68981783801</v>
      </c>
      <c r="G67" s="466">
        <f t="shared" si="7"/>
        <v>263579.24609896</v>
      </c>
      <c r="H67" s="476"/>
      <c r="I67" s="469">
        <f t="shared" si="8"/>
        <v>3517.30629462877</v>
      </c>
      <c r="J67" s="469">
        <f t="shared" si="9"/>
        <v>158278.783258295</v>
      </c>
      <c r="K67" s="469">
        <f t="shared" si="10"/>
        <v>260280.665802529</v>
      </c>
      <c r="L67" s="470">
        <f t="shared" si="2"/>
        <v>65894.8115247401</v>
      </c>
      <c r="M67" s="470">
        <f t="shared" si="3"/>
        <v>65070.1664506323</v>
      </c>
    </row>
    <row r="68" customHeight="1" spans="1:13">
      <c r="A68" s="473">
        <f t="shared" si="4"/>
        <v>47</v>
      </c>
      <c r="B68" s="478">
        <f t="shared" si="5"/>
        <v>45597</v>
      </c>
      <c r="C68" s="464">
        <f t="shared" si="0"/>
        <v>0</v>
      </c>
      <c r="D68" s="477"/>
      <c r="E68" s="465">
        <f t="shared" si="1"/>
        <v>0</v>
      </c>
      <c r="F68" s="466">
        <f t="shared" si="6"/>
        <v>1098.24685874567</v>
      </c>
      <c r="G68" s="466">
        <f t="shared" si="7"/>
        <v>264677.492957706</v>
      </c>
      <c r="H68" s="476"/>
      <c r="I68" s="469">
        <f t="shared" si="8"/>
        <v>3517.30629462877</v>
      </c>
      <c r="J68" s="469">
        <f t="shared" si="9"/>
        <v>161796.089552923</v>
      </c>
      <c r="K68" s="469">
        <f t="shared" si="10"/>
        <v>256763.3595079</v>
      </c>
      <c r="L68" s="470">
        <f t="shared" si="2"/>
        <v>66169.3732394265</v>
      </c>
      <c r="M68" s="470">
        <f t="shared" si="3"/>
        <v>64190.8398769751</v>
      </c>
    </row>
    <row r="69" customHeight="1" spans="1:13">
      <c r="A69" s="473">
        <f t="shared" si="4"/>
        <v>48</v>
      </c>
      <c r="B69" s="478">
        <f t="shared" si="5"/>
        <v>45627</v>
      </c>
      <c r="C69" s="464">
        <f t="shared" si="0"/>
        <v>0</v>
      </c>
      <c r="D69" s="477"/>
      <c r="E69" s="465">
        <f t="shared" si="1"/>
        <v>0</v>
      </c>
      <c r="F69" s="466">
        <f t="shared" si="6"/>
        <v>1102.82288732377</v>
      </c>
      <c r="G69" s="466">
        <f t="shared" si="7"/>
        <v>265780.31584503</v>
      </c>
      <c r="H69" s="476"/>
      <c r="I69" s="469">
        <f t="shared" si="8"/>
        <v>3517.30629462877</v>
      </c>
      <c r="J69" s="469">
        <f t="shared" si="9"/>
        <v>165313.395847552</v>
      </c>
      <c r="K69" s="469">
        <f t="shared" si="10"/>
        <v>253246.053213271</v>
      </c>
      <c r="L69" s="470">
        <f t="shared" si="2"/>
        <v>66445.0789612574</v>
      </c>
      <c r="M69" s="470">
        <f t="shared" si="3"/>
        <v>63311.5133033179</v>
      </c>
    </row>
    <row r="70" customHeight="1" spans="1:13">
      <c r="A70" s="473">
        <f t="shared" si="4"/>
        <v>49</v>
      </c>
      <c r="B70" s="478">
        <f t="shared" si="5"/>
        <v>45658</v>
      </c>
      <c r="C70" s="464">
        <f t="shared" si="0"/>
        <v>50000</v>
      </c>
      <c r="D70" s="477"/>
      <c r="E70" s="465">
        <f t="shared" si="1"/>
        <v>40953.5508462631</v>
      </c>
      <c r="F70" s="466">
        <f t="shared" si="6"/>
        <v>899.08464935429</v>
      </c>
      <c r="G70" s="466">
        <f t="shared" si="7"/>
        <v>216679.400494384</v>
      </c>
      <c r="H70" s="476"/>
      <c r="I70" s="469">
        <f t="shared" si="8"/>
        <v>3517.30629462877</v>
      </c>
      <c r="J70" s="469">
        <f t="shared" si="9"/>
        <v>168830.702142181</v>
      </c>
      <c r="K70" s="469">
        <f t="shared" si="10"/>
        <v>249728.746918643</v>
      </c>
      <c r="L70" s="470">
        <f t="shared" si="2"/>
        <v>54169.850123596</v>
      </c>
      <c r="M70" s="470">
        <f t="shared" si="3"/>
        <v>62432.1867296607</v>
      </c>
    </row>
    <row r="71" customHeight="1" spans="1:13">
      <c r="A71" s="473">
        <f t="shared" si="4"/>
        <v>50</v>
      </c>
      <c r="B71" s="478">
        <f t="shared" si="5"/>
        <v>45689</v>
      </c>
      <c r="C71" s="464">
        <f t="shared" si="0"/>
        <v>0</v>
      </c>
      <c r="D71" s="477"/>
      <c r="E71" s="465">
        <f t="shared" si="1"/>
        <v>0</v>
      </c>
      <c r="F71" s="466">
        <f t="shared" si="6"/>
        <v>902.830835393266</v>
      </c>
      <c r="G71" s="466">
        <f t="shared" si="7"/>
        <v>217582.231329777</v>
      </c>
      <c r="H71" s="476"/>
      <c r="I71" s="469">
        <f t="shared" si="8"/>
        <v>3517.30629462877</v>
      </c>
      <c r="J71" s="469">
        <f t="shared" si="9"/>
        <v>172348.00843681</v>
      </c>
      <c r="K71" s="469">
        <f t="shared" si="10"/>
        <v>246211.440624014</v>
      </c>
      <c r="L71" s="470">
        <f t="shared" si="2"/>
        <v>54395.5578324443</v>
      </c>
      <c r="M71" s="470">
        <f t="shared" si="3"/>
        <v>61552.8601560035</v>
      </c>
    </row>
    <row r="72" customHeight="1" spans="1:13">
      <c r="A72" s="473">
        <f t="shared" si="4"/>
        <v>51</v>
      </c>
      <c r="B72" s="478">
        <f t="shared" si="5"/>
        <v>45717</v>
      </c>
      <c r="C72" s="464">
        <f t="shared" si="0"/>
        <v>0</v>
      </c>
      <c r="D72" s="477"/>
      <c r="E72" s="465">
        <f t="shared" si="1"/>
        <v>0</v>
      </c>
      <c r="F72" s="466">
        <f t="shared" si="6"/>
        <v>906.592630540738</v>
      </c>
      <c r="G72" s="466">
        <f t="shared" si="7"/>
        <v>218488.823960318</v>
      </c>
      <c r="H72" s="476"/>
      <c r="I72" s="469">
        <f t="shared" si="8"/>
        <v>3517.30629462877</v>
      </c>
      <c r="J72" s="469">
        <f t="shared" si="9"/>
        <v>175865.314731438</v>
      </c>
      <c r="K72" s="469">
        <f t="shared" si="10"/>
        <v>242694.134329385</v>
      </c>
      <c r="L72" s="470">
        <f t="shared" si="2"/>
        <v>54622.2059900795</v>
      </c>
      <c r="M72" s="470">
        <f t="shared" si="3"/>
        <v>60673.5335823463</v>
      </c>
    </row>
    <row r="73" customHeight="1" spans="1:13">
      <c r="A73" s="473">
        <f t="shared" si="4"/>
        <v>52</v>
      </c>
      <c r="B73" s="478">
        <f t="shared" si="5"/>
        <v>45748</v>
      </c>
      <c r="C73" s="464">
        <f t="shared" si="0"/>
        <v>0</v>
      </c>
      <c r="D73" s="477"/>
      <c r="E73" s="465">
        <f t="shared" si="1"/>
        <v>0</v>
      </c>
      <c r="F73" s="466">
        <f t="shared" si="6"/>
        <v>910.370099834658</v>
      </c>
      <c r="G73" s="466">
        <f t="shared" si="7"/>
        <v>219399.194060153</v>
      </c>
      <c r="H73" s="476"/>
      <c r="I73" s="469">
        <f t="shared" si="8"/>
        <v>3517.30629462877</v>
      </c>
      <c r="J73" s="469">
        <f t="shared" si="9"/>
        <v>179382.621026067</v>
      </c>
      <c r="K73" s="469">
        <f t="shared" si="10"/>
        <v>239176.828034756</v>
      </c>
      <c r="L73" s="470">
        <f t="shared" si="2"/>
        <v>54849.7985150382</v>
      </c>
      <c r="M73" s="470">
        <f t="shared" si="3"/>
        <v>59794.2070086891</v>
      </c>
    </row>
    <row r="74" customHeight="1" spans="1:13">
      <c r="A74" s="473">
        <f t="shared" si="4"/>
        <v>53</v>
      </c>
      <c r="B74" s="478">
        <f t="shared" si="5"/>
        <v>45778</v>
      </c>
      <c r="C74" s="464">
        <f t="shared" si="0"/>
        <v>0</v>
      </c>
      <c r="D74" s="477"/>
      <c r="E74" s="465">
        <f t="shared" si="1"/>
        <v>0</v>
      </c>
      <c r="F74" s="466">
        <f t="shared" si="6"/>
        <v>914.163308583969</v>
      </c>
      <c r="G74" s="466">
        <f t="shared" si="7"/>
        <v>220313.357368737</v>
      </c>
      <c r="H74" s="476"/>
      <c r="I74" s="469">
        <f t="shared" si="8"/>
        <v>3517.30629462877</v>
      </c>
      <c r="J74" s="469">
        <f t="shared" si="9"/>
        <v>182899.927320696</v>
      </c>
      <c r="K74" s="469">
        <f t="shared" si="10"/>
        <v>235659.521740128</v>
      </c>
      <c r="L74" s="470">
        <f t="shared" si="2"/>
        <v>55078.3393421841</v>
      </c>
      <c r="M74" s="470">
        <f t="shared" si="3"/>
        <v>58914.8804350319</v>
      </c>
    </row>
    <row r="75" customHeight="1" spans="1:13">
      <c r="A75" s="473">
        <f t="shared" si="4"/>
        <v>54</v>
      </c>
      <c r="B75" s="478">
        <f t="shared" si="5"/>
        <v>45809</v>
      </c>
      <c r="C75" s="464">
        <f t="shared" si="0"/>
        <v>0</v>
      </c>
      <c r="D75" s="477"/>
      <c r="E75" s="465">
        <f t="shared" si="1"/>
        <v>0</v>
      </c>
      <c r="F75" s="466">
        <f t="shared" si="6"/>
        <v>917.972322369736</v>
      </c>
      <c r="G75" s="466">
        <f t="shared" si="7"/>
        <v>221231.329691106</v>
      </c>
      <c r="H75" s="476"/>
      <c r="I75" s="469">
        <f t="shared" si="8"/>
        <v>3517.30629462877</v>
      </c>
      <c r="J75" s="469">
        <f t="shared" si="9"/>
        <v>186417.233615325</v>
      </c>
      <c r="K75" s="469">
        <f t="shared" si="10"/>
        <v>232142.215445499</v>
      </c>
      <c r="L75" s="470">
        <f t="shared" si="2"/>
        <v>55307.8324227766</v>
      </c>
      <c r="M75" s="470">
        <f t="shared" si="3"/>
        <v>58035.5538613747</v>
      </c>
    </row>
    <row r="76" customHeight="1" spans="1:13">
      <c r="A76" s="473">
        <f t="shared" si="4"/>
        <v>55</v>
      </c>
      <c r="B76" s="478">
        <f t="shared" si="5"/>
        <v>45839</v>
      </c>
      <c r="C76" s="464">
        <f t="shared" si="0"/>
        <v>0</v>
      </c>
      <c r="D76" s="477"/>
      <c r="E76" s="465">
        <f t="shared" si="1"/>
        <v>0</v>
      </c>
      <c r="F76" s="466">
        <f t="shared" si="6"/>
        <v>921.797207046276</v>
      </c>
      <c r="G76" s="466">
        <f t="shared" si="7"/>
        <v>222153.126898153</v>
      </c>
      <c r="H76" s="476"/>
      <c r="I76" s="469">
        <f t="shared" si="8"/>
        <v>3517.30629462877</v>
      </c>
      <c r="J76" s="469">
        <f t="shared" si="9"/>
        <v>189934.539909954</v>
      </c>
      <c r="K76" s="469">
        <f t="shared" si="10"/>
        <v>228624.90915087</v>
      </c>
      <c r="L76" s="470">
        <f t="shared" si="2"/>
        <v>55538.2817245381</v>
      </c>
      <c r="M76" s="470">
        <f t="shared" si="3"/>
        <v>57156.2272877175</v>
      </c>
    </row>
    <row r="77" customHeight="1" spans="1:13">
      <c r="A77" s="473">
        <f t="shared" si="4"/>
        <v>56</v>
      </c>
      <c r="B77" s="478">
        <f t="shared" si="5"/>
        <v>45870</v>
      </c>
      <c r="C77" s="464">
        <f t="shared" si="0"/>
        <v>0</v>
      </c>
      <c r="D77" s="477"/>
      <c r="E77" s="465">
        <f t="shared" si="1"/>
        <v>0</v>
      </c>
      <c r="F77" s="466">
        <f t="shared" si="6"/>
        <v>925.638028742302</v>
      </c>
      <c r="G77" s="466">
        <f t="shared" si="7"/>
        <v>223078.764926895</v>
      </c>
      <c r="H77" s="476"/>
      <c r="I77" s="469">
        <f t="shared" si="8"/>
        <v>3517.30629462877</v>
      </c>
      <c r="J77" s="469">
        <f t="shared" si="9"/>
        <v>193451.846204582</v>
      </c>
      <c r="K77" s="469">
        <f t="shared" si="10"/>
        <v>225107.602856241</v>
      </c>
      <c r="L77" s="470">
        <f t="shared" si="2"/>
        <v>55769.6912317237</v>
      </c>
      <c r="M77" s="470">
        <f t="shared" si="3"/>
        <v>56276.9007140603</v>
      </c>
    </row>
    <row r="78" customHeight="1" spans="1:13">
      <c r="A78" s="473">
        <f t="shared" si="4"/>
        <v>57</v>
      </c>
      <c r="B78" s="478">
        <f t="shared" si="5"/>
        <v>45901</v>
      </c>
      <c r="C78" s="464">
        <f t="shared" si="0"/>
        <v>0</v>
      </c>
      <c r="D78" s="477"/>
      <c r="E78" s="465">
        <f t="shared" si="1"/>
        <v>0</v>
      </c>
      <c r="F78" s="466">
        <f t="shared" si="6"/>
        <v>929.494853862062</v>
      </c>
      <c r="G78" s="466">
        <f t="shared" si="7"/>
        <v>224008.259780757</v>
      </c>
      <c r="H78" s="476"/>
      <c r="I78" s="469">
        <f t="shared" si="8"/>
        <v>3517.30629462877</v>
      </c>
      <c r="J78" s="469">
        <f t="shared" si="9"/>
        <v>196969.152499211</v>
      </c>
      <c r="K78" s="469">
        <f t="shared" si="10"/>
        <v>221590.296561613</v>
      </c>
      <c r="L78" s="470">
        <f t="shared" si="2"/>
        <v>56002.0649451892</v>
      </c>
      <c r="M78" s="470">
        <f t="shared" si="3"/>
        <v>55397.5741404031</v>
      </c>
    </row>
    <row r="79" customHeight="1" spans="1:13">
      <c r="A79" s="473">
        <f t="shared" si="4"/>
        <v>58</v>
      </c>
      <c r="B79" s="478">
        <f t="shared" si="5"/>
        <v>45931</v>
      </c>
      <c r="C79" s="464">
        <f t="shared" si="0"/>
        <v>0</v>
      </c>
      <c r="D79" s="477"/>
      <c r="E79" s="465">
        <f t="shared" si="1"/>
        <v>0</v>
      </c>
      <c r="F79" s="466">
        <f t="shared" si="6"/>
        <v>933.367749086487</v>
      </c>
      <c r="G79" s="466">
        <f t="shared" si="7"/>
        <v>224941.627529843</v>
      </c>
      <c r="H79" s="476"/>
      <c r="I79" s="469">
        <f t="shared" si="8"/>
        <v>3517.30629462877</v>
      </c>
      <c r="J79" s="469">
        <f t="shared" si="9"/>
        <v>200486.45879384</v>
      </c>
      <c r="K79" s="469">
        <f t="shared" si="10"/>
        <v>218072.990266984</v>
      </c>
      <c r="L79" s="470">
        <f t="shared" si="2"/>
        <v>56235.4068824609</v>
      </c>
      <c r="M79" s="470">
        <f t="shared" si="3"/>
        <v>54518.247566746</v>
      </c>
    </row>
    <row r="80" customHeight="1" spans="1:13">
      <c r="A80" s="473">
        <f t="shared" si="4"/>
        <v>59</v>
      </c>
      <c r="B80" s="478">
        <f t="shared" si="5"/>
        <v>45962</v>
      </c>
      <c r="C80" s="464">
        <f t="shared" si="0"/>
        <v>0</v>
      </c>
      <c r="D80" s="477"/>
      <c r="E80" s="465">
        <f t="shared" si="1"/>
        <v>0</v>
      </c>
      <c r="F80" s="466">
        <f t="shared" si="6"/>
        <v>937.256781374348</v>
      </c>
      <c r="G80" s="466">
        <f t="shared" si="7"/>
        <v>225878.884311218</v>
      </c>
      <c r="H80" s="476"/>
      <c r="I80" s="469">
        <f t="shared" si="8"/>
        <v>3517.30629462877</v>
      </c>
      <c r="J80" s="469">
        <f t="shared" si="9"/>
        <v>204003.765088469</v>
      </c>
      <c r="K80" s="469">
        <f t="shared" si="10"/>
        <v>214555.683972355</v>
      </c>
      <c r="L80" s="470">
        <f t="shared" si="2"/>
        <v>56469.7210778044</v>
      </c>
      <c r="M80" s="470">
        <f t="shared" si="3"/>
        <v>53638.9209930888</v>
      </c>
    </row>
    <row r="81" customHeight="1" spans="1:14">
      <c r="A81" s="473">
        <f t="shared" si="4"/>
        <v>60</v>
      </c>
      <c r="B81" s="478">
        <f t="shared" si="5"/>
        <v>45992</v>
      </c>
      <c r="C81" s="464">
        <f t="shared" si="0"/>
        <v>0</v>
      </c>
      <c r="D81" s="477"/>
      <c r="E81" s="465">
        <f t="shared" si="1"/>
        <v>0</v>
      </c>
      <c r="F81" s="466">
        <f t="shared" si="6"/>
        <v>941.162017963407</v>
      </c>
      <c r="G81" s="466">
        <f t="shared" si="7"/>
        <v>226820.046329181</v>
      </c>
      <c r="H81" s="476"/>
      <c r="I81" s="469">
        <f t="shared" si="8"/>
        <v>3517.30629462877</v>
      </c>
      <c r="J81" s="469">
        <f t="shared" si="9"/>
        <v>207521.071383097</v>
      </c>
      <c r="K81" s="469">
        <f t="shared" si="10"/>
        <v>211038.377677726</v>
      </c>
      <c r="L81" s="470">
        <f t="shared" si="2"/>
        <v>56705.0115822953</v>
      </c>
      <c r="M81" s="470">
        <f t="shared" si="3"/>
        <v>52759.5944194316</v>
      </c>
    </row>
    <row r="82" customHeight="1" spans="1:14">
      <c r="A82" s="473">
        <f t="shared" si="4"/>
        <v>61</v>
      </c>
      <c r="B82" s="478">
        <f t="shared" si="5"/>
        <v>46023</v>
      </c>
      <c r="C82" s="464">
        <f t="shared" si="0"/>
        <v>50000</v>
      </c>
      <c r="D82" s="477"/>
      <c r="E82" s="465">
        <f t="shared" si="1"/>
        <v>38960.2695158485</v>
      </c>
      <c r="F82" s="466">
        <f t="shared" si="6"/>
        <v>736.750193038255</v>
      </c>
      <c r="G82" s="466">
        <f t="shared" si="7"/>
        <v>177556.796522219</v>
      </c>
      <c r="H82" s="476"/>
      <c r="I82" s="469">
        <f t="shared" si="8"/>
        <v>3517.30629462877</v>
      </c>
      <c r="J82" s="469">
        <f t="shared" si="9"/>
        <v>211038.377677726</v>
      </c>
      <c r="K82" s="469">
        <f t="shared" si="10"/>
        <v>207521.071383097</v>
      </c>
      <c r="L82" s="470">
        <f t="shared" si="2"/>
        <v>44389.1991305549</v>
      </c>
      <c r="M82" s="470">
        <f t="shared" si="3"/>
        <v>51880.2678457744</v>
      </c>
    </row>
    <row r="83" customHeight="1" spans="1:14">
      <c r="A83" s="473">
        <f t="shared" si="4"/>
        <v>62</v>
      </c>
      <c r="B83" s="478">
        <f t="shared" si="5"/>
        <v>46054</v>
      </c>
      <c r="C83" s="464">
        <f t="shared" si="0"/>
        <v>0</v>
      </c>
      <c r="D83" s="477"/>
      <c r="E83" s="465">
        <f t="shared" si="1"/>
        <v>0</v>
      </c>
      <c r="F83" s="466">
        <f t="shared" si="6"/>
        <v>739.819985509248</v>
      </c>
      <c r="G83" s="466">
        <f t="shared" si="7"/>
        <v>178296.616507729</v>
      </c>
      <c r="H83" s="476"/>
      <c r="I83" s="469">
        <f t="shared" si="8"/>
        <v>3517.30629462877</v>
      </c>
      <c r="J83" s="469">
        <f t="shared" si="9"/>
        <v>214555.683972355</v>
      </c>
      <c r="K83" s="469">
        <f t="shared" si="10"/>
        <v>204003.765088469</v>
      </c>
      <c r="L83" s="470">
        <f t="shared" si="2"/>
        <v>44574.1541269322</v>
      </c>
      <c r="M83" s="470">
        <f t="shared" si="3"/>
        <v>51000.9412721172</v>
      </c>
    </row>
    <row r="84" customHeight="1" spans="1:14">
      <c r="A84" s="473">
        <f t="shared" si="4"/>
        <v>63</v>
      </c>
      <c r="B84" s="478">
        <f t="shared" si="5"/>
        <v>46082</v>
      </c>
      <c r="C84" s="464">
        <f t="shared" si="0"/>
        <v>0</v>
      </c>
      <c r="D84" s="477"/>
      <c r="E84" s="465">
        <f t="shared" si="1"/>
        <v>0</v>
      </c>
      <c r="F84" s="466">
        <f t="shared" si="6"/>
        <v>742.902568782203</v>
      </c>
      <c r="G84" s="466">
        <f t="shared" si="7"/>
        <v>179039.519076511</v>
      </c>
      <c r="H84" s="476"/>
      <c r="I84" s="469">
        <f t="shared" si="8"/>
        <v>3517.30629462877</v>
      </c>
      <c r="J84" s="469">
        <f t="shared" si="9"/>
        <v>218072.990266984</v>
      </c>
      <c r="K84" s="469">
        <f t="shared" si="10"/>
        <v>200486.45879384</v>
      </c>
      <c r="L84" s="470">
        <f t="shared" si="2"/>
        <v>44759.8797691277</v>
      </c>
      <c r="M84" s="470">
        <f t="shared" si="3"/>
        <v>50121.61469846</v>
      </c>
    </row>
    <row r="85" customHeight="1" spans="1:14">
      <c r="A85" s="473">
        <f t="shared" si="4"/>
        <v>64</v>
      </c>
      <c r="B85" s="478">
        <f t="shared" si="5"/>
        <v>46113</v>
      </c>
      <c r="C85" s="464">
        <f t="shared" si="0"/>
        <v>0</v>
      </c>
      <c r="D85" s="477"/>
      <c r="E85" s="465">
        <f t="shared" si="1"/>
        <v>0</v>
      </c>
      <c r="F85" s="466">
        <f t="shared" si="6"/>
        <v>745.997996152129</v>
      </c>
      <c r="G85" s="466">
        <f t="shared" si="7"/>
        <v>179785.517072663</v>
      </c>
      <c r="H85" s="476"/>
      <c r="I85" s="469">
        <f t="shared" si="8"/>
        <v>3517.30629462877</v>
      </c>
      <c r="J85" s="469">
        <f t="shared" si="9"/>
        <v>221590.296561612</v>
      </c>
      <c r="K85" s="469">
        <f t="shared" si="10"/>
        <v>196969.152499211</v>
      </c>
      <c r="L85" s="470">
        <f t="shared" si="2"/>
        <v>44946.3792681658</v>
      </c>
      <c r="M85" s="470">
        <f t="shared" si="3"/>
        <v>49242.2881248028</v>
      </c>
    </row>
    <row r="86" customHeight="1" spans="1:14">
      <c r="A86" s="473">
        <f t="shared" si="4"/>
        <v>65</v>
      </c>
      <c r="B86" s="478">
        <f t="shared" si="5"/>
        <v>46143</v>
      </c>
      <c r="C86" s="464">
        <f t="shared" ref="C86:C149" si="11">IF(AND(A86&lt;=$C$18,MONTH(B86)=$E$20,B86&lt;=$C$16,IF($O$20="期末",B86&gt;=EDATE($C$15,12),B86&gt;$C$15)),$C$20,0)</f>
        <v>0</v>
      </c>
      <c r="D86" s="477"/>
      <c r="E86" s="465">
        <f t="shared" ref="E86:E149" si="12">(D86+C86)/(POWER((1+$C$17/12),A86-1))</f>
        <v>0</v>
      </c>
      <c r="F86" s="466">
        <f t="shared" si="6"/>
        <v>749.106321136096</v>
      </c>
      <c r="G86" s="466">
        <f t="shared" si="7"/>
        <v>180534.623393799</v>
      </c>
      <c r="H86" s="476"/>
      <c r="I86" s="469">
        <f t="shared" si="8"/>
        <v>3517.30629462877</v>
      </c>
      <c r="J86" s="469">
        <f t="shared" si="9"/>
        <v>225107.602856241</v>
      </c>
      <c r="K86" s="469">
        <f t="shared" si="10"/>
        <v>193451.846204582</v>
      </c>
      <c r="L86" s="470">
        <f t="shared" ref="L86:L149" si="13">IF(G86=0,0,G86*$C$19)</f>
        <v>45133.6558484498</v>
      </c>
      <c r="M86" s="470">
        <f t="shared" ref="M86:M149" si="14">IF(K86=0,0,K86*$C$19)</f>
        <v>48362.9615511456</v>
      </c>
    </row>
    <row r="87" customHeight="1" spans="1:14">
      <c r="A87" s="473">
        <f t="shared" ref="A87:A150" si="15">A86+1</f>
        <v>66</v>
      </c>
      <c r="B87" s="478">
        <f t="shared" ref="B87:B150" si="16">EDATE(B86,1)</f>
        <v>46174</v>
      </c>
      <c r="C87" s="464">
        <f t="shared" si="11"/>
        <v>0</v>
      </c>
      <c r="D87" s="477"/>
      <c r="E87" s="465">
        <f t="shared" si="12"/>
        <v>0</v>
      </c>
      <c r="F87" s="466">
        <f t="shared" ref="F87:F150" si="17">IF(OR(B87&gt;$C$16,A87&gt;$C$18),0,$C$17/12*(G86-C87))</f>
        <v>752.227597474163</v>
      </c>
      <c r="G87" s="466">
        <f t="shared" ref="G87:G150" si="18">IF(OR(B87&gt;$C$16,A87&gt;$C$18),0,G86-C87+F87)</f>
        <v>181286.850991273</v>
      </c>
      <c r="H87" s="476"/>
      <c r="I87" s="469">
        <f t="shared" ref="I87:I150" si="19">IF(OR(B87&gt;$C$16,($A87-1)&gt;=MIN($C$18,$L$20),MIN($C$18,$L$20)&lt;=1),0,($E$349+$H$349)/MAX(MIN($C$18,$L$20)-1,1))</f>
        <v>3517.30629462877</v>
      </c>
      <c r="J87" s="469">
        <f t="shared" ref="J87:J150" si="20">IF(I87=0,0,J86+I87)</f>
        <v>228624.90915087</v>
      </c>
      <c r="K87" s="469">
        <f t="shared" ref="K87:K150" si="21">IF(OR(B87&gt;$C$16,A87&gt;$C$18),0,K86-I87)</f>
        <v>189934.539909954</v>
      </c>
      <c r="L87" s="470">
        <f t="shared" si="13"/>
        <v>45321.7127478183</v>
      </c>
      <c r="M87" s="470">
        <f t="shared" si="14"/>
        <v>47483.6349774884</v>
      </c>
    </row>
    <row r="88" s="408" customFormat="1" customHeight="1" spans="1:14">
      <c r="A88" s="473">
        <f t="shared" si="15"/>
        <v>67</v>
      </c>
      <c r="B88" s="478">
        <f t="shared" si="16"/>
        <v>46204</v>
      </c>
      <c r="C88" s="464">
        <f t="shared" si="11"/>
        <v>0</v>
      </c>
      <c r="D88" s="480"/>
      <c r="E88" s="465">
        <f t="shared" si="12"/>
        <v>0</v>
      </c>
      <c r="F88" s="466">
        <f t="shared" si="17"/>
        <v>755.361879130305</v>
      </c>
      <c r="G88" s="466">
        <f t="shared" si="18"/>
        <v>182042.212870404</v>
      </c>
      <c r="H88" s="476"/>
      <c r="I88" s="469">
        <f t="shared" si="19"/>
        <v>3517.30629462877</v>
      </c>
      <c r="J88" s="469">
        <f t="shared" si="20"/>
        <v>232142.215445499</v>
      </c>
      <c r="K88" s="469">
        <f t="shared" si="21"/>
        <v>186417.233615325</v>
      </c>
      <c r="L88" s="470">
        <f t="shared" si="13"/>
        <v>45510.5532176009</v>
      </c>
      <c r="M88" s="470">
        <f t="shared" si="14"/>
        <v>46604.3084038312</v>
      </c>
      <c r="N88" s="448"/>
    </row>
    <row r="89" customHeight="1" spans="1:14">
      <c r="A89" s="473">
        <f t="shared" si="15"/>
        <v>68</v>
      </c>
      <c r="B89" s="478">
        <f t="shared" si="16"/>
        <v>46235</v>
      </c>
      <c r="C89" s="464">
        <f t="shared" si="11"/>
        <v>0</v>
      </c>
      <c r="D89" s="477"/>
      <c r="E89" s="465">
        <f t="shared" si="12"/>
        <v>0</v>
      </c>
      <c r="F89" s="466">
        <f t="shared" si="17"/>
        <v>758.509220293348</v>
      </c>
      <c r="G89" s="466">
        <f t="shared" si="18"/>
        <v>182800.722090697</v>
      </c>
      <c r="H89" s="476"/>
      <c r="I89" s="469">
        <f t="shared" si="19"/>
        <v>3517.30629462877</v>
      </c>
      <c r="J89" s="469">
        <f t="shared" si="20"/>
        <v>235659.521740128</v>
      </c>
      <c r="K89" s="469">
        <f t="shared" si="21"/>
        <v>182899.927320696</v>
      </c>
      <c r="L89" s="470">
        <f t="shared" si="13"/>
        <v>45700.1805226742</v>
      </c>
      <c r="M89" s="470">
        <f t="shared" si="14"/>
        <v>45724.981830174</v>
      </c>
    </row>
    <row r="90" customHeight="1" spans="1:14">
      <c r="A90" s="473">
        <f t="shared" si="15"/>
        <v>69</v>
      </c>
      <c r="B90" s="478">
        <f t="shared" si="16"/>
        <v>46266</v>
      </c>
      <c r="C90" s="464">
        <f t="shared" si="11"/>
        <v>0</v>
      </c>
      <c r="D90" s="477"/>
      <c r="E90" s="465">
        <f t="shared" si="12"/>
        <v>0</v>
      </c>
      <c r="F90" s="466">
        <f t="shared" si="17"/>
        <v>761.669675377904</v>
      </c>
      <c r="G90" s="466">
        <f t="shared" si="18"/>
        <v>183562.391766075</v>
      </c>
      <c r="H90" s="476"/>
      <c r="I90" s="469">
        <f t="shared" si="19"/>
        <v>3517.30629462877</v>
      </c>
      <c r="J90" s="469">
        <f t="shared" si="20"/>
        <v>239176.828034756</v>
      </c>
      <c r="K90" s="469">
        <f t="shared" si="21"/>
        <v>179382.621026067</v>
      </c>
      <c r="L90" s="470">
        <f t="shared" si="13"/>
        <v>45890.5979415187</v>
      </c>
      <c r="M90" s="470">
        <f t="shared" si="14"/>
        <v>44845.6552565168</v>
      </c>
    </row>
    <row r="91" customHeight="1" spans="1:14">
      <c r="A91" s="473">
        <f t="shared" si="15"/>
        <v>70</v>
      </c>
      <c r="B91" s="478">
        <f t="shared" si="16"/>
        <v>46296</v>
      </c>
      <c r="C91" s="464">
        <f t="shared" si="11"/>
        <v>0</v>
      </c>
      <c r="D91" s="477"/>
      <c r="E91" s="465">
        <f t="shared" si="12"/>
        <v>0</v>
      </c>
      <c r="F91" s="466">
        <f t="shared" si="17"/>
        <v>764.843299025312</v>
      </c>
      <c r="G91" s="466">
        <f t="shared" si="18"/>
        <v>184327.2350651</v>
      </c>
      <c r="H91" s="476"/>
      <c r="I91" s="469">
        <f t="shared" si="19"/>
        <v>3517.30629462877</v>
      </c>
      <c r="J91" s="469">
        <f t="shared" si="20"/>
        <v>242694.134329385</v>
      </c>
      <c r="K91" s="469">
        <f t="shared" si="21"/>
        <v>175865.314731439</v>
      </c>
      <c r="L91" s="470">
        <f t="shared" si="13"/>
        <v>46081.808766275</v>
      </c>
      <c r="M91" s="470">
        <f t="shared" si="14"/>
        <v>43966.3286828596</v>
      </c>
    </row>
    <row r="92" customHeight="1" spans="1:14">
      <c r="A92" s="473">
        <f t="shared" si="15"/>
        <v>71</v>
      </c>
      <c r="B92" s="478">
        <f t="shared" si="16"/>
        <v>46327</v>
      </c>
      <c r="C92" s="464">
        <f t="shared" si="11"/>
        <v>0</v>
      </c>
      <c r="D92" s="477"/>
      <c r="E92" s="465">
        <f t="shared" si="12"/>
        <v>0</v>
      </c>
      <c r="F92" s="466">
        <f t="shared" si="17"/>
        <v>768.030146104584</v>
      </c>
      <c r="G92" s="466">
        <f t="shared" si="18"/>
        <v>185095.265211205</v>
      </c>
      <c r="H92" s="476"/>
      <c r="I92" s="469">
        <f t="shared" si="19"/>
        <v>3517.30629462877</v>
      </c>
      <c r="J92" s="469">
        <f t="shared" si="20"/>
        <v>246211.440624014</v>
      </c>
      <c r="K92" s="469">
        <f t="shared" si="21"/>
        <v>172348.00843681</v>
      </c>
      <c r="L92" s="470">
        <f t="shared" si="13"/>
        <v>46273.8163028012</v>
      </c>
      <c r="M92" s="470">
        <f t="shared" si="14"/>
        <v>43087.0021092025</v>
      </c>
    </row>
    <row r="93" customHeight="1" spans="1:14">
      <c r="A93" s="473">
        <f t="shared" si="15"/>
        <v>72</v>
      </c>
      <c r="B93" s="478">
        <f t="shared" si="16"/>
        <v>46357</v>
      </c>
      <c r="C93" s="464">
        <f t="shared" si="11"/>
        <v>0</v>
      </c>
      <c r="D93" s="477"/>
      <c r="E93" s="465">
        <f t="shared" si="12"/>
        <v>0</v>
      </c>
      <c r="F93" s="466">
        <f t="shared" si="17"/>
        <v>771.230271713353</v>
      </c>
      <c r="G93" s="466">
        <f t="shared" si="18"/>
        <v>185866.495482918</v>
      </c>
      <c r="H93" s="476"/>
      <c r="I93" s="469">
        <f t="shared" si="19"/>
        <v>3517.30629462877</v>
      </c>
      <c r="J93" s="469">
        <f t="shared" si="20"/>
        <v>249728.746918643</v>
      </c>
      <c r="K93" s="469">
        <f t="shared" si="21"/>
        <v>168830.702142181</v>
      </c>
      <c r="L93" s="470">
        <f t="shared" si="13"/>
        <v>46466.6238707295</v>
      </c>
      <c r="M93" s="470">
        <f t="shared" si="14"/>
        <v>42207.6755355453</v>
      </c>
    </row>
    <row r="94" customHeight="1" spans="1:14">
      <c r="A94" s="473">
        <f t="shared" si="15"/>
        <v>73</v>
      </c>
      <c r="B94" s="478">
        <f t="shared" si="16"/>
        <v>46388</v>
      </c>
      <c r="C94" s="464">
        <f t="shared" si="11"/>
        <v>50000</v>
      </c>
      <c r="D94" s="477"/>
      <c r="E94" s="465">
        <f t="shared" si="12"/>
        <v>37064.0046926739</v>
      </c>
      <c r="F94" s="466">
        <f t="shared" si="17"/>
        <v>566.110397845492</v>
      </c>
      <c r="G94" s="466">
        <f t="shared" si="18"/>
        <v>136432.605880764</v>
      </c>
      <c r="H94" s="476"/>
      <c r="I94" s="469">
        <f t="shared" si="19"/>
        <v>3517.30629462877</v>
      </c>
      <c r="J94" s="469">
        <f t="shared" si="20"/>
        <v>253246.053213271</v>
      </c>
      <c r="K94" s="469">
        <f t="shared" si="21"/>
        <v>165313.395847552</v>
      </c>
      <c r="L94" s="470">
        <f t="shared" si="13"/>
        <v>34108.1514701909</v>
      </c>
      <c r="M94" s="470">
        <f t="shared" si="14"/>
        <v>41328.3489618881</v>
      </c>
    </row>
    <row r="95" customHeight="1" spans="1:14">
      <c r="A95" s="473">
        <f t="shared" si="15"/>
        <v>74</v>
      </c>
      <c r="B95" s="478">
        <f t="shared" si="16"/>
        <v>46419</v>
      </c>
      <c r="C95" s="464">
        <f t="shared" si="11"/>
        <v>0</v>
      </c>
      <c r="D95" s="477"/>
      <c r="E95" s="465">
        <f t="shared" si="12"/>
        <v>0</v>
      </c>
      <c r="F95" s="466">
        <f t="shared" si="17"/>
        <v>568.469191169848</v>
      </c>
      <c r="G95" s="466">
        <f t="shared" si="18"/>
        <v>137001.075071933</v>
      </c>
      <c r="H95" s="476"/>
      <c r="I95" s="469">
        <f t="shared" si="19"/>
        <v>3517.30629462877</v>
      </c>
      <c r="J95" s="469">
        <f t="shared" si="20"/>
        <v>256763.3595079</v>
      </c>
      <c r="K95" s="469">
        <f t="shared" si="21"/>
        <v>161796.089552924</v>
      </c>
      <c r="L95" s="470">
        <f t="shared" si="13"/>
        <v>34250.2687679833</v>
      </c>
      <c r="M95" s="470">
        <f t="shared" si="14"/>
        <v>40449.0223882309</v>
      </c>
    </row>
    <row r="96" customHeight="1" spans="1:14">
      <c r="A96" s="473">
        <f t="shared" si="15"/>
        <v>75</v>
      </c>
      <c r="B96" s="478">
        <f t="shared" si="16"/>
        <v>46447</v>
      </c>
      <c r="C96" s="464">
        <f t="shared" si="11"/>
        <v>0</v>
      </c>
      <c r="D96" s="477"/>
      <c r="E96" s="465">
        <f t="shared" si="12"/>
        <v>0</v>
      </c>
      <c r="F96" s="466">
        <f t="shared" si="17"/>
        <v>570.837812799722</v>
      </c>
      <c r="G96" s="466">
        <f t="shared" si="18"/>
        <v>137571.912884733</v>
      </c>
      <c r="H96" s="476"/>
      <c r="I96" s="469">
        <f t="shared" si="19"/>
        <v>3517.30629462877</v>
      </c>
      <c r="J96" s="469">
        <f t="shared" si="20"/>
        <v>260280.665802529</v>
      </c>
      <c r="K96" s="469">
        <f t="shared" si="21"/>
        <v>158278.783258295</v>
      </c>
      <c r="L96" s="470">
        <f t="shared" si="13"/>
        <v>34392.9782211833</v>
      </c>
      <c r="M96" s="470">
        <f t="shared" si="14"/>
        <v>39569.6958145737</v>
      </c>
    </row>
    <row r="97" customHeight="1" spans="1:13">
      <c r="A97" s="473">
        <f t="shared" si="15"/>
        <v>76</v>
      </c>
      <c r="B97" s="478">
        <f t="shared" si="16"/>
        <v>46478</v>
      </c>
      <c r="C97" s="464">
        <f t="shared" si="11"/>
        <v>0</v>
      </c>
      <c r="D97" s="477"/>
      <c r="E97" s="465">
        <f t="shared" si="12"/>
        <v>0</v>
      </c>
      <c r="F97" s="466">
        <f t="shared" si="17"/>
        <v>573.216303686388</v>
      </c>
      <c r="G97" s="466">
        <f t="shared" si="18"/>
        <v>138145.129188419</v>
      </c>
      <c r="H97" s="476"/>
      <c r="I97" s="469">
        <f t="shared" si="19"/>
        <v>3517.30629462877</v>
      </c>
      <c r="J97" s="469">
        <f t="shared" si="20"/>
        <v>263797.972097158</v>
      </c>
      <c r="K97" s="469">
        <f t="shared" si="21"/>
        <v>154761.476963666</v>
      </c>
      <c r="L97" s="470">
        <f t="shared" si="13"/>
        <v>34536.2822971049</v>
      </c>
      <c r="M97" s="470">
        <f t="shared" si="14"/>
        <v>38690.3692409165</v>
      </c>
    </row>
    <row r="98" customHeight="1" spans="1:13">
      <c r="A98" s="473">
        <f t="shared" si="15"/>
        <v>77</v>
      </c>
      <c r="B98" s="478">
        <f t="shared" si="16"/>
        <v>46508</v>
      </c>
      <c r="C98" s="464">
        <f t="shared" si="11"/>
        <v>0</v>
      </c>
      <c r="D98" s="477"/>
      <c r="E98" s="465">
        <f t="shared" si="12"/>
        <v>0</v>
      </c>
      <c r="F98" s="466">
        <f t="shared" si="17"/>
        <v>575.604704951748</v>
      </c>
      <c r="G98" s="466">
        <f t="shared" si="18"/>
        <v>138720.733893371</v>
      </c>
      <c r="H98" s="476"/>
      <c r="I98" s="469">
        <f t="shared" si="19"/>
        <v>3517.30629462877</v>
      </c>
      <c r="J98" s="469">
        <f t="shared" si="20"/>
        <v>267315.278391786</v>
      </c>
      <c r="K98" s="469">
        <f t="shared" si="21"/>
        <v>151244.170669037</v>
      </c>
      <c r="L98" s="470">
        <f t="shared" si="13"/>
        <v>34680.1834733428</v>
      </c>
      <c r="M98" s="470">
        <f t="shared" si="14"/>
        <v>37811.0426672593</v>
      </c>
    </row>
    <row r="99" customHeight="1" spans="1:13">
      <c r="A99" s="473">
        <f t="shared" si="15"/>
        <v>78</v>
      </c>
      <c r="B99" s="478">
        <f t="shared" si="16"/>
        <v>46539</v>
      </c>
      <c r="C99" s="464">
        <f t="shared" si="11"/>
        <v>0</v>
      </c>
      <c r="D99" s="477"/>
      <c r="E99" s="465">
        <f t="shared" si="12"/>
        <v>0</v>
      </c>
      <c r="F99" s="466">
        <f t="shared" si="17"/>
        <v>578.003057889047</v>
      </c>
      <c r="G99" s="466">
        <f t="shared" si="18"/>
        <v>139298.73695126</v>
      </c>
      <c r="H99" s="476"/>
      <c r="I99" s="469">
        <f t="shared" si="19"/>
        <v>3517.30629462877</v>
      </c>
      <c r="J99" s="469">
        <f t="shared" si="20"/>
        <v>270832.584686415</v>
      </c>
      <c r="K99" s="469">
        <f t="shared" si="21"/>
        <v>147726.864374408</v>
      </c>
      <c r="L99" s="470">
        <f t="shared" si="13"/>
        <v>34824.6842378151</v>
      </c>
      <c r="M99" s="470">
        <f t="shared" si="14"/>
        <v>36931.7160936021</v>
      </c>
    </row>
    <row r="100" customHeight="1" spans="1:13">
      <c r="A100" s="473">
        <f t="shared" si="15"/>
        <v>79</v>
      </c>
      <c r="B100" s="478">
        <f t="shared" si="16"/>
        <v>46569</v>
      </c>
      <c r="C100" s="464">
        <f t="shared" si="11"/>
        <v>0</v>
      </c>
      <c r="D100" s="477"/>
      <c r="E100" s="465">
        <f t="shared" si="12"/>
        <v>0</v>
      </c>
      <c r="F100" s="466">
        <f t="shared" si="17"/>
        <v>580.411403963585</v>
      </c>
      <c r="G100" s="466">
        <f t="shared" si="18"/>
        <v>139879.148355224</v>
      </c>
      <c r="H100" s="476"/>
      <c r="I100" s="469">
        <f t="shared" si="19"/>
        <v>3517.30629462877</v>
      </c>
      <c r="J100" s="469">
        <f t="shared" si="20"/>
        <v>274349.890981044</v>
      </c>
      <c r="K100" s="469">
        <f t="shared" si="21"/>
        <v>144209.55807978</v>
      </c>
      <c r="L100" s="470">
        <f t="shared" si="13"/>
        <v>34969.787088806</v>
      </c>
      <c r="M100" s="470">
        <f t="shared" si="14"/>
        <v>36052.3895199449</v>
      </c>
    </row>
    <row r="101" customHeight="1" spans="1:13">
      <c r="A101" s="473">
        <f t="shared" si="15"/>
        <v>80</v>
      </c>
      <c r="B101" s="478">
        <f t="shared" si="16"/>
        <v>46600</v>
      </c>
      <c r="C101" s="464">
        <f t="shared" si="11"/>
        <v>0</v>
      </c>
      <c r="D101" s="477"/>
      <c r="E101" s="465">
        <f t="shared" si="12"/>
        <v>0</v>
      </c>
      <c r="F101" s="466">
        <f t="shared" si="17"/>
        <v>582.829784813433</v>
      </c>
      <c r="G101" s="466">
        <f t="shared" si="18"/>
        <v>140461.978140037</v>
      </c>
      <c r="H101" s="476"/>
      <c r="I101" s="469">
        <f t="shared" si="19"/>
        <v>3517.30629462877</v>
      </c>
      <c r="J101" s="469">
        <f t="shared" si="20"/>
        <v>277867.197275673</v>
      </c>
      <c r="K101" s="469">
        <f t="shared" si="21"/>
        <v>140692.251785151</v>
      </c>
      <c r="L101" s="470">
        <f t="shared" si="13"/>
        <v>35115.4945350093</v>
      </c>
      <c r="M101" s="470">
        <f t="shared" si="14"/>
        <v>35173.0629462877</v>
      </c>
    </row>
    <row r="102" customHeight="1" spans="1:13">
      <c r="A102" s="473">
        <f t="shared" si="15"/>
        <v>81</v>
      </c>
      <c r="B102" s="478">
        <f t="shared" si="16"/>
        <v>46631</v>
      </c>
      <c r="C102" s="464">
        <f t="shared" si="11"/>
        <v>0</v>
      </c>
      <c r="D102" s="477"/>
      <c r="E102" s="465">
        <f t="shared" si="12"/>
        <v>0</v>
      </c>
      <c r="F102" s="466">
        <f t="shared" si="17"/>
        <v>585.258242250155</v>
      </c>
      <c r="G102" s="466">
        <f t="shared" si="18"/>
        <v>141047.236382287</v>
      </c>
      <c r="H102" s="476"/>
      <c r="I102" s="469">
        <f t="shared" si="19"/>
        <v>3517.30629462877</v>
      </c>
      <c r="J102" s="469">
        <f t="shared" si="20"/>
        <v>281384.503570302</v>
      </c>
      <c r="K102" s="469">
        <f t="shared" si="21"/>
        <v>137174.945490522</v>
      </c>
      <c r="L102" s="470">
        <f t="shared" si="13"/>
        <v>35261.8090955719</v>
      </c>
      <c r="M102" s="470">
        <f t="shared" si="14"/>
        <v>34293.7363726305</v>
      </c>
    </row>
    <row r="103" customHeight="1" spans="1:13">
      <c r="A103" s="473">
        <f t="shared" si="15"/>
        <v>82</v>
      </c>
      <c r="B103" s="478">
        <f t="shared" si="16"/>
        <v>46661</v>
      </c>
      <c r="C103" s="464">
        <f t="shared" si="11"/>
        <v>0</v>
      </c>
      <c r="D103" s="477"/>
      <c r="E103" s="465">
        <f t="shared" si="12"/>
        <v>0</v>
      </c>
      <c r="F103" s="466">
        <f t="shared" si="17"/>
        <v>587.696818259531</v>
      </c>
      <c r="G103" s="466">
        <f t="shared" si="18"/>
        <v>141634.933200547</v>
      </c>
      <c r="H103" s="476"/>
      <c r="I103" s="469">
        <f t="shared" si="19"/>
        <v>3517.30629462877</v>
      </c>
      <c r="J103" s="469">
        <f t="shared" si="20"/>
        <v>284901.80986493</v>
      </c>
      <c r="K103" s="469">
        <f t="shared" si="21"/>
        <v>133657.639195893</v>
      </c>
      <c r="L103" s="470">
        <f t="shared" si="13"/>
        <v>35408.7333001368</v>
      </c>
      <c r="M103" s="470">
        <f t="shared" si="14"/>
        <v>33414.4097989733</v>
      </c>
    </row>
    <row r="104" customHeight="1" spans="1:13">
      <c r="A104" s="473">
        <f t="shared" si="15"/>
        <v>83</v>
      </c>
      <c r="B104" s="478">
        <f t="shared" si="16"/>
        <v>46692</v>
      </c>
      <c r="C104" s="464">
        <f t="shared" si="11"/>
        <v>0</v>
      </c>
      <c r="D104" s="477"/>
      <c r="E104" s="465">
        <f t="shared" si="12"/>
        <v>0</v>
      </c>
      <c r="F104" s="466">
        <f t="shared" si="17"/>
        <v>590.145555002279</v>
      </c>
      <c r="G104" s="466">
        <f t="shared" si="18"/>
        <v>142225.078755549</v>
      </c>
      <c r="H104" s="476"/>
      <c r="I104" s="469">
        <f t="shared" si="19"/>
        <v>3517.30629462877</v>
      </c>
      <c r="J104" s="469">
        <f t="shared" si="20"/>
        <v>288419.116159559</v>
      </c>
      <c r="K104" s="469">
        <f t="shared" si="21"/>
        <v>130140.332901265</v>
      </c>
      <c r="L104" s="470">
        <f t="shared" si="13"/>
        <v>35556.2696888873</v>
      </c>
      <c r="M104" s="470">
        <f t="shared" si="14"/>
        <v>32535.0832253161</v>
      </c>
    </row>
    <row r="105" customHeight="1" spans="1:13">
      <c r="A105" s="473">
        <f t="shared" si="15"/>
        <v>84</v>
      </c>
      <c r="B105" s="478">
        <f t="shared" si="16"/>
        <v>46722</v>
      </c>
      <c r="C105" s="464">
        <f t="shared" si="11"/>
        <v>0</v>
      </c>
      <c r="D105" s="477"/>
      <c r="E105" s="465">
        <f t="shared" si="12"/>
        <v>0</v>
      </c>
      <c r="F105" s="466">
        <f t="shared" si="17"/>
        <v>592.604494814789</v>
      </c>
      <c r="G105" s="466">
        <f t="shared" si="18"/>
        <v>142817.683250364</v>
      </c>
      <c r="H105" s="476"/>
      <c r="I105" s="469">
        <f t="shared" si="19"/>
        <v>3517.30629462877</v>
      </c>
      <c r="J105" s="469">
        <f t="shared" si="20"/>
        <v>291936.422454188</v>
      </c>
      <c r="K105" s="469">
        <f t="shared" si="21"/>
        <v>126623.026606636</v>
      </c>
      <c r="L105" s="470">
        <f t="shared" si="13"/>
        <v>35704.420812591</v>
      </c>
      <c r="M105" s="470">
        <f t="shared" si="14"/>
        <v>31655.756651659</v>
      </c>
    </row>
    <row r="106" customHeight="1" spans="1:13">
      <c r="A106" s="473">
        <f t="shared" si="15"/>
        <v>85</v>
      </c>
      <c r="B106" s="478">
        <f t="shared" si="16"/>
        <v>46753</v>
      </c>
      <c r="C106" s="464">
        <f t="shared" si="11"/>
        <v>50000</v>
      </c>
      <c r="D106" s="477"/>
      <c r="E106" s="465">
        <f t="shared" si="12"/>
        <v>35260.0344127427</v>
      </c>
      <c r="F106" s="466">
        <f t="shared" si="17"/>
        <v>386.740346876517</v>
      </c>
      <c r="G106" s="466">
        <f t="shared" si="18"/>
        <v>93204.4235972406</v>
      </c>
      <c r="H106" s="476"/>
      <c r="I106" s="469">
        <f t="shared" si="19"/>
        <v>3517.30629462877</v>
      </c>
      <c r="J106" s="469">
        <f t="shared" si="20"/>
        <v>295453.728748817</v>
      </c>
      <c r="K106" s="469">
        <f t="shared" si="21"/>
        <v>123105.720312007</v>
      </c>
      <c r="L106" s="470">
        <f t="shared" si="13"/>
        <v>23301.1058993101</v>
      </c>
      <c r="M106" s="470">
        <f t="shared" si="14"/>
        <v>30776.4300780018</v>
      </c>
    </row>
    <row r="107" customHeight="1" spans="1:13">
      <c r="A107" s="473">
        <f t="shared" si="15"/>
        <v>86</v>
      </c>
      <c r="B107" s="478">
        <f t="shared" si="16"/>
        <v>46784</v>
      </c>
      <c r="C107" s="464">
        <f t="shared" si="11"/>
        <v>0</v>
      </c>
      <c r="D107" s="477"/>
      <c r="E107" s="465">
        <f t="shared" si="12"/>
        <v>0</v>
      </c>
      <c r="F107" s="466">
        <f t="shared" si="17"/>
        <v>388.351764988502</v>
      </c>
      <c r="G107" s="466">
        <f t="shared" si="18"/>
        <v>93592.7753622291</v>
      </c>
      <c r="H107" s="476"/>
      <c r="I107" s="469">
        <f t="shared" si="19"/>
        <v>3517.30629462877</v>
      </c>
      <c r="J107" s="469">
        <f t="shared" si="20"/>
        <v>298971.035043445</v>
      </c>
      <c r="K107" s="469">
        <f t="shared" si="21"/>
        <v>119588.414017378</v>
      </c>
      <c r="L107" s="470">
        <f t="shared" si="13"/>
        <v>23398.1938405573</v>
      </c>
      <c r="M107" s="470">
        <f t="shared" si="14"/>
        <v>29897.1035043446</v>
      </c>
    </row>
    <row r="108" customHeight="1" spans="1:13">
      <c r="A108" s="473">
        <f t="shared" si="15"/>
        <v>87</v>
      </c>
      <c r="B108" s="478">
        <f t="shared" si="16"/>
        <v>46813</v>
      </c>
      <c r="C108" s="464">
        <f t="shared" si="11"/>
        <v>0</v>
      </c>
      <c r="D108" s="477"/>
      <c r="E108" s="465">
        <f t="shared" si="12"/>
        <v>0</v>
      </c>
      <c r="F108" s="466">
        <f t="shared" si="17"/>
        <v>389.969897342621</v>
      </c>
      <c r="G108" s="466">
        <f t="shared" si="18"/>
        <v>93982.7452595717</v>
      </c>
      <c r="H108" s="476"/>
      <c r="I108" s="469">
        <f t="shared" si="19"/>
        <v>3517.30629462877</v>
      </c>
      <c r="J108" s="469">
        <f t="shared" si="20"/>
        <v>302488.341338074</v>
      </c>
      <c r="K108" s="469">
        <f t="shared" si="21"/>
        <v>116071.10772275</v>
      </c>
      <c r="L108" s="470">
        <f t="shared" si="13"/>
        <v>23495.6863148929</v>
      </c>
      <c r="M108" s="470">
        <f t="shared" si="14"/>
        <v>29017.7769306874</v>
      </c>
    </row>
    <row r="109" customHeight="1" spans="1:13">
      <c r="A109" s="473">
        <f t="shared" si="15"/>
        <v>88</v>
      </c>
      <c r="B109" s="478">
        <f t="shared" si="16"/>
        <v>46844</v>
      </c>
      <c r="C109" s="464">
        <f t="shared" si="11"/>
        <v>0</v>
      </c>
      <c r="D109" s="477"/>
      <c r="E109" s="465">
        <f t="shared" si="12"/>
        <v>0</v>
      </c>
      <c r="F109" s="466">
        <f t="shared" si="17"/>
        <v>391.594771914882</v>
      </c>
      <c r="G109" s="466">
        <f t="shared" si="18"/>
        <v>94374.3400314866</v>
      </c>
      <c r="H109" s="476"/>
      <c r="I109" s="469">
        <f t="shared" si="19"/>
        <v>3517.30629462877</v>
      </c>
      <c r="J109" s="469">
        <f t="shared" si="20"/>
        <v>306005.647632703</v>
      </c>
      <c r="K109" s="469">
        <f t="shared" si="21"/>
        <v>112553.801428121</v>
      </c>
      <c r="L109" s="470">
        <f t="shared" si="13"/>
        <v>23593.5850078716</v>
      </c>
      <c r="M109" s="470">
        <f t="shared" si="14"/>
        <v>28138.4503570302</v>
      </c>
    </row>
    <row r="110" customHeight="1" spans="1:13">
      <c r="A110" s="473">
        <f t="shared" si="15"/>
        <v>89</v>
      </c>
      <c r="B110" s="478">
        <f t="shared" si="16"/>
        <v>46874</v>
      </c>
      <c r="C110" s="464">
        <f t="shared" si="11"/>
        <v>0</v>
      </c>
      <c r="D110" s="477"/>
      <c r="E110" s="465">
        <f t="shared" si="12"/>
        <v>0</v>
      </c>
      <c r="F110" s="466">
        <f t="shared" si="17"/>
        <v>393.226416797861</v>
      </c>
      <c r="G110" s="466">
        <f t="shared" si="18"/>
        <v>94767.5664482844</v>
      </c>
      <c r="H110" s="476"/>
      <c r="I110" s="469">
        <f t="shared" si="19"/>
        <v>3517.30629462877</v>
      </c>
      <c r="J110" s="469">
        <f t="shared" si="20"/>
        <v>309522.953927332</v>
      </c>
      <c r="K110" s="469">
        <f t="shared" si="21"/>
        <v>109036.495133492</v>
      </c>
      <c r="L110" s="470">
        <f t="shared" si="13"/>
        <v>23691.8916120711</v>
      </c>
      <c r="M110" s="470">
        <f t="shared" si="14"/>
        <v>27259.123783373</v>
      </c>
    </row>
    <row r="111" customHeight="1" spans="1:13">
      <c r="A111" s="473">
        <f t="shared" si="15"/>
        <v>90</v>
      </c>
      <c r="B111" s="478">
        <f t="shared" si="16"/>
        <v>46905</v>
      </c>
      <c r="C111" s="464">
        <f t="shared" si="11"/>
        <v>0</v>
      </c>
      <c r="D111" s="477"/>
      <c r="E111" s="465">
        <f t="shared" si="12"/>
        <v>0</v>
      </c>
      <c r="F111" s="466">
        <f t="shared" si="17"/>
        <v>394.864860201185</v>
      </c>
      <c r="G111" s="466">
        <f t="shared" si="18"/>
        <v>95162.4313084856</v>
      </c>
      <c r="H111" s="476"/>
      <c r="I111" s="469">
        <f t="shared" si="19"/>
        <v>3517.30629462877</v>
      </c>
      <c r="J111" s="469">
        <f t="shared" si="20"/>
        <v>313040.26022196</v>
      </c>
      <c r="K111" s="469">
        <f t="shared" si="21"/>
        <v>105519.188838863</v>
      </c>
      <c r="L111" s="470">
        <f t="shared" si="13"/>
        <v>23790.6078271214</v>
      </c>
      <c r="M111" s="470">
        <f t="shared" si="14"/>
        <v>26379.7972097158</v>
      </c>
    </row>
    <row r="112" customHeight="1" spans="1:13">
      <c r="A112" s="473">
        <f t="shared" si="15"/>
        <v>91</v>
      </c>
      <c r="B112" s="478">
        <f t="shared" si="16"/>
        <v>46935</v>
      </c>
      <c r="C112" s="464">
        <f t="shared" si="11"/>
        <v>0</v>
      </c>
      <c r="D112" s="477"/>
      <c r="E112" s="465">
        <f t="shared" si="12"/>
        <v>0</v>
      </c>
      <c r="F112" s="466">
        <f t="shared" si="17"/>
        <v>396.510130452023</v>
      </c>
      <c r="G112" s="466">
        <f t="shared" si="18"/>
        <v>95558.9414389376</v>
      </c>
      <c r="H112" s="476"/>
      <c r="I112" s="469">
        <f t="shared" si="19"/>
        <v>3517.30629462877</v>
      </c>
      <c r="J112" s="469">
        <f t="shared" si="20"/>
        <v>316557.566516589</v>
      </c>
      <c r="K112" s="469">
        <f t="shared" si="21"/>
        <v>102001.882544234</v>
      </c>
      <c r="L112" s="470">
        <f t="shared" si="13"/>
        <v>23889.7353597344</v>
      </c>
      <c r="M112" s="470">
        <f t="shared" si="14"/>
        <v>25500.4706360586</v>
      </c>
    </row>
    <row r="113" customHeight="1" spans="1:14">
      <c r="A113" s="473">
        <f t="shared" si="15"/>
        <v>92</v>
      </c>
      <c r="B113" s="478">
        <f t="shared" si="16"/>
        <v>46966</v>
      </c>
      <c r="C113" s="464">
        <f t="shared" si="11"/>
        <v>0</v>
      </c>
      <c r="D113" s="477"/>
      <c r="E113" s="465">
        <f t="shared" si="12"/>
        <v>0</v>
      </c>
      <c r="F113" s="466">
        <f t="shared" si="17"/>
        <v>398.162255995574</v>
      </c>
      <c r="G113" s="466">
        <f t="shared" si="18"/>
        <v>95957.1036949332</v>
      </c>
      <c r="H113" s="476"/>
      <c r="I113" s="469">
        <f t="shared" si="19"/>
        <v>3517.30629462877</v>
      </c>
      <c r="J113" s="469">
        <f t="shared" si="20"/>
        <v>320074.872811218</v>
      </c>
      <c r="K113" s="469">
        <f t="shared" si="21"/>
        <v>98484.5762496057</v>
      </c>
      <c r="L113" s="470">
        <f t="shared" si="13"/>
        <v>23989.2759237333</v>
      </c>
      <c r="M113" s="470">
        <f t="shared" si="14"/>
        <v>24621.1440624014</v>
      </c>
    </row>
    <row r="114" customHeight="1" spans="1:14">
      <c r="A114" s="473">
        <f t="shared" si="15"/>
        <v>93</v>
      </c>
      <c r="B114" s="478">
        <f t="shared" si="16"/>
        <v>46997</v>
      </c>
      <c r="C114" s="464">
        <f t="shared" si="11"/>
        <v>0</v>
      </c>
      <c r="D114" s="477"/>
      <c r="E114" s="465">
        <f t="shared" si="12"/>
        <v>0</v>
      </c>
      <c r="F114" s="466">
        <f t="shared" si="17"/>
        <v>399.821265395555</v>
      </c>
      <c r="G114" s="466">
        <f t="shared" si="18"/>
        <v>96356.9249603288</v>
      </c>
      <c r="H114" s="476"/>
      <c r="I114" s="469">
        <f t="shared" si="19"/>
        <v>3517.30629462877</v>
      </c>
      <c r="J114" s="469">
        <f t="shared" si="20"/>
        <v>323592.179105847</v>
      </c>
      <c r="K114" s="469">
        <f t="shared" si="21"/>
        <v>94967.2699549769</v>
      </c>
      <c r="L114" s="470">
        <f t="shared" si="13"/>
        <v>24089.2312400822</v>
      </c>
      <c r="M114" s="470">
        <f t="shared" si="14"/>
        <v>23741.8174887442</v>
      </c>
    </row>
    <row r="115" customHeight="1" spans="1:14">
      <c r="A115" s="473">
        <f t="shared" si="15"/>
        <v>94</v>
      </c>
      <c r="B115" s="478">
        <f t="shared" si="16"/>
        <v>47027</v>
      </c>
      <c r="C115" s="464">
        <f t="shared" si="11"/>
        <v>0</v>
      </c>
      <c r="D115" s="477"/>
      <c r="E115" s="465">
        <f t="shared" si="12"/>
        <v>0</v>
      </c>
      <c r="F115" s="466">
        <f t="shared" si="17"/>
        <v>401.487187334703</v>
      </c>
      <c r="G115" s="466">
        <f t="shared" si="18"/>
        <v>96758.4121476635</v>
      </c>
      <c r="H115" s="476"/>
      <c r="I115" s="469">
        <f t="shared" si="19"/>
        <v>3517.30629462877</v>
      </c>
      <c r="J115" s="469">
        <f t="shared" si="20"/>
        <v>327109.485400476</v>
      </c>
      <c r="K115" s="469">
        <f t="shared" si="21"/>
        <v>91449.9636603481</v>
      </c>
      <c r="L115" s="470">
        <f t="shared" si="13"/>
        <v>24189.6030369159</v>
      </c>
      <c r="M115" s="470">
        <f t="shared" si="14"/>
        <v>22862.490915087</v>
      </c>
    </row>
    <row r="116" customHeight="1" spans="1:14">
      <c r="A116" s="473">
        <f t="shared" si="15"/>
        <v>95</v>
      </c>
      <c r="B116" s="478">
        <f t="shared" si="16"/>
        <v>47058</v>
      </c>
      <c r="C116" s="464">
        <f t="shared" si="11"/>
        <v>0</v>
      </c>
      <c r="D116" s="481"/>
      <c r="E116" s="465">
        <f t="shared" si="12"/>
        <v>0</v>
      </c>
      <c r="F116" s="466">
        <f t="shared" si="17"/>
        <v>403.160050615264</v>
      </c>
      <c r="G116" s="466">
        <f t="shared" si="18"/>
        <v>97161.5721982787</v>
      </c>
      <c r="H116" s="476"/>
      <c r="I116" s="469">
        <f t="shared" si="19"/>
        <v>3517.30629462877</v>
      </c>
      <c r="J116" s="469">
        <f t="shared" si="20"/>
        <v>330626.791695104</v>
      </c>
      <c r="K116" s="469">
        <f t="shared" si="21"/>
        <v>87932.6573657194</v>
      </c>
      <c r="L116" s="470">
        <f t="shared" si="13"/>
        <v>24290.3930495697</v>
      </c>
      <c r="M116" s="470">
        <f t="shared" si="14"/>
        <v>21983.1643414298</v>
      </c>
    </row>
    <row r="117" customHeight="1" spans="1:14">
      <c r="A117" s="473">
        <f t="shared" si="15"/>
        <v>96</v>
      </c>
      <c r="B117" s="478">
        <f t="shared" si="16"/>
        <v>47088</v>
      </c>
      <c r="C117" s="464">
        <f t="shared" si="11"/>
        <v>0</v>
      </c>
      <c r="D117" s="481"/>
      <c r="E117" s="465">
        <f t="shared" si="12"/>
        <v>0</v>
      </c>
      <c r="F117" s="466">
        <f t="shared" si="17"/>
        <v>404.839884159495</v>
      </c>
      <c r="G117" s="466">
        <f t="shared" si="18"/>
        <v>97566.4120824382</v>
      </c>
      <c r="H117" s="476"/>
      <c r="I117" s="469">
        <f t="shared" si="19"/>
        <v>3517.30629462877</v>
      </c>
      <c r="J117" s="469">
        <f t="shared" si="20"/>
        <v>334144.097989733</v>
      </c>
      <c r="K117" s="469">
        <f t="shared" si="21"/>
        <v>84415.3510710906</v>
      </c>
      <c r="L117" s="470">
        <f t="shared" si="13"/>
        <v>24391.6030206096</v>
      </c>
      <c r="M117" s="470">
        <f t="shared" si="14"/>
        <v>21103.8377677727</v>
      </c>
    </row>
    <row r="118" customHeight="1" spans="1:14">
      <c r="A118" s="473">
        <f t="shared" si="15"/>
        <v>97</v>
      </c>
      <c r="B118" s="478">
        <f t="shared" si="16"/>
        <v>47119</v>
      </c>
      <c r="C118" s="464">
        <f t="shared" si="11"/>
        <v>50000</v>
      </c>
      <c r="D118" s="482"/>
      <c r="E118" s="465">
        <f t="shared" si="12"/>
        <v>33543.8665383492</v>
      </c>
      <c r="F118" s="466">
        <f t="shared" si="17"/>
        <v>198.193383676826</v>
      </c>
      <c r="G118" s="466">
        <f t="shared" si="18"/>
        <v>47764.6054661151</v>
      </c>
      <c r="H118" s="476"/>
      <c r="I118" s="469">
        <f t="shared" si="19"/>
        <v>3517.30629462877</v>
      </c>
      <c r="J118" s="469">
        <f t="shared" si="20"/>
        <v>337661.404284362</v>
      </c>
      <c r="K118" s="469">
        <f t="shared" si="21"/>
        <v>80898.0447764618</v>
      </c>
      <c r="L118" s="470">
        <f t="shared" si="13"/>
        <v>11941.1513665288</v>
      </c>
      <c r="M118" s="470">
        <f t="shared" si="14"/>
        <v>20224.5111941155</v>
      </c>
    </row>
    <row r="119" customHeight="1" spans="1:14">
      <c r="A119" s="473">
        <f t="shared" si="15"/>
        <v>98</v>
      </c>
      <c r="B119" s="478">
        <f t="shared" si="16"/>
        <v>47150</v>
      </c>
      <c r="C119" s="464">
        <f t="shared" si="11"/>
        <v>0</v>
      </c>
      <c r="D119" s="477"/>
      <c r="E119" s="465">
        <f t="shared" si="12"/>
        <v>0</v>
      </c>
      <c r="F119" s="466">
        <f t="shared" si="17"/>
        <v>199.019189442146</v>
      </c>
      <c r="G119" s="466">
        <f t="shared" si="18"/>
        <v>47963.6246555572</v>
      </c>
      <c r="H119" s="476"/>
      <c r="I119" s="469">
        <f t="shared" si="19"/>
        <v>3517.30629462877</v>
      </c>
      <c r="J119" s="469">
        <f t="shared" si="20"/>
        <v>341178.710578991</v>
      </c>
      <c r="K119" s="469">
        <f t="shared" si="21"/>
        <v>77380.7384818331</v>
      </c>
      <c r="L119" s="470">
        <f t="shared" si="13"/>
        <v>11990.9061638893</v>
      </c>
      <c r="M119" s="470">
        <f t="shared" si="14"/>
        <v>19345.1846204583</v>
      </c>
    </row>
    <row r="120" customHeight="1" spans="1:14">
      <c r="A120" s="473">
        <f t="shared" si="15"/>
        <v>99</v>
      </c>
      <c r="B120" s="478">
        <f t="shared" si="16"/>
        <v>47178</v>
      </c>
      <c r="C120" s="464">
        <f t="shared" si="11"/>
        <v>0</v>
      </c>
      <c r="D120" s="477"/>
      <c r="E120" s="465">
        <f t="shared" si="12"/>
        <v>0</v>
      </c>
      <c r="F120" s="466">
        <f t="shared" si="17"/>
        <v>199.848436064822</v>
      </c>
      <c r="G120" s="466">
        <f t="shared" si="18"/>
        <v>48163.473091622</v>
      </c>
      <c r="H120" s="476"/>
      <c r="I120" s="469">
        <f t="shared" si="19"/>
        <v>3517.30629462877</v>
      </c>
      <c r="J120" s="469">
        <f t="shared" si="20"/>
        <v>344696.016873619</v>
      </c>
      <c r="K120" s="469">
        <f t="shared" si="21"/>
        <v>73863.4321872043</v>
      </c>
      <c r="L120" s="470">
        <f t="shared" si="13"/>
        <v>12040.8682729055</v>
      </c>
      <c r="M120" s="470">
        <f t="shared" si="14"/>
        <v>18465.8580468011</v>
      </c>
    </row>
    <row r="121" customHeight="1" spans="1:14">
      <c r="A121" s="473">
        <f t="shared" si="15"/>
        <v>100</v>
      </c>
      <c r="B121" s="478">
        <f t="shared" si="16"/>
        <v>47209</v>
      </c>
      <c r="C121" s="464">
        <f t="shared" si="11"/>
        <v>0</v>
      </c>
      <c r="D121" s="477"/>
      <c r="E121" s="465">
        <f t="shared" si="12"/>
        <v>0</v>
      </c>
      <c r="F121" s="466">
        <f t="shared" si="17"/>
        <v>200.681137881758</v>
      </c>
      <c r="G121" s="466">
        <f t="shared" si="18"/>
        <v>48364.1542295038</v>
      </c>
      <c r="H121" s="476"/>
      <c r="I121" s="469">
        <f t="shared" si="19"/>
        <v>3517.30629462877</v>
      </c>
      <c r="J121" s="469">
        <f t="shared" si="20"/>
        <v>348213.323168248</v>
      </c>
      <c r="K121" s="469">
        <f t="shared" si="21"/>
        <v>70346.1258925755</v>
      </c>
      <c r="L121" s="470">
        <f t="shared" si="13"/>
        <v>12091.0385573759</v>
      </c>
      <c r="M121" s="470">
        <f t="shared" si="14"/>
        <v>17586.5314731439</v>
      </c>
    </row>
    <row r="122" customHeight="1" spans="1:14">
      <c r="A122" s="473">
        <f t="shared" si="15"/>
        <v>101</v>
      </c>
      <c r="B122" s="478">
        <f t="shared" si="16"/>
        <v>47239</v>
      </c>
      <c r="C122" s="464">
        <f t="shared" si="11"/>
        <v>0</v>
      </c>
      <c r="D122" s="477"/>
      <c r="E122" s="465">
        <f t="shared" si="12"/>
        <v>0</v>
      </c>
      <c r="F122" s="466">
        <f t="shared" si="17"/>
        <v>201.517309289599</v>
      </c>
      <c r="G122" s="466">
        <f t="shared" si="18"/>
        <v>48565.6715387934</v>
      </c>
      <c r="H122" s="476"/>
      <c r="I122" s="469">
        <f t="shared" si="19"/>
        <v>3517.30629462877</v>
      </c>
      <c r="J122" s="469">
        <f t="shared" si="20"/>
        <v>351730.629462877</v>
      </c>
      <c r="K122" s="469">
        <f t="shared" si="21"/>
        <v>66828.8195979468</v>
      </c>
      <c r="L122" s="470">
        <f t="shared" si="13"/>
        <v>12141.4178846983</v>
      </c>
      <c r="M122" s="470">
        <f t="shared" si="14"/>
        <v>16707.2048994867</v>
      </c>
    </row>
    <row r="123" customHeight="1" spans="1:14">
      <c r="A123" s="473">
        <f t="shared" si="15"/>
        <v>102</v>
      </c>
      <c r="B123" s="478">
        <f t="shared" si="16"/>
        <v>47270</v>
      </c>
      <c r="C123" s="464">
        <f t="shared" si="11"/>
        <v>0</v>
      </c>
      <c r="D123" s="477"/>
      <c r="E123" s="465">
        <f t="shared" si="12"/>
        <v>0</v>
      </c>
      <c r="F123" s="466">
        <f t="shared" si="17"/>
        <v>202.356964744972</v>
      </c>
      <c r="G123" s="466">
        <f t="shared" si="18"/>
        <v>48768.0285035383</v>
      </c>
      <c r="H123" s="476"/>
      <c r="I123" s="469">
        <f t="shared" si="19"/>
        <v>3517.30629462877</v>
      </c>
      <c r="J123" s="469">
        <f t="shared" si="20"/>
        <v>355247.935757506</v>
      </c>
      <c r="K123" s="469">
        <f t="shared" si="21"/>
        <v>63311.513303318</v>
      </c>
      <c r="L123" s="470">
        <f t="shared" si="13"/>
        <v>12192.0071258846</v>
      </c>
      <c r="M123" s="470">
        <f t="shared" si="14"/>
        <v>15827.8783258295</v>
      </c>
    </row>
    <row r="124" s="408" customFormat="1" customHeight="1" spans="1:14">
      <c r="A124" s="473">
        <f t="shared" si="15"/>
        <v>103</v>
      </c>
      <c r="B124" s="478">
        <f t="shared" si="16"/>
        <v>47300</v>
      </c>
      <c r="C124" s="464">
        <f t="shared" si="11"/>
        <v>0</v>
      </c>
      <c r="D124" s="480"/>
      <c r="E124" s="465">
        <f t="shared" si="12"/>
        <v>0</v>
      </c>
      <c r="F124" s="466">
        <f t="shared" si="17"/>
        <v>203.200118764743</v>
      </c>
      <c r="G124" s="466">
        <f t="shared" si="18"/>
        <v>48971.2286223031</v>
      </c>
      <c r="H124" s="476"/>
      <c r="I124" s="469">
        <f t="shared" si="19"/>
        <v>3517.30629462877</v>
      </c>
      <c r="J124" s="469">
        <f t="shared" si="20"/>
        <v>358765.242052134</v>
      </c>
      <c r="K124" s="469">
        <f t="shared" si="21"/>
        <v>59794.2070086892</v>
      </c>
      <c r="L124" s="470">
        <f t="shared" si="13"/>
        <v>12242.8071555758</v>
      </c>
      <c r="M124" s="470">
        <f t="shared" si="14"/>
        <v>14948.5517521723</v>
      </c>
      <c r="N124" s="448"/>
    </row>
    <row r="125" customHeight="1" spans="1:14">
      <c r="A125" s="473">
        <f t="shared" si="15"/>
        <v>104</v>
      </c>
      <c r="B125" s="478">
        <f t="shared" si="16"/>
        <v>47331</v>
      </c>
      <c r="C125" s="464">
        <f t="shared" si="11"/>
        <v>0</v>
      </c>
      <c r="D125" s="477"/>
      <c r="E125" s="465">
        <f t="shared" si="12"/>
        <v>0</v>
      </c>
      <c r="F125" s="466">
        <f t="shared" si="17"/>
        <v>204.046785926263</v>
      </c>
      <c r="G125" s="466">
        <f t="shared" si="18"/>
        <v>49175.2754082294</v>
      </c>
      <c r="H125" s="476"/>
      <c r="I125" s="469">
        <f t="shared" si="19"/>
        <v>3517.30629462877</v>
      </c>
      <c r="J125" s="469">
        <f t="shared" si="20"/>
        <v>362282.548346763</v>
      </c>
      <c r="K125" s="469">
        <f t="shared" si="21"/>
        <v>56276.9007140605</v>
      </c>
      <c r="L125" s="470">
        <f t="shared" si="13"/>
        <v>12293.8188520573</v>
      </c>
      <c r="M125" s="470">
        <f t="shared" si="14"/>
        <v>14069.2251785151</v>
      </c>
    </row>
    <row r="126" customHeight="1" spans="1:14">
      <c r="A126" s="473">
        <f t="shared" si="15"/>
        <v>105</v>
      </c>
      <c r="B126" s="478">
        <f t="shared" si="16"/>
        <v>47362</v>
      </c>
      <c r="C126" s="464">
        <f t="shared" si="11"/>
        <v>0</v>
      </c>
      <c r="D126" s="477"/>
      <c r="E126" s="465">
        <f t="shared" si="12"/>
        <v>0</v>
      </c>
      <c r="F126" s="466">
        <f t="shared" si="17"/>
        <v>204.896980867622</v>
      </c>
      <c r="G126" s="466">
        <f t="shared" si="18"/>
        <v>49380.172389097</v>
      </c>
      <c r="H126" s="476"/>
      <c r="I126" s="469">
        <f t="shared" si="19"/>
        <v>3517.30629462877</v>
      </c>
      <c r="J126" s="469">
        <f t="shared" si="20"/>
        <v>365799.854641392</v>
      </c>
      <c r="K126" s="469">
        <f t="shared" si="21"/>
        <v>52759.5944194317</v>
      </c>
      <c r="L126" s="470">
        <f t="shared" si="13"/>
        <v>12345.0430972742</v>
      </c>
      <c r="M126" s="470">
        <f t="shared" si="14"/>
        <v>13189.8986048579</v>
      </c>
    </row>
    <row r="127" customHeight="1" spans="1:14">
      <c r="A127" s="473">
        <f t="shared" si="15"/>
        <v>106</v>
      </c>
      <c r="B127" s="478">
        <f t="shared" si="16"/>
        <v>47392</v>
      </c>
      <c r="C127" s="464">
        <f t="shared" si="11"/>
        <v>0</v>
      </c>
      <c r="D127" s="477"/>
      <c r="E127" s="465">
        <f t="shared" si="12"/>
        <v>0</v>
      </c>
      <c r="F127" s="466">
        <f t="shared" si="17"/>
        <v>205.750718287904</v>
      </c>
      <c r="G127" s="466">
        <f t="shared" si="18"/>
        <v>49585.9231073849</v>
      </c>
      <c r="H127" s="476"/>
      <c r="I127" s="469">
        <f t="shared" si="19"/>
        <v>3517.30629462877</v>
      </c>
      <c r="J127" s="469">
        <f t="shared" si="20"/>
        <v>369317.160936021</v>
      </c>
      <c r="K127" s="469">
        <f t="shared" si="21"/>
        <v>49242.2881248029</v>
      </c>
      <c r="L127" s="470">
        <f t="shared" si="13"/>
        <v>12396.4807768462</v>
      </c>
      <c r="M127" s="470">
        <f t="shared" si="14"/>
        <v>12310.5720312007</v>
      </c>
    </row>
    <row r="128" customHeight="1" spans="1:14">
      <c r="A128" s="473">
        <f t="shared" si="15"/>
        <v>107</v>
      </c>
      <c r="B128" s="478">
        <f t="shared" si="16"/>
        <v>47423</v>
      </c>
      <c r="C128" s="464">
        <f t="shared" si="11"/>
        <v>0</v>
      </c>
      <c r="D128" s="477"/>
      <c r="E128" s="465">
        <f t="shared" si="12"/>
        <v>0</v>
      </c>
      <c r="F128" s="466">
        <f t="shared" si="17"/>
        <v>206.608012947437</v>
      </c>
      <c r="G128" s="466">
        <f t="shared" si="18"/>
        <v>49792.5311203323</v>
      </c>
      <c r="H128" s="476"/>
      <c r="I128" s="469">
        <f t="shared" si="19"/>
        <v>3517.30629462877</v>
      </c>
      <c r="J128" s="469">
        <f t="shared" si="20"/>
        <v>372834.467230649</v>
      </c>
      <c r="K128" s="469">
        <f t="shared" si="21"/>
        <v>45724.9818301742</v>
      </c>
      <c r="L128" s="470">
        <f t="shared" si="13"/>
        <v>12448.1327800831</v>
      </c>
      <c r="M128" s="470">
        <f t="shared" si="14"/>
        <v>11431.2454575435</v>
      </c>
    </row>
    <row r="129" customHeight="1" spans="1:13">
      <c r="A129" s="473">
        <f t="shared" si="15"/>
        <v>108</v>
      </c>
      <c r="B129" s="478">
        <f t="shared" si="16"/>
        <v>47453</v>
      </c>
      <c r="C129" s="464">
        <f t="shared" si="11"/>
        <v>0</v>
      </c>
      <c r="D129" s="477"/>
      <c r="E129" s="465">
        <f t="shared" si="12"/>
        <v>0</v>
      </c>
      <c r="F129" s="466">
        <f t="shared" si="17"/>
        <v>207.468879668051</v>
      </c>
      <c r="G129" s="466">
        <f t="shared" si="18"/>
        <v>50000.0000000004</v>
      </c>
      <c r="H129" s="476"/>
      <c r="I129" s="469">
        <f t="shared" si="19"/>
        <v>3517.30629462877</v>
      </c>
      <c r="J129" s="469">
        <f t="shared" si="20"/>
        <v>376351.773525278</v>
      </c>
      <c r="K129" s="469">
        <f t="shared" si="21"/>
        <v>42207.6755355454</v>
      </c>
      <c r="L129" s="470">
        <f t="shared" si="13"/>
        <v>12500.0000000001</v>
      </c>
      <c r="M129" s="470">
        <f t="shared" si="14"/>
        <v>10551.9188838863</v>
      </c>
    </row>
    <row r="130" customHeight="1" spans="1:13">
      <c r="A130" s="473">
        <f t="shared" si="15"/>
        <v>109</v>
      </c>
      <c r="B130" s="478">
        <f t="shared" si="16"/>
        <v>47484</v>
      </c>
      <c r="C130" s="464">
        <f t="shared" si="11"/>
        <v>50000</v>
      </c>
      <c r="D130" s="477"/>
      <c r="E130" s="465">
        <f t="shared" si="12"/>
        <v>31911.2275720284</v>
      </c>
      <c r="F130" s="466">
        <f t="shared" si="17"/>
        <v>1.51582450295488e-12</v>
      </c>
      <c r="G130" s="466">
        <f t="shared" si="18"/>
        <v>3.65313705212126e-10</v>
      </c>
      <c r="H130" s="476"/>
      <c r="I130" s="469">
        <f t="shared" si="19"/>
        <v>3517.30629462877</v>
      </c>
      <c r="J130" s="469">
        <f t="shared" si="20"/>
        <v>379869.079819907</v>
      </c>
      <c r="K130" s="469">
        <f t="shared" si="21"/>
        <v>38690.3692409166</v>
      </c>
      <c r="L130" s="470">
        <f t="shared" si="13"/>
        <v>9.13284263030315e-11</v>
      </c>
      <c r="M130" s="470">
        <f t="shared" si="14"/>
        <v>9672.59231022916</v>
      </c>
    </row>
    <row r="131" customHeight="1" spans="1:13">
      <c r="A131" s="473">
        <f t="shared" si="15"/>
        <v>110</v>
      </c>
      <c r="B131" s="478">
        <f t="shared" si="16"/>
        <v>47515</v>
      </c>
      <c r="C131" s="464">
        <f t="shared" si="11"/>
        <v>0</v>
      </c>
      <c r="D131" s="477"/>
      <c r="E131" s="465">
        <f t="shared" si="12"/>
        <v>0</v>
      </c>
      <c r="F131" s="466">
        <f t="shared" si="17"/>
        <v>1.52214043838386e-12</v>
      </c>
      <c r="G131" s="466">
        <f t="shared" si="18"/>
        <v>3.6683584565051e-10</v>
      </c>
      <c r="H131" s="476"/>
      <c r="I131" s="469">
        <f t="shared" si="19"/>
        <v>3517.30629462877</v>
      </c>
      <c r="J131" s="469">
        <f t="shared" si="20"/>
        <v>383386.386114536</v>
      </c>
      <c r="K131" s="469">
        <f t="shared" si="21"/>
        <v>35173.0629462879</v>
      </c>
      <c r="L131" s="470">
        <f t="shared" si="13"/>
        <v>9.17089614126275e-11</v>
      </c>
      <c r="M131" s="470">
        <f t="shared" si="14"/>
        <v>8793.26573657196</v>
      </c>
    </row>
    <row r="132" customHeight="1" spans="1:13">
      <c r="A132" s="473">
        <f t="shared" si="15"/>
        <v>111</v>
      </c>
      <c r="B132" s="478">
        <f t="shared" si="16"/>
        <v>47543</v>
      </c>
      <c r="C132" s="464">
        <f t="shared" si="11"/>
        <v>0</v>
      </c>
      <c r="D132" s="477"/>
      <c r="E132" s="465">
        <f t="shared" si="12"/>
        <v>0</v>
      </c>
      <c r="F132" s="466">
        <f t="shared" si="17"/>
        <v>1.52848269021046e-12</v>
      </c>
      <c r="G132" s="466">
        <f t="shared" si="18"/>
        <v>3.6836432834072e-10</v>
      </c>
      <c r="H132" s="476"/>
      <c r="I132" s="469">
        <f t="shared" si="19"/>
        <v>3517.30629462877</v>
      </c>
      <c r="J132" s="469">
        <f t="shared" si="20"/>
        <v>386903.692409165</v>
      </c>
      <c r="K132" s="469">
        <f t="shared" si="21"/>
        <v>31655.7566516591</v>
      </c>
      <c r="L132" s="470">
        <f t="shared" si="13"/>
        <v>9.20910820851801e-11</v>
      </c>
      <c r="M132" s="470">
        <f t="shared" si="14"/>
        <v>7913.93916291477</v>
      </c>
    </row>
    <row r="133" customHeight="1" spans="1:13">
      <c r="A133" s="473">
        <f t="shared" si="15"/>
        <v>112</v>
      </c>
      <c r="B133" s="478">
        <f t="shared" si="16"/>
        <v>47574</v>
      </c>
      <c r="C133" s="464">
        <f t="shared" si="11"/>
        <v>0</v>
      </c>
      <c r="D133" s="477"/>
      <c r="E133" s="465">
        <f t="shared" si="12"/>
        <v>0</v>
      </c>
      <c r="F133" s="466">
        <f t="shared" si="17"/>
        <v>1.53485136808634e-12</v>
      </c>
      <c r="G133" s="466">
        <f t="shared" si="18"/>
        <v>3.69899179708807e-10</v>
      </c>
      <c r="H133" s="476"/>
      <c r="I133" s="469">
        <f t="shared" si="19"/>
        <v>3517.30629462877</v>
      </c>
      <c r="J133" s="469">
        <f t="shared" si="20"/>
        <v>390420.998703793</v>
      </c>
      <c r="K133" s="469">
        <f t="shared" si="21"/>
        <v>28138.4503570303</v>
      </c>
      <c r="L133" s="470">
        <f t="shared" si="13"/>
        <v>9.24747949272017e-11</v>
      </c>
      <c r="M133" s="470">
        <f t="shared" si="14"/>
        <v>7034.61258925758</v>
      </c>
    </row>
    <row r="134" customHeight="1" spans="1:13">
      <c r="A134" s="473">
        <f t="shared" si="15"/>
        <v>113</v>
      </c>
      <c r="B134" s="478">
        <f t="shared" si="16"/>
        <v>47604</v>
      </c>
      <c r="C134" s="464">
        <f t="shared" si="11"/>
        <v>0</v>
      </c>
      <c r="D134" s="477"/>
      <c r="E134" s="465">
        <f t="shared" si="12"/>
        <v>0</v>
      </c>
      <c r="F134" s="466">
        <f t="shared" si="17"/>
        <v>1.54124658212003e-12</v>
      </c>
      <c r="G134" s="466">
        <f t="shared" si="18"/>
        <v>3.71440426290927e-10</v>
      </c>
      <c r="H134" s="476"/>
      <c r="I134" s="469">
        <f t="shared" si="19"/>
        <v>3517.30629462877</v>
      </c>
      <c r="J134" s="469">
        <f t="shared" si="20"/>
        <v>393938.304998422</v>
      </c>
      <c r="K134" s="469">
        <f t="shared" si="21"/>
        <v>24621.1440624016</v>
      </c>
      <c r="L134" s="470">
        <f t="shared" si="13"/>
        <v>9.28601065727317e-11</v>
      </c>
      <c r="M134" s="470">
        <f t="shared" si="14"/>
        <v>6155.28601560039</v>
      </c>
    </row>
    <row r="135" customHeight="1" spans="1:13">
      <c r="A135" s="473">
        <f t="shared" si="15"/>
        <v>114</v>
      </c>
      <c r="B135" s="478">
        <f t="shared" si="16"/>
        <v>47635</v>
      </c>
      <c r="C135" s="464">
        <f t="shared" si="11"/>
        <v>0</v>
      </c>
      <c r="D135" s="477"/>
      <c r="E135" s="465">
        <f t="shared" si="12"/>
        <v>0</v>
      </c>
      <c r="F135" s="466">
        <f t="shared" si="17"/>
        <v>1.54766844287886e-12</v>
      </c>
      <c r="G135" s="466">
        <f t="shared" si="18"/>
        <v>3.72988094733806e-10</v>
      </c>
      <c r="H135" s="476"/>
      <c r="I135" s="469">
        <f t="shared" si="19"/>
        <v>3517.30629462877</v>
      </c>
      <c r="J135" s="469">
        <f t="shared" si="20"/>
        <v>397455.611293051</v>
      </c>
      <c r="K135" s="469">
        <f t="shared" si="21"/>
        <v>21103.8377677728</v>
      </c>
      <c r="L135" s="470">
        <f t="shared" si="13"/>
        <v>9.32470236834514e-11</v>
      </c>
      <c r="M135" s="470">
        <f t="shared" si="14"/>
        <v>5275.9594419432</v>
      </c>
    </row>
    <row r="136" customHeight="1" spans="1:13">
      <c r="A136" s="473">
        <f t="shared" si="15"/>
        <v>115</v>
      </c>
      <c r="B136" s="478">
        <f t="shared" si="16"/>
        <v>47665</v>
      </c>
      <c r="C136" s="464">
        <f t="shared" si="11"/>
        <v>0</v>
      </c>
      <c r="D136" s="477"/>
      <c r="E136" s="465">
        <f t="shared" si="12"/>
        <v>0</v>
      </c>
      <c r="F136" s="466">
        <f t="shared" si="17"/>
        <v>1.55411706139086e-12</v>
      </c>
      <c r="G136" s="466">
        <f t="shared" si="18"/>
        <v>3.74542211795197e-10</v>
      </c>
      <c r="H136" s="476"/>
      <c r="I136" s="469">
        <f t="shared" si="19"/>
        <v>3517.30629462877</v>
      </c>
      <c r="J136" s="469">
        <f t="shared" si="20"/>
        <v>400972.91758768</v>
      </c>
      <c r="K136" s="469">
        <f t="shared" si="21"/>
        <v>17586.531473144</v>
      </c>
      <c r="L136" s="470">
        <f t="shared" si="13"/>
        <v>9.36355529487991e-11</v>
      </c>
      <c r="M136" s="470">
        <f t="shared" si="14"/>
        <v>4396.632868286</v>
      </c>
    </row>
    <row r="137" customHeight="1" spans="1:13">
      <c r="A137" s="473">
        <f t="shared" si="15"/>
        <v>116</v>
      </c>
      <c r="B137" s="478">
        <f t="shared" si="16"/>
        <v>47696</v>
      </c>
      <c r="C137" s="464">
        <f t="shared" si="11"/>
        <v>0</v>
      </c>
      <c r="D137" s="477"/>
      <c r="E137" s="465">
        <f t="shared" si="12"/>
        <v>0</v>
      </c>
      <c r="F137" s="466">
        <f t="shared" si="17"/>
        <v>1.56059254914665e-12</v>
      </c>
      <c r="G137" s="466">
        <f t="shared" si="18"/>
        <v>3.76102804344343e-10</v>
      </c>
      <c r="H137" s="476"/>
      <c r="I137" s="469">
        <f t="shared" si="19"/>
        <v>3517.30629462877</v>
      </c>
      <c r="J137" s="469">
        <f t="shared" si="20"/>
        <v>404490.223882308</v>
      </c>
      <c r="K137" s="469">
        <f t="shared" si="21"/>
        <v>14069.2251785152</v>
      </c>
      <c r="L137" s="470">
        <f t="shared" si="13"/>
        <v>9.40257010860858e-11</v>
      </c>
      <c r="M137" s="470">
        <f t="shared" si="14"/>
        <v>3517.30629462881</v>
      </c>
    </row>
    <row r="138" customHeight="1" spans="1:13">
      <c r="A138" s="473">
        <f t="shared" si="15"/>
        <v>117</v>
      </c>
      <c r="B138" s="478">
        <f t="shared" si="16"/>
        <v>47727</v>
      </c>
      <c r="C138" s="464">
        <f t="shared" si="11"/>
        <v>0</v>
      </c>
      <c r="D138" s="477"/>
      <c r="E138" s="465">
        <f t="shared" si="12"/>
        <v>0</v>
      </c>
      <c r="F138" s="466">
        <f t="shared" si="17"/>
        <v>1.56709501810143e-12</v>
      </c>
      <c r="G138" s="466">
        <f t="shared" si="18"/>
        <v>3.77669899362445e-10</v>
      </c>
      <c r="H138" s="476"/>
      <c r="I138" s="469">
        <f t="shared" si="19"/>
        <v>3517.30629462877</v>
      </c>
      <c r="J138" s="469">
        <f t="shared" si="20"/>
        <v>408007.530176937</v>
      </c>
      <c r="K138" s="469">
        <f t="shared" si="21"/>
        <v>10551.9188838865</v>
      </c>
      <c r="L138" s="470">
        <f t="shared" si="13"/>
        <v>9.44174748406112e-11</v>
      </c>
      <c r="M138" s="470">
        <f t="shared" si="14"/>
        <v>2637.97972097162</v>
      </c>
    </row>
    <row r="139" customHeight="1" spans="1:13">
      <c r="A139" s="473">
        <f t="shared" si="15"/>
        <v>118</v>
      </c>
      <c r="B139" s="478">
        <f t="shared" si="16"/>
        <v>47757</v>
      </c>
      <c r="C139" s="464">
        <f t="shared" si="11"/>
        <v>0</v>
      </c>
      <c r="D139" s="477"/>
      <c r="E139" s="465">
        <f t="shared" si="12"/>
        <v>0</v>
      </c>
      <c r="F139" s="466">
        <f t="shared" si="17"/>
        <v>1.57362458067685e-12</v>
      </c>
      <c r="G139" s="466">
        <f t="shared" si="18"/>
        <v>3.79243523943121e-10</v>
      </c>
      <c r="H139" s="476"/>
      <c r="I139" s="469">
        <f t="shared" si="19"/>
        <v>3517.30629462877</v>
      </c>
      <c r="J139" s="469">
        <f t="shared" si="20"/>
        <v>411524.836471566</v>
      </c>
      <c r="K139" s="469">
        <f t="shared" si="21"/>
        <v>7034.61258925771</v>
      </c>
      <c r="L139" s="470">
        <f t="shared" si="13"/>
        <v>9.48108809857804e-11</v>
      </c>
      <c r="M139" s="470">
        <f t="shared" si="14"/>
        <v>1758.65314731443</v>
      </c>
    </row>
    <row r="140" customHeight="1" spans="1:13">
      <c r="A140" s="473">
        <f t="shared" si="15"/>
        <v>119</v>
      </c>
      <c r="B140" s="478">
        <f t="shared" si="16"/>
        <v>47788</v>
      </c>
      <c r="C140" s="464">
        <f t="shared" si="11"/>
        <v>0</v>
      </c>
      <c r="D140" s="477"/>
      <c r="E140" s="465">
        <f t="shared" si="12"/>
        <v>0</v>
      </c>
      <c r="F140" s="466">
        <f t="shared" si="17"/>
        <v>1.58018134976301e-12</v>
      </c>
      <c r="G140" s="466">
        <f t="shared" si="18"/>
        <v>3.80823705292884e-10</v>
      </c>
      <c r="H140" s="476"/>
      <c r="I140" s="469">
        <f t="shared" si="19"/>
        <v>3517.30629462877</v>
      </c>
      <c r="J140" s="469">
        <f t="shared" si="20"/>
        <v>415042.142766195</v>
      </c>
      <c r="K140" s="469">
        <f t="shared" si="21"/>
        <v>3517.30629462894</v>
      </c>
      <c r="L140" s="470">
        <f t="shared" si="13"/>
        <v>9.52059263232211e-11</v>
      </c>
      <c r="M140" s="470">
        <f t="shared" si="14"/>
        <v>879.326573657234</v>
      </c>
    </row>
    <row r="141" customHeight="1" spans="1:13">
      <c r="A141" s="473">
        <f t="shared" si="15"/>
        <v>120</v>
      </c>
      <c r="B141" s="478">
        <f t="shared" si="16"/>
        <v>47818</v>
      </c>
      <c r="C141" s="464">
        <f t="shared" si="11"/>
        <v>0</v>
      </c>
      <c r="D141" s="477"/>
      <c r="E141" s="465">
        <f t="shared" si="12"/>
        <v>0</v>
      </c>
      <c r="F141" s="466">
        <f t="shared" si="17"/>
        <v>1.58676543872035e-12</v>
      </c>
      <c r="G141" s="466">
        <f t="shared" si="18"/>
        <v>3.82410470731605e-10</v>
      </c>
      <c r="H141" s="476"/>
      <c r="I141" s="469">
        <f t="shared" si="19"/>
        <v>3517.30629462877</v>
      </c>
      <c r="J141" s="469">
        <f t="shared" si="20"/>
        <v>418559.449060823</v>
      </c>
      <c r="K141" s="469">
        <f t="shared" si="21"/>
        <v>1.66437530424446e-10</v>
      </c>
      <c r="L141" s="470">
        <f t="shared" si="13"/>
        <v>9.56026176829012e-11</v>
      </c>
      <c r="M141" s="470">
        <f t="shared" si="14"/>
        <v>4.16093826061115e-11</v>
      </c>
    </row>
    <row r="142" customHeight="1" spans="1:13">
      <c r="A142" s="473">
        <f t="shared" si="15"/>
        <v>121</v>
      </c>
      <c r="B142" s="478">
        <f t="shared" si="16"/>
        <v>47849</v>
      </c>
      <c r="C142" s="464">
        <f t="shared" si="11"/>
        <v>0</v>
      </c>
      <c r="D142" s="477"/>
      <c r="E142" s="465">
        <f t="shared" si="12"/>
        <v>0</v>
      </c>
      <c r="F142" s="466">
        <f t="shared" si="17"/>
        <v>0</v>
      </c>
      <c r="G142" s="466">
        <f t="shared" si="18"/>
        <v>0</v>
      </c>
      <c r="H142" s="476"/>
      <c r="I142" s="469">
        <f t="shared" si="19"/>
        <v>0</v>
      </c>
      <c r="J142" s="469">
        <f t="shared" si="20"/>
        <v>0</v>
      </c>
      <c r="K142" s="469">
        <f t="shared" si="21"/>
        <v>0</v>
      </c>
      <c r="L142" s="470">
        <f t="shared" si="13"/>
        <v>0</v>
      </c>
      <c r="M142" s="470">
        <f t="shared" si="14"/>
        <v>0</v>
      </c>
    </row>
    <row r="143" customHeight="1" spans="1:13">
      <c r="A143" s="473">
        <f t="shared" si="15"/>
        <v>122</v>
      </c>
      <c r="B143" s="478">
        <f t="shared" si="16"/>
        <v>47880</v>
      </c>
      <c r="C143" s="464">
        <f t="shared" si="11"/>
        <v>0</v>
      </c>
      <c r="D143" s="477"/>
      <c r="E143" s="465">
        <f t="shared" si="12"/>
        <v>0</v>
      </c>
      <c r="F143" s="466">
        <f t="shared" si="17"/>
        <v>0</v>
      </c>
      <c r="G143" s="466">
        <f t="shared" si="18"/>
        <v>0</v>
      </c>
      <c r="H143" s="476"/>
      <c r="I143" s="469">
        <f t="shared" si="19"/>
        <v>0</v>
      </c>
      <c r="J143" s="469">
        <f t="shared" si="20"/>
        <v>0</v>
      </c>
      <c r="K143" s="469">
        <f t="shared" si="21"/>
        <v>0</v>
      </c>
      <c r="L143" s="470">
        <f t="shared" si="13"/>
        <v>0</v>
      </c>
      <c r="M143" s="470">
        <f t="shared" si="14"/>
        <v>0</v>
      </c>
    </row>
    <row r="144" customHeight="1" spans="1:13">
      <c r="A144" s="473">
        <f t="shared" si="15"/>
        <v>123</v>
      </c>
      <c r="B144" s="478">
        <f t="shared" si="16"/>
        <v>47908</v>
      </c>
      <c r="C144" s="464">
        <f t="shared" si="11"/>
        <v>0</v>
      </c>
      <c r="D144" s="477"/>
      <c r="E144" s="465">
        <f t="shared" si="12"/>
        <v>0</v>
      </c>
      <c r="F144" s="466">
        <f t="shared" si="17"/>
        <v>0</v>
      </c>
      <c r="G144" s="466">
        <f t="shared" si="18"/>
        <v>0</v>
      </c>
      <c r="H144" s="476"/>
      <c r="I144" s="469">
        <f t="shared" si="19"/>
        <v>0</v>
      </c>
      <c r="J144" s="469">
        <f t="shared" si="20"/>
        <v>0</v>
      </c>
      <c r="K144" s="469">
        <f t="shared" si="21"/>
        <v>0</v>
      </c>
      <c r="L144" s="470">
        <f t="shared" si="13"/>
        <v>0</v>
      </c>
      <c r="M144" s="470">
        <f t="shared" si="14"/>
        <v>0</v>
      </c>
    </row>
    <row r="145" customHeight="1" spans="1:14">
      <c r="A145" s="473">
        <f t="shared" si="15"/>
        <v>124</v>
      </c>
      <c r="B145" s="478">
        <f t="shared" si="16"/>
        <v>47939</v>
      </c>
      <c r="C145" s="464">
        <f t="shared" si="11"/>
        <v>0</v>
      </c>
      <c r="D145" s="477"/>
      <c r="E145" s="465">
        <f t="shared" si="12"/>
        <v>0</v>
      </c>
      <c r="F145" s="466">
        <f t="shared" si="17"/>
        <v>0</v>
      </c>
      <c r="G145" s="466">
        <f t="shared" si="18"/>
        <v>0</v>
      </c>
      <c r="H145" s="476"/>
      <c r="I145" s="469">
        <f t="shared" si="19"/>
        <v>0</v>
      </c>
      <c r="J145" s="469">
        <f t="shared" si="20"/>
        <v>0</v>
      </c>
      <c r="K145" s="469">
        <f t="shared" si="21"/>
        <v>0</v>
      </c>
      <c r="L145" s="470">
        <f t="shared" si="13"/>
        <v>0</v>
      </c>
      <c r="M145" s="470">
        <f t="shared" si="14"/>
        <v>0</v>
      </c>
    </row>
    <row r="146" customHeight="1" spans="1:14">
      <c r="A146" s="473">
        <f t="shared" si="15"/>
        <v>125</v>
      </c>
      <c r="B146" s="478">
        <f t="shared" si="16"/>
        <v>47969</v>
      </c>
      <c r="C146" s="464">
        <f t="shared" si="11"/>
        <v>0</v>
      </c>
      <c r="D146" s="477"/>
      <c r="E146" s="465">
        <f t="shared" si="12"/>
        <v>0</v>
      </c>
      <c r="F146" s="466">
        <f t="shared" si="17"/>
        <v>0</v>
      </c>
      <c r="G146" s="466">
        <f t="shared" si="18"/>
        <v>0</v>
      </c>
      <c r="H146" s="476"/>
      <c r="I146" s="469">
        <f t="shared" si="19"/>
        <v>0</v>
      </c>
      <c r="J146" s="469">
        <f t="shared" si="20"/>
        <v>0</v>
      </c>
      <c r="K146" s="469">
        <f t="shared" si="21"/>
        <v>0</v>
      </c>
      <c r="L146" s="470">
        <f t="shared" si="13"/>
        <v>0</v>
      </c>
      <c r="M146" s="470">
        <f t="shared" si="14"/>
        <v>0</v>
      </c>
    </row>
    <row r="147" customHeight="1" spans="1:14">
      <c r="A147" s="473">
        <f t="shared" si="15"/>
        <v>126</v>
      </c>
      <c r="B147" s="478">
        <f t="shared" si="16"/>
        <v>48000</v>
      </c>
      <c r="C147" s="464">
        <f t="shared" si="11"/>
        <v>0</v>
      </c>
      <c r="D147" s="477"/>
      <c r="E147" s="465">
        <f t="shared" si="12"/>
        <v>0</v>
      </c>
      <c r="F147" s="466">
        <f t="shared" si="17"/>
        <v>0</v>
      </c>
      <c r="G147" s="466">
        <f t="shared" si="18"/>
        <v>0</v>
      </c>
      <c r="H147" s="476"/>
      <c r="I147" s="469">
        <f t="shared" si="19"/>
        <v>0</v>
      </c>
      <c r="J147" s="469">
        <f t="shared" si="20"/>
        <v>0</v>
      </c>
      <c r="K147" s="469">
        <f t="shared" si="21"/>
        <v>0</v>
      </c>
      <c r="L147" s="470">
        <f t="shared" si="13"/>
        <v>0</v>
      </c>
      <c r="M147" s="470">
        <f t="shared" si="14"/>
        <v>0</v>
      </c>
    </row>
    <row r="148" customHeight="1" spans="1:14">
      <c r="A148" s="473">
        <f t="shared" si="15"/>
        <v>127</v>
      </c>
      <c r="B148" s="478">
        <f t="shared" si="16"/>
        <v>48030</v>
      </c>
      <c r="C148" s="464">
        <f t="shared" si="11"/>
        <v>0</v>
      </c>
      <c r="D148" s="477"/>
      <c r="E148" s="465">
        <f t="shared" si="12"/>
        <v>0</v>
      </c>
      <c r="F148" s="466">
        <f t="shared" si="17"/>
        <v>0</v>
      </c>
      <c r="G148" s="466">
        <f t="shared" si="18"/>
        <v>0</v>
      </c>
      <c r="H148" s="476"/>
      <c r="I148" s="469">
        <f t="shared" si="19"/>
        <v>0</v>
      </c>
      <c r="J148" s="469">
        <f t="shared" si="20"/>
        <v>0</v>
      </c>
      <c r="K148" s="469">
        <f t="shared" si="21"/>
        <v>0</v>
      </c>
      <c r="L148" s="470">
        <f t="shared" si="13"/>
        <v>0</v>
      </c>
      <c r="M148" s="470">
        <f t="shared" si="14"/>
        <v>0</v>
      </c>
    </row>
    <row r="149" customHeight="1" spans="1:14">
      <c r="A149" s="473">
        <f t="shared" si="15"/>
        <v>128</v>
      </c>
      <c r="B149" s="478">
        <f t="shared" si="16"/>
        <v>48061</v>
      </c>
      <c r="C149" s="464">
        <f t="shared" si="11"/>
        <v>0</v>
      </c>
      <c r="D149" s="477"/>
      <c r="E149" s="465">
        <f t="shared" si="12"/>
        <v>0</v>
      </c>
      <c r="F149" s="466">
        <f t="shared" si="17"/>
        <v>0</v>
      </c>
      <c r="G149" s="466">
        <f t="shared" si="18"/>
        <v>0</v>
      </c>
      <c r="H149" s="476"/>
      <c r="I149" s="469">
        <f t="shared" si="19"/>
        <v>0</v>
      </c>
      <c r="J149" s="469">
        <f t="shared" si="20"/>
        <v>0</v>
      </c>
      <c r="K149" s="469">
        <f t="shared" si="21"/>
        <v>0</v>
      </c>
      <c r="L149" s="470">
        <f t="shared" si="13"/>
        <v>0</v>
      </c>
      <c r="M149" s="470">
        <f t="shared" si="14"/>
        <v>0</v>
      </c>
    </row>
    <row r="150" customHeight="1" spans="1:14">
      <c r="A150" s="473">
        <f t="shared" si="15"/>
        <v>129</v>
      </c>
      <c r="B150" s="478">
        <f t="shared" si="16"/>
        <v>48092</v>
      </c>
      <c r="C150" s="464">
        <f t="shared" ref="C150:C213" si="22">IF(AND(A150&lt;=$C$18,MONTH(B150)=$E$20,B150&lt;=$C$16,IF($O$20="期末",B150&gt;=EDATE($C$15,12),B150&gt;$C$15)),$C$20,0)</f>
        <v>0</v>
      </c>
      <c r="D150" s="477"/>
      <c r="E150" s="465">
        <f t="shared" ref="E150:E213" si="23">(D150+C150)/(POWER((1+$C$17/12),A150-1))</f>
        <v>0</v>
      </c>
      <c r="F150" s="466">
        <f t="shared" si="17"/>
        <v>0</v>
      </c>
      <c r="G150" s="466">
        <f t="shared" si="18"/>
        <v>0</v>
      </c>
      <c r="H150" s="476"/>
      <c r="I150" s="469">
        <f t="shared" si="19"/>
        <v>0</v>
      </c>
      <c r="J150" s="469">
        <f t="shared" si="20"/>
        <v>0</v>
      </c>
      <c r="K150" s="469">
        <f t="shared" si="21"/>
        <v>0</v>
      </c>
      <c r="L150" s="470">
        <f t="shared" ref="L150:L213" si="24">IF(G150=0,0,G150*$C$19)</f>
        <v>0</v>
      </c>
      <c r="M150" s="470">
        <f t="shared" ref="M150:M213" si="25">IF(K150=0,0,K150*$C$19)</f>
        <v>0</v>
      </c>
    </row>
    <row r="151" customHeight="1" spans="1:14">
      <c r="A151" s="473">
        <f t="shared" ref="A151:A214" si="26">A150+1</f>
        <v>130</v>
      </c>
      <c r="B151" s="478">
        <f t="shared" ref="B151:B214" si="27">EDATE(B150,1)</f>
        <v>48122</v>
      </c>
      <c r="C151" s="464">
        <f t="shared" si="22"/>
        <v>0</v>
      </c>
      <c r="D151" s="477"/>
      <c r="E151" s="465">
        <f t="shared" si="23"/>
        <v>0</v>
      </c>
      <c r="F151" s="466">
        <f t="shared" ref="F151:F214" si="28">IF(OR(B151&gt;$C$16,A151&gt;$C$18),0,$C$17/12*(G150-C151))</f>
        <v>0</v>
      </c>
      <c r="G151" s="466">
        <f t="shared" ref="G151:G214" si="29">IF(OR(B151&gt;$C$16,A151&gt;$C$18),0,G150-C151+F151)</f>
        <v>0</v>
      </c>
      <c r="H151" s="476"/>
      <c r="I151" s="469">
        <f t="shared" ref="I151:I214" si="30">IF(OR(B151&gt;$C$16,($A151-1)&gt;=MIN($C$18,$L$20),MIN($C$18,$L$20)&lt;=1),0,($E$349+$H$349)/MAX(MIN($C$18,$L$20)-1,1))</f>
        <v>0</v>
      </c>
      <c r="J151" s="469">
        <f t="shared" ref="J151:J214" si="31">IF(I151=0,0,J150+I151)</f>
        <v>0</v>
      </c>
      <c r="K151" s="469">
        <f t="shared" ref="K151:K214" si="32">IF(OR(B151&gt;$C$16,A151&gt;$C$18),0,K150-I151)</f>
        <v>0</v>
      </c>
      <c r="L151" s="470">
        <f t="shared" si="24"/>
        <v>0</v>
      </c>
      <c r="M151" s="470">
        <f t="shared" si="25"/>
        <v>0</v>
      </c>
    </row>
    <row r="152" customHeight="1" spans="1:14">
      <c r="A152" s="473">
        <f t="shared" si="26"/>
        <v>131</v>
      </c>
      <c r="B152" s="478">
        <f t="shared" si="27"/>
        <v>48153</v>
      </c>
      <c r="C152" s="464">
        <f t="shared" si="22"/>
        <v>0</v>
      </c>
      <c r="D152" s="477"/>
      <c r="E152" s="465">
        <f t="shared" si="23"/>
        <v>0</v>
      </c>
      <c r="F152" s="466">
        <f t="shared" si="28"/>
        <v>0</v>
      </c>
      <c r="G152" s="466">
        <f t="shared" si="29"/>
        <v>0</v>
      </c>
      <c r="H152" s="476"/>
      <c r="I152" s="469">
        <f t="shared" si="30"/>
        <v>0</v>
      </c>
      <c r="J152" s="469">
        <f t="shared" si="31"/>
        <v>0</v>
      </c>
      <c r="K152" s="469">
        <f t="shared" si="32"/>
        <v>0</v>
      </c>
      <c r="L152" s="470">
        <f t="shared" si="24"/>
        <v>0</v>
      </c>
      <c r="M152" s="470">
        <f t="shared" si="25"/>
        <v>0</v>
      </c>
    </row>
    <row r="153" customHeight="1" spans="1:14">
      <c r="A153" s="473">
        <f t="shared" si="26"/>
        <v>132</v>
      </c>
      <c r="B153" s="478">
        <f t="shared" si="27"/>
        <v>48183</v>
      </c>
      <c r="C153" s="464">
        <f t="shared" si="22"/>
        <v>0</v>
      </c>
      <c r="D153" s="477"/>
      <c r="E153" s="465">
        <f t="shared" si="23"/>
        <v>0</v>
      </c>
      <c r="F153" s="466">
        <f t="shared" si="28"/>
        <v>0</v>
      </c>
      <c r="G153" s="466">
        <f t="shared" si="29"/>
        <v>0</v>
      </c>
      <c r="H153" s="476"/>
      <c r="I153" s="469">
        <f t="shared" si="30"/>
        <v>0</v>
      </c>
      <c r="J153" s="469">
        <f t="shared" si="31"/>
        <v>0</v>
      </c>
      <c r="K153" s="469">
        <f t="shared" si="32"/>
        <v>0</v>
      </c>
      <c r="L153" s="470">
        <f t="shared" si="24"/>
        <v>0</v>
      </c>
      <c r="M153" s="470">
        <f t="shared" si="25"/>
        <v>0</v>
      </c>
    </row>
    <row r="154" customHeight="1" spans="1:14">
      <c r="A154" s="473">
        <f t="shared" si="26"/>
        <v>133</v>
      </c>
      <c r="B154" s="478">
        <f t="shared" si="27"/>
        <v>48214</v>
      </c>
      <c r="C154" s="464">
        <f t="shared" si="22"/>
        <v>0</v>
      </c>
      <c r="D154" s="477"/>
      <c r="E154" s="465">
        <f t="shared" si="23"/>
        <v>0</v>
      </c>
      <c r="F154" s="466">
        <f t="shared" si="28"/>
        <v>0</v>
      </c>
      <c r="G154" s="466">
        <f t="shared" si="29"/>
        <v>0</v>
      </c>
      <c r="H154" s="476"/>
      <c r="I154" s="469">
        <f t="shared" si="30"/>
        <v>0</v>
      </c>
      <c r="J154" s="469">
        <f t="shared" si="31"/>
        <v>0</v>
      </c>
      <c r="K154" s="469">
        <f t="shared" si="32"/>
        <v>0</v>
      </c>
      <c r="L154" s="470">
        <f t="shared" si="24"/>
        <v>0</v>
      </c>
      <c r="M154" s="470">
        <f t="shared" si="25"/>
        <v>0</v>
      </c>
    </row>
    <row r="155" customHeight="1" spans="1:14">
      <c r="A155" s="473">
        <f t="shared" si="26"/>
        <v>134</v>
      </c>
      <c r="B155" s="478">
        <f t="shared" si="27"/>
        <v>48245</v>
      </c>
      <c r="C155" s="464">
        <f t="shared" si="22"/>
        <v>0</v>
      </c>
      <c r="D155" s="477"/>
      <c r="E155" s="465">
        <f t="shared" si="23"/>
        <v>0</v>
      </c>
      <c r="F155" s="466">
        <f t="shared" si="28"/>
        <v>0</v>
      </c>
      <c r="G155" s="466">
        <f t="shared" si="29"/>
        <v>0</v>
      </c>
      <c r="H155" s="476"/>
      <c r="I155" s="469">
        <f t="shared" si="30"/>
        <v>0</v>
      </c>
      <c r="J155" s="469">
        <f t="shared" si="31"/>
        <v>0</v>
      </c>
      <c r="K155" s="469">
        <f t="shared" si="32"/>
        <v>0</v>
      </c>
      <c r="L155" s="470">
        <f t="shared" si="24"/>
        <v>0</v>
      </c>
      <c r="M155" s="470">
        <f t="shared" si="25"/>
        <v>0</v>
      </c>
    </row>
    <row r="156" customHeight="1" spans="1:14">
      <c r="A156" s="473">
        <f t="shared" si="26"/>
        <v>135</v>
      </c>
      <c r="B156" s="478">
        <f t="shared" si="27"/>
        <v>48274</v>
      </c>
      <c r="C156" s="464">
        <f t="shared" si="22"/>
        <v>0</v>
      </c>
      <c r="D156" s="477"/>
      <c r="E156" s="465">
        <f t="shared" si="23"/>
        <v>0</v>
      </c>
      <c r="F156" s="466">
        <f t="shared" si="28"/>
        <v>0</v>
      </c>
      <c r="G156" s="466">
        <f t="shared" si="29"/>
        <v>0</v>
      </c>
      <c r="H156" s="476"/>
      <c r="I156" s="469">
        <f t="shared" si="30"/>
        <v>0</v>
      </c>
      <c r="J156" s="469">
        <f t="shared" si="31"/>
        <v>0</v>
      </c>
      <c r="K156" s="469">
        <f t="shared" si="32"/>
        <v>0</v>
      </c>
      <c r="L156" s="470">
        <f t="shared" si="24"/>
        <v>0</v>
      </c>
      <c r="M156" s="470">
        <f t="shared" si="25"/>
        <v>0</v>
      </c>
    </row>
    <row r="157" customHeight="1" spans="1:14">
      <c r="A157" s="473">
        <f t="shared" si="26"/>
        <v>136</v>
      </c>
      <c r="B157" s="478">
        <f t="shared" si="27"/>
        <v>48305</v>
      </c>
      <c r="C157" s="464">
        <f t="shared" si="22"/>
        <v>0</v>
      </c>
      <c r="D157" s="477"/>
      <c r="E157" s="465">
        <f t="shared" si="23"/>
        <v>0</v>
      </c>
      <c r="F157" s="466">
        <f t="shared" si="28"/>
        <v>0</v>
      </c>
      <c r="G157" s="466">
        <f t="shared" si="29"/>
        <v>0</v>
      </c>
      <c r="H157" s="476"/>
      <c r="I157" s="469">
        <f t="shared" si="30"/>
        <v>0</v>
      </c>
      <c r="J157" s="469">
        <f t="shared" si="31"/>
        <v>0</v>
      </c>
      <c r="K157" s="469">
        <f t="shared" si="32"/>
        <v>0</v>
      </c>
      <c r="L157" s="470">
        <f t="shared" si="24"/>
        <v>0</v>
      </c>
      <c r="M157" s="470">
        <f t="shared" si="25"/>
        <v>0</v>
      </c>
    </row>
    <row r="158" customHeight="1" spans="1:14">
      <c r="A158" s="473">
        <f t="shared" si="26"/>
        <v>137</v>
      </c>
      <c r="B158" s="478">
        <f t="shared" si="27"/>
        <v>48335</v>
      </c>
      <c r="C158" s="464">
        <f t="shared" si="22"/>
        <v>0</v>
      </c>
      <c r="D158" s="477"/>
      <c r="E158" s="465">
        <f t="shared" si="23"/>
        <v>0</v>
      </c>
      <c r="F158" s="466">
        <f t="shared" si="28"/>
        <v>0</v>
      </c>
      <c r="G158" s="466">
        <f t="shared" si="29"/>
        <v>0</v>
      </c>
      <c r="H158" s="476"/>
      <c r="I158" s="469">
        <f t="shared" si="30"/>
        <v>0</v>
      </c>
      <c r="J158" s="469">
        <f t="shared" si="31"/>
        <v>0</v>
      </c>
      <c r="K158" s="469">
        <f t="shared" si="32"/>
        <v>0</v>
      </c>
      <c r="L158" s="470">
        <f t="shared" si="24"/>
        <v>0</v>
      </c>
      <c r="M158" s="470">
        <f t="shared" si="25"/>
        <v>0</v>
      </c>
    </row>
    <row r="159" customHeight="1" spans="1:14">
      <c r="A159" s="473">
        <f t="shared" si="26"/>
        <v>138</v>
      </c>
      <c r="B159" s="478">
        <f t="shared" si="27"/>
        <v>48366</v>
      </c>
      <c r="C159" s="464">
        <f t="shared" si="22"/>
        <v>0</v>
      </c>
      <c r="D159" s="477"/>
      <c r="E159" s="465">
        <f t="shared" si="23"/>
        <v>0</v>
      </c>
      <c r="F159" s="466">
        <f t="shared" si="28"/>
        <v>0</v>
      </c>
      <c r="G159" s="466">
        <f t="shared" si="29"/>
        <v>0</v>
      </c>
      <c r="H159" s="476"/>
      <c r="I159" s="469">
        <f t="shared" si="30"/>
        <v>0</v>
      </c>
      <c r="J159" s="469">
        <f t="shared" si="31"/>
        <v>0</v>
      </c>
      <c r="K159" s="469">
        <f t="shared" si="32"/>
        <v>0</v>
      </c>
      <c r="L159" s="470">
        <f t="shared" si="24"/>
        <v>0</v>
      </c>
      <c r="M159" s="470">
        <f t="shared" si="25"/>
        <v>0</v>
      </c>
    </row>
    <row r="160" s="408" customFormat="1" customHeight="1" spans="1:14">
      <c r="A160" s="473">
        <f t="shared" si="26"/>
        <v>139</v>
      </c>
      <c r="B160" s="478">
        <f t="shared" si="27"/>
        <v>48396</v>
      </c>
      <c r="C160" s="464">
        <f t="shared" si="22"/>
        <v>0</v>
      </c>
      <c r="D160" s="480"/>
      <c r="E160" s="465">
        <f t="shared" si="23"/>
        <v>0</v>
      </c>
      <c r="F160" s="466">
        <f t="shared" si="28"/>
        <v>0</v>
      </c>
      <c r="G160" s="466">
        <f t="shared" si="29"/>
        <v>0</v>
      </c>
      <c r="H160" s="476"/>
      <c r="I160" s="469">
        <f t="shared" si="30"/>
        <v>0</v>
      </c>
      <c r="J160" s="469">
        <f t="shared" si="31"/>
        <v>0</v>
      </c>
      <c r="K160" s="469">
        <f t="shared" si="32"/>
        <v>0</v>
      </c>
      <c r="L160" s="470">
        <f t="shared" si="24"/>
        <v>0</v>
      </c>
      <c r="M160" s="470">
        <f t="shared" si="25"/>
        <v>0</v>
      </c>
      <c r="N160" s="448"/>
    </row>
    <row r="161" customHeight="1" spans="1:13">
      <c r="A161" s="473">
        <f t="shared" si="26"/>
        <v>140</v>
      </c>
      <c r="B161" s="478">
        <f t="shared" si="27"/>
        <v>48427</v>
      </c>
      <c r="C161" s="464">
        <f t="shared" si="22"/>
        <v>0</v>
      </c>
      <c r="D161" s="477"/>
      <c r="E161" s="465">
        <f t="shared" si="23"/>
        <v>0</v>
      </c>
      <c r="F161" s="466">
        <f t="shared" si="28"/>
        <v>0</v>
      </c>
      <c r="G161" s="466">
        <f t="shared" si="29"/>
        <v>0</v>
      </c>
      <c r="H161" s="476"/>
      <c r="I161" s="469">
        <f t="shared" si="30"/>
        <v>0</v>
      </c>
      <c r="J161" s="469">
        <f t="shared" si="31"/>
        <v>0</v>
      </c>
      <c r="K161" s="469">
        <f t="shared" si="32"/>
        <v>0</v>
      </c>
      <c r="L161" s="470">
        <f t="shared" si="24"/>
        <v>0</v>
      </c>
      <c r="M161" s="470">
        <f t="shared" si="25"/>
        <v>0</v>
      </c>
    </row>
    <row r="162" customHeight="1" spans="1:13">
      <c r="A162" s="473">
        <f t="shared" si="26"/>
        <v>141</v>
      </c>
      <c r="B162" s="478">
        <f t="shared" si="27"/>
        <v>48458</v>
      </c>
      <c r="C162" s="464">
        <f t="shared" si="22"/>
        <v>0</v>
      </c>
      <c r="D162" s="477"/>
      <c r="E162" s="465">
        <f t="shared" si="23"/>
        <v>0</v>
      </c>
      <c r="F162" s="466">
        <f t="shared" si="28"/>
        <v>0</v>
      </c>
      <c r="G162" s="466">
        <f t="shared" si="29"/>
        <v>0</v>
      </c>
      <c r="H162" s="476"/>
      <c r="I162" s="469">
        <f t="shared" si="30"/>
        <v>0</v>
      </c>
      <c r="J162" s="469">
        <f t="shared" si="31"/>
        <v>0</v>
      </c>
      <c r="K162" s="469">
        <f t="shared" si="32"/>
        <v>0</v>
      </c>
      <c r="L162" s="470">
        <f t="shared" si="24"/>
        <v>0</v>
      </c>
      <c r="M162" s="470">
        <f t="shared" si="25"/>
        <v>0</v>
      </c>
    </row>
    <row r="163" customHeight="1" spans="1:13">
      <c r="A163" s="473">
        <f t="shared" si="26"/>
        <v>142</v>
      </c>
      <c r="B163" s="478">
        <f t="shared" si="27"/>
        <v>48488</v>
      </c>
      <c r="C163" s="464">
        <f t="shared" si="22"/>
        <v>0</v>
      </c>
      <c r="D163" s="477"/>
      <c r="E163" s="465">
        <f t="shared" si="23"/>
        <v>0</v>
      </c>
      <c r="F163" s="466">
        <f t="shared" si="28"/>
        <v>0</v>
      </c>
      <c r="G163" s="466">
        <f t="shared" si="29"/>
        <v>0</v>
      </c>
      <c r="H163" s="476"/>
      <c r="I163" s="469">
        <f t="shared" si="30"/>
        <v>0</v>
      </c>
      <c r="J163" s="469">
        <f t="shared" si="31"/>
        <v>0</v>
      </c>
      <c r="K163" s="469">
        <f t="shared" si="32"/>
        <v>0</v>
      </c>
      <c r="L163" s="470">
        <f t="shared" si="24"/>
        <v>0</v>
      </c>
      <c r="M163" s="470">
        <f t="shared" si="25"/>
        <v>0</v>
      </c>
    </row>
    <row r="164" customHeight="1" spans="1:13">
      <c r="A164" s="473">
        <f t="shared" si="26"/>
        <v>143</v>
      </c>
      <c r="B164" s="478">
        <f t="shared" si="27"/>
        <v>48519</v>
      </c>
      <c r="C164" s="464">
        <f t="shared" si="22"/>
        <v>0</v>
      </c>
      <c r="D164" s="477"/>
      <c r="E164" s="465">
        <f t="shared" si="23"/>
        <v>0</v>
      </c>
      <c r="F164" s="466">
        <f t="shared" si="28"/>
        <v>0</v>
      </c>
      <c r="G164" s="466">
        <f t="shared" si="29"/>
        <v>0</v>
      </c>
      <c r="H164" s="476"/>
      <c r="I164" s="469">
        <f t="shared" si="30"/>
        <v>0</v>
      </c>
      <c r="J164" s="469">
        <f t="shared" si="31"/>
        <v>0</v>
      </c>
      <c r="K164" s="469">
        <f t="shared" si="32"/>
        <v>0</v>
      </c>
      <c r="L164" s="470">
        <f t="shared" si="24"/>
        <v>0</v>
      </c>
      <c r="M164" s="470">
        <f t="shared" si="25"/>
        <v>0</v>
      </c>
    </row>
    <row r="165" customHeight="1" spans="1:13">
      <c r="A165" s="473">
        <f t="shared" si="26"/>
        <v>144</v>
      </c>
      <c r="B165" s="478">
        <f t="shared" si="27"/>
        <v>48549</v>
      </c>
      <c r="C165" s="464">
        <f t="shared" si="22"/>
        <v>0</v>
      </c>
      <c r="D165" s="477"/>
      <c r="E165" s="465">
        <f t="shared" si="23"/>
        <v>0</v>
      </c>
      <c r="F165" s="466">
        <f t="shared" si="28"/>
        <v>0</v>
      </c>
      <c r="G165" s="466">
        <f t="shared" si="29"/>
        <v>0</v>
      </c>
      <c r="H165" s="476"/>
      <c r="I165" s="469">
        <f t="shared" si="30"/>
        <v>0</v>
      </c>
      <c r="J165" s="469">
        <f t="shared" si="31"/>
        <v>0</v>
      </c>
      <c r="K165" s="469">
        <f t="shared" si="32"/>
        <v>0</v>
      </c>
      <c r="L165" s="470">
        <f t="shared" si="24"/>
        <v>0</v>
      </c>
      <c r="M165" s="470">
        <f t="shared" si="25"/>
        <v>0</v>
      </c>
    </row>
    <row r="166" customHeight="1" spans="1:13">
      <c r="A166" s="473">
        <f t="shared" si="26"/>
        <v>145</v>
      </c>
      <c r="B166" s="478">
        <f t="shared" si="27"/>
        <v>48580</v>
      </c>
      <c r="C166" s="464">
        <f t="shared" si="22"/>
        <v>0</v>
      </c>
      <c r="D166" s="477"/>
      <c r="E166" s="465">
        <f t="shared" si="23"/>
        <v>0</v>
      </c>
      <c r="F166" s="466">
        <f t="shared" si="28"/>
        <v>0</v>
      </c>
      <c r="G166" s="466">
        <f t="shared" si="29"/>
        <v>0</v>
      </c>
      <c r="H166" s="476"/>
      <c r="I166" s="469">
        <f t="shared" si="30"/>
        <v>0</v>
      </c>
      <c r="J166" s="469">
        <f t="shared" si="31"/>
        <v>0</v>
      </c>
      <c r="K166" s="469">
        <f t="shared" si="32"/>
        <v>0</v>
      </c>
      <c r="L166" s="470">
        <f t="shared" si="24"/>
        <v>0</v>
      </c>
      <c r="M166" s="470">
        <f t="shared" si="25"/>
        <v>0</v>
      </c>
    </row>
    <row r="167" customHeight="1" spans="1:13">
      <c r="A167" s="473">
        <f t="shared" si="26"/>
        <v>146</v>
      </c>
      <c r="B167" s="478">
        <f t="shared" si="27"/>
        <v>48611</v>
      </c>
      <c r="C167" s="464">
        <f t="shared" si="22"/>
        <v>0</v>
      </c>
      <c r="D167" s="477"/>
      <c r="E167" s="465">
        <f t="shared" si="23"/>
        <v>0</v>
      </c>
      <c r="F167" s="466">
        <f t="shared" si="28"/>
        <v>0</v>
      </c>
      <c r="G167" s="466">
        <f t="shared" si="29"/>
        <v>0</v>
      </c>
      <c r="H167" s="476"/>
      <c r="I167" s="469">
        <f t="shared" si="30"/>
        <v>0</v>
      </c>
      <c r="J167" s="469">
        <f t="shared" si="31"/>
        <v>0</v>
      </c>
      <c r="K167" s="469">
        <f t="shared" si="32"/>
        <v>0</v>
      </c>
      <c r="L167" s="470">
        <f t="shared" si="24"/>
        <v>0</v>
      </c>
      <c r="M167" s="470">
        <f t="shared" si="25"/>
        <v>0</v>
      </c>
    </row>
    <row r="168" customHeight="1" spans="1:13">
      <c r="A168" s="473">
        <f t="shared" si="26"/>
        <v>147</v>
      </c>
      <c r="B168" s="478">
        <f t="shared" si="27"/>
        <v>48639</v>
      </c>
      <c r="C168" s="464">
        <f t="shared" si="22"/>
        <v>0</v>
      </c>
      <c r="D168" s="477"/>
      <c r="E168" s="465">
        <f t="shared" si="23"/>
        <v>0</v>
      </c>
      <c r="F168" s="466">
        <f t="shared" si="28"/>
        <v>0</v>
      </c>
      <c r="G168" s="466">
        <f t="shared" si="29"/>
        <v>0</v>
      </c>
      <c r="H168" s="476"/>
      <c r="I168" s="469">
        <f t="shared" si="30"/>
        <v>0</v>
      </c>
      <c r="J168" s="469">
        <f t="shared" si="31"/>
        <v>0</v>
      </c>
      <c r="K168" s="469">
        <f t="shared" si="32"/>
        <v>0</v>
      </c>
      <c r="L168" s="470">
        <f t="shared" si="24"/>
        <v>0</v>
      </c>
      <c r="M168" s="470">
        <f t="shared" si="25"/>
        <v>0</v>
      </c>
    </row>
    <row r="169" customHeight="1" spans="1:13">
      <c r="A169" s="473">
        <f t="shared" si="26"/>
        <v>148</v>
      </c>
      <c r="B169" s="478">
        <f t="shared" si="27"/>
        <v>48670</v>
      </c>
      <c r="C169" s="464">
        <f t="shared" si="22"/>
        <v>0</v>
      </c>
      <c r="D169" s="477"/>
      <c r="E169" s="465">
        <f t="shared" si="23"/>
        <v>0</v>
      </c>
      <c r="F169" s="466">
        <f t="shared" si="28"/>
        <v>0</v>
      </c>
      <c r="G169" s="466">
        <f t="shared" si="29"/>
        <v>0</v>
      </c>
      <c r="H169" s="476"/>
      <c r="I169" s="469">
        <f t="shared" si="30"/>
        <v>0</v>
      </c>
      <c r="J169" s="469">
        <f t="shared" si="31"/>
        <v>0</v>
      </c>
      <c r="K169" s="469">
        <f t="shared" si="32"/>
        <v>0</v>
      </c>
      <c r="L169" s="470">
        <f t="shared" si="24"/>
        <v>0</v>
      </c>
      <c r="M169" s="470">
        <f t="shared" si="25"/>
        <v>0</v>
      </c>
    </row>
    <row r="170" customHeight="1" spans="1:13">
      <c r="A170" s="473">
        <f t="shared" si="26"/>
        <v>149</v>
      </c>
      <c r="B170" s="478">
        <f t="shared" si="27"/>
        <v>48700</v>
      </c>
      <c r="C170" s="464">
        <f t="shared" si="22"/>
        <v>0</v>
      </c>
      <c r="D170" s="477"/>
      <c r="E170" s="465">
        <f t="shared" si="23"/>
        <v>0</v>
      </c>
      <c r="F170" s="466">
        <f t="shared" si="28"/>
        <v>0</v>
      </c>
      <c r="G170" s="466">
        <f t="shared" si="29"/>
        <v>0</v>
      </c>
      <c r="H170" s="476"/>
      <c r="I170" s="469">
        <f t="shared" si="30"/>
        <v>0</v>
      </c>
      <c r="J170" s="469">
        <f t="shared" si="31"/>
        <v>0</v>
      </c>
      <c r="K170" s="469">
        <f t="shared" si="32"/>
        <v>0</v>
      </c>
      <c r="L170" s="470">
        <f t="shared" si="24"/>
        <v>0</v>
      </c>
      <c r="M170" s="470">
        <f t="shared" si="25"/>
        <v>0</v>
      </c>
    </row>
    <row r="171" customHeight="1" spans="1:13">
      <c r="A171" s="473">
        <f t="shared" si="26"/>
        <v>150</v>
      </c>
      <c r="B171" s="478">
        <f t="shared" si="27"/>
        <v>48731</v>
      </c>
      <c r="C171" s="464">
        <f t="shared" si="22"/>
        <v>0</v>
      </c>
      <c r="D171" s="477"/>
      <c r="E171" s="465">
        <f t="shared" si="23"/>
        <v>0</v>
      </c>
      <c r="F171" s="466">
        <f t="shared" si="28"/>
        <v>0</v>
      </c>
      <c r="G171" s="466">
        <f t="shared" si="29"/>
        <v>0</v>
      </c>
      <c r="H171" s="476"/>
      <c r="I171" s="469">
        <f t="shared" si="30"/>
        <v>0</v>
      </c>
      <c r="J171" s="469">
        <f t="shared" si="31"/>
        <v>0</v>
      </c>
      <c r="K171" s="469">
        <f t="shared" si="32"/>
        <v>0</v>
      </c>
      <c r="L171" s="470">
        <f t="shared" si="24"/>
        <v>0</v>
      </c>
      <c r="M171" s="470">
        <f t="shared" si="25"/>
        <v>0</v>
      </c>
    </row>
    <row r="172" customHeight="1" spans="1:13">
      <c r="A172" s="473">
        <f t="shared" si="26"/>
        <v>151</v>
      </c>
      <c r="B172" s="478">
        <f t="shared" si="27"/>
        <v>48761</v>
      </c>
      <c r="C172" s="464">
        <f t="shared" si="22"/>
        <v>0</v>
      </c>
      <c r="D172" s="477"/>
      <c r="E172" s="465">
        <f t="shared" si="23"/>
        <v>0</v>
      </c>
      <c r="F172" s="466">
        <f t="shared" si="28"/>
        <v>0</v>
      </c>
      <c r="G172" s="466">
        <f t="shared" si="29"/>
        <v>0</v>
      </c>
      <c r="H172" s="476"/>
      <c r="I172" s="469">
        <f t="shared" si="30"/>
        <v>0</v>
      </c>
      <c r="J172" s="469">
        <f t="shared" si="31"/>
        <v>0</v>
      </c>
      <c r="K172" s="469">
        <f t="shared" si="32"/>
        <v>0</v>
      </c>
      <c r="L172" s="470">
        <f t="shared" si="24"/>
        <v>0</v>
      </c>
      <c r="M172" s="470">
        <f t="shared" si="25"/>
        <v>0</v>
      </c>
    </row>
    <row r="173" customHeight="1" spans="1:13">
      <c r="A173" s="473">
        <f t="shared" si="26"/>
        <v>152</v>
      </c>
      <c r="B173" s="478">
        <f t="shared" si="27"/>
        <v>48792</v>
      </c>
      <c r="C173" s="464">
        <f t="shared" si="22"/>
        <v>0</v>
      </c>
      <c r="D173" s="477"/>
      <c r="E173" s="465">
        <f t="shared" si="23"/>
        <v>0</v>
      </c>
      <c r="F173" s="466">
        <f t="shared" si="28"/>
        <v>0</v>
      </c>
      <c r="G173" s="466">
        <f t="shared" si="29"/>
        <v>0</v>
      </c>
      <c r="H173" s="476"/>
      <c r="I173" s="469">
        <f t="shared" si="30"/>
        <v>0</v>
      </c>
      <c r="J173" s="469">
        <f t="shared" si="31"/>
        <v>0</v>
      </c>
      <c r="K173" s="469">
        <f t="shared" si="32"/>
        <v>0</v>
      </c>
      <c r="L173" s="470">
        <f t="shared" si="24"/>
        <v>0</v>
      </c>
      <c r="M173" s="470">
        <f t="shared" si="25"/>
        <v>0</v>
      </c>
    </row>
    <row r="174" customHeight="1" spans="1:13">
      <c r="A174" s="473">
        <f t="shared" si="26"/>
        <v>153</v>
      </c>
      <c r="B174" s="478">
        <f t="shared" si="27"/>
        <v>48823</v>
      </c>
      <c r="C174" s="464">
        <f t="shared" si="22"/>
        <v>0</v>
      </c>
      <c r="D174" s="477"/>
      <c r="E174" s="465">
        <f t="shared" si="23"/>
        <v>0</v>
      </c>
      <c r="F174" s="466">
        <f t="shared" si="28"/>
        <v>0</v>
      </c>
      <c r="G174" s="466">
        <f t="shared" si="29"/>
        <v>0</v>
      </c>
      <c r="H174" s="476"/>
      <c r="I174" s="469">
        <f t="shared" si="30"/>
        <v>0</v>
      </c>
      <c r="J174" s="469">
        <f t="shared" si="31"/>
        <v>0</v>
      </c>
      <c r="K174" s="469">
        <f t="shared" si="32"/>
        <v>0</v>
      </c>
      <c r="L174" s="470">
        <f t="shared" si="24"/>
        <v>0</v>
      </c>
      <c r="M174" s="470">
        <f t="shared" si="25"/>
        <v>0</v>
      </c>
    </row>
    <row r="175" customHeight="1" spans="1:13">
      <c r="A175" s="473">
        <f t="shared" si="26"/>
        <v>154</v>
      </c>
      <c r="B175" s="478">
        <f t="shared" si="27"/>
        <v>48853</v>
      </c>
      <c r="C175" s="464">
        <f t="shared" si="22"/>
        <v>0</v>
      </c>
      <c r="D175" s="477"/>
      <c r="E175" s="465">
        <f t="shared" si="23"/>
        <v>0</v>
      </c>
      <c r="F175" s="466">
        <f t="shared" si="28"/>
        <v>0</v>
      </c>
      <c r="G175" s="466">
        <f t="shared" si="29"/>
        <v>0</v>
      </c>
      <c r="H175" s="476"/>
      <c r="I175" s="469">
        <f t="shared" si="30"/>
        <v>0</v>
      </c>
      <c r="J175" s="469">
        <f t="shared" si="31"/>
        <v>0</v>
      </c>
      <c r="K175" s="469">
        <f t="shared" si="32"/>
        <v>0</v>
      </c>
      <c r="L175" s="470">
        <f t="shared" si="24"/>
        <v>0</v>
      </c>
      <c r="M175" s="470">
        <f t="shared" si="25"/>
        <v>0</v>
      </c>
    </row>
    <row r="176" customHeight="1" spans="1:13">
      <c r="A176" s="473">
        <f t="shared" si="26"/>
        <v>155</v>
      </c>
      <c r="B176" s="478">
        <f t="shared" si="27"/>
        <v>48884</v>
      </c>
      <c r="C176" s="464">
        <f t="shared" si="22"/>
        <v>0</v>
      </c>
      <c r="D176" s="477"/>
      <c r="E176" s="465">
        <f t="shared" si="23"/>
        <v>0</v>
      </c>
      <c r="F176" s="466">
        <f t="shared" si="28"/>
        <v>0</v>
      </c>
      <c r="G176" s="466">
        <f t="shared" si="29"/>
        <v>0</v>
      </c>
      <c r="H176" s="476"/>
      <c r="I176" s="469">
        <f t="shared" si="30"/>
        <v>0</v>
      </c>
      <c r="J176" s="469">
        <f t="shared" si="31"/>
        <v>0</v>
      </c>
      <c r="K176" s="469">
        <f t="shared" si="32"/>
        <v>0</v>
      </c>
      <c r="L176" s="470">
        <f t="shared" si="24"/>
        <v>0</v>
      </c>
      <c r="M176" s="470">
        <f t="shared" si="25"/>
        <v>0</v>
      </c>
    </row>
    <row r="177" customHeight="1" spans="1:13">
      <c r="A177" s="473">
        <f t="shared" si="26"/>
        <v>156</v>
      </c>
      <c r="B177" s="478">
        <f t="shared" si="27"/>
        <v>48914</v>
      </c>
      <c r="C177" s="464">
        <f t="shared" si="22"/>
        <v>0</v>
      </c>
      <c r="D177" s="477"/>
      <c r="E177" s="465">
        <f t="shared" si="23"/>
        <v>0</v>
      </c>
      <c r="F177" s="466">
        <f t="shared" si="28"/>
        <v>0</v>
      </c>
      <c r="G177" s="466">
        <f t="shared" si="29"/>
        <v>0</v>
      </c>
      <c r="H177" s="476"/>
      <c r="I177" s="469">
        <f t="shared" si="30"/>
        <v>0</v>
      </c>
      <c r="J177" s="469">
        <f t="shared" si="31"/>
        <v>0</v>
      </c>
      <c r="K177" s="469">
        <f t="shared" si="32"/>
        <v>0</v>
      </c>
      <c r="L177" s="470">
        <f t="shared" si="24"/>
        <v>0</v>
      </c>
      <c r="M177" s="470">
        <f t="shared" si="25"/>
        <v>0</v>
      </c>
    </row>
    <row r="178" customHeight="1" spans="1:13">
      <c r="A178" s="473">
        <f t="shared" si="26"/>
        <v>157</v>
      </c>
      <c r="B178" s="478">
        <f t="shared" si="27"/>
        <v>48945</v>
      </c>
      <c r="C178" s="464">
        <f t="shared" si="22"/>
        <v>0</v>
      </c>
      <c r="D178" s="477"/>
      <c r="E178" s="465">
        <f t="shared" si="23"/>
        <v>0</v>
      </c>
      <c r="F178" s="466">
        <f t="shared" si="28"/>
        <v>0</v>
      </c>
      <c r="G178" s="466">
        <f t="shared" si="29"/>
        <v>0</v>
      </c>
      <c r="H178" s="476"/>
      <c r="I178" s="469">
        <f t="shared" si="30"/>
        <v>0</v>
      </c>
      <c r="J178" s="469">
        <f t="shared" si="31"/>
        <v>0</v>
      </c>
      <c r="K178" s="469">
        <f t="shared" si="32"/>
        <v>0</v>
      </c>
      <c r="L178" s="470">
        <f t="shared" si="24"/>
        <v>0</v>
      </c>
      <c r="M178" s="470">
        <f t="shared" si="25"/>
        <v>0</v>
      </c>
    </row>
    <row r="179" customHeight="1" spans="1:13">
      <c r="A179" s="473">
        <f t="shared" si="26"/>
        <v>158</v>
      </c>
      <c r="B179" s="478">
        <f t="shared" si="27"/>
        <v>48976</v>
      </c>
      <c r="C179" s="464">
        <f t="shared" si="22"/>
        <v>0</v>
      </c>
      <c r="D179" s="477"/>
      <c r="E179" s="465">
        <f t="shared" si="23"/>
        <v>0</v>
      </c>
      <c r="F179" s="466">
        <f t="shared" si="28"/>
        <v>0</v>
      </c>
      <c r="G179" s="466">
        <f t="shared" si="29"/>
        <v>0</v>
      </c>
      <c r="H179" s="476"/>
      <c r="I179" s="469">
        <f t="shared" si="30"/>
        <v>0</v>
      </c>
      <c r="J179" s="469">
        <f t="shared" si="31"/>
        <v>0</v>
      </c>
      <c r="K179" s="469">
        <f t="shared" si="32"/>
        <v>0</v>
      </c>
      <c r="L179" s="470">
        <f t="shared" si="24"/>
        <v>0</v>
      </c>
      <c r="M179" s="470">
        <f t="shared" si="25"/>
        <v>0</v>
      </c>
    </row>
    <row r="180" customHeight="1" spans="1:13">
      <c r="A180" s="473">
        <f t="shared" si="26"/>
        <v>159</v>
      </c>
      <c r="B180" s="478">
        <f t="shared" si="27"/>
        <v>49004</v>
      </c>
      <c r="C180" s="464">
        <f t="shared" si="22"/>
        <v>0</v>
      </c>
      <c r="D180" s="477"/>
      <c r="E180" s="465">
        <f t="shared" si="23"/>
        <v>0</v>
      </c>
      <c r="F180" s="466">
        <f t="shared" si="28"/>
        <v>0</v>
      </c>
      <c r="G180" s="466">
        <f t="shared" si="29"/>
        <v>0</v>
      </c>
      <c r="H180" s="476"/>
      <c r="I180" s="469">
        <f t="shared" si="30"/>
        <v>0</v>
      </c>
      <c r="J180" s="469">
        <f t="shared" si="31"/>
        <v>0</v>
      </c>
      <c r="K180" s="469">
        <f t="shared" si="32"/>
        <v>0</v>
      </c>
      <c r="L180" s="470">
        <f t="shared" si="24"/>
        <v>0</v>
      </c>
      <c r="M180" s="470">
        <f t="shared" si="25"/>
        <v>0</v>
      </c>
    </row>
    <row r="181" customHeight="1" spans="1:13">
      <c r="A181" s="473">
        <f t="shared" si="26"/>
        <v>160</v>
      </c>
      <c r="B181" s="478">
        <f t="shared" si="27"/>
        <v>49035</v>
      </c>
      <c r="C181" s="464">
        <f t="shared" si="22"/>
        <v>0</v>
      </c>
      <c r="D181" s="477"/>
      <c r="E181" s="465">
        <f t="shared" si="23"/>
        <v>0</v>
      </c>
      <c r="F181" s="466">
        <f t="shared" si="28"/>
        <v>0</v>
      </c>
      <c r="G181" s="466">
        <f t="shared" si="29"/>
        <v>0</v>
      </c>
      <c r="H181" s="476"/>
      <c r="I181" s="469">
        <f t="shared" si="30"/>
        <v>0</v>
      </c>
      <c r="J181" s="469">
        <f t="shared" si="31"/>
        <v>0</v>
      </c>
      <c r="K181" s="469">
        <f t="shared" si="32"/>
        <v>0</v>
      </c>
      <c r="L181" s="470">
        <f t="shared" si="24"/>
        <v>0</v>
      </c>
      <c r="M181" s="470">
        <f t="shared" si="25"/>
        <v>0</v>
      </c>
    </row>
    <row r="182" customHeight="1" spans="1:13">
      <c r="A182" s="473">
        <f t="shared" si="26"/>
        <v>161</v>
      </c>
      <c r="B182" s="478">
        <f t="shared" si="27"/>
        <v>49065</v>
      </c>
      <c r="C182" s="464">
        <f t="shared" si="22"/>
        <v>0</v>
      </c>
      <c r="D182" s="477"/>
      <c r="E182" s="465">
        <f t="shared" si="23"/>
        <v>0</v>
      </c>
      <c r="F182" s="466">
        <f t="shared" si="28"/>
        <v>0</v>
      </c>
      <c r="G182" s="466">
        <f t="shared" si="29"/>
        <v>0</v>
      </c>
      <c r="H182" s="476"/>
      <c r="I182" s="469">
        <f t="shared" si="30"/>
        <v>0</v>
      </c>
      <c r="J182" s="469">
        <f t="shared" si="31"/>
        <v>0</v>
      </c>
      <c r="K182" s="469">
        <f t="shared" si="32"/>
        <v>0</v>
      </c>
      <c r="L182" s="470">
        <f t="shared" si="24"/>
        <v>0</v>
      </c>
      <c r="M182" s="470">
        <f t="shared" si="25"/>
        <v>0</v>
      </c>
    </row>
    <row r="183" customHeight="1" spans="1:13">
      <c r="A183" s="473">
        <f t="shared" si="26"/>
        <v>162</v>
      </c>
      <c r="B183" s="478">
        <f t="shared" si="27"/>
        <v>49096</v>
      </c>
      <c r="C183" s="464">
        <f t="shared" si="22"/>
        <v>0</v>
      </c>
      <c r="D183" s="477"/>
      <c r="E183" s="465">
        <f t="shared" si="23"/>
        <v>0</v>
      </c>
      <c r="F183" s="466">
        <f t="shared" si="28"/>
        <v>0</v>
      </c>
      <c r="G183" s="466">
        <f t="shared" si="29"/>
        <v>0</v>
      </c>
      <c r="H183" s="476"/>
      <c r="I183" s="469">
        <f t="shared" si="30"/>
        <v>0</v>
      </c>
      <c r="J183" s="469">
        <f t="shared" si="31"/>
        <v>0</v>
      </c>
      <c r="K183" s="469">
        <f t="shared" si="32"/>
        <v>0</v>
      </c>
      <c r="L183" s="470">
        <f t="shared" si="24"/>
        <v>0</v>
      </c>
      <c r="M183" s="470">
        <f t="shared" si="25"/>
        <v>0</v>
      </c>
    </row>
    <row r="184" customHeight="1" spans="1:13">
      <c r="A184" s="473">
        <f t="shared" si="26"/>
        <v>163</v>
      </c>
      <c r="B184" s="478">
        <f t="shared" si="27"/>
        <v>49126</v>
      </c>
      <c r="C184" s="464">
        <f t="shared" si="22"/>
        <v>0</v>
      </c>
      <c r="D184" s="477"/>
      <c r="E184" s="465">
        <f t="shared" si="23"/>
        <v>0</v>
      </c>
      <c r="F184" s="466">
        <f t="shared" si="28"/>
        <v>0</v>
      </c>
      <c r="G184" s="466">
        <f t="shared" si="29"/>
        <v>0</v>
      </c>
      <c r="H184" s="476"/>
      <c r="I184" s="469">
        <f t="shared" si="30"/>
        <v>0</v>
      </c>
      <c r="J184" s="469">
        <f t="shared" si="31"/>
        <v>0</v>
      </c>
      <c r="K184" s="469">
        <f t="shared" si="32"/>
        <v>0</v>
      </c>
      <c r="L184" s="470">
        <f t="shared" si="24"/>
        <v>0</v>
      </c>
      <c r="M184" s="470">
        <f t="shared" si="25"/>
        <v>0</v>
      </c>
    </row>
    <row r="185" customHeight="1" spans="1:13">
      <c r="A185" s="473">
        <f t="shared" si="26"/>
        <v>164</v>
      </c>
      <c r="B185" s="478">
        <f t="shared" si="27"/>
        <v>49157</v>
      </c>
      <c r="C185" s="464">
        <f t="shared" si="22"/>
        <v>0</v>
      </c>
      <c r="D185" s="477"/>
      <c r="E185" s="465">
        <f t="shared" si="23"/>
        <v>0</v>
      </c>
      <c r="F185" s="466">
        <f t="shared" si="28"/>
        <v>0</v>
      </c>
      <c r="G185" s="466">
        <f t="shared" si="29"/>
        <v>0</v>
      </c>
      <c r="H185" s="476"/>
      <c r="I185" s="469">
        <f t="shared" si="30"/>
        <v>0</v>
      </c>
      <c r="J185" s="469">
        <f t="shared" si="31"/>
        <v>0</v>
      </c>
      <c r="K185" s="469">
        <f t="shared" si="32"/>
        <v>0</v>
      </c>
      <c r="L185" s="470">
        <f t="shared" si="24"/>
        <v>0</v>
      </c>
      <c r="M185" s="470">
        <f t="shared" si="25"/>
        <v>0</v>
      </c>
    </row>
    <row r="186" customHeight="1" spans="1:13">
      <c r="A186" s="473">
        <f t="shared" si="26"/>
        <v>165</v>
      </c>
      <c r="B186" s="478">
        <f t="shared" si="27"/>
        <v>49188</v>
      </c>
      <c r="C186" s="464">
        <f t="shared" si="22"/>
        <v>0</v>
      </c>
      <c r="D186" s="477"/>
      <c r="E186" s="465">
        <f t="shared" si="23"/>
        <v>0</v>
      </c>
      <c r="F186" s="466">
        <f t="shared" si="28"/>
        <v>0</v>
      </c>
      <c r="G186" s="466">
        <f t="shared" si="29"/>
        <v>0</v>
      </c>
      <c r="H186" s="476"/>
      <c r="I186" s="469">
        <f t="shared" si="30"/>
        <v>0</v>
      </c>
      <c r="J186" s="469">
        <f t="shared" si="31"/>
        <v>0</v>
      </c>
      <c r="K186" s="469">
        <f t="shared" si="32"/>
        <v>0</v>
      </c>
      <c r="L186" s="470">
        <f t="shared" si="24"/>
        <v>0</v>
      </c>
      <c r="M186" s="470">
        <f t="shared" si="25"/>
        <v>0</v>
      </c>
    </row>
    <row r="187" customHeight="1" spans="1:13">
      <c r="A187" s="473">
        <f t="shared" si="26"/>
        <v>166</v>
      </c>
      <c r="B187" s="478">
        <f t="shared" si="27"/>
        <v>49218</v>
      </c>
      <c r="C187" s="464">
        <f t="shared" si="22"/>
        <v>0</v>
      </c>
      <c r="D187" s="477"/>
      <c r="E187" s="465">
        <f t="shared" si="23"/>
        <v>0</v>
      </c>
      <c r="F187" s="466">
        <f t="shared" si="28"/>
        <v>0</v>
      </c>
      <c r="G187" s="466">
        <f t="shared" si="29"/>
        <v>0</v>
      </c>
      <c r="H187" s="476"/>
      <c r="I187" s="469">
        <f t="shared" si="30"/>
        <v>0</v>
      </c>
      <c r="J187" s="469">
        <f t="shared" si="31"/>
        <v>0</v>
      </c>
      <c r="K187" s="469">
        <f t="shared" si="32"/>
        <v>0</v>
      </c>
      <c r="L187" s="470">
        <f t="shared" si="24"/>
        <v>0</v>
      </c>
      <c r="M187" s="470">
        <f t="shared" si="25"/>
        <v>0</v>
      </c>
    </row>
    <row r="188" customHeight="1" spans="1:13">
      <c r="A188" s="473">
        <f t="shared" si="26"/>
        <v>167</v>
      </c>
      <c r="B188" s="478">
        <f t="shared" si="27"/>
        <v>49249</v>
      </c>
      <c r="C188" s="464">
        <f t="shared" si="22"/>
        <v>0</v>
      </c>
      <c r="D188" s="477"/>
      <c r="E188" s="465">
        <f t="shared" si="23"/>
        <v>0</v>
      </c>
      <c r="F188" s="466">
        <f t="shared" si="28"/>
        <v>0</v>
      </c>
      <c r="G188" s="466">
        <f t="shared" si="29"/>
        <v>0</v>
      </c>
      <c r="H188" s="476"/>
      <c r="I188" s="469">
        <f t="shared" si="30"/>
        <v>0</v>
      </c>
      <c r="J188" s="469">
        <f t="shared" si="31"/>
        <v>0</v>
      </c>
      <c r="K188" s="469">
        <f t="shared" si="32"/>
        <v>0</v>
      </c>
      <c r="L188" s="470">
        <f t="shared" si="24"/>
        <v>0</v>
      </c>
      <c r="M188" s="470">
        <f t="shared" si="25"/>
        <v>0</v>
      </c>
    </row>
    <row r="189" customHeight="1" spans="1:13">
      <c r="A189" s="473">
        <f t="shared" si="26"/>
        <v>168</v>
      </c>
      <c r="B189" s="478">
        <f t="shared" si="27"/>
        <v>49279</v>
      </c>
      <c r="C189" s="464">
        <f t="shared" si="22"/>
        <v>0</v>
      </c>
      <c r="D189" s="477"/>
      <c r="E189" s="465">
        <f t="shared" si="23"/>
        <v>0</v>
      </c>
      <c r="F189" s="466">
        <f t="shared" si="28"/>
        <v>0</v>
      </c>
      <c r="G189" s="466">
        <f t="shared" si="29"/>
        <v>0</v>
      </c>
      <c r="H189" s="476"/>
      <c r="I189" s="469">
        <f t="shared" si="30"/>
        <v>0</v>
      </c>
      <c r="J189" s="469">
        <f t="shared" si="31"/>
        <v>0</v>
      </c>
      <c r="K189" s="469">
        <f t="shared" si="32"/>
        <v>0</v>
      </c>
      <c r="L189" s="470">
        <f t="shared" si="24"/>
        <v>0</v>
      </c>
      <c r="M189" s="470">
        <f t="shared" si="25"/>
        <v>0</v>
      </c>
    </row>
    <row r="190" customHeight="1" spans="1:13">
      <c r="A190" s="473">
        <f t="shared" si="26"/>
        <v>169</v>
      </c>
      <c r="B190" s="478">
        <f t="shared" si="27"/>
        <v>49310</v>
      </c>
      <c r="C190" s="464">
        <f t="shared" si="22"/>
        <v>0</v>
      </c>
      <c r="D190" s="477"/>
      <c r="E190" s="465">
        <f t="shared" si="23"/>
        <v>0</v>
      </c>
      <c r="F190" s="466">
        <f t="shared" si="28"/>
        <v>0</v>
      </c>
      <c r="G190" s="466">
        <f t="shared" si="29"/>
        <v>0</v>
      </c>
      <c r="H190" s="476"/>
      <c r="I190" s="469">
        <f t="shared" si="30"/>
        <v>0</v>
      </c>
      <c r="J190" s="469">
        <f t="shared" si="31"/>
        <v>0</v>
      </c>
      <c r="K190" s="469">
        <f t="shared" si="32"/>
        <v>0</v>
      </c>
      <c r="L190" s="470">
        <f t="shared" si="24"/>
        <v>0</v>
      </c>
      <c r="M190" s="470">
        <f t="shared" si="25"/>
        <v>0</v>
      </c>
    </row>
    <row r="191" customHeight="1" spans="1:13">
      <c r="A191" s="473">
        <f t="shared" si="26"/>
        <v>170</v>
      </c>
      <c r="B191" s="478">
        <f t="shared" si="27"/>
        <v>49341</v>
      </c>
      <c r="C191" s="464">
        <f t="shared" si="22"/>
        <v>0</v>
      </c>
      <c r="D191" s="477"/>
      <c r="E191" s="465">
        <f t="shared" si="23"/>
        <v>0</v>
      </c>
      <c r="F191" s="466">
        <f t="shared" si="28"/>
        <v>0</v>
      </c>
      <c r="G191" s="466">
        <f t="shared" si="29"/>
        <v>0</v>
      </c>
      <c r="H191" s="476"/>
      <c r="I191" s="469">
        <f t="shared" si="30"/>
        <v>0</v>
      </c>
      <c r="J191" s="469">
        <f t="shared" si="31"/>
        <v>0</v>
      </c>
      <c r="K191" s="469">
        <f t="shared" si="32"/>
        <v>0</v>
      </c>
      <c r="L191" s="470">
        <f t="shared" si="24"/>
        <v>0</v>
      </c>
      <c r="M191" s="470">
        <f t="shared" si="25"/>
        <v>0</v>
      </c>
    </row>
    <row r="192" customHeight="1" spans="1:13">
      <c r="A192" s="473">
        <f t="shared" si="26"/>
        <v>171</v>
      </c>
      <c r="B192" s="478">
        <f t="shared" si="27"/>
        <v>49369</v>
      </c>
      <c r="C192" s="464">
        <f t="shared" si="22"/>
        <v>0</v>
      </c>
      <c r="D192" s="477"/>
      <c r="E192" s="465">
        <f t="shared" si="23"/>
        <v>0</v>
      </c>
      <c r="F192" s="466">
        <f t="shared" si="28"/>
        <v>0</v>
      </c>
      <c r="G192" s="466">
        <f t="shared" si="29"/>
        <v>0</v>
      </c>
      <c r="H192" s="476"/>
      <c r="I192" s="469">
        <f t="shared" si="30"/>
        <v>0</v>
      </c>
      <c r="J192" s="469">
        <f t="shared" si="31"/>
        <v>0</v>
      </c>
      <c r="K192" s="469">
        <f t="shared" si="32"/>
        <v>0</v>
      </c>
      <c r="L192" s="470">
        <f t="shared" si="24"/>
        <v>0</v>
      </c>
      <c r="M192" s="470">
        <f t="shared" si="25"/>
        <v>0</v>
      </c>
    </row>
    <row r="193" customHeight="1" spans="1:14">
      <c r="A193" s="473">
        <f t="shared" si="26"/>
        <v>172</v>
      </c>
      <c r="B193" s="478">
        <f t="shared" si="27"/>
        <v>49400</v>
      </c>
      <c r="C193" s="464">
        <f t="shared" si="22"/>
        <v>0</v>
      </c>
      <c r="D193" s="477"/>
      <c r="E193" s="465">
        <f t="shared" si="23"/>
        <v>0</v>
      </c>
      <c r="F193" s="466">
        <f t="shared" si="28"/>
        <v>0</v>
      </c>
      <c r="G193" s="466">
        <f t="shared" si="29"/>
        <v>0</v>
      </c>
      <c r="H193" s="476"/>
      <c r="I193" s="469">
        <f t="shared" si="30"/>
        <v>0</v>
      </c>
      <c r="J193" s="469">
        <f t="shared" si="31"/>
        <v>0</v>
      </c>
      <c r="K193" s="469">
        <f t="shared" si="32"/>
        <v>0</v>
      </c>
      <c r="L193" s="470">
        <f t="shared" si="24"/>
        <v>0</v>
      </c>
      <c r="M193" s="470">
        <f t="shared" si="25"/>
        <v>0</v>
      </c>
    </row>
    <row r="194" customHeight="1" spans="1:14">
      <c r="A194" s="473">
        <f t="shared" si="26"/>
        <v>173</v>
      </c>
      <c r="B194" s="478">
        <f t="shared" si="27"/>
        <v>49430</v>
      </c>
      <c r="C194" s="464">
        <f t="shared" si="22"/>
        <v>0</v>
      </c>
      <c r="D194" s="477"/>
      <c r="E194" s="465">
        <f t="shared" si="23"/>
        <v>0</v>
      </c>
      <c r="F194" s="466">
        <f t="shared" si="28"/>
        <v>0</v>
      </c>
      <c r="G194" s="466">
        <f t="shared" si="29"/>
        <v>0</v>
      </c>
      <c r="H194" s="476"/>
      <c r="I194" s="469">
        <f t="shared" si="30"/>
        <v>0</v>
      </c>
      <c r="J194" s="469">
        <f t="shared" si="31"/>
        <v>0</v>
      </c>
      <c r="K194" s="469">
        <f t="shared" si="32"/>
        <v>0</v>
      </c>
      <c r="L194" s="470">
        <f t="shared" si="24"/>
        <v>0</v>
      </c>
      <c r="M194" s="470">
        <f t="shared" si="25"/>
        <v>0</v>
      </c>
    </row>
    <row r="195" customHeight="1" spans="1:14">
      <c r="A195" s="473">
        <f t="shared" si="26"/>
        <v>174</v>
      </c>
      <c r="B195" s="478">
        <f t="shared" si="27"/>
        <v>49461</v>
      </c>
      <c r="C195" s="464">
        <f t="shared" si="22"/>
        <v>0</v>
      </c>
      <c r="D195" s="477"/>
      <c r="E195" s="465">
        <f t="shared" si="23"/>
        <v>0</v>
      </c>
      <c r="F195" s="466">
        <f t="shared" si="28"/>
        <v>0</v>
      </c>
      <c r="G195" s="466">
        <f t="shared" si="29"/>
        <v>0</v>
      </c>
      <c r="H195" s="476"/>
      <c r="I195" s="469">
        <f t="shared" si="30"/>
        <v>0</v>
      </c>
      <c r="J195" s="469">
        <f t="shared" si="31"/>
        <v>0</v>
      </c>
      <c r="K195" s="469">
        <f t="shared" si="32"/>
        <v>0</v>
      </c>
      <c r="L195" s="470">
        <f t="shared" si="24"/>
        <v>0</v>
      </c>
      <c r="M195" s="470">
        <f t="shared" si="25"/>
        <v>0</v>
      </c>
    </row>
    <row r="196" s="408" customFormat="1" customHeight="1" spans="1:14">
      <c r="A196" s="473">
        <f t="shared" si="26"/>
        <v>175</v>
      </c>
      <c r="B196" s="478">
        <f t="shared" si="27"/>
        <v>49491</v>
      </c>
      <c r="C196" s="464">
        <f t="shared" si="22"/>
        <v>0</v>
      </c>
      <c r="D196" s="480"/>
      <c r="E196" s="465">
        <f t="shared" si="23"/>
        <v>0</v>
      </c>
      <c r="F196" s="466">
        <f t="shared" si="28"/>
        <v>0</v>
      </c>
      <c r="G196" s="466">
        <f t="shared" si="29"/>
        <v>0</v>
      </c>
      <c r="H196" s="476"/>
      <c r="I196" s="469">
        <f t="shared" si="30"/>
        <v>0</v>
      </c>
      <c r="J196" s="469">
        <f t="shared" si="31"/>
        <v>0</v>
      </c>
      <c r="K196" s="469">
        <f t="shared" si="32"/>
        <v>0</v>
      </c>
      <c r="L196" s="470">
        <f t="shared" si="24"/>
        <v>0</v>
      </c>
      <c r="M196" s="470">
        <f t="shared" si="25"/>
        <v>0</v>
      </c>
      <c r="N196" s="448"/>
    </row>
    <row r="197" customHeight="1" spans="1:14">
      <c r="A197" s="473">
        <f t="shared" si="26"/>
        <v>176</v>
      </c>
      <c r="B197" s="478">
        <f t="shared" si="27"/>
        <v>49522</v>
      </c>
      <c r="C197" s="464">
        <f t="shared" si="22"/>
        <v>0</v>
      </c>
      <c r="D197" s="477"/>
      <c r="E197" s="465">
        <f t="shared" si="23"/>
        <v>0</v>
      </c>
      <c r="F197" s="466">
        <f t="shared" si="28"/>
        <v>0</v>
      </c>
      <c r="G197" s="466">
        <f t="shared" si="29"/>
        <v>0</v>
      </c>
      <c r="H197" s="476"/>
      <c r="I197" s="469">
        <f t="shared" si="30"/>
        <v>0</v>
      </c>
      <c r="J197" s="469">
        <f t="shared" si="31"/>
        <v>0</v>
      </c>
      <c r="K197" s="469">
        <f t="shared" si="32"/>
        <v>0</v>
      </c>
      <c r="L197" s="470">
        <f t="shared" si="24"/>
        <v>0</v>
      </c>
      <c r="M197" s="470">
        <f t="shared" si="25"/>
        <v>0</v>
      </c>
    </row>
    <row r="198" customHeight="1" spans="1:14">
      <c r="A198" s="473">
        <f t="shared" si="26"/>
        <v>177</v>
      </c>
      <c r="B198" s="478">
        <f t="shared" si="27"/>
        <v>49553</v>
      </c>
      <c r="C198" s="464">
        <f t="shared" si="22"/>
        <v>0</v>
      </c>
      <c r="D198" s="477"/>
      <c r="E198" s="465">
        <f t="shared" si="23"/>
        <v>0</v>
      </c>
      <c r="F198" s="466">
        <f t="shared" si="28"/>
        <v>0</v>
      </c>
      <c r="G198" s="466">
        <f t="shared" si="29"/>
        <v>0</v>
      </c>
      <c r="H198" s="476"/>
      <c r="I198" s="469">
        <f t="shared" si="30"/>
        <v>0</v>
      </c>
      <c r="J198" s="469">
        <f t="shared" si="31"/>
        <v>0</v>
      </c>
      <c r="K198" s="469">
        <f t="shared" si="32"/>
        <v>0</v>
      </c>
      <c r="L198" s="470">
        <f t="shared" si="24"/>
        <v>0</v>
      </c>
      <c r="M198" s="470">
        <f t="shared" si="25"/>
        <v>0</v>
      </c>
    </row>
    <row r="199" customHeight="1" spans="1:14">
      <c r="A199" s="473">
        <f t="shared" si="26"/>
        <v>178</v>
      </c>
      <c r="B199" s="478">
        <f t="shared" si="27"/>
        <v>49583</v>
      </c>
      <c r="C199" s="464">
        <f t="shared" si="22"/>
        <v>0</v>
      </c>
      <c r="D199" s="477"/>
      <c r="E199" s="465">
        <f t="shared" si="23"/>
        <v>0</v>
      </c>
      <c r="F199" s="466">
        <f t="shared" si="28"/>
        <v>0</v>
      </c>
      <c r="G199" s="466">
        <f t="shared" si="29"/>
        <v>0</v>
      </c>
      <c r="H199" s="476"/>
      <c r="I199" s="469">
        <f t="shared" si="30"/>
        <v>0</v>
      </c>
      <c r="J199" s="469">
        <f t="shared" si="31"/>
        <v>0</v>
      </c>
      <c r="K199" s="469">
        <f t="shared" si="32"/>
        <v>0</v>
      </c>
      <c r="L199" s="470">
        <f t="shared" si="24"/>
        <v>0</v>
      </c>
      <c r="M199" s="470">
        <f t="shared" si="25"/>
        <v>0</v>
      </c>
    </row>
    <row r="200" customHeight="1" spans="1:14">
      <c r="A200" s="473">
        <f t="shared" si="26"/>
        <v>179</v>
      </c>
      <c r="B200" s="478">
        <f t="shared" si="27"/>
        <v>49614</v>
      </c>
      <c r="C200" s="464">
        <f t="shared" si="22"/>
        <v>0</v>
      </c>
      <c r="D200" s="477"/>
      <c r="E200" s="465">
        <f t="shared" si="23"/>
        <v>0</v>
      </c>
      <c r="F200" s="466">
        <f t="shared" si="28"/>
        <v>0</v>
      </c>
      <c r="G200" s="466">
        <f t="shared" si="29"/>
        <v>0</v>
      </c>
      <c r="H200" s="476"/>
      <c r="I200" s="469">
        <f t="shared" si="30"/>
        <v>0</v>
      </c>
      <c r="J200" s="469">
        <f t="shared" si="31"/>
        <v>0</v>
      </c>
      <c r="K200" s="469">
        <f t="shared" si="32"/>
        <v>0</v>
      </c>
      <c r="L200" s="470">
        <f t="shared" si="24"/>
        <v>0</v>
      </c>
      <c r="M200" s="470">
        <f t="shared" si="25"/>
        <v>0</v>
      </c>
    </row>
    <row r="201" customHeight="1" spans="1:14">
      <c r="A201" s="473">
        <f t="shared" si="26"/>
        <v>180</v>
      </c>
      <c r="B201" s="478">
        <f t="shared" si="27"/>
        <v>49644</v>
      </c>
      <c r="C201" s="464">
        <f t="shared" si="22"/>
        <v>0</v>
      </c>
      <c r="D201" s="477"/>
      <c r="E201" s="465">
        <f t="shared" si="23"/>
        <v>0</v>
      </c>
      <c r="F201" s="466">
        <f t="shared" si="28"/>
        <v>0</v>
      </c>
      <c r="G201" s="466">
        <f t="shared" si="29"/>
        <v>0</v>
      </c>
      <c r="H201" s="476"/>
      <c r="I201" s="469">
        <f t="shared" si="30"/>
        <v>0</v>
      </c>
      <c r="J201" s="469">
        <f t="shared" si="31"/>
        <v>0</v>
      </c>
      <c r="K201" s="469">
        <f t="shared" si="32"/>
        <v>0</v>
      </c>
      <c r="L201" s="470">
        <f t="shared" si="24"/>
        <v>0</v>
      </c>
      <c r="M201" s="470">
        <f t="shared" si="25"/>
        <v>0</v>
      </c>
    </row>
    <row r="202" customHeight="1" spans="1:14">
      <c r="A202" s="473">
        <f t="shared" si="26"/>
        <v>181</v>
      </c>
      <c r="B202" s="478">
        <f t="shared" si="27"/>
        <v>49675</v>
      </c>
      <c r="C202" s="464">
        <f t="shared" si="22"/>
        <v>0</v>
      </c>
      <c r="D202" s="477"/>
      <c r="E202" s="465">
        <f t="shared" si="23"/>
        <v>0</v>
      </c>
      <c r="F202" s="466">
        <f t="shared" si="28"/>
        <v>0</v>
      </c>
      <c r="G202" s="466">
        <f t="shared" si="29"/>
        <v>0</v>
      </c>
      <c r="H202" s="476"/>
      <c r="I202" s="469">
        <f t="shared" si="30"/>
        <v>0</v>
      </c>
      <c r="J202" s="469">
        <f t="shared" si="31"/>
        <v>0</v>
      </c>
      <c r="K202" s="469">
        <f t="shared" si="32"/>
        <v>0</v>
      </c>
      <c r="L202" s="470">
        <f t="shared" si="24"/>
        <v>0</v>
      </c>
      <c r="M202" s="470">
        <f t="shared" si="25"/>
        <v>0</v>
      </c>
    </row>
    <row r="203" customHeight="1" spans="1:14">
      <c r="A203" s="473">
        <f t="shared" si="26"/>
        <v>182</v>
      </c>
      <c r="B203" s="478">
        <f t="shared" si="27"/>
        <v>49706</v>
      </c>
      <c r="C203" s="464">
        <f t="shared" si="22"/>
        <v>0</v>
      </c>
      <c r="D203" s="477"/>
      <c r="E203" s="465">
        <f t="shared" si="23"/>
        <v>0</v>
      </c>
      <c r="F203" s="466">
        <f t="shared" si="28"/>
        <v>0</v>
      </c>
      <c r="G203" s="466">
        <f t="shared" si="29"/>
        <v>0</v>
      </c>
      <c r="H203" s="476"/>
      <c r="I203" s="469">
        <f t="shared" si="30"/>
        <v>0</v>
      </c>
      <c r="J203" s="469">
        <f t="shared" si="31"/>
        <v>0</v>
      </c>
      <c r="K203" s="469">
        <f t="shared" si="32"/>
        <v>0</v>
      </c>
      <c r="L203" s="470">
        <f t="shared" si="24"/>
        <v>0</v>
      </c>
      <c r="M203" s="470">
        <f t="shared" si="25"/>
        <v>0</v>
      </c>
    </row>
    <row r="204" customHeight="1" spans="1:14">
      <c r="A204" s="473">
        <f t="shared" si="26"/>
        <v>183</v>
      </c>
      <c r="B204" s="478">
        <f t="shared" si="27"/>
        <v>49735</v>
      </c>
      <c r="C204" s="464">
        <f t="shared" si="22"/>
        <v>0</v>
      </c>
      <c r="D204" s="477"/>
      <c r="E204" s="465">
        <f t="shared" si="23"/>
        <v>0</v>
      </c>
      <c r="F204" s="466">
        <f t="shared" si="28"/>
        <v>0</v>
      </c>
      <c r="G204" s="466">
        <f t="shared" si="29"/>
        <v>0</v>
      </c>
      <c r="H204" s="476"/>
      <c r="I204" s="469">
        <f t="shared" si="30"/>
        <v>0</v>
      </c>
      <c r="J204" s="469">
        <f t="shared" si="31"/>
        <v>0</v>
      </c>
      <c r="K204" s="469">
        <f t="shared" si="32"/>
        <v>0</v>
      </c>
      <c r="L204" s="470">
        <f t="shared" si="24"/>
        <v>0</v>
      </c>
      <c r="M204" s="470">
        <f t="shared" si="25"/>
        <v>0</v>
      </c>
    </row>
    <row r="205" customHeight="1" spans="1:14">
      <c r="A205" s="473">
        <f t="shared" si="26"/>
        <v>184</v>
      </c>
      <c r="B205" s="478">
        <f t="shared" si="27"/>
        <v>49766</v>
      </c>
      <c r="C205" s="464">
        <f t="shared" si="22"/>
        <v>0</v>
      </c>
      <c r="D205" s="477"/>
      <c r="E205" s="465">
        <f t="shared" si="23"/>
        <v>0</v>
      </c>
      <c r="F205" s="466">
        <f t="shared" si="28"/>
        <v>0</v>
      </c>
      <c r="G205" s="466">
        <f t="shared" si="29"/>
        <v>0</v>
      </c>
      <c r="H205" s="476"/>
      <c r="I205" s="469">
        <f t="shared" si="30"/>
        <v>0</v>
      </c>
      <c r="J205" s="469">
        <f t="shared" si="31"/>
        <v>0</v>
      </c>
      <c r="K205" s="469">
        <f t="shared" si="32"/>
        <v>0</v>
      </c>
      <c r="L205" s="470">
        <f t="shared" si="24"/>
        <v>0</v>
      </c>
      <c r="M205" s="470">
        <f t="shared" si="25"/>
        <v>0</v>
      </c>
    </row>
    <row r="206" customHeight="1" spans="1:14">
      <c r="A206" s="473">
        <f t="shared" si="26"/>
        <v>185</v>
      </c>
      <c r="B206" s="478">
        <f t="shared" si="27"/>
        <v>49796</v>
      </c>
      <c r="C206" s="464">
        <f t="shared" si="22"/>
        <v>0</v>
      </c>
      <c r="D206" s="477"/>
      <c r="E206" s="465">
        <f t="shared" si="23"/>
        <v>0</v>
      </c>
      <c r="F206" s="466">
        <f t="shared" si="28"/>
        <v>0</v>
      </c>
      <c r="G206" s="466">
        <f t="shared" si="29"/>
        <v>0</v>
      </c>
      <c r="H206" s="476"/>
      <c r="I206" s="469">
        <f t="shared" si="30"/>
        <v>0</v>
      </c>
      <c r="J206" s="469">
        <f t="shared" si="31"/>
        <v>0</v>
      </c>
      <c r="K206" s="469">
        <f t="shared" si="32"/>
        <v>0</v>
      </c>
      <c r="L206" s="470">
        <f t="shared" si="24"/>
        <v>0</v>
      </c>
      <c r="M206" s="470">
        <f t="shared" si="25"/>
        <v>0</v>
      </c>
    </row>
    <row r="207" customHeight="1" spans="1:14">
      <c r="A207" s="473">
        <f t="shared" si="26"/>
        <v>186</v>
      </c>
      <c r="B207" s="478">
        <f t="shared" si="27"/>
        <v>49827</v>
      </c>
      <c r="C207" s="464">
        <f t="shared" si="22"/>
        <v>0</v>
      </c>
      <c r="D207" s="477"/>
      <c r="E207" s="465">
        <f t="shared" si="23"/>
        <v>0</v>
      </c>
      <c r="F207" s="466">
        <f t="shared" si="28"/>
        <v>0</v>
      </c>
      <c r="G207" s="466">
        <f t="shared" si="29"/>
        <v>0</v>
      </c>
      <c r="H207" s="476"/>
      <c r="I207" s="469">
        <f t="shared" si="30"/>
        <v>0</v>
      </c>
      <c r="J207" s="469">
        <f t="shared" si="31"/>
        <v>0</v>
      </c>
      <c r="K207" s="469">
        <f t="shared" si="32"/>
        <v>0</v>
      </c>
      <c r="L207" s="470">
        <f t="shared" si="24"/>
        <v>0</v>
      </c>
      <c r="M207" s="470">
        <f t="shared" si="25"/>
        <v>0</v>
      </c>
    </row>
    <row r="208" customHeight="1" spans="1:14">
      <c r="A208" s="473">
        <f t="shared" si="26"/>
        <v>187</v>
      </c>
      <c r="B208" s="478">
        <f t="shared" si="27"/>
        <v>49857</v>
      </c>
      <c r="C208" s="464">
        <f t="shared" si="22"/>
        <v>0</v>
      </c>
      <c r="D208" s="477"/>
      <c r="E208" s="465">
        <f t="shared" si="23"/>
        <v>0</v>
      </c>
      <c r="F208" s="466">
        <f t="shared" si="28"/>
        <v>0</v>
      </c>
      <c r="G208" s="466">
        <f t="shared" si="29"/>
        <v>0</v>
      </c>
      <c r="H208" s="476"/>
      <c r="I208" s="469">
        <f t="shared" si="30"/>
        <v>0</v>
      </c>
      <c r="J208" s="469">
        <f t="shared" si="31"/>
        <v>0</v>
      </c>
      <c r="K208" s="469">
        <f t="shared" si="32"/>
        <v>0</v>
      </c>
      <c r="L208" s="470">
        <f t="shared" si="24"/>
        <v>0</v>
      </c>
      <c r="M208" s="470">
        <f t="shared" si="25"/>
        <v>0</v>
      </c>
    </row>
    <row r="209" customHeight="1" spans="1:13">
      <c r="A209" s="473">
        <f t="shared" si="26"/>
        <v>188</v>
      </c>
      <c r="B209" s="478">
        <f t="shared" si="27"/>
        <v>49888</v>
      </c>
      <c r="C209" s="464">
        <f t="shared" si="22"/>
        <v>0</v>
      </c>
      <c r="D209" s="477"/>
      <c r="E209" s="465">
        <f t="shared" si="23"/>
        <v>0</v>
      </c>
      <c r="F209" s="466">
        <f t="shared" si="28"/>
        <v>0</v>
      </c>
      <c r="G209" s="466">
        <f t="shared" si="29"/>
        <v>0</v>
      </c>
      <c r="H209" s="476"/>
      <c r="I209" s="469">
        <f t="shared" si="30"/>
        <v>0</v>
      </c>
      <c r="J209" s="469">
        <f t="shared" si="31"/>
        <v>0</v>
      </c>
      <c r="K209" s="469">
        <f t="shared" si="32"/>
        <v>0</v>
      </c>
      <c r="L209" s="470">
        <f t="shared" si="24"/>
        <v>0</v>
      </c>
      <c r="M209" s="470">
        <f t="shared" si="25"/>
        <v>0</v>
      </c>
    </row>
    <row r="210" customHeight="1" spans="1:13">
      <c r="A210" s="473">
        <f t="shared" si="26"/>
        <v>189</v>
      </c>
      <c r="B210" s="478">
        <f t="shared" si="27"/>
        <v>49919</v>
      </c>
      <c r="C210" s="464">
        <f t="shared" si="22"/>
        <v>0</v>
      </c>
      <c r="D210" s="477"/>
      <c r="E210" s="465">
        <f t="shared" si="23"/>
        <v>0</v>
      </c>
      <c r="F210" s="466">
        <f t="shared" si="28"/>
        <v>0</v>
      </c>
      <c r="G210" s="466">
        <f t="shared" si="29"/>
        <v>0</v>
      </c>
      <c r="H210" s="476"/>
      <c r="I210" s="469">
        <f t="shared" si="30"/>
        <v>0</v>
      </c>
      <c r="J210" s="469">
        <f t="shared" si="31"/>
        <v>0</v>
      </c>
      <c r="K210" s="469">
        <f t="shared" si="32"/>
        <v>0</v>
      </c>
      <c r="L210" s="470">
        <f t="shared" si="24"/>
        <v>0</v>
      </c>
      <c r="M210" s="470">
        <f t="shared" si="25"/>
        <v>0</v>
      </c>
    </row>
    <row r="211" customHeight="1" spans="1:13">
      <c r="A211" s="473">
        <f t="shared" si="26"/>
        <v>190</v>
      </c>
      <c r="B211" s="478">
        <f t="shared" si="27"/>
        <v>49949</v>
      </c>
      <c r="C211" s="464">
        <f t="shared" si="22"/>
        <v>0</v>
      </c>
      <c r="D211" s="477"/>
      <c r="E211" s="465">
        <f t="shared" si="23"/>
        <v>0</v>
      </c>
      <c r="F211" s="466">
        <f t="shared" si="28"/>
        <v>0</v>
      </c>
      <c r="G211" s="466">
        <f t="shared" si="29"/>
        <v>0</v>
      </c>
      <c r="H211" s="476"/>
      <c r="I211" s="469">
        <f t="shared" si="30"/>
        <v>0</v>
      </c>
      <c r="J211" s="469">
        <f t="shared" si="31"/>
        <v>0</v>
      </c>
      <c r="K211" s="469">
        <f t="shared" si="32"/>
        <v>0</v>
      </c>
      <c r="L211" s="470">
        <f t="shared" si="24"/>
        <v>0</v>
      </c>
      <c r="M211" s="470">
        <f t="shared" si="25"/>
        <v>0</v>
      </c>
    </row>
    <row r="212" customHeight="1" spans="1:13">
      <c r="A212" s="473">
        <f t="shared" si="26"/>
        <v>191</v>
      </c>
      <c r="B212" s="478">
        <f t="shared" si="27"/>
        <v>49980</v>
      </c>
      <c r="C212" s="464">
        <f t="shared" si="22"/>
        <v>0</v>
      </c>
      <c r="D212" s="477"/>
      <c r="E212" s="465">
        <f t="shared" si="23"/>
        <v>0</v>
      </c>
      <c r="F212" s="466">
        <f t="shared" si="28"/>
        <v>0</v>
      </c>
      <c r="G212" s="466">
        <f t="shared" si="29"/>
        <v>0</v>
      </c>
      <c r="H212" s="476"/>
      <c r="I212" s="469">
        <f t="shared" si="30"/>
        <v>0</v>
      </c>
      <c r="J212" s="469">
        <f t="shared" si="31"/>
        <v>0</v>
      </c>
      <c r="K212" s="469">
        <f t="shared" si="32"/>
        <v>0</v>
      </c>
      <c r="L212" s="470">
        <f t="shared" si="24"/>
        <v>0</v>
      </c>
      <c r="M212" s="470">
        <f t="shared" si="25"/>
        <v>0</v>
      </c>
    </row>
    <row r="213" customHeight="1" spans="1:13">
      <c r="A213" s="473">
        <f t="shared" si="26"/>
        <v>192</v>
      </c>
      <c r="B213" s="478">
        <f t="shared" si="27"/>
        <v>50010</v>
      </c>
      <c r="C213" s="464">
        <f t="shared" si="22"/>
        <v>0</v>
      </c>
      <c r="D213" s="477"/>
      <c r="E213" s="465">
        <f t="shared" si="23"/>
        <v>0</v>
      </c>
      <c r="F213" s="466">
        <f t="shared" si="28"/>
        <v>0</v>
      </c>
      <c r="G213" s="466">
        <f t="shared" si="29"/>
        <v>0</v>
      </c>
      <c r="H213" s="476"/>
      <c r="I213" s="469">
        <f t="shared" si="30"/>
        <v>0</v>
      </c>
      <c r="J213" s="469">
        <f t="shared" si="31"/>
        <v>0</v>
      </c>
      <c r="K213" s="469">
        <f t="shared" si="32"/>
        <v>0</v>
      </c>
      <c r="L213" s="470">
        <f t="shared" si="24"/>
        <v>0</v>
      </c>
      <c r="M213" s="470">
        <f t="shared" si="25"/>
        <v>0</v>
      </c>
    </row>
    <row r="214" customHeight="1" spans="1:13">
      <c r="A214" s="473">
        <f t="shared" si="26"/>
        <v>193</v>
      </c>
      <c r="B214" s="478">
        <f t="shared" si="27"/>
        <v>50041</v>
      </c>
      <c r="C214" s="464">
        <f t="shared" ref="C214:C277" si="33">IF(AND(A214&lt;=$C$18,MONTH(B214)=$E$20,B214&lt;=$C$16,IF($O$20="期末",B214&gt;=EDATE($C$15,12),B214&gt;$C$15)),$C$20,0)</f>
        <v>0</v>
      </c>
      <c r="D214" s="477"/>
      <c r="E214" s="465">
        <f t="shared" ref="E214:E277" si="34">(D214+C214)/(POWER((1+$C$17/12),A214-1))</f>
        <v>0</v>
      </c>
      <c r="F214" s="466">
        <f t="shared" si="28"/>
        <v>0</v>
      </c>
      <c r="G214" s="466">
        <f t="shared" si="29"/>
        <v>0</v>
      </c>
      <c r="H214" s="476"/>
      <c r="I214" s="469">
        <f t="shared" si="30"/>
        <v>0</v>
      </c>
      <c r="J214" s="469">
        <f t="shared" si="31"/>
        <v>0</v>
      </c>
      <c r="K214" s="469">
        <f t="shared" si="32"/>
        <v>0</v>
      </c>
      <c r="L214" s="470">
        <f t="shared" ref="L214:L277" si="35">IF(G214=0,0,G214*$C$19)</f>
        <v>0</v>
      </c>
      <c r="M214" s="470">
        <f t="shared" ref="M214:M277" si="36">IF(K214=0,0,K214*$C$19)</f>
        <v>0</v>
      </c>
    </row>
    <row r="215" customHeight="1" spans="1:13">
      <c r="A215" s="473">
        <f t="shared" ref="A215:A278" si="37">A214+1</f>
        <v>194</v>
      </c>
      <c r="B215" s="478">
        <f t="shared" ref="B215:B278" si="38">EDATE(B214,1)</f>
        <v>50072</v>
      </c>
      <c r="C215" s="464">
        <f t="shared" si="33"/>
        <v>0</v>
      </c>
      <c r="D215" s="477"/>
      <c r="E215" s="465">
        <f t="shared" si="34"/>
        <v>0</v>
      </c>
      <c r="F215" s="466">
        <f t="shared" ref="F215:F278" si="39">IF(OR(B215&gt;$C$16,A215&gt;$C$18),0,$C$17/12*(G214-C215))</f>
        <v>0</v>
      </c>
      <c r="G215" s="466">
        <f t="shared" ref="G215:G278" si="40">IF(OR(B215&gt;$C$16,A215&gt;$C$18),0,G214-C215+F215)</f>
        <v>0</v>
      </c>
      <c r="H215" s="476"/>
      <c r="I215" s="469">
        <f t="shared" ref="I215:I278" si="41">IF(OR(B215&gt;$C$16,($A215-1)&gt;=MIN($C$18,$L$20),MIN($C$18,$L$20)&lt;=1),0,($E$349+$H$349)/MAX(MIN($C$18,$L$20)-1,1))</f>
        <v>0</v>
      </c>
      <c r="J215" s="469">
        <f t="shared" ref="J215:J278" si="42">IF(I215=0,0,J214+I215)</f>
        <v>0</v>
      </c>
      <c r="K215" s="469">
        <f t="shared" ref="K215:K278" si="43">IF(OR(B215&gt;$C$16,A215&gt;$C$18),0,K214-I215)</f>
        <v>0</v>
      </c>
      <c r="L215" s="470">
        <f t="shared" si="35"/>
        <v>0</v>
      </c>
      <c r="M215" s="470">
        <f t="shared" si="36"/>
        <v>0</v>
      </c>
    </row>
    <row r="216" customHeight="1" spans="1:13">
      <c r="A216" s="473">
        <f t="shared" si="37"/>
        <v>195</v>
      </c>
      <c r="B216" s="478">
        <f t="shared" si="38"/>
        <v>50100</v>
      </c>
      <c r="C216" s="464">
        <f t="shared" si="33"/>
        <v>0</v>
      </c>
      <c r="D216" s="477"/>
      <c r="E216" s="465">
        <f t="shared" si="34"/>
        <v>0</v>
      </c>
      <c r="F216" s="466">
        <f t="shared" si="39"/>
        <v>0</v>
      </c>
      <c r="G216" s="466">
        <f t="shared" si="40"/>
        <v>0</v>
      </c>
      <c r="H216" s="476"/>
      <c r="I216" s="469">
        <f t="shared" si="41"/>
        <v>0</v>
      </c>
      <c r="J216" s="469">
        <f t="shared" si="42"/>
        <v>0</v>
      </c>
      <c r="K216" s="469">
        <f t="shared" si="43"/>
        <v>0</v>
      </c>
      <c r="L216" s="470">
        <f t="shared" si="35"/>
        <v>0</v>
      </c>
      <c r="M216" s="470">
        <f t="shared" si="36"/>
        <v>0</v>
      </c>
    </row>
    <row r="217" customHeight="1" spans="1:13">
      <c r="A217" s="473">
        <f t="shared" si="37"/>
        <v>196</v>
      </c>
      <c r="B217" s="478">
        <f t="shared" si="38"/>
        <v>50131</v>
      </c>
      <c r="C217" s="464">
        <f t="shared" si="33"/>
        <v>0</v>
      </c>
      <c r="D217" s="477"/>
      <c r="E217" s="465">
        <f t="shared" si="34"/>
        <v>0</v>
      </c>
      <c r="F217" s="466">
        <f t="shared" si="39"/>
        <v>0</v>
      </c>
      <c r="G217" s="466">
        <f t="shared" si="40"/>
        <v>0</v>
      </c>
      <c r="H217" s="476"/>
      <c r="I217" s="469">
        <f t="shared" si="41"/>
        <v>0</v>
      </c>
      <c r="J217" s="469">
        <f t="shared" si="42"/>
        <v>0</v>
      </c>
      <c r="K217" s="469">
        <f t="shared" si="43"/>
        <v>0</v>
      </c>
      <c r="L217" s="470">
        <f t="shared" si="35"/>
        <v>0</v>
      </c>
      <c r="M217" s="470">
        <f t="shared" si="36"/>
        <v>0</v>
      </c>
    </row>
    <row r="218" customHeight="1" spans="1:13">
      <c r="A218" s="473">
        <f t="shared" si="37"/>
        <v>197</v>
      </c>
      <c r="B218" s="478">
        <f t="shared" si="38"/>
        <v>50161</v>
      </c>
      <c r="C218" s="464">
        <f t="shared" si="33"/>
        <v>0</v>
      </c>
      <c r="D218" s="477"/>
      <c r="E218" s="465">
        <f t="shared" si="34"/>
        <v>0</v>
      </c>
      <c r="F218" s="466">
        <f t="shared" si="39"/>
        <v>0</v>
      </c>
      <c r="G218" s="466">
        <f t="shared" si="40"/>
        <v>0</v>
      </c>
      <c r="H218" s="476"/>
      <c r="I218" s="469">
        <f t="shared" si="41"/>
        <v>0</v>
      </c>
      <c r="J218" s="469">
        <f t="shared" si="42"/>
        <v>0</v>
      </c>
      <c r="K218" s="469">
        <f t="shared" si="43"/>
        <v>0</v>
      </c>
      <c r="L218" s="470">
        <f t="shared" si="35"/>
        <v>0</v>
      </c>
      <c r="M218" s="470">
        <f t="shared" si="36"/>
        <v>0</v>
      </c>
    </row>
    <row r="219" customHeight="1" spans="1:13">
      <c r="A219" s="473">
        <f t="shared" si="37"/>
        <v>198</v>
      </c>
      <c r="B219" s="478">
        <f t="shared" si="38"/>
        <v>50192</v>
      </c>
      <c r="C219" s="464">
        <f t="shared" si="33"/>
        <v>0</v>
      </c>
      <c r="D219" s="477"/>
      <c r="E219" s="465">
        <f t="shared" si="34"/>
        <v>0</v>
      </c>
      <c r="F219" s="466">
        <f t="shared" si="39"/>
        <v>0</v>
      </c>
      <c r="G219" s="466">
        <f t="shared" si="40"/>
        <v>0</v>
      </c>
      <c r="H219" s="476"/>
      <c r="I219" s="469">
        <f t="shared" si="41"/>
        <v>0</v>
      </c>
      <c r="J219" s="469">
        <f t="shared" si="42"/>
        <v>0</v>
      </c>
      <c r="K219" s="469">
        <f t="shared" si="43"/>
        <v>0</v>
      </c>
      <c r="L219" s="470">
        <f t="shared" si="35"/>
        <v>0</v>
      </c>
      <c r="M219" s="470">
        <f t="shared" si="36"/>
        <v>0</v>
      </c>
    </row>
    <row r="220" customHeight="1" spans="1:13">
      <c r="A220" s="473">
        <f t="shared" si="37"/>
        <v>199</v>
      </c>
      <c r="B220" s="478">
        <f t="shared" si="38"/>
        <v>50222</v>
      </c>
      <c r="C220" s="464">
        <f t="shared" si="33"/>
        <v>0</v>
      </c>
      <c r="D220" s="477"/>
      <c r="E220" s="465">
        <f t="shared" si="34"/>
        <v>0</v>
      </c>
      <c r="F220" s="466">
        <f t="shared" si="39"/>
        <v>0</v>
      </c>
      <c r="G220" s="466">
        <f t="shared" si="40"/>
        <v>0</v>
      </c>
      <c r="H220" s="476"/>
      <c r="I220" s="469">
        <f t="shared" si="41"/>
        <v>0</v>
      </c>
      <c r="J220" s="469">
        <f t="shared" si="42"/>
        <v>0</v>
      </c>
      <c r="K220" s="469">
        <f t="shared" si="43"/>
        <v>0</v>
      </c>
      <c r="L220" s="470">
        <f t="shared" si="35"/>
        <v>0</v>
      </c>
      <c r="M220" s="470">
        <f t="shared" si="36"/>
        <v>0</v>
      </c>
    </row>
    <row r="221" customHeight="1" spans="1:13">
      <c r="A221" s="473">
        <f t="shared" si="37"/>
        <v>200</v>
      </c>
      <c r="B221" s="478">
        <f t="shared" si="38"/>
        <v>50253</v>
      </c>
      <c r="C221" s="464">
        <f t="shared" si="33"/>
        <v>0</v>
      </c>
      <c r="D221" s="477"/>
      <c r="E221" s="465">
        <f t="shared" si="34"/>
        <v>0</v>
      </c>
      <c r="F221" s="466">
        <f t="shared" si="39"/>
        <v>0</v>
      </c>
      <c r="G221" s="466">
        <f t="shared" si="40"/>
        <v>0</v>
      </c>
      <c r="H221" s="476"/>
      <c r="I221" s="469">
        <f t="shared" si="41"/>
        <v>0</v>
      </c>
      <c r="J221" s="469">
        <f t="shared" si="42"/>
        <v>0</v>
      </c>
      <c r="K221" s="469">
        <f t="shared" si="43"/>
        <v>0</v>
      </c>
      <c r="L221" s="470">
        <f t="shared" si="35"/>
        <v>0</v>
      </c>
      <c r="M221" s="470">
        <f t="shared" si="36"/>
        <v>0</v>
      </c>
    </row>
    <row r="222" customHeight="1" spans="1:13">
      <c r="A222" s="473">
        <f t="shared" si="37"/>
        <v>201</v>
      </c>
      <c r="B222" s="478">
        <f t="shared" si="38"/>
        <v>50284</v>
      </c>
      <c r="C222" s="464">
        <f t="shared" si="33"/>
        <v>0</v>
      </c>
      <c r="D222" s="477"/>
      <c r="E222" s="465">
        <f t="shared" si="34"/>
        <v>0</v>
      </c>
      <c r="F222" s="466">
        <f t="shared" si="39"/>
        <v>0</v>
      </c>
      <c r="G222" s="466">
        <f t="shared" si="40"/>
        <v>0</v>
      </c>
      <c r="H222" s="476"/>
      <c r="I222" s="469">
        <f t="shared" si="41"/>
        <v>0</v>
      </c>
      <c r="J222" s="469">
        <f t="shared" si="42"/>
        <v>0</v>
      </c>
      <c r="K222" s="469">
        <f t="shared" si="43"/>
        <v>0</v>
      </c>
      <c r="L222" s="470">
        <f t="shared" si="35"/>
        <v>0</v>
      </c>
      <c r="M222" s="470">
        <f t="shared" si="36"/>
        <v>0</v>
      </c>
    </row>
    <row r="223" customHeight="1" spans="1:13">
      <c r="A223" s="473">
        <f t="shared" si="37"/>
        <v>202</v>
      </c>
      <c r="B223" s="478">
        <f t="shared" si="38"/>
        <v>50314</v>
      </c>
      <c r="C223" s="464">
        <f t="shared" si="33"/>
        <v>0</v>
      </c>
      <c r="D223" s="477"/>
      <c r="E223" s="465">
        <f t="shared" si="34"/>
        <v>0</v>
      </c>
      <c r="F223" s="466">
        <f t="shared" si="39"/>
        <v>0</v>
      </c>
      <c r="G223" s="466">
        <f t="shared" si="40"/>
        <v>0</v>
      </c>
      <c r="H223" s="476"/>
      <c r="I223" s="469">
        <f t="shared" si="41"/>
        <v>0</v>
      </c>
      <c r="J223" s="469">
        <f t="shared" si="42"/>
        <v>0</v>
      </c>
      <c r="K223" s="469">
        <f t="shared" si="43"/>
        <v>0</v>
      </c>
      <c r="L223" s="470">
        <f t="shared" si="35"/>
        <v>0</v>
      </c>
      <c r="M223" s="470">
        <f t="shared" si="36"/>
        <v>0</v>
      </c>
    </row>
    <row r="224" customHeight="1" spans="1:13">
      <c r="A224" s="473">
        <f t="shared" si="37"/>
        <v>203</v>
      </c>
      <c r="B224" s="478">
        <f t="shared" si="38"/>
        <v>50345</v>
      </c>
      <c r="C224" s="464">
        <f t="shared" si="33"/>
        <v>0</v>
      </c>
      <c r="D224" s="477"/>
      <c r="E224" s="465">
        <f t="shared" si="34"/>
        <v>0</v>
      </c>
      <c r="F224" s="466">
        <f t="shared" si="39"/>
        <v>0</v>
      </c>
      <c r="G224" s="466">
        <f t="shared" si="40"/>
        <v>0</v>
      </c>
      <c r="H224" s="476"/>
      <c r="I224" s="469">
        <f t="shared" si="41"/>
        <v>0</v>
      </c>
      <c r="J224" s="469">
        <f t="shared" si="42"/>
        <v>0</v>
      </c>
      <c r="K224" s="469">
        <f t="shared" si="43"/>
        <v>0</v>
      </c>
      <c r="L224" s="470">
        <f t="shared" si="35"/>
        <v>0</v>
      </c>
      <c r="M224" s="470">
        <f t="shared" si="36"/>
        <v>0</v>
      </c>
    </row>
    <row r="225" customHeight="1" spans="1:13">
      <c r="A225" s="473">
        <f t="shared" si="37"/>
        <v>204</v>
      </c>
      <c r="B225" s="478">
        <f t="shared" si="38"/>
        <v>50375</v>
      </c>
      <c r="C225" s="464">
        <f t="shared" si="33"/>
        <v>0</v>
      </c>
      <c r="D225" s="477"/>
      <c r="E225" s="465">
        <f t="shared" si="34"/>
        <v>0</v>
      </c>
      <c r="F225" s="466">
        <f t="shared" si="39"/>
        <v>0</v>
      </c>
      <c r="G225" s="466">
        <f t="shared" si="40"/>
        <v>0</v>
      </c>
      <c r="H225" s="476"/>
      <c r="I225" s="469">
        <f t="shared" si="41"/>
        <v>0</v>
      </c>
      <c r="J225" s="469">
        <f t="shared" si="42"/>
        <v>0</v>
      </c>
      <c r="K225" s="469">
        <f t="shared" si="43"/>
        <v>0</v>
      </c>
      <c r="L225" s="470">
        <f t="shared" si="35"/>
        <v>0</v>
      </c>
      <c r="M225" s="470">
        <f t="shared" si="36"/>
        <v>0</v>
      </c>
    </row>
    <row r="226" customHeight="1" spans="1:13">
      <c r="A226" s="473">
        <f t="shared" si="37"/>
        <v>205</v>
      </c>
      <c r="B226" s="478">
        <f t="shared" si="38"/>
        <v>50406</v>
      </c>
      <c r="C226" s="464">
        <f t="shared" si="33"/>
        <v>0</v>
      </c>
      <c r="D226" s="477"/>
      <c r="E226" s="465">
        <f t="shared" si="34"/>
        <v>0</v>
      </c>
      <c r="F226" s="466">
        <f t="shared" si="39"/>
        <v>0</v>
      </c>
      <c r="G226" s="466">
        <f t="shared" si="40"/>
        <v>0</v>
      </c>
      <c r="H226" s="476"/>
      <c r="I226" s="469">
        <f t="shared" si="41"/>
        <v>0</v>
      </c>
      <c r="J226" s="469">
        <f t="shared" si="42"/>
        <v>0</v>
      </c>
      <c r="K226" s="469">
        <f t="shared" si="43"/>
        <v>0</v>
      </c>
      <c r="L226" s="470">
        <f t="shared" si="35"/>
        <v>0</v>
      </c>
      <c r="M226" s="470">
        <f t="shared" si="36"/>
        <v>0</v>
      </c>
    </row>
    <row r="227" customHeight="1" spans="1:13">
      <c r="A227" s="473">
        <f t="shared" si="37"/>
        <v>206</v>
      </c>
      <c r="B227" s="478">
        <f t="shared" si="38"/>
        <v>50437</v>
      </c>
      <c r="C227" s="464">
        <f t="shared" si="33"/>
        <v>0</v>
      </c>
      <c r="D227" s="477"/>
      <c r="E227" s="465">
        <f t="shared" si="34"/>
        <v>0</v>
      </c>
      <c r="F227" s="466">
        <f t="shared" si="39"/>
        <v>0</v>
      </c>
      <c r="G227" s="466">
        <f t="shared" si="40"/>
        <v>0</v>
      </c>
      <c r="H227" s="476"/>
      <c r="I227" s="469">
        <f t="shared" si="41"/>
        <v>0</v>
      </c>
      <c r="J227" s="469">
        <f t="shared" si="42"/>
        <v>0</v>
      </c>
      <c r="K227" s="469">
        <f t="shared" si="43"/>
        <v>0</v>
      </c>
      <c r="L227" s="470">
        <f t="shared" si="35"/>
        <v>0</v>
      </c>
      <c r="M227" s="470">
        <f t="shared" si="36"/>
        <v>0</v>
      </c>
    </row>
    <row r="228" customHeight="1" spans="1:13">
      <c r="A228" s="473">
        <f t="shared" si="37"/>
        <v>207</v>
      </c>
      <c r="B228" s="478">
        <f t="shared" si="38"/>
        <v>50465</v>
      </c>
      <c r="C228" s="464">
        <f t="shared" si="33"/>
        <v>0</v>
      </c>
      <c r="D228" s="477"/>
      <c r="E228" s="465">
        <f t="shared" si="34"/>
        <v>0</v>
      </c>
      <c r="F228" s="466">
        <f t="shared" si="39"/>
        <v>0</v>
      </c>
      <c r="G228" s="466">
        <f t="shared" si="40"/>
        <v>0</v>
      </c>
      <c r="H228" s="476"/>
      <c r="I228" s="469">
        <f t="shared" si="41"/>
        <v>0</v>
      </c>
      <c r="J228" s="469">
        <f t="shared" si="42"/>
        <v>0</v>
      </c>
      <c r="K228" s="469">
        <f t="shared" si="43"/>
        <v>0</v>
      </c>
      <c r="L228" s="470">
        <f t="shared" si="35"/>
        <v>0</v>
      </c>
      <c r="M228" s="470">
        <f t="shared" si="36"/>
        <v>0</v>
      </c>
    </row>
    <row r="229" customHeight="1" spans="1:13">
      <c r="A229" s="473">
        <f t="shared" si="37"/>
        <v>208</v>
      </c>
      <c r="B229" s="478">
        <f t="shared" si="38"/>
        <v>50496</v>
      </c>
      <c r="C229" s="464">
        <f t="shared" si="33"/>
        <v>0</v>
      </c>
      <c r="D229" s="477"/>
      <c r="E229" s="465">
        <f t="shared" si="34"/>
        <v>0</v>
      </c>
      <c r="F229" s="466">
        <f t="shared" si="39"/>
        <v>0</v>
      </c>
      <c r="G229" s="466">
        <f t="shared" si="40"/>
        <v>0</v>
      </c>
      <c r="H229" s="476"/>
      <c r="I229" s="469">
        <f t="shared" si="41"/>
        <v>0</v>
      </c>
      <c r="J229" s="469">
        <f t="shared" si="42"/>
        <v>0</v>
      </c>
      <c r="K229" s="469">
        <f t="shared" si="43"/>
        <v>0</v>
      </c>
      <c r="L229" s="470">
        <f t="shared" si="35"/>
        <v>0</v>
      </c>
      <c r="M229" s="470">
        <f t="shared" si="36"/>
        <v>0</v>
      </c>
    </row>
    <row r="230" customHeight="1" spans="1:13">
      <c r="A230" s="473">
        <f t="shared" si="37"/>
        <v>209</v>
      </c>
      <c r="B230" s="478">
        <f t="shared" si="38"/>
        <v>50526</v>
      </c>
      <c r="C230" s="464">
        <f t="shared" si="33"/>
        <v>0</v>
      </c>
      <c r="D230" s="477"/>
      <c r="E230" s="465">
        <f t="shared" si="34"/>
        <v>0</v>
      </c>
      <c r="F230" s="466">
        <f t="shared" si="39"/>
        <v>0</v>
      </c>
      <c r="G230" s="466">
        <f t="shared" si="40"/>
        <v>0</v>
      </c>
      <c r="H230" s="476"/>
      <c r="I230" s="469">
        <f t="shared" si="41"/>
        <v>0</v>
      </c>
      <c r="J230" s="469">
        <f t="shared" si="42"/>
        <v>0</v>
      </c>
      <c r="K230" s="469">
        <f t="shared" si="43"/>
        <v>0</v>
      </c>
      <c r="L230" s="470">
        <f t="shared" si="35"/>
        <v>0</v>
      </c>
      <c r="M230" s="470">
        <f t="shared" si="36"/>
        <v>0</v>
      </c>
    </row>
    <row r="231" customHeight="1" spans="1:13">
      <c r="A231" s="473">
        <f t="shared" si="37"/>
        <v>210</v>
      </c>
      <c r="B231" s="478">
        <f t="shared" si="38"/>
        <v>50557</v>
      </c>
      <c r="C231" s="464">
        <f t="shared" si="33"/>
        <v>0</v>
      </c>
      <c r="D231" s="477"/>
      <c r="E231" s="465">
        <f t="shared" si="34"/>
        <v>0</v>
      </c>
      <c r="F231" s="466">
        <f t="shared" si="39"/>
        <v>0</v>
      </c>
      <c r="G231" s="466">
        <f t="shared" si="40"/>
        <v>0</v>
      </c>
      <c r="H231" s="476"/>
      <c r="I231" s="469">
        <f t="shared" si="41"/>
        <v>0</v>
      </c>
      <c r="J231" s="469">
        <f t="shared" si="42"/>
        <v>0</v>
      </c>
      <c r="K231" s="469">
        <f t="shared" si="43"/>
        <v>0</v>
      </c>
      <c r="L231" s="470">
        <f t="shared" si="35"/>
        <v>0</v>
      </c>
      <c r="M231" s="470">
        <f t="shared" si="36"/>
        <v>0</v>
      </c>
    </row>
    <row r="232" customHeight="1" spans="1:13">
      <c r="A232" s="473">
        <f t="shared" si="37"/>
        <v>211</v>
      </c>
      <c r="B232" s="478">
        <f t="shared" si="38"/>
        <v>50587</v>
      </c>
      <c r="C232" s="464">
        <f t="shared" si="33"/>
        <v>0</v>
      </c>
      <c r="D232" s="477"/>
      <c r="E232" s="465">
        <f t="shared" si="34"/>
        <v>0</v>
      </c>
      <c r="F232" s="466">
        <f t="shared" si="39"/>
        <v>0</v>
      </c>
      <c r="G232" s="466">
        <f t="shared" si="40"/>
        <v>0</v>
      </c>
      <c r="H232" s="476"/>
      <c r="I232" s="469">
        <f t="shared" si="41"/>
        <v>0</v>
      </c>
      <c r="J232" s="469">
        <f t="shared" si="42"/>
        <v>0</v>
      </c>
      <c r="K232" s="469">
        <f t="shared" si="43"/>
        <v>0</v>
      </c>
      <c r="L232" s="470">
        <f t="shared" si="35"/>
        <v>0</v>
      </c>
      <c r="M232" s="470">
        <f t="shared" si="36"/>
        <v>0</v>
      </c>
    </row>
    <row r="233" customHeight="1" spans="1:13">
      <c r="A233" s="473">
        <f t="shared" si="37"/>
        <v>212</v>
      </c>
      <c r="B233" s="478">
        <f t="shared" si="38"/>
        <v>50618</v>
      </c>
      <c r="C233" s="464">
        <f t="shared" si="33"/>
        <v>0</v>
      </c>
      <c r="D233" s="477"/>
      <c r="E233" s="465">
        <f t="shared" si="34"/>
        <v>0</v>
      </c>
      <c r="F233" s="466">
        <f t="shared" si="39"/>
        <v>0</v>
      </c>
      <c r="G233" s="466">
        <f t="shared" si="40"/>
        <v>0</v>
      </c>
      <c r="H233" s="476"/>
      <c r="I233" s="469">
        <f t="shared" si="41"/>
        <v>0</v>
      </c>
      <c r="J233" s="469">
        <f t="shared" si="42"/>
        <v>0</v>
      </c>
      <c r="K233" s="469">
        <f t="shared" si="43"/>
        <v>0</v>
      </c>
      <c r="L233" s="470">
        <f t="shared" si="35"/>
        <v>0</v>
      </c>
      <c r="M233" s="470">
        <f t="shared" si="36"/>
        <v>0</v>
      </c>
    </row>
    <row r="234" customHeight="1" spans="1:13">
      <c r="A234" s="473">
        <f t="shared" si="37"/>
        <v>213</v>
      </c>
      <c r="B234" s="478">
        <f t="shared" si="38"/>
        <v>50649</v>
      </c>
      <c r="C234" s="464">
        <f t="shared" si="33"/>
        <v>0</v>
      </c>
      <c r="D234" s="477"/>
      <c r="E234" s="465">
        <f t="shared" si="34"/>
        <v>0</v>
      </c>
      <c r="F234" s="466">
        <f t="shared" si="39"/>
        <v>0</v>
      </c>
      <c r="G234" s="466">
        <f t="shared" si="40"/>
        <v>0</v>
      </c>
      <c r="H234" s="476"/>
      <c r="I234" s="469">
        <f t="shared" si="41"/>
        <v>0</v>
      </c>
      <c r="J234" s="469">
        <f t="shared" si="42"/>
        <v>0</v>
      </c>
      <c r="K234" s="469">
        <f t="shared" si="43"/>
        <v>0</v>
      </c>
      <c r="L234" s="470">
        <f t="shared" si="35"/>
        <v>0</v>
      </c>
      <c r="M234" s="470">
        <f t="shared" si="36"/>
        <v>0</v>
      </c>
    </row>
    <row r="235" customHeight="1" spans="1:13">
      <c r="A235" s="473">
        <f t="shared" si="37"/>
        <v>214</v>
      </c>
      <c r="B235" s="478">
        <f t="shared" si="38"/>
        <v>50679</v>
      </c>
      <c r="C235" s="464">
        <f t="shared" si="33"/>
        <v>0</v>
      </c>
      <c r="D235" s="477"/>
      <c r="E235" s="465">
        <f t="shared" si="34"/>
        <v>0</v>
      </c>
      <c r="F235" s="466">
        <f t="shared" si="39"/>
        <v>0</v>
      </c>
      <c r="G235" s="466">
        <f t="shared" si="40"/>
        <v>0</v>
      </c>
      <c r="H235" s="476"/>
      <c r="I235" s="469">
        <f t="shared" si="41"/>
        <v>0</v>
      </c>
      <c r="J235" s="469">
        <f t="shared" si="42"/>
        <v>0</v>
      </c>
      <c r="K235" s="469">
        <f t="shared" si="43"/>
        <v>0</v>
      </c>
      <c r="L235" s="470">
        <f t="shared" si="35"/>
        <v>0</v>
      </c>
      <c r="M235" s="470">
        <f t="shared" si="36"/>
        <v>0</v>
      </c>
    </row>
    <row r="236" customHeight="1" spans="1:13">
      <c r="A236" s="473">
        <f t="shared" si="37"/>
        <v>215</v>
      </c>
      <c r="B236" s="478">
        <f t="shared" si="38"/>
        <v>50710</v>
      </c>
      <c r="C236" s="464">
        <f t="shared" si="33"/>
        <v>0</v>
      </c>
      <c r="D236" s="477"/>
      <c r="E236" s="465">
        <f t="shared" si="34"/>
        <v>0</v>
      </c>
      <c r="F236" s="466">
        <f t="shared" si="39"/>
        <v>0</v>
      </c>
      <c r="G236" s="466">
        <f t="shared" si="40"/>
        <v>0</v>
      </c>
      <c r="H236" s="476"/>
      <c r="I236" s="469">
        <f t="shared" si="41"/>
        <v>0</v>
      </c>
      <c r="J236" s="469">
        <f t="shared" si="42"/>
        <v>0</v>
      </c>
      <c r="K236" s="469">
        <f t="shared" si="43"/>
        <v>0</v>
      </c>
      <c r="L236" s="470">
        <f t="shared" si="35"/>
        <v>0</v>
      </c>
      <c r="M236" s="470">
        <f t="shared" si="36"/>
        <v>0</v>
      </c>
    </row>
    <row r="237" customHeight="1" spans="1:13">
      <c r="A237" s="473">
        <f t="shared" si="37"/>
        <v>216</v>
      </c>
      <c r="B237" s="478">
        <f t="shared" si="38"/>
        <v>50740</v>
      </c>
      <c r="C237" s="464">
        <f t="shared" si="33"/>
        <v>0</v>
      </c>
      <c r="D237" s="477"/>
      <c r="E237" s="465">
        <f t="shared" si="34"/>
        <v>0</v>
      </c>
      <c r="F237" s="466">
        <f t="shared" si="39"/>
        <v>0</v>
      </c>
      <c r="G237" s="466">
        <f t="shared" si="40"/>
        <v>0</v>
      </c>
      <c r="H237" s="476"/>
      <c r="I237" s="469">
        <f t="shared" si="41"/>
        <v>0</v>
      </c>
      <c r="J237" s="469">
        <f t="shared" si="42"/>
        <v>0</v>
      </c>
      <c r="K237" s="469">
        <f t="shared" si="43"/>
        <v>0</v>
      </c>
      <c r="L237" s="470">
        <f t="shared" si="35"/>
        <v>0</v>
      </c>
      <c r="M237" s="470">
        <f t="shared" si="36"/>
        <v>0</v>
      </c>
    </row>
    <row r="238" customHeight="1" spans="1:13">
      <c r="A238" s="473">
        <f t="shared" si="37"/>
        <v>217</v>
      </c>
      <c r="B238" s="478">
        <f t="shared" si="38"/>
        <v>50771</v>
      </c>
      <c r="C238" s="464">
        <f t="shared" si="33"/>
        <v>0</v>
      </c>
      <c r="D238" s="477"/>
      <c r="E238" s="465">
        <f t="shared" si="34"/>
        <v>0</v>
      </c>
      <c r="F238" s="466">
        <f t="shared" si="39"/>
        <v>0</v>
      </c>
      <c r="G238" s="466">
        <f t="shared" si="40"/>
        <v>0</v>
      </c>
      <c r="H238" s="476"/>
      <c r="I238" s="469">
        <f t="shared" si="41"/>
        <v>0</v>
      </c>
      <c r="J238" s="469">
        <f t="shared" si="42"/>
        <v>0</v>
      </c>
      <c r="K238" s="469">
        <f t="shared" si="43"/>
        <v>0</v>
      </c>
      <c r="L238" s="470">
        <f t="shared" si="35"/>
        <v>0</v>
      </c>
      <c r="M238" s="470">
        <f t="shared" si="36"/>
        <v>0</v>
      </c>
    </row>
    <row r="239" customHeight="1" spans="1:13">
      <c r="A239" s="473">
        <f t="shared" si="37"/>
        <v>218</v>
      </c>
      <c r="B239" s="478">
        <f t="shared" si="38"/>
        <v>50802</v>
      </c>
      <c r="C239" s="464">
        <f t="shared" si="33"/>
        <v>0</v>
      </c>
      <c r="D239" s="477"/>
      <c r="E239" s="465">
        <f t="shared" si="34"/>
        <v>0</v>
      </c>
      <c r="F239" s="466">
        <f t="shared" si="39"/>
        <v>0</v>
      </c>
      <c r="G239" s="466">
        <f t="shared" si="40"/>
        <v>0</v>
      </c>
      <c r="H239" s="476"/>
      <c r="I239" s="469">
        <f t="shared" si="41"/>
        <v>0</v>
      </c>
      <c r="J239" s="469">
        <f t="shared" si="42"/>
        <v>0</v>
      </c>
      <c r="K239" s="469">
        <f t="shared" si="43"/>
        <v>0</v>
      </c>
      <c r="L239" s="470">
        <f t="shared" si="35"/>
        <v>0</v>
      </c>
      <c r="M239" s="470">
        <f t="shared" si="36"/>
        <v>0</v>
      </c>
    </row>
    <row r="240" customHeight="1" spans="1:13">
      <c r="A240" s="473">
        <f t="shared" si="37"/>
        <v>219</v>
      </c>
      <c r="B240" s="478">
        <f t="shared" si="38"/>
        <v>50830</v>
      </c>
      <c r="C240" s="464">
        <f t="shared" si="33"/>
        <v>0</v>
      </c>
      <c r="D240" s="477"/>
      <c r="E240" s="465">
        <f t="shared" si="34"/>
        <v>0</v>
      </c>
      <c r="F240" s="466">
        <f t="shared" si="39"/>
        <v>0</v>
      </c>
      <c r="G240" s="466">
        <f t="shared" si="40"/>
        <v>0</v>
      </c>
      <c r="H240" s="476"/>
      <c r="I240" s="469">
        <f t="shared" si="41"/>
        <v>0</v>
      </c>
      <c r="J240" s="469">
        <f t="shared" si="42"/>
        <v>0</v>
      </c>
      <c r="K240" s="469">
        <f t="shared" si="43"/>
        <v>0</v>
      </c>
      <c r="L240" s="470">
        <f t="shared" si="35"/>
        <v>0</v>
      </c>
      <c r="M240" s="470">
        <f t="shared" si="36"/>
        <v>0</v>
      </c>
    </row>
    <row r="241" customHeight="1" spans="1:13">
      <c r="A241" s="473">
        <f t="shared" si="37"/>
        <v>220</v>
      </c>
      <c r="B241" s="478">
        <f t="shared" si="38"/>
        <v>50861</v>
      </c>
      <c r="C241" s="464">
        <f t="shared" si="33"/>
        <v>0</v>
      </c>
      <c r="D241" s="477"/>
      <c r="E241" s="465">
        <f t="shared" si="34"/>
        <v>0</v>
      </c>
      <c r="F241" s="466">
        <f t="shared" si="39"/>
        <v>0</v>
      </c>
      <c r="G241" s="466">
        <f t="shared" si="40"/>
        <v>0</v>
      </c>
      <c r="H241" s="476"/>
      <c r="I241" s="469">
        <f t="shared" si="41"/>
        <v>0</v>
      </c>
      <c r="J241" s="469">
        <f t="shared" si="42"/>
        <v>0</v>
      </c>
      <c r="K241" s="469">
        <f t="shared" si="43"/>
        <v>0</v>
      </c>
      <c r="L241" s="470">
        <f t="shared" si="35"/>
        <v>0</v>
      </c>
      <c r="M241" s="470">
        <f t="shared" si="36"/>
        <v>0</v>
      </c>
    </row>
    <row r="242" customHeight="1" spans="1:13">
      <c r="A242" s="473">
        <f t="shared" si="37"/>
        <v>221</v>
      </c>
      <c r="B242" s="478">
        <f t="shared" si="38"/>
        <v>50891</v>
      </c>
      <c r="C242" s="464">
        <f t="shared" si="33"/>
        <v>0</v>
      </c>
      <c r="D242" s="477"/>
      <c r="E242" s="465">
        <f t="shared" si="34"/>
        <v>0</v>
      </c>
      <c r="F242" s="466">
        <f t="shared" si="39"/>
        <v>0</v>
      </c>
      <c r="G242" s="466">
        <f t="shared" si="40"/>
        <v>0</v>
      </c>
      <c r="H242" s="476"/>
      <c r="I242" s="469">
        <f t="shared" si="41"/>
        <v>0</v>
      </c>
      <c r="J242" s="469">
        <f t="shared" si="42"/>
        <v>0</v>
      </c>
      <c r="K242" s="469">
        <f t="shared" si="43"/>
        <v>0</v>
      </c>
      <c r="L242" s="470">
        <f t="shared" si="35"/>
        <v>0</v>
      </c>
      <c r="M242" s="470">
        <f t="shared" si="36"/>
        <v>0</v>
      </c>
    </row>
    <row r="243" customHeight="1" spans="1:13">
      <c r="A243" s="473">
        <f t="shared" si="37"/>
        <v>222</v>
      </c>
      <c r="B243" s="478">
        <f t="shared" si="38"/>
        <v>50922</v>
      </c>
      <c r="C243" s="464">
        <f t="shared" si="33"/>
        <v>0</v>
      </c>
      <c r="D243" s="477"/>
      <c r="E243" s="465">
        <f t="shared" si="34"/>
        <v>0</v>
      </c>
      <c r="F243" s="466">
        <f t="shared" si="39"/>
        <v>0</v>
      </c>
      <c r="G243" s="466">
        <f t="shared" si="40"/>
        <v>0</v>
      </c>
      <c r="H243" s="476"/>
      <c r="I243" s="469">
        <f t="shared" si="41"/>
        <v>0</v>
      </c>
      <c r="J243" s="469">
        <f t="shared" si="42"/>
        <v>0</v>
      </c>
      <c r="K243" s="469">
        <f t="shared" si="43"/>
        <v>0</v>
      </c>
      <c r="L243" s="470">
        <f t="shared" si="35"/>
        <v>0</v>
      </c>
      <c r="M243" s="470">
        <f t="shared" si="36"/>
        <v>0</v>
      </c>
    </row>
    <row r="244" customHeight="1" spans="1:13">
      <c r="A244" s="473">
        <f t="shared" si="37"/>
        <v>223</v>
      </c>
      <c r="B244" s="478">
        <f t="shared" si="38"/>
        <v>50952</v>
      </c>
      <c r="C244" s="464">
        <f t="shared" si="33"/>
        <v>0</v>
      </c>
      <c r="D244" s="477"/>
      <c r="E244" s="465">
        <f t="shared" si="34"/>
        <v>0</v>
      </c>
      <c r="F244" s="466">
        <f t="shared" si="39"/>
        <v>0</v>
      </c>
      <c r="G244" s="466">
        <f t="shared" si="40"/>
        <v>0</v>
      </c>
      <c r="H244" s="476"/>
      <c r="I244" s="469">
        <f t="shared" si="41"/>
        <v>0</v>
      </c>
      <c r="J244" s="469">
        <f t="shared" si="42"/>
        <v>0</v>
      </c>
      <c r="K244" s="469">
        <f t="shared" si="43"/>
        <v>0</v>
      </c>
      <c r="L244" s="470">
        <f t="shared" si="35"/>
        <v>0</v>
      </c>
      <c r="M244" s="470">
        <f t="shared" si="36"/>
        <v>0</v>
      </c>
    </row>
    <row r="245" customHeight="1" spans="1:13">
      <c r="A245" s="473">
        <f t="shared" si="37"/>
        <v>224</v>
      </c>
      <c r="B245" s="478">
        <f t="shared" si="38"/>
        <v>50983</v>
      </c>
      <c r="C245" s="464">
        <f t="shared" si="33"/>
        <v>0</v>
      </c>
      <c r="D245" s="477"/>
      <c r="E245" s="465">
        <f t="shared" si="34"/>
        <v>0</v>
      </c>
      <c r="F245" s="466">
        <f t="shared" si="39"/>
        <v>0</v>
      </c>
      <c r="G245" s="466">
        <f t="shared" si="40"/>
        <v>0</v>
      </c>
      <c r="H245" s="476"/>
      <c r="I245" s="469">
        <f t="shared" si="41"/>
        <v>0</v>
      </c>
      <c r="J245" s="469">
        <f t="shared" si="42"/>
        <v>0</v>
      </c>
      <c r="K245" s="469">
        <f t="shared" si="43"/>
        <v>0</v>
      </c>
      <c r="L245" s="470">
        <f t="shared" si="35"/>
        <v>0</v>
      </c>
      <c r="M245" s="470">
        <f t="shared" si="36"/>
        <v>0</v>
      </c>
    </row>
    <row r="246" customHeight="1" spans="1:13">
      <c r="A246" s="473">
        <f t="shared" si="37"/>
        <v>225</v>
      </c>
      <c r="B246" s="478">
        <f t="shared" si="38"/>
        <v>51014</v>
      </c>
      <c r="C246" s="464">
        <f t="shared" si="33"/>
        <v>0</v>
      </c>
      <c r="D246" s="477"/>
      <c r="E246" s="465">
        <f t="shared" si="34"/>
        <v>0</v>
      </c>
      <c r="F246" s="466">
        <f t="shared" si="39"/>
        <v>0</v>
      </c>
      <c r="G246" s="466">
        <f t="shared" si="40"/>
        <v>0</v>
      </c>
      <c r="H246" s="476"/>
      <c r="I246" s="469">
        <f t="shared" si="41"/>
        <v>0</v>
      </c>
      <c r="J246" s="469">
        <f t="shared" si="42"/>
        <v>0</v>
      </c>
      <c r="K246" s="469">
        <f t="shared" si="43"/>
        <v>0</v>
      </c>
      <c r="L246" s="470">
        <f t="shared" si="35"/>
        <v>0</v>
      </c>
      <c r="M246" s="470">
        <f t="shared" si="36"/>
        <v>0</v>
      </c>
    </row>
    <row r="247" customHeight="1" spans="1:13">
      <c r="A247" s="473">
        <f t="shared" si="37"/>
        <v>226</v>
      </c>
      <c r="B247" s="478">
        <f t="shared" si="38"/>
        <v>51044</v>
      </c>
      <c r="C247" s="464">
        <f t="shared" si="33"/>
        <v>0</v>
      </c>
      <c r="D247" s="477"/>
      <c r="E247" s="465">
        <f t="shared" si="34"/>
        <v>0</v>
      </c>
      <c r="F247" s="466">
        <f t="shared" si="39"/>
        <v>0</v>
      </c>
      <c r="G247" s="466">
        <f t="shared" si="40"/>
        <v>0</v>
      </c>
      <c r="H247" s="476"/>
      <c r="I247" s="469">
        <f t="shared" si="41"/>
        <v>0</v>
      </c>
      <c r="J247" s="469">
        <f t="shared" si="42"/>
        <v>0</v>
      </c>
      <c r="K247" s="469">
        <f t="shared" si="43"/>
        <v>0</v>
      </c>
      <c r="L247" s="470">
        <f t="shared" si="35"/>
        <v>0</v>
      </c>
      <c r="M247" s="470">
        <f t="shared" si="36"/>
        <v>0</v>
      </c>
    </row>
    <row r="248" customHeight="1" spans="1:13">
      <c r="A248" s="473">
        <f t="shared" si="37"/>
        <v>227</v>
      </c>
      <c r="B248" s="478">
        <f t="shared" si="38"/>
        <v>51075</v>
      </c>
      <c r="C248" s="464">
        <f t="shared" si="33"/>
        <v>0</v>
      </c>
      <c r="D248" s="477"/>
      <c r="E248" s="465">
        <f t="shared" si="34"/>
        <v>0</v>
      </c>
      <c r="F248" s="466">
        <f t="shared" si="39"/>
        <v>0</v>
      </c>
      <c r="G248" s="466">
        <f t="shared" si="40"/>
        <v>0</v>
      </c>
      <c r="H248" s="476"/>
      <c r="I248" s="469">
        <f t="shared" si="41"/>
        <v>0</v>
      </c>
      <c r="J248" s="469">
        <f t="shared" si="42"/>
        <v>0</v>
      </c>
      <c r="K248" s="469">
        <f t="shared" si="43"/>
        <v>0</v>
      </c>
      <c r="L248" s="470">
        <f t="shared" si="35"/>
        <v>0</v>
      </c>
      <c r="M248" s="470">
        <f t="shared" si="36"/>
        <v>0</v>
      </c>
    </row>
    <row r="249" customHeight="1" spans="1:13">
      <c r="A249" s="473">
        <f t="shared" si="37"/>
        <v>228</v>
      </c>
      <c r="B249" s="478">
        <f t="shared" si="38"/>
        <v>51105</v>
      </c>
      <c r="C249" s="464">
        <f t="shared" si="33"/>
        <v>0</v>
      </c>
      <c r="D249" s="477"/>
      <c r="E249" s="465">
        <f t="shared" si="34"/>
        <v>0</v>
      </c>
      <c r="F249" s="466">
        <f t="shared" si="39"/>
        <v>0</v>
      </c>
      <c r="G249" s="466">
        <f t="shared" si="40"/>
        <v>0</v>
      </c>
      <c r="H249" s="476"/>
      <c r="I249" s="469">
        <f t="shared" si="41"/>
        <v>0</v>
      </c>
      <c r="J249" s="469">
        <f t="shared" si="42"/>
        <v>0</v>
      </c>
      <c r="K249" s="469">
        <f t="shared" si="43"/>
        <v>0</v>
      </c>
      <c r="L249" s="470">
        <f t="shared" si="35"/>
        <v>0</v>
      </c>
      <c r="M249" s="470">
        <f t="shared" si="36"/>
        <v>0</v>
      </c>
    </row>
    <row r="250" customHeight="1" spans="1:13">
      <c r="A250" s="473">
        <f t="shared" si="37"/>
        <v>229</v>
      </c>
      <c r="B250" s="478">
        <f t="shared" si="38"/>
        <v>51136</v>
      </c>
      <c r="C250" s="464">
        <f t="shared" si="33"/>
        <v>0</v>
      </c>
      <c r="D250" s="477"/>
      <c r="E250" s="465">
        <f t="shared" si="34"/>
        <v>0</v>
      </c>
      <c r="F250" s="466">
        <f t="shared" si="39"/>
        <v>0</v>
      </c>
      <c r="G250" s="466">
        <f t="shared" si="40"/>
        <v>0</v>
      </c>
      <c r="H250" s="476"/>
      <c r="I250" s="469">
        <f t="shared" si="41"/>
        <v>0</v>
      </c>
      <c r="J250" s="469">
        <f t="shared" si="42"/>
        <v>0</v>
      </c>
      <c r="K250" s="469">
        <f t="shared" si="43"/>
        <v>0</v>
      </c>
      <c r="L250" s="470">
        <f t="shared" si="35"/>
        <v>0</v>
      </c>
      <c r="M250" s="470">
        <f t="shared" si="36"/>
        <v>0</v>
      </c>
    </row>
    <row r="251" customHeight="1" spans="1:13">
      <c r="A251" s="473">
        <f t="shared" si="37"/>
        <v>230</v>
      </c>
      <c r="B251" s="478">
        <f t="shared" si="38"/>
        <v>51167</v>
      </c>
      <c r="C251" s="464">
        <f t="shared" si="33"/>
        <v>0</v>
      </c>
      <c r="D251" s="477"/>
      <c r="E251" s="465">
        <f t="shared" si="34"/>
        <v>0</v>
      </c>
      <c r="F251" s="466">
        <f t="shared" si="39"/>
        <v>0</v>
      </c>
      <c r="G251" s="466">
        <f t="shared" si="40"/>
        <v>0</v>
      </c>
      <c r="H251" s="476"/>
      <c r="I251" s="469">
        <f t="shared" si="41"/>
        <v>0</v>
      </c>
      <c r="J251" s="469">
        <f t="shared" si="42"/>
        <v>0</v>
      </c>
      <c r="K251" s="469">
        <f t="shared" si="43"/>
        <v>0</v>
      </c>
      <c r="L251" s="470">
        <f t="shared" si="35"/>
        <v>0</v>
      </c>
      <c r="M251" s="470">
        <f t="shared" si="36"/>
        <v>0</v>
      </c>
    </row>
    <row r="252" customHeight="1" spans="1:13">
      <c r="A252" s="473">
        <f t="shared" si="37"/>
        <v>231</v>
      </c>
      <c r="B252" s="478">
        <f t="shared" si="38"/>
        <v>51196</v>
      </c>
      <c r="C252" s="464">
        <f t="shared" si="33"/>
        <v>0</v>
      </c>
      <c r="D252" s="477"/>
      <c r="E252" s="465">
        <f t="shared" si="34"/>
        <v>0</v>
      </c>
      <c r="F252" s="466">
        <f t="shared" si="39"/>
        <v>0</v>
      </c>
      <c r="G252" s="466">
        <f t="shared" si="40"/>
        <v>0</v>
      </c>
      <c r="H252" s="476"/>
      <c r="I252" s="469">
        <f t="shared" si="41"/>
        <v>0</v>
      </c>
      <c r="J252" s="469">
        <f t="shared" si="42"/>
        <v>0</v>
      </c>
      <c r="K252" s="469">
        <f t="shared" si="43"/>
        <v>0</v>
      </c>
      <c r="L252" s="470">
        <f t="shared" si="35"/>
        <v>0</v>
      </c>
      <c r="M252" s="470">
        <f t="shared" si="36"/>
        <v>0</v>
      </c>
    </row>
    <row r="253" customHeight="1" spans="1:13">
      <c r="A253" s="473">
        <f t="shared" si="37"/>
        <v>232</v>
      </c>
      <c r="B253" s="478">
        <f t="shared" si="38"/>
        <v>51227</v>
      </c>
      <c r="C253" s="464">
        <f t="shared" si="33"/>
        <v>0</v>
      </c>
      <c r="D253" s="477"/>
      <c r="E253" s="465">
        <f t="shared" si="34"/>
        <v>0</v>
      </c>
      <c r="F253" s="466">
        <f t="shared" si="39"/>
        <v>0</v>
      </c>
      <c r="G253" s="466">
        <f t="shared" si="40"/>
        <v>0</v>
      </c>
      <c r="H253" s="476"/>
      <c r="I253" s="469">
        <f t="shared" si="41"/>
        <v>0</v>
      </c>
      <c r="J253" s="469">
        <f t="shared" si="42"/>
        <v>0</v>
      </c>
      <c r="K253" s="469">
        <f t="shared" si="43"/>
        <v>0</v>
      </c>
      <c r="L253" s="470">
        <f t="shared" si="35"/>
        <v>0</v>
      </c>
      <c r="M253" s="470">
        <f t="shared" si="36"/>
        <v>0</v>
      </c>
    </row>
    <row r="254" customHeight="1" spans="1:13">
      <c r="A254" s="473">
        <f t="shared" si="37"/>
        <v>233</v>
      </c>
      <c r="B254" s="478">
        <f t="shared" si="38"/>
        <v>51257</v>
      </c>
      <c r="C254" s="464">
        <f t="shared" si="33"/>
        <v>0</v>
      </c>
      <c r="D254" s="477"/>
      <c r="E254" s="465">
        <f t="shared" si="34"/>
        <v>0</v>
      </c>
      <c r="F254" s="466">
        <f t="shared" si="39"/>
        <v>0</v>
      </c>
      <c r="G254" s="466">
        <f t="shared" si="40"/>
        <v>0</v>
      </c>
      <c r="H254" s="476"/>
      <c r="I254" s="469">
        <f t="shared" si="41"/>
        <v>0</v>
      </c>
      <c r="J254" s="469">
        <f t="shared" si="42"/>
        <v>0</v>
      </c>
      <c r="K254" s="469">
        <f t="shared" si="43"/>
        <v>0</v>
      </c>
      <c r="L254" s="470">
        <f t="shared" si="35"/>
        <v>0</v>
      </c>
      <c r="M254" s="470">
        <f t="shared" si="36"/>
        <v>0</v>
      </c>
    </row>
    <row r="255" customHeight="1" spans="1:13">
      <c r="A255" s="473">
        <f t="shared" si="37"/>
        <v>234</v>
      </c>
      <c r="B255" s="478">
        <f t="shared" si="38"/>
        <v>51288</v>
      </c>
      <c r="C255" s="464">
        <f t="shared" si="33"/>
        <v>0</v>
      </c>
      <c r="D255" s="477"/>
      <c r="E255" s="465">
        <f t="shared" si="34"/>
        <v>0</v>
      </c>
      <c r="F255" s="466">
        <f t="shared" si="39"/>
        <v>0</v>
      </c>
      <c r="G255" s="466">
        <f t="shared" si="40"/>
        <v>0</v>
      </c>
      <c r="H255" s="476"/>
      <c r="I255" s="469">
        <f t="shared" si="41"/>
        <v>0</v>
      </c>
      <c r="J255" s="469">
        <f t="shared" si="42"/>
        <v>0</v>
      </c>
      <c r="K255" s="469">
        <f t="shared" si="43"/>
        <v>0</v>
      </c>
      <c r="L255" s="470">
        <f t="shared" si="35"/>
        <v>0</v>
      </c>
      <c r="M255" s="470">
        <f t="shared" si="36"/>
        <v>0</v>
      </c>
    </row>
    <row r="256" customHeight="1" spans="1:13">
      <c r="A256" s="473">
        <f t="shared" si="37"/>
        <v>235</v>
      </c>
      <c r="B256" s="478">
        <f t="shared" si="38"/>
        <v>51318</v>
      </c>
      <c r="C256" s="464">
        <f t="shared" si="33"/>
        <v>0</v>
      </c>
      <c r="D256" s="477"/>
      <c r="E256" s="465">
        <f t="shared" si="34"/>
        <v>0</v>
      </c>
      <c r="F256" s="466">
        <f t="shared" si="39"/>
        <v>0</v>
      </c>
      <c r="G256" s="466">
        <f t="shared" si="40"/>
        <v>0</v>
      </c>
      <c r="H256" s="476"/>
      <c r="I256" s="469">
        <f t="shared" si="41"/>
        <v>0</v>
      </c>
      <c r="J256" s="469">
        <f t="shared" si="42"/>
        <v>0</v>
      </c>
      <c r="K256" s="469">
        <f t="shared" si="43"/>
        <v>0</v>
      </c>
      <c r="L256" s="470">
        <f t="shared" si="35"/>
        <v>0</v>
      </c>
      <c r="M256" s="470">
        <f t="shared" si="36"/>
        <v>0</v>
      </c>
    </row>
    <row r="257" customHeight="1" spans="1:13">
      <c r="A257" s="473">
        <f t="shared" si="37"/>
        <v>236</v>
      </c>
      <c r="B257" s="478">
        <f t="shared" si="38"/>
        <v>51349</v>
      </c>
      <c r="C257" s="464">
        <f t="shared" si="33"/>
        <v>0</v>
      </c>
      <c r="D257" s="477"/>
      <c r="E257" s="465">
        <f t="shared" si="34"/>
        <v>0</v>
      </c>
      <c r="F257" s="466">
        <f t="shared" si="39"/>
        <v>0</v>
      </c>
      <c r="G257" s="466">
        <f t="shared" si="40"/>
        <v>0</v>
      </c>
      <c r="H257" s="476"/>
      <c r="I257" s="469">
        <f t="shared" si="41"/>
        <v>0</v>
      </c>
      <c r="J257" s="469">
        <f t="shared" si="42"/>
        <v>0</v>
      </c>
      <c r="K257" s="469">
        <f t="shared" si="43"/>
        <v>0</v>
      </c>
      <c r="L257" s="470">
        <f t="shared" si="35"/>
        <v>0</v>
      </c>
      <c r="M257" s="470">
        <f t="shared" si="36"/>
        <v>0</v>
      </c>
    </row>
    <row r="258" customHeight="1" spans="1:13">
      <c r="A258" s="473">
        <f t="shared" si="37"/>
        <v>237</v>
      </c>
      <c r="B258" s="478">
        <f t="shared" si="38"/>
        <v>51380</v>
      </c>
      <c r="C258" s="464">
        <f t="shared" si="33"/>
        <v>0</v>
      </c>
      <c r="D258" s="477"/>
      <c r="E258" s="465">
        <f t="shared" si="34"/>
        <v>0</v>
      </c>
      <c r="F258" s="466">
        <f t="shared" si="39"/>
        <v>0</v>
      </c>
      <c r="G258" s="466">
        <f t="shared" si="40"/>
        <v>0</v>
      </c>
      <c r="H258" s="476"/>
      <c r="I258" s="469">
        <f t="shared" si="41"/>
        <v>0</v>
      </c>
      <c r="J258" s="469">
        <f t="shared" si="42"/>
        <v>0</v>
      </c>
      <c r="K258" s="469">
        <f t="shared" si="43"/>
        <v>0</v>
      </c>
      <c r="L258" s="470">
        <f t="shared" si="35"/>
        <v>0</v>
      </c>
      <c r="M258" s="470">
        <f t="shared" si="36"/>
        <v>0</v>
      </c>
    </row>
    <row r="259" customHeight="1" spans="1:13">
      <c r="A259" s="473">
        <f t="shared" si="37"/>
        <v>238</v>
      </c>
      <c r="B259" s="478">
        <f t="shared" si="38"/>
        <v>51410</v>
      </c>
      <c r="C259" s="464">
        <f t="shared" si="33"/>
        <v>0</v>
      </c>
      <c r="D259" s="477"/>
      <c r="E259" s="465">
        <f t="shared" si="34"/>
        <v>0</v>
      </c>
      <c r="F259" s="466">
        <f t="shared" si="39"/>
        <v>0</v>
      </c>
      <c r="G259" s="466">
        <f t="shared" si="40"/>
        <v>0</v>
      </c>
      <c r="H259" s="476"/>
      <c r="I259" s="469">
        <f t="shared" si="41"/>
        <v>0</v>
      </c>
      <c r="J259" s="469">
        <f t="shared" si="42"/>
        <v>0</v>
      </c>
      <c r="K259" s="469">
        <f t="shared" si="43"/>
        <v>0</v>
      </c>
      <c r="L259" s="470">
        <f t="shared" si="35"/>
        <v>0</v>
      </c>
      <c r="M259" s="470">
        <f t="shared" si="36"/>
        <v>0</v>
      </c>
    </row>
    <row r="260" customHeight="1" spans="1:13">
      <c r="A260" s="473">
        <f t="shared" si="37"/>
        <v>239</v>
      </c>
      <c r="B260" s="478">
        <f t="shared" si="38"/>
        <v>51441</v>
      </c>
      <c r="C260" s="464">
        <f t="shared" si="33"/>
        <v>0</v>
      </c>
      <c r="D260" s="477"/>
      <c r="E260" s="465">
        <f t="shared" si="34"/>
        <v>0</v>
      </c>
      <c r="F260" s="466">
        <f t="shared" si="39"/>
        <v>0</v>
      </c>
      <c r="G260" s="466">
        <f t="shared" si="40"/>
        <v>0</v>
      </c>
      <c r="H260" s="476"/>
      <c r="I260" s="469">
        <f t="shared" si="41"/>
        <v>0</v>
      </c>
      <c r="J260" s="469">
        <f t="shared" si="42"/>
        <v>0</v>
      </c>
      <c r="K260" s="469">
        <f t="shared" si="43"/>
        <v>0</v>
      </c>
      <c r="L260" s="470">
        <f t="shared" si="35"/>
        <v>0</v>
      </c>
      <c r="M260" s="470">
        <f t="shared" si="36"/>
        <v>0</v>
      </c>
    </row>
    <row r="261" customHeight="1" spans="1:13">
      <c r="A261" s="473">
        <f t="shared" si="37"/>
        <v>240</v>
      </c>
      <c r="B261" s="478">
        <f t="shared" si="38"/>
        <v>51471</v>
      </c>
      <c r="C261" s="464">
        <f t="shared" si="33"/>
        <v>0</v>
      </c>
      <c r="D261" s="477"/>
      <c r="E261" s="465">
        <f t="shared" si="34"/>
        <v>0</v>
      </c>
      <c r="F261" s="466">
        <f t="shared" si="39"/>
        <v>0</v>
      </c>
      <c r="G261" s="466">
        <f t="shared" si="40"/>
        <v>0</v>
      </c>
      <c r="H261" s="476"/>
      <c r="I261" s="469">
        <f t="shared" si="41"/>
        <v>0</v>
      </c>
      <c r="J261" s="469">
        <f t="shared" si="42"/>
        <v>0</v>
      </c>
      <c r="K261" s="469">
        <f t="shared" si="43"/>
        <v>0</v>
      </c>
      <c r="L261" s="470">
        <f t="shared" si="35"/>
        <v>0</v>
      </c>
      <c r="M261" s="470">
        <f t="shared" si="36"/>
        <v>0</v>
      </c>
    </row>
    <row r="262" customHeight="1" spans="1:13">
      <c r="A262" s="473">
        <f t="shared" si="37"/>
        <v>241</v>
      </c>
      <c r="B262" s="478">
        <f t="shared" si="38"/>
        <v>51502</v>
      </c>
      <c r="C262" s="464">
        <f t="shared" si="33"/>
        <v>0</v>
      </c>
      <c r="D262" s="477"/>
      <c r="E262" s="465">
        <f t="shared" si="34"/>
        <v>0</v>
      </c>
      <c r="F262" s="466">
        <f t="shared" si="39"/>
        <v>0</v>
      </c>
      <c r="G262" s="466">
        <f t="shared" si="40"/>
        <v>0</v>
      </c>
      <c r="H262" s="476"/>
      <c r="I262" s="469">
        <f t="shared" si="41"/>
        <v>0</v>
      </c>
      <c r="J262" s="469">
        <f t="shared" si="42"/>
        <v>0</v>
      </c>
      <c r="K262" s="469">
        <f t="shared" si="43"/>
        <v>0</v>
      </c>
      <c r="L262" s="470">
        <f t="shared" si="35"/>
        <v>0</v>
      </c>
      <c r="M262" s="470">
        <f t="shared" si="36"/>
        <v>0</v>
      </c>
    </row>
    <row r="263" customHeight="1" spans="1:13">
      <c r="A263" s="473">
        <f t="shared" si="37"/>
        <v>242</v>
      </c>
      <c r="B263" s="478">
        <f t="shared" si="38"/>
        <v>51533</v>
      </c>
      <c r="C263" s="464">
        <f t="shared" si="33"/>
        <v>0</v>
      </c>
      <c r="D263" s="477"/>
      <c r="E263" s="465">
        <f t="shared" si="34"/>
        <v>0</v>
      </c>
      <c r="F263" s="466">
        <f t="shared" si="39"/>
        <v>0</v>
      </c>
      <c r="G263" s="466">
        <f t="shared" si="40"/>
        <v>0</v>
      </c>
      <c r="H263" s="476"/>
      <c r="I263" s="469">
        <f t="shared" si="41"/>
        <v>0</v>
      </c>
      <c r="J263" s="469">
        <f t="shared" si="42"/>
        <v>0</v>
      </c>
      <c r="K263" s="469">
        <f t="shared" si="43"/>
        <v>0</v>
      </c>
      <c r="L263" s="470">
        <f t="shared" si="35"/>
        <v>0</v>
      </c>
      <c r="M263" s="470">
        <f t="shared" si="36"/>
        <v>0</v>
      </c>
    </row>
    <row r="264" customHeight="1" spans="1:13">
      <c r="A264" s="473">
        <f t="shared" si="37"/>
        <v>243</v>
      </c>
      <c r="B264" s="478">
        <f t="shared" si="38"/>
        <v>51561</v>
      </c>
      <c r="C264" s="464">
        <f t="shared" si="33"/>
        <v>0</v>
      </c>
      <c r="D264" s="477"/>
      <c r="E264" s="465">
        <f t="shared" si="34"/>
        <v>0</v>
      </c>
      <c r="F264" s="466">
        <f t="shared" si="39"/>
        <v>0</v>
      </c>
      <c r="G264" s="466">
        <f t="shared" si="40"/>
        <v>0</v>
      </c>
      <c r="H264" s="476"/>
      <c r="I264" s="469">
        <f t="shared" si="41"/>
        <v>0</v>
      </c>
      <c r="J264" s="469">
        <f t="shared" si="42"/>
        <v>0</v>
      </c>
      <c r="K264" s="469">
        <f t="shared" si="43"/>
        <v>0</v>
      </c>
      <c r="L264" s="470">
        <f t="shared" si="35"/>
        <v>0</v>
      </c>
      <c r="M264" s="470">
        <f t="shared" si="36"/>
        <v>0</v>
      </c>
    </row>
    <row r="265" customHeight="1" spans="1:13">
      <c r="A265" s="473">
        <f t="shared" si="37"/>
        <v>244</v>
      </c>
      <c r="B265" s="478">
        <f t="shared" si="38"/>
        <v>51592</v>
      </c>
      <c r="C265" s="464">
        <f t="shared" si="33"/>
        <v>0</v>
      </c>
      <c r="D265" s="477"/>
      <c r="E265" s="465">
        <f t="shared" si="34"/>
        <v>0</v>
      </c>
      <c r="F265" s="466">
        <f t="shared" si="39"/>
        <v>0</v>
      </c>
      <c r="G265" s="466">
        <f t="shared" si="40"/>
        <v>0</v>
      </c>
      <c r="H265" s="476"/>
      <c r="I265" s="469">
        <f t="shared" si="41"/>
        <v>0</v>
      </c>
      <c r="J265" s="469">
        <f t="shared" si="42"/>
        <v>0</v>
      </c>
      <c r="K265" s="469">
        <f t="shared" si="43"/>
        <v>0</v>
      </c>
      <c r="L265" s="470">
        <f t="shared" si="35"/>
        <v>0</v>
      </c>
      <c r="M265" s="470">
        <f t="shared" si="36"/>
        <v>0</v>
      </c>
    </row>
    <row r="266" customHeight="1" spans="1:13">
      <c r="A266" s="473">
        <f t="shared" si="37"/>
        <v>245</v>
      </c>
      <c r="B266" s="478">
        <f t="shared" si="38"/>
        <v>51622</v>
      </c>
      <c r="C266" s="464">
        <f t="shared" si="33"/>
        <v>0</v>
      </c>
      <c r="D266" s="477"/>
      <c r="E266" s="465">
        <f t="shared" si="34"/>
        <v>0</v>
      </c>
      <c r="F266" s="466">
        <f t="shared" si="39"/>
        <v>0</v>
      </c>
      <c r="G266" s="466">
        <f t="shared" si="40"/>
        <v>0</v>
      </c>
      <c r="H266" s="476"/>
      <c r="I266" s="469">
        <f t="shared" si="41"/>
        <v>0</v>
      </c>
      <c r="J266" s="469">
        <f t="shared" si="42"/>
        <v>0</v>
      </c>
      <c r="K266" s="469">
        <f t="shared" si="43"/>
        <v>0</v>
      </c>
      <c r="L266" s="470">
        <f t="shared" si="35"/>
        <v>0</v>
      </c>
      <c r="M266" s="470">
        <f t="shared" si="36"/>
        <v>0</v>
      </c>
    </row>
    <row r="267" customHeight="1" spans="1:13">
      <c r="A267" s="473">
        <f t="shared" si="37"/>
        <v>246</v>
      </c>
      <c r="B267" s="478">
        <f t="shared" si="38"/>
        <v>51653</v>
      </c>
      <c r="C267" s="464">
        <f t="shared" si="33"/>
        <v>0</v>
      </c>
      <c r="D267" s="477"/>
      <c r="E267" s="465">
        <f t="shared" si="34"/>
        <v>0</v>
      </c>
      <c r="F267" s="466">
        <f t="shared" si="39"/>
        <v>0</v>
      </c>
      <c r="G267" s="466">
        <f t="shared" si="40"/>
        <v>0</v>
      </c>
      <c r="H267" s="476"/>
      <c r="I267" s="469">
        <f t="shared" si="41"/>
        <v>0</v>
      </c>
      <c r="J267" s="469">
        <f t="shared" si="42"/>
        <v>0</v>
      </c>
      <c r="K267" s="469">
        <f t="shared" si="43"/>
        <v>0</v>
      </c>
      <c r="L267" s="470">
        <f t="shared" si="35"/>
        <v>0</v>
      </c>
      <c r="M267" s="470">
        <f t="shared" si="36"/>
        <v>0</v>
      </c>
    </row>
    <row r="268" customHeight="1" spans="1:13">
      <c r="A268" s="473">
        <f t="shared" si="37"/>
        <v>247</v>
      </c>
      <c r="B268" s="478">
        <f t="shared" si="38"/>
        <v>51683</v>
      </c>
      <c r="C268" s="464">
        <f t="shared" si="33"/>
        <v>0</v>
      </c>
      <c r="D268" s="477"/>
      <c r="E268" s="465">
        <f t="shared" si="34"/>
        <v>0</v>
      </c>
      <c r="F268" s="466">
        <f t="shared" si="39"/>
        <v>0</v>
      </c>
      <c r="G268" s="466">
        <f t="shared" si="40"/>
        <v>0</v>
      </c>
      <c r="H268" s="476"/>
      <c r="I268" s="469">
        <f t="shared" si="41"/>
        <v>0</v>
      </c>
      <c r="J268" s="469">
        <f t="shared" si="42"/>
        <v>0</v>
      </c>
      <c r="K268" s="469">
        <f t="shared" si="43"/>
        <v>0</v>
      </c>
      <c r="L268" s="470">
        <f t="shared" si="35"/>
        <v>0</v>
      </c>
      <c r="M268" s="470">
        <f t="shared" si="36"/>
        <v>0</v>
      </c>
    </row>
    <row r="269" customHeight="1" spans="1:13">
      <c r="A269" s="473">
        <f t="shared" si="37"/>
        <v>248</v>
      </c>
      <c r="B269" s="478">
        <f t="shared" si="38"/>
        <v>51714</v>
      </c>
      <c r="C269" s="464">
        <f t="shared" si="33"/>
        <v>0</v>
      </c>
      <c r="D269" s="477"/>
      <c r="E269" s="465">
        <f t="shared" si="34"/>
        <v>0</v>
      </c>
      <c r="F269" s="466">
        <f t="shared" si="39"/>
        <v>0</v>
      </c>
      <c r="G269" s="466">
        <f t="shared" si="40"/>
        <v>0</v>
      </c>
      <c r="H269" s="476"/>
      <c r="I269" s="469">
        <f t="shared" si="41"/>
        <v>0</v>
      </c>
      <c r="J269" s="469">
        <f t="shared" si="42"/>
        <v>0</v>
      </c>
      <c r="K269" s="469">
        <f t="shared" si="43"/>
        <v>0</v>
      </c>
      <c r="L269" s="470">
        <f t="shared" si="35"/>
        <v>0</v>
      </c>
      <c r="M269" s="470">
        <f t="shared" si="36"/>
        <v>0</v>
      </c>
    </row>
    <row r="270" customHeight="1" spans="1:13">
      <c r="A270" s="473">
        <f t="shared" si="37"/>
        <v>249</v>
      </c>
      <c r="B270" s="478">
        <f t="shared" si="38"/>
        <v>51745</v>
      </c>
      <c r="C270" s="464">
        <f t="shared" si="33"/>
        <v>0</v>
      </c>
      <c r="D270" s="477"/>
      <c r="E270" s="465">
        <f t="shared" si="34"/>
        <v>0</v>
      </c>
      <c r="F270" s="466">
        <f t="shared" si="39"/>
        <v>0</v>
      </c>
      <c r="G270" s="466">
        <f t="shared" si="40"/>
        <v>0</v>
      </c>
      <c r="H270" s="476"/>
      <c r="I270" s="469">
        <f t="shared" si="41"/>
        <v>0</v>
      </c>
      <c r="J270" s="469">
        <f t="shared" si="42"/>
        <v>0</v>
      </c>
      <c r="K270" s="469">
        <f t="shared" si="43"/>
        <v>0</v>
      </c>
      <c r="L270" s="470">
        <f t="shared" si="35"/>
        <v>0</v>
      </c>
      <c r="M270" s="470">
        <f t="shared" si="36"/>
        <v>0</v>
      </c>
    </row>
    <row r="271" customHeight="1" spans="1:13">
      <c r="A271" s="473">
        <f t="shared" si="37"/>
        <v>250</v>
      </c>
      <c r="B271" s="478">
        <f t="shared" si="38"/>
        <v>51775</v>
      </c>
      <c r="C271" s="464">
        <f t="shared" si="33"/>
        <v>0</v>
      </c>
      <c r="D271" s="477"/>
      <c r="E271" s="465">
        <f t="shared" si="34"/>
        <v>0</v>
      </c>
      <c r="F271" s="466">
        <f t="shared" si="39"/>
        <v>0</v>
      </c>
      <c r="G271" s="466">
        <f t="shared" si="40"/>
        <v>0</v>
      </c>
      <c r="H271" s="476"/>
      <c r="I271" s="469">
        <f t="shared" si="41"/>
        <v>0</v>
      </c>
      <c r="J271" s="469">
        <f t="shared" si="42"/>
        <v>0</v>
      </c>
      <c r="K271" s="469">
        <f t="shared" si="43"/>
        <v>0</v>
      </c>
      <c r="L271" s="470">
        <f t="shared" si="35"/>
        <v>0</v>
      </c>
      <c r="M271" s="470">
        <f t="shared" si="36"/>
        <v>0</v>
      </c>
    </row>
    <row r="272" customHeight="1" spans="1:13">
      <c r="A272" s="473">
        <f t="shared" si="37"/>
        <v>251</v>
      </c>
      <c r="B272" s="478">
        <f t="shared" si="38"/>
        <v>51806</v>
      </c>
      <c r="C272" s="464">
        <f t="shared" si="33"/>
        <v>0</v>
      </c>
      <c r="D272" s="477"/>
      <c r="E272" s="465">
        <f t="shared" si="34"/>
        <v>0</v>
      </c>
      <c r="F272" s="466">
        <f t="shared" si="39"/>
        <v>0</v>
      </c>
      <c r="G272" s="466">
        <f t="shared" si="40"/>
        <v>0</v>
      </c>
      <c r="H272" s="476"/>
      <c r="I272" s="469">
        <f t="shared" si="41"/>
        <v>0</v>
      </c>
      <c r="J272" s="469">
        <f t="shared" si="42"/>
        <v>0</v>
      </c>
      <c r="K272" s="469">
        <f t="shared" si="43"/>
        <v>0</v>
      </c>
      <c r="L272" s="470">
        <f t="shared" si="35"/>
        <v>0</v>
      </c>
      <c r="M272" s="470">
        <f t="shared" si="36"/>
        <v>0</v>
      </c>
    </row>
    <row r="273" customHeight="1" spans="1:13">
      <c r="A273" s="473">
        <f t="shared" si="37"/>
        <v>252</v>
      </c>
      <c r="B273" s="478">
        <f t="shared" si="38"/>
        <v>51836</v>
      </c>
      <c r="C273" s="464">
        <f t="shared" si="33"/>
        <v>0</v>
      </c>
      <c r="D273" s="477"/>
      <c r="E273" s="465">
        <f t="shared" si="34"/>
        <v>0</v>
      </c>
      <c r="F273" s="466">
        <f t="shared" si="39"/>
        <v>0</v>
      </c>
      <c r="G273" s="466">
        <f t="shared" si="40"/>
        <v>0</v>
      </c>
      <c r="H273" s="476"/>
      <c r="I273" s="469">
        <f t="shared" si="41"/>
        <v>0</v>
      </c>
      <c r="J273" s="469">
        <f t="shared" si="42"/>
        <v>0</v>
      </c>
      <c r="K273" s="469">
        <f t="shared" si="43"/>
        <v>0</v>
      </c>
      <c r="L273" s="470">
        <f t="shared" si="35"/>
        <v>0</v>
      </c>
      <c r="M273" s="470">
        <f t="shared" si="36"/>
        <v>0</v>
      </c>
    </row>
    <row r="274" customHeight="1" spans="1:13">
      <c r="A274" s="473">
        <f t="shared" si="37"/>
        <v>253</v>
      </c>
      <c r="B274" s="478">
        <f t="shared" si="38"/>
        <v>51867</v>
      </c>
      <c r="C274" s="464">
        <f t="shared" si="33"/>
        <v>0</v>
      </c>
      <c r="D274" s="477"/>
      <c r="E274" s="465">
        <f t="shared" si="34"/>
        <v>0</v>
      </c>
      <c r="F274" s="466">
        <f t="shared" si="39"/>
        <v>0</v>
      </c>
      <c r="G274" s="466">
        <f t="shared" si="40"/>
        <v>0</v>
      </c>
      <c r="H274" s="476"/>
      <c r="I274" s="469">
        <f t="shared" si="41"/>
        <v>0</v>
      </c>
      <c r="J274" s="469">
        <f t="shared" si="42"/>
        <v>0</v>
      </c>
      <c r="K274" s="469">
        <f t="shared" si="43"/>
        <v>0</v>
      </c>
      <c r="L274" s="470">
        <f t="shared" si="35"/>
        <v>0</v>
      </c>
      <c r="M274" s="470">
        <f t="shared" si="36"/>
        <v>0</v>
      </c>
    </row>
    <row r="275" customHeight="1" spans="1:13">
      <c r="A275" s="473">
        <f t="shared" si="37"/>
        <v>254</v>
      </c>
      <c r="B275" s="478">
        <f t="shared" si="38"/>
        <v>51898</v>
      </c>
      <c r="C275" s="464">
        <f t="shared" si="33"/>
        <v>0</v>
      </c>
      <c r="D275" s="477"/>
      <c r="E275" s="465">
        <f t="shared" si="34"/>
        <v>0</v>
      </c>
      <c r="F275" s="466">
        <f t="shared" si="39"/>
        <v>0</v>
      </c>
      <c r="G275" s="466">
        <f t="shared" si="40"/>
        <v>0</v>
      </c>
      <c r="H275" s="476"/>
      <c r="I275" s="469">
        <f t="shared" si="41"/>
        <v>0</v>
      </c>
      <c r="J275" s="469">
        <f t="shared" si="42"/>
        <v>0</v>
      </c>
      <c r="K275" s="469">
        <f t="shared" si="43"/>
        <v>0</v>
      </c>
      <c r="L275" s="470">
        <f t="shared" si="35"/>
        <v>0</v>
      </c>
      <c r="M275" s="470">
        <f t="shared" si="36"/>
        <v>0</v>
      </c>
    </row>
    <row r="276" customHeight="1" spans="1:13">
      <c r="A276" s="473">
        <f t="shared" si="37"/>
        <v>255</v>
      </c>
      <c r="B276" s="478">
        <f t="shared" si="38"/>
        <v>51926</v>
      </c>
      <c r="C276" s="464">
        <f t="shared" si="33"/>
        <v>0</v>
      </c>
      <c r="D276" s="477"/>
      <c r="E276" s="465">
        <f t="shared" si="34"/>
        <v>0</v>
      </c>
      <c r="F276" s="466">
        <f t="shared" si="39"/>
        <v>0</v>
      </c>
      <c r="G276" s="466">
        <f t="shared" si="40"/>
        <v>0</v>
      </c>
      <c r="H276" s="476"/>
      <c r="I276" s="469">
        <f t="shared" si="41"/>
        <v>0</v>
      </c>
      <c r="J276" s="469">
        <f t="shared" si="42"/>
        <v>0</v>
      </c>
      <c r="K276" s="469">
        <f t="shared" si="43"/>
        <v>0</v>
      </c>
      <c r="L276" s="470">
        <f t="shared" si="35"/>
        <v>0</v>
      </c>
      <c r="M276" s="470">
        <f t="shared" si="36"/>
        <v>0</v>
      </c>
    </row>
    <row r="277" customHeight="1" spans="1:13">
      <c r="A277" s="473">
        <f t="shared" si="37"/>
        <v>256</v>
      </c>
      <c r="B277" s="478">
        <f t="shared" si="38"/>
        <v>51957</v>
      </c>
      <c r="C277" s="464">
        <f t="shared" si="33"/>
        <v>0</v>
      </c>
      <c r="D277" s="477"/>
      <c r="E277" s="465">
        <f t="shared" si="34"/>
        <v>0</v>
      </c>
      <c r="F277" s="466">
        <f t="shared" si="39"/>
        <v>0</v>
      </c>
      <c r="G277" s="466">
        <f t="shared" si="40"/>
        <v>0</v>
      </c>
      <c r="H277" s="476"/>
      <c r="I277" s="469">
        <f t="shared" si="41"/>
        <v>0</v>
      </c>
      <c r="J277" s="469">
        <f t="shared" si="42"/>
        <v>0</v>
      </c>
      <c r="K277" s="469">
        <f t="shared" si="43"/>
        <v>0</v>
      </c>
      <c r="L277" s="470">
        <f t="shared" si="35"/>
        <v>0</v>
      </c>
      <c r="M277" s="470">
        <f t="shared" si="36"/>
        <v>0</v>
      </c>
    </row>
    <row r="278" customHeight="1" spans="1:13">
      <c r="A278" s="473">
        <f t="shared" si="37"/>
        <v>257</v>
      </c>
      <c r="B278" s="478">
        <f t="shared" si="38"/>
        <v>51987</v>
      </c>
      <c r="C278" s="464">
        <f t="shared" ref="C278:C341" si="44">IF(AND(A278&lt;=$C$18,MONTH(B278)=$E$20,B278&lt;=$C$16,IF($O$20="期末",B278&gt;=EDATE($C$15,12),B278&gt;$C$15)),$C$20,0)</f>
        <v>0</v>
      </c>
      <c r="D278" s="477"/>
      <c r="E278" s="465">
        <f t="shared" ref="E278:E341" si="45">(D278+C278)/(POWER((1+$C$17/12),A278-1))</f>
        <v>0</v>
      </c>
      <c r="F278" s="466">
        <f t="shared" si="39"/>
        <v>0</v>
      </c>
      <c r="G278" s="466">
        <f t="shared" si="40"/>
        <v>0</v>
      </c>
      <c r="H278" s="476"/>
      <c r="I278" s="469">
        <f t="shared" si="41"/>
        <v>0</v>
      </c>
      <c r="J278" s="469">
        <f t="shared" si="42"/>
        <v>0</v>
      </c>
      <c r="K278" s="469">
        <f t="shared" si="43"/>
        <v>0</v>
      </c>
      <c r="L278" s="470">
        <f t="shared" ref="L278:L341" si="46">IF(G278=0,0,G278*$C$19)</f>
        <v>0</v>
      </c>
      <c r="M278" s="470">
        <f t="shared" ref="M278:M341" si="47">IF(K278=0,0,K278*$C$19)</f>
        <v>0</v>
      </c>
    </row>
    <row r="279" customHeight="1" spans="1:13">
      <c r="A279" s="473">
        <f t="shared" ref="A279:A342" si="48">A278+1</f>
        <v>258</v>
      </c>
      <c r="B279" s="478">
        <f t="shared" ref="B279:B342" si="49">EDATE(B278,1)</f>
        <v>52018</v>
      </c>
      <c r="C279" s="464">
        <f t="shared" si="44"/>
        <v>0</v>
      </c>
      <c r="D279" s="477"/>
      <c r="E279" s="465">
        <f t="shared" si="45"/>
        <v>0</v>
      </c>
      <c r="F279" s="466">
        <f t="shared" ref="F279:F342" si="50">IF(OR(B279&gt;$C$16,A279&gt;$C$18),0,$C$17/12*(G278-C279))</f>
        <v>0</v>
      </c>
      <c r="G279" s="466">
        <f t="shared" ref="G279:G342" si="51">IF(OR(B279&gt;$C$16,A279&gt;$C$18),0,G278-C279+F279)</f>
        <v>0</v>
      </c>
      <c r="H279" s="476"/>
      <c r="I279" s="469">
        <f t="shared" ref="I279:I342" si="52">IF(OR(B279&gt;$C$16,($A279-1)&gt;=MIN($C$18,$L$20),MIN($C$18,$L$20)&lt;=1),0,($E$349+$H$349)/MAX(MIN($C$18,$L$20)-1,1))</f>
        <v>0</v>
      </c>
      <c r="J279" s="469">
        <f t="shared" ref="J279:J342" si="53">IF(I279=0,0,J278+I279)</f>
        <v>0</v>
      </c>
      <c r="K279" s="469">
        <f t="shared" ref="K279:K342" si="54">IF(OR(B279&gt;$C$16,A279&gt;$C$18),0,K278-I279)</f>
        <v>0</v>
      </c>
      <c r="L279" s="470">
        <f t="shared" si="46"/>
        <v>0</v>
      </c>
      <c r="M279" s="470">
        <f t="shared" si="47"/>
        <v>0</v>
      </c>
    </row>
    <row r="280" customHeight="1" spans="1:13">
      <c r="A280" s="473">
        <f t="shared" si="48"/>
        <v>259</v>
      </c>
      <c r="B280" s="478">
        <f t="shared" si="49"/>
        <v>52048</v>
      </c>
      <c r="C280" s="464">
        <f t="shared" si="44"/>
        <v>0</v>
      </c>
      <c r="D280" s="477"/>
      <c r="E280" s="465">
        <f t="shared" si="45"/>
        <v>0</v>
      </c>
      <c r="F280" s="466">
        <f t="shared" si="50"/>
        <v>0</v>
      </c>
      <c r="G280" s="466">
        <f t="shared" si="51"/>
        <v>0</v>
      </c>
      <c r="H280" s="476"/>
      <c r="I280" s="469">
        <f t="shared" si="52"/>
        <v>0</v>
      </c>
      <c r="J280" s="469">
        <f t="shared" si="53"/>
        <v>0</v>
      </c>
      <c r="K280" s="469">
        <f t="shared" si="54"/>
        <v>0</v>
      </c>
      <c r="L280" s="470">
        <f t="shared" si="46"/>
        <v>0</v>
      </c>
      <c r="M280" s="470">
        <f t="shared" si="47"/>
        <v>0</v>
      </c>
    </row>
    <row r="281" customHeight="1" spans="1:13">
      <c r="A281" s="473">
        <f t="shared" si="48"/>
        <v>260</v>
      </c>
      <c r="B281" s="478">
        <f t="shared" si="49"/>
        <v>52079</v>
      </c>
      <c r="C281" s="464">
        <f t="shared" si="44"/>
        <v>0</v>
      </c>
      <c r="D281" s="477"/>
      <c r="E281" s="465">
        <f t="shared" si="45"/>
        <v>0</v>
      </c>
      <c r="F281" s="466">
        <f t="shared" si="50"/>
        <v>0</v>
      </c>
      <c r="G281" s="466">
        <f t="shared" si="51"/>
        <v>0</v>
      </c>
      <c r="H281" s="476"/>
      <c r="I281" s="469">
        <f t="shared" si="52"/>
        <v>0</v>
      </c>
      <c r="J281" s="469">
        <f t="shared" si="53"/>
        <v>0</v>
      </c>
      <c r="K281" s="469">
        <f t="shared" si="54"/>
        <v>0</v>
      </c>
      <c r="L281" s="470">
        <f t="shared" si="46"/>
        <v>0</v>
      </c>
      <c r="M281" s="470">
        <f t="shared" si="47"/>
        <v>0</v>
      </c>
    </row>
    <row r="282" customHeight="1" spans="1:13">
      <c r="A282" s="473">
        <f t="shared" si="48"/>
        <v>261</v>
      </c>
      <c r="B282" s="478">
        <f t="shared" si="49"/>
        <v>52110</v>
      </c>
      <c r="C282" s="464">
        <f t="shared" si="44"/>
        <v>0</v>
      </c>
      <c r="D282" s="477"/>
      <c r="E282" s="465">
        <f t="shared" si="45"/>
        <v>0</v>
      </c>
      <c r="F282" s="466">
        <f t="shared" si="50"/>
        <v>0</v>
      </c>
      <c r="G282" s="466">
        <f t="shared" si="51"/>
        <v>0</v>
      </c>
      <c r="H282" s="476"/>
      <c r="I282" s="469">
        <f t="shared" si="52"/>
        <v>0</v>
      </c>
      <c r="J282" s="469">
        <f t="shared" si="53"/>
        <v>0</v>
      </c>
      <c r="K282" s="469">
        <f t="shared" si="54"/>
        <v>0</v>
      </c>
      <c r="L282" s="470">
        <f t="shared" si="46"/>
        <v>0</v>
      </c>
      <c r="M282" s="470">
        <f t="shared" si="47"/>
        <v>0</v>
      </c>
    </row>
    <row r="283" customHeight="1" spans="1:13">
      <c r="A283" s="473">
        <f t="shared" si="48"/>
        <v>262</v>
      </c>
      <c r="B283" s="478">
        <f t="shared" si="49"/>
        <v>52140</v>
      </c>
      <c r="C283" s="464">
        <f t="shared" si="44"/>
        <v>0</v>
      </c>
      <c r="D283" s="477"/>
      <c r="E283" s="465">
        <f t="shared" si="45"/>
        <v>0</v>
      </c>
      <c r="F283" s="466">
        <f t="shared" si="50"/>
        <v>0</v>
      </c>
      <c r="G283" s="466">
        <f t="shared" si="51"/>
        <v>0</v>
      </c>
      <c r="H283" s="476"/>
      <c r="I283" s="469">
        <f t="shared" si="52"/>
        <v>0</v>
      </c>
      <c r="J283" s="469">
        <f t="shared" si="53"/>
        <v>0</v>
      </c>
      <c r="K283" s="469">
        <f t="shared" si="54"/>
        <v>0</v>
      </c>
      <c r="L283" s="470">
        <f t="shared" si="46"/>
        <v>0</v>
      </c>
      <c r="M283" s="470">
        <f t="shared" si="47"/>
        <v>0</v>
      </c>
    </row>
    <row r="284" customHeight="1" spans="1:13">
      <c r="A284" s="473">
        <f t="shared" si="48"/>
        <v>263</v>
      </c>
      <c r="B284" s="478">
        <f t="shared" si="49"/>
        <v>52171</v>
      </c>
      <c r="C284" s="464">
        <f t="shared" si="44"/>
        <v>0</v>
      </c>
      <c r="D284" s="477"/>
      <c r="E284" s="465">
        <f t="shared" si="45"/>
        <v>0</v>
      </c>
      <c r="F284" s="466">
        <f t="shared" si="50"/>
        <v>0</v>
      </c>
      <c r="G284" s="466">
        <f t="shared" si="51"/>
        <v>0</v>
      </c>
      <c r="H284" s="476"/>
      <c r="I284" s="469">
        <f t="shared" si="52"/>
        <v>0</v>
      </c>
      <c r="J284" s="469">
        <f t="shared" si="53"/>
        <v>0</v>
      </c>
      <c r="K284" s="469">
        <f t="shared" si="54"/>
        <v>0</v>
      </c>
      <c r="L284" s="470">
        <f t="shared" si="46"/>
        <v>0</v>
      </c>
      <c r="M284" s="470">
        <f t="shared" si="47"/>
        <v>0</v>
      </c>
    </row>
    <row r="285" customHeight="1" spans="1:13">
      <c r="A285" s="473">
        <f t="shared" si="48"/>
        <v>264</v>
      </c>
      <c r="B285" s="478">
        <f t="shared" si="49"/>
        <v>52201</v>
      </c>
      <c r="C285" s="464">
        <f t="shared" si="44"/>
        <v>0</v>
      </c>
      <c r="D285" s="477"/>
      <c r="E285" s="465">
        <f t="shared" si="45"/>
        <v>0</v>
      </c>
      <c r="F285" s="466">
        <f t="shared" si="50"/>
        <v>0</v>
      </c>
      <c r="G285" s="466">
        <f t="shared" si="51"/>
        <v>0</v>
      </c>
      <c r="H285" s="476"/>
      <c r="I285" s="469">
        <f t="shared" si="52"/>
        <v>0</v>
      </c>
      <c r="J285" s="469">
        <f t="shared" si="53"/>
        <v>0</v>
      </c>
      <c r="K285" s="469">
        <f t="shared" si="54"/>
        <v>0</v>
      </c>
      <c r="L285" s="470">
        <f t="shared" si="46"/>
        <v>0</v>
      </c>
      <c r="M285" s="470">
        <f t="shared" si="47"/>
        <v>0</v>
      </c>
    </row>
    <row r="286" customHeight="1" spans="1:13">
      <c r="A286" s="473">
        <f t="shared" si="48"/>
        <v>265</v>
      </c>
      <c r="B286" s="478">
        <f t="shared" si="49"/>
        <v>52232</v>
      </c>
      <c r="C286" s="464">
        <f t="shared" si="44"/>
        <v>0</v>
      </c>
      <c r="D286" s="477"/>
      <c r="E286" s="465">
        <f t="shared" si="45"/>
        <v>0</v>
      </c>
      <c r="F286" s="466">
        <f t="shared" si="50"/>
        <v>0</v>
      </c>
      <c r="G286" s="466">
        <f t="shared" si="51"/>
        <v>0</v>
      </c>
      <c r="H286" s="476"/>
      <c r="I286" s="469">
        <f t="shared" si="52"/>
        <v>0</v>
      </c>
      <c r="J286" s="469">
        <f t="shared" si="53"/>
        <v>0</v>
      </c>
      <c r="K286" s="469">
        <f t="shared" si="54"/>
        <v>0</v>
      </c>
      <c r="L286" s="470">
        <f t="shared" si="46"/>
        <v>0</v>
      </c>
      <c r="M286" s="470">
        <f t="shared" si="47"/>
        <v>0</v>
      </c>
    </row>
    <row r="287" customHeight="1" spans="1:13">
      <c r="A287" s="473">
        <f t="shared" si="48"/>
        <v>266</v>
      </c>
      <c r="B287" s="478">
        <f t="shared" si="49"/>
        <v>52263</v>
      </c>
      <c r="C287" s="464">
        <f t="shared" si="44"/>
        <v>0</v>
      </c>
      <c r="D287" s="477"/>
      <c r="E287" s="465">
        <f t="shared" si="45"/>
        <v>0</v>
      </c>
      <c r="F287" s="466">
        <f t="shared" si="50"/>
        <v>0</v>
      </c>
      <c r="G287" s="466">
        <f t="shared" si="51"/>
        <v>0</v>
      </c>
      <c r="H287" s="476"/>
      <c r="I287" s="469">
        <f t="shared" si="52"/>
        <v>0</v>
      </c>
      <c r="J287" s="469">
        <f t="shared" si="53"/>
        <v>0</v>
      </c>
      <c r="K287" s="469">
        <f t="shared" si="54"/>
        <v>0</v>
      </c>
      <c r="L287" s="470">
        <f t="shared" si="46"/>
        <v>0</v>
      </c>
      <c r="M287" s="470">
        <f t="shared" si="47"/>
        <v>0</v>
      </c>
    </row>
    <row r="288" customHeight="1" spans="1:13">
      <c r="A288" s="473">
        <f t="shared" si="48"/>
        <v>267</v>
      </c>
      <c r="B288" s="478">
        <f t="shared" si="49"/>
        <v>52291</v>
      </c>
      <c r="C288" s="464">
        <f t="shared" si="44"/>
        <v>0</v>
      </c>
      <c r="D288" s="477"/>
      <c r="E288" s="465">
        <f t="shared" si="45"/>
        <v>0</v>
      </c>
      <c r="F288" s="466">
        <f t="shared" si="50"/>
        <v>0</v>
      </c>
      <c r="G288" s="466">
        <f t="shared" si="51"/>
        <v>0</v>
      </c>
      <c r="H288" s="476"/>
      <c r="I288" s="469">
        <f t="shared" si="52"/>
        <v>0</v>
      </c>
      <c r="J288" s="469">
        <f t="shared" si="53"/>
        <v>0</v>
      </c>
      <c r="K288" s="469">
        <f t="shared" si="54"/>
        <v>0</v>
      </c>
      <c r="L288" s="470">
        <f t="shared" si="46"/>
        <v>0</v>
      </c>
      <c r="M288" s="470">
        <f t="shared" si="47"/>
        <v>0</v>
      </c>
    </row>
    <row r="289" customHeight="1" spans="1:13">
      <c r="A289" s="473">
        <f t="shared" si="48"/>
        <v>268</v>
      </c>
      <c r="B289" s="478">
        <f t="shared" si="49"/>
        <v>52322</v>
      </c>
      <c r="C289" s="464">
        <f t="shared" si="44"/>
        <v>0</v>
      </c>
      <c r="D289" s="477"/>
      <c r="E289" s="465">
        <f t="shared" si="45"/>
        <v>0</v>
      </c>
      <c r="F289" s="466">
        <f t="shared" si="50"/>
        <v>0</v>
      </c>
      <c r="G289" s="466">
        <f t="shared" si="51"/>
        <v>0</v>
      </c>
      <c r="H289" s="476"/>
      <c r="I289" s="469">
        <f t="shared" si="52"/>
        <v>0</v>
      </c>
      <c r="J289" s="469">
        <f t="shared" si="53"/>
        <v>0</v>
      </c>
      <c r="K289" s="469">
        <f t="shared" si="54"/>
        <v>0</v>
      </c>
      <c r="L289" s="470">
        <f t="shared" si="46"/>
        <v>0</v>
      </c>
      <c r="M289" s="470">
        <f t="shared" si="47"/>
        <v>0</v>
      </c>
    </row>
    <row r="290" customHeight="1" spans="1:13">
      <c r="A290" s="473">
        <f t="shared" si="48"/>
        <v>269</v>
      </c>
      <c r="B290" s="478">
        <f t="shared" si="49"/>
        <v>52352</v>
      </c>
      <c r="C290" s="464">
        <f t="shared" si="44"/>
        <v>0</v>
      </c>
      <c r="D290" s="477"/>
      <c r="E290" s="465">
        <f t="shared" si="45"/>
        <v>0</v>
      </c>
      <c r="F290" s="466">
        <f t="shared" si="50"/>
        <v>0</v>
      </c>
      <c r="G290" s="466">
        <f t="shared" si="51"/>
        <v>0</v>
      </c>
      <c r="H290" s="476"/>
      <c r="I290" s="469">
        <f t="shared" si="52"/>
        <v>0</v>
      </c>
      <c r="J290" s="469">
        <f t="shared" si="53"/>
        <v>0</v>
      </c>
      <c r="K290" s="469">
        <f t="shared" si="54"/>
        <v>0</v>
      </c>
      <c r="L290" s="470">
        <f t="shared" si="46"/>
        <v>0</v>
      </c>
      <c r="M290" s="470">
        <f t="shared" si="47"/>
        <v>0</v>
      </c>
    </row>
    <row r="291" customHeight="1" spans="1:13">
      <c r="A291" s="473">
        <f t="shared" si="48"/>
        <v>270</v>
      </c>
      <c r="B291" s="478">
        <f t="shared" si="49"/>
        <v>52383</v>
      </c>
      <c r="C291" s="464">
        <f t="shared" si="44"/>
        <v>0</v>
      </c>
      <c r="D291" s="477"/>
      <c r="E291" s="465">
        <f t="shared" si="45"/>
        <v>0</v>
      </c>
      <c r="F291" s="466">
        <f t="shared" si="50"/>
        <v>0</v>
      </c>
      <c r="G291" s="466">
        <f t="shared" si="51"/>
        <v>0</v>
      </c>
      <c r="H291" s="476"/>
      <c r="I291" s="469">
        <f t="shared" si="52"/>
        <v>0</v>
      </c>
      <c r="J291" s="469">
        <f t="shared" si="53"/>
        <v>0</v>
      </c>
      <c r="K291" s="469">
        <f t="shared" si="54"/>
        <v>0</v>
      </c>
      <c r="L291" s="470">
        <f t="shared" si="46"/>
        <v>0</v>
      </c>
      <c r="M291" s="470">
        <f t="shared" si="47"/>
        <v>0</v>
      </c>
    </row>
    <row r="292" customHeight="1" spans="1:13">
      <c r="A292" s="473">
        <f t="shared" si="48"/>
        <v>271</v>
      </c>
      <c r="B292" s="478">
        <f t="shared" si="49"/>
        <v>52413</v>
      </c>
      <c r="C292" s="464">
        <f t="shared" si="44"/>
        <v>0</v>
      </c>
      <c r="D292" s="477"/>
      <c r="E292" s="465">
        <f t="shared" si="45"/>
        <v>0</v>
      </c>
      <c r="F292" s="466">
        <f t="shared" si="50"/>
        <v>0</v>
      </c>
      <c r="G292" s="466">
        <f t="shared" si="51"/>
        <v>0</v>
      </c>
      <c r="H292" s="476"/>
      <c r="I292" s="469">
        <f t="shared" si="52"/>
        <v>0</v>
      </c>
      <c r="J292" s="469">
        <f t="shared" si="53"/>
        <v>0</v>
      </c>
      <c r="K292" s="469">
        <f t="shared" si="54"/>
        <v>0</v>
      </c>
      <c r="L292" s="470">
        <f t="shared" si="46"/>
        <v>0</v>
      </c>
      <c r="M292" s="470">
        <f t="shared" si="47"/>
        <v>0</v>
      </c>
    </row>
    <row r="293" customHeight="1" spans="1:13">
      <c r="A293" s="473">
        <f t="shared" si="48"/>
        <v>272</v>
      </c>
      <c r="B293" s="478">
        <f t="shared" si="49"/>
        <v>52444</v>
      </c>
      <c r="C293" s="464">
        <f t="shared" si="44"/>
        <v>0</v>
      </c>
      <c r="D293" s="477"/>
      <c r="E293" s="465">
        <f t="shared" si="45"/>
        <v>0</v>
      </c>
      <c r="F293" s="466">
        <f t="shared" si="50"/>
        <v>0</v>
      </c>
      <c r="G293" s="466">
        <f t="shared" si="51"/>
        <v>0</v>
      </c>
      <c r="H293" s="476"/>
      <c r="I293" s="469">
        <f t="shared" si="52"/>
        <v>0</v>
      </c>
      <c r="J293" s="469">
        <f t="shared" si="53"/>
        <v>0</v>
      </c>
      <c r="K293" s="469">
        <f t="shared" si="54"/>
        <v>0</v>
      </c>
      <c r="L293" s="470">
        <f t="shared" si="46"/>
        <v>0</v>
      </c>
      <c r="M293" s="470">
        <f t="shared" si="47"/>
        <v>0</v>
      </c>
    </row>
    <row r="294" customHeight="1" spans="1:13">
      <c r="A294" s="473">
        <f t="shared" si="48"/>
        <v>273</v>
      </c>
      <c r="B294" s="478">
        <f t="shared" si="49"/>
        <v>52475</v>
      </c>
      <c r="C294" s="464">
        <f t="shared" si="44"/>
        <v>0</v>
      </c>
      <c r="D294" s="477"/>
      <c r="E294" s="465">
        <f t="shared" si="45"/>
        <v>0</v>
      </c>
      <c r="F294" s="466">
        <f t="shared" si="50"/>
        <v>0</v>
      </c>
      <c r="G294" s="466">
        <f t="shared" si="51"/>
        <v>0</v>
      </c>
      <c r="H294" s="476"/>
      <c r="I294" s="469">
        <f t="shared" si="52"/>
        <v>0</v>
      </c>
      <c r="J294" s="469">
        <f t="shared" si="53"/>
        <v>0</v>
      </c>
      <c r="K294" s="469">
        <f t="shared" si="54"/>
        <v>0</v>
      </c>
      <c r="L294" s="470">
        <f t="shared" si="46"/>
        <v>0</v>
      </c>
      <c r="M294" s="470">
        <f t="shared" si="47"/>
        <v>0</v>
      </c>
    </row>
    <row r="295" customHeight="1" spans="1:13">
      <c r="A295" s="473">
        <f t="shared" si="48"/>
        <v>274</v>
      </c>
      <c r="B295" s="478">
        <f t="shared" si="49"/>
        <v>52505</v>
      </c>
      <c r="C295" s="464">
        <f t="shared" si="44"/>
        <v>0</v>
      </c>
      <c r="D295" s="477"/>
      <c r="E295" s="465">
        <f t="shared" si="45"/>
        <v>0</v>
      </c>
      <c r="F295" s="466">
        <f t="shared" si="50"/>
        <v>0</v>
      </c>
      <c r="G295" s="466">
        <f t="shared" si="51"/>
        <v>0</v>
      </c>
      <c r="H295" s="476"/>
      <c r="I295" s="469">
        <f t="shared" si="52"/>
        <v>0</v>
      </c>
      <c r="J295" s="469">
        <f t="shared" si="53"/>
        <v>0</v>
      </c>
      <c r="K295" s="469">
        <f t="shared" si="54"/>
        <v>0</v>
      </c>
      <c r="L295" s="470">
        <f t="shared" si="46"/>
        <v>0</v>
      </c>
      <c r="M295" s="470">
        <f t="shared" si="47"/>
        <v>0</v>
      </c>
    </row>
    <row r="296" customHeight="1" spans="1:13">
      <c r="A296" s="473">
        <f t="shared" si="48"/>
        <v>275</v>
      </c>
      <c r="B296" s="478">
        <f t="shared" si="49"/>
        <v>52536</v>
      </c>
      <c r="C296" s="464">
        <f t="shared" si="44"/>
        <v>0</v>
      </c>
      <c r="D296" s="477"/>
      <c r="E296" s="465">
        <f t="shared" si="45"/>
        <v>0</v>
      </c>
      <c r="F296" s="466">
        <f t="shared" si="50"/>
        <v>0</v>
      </c>
      <c r="G296" s="466">
        <f t="shared" si="51"/>
        <v>0</v>
      </c>
      <c r="H296" s="476"/>
      <c r="I296" s="469">
        <f t="shared" si="52"/>
        <v>0</v>
      </c>
      <c r="J296" s="469">
        <f t="shared" si="53"/>
        <v>0</v>
      </c>
      <c r="K296" s="469">
        <f t="shared" si="54"/>
        <v>0</v>
      </c>
      <c r="L296" s="470">
        <f t="shared" si="46"/>
        <v>0</v>
      </c>
      <c r="M296" s="470">
        <f t="shared" si="47"/>
        <v>0</v>
      </c>
    </row>
    <row r="297" customHeight="1" spans="1:13">
      <c r="A297" s="473">
        <f t="shared" si="48"/>
        <v>276</v>
      </c>
      <c r="B297" s="478">
        <f t="shared" si="49"/>
        <v>52566</v>
      </c>
      <c r="C297" s="464">
        <f t="shared" si="44"/>
        <v>0</v>
      </c>
      <c r="D297" s="477"/>
      <c r="E297" s="465">
        <f t="shared" si="45"/>
        <v>0</v>
      </c>
      <c r="F297" s="466">
        <f t="shared" si="50"/>
        <v>0</v>
      </c>
      <c r="G297" s="466">
        <f t="shared" si="51"/>
        <v>0</v>
      </c>
      <c r="H297" s="476"/>
      <c r="I297" s="469">
        <f t="shared" si="52"/>
        <v>0</v>
      </c>
      <c r="J297" s="469">
        <f t="shared" si="53"/>
        <v>0</v>
      </c>
      <c r="K297" s="469">
        <f t="shared" si="54"/>
        <v>0</v>
      </c>
      <c r="L297" s="470">
        <f t="shared" si="46"/>
        <v>0</v>
      </c>
      <c r="M297" s="470">
        <f t="shared" si="47"/>
        <v>0</v>
      </c>
    </row>
    <row r="298" customHeight="1" spans="1:13">
      <c r="A298" s="473">
        <f t="shared" si="48"/>
        <v>277</v>
      </c>
      <c r="B298" s="478">
        <f t="shared" si="49"/>
        <v>52597</v>
      </c>
      <c r="C298" s="464">
        <f t="shared" si="44"/>
        <v>0</v>
      </c>
      <c r="D298" s="477"/>
      <c r="E298" s="465">
        <f t="shared" si="45"/>
        <v>0</v>
      </c>
      <c r="F298" s="466">
        <f t="shared" si="50"/>
        <v>0</v>
      </c>
      <c r="G298" s="466">
        <f t="shared" si="51"/>
        <v>0</v>
      </c>
      <c r="H298" s="476"/>
      <c r="I298" s="469">
        <f t="shared" si="52"/>
        <v>0</v>
      </c>
      <c r="J298" s="469">
        <f t="shared" si="53"/>
        <v>0</v>
      </c>
      <c r="K298" s="469">
        <f t="shared" si="54"/>
        <v>0</v>
      </c>
      <c r="L298" s="470">
        <f t="shared" si="46"/>
        <v>0</v>
      </c>
      <c r="M298" s="470">
        <f t="shared" si="47"/>
        <v>0</v>
      </c>
    </row>
    <row r="299" customHeight="1" spans="1:13">
      <c r="A299" s="473">
        <f t="shared" si="48"/>
        <v>278</v>
      </c>
      <c r="B299" s="478">
        <f t="shared" si="49"/>
        <v>52628</v>
      </c>
      <c r="C299" s="464">
        <f t="shared" si="44"/>
        <v>0</v>
      </c>
      <c r="D299" s="477"/>
      <c r="E299" s="465">
        <f t="shared" si="45"/>
        <v>0</v>
      </c>
      <c r="F299" s="466">
        <f t="shared" si="50"/>
        <v>0</v>
      </c>
      <c r="G299" s="466">
        <f t="shared" si="51"/>
        <v>0</v>
      </c>
      <c r="H299" s="476"/>
      <c r="I299" s="469">
        <f t="shared" si="52"/>
        <v>0</v>
      </c>
      <c r="J299" s="469">
        <f t="shared" si="53"/>
        <v>0</v>
      </c>
      <c r="K299" s="469">
        <f t="shared" si="54"/>
        <v>0</v>
      </c>
      <c r="L299" s="470">
        <f t="shared" si="46"/>
        <v>0</v>
      </c>
      <c r="M299" s="470">
        <f t="shared" si="47"/>
        <v>0</v>
      </c>
    </row>
    <row r="300" customHeight="1" spans="1:13">
      <c r="A300" s="473">
        <f t="shared" si="48"/>
        <v>279</v>
      </c>
      <c r="B300" s="478">
        <f t="shared" si="49"/>
        <v>52657</v>
      </c>
      <c r="C300" s="464">
        <f t="shared" si="44"/>
        <v>0</v>
      </c>
      <c r="D300" s="477"/>
      <c r="E300" s="465">
        <f t="shared" si="45"/>
        <v>0</v>
      </c>
      <c r="F300" s="466">
        <f t="shared" si="50"/>
        <v>0</v>
      </c>
      <c r="G300" s="466">
        <f t="shared" si="51"/>
        <v>0</v>
      </c>
      <c r="H300" s="476"/>
      <c r="I300" s="469">
        <f t="shared" si="52"/>
        <v>0</v>
      </c>
      <c r="J300" s="469">
        <f t="shared" si="53"/>
        <v>0</v>
      </c>
      <c r="K300" s="469">
        <f t="shared" si="54"/>
        <v>0</v>
      </c>
      <c r="L300" s="470">
        <f t="shared" si="46"/>
        <v>0</v>
      </c>
      <c r="M300" s="470">
        <f t="shared" si="47"/>
        <v>0</v>
      </c>
    </row>
    <row r="301" customHeight="1" spans="1:13">
      <c r="A301" s="473">
        <f t="shared" si="48"/>
        <v>280</v>
      </c>
      <c r="B301" s="478">
        <f t="shared" si="49"/>
        <v>52688</v>
      </c>
      <c r="C301" s="464">
        <f t="shared" si="44"/>
        <v>0</v>
      </c>
      <c r="D301" s="477"/>
      <c r="E301" s="465">
        <f t="shared" si="45"/>
        <v>0</v>
      </c>
      <c r="F301" s="466">
        <f t="shared" si="50"/>
        <v>0</v>
      </c>
      <c r="G301" s="466">
        <f t="shared" si="51"/>
        <v>0</v>
      </c>
      <c r="H301" s="476"/>
      <c r="I301" s="469">
        <f t="shared" si="52"/>
        <v>0</v>
      </c>
      <c r="J301" s="469">
        <f t="shared" si="53"/>
        <v>0</v>
      </c>
      <c r="K301" s="469">
        <f t="shared" si="54"/>
        <v>0</v>
      </c>
      <c r="L301" s="470">
        <f t="shared" si="46"/>
        <v>0</v>
      </c>
      <c r="M301" s="470">
        <f t="shared" si="47"/>
        <v>0</v>
      </c>
    </row>
    <row r="302" customHeight="1" spans="1:13">
      <c r="A302" s="473">
        <f t="shared" si="48"/>
        <v>281</v>
      </c>
      <c r="B302" s="478">
        <f t="shared" si="49"/>
        <v>52718</v>
      </c>
      <c r="C302" s="464">
        <f t="shared" si="44"/>
        <v>0</v>
      </c>
      <c r="D302" s="477"/>
      <c r="E302" s="465">
        <f t="shared" si="45"/>
        <v>0</v>
      </c>
      <c r="F302" s="466">
        <f t="shared" si="50"/>
        <v>0</v>
      </c>
      <c r="G302" s="466">
        <f t="shared" si="51"/>
        <v>0</v>
      </c>
      <c r="H302" s="476"/>
      <c r="I302" s="469">
        <f t="shared" si="52"/>
        <v>0</v>
      </c>
      <c r="J302" s="469">
        <f t="shared" si="53"/>
        <v>0</v>
      </c>
      <c r="K302" s="469">
        <f t="shared" si="54"/>
        <v>0</v>
      </c>
      <c r="L302" s="470">
        <f t="shared" si="46"/>
        <v>0</v>
      </c>
      <c r="M302" s="470">
        <f t="shared" si="47"/>
        <v>0</v>
      </c>
    </row>
    <row r="303" customHeight="1" spans="1:13">
      <c r="A303" s="473">
        <f t="shared" si="48"/>
        <v>282</v>
      </c>
      <c r="B303" s="478">
        <f t="shared" si="49"/>
        <v>52749</v>
      </c>
      <c r="C303" s="464">
        <f t="shared" si="44"/>
        <v>0</v>
      </c>
      <c r="D303" s="477"/>
      <c r="E303" s="465">
        <f t="shared" si="45"/>
        <v>0</v>
      </c>
      <c r="F303" s="466">
        <f t="shared" si="50"/>
        <v>0</v>
      </c>
      <c r="G303" s="466">
        <f t="shared" si="51"/>
        <v>0</v>
      </c>
      <c r="H303" s="476"/>
      <c r="I303" s="469">
        <f t="shared" si="52"/>
        <v>0</v>
      </c>
      <c r="J303" s="469">
        <f t="shared" si="53"/>
        <v>0</v>
      </c>
      <c r="K303" s="469">
        <f t="shared" si="54"/>
        <v>0</v>
      </c>
      <c r="L303" s="470">
        <f t="shared" si="46"/>
        <v>0</v>
      </c>
      <c r="M303" s="470">
        <f t="shared" si="47"/>
        <v>0</v>
      </c>
    </row>
    <row r="304" customHeight="1" spans="1:13">
      <c r="A304" s="473">
        <f t="shared" si="48"/>
        <v>283</v>
      </c>
      <c r="B304" s="478">
        <f t="shared" si="49"/>
        <v>52779</v>
      </c>
      <c r="C304" s="464">
        <f t="shared" si="44"/>
        <v>0</v>
      </c>
      <c r="D304" s="477"/>
      <c r="E304" s="465">
        <f t="shared" si="45"/>
        <v>0</v>
      </c>
      <c r="F304" s="466">
        <f t="shared" si="50"/>
        <v>0</v>
      </c>
      <c r="G304" s="466">
        <f t="shared" si="51"/>
        <v>0</v>
      </c>
      <c r="H304" s="476"/>
      <c r="I304" s="469">
        <f t="shared" si="52"/>
        <v>0</v>
      </c>
      <c r="J304" s="469">
        <f t="shared" si="53"/>
        <v>0</v>
      </c>
      <c r="K304" s="469">
        <f t="shared" si="54"/>
        <v>0</v>
      </c>
      <c r="L304" s="470">
        <f t="shared" si="46"/>
        <v>0</v>
      </c>
      <c r="M304" s="470">
        <f t="shared" si="47"/>
        <v>0</v>
      </c>
    </row>
    <row r="305" customHeight="1" spans="1:13">
      <c r="A305" s="473">
        <f t="shared" si="48"/>
        <v>284</v>
      </c>
      <c r="B305" s="478">
        <f t="shared" si="49"/>
        <v>52810</v>
      </c>
      <c r="C305" s="464">
        <f t="shared" si="44"/>
        <v>0</v>
      </c>
      <c r="D305" s="477"/>
      <c r="E305" s="465">
        <f t="shared" si="45"/>
        <v>0</v>
      </c>
      <c r="F305" s="466">
        <f t="shared" si="50"/>
        <v>0</v>
      </c>
      <c r="G305" s="466">
        <f t="shared" si="51"/>
        <v>0</v>
      </c>
      <c r="H305" s="476"/>
      <c r="I305" s="469">
        <f t="shared" si="52"/>
        <v>0</v>
      </c>
      <c r="J305" s="469">
        <f t="shared" si="53"/>
        <v>0</v>
      </c>
      <c r="K305" s="469">
        <f t="shared" si="54"/>
        <v>0</v>
      </c>
      <c r="L305" s="470">
        <f t="shared" si="46"/>
        <v>0</v>
      </c>
      <c r="M305" s="470">
        <f t="shared" si="47"/>
        <v>0</v>
      </c>
    </row>
    <row r="306" customHeight="1" spans="1:13">
      <c r="A306" s="473">
        <f t="shared" si="48"/>
        <v>285</v>
      </c>
      <c r="B306" s="478">
        <f t="shared" si="49"/>
        <v>52841</v>
      </c>
      <c r="C306" s="464">
        <f t="shared" si="44"/>
        <v>0</v>
      </c>
      <c r="D306" s="477"/>
      <c r="E306" s="465">
        <f t="shared" si="45"/>
        <v>0</v>
      </c>
      <c r="F306" s="466">
        <f t="shared" si="50"/>
        <v>0</v>
      </c>
      <c r="G306" s="466">
        <f t="shared" si="51"/>
        <v>0</v>
      </c>
      <c r="H306" s="476"/>
      <c r="I306" s="469">
        <f t="shared" si="52"/>
        <v>0</v>
      </c>
      <c r="J306" s="469">
        <f t="shared" si="53"/>
        <v>0</v>
      </c>
      <c r="K306" s="469">
        <f t="shared" si="54"/>
        <v>0</v>
      </c>
      <c r="L306" s="470">
        <f t="shared" si="46"/>
        <v>0</v>
      </c>
      <c r="M306" s="470">
        <f t="shared" si="47"/>
        <v>0</v>
      </c>
    </row>
    <row r="307" customHeight="1" spans="1:13">
      <c r="A307" s="473">
        <f t="shared" si="48"/>
        <v>286</v>
      </c>
      <c r="B307" s="478">
        <f t="shared" si="49"/>
        <v>52871</v>
      </c>
      <c r="C307" s="464">
        <f t="shared" si="44"/>
        <v>0</v>
      </c>
      <c r="D307" s="477"/>
      <c r="E307" s="465">
        <f t="shared" si="45"/>
        <v>0</v>
      </c>
      <c r="F307" s="466">
        <f t="shared" si="50"/>
        <v>0</v>
      </c>
      <c r="G307" s="466">
        <f t="shared" si="51"/>
        <v>0</v>
      </c>
      <c r="H307" s="476"/>
      <c r="I307" s="469">
        <f t="shared" si="52"/>
        <v>0</v>
      </c>
      <c r="J307" s="469">
        <f t="shared" si="53"/>
        <v>0</v>
      </c>
      <c r="K307" s="469">
        <f t="shared" si="54"/>
        <v>0</v>
      </c>
      <c r="L307" s="470">
        <f t="shared" si="46"/>
        <v>0</v>
      </c>
      <c r="M307" s="470">
        <f t="shared" si="47"/>
        <v>0</v>
      </c>
    </row>
    <row r="308" customHeight="1" spans="1:13">
      <c r="A308" s="473">
        <f t="shared" si="48"/>
        <v>287</v>
      </c>
      <c r="B308" s="478">
        <f t="shared" si="49"/>
        <v>52902</v>
      </c>
      <c r="C308" s="464">
        <f t="shared" si="44"/>
        <v>0</v>
      </c>
      <c r="D308" s="477"/>
      <c r="E308" s="465">
        <f t="shared" si="45"/>
        <v>0</v>
      </c>
      <c r="F308" s="466">
        <f t="shared" si="50"/>
        <v>0</v>
      </c>
      <c r="G308" s="466">
        <f t="shared" si="51"/>
        <v>0</v>
      </c>
      <c r="H308" s="476"/>
      <c r="I308" s="469">
        <f t="shared" si="52"/>
        <v>0</v>
      </c>
      <c r="J308" s="469">
        <f t="shared" si="53"/>
        <v>0</v>
      </c>
      <c r="K308" s="469">
        <f t="shared" si="54"/>
        <v>0</v>
      </c>
      <c r="L308" s="470">
        <f t="shared" si="46"/>
        <v>0</v>
      </c>
      <c r="M308" s="470">
        <f t="shared" si="47"/>
        <v>0</v>
      </c>
    </row>
    <row r="309" customHeight="1" spans="1:13">
      <c r="A309" s="473">
        <f t="shared" si="48"/>
        <v>288</v>
      </c>
      <c r="B309" s="478">
        <f t="shared" si="49"/>
        <v>52932</v>
      </c>
      <c r="C309" s="464">
        <f t="shared" si="44"/>
        <v>0</v>
      </c>
      <c r="D309" s="477"/>
      <c r="E309" s="465">
        <f t="shared" si="45"/>
        <v>0</v>
      </c>
      <c r="F309" s="466">
        <f t="shared" si="50"/>
        <v>0</v>
      </c>
      <c r="G309" s="466">
        <f t="shared" si="51"/>
        <v>0</v>
      </c>
      <c r="H309" s="476"/>
      <c r="I309" s="469">
        <f t="shared" si="52"/>
        <v>0</v>
      </c>
      <c r="J309" s="469">
        <f t="shared" si="53"/>
        <v>0</v>
      </c>
      <c r="K309" s="469">
        <f t="shared" si="54"/>
        <v>0</v>
      </c>
      <c r="L309" s="470">
        <f t="shared" si="46"/>
        <v>0</v>
      </c>
      <c r="M309" s="470">
        <f t="shared" si="47"/>
        <v>0</v>
      </c>
    </row>
    <row r="310" customHeight="1" spans="1:13">
      <c r="A310" s="473">
        <f t="shared" si="48"/>
        <v>289</v>
      </c>
      <c r="B310" s="478">
        <f t="shared" si="49"/>
        <v>52963</v>
      </c>
      <c r="C310" s="464">
        <f t="shared" si="44"/>
        <v>0</v>
      </c>
      <c r="D310" s="477"/>
      <c r="E310" s="465">
        <f t="shared" si="45"/>
        <v>0</v>
      </c>
      <c r="F310" s="466">
        <f t="shared" si="50"/>
        <v>0</v>
      </c>
      <c r="G310" s="466">
        <f t="shared" si="51"/>
        <v>0</v>
      </c>
      <c r="H310" s="476"/>
      <c r="I310" s="469">
        <f t="shared" si="52"/>
        <v>0</v>
      </c>
      <c r="J310" s="469">
        <f t="shared" si="53"/>
        <v>0</v>
      </c>
      <c r="K310" s="469">
        <f t="shared" si="54"/>
        <v>0</v>
      </c>
      <c r="L310" s="470">
        <f t="shared" si="46"/>
        <v>0</v>
      </c>
      <c r="M310" s="470">
        <f t="shared" si="47"/>
        <v>0</v>
      </c>
    </row>
    <row r="311" customHeight="1" spans="1:13">
      <c r="A311" s="473">
        <f t="shared" si="48"/>
        <v>290</v>
      </c>
      <c r="B311" s="478">
        <f t="shared" si="49"/>
        <v>52994</v>
      </c>
      <c r="C311" s="464">
        <f t="shared" si="44"/>
        <v>0</v>
      </c>
      <c r="D311" s="477"/>
      <c r="E311" s="465">
        <f t="shared" si="45"/>
        <v>0</v>
      </c>
      <c r="F311" s="466">
        <f t="shared" si="50"/>
        <v>0</v>
      </c>
      <c r="G311" s="466">
        <f t="shared" si="51"/>
        <v>0</v>
      </c>
      <c r="H311" s="476"/>
      <c r="I311" s="469">
        <f t="shared" si="52"/>
        <v>0</v>
      </c>
      <c r="J311" s="469">
        <f t="shared" si="53"/>
        <v>0</v>
      </c>
      <c r="K311" s="469">
        <f t="shared" si="54"/>
        <v>0</v>
      </c>
      <c r="L311" s="470">
        <f t="shared" si="46"/>
        <v>0</v>
      </c>
      <c r="M311" s="470">
        <f t="shared" si="47"/>
        <v>0</v>
      </c>
    </row>
    <row r="312" customHeight="1" spans="1:13">
      <c r="A312" s="473">
        <f t="shared" si="48"/>
        <v>291</v>
      </c>
      <c r="B312" s="478">
        <f t="shared" si="49"/>
        <v>53022</v>
      </c>
      <c r="C312" s="464">
        <f t="shared" si="44"/>
        <v>0</v>
      </c>
      <c r="D312" s="477"/>
      <c r="E312" s="465">
        <f t="shared" si="45"/>
        <v>0</v>
      </c>
      <c r="F312" s="466">
        <f t="shared" si="50"/>
        <v>0</v>
      </c>
      <c r="G312" s="466">
        <f t="shared" si="51"/>
        <v>0</v>
      </c>
      <c r="H312" s="476"/>
      <c r="I312" s="469">
        <f t="shared" si="52"/>
        <v>0</v>
      </c>
      <c r="J312" s="469">
        <f t="shared" si="53"/>
        <v>0</v>
      </c>
      <c r="K312" s="469">
        <f t="shared" si="54"/>
        <v>0</v>
      </c>
      <c r="L312" s="470">
        <f t="shared" si="46"/>
        <v>0</v>
      </c>
      <c r="M312" s="470">
        <f t="shared" si="47"/>
        <v>0</v>
      </c>
    </row>
    <row r="313" customHeight="1" spans="1:13">
      <c r="A313" s="473">
        <f t="shared" si="48"/>
        <v>292</v>
      </c>
      <c r="B313" s="478">
        <f t="shared" si="49"/>
        <v>53053</v>
      </c>
      <c r="C313" s="464">
        <f t="shared" si="44"/>
        <v>0</v>
      </c>
      <c r="D313" s="477"/>
      <c r="E313" s="465">
        <f t="shared" si="45"/>
        <v>0</v>
      </c>
      <c r="F313" s="466">
        <f t="shared" si="50"/>
        <v>0</v>
      </c>
      <c r="G313" s="466">
        <f t="shared" si="51"/>
        <v>0</v>
      </c>
      <c r="H313" s="476"/>
      <c r="I313" s="469">
        <f t="shared" si="52"/>
        <v>0</v>
      </c>
      <c r="J313" s="469">
        <f t="shared" si="53"/>
        <v>0</v>
      </c>
      <c r="K313" s="469">
        <f t="shared" si="54"/>
        <v>0</v>
      </c>
      <c r="L313" s="470">
        <f t="shared" si="46"/>
        <v>0</v>
      </c>
      <c r="M313" s="470">
        <f t="shared" si="47"/>
        <v>0</v>
      </c>
    </row>
    <row r="314" customHeight="1" spans="1:13">
      <c r="A314" s="473">
        <f t="shared" si="48"/>
        <v>293</v>
      </c>
      <c r="B314" s="478">
        <f t="shared" si="49"/>
        <v>53083</v>
      </c>
      <c r="C314" s="464">
        <f t="shared" si="44"/>
        <v>0</v>
      </c>
      <c r="D314" s="477"/>
      <c r="E314" s="465">
        <f t="shared" si="45"/>
        <v>0</v>
      </c>
      <c r="F314" s="466">
        <f t="shared" si="50"/>
        <v>0</v>
      </c>
      <c r="G314" s="466">
        <f t="shared" si="51"/>
        <v>0</v>
      </c>
      <c r="H314" s="476"/>
      <c r="I314" s="469">
        <f t="shared" si="52"/>
        <v>0</v>
      </c>
      <c r="J314" s="469">
        <f t="shared" si="53"/>
        <v>0</v>
      </c>
      <c r="K314" s="469">
        <f t="shared" si="54"/>
        <v>0</v>
      </c>
      <c r="L314" s="470">
        <f t="shared" si="46"/>
        <v>0</v>
      </c>
      <c r="M314" s="470">
        <f t="shared" si="47"/>
        <v>0</v>
      </c>
    </row>
    <row r="315" customHeight="1" spans="1:13">
      <c r="A315" s="473">
        <f t="shared" si="48"/>
        <v>294</v>
      </c>
      <c r="B315" s="478">
        <f t="shared" si="49"/>
        <v>53114</v>
      </c>
      <c r="C315" s="464">
        <f t="shared" si="44"/>
        <v>0</v>
      </c>
      <c r="D315" s="477"/>
      <c r="E315" s="465">
        <f t="shared" si="45"/>
        <v>0</v>
      </c>
      <c r="F315" s="466">
        <f t="shared" si="50"/>
        <v>0</v>
      </c>
      <c r="G315" s="466">
        <f t="shared" si="51"/>
        <v>0</v>
      </c>
      <c r="H315" s="476"/>
      <c r="I315" s="469">
        <f t="shared" si="52"/>
        <v>0</v>
      </c>
      <c r="J315" s="469">
        <f t="shared" si="53"/>
        <v>0</v>
      </c>
      <c r="K315" s="469">
        <f t="shared" si="54"/>
        <v>0</v>
      </c>
      <c r="L315" s="470">
        <f t="shared" si="46"/>
        <v>0</v>
      </c>
      <c r="M315" s="470">
        <f t="shared" si="47"/>
        <v>0</v>
      </c>
    </row>
    <row r="316" customHeight="1" spans="1:13">
      <c r="A316" s="473">
        <f t="shared" si="48"/>
        <v>295</v>
      </c>
      <c r="B316" s="478">
        <f t="shared" si="49"/>
        <v>53144</v>
      </c>
      <c r="C316" s="464">
        <f t="shared" si="44"/>
        <v>0</v>
      </c>
      <c r="D316" s="477"/>
      <c r="E316" s="465">
        <f t="shared" si="45"/>
        <v>0</v>
      </c>
      <c r="F316" s="466">
        <f t="shared" si="50"/>
        <v>0</v>
      </c>
      <c r="G316" s="466">
        <f t="shared" si="51"/>
        <v>0</v>
      </c>
      <c r="H316" s="476"/>
      <c r="I316" s="469">
        <f t="shared" si="52"/>
        <v>0</v>
      </c>
      <c r="J316" s="469">
        <f t="shared" si="53"/>
        <v>0</v>
      </c>
      <c r="K316" s="469">
        <f t="shared" si="54"/>
        <v>0</v>
      </c>
      <c r="L316" s="470">
        <f t="shared" si="46"/>
        <v>0</v>
      </c>
      <c r="M316" s="470">
        <f t="shared" si="47"/>
        <v>0</v>
      </c>
    </row>
    <row r="317" customHeight="1" spans="1:13">
      <c r="A317" s="473">
        <f t="shared" si="48"/>
        <v>296</v>
      </c>
      <c r="B317" s="478">
        <f t="shared" si="49"/>
        <v>53175</v>
      </c>
      <c r="C317" s="464">
        <f t="shared" si="44"/>
        <v>0</v>
      </c>
      <c r="D317" s="477"/>
      <c r="E317" s="465">
        <f t="shared" si="45"/>
        <v>0</v>
      </c>
      <c r="F317" s="466">
        <f t="shared" si="50"/>
        <v>0</v>
      </c>
      <c r="G317" s="466">
        <f t="shared" si="51"/>
        <v>0</v>
      </c>
      <c r="H317" s="476"/>
      <c r="I317" s="469">
        <f t="shared" si="52"/>
        <v>0</v>
      </c>
      <c r="J317" s="469">
        <f t="shared" si="53"/>
        <v>0</v>
      </c>
      <c r="K317" s="469">
        <f t="shared" si="54"/>
        <v>0</v>
      </c>
      <c r="L317" s="470">
        <f t="shared" si="46"/>
        <v>0</v>
      </c>
      <c r="M317" s="470">
        <f t="shared" si="47"/>
        <v>0</v>
      </c>
    </row>
    <row r="318" customHeight="1" spans="1:13">
      <c r="A318" s="473">
        <f t="shared" si="48"/>
        <v>297</v>
      </c>
      <c r="B318" s="478">
        <f t="shared" si="49"/>
        <v>53206</v>
      </c>
      <c r="C318" s="464">
        <f t="shared" si="44"/>
        <v>0</v>
      </c>
      <c r="D318" s="477"/>
      <c r="E318" s="465">
        <f t="shared" si="45"/>
        <v>0</v>
      </c>
      <c r="F318" s="466">
        <f t="shared" si="50"/>
        <v>0</v>
      </c>
      <c r="G318" s="466">
        <f t="shared" si="51"/>
        <v>0</v>
      </c>
      <c r="H318" s="476"/>
      <c r="I318" s="469">
        <f t="shared" si="52"/>
        <v>0</v>
      </c>
      <c r="J318" s="469">
        <f t="shared" si="53"/>
        <v>0</v>
      </c>
      <c r="K318" s="469">
        <f t="shared" si="54"/>
        <v>0</v>
      </c>
      <c r="L318" s="470">
        <f t="shared" si="46"/>
        <v>0</v>
      </c>
      <c r="M318" s="470">
        <f t="shared" si="47"/>
        <v>0</v>
      </c>
    </row>
    <row r="319" customHeight="1" spans="1:13">
      <c r="A319" s="473">
        <f t="shared" si="48"/>
        <v>298</v>
      </c>
      <c r="B319" s="478">
        <f t="shared" si="49"/>
        <v>53236</v>
      </c>
      <c r="C319" s="464">
        <f t="shared" si="44"/>
        <v>0</v>
      </c>
      <c r="D319" s="477"/>
      <c r="E319" s="465">
        <f t="shared" si="45"/>
        <v>0</v>
      </c>
      <c r="F319" s="466">
        <f t="shared" si="50"/>
        <v>0</v>
      </c>
      <c r="G319" s="466">
        <f t="shared" si="51"/>
        <v>0</v>
      </c>
      <c r="H319" s="476"/>
      <c r="I319" s="469">
        <f t="shared" si="52"/>
        <v>0</v>
      </c>
      <c r="J319" s="469">
        <f t="shared" si="53"/>
        <v>0</v>
      </c>
      <c r="K319" s="469">
        <f t="shared" si="54"/>
        <v>0</v>
      </c>
      <c r="L319" s="470">
        <f t="shared" si="46"/>
        <v>0</v>
      </c>
      <c r="M319" s="470">
        <f t="shared" si="47"/>
        <v>0</v>
      </c>
    </row>
    <row r="320" customHeight="1" spans="1:13">
      <c r="A320" s="473">
        <f t="shared" si="48"/>
        <v>299</v>
      </c>
      <c r="B320" s="478">
        <f t="shared" si="49"/>
        <v>53267</v>
      </c>
      <c r="C320" s="464">
        <f t="shared" si="44"/>
        <v>0</v>
      </c>
      <c r="D320" s="477"/>
      <c r="E320" s="465">
        <f t="shared" si="45"/>
        <v>0</v>
      </c>
      <c r="F320" s="466">
        <f t="shared" si="50"/>
        <v>0</v>
      </c>
      <c r="G320" s="466">
        <f t="shared" si="51"/>
        <v>0</v>
      </c>
      <c r="H320" s="476"/>
      <c r="I320" s="469">
        <f t="shared" si="52"/>
        <v>0</v>
      </c>
      <c r="J320" s="469">
        <f t="shared" si="53"/>
        <v>0</v>
      </c>
      <c r="K320" s="469">
        <f t="shared" si="54"/>
        <v>0</v>
      </c>
      <c r="L320" s="470">
        <f t="shared" si="46"/>
        <v>0</v>
      </c>
      <c r="M320" s="470">
        <f t="shared" si="47"/>
        <v>0</v>
      </c>
    </row>
    <row r="321" customHeight="1" spans="1:13">
      <c r="A321" s="473">
        <f t="shared" si="48"/>
        <v>300</v>
      </c>
      <c r="B321" s="478">
        <f t="shared" si="49"/>
        <v>53297</v>
      </c>
      <c r="C321" s="464">
        <f t="shared" si="44"/>
        <v>0</v>
      </c>
      <c r="D321" s="477"/>
      <c r="E321" s="465">
        <f t="shared" si="45"/>
        <v>0</v>
      </c>
      <c r="F321" s="466">
        <f t="shared" si="50"/>
        <v>0</v>
      </c>
      <c r="G321" s="466">
        <f t="shared" si="51"/>
        <v>0</v>
      </c>
      <c r="H321" s="476"/>
      <c r="I321" s="469">
        <f t="shared" si="52"/>
        <v>0</v>
      </c>
      <c r="J321" s="469">
        <f t="shared" si="53"/>
        <v>0</v>
      </c>
      <c r="K321" s="469">
        <f t="shared" si="54"/>
        <v>0</v>
      </c>
      <c r="L321" s="470">
        <f t="shared" si="46"/>
        <v>0</v>
      </c>
      <c r="M321" s="470">
        <f t="shared" si="47"/>
        <v>0</v>
      </c>
    </row>
    <row r="322" customHeight="1" spans="1:13">
      <c r="A322" s="473">
        <f t="shared" si="48"/>
        <v>301</v>
      </c>
      <c r="B322" s="478">
        <f t="shared" si="49"/>
        <v>53328</v>
      </c>
      <c r="C322" s="464">
        <f t="shared" si="44"/>
        <v>0</v>
      </c>
      <c r="D322" s="477"/>
      <c r="E322" s="465">
        <f t="shared" si="45"/>
        <v>0</v>
      </c>
      <c r="F322" s="466">
        <f t="shared" si="50"/>
        <v>0</v>
      </c>
      <c r="G322" s="466">
        <f t="shared" si="51"/>
        <v>0</v>
      </c>
      <c r="H322" s="476"/>
      <c r="I322" s="469">
        <f t="shared" si="52"/>
        <v>0</v>
      </c>
      <c r="J322" s="469">
        <f t="shared" si="53"/>
        <v>0</v>
      </c>
      <c r="K322" s="469">
        <f t="shared" si="54"/>
        <v>0</v>
      </c>
      <c r="L322" s="470">
        <f t="shared" si="46"/>
        <v>0</v>
      </c>
      <c r="M322" s="470">
        <f t="shared" si="47"/>
        <v>0</v>
      </c>
    </row>
    <row r="323" customHeight="1" spans="1:13">
      <c r="A323" s="473">
        <f t="shared" si="48"/>
        <v>302</v>
      </c>
      <c r="B323" s="478">
        <f t="shared" si="49"/>
        <v>53359</v>
      </c>
      <c r="C323" s="464">
        <f t="shared" si="44"/>
        <v>0</v>
      </c>
      <c r="D323" s="477"/>
      <c r="E323" s="465">
        <f t="shared" si="45"/>
        <v>0</v>
      </c>
      <c r="F323" s="466">
        <f t="shared" si="50"/>
        <v>0</v>
      </c>
      <c r="G323" s="466">
        <f t="shared" si="51"/>
        <v>0</v>
      </c>
      <c r="H323" s="476"/>
      <c r="I323" s="469">
        <f t="shared" si="52"/>
        <v>0</v>
      </c>
      <c r="J323" s="469">
        <f t="shared" si="53"/>
        <v>0</v>
      </c>
      <c r="K323" s="469">
        <f t="shared" si="54"/>
        <v>0</v>
      </c>
      <c r="L323" s="470">
        <f t="shared" si="46"/>
        <v>0</v>
      </c>
      <c r="M323" s="470">
        <f t="shared" si="47"/>
        <v>0</v>
      </c>
    </row>
    <row r="324" customHeight="1" spans="1:13">
      <c r="A324" s="473">
        <f t="shared" si="48"/>
        <v>303</v>
      </c>
      <c r="B324" s="478">
        <f t="shared" si="49"/>
        <v>53387</v>
      </c>
      <c r="C324" s="464">
        <f t="shared" si="44"/>
        <v>0</v>
      </c>
      <c r="D324" s="477"/>
      <c r="E324" s="465">
        <f t="shared" si="45"/>
        <v>0</v>
      </c>
      <c r="F324" s="466">
        <f t="shared" si="50"/>
        <v>0</v>
      </c>
      <c r="G324" s="466">
        <f t="shared" si="51"/>
        <v>0</v>
      </c>
      <c r="H324" s="476"/>
      <c r="I324" s="469">
        <f t="shared" si="52"/>
        <v>0</v>
      </c>
      <c r="J324" s="469">
        <f t="shared" si="53"/>
        <v>0</v>
      </c>
      <c r="K324" s="469">
        <f t="shared" si="54"/>
        <v>0</v>
      </c>
      <c r="L324" s="470">
        <f t="shared" si="46"/>
        <v>0</v>
      </c>
      <c r="M324" s="470">
        <f t="shared" si="47"/>
        <v>0</v>
      </c>
    </row>
    <row r="325" customHeight="1" spans="1:13">
      <c r="A325" s="473">
        <f t="shared" si="48"/>
        <v>304</v>
      </c>
      <c r="B325" s="478">
        <f t="shared" si="49"/>
        <v>53418</v>
      </c>
      <c r="C325" s="464">
        <f t="shared" si="44"/>
        <v>0</v>
      </c>
      <c r="D325" s="477"/>
      <c r="E325" s="465">
        <f t="shared" si="45"/>
        <v>0</v>
      </c>
      <c r="F325" s="466">
        <f t="shared" si="50"/>
        <v>0</v>
      </c>
      <c r="G325" s="466">
        <f t="shared" si="51"/>
        <v>0</v>
      </c>
      <c r="H325" s="476"/>
      <c r="I325" s="469">
        <f t="shared" si="52"/>
        <v>0</v>
      </c>
      <c r="J325" s="469">
        <f t="shared" si="53"/>
        <v>0</v>
      </c>
      <c r="K325" s="469">
        <f t="shared" si="54"/>
        <v>0</v>
      </c>
      <c r="L325" s="470">
        <f t="shared" si="46"/>
        <v>0</v>
      </c>
      <c r="M325" s="470">
        <f t="shared" si="47"/>
        <v>0</v>
      </c>
    </row>
    <row r="326" customHeight="1" spans="1:13">
      <c r="A326" s="473">
        <f t="shared" si="48"/>
        <v>305</v>
      </c>
      <c r="B326" s="478">
        <f t="shared" si="49"/>
        <v>53448</v>
      </c>
      <c r="C326" s="464">
        <f t="shared" si="44"/>
        <v>0</v>
      </c>
      <c r="D326" s="477"/>
      <c r="E326" s="465">
        <f t="shared" si="45"/>
        <v>0</v>
      </c>
      <c r="F326" s="466">
        <f t="shared" si="50"/>
        <v>0</v>
      </c>
      <c r="G326" s="466">
        <f t="shared" si="51"/>
        <v>0</v>
      </c>
      <c r="H326" s="476"/>
      <c r="I326" s="469">
        <f t="shared" si="52"/>
        <v>0</v>
      </c>
      <c r="J326" s="469">
        <f t="shared" si="53"/>
        <v>0</v>
      </c>
      <c r="K326" s="469">
        <f t="shared" si="54"/>
        <v>0</v>
      </c>
      <c r="L326" s="470">
        <f t="shared" si="46"/>
        <v>0</v>
      </c>
      <c r="M326" s="470">
        <f t="shared" si="47"/>
        <v>0</v>
      </c>
    </row>
    <row r="327" customHeight="1" spans="1:13">
      <c r="A327" s="473">
        <f t="shared" si="48"/>
        <v>306</v>
      </c>
      <c r="B327" s="478">
        <f t="shared" si="49"/>
        <v>53479</v>
      </c>
      <c r="C327" s="464">
        <f t="shared" si="44"/>
        <v>0</v>
      </c>
      <c r="D327" s="477"/>
      <c r="E327" s="465">
        <f t="shared" si="45"/>
        <v>0</v>
      </c>
      <c r="F327" s="466">
        <f t="shared" si="50"/>
        <v>0</v>
      </c>
      <c r="G327" s="466">
        <f t="shared" si="51"/>
        <v>0</v>
      </c>
      <c r="H327" s="476"/>
      <c r="I327" s="469">
        <f t="shared" si="52"/>
        <v>0</v>
      </c>
      <c r="J327" s="469">
        <f t="shared" si="53"/>
        <v>0</v>
      </c>
      <c r="K327" s="469">
        <f t="shared" si="54"/>
        <v>0</v>
      </c>
      <c r="L327" s="470">
        <f t="shared" si="46"/>
        <v>0</v>
      </c>
      <c r="M327" s="470">
        <f t="shared" si="47"/>
        <v>0</v>
      </c>
    </row>
    <row r="328" customHeight="1" spans="1:13">
      <c r="A328" s="473">
        <f t="shared" si="48"/>
        <v>307</v>
      </c>
      <c r="B328" s="478">
        <f t="shared" si="49"/>
        <v>53509</v>
      </c>
      <c r="C328" s="464">
        <f t="shared" si="44"/>
        <v>0</v>
      </c>
      <c r="D328" s="477"/>
      <c r="E328" s="465">
        <f t="shared" si="45"/>
        <v>0</v>
      </c>
      <c r="F328" s="466">
        <f t="shared" si="50"/>
        <v>0</v>
      </c>
      <c r="G328" s="466">
        <f t="shared" si="51"/>
        <v>0</v>
      </c>
      <c r="H328" s="476"/>
      <c r="I328" s="469">
        <f t="shared" si="52"/>
        <v>0</v>
      </c>
      <c r="J328" s="469">
        <f t="shared" si="53"/>
        <v>0</v>
      </c>
      <c r="K328" s="469">
        <f t="shared" si="54"/>
        <v>0</v>
      </c>
      <c r="L328" s="470">
        <f t="shared" si="46"/>
        <v>0</v>
      </c>
      <c r="M328" s="470">
        <f t="shared" si="47"/>
        <v>0</v>
      </c>
    </row>
    <row r="329" customHeight="1" spans="1:13">
      <c r="A329" s="473">
        <f t="shared" si="48"/>
        <v>308</v>
      </c>
      <c r="B329" s="478">
        <f t="shared" si="49"/>
        <v>53540</v>
      </c>
      <c r="C329" s="464">
        <f t="shared" si="44"/>
        <v>0</v>
      </c>
      <c r="D329" s="477"/>
      <c r="E329" s="465">
        <f t="shared" si="45"/>
        <v>0</v>
      </c>
      <c r="F329" s="466">
        <f t="shared" si="50"/>
        <v>0</v>
      </c>
      <c r="G329" s="466">
        <f t="shared" si="51"/>
        <v>0</v>
      </c>
      <c r="H329" s="476"/>
      <c r="I329" s="469">
        <f t="shared" si="52"/>
        <v>0</v>
      </c>
      <c r="J329" s="469">
        <f t="shared" si="53"/>
        <v>0</v>
      </c>
      <c r="K329" s="469">
        <f t="shared" si="54"/>
        <v>0</v>
      </c>
      <c r="L329" s="470">
        <f t="shared" si="46"/>
        <v>0</v>
      </c>
      <c r="M329" s="470">
        <f t="shared" si="47"/>
        <v>0</v>
      </c>
    </row>
    <row r="330" customHeight="1" spans="1:13">
      <c r="A330" s="473">
        <f t="shared" si="48"/>
        <v>309</v>
      </c>
      <c r="B330" s="478">
        <f t="shared" si="49"/>
        <v>53571</v>
      </c>
      <c r="C330" s="464">
        <f t="shared" si="44"/>
        <v>0</v>
      </c>
      <c r="D330" s="477"/>
      <c r="E330" s="465">
        <f t="shared" si="45"/>
        <v>0</v>
      </c>
      <c r="F330" s="466">
        <f t="shared" si="50"/>
        <v>0</v>
      </c>
      <c r="G330" s="466">
        <f t="shared" si="51"/>
        <v>0</v>
      </c>
      <c r="H330" s="476"/>
      <c r="I330" s="469">
        <f t="shared" si="52"/>
        <v>0</v>
      </c>
      <c r="J330" s="469">
        <f t="shared" si="53"/>
        <v>0</v>
      </c>
      <c r="K330" s="469">
        <f t="shared" si="54"/>
        <v>0</v>
      </c>
      <c r="L330" s="470">
        <f t="shared" si="46"/>
        <v>0</v>
      </c>
      <c r="M330" s="470">
        <f t="shared" si="47"/>
        <v>0</v>
      </c>
    </row>
    <row r="331" customHeight="1" spans="1:13">
      <c r="A331" s="473">
        <f t="shared" si="48"/>
        <v>310</v>
      </c>
      <c r="B331" s="478">
        <f t="shared" si="49"/>
        <v>53601</v>
      </c>
      <c r="C331" s="464">
        <f t="shared" si="44"/>
        <v>0</v>
      </c>
      <c r="D331" s="477"/>
      <c r="E331" s="465">
        <f t="shared" si="45"/>
        <v>0</v>
      </c>
      <c r="F331" s="466">
        <f t="shared" si="50"/>
        <v>0</v>
      </c>
      <c r="G331" s="466">
        <f t="shared" si="51"/>
        <v>0</v>
      </c>
      <c r="H331" s="476"/>
      <c r="I331" s="469">
        <f t="shared" si="52"/>
        <v>0</v>
      </c>
      <c r="J331" s="469">
        <f t="shared" si="53"/>
        <v>0</v>
      </c>
      <c r="K331" s="469">
        <f t="shared" si="54"/>
        <v>0</v>
      </c>
      <c r="L331" s="470">
        <f t="shared" si="46"/>
        <v>0</v>
      </c>
      <c r="M331" s="470">
        <f t="shared" si="47"/>
        <v>0</v>
      </c>
    </row>
    <row r="332" customHeight="1" spans="1:13">
      <c r="A332" s="473">
        <f t="shared" si="48"/>
        <v>311</v>
      </c>
      <c r="B332" s="478">
        <f t="shared" si="49"/>
        <v>53632</v>
      </c>
      <c r="C332" s="464">
        <f t="shared" si="44"/>
        <v>0</v>
      </c>
      <c r="D332" s="477"/>
      <c r="E332" s="465">
        <f t="shared" si="45"/>
        <v>0</v>
      </c>
      <c r="F332" s="466">
        <f t="shared" si="50"/>
        <v>0</v>
      </c>
      <c r="G332" s="466">
        <f t="shared" si="51"/>
        <v>0</v>
      </c>
      <c r="H332" s="476"/>
      <c r="I332" s="469">
        <f t="shared" si="52"/>
        <v>0</v>
      </c>
      <c r="J332" s="469">
        <f t="shared" si="53"/>
        <v>0</v>
      </c>
      <c r="K332" s="469">
        <f t="shared" si="54"/>
        <v>0</v>
      </c>
      <c r="L332" s="470">
        <f t="shared" si="46"/>
        <v>0</v>
      </c>
      <c r="M332" s="470">
        <f t="shared" si="47"/>
        <v>0</v>
      </c>
    </row>
    <row r="333" customHeight="1" spans="1:13">
      <c r="A333" s="473">
        <f t="shared" si="48"/>
        <v>312</v>
      </c>
      <c r="B333" s="478">
        <f t="shared" si="49"/>
        <v>53662</v>
      </c>
      <c r="C333" s="464">
        <f t="shared" si="44"/>
        <v>0</v>
      </c>
      <c r="D333" s="477"/>
      <c r="E333" s="465">
        <f t="shared" si="45"/>
        <v>0</v>
      </c>
      <c r="F333" s="466">
        <f t="shared" si="50"/>
        <v>0</v>
      </c>
      <c r="G333" s="466">
        <f t="shared" si="51"/>
        <v>0</v>
      </c>
      <c r="H333" s="476"/>
      <c r="I333" s="469">
        <f t="shared" si="52"/>
        <v>0</v>
      </c>
      <c r="J333" s="469">
        <f t="shared" si="53"/>
        <v>0</v>
      </c>
      <c r="K333" s="469">
        <f t="shared" si="54"/>
        <v>0</v>
      </c>
      <c r="L333" s="470">
        <f t="shared" si="46"/>
        <v>0</v>
      </c>
      <c r="M333" s="470">
        <f t="shared" si="47"/>
        <v>0</v>
      </c>
    </row>
    <row r="334" customHeight="1" spans="1:13">
      <c r="A334" s="473">
        <f t="shared" si="48"/>
        <v>313</v>
      </c>
      <c r="B334" s="478">
        <f t="shared" si="49"/>
        <v>53693</v>
      </c>
      <c r="C334" s="464">
        <f t="shared" si="44"/>
        <v>0</v>
      </c>
      <c r="D334" s="477"/>
      <c r="E334" s="465">
        <f t="shared" si="45"/>
        <v>0</v>
      </c>
      <c r="F334" s="466">
        <f t="shared" si="50"/>
        <v>0</v>
      </c>
      <c r="G334" s="466">
        <f t="shared" si="51"/>
        <v>0</v>
      </c>
      <c r="H334" s="476"/>
      <c r="I334" s="469">
        <f t="shared" si="52"/>
        <v>0</v>
      </c>
      <c r="J334" s="469">
        <f t="shared" si="53"/>
        <v>0</v>
      </c>
      <c r="K334" s="469">
        <f t="shared" si="54"/>
        <v>0</v>
      </c>
      <c r="L334" s="470">
        <f t="shared" si="46"/>
        <v>0</v>
      </c>
      <c r="M334" s="470">
        <f t="shared" si="47"/>
        <v>0</v>
      </c>
    </row>
    <row r="335" customHeight="1" spans="1:13">
      <c r="A335" s="473">
        <f t="shared" si="48"/>
        <v>314</v>
      </c>
      <c r="B335" s="478">
        <f t="shared" si="49"/>
        <v>53724</v>
      </c>
      <c r="C335" s="464">
        <f t="shared" si="44"/>
        <v>0</v>
      </c>
      <c r="D335" s="477"/>
      <c r="E335" s="465">
        <f t="shared" si="45"/>
        <v>0</v>
      </c>
      <c r="F335" s="466">
        <f t="shared" si="50"/>
        <v>0</v>
      </c>
      <c r="G335" s="466">
        <f t="shared" si="51"/>
        <v>0</v>
      </c>
      <c r="H335" s="476"/>
      <c r="I335" s="469">
        <f t="shared" si="52"/>
        <v>0</v>
      </c>
      <c r="J335" s="469">
        <f t="shared" si="53"/>
        <v>0</v>
      </c>
      <c r="K335" s="469">
        <f t="shared" si="54"/>
        <v>0</v>
      </c>
      <c r="L335" s="470">
        <f t="shared" si="46"/>
        <v>0</v>
      </c>
      <c r="M335" s="470">
        <f t="shared" si="47"/>
        <v>0</v>
      </c>
    </row>
    <row r="336" customHeight="1" spans="1:13">
      <c r="A336" s="473">
        <f t="shared" si="48"/>
        <v>315</v>
      </c>
      <c r="B336" s="478">
        <f t="shared" si="49"/>
        <v>53752</v>
      </c>
      <c r="C336" s="464">
        <f t="shared" si="44"/>
        <v>0</v>
      </c>
      <c r="D336" s="477"/>
      <c r="E336" s="465">
        <f t="shared" si="45"/>
        <v>0</v>
      </c>
      <c r="F336" s="466">
        <f t="shared" si="50"/>
        <v>0</v>
      </c>
      <c r="G336" s="466">
        <f t="shared" si="51"/>
        <v>0</v>
      </c>
      <c r="H336" s="476"/>
      <c r="I336" s="469">
        <f t="shared" si="52"/>
        <v>0</v>
      </c>
      <c r="J336" s="469">
        <f t="shared" si="53"/>
        <v>0</v>
      </c>
      <c r="K336" s="469">
        <f t="shared" si="54"/>
        <v>0</v>
      </c>
      <c r="L336" s="470">
        <f t="shared" si="46"/>
        <v>0</v>
      </c>
      <c r="M336" s="470">
        <f t="shared" si="47"/>
        <v>0</v>
      </c>
    </row>
    <row r="337" customHeight="1" spans="1:14">
      <c r="A337" s="473">
        <f t="shared" si="48"/>
        <v>316</v>
      </c>
      <c r="B337" s="478">
        <f t="shared" si="49"/>
        <v>53783</v>
      </c>
      <c r="C337" s="464">
        <f t="shared" si="44"/>
        <v>0</v>
      </c>
      <c r="D337" s="477"/>
      <c r="E337" s="465">
        <f t="shared" si="45"/>
        <v>0</v>
      </c>
      <c r="F337" s="466">
        <f t="shared" si="50"/>
        <v>0</v>
      </c>
      <c r="G337" s="466">
        <f t="shared" si="51"/>
        <v>0</v>
      </c>
      <c r="H337" s="476"/>
      <c r="I337" s="469">
        <f t="shared" si="52"/>
        <v>0</v>
      </c>
      <c r="J337" s="469">
        <f t="shared" si="53"/>
        <v>0</v>
      </c>
      <c r="K337" s="469">
        <f t="shared" si="54"/>
        <v>0</v>
      </c>
      <c r="L337" s="470">
        <f t="shared" si="46"/>
        <v>0</v>
      </c>
      <c r="M337" s="470">
        <f t="shared" si="47"/>
        <v>0</v>
      </c>
    </row>
    <row r="338" customHeight="1" spans="1:14">
      <c r="A338" s="473">
        <f t="shared" si="48"/>
        <v>317</v>
      </c>
      <c r="B338" s="478">
        <f t="shared" si="49"/>
        <v>53813</v>
      </c>
      <c r="C338" s="464">
        <f t="shared" si="44"/>
        <v>0</v>
      </c>
      <c r="D338" s="477"/>
      <c r="E338" s="465">
        <f t="shared" si="45"/>
        <v>0</v>
      </c>
      <c r="F338" s="466">
        <f t="shared" si="50"/>
        <v>0</v>
      </c>
      <c r="G338" s="466">
        <f t="shared" si="51"/>
        <v>0</v>
      </c>
      <c r="H338" s="476"/>
      <c r="I338" s="469">
        <f t="shared" si="52"/>
        <v>0</v>
      </c>
      <c r="J338" s="469">
        <f t="shared" si="53"/>
        <v>0</v>
      </c>
      <c r="K338" s="469">
        <f t="shared" si="54"/>
        <v>0</v>
      </c>
      <c r="L338" s="470">
        <f t="shared" si="46"/>
        <v>0</v>
      </c>
      <c r="M338" s="470">
        <f t="shared" si="47"/>
        <v>0</v>
      </c>
    </row>
    <row r="339" customHeight="1" spans="1:14">
      <c r="A339" s="473">
        <f t="shared" si="48"/>
        <v>318</v>
      </c>
      <c r="B339" s="478">
        <f t="shared" si="49"/>
        <v>53844</v>
      </c>
      <c r="C339" s="464">
        <f t="shared" si="44"/>
        <v>0</v>
      </c>
      <c r="D339" s="477"/>
      <c r="E339" s="465">
        <f t="shared" si="45"/>
        <v>0</v>
      </c>
      <c r="F339" s="466">
        <f t="shared" si="50"/>
        <v>0</v>
      </c>
      <c r="G339" s="466">
        <f t="shared" si="51"/>
        <v>0</v>
      </c>
      <c r="H339" s="476"/>
      <c r="I339" s="469">
        <f t="shared" si="52"/>
        <v>0</v>
      </c>
      <c r="J339" s="469">
        <f t="shared" si="53"/>
        <v>0</v>
      </c>
      <c r="K339" s="469">
        <f t="shared" si="54"/>
        <v>0</v>
      </c>
      <c r="L339" s="470">
        <f t="shared" si="46"/>
        <v>0</v>
      </c>
      <c r="M339" s="470">
        <f t="shared" si="47"/>
        <v>0</v>
      </c>
    </row>
    <row r="340" customHeight="1" spans="1:14">
      <c r="A340" s="473">
        <f t="shared" si="48"/>
        <v>319</v>
      </c>
      <c r="B340" s="478">
        <f t="shared" si="49"/>
        <v>53874</v>
      </c>
      <c r="C340" s="464">
        <f t="shared" si="44"/>
        <v>0</v>
      </c>
      <c r="D340" s="477"/>
      <c r="E340" s="465">
        <f t="shared" si="45"/>
        <v>0</v>
      </c>
      <c r="F340" s="466">
        <f t="shared" si="50"/>
        <v>0</v>
      </c>
      <c r="G340" s="466">
        <f t="shared" si="51"/>
        <v>0</v>
      </c>
      <c r="H340" s="476"/>
      <c r="I340" s="469">
        <f t="shared" si="52"/>
        <v>0</v>
      </c>
      <c r="J340" s="469">
        <f t="shared" si="53"/>
        <v>0</v>
      </c>
      <c r="K340" s="469">
        <f t="shared" si="54"/>
        <v>0</v>
      </c>
      <c r="L340" s="470">
        <f t="shared" si="46"/>
        <v>0</v>
      </c>
      <c r="M340" s="470">
        <f t="shared" si="47"/>
        <v>0</v>
      </c>
    </row>
    <row r="341" customHeight="1" spans="1:14">
      <c r="A341" s="473">
        <f t="shared" si="48"/>
        <v>320</v>
      </c>
      <c r="B341" s="478">
        <f t="shared" si="49"/>
        <v>53905</v>
      </c>
      <c r="C341" s="464">
        <f t="shared" si="44"/>
        <v>0</v>
      </c>
      <c r="D341" s="477"/>
      <c r="E341" s="465">
        <f t="shared" si="45"/>
        <v>0</v>
      </c>
      <c r="F341" s="466">
        <f t="shared" si="50"/>
        <v>0</v>
      </c>
      <c r="G341" s="466">
        <f t="shared" si="51"/>
        <v>0</v>
      </c>
      <c r="H341" s="476"/>
      <c r="I341" s="469">
        <f t="shared" si="52"/>
        <v>0</v>
      </c>
      <c r="J341" s="469">
        <f t="shared" si="53"/>
        <v>0</v>
      </c>
      <c r="K341" s="469">
        <f t="shared" si="54"/>
        <v>0</v>
      </c>
      <c r="L341" s="470">
        <f t="shared" si="46"/>
        <v>0</v>
      </c>
      <c r="M341" s="470">
        <f t="shared" si="47"/>
        <v>0</v>
      </c>
    </row>
    <row r="342" customHeight="1" spans="1:14">
      <c r="A342" s="473">
        <f t="shared" si="48"/>
        <v>321</v>
      </c>
      <c r="B342" s="478">
        <f t="shared" si="49"/>
        <v>53936</v>
      </c>
      <c r="C342" s="464">
        <f t="shared" ref="C342:C348" si="55">IF(AND(A342&lt;=$C$18,MONTH(B342)=$E$20,B342&lt;=$C$16,IF($O$20="期末",B342&gt;=EDATE($C$15,12),B342&gt;$C$15)),$C$20,0)</f>
        <v>0</v>
      </c>
      <c r="D342" s="477"/>
      <c r="E342" s="465">
        <f t="shared" ref="E342:E348" si="56">(D342+C342)/(POWER((1+$C$17/12),A342-1))</f>
        <v>0</v>
      </c>
      <c r="F342" s="466">
        <f t="shared" si="50"/>
        <v>0</v>
      </c>
      <c r="G342" s="466">
        <f t="shared" si="51"/>
        <v>0</v>
      </c>
      <c r="H342" s="476"/>
      <c r="I342" s="469">
        <f t="shared" si="52"/>
        <v>0</v>
      </c>
      <c r="J342" s="469">
        <f t="shared" si="53"/>
        <v>0</v>
      </c>
      <c r="K342" s="469">
        <f t="shared" si="54"/>
        <v>0</v>
      </c>
      <c r="L342" s="470">
        <f t="shared" ref="L342:L348" si="57">IF(G342=0,0,G342*$C$19)</f>
        <v>0</v>
      </c>
      <c r="M342" s="470">
        <f t="shared" ref="M342:M348" si="58">IF(K342=0,0,K342*$C$19)</f>
        <v>0</v>
      </c>
    </row>
    <row r="343" customHeight="1" spans="1:14">
      <c r="A343" s="473">
        <f t="shared" ref="A343:A348" si="59">A342+1</f>
        <v>322</v>
      </c>
      <c r="B343" s="478">
        <f t="shared" ref="B343:B348" si="60">EDATE(B342,1)</f>
        <v>53966</v>
      </c>
      <c r="C343" s="464">
        <f t="shared" si="55"/>
        <v>0</v>
      </c>
      <c r="D343" s="477"/>
      <c r="E343" s="465">
        <f t="shared" si="56"/>
        <v>0</v>
      </c>
      <c r="F343" s="466">
        <f t="shared" ref="F343:F348" si="61">IF(OR(B343&gt;$C$16,A343&gt;$C$18),0,$C$17/12*(G342-C343))</f>
        <v>0</v>
      </c>
      <c r="G343" s="466">
        <f t="shared" ref="G343:G348" si="62">IF(OR(B343&gt;$C$16,A343&gt;$C$18),0,G342-C343+F343)</f>
        <v>0</v>
      </c>
      <c r="H343" s="476"/>
      <c r="I343" s="469">
        <f t="shared" ref="I343:I348" si="63">IF(OR(B343&gt;$C$16,($A343-1)&gt;=MIN($C$18,$L$20),MIN($C$18,$L$20)&lt;=1),0,($E$349+$H$349)/MAX(MIN($C$18,$L$20)-1,1))</f>
        <v>0</v>
      </c>
      <c r="J343" s="469">
        <f t="shared" ref="J343:J348" si="64">IF(I343=0,0,J342+I343)</f>
        <v>0</v>
      </c>
      <c r="K343" s="469">
        <f t="shared" ref="K343:K348" si="65">IF(OR(B343&gt;$C$16,A343&gt;$C$18),0,K342-I343)</f>
        <v>0</v>
      </c>
      <c r="L343" s="470">
        <f t="shared" si="57"/>
        <v>0</v>
      </c>
      <c r="M343" s="470">
        <f t="shared" si="58"/>
        <v>0</v>
      </c>
    </row>
    <row r="344" customHeight="1" spans="1:14">
      <c r="A344" s="473">
        <f t="shared" si="59"/>
        <v>323</v>
      </c>
      <c r="B344" s="478">
        <f t="shared" si="60"/>
        <v>53997</v>
      </c>
      <c r="C344" s="464">
        <f t="shared" si="55"/>
        <v>0</v>
      </c>
      <c r="D344" s="477"/>
      <c r="E344" s="465">
        <f t="shared" si="56"/>
        <v>0</v>
      </c>
      <c r="F344" s="466">
        <f t="shared" si="61"/>
        <v>0</v>
      </c>
      <c r="G344" s="466">
        <f t="shared" si="62"/>
        <v>0</v>
      </c>
      <c r="H344" s="476"/>
      <c r="I344" s="469">
        <f t="shared" si="63"/>
        <v>0</v>
      </c>
      <c r="J344" s="469">
        <f t="shared" si="64"/>
        <v>0</v>
      </c>
      <c r="K344" s="469">
        <f t="shared" si="65"/>
        <v>0</v>
      </c>
      <c r="L344" s="470">
        <f t="shared" si="57"/>
        <v>0</v>
      </c>
      <c r="M344" s="470">
        <f t="shared" si="58"/>
        <v>0</v>
      </c>
    </row>
    <row r="345" customHeight="1" spans="1:14">
      <c r="A345" s="473">
        <f t="shared" si="59"/>
        <v>324</v>
      </c>
      <c r="B345" s="478">
        <f t="shared" si="60"/>
        <v>54027</v>
      </c>
      <c r="C345" s="464">
        <f t="shared" si="55"/>
        <v>0</v>
      </c>
      <c r="D345" s="477"/>
      <c r="E345" s="465">
        <f t="shared" si="56"/>
        <v>0</v>
      </c>
      <c r="F345" s="466">
        <f t="shared" si="61"/>
        <v>0</v>
      </c>
      <c r="G345" s="466">
        <f t="shared" si="62"/>
        <v>0</v>
      </c>
      <c r="H345" s="476"/>
      <c r="I345" s="469">
        <f t="shared" si="63"/>
        <v>0</v>
      </c>
      <c r="J345" s="469">
        <f t="shared" si="64"/>
        <v>0</v>
      </c>
      <c r="K345" s="469">
        <f t="shared" si="65"/>
        <v>0</v>
      </c>
      <c r="L345" s="470">
        <f t="shared" si="57"/>
        <v>0</v>
      </c>
      <c r="M345" s="470">
        <f t="shared" si="58"/>
        <v>0</v>
      </c>
    </row>
    <row r="346" customHeight="1" spans="1:14">
      <c r="A346" s="473">
        <f t="shared" si="59"/>
        <v>325</v>
      </c>
      <c r="B346" s="478">
        <f t="shared" si="60"/>
        <v>54058</v>
      </c>
      <c r="C346" s="464">
        <f t="shared" si="55"/>
        <v>0</v>
      </c>
      <c r="D346" s="477"/>
      <c r="E346" s="465">
        <f t="shared" si="56"/>
        <v>0</v>
      </c>
      <c r="F346" s="466">
        <f t="shared" si="61"/>
        <v>0</v>
      </c>
      <c r="G346" s="466">
        <f t="shared" si="62"/>
        <v>0</v>
      </c>
      <c r="H346" s="476"/>
      <c r="I346" s="469">
        <f t="shared" si="63"/>
        <v>0</v>
      </c>
      <c r="J346" s="469">
        <f t="shared" si="64"/>
        <v>0</v>
      </c>
      <c r="K346" s="469">
        <f t="shared" si="65"/>
        <v>0</v>
      </c>
      <c r="L346" s="470">
        <f t="shared" si="57"/>
        <v>0</v>
      </c>
      <c r="M346" s="470">
        <f t="shared" si="58"/>
        <v>0</v>
      </c>
    </row>
    <row r="347" customHeight="1" spans="1:14">
      <c r="A347" s="473">
        <f t="shared" si="59"/>
        <v>326</v>
      </c>
      <c r="B347" s="478">
        <f t="shared" si="60"/>
        <v>54089</v>
      </c>
      <c r="C347" s="464">
        <f t="shared" si="55"/>
        <v>0</v>
      </c>
      <c r="D347" s="477"/>
      <c r="E347" s="465">
        <f t="shared" si="56"/>
        <v>0</v>
      </c>
      <c r="F347" s="466">
        <f t="shared" si="61"/>
        <v>0</v>
      </c>
      <c r="G347" s="466">
        <f t="shared" si="62"/>
        <v>0</v>
      </c>
      <c r="H347" s="476"/>
      <c r="I347" s="469">
        <f t="shared" si="63"/>
        <v>0</v>
      </c>
      <c r="J347" s="469">
        <f t="shared" si="64"/>
        <v>0</v>
      </c>
      <c r="K347" s="469">
        <f t="shared" si="65"/>
        <v>0</v>
      </c>
      <c r="L347" s="470">
        <f t="shared" si="57"/>
        <v>0</v>
      </c>
      <c r="M347" s="470">
        <f t="shared" si="58"/>
        <v>0</v>
      </c>
    </row>
    <row r="348" customHeight="1" spans="1:14">
      <c r="A348" s="473">
        <f t="shared" si="59"/>
        <v>327</v>
      </c>
      <c r="B348" s="478">
        <f t="shared" si="60"/>
        <v>54118</v>
      </c>
      <c r="C348" s="464">
        <f t="shared" si="55"/>
        <v>0</v>
      </c>
      <c r="D348" s="477"/>
      <c r="E348" s="465">
        <f t="shared" si="56"/>
        <v>0</v>
      </c>
      <c r="F348" s="466">
        <f t="shared" si="61"/>
        <v>0</v>
      </c>
      <c r="G348" s="466">
        <f t="shared" si="62"/>
        <v>0</v>
      </c>
      <c r="H348" s="476"/>
      <c r="I348" s="469">
        <f t="shared" si="63"/>
        <v>0</v>
      </c>
      <c r="J348" s="469">
        <f t="shared" si="64"/>
        <v>0</v>
      </c>
      <c r="K348" s="469">
        <f t="shared" si="65"/>
        <v>0</v>
      </c>
      <c r="L348" s="470">
        <f t="shared" si="57"/>
        <v>0</v>
      </c>
      <c r="M348" s="470">
        <f t="shared" si="58"/>
        <v>0</v>
      </c>
    </row>
    <row r="349" s="405" customFormat="1" customHeight="1" spans="1:14">
      <c r="A349" s="483"/>
      <c r="B349" s="484" t="s">
        <v>139</v>
      </c>
      <c r="C349" s="485">
        <f>SUM(C22:C348)</f>
        <v>450000</v>
      </c>
      <c r="D349" s="486">
        <f>SUM(D22:D348)</f>
        <v>0</v>
      </c>
      <c r="E349" s="486">
        <f>SUM(E22:E348)</f>
        <v>353559.449060824</v>
      </c>
      <c r="F349" s="486">
        <f>SUM(F22:F348)</f>
        <v>96440.5509391769</v>
      </c>
      <c r="G349" s="486"/>
      <c r="H349" s="486">
        <f>SUM(H22:H348)</f>
        <v>65000</v>
      </c>
      <c r="I349" s="486">
        <f>SUM(I22:I348)</f>
        <v>418559.449060823</v>
      </c>
      <c r="J349" s="485" t="s">
        <v>187</v>
      </c>
      <c r="K349" s="485" t="s">
        <v>187</v>
      </c>
      <c r="L349" s="486"/>
      <c r="M349" s="486"/>
      <c r="N349" s="448"/>
    </row>
    <row r="350" s="405" customFormat="1" customHeight="1" spans="1:14">
      <c r="A350" s="487" t="s">
        <v>446</v>
      </c>
      <c r="B350" s="488"/>
      <c r="C350" s="489"/>
      <c r="D350" s="490"/>
      <c r="E350" s="490"/>
      <c r="F350" s="490"/>
      <c r="G350" s="490"/>
      <c r="H350" s="490"/>
      <c r="I350" s="490"/>
      <c r="J350" s="490"/>
      <c r="K350" s="490"/>
      <c r="L350" s="491"/>
      <c r="N350" s="448"/>
    </row>
    <row r="351" s="405" customFormat="1" customHeight="1" spans="1:14">
      <c r="A351" s="410"/>
      <c r="B351" s="488"/>
      <c r="C351" s="489"/>
      <c r="D351" s="490"/>
      <c r="E351" s="490"/>
      <c r="F351" s="490"/>
      <c r="G351" s="490"/>
      <c r="H351" s="490"/>
      <c r="I351" s="490"/>
      <c r="J351" s="490"/>
      <c r="K351" s="491"/>
      <c r="N351" s="448"/>
    </row>
    <row r="352" s="403" customFormat="1" customHeight="1" spans="1:14">
      <c r="A352" s="492" t="s">
        <v>212</v>
      </c>
      <c r="B352" s="25"/>
      <c r="C352" s="25"/>
      <c r="D352" s="25"/>
      <c r="E352" s="493"/>
      <c r="F352" s="493"/>
      <c r="G352" s="493"/>
      <c r="H352" s="25"/>
      <c r="I352" s="494"/>
      <c r="J352" s="494"/>
      <c r="K352" s="495"/>
      <c r="N352" s="417"/>
    </row>
    <row r="353" s="403" customFormat="1" customHeight="1" spans="1:14">
      <c r="A353" s="496" t="s">
        <v>447</v>
      </c>
      <c r="C353" s="497"/>
      <c r="D353" s="497"/>
      <c r="E353" s="498"/>
      <c r="F353" s="498"/>
      <c r="G353" s="498"/>
      <c r="H353" s="497"/>
      <c r="J353" s="494"/>
      <c r="K353" s="494"/>
      <c r="N353" s="417"/>
    </row>
    <row r="354" s="403" customFormat="1" customHeight="1" spans="1:14">
      <c r="A354" s="496" t="s">
        <v>448</v>
      </c>
      <c r="E354" s="499"/>
      <c r="F354" s="499"/>
      <c r="G354" s="499"/>
      <c r="J354" s="495"/>
      <c r="K354" s="495"/>
      <c r="N354" s="417"/>
    </row>
    <row r="355" s="403" customFormat="1" customHeight="1" spans="1:14">
      <c r="A355" s="496" t="s">
        <v>449</v>
      </c>
      <c r="C355" s="500"/>
      <c r="E355" s="499"/>
      <c r="F355" s="499"/>
      <c r="G355" s="499"/>
      <c r="H355" s="500"/>
      <c r="J355" s="494"/>
      <c r="K355" s="494"/>
      <c r="N355" s="417"/>
    </row>
    <row r="356" s="403" customFormat="1" customHeight="1" spans="1:14">
      <c r="A356" s="501" t="s">
        <v>450</v>
      </c>
      <c r="B356" s="502"/>
      <c r="C356" s="497"/>
      <c r="D356" s="497"/>
      <c r="E356" s="498"/>
      <c r="F356" s="498"/>
      <c r="G356" s="498"/>
      <c r="H356" s="497"/>
      <c r="J356" s="495"/>
      <c r="K356" s="495"/>
      <c r="N356" s="417"/>
    </row>
    <row r="357" s="403" customFormat="1" customHeight="1" spans="1:14">
      <c r="A357" s="492" t="s">
        <v>451</v>
      </c>
      <c r="B357" s="25"/>
      <c r="C357" s="25"/>
      <c r="D357" s="25"/>
      <c r="E357" s="493"/>
      <c r="F357" s="493"/>
      <c r="G357" s="493"/>
      <c r="H357" s="25"/>
      <c r="I357" s="503"/>
      <c r="J357" s="495"/>
      <c r="K357" s="495"/>
      <c r="N357" s="417"/>
    </row>
    <row r="358" s="403" customFormat="1" customHeight="1" spans="1:14">
      <c r="A358" s="504"/>
      <c r="B358" s="504"/>
      <c r="C358" s="497"/>
      <c r="D358" s="497"/>
      <c r="E358" s="498"/>
      <c r="F358" s="498"/>
      <c r="G358" s="498"/>
      <c r="H358" s="497"/>
      <c r="I358" s="503"/>
      <c r="J358" s="495"/>
      <c r="K358" s="495"/>
      <c r="N358" s="417"/>
    </row>
    <row r="359" s="403" customFormat="1" customHeight="1" spans="1:14">
      <c r="A359" s="497"/>
      <c r="B359" s="497"/>
      <c r="C359" s="497"/>
      <c r="D359" s="497"/>
      <c r="E359" s="498"/>
      <c r="F359" s="498"/>
      <c r="G359" s="498"/>
      <c r="H359" s="497"/>
      <c r="I359" s="503"/>
      <c r="J359" s="495"/>
      <c r="K359" s="495"/>
      <c r="N359" s="417"/>
    </row>
    <row r="360" s="403" customFormat="1" customHeight="1" spans="1:14">
      <c r="A360" s="497"/>
      <c r="B360" s="497"/>
      <c r="C360" s="497"/>
      <c r="D360" s="497"/>
      <c r="E360" s="498"/>
      <c r="F360" s="498"/>
      <c r="G360" s="498"/>
      <c r="H360" s="497"/>
      <c r="I360" s="503"/>
      <c r="J360" s="495"/>
      <c r="K360" s="495"/>
      <c r="N360" s="417"/>
    </row>
    <row r="361" customHeight="1" spans="1:14">
      <c r="B361" s="505"/>
      <c r="C361" s="505"/>
      <c r="D361" s="506"/>
      <c r="E361" s="499"/>
      <c r="F361" s="499"/>
      <c r="G361" s="499"/>
      <c r="H361" s="507"/>
      <c r="I361" s="507"/>
    </row>
  </sheetData>
  <autoFilter xmlns:etc="http://www.wps.cn/officeDocument/2017/etCustomData" ref="A21:K350" etc:filterBottomFollowUsedRange="0">
    <extLst/>
  </autoFilter>
  <mergeCells count="10">
    <mergeCell ref="A1:M1"/>
    <mergeCell ref="A2:M2"/>
    <mergeCell ref="A5:M5"/>
    <mergeCell ref="A13:C13"/>
    <mergeCell ref="D13:J13"/>
    <mergeCell ref="A14:B14"/>
    <mergeCell ref="A15:B15"/>
    <mergeCell ref="A16:B16"/>
    <mergeCell ref="A17:B17"/>
    <mergeCell ref="A18:B18"/>
  </mergeCells>
  <dataValidations count="3">
    <dataValidation type="whole" operator="between" allowBlank="1" showInputMessage="1" showErrorMessage="1" errorTitle="输入无效" error="请输入1~12的整数" promptTitle="编制输入" prompt="每年支付月份：1~12" sqref="E20">
      <formula1>1</formula1>
      <formula2>12</formula2>
    </dataValidation>
    <dataValidation type="whole" operator="between" allowBlank="1" showInputMessage="1" showErrorMessage="1" errorTitle="输入无效" error="请输入1~30的整数" promptTitle="编制输入" prompt="租赁期年数1~30；默认已勾稽按年表L9" sqref="J20">
      <formula1>1</formula1>
      <formula2>30</formula2>
    </dataValidation>
    <dataValidation type="list" showInputMessage="1" showErrorMessage="1" errorTitle="输入无效" error="请选择：期初,期末" promptTitle="编制选择" prompt="期初：起租月租金进H预付；期末：首笔租金不早于起租后12个月" sqref="O20">
      <formula1>"期初,期末"</formula1>
    </dataValidation>
  </dataValidations>
  <hyperlinks>
    <hyperlink ref="M3" location="底稿目录!A1" display="H8-6"/>
  </hyperlinks>
  <pageMargins left="0.708661417322835" right="0.708661417322835" top="0.748031496062992" bottom="0.748031496062992" header="0.31496062992126" footer="0.31496062992126"/>
  <pageSetup paperSize="9" scale="51" fitToHeight="100" orientation="portrait" blackAndWhite="1" horizontalDpi="1200" verticalDpi="1200"/>
  <headerFooter>
    <oddFooter>&amp;C&amp;P/&amp;N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K100"/>
  <sheetViews>
    <sheetView view="pageBreakPreview" zoomScaleNormal="130" topLeftCell="A7" workbookViewId="0">
      <selection activeCell="A12" sqref="A12:B12"/>
    </sheetView>
  </sheetViews>
  <sheetFormatPr defaultColWidth="9" defaultRowHeight="19.95" customHeight="1"/>
  <cols>
    <col min="1" max="1" width="14.9" style="336" customWidth="1"/>
    <col min="2" max="2" width="13.7" style="336" customWidth="1"/>
    <col min="3" max="3" width="11.1" style="336" customWidth="1"/>
    <col min="4" max="4" width="10.4" style="336" customWidth="1"/>
    <col min="5" max="5" width="11.6" style="336" customWidth="1"/>
    <col min="6" max="6" width="11.2" style="336" customWidth="1"/>
    <col min="7" max="7" width="10.5" style="336" customWidth="1"/>
    <col min="8" max="8" width="9.4" style="336" customWidth="1"/>
    <col min="9" max="9" width="12.2" style="336" customWidth="1"/>
    <col min="10" max="10" width="57.6" style="338" customWidth="1"/>
    <col min="11" max="16384" width="9" style="336" customWidth="1"/>
  </cols>
  <sheetData>
    <row r="1" s="334" customFormat="1" customHeight="1" spans="1:10">
      <c r="A1" s="339" t="s">
        <v>58</v>
      </c>
      <c r="J1" s="340"/>
    </row>
    <row r="2" s="335" customFormat="1" customHeight="1" spans="1:10">
      <c r="A2" s="341" t="s">
        <v>37</v>
      </c>
      <c r="J2" s="342"/>
    </row>
    <row r="3" customHeight="1" spans="1:10">
      <c r="A3" s="336" t="str">
        <f>底稿目录!A2</f>
        <v>被审计单位：</v>
      </c>
      <c r="D3" s="343" t="str">
        <f>底稿目录!A4</f>
        <v>编制人：</v>
      </c>
      <c r="F3" s="336" t="str">
        <f>底稿目录!A6</f>
        <v>编制日期：</v>
      </c>
      <c r="H3" s="7" t="s">
        <v>59</v>
      </c>
      <c r="I3" s="8" t="s">
        <v>38</v>
      </c>
      <c r="J3" s="344"/>
    </row>
    <row r="4" customHeight="1" spans="1:10">
      <c r="A4" s="336" t="str">
        <f>底稿目录!A3</f>
        <v>截止日：202X年12月31日</v>
      </c>
      <c r="D4" s="343" t="str">
        <f>底稿目录!A5</f>
        <v>复核人：</v>
      </c>
      <c r="F4" s="336" t="str">
        <f>底稿目录!A7</f>
        <v>复核日期：</v>
      </c>
      <c r="H4" s="7" t="s">
        <v>60</v>
      </c>
      <c r="I4" s="9"/>
      <c r="J4" s="344"/>
    </row>
    <row r="5" s="336" customFormat="1" ht="52.2" customHeight="1" spans="1:10">
      <c r="A5" s="345" t="s">
        <v>452</v>
      </c>
      <c r="J5" s="344"/>
    </row>
    <row r="6" customHeight="1" spans="1:10">
      <c r="A6" s="346" t="s">
        <v>193</v>
      </c>
      <c r="B6" s="346"/>
      <c r="C6" s="346"/>
      <c r="D6" s="346"/>
      <c r="E6" s="346"/>
      <c r="F6" s="346"/>
      <c r="G6" s="346"/>
      <c r="H6" s="346"/>
      <c r="I6" s="346"/>
      <c r="J6" s="344"/>
    </row>
    <row r="7" customHeight="1" spans="1:10">
      <c r="A7" s="347" t="s">
        <v>453</v>
      </c>
      <c r="B7" s="347"/>
      <c r="C7" s="347"/>
      <c r="D7" s="347"/>
      <c r="E7" s="347"/>
      <c r="F7" s="347"/>
      <c r="G7" s="347"/>
      <c r="H7" s="347"/>
      <c r="I7" s="347"/>
      <c r="J7" s="344"/>
    </row>
    <row r="8" customHeight="1" spans="1:10">
      <c r="A8" s="347" t="s">
        <v>454</v>
      </c>
      <c r="B8" s="347"/>
      <c r="C8" s="347"/>
      <c r="D8" s="348" t="s">
        <v>266</v>
      </c>
      <c r="E8" s="349" t="s">
        <v>283</v>
      </c>
      <c r="F8" s="347"/>
      <c r="G8" s="347"/>
      <c r="H8" s="347"/>
      <c r="I8" s="347"/>
      <c r="J8" s="344"/>
    </row>
    <row r="9" customHeight="1" spans="1:10">
      <c r="A9" s="350" t="s">
        <v>267</v>
      </c>
      <c r="B9" s="137"/>
      <c r="C9" s="350" t="s">
        <v>306</v>
      </c>
      <c r="D9" s="137"/>
      <c r="E9" s="351" t="s">
        <v>238</v>
      </c>
      <c r="F9" s="351" t="s">
        <v>455</v>
      </c>
      <c r="G9" s="352"/>
      <c r="H9" s="353"/>
      <c r="I9" s="351" t="s">
        <v>232</v>
      </c>
      <c r="J9" s="344"/>
    </row>
    <row r="10" ht="44.4" customHeight="1" spans="1:10">
      <c r="A10" s="354" t="s">
        <v>456</v>
      </c>
      <c r="B10" s="137"/>
      <c r="C10" s="355"/>
      <c r="D10" s="137"/>
      <c r="E10" s="356"/>
      <c r="F10" s="357"/>
      <c r="G10" s="352"/>
      <c r="H10" s="353"/>
      <c r="I10" s="358"/>
      <c r="J10" s="344" t="s">
        <v>457</v>
      </c>
    </row>
    <row r="11" ht="42.6" customHeight="1" spans="1:10">
      <c r="A11" s="354" t="s">
        <v>458</v>
      </c>
      <c r="B11" s="137"/>
      <c r="C11" s="355"/>
      <c r="D11" s="137"/>
      <c r="E11" s="356"/>
      <c r="F11" s="357"/>
      <c r="G11" s="352"/>
      <c r="H11" s="353"/>
      <c r="I11" s="358"/>
      <c r="J11" s="344"/>
    </row>
    <row r="12" ht="34.2" customHeight="1" spans="1:10">
      <c r="A12" s="350" t="s">
        <v>264</v>
      </c>
      <c r="B12" s="137"/>
      <c r="C12" s="359" t="str">
        <f>IF(AND(E10="是",E11="是"),"应当将该租赁变更作为一项单独租赁进行会计处理","应当分摊变更后合同的对价，重新确定租赁期，并按照变更后租赁付款额和修订后的折现率计算的现值重新计量租赁负债")</f>
        <v>应当分摊变更后合同的对价，重新确定租赁期，并按照变更后租赁付款额和修订后的折现率计算的现值重新计量租赁负债</v>
      </c>
      <c r="D12" s="119"/>
      <c r="E12" s="119"/>
      <c r="F12" s="119"/>
      <c r="G12" s="119"/>
      <c r="H12" s="119"/>
      <c r="I12" s="137"/>
      <c r="J12" s="344"/>
    </row>
    <row r="13" customHeight="1" spans="1:10">
      <c r="A13" s="347"/>
      <c r="B13" s="347"/>
      <c r="C13" s="347"/>
      <c r="D13" s="347"/>
      <c r="E13" s="347"/>
      <c r="F13" s="347"/>
      <c r="G13" s="347"/>
      <c r="H13" s="347"/>
      <c r="I13" s="347"/>
      <c r="J13" s="344"/>
    </row>
    <row r="14" customHeight="1" spans="1:10">
      <c r="A14" s="347" t="s">
        <v>459</v>
      </c>
      <c r="B14" s="347"/>
      <c r="C14" s="347"/>
      <c r="D14" s="348" t="s">
        <v>266</v>
      </c>
      <c r="E14" s="349" t="s">
        <v>283</v>
      </c>
      <c r="F14" s="347"/>
      <c r="G14" s="347"/>
      <c r="H14" s="347"/>
      <c r="I14" s="347"/>
      <c r="J14" s="344"/>
    </row>
    <row r="15" customHeight="1" spans="1:10">
      <c r="A15" s="350" t="s">
        <v>340</v>
      </c>
      <c r="B15" s="137"/>
      <c r="C15" s="350" t="s">
        <v>306</v>
      </c>
      <c r="D15" s="137"/>
      <c r="E15" s="351" t="s">
        <v>341</v>
      </c>
      <c r="F15" s="351" t="s">
        <v>455</v>
      </c>
      <c r="G15" s="352"/>
      <c r="H15" s="353"/>
      <c r="I15" s="351" t="s">
        <v>232</v>
      </c>
      <c r="J15" s="344"/>
    </row>
    <row r="16" ht="49.2" customHeight="1" spans="1:10">
      <c r="A16" s="354" t="s">
        <v>460</v>
      </c>
      <c r="B16" s="137"/>
      <c r="C16" s="355"/>
      <c r="D16" s="137"/>
      <c r="E16" s="356"/>
      <c r="F16" s="357" t="s">
        <v>461</v>
      </c>
      <c r="G16" s="352"/>
      <c r="H16" s="353"/>
      <c r="I16" s="358"/>
      <c r="J16" s="344"/>
    </row>
    <row r="17" ht="44.4" customHeight="1" spans="1:10">
      <c r="A17" s="354" t="s">
        <v>462</v>
      </c>
      <c r="B17" s="137"/>
      <c r="C17" s="360" t="s">
        <v>463</v>
      </c>
      <c r="D17" s="137"/>
      <c r="E17" s="356" t="s">
        <v>283</v>
      </c>
      <c r="F17" s="357" t="s">
        <v>464</v>
      </c>
      <c r="G17" s="352"/>
      <c r="H17" s="353"/>
      <c r="I17" s="358"/>
      <c r="J17" s="344"/>
    </row>
    <row r="18" customHeight="1" spans="1:10">
      <c r="A18" s="350" t="s">
        <v>264</v>
      </c>
      <c r="B18" s="137"/>
      <c r="C18" s="359"/>
      <c r="D18" s="119"/>
      <c r="E18" s="119"/>
      <c r="F18" s="119"/>
      <c r="G18" s="119"/>
      <c r="H18" s="119"/>
      <c r="I18" s="137"/>
      <c r="J18" s="344"/>
    </row>
    <row r="19" customHeight="1" spans="1:10">
      <c r="A19" s="347"/>
      <c r="B19" s="347"/>
      <c r="C19" s="347"/>
      <c r="D19" s="347"/>
      <c r="E19" s="347"/>
      <c r="F19" s="347"/>
      <c r="G19" s="347"/>
      <c r="H19" s="347"/>
      <c r="I19" s="347"/>
      <c r="J19" s="344"/>
    </row>
    <row r="20" customHeight="1" spans="1:10">
      <c r="A20" s="347" t="s">
        <v>465</v>
      </c>
      <c r="B20" s="347"/>
      <c r="C20" s="347"/>
      <c r="D20" s="347"/>
      <c r="E20" s="347"/>
      <c r="F20" s="347"/>
      <c r="G20" s="347"/>
      <c r="H20" s="347"/>
      <c r="I20" s="347"/>
      <c r="J20" s="344"/>
    </row>
    <row r="21" customHeight="1" spans="1:10">
      <c r="A21" s="361" t="s">
        <v>466</v>
      </c>
      <c r="B21" s="348"/>
      <c r="C21" s="348"/>
      <c r="D21" s="348"/>
      <c r="E21" s="348"/>
      <c r="G21" s="362"/>
      <c r="H21" s="348"/>
      <c r="I21" s="348"/>
      <c r="J21" s="344"/>
    </row>
    <row r="22" ht="24" customHeight="1" spans="1:10">
      <c r="A22" s="363" t="s">
        <v>195</v>
      </c>
      <c r="B22" s="363" t="s">
        <v>360</v>
      </c>
      <c r="C22" s="363" t="s">
        <v>361</v>
      </c>
      <c r="D22" s="364" t="s">
        <v>362</v>
      </c>
      <c r="E22" s="363" t="s">
        <v>363</v>
      </c>
      <c r="F22" s="363" t="s">
        <v>364</v>
      </c>
      <c r="G22" s="364" t="s">
        <v>365</v>
      </c>
      <c r="H22" s="364" t="s">
        <v>366</v>
      </c>
      <c r="I22" s="363" t="s">
        <v>367</v>
      </c>
      <c r="J22" s="344"/>
    </row>
    <row r="23" customHeight="1" spans="1:10">
      <c r="A23" s="365" t="s">
        <v>374</v>
      </c>
      <c r="B23" s="366">
        <v>44197</v>
      </c>
      <c r="C23" s="366">
        <v>47118</v>
      </c>
      <c r="D23" s="356">
        <f>2</f>
        <v>2</v>
      </c>
      <c r="E23" s="356">
        <f>(YEAR(C23)-YEAR(B23))+D23+(MONTH(C23)-MONTH(B23)+1)/12</f>
        <v>10</v>
      </c>
      <c r="F23" s="366">
        <f>DATE(YEAR(C23)+D23,MONTH(C23),DAY(C23))</f>
        <v>47848</v>
      </c>
      <c r="G23" s="367">
        <v>0.05</v>
      </c>
      <c r="H23" s="367">
        <v>0.05</v>
      </c>
      <c r="I23" s="368">
        <v>10</v>
      </c>
      <c r="J23" s="344"/>
    </row>
    <row r="24" customHeight="1" spans="1:10">
      <c r="A24" s="369"/>
      <c r="B24" s="370"/>
      <c r="C24" s="371"/>
      <c r="D24" s="371"/>
      <c r="E24" s="371"/>
      <c r="F24" s="372"/>
      <c r="G24" s="371"/>
      <c r="H24" s="373"/>
      <c r="I24" s="373"/>
      <c r="J24" s="344"/>
    </row>
    <row r="25" customHeight="1" spans="1:10">
      <c r="A25" s="374"/>
      <c r="B25" s="348"/>
      <c r="C25" s="348"/>
      <c r="D25" s="348"/>
      <c r="E25" s="348"/>
      <c r="F25" s="348"/>
      <c r="G25" s="348"/>
      <c r="H25" s="348"/>
      <c r="I25" s="348"/>
      <c r="J25" s="344"/>
    </row>
    <row r="26" customHeight="1" spans="1:10">
      <c r="A26" s="361" t="s">
        <v>467</v>
      </c>
      <c r="B26" s="348"/>
      <c r="C26" s="348"/>
      <c r="D26" s="348"/>
      <c r="E26" s="348"/>
      <c r="F26" s="348"/>
      <c r="G26" s="348"/>
      <c r="H26" s="348"/>
      <c r="I26" s="348"/>
      <c r="J26" s="375"/>
    </row>
    <row r="27" ht="25.8" customHeight="1" spans="1:10">
      <c r="A27" s="363" t="s">
        <v>387</v>
      </c>
      <c r="B27" s="363" t="s">
        <v>388</v>
      </c>
      <c r="C27" s="363" t="s">
        <v>389</v>
      </c>
      <c r="D27" s="363" t="s">
        <v>468</v>
      </c>
      <c r="E27" s="363" t="s">
        <v>391</v>
      </c>
      <c r="F27" s="363" t="s">
        <v>392</v>
      </c>
      <c r="G27" s="363" t="s">
        <v>393</v>
      </c>
      <c r="H27" s="363" t="s">
        <v>371</v>
      </c>
      <c r="I27" s="363" t="s">
        <v>394</v>
      </c>
      <c r="J27" s="376"/>
    </row>
    <row r="28" customHeight="1" spans="1:10">
      <c r="A28" s="377">
        <v>44197</v>
      </c>
      <c r="B28" s="378">
        <v>50000</v>
      </c>
      <c r="C28" s="378">
        <f t="shared" ref="C28:C37" si="0">IF(E28=1,0,B28)</f>
        <v>0</v>
      </c>
      <c r="D28" s="358">
        <v>0</v>
      </c>
      <c r="E28" s="379">
        <f t="shared" ref="E28:E37" si="1">1/(1+$H$23)^D28</f>
        <v>1</v>
      </c>
      <c r="F28" s="378">
        <f t="shared" ref="F28:F37" si="2">C28*E28</f>
        <v>0</v>
      </c>
      <c r="G28" s="380">
        <f>B28</f>
        <v>50000</v>
      </c>
      <c r="H28" s="378">
        <v>15000</v>
      </c>
      <c r="I28" s="381"/>
      <c r="J28" s="375"/>
    </row>
    <row r="29" customHeight="1" spans="1:10">
      <c r="A29" s="377">
        <v>44562</v>
      </c>
      <c r="B29" s="378">
        <v>50000</v>
      </c>
      <c r="C29" s="378">
        <f t="shared" si="0"/>
        <v>50000</v>
      </c>
      <c r="D29" s="358">
        <f t="shared" ref="D29:D37" si="3">D28+1</f>
        <v>1</v>
      </c>
      <c r="E29" s="379">
        <f t="shared" si="1"/>
        <v>0.952380952380952</v>
      </c>
      <c r="F29" s="378">
        <f t="shared" si="2"/>
        <v>47619.0476190476</v>
      </c>
      <c r="G29" s="371"/>
      <c r="H29" s="381"/>
      <c r="I29" s="381"/>
      <c r="J29" s="375"/>
    </row>
    <row r="30" customHeight="1" spans="1:10">
      <c r="A30" s="377">
        <v>44927</v>
      </c>
      <c r="B30" s="378">
        <v>50000</v>
      </c>
      <c r="C30" s="378">
        <f t="shared" si="0"/>
        <v>50000</v>
      </c>
      <c r="D30" s="358">
        <f t="shared" si="3"/>
        <v>2</v>
      </c>
      <c r="E30" s="379">
        <f t="shared" si="1"/>
        <v>0.90702947845805</v>
      </c>
      <c r="F30" s="378">
        <f t="shared" si="2"/>
        <v>45351.4739229025</v>
      </c>
      <c r="G30" s="371"/>
      <c r="H30" s="382"/>
      <c r="I30" s="381"/>
      <c r="J30" s="375"/>
    </row>
    <row r="31" customHeight="1" spans="1:10">
      <c r="A31" s="377">
        <v>45292</v>
      </c>
      <c r="B31" s="378">
        <v>50000</v>
      </c>
      <c r="C31" s="378">
        <f t="shared" si="0"/>
        <v>50000</v>
      </c>
      <c r="D31" s="358">
        <f t="shared" si="3"/>
        <v>3</v>
      </c>
      <c r="E31" s="379">
        <f t="shared" si="1"/>
        <v>0.863837598531476</v>
      </c>
      <c r="F31" s="378">
        <f t="shared" si="2"/>
        <v>43191.8799265738</v>
      </c>
      <c r="G31" s="371"/>
      <c r="H31" s="382"/>
      <c r="I31" s="381"/>
      <c r="J31" s="375"/>
    </row>
    <row r="32" customHeight="1" spans="1:10">
      <c r="A32" s="377">
        <v>45658</v>
      </c>
      <c r="B32" s="378">
        <v>50000</v>
      </c>
      <c r="C32" s="378">
        <f t="shared" si="0"/>
        <v>50000</v>
      </c>
      <c r="D32" s="358">
        <f t="shared" si="3"/>
        <v>4</v>
      </c>
      <c r="E32" s="379">
        <f t="shared" si="1"/>
        <v>0.822702474791882</v>
      </c>
      <c r="F32" s="378">
        <f t="shared" si="2"/>
        <v>41135.1237395941</v>
      </c>
      <c r="G32" s="371"/>
      <c r="H32" s="382"/>
      <c r="I32" s="381"/>
      <c r="J32" s="375"/>
    </row>
    <row r="33" customHeight="1" spans="1:11">
      <c r="A33" s="377">
        <v>46023</v>
      </c>
      <c r="B33" s="378">
        <v>50000</v>
      </c>
      <c r="C33" s="378">
        <f t="shared" si="0"/>
        <v>50000</v>
      </c>
      <c r="D33" s="358">
        <f t="shared" si="3"/>
        <v>5</v>
      </c>
      <c r="E33" s="379">
        <f t="shared" si="1"/>
        <v>0.783526166468459</v>
      </c>
      <c r="F33" s="378">
        <f t="shared" si="2"/>
        <v>39176.3083234229</v>
      </c>
      <c r="G33" s="371"/>
      <c r="H33" s="382"/>
      <c r="I33" s="381"/>
      <c r="J33" s="383"/>
      <c r="K33" s="384"/>
    </row>
    <row r="34" customHeight="1" spans="1:11">
      <c r="A34" s="377">
        <v>46388</v>
      </c>
      <c r="B34" s="378">
        <v>50000</v>
      </c>
      <c r="C34" s="378">
        <f t="shared" si="0"/>
        <v>50000</v>
      </c>
      <c r="D34" s="358">
        <f t="shared" si="3"/>
        <v>6</v>
      </c>
      <c r="E34" s="379">
        <f t="shared" si="1"/>
        <v>0.746215396636627</v>
      </c>
      <c r="F34" s="378">
        <f t="shared" si="2"/>
        <v>37310.7698318314</v>
      </c>
      <c r="G34" s="371"/>
      <c r="H34" s="382"/>
      <c r="I34" s="381"/>
      <c r="J34" s="383"/>
      <c r="K34" s="384"/>
    </row>
    <row r="35" customHeight="1" spans="1:11">
      <c r="A35" s="377">
        <v>46753</v>
      </c>
      <c r="B35" s="378">
        <v>50000</v>
      </c>
      <c r="C35" s="378">
        <f t="shared" si="0"/>
        <v>50000</v>
      </c>
      <c r="D35" s="358">
        <f t="shared" si="3"/>
        <v>7</v>
      </c>
      <c r="E35" s="379">
        <f t="shared" si="1"/>
        <v>0.710681330130121</v>
      </c>
      <c r="F35" s="378">
        <f t="shared" si="2"/>
        <v>35534.0665065061</v>
      </c>
      <c r="G35" s="371"/>
      <c r="H35" s="382"/>
      <c r="I35" s="381"/>
      <c r="J35" s="375"/>
    </row>
    <row r="36" customHeight="1" spans="1:11">
      <c r="A36" s="377">
        <v>47119</v>
      </c>
      <c r="B36" s="378">
        <v>50000</v>
      </c>
      <c r="C36" s="378">
        <f t="shared" si="0"/>
        <v>50000</v>
      </c>
      <c r="D36" s="358">
        <f t="shared" si="3"/>
        <v>8</v>
      </c>
      <c r="E36" s="379">
        <f t="shared" si="1"/>
        <v>0.676839362028687</v>
      </c>
      <c r="F36" s="378">
        <f t="shared" si="2"/>
        <v>33841.9681014344</v>
      </c>
      <c r="G36" s="371"/>
      <c r="H36" s="382"/>
      <c r="I36" s="381"/>
      <c r="J36" s="375"/>
    </row>
    <row r="37" customHeight="1" spans="1:11">
      <c r="A37" s="377">
        <v>47484</v>
      </c>
      <c r="B37" s="378">
        <v>50000</v>
      </c>
      <c r="C37" s="378">
        <f t="shared" si="0"/>
        <v>50000</v>
      </c>
      <c r="D37" s="358">
        <f t="shared" si="3"/>
        <v>9</v>
      </c>
      <c r="E37" s="379">
        <f t="shared" si="1"/>
        <v>0.644608916217797</v>
      </c>
      <c r="F37" s="378">
        <f t="shared" si="2"/>
        <v>32230.4458108899</v>
      </c>
      <c r="G37" s="371"/>
      <c r="H37" s="382"/>
      <c r="I37" s="381"/>
      <c r="J37" s="375"/>
    </row>
    <row r="38" customHeight="1" spans="1:11">
      <c r="A38" s="363" t="s">
        <v>139</v>
      </c>
      <c r="B38" s="385">
        <f>SUM(B28:B37)</f>
        <v>500000</v>
      </c>
      <c r="C38" s="385">
        <f>SUM(C28:C37)</f>
        <v>450000</v>
      </c>
      <c r="D38" s="385"/>
      <c r="E38" s="385"/>
      <c r="F38" s="385">
        <f>SUM(F28:F37)</f>
        <v>355391.083782203</v>
      </c>
      <c r="G38" s="385">
        <f>SUM(G28:G37)</f>
        <v>50000</v>
      </c>
      <c r="H38" s="385">
        <f>SUM(H28:H37)</f>
        <v>15000</v>
      </c>
      <c r="I38" s="385">
        <f>F38+G38+H38</f>
        <v>420391.083782203</v>
      </c>
      <c r="J38" s="375"/>
    </row>
    <row r="39" customHeight="1" spans="1:11">
      <c r="A39" s="386"/>
      <c r="B39" s="387"/>
      <c r="C39" s="348"/>
      <c r="D39" s="348"/>
      <c r="E39" s="388"/>
      <c r="F39" s="348"/>
      <c r="G39" s="348"/>
      <c r="H39" s="348"/>
      <c r="I39" s="348"/>
      <c r="J39" s="344"/>
    </row>
    <row r="40" customHeight="1" spans="1:11">
      <c r="A40" s="361" t="s">
        <v>469</v>
      </c>
      <c r="B40" s="387"/>
      <c r="C40" s="348"/>
      <c r="D40" s="348"/>
      <c r="E40" s="348"/>
      <c r="F40" s="348"/>
      <c r="G40" s="348"/>
      <c r="H40" s="348"/>
      <c r="I40" s="348"/>
      <c r="J40" s="344"/>
    </row>
    <row r="41" customHeight="1" spans="1:11">
      <c r="A41" s="389" t="s">
        <v>397</v>
      </c>
      <c r="B41" s="389" t="s">
        <v>382</v>
      </c>
      <c r="C41" s="352"/>
      <c r="D41" s="352"/>
      <c r="E41" s="352"/>
      <c r="F41" s="353"/>
      <c r="G41" s="390" t="s">
        <v>380</v>
      </c>
      <c r="H41" s="352"/>
      <c r="I41" s="353"/>
      <c r="J41" s="344"/>
    </row>
    <row r="42" customHeight="1" spans="1:11">
      <c r="A42" s="125"/>
      <c r="B42" s="363" t="s">
        <v>175</v>
      </c>
      <c r="C42" s="391" t="s">
        <v>400</v>
      </c>
      <c r="D42" s="363" t="s">
        <v>401</v>
      </c>
      <c r="E42" s="363" t="s">
        <v>402</v>
      </c>
      <c r="F42" s="363" t="s">
        <v>178</v>
      </c>
      <c r="G42" s="363" t="s">
        <v>175</v>
      </c>
      <c r="H42" s="363" t="s">
        <v>403</v>
      </c>
      <c r="I42" s="363" t="s">
        <v>178</v>
      </c>
      <c r="J42" s="376"/>
    </row>
    <row r="43" customHeight="1" spans="1:11">
      <c r="A43" s="392" t="s">
        <v>470</v>
      </c>
      <c r="B43" s="393">
        <f>F38</f>
        <v>355391.083782203</v>
      </c>
      <c r="C43" s="378">
        <f t="shared" ref="C43:C52" si="4">C28</f>
        <v>0</v>
      </c>
      <c r="D43" s="373">
        <v>1</v>
      </c>
      <c r="E43" s="378">
        <f t="shared" ref="E43:E52" si="5">(B43-C43)*$H$23</f>
        <v>17769.5541891101</v>
      </c>
      <c r="F43" s="378">
        <f t="shared" ref="F43:F52" si="6">B43-C43+E43</f>
        <v>373160.637971313</v>
      </c>
      <c r="G43" s="393">
        <f>I38</f>
        <v>420391.083782203</v>
      </c>
      <c r="H43" s="378">
        <f>$I$38/$I$23</f>
        <v>42039.1083782203</v>
      </c>
      <c r="I43" s="378">
        <f t="shared" ref="I43:I52" si="7">G43-H43</f>
        <v>378351.975403982</v>
      </c>
      <c r="J43" s="344"/>
    </row>
    <row r="44" customHeight="1" spans="1:11">
      <c r="A44" s="392" t="s">
        <v>471</v>
      </c>
      <c r="B44" s="378">
        <f t="shared" ref="B44:B52" si="8">B43-C43+E43</f>
        <v>373160.637971313</v>
      </c>
      <c r="C44" s="378">
        <f t="shared" si="4"/>
        <v>50000</v>
      </c>
      <c r="D44" s="373">
        <v>1</v>
      </c>
      <c r="E44" s="378">
        <f t="shared" si="5"/>
        <v>16158.0318985656</v>
      </c>
      <c r="F44" s="378">
        <f t="shared" si="6"/>
        <v>339318.669869878</v>
      </c>
      <c r="G44" s="378">
        <f t="shared" ref="G44:G52" si="9">I43</f>
        <v>378351.975403982</v>
      </c>
      <c r="H44" s="378">
        <f t="shared" ref="H44:H52" si="10">H43</f>
        <v>42039.1083782203</v>
      </c>
      <c r="I44" s="378">
        <f t="shared" si="7"/>
        <v>336312.867025762</v>
      </c>
      <c r="J44" s="344"/>
    </row>
    <row r="45" customHeight="1" spans="1:11">
      <c r="A45" s="392" t="s">
        <v>472</v>
      </c>
      <c r="B45" s="378">
        <f t="shared" si="8"/>
        <v>339318.669869878</v>
      </c>
      <c r="C45" s="378">
        <f t="shared" si="4"/>
        <v>50000</v>
      </c>
      <c r="D45" s="373">
        <v>1</v>
      </c>
      <c r="E45" s="378">
        <f t="shared" si="5"/>
        <v>14465.9334934939</v>
      </c>
      <c r="F45" s="378">
        <f t="shared" si="6"/>
        <v>303784.603363372</v>
      </c>
      <c r="G45" s="378">
        <f t="shared" si="9"/>
        <v>336312.867025762</v>
      </c>
      <c r="H45" s="378">
        <f t="shared" si="10"/>
        <v>42039.1083782203</v>
      </c>
      <c r="I45" s="378">
        <f t="shared" si="7"/>
        <v>294273.758647542</v>
      </c>
      <c r="J45" s="344"/>
    </row>
    <row r="46" customHeight="1" spans="1:11">
      <c r="A46" s="392" t="s">
        <v>473</v>
      </c>
      <c r="B46" s="378">
        <f t="shared" si="8"/>
        <v>303784.603363372</v>
      </c>
      <c r="C46" s="378">
        <f t="shared" si="4"/>
        <v>50000</v>
      </c>
      <c r="D46" s="373">
        <v>1</v>
      </c>
      <c r="E46" s="378">
        <f t="shared" si="5"/>
        <v>12689.2301681686</v>
      </c>
      <c r="F46" s="378">
        <f t="shared" si="6"/>
        <v>266473.833531541</v>
      </c>
      <c r="G46" s="378">
        <f t="shared" si="9"/>
        <v>294273.758647542</v>
      </c>
      <c r="H46" s="378">
        <f t="shared" si="10"/>
        <v>42039.1083782203</v>
      </c>
      <c r="I46" s="378">
        <f t="shared" si="7"/>
        <v>252234.650269322</v>
      </c>
      <c r="J46" s="344"/>
    </row>
    <row r="47" customHeight="1" spans="1:11">
      <c r="A47" s="392" t="s">
        <v>474</v>
      </c>
      <c r="B47" s="378">
        <f t="shared" si="8"/>
        <v>266473.833531541</v>
      </c>
      <c r="C47" s="378">
        <f t="shared" si="4"/>
        <v>50000</v>
      </c>
      <c r="D47" s="373">
        <v>1</v>
      </c>
      <c r="E47" s="378">
        <f t="shared" si="5"/>
        <v>10823.691676577</v>
      </c>
      <c r="F47" s="378">
        <f t="shared" si="6"/>
        <v>227297.525208118</v>
      </c>
      <c r="G47" s="378">
        <f t="shared" si="9"/>
        <v>252234.650269322</v>
      </c>
      <c r="H47" s="378">
        <f t="shared" si="10"/>
        <v>42039.1083782203</v>
      </c>
      <c r="I47" s="378">
        <f t="shared" si="7"/>
        <v>210195.541891101</v>
      </c>
      <c r="J47" s="344"/>
    </row>
    <row r="48" customHeight="1" spans="1:11">
      <c r="A48" s="392" t="s">
        <v>475</v>
      </c>
      <c r="B48" s="378">
        <f t="shared" si="8"/>
        <v>227297.525208118</v>
      </c>
      <c r="C48" s="378">
        <f t="shared" si="4"/>
        <v>50000</v>
      </c>
      <c r="D48" s="373">
        <v>1</v>
      </c>
      <c r="E48" s="378">
        <f t="shared" si="5"/>
        <v>8864.8762604059</v>
      </c>
      <c r="F48" s="393">
        <f t="shared" si="6"/>
        <v>186162.401468524</v>
      </c>
      <c r="G48" s="378">
        <f t="shared" si="9"/>
        <v>210195.541891101</v>
      </c>
      <c r="H48" s="378">
        <f t="shared" si="10"/>
        <v>42039.1083782203</v>
      </c>
      <c r="I48" s="393">
        <f t="shared" si="7"/>
        <v>168156.433512881</v>
      </c>
      <c r="J48" s="344"/>
    </row>
    <row r="49" customHeight="1" spans="1:10">
      <c r="A49" s="392" t="s">
        <v>476</v>
      </c>
      <c r="B49" s="378">
        <f t="shared" si="8"/>
        <v>186162.401468524</v>
      </c>
      <c r="C49" s="378">
        <f t="shared" si="4"/>
        <v>50000</v>
      </c>
      <c r="D49" s="373">
        <v>1</v>
      </c>
      <c r="E49" s="378">
        <f t="shared" si="5"/>
        <v>6808.12007342619</v>
      </c>
      <c r="F49" s="378">
        <f t="shared" si="6"/>
        <v>142970.52154195</v>
      </c>
      <c r="G49" s="378">
        <f t="shared" si="9"/>
        <v>168156.433512881</v>
      </c>
      <c r="H49" s="378">
        <f t="shared" si="10"/>
        <v>42039.1083782203</v>
      </c>
      <c r="I49" s="378">
        <f t="shared" si="7"/>
        <v>126117.325134661</v>
      </c>
      <c r="J49" s="344"/>
    </row>
    <row r="50" customHeight="1" spans="1:10">
      <c r="A50" s="392" t="s">
        <v>477</v>
      </c>
      <c r="B50" s="378">
        <f t="shared" si="8"/>
        <v>142970.52154195</v>
      </c>
      <c r="C50" s="378">
        <f t="shared" si="4"/>
        <v>50000</v>
      </c>
      <c r="D50" s="373">
        <v>1</v>
      </c>
      <c r="E50" s="378">
        <f t="shared" si="5"/>
        <v>4648.5260770975</v>
      </c>
      <c r="F50" s="378">
        <f t="shared" si="6"/>
        <v>97619.0476190476</v>
      </c>
      <c r="G50" s="378">
        <f t="shared" si="9"/>
        <v>126117.325134661</v>
      </c>
      <c r="H50" s="378">
        <f t="shared" si="10"/>
        <v>42039.1083782203</v>
      </c>
      <c r="I50" s="378">
        <f t="shared" si="7"/>
        <v>84078.2167564406</v>
      </c>
      <c r="J50" s="344"/>
    </row>
    <row r="51" customHeight="1" spans="1:10">
      <c r="A51" s="392" t="s">
        <v>478</v>
      </c>
      <c r="B51" s="378">
        <f t="shared" si="8"/>
        <v>97619.0476190476</v>
      </c>
      <c r="C51" s="378">
        <f t="shared" si="4"/>
        <v>50000</v>
      </c>
      <c r="D51" s="373">
        <v>1</v>
      </c>
      <c r="E51" s="378">
        <f t="shared" si="5"/>
        <v>2380.95238095238</v>
      </c>
      <c r="F51" s="378">
        <f t="shared" si="6"/>
        <v>50000</v>
      </c>
      <c r="G51" s="378">
        <f t="shared" si="9"/>
        <v>84078.2167564406</v>
      </c>
      <c r="H51" s="378">
        <f t="shared" si="10"/>
        <v>42039.1083782203</v>
      </c>
      <c r="I51" s="378">
        <f t="shared" si="7"/>
        <v>42039.1083782203</v>
      </c>
      <c r="J51" s="344"/>
    </row>
    <row r="52" customHeight="1" spans="1:10">
      <c r="A52" s="392" t="s">
        <v>479</v>
      </c>
      <c r="B52" s="378">
        <f t="shared" si="8"/>
        <v>50000</v>
      </c>
      <c r="C52" s="378">
        <f t="shared" si="4"/>
        <v>50000</v>
      </c>
      <c r="D52" s="373">
        <v>1</v>
      </c>
      <c r="E52" s="378">
        <f t="shared" si="5"/>
        <v>0</v>
      </c>
      <c r="F52" s="378">
        <f t="shared" si="6"/>
        <v>0</v>
      </c>
      <c r="G52" s="378">
        <f t="shared" si="9"/>
        <v>42039.1083782203</v>
      </c>
      <c r="H52" s="378">
        <f t="shared" si="10"/>
        <v>42039.1083782203</v>
      </c>
      <c r="I52" s="378">
        <f t="shared" si="7"/>
        <v>0</v>
      </c>
      <c r="J52" s="344"/>
    </row>
    <row r="53" customHeight="1" spans="1:10">
      <c r="A53" s="363" t="s">
        <v>139</v>
      </c>
      <c r="B53" s="394"/>
      <c r="C53" s="395">
        <f>SUM(C43:C52)</f>
        <v>450000</v>
      </c>
      <c r="D53" s="395"/>
      <c r="E53" s="395">
        <f>SUM(E43:E52)</f>
        <v>94608.9162177973</v>
      </c>
      <c r="F53" s="395"/>
      <c r="G53" s="395"/>
      <c r="H53" s="395">
        <f>SUM(H43:H52)</f>
        <v>420391.083782203</v>
      </c>
      <c r="I53" s="385"/>
      <c r="J53" s="344"/>
    </row>
    <row r="54" customHeight="1" spans="1:10">
      <c r="A54" s="386"/>
      <c r="B54" s="387"/>
      <c r="C54" s="348"/>
      <c r="D54" s="348"/>
      <c r="E54" s="348"/>
      <c r="F54" s="348"/>
      <c r="G54" s="348"/>
      <c r="H54" s="348"/>
      <c r="I54" s="348"/>
      <c r="J54" s="344"/>
    </row>
    <row r="55" customHeight="1" spans="1:10">
      <c r="A55" s="347" t="s">
        <v>480</v>
      </c>
      <c r="B55" s="347"/>
      <c r="C55" s="347"/>
      <c r="D55" s="347"/>
      <c r="E55" s="347"/>
      <c r="F55" s="347"/>
      <c r="G55" s="347"/>
      <c r="H55" s="347"/>
      <c r="I55" s="347"/>
      <c r="J55" s="344"/>
    </row>
    <row r="56" customHeight="1" spans="1:10">
      <c r="A56" s="361" t="s">
        <v>481</v>
      </c>
      <c r="B56" s="348"/>
      <c r="C56" s="348"/>
      <c r="D56" s="348"/>
      <c r="E56" s="348"/>
      <c r="G56" s="362"/>
      <c r="H56" s="348"/>
      <c r="I56" s="348"/>
      <c r="J56" s="344"/>
    </row>
    <row r="57" ht="24" customHeight="1" spans="1:10">
      <c r="A57" s="363" t="s">
        <v>195</v>
      </c>
      <c r="B57" s="363" t="s">
        <v>360</v>
      </c>
      <c r="C57" s="363" t="s">
        <v>361</v>
      </c>
      <c r="D57" s="364" t="s">
        <v>482</v>
      </c>
      <c r="E57" s="363" t="s">
        <v>363</v>
      </c>
      <c r="F57" s="363" t="s">
        <v>364</v>
      </c>
      <c r="G57" s="364" t="s">
        <v>365</v>
      </c>
      <c r="H57" s="364" t="s">
        <v>366</v>
      </c>
      <c r="I57" s="363" t="s">
        <v>367</v>
      </c>
      <c r="J57" s="344"/>
    </row>
    <row r="58" customHeight="1" spans="1:10">
      <c r="A58" s="365" t="s">
        <v>374</v>
      </c>
      <c r="B58" s="366">
        <v>44197</v>
      </c>
      <c r="C58" s="366">
        <v>47118</v>
      </c>
      <c r="D58" s="356">
        <v>7</v>
      </c>
      <c r="E58" s="356">
        <f>(YEAR(C58)-YEAR(B58))+D58+(MONTH(C58)-MONTH(B58)+1)/12</f>
        <v>15</v>
      </c>
      <c r="F58" s="366">
        <f>DATE(YEAR(C58)+D58,MONTH(C58),DAY(C58))</f>
        <v>49674</v>
      </c>
      <c r="G58" s="367">
        <v>0.06</v>
      </c>
      <c r="H58" s="367">
        <v>0.06</v>
      </c>
      <c r="I58" s="368">
        <v>9</v>
      </c>
      <c r="J58" s="344"/>
    </row>
    <row r="59" customHeight="1" spans="1:10">
      <c r="A59" s="369"/>
      <c r="B59" s="370"/>
      <c r="C59" s="371"/>
      <c r="D59" s="371"/>
      <c r="E59" s="371"/>
      <c r="F59" s="372"/>
      <c r="G59" s="371"/>
      <c r="H59" s="373"/>
      <c r="I59" s="373"/>
      <c r="J59" s="344"/>
    </row>
    <row r="60" customHeight="1" spans="1:10">
      <c r="A60" s="374"/>
      <c r="B60" s="348"/>
      <c r="C60" s="348"/>
      <c r="D60" s="348"/>
      <c r="E60" s="348"/>
      <c r="F60" s="348"/>
      <c r="G60" s="348"/>
      <c r="H60" s="348"/>
      <c r="I60" s="348"/>
      <c r="J60" s="344"/>
    </row>
    <row r="61" customHeight="1" spans="1:10">
      <c r="A61" s="361" t="s">
        <v>483</v>
      </c>
      <c r="B61" s="348"/>
      <c r="C61" s="348"/>
      <c r="D61" s="348"/>
      <c r="E61" s="348"/>
      <c r="F61" s="348"/>
      <c r="G61" s="348"/>
      <c r="H61" s="348"/>
      <c r="I61" s="348"/>
      <c r="J61" s="375"/>
    </row>
    <row r="62" ht="25.8" customHeight="1" spans="1:10">
      <c r="A62" s="363" t="s">
        <v>387</v>
      </c>
      <c r="B62" s="363" t="s">
        <v>388</v>
      </c>
      <c r="C62" s="363" t="s">
        <v>389</v>
      </c>
      <c r="D62" s="363" t="s">
        <v>468</v>
      </c>
      <c r="E62" s="363" t="s">
        <v>391</v>
      </c>
      <c r="F62" s="363" t="s">
        <v>392</v>
      </c>
      <c r="G62" s="363" t="s">
        <v>393</v>
      </c>
      <c r="H62" s="363" t="s">
        <v>371</v>
      </c>
      <c r="I62" s="363" t="s">
        <v>394</v>
      </c>
      <c r="J62" s="376"/>
    </row>
    <row r="63" customHeight="1" spans="1:10">
      <c r="A63" s="377">
        <v>46387</v>
      </c>
      <c r="B63" s="378">
        <v>50000</v>
      </c>
      <c r="C63" s="378">
        <f t="shared" ref="C63:C71" si="11">B63</f>
        <v>50000</v>
      </c>
      <c r="D63" s="358">
        <v>0</v>
      </c>
      <c r="E63" s="379">
        <f t="shared" ref="E63:E71" si="12">1/(1+$H$58)^D63</f>
        <v>1</v>
      </c>
      <c r="F63" s="378">
        <f t="shared" ref="F63:F71" si="13">C63*E63</f>
        <v>50000</v>
      </c>
      <c r="G63" s="396"/>
      <c r="H63" s="381"/>
      <c r="I63" s="381"/>
      <c r="J63" s="375"/>
    </row>
    <row r="64" customHeight="1" spans="1:10">
      <c r="A64" s="377">
        <v>46753</v>
      </c>
      <c r="B64" s="378">
        <v>50000</v>
      </c>
      <c r="C64" s="378">
        <f t="shared" si="11"/>
        <v>50000</v>
      </c>
      <c r="D64" s="358">
        <v>1</v>
      </c>
      <c r="E64" s="379">
        <f t="shared" si="12"/>
        <v>0.943396226415094</v>
      </c>
      <c r="F64" s="378">
        <f t="shared" si="13"/>
        <v>47169.8113207547</v>
      </c>
      <c r="G64" s="371"/>
      <c r="H64" s="382"/>
      <c r="I64" s="381"/>
      <c r="J64" s="375"/>
    </row>
    <row r="65" customHeight="1" spans="1:11">
      <c r="A65" s="377">
        <v>47119</v>
      </c>
      <c r="B65" s="378">
        <v>50000</v>
      </c>
      <c r="C65" s="378">
        <f t="shared" si="11"/>
        <v>50000</v>
      </c>
      <c r="D65" s="358">
        <v>2</v>
      </c>
      <c r="E65" s="379">
        <f t="shared" si="12"/>
        <v>0.88999644001424</v>
      </c>
      <c r="F65" s="378">
        <f t="shared" si="13"/>
        <v>44499.822000712</v>
      </c>
      <c r="G65" s="371"/>
      <c r="H65" s="382"/>
      <c r="I65" s="381"/>
      <c r="J65" s="375"/>
    </row>
    <row r="66" customHeight="1" spans="1:11">
      <c r="A66" s="377">
        <v>47484</v>
      </c>
      <c r="B66" s="378">
        <v>50000</v>
      </c>
      <c r="C66" s="378">
        <f t="shared" si="11"/>
        <v>50000</v>
      </c>
      <c r="D66" s="358">
        <v>3</v>
      </c>
      <c r="E66" s="379">
        <f t="shared" si="12"/>
        <v>0.839619283032302</v>
      </c>
      <c r="F66" s="378">
        <f t="shared" si="13"/>
        <v>41980.9641516151</v>
      </c>
      <c r="G66" s="371"/>
      <c r="H66" s="382"/>
      <c r="I66" s="381"/>
      <c r="J66" s="375"/>
    </row>
    <row r="67" customHeight="1" spans="1:11">
      <c r="A67" s="377">
        <v>47849</v>
      </c>
      <c r="B67" s="378">
        <v>55000</v>
      </c>
      <c r="C67" s="378">
        <f t="shared" si="11"/>
        <v>55000</v>
      </c>
      <c r="D67" s="358">
        <v>4</v>
      </c>
      <c r="E67" s="379">
        <f t="shared" si="12"/>
        <v>0.79209366323802</v>
      </c>
      <c r="F67" s="378">
        <f t="shared" si="13"/>
        <v>43565.1514780911</v>
      </c>
      <c r="G67" s="371"/>
      <c r="H67" s="382"/>
      <c r="I67" s="381"/>
      <c r="J67" s="383"/>
      <c r="K67" s="384"/>
    </row>
    <row r="68" customHeight="1" spans="1:11">
      <c r="A68" s="377">
        <v>48214</v>
      </c>
      <c r="B68" s="378">
        <v>55000</v>
      </c>
      <c r="C68" s="378">
        <f t="shared" si="11"/>
        <v>55000</v>
      </c>
      <c r="D68" s="358">
        <v>5</v>
      </c>
      <c r="E68" s="379">
        <f t="shared" si="12"/>
        <v>0.747258172866057</v>
      </c>
      <c r="F68" s="378">
        <f t="shared" si="13"/>
        <v>41099.1995076331</v>
      </c>
      <c r="G68" s="371"/>
      <c r="H68" s="382"/>
      <c r="I68" s="381"/>
      <c r="J68" s="383"/>
      <c r="K68" s="384"/>
    </row>
    <row r="69" customHeight="1" spans="1:11">
      <c r="A69" s="377">
        <v>48580</v>
      </c>
      <c r="B69" s="378">
        <v>55000</v>
      </c>
      <c r="C69" s="378">
        <f t="shared" si="11"/>
        <v>55000</v>
      </c>
      <c r="D69" s="358">
        <v>6</v>
      </c>
      <c r="E69" s="379">
        <f t="shared" si="12"/>
        <v>0.704960540439676</v>
      </c>
      <c r="F69" s="378">
        <f t="shared" si="13"/>
        <v>38772.8297241822</v>
      </c>
      <c r="G69" s="371"/>
      <c r="H69" s="382"/>
      <c r="I69" s="381"/>
      <c r="J69" s="375"/>
    </row>
    <row r="70" customHeight="1" spans="1:11">
      <c r="A70" s="377">
        <v>48945</v>
      </c>
      <c r="B70" s="378">
        <v>55000</v>
      </c>
      <c r="C70" s="378">
        <f t="shared" si="11"/>
        <v>55000</v>
      </c>
      <c r="D70" s="358">
        <v>7</v>
      </c>
      <c r="E70" s="379">
        <f t="shared" si="12"/>
        <v>0.665057113622336</v>
      </c>
      <c r="F70" s="378">
        <f t="shared" si="13"/>
        <v>36578.1412492285</v>
      </c>
      <c r="G70" s="371"/>
      <c r="H70" s="382"/>
      <c r="I70" s="381"/>
      <c r="J70" s="375"/>
    </row>
    <row r="71" customHeight="1" spans="1:11">
      <c r="A71" s="377">
        <v>49310</v>
      </c>
      <c r="B71" s="378">
        <v>55000</v>
      </c>
      <c r="C71" s="378">
        <f t="shared" si="11"/>
        <v>55000</v>
      </c>
      <c r="D71" s="358">
        <v>8</v>
      </c>
      <c r="E71" s="379">
        <f t="shared" si="12"/>
        <v>0.627412371341826</v>
      </c>
      <c r="F71" s="378">
        <f t="shared" si="13"/>
        <v>34507.6804238005</v>
      </c>
      <c r="G71" s="371"/>
      <c r="H71" s="382"/>
      <c r="I71" s="381"/>
      <c r="J71" s="375"/>
    </row>
    <row r="72" customHeight="1" spans="1:11">
      <c r="A72" s="363" t="s">
        <v>139</v>
      </c>
      <c r="B72" s="395">
        <f>SUM(B63:B71)</f>
        <v>475000</v>
      </c>
      <c r="C72" s="395">
        <f>SUM(C63:C71)</f>
        <v>475000</v>
      </c>
      <c r="D72" s="385"/>
      <c r="E72" s="395"/>
      <c r="F72" s="395">
        <f>SUM(F63:F71)</f>
        <v>378173.599856017</v>
      </c>
      <c r="G72" s="385">
        <f>SUM(G63:G71)</f>
        <v>0</v>
      </c>
      <c r="H72" s="385">
        <f>SUM(H63:H71)</f>
        <v>0</v>
      </c>
      <c r="I72" s="395">
        <f>F72-F48+I48+G72+H72</f>
        <v>360167.631900374</v>
      </c>
      <c r="J72" s="375"/>
    </row>
    <row r="73" customHeight="1" spans="1:11">
      <c r="A73" s="386"/>
      <c r="B73" s="387"/>
      <c r="C73" s="348"/>
      <c r="D73" s="348"/>
      <c r="E73" s="348"/>
      <c r="F73" s="348"/>
      <c r="G73" s="348"/>
      <c r="H73" s="348"/>
      <c r="I73" s="348"/>
      <c r="J73" s="344"/>
    </row>
    <row r="74" customHeight="1" spans="1:11">
      <c r="A74" s="361" t="s">
        <v>484</v>
      </c>
      <c r="B74" s="387"/>
      <c r="C74" s="348"/>
      <c r="D74" s="348"/>
      <c r="E74" s="348"/>
      <c r="F74" s="348"/>
      <c r="G74" s="348"/>
      <c r="H74" s="348"/>
      <c r="I74" s="348"/>
      <c r="J74" s="344"/>
    </row>
    <row r="75" customHeight="1" spans="1:11">
      <c r="A75" s="389" t="s">
        <v>397</v>
      </c>
      <c r="B75" s="389" t="s">
        <v>382</v>
      </c>
      <c r="C75" s="352"/>
      <c r="D75" s="352"/>
      <c r="E75" s="352"/>
      <c r="F75" s="353"/>
      <c r="G75" s="390" t="s">
        <v>380</v>
      </c>
      <c r="H75" s="352"/>
      <c r="I75" s="353"/>
      <c r="J75" s="344"/>
    </row>
    <row r="76" customHeight="1" spans="1:11">
      <c r="A76" s="125"/>
      <c r="B76" s="363" t="s">
        <v>175</v>
      </c>
      <c r="C76" s="391" t="s">
        <v>400</v>
      </c>
      <c r="D76" s="363" t="s">
        <v>401</v>
      </c>
      <c r="E76" s="363" t="s">
        <v>402</v>
      </c>
      <c r="F76" s="363" t="s">
        <v>178</v>
      </c>
      <c r="G76" s="363" t="s">
        <v>175</v>
      </c>
      <c r="H76" s="363" t="s">
        <v>403</v>
      </c>
      <c r="I76" s="363" t="s">
        <v>178</v>
      </c>
      <c r="J76" s="376"/>
    </row>
    <row r="77" customHeight="1" spans="1:11">
      <c r="A77" s="392" t="s">
        <v>476</v>
      </c>
      <c r="B77" s="393">
        <f>F72</f>
        <v>378173.599856017</v>
      </c>
      <c r="C77" s="378">
        <f t="shared" ref="C77:C85" si="14">C63</f>
        <v>50000</v>
      </c>
      <c r="D77" s="373">
        <v>1</v>
      </c>
      <c r="E77" s="378">
        <f t="shared" ref="E77:E85" si="15">(B77-C77)*$H$58</f>
        <v>19690.415991361</v>
      </c>
      <c r="F77" s="378">
        <f t="shared" ref="F77:F85" si="16">B77-C77+E77</f>
        <v>347864.015847378</v>
      </c>
      <c r="G77" s="393">
        <f>I72</f>
        <v>360167.631900374</v>
      </c>
      <c r="H77" s="378">
        <f>$I$72/$I$58</f>
        <v>40018.6257667083</v>
      </c>
      <c r="I77" s="378">
        <f t="shared" ref="I77:I85" si="17">G77-H77</f>
        <v>320149.006133666</v>
      </c>
      <c r="J77" s="344"/>
    </row>
    <row r="78" customHeight="1" spans="1:11">
      <c r="A78" s="392" t="s">
        <v>477</v>
      </c>
      <c r="B78" s="378">
        <f t="shared" ref="B78:B85" si="18">B77-C77+E77</f>
        <v>347864.015847378</v>
      </c>
      <c r="C78" s="378">
        <f t="shared" si="14"/>
        <v>50000</v>
      </c>
      <c r="D78" s="373">
        <v>1</v>
      </c>
      <c r="E78" s="378">
        <f t="shared" si="15"/>
        <v>17871.8409508427</v>
      </c>
      <c r="F78" s="378">
        <f t="shared" si="16"/>
        <v>315735.856798221</v>
      </c>
      <c r="G78" s="378">
        <f t="shared" ref="G78:G85" si="19">I77</f>
        <v>320149.006133666</v>
      </c>
      <c r="H78" s="378">
        <f t="shared" ref="H78:H85" si="20">H77</f>
        <v>40018.6257667083</v>
      </c>
      <c r="I78" s="378">
        <f t="shared" si="17"/>
        <v>280130.380366958</v>
      </c>
      <c r="J78" s="344"/>
    </row>
    <row r="79" customHeight="1" spans="1:11">
      <c r="A79" s="392" t="s">
        <v>478</v>
      </c>
      <c r="B79" s="378">
        <f t="shared" si="18"/>
        <v>315735.856798221</v>
      </c>
      <c r="C79" s="378">
        <f t="shared" si="14"/>
        <v>50000</v>
      </c>
      <c r="D79" s="373">
        <v>1</v>
      </c>
      <c r="E79" s="378">
        <f t="shared" si="15"/>
        <v>15944.1514078933</v>
      </c>
      <c r="F79" s="378">
        <f t="shared" si="16"/>
        <v>281680.008206114</v>
      </c>
      <c r="G79" s="378">
        <f t="shared" si="19"/>
        <v>280130.380366958</v>
      </c>
      <c r="H79" s="378">
        <f t="shared" si="20"/>
        <v>40018.6257667083</v>
      </c>
      <c r="I79" s="378">
        <f t="shared" si="17"/>
        <v>240111.754600249</v>
      </c>
      <c r="J79" s="344"/>
    </row>
    <row r="80" customHeight="1" spans="1:11">
      <c r="A80" s="392" t="s">
        <v>479</v>
      </c>
      <c r="B80" s="378">
        <f t="shared" si="18"/>
        <v>281680.008206114</v>
      </c>
      <c r="C80" s="378">
        <f t="shared" si="14"/>
        <v>50000</v>
      </c>
      <c r="D80" s="373">
        <v>1</v>
      </c>
      <c r="E80" s="378">
        <f t="shared" si="15"/>
        <v>13900.8004923669</v>
      </c>
      <c r="F80" s="378">
        <f t="shared" si="16"/>
        <v>245580.808698481</v>
      </c>
      <c r="G80" s="378">
        <f t="shared" si="19"/>
        <v>240111.754600249</v>
      </c>
      <c r="H80" s="378">
        <f t="shared" si="20"/>
        <v>40018.6257667083</v>
      </c>
      <c r="I80" s="378">
        <f t="shared" si="17"/>
        <v>200093.128833541</v>
      </c>
      <c r="J80" s="344"/>
    </row>
    <row r="81" customHeight="1" spans="1:10">
      <c r="A81" s="392" t="s">
        <v>485</v>
      </c>
      <c r="B81" s="378">
        <f t="shared" si="18"/>
        <v>245580.808698481</v>
      </c>
      <c r="C81" s="378">
        <f t="shared" si="14"/>
        <v>55000</v>
      </c>
      <c r="D81" s="373">
        <v>1</v>
      </c>
      <c r="E81" s="378">
        <f t="shared" si="15"/>
        <v>11434.8485219089</v>
      </c>
      <c r="F81" s="378">
        <f t="shared" si="16"/>
        <v>202015.65722039</v>
      </c>
      <c r="G81" s="378">
        <f t="shared" si="19"/>
        <v>200093.128833541</v>
      </c>
      <c r="H81" s="378">
        <f t="shared" si="20"/>
        <v>40018.6257667083</v>
      </c>
      <c r="I81" s="378">
        <f t="shared" si="17"/>
        <v>160074.503066833</v>
      </c>
      <c r="J81" s="344"/>
    </row>
    <row r="82" customHeight="1" spans="1:10">
      <c r="A82" s="392" t="s">
        <v>486</v>
      </c>
      <c r="B82" s="378">
        <f t="shared" si="18"/>
        <v>202015.65722039</v>
      </c>
      <c r="C82" s="378">
        <f t="shared" si="14"/>
        <v>55000</v>
      </c>
      <c r="D82" s="373">
        <v>1</v>
      </c>
      <c r="E82" s="378">
        <f t="shared" si="15"/>
        <v>8820.93943322339</v>
      </c>
      <c r="F82" s="378">
        <f t="shared" si="16"/>
        <v>155836.596653613</v>
      </c>
      <c r="G82" s="378">
        <f t="shared" si="19"/>
        <v>160074.503066833</v>
      </c>
      <c r="H82" s="378">
        <f t="shared" si="20"/>
        <v>40018.6257667083</v>
      </c>
      <c r="I82" s="378">
        <f t="shared" si="17"/>
        <v>120055.877300125</v>
      </c>
      <c r="J82" s="344"/>
    </row>
    <row r="83" customHeight="1" spans="1:10">
      <c r="A83" s="392" t="s">
        <v>487</v>
      </c>
      <c r="B83" s="378">
        <f t="shared" si="18"/>
        <v>155836.596653613</v>
      </c>
      <c r="C83" s="378">
        <f t="shared" si="14"/>
        <v>55000</v>
      </c>
      <c r="D83" s="373">
        <v>1</v>
      </c>
      <c r="E83" s="378">
        <f t="shared" si="15"/>
        <v>6050.1957992168</v>
      </c>
      <c r="F83" s="378">
        <f t="shared" si="16"/>
        <v>106886.79245283</v>
      </c>
      <c r="G83" s="378">
        <f t="shared" si="19"/>
        <v>120055.877300125</v>
      </c>
      <c r="H83" s="378">
        <f t="shared" si="20"/>
        <v>40018.6257667083</v>
      </c>
      <c r="I83" s="378">
        <f t="shared" si="17"/>
        <v>80037.2515334165</v>
      </c>
      <c r="J83" s="344"/>
    </row>
    <row r="84" customHeight="1" spans="1:10">
      <c r="A84" s="392" t="s">
        <v>488</v>
      </c>
      <c r="B84" s="378">
        <f t="shared" si="18"/>
        <v>106886.79245283</v>
      </c>
      <c r="C84" s="378">
        <f t="shared" si="14"/>
        <v>55000</v>
      </c>
      <c r="D84" s="373">
        <v>1</v>
      </c>
      <c r="E84" s="378">
        <f t="shared" si="15"/>
        <v>3113.20754716981</v>
      </c>
      <c r="F84" s="378">
        <f t="shared" si="16"/>
        <v>54999.9999999999</v>
      </c>
      <c r="G84" s="378">
        <f t="shared" si="19"/>
        <v>80037.2515334165</v>
      </c>
      <c r="H84" s="378">
        <f t="shared" si="20"/>
        <v>40018.6257667083</v>
      </c>
      <c r="I84" s="378">
        <f t="shared" si="17"/>
        <v>40018.6257667082</v>
      </c>
      <c r="J84" s="344"/>
    </row>
    <row r="85" customHeight="1" spans="1:10">
      <c r="A85" s="392" t="s">
        <v>489</v>
      </c>
      <c r="B85" s="378">
        <f t="shared" si="18"/>
        <v>54999.9999999999</v>
      </c>
      <c r="C85" s="378">
        <f t="shared" si="14"/>
        <v>55000</v>
      </c>
      <c r="D85" s="373">
        <v>1</v>
      </c>
      <c r="E85" s="378">
        <f t="shared" si="15"/>
        <v>-6.11180439591408e-12</v>
      </c>
      <c r="F85" s="378">
        <f t="shared" si="16"/>
        <v>-1.07975210994482e-10</v>
      </c>
      <c r="G85" s="378">
        <f t="shared" si="19"/>
        <v>40018.6257667082</v>
      </c>
      <c r="H85" s="378">
        <f t="shared" si="20"/>
        <v>40018.6257667083</v>
      </c>
      <c r="I85" s="378">
        <f t="shared" si="17"/>
        <v>0</v>
      </c>
      <c r="J85" s="344"/>
    </row>
    <row r="86" customHeight="1" spans="1:10">
      <c r="A86" s="363" t="s">
        <v>139</v>
      </c>
      <c r="B86" s="394"/>
      <c r="C86" s="395">
        <f>SUM(C77:C85)</f>
        <v>475000</v>
      </c>
      <c r="D86" s="385"/>
      <c r="E86" s="395">
        <f>SUM(E77:E85)</f>
        <v>96826.4001439827</v>
      </c>
      <c r="F86" s="395"/>
      <c r="G86" s="395"/>
      <c r="H86" s="395">
        <f>SUM(H77:H85)</f>
        <v>360167.631900374</v>
      </c>
      <c r="I86" s="395"/>
      <c r="J86" s="344"/>
    </row>
    <row r="87" customHeight="1" spans="1:10">
      <c r="A87" s="386"/>
      <c r="B87" s="387"/>
      <c r="C87" s="348"/>
      <c r="D87" s="348"/>
      <c r="E87" s="348"/>
      <c r="F87" s="348"/>
      <c r="G87" s="348"/>
      <c r="H87" s="348"/>
      <c r="I87" s="348"/>
      <c r="J87" s="344"/>
    </row>
    <row r="88" customHeight="1" spans="1:10">
      <c r="A88" s="347" t="s">
        <v>212</v>
      </c>
      <c r="J88" s="344"/>
    </row>
    <row r="89" customHeight="1" spans="1:10">
      <c r="A89" s="397"/>
      <c r="B89"/>
      <c r="C89"/>
      <c r="D89"/>
      <c r="E89"/>
      <c r="F89"/>
      <c r="G89"/>
      <c r="H89"/>
      <c r="I89"/>
      <c r="J89" s="344"/>
    </row>
    <row r="90" customHeight="1" spans="1:10">
      <c r="A90" s="347" t="s">
        <v>213</v>
      </c>
      <c r="J90" s="344"/>
    </row>
    <row r="91" customHeight="1" spans="1:10">
      <c r="A91" s="398"/>
      <c r="B91"/>
      <c r="C91"/>
      <c r="D91"/>
      <c r="E91"/>
      <c r="F91"/>
      <c r="G91"/>
      <c r="H91"/>
      <c r="I91"/>
      <c r="J91" s="344"/>
    </row>
    <row r="93" s="337" customFormat="1" customHeight="1" spans="1:10">
      <c r="A93" s="399" t="s">
        <v>214</v>
      </c>
      <c r="J93" s="338"/>
    </row>
    <row r="94" s="337" customFormat="1" customHeight="1" spans="1:10">
      <c r="A94" s="375" t="s">
        <v>457</v>
      </c>
      <c r="J94" s="338"/>
    </row>
    <row r="95" s="337" customFormat="1" customHeight="1" spans="1:10">
      <c r="A95" s="336"/>
      <c r="J95" s="338"/>
    </row>
    <row r="96" s="337" customFormat="1" customHeight="1" spans="1:10">
      <c r="A96" s="336"/>
      <c r="J96" s="338"/>
    </row>
    <row r="97" s="337" customFormat="1" customHeight="1" spans="1:10">
      <c r="A97" s="336"/>
      <c r="J97" s="338"/>
    </row>
    <row r="98" s="337" customFormat="1" customHeight="1" spans="1:10">
      <c r="A98" s="400"/>
      <c r="J98" s="338"/>
    </row>
    <row r="99" customHeight="1" spans="1:10">
      <c r="A99" s="400"/>
    </row>
    <row r="100" customHeight="1" spans="1:10">
      <c r="A100" s="400"/>
    </row>
  </sheetData>
  <mergeCells count="35">
    <mergeCell ref="A1:I1"/>
    <mergeCell ref="A2:I2"/>
    <mergeCell ref="A5:I5"/>
    <mergeCell ref="A9:B9"/>
    <mergeCell ref="C9:D9"/>
    <mergeCell ref="F9:H9"/>
    <mergeCell ref="A10:B10"/>
    <mergeCell ref="C10:D10"/>
    <mergeCell ref="F10:H10"/>
    <mergeCell ref="A11:B11"/>
    <mergeCell ref="C11:D11"/>
    <mergeCell ref="F11:H11"/>
    <mergeCell ref="A12:B12"/>
    <mergeCell ref="C12:I12"/>
    <mergeCell ref="A15:B15"/>
    <mergeCell ref="C15:D15"/>
    <mergeCell ref="F15:H15"/>
    <mergeCell ref="A16:B16"/>
    <mergeCell ref="C16:D16"/>
    <mergeCell ref="F16:H16"/>
    <mergeCell ref="A17:B17"/>
    <mergeCell ref="C17:D17"/>
    <mergeCell ref="F17:H17"/>
    <mergeCell ref="A18:B18"/>
    <mergeCell ref="C18:I18"/>
    <mergeCell ref="B41:F41"/>
    <mergeCell ref="G41:I41"/>
    <mergeCell ref="B75:F75"/>
    <mergeCell ref="G75:I75"/>
    <mergeCell ref="A88:I88"/>
    <mergeCell ref="A89:I89"/>
    <mergeCell ref="A90:I90"/>
    <mergeCell ref="A91:I91"/>
    <mergeCell ref="A41:A42"/>
    <mergeCell ref="A75:A76"/>
  </mergeCells>
  <dataValidations count="1">
    <dataValidation type="list" allowBlank="1" showInputMessage="1" showErrorMessage="1" sqref="E8 E14 E10:E11 E16:E17">
      <formula1>"是,否"</formula1>
    </dataValidation>
  </dataValidations>
  <hyperlinks>
    <hyperlink ref="I3" location="底稿目录!A1" display="H8-7"/>
  </hyperlinks>
  <printOptions horizontalCentered="1"/>
  <pageMargins left="0.94488188976378" right="0.275590551181102" top="0.62992125984252" bottom="0.511811023622047" header="0.511811023622047" footer="0.354330708661417"/>
  <pageSetup paperSize="9" scale="78" fitToHeight="2" orientation="portrait" blackAndWhite="1"/>
  <headerFooter alignWithMargins="0">
    <oddFooter>&amp;C&amp;P/&amp;N</oddFooter>
  </headerFooter>
  <rowBreaks count="2" manualBreakCount="2">
    <brk id="39" max="8" man="1"/>
    <brk id="90" max="8"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36"/>
  <sheetViews>
    <sheetView showZeros="0" view="pageBreakPreview" zoomScaleNormal="100" workbookViewId="0">
      <selection activeCell="B25" sqref="B25"/>
    </sheetView>
  </sheetViews>
  <sheetFormatPr defaultColWidth="9" defaultRowHeight="19.95" customHeight="1"/>
  <cols>
    <col min="1" max="1" width="12.6" style="269" customWidth="1"/>
    <col min="2" max="2" width="13.2" style="269" customWidth="1"/>
    <col min="3" max="3" width="13.7" style="269" customWidth="1"/>
    <col min="4" max="4" width="11.9" style="269" customWidth="1"/>
    <col min="5" max="5" width="9" style="269" customWidth="1"/>
    <col min="6" max="6" width="9" style="39" customWidth="1"/>
    <col min="7" max="7" width="7.9" style="269" customWidth="1"/>
    <col min="8" max="8" width="7.1" style="269" customWidth="1"/>
    <col min="9" max="9" width="9" style="269" customWidth="1"/>
    <col min="10" max="10" width="6.4" style="269" customWidth="1"/>
    <col min="11" max="11" width="8.4" style="39" customWidth="1"/>
    <col min="12" max="12" width="8.4" style="269" customWidth="1"/>
    <col min="13" max="13" width="6.4" style="269" customWidth="1"/>
    <col min="14" max="14" width="8.9" style="269" customWidth="1"/>
    <col min="15" max="15" width="10.1" style="269" customWidth="1"/>
    <col min="16" max="16" width="8.2" style="269" customWidth="1"/>
    <col min="17" max="17" width="10.1" style="269" customWidth="1"/>
    <col min="18" max="18" width="9.5" style="269" customWidth="1"/>
    <col min="19" max="16384" width="9" style="269" customWidth="1"/>
  </cols>
  <sheetData>
    <row r="1" s="304" customFormat="1" customHeight="1" spans="1:25">
      <c r="A1" s="308" t="s">
        <v>58</v>
      </c>
      <c r="B1" s="309"/>
      <c r="C1" s="309"/>
      <c r="D1" s="309"/>
      <c r="E1" s="309"/>
      <c r="F1" s="309"/>
      <c r="G1" s="309"/>
      <c r="H1" s="309"/>
      <c r="I1" s="309"/>
      <c r="J1" s="309"/>
      <c r="K1" s="309"/>
      <c r="L1" s="309"/>
      <c r="M1" s="309"/>
      <c r="N1" s="309"/>
      <c r="O1" s="309"/>
      <c r="P1" s="309"/>
      <c r="Q1" s="309"/>
      <c r="R1" s="309"/>
    </row>
    <row r="2" s="305" customFormat="1" customHeight="1" spans="1:25">
      <c r="A2" s="164" t="s">
        <v>490</v>
      </c>
      <c r="B2" s="310"/>
      <c r="C2" s="310"/>
      <c r="D2" s="310"/>
      <c r="E2" s="310"/>
      <c r="F2" s="310"/>
      <c r="G2" s="310"/>
      <c r="H2" s="310"/>
      <c r="I2" s="310"/>
      <c r="J2" s="310"/>
      <c r="K2" s="310"/>
      <c r="L2" s="310"/>
      <c r="M2" s="310"/>
      <c r="N2" s="310"/>
      <c r="O2" s="310"/>
      <c r="P2" s="310"/>
      <c r="Q2" s="310"/>
      <c r="R2" s="310"/>
    </row>
    <row r="3" customHeight="1" spans="1:25">
      <c r="A3" s="269" t="str">
        <f>[3]底稿目录!A2</f>
        <v>被审计单位：</v>
      </c>
      <c r="B3" s="311"/>
      <c r="D3" s="270"/>
      <c r="E3" s="269" t="str">
        <f>[3]底稿目录!A4</f>
        <v>编制人：</v>
      </c>
      <c r="L3" s="269" t="str">
        <f>[3]底稿目录!A6</f>
        <v>编制日期：</v>
      </c>
      <c r="Q3" s="40" t="s">
        <v>59</v>
      </c>
      <c r="R3" s="210" t="s">
        <v>40</v>
      </c>
    </row>
    <row r="4" customHeight="1" spans="1:25">
      <c r="A4" s="269" t="str">
        <f>[3]底稿目录!A3</f>
        <v>截止日：202X年12月31日</v>
      </c>
      <c r="B4" s="311"/>
      <c r="D4" s="270"/>
      <c r="E4" s="269" t="str">
        <f>[3]底稿目录!A5</f>
        <v>复核人：</v>
      </c>
      <c r="L4" s="269" t="str">
        <f>[3]底稿目录!A7</f>
        <v>复核日期：</v>
      </c>
      <c r="Q4" s="40" t="s">
        <v>60</v>
      </c>
      <c r="R4" s="42"/>
    </row>
    <row r="5" s="269" customFormat="1" customHeight="1" spans="1:25">
      <c r="A5" s="312" t="s">
        <v>491</v>
      </c>
      <c r="B5" s="268"/>
      <c r="E5" s="270"/>
      <c r="F5" s="39"/>
      <c r="K5" s="271"/>
      <c r="S5" s="313"/>
      <c r="T5" s="313"/>
      <c r="U5" s="313"/>
      <c r="V5" s="313"/>
      <c r="W5" s="313"/>
      <c r="X5" s="313"/>
      <c r="Y5" s="313"/>
    </row>
    <row r="6" customHeight="1" spans="1:25">
      <c r="A6" s="312" t="s">
        <v>492</v>
      </c>
      <c r="B6" s="314"/>
      <c r="E6" s="270"/>
      <c r="K6" s="271"/>
      <c r="S6" s="313"/>
      <c r="T6" s="313"/>
      <c r="U6" s="313"/>
      <c r="V6" s="313"/>
      <c r="W6" s="313"/>
      <c r="X6" s="313"/>
      <c r="Y6" s="313"/>
    </row>
    <row r="7" s="264" customFormat="1" customHeight="1" spans="1:25">
      <c r="A7" s="272" t="s">
        <v>493</v>
      </c>
      <c r="B7" s="273">
        <v>45658</v>
      </c>
      <c r="C7" s="272" t="s">
        <v>494</v>
      </c>
      <c r="D7" s="273">
        <v>46022</v>
      </c>
      <c r="F7" s="315" t="s">
        <v>495</v>
      </c>
      <c r="H7" s="316"/>
      <c r="K7" s="317"/>
      <c r="L7" s="316"/>
      <c r="M7" s="316"/>
      <c r="O7" s="269"/>
      <c r="P7" s="269"/>
    </row>
    <row r="8" s="265" customFormat="1" ht="28.2" customHeight="1" spans="1:25">
      <c r="A8" s="318" t="s">
        <v>194</v>
      </c>
      <c r="B8" s="318" t="s">
        <v>195</v>
      </c>
      <c r="C8" s="318" t="s">
        <v>196</v>
      </c>
      <c r="D8" s="280" t="s">
        <v>496</v>
      </c>
      <c r="E8" s="280" t="s">
        <v>198</v>
      </c>
      <c r="F8" s="319" t="s">
        <v>497</v>
      </c>
      <c r="G8" s="280" t="s">
        <v>498</v>
      </c>
      <c r="H8" s="280" t="s">
        <v>499</v>
      </c>
      <c r="I8" s="280" t="s">
        <v>500</v>
      </c>
      <c r="J8" s="280" t="s">
        <v>501</v>
      </c>
      <c r="K8" s="280" t="s">
        <v>502</v>
      </c>
      <c r="L8" s="280" t="s">
        <v>503</v>
      </c>
      <c r="M8" s="280" t="s">
        <v>504</v>
      </c>
      <c r="N8" s="280" t="s">
        <v>505</v>
      </c>
      <c r="O8" s="280" t="s">
        <v>506</v>
      </c>
      <c r="P8" s="280" t="s">
        <v>507</v>
      </c>
      <c r="Q8" s="280" t="s">
        <v>508</v>
      </c>
      <c r="R8" s="280" t="s">
        <v>509</v>
      </c>
    </row>
    <row r="9" s="264" customFormat="1" customHeight="1" spans="1:25">
      <c r="A9" s="320">
        <f>'[3]明细表H8-2'!A12</f>
        <v>0</v>
      </c>
      <c r="B9" s="320">
        <f>'[3]明细表H8-2'!B12</f>
        <v>0</v>
      </c>
      <c r="C9" s="320">
        <f>'[3]明细表H8-2'!C12</f>
        <v>0</v>
      </c>
      <c r="D9" s="321">
        <f>'[3]明细表H8-2'!S12</f>
        <v>0</v>
      </c>
      <c r="E9" s="321">
        <f>'[3]明细表H8-2'!AJ12</f>
        <v>0</v>
      </c>
      <c r="F9" s="283"/>
      <c r="G9" s="284"/>
      <c r="H9" s="285"/>
      <c r="I9" s="286"/>
      <c r="J9" s="321">
        <f>IF(G9=0,0,IF(RIGHT(G9,1)&lt;&gt;"年",G9*12,IF(LEN(G9)=3,VALUE(LEFT(G9,2))*12,IF(LEN(G9)=2,VALUE(LEFT(G9,1))*12,"??"))))</f>
        <v>0</v>
      </c>
      <c r="K9" s="322">
        <f>DATE((YEAR(F9)+G9),MONTH(F9),DAY(F9))</f>
        <v>0</v>
      </c>
      <c r="L9" s="321">
        <f>MIN((YEAR(K9)-YEAR(F9))*12+(MONTH(K9)-MONTH(F9)),(YEAR($D$7)-YEAR(F9))*12+MONTH($D$7)-MONTH(F9),G9*12)</f>
        <v>0</v>
      </c>
      <c r="M9" s="321">
        <f>IF(K9&lt;$B$7,0,IF($D$7&gt;K9,MIN(MONTH($D$7),DATEDIF(DATE(YEAR(F9),MONTH(F9),"1"),$D$7,"M")-DATEDIF(DATE(YEAR(F9),MONTH(F9),"1"),DATEDIF(YEAR(K9),MONTH(K9),"1"),"M")),MIN(DATEDIF(DATE(YEAR(F9),MONTH(F9),"1"),$D$7,"m"),MONTH($D$7))))</f>
        <v>0</v>
      </c>
      <c r="N9" s="321">
        <f>IF(J9=0,0,ROUND(((1-H9)/J9)*D9,4))</f>
        <v>0</v>
      </c>
      <c r="O9" s="321">
        <f>ROUND(N9*M9,2)</f>
        <v>0</v>
      </c>
      <c r="P9" s="321">
        <f>ROUND(I9-N9,2)</f>
        <v>0</v>
      </c>
      <c r="Q9" s="321">
        <f>ROUND(N9*L9,2)</f>
        <v>0</v>
      </c>
      <c r="R9" s="321">
        <f>ROUND(E9-Q9,2)</f>
        <v>0</v>
      </c>
    </row>
    <row r="10" s="264" customFormat="1" customHeight="1" spans="1:25">
      <c r="A10" s="320">
        <f>'[3]明细表H8-2'!A13</f>
        <v>0</v>
      </c>
      <c r="B10" s="320">
        <f>'[3]明细表H8-2'!B13</f>
        <v>0</v>
      </c>
      <c r="C10" s="320">
        <f>'[3]明细表H8-2'!C13</f>
        <v>0</v>
      </c>
      <c r="D10" s="321">
        <f>'[3]明细表H8-2'!S13</f>
        <v>0</v>
      </c>
      <c r="E10" s="321">
        <f>'[3]明细表H8-2'!AJ13</f>
        <v>0</v>
      </c>
      <c r="F10" s="283"/>
      <c r="G10" s="284"/>
      <c r="H10" s="285"/>
      <c r="I10" s="286"/>
      <c r="J10" s="321">
        <f>IF(G10=0,0,IF(RIGHT(G10,1)&lt;&gt;"年",G10*12,IF(LEN(G10)=3,VALUE(LEFT(G10,2))*12,IF(LEN(G10)=2,VALUE(LEFT(G10,1))*12,"??"))))</f>
        <v>0</v>
      </c>
      <c r="K10" s="322">
        <f>DATE((YEAR(F10)+G10),MONTH(F10),DAY(F10))</f>
        <v>0</v>
      </c>
      <c r="L10" s="321">
        <f>MIN((YEAR(K10)-YEAR(F10))*12+(MONTH(K10)-MONTH(F10)),(YEAR($D$7)-YEAR(F10))*12+MONTH($D$7)-MONTH(F10),G10*12)</f>
        <v>0</v>
      </c>
      <c r="M10" s="321">
        <f>IF(K10&lt;$B$7,0,IF($D$7&gt;K10,MIN(MONTH($D$7),DATEDIF(DATE(YEAR(F10),MONTH(F10),"1"),$D$7,"M")-DATEDIF(DATE(YEAR(F10),MONTH(F10),"1"),DATEDIF(YEAR(K10),MONTH(K10),"1"),"M")),MIN(DATEDIF(DATE(YEAR(F10),MONTH(F10),"1"),$D$7,"m"),MONTH($D$7))))</f>
        <v>0</v>
      </c>
      <c r="N10" s="321">
        <f>IF(J10=0,0,ROUND(((1-H10)/J10)*D10,4))</f>
        <v>0</v>
      </c>
      <c r="O10" s="321">
        <f>ROUND(N10*M10,2)</f>
        <v>0</v>
      </c>
      <c r="P10" s="321">
        <f>ROUND(I10-N10,2)</f>
        <v>0</v>
      </c>
      <c r="Q10" s="321">
        <f>ROUND(N10*L10,2)</f>
        <v>0</v>
      </c>
      <c r="R10" s="321">
        <f>ROUND(E10-Q10,2)</f>
        <v>0</v>
      </c>
    </row>
    <row r="11" customHeight="1" spans="1:25">
      <c r="A11" s="320">
        <f>'[3]明细表H8-2'!A14</f>
        <v>0</v>
      </c>
      <c r="B11" s="320">
        <f>'[3]明细表H8-2'!B14</f>
        <v>0</v>
      </c>
      <c r="C11" s="320">
        <f>'[3]明细表H8-2'!C14</f>
        <v>0</v>
      </c>
      <c r="D11" s="321">
        <f>'[3]明细表H8-2'!S14</f>
        <v>0</v>
      </c>
      <c r="E11" s="321">
        <f>'[3]明细表H8-2'!AJ14</f>
        <v>0</v>
      </c>
      <c r="F11" s="283"/>
      <c r="G11" s="284"/>
      <c r="H11" s="285"/>
      <c r="I11" s="286"/>
      <c r="J11" s="321">
        <f>IF(G11=0,0,IF(RIGHT(G11,1)&lt;&gt;"年",G11*12,IF(LEN(G11)=3,VALUE(LEFT(G11,2))*12,IF(LEN(G11)=2,VALUE(LEFT(G11,1))*12,"??"))))</f>
        <v>0</v>
      </c>
      <c r="K11" s="322">
        <f>DATE((YEAR(F11)+G11),MONTH(F11),DAY(F11))</f>
        <v>0</v>
      </c>
      <c r="L11" s="321">
        <f>MIN((YEAR(K11)-YEAR(F11))*12+(MONTH(K11)-MONTH(F11)),(YEAR($D$7)-YEAR(F11))*12+MONTH($D$7)-MONTH(F11),G11*12)</f>
        <v>0</v>
      </c>
      <c r="M11" s="321">
        <f>IF(K11&lt;$B$7,0,IF($D$7&gt;K11,MIN(MONTH($D$7),DATEDIF(DATE(YEAR(F11),MONTH(F11),"1"),$D$7,"M")-DATEDIF(DATE(YEAR(F11),MONTH(F11),"1"),DATEDIF(YEAR(K11),MONTH(K11),"1"),"M")),MIN(DATEDIF(DATE(YEAR(F11),MONTH(F11),"1"),$D$7,"m"),MONTH($D$7))))</f>
        <v>0</v>
      </c>
      <c r="N11" s="321">
        <f>IF(J11=0,0,ROUND(((1-H11)/J11)*D11,4))</f>
        <v>0</v>
      </c>
      <c r="O11" s="321">
        <f>ROUND(N11*M11,2)</f>
        <v>0</v>
      </c>
      <c r="P11" s="321">
        <f>ROUND(I11-N11,2)</f>
        <v>0</v>
      </c>
      <c r="Q11" s="321">
        <f>ROUND(N11*L11,2)</f>
        <v>0</v>
      </c>
      <c r="R11" s="321">
        <f>ROUND(E11-Q11,2)</f>
        <v>0</v>
      </c>
    </row>
    <row r="12" customHeight="1" spans="1:25">
      <c r="A12" s="320">
        <f>'[3]明细表H8-2'!A15</f>
        <v>0</v>
      </c>
      <c r="B12" s="320">
        <f>'[3]明细表H8-2'!B15</f>
        <v>0</v>
      </c>
      <c r="C12" s="320">
        <f>'[3]明细表H8-2'!C15</f>
        <v>0</v>
      </c>
      <c r="D12" s="321">
        <f>'[3]明细表H8-2'!S15</f>
        <v>0</v>
      </c>
      <c r="E12" s="321">
        <f>'[3]明细表H8-2'!AJ15</f>
        <v>0</v>
      </c>
      <c r="F12" s="283"/>
      <c r="G12" s="284"/>
      <c r="H12" s="285"/>
      <c r="I12" s="286"/>
      <c r="J12" s="321">
        <f>IF(G12=0,0,IF(RIGHT(G12,1)&lt;&gt;"年",G12*12,IF(LEN(G12)=3,VALUE(LEFT(G12,2))*12,IF(LEN(G12)=2,VALUE(LEFT(G12,1))*12,"??"))))</f>
        <v>0</v>
      </c>
      <c r="K12" s="322">
        <f>DATE((YEAR(F12)+G12),MONTH(F12),DAY(F12))</f>
        <v>0</v>
      </c>
      <c r="L12" s="321">
        <f>MIN((YEAR(K12)-YEAR(F12))*12+(MONTH(K12)-MONTH(F12)),(YEAR($D$7)-YEAR(F12))*12+MONTH($D$7)-MONTH(F12),G12*12)</f>
        <v>0</v>
      </c>
      <c r="M12" s="321">
        <f>IF(K12&lt;$B$7,0,IF($D$7&gt;K12,MIN(MONTH($D$7),DATEDIF(DATE(YEAR(F12),MONTH(F12),"1"),$D$7,"M")-DATEDIF(DATE(YEAR(F12),MONTH(F12),"1"),DATEDIF(YEAR(K12),MONTH(K12),"1"),"M")),MIN(DATEDIF(DATE(YEAR(F12),MONTH(F12),"1"),$D$7,"m"),MONTH($D$7))))</f>
        <v>0</v>
      </c>
      <c r="N12" s="321">
        <f>IF(J12=0,0,ROUND(((1-H12)/J12)*D12,4))</f>
        <v>0</v>
      </c>
      <c r="O12" s="321">
        <f>ROUND(N12*M12,2)</f>
        <v>0</v>
      </c>
      <c r="P12" s="321">
        <f>ROUND(I12-N12,2)</f>
        <v>0</v>
      </c>
      <c r="Q12" s="321">
        <f>ROUND(N12*L12,2)</f>
        <v>0</v>
      </c>
      <c r="R12" s="321">
        <f>ROUND(E12-Q12,2)</f>
        <v>0</v>
      </c>
    </row>
    <row r="13" customHeight="1" spans="1:25">
      <c r="A13" s="320">
        <f>'[3]明细表H8-2'!A16</f>
        <v>0</v>
      </c>
      <c r="B13" s="320">
        <f>'[3]明细表H8-2'!B16</f>
        <v>0</v>
      </c>
      <c r="C13" s="320">
        <f>'[3]明细表H8-2'!C16</f>
        <v>0</v>
      </c>
      <c r="D13" s="321">
        <f>'[3]明细表H8-2'!S16</f>
        <v>0</v>
      </c>
      <c r="E13" s="321">
        <f>'[3]明细表H8-2'!AJ16</f>
        <v>0</v>
      </c>
      <c r="F13" s="283"/>
      <c r="G13" s="284"/>
      <c r="H13" s="285"/>
      <c r="I13" s="286"/>
      <c r="J13" s="321">
        <f>IF(G13=0,0,IF(RIGHT(G13,1)&lt;&gt;"年",G13*12,IF(LEN(G13)=3,VALUE(LEFT(G13,2))*12,IF(LEN(G13)=2,VALUE(LEFT(G13,1))*12,"??"))))</f>
        <v>0</v>
      </c>
      <c r="K13" s="322">
        <f>DATE((YEAR(F13)+G13),MONTH(F13),DAY(F13))</f>
        <v>0</v>
      </c>
      <c r="L13" s="321">
        <f>MIN((YEAR(K13)-YEAR(F13))*12+(MONTH(K13)-MONTH(F13)),(YEAR($D$7)-YEAR(F13))*12+MONTH($D$7)-MONTH(F13),G13*12)</f>
        <v>0</v>
      </c>
      <c r="M13" s="321">
        <f>IF(K13&lt;$B$7,0,IF($D$7&gt;K13,MIN(MONTH($D$7),DATEDIF(DATE(YEAR(F13),MONTH(F13),"1"),$D$7,"M")-DATEDIF(DATE(YEAR(F13),MONTH(F13),"1"),DATEDIF(YEAR(K13),MONTH(K13),"1"),"M")),MIN(DATEDIF(DATE(YEAR(F13),MONTH(F13),"1"),$D$7,"m"),MONTH($D$7))))</f>
        <v>0</v>
      </c>
      <c r="N13" s="321">
        <f>IF(J13=0,0,ROUND(((1-H13)/J13)*D13,4))</f>
        <v>0</v>
      </c>
      <c r="O13" s="321">
        <f>ROUND(N13*M13,2)</f>
        <v>0</v>
      </c>
      <c r="P13" s="321">
        <f>ROUND(I13-N13,2)</f>
        <v>0</v>
      </c>
      <c r="Q13" s="321">
        <f>ROUND(N13*L13,2)</f>
        <v>0</v>
      </c>
      <c r="R13" s="321">
        <f>ROUND(E13-Q13,2)</f>
        <v>0</v>
      </c>
    </row>
    <row r="14" s="306" customFormat="1" customHeight="1" spans="1:25">
      <c r="A14" s="323"/>
      <c r="B14" s="323" t="s">
        <v>139</v>
      </c>
      <c r="C14" s="323"/>
      <c r="D14" s="324">
        <f>SUM(D9:D13)</f>
        <v>0</v>
      </c>
      <c r="E14" s="324">
        <f>SUM(E9:E13)</f>
        <v>0</v>
      </c>
      <c r="F14" s="324"/>
      <c r="G14" s="324"/>
      <c r="H14" s="324"/>
      <c r="I14" s="324"/>
      <c r="J14" s="324"/>
      <c r="K14" s="325"/>
      <c r="L14" s="324"/>
      <c r="M14" s="324"/>
      <c r="N14" s="326">
        <f>SUM(N9:N13)</f>
        <v>0</v>
      </c>
      <c r="O14" s="326">
        <f>SUM(O9:O13)</f>
        <v>0</v>
      </c>
      <c r="P14" s="324">
        <f>SUM(P9:P13)</f>
        <v>0</v>
      </c>
      <c r="Q14" s="324">
        <f>SUM(Q9:Q13)</f>
        <v>0</v>
      </c>
      <c r="R14" s="324">
        <f>SUM(R9:R13)</f>
        <v>0</v>
      </c>
    </row>
    <row r="15" s="306" customFormat="1" customHeight="1" spans="1:25">
      <c r="A15" s="327" t="str">
        <f>'[3]明细表H8-2'!A33:C33</f>
        <v>其中：</v>
      </c>
      <c r="B15" s="119"/>
      <c r="C15" s="137"/>
      <c r="D15" s="324"/>
      <c r="E15" s="324"/>
      <c r="F15" s="296"/>
      <c r="G15" s="328"/>
      <c r="H15" s="329"/>
      <c r="I15" s="328"/>
      <c r="J15" s="328"/>
      <c r="K15" s="296"/>
      <c r="L15" s="328"/>
      <c r="M15" s="328"/>
      <c r="N15" s="328"/>
      <c r="O15" s="328"/>
      <c r="P15" s="328"/>
      <c r="Q15" s="328"/>
      <c r="R15" s="328"/>
    </row>
    <row r="16" s="306" customFormat="1" customHeight="1" spans="1:25">
      <c r="A16" s="327" t="str">
        <f>'[3]明细表H8-2'!A34:C34</f>
        <v>房屋及建筑物</v>
      </c>
      <c r="B16" s="119"/>
      <c r="C16" s="137"/>
      <c r="D16" s="324">
        <f>SUMPRODUCT(($A$9:$A$13=$A16)*(D$9:D$13))</f>
        <v>0</v>
      </c>
      <c r="E16" s="324">
        <f>SUMPRODUCT(($A$9:$A$13=$A16)*(E$9:E$13))</f>
        <v>0</v>
      </c>
      <c r="F16" s="324"/>
      <c r="G16" s="324"/>
      <c r="H16" s="324"/>
      <c r="I16" s="324"/>
      <c r="J16" s="324"/>
      <c r="K16" s="324"/>
      <c r="L16" s="324"/>
      <c r="M16" s="324"/>
      <c r="N16" s="324">
        <f>SUMPRODUCT(($A$9:$A$13=$A16)*(N$9:N$13))</f>
        <v>0</v>
      </c>
      <c r="O16" s="324">
        <f>SUMPRODUCT(($A$9:$A$13=$A16)*(O$9:O$13))</f>
        <v>0</v>
      </c>
      <c r="P16" s="324">
        <f>SUMPRODUCT(($A$9:$A$13=$A16)*(P$9:P$13))</f>
        <v>0</v>
      </c>
      <c r="Q16" s="324">
        <f>SUMPRODUCT(($A$9:$A$13=$A16)*(Q$9:Q$13))</f>
        <v>0</v>
      </c>
      <c r="R16" s="324">
        <f>SUMPRODUCT(($A$9:$A$13=$A16)*(R$9:R$13))</f>
        <v>0</v>
      </c>
    </row>
    <row r="17" s="306" customFormat="1" customHeight="1" spans="1:18">
      <c r="A17" s="327" t="str">
        <f>'[3]明细表H8-2'!A35:C35</f>
        <v>机器设备</v>
      </c>
      <c r="B17" s="119"/>
      <c r="C17" s="137"/>
      <c r="D17" s="324">
        <f>SUMPRODUCT(($A$9:$A$13=$A17)*(D$9:D$13))</f>
        <v>0</v>
      </c>
      <c r="E17" s="324">
        <f>SUMPRODUCT(($A$9:$A$13=$A17)*(E$9:E$13))</f>
        <v>0</v>
      </c>
      <c r="F17" s="324"/>
      <c r="G17" s="324"/>
      <c r="H17" s="324"/>
      <c r="I17" s="324"/>
      <c r="J17" s="324"/>
      <c r="K17" s="324"/>
      <c r="L17" s="324"/>
      <c r="M17" s="324"/>
      <c r="N17" s="324">
        <f>SUMPRODUCT(($A$9:$A$13=$A17)*(N$9:N$13))</f>
        <v>0</v>
      </c>
      <c r="O17" s="324">
        <f>SUMPRODUCT(($A$9:$A$13=$A17)*(O$9:O$13))</f>
        <v>0</v>
      </c>
      <c r="P17" s="324">
        <f>SUMPRODUCT(($A$9:$A$13=$A17)*(P$9:P$13))</f>
        <v>0</v>
      </c>
      <c r="Q17" s="324">
        <f>SUMPRODUCT(($A$9:$A$13=$A17)*(Q$9:Q$13))</f>
        <v>0</v>
      </c>
      <c r="R17" s="324">
        <f>SUMPRODUCT(($A$9:$A$13=$A17)*(R$9:R$13))</f>
        <v>0</v>
      </c>
    </row>
    <row r="18" s="306" customFormat="1" customHeight="1" spans="1:18">
      <c r="A18" s="327" t="str">
        <f>'[3]明细表H8-2'!A36:C36</f>
        <v>运输设备</v>
      </c>
      <c r="B18" s="119"/>
      <c r="C18" s="137"/>
      <c r="D18" s="324">
        <f>SUMPRODUCT(($A$9:$A$13=$A18)*(D$9:D$13))</f>
        <v>0</v>
      </c>
      <c r="E18" s="324">
        <f>SUMPRODUCT(($A$9:$A$13=$A18)*(E$9:E$13))</f>
        <v>0</v>
      </c>
      <c r="F18" s="324"/>
      <c r="G18" s="324"/>
      <c r="H18" s="324"/>
      <c r="I18" s="324"/>
      <c r="J18" s="324"/>
      <c r="K18" s="324"/>
      <c r="L18" s="324"/>
      <c r="M18" s="324"/>
      <c r="N18" s="324">
        <f>SUMPRODUCT(($A$9:$A$13=$A18)*(N$9:N$13))</f>
        <v>0</v>
      </c>
      <c r="O18" s="324">
        <f>SUMPRODUCT(($A$9:$A$13=$A18)*(O$9:O$13))</f>
        <v>0</v>
      </c>
      <c r="P18" s="324">
        <f>SUMPRODUCT(($A$9:$A$13=$A18)*(P$9:P$13))</f>
        <v>0</v>
      </c>
      <c r="Q18" s="324">
        <f>SUMPRODUCT(($A$9:$A$13=$A18)*(Q$9:Q$13))</f>
        <v>0</v>
      </c>
      <c r="R18" s="324">
        <f>SUMPRODUCT(($A$9:$A$13=$A18)*(R$9:R$13))</f>
        <v>0</v>
      </c>
    </row>
    <row r="19" s="306" customFormat="1" customHeight="1" spans="1:18">
      <c r="A19" s="327" t="str">
        <f>'[3]明细表H8-2'!A37:C37</f>
        <v>办公设备</v>
      </c>
      <c r="B19" s="119"/>
      <c r="C19" s="137"/>
      <c r="D19" s="324">
        <f>SUMPRODUCT(($A$9:$A$13=$A19)*(D$9:D$13))</f>
        <v>0</v>
      </c>
      <c r="E19" s="324">
        <f>SUMPRODUCT(($A$9:$A$13=$A19)*(E$9:E$13))</f>
        <v>0</v>
      </c>
      <c r="F19" s="324"/>
      <c r="G19" s="324"/>
      <c r="H19" s="324"/>
      <c r="I19" s="324"/>
      <c r="J19" s="324"/>
      <c r="K19" s="324"/>
      <c r="L19" s="324"/>
      <c r="M19" s="324"/>
      <c r="N19" s="324">
        <f>SUMPRODUCT(($A$9:$A$13=$A19)*(N$9:N$13))</f>
        <v>0</v>
      </c>
      <c r="O19" s="324">
        <f>SUMPRODUCT(($A$9:$A$13=$A19)*(O$9:O$13))</f>
        <v>0</v>
      </c>
      <c r="P19" s="324">
        <f>SUMPRODUCT(($A$9:$A$13=$A19)*(P$9:P$13))</f>
        <v>0</v>
      </c>
      <c r="Q19" s="324">
        <f>SUMPRODUCT(($A$9:$A$13=$A19)*(Q$9:Q$13))</f>
        <v>0</v>
      </c>
      <c r="R19" s="324">
        <f>SUMPRODUCT(($A$9:$A$13=$A19)*(R$9:R$13))</f>
        <v>0</v>
      </c>
    </row>
    <row r="20" s="306" customFormat="1" customHeight="1" spans="1:18">
      <c r="A20" s="327" t="str">
        <f>'[3]明细表H8-2'!A38:C38</f>
        <v>其他设备</v>
      </c>
      <c r="B20" s="119"/>
      <c r="C20" s="137"/>
      <c r="D20" s="324">
        <f>SUMPRODUCT(($A$9:$A$13=$A20)*(D$9:D$13))</f>
        <v>0</v>
      </c>
      <c r="E20" s="324">
        <f>SUMPRODUCT(($A$9:$A$13=$A20)*(E$9:E$13))</f>
        <v>0</v>
      </c>
      <c r="F20" s="324"/>
      <c r="G20" s="324"/>
      <c r="H20" s="324"/>
      <c r="I20" s="324"/>
      <c r="J20" s="324"/>
      <c r="K20" s="324"/>
      <c r="L20" s="324"/>
      <c r="M20" s="324"/>
      <c r="N20" s="324">
        <f>SUMPRODUCT(($A$9:$A$13=$A20)*(N$9:N$13))</f>
        <v>0</v>
      </c>
      <c r="O20" s="324">
        <f>SUMPRODUCT(($A$9:$A$13=$A20)*(O$9:O$13))</f>
        <v>0</v>
      </c>
      <c r="P20" s="324">
        <f>SUMPRODUCT(($A$9:$A$13=$A20)*(P$9:P$13))</f>
        <v>0</v>
      </c>
      <c r="Q20" s="324">
        <f>SUMPRODUCT(($A$9:$A$13=$A20)*(Q$9:Q$13))</f>
        <v>0</v>
      </c>
      <c r="R20" s="324">
        <f>SUMPRODUCT(($A$9:$A$13=$A20)*(R$9:R$13))</f>
        <v>0</v>
      </c>
    </row>
    <row r="21" customHeight="1" spans="1:18">
      <c r="A21" s="302" t="s">
        <v>510</v>
      </c>
      <c r="B21" s="306"/>
      <c r="N21" s="306"/>
    </row>
    <row r="22" ht="15" spans="1:18">
      <c r="A22" s="302" t="s">
        <v>511</v>
      </c>
    </row>
    <row r="24" s="307" customFormat="1" customHeight="1" spans="1:18">
      <c r="A24" s="330" t="s">
        <v>214</v>
      </c>
      <c r="F24" s="331"/>
      <c r="K24" s="331"/>
    </row>
    <row r="25" s="307" customFormat="1" customHeight="1" spans="1:18">
      <c r="A25" s="332" t="s">
        <v>512</v>
      </c>
      <c r="F25" s="331"/>
      <c r="K25" s="331"/>
    </row>
    <row r="26" s="307" customFormat="1" customHeight="1" spans="1:18">
      <c r="A26" s="307" t="s">
        <v>513</v>
      </c>
      <c r="F26" s="331"/>
      <c r="K26" s="331"/>
    </row>
    <row r="27" s="307" customFormat="1" customHeight="1" spans="1:18">
      <c r="A27" s="307" t="s">
        <v>514</v>
      </c>
      <c r="F27" s="331"/>
      <c r="K27" s="331"/>
    </row>
    <row r="32" customHeight="1" spans="1:18">
      <c r="A32" s="333"/>
    </row>
    <row r="33" customHeight="1" spans="1:1">
      <c r="A33" s="333"/>
    </row>
    <row r="34" customHeight="1" spans="1:1">
      <c r="A34" s="333"/>
    </row>
    <row r="35" customHeight="1" spans="1:1">
      <c r="A35" s="333"/>
    </row>
    <row r="36" customHeight="1" spans="1:1">
      <c r="A36" s="333"/>
    </row>
  </sheetData>
  <mergeCells count="8">
    <mergeCell ref="A1:R1"/>
    <mergeCell ref="A2:R2"/>
    <mergeCell ref="A15:C15"/>
    <mergeCell ref="A16:C16"/>
    <mergeCell ref="A17:C17"/>
    <mergeCell ref="A18:C18"/>
    <mergeCell ref="A19:C19"/>
    <mergeCell ref="A20:C20"/>
  </mergeCells>
  <hyperlinks>
    <hyperlink ref="R3" location="底稿目录!A1" display="H8-8"/>
  </hyperlinks>
  <printOptions horizontalCentered="1"/>
  <pageMargins left="0.31496062992126" right="0.236220472440945" top="0.551181102362205" bottom="0.433070866141732" header="0.511811023622047" footer="0.31496062992126"/>
  <pageSetup paperSize="9" scale="78" orientation="landscape" blackAndWhite="1"/>
  <headerFooter alignWithMargins="0">
    <oddFooter>&amp;C&amp;N/&amp;N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A38"/>
  <sheetViews>
    <sheetView showZeros="0" view="pageBreakPreview" zoomScaleNormal="100" workbookViewId="0">
      <selection activeCell="B25" sqref="B25"/>
    </sheetView>
  </sheetViews>
  <sheetFormatPr defaultColWidth="9" defaultRowHeight="19.95" customHeight="1"/>
  <cols>
    <col min="1" max="1" width="13" style="34" customWidth="1"/>
    <col min="2" max="2" width="14.2" style="34" customWidth="1"/>
    <col min="3" max="5" width="11.5" style="34" customWidth="1"/>
    <col min="6" max="6" width="9" style="34" customWidth="1"/>
    <col min="7" max="7" width="8.1" style="34" customWidth="1"/>
    <col min="8" max="8" width="4.9" style="34" customWidth="1"/>
    <col min="9" max="9" width="6.4" style="34" customWidth="1"/>
    <col min="10" max="10" width="8.9" style="34" customWidth="1"/>
    <col min="11" max="11" width="6.2" style="34" customWidth="1"/>
    <col min="12" max="12" width="8.2" style="34" customWidth="1"/>
    <col min="13" max="13" width="6.4" style="34" customWidth="1"/>
    <col min="14" max="14" width="11.2" style="34" customWidth="1"/>
    <col min="15" max="15" width="8.6" style="34" customWidth="1"/>
    <col min="16" max="16" width="7.9" style="34" customWidth="1"/>
    <col min="17" max="17" width="8.5" style="34" customWidth="1"/>
    <col min="18" max="20" width="8.9" style="34" customWidth="1"/>
    <col min="21" max="21" width="10.1" style="34" customWidth="1"/>
    <col min="22" max="22" width="8.2" style="34" customWidth="1"/>
    <col min="23" max="23" width="10.1" style="34" customWidth="1"/>
    <col min="24" max="24" width="9.5" style="34" customWidth="1"/>
    <col min="25" max="16384" width="9" style="34" customWidth="1"/>
  </cols>
  <sheetData>
    <row r="1" s="203" customFormat="1" customHeight="1" spans="1:27">
      <c r="A1" s="163" t="s">
        <v>58</v>
      </c>
      <c r="B1" s="207"/>
      <c r="C1" s="207"/>
      <c r="D1" s="207"/>
      <c r="E1" s="207"/>
      <c r="F1" s="207"/>
      <c r="G1" s="207"/>
      <c r="H1" s="207"/>
      <c r="I1" s="207"/>
      <c r="J1" s="207"/>
      <c r="K1" s="207"/>
      <c r="L1" s="207"/>
      <c r="M1" s="207"/>
      <c r="N1" s="207"/>
      <c r="O1" s="207"/>
      <c r="P1" s="207"/>
      <c r="Q1" s="207"/>
      <c r="R1" s="207"/>
      <c r="S1" s="207"/>
      <c r="T1" s="207"/>
      <c r="U1" s="207"/>
      <c r="V1" s="207"/>
      <c r="W1" s="207"/>
      <c r="X1" s="207"/>
    </row>
    <row r="2" s="204" customFormat="1" customHeight="1" spans="1:27">
      <c r="A2" s="164" t="s">
        <v>490</v>
      </c>
      <c r="B2" s="267"/>
      <c r="C2" s="267"/>
      <c r="D2" s="267"/>
      <c r="E2" s="267"/>
      <c r="F2" s="267"/>
      <c r="G2" s="267"/>
      <c r="H2" s="267"/>
      <c r="I2" s="267"/>
      <c r="J2" s="267"/>
      <c r="K2" s="267"/>
      <c r="L2" s="267"/>
      <c r="M2" s="267"/>
      <c r="N2" s="267"/>
      <c r="O2" s="267"/>
      <c r="P2" s="267"/>
      <c r="Q2" s="267"/>
      <c r="R2" s="267"/>
      <c r="S2" s="267"/>
      <c r="T2" s="267"/>
      <c r="U2" s="267"/>
      <c r="V2" s="267"/>
      <c r="W2" s="267"/>
      <c r="X2" s="267"/>
    </row>
    <row r="3" customHeight="1" spans="1:27">
      <c r="A3" s="34" t="str">
        <f>[3]底稿目录!A2</f>
        <v>被审计单位：</v>
      </c>
      <c r="B3" s="36"/>
      <c r="D3" s="214"/>
      <c r="E3" s="34" t="str">
        <f>[3]底稿目录!A4</f>
        <v>编制人：</v>
      </c>
      <c r="Q3" s="34" t="str">
        <f>[3]底稿目录!A6</f>
        <v>编制日期：</v>
      </c>
      <c r="R3" s="39"/>
      <c r="W3" s="40" t="s">
        <v>59</v>
      </c>
      <c r="X3" s="210" t="s">
        <v>40</v>
      </c>
    </row>
    <row r="4" customHeight="1" spans="1:27">
      <c r="A4" s="34" t="str">
        <f>[3]底稿目录!A3</f>
        <v>截止日：202X年12月31日</v>
      </c>
      <c r="B4" s="36"/>
      <c r="D4" s="214"/>
      <c r="E4" s="34" t="str">
        <f>[3]底稿目录!A5</f>
        <v>复核人：</v>
      </c>
      <c r="Q4" s="34" t="str">
        <f>[3]底稿目录!A7</f>
        <v>复核日期：</v>
      </c>
      <c r="R4" s="39"/>
      <c r="W4" s="40" t="s">
        <v>60</v>
      </c>
      <c r="X4" s="42"/>
    </row>
    <row r="5" s="34" customFormat="1" customHeight="1" spans="1:27">
      <c r="A5" s="211" t="s">
        <v>515</v>
      </c>
      <c r="B5" s="268"/>
      <c r="C5" s="269"/>
      <c r="D5" s="269"/>
      <c r="E5" s="270"/>
      <c r="F5" s="39"/>
      <c r="G5" s="269"/>
      <c r="H5" s="269"/>
      <c r="I5" s="269"/>
      <c r="J5" s="269"/>
      <c r="K5" s="271"/>
      <c r="U5" s="217"/>
      <c r="V5" s="217"/>
      <c r="W5" s="217"/>
      <c r="X5" s="217"/>
      <c r="Y5" s="217"/>
      <c r="Z5" s="217"/>
      <c r="AA5" s="217"/>
    </row>
    <row r="6" customHeight="1" spans="1:27">
      <c r="A6" s="211" t="s">
        <v>516</v>
      </c>
      <c r="B6" s="209"/>
      <c r="E6" s="214"/>
      <c r="I6" s="215"/>
      <c r="J6" s="216"/>
      <c r="U6" s="217"/>
      <c r="V6" s="217"/>
      <c r="W6" s="217"/>
      <c r="X6" s="217"/>
      <c r="Y6" s="217"/>
      <c r="Z6" s="217"/>
      <c r="AA6" s="217"/>
    </row>
    <row r="7" s="264" customFormat="1" customHeight="1" spans="1:27">
      <c r="A7" s="272" t="s">
        <v>493</v>
      </c>
      <c r="B7" s="273">
        <v>45658</v>
      </c>
      <c r="C7" s="272" t="s">
        <v>494</v>
      </c>
      <c r="D7" s="273">
        <v>46022</v>
      </c>
      <c r="E7" s="274" t="s">
        <v>517</v>
      </c>
      <c r="F7" s="273">
        <v>42129</v>
      </c>
      <c r="G7" s="275" t="s">
        <v>518</v>
      </c>
      <c r="L7" s="276"/>
      <c r="M7" s="276"/>
      <c r="N7" s="276"/>
      <c r="O7" s="276"/>
      <c r="P7" s="276"/>
      <c r="U7" s="34"/>
      <c r="V7" s="34"/>
    </row>
    <row r="8" s="265" customFormat="1" ht="48" customHeight="1" spans="1:27">
      <c r="A8" s="277" t="s">
        <v>194</v>
      </c>
      <c r="B8" s="278" t="s">
        <v>195</v>
      </c>
      <c r="C8" s="278" t="s">
        <v>196</v>
      </c>
      <c r="D8" s="279" t="s">
        <v>496</v>
      </c>
      <c r="E8" s="279" t="s">
        <v>198</v>
      </c>
      <c r="F8" s="279" t="s">
        <v>199</v>
      </c>
      <c r="G8" s="280" t="s">
        <v>497</v>
      </c>
      <c r="H8" s="280" t="s">
        <v>498</v>
      </c>
      <c r="I8" s="280" t="s">
        <v>499</v>
      </c>
      <c r="J8" s="280" t="s">
        <v>500</v>
      </c>
      <c r="K8" s="280" t="s">
        <v>501</v>
      </c>
      <c r="L8" s="280" t="s">
        <v>502</v>
      </c>
      <c r="M8" s="280" t="s">
        <v>503</v>
      </c>
      <c r="N8" s="280" t="s">
        <v>519</v>
      </c>
      <c r="O8" s="280" t="s">
        <v>504</v>
      </c>
      <c r="P8" s="280" t="s">
        <v>520</v>
      </c>
      <c r="Q8" s="280" t="s">
        <v>521</v>
      </c>
      <c r="R8" s="280" t="s">
        <v>522</v>
      </c>
      <c r="S8" s="280" t="s">
        <v>523</v>
      </c>
      <c r="T8" s="280" t="s">
        <v>524</v>
      </c>
      <c r="U8" s="280" t="s">
        <v>506</v>
      </c>
      <c r="V8" s="280" t="s">
        <v>507</v>
      </c>
      <c r="W8" s="280" t="s">
        <v>508</v>
      </c>
      <c r="X8" s="280" t="s">
        <v>509</v>
      </c>
    </row>
    <row r="9" s="264" customFormat="1" customHeight="1" spans="1:27">
      <c r="A9" s="281">
        <f>'[3]明细表H8-2'!A12</f>
        <v>0</v>
      </c>
      <c r="B9" s="281">
        <f>'[3]明细表H8-2'!B12</f>
        <v>0</v>
      </c>
      <c r="C9" s="281">
        <f>'[3]明细表H8-2'!C12</f>
        <v>0</v>
      </c>
      <c r="D9" s="282">
        <f>'[3]明细表H8-2'!S12</f>
        <v>0</v>
      </c>
      <c r="E9" s="282">
        <f>'[3]明细表H8-2'!AJ12</f>
        <v>0</v>
      </c>
      <c r="F9" s="282">
        <f>'[3]明细表H8-2'!BA12</f>
        <v>0</v>
      </c>
      <c r="G9" s="283"/>
      <c r="H9" s="284"/>
      <c r="I9" s="285"/>
      <c r="J9" s="286"/>
      <c r="K9" s="287">
        <f>IF(H9=0,0,IF(RIGHT(H9,1)&lt;&gt;"年",H9*12,IF(LEN(H9)=3,VALUE(LEFT(H9,2))*12,IF(LEN(H9)=2,VALUE(LEFT(H9,1))*12,"??"))))</f>
        <v>0</v>
      </c>
      <c r="L9" s="288">
        <f>IF(DAY(G9)=1,IF(G9=0,0,DATE(YEAR(G9),MONTH(G9)+K9,DAY(G9))),IF(G9=0,0,DATE(YEAR(G9),MONTH(G9)+K9,DAY(G9)-1)))</f>
        <v>0</v>
      </c>
      <c r="M9" s="289">
        <f>MIN(IF(AND(DAY(G9)=31,DAY($D$7)=30),IF(G9=0,0,IF(L9&gt;$D$7,VALUE(DATEDIF(G9,MIN($D$7,L9),"m"))+1,VALUE(DATEDIF(G9,MIN($D$7,L9),"m")+2))),IF(G9=0,0,IF(L9&gt;$D$7,DATEDIF(G9,MIN($D$7,L9),"m"),VALUE(DATEDIF(G9,MIN($D$7,L9),"m")+1)))),K9)</f>
        <v>0</v>
      </c>
      <c r="N9" s="289">
        <f>IF(AND(DAY(G9)=31,DAY($F$7)=30),MIN(IF(G9=0,0,IF($F$7&gt;G9,VALUE(DATEDIF(G9,$F$7,"m"))+1,0)),M9+1),MIN(IF(G9=0,0,IF($F$7&gt;G9,DATEDIF(G9,$F$7,"m"),0)),M9))</f>
        <v>0</v>
      </c>
      <c r="O9" s="289">
        <f>IF(OR(G9=0,L9&lt;$B$7),0,IF(AND(G9&lt;$B$7,L9&gt;$D$7),VALUE(DATEDIF($B$7,$D$7,"m")+1),IF(AND(G9&lt;$B$7,L9&lt;=$D$7),VALUE(DATEDIF($B$7,L9,"m")+1),IF(AND(G9&gt;=$B$7,L9&gt;$D$7),VALUE(DATEDIF(G9,$D$7,"m")),IF(AND(G9&gt;=$B$7,L9&lt;=$D$7),VALUE(DATEDIF(G9,L9,"m")+1),)))))</f>
        <v>0</v>
      </c>
      <c r="P9" s="289">
        <f>IF(AND(YEAR(G9)=YEAR($D$7),DAY(G9)=31,DAY($D$7)=30),IF(G9&gt;$F$7,0,O9-Q9+1),IF(G9&gt;$F$7,0,O9-Q9))</f>
        <v>0</v>
      </c>
      <c r="Q9" s="289">
        <f>IF(AND(DAY($F$7)=31,DAY($D$7)=30),IF(G9=0,0,IF($F$7&lt;$B$7,O9,VALUE(DATEDIF(MAX(G9,$F$7),MIN(L9,$D$7),"m")))+1),IF(G9=0,0,IF($F$7&lt;$B$7,O9,DATEDIF(MAX(G9,$F$7),MIN(L9,$D$7),"m"))))</f>
        <v>0</v>
      </c>
      <c r="R9" s="289">
        <f>IF(K9=0,0,ROUND(((1-I9)/K9)*D9,4))</f>
        <v>0</v>
      </c>
      <c r="S9" s="289">
        <f>ROUND(R9*N9,2)</f>
        <v>0</v>
      </c>
      <c r="T9" s="289">
        <f>IF((D9*(1-I9)-S9-F9)&gt;0,(D9*(1-I9)-S9-F9)/(K9-N9),0)</f>
        <v>0</v>
      </c>
      <c r="U9" s="289">
        <f>ROUND(R9*P9,2)+ROUND(T9*Q9,2)</f>
        <v>0</v>
      </c>
      <c r="V9" s="289">
        <f>ROUND(J9-T9,2)</f>
        <v>0</v>
      </c>
      <c r="W9" s="289">
        <f>ROUND(R9*N9,2)+ROUND(T9*(M9-N9),2)</f>
        <v>0</v>
      </c>
      <c r="X9" s="289">
        <f>ROUND(E9-W9,2)</f>
        <v>0</v>
      </c>
    </row>
    <row r="10" s="264" customFormat="1" customHeight="1" spans="1:27">
      <c r="A10" s="281">
        <f>'[3]明细表H8-2'!A13</f>
        <v>0</v>
      </c>
      <c r="B10" s="281">
        <f>'[3]明细表H8-2'!B13</f>
        <v>0</v>
      </c>
      <c r="C10" s="281">
        <f>'[3]明细表H8-2'!C13</f>
        <v>0</v>
      </c>
      <c r="D10" s="282">
        <f>'[3]明细表H8-2'!S13</f>
        <v>0</v>
      </c>
      <c r="E10" s="282">
        <f>'[3]明细表H8-2'!AJ13</f>
        <v>0</v>
      </c>
      <c r="F10" s="282">
        <f>'[3]明细表H8-2'!BA13</f>
        <v>0</v>
      </c>
      <c r="G10" s="283"/>
      <c r="H10" s="284"/>
      <c r="I10" s="285"/>
      <c r="J10" s="286"/>
      <c r="K10" s="287">
        <f>IF(H10=0,0,IF(RIGHT(H10,1)&lt;&gt;"年",H10*12,IF(LEN(H10)=3,VALUE(LEFT(H10,2))*12,IF(LEN(H10)=2,VALUE(LEFT(H10,1))*12,"??"))))</f>
        <v>0</v>
      </c>
      <c r="L10" s="288">
        <f>IF(DAY(G10)=1,IF(G10=0,0,DATE(YEAR(G10),MONTH(G10)+K10,DAY(G10))),IF(G10=0,0,DATE(YEAR(G10),MONTH(G10)+K10,DAY(G10)-1)))</f>
        <v>0</v>
      </c>
      <c r="M10" s="289">
        <f>MIN(IF(AND(DAY(G10)=31,DAY($D$7)=30),IF(G10=0,0,IF(L10&gt;$D$7,VALUE(DATEDIF(G10,MIN($D$7,L10),"m"))+1,VALUE(DATEDIF(G10,MIN($D$7,L10),"m")+2))),IF(G10=0,0,IF(L10&gt;$D$7,DATEDIF(G10,MIN($D$7,L10),"m"),VALUE(DATEDIF(G10,MIN($D$7,L10),"m")+1)))),K10)</f>
        <v>0</v>
      </c>
      <c r="N10" s="289">
        <f>IF(AND(DAY(G10)=31,DAY($F$7)=30),MIN(IF(G10=0,0,IF($F$7&gt;G10,VALUE(DATEDIF(G10,$F$7,"m"))+1,0)),M10+1),MIN(IF(G10=0,0,IF($F$7&gt;G10,DATEDIF(G10,$F$7,"m"),0)),M10))</f>
        <v>0</v>
      </c>
      <c r="O10" s="289">
        <f>IF(OR(G10=0,L10&lt;$B$7),0,IF(AND(G10&lt;$B$7,L10&gt;$D$7),VALUE(DATEDIF($B$7,$D$7,"m")+1),IF(AND(G10&lt;$B$7,L10&lt;=$D$7),VALUE(DATEDIF($B$7,L10,"m")+1),IF(AND(G10&gt;=$B$7,L10&gt;$D$7),VALUE(DATEDIF(G10,$D$7,"m")),IF(AND(G10&gt;=$B$7,L10&lt;=$D$7),VALUE(DATEDIF(G10,L10,"m")+1),)))))</f>
        <v>0</v>
      </c>
      <c r="P10" s="289">
        <f>IF(AND(YEAR(G10)=YEAR($D$7),DAY(G10)=31,DAY($D$7)=30),IF(G10&gt;$F$7,0,O10-Q10+1),IF(G10&gt;$F$7,0,O10-Q10))</f>
        <v>0</v>
      </c>
      <c r="Q10" s="289">
        <f>IF(AND(DAY($F$7)=31,DAY($D$7)=30),IF(G10=0,0,IF($F$7&lt;$B$7,O10,VALUE(DATEDIF(MAX(G10,$F$7),MIN(L10,$D$7),"m")))+1),IF(G10=0,0,IF($F$7&lt;$B$7,O10,DATEDIF(MAX(G10,$F$7),MIN(L10,$D$7),"m"))))</f>
        <v>0</v>
      </c>
      <c r="R10" s="289">
        <f>IF(K10=0,0,ROUND(((1-I10)/K10)*D10,4))</f>
        <v>0</v>
      </c>
      <c r="S10" s="289">
        <f>ROUND(R10*N10,2)</f>
        <v>0</v>
      </c>
      <c r="T10" s="289">
        <f>IF((D10*(1-I10)-S10-F10)&gt;0,(D10*(1-I10)-S10-F10)/(K10-N10),0)</f>
        <v>0</v>
      </c>
      <c r="U10" s="289">
        <f>ROUND(R10*P10,2)+ROUND(T10*Q10,2)</f>
        <v>0</v>
      </c>
      <c r="V10" s="289">
        <f>ROUND(J10-T10,2)</f>
        <v>0</v>
      </c>
      <c r="W10" s="289">
        <f>ROUND(R10*N10,2)+ROUND(T10*(M10-N10),2)</f>
        <v>0</v>
      </c>
      <c r="X10" s="289">
        <f>ROUND(E10-W10,2)</f>
        <v>0</v>
      </c>
    </row>
    <row r="11" customHeight="1" spans="1:27">
      <c r="A11" s="281">
        <f>'[3]明细表H8-2'!A14</f>
        <v>0</v>
      </c>
      <c r="B11" s="281">
        <f>'[3]明细表H8-2'!B14</f>
        <v>0</v>
      </c>
      <c r="C11" s="281">
        <f>'[3]明细表H8-2'!C14</f>
        <v>0</v>
      </c>
      <c r="D11" s="282">
        <f>'[3]明细表H8-2'!S14</f>
        <v>0</v>
      </c>
      <c r="E11" s="282">
        <f>'[3]明细表H8-2'!AJ14</f>
        <v>0</v>
      </c>
      <c r="F11" s="282">
        <f>'[3]明细表H8-2'!BA14</f>
        <v>0</v>
      </c>
      <c r="G11" s="283"/>
      <c r="H11" s="284"/>
      <c r="I11" s="285"/>
      <c r="J11" s="286"/>
      <c r="K11" s="287">
        <f>IF(H11=0,0,IF(RIGHT(H11,1)&lt;&gt;"年",H11*12,IF(LEN(H11)=3,VALUE(LEFT(H11,2))*12,IF(LEN(H11)=2,VALUE(LEFT(H11,1))*12,"??"))))</f>
        <v>0</v>
      </c>
      <c r="L11" s="288">
        <f>IF(DAY(G11)=1,IF(G11=0,0,DATE(YEAR(G11),MONTH(G11)+K11,DAY(G11))),IF(G11=0,0,DATE(YEAR(G11),MONTH(G11)+K11,DAY(G11)-1)))</f>
        <v>0</v>
      </c>
      <c r="M11" s="289">
        <f>MIN(IF(AND(DAY(G11)=31,DAY($D$7)=30),IF(G11=0,0,IF(L11&gt;$D$7,VALUE(DATEDIF(G11,MIN($D$7,L11),"m"))+1,VALUE(DATEDIF(G11,MIN($D$7,L11),"m")+2))),IF(G11=0,0,IF(L11&gt;$D$7,DATEDIF(G11,MIN($D$7,L11),"m"),VALUE(DATEDIF(G11,MIN($D$7,L11),"m")+1)))),K11)</f>
        <v>0</v>
      </c>
      <c r="N11" s="289">
        <f>IF(AND(DAY(G11)=31,DAY($F$7)=30),MIN(IF(G11=0,0,IF($F$7&gt;G11,VALUE(DATEDIF(G11,$F$7,"m"))+1,0)),M11+1),MIN(IF(G11=0,0,IF($F$7&gt;G11,DATEDIF(G11,$F$7,"m"),0)),M11))</f>
        <v>0</v>
      </c>
      <c r="O11" s="289">
        <f>IF(OR(G11=0,L11&lt;$B$7),0,IF(AND(G11&lt;$B$7,L11&gt;$D$7),VALUE(DATEDIF($B$7,$D$7,"m")+1),IF(AND(G11&lt;$B$7,L11&lt;=$D$7),VALUE(DATEDIF($B$7,L11,"m")+1),IF(AND(G11&gt;=$B$7,L11&gt;$D$7),VALUE(DATEDIF(G11,$D$7,"m")),IF(AND(G11&gt;=$B$7,L11&lt;=$D$7),VALUE(DATEDIF(G11,L11,"m")+1),)))))</f>
        <v>0</v>
      </c>
      <c r="P11" s="289">
        <f>IF(AND(YEAR(G11)=YEAR($D$7),DAY(G11)=31,DAY($D$7)=30),IF(G11&gt;$F$7,0,O11-Q11+1),IF(G11&gt;$F$7,0,O11-Q11))</f>
        <v>0</v>
      </c>
      <c r="Q11" s="289">
        <f>IF(AND(DAY($F$7)=31,DAY($D$7)=30),IF(G11=0,0,IF($F$7&lt;$B$7,O11,VALUE(DATEDIF(MAX(G11,$F$7),MIN(L11,$D$7),"m")))+1),IF(G11=0,0,IF($F$7&lt;$B$7,O11,DATEDIF(MAX(G11,$F$7),MIN(L11,$D$7),"m"))))</f>
        <v>0</v>
      </c>
      <c r="R11" s="289">
        <f>IF(K11=0,0,ROUND(((1-I11)/K11)*D11,4))</f>
        <v>0</v>
      </c>
      <c r="S11" s="289">
        <f>ROUND(R11*N11,2)</f>
        <v>0</v>
      </c>
      <c r="T11" s="289">
        <f>IF((D11*(1-I11)-S11-F11)&gt;0,(D11*(1-I11)-S11-F11)/(K11-N11),0)</f>
        <v>0</v>
      </c>
      <c r="U11" s="289">
        <f>ROUND(R11*P11,2)+ROUND(T11*Q11,2)</f>
        <v>0</v>
      </c>
      <c r="V11" s="289">
        <f>ROUND(J11-T11,2)</f>
        <v>0</v>
      </c>
      <c r="W11" s="289">
        <f>ROUND(R11*N11,2)+ROUND(T11*(M11-N11),2)</f>
        <v>0</v>
      </c>
      <c r="X11" s="289">
        <f>ROUND(E11-W11,2)</f>
        <v>0</v>
      </c>
    </row>
    <row r="12" customHeight="1" spans="1:27">
      <c r="A12" s="281">
        <f>'[3]明细表H8-2'!A15</f>
        <v>0</v>
      </c>
      <c r="B12" s="281">
        <f>'[3]明细表H8-2'!B15</f>
        <v>0</v>
      </c>
      <c r="C12" s="281">
        <f>'[3]明细表H8-2'!C15</f>
        <v>0</v>
      </c>
      <c r="D12" s="282">
        <f>'[3]明细表H8-2'!S15</f>
        <v>0</v>
      </c>
      <c r="E12" s="282">
        <f>'[3]明细表H8-2'!AJ15</f>
        <v>0</v>
      </c>
      <c r="F12" s="282">
        <f>'[3]明细表H8-2'!BA15</f>
        <v>0</v>
      </c>
      <c r="G12" s="283"/>
      <c r="H12" s="284"/>
      <c r="I12" s="285"/>
      <c r="J12" s="286"/>
      <c r="K12" s="287">
        <f>IF(H12=0,0,IF(RIGHT(H12,1)&lt;&gt;"年",H12*12,IF(LEN(H12)=3,VALUE(LEFT(H12,2))*12,IF(LEN(H12)=2,VALUE(LEFT(H12,1))*12,"??"))))</f>
        <v>0</v>
      </c>
      <c r="L12" s="288">
        <f>IF(DAY(G12)=1,IF(G12=0,0,DATE(YEAR(G12),MONTH(G12)+K12,DAY(G12))),IF(G12=0,0,DATE(YEAR(G12),MONTH(G12)+K12,DAY(G12)-1)))</f>
        <v>0</v>
      </c>
      <c r="M12" s="289">
        <f>MIN(IF(AND(DAY(G12)=31,DAY($D$7)=30),IF(G12=0,0,IF(L12&gt;$D$7,VALUE(DATEDIF(G12,MIN($D$7,L12),"m"))+1,VALUE(DATEDIF(G12,MIN($D$7,L12),"m")+2))),IF(G12=0,0,IF(L12&gt;$D$7,DATEDIF(G12,MIN($D$7,L12),"m"),VALUE(DATEDIF(G12,MIN($D$7,L12),"m")+1)))),K12)</f>
        <v>0</v>
      </c>
      <c r="N12" s="289">
        <f>IF(AND(DAY(G12)=31,DAY($F$7)=30),MIN(IF(G12=0,0,IF($F$7&gt;G12,VALUE(DATEDIF(G12,$F$7,"m"))+1,0)),M12+1),MIN(IF(G12=0,0,IF($F$7&gt;G12,DATEDIF(G12,$F$7,"m"),0)),M12))</f>
        <v>0</v>
      </c>
      <c r="O12" s="289">
        <f>IF(OR(G12=0,L12&lt;$B$7),0,IF(AND(G12&lt;$B$7,L12&gt;$D$7),VALUE(DATEDIF($B$7,$D$7,"m")+1),IF(AND(G12&lt;$B$7,L12&lt;=$D$7),VALUE(DATEDIF($B$7,L12,"m")+1),IF(AND(G12&gt;=$B$7,L12&gt;$D$7),VALUE(DATEDIF(G12,$D$7,"m")),IF(AND(G12&gt;=$B$7,L12&lt;=$D$7),VALUE(DATEDIF(G12,L12,"m")+1),)))))</f>
        <v>0</v>
      </c>
      <c r="P12" s="289">
        <f>IF(AND(YEAR(G12)=YEAR($D$7),DAY(G12)=31,DAY($D$7)=30),IF(G12&gt;$F$7,0,O12-Q12+1),IF(G12&gt;$F$7,0,O12-Q12))</f>
        <v>0</v>
      </c>
      <c r="Q12" s="289">
        <f>IF(AND(DAY($F$7)=31,DAY($D$7)=30),IF(G12=0,0,IF($F$7&lt;$B$7,O12,VALUE(DATEDIF(MAX(G12,$F$7),MIN(L12,$D$7),"m")))+1),IF(G12=0,0,IF($F$7&lt;$B$7,O12,DATEDIF(MAX(G12,$F$7),MIN(L12,$D$7),"m"))))</f>
        <v>0</v>
      </c>
      <c r="R12" s="289">
        <f>IF(K12=0,0,ROUND(((1-I12)/K12)*D12,4))</f>
        <v>0</v>
      </c>
      <c r="S12" s="289">
        <f>ROUND(R12*N12,2)</f>
        <v>0</v>
      </c>
      <c r="T12" s="289">
        <f>IF((D12*(1-I12)-S12-F12)&gt;0,(D12*(1-I12)-S12-F12)/(K12-N12),0)</f>
        <v>0</v>
      </c>
      <c r="U12" s="289">
        <f>ROUND(R12*P12,2)+ROUND(T12*Q12,2)</f>
        <v>0</v>
      </c>
      <c r="V12" s="289">
        <f>ROUND(J12-T12,2)</f>
        <v>0</v>
      </c>
      <c r="W12" s="289">
        <f>ROUND(R12*N12,2)+ROUND(T12*(M12-N12),2)</f>
        <v>0</v>
      </c>
      <c r="X12" s="289">
        <f>ROUND(E12-W12,2)</f>
        <v>0</v>
      </c>
    </row>
    <row r="13" customHeight="1" spans="1:27">
      <c r="A13" s="281">
        <f>'[3]明细表H8-2'!A16</f>
        <v>0</v>
      </c>
      <c r="B13" s="281">
        <f>'[3]明细表H8-2'!B16</f>
        <v>0</v>
      </c>
      <c r="C13" s="281">
        <f>'[3]明细表H8-2'!C16</f>
        <v>0</v>
      </c>
      <c r="D13" s="282">
        <f>'[3]明细表H8-2'!S16</f>
        <v>0</v>
      </c>
      <c r="E13" s="282">
        <f>'[3]明细表H8-2'!AJ16</f>
        <v>0</v>
      </c>
      <c r="F13" s="282">
        <f>'[3]明细表H8-2'!BA16</f>
        <v>0</v>
      </c>
      <c r="G13" s="283"/>
      <c r="H13" s="284"/>
      <c r="I13" s="285"/>
      <c r="J13" s="286"/>
      <c r="K13" s="287">
        <f>IF(H13=0,0,IF(RIGHT(H13,1)&lt;&gt;"年",H13*12,IF(LEN(H13)=3,VALUE(LEFT(H13,2))*12,IF(LEN(H13)=2,VALUE(LEFT(H13,1))*12,"??"))))</f>
        <v>0</v>
      </c>
      <c r="L13" s="288">
        <f>IF(DAY(G13)=1,IF(G13=0,0,DATE(YEAR(G13),MONTH(G13)+K13,DAY(G13))),IF(G13=0,0,DATE(YEAR(G13),MONTH(G13)+K13,DAY(G13)-1)))</f>
        <v>0</v>
      </c>
      <c r="M13" s="289">
        <f>MIN(IF(AND(DAY(G13)=31,DAY($D$7)=30),IF(G13=0,0,IF(L13&gt;$D$7,VALUE(DATEDIF(G13,MIN($D$7,L13),"m"))+1,VALUE(DATEDIF(G13,MIN($D$7,L13),"m")+2))),IF(G13=0,0,IF(L13&gt;$D$7,DATEDIF(G13,MIN($D$7,L13),"m"),VALUE(DATEDIF(G13,MIN($D$7,L13),"m")+1)))),K13)</f>
        <v>0</v>
      </c>
      <c r="N13" s="289">
        <f>IF(AND(DAY(G13)=31,DAY($F$7)=30),MIN(IF(G13=0,0,IF($F$7&gt;G13,VALUE(DATEDIF(G13,$F$7,"m"))+1,0)),M13+1),MIN(IF(G13=0,0,IF($F$7&gt;G13,DATEDIF(G13,$F$7,"m"),0)),M13))</f>
        <v>0</v>
      </c>
      <c r="O13" s="289">
        <f>IF(OR(G13=0,L13&lt;$B$7),0,IF(AND(G13&lt;$B$7,L13&gt;$D$7),VALUE(DATEDIF($B$7,$D$7,"m")+1),IF(AND(G13&lt;$B$7,L13&lt;=$D$7),VALUE(DATEDIF($B$7,L13,"m")+1),IF(AND(G13&gt;=$B$7,L13&gt;$D$7),VALUE(DATEDIF(G13,$D$7,"m")),IF(AND(G13&gt;=$B$7,L13&lt;=$D$7),VALUE(DATEDIF(G13,L13,"m")+1),)))))</f>
        <v>0</v>
      </c>
      <c r="P13" s="289">
        <f>IF(AND(YEAR(G13)=YEAR($D$7),DAY(G13)=31,DAY($D$7)=30),IF(G13&gt;$F$7,0,O13-Q13+1),IF(G13&gt;$F$7,0,O13-Q13))</f>
        <v>0</v>
      </c>
      <c r="Q13" s="289">
        <f>IF(AND(DAY($F$7)=31,DAY($D$7)=30),IF(G13=0,0,IF($F$7&lt;$B$7,O13,VALUE(DATEDIF(MAX(G13,$F$7),MIN(L13,$D$7),"m")))+1),IF(G13=0,0,IF($F$7&lt;$B$7,O13,DATEDIF(MAX(G13,$F$7),MIN(L13,$D$7),"m"))))</f>
        <v>0</v>
      </c>
      <c r="R13" s="289">
        <f>IF(K13=0,0,ROUND(((1-I13)/K13)*D13,4))</f>
        <v>0</v>
      </c>
      <c r="S13" s="289">
        <f>ROUND(R13*N13,2)</f>
        <v>0</v>
      </c>
      <c r="T13" s="289">
        <f>IF((D13*(1-I13)-S13-F13)&gt;0,(D13*(1-I13)-S13-F13)/(K13-N13),0)</f>
        <v>0</v>
      </c>
      <c r="U13" s="289">
        <f>ROUND(R13*P13,2)+ROUND(T13*Q13,2)</f>
        <v>0</v>
      </c>
      <c r="V13" s="289">
        <f>ROUND(J13-T13,2)</f>
        <v>0</v>
      </c>
      <c r="W13" s="289">
        <f>ROUND(R13*N13,2)+ROUND(T13*(M13-N13),2)</f>
        <v>0</v>
      </c>
      <c r="X13" s="289">
        <f>ROUND(E13-W13,2)</f>
        <v>0</v>
      </c>
    </row>
    <row r="14" customHeight="1" spans="1:27">
      <c r="A14" s="281">
        <f>'[3]明细表H8-2'!A28</f>
        <v>0</v>
      </c>
      <c r="B14" s="281">
        <f>'[3]明细表H8-2'!B28</f>
        <v>0</v>
      </c>
      <c r="C14" s="281">
        <f>'[3]明细表H8-2'!C28</f>
        <v>0</v>
      </c>
      <c r="D14" s="282">
        <f>'[3]明细表H8-2'!S28</f>
        <v>0</v>
      </c>
      <c r="E14" s="282">
        <f>'[3]明细表H8-2'!AJ28</f>
        <v>0</v>
      </c>
      <c r="F14" s="282">
        <f>'[3]明细表H8-2'!BA28</f>
        <v>0</v>
      </c>
      <c r="G14" s="283"/>
      <c r="H14" s="284"/>
      <c r="I14" s="285"/>
      <c r="J14" s="286"/>
      <c r="K14" s="290">
        <f>IF(H14=0,0,IF(RIGHT(H14,1)&lt;&gt;"年",H14*12,IF(LEN(H14)=3,VALUE(LEFT(H14,2))*12,IF(LEN(H14)=2,VALUE(LEFT(H14,1))*12,"??"))))</f>
        <v>0</v>
      </c>
      <c r="L14" s="291">
        <f>IF(DAY(G14)=1,IF(G14=0,0,DATE(YEAR(G14),MONTH(G14)+K14,DAY(G14))),IF(G14=0,0,DATE(YEAR(G14),MONTH(G14)+K14,DAY(G14)-1)))</f>
        <v>0</v>
      </c>
      <c r="M14" s="282">
        <f>MIN(IF(AND(DAY(G14)=31,DAY($D$7)=30),IF(G14=0,0,IF(L14&gt;$D$7,VALUE(DATEDIF(G14,MIN($D$7,L14),"m"))+1,VALUE(DATEDIF(G14,MIN($D$7,L14),"m")+2))),IF(G14=0,0,IF(L14&gt;$D$7,DATEDIF(G14,MIN($D$7,L14),"m"),VALUE(DATEDIF(G14,MIN($D$7,L14),"m")+1)))),K14)</f>
        <v>0</v>
      </c>
      <c r="N14" s="282">
        <f>IF(AND(DAY(G14)=31,DAY($F$7)=30),MIN(IF(G14=0,0,IF($F$7&gt;G14,VALUE(DATEDIF(G14,$F$7,"m"))+1,0)),M14+1),MIN(IF(G14=0,0,IF($F$7&gt;G14,DATEDIF(G14,$F$7,"m"),0)),M14))</f>
        <v>0</v>
      </c>
      <c r="O14" s="282">
        <f>IF(OR(G14=0,L14&lt;$B$7),0,IF(AND(G14&lt;$B$7,L14&gt;$D$7),VALUE(DATEDIF($B$7,$D$7,"m")+1),IF(AND(G14&lt;$B$7,L14&lt;=$D$7),VALUE(DATEDIF($B$7,L14,"m")+1),IF(AND(G14&gt;=$B$7,L14&gt;$D$7),VALUE(DATEDIF(G14,$D$7,"m")),IF(AND(G14&gt;=$B$7,L14&lt;=$D$7),VALUE(DATEDIF(G14,L14,"m")+1),)))))</f>
        <v>0</v>
      </c>
      <c r="P14" s="282">
        <f>IF(AND(YEAR(G14)=YEAR($D$7),DAY(G14)=31,DAY($D$7)=30),IF(G14&gt;$F$7,0,O14-Q14+1),IF(G14&gt;$F$7,0,O14-Q14))</f>
        <v>0</v>
      </c>
      <c r="Q14" s="282">
        <f>IF(AND(DAY($F$7)=31,DAY($D$7)=30),IF(G14=0,0,IF($F$7&lt;$B$7,O14,VALUE(DATEDIF(MAX(G14,$F$7),MIN(L14,$D$7),"m")))+1),IF(G14=0,0,IF($F$7&lt;$B$7,O14,DATEDIF(MAX(G14,$F$7),MIN(L14,$D$7),"m"))))</f>
        <v>0</v>
      </c>
      <c r="R14" s="282">
        <f>IF(K14=0,0,ROUND(((1-I14)/K14)*D14,4))</f>
        <v>0</v>
      </c>
      <c r="S14" s="282">
        <f>ROUND(R14*N14,2)</f>
        <v>0</v>
      </c>
      <c r="T14" s="282">
        <f>IF((D14*(1-I14)-S14-F14)&gt;0,(D14*(1-I14)-S14-F14)/(K14-N14),0)</f>
        <v>0</v>
      </c>
      <c r="U14" s="282">
        <f>ROUND(R14*P14,2)+ROUND(T14*Q14,2)</f>
        <v>0</v>
      </c>
      <c r="V14" s="289">
        <f>ROUND(J14-T14,2)</f>
        <v>0</v>
      </c>
      <c r="W14" s="289">
        <f>ROUND(R14*N14,2)+ROUND(T14*(M14-N14),2)</f>
        <v>0</v>
      </c>
      <c r="X14" s="289">
        <f>ROUND(E14-W14,2)</f>
        <v>0</v>
      </c>
    </row>
    <row r="15" customHeight="1" spans="1:27">
      <c r="A15" s="281">
        <f>'[3]明细表H8-2'!A29</f>
        <v>0</v>
      </c>
      <c r="B15" s="281">
        <f>'[3]明细表H8-2'!B29</f>
        <v>0</v>
      </c>
      <c r="C15" s="281">
        <f>'[3]明细表H8-2'!C29</f>
        <v>0</v>
      </c>
      <c r="D15" s="282">
        <f>'[3]明细表H8-2'!S29</f>
        <v>0</v>
      </c>
      <c r="E15" s="282">
        <f>'[3]明细表H8-2'!AJ29</f>
        <v>0</v>
      </c>
      <c r="F15" s="282">
        <f>'[3]明细表H8-2'!BA29</f>
        <v>0</v>
      </c>
      <c r="G15" s="283"/>
      <c r="H15" s="284"/>
      <c r="I15" s="285"/>
      <c r="J15" s="286"/>
      <c r="K15" s="290">
        <f>IF(H15=0,0,IF(RIGHT(H15,1)&lt;&gt;"年",H15*12,IF(LEN(H15)=3,VALUE(LEFT(H15,2))*12,IF(LEN(H15)=2,VALUE(LEFT(H15,1))*12,"??"))))</f>
        <v>0</v>
      </c>
      <c r="L15" s="291">
        <f>IF(DAY(G15)=1,IF(G15=0,0,DATE(YEAR(G15),MONTH(G15)+K15,DAY(G15))),IF(G15=0,0,DATE(YEAR(G15),MONTH(G15)+K15,DAY(G15)-1)))</f>
        <v>0</v>
      </c>
      <c r="M15" s="282">
        <f>MIN(IF(AND(DAY(G15)=31,DAY($D$7)=30),IF(G15=0,0,IF(L15&gt;$D$7,VALUE(DATEDIF(G15,MIN($D$7,L15),"m"))+1,VALUE(DATEDIF(G15,MIN($D$7,L15),"m")+2))),IF(G15=0,0,IF(L15&gt;$D$7,DATEDIF(G15,MIN($D$7,L15),"m"),VALUE(DATEDIF(G15,MIN($D$7,L15),"m")+1)))),K15)</f>
        <v>0</v>
      </c>
      <c r="N15" s="282">
        <f>IF(AND(DAY(G15)=31,DAY($F$7)=30),MIN(IF(G15=0,0,IF($F$7&gt;G15,VALUE(DATEDIF(G15,$F$7,"m"))+1,0)),M15+1),MIN(IF(G15=0,0,IF($F$7&gt;G15,DATEDIF(G15,$F$7,"m"),0)),M15))</f>
        <v>0</v>
      </c>
      <c r="O15" s="282">
        <f>IF(OR(G15=0,L15&lt;$B$7),0,IF(AND(G15&lt;$B$7,L15&gt;$D$7),VALUE(DATEDIF($B$7,$D$7,"m")+1),IF(AND(G15&lt;$B$7,L15&lt;=$D$7),VALUE(DATEDIF($B$7,L15,"m")+1),IF(AND(G15&gt;=$B$7,L15&gt;$D$7),VALUE(DATEDIF(G15,$D$7,"m")),IF(AND(G15&gt;=$B$7,L15&lt;=$D$7),VALUE(DATEDIF(G15,L15,"m")+1),)))))</f>
        <v>0</v>
      </c>
      <c r="P15" s="282">
        <f>IF(AND(YEAR(G15)=YEAR($D$7),DAY(G15)=31,DAY($D$7)=30),IF(G15&gt;$F$7,0,O15-Q15+1),IF(G15&gt;$F$7,0,O15-Q15))</f>
        <v>0</v>
      </c>
      <c r="Q15" s="282">
        <f>IF(AND(DAY($F$7)=31,DAY($D$7)=30),IF(G15=0,0,IF($F$7&lt;$B$7,O15,VALUE(DATEDIF(MAX(G15,$F$7),MIN(L15,$D$7),"m")))+1),IF(G15=0,0,IF($F$7&lt;$B$7,O15,DATEDIF(MAX(G15,$F$7),MIN(L15,$D$7),"m"))))</f>
        <v>0</v>
      </c>
      <c r="R15" s="282">
        <f>IF(K15=0,0,ROUND(((1-I15)/K15)*D15,4))</f>
        <v>0</v>
      </c>
      <c r="S15" s="282">
        <f>ROUND(R15*N15,2)</f>
        <v>0</v>
      </c>
      <c r="T15" s="282">
        <f>IF((D15*(1-I15)-S15-F15)&gt;0,(D15*(1-I15)-S15-F15)/(K15-N15),0)</f>
        <v>0</v>
      </c>
      <c r="U15" s="282">
        <f>ROUND(R15*P15,2)+ROUND(T15*Q15,2)</f>
        <v>0</v>
      </c>
      <c r="V15" s="289">
        <f>ROUND(J15-T15,2)</f>
        <v>0</v>
      </c>
      <c r="W15" s="289">
        <f>ROUND(R15*N15,2)+ROUND(T15*(M15-N15),2)</f>
        <v>0</v>
      </c>
      <c r="X15" s="289">
        <f>ROUND(E15-W15,2)</f>
        <v>0</v>
      </c>
    </row>
    <row r="16" customHeight="1" spans="1:27">
      <c r="A16" s="281">
        <f>'[3]明细表H8-2'!A30</f>
        <v>0</v>
      </c>
      <c r="B16" s="281">
        <f>'[3]明细表H8-2'!B30</f>
        <v>0</v>
      </c>
      <c r="C16" s="281">
        <f>'[3]明细表H8-2'!C30</f>
        <v>0</v>
      </c>
      <c r="D16" s="282">
        <f>'[3]明细表H8-2'!S30</f>
        <v>0</v>
      </c>
      <c r="E16" s="282">
        <f>'[3]明细表H8-2'!AJ30</f>
        <v>0</v>
      </c>
      <c r="F16" s="282">
        <f>'[3]明细表H8-2'!BA30</f>
        <v>0</v>
      </c>
      <c r="G16" s="283"/>
      <c r="H16" s="284"/>
      <c r="I16" s="285"/>
      <c r="J16" s="286"/>
      <c r="K16" s="290">
        <f>IF(H16=0,0,IF(RIGHT(H16,1)&lt;&gt;"年",H16*12,IF(LEN(H16)=3,VALUE(LEFT(H16,2))*12,IF(LEN(H16)=2,VALUE(LEFT(H16,1))*12,"??"))))</f>
        <v>0</v>
      </c>
      <c r="L16" s="291">
        <f>IF(DAY(G16)=1,IF(G16=0,0,DATE(YEAR(G16),MONTH(G16)+K16,DAY(G16))),IF(G16=0,0,DATE(YEAR(G16),MONTH(G16)+K16,DAY(G16)-1)))</f>
        <v>0</v>
      </c>
      <c r="M16" s="282">
        <f>MIN(IF(AND(DAY(G16)=31,DAY($D$7)=30),IF(G16=0,0,IF(L16&gt;$D$7,VALUE(DATEDIF(G16,MIN($D$7,L16),"m"))+1,VALUE(DATEDIF(G16,MIN($D$7,L16),"m")+2))),IF(G16=0,0,IF(L16&gt;$D$7,DATEDIF(G16,MIN($D$7,L16),"m"),VALUE(DATEDIF(G16,MIN($D$7,L16),"m")+1)))),K16)</f>
        <v>0</v>
      </c>
      <c r="N16" s="282">
        <f>IF(AND(DAY(G16)=31,DAY($F$7)=30),MIN(IF(G16=0,0,IF($F$7&gt;G16,VALUE(DATEDIF(G16,$F$7,"m"))+1,0)),M16+1),MIN(IF(G16=0,0,IF($F$7&gt;G16,DATEDIF(G16,$F$7,"m"),0)),M16))</f>
        <v>0</v>
      </c>
      <c r="O16" s="282">
        <f>IF(OR(G16=0,L16&lt;$B$7),0,IF(AND(G16&lt;$B$7,L16&gt;$D$7),VALUE(DATEDIF($B$7,$D$7,"m")+1),IF(AND(G16&lt;$B$7,L16&lt;=$D$7),VALUE(DATEDIF($B$7,L16,"m")+1),IF(AND(G16&gt;=$B$7,L16&gt;$D$7),VALUE(DATEDIF(G16,$D$7,"m")),IF(AND(G16&gt;=$B$7,L16&lt;=$D$7),VALUE(DATEDIF(G16,L16,"m")+1),)))))</f>
        <v>0</v>
      </c>
      <c r="P16" s="282">
        <f>IF(AND(YEAR(G16)=YEAR($D$7),DAY(G16)=31,DAY($D$7)=30),IF(G16&gt;$F$7,0,O16-Q16+1),IF(G16&gt;$F$7,0,O16-Q16))</f>
        <v>0</v>
      </c>
      <c r="Q16" s="282">
        <f>IF(AND(DAY($F$7)=31,DAY($D$7)=30),IF(G16=0,0,IF($F$7&lt;$B$7,O16,VALUE(DATEDIF(MAX(G16,$F$7),MIN(L16,$D$7),"m")))+1),IF(G16=0,0,IF($F$7&lt;$B$7,O16,DATEDIF(MAX(G16,$F$7),MIN(L16,$D$7),"m"))))</f>
        <v>0</v>
      </c>
      <c r="R16" s="282">
        <f>IF(K16=0,0,ROUND(((1-I16)/K16)*D16,4))</f>
        <v>0</v>
      </c>
      <c r="S16" s="282">
        <f>ROUND(R16*N16,2)</f>
        <v>0</v>
      </c>
      <c r="T16" s="282">
        <f>IF((D16*(1-I16)-S16-F16)&gt;0,(D16*(1-I16)-S16-F16)/(K16-N16),0)</f>
        <v>0</v>
      </c>
      <c r="U16" s="282">
        <f>ROUND(R16*P16,2)+ROUND(T16*Q16,2)</f>
        <v>0</v>
      </c>
      <c r="V16" s="289">
        <f>ROUND(J16-T16,2)</f>
        <v>0</v>
      </c>
      <c r="W16" s="289">
        <f>ROUND(R16*N16,2)+ROUND(T16*(M16-N16),2)</f>
        <v>0</v>
      </c>
      <c r="X16" s="289">
        <f>ROUND(E16-W16,2)</f>
        <v>0</v>
      </c>
    </row>
    <row r="17" customHeight="1" spans="1:24">
      <c r="A17" s="281">
        <f>'[3]明细表H8-2'!A31</f>
        <v>0</v>
      </c>
      <c r="B17" s="281">
        <f>'[3]明细表H8-2'!B31</f>
        <v>0</v>
      </c>
      <c r="C17" s="281">
        <f>'[3]明细表H8-2'!C31</f>
        <v>0</v>
      </c>
      <c r="D17" s="282">
        <f>'[3]明细表H8-2'!S31</f>
        <v>0</v>
      </c>
      <c r="E17" s="282">
        <f>'[3]明细表H8-2'!AJ31</f>
        <v>0</v>
      </c>
      <c r="F17" s="282">
        <f>'[3]明细表H8-2'!BA31</f>
        <v>0</v>
      </c>
      <c r="G17" s="283"/>
      <c r="H17" s="284"/>
      <c r="I17" s="285"/>
      <c r="J17" s="286"/>
      <c r="K17" s="290">
        <f>IF(H17=0,0,IF(RIGHT(H17,1)&lt;&gt;"年",H17*12,IF(LEN(H17)=3,VALUE(LEFT(H17,2))*12,IF(LEN(H17)=2,VALUE(LEFT(H17,1))*12,"??"))))</f>
        <v>0</v>
      </c>
      <c r="L17" s="291">
        <f>IF(DAY(G17)=1,IF(G17=0,0,DATE(YEAR(G17),MONTH(G17)+K17,DAY(G17))),IF(G17=0,0,DATE(YEAR(G17),MONTH(G17)+K17,DAY(G17)-1)))</f>
        <v>0</v>
      </c>
      <c r="M17" s="282">
        <f>MIN(IF(AND(DAY(G17)=31,DAY($D$7)=30),IF(G17=0,0,IF(L17&gt;$D$7,VALUE(DATEDIF(G17,MIN($D$7,L17),"m"))+1,VALUE(DATEDIF(G17,MIN($D$7,L17),"m")+2))),IF(G17=0,0,IF(L17&gt;$D$7,DATEDIF(G17,MIN($D$7,L17),"m"),VALUE(DATEDIF(G17,MIN($D$7,L17),"m")+1)))),K17)</f>
        <v>0</v>
      </c>
      <c r="N17" s="282">
        <f>IF(AND(DAY(G17)=31,DAY($F$7)=30),MIN(IF(G17=0,0,IF($F$7&gt;G17,VALUE(DATEDIF(G17,$F$7,"m"))+1,0)),M17+1),MIN(IF(G17=0,0,IF($F$7&gt;G17,DATEDIF(G17,$F$7,"m"),0)),M17))</f>
        <v>0</v>
      </c>
      <c r="O17" s="282">
        <f>IF(OR(G17=0,L17&lt;$B$7),0,IF(AND(G17&lt;$B$7,L17&gt;$D$7),VALUE(DATEDIF($B$7,$D$7,"m")+1),IF(AND(G17&lt;$B$7,L17&lt;=$D$7),VALUE(DATEDIF($B$7,L17,"m")+1),IF(AND(G17&gt;=$B$7,L17&gt;$D$7),VALUE(DATEDIF(G17,$D$7,"m")),IF(AND(G17&gt;=$B$7,L17&lt;=$D$7),VALUE(DATEDIF(G17,L17,"m")+1),)))))</f>
        <v>0</v>
      </c>
      <c r="P17" s="282">
        <f>IF(AND(YEAR(G17)=YEAR($D$7),DAY(G17)=31,DAY($D$7)=30),IF(G17&gt;$F$7,0,O17-Q17+1),IF(G17&gt;$F$7,0,O17-Q17))</f>
        <v>0</v>
      </c>
      <c r="Q17" s="282">
        <f>IF(AND(DAY($F$7)=31,DAY($D$7)=30),IF(G17=0,0,IF($F$7&lt;$B$7,O17,VALUE(DATEDIF(MAX(G17,$F$7),MIN(L17,$D$7),"m")))+1),IF(G17=0,0,IF($F$7&lt;$B$7,O17,DATEDIF(MAX(G17,$F$7),MIN(L17,$D$7),"m"))))</f>
        <v>0</v>
      </c>
      <c r="R17" s="282">
        <f>IF(K17=0,0,ROUND(((1-I17)/K17)*D17,4))</f>
        <v>0</v>
      </c>
      <c r="S17" s="282">
        <f>ROUND(R17*N17,2)</f>
        <v>0</v>
      </c>
      <c r="T17" s="282">
        <f>IF((D17*(1-I17)-S17-F17)&gt;0,(D17*(1-I17)-S17-F17)/(K17-N17),0)</f>
        <v>0</v>
      </c>
      <c r="U17" s="282">
        <f>ROUND(R17*P17,2)+ROUND(T17*Q17,2)</f>
        <v>0</v>
      </c>
      <c r="V17" s="289">
        <f>ROUND(J17-T17,2)</f>
        <v>0</v>
      </c>
      <c r="W17" s="289">
        <f>ROUND(R17*N17,2)+ROUND(T17*(M17-N17),2)</f>
        <v>0</v>
      </c>
      <c r="X17" s="289">
        <f>ROUND(E17-W17,2)</f>
        <v>0</v>
      </c>
    </row>
    <row r="18" s="266" customFormat="1" customHeight="1" spans="1:24">
      <c r="A18" s="292" t="s">
        <v>139</v>
      </c>
      <c r="B18" s="119"/>
      <c r="C18" s="137"/>
      <c r="D18" s="293">
        <f>SUM(D9:D17)</f>
        <v>0</v>
      </c>
      <c r="E18" s="293">
        <f>SUM(E9:E17)</f>
        <v>0</v>
      </c>
      <c r="F18" s="293">
        <f>SUM(F9:F17)</f>
        <v>0</v>
      </c>
      <c r="G18" s="293"/>
      <c r="H18" s="293"/>
      <c r="I18" s="293"/>
      <c r="J18" s="293"/>
      <c r="K18" s="294"/>
      <c r="L18" s="293"/>
      <c r="M18" s="293"/>
      <c r="N18" s="293"/>
      <c r="O18" s="293"/>
      <c r="P18" s="293"/>
      <c r="Q18" s="293"/>
      <c r="R18" s="293"/>
      <c r="S18" s="293">
        <f>SUM(S9:S17)</f>
        <v>0</v>
      </c>
      <c r="T18" s="293">
        <f>SUM(T9:T17)</f>
        <v>0</v>
      </c>
      <c r="U18" s="293">
        <f>SUM(U9:U17)</f>
        <v>0</v>
      </c>
      <c r="V18" s="293">
        <f>SUM(V9:V17)</f>
        <v>0</v>
      </c>
      <c r="W18" s="293">
        <f>SUM(W9:W17)</f>
        <v>0</v>
      </c>
      <c r="X18" s="293">
        <f>SUM(X9:X17)</f>
        <v>0</v>
      </c>
    </row>
    <row r="19" s="266" customFormat="1" customHeight="1" spans="1:24">
      <c r="A19" s="295" t="str">
        <f>'[3]明细表H8-2'!A33:C33</f>
        <v>其中：</v>
      </c>
      <c r="B19" s="119"/>
      <c r="C19" s="137"/>
      <c r="D19" s="293"/>
      <c r="E19" s="293"/>
      <c r="F19" s="293"/>
      <c r="G19" s="296"/>
      <c r="H19" s="297"/>
      <c r="I19" s="298"/>
      <c r="J19" s="299"/>
      <c r="K19" s="299"/>
      <c r="L19" s="299"/>
      <c r="M19" s="299"/>
      <c r="N19" s="300"/>
      <c r="O19" s="300"/>
      <c r="P19" s="300"/>
      <c r="Q19" s="300"/>
      <c r="R19" s="300"/>
      <c r="S19" s="300"/>
      <c r="T19" s="300"/>
      <c r="U19" s="300"/>
      <c r="V19" s="300"/>
      <c r="W19" s="300"/>
      <c r="X19" s="300"/>
    </row>
    <row r="20" s="266" customFormat="1" customHeight="1" spans="1:24">
      <c r="A20" s="295" t="str">
        <f>'[3]明细表H8-2'!A34:C34</f>
        <v>房屋及建筑物</v>
      </c>
      <c r="B20" s="119"/>
      <c r="C20" s="137"/>
      <c r="D20" s="293">
        <f>SUMPRODUCT(($A$9:$A$17=$A20)*(D$9:D$17))</f>
        <v>0</v>
      </c>
      <c r="E20" s="293">
        <f>SUMPRODUCT(($A$9:$A$17=$A20)*(E$9:E$17))</f>
        <v>0</v>
      </c>
      <c r="F20" s="293">
        <f>SUMPRODUCT(($A$9:$A$17=$A20)*(F$9:F$17))</f>
        <v>0</v>
      </c>
      <c r="G20" s="301"/>
      <c r="H20" s="301"/>
      <c r="I20" s="301"/>
      <c r="J20" s="301"/>
      <c r="K20" s="301"/>
      <c r="L20" s="301"/>
      <c r="M20" s="301"/>
      <c r="N20" s="293"/>
      <c r="O20" s="293"/>
      <c r="P20" s="293">
        <f>SUMPRODUCT(($A$9:$A$17=$A20)*(P$9:P$17))</f>
        <v>0</v>
      </c>
      <c r="Q20" s="293">
        <f>SUMPRODUCT(($A$9:$A$17=$A20)*(Q$9:Q$17))</f>
        <v>0</v>
      </c>
      <c r="R20" s="293">
        <f>SUMPRODUCT(($A$9:$A$17=$A20)*(R$9:R$17))</f>
        <v>0</v>
      </c>
      <c r="S20" s="293">
        <f>SUMPRODUCT(($A$9:$A$17=$A20)*(S$9:S$17))</f>
        <v>0</v>
      </c>
      <c r="T20" s="293">
        <f>SUMPRODUCT(($A$9:$A$17=$A20)*(T$9:T$17))</f>
        <v>0</v>
      </c>
      <c r="U20" s="293">
        <f>SUMPRODUCT(($A$9:$A$17=$A20)*(U$9:U$17))</f>
        <v>0</v>
      </c>
      <c r="V20" s="293">
        <f>SUMPRODUCT(($A$9:$A$17=$A20)*(V$9:V$17))</f>
        <v>0</v>
      </c>
      <c r="W20" s="293">
        <f>SUMPRODUCT(($A$9:$A$17=$A20)*(W$9:W$17))</f>
        <v>0</v>
      </c>
      <c r="X20" s="293">
        <f>SUMPRODUCT(($A$9:$A$17=$A20)*(X$9:X$17))</f>
        <v>0</v>
      </c>
    </row>
    <row r="21" s="266" customFormat="1" customHeight="1" spans="1:24">
      <c r="A21" s="295" t="str">
        <f>'[3]明细表H8-2'!A35:C35</f>
        <v>机器设备</v>
      </c>
      <c r="B21" s="119"/>
      <c r="C21" s="137"/>
      <c r="D21" s="293">
        <f>SUMPRODUCT(($A$9:$A$17=$A21)*(D$9:D$17))</f>
        <v>0</v>
      </c>
      <c r="E21" s="293">
        <f>SUMPRODUCT(($A$9:$A$17=$A21)*(E$9:E$17))</f>
        <v>0</v>
      </c>
      <c r="F21" s="293">
        <f>SUMPRODUCT(($A$9:$A$17=$A21)*(F$9:F$17))</f>
        <v>0</v>
      </c>
      <c r="G21" s="301"/>
      <c r="H21" s="301"/>
      <c r="I21" s="301"/>
      <c r="J21" s="301"/>
      <c r="K21" s="301"/>
      <c r="L21" s="301"/>
      <c r="M21" s="301"/>
      <c r="N21" s="293"/>
      <c r="O21" s="293"/>
      <c r="P21" s="293">
        <f>SUMPRODUCT(($A$9:$A$17=$A21)*(P$9:P$17))</f>
        <v>0</v>
      </c>
      <c r="Q21" s="293">
        <f>SUMPRODUCT(($A$9:$A$17=$A21)*(Q$9:Q$17))</f>
        <v>0</v>
      </c>
      <c r="R21" s="293">
        <f>SUMPRODUCT(($A$9:$A$17=$A21)*(R$9:R$17))</f>
        <v>0</v>
      </c>
      <c r="S21" s="293">
        <f>SUMPRODUCT(($A$9:$A$17=$A21)*(S$9:S$17))</f>
        <v>0</v>
      </c>
      <c r="T21" s="293">
        <f>SUMPRODUCT(($A$9:$A$17=$A21)*(T$9:T$17))</f>
        <v>0</v>
      </c>
      <c r="U21" s="293">
        <f>SUMPRODUCT(($A$9:$A$17=$A21)*(U$9:U$17))</f>
        <v>0</v>
      </c>
      <c r="V21" s="293">
        <f>SUMPRODUCT(($A$9:$A$17=$A21)*(V$9:V$17))</f>
        <v>0</v>
      </c>
      <c r="W21" s="293">
        <f>SUMPRODUCT(($A$9:$A$17=$A21)*(W$9:W$17))</f>
        <v>0</v>
      </c>
      <c r="X21" s="293">
        <f>SUMPRODUCT(($A$9:$A$17=$A21)*(X$9:X$17))</f>
        <v>0</v>
      </c>
    </row>
    <row r="22" s="266" customFormat="1" customHeight="1" spans="1:24">
      <c r="A22" s="295" t="str">
        <f>'[3]明细表H8-2'!A36:C36</f>
        <v>运输设备</v>
      </c>
      <c r="B22" s="119"/>
      <c r="C22" s="137"/>
      <c r="D22" s="293">
        <f>SUMPRODUCT(($A$9:$A$17=$A22)*(D$9:D$17))</f>
        <v>0</v>
      </c>
      <c r="E22" s="293">
        <f>SUMPRODUCT(($A$9:$A$17=$A22)*(E$9:E$17))</f>
        <v>0</v>
      </c>
      <c r="F22" s="293">
        <f>SUMPRODUCT(($A$9:$A$17=$A22)*(F$9:F$17))</f>
        <v>0</v>
      </c>
      <c r="G22" s="301"/>
      <c r="H22" s="301"/>
      <c r="I22" s="301"/>
      <c r="J22" s="301"/>
      <c r="K22" s="301"/>
      <c r="L22" s="301"/>
      <c r="M22" s="301"/>
      <c r="N22" s="293"/>
      <c r="O22" s="293"/>
      <c r="P22" s="293">
        <f>SUMPRODUCT(($A$9:$A$17=$A22)*(P$9:P$17))</f>
        <v>0</v>
      </c>
      <c r="Q22" s="293">
        <f>SUMPRODUCT(($A$9:$A$17=$A22)*(Q$9:Q$17))</f>
        <v>0</v>
      </c>
      <c r="R22" s="293">
        <f>SUMPRODUCT(($A$9:$A$17=$A22)*(R$9:R$17))</f>
        <v>0</v>
      </c>
      <c r="S22" s="293">
        <f>SUMPRODUCT(($A$9:$A$17=$A22)*(S$9:S$17))</f>
        <v>0</v>
      </c>
      <c r="T22" s="293">
        <f>SUMPRODUCT(($A$9:$A$17=$A22)*(T$9:T$17))</f>
        <v>0</v>
      </c>
      <c r="U22" s="293">
        <f>SUMPRODUCT(($A$9:$A$17=$A22)*(U$9:U$17))</f>
        <v>0</v>
      </c>
      <c r="V22" s="293">
        <f>SUMPRODUCT(($A$9:$A$17=$A22)*(V$9:V$17))</f>
        <v>0</v>
      </c>
      <c r="W22" s="293">
        <f>SUMPRODUCT(($A$9:$A$17=$A22)*(W$9:W$17))</f>
        <v>0</v>
      </c>
      <c r="X22" s="293">
        <f>SUMPRODUCT(($A$9:$A$17=$A22)*(X$9:X$17))</f>
        <v>0</v>
      </c>
    </row>
    <row r="23" s="266" customFormat="1" customHeight="1" spans="1:24">
      <c r="A23" s="295" t="str">
        <f>'[3]明细表H8-2'!A37:C37</f>
        <v>办公设备</v>
      </c>
      <c r="B23" s="119"/>
      <c r="C23" s="137"/>
      <c r="D23" s="293">
        <f>SUMPRODUCT(($A$9:$A$17=$A23)*(D$9:D$17))</f>
        <v>0</v>
      </c>
      <c r="E23" s="293">
        <f>SUMPRODUCT(($A$9:$A$17=$A23)*(E$9:E$17))</f>
        <v>0</v>
      </c>
      <c r="F23" s="293">
        <f>SUMPRODUCT(($A$9:$A$17=$A23)*(F$9:F$17))</f>
        <v>0</v>
      </c>
      <c r="G23" s="301"/>
      <c r="H23" s="301"/>
      <c r="I23" s="301"/>
      <c r="J23" s="301"/>
      <c r="K23" s="301"/>
      <c r="L23" s="301"/>
      <c r="M23" s="301"/>
      <c r="N23" s="293"/>
      <c r="O23" s="293"/>
      <c r="P23" s="293">
        <f>SUMPRODUCT(($A$9:$A$17=$A23)*(P$9:P$17))</f>
        <v>0</v>
      </c>
      <c r="Q23" s="293">
        <f>SUMPRODUCT(($A$9:$A$17=$A23)*(Q$9:Q$17))</f>
        <v>0</v>
      </c>
      <c r="R23" s="293">
        <f>SUMPRODUCT(($A$9:$A$17=$A23)*(R$9:R$17))</f>
        <v>0</v>
      </c>
      <c r="S23" s="293">
        <f>SUMPRODUCT(($A$9:$A$17=$A23)*(S$9:S$17))</f>
        <v>0</v>
      </c>
      <c r="T23" s="293">
        <f>SUMPRODUCT(($A$9:$A$17=$A23)*(T$9:T$17))</f>
        <v>0</v>
      </c>
      <c r="U23" s="293">
        <f>SUMPRODUCT(($A$9:$A$17=$A23)*(U$9:U$17))</f>
        <v>0</v>
      </c>
      <c r="V23" s="293">
        <f>SUMPRODUCT(($A$9:$A$17=$A23)*(V$9:V$17))</f>
        <v>0</v>
      </c>
      <c r="W23" s="293">
        <f>SUMPRODUCT(($A$9:$A$17=$A23)*(W$9:W$17))</f>
        <v>0</v>
      </c>
      <c r="X23" s="293">
        <f>SUMPRODUCT(($A$9:$A$17=$A23)*(X$9:X$17))</f>
        <v>0</v>
      </c>
    </row>
    <row r="24" s="266" customFormat="1" customHeight="1" spans="1:24">
      <c r="A24" s="295" t="str">
        <f>'[3]明细表H8-2'!A38:C38</f>
        <v>其他设备</v>
      </c>
      <c r="B24" s="119"/>
      <c r="C24" s="137"/>
      <c r="D24" s="293">
        <f>SUMPRODUCT(($A$9:$A$17=$A24)*(D$9:D$17))</f>
        <v>0</v>
      </c>
      <c r="E24" s="293">
        <f>SUMPRODUCT(($A$9:$A$17=$A24)*(E$9:E$17))</f>
        <v>0</v>
      </c>
      <c r="F24" s="293">
        <f>SUMPRODUCT(($A$9:$A$17=$A24)*(F$9:F$17))</f>
        <v>0</v>
      </c>
      <c r="G24" s="301"/>
      <c r="H24" s="301"/>
      <c r="I24" s="301"/>
      <c r="J24" s="301"/>
      <c r="K24" s="301"/>
      <c r="L24" s="301"/>
      <c r="M24" s="301"/>
      <c r="N24" s="293"/>
      <c r="O24" s="293"/>
      <c r="P24" s="293">
        <f>SUMPRODUCT(($A$9:$A$17=$A24)*(P$9:P$17))</f>
        <v>0</v>
      </c>
      <c r="Q24" s="293">
        <f>SUMPRODUCT(($A$9:$A$17=$A24)*(Q$9:Q$17))</f>
        <v>0</v>
      </c>
      <c r="R24" s="293">
        <f>SUMPRODUCT(($A$9:$A$17=$A24)*(R$9:R$17))</f>
        <v>0</v>
      </c>
      <c r="S24" s="293">
        <f>SUMPRODUCT(($A$9:$A$17=$A24)*(S$9:S$17))</f>
        <v>0</v>
      </c>
      <c r="T24" s="293">
        <f>SUMPRODUCT(($A$9:$A$17=$A24)*(T$9:T$17))</f>
        <v>0</v>
      </c>
      <c r="U24" s="293">
        <f>SUMPRODUCT(($A$9:$A$17=$A24)*(U$9:U$17))</f>
        <v>0</v>
      </c>
      <c r="V24" s="293">
        <f>SUMPRODUCT(($A$9:$A$17=$A24)*(V$9:V$17))</f>
        <v>0</v>
      </c>
      <c r="W24" s="293">
        <f>SUMPRODUCT(($A$9:$A$17=$A24)*(W$9:W$17))</f>
        <v>0</v>
      </c>
      <c r="X24" s="293">
        <f>SUMPRODUCT(($A$9:$A$17=$A24)*(X$9:X$17))</f>
        <v>0</v>
      </c>
    </row>
    <row r="25" customHeight="1" spans="1:24">
      <c r="A25" s="302" t="s">
        <v>525</v>
      </c>
      <c r="B25" s="266"/>
      <c r="S25" s="266"/>
    </row>
    <row r="26" ht="15" spans="1:24">
      <c r="A26" s="302" t="s">
        <v>526</v>
      </c>
    </row>
    <row r="29" customHeight="1" spans="1:24">
      <c r="B29" s="266"/>
    </row>
    <row r="34" customHeight="1" spans="1:1">
      <c r="A34" s="303"/>
    </row>
    <row r="35" customHeight="1" spans="1:1">
      <c r="A35" s="303"/>
    </row>
    <row r="36" customHeight="1" spans="1:1">
      <c r="A36" s="303"/>
    </row>
    <row r="37" customHeight="1" spans="1:1">
      <c r="A37" s="303"/>
    </row>
    <row r="38" customHeight="1" spans="1:1">
      <c r="A38" s="303"/>
    </row>
  </sheetData>
  <mergeCells count="9">
    <mergeCell ref="A1:X1"/>
    <mergeCell ref="A2:X2"/>
    <mergeCell ref="A18:C18"/>
    <mergeCell ref="A19:C19"/>
    <mergeCell ref="A20:C20"/>
    <mergeCell ref="A21:C21"/>
    <mergeCell ref="A22:C22"/>
    <mergeCell ref="A23:C23"/>
    <mergeCell ref="A24:C24"/>
  </mergeCells>
  <hyperlinks>
    <hyperlink ref="X3" location="底稿目录!A1" display="H8-8"/>
  </hyperlinks>
  <printOptions horizontalCentered="1"/>
  <pageMargins left="0.31496062992126" right="0.236220472440945" top="0.551181102362205" bottom="0.433070866141732" header="0.511811023622047" footer="0.31496062992126"/>
  <pageSetup paperSize="9" scale="60" fitToHeight="10" orientation="landscape" blackAndWhite="1"/>
  <headerFooter alignWithMargins="0">
    <oddFooter>&amp;C&amp;P/&amp;N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J24"/>
  <sheetViews>
    <sheetView view="pageBreakPreview" zoomScaleNormal="100" workbookViewId="0">
      <selection activeCell="H20" sqref="H20"/>
    </sheetView>
  </sheetViews>
  <sheetFormatPr defaultColWidth="9" defaultRowHeight="19.95" customHeight="1"/>
  <cols>
    <col min="1" max="1" width="6.7" style="244" customWidth="1"/>
    <col min="2" max="2" width="19.9" style="244" customWidth="1"/>
    <col min="3" max="8" width="15.5" style="244" customWidth="1"/>
    <col min="9" max="9" width="13.7" style="244" customWidth="1"/>
    <col min="10" max="10" width="15.5" style="244" customWidth="1"/>
    <col min="11" max="16384" width="9" style="244" customWidth="1"/>
  </cols>
  <sheetData>
    <row r="1" s="242" customFormat="1" customHeight="1" spans="1:10">
      <c r="A1" s="245" t="s">
        <v>58</v>
      </c>
    </row>
    <row r="2" s="243" customFormat="1" customHeight="1" spans="1:10">
      <c r="A2" s="246" t="s">
        <v>527</v>
      </c>
    </row>
    <row r="3" customHeight="1" spans="1:10">
      <c r="A3" s="247" t="str">
        <f>底稿目录!A2</f>
        <v>被审计单位：</v>
      </c>
      <c r="B3" s="247"/>
      <c r="C3" s="247"/>
      <c r="D3" s="247" t="str">
        <f>底稿目录!A4</f>
        <v>编制人：</v>
      </c>
      <c r="E3" s="247"/>
      <c r="F3" s="247"/>
      <c r="G3" s="247" t="str">
        <f>底稿目录!A6</f>
        <v>编制日期：</v>
      </c>
      <c r="H3" s="248"/>
      <c r="I3" s="7" t="s">
        <v>59</v>
      </c>
      <c r="J3" s="8" t="s">
        <v>45</v>
      </c>
    </row>
    <row r="4" customHeight="1" spans="1:10">
      <c r="A4" s="247" t="str">
        <f>底稿目录!A3</f>
        <v>截止日：202X年12月31日</v>
      </c>
      <c r="B4" s="247"/>
      <c r="C4" s="247"/>
      <c r="D4" s="247" t="str">
        <f>底稿目录!A5</f>
        <v>复核人：</v>
      </c>
      <c r="E4" s="247"/>
      <c r="F4" s="247"/>
      <c r="G4" s="247" t="str">
        <f>底稿目录!A7</f>
        <v>复核日期：</v>
      </c>
      <c r="H4" s="248"/>
      <c r="I4" s="7" t="s">
        <v>60</v>
      </c>
      <c r="J4" s="9"/>
    </row>
    <row r="5" s="244" customFormat="1" customHeight="1" spans="1:10">
      <c r="A5" s="10" t="s">
        <v>528</v>
      </c>
      <c r="B5" s="249"/>
      <c r="C5" s="250"/>
      <c r="D5" s="250"/>
      <c r="E5" s="251"/>
      <c r="F5" s="252"/>
      <c r="G5" s="250"/>
      <c r="H5" s="250"/>
      <c r="I5" s="250"/>
      <c r="J5" s="250"/>
    </row>
    <row r="6" customHeight="1" spans="1:10">
      <c r="A6" s="169" t="s">
        <v>193</v>
      </c>
      <c r="B6" s="170"/>
      <c r="C6" s="170"/>
      <c r="D6" s="170"/>
      <c r="E6" s="170"/>
      <c r="F6" s="170"/>
      <c r="G6" s="170"/>
      <c r="H6" s="101"/>
      <c r="I6" s="170"/>
      <c r="J6" s="170"/>
    </row>
    <row r="7" customHeight="1" spans="1:10">
      <c r="A7" s="17" t="s">
        <v>3</v>
      </c>
      <c r="B7" s="17" t="s">
        <v>194</v>
      </c>
      <c r="C7" s="17" t="s">
        <v>529</v>
      </c>
      <c r="D7" s="17" t="s">
        <v>530</v>
      </c>
      <c r="E7" s="17" t="s">
        <v>531</v>
      </c>
      <c r="F7" s="17" t="s">
        <v>532</v>
      </c>
      <c r="G7" s="17" t="s">
        <v>533</v>
      </c>
      <c r="H7" s="17" t="s">
        <v>534</v>
      </c>
      <c r="I7" s="17" t="s">
        <v>139</v>
      </c>
      <c r="J7" s="17" t="s">
        <v>6</v>
      </c>
    </row>
    <row r="8" customHeight="1" spans="1:10">
      <c r="A8" s="253">
        <v>1</v>
      </c>
      <c r="B8" s="254" t="s">
        <v>21</v>
      </c>
      <c r="C8" s="255"/>
      <c r="D8" s="255"/>
      <c r="E8" s="255"/>
      <c r="F8" s="255"/>
      <c r="G8" s="255"/>
      <c r="H8" s="255"/>
      <c r="I8" s="138">
        <f>SUM(C8:H8)</f>
        <v>0</v>
      </c>
      <c r="J8" s="255"/>
    </row>
    <row r="9" customHeight="1" spans="1:10">
      <c r="A9" s="253">
        <v>2</v>
      </c>
      <c r="B9" s="254" t="s">
        <v>24</v>
      </c>
      <c r="C9" s="255"/>
      <c r="D9" s="255"/>
      <c r="E9" s="255"/>
      <c r="F9" s="255"/>
      <c r="G9" s="255"/>
      <c r="H9" s="255"/>
      <c r="I9" s="138">
        <f>SUM(C9:H9)</f>
        <v>0</v>
      </c>
      <c r="J9" s="255"/>
    </row>
    <row r="10" customHeight="1" spans="1:10">
      <c r="A10" s="253">
        <v>3</v>
      </c>
      <c r="B10" s="254" t="s">
        <v>27</v>
      </c>
      <c r="C10" s="255"/>
      <c r="D10" s="255"/>
      <c r="E10" s="255"/>
      <c r="F10" s="255"/>
      <c r="G10" s="255"/>
      <c r="H10" s="255"/>
      <c r="I10" s="138">
        <f>SUM(C10:H10)</f>
        <v>0</v>
      </c>
      <c r="J10" s="255"/>
    </row>
    <row r="11" customHeight="1" spans="1:10">
      <c r="A11" s="253">
        <v>4</v>
      </c>
      <c r="B11" s="254" t="s">
        <v>30</v>
      </c>
      <c r="C11" s="255"/>
      <c r="D11" s="255"/>
      <c r="E11" s="255"/>
      <c r="F11" s="255"/>
      <c r="G11" s="255"/>
      <c r="H11" s="255"/>
      <c r="I11" s="138">
        <f>SUM(C11:H11)</f>
        <v>0</v>
      </c>
      <c r="J11" s="255"/>
    </row>
    <row r="12" customHeight="1" spans="1:10">
      <c r="A12" s="256">
        <v>5</v>
      </c>
      <c r="B12" s="257" t="s">
        <v>34</v>
      </c>
      <c r="C12" s="258"/>
      <c r="D12" s="258"/>
      <c r="E12" s="258"/>
      <c r="F12" s="258"/>
      <c r="G12" s="258"/>
      <c r="H12" s="258"/>
      <c r="I12" s="259">
        <f>SUM(C12:H12)</f>
        <v>0</v>
      </c>
      <c r="J12" s="258"/>
    </row>
    <row r="13" customHeight="1" spans="1:10">
      <c r="A13" s="17" t="s">
        <v>139</v>
      </c>
      <c r="B13" s="137"/>
      <c r="C13" s="138">
        <f t="shared" ref="C13:I13" si="0">SUM(C8:C12)</f>
        <v>0</v>
      </c>
      <c r="D13" s="138">
        <f t="shared" si="0"/>
        <v>0</v>
      </c>
      <c r="E13" s="138">
        <f t="shared" si="0"/>
        <v>0</v>
      </c>
      <c r="F13" s="138">
        <f t="shared" si="0"/>
        <v>0</v>
      </c>
      <c r="G13" s="138">
        <f t="shared" si="0"/>
        <v>0</v>
      </c>
      <c r="H13" s="138">
        <f t="shared" si="0"/>
        <v>0</v>
      </c>
      <c r="I13" s="138">
        <f t="shared" si="0"/>
        <v>0</v>
      </c>
      <c r="J13" s="138"/>
    </row>
    <row r="14" ht="27.6" customHeight="1" spans="1:10">
      <c r="A14" s="17"/>
      <c r="B14" s="260" t="s">
        <v>535</v>
      </c>
      <c r="C14" s="261" t="s">
        <v>536</v>
      </c>
      <c r="D14" s="261" t="s">
        <v>536</v>
      </c>
      <c r="E14" s="261" t="s">
        <v>536</v>
      </c>
      <c r="F14" s="261" t="s">
        <v>536</v>
      </c>
      <c r="G14" s="261" t="s">
        <v>536</v>
      </c>
      <c r="H14" s="261" t="s">
        <v>536</v>
      </c>
      <c r="I14" s="138"/>
      <c r="J14" s="138"/>
    </row>
    <row r="15" customHeight="1" spans="1:10">
      <c r="A15" s="99" t="s">
        <v>212</v>
      </c>
    </row>
    <row r="16" customHeight="1" spans="1:10">
      <c r="A16" s="3"/>
    </row>
    <row r="17" customHeight="1" spans="1:1">
      <c r="A17" s="99" t="s">
        <v>213</v>
      </c>
    </row>
    <row r="18" customHeight="1" spans="1:1">
      <c r="A18" s="247"/>
    </row>
    <row r="22" customHeight="1" spans="1:1">
      <c r="A22" s="262" t="s">
        <v>214</v>
      </c>
    </row>
    <row r="23" customHeight="1" spans="1:1">
      <c r="A23" s="263" t="s">
        <v>537</v>
      </c>
    </row>
    <row r="24" customHeight="1" spans="1:1">
      <c r="A24" s="263" t="s">
        <v>538</v>
      </c>
    </row>
  </sheetData>
  <mergeCells count="3">
    <mergeCell ref="A1:J1"/>
    <mergeCell ref="A2:J2"/>
    <mergeCell ref="A13:B13"/>
  </mergeCells>
  <hyperlinks>
    <hyperlink ref="J3" location="底稿目录!A1" display="H8-9"/>
  </hyperlinks>
  <printOptions horizontalCentered="1"/>
  <pageMargins left="0.708661417322835" right="0.708661417322835" top="0.748031496062992" bottom="0.748031496062992" header="0.31496062992126" footer="0.31496062992126"/>
  <pageSetup paperSize="9" scale="82" orientation="landscape" blackAndWhite="1"/>
  <headerFooter>
    <oddFooter>&amp;C&amp;P/&amp;N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F35"/>
  <sheetViews>
    <sheetView view="pageBreakPreview" zoomScaleNormal="100" workbookViewId="0">
      <selection activeCell="F17" sqref="F17"/>
    </sheetView>
  </sheetViews>
  <sheetFormatPr defaultColWidth="9" defaultRowHeight="19.95" customHeight="1"/>
  <cols>
    <col min="1" max="1" width="18" style="34" customWidth="1"/>
    <col min="2" max="2" width="12" style="34" customWidth="1"/>
    <col min="3" max="3" width="18" style="34" customWidth="1"/>
    <col min="4" max="4" width="14" style="34" customWidth="1"/>
    <col min="5" max="7" width="12" style="34" customWidth="1"/>
    <col min="8" max="8" width="14" style="34" customWidth="1"/>
    <col min="9" max="9" width="14" style="35" customWidth="1"/>
    <col min="10" max="10" width="14" style="34" customWidth="1"/>
    <col min="11" max="11" width="12" style="34" customWidth="1"/>
    <col min="12" max="12" width="14" style="34" customWidth="1"/>
    <col min="13" max="16384" width="12" style="34" customWidth="1"/>
  </cols>
  <sheetData>
    <row r="1" s="203" customFormat="1" customHeight="1" spans="1:32">
      <c r="A1" s="163" t="s">
        <v>58</v>
      </c>
      <c r="B1" s="207"/>
      <c r="C1" s="207"/>
      <c r="D1" s="207"/>
      <c r="E1" s="207"/>
      <c r="F1" s="207"/>
      <c r="G1" s="207"/>
      <c r="H1" s="207"/>
      <c r="I1" s="207"/>
      <c r="J1" s="207"/>
      <c r="K1" s="207"/>
      <c r="L1" s="207"/>
      <c r="M1" s="207"/>
    </row>
    <row r="2" s="204" customFormat="1" customHeight="1" spans="1:32">
      <c r="A2" s="208" t="s">
        <v>539</v>
      </c>
      <c r="B2" s="208"/>
      <c r="C2" s="208"/>
      <c r="D2" s="208"/>
      <c r="E2" s="208"/>
      <c r="F2" s="208"/>
      <c r="G2" s="208"/>
      <c r="H2" s="208"/>
      <c r="I2" s="208"/>
      <c r="J2" s="208"/>
      <c r="K2" s="208"/>
      <c r="L2" s="208"/>
      <c r="M2" s="208"/>
    </row>
    <row r="3" customHeight="1" spans="1:32">
      <c r="A3" s="34" t="str">
        <f>[2]底稿目录!A2</f>
        <v>被审计单位：</v>
      </c>
      <c r="E3" s="34" t="str">
        <f>[2]底稿目录!A4</f>
        <v>编制人：</v>
      </c>
      <c r="G3" s="209"/>
      <c r="H3" s="34" t="str">
        <f>[2]底稿目录!A6</f>
        <v>编制日期：</v>
      </c>
      <c r="K3" s="40" t="s">
        <v>59</v>
      </c>
      <c r="L3" s="210" t="s">
        <v>47</v>
      </c>
    </row>
    <row r="4" customHeight="1" spans="1:32">
      <c r="A4" s="34" t="str">
        <f>[2]底稿目录!A3</f>
        <v>截止日：202X年12月31日</v>
      </c>
      <c r="E4" s="34" t="str">
        <f>[2]底稿目录!A5</f>
        <v>复核人：</v>
      </c>
      <c r="G4" s="209"/>
      <c r="H4" s="34" t="str">
        <f>[2]底稿目录!A7</f>
        <v>复核日期：</v>
      </c>
      <c r="K4" s="40" t="s">
        <v>60</v>
      </c>
      <c r="L4" s="42"/>
    </row>
    <row r="5" s="34" customFormat="1" ht="25" customHeight="1" spans="1:32">
      <c r="A5" s="211" t="s">
        <v>540</v>
      </c>
      <c r="B5" s="212"/>
      <c r="C5" s="213"/>
      <c r="H5" s="214"/>
      <c r="I5" s="214"/>
      <c r="J5" s="214"/>
      <c r="K5" s="214"/>
      <c r="O5" s="215"/>
      <c r="P5" s="216"/>
      <c r="Z5" s="217"/>
      <c r="AA5" s="217"/>
      <c r="AB5" s="217"/>
      <c r="AC5" s="217"/>
      <c r="AD5" s="217"/>
      <c r="AE5" s="217"/>
      <c r="AF5" s="217"/>
    </row>
    <row r="6" customHeight="1" spans="1:32">
      <c r="A6" s="218" t="s">
        <v>193</v>
      </c>
      <c r="B6" s="209"/>
      <c r="C6" s="209"/>
      <c r="H6" s="214"/>
      <c r="I6" s="214"/>
      <c r="J6" s="214"/>
      <c r="K6" s="214"/>
      <c r="O6" s="215"/>
      <c r="P6" s="216"/>
      <c r="Z6" s="217"/>
      <c r="AA6" s="217"/>
      <c r="AB6" s="217"/>
      <c r="AC6" s="217"/>
      <c r="AD6" s="217"/>
      <c r="AE6" s="217"/>
      <c r="AF6" s="217"/>
    </row>
    <row r="7" s="205" customFormat="1" ht="36" customHeight="1" spans="1:32">
      <c r="A7" s="49" t="s">
        <v>195</v>
      </c>
      <c r="B7" s="49" t="s">
        <v>541</v>
      </c>
      <c r="C7" s="49" t="s">
        <v>542</v>
      </c>
      <c r="D7" s="49" t="s">
        <v>543</v>
      </c>
      <c r="E7" s="49" t="s">
        <v>544</v>
      </c>
      <c r="F7" s="219"/>
      <c r="G7" s="219"/>
      <c r="H7" s="49" t="s">
        <v>545</v>
      </c>
      <c r="I7" s="49" t="s">
        <v>546</v>
      </c>
      <c r="J7" s="49" t="s">
        <v>547</v>
      </c>
      <c r="K7" s="49" t="s">
        <v>548</v>
      </c>
      <c r="L7" s="49" t="s">
        <v>6</v>
      </c>
      <c r="M7" s="220" t="s">
        <v>549</v>
      </c>
    </row>
    <row r="8" s="206" customFormat="1" ht="30" customHeight="1" spans="1:32">
      <c r="A8" s="221"/>
      <c r="B8" s="221"/>
      <c r="C8" s="221"/>
      <c r="D8" s="221"/>
      <c r="E8" s="49" t="s">
        <v>550</v>
      </c>
      <c r="F8" s="49" t="s">
        <v>551</v>
      </c>
      <c r="G8" s="49" t="s">
        <v>552</v>
      </c>
      <c r="H8" s="221"/>
      <c r="I8" s="221"/>
      <c r="J8" s="221"/>
      <c r="K8" s="221"/>
      <c r="L8" s="221"/>
      <c r="M8" s="222"/>
    </row>
    <row r="9" s="206" customFormat="1" customHeight="1" spans="1:32">
      <c r="A9" s="219"/>
      <c r="B9" s="219"/>
      <c r="C9" s="49" t="s">
        <v>553</v>
      </c>
      <c r="D9" s="49" t="s">
        <v>554</v>
      </c>
      <c r="E9" s="49" t="s">
        <v>555</v>
      </c>
      <c r="F9" s="49" t="s">
        <v>556</v>
      </c>
      <c r="G9" s="49" t="s">
        <v>557</v>
      </c>
      <c r="H9" s="49" t="s">
        <v>558</v>
      </c>
      <c r="I9" s="49" t="s">
        <v>559</v>
      </c>
      <c r="J9" s="49" t="s">
        <v>560</v>
      </c>
      <c r="K9" s="219"/>
      <c r="L9" s="219"/>
      <c r="M9" s="220" t="s">
        <v>561</v>
      </c>
    </row>
    <row r="10" customHeight="1" spans="1:32">
      <c r="A10" s="223"/>
      <c r="B10" s="224"/>
      <c r="C10" s="225"/>
      <c r="D10" s="226"/>
      <c r="E10" s="226"/>
      <c r="F10" s="226"/>
      <c r="G10" s="227">
        <f>IF(OR(B10="",B10="×"),0,MAX(E10,F10))</f>
        <v>0</v>
      </c>
      <c r="H10" s="227">
        <f>IF(OR(B10="",B10="×"),0,MAX(D10-G10,0))</f>
        <v>0</v>
      </c>
      <c r="I10" s="228"/>
      <c r="J10" s="227">
        <f>MAX(H10-I10,0)</f>
        <v>0</v>
      </c>
      <c r="K10" s="229"/>
      <c r="L10" s="223"/>
      <c r="M10" s="230">
        <f>MAX(I10-H10,0)</f>
        <v>0</v>
      </c>
    </row>
    <row r="11" customHeight="1" spans="1:32">
      <c r="A11" s="223"/>
      <c r="B11" s="224"/>
      <c r="C11" s="225"/>
      <c r="D11" s="226"/>
      <c r="E11" s="226"/>
      <c r="F11" s="226"/>
      <c r="G11" s="227">
        <f>IF(OR(B11="",B11="×"),0,MAX(E11,F11))</f>
        <v>0</v>
      </c>
      <c r="H11" s="227">
        <f>IF(OR(B11="",B11="×"),0,MAX(D11-G11,0))</f>
        <v>0</v>
      </c>
      <c r="I11" s="228"/>
      <c r="J11" s="227">
        <f>MAX(H11-I11,0)</f>
        <v>0</v>
      </c>
      <c r="K11" s="229"/>
      <c r="L11" s="223"/>
      <c r="M11" s="230">
        <f>MAX(I11-H11,0)</f>
        <v>0</v>
      </c>
    </row>
    <row r="12" customHeight="1" spans="1:32">
      <c r="A12" s="223"/>
      <c r="B12" s="224"/>
      <c r="C12" s="225"/>
      <c r="D12" s="226"/>
      <c r="E12" s="226"/>
      <c r="F12" s="226"/>
      <c r="G12" s="227">
        <f>IF(OR(B12="",B12="×"),0,MAX(E12,F12))</f>
        <v>0</v>
      </c>
      <c r="H12" s="227">
        <f>IF(OR(B12="",B12="×"),0,MAX(D12-G12,0))</f>
        <v>0</v>
      </c>
      <c r="I12" s="228"/>
      <c r="J12" s="227">
        <f>MAX(H12-I12,0)</f>
        <v>0</v>
      </c>
      <c r="K12" s="229"/>
      <c r="L12" s="223"/>
      <c r="M12" s="230">
        <f>MAX(I12-H12,0)</f>
        <v>0</v>
      </c>
    </row>
    <row r="13" customHeight="1" spans="1:32">
      <c r="A13" s="223"/>
      <c r="B13" s="224"/>
      <c r="C13" s="225"/>
      <c r="D13" s="226"/>
      <c r="E13" s="226"/>
      <c r="F13" s="226"/>
      <c r="G13" s="227">
        <f>IF(OR(B13="",B13="×"),0,MAX(E13,F13))</f>
        <v>0</v>
      </c>
      <c r="H13" s="227">
        <f>IF(OR(B13="",B13="×"),0,MAX(D13-G13,0))</f>
        <v>0</v>
      </c>
      <c r="I13" s="228"/>
      <c r="J13" s="227">
        <f>MAX(H13-I13,0)</f>
        <v>0</v>
      </c>
      <c r="K13" s="229"/>
      <c r="L13" s="223"/>
      <c r="M13" s="230">
        <f>MAX(I13-H13,0)</f>
        <v>0</v>
      </c>
    </row>
    <row r="14" customHeight="1" spans="1:32">
      <c r="A14" s="223"/>
      <c r="B14" s="224"/>
      <c r="C14" s="225"/>
      <c r="D14" s="226"/>
      <c r="E14" s="226"/>
      <c r="F14" s="226"/>
      <c r="G14" s="227">
        <f>IF(OR(B14="",B14="×"),0,MAX(E14,F14))</f>
        <v>0</v>
      </c>
      <c r="H14" s="227">
        <f>IF(OR(B14="",B14="×"),0,MAX(D14-G14,0))</f>
        <v>0</v>
      </c>
      <c r="I14" s="228"/>
      <c r="J14" s="227">
        <f>MAX(H14-I14,0)</f>
        <v>0</v>
      </c>
      <c r="K14" s="229"/>
      <c r="L14" s="223"/>
      <c r="M14" s="230">
        <f>MAX(I14-H14,0)</f>
        <v>0</v>
      </c>
    </row>
    <row r="15" customHeight="1" spans="1:32">
      <c r="A15" s="223"/>
      <c r="B15" s="224"/>
      <c r="C15" s="225"/>
      <c r="D15" s="226"/>
      <c r="E15" s="226"/>
      <c r="F15" s="226"/>
      <c r="G15" s="227">
        <f>IF(OR(B15="",B15="×"),0,MAX(E15,F15))</f>
        <v>0</v>
      </c>
      <c r="H15" s="227">
        <f>IF(OR(B15="",B15="×"),0,MAX(D15-G15,0))</f>
        <v>0</v>
      </c>
      <c r="I15" s="228"/>
      <c r="J15" s="227">
        <f>MAX(H15-I15,0)</f>
        <v>0</v>
      </c>
      <c r="K15" s="229"/>
      <c r="L15" s="223"/>
      <c r="M15" s="230">
        <f>MAX(I15-H15,0)</f>
        <v>0</v>
      </c>
    </row>
    <row r="16" customHeight="1" spans="1:32">
      <c r="A16" s="223"/>
      <c r="B16" s="224"/>
      <c r="C16" s="225"/>
      <c r="D16" s="226"/>
      <c r="E16" s="226"/>
      <c r="F16" s="226"/>
      <c r="G16" s="227">
        <f>IF(OR(B16="",B16="×"),0,MAX(E16,F16))</f>
        <v>0</v>
      </c>
      <c r="H16" s="227">
        <f>IF(OR(B16="",B16="×"),0,MAX(D16-G16,0))</f>
        <v>0</v>
      </c>
      <c r="I16" s="228"/>
      <c r="J16" s="227">
        <f>MAX(H16-I16,0)</f>
        <v>0</v>
      </c>
      <c r="K16" s="229"/>
      <c r="L16" s="223"/>
      <c r="M16" s="230">
        <f>MAX(I16-H16,0)</f>
        <v>0</v>
      </c>
    </row>
    <row r="17" customHeight="1" spans="1:13">
      <c r="A17" s="223"/>
      <c r="B17" s="224"/>
      <c r="C17" s="225"/>
      <c r="D17" s="226"/>
      <c r="E17" s="226"/>
      <c r="F17" s="226"/>
      <c r="G17" s="227">
        <f>IF(OR(B17="",B17="×"),0,MAX(E17,F17))</f>
        <v>0</v>
      </c>
      <c r="H17" s="227">
        <f>IF(OR(B17="",B17="×"),0,MAX(D17-G17,0))</f>
        <v>0</v>
      </c>
      <c r="I17" s="228"/>
      <c r="J17" s="227">
        <f>MAX(H17-I17,0)</f>
        <v>0</v>
      </c>
      <c r="K17" s="229"/>
      <c r="L17" s="223"/>
      <c r="M17" s="230">
        <f>MAX(I17-H17,0)</f>
        <v>0</v>
      </c>
    </row>
    <row r="18" customHeight="1" spans="1:13">
      <c r="A18" s="223"/>
      <c r="B18" s="224"/>
      <c r="C18" s="225"/>
      <c r="D18" s="226"/>
      <c r="E18" s="226"/>
      <c r="F18" s="226"/>
      <c r="G18" s="227">
        <f>IF(OR(B18="",B18="×"),0,MAX(E18,F18))</f>
        <v>0</v>
      </c>
      <c r="H18" s="227">
        <f>IF(OR(B18="",B18="×"),0,MAX(D18-G18,0))</f>
        <v>0</v>
      </c>
      <c r="I18" s="228"/>
      <c r="J18" s="227">
        <f>MAX(H18-I18,0)</f>
        <v>0</v>
      </c>
      <c r="K18" s="229"/>
      <c r="L18" s="223"/>
      <c r="M18" s="230">
        <f>MAX(I18-H18,0)</f>
        <v>0</v>
      </c>
    </row>
    <row r="19" customHeight="1" spans="1:13">
      <c r="A19" s="223"/>
      <c r="B19" s="224"/>
      <c r="C19" s="225"/>
      <c r="D19" s="226"/>
      <c r="E19" s="226"/>
      <c r="F19" s="226"/>
      <c r="G19" s="227">
        <f>IF(OR(B19="",B19="×"),0,MAX(E19,F19))</f>
        <v>0</v>
      </c>
      <c r="H19" s="227">
        <f>IF(OR(B19="",B19="×"),0,MAX(D19-G19,0))</f>
        <v>0</v>
      </c>
      <c r="I19" s="228"/>
      <c r="J19" s="227">
        <f>MAX(H19-I19,0)</f>
        <v>0</v>
      </c>
      <c r="K19" s="229"/>
      <c r="L19" s="223"/>
      <c r="M19" s="230">
        <f>MAX(I19-H19,0)</f>
        <v>0</v>
      </c>
    </row>
    <row r="20" customHeight="1" spans="1:13">
      <c r="A20" s="223"/>
      <c r="B20" s="224"/>
      <c r="C20" s="225"/>
      <c r="D20" s="226"/>
      <c r="E20" s="226"/>
      <c r="F20" s="226"/>
      <c r="G20" s="227">
        <f>IF(OR(B20="",B20="×"),0,MAX(E20,F20))</f>
        <v>0</v>
      </c>
      <c r="H20" s="227">
        <f>IF(OR(B20="",B20="×"),0,MAX(D20-G20,0))</f>
        <v>0</v>
      </c>
      <c r="I20" s="228"/>
      <c r="J20" s="227">
        <f>MAX(H20-I20,0)</f>
        <v>0</v>
      </c>
      <c r="K20" s="229"/>
      <c r="L20" s="223"/>
      <c r="M20" s="230">
        <f>MAX(I20-H20,0)</f>
        <v>0</v>
      </c>
    </row>
    <row r="21" customHeight="1" spans="1:13">
      <c r="A21" s="223"/>
      <c r="B21" s="224"/>
      <c r="C21" s="225"/>
      <c r="D21" s="226"/>
      <c r="E21" s="226"/>
      <c r="F21" s="226"/>
      <c r="G21" s="227">
        <f>IF(OR(B21="",B21="×"),0,MAX(E21,F21))</f>
        <v>0</v>
      </c>
      <c r="H21" s="227">
        <f>IF(OR(B21="",B21="×"),0,MAX(D21-G21,0))</f>
        <v>0</v>
      </c>
      <c r="I21" s="228"/>
      <c r="J21" s="227">
        <f>MAX(H21-I21,0)</f>
        <v>0</v>
      </c>
      <c r="K21" s="229"/>
      <c r="L21" s="223"/>
      <c r="M21" s="230">
        <f>MAX(I21-H21,0)</f>
        <v>0</v>
      </c>
    </row>
    <row r="22" customHeight="1" spans="1:13">
      <c r="A22" s="231" t="s">
        <v>139</v>
      </c>
      <c r="B22" s="232"/>
      <c r="C22" s="232"/>
      <c r="D22" s="233">
        <f>SUM(D10:D21)</f>
        <v>0</v>
      </c>
      <c r="E22" s="233">
        <f>SUM(E10:E21)</f>
        <v>0</v>
      </c>
      <c r="F22" s="233">
        <f>SUM(F10:F21)</f>
        <v>0</v>
      </c>
      <c r="G22" s="233">
        <f>SUM(G10:G21)</f>
        <v>0</v>
      </c>
      <c r="H22" s="233">
        <f>SUM(H10:H21)</f>
        <v>0</v>
      </c>
      <c r="I22" s="233">
        <f>SUM(I10:I21)</f>
        <v>0</v>
      </c>
      <c r="J22" s="233">
        <f>SUM(J10:J21)</f>
        <v>0</v>
      </c>
      <c r="K22" s="234"/>
      <c r="L22" s="234"/>
      <c r="M22" s="235">
        <f>SUM(M10:M21)</f>
        <v>0</v>
      </c>
    </row>
    <row r="23" customHeight="1" spans="1:13">
      <c r="A23" s="236" t="s">
        <v>212</v>
      </c>
      <c r="B23" s="237"/>
      <c r="C23" s="237"/>
      <c r="D23" s="237"/>
      <c r="E23" s="237"/>
      <c r="F23" s="237"/>
      <c r="G23" s="237"/>
      <c r="H23" s="237"/>
      <c r="I23" s="237"/>
      <c r="J23" s="237"/>
      <c r="K23" s="237"/>
      <c r="L23" s="237"/>
    </row>
    <row r="24" ht="15" spans="1:13">
      <c r="A24" s="238" t="s">
        <v>562</v>
      </c>
    </row>
    <row r="26" customHeight="1" spans="1:13">
      <c r="A26" s="239" t="s">
        <v>213</v>
      </c>
    </row>
    <row r="27" ht="48" customHeight="1" spans="1:13">
      <c r="A27" s="240" t="s">
        <v>563</v>
      </c>
    </row>
    <row r="30" customHeight="1" spans="1:13">
      <c r="A30" s="239" t="s">
        <v>214</v>
      </c>
    </row>
    <row r="31" ht="15" spans="1:13">
      <c r="A31" s="241" t="s">
        <v>564</v>
      </c>
    </row>
    <row r="32" ht="15" spans="1:13">
      <c r="A32" s="241" t="s">
        <v>565</v>
      </c>
    </row>
    <row r="33" ht="15" spans="1:1">
      <c r="A33" s="241" t="s">
        <v>566</v>
      </c>
    </row>
    <row r="34" ht="15" spans="1:1">
      <c r="A34" s="241" t="s">
        <v>567</v>
      </c>
    </row>
    <row r="35" ht="15" spans="1:1">
      <c r="A35" s="241" t="s">
        <v>568</v>
      </c>
    </row>
  </sheetData>
  <mergeCells count="13">
    <mergeCell ref="A1:M1"/>
    <mergeCell ref="A2:M2"/>
    <mergeCell ref="E7:G7"/>
    <mergeCell ref="A7:A9"/>
    <mergeCell ref="B7:B9"/>
    <mergeCell ref="C7:C8"/>
    <mergeCell ref="D7:D8"/>
    <mergeCell ref="H7:H8"/>
    <mergeCell ref="I7:I8"/>
    <mergeCell ref="J7:J8"/>
    <mergeCell ref="K7:K9"/>
    <mergeCell ref="L7:L9"/>
    <mergeCell ref="M7:M8"/>
  </mergeCells>
  <dataValidations count="1">
    <dataValidation type="list" allowBlank="1" showErrorMessage="1" errorTitle="减值迹象" error="请选择 √（存在）或 ×（不存在）" sqref="B10:B21">
      <formula1>"√,×"</formula1>
    </dataValidation>
  </dataValidations>
  <hyperlinks>
    <hyperlink ref="L3" location="底稿目录!A1" display="H8-10"/>
  </hyperlinks>
  <printOptions horizontalCentered="1"/>
  <pageMargins left="0.708661417322835" right="0.708661417322835" top="0.748031496062992" bottom="0.748031496062992" header="0.31496062992126" footer="0.31496062992126"/>
  <pageSetup paperSize="9" scale="69" orientation="landscape" blackAndWhite="1"/>
  <headerFooter>
    <oddFooter>&amp;C&amp;P/&amp;N</oddFooter>
  </headerFooter>
  <rowBreaks count="1" manualBreakCount="1">
    <brk id="17" max="12"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B90"/>
  <sheetViews>
    <sheetView view="pageBreakPreview" zoomScaleNormal="115" workbookViewId="0">
      <selection activeCell="A1" sqref="A1:O1"/>
    </sheetView>
  </sheetViews>
  <sheetFormatPr defaultColWidth="9" defaultRowHeight="19.95" customHeight="1"/>
  <cols>
    <col min="1" max="1" width="18.7" style="3" customWidth="1"/>
    <col min="2" max="2" width="8.9" style="3" customWidth="1"/>
    <col min="3" max="3" width="8.5" style="3" customWidth="1"/>
    <col min="4" max="4" width="8.9" style="3" customWidth="1"/>
    <col min="5" max="5" width="8" style="3" customWidth="1"/>
    <col min="6" max="6" width="7.9" style="3" customWidth="1"/>
    <col min="7" max="7" width="7.4" style="3" customWidth="1"/>
    <col min="8" max="8" width="8.9" style="3" customWidth="1"/>
    <col min="9" max="9" width="9.2" style="3" customWidth="1"/>
    <col min="10" max="10" width="6.6" style="3" customWidth="1"/>
    <col min="11" max="11" width="9.7" style="3" customWidth="1"/>
    <col min="12" max="12" width="8.6" style="3" customWidth="1"/>
    <col min="13" max="13" width="10.1" style="3" customWidth="1"/>
    <col min="14" max="14" width="9.7" style="3" customWidth="1"/>
    <col min="15" max="15" width="10.6" style="3" customWidth="1"/>
    <col min="16" max="16384" width="9" style="3" customWidth="1"/>
  </cols>
  <sheetData>
    <row r="1" s="161" customFormat="1" customHeight="1" spans="1:28">
      <c r="A1" s="163" t="s">
        <v>58</v>
      </c>
    </row>
    <row r="2" s="162" customFormat="1" customHeight="1" spans="1:28">
      <c r="A2" s="164" t="s">
        <v>569</v>
      </c>
    </row>
    <row r="3" customHeight="1" spans="1:28">
      <c r="A3" s="3" t="str">
        <f>底稿目录!A2</f>
        <v>被审计单位：</v>
      </c>
      <c r="B3" s="6"/>
      <c r="E3" s="3" t="str">
        <f>底稿目录!A4</f>
        <v>编制人：</v>
      </c>
      <c r="F3" s="101"/>
      <c r="J3" s="3" t="str">
        <f>底稿目录!A6</f>
        <v>编制日期：</v>
      </c>
      <c r="N3" s="7" t="s">
        <v>59</v>
      </c>
      <c r="O3" s="8" t="s">
        <v>49</v>
      </c>
    </row>
    <row r="4" customHeight="1" spans="1:28">
      <c r="A4" s="3" t="str">
        <f>底稿目录!A3</f>
        <v>截止日：202X年12月31日</v>
      </c>
      <c r="B4" s="6"/>
      <c r="E4" s="3" t="str">
        <f>底稿目录!A5</f>
        <v>复核人：</v>
      </c>
      <c r="F4" s="101"/>
      <c r="J4" s="3" t="str">
        <f>底稿目录!A7</f>
        <v>复核日期：</v>
      </c>
      <c r="N4" s="7" t="s">
        <v>60</v>
      </c>
      <c r="O4" s="9"/>
    </row>
    <row r="5" s="3" customFormat="1" customHeight="1" spans="1:28">
      <c r="A5" s="10" t="s">
        <v>528</v>
      </c>
      <c r="B5" s="165"/>
      <c r="C5" s="166"/>
      <c r="H5" s="101"/>
      <c r="K5" s="100"/>
      <c r="L5" s="167"/>
      <c r="V5" s="168"/>
      <c r="W5" s="168"/>
      <c r="X5" s="168"/>
      <c r="Y5" s="168"/>
      <c r="Z5" s="168"/>
      <c r="AA5" s="168"/>
      <c r="AB5" s="168"/>
    </row>
    <row r="6" customHeight="1" spans="1:28">
      <c r="A6" s="169" t="s">
        <v>193</v>
      </c>
      <c r="B6" s="170"/>
      <c r="G6" s="101"/>
      <c r="K6" s="100"/>
      <c r="L6" s="167"/>
      <c r="V6" s="168"/>
      <c r="W6" s="168"/>
      <c r="X6" s="168"/>
      <c r="Y6" s="168"/>
      <c r="Z6" s="168"/>
      <c r="AA6" s="168"/>
      <c r="AB6" s="168"/>
    </row>
    <row r="7" customHeight="1" spans="1:28">
      <c r="A7" s="99" t="s">
        <v>570</v>
      </c>
      <c r="G7" s="101"/>
    </row>
    <row r="8" customHeight="1" spans="1:28">
      <c r="A8" s="17" t="s">
        <v>195</v>
      </c>
      <c r="B8" s="171" t="s">
        <v>571</v>
      </c>
      <c r="C8" s="171"/>
      <c r="D8" s="171"/>
      <c r="E8" s="171"/>
      <c r="F8" s="171"/>
      <c r="G8" s="172"/>
      <c r="H8" s="171" t="s">
        <v>572</v>
      </c>
      <c r="I8" s="171"/>
      <c r="J8" s="171"/>
      <c r="K8" s="171"/>
      <c r="L8" s="171"/>
      <c r="M8" s="171"/>
      <c r="N8" s="17" t="s">
        <v>573</v>
      </c>
      <c r="O8" s="17" t="s">
        <v>6</v>
      </c>
    </row>
    <row r="9" ht="24" customHeight="1" spans="1:28">
      <c r="A9" s="123"/>
      <c r="B9" s="17" t="s">
        <v>574</v>
      </c>
      <c r="C9" s="17" t="s">
        <v>575</v>
      </c>
      <c r="D9" s="17" t="s">
        <v>576</v>
      </c>
      <c r="E9" s="17" t="s">
        <v>575</v>
      </c>
      <c r="F9" s="17" t="s">
        <v>577</v>
      </c>
      <c r="G9" s="17" t="s">
        <v>575</v>
      </c>
      <c r="H9" s="17" t="s">
        <v>578</v>
      </c>
      <c r="I9" s="17" t="s">
        <v>579</v>
      </c>
      <c r="J9" s="17" t="s">
        <v>580</v>
      </c>
      <c r="K9" s="17" t="s">
        <v>581</v>
      </c>
      <c r="L9" s="17" t="s">
        <v>582</v>
      </c>
      <c r="M9" s="17" t="s">
        <v>583</v>
      </c>
      <c r="N9" s="123"/>
      <c r="O9" s="123"/>
    </row>
    <row r="10" customHeight="1" spans="1:28">
      <c r="A10" s="173"/>
      <c r="B10" s="174"/>
      <c r="C10" s="175"/>
      <c r="D10" s="174"/>
      <c r="E10" s="175"/>
      <c r="F10" s="174"/>
      <c r="G10" s="175"/>
      <c r="H10" s="174"/>
      <c r="I10" s="174"/>
      <c r="J10" s="174"/>
      <c r="K10" s="174"/>
      <c r="L10" s="174"/>
      <c r="M10" s="176">
        <f>SUM(H10:L10)</f>
        <v>0</v>
      </c>
      <c r="N10" s="176">
        <f>IF(B10&gt;0,B10,IF(D10&gt;0,D10,F10))-M10</f>
        <v>0</v>
      </c>
      <c r="O10" s="173"/>
    </row>
    <row r="11" customHeight="1" spans="1:28">
      <c r="A11" s="173"/>
      <c r="B11" s="174"/>
      <c r="C11" s="175"/>
      <c r="D11" s="174"/>
      <c r="E11" s="175"/>
      <c r="F11" s="174"/>
      <c r="G11" s="175"/>
      <c r="H11" s="174"/>
      <c r="I11" s="174"/>
      <c r="J11" s="174"/>
      <c r="K11" s="174"/>
      <c r="L11" s="174"/>
      <c r="M11" s="176">
        <f>SUM(H11:L11)</f>
        <v>0</v>
      </c>
      <c r="N11" s="176">
        <f>IF(B11&gt;0,B11,IF(D11&gt;0,D11,F11))-M11</f>
        <v>0</v>
      </c>
      <c r="O11" s="173"/>
    </row>
    <row r="12" customHeight="1" spans="1:28">
      <c r="A12" s="173"/>
      <c r="B12" s="174"/>
      <c r="C12" s="175"/>
      <c r="D12" s="174"/>
      <c r="E12" s="175"/>
      <c r="F12" s="174"/>
      <c r="G12" s="175"/>
      <c r="H12" s="174"/>
      <c r="I12" s="174"/>
      <c r="J12" s="174"/>
      <c r="K12" s="174"/>
      <c r="L12" s="174"/>
      <c r="M12" s="176">
        <f>SUM(H12:L12)</f>
        <v>0</v>
      </c>
      <c r="N12" s="176">
        <f>IF(B12&gt;0,B12,IF(D12&gt;0,D12,F12))-M12</f>
        <v>0</v>
      </c>
      <c r="O12" s="173"/>
    </row>
    <row r="13" customHeight="1" spans="1:28">
      <c r="A13" s="177" t="s">
        <v>153</v>
      </c>
      <c r="B13" s="178">
        <f>SUM(B10:B12)</f>
        <v>0</v>
      </c>
      <c r="C13" s="178"/>
      <c r="D13" s="178">
        <f>SUM(D10:D12)</f>
        <v>0</v>
      </c>
      <c r="E13" s="178"/>
      <c r="F13" s="178">
        <f>SUM(F10:F12)</f>
        <v>0</v>
      </c>
      <c r="G13" s="178"/>
      <c r="H13" s="178">
        <f t="shared" ref="H13:N13" si="0">SUM(H10:H12)</f>
        <v>0</v>
      </c>
      <c r="I13" s="178">
        <f t="shared" si="0"/>
        <v>0</v>
      </c>
      <c r="J13" s="178">
        <f t="shared" si="0"/>
        <v>0</v>
      </c>
      <c r="K13" s="178">
        <f t="shared" si="0"/>
        <v>0</v>
      </c>
      <c r="L13" s="178">
        <f t="shared" si="0"/>
        <v>0</v>
      </c>
      <c r="M13" s="178">
        <f t="shared" si="0"/>
        <v>0</v>
      </c>
      <c r="N13" s="178">
        <f t="shared" si="0"/>
        <v>0</v>
      </c>
      <c r="O13" s="179"/>
    </row>
    <row r="14" s="156" customFormat="1" customHeight="1" spans="1:28">
      <c r="A14" s="159" t="s">
        <v>584</v>
      </c>
    </row>
    <row r="15" s="156" customFormat="1" customHeight="1"/>
    <row r="16" customHeight="1" spans="1:28">
      <c r="A16" s="99" t="s">
        <v>585</v>
      </c>
      <c r="G16" s="101"/>
    </row>
    <row r="17" customHeight="1" spans="1:15">
      <c r="A17" s="17" t="s">
        <v>586</v>
      </c>
      <c r="B17" s="171" t="s">
        <v>587</v>
      </c>
      <c r="C17" s="171"/>
      <c r="D17" s="171"/>
      <c r="E17" s="171"/>
      <c r="F17" s="171"/>
      <c r="G17" s="171" t="s">
        <v>588</v>
      </c>
      <c r="H17" s="171"/>
      <c r="I17" s="180" t="s">
        <v>589</v>
      </c>
      <c r="J17" s="180" t="s">
        <v>590</v>
      </c>
      <c r="K17" s="180" t="s">
        <v>591</v>
      </c>
      <c r="L17" s="17" t="s">
        <v>592</v>
      </c>
      <c r="M17" s="181"/>
      <c r="N17" s="17" t="s">
        <v>593</v>
      </c>
      <c r="O17" s="17" t="s">
        <v>6</v>
      </c>
    </row>
    <row r="18" customHeight="1" spans="1:15">
      <c r="A18" s="123"/>
      <c r="B18" s="17" t="s">
        <v>594</v>
      </c>
      <c r="C18" s="17" t="s">
        <v>595</v>
      </c>
      <c r="D18" s="17" t="s">
        <v>596</v>
      </c>
      <c r="E18" s="17" t="s">
        <v>597</v>
      </c>
      <c r="F18" s="17" t="s">
        <v>598</v>
      </c>
      <c r="G18" s="17" t="s">
        <v>599</v>
      </c>
      <c r="H18" s="17" t="s">
        <v>600</v>
      </c>
      <c r="I18" s="123"/>
      <c r="J18" s="123"/>
      <c r="K18" s="123"/>
      <c r="L18" s="182"/>
      <c r="M18" s="183"/>
      <c r="N18" s="123"/>
      <c r="O18" s="123"/>
    </row>
    <row r="19" customHeight="1" spans="1:15">
      <c r="A19" s="173" t="s">
        <v>601</v>
      </c>
      <c r="B19" s="174"/>
      <c r="C19" s="174"/>
      <c r="D19" s="174"/>
      <c r="E19" s="174"/>
      <c r="F19" s="174"/>
      <c r="G19" s="184">
        <f>F19</f>
        <v>0</v>
      </c>
      <c r="H19" s="185"/>
      <c r="I19" s="185"/>
      <c r="J19" s="185"/>
      <c r="K19" s="185"/>
      <c r="L19" s="20"/>
      <c r="M19" s="186"/>
      <c r="N19" s="187"/>
      <c r="O19" s="188"/>
    </row>
    <row r="20" customHeight="1" spans="1:15">
      <c r="A20" s="173" t="s">
        <v>602</v>
      </c>
      <c r="B20" s="189" t="e">
        <f>1/(1+$K$24)^1</f>
        <v>#DIV/0!</v>
      </c>
      <c r="C20" s="189" t="e">
        <f>1/(1+$K$24)^2</f>
        <v>#DIV/0!</v>
      </c>
      <c r="D20" s="189" t="e">
        <f>1/(1+$K$24)^3</f>
        <v>#DIV/0!</v>
      </c>
      <c r="E20" s="189" t="e">
        <f>1/(1+$K$24)^4</f>
        <v>#DIV/0!</v>
      </c>
      <c r="F20" s="189" t="e">
        <f>1/(1+$K$24)^5</f>
        <v>#DIV/0!</v>
      </c>
      <c r="G20" s="189" t="e">
        <f>(1+H19)/((J24-H19)*(1+K24)^5)</f>
        <v>#DIV/0!</v>
      </c>
      <c r="H20" s="190" t="s">
        <v>603</v>
      </c>
      <c r="I20" s="174"/>
      <c r="J20" s="191"/>
      <c r="K20" s="186"/>
      <c r="L20" s="192"/>
      <c r="M20" s="186"/>
      <c r="N20" s="187"/>
      <c r="O20" s="193"/>
    </row>
    <row r="21" customHeight="1" spans="1:15">
      <c r="A21" s="173" t="s">
        <v>604</v>
      </c>
      <c r="B21" s="176" t="e">
        <f t="shared" ref="B21:G21" si="1">B19*B20</f>
        <v>#DIV/0!</v>
      </c>
      <c r="C21" s="176" t="e">
        <f t="shared" si="1"/>
        <v>#DIV/0!</v>
      </c>
      <c r="D21" s="176" t="e">
        <f t="shared" si="1"/>
        <v>#DIV/0!</v>
      </c>
      <c r="E21" s="176" t="e">
        <f t="shared" si="1"/>
        <v>#DIV/0!</v>
      </c>
      <c r="F21" s="176" t="e">
        <f t="shared" si="1"/>
        <v>#DIV/0!</v>
      </c>
      <c r="G21" s="176" t="e">
        <f t="shared" si="1"/>
        <v>#DIV/0!</v>
      </c>
      <c r="H21" s="190" t="s">
        <v>605</v>
      </c>
      <c r="I21" s="174"/>
      <c r="J21" s="191"/>
      <c r="K21" s="186"/>
      <c r="L21" s="192"/>
      <c r="M21" s="186"/>
      <c r="N21" s="184" t="e">
        <f>SUM(B21:G21)</f>
        <v>#DIV/0!</v>
      </c>
      <c r="O21" s="123"/>
    </row>
    <row r="22" customHeight="1" spans="1:15">
      <c r="A22" s="17" t="s">
        <v>366</v>
      </c>
      <c r="B22" s="17" t="s">
        <v>606</v>
      </c>
      <c r="C22" s="17" t="s">
        <v>607</v>
      </c>
      <c r="D22" s="17" t="s">
        <v>608</v>
      </c>
      <c r="E22" s="17" t="s">
        <v>609</v>
      </c>
      <c r="F22" s="17" t="s">
        <v>610</v>
      </c>
      <c r="G22" s="17" t="s">
        <v>611</v>
      </c>
      <c r="H22" s="17" t="s">
        <v>612</v>
      </c>
      <c r="I22" s="17" t="s">
        <v>613</v>
      </c>
      <c r="J22" s="17" t="s">
        <v>614</v>
      </c>
      <c r="K22" s="17" t="s">
        <v>615</v>
      </c>
      <c r="L22" s="117" t="s">
        <v>616</v>
      </c>
      <c r="M22" s="137"/>
      <c r="N22" s="17" t="s">
        <v>544</v>
      </c>
      <c r="O22" s="17" t="s">
        <v>6</v>
      </c>
    </row>
    <row r="23" customHeight="1" spans="1:15">
      <c r="A23" s="123"/>
      <c r="B23" s="17" t="s">
        <v>368</v>
      </c>
      <c r="C23" s="123"/>
      <c r="D23" s="123"/>
      <c r="E23" s="123"/>
      <c r="F23" s="123"/>
      <c r="G23" s="123"/>
      <c r="H23" s="123"/>
      <c r="I23" s="123"/>
      <c r="J23" s="123"/>
      <c r="K23" s="123"/>
      <c r="L23" s="17" t="s">
        <v>617</v>
      </c>
      <c r="M23" s="194" t="s">
        <v>618</v>
      </c>
      <c r="N23" s="123"/>
      <c r="O23" s="123"/>
    </row>
    <row r="24" customHeight="1" spans="1:15">
      <c r="A24" s="173" t="s">
        <v>619</v>
      </c>
      <c r="B24" s="195"/>
      <c r="C24" s="174"/>
      <c r="D24" s="174"/>
      <c r="E24" s="191"/>
      <c r="F24" s="191"/>
      <c r="G24" s="175"/>
      <c r="H24" s="191"/>
      <c r="I24" s="196">
        <f>F24+G24*(H24-F24)</f>
        <v>0</v>
      </c>
      <c r="J24" s="196" t="e">
        <f>((C24*E24*(1-B24)+D24*I24))/(C24+D24)</f>
        <v>#DIV/0!</v>
      </c>
      <c r="K24" s="196" t="e">
        <f>J24/(1-(B24+L24))</f>
        <v>#DIV/0!</v>
      </c>
      <c r="L24" s="191"/>
      <c r="M24" s="23"/>
      <c r="N24" s="176" t="e">
        <f>MAX(N13,N21)</f>
        <v>#DIV/0!</v>
      </c>
      <c r="O24" s="195"/>
    </row>
    <row r="25" s="156" customFormat="1" customHeight="1" spans="1:15">
      <c r="A25" s="159" t="s">
        <v>584</v>
      </c>
    </row>
    <row r="26" s="156" customFormat="1" customHeight="1"/>
    <row r="27" s="156" customFormat="1" customHeight="1" spans="1:15">
      <c r="A27" s="99" t="s">
        <v>620</v>
      </c>
    </row>
    <row r="28" s="156" customFormat="1" customHeight="1" spans="1:15">
      <c r="A28" s="197"/>
      <c r="B28" s="198" t="e">
        <f>N24</f>
        <v>#DIV/0!</v>
      </c>
      <c r="C28" s="156" t="s">
        <v>621</v>
      </c>
    </row>
    <row r="29" s="156" customFormat="1" customHeight="1" spans="1:15">
      <c r="A29" s="159" t="s">
        <v>212</v>
      </c>
      <c r="B29" s="199"/>
    </row>
    <row r="30" s="156" customFormat="1" customHeight="1" spans="1:15">
      <c r="A30" s="197"/>
      <c r="B30" s="199"/>
    </row>
    <row r="31" s="156" customFormat="1" customHeight="1" spans="1:15">
      <c r="A31" s="197"/>
      <c r="B31" s="199"/>
    </row>
    <row r="32" s="156" customFormat="1" customHeight="1" spans="1:15">
      <c r="A32" s="159" t="s">
        <v>213</v>
      </c>
      <c r="B32" s="199"/>
    </row>
    <row r="33" s="156" customFormat="1" customHeight="1" spans="1:2">
      <c r="A33" s="197"/>
      <c r="B33" s="199"/>
    </row>
    <row r="34" s="156" customFormat="1" customHeight="1" spans="1:2">
      <c r="A34" s="197"/>
      <c r="B34" s="199"/>
    </row>
    <row r="35" s="156" customFormat="1" customHeight="1"/>
    <row r="36" s="156" customFormat="1" customHeight="1"/>
    <row r="37" s="156" customFormat="1" customHeight="1"/>
    <row r="38" s="156" customFormat="1" customHeight="1" spans="1:2">
      <c r="A38" s="200" t="s">
        <v>214</v>
      </c>
    </row>
    <row r="39" s="156" customFormat="1" customHeight="1" spans="1:2">
      <c r="A39" s="201" t="s">
        <v>622</v>
      </c>
    </row>
    <row r="40" s="156" customFormat="1" customHeight="1" spans="1:2">
      <c r="A40" s="201"/>
    </row>
    <row r="41" s="156" customFormat="1" customHeight="1" spans="1:2">
      <c r="A41" s="201" t="s">
        <v>623</v>
      </c>
    </row>
    <row r="42" s="156" customFormat="1" customHeight="1" spans="1:2">
      <c r="A42" s="201" t="s">
        <v>624</v>
      </c>
    </row>
    <row r="43" s="156" customFormat="1" customHeight="1" spans="1:2">
      <c r="A43" s="201" t="s">
        <v>625</v>
      </c>
    </row>
    <row r="44" s="156" customFormat="1" customHeight="1" spans="1:2">
      <c r="A44" s="201" t="s">
        <v>626</v>
      </c>
    </row>
    <row r="45" s="156" customFormat="1" customHeight="1" spans="1:2">
      <c r="A45" s="201" t="s">
        <v>627</v>
      </c>
    </row>
    <row r="46" s="156" customFormat="1" customHeight="1"/>
    <row r="47" s="156" customFormat="1" customHeight="1" spans="1:2">
      <c r="A47" s="201" t="s">
        <v>628</v>
      </c>
    </row>
    <row r="48" s="156" customFormat="1" customHeight="1" spans="1:2">
      <c r="A48" s="97"/>
    </row>
    <row r="49" s="156" customFormat="1" customHeight="1" spans="1:5">
      <c r="A49" s="201"/>
    </row>
    <row r="50" s="156" customFormat="1" customHeight="1" spans="1:5">
      <c r="A50" s="201"/>
    </row>
    <row r="51" s="156" customFormat="1" customHeight="1" spans="1:5">
      <c r="A51" s="201"/>
    </row>
    <row r="52" s="156" customFormat="1" customHeight="1" spans="1:5">
      <c r="A52" s="201" t="s">
        <v>629</v>
      </c>
    </row>
    <row r="53" s="156" customFormat="1" customHeight="1" spans="1:5">
      <c r="A53" s="201" t="s">
        <v>630</v>
      </c>
    </row>
    <row r="54" s="156" customFormat="1" customHeight="1" spans="1:5">
      <c r="A54" s="201" t="s">
        <v>631</v>
      </c>
    </row>
    <row r="55" s="156" customFormat="1" customHeight="1" spans="1:5">
      <c r="A55" s="201" t="s">
        <v>632</v>
      </c>
    </row>
    <row r="56" s="156" customFormat="1" customHeight="1" spans="1:5">
      <c r="A56" s="201" t="s">
        <v>633</v>
      </c>
    </row>
    <row r="57" s="156" customFormat="1" customHeight="1" spans="1:5">
      <c r="A57" s="201" t="s">
        <v>634</v>
      </c>
    </row>
    <row r="58" s="156" customFormat="1" customHeight="1" spans="1:5">
      <c r="A58" s="201" t="s">
        <v>635</v>
      </c>
    </row>
    <row r="59" s="156" customFormat="1" customHeight="1" spans="1:5">
      <c r="A59" s="202" t="s">
        <v>636</v>
      </c>
    </row>
    <row r="61" s="156" customFormat="1" customHeight="1" spans="1:5">
      <c r="A61" s="201" t="s">
        <v>637</v>
      </c>
    </row>
    <row r="62" s="156" customFormat="1" customHeight="1" spans="1:5">
      <c r="A62" s="201" t="s">
        <v>638</v>
      </c>
    </row>
    <row r="63" s="156" customFormat="1" customHeight="1" spans="1:5">
      <c r="A63" s="201" t="s">
        <v>639</v>
      </c>
    </row>
    <row r="64" s="156" customFormat="1" customHeight="1" spans="1:5">
      <c r="E64" s="97"/>
    </row>
    <row r="65" s="156" customFormat="1" customHeight="1"/>
    <row r="66" s="156" customFormat="1" customHeight="1"/>
    <row r="67" s="156" customFormat="1" customHeight="1" spans="1:1">
      <c r="A67" s="156" t="s">
        <v>640</v>
      </c>
    </row>
    <row r="68" s="156" customFormat="1" customHeight="1" spans="1:1">
      <c r="A68" s="156" t="s">
        <v>641</v>
      </c>
    </row>
    <row r="69" s="156" customFormat="1" customHeight="1" spans="1:1">
      <c r="A69" s="99" t="s">
        <v>642</v>
      </c>
    </row>
    <row r="70" s="156" customFormat="1" customHeight="1" spans="1:1">
      <c r="A70" s="3" t="s">
        <v>643</v>
      </c>
    </row>
    <row r="71" s="156" customFormat="1" customHeight="1" spans="1:1">
      <c r="A71" s="3" t="s">
        <v>644</v>
      </c>
    </row>
    <row r="72" s="156" customFormat="1" customHeight="1" spans="1:1">
      <c r="A72" s="3" t="s">
        <v>645</v>
      </c>
    </row>
    <row r="73" customHeight="1" spans="1:1">
      <c r="A73" s="99" t="s">
        <v>646</v>
      </c>
    </row>
    <row r="74" customHeight="1" spans="1:1">
      <c r="A74" s="3" t="s">
        <v>647</v>
      </c>
    </row>
    <row r="75" customHeight="1" spans="1:1">
      <c r="A75" s="3" t="s">
        <v>648</v>
      </c>
    </row>
    <row r="76" customHeight="1" spans="1:1">
      <c r="A76" s="99" t="s">
        <v>649</v>
      </c>
    </row>
    <row r="77" customHeight="1" spans="1:1">
      <c r="A77" s="3" t="s">
        <v>650</v>
      </c>
    </row>
    <row r="78" customHeight="1" spans="1:1">
      <c r="A78" s="3" t="s">
        <v>651</v>
      </c>
    </row>
    <row r="79" customHeight="1" spans="1:1">
      <c r="A79" s="3" t="s">
        <v>652</v>
      </c>
    </row>
    <row r="80" customHeight="1" spans="1:1">
      <c r="A80" s="99" t="s">
        <v>610</v>
      </c>
    </row>
    <row r="81" customHeight="1" spans="1:1">
      <c r="A81" s="3" t="s">
        <v>653</v>
      </c>
    </row>
    <row r="82" customHeight="1" spans="1:1">
      <c r="A82" s="99" t="s">
        <v>612</v>
      </c>
    </row>
    <row r="83" customHeight="1" spans="1:1">
      <c r="A83" s="3" t="s">
        <v>654</v>
      </c>
    </row>
    <row r="84" customHeight="1" spans="1:1">
      <c r="A84" s="3" t="s">
        <v>655</v>
      </c>
    </row>
    <row r="85" customHeight="1" spans="1:1">
      <c r="A85" s="99" t="s">
        <v>611</v>
      </c>
    </row>
    <row r="86" customHeight="1" spans="1:1">
      <c r="A86" s="3" t="s">
        <v>656</v>
      </c>
    </row>
    <row r="87" customHeight="1" spans="1:1">
      <c r="A87" s="3" t="s">
        <v>657</v>
      </c>
    </row>
    <row r="88" customHeight="1" spans="1:1">
      <c r="A88" s="3" t="s">
        <v>658</v>
      </c>
    </row>
    <row r="89" s="156" customFormat="1" customHeight="1"/>
    <row r="90" s="156" customFormat="1" customHeight="1" spans="1:1">
      <c r="A90" s="201" t="s">
        <v>659</v>
      </c>
    </row>
  </sheetData>
  <mergeCells count="26">
    <mergeCell ref="A1:O1"/>
    <mergeCell ref="A2:O2"/>
    <mergeCell ref="L22:M22"/>
    <mergeCell ref="A8:A9"/>
    <mergeCell ref="A17:A18"/>
    <mergeCell ref="A22:A23"/>
    <mergeCell ref="C22:C23"/>
    <mergeCell ref="D22:D23"/>
    <mergeCell ref="E22:E23"/>
    <mergeCell ref="F22:F23"/>
    <mergeCell ref="G22:G23"/>
    <mergeCell ref="H22:H23"/>
    <mergeCell ref="I17:I18"/>
    <mergeCell ref="I22:I23"/>
    <mergeCell ref="J17:J18"/>
    <mergeCell ref="J22:J23"/>
    <mergeCell ref="K17:K18"/>
    <mergeCell ref="K22:K23"/>
    <mergeCell ref="N8:N9"/>
    <mergeCell ref="N17:N18"/>
    <mergeCell ref="N22:N23"/>
    <mergeCell ref="O8:O9"/>
    <mergeCell ref="O17:O18"/>
    <mergeCell ref="O19:O21"/>
    <mergeCell ref="O22:O23"/>
    <mergeCell ref="L17:M18"/>
  </mergeCells>
  <dataValidations count="2">
    <dataValidation allowBlank="1" showInputMessage="1" showErrorMessage="1" prompt="可使用万德（Wind）的WACC计算器取数。" sqref="E24:F24 H24 JA24:JB24 JD24 SW24:SX24 SZ24 ACS24:ACT24 ACV24 AMO24:AMP24 AMR24 AWK24:AWL24 AWN24 BGG24:BGH24 BGJ24 BQC24:BQD24 BQF24 BZY24:BZZ24 CAB24 CJU24:CJV24 CJX24 CTQ24:CTR24 CTT24 DDM24:DDN24 DDP24 DNI24:DNJ24 DNL24 DXE24:DXF24 DXH24 EHA24:EHB24 EHD24 EQW24:EQX24 EQZ24 FAS24:FAT24 FAV24 FKO24:FKP24 FKR24 FUK24:FUL24 FUN24 GEG24:GEH24 GEJ24 GOC24:GOD24 GOF24 GXY24:GXZ24 GYB24 HHU24:HHV24 HHX24 HRQ24:HRR24 HRT24 IBM24:IBN24 IBP24 ILI24:ILJ24 ILL24 IVE24:IVF24 IVH24 JFA24:JFB24 JFD24 JOW24:JOX24 JOZ24 JYS24:JYT24 JYV24 KIO24:KIP24 KIR24 KSK24:KSL24 KSN24 LCG24:LCH24 LCJ24 LMC24:LMD24 LMF24 LVY24:LVZ24 LWB24 MFU24:MFV24 MFX24 MPQ24:MPR24 MPT24 MZM24:MZN24 MZP24 NJI24:NJJ24 NJL24 NTE24:NTF24 NTH24 ODA24:ODB24 ODD24 OMW24:OMX24 OMZ24 OWS24:OWT24 OWV24 PGO24:PGP24 PGR24 PQK24:PQL24 PQN24 QAG24:QAH24 QAJ24 QKC24:QKD24 QKF24 QTY24:QTZ24 QUB24 RDU24:RDV24 RDX24 RNQ24:RNR24 RNT24 RXM24:RXN24 RXP24 SHI24:SHJ24 SHL24 SRE24:SRF24 SRH24 TBA24:TBB24 TBD24 TKW24:TKX24 TKZ24 TUS24:TUT24 TUV24 UEO24:UEP24 UER24 UOK24:UOL24 UON24 UYG24:UYH24 UYJ24 VIC24:VID24 VIF24 VRY24:VRZ24 VSB24 WBU24:WBV24 WBX24 WLQ24:WLR24 WLT24 WVM24:WVN24 WVP24"/>
    <dataValidation allowBlank="1" showInputMessage="1" showErrorMessage="1" prompt="可使用万德（Wind）的BETA计算器计算β系数。" sqref="G24 JC24 SY24 ACU24 AMQ24 AWM24 BGI24 BQE24 CAA24 CJW24 CTS24 DDO24 DNK24 DXG24 EHC24 EQY24 FAU24 FKQ24 FUM24 GEI24 GOE24 GYA24 HHW24 HRS24 IBO24 ILK24 IVG24 JFC24 JOY24 JYU24 KIQ24 KSM24 LCI24 LME24 LWA24 MFW24 MPS24 MZO24 NJK24 NTG24 ODC24 OMY24 OWU24 PGQ24 PQM24 QAI24 QKE24 QUA24 RDW24 RNS24 RXO24 SHK24 SRG24 TBC24 TKY24 TUU24 UEQ24 UOM24 UYI24 VIE24 VSA24 WBW24 WLS24 WVO24"/>
  </dataValidations>
  <hyperlinks>
    <hyperlink ref="O3" location="底稿目录!A1" display="H8-11"/>
  </hyperlinks>
  <printOptions horizontalCentered="1"/>
  <pageMargins left="0.433070866141732" right="0.393700787401575" top="0.393700787401575" bottom="0.393700787401575" header="0.31496062992126" footer="0.31496062992126"/>
  <pageSetup paperSize="9" scale="75" fitToHeight="2" orientation="landscape" blackAndWhite="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AB39"/>
  <sheetViews>
    <sheetView view="pageBreakPreview" zoomScaleNormal="100" workbookViewId="0">
      <selection activeCell="A1" sqref="A1:V1"/>
    </sheetView>
  </sheetViews>
  <sheetFormatPr defaultColWidth="9" defaultRowHeight="19.95" customHeight="1"/>
  <cols>
    <col min="1" max="1" width="8.1" style="3" customWidth="1"/>
    <col min="2" max="4" width="12.4" style="3" customWidth="1"/>
    <col min="5" max="8" width="8.1" style="3" customWidth="1"/>
    <col min="9" max="9" width="8.6" style="3" customWidth="1"/>
    <col min="10" max="12" width="8.7" style="3" customWidth="1"/>
    <col min="13" max="13" width="8.9" style="3" customWidth="1"/>
    <col min="14" max="14" width="16.1" style="100" customWidth="1"/>
    <col min="15" max="19" width="4.4" style="100" customWidth="1"/>
    <col min="20" max="20" width="9.5" style="100" customWidth="1"/>
    <col min="21" max="21" width="6.3" style="100" customWidth="1"/>
    <col min="22" max="22" width="9.5" style="3" customWidth="1"/>
    <col min="23" max="16384" width="9" style="3" customWidth="1"/>
  </cols>
  <sheetData>
    <row r="1" s="94" customFormat="1" customHeight="1" spans="1:28">
      <c r="A1" s="4" t="s">
        <v>58</v>
      </c>
      <c r="B1"/>
      <c r="C1"/>
      <c r="D1"/>
      <c r="E1"/>
      <c r="F1"/>
      <c r="G1"/>
      <c r="H1"/>
      <c r="I1"/>
      <c r="J1"/>
      <c r="K1"/>
      <c r="L1"/>
      <c r="M1"/>
      <c r="N1"/>
      <c r="O1"/>
      <c r="P1"/>
      <c r="Q1"/>
      <c r="R1"/>
      <c r="S1"/>
      <c r="T1"/>
      <c r="U1"/>
      <c r="V1"/>
    </row>
    <row r="2" s="95" customFormat="1" customHeight="1" spans="1:28">
      <c r="A2" s="5" t="s">
        <v>660</v>
      </c>
      <c r="B2"/>
      <c r="C2"/>
      <c r="D2"/>
      <c r="E2"/>
      <c r="F2"/>
      <c r="G2"/>
      <c r="H2"/>
      <c r="I2"/>
      <c r="J2"/>
      <c r="K2"/>
      <c r="L2"/>
      <c r="M2"/>
      <c r="N2"/>
      <c r="O2"/>
      <c r="P2"/>
      <c r="Q2"/>
      <c r="R2"/>
      <c r="S2"/>
      <c r="T2"/>
      <c r="U2"/>
      <c r="V2"/>
    </row>
    <row r="3" customHeight="1" spans="1:28">
      <c r="A3" s="3" t="str">
        <f>底稿目录!A2</f>
        <v>被审计单位：</v>
      </c>
      <c r="B3" s="6"/>
      <c r="F3" s="3" t="str">
        <f>底稿目录!A4</f>
        <v>编制人：</v>
      </c>
      <c r="K3" s="3" t="str">
        <f>底稿目录!A6</f>
        <v>编制日期：</v>
      </c>
      <c r="L3" s="101"/>
      <c r="M3" s="101"/>
      <c r="N3" s="102"/>
      <c r="O3" s="102"/>
      <c r="P3" s="102"/>
      <c r="Q3" s="102"/>
      <c r="R3" s="102"/>
      <c r="U3" s="7" t="s">
        <v>59</v>
      </c>
      <c r="V3" s="8" t="s">
        <v>54</v>
      </c>
    </row>
    <row r="4" customHeight="1" spans="1:28">
      <c r="A4" s="3" t="str">
        <f>底稿目录!A3</f>
        <v>截止日：202X年12月31日</v>
      </c>
      <c r="B4" s="6"/>
      <c r="F4" s="3" t="str">
        <f>底稿目录!A5</f>
        <v>复核人：</v>
      </c>
      <c r="K4" s="3" t="str">
        <f>底稿目录!A7</f>
        <v>复核日期：</v>
      </c>
      <c r="L4" s="101"/>
      <c r="M4" s="101"/>
      <c r="N4" s="102"/>
      <c r="O4" s="102"/>
      <c r="P4" s="102"/>
      <c r="Q4" s="102"/>
      <c r="R4" s="102"/>
      <c r="U4" s="7" t="s">
        <v>60</v>
      </c>
      <c r="V4" s="9"/>
    </row>
    <row r="5" s="96" customFormat="1" ht="33.6" customHeight="1" spans="1:28">
      <c r="A5" s="103" t="s">
        <v>661</v>
      </c>
      <c r="W5" s="104"/>
      <c r="X5" s="104"/>
      <c r="Y5" s="104"/>
      <c r="Z5" s="104"/>
      <c r="AA5" s="104"/>
      <c r="AB5" s="104"/>
    </row>
    <row r="6" s="96" customFormat="1" customHeight="1" spans="1:28">
      <c r="A6" s="105" t="s">
        <v>662</v>
      </c>
      <c r="B6" s="105"/>
      <c r="C6" s="106"/>
      <c r="D6" s="106"/>
      <c r="E6" s="106"/>
      <c r="F6" s="106"/>
      <c r="G6" s="106"/>
      <c r="H6" s="106"/>
      <c r="I6" s="106"/>
      <c r="J6" s="106"/>
      <c r="K6" s="106"/>
      <c r="L6" s="106"/>
      <c r="M6" s="106"/>
      <c r="N6" s="107"/>
      <c r="O6" s="107"/>
      <c r="P6" s="107"/>
      <c r="Q6" s="107"/>
      <c r="R6" s="107"/>
      <c r="S6" s="107"/>
      <c r="T6" s="107"/>
      <c r="U6" s="107"/>
    </row>
    <row r="7" s="97" customFormat="1" customHeight="1" spans="1:28">
      <c r="A7" s="108" t="s">
        <v>663</v>
      </c>
      <c r="B7" s="109" t="s">
        <v>664</v>
      </c>
      <c r="C7" s="106"/>
      <c r="D7" s="106"/>
      <c r="E7" s="106"/>
      <c r="F7" s="108"/>
      <c r="G7" s="109"/>
      <c r="H7" s="106"/>
      <c r="I7" s="108" t="s">
        <v>665</v>
      </c>
      <c r="J7" s="109" t="s">
        <v>666</v>
      </c>
      <c r="K7" s="106"/>
      <c r="L7" s="106"/>
      <c r="M7" s="106"/>
    </row>
    <row r="8" s="97" customFormat="1" customHeight="1" spans="1:28">
      <c r="A8" s="108" t="s">
        <v>667</v>
      </c>
      <c r="B8" s="109" t="s">
        <v>668</v>
      </c>
      <c r="C8" s="106"/>
      <c r="D8" s="106"/>
      <c r="E8" s="106"/>
      <c r="F8" s="108"/>
      <c r="G8" s="109"/>
      <c r="H8" s="106"/>
      <c r="I8" s="108" t="s">
        <v>669</v>
      </c>
      <c r="J8" s="109"/>
      <c r="K8" s="109" t="s">
        <v>670</v>
      </c>
      <c r="L8" s="109" t="s">
        <v>671</v>
      </c>
      <c r="M8" s="106"/>
      <c r="N8" s="110"/>
      <c r="O8" s="110"/>
      <c r="P8" s="110"/>
      <c r="Q8" s="110"/>
      <c r="R8" s="110"/>
    </row>
    <row r="9" s="97" customFormat="1" customHeight="1" spans="1:28">
      <c r="A9" s="108" t="s">
        <v>672</v>
      </c>
      <c r="B9" s="111" t="s">
        <v>673</v>
      </c>
      <c r="C9" s="106"/>
      <c r="D9" s="106"/>
      <c r="E9" s="106"/>
      <c r="F9" s="108"/>
      <c r="G9" s="109"/>
      <c r="H9" s="106"/>
      <c r="I9" s="108" t="s">
        <v>674</v>
      </c>
      <c r="J9" s="109" t="s">
        <v>675</v>
      </c>
      <c r="K9" s="106"/>
      <c r="L9" s="106"/>
      <c r="M9" s="106"/>
      <c r="N9" s="110"/>
      <c r="O9" s="110"/>
      <c r="P9" s="110"/>
      <c r="Q9" s="110"/>
      <c r="R9" s="110"/>
    </row>
    <row r="10" s="96" customFormat="1" customHeight="1" spans="1:28">
      <c r="A10" s="112" t="s">
        <v>676</v>
      </c>
      <c r="B10" s="113"/>
      <c r="C10" s="113"/>
      <c r="D10" s="113"/>
      <c r="E10" s="113"/>
      <c r="F10" s="113"/>
      <c r="G10" s="113"/>
      <c r="H10" s="113"/>
      <c r="I10" s="114"/>
      <c r="J10" s="115"/>
      <c r="K10" s="115"/>
      <c r="L10" s="115"/>
      <c r="M10" s="115"/>
      <c r="N10" s="115"/>
      <c r="O10" s="115"/>
      <c r="P10" s="115"/>
      <c r="Q10" s="115"/>
      <c r="R10" s="115"/>
      <c r="S10" s="115"/>
      <c r="T10" s="115"/>
      <c r="U10" s="115"/>
      <c r="V10" s="115"/>
    </row>
    <row r="11" s="96" customFormat="1" customHeight="1" spans="1:28">
      <c r="A11" s="116" t="s">
        <v>677</v>
      </c>
      <c r="B11" s="113"/>
      <c r="C11" s="113"/>
      <c r="D11" s="113"/>
      <c r="E11" s="113"/>
      <c r="F11" s="113"/>
      <c r="G11" s="113"/>
      <c r="H11" s="113"/>
      <c r="I11" s="114"/>
      <c r="J11" s="115"/>
      <c r="K11" s="115"/>
      <c r="L11" s="115"/>
      <c r="M11" s="115"/>
      <c r="N11" s="115"/>
      <c r="O11" s="115"/>
      <c r="P11" s="115"/>
      <c r="Q11" s="115"/>
      <c r="R11" s="115"/>
      <c r="S11" s="115"/>
      <c r="T11" s="115"/>
      <c r="U11" s="115"/>
      <c r="V11" s="115"/>
    </row>
    <row r="12" s="98" customFormat="1" customHeight="1" spans="1:28">
      <c r="A12" s="117" t="s">
        <v>3</v>
      </c>
      <c r="B12" s="17" t="s">
        <v>194</v>
      </c>
      <c r="C12" s="17" t="s">
        <v>196</v>
      </c>
      <c r="D12" s="17" t="s">
        <v>195</v>
      </c>
      <c r="E12" s="17" t="s">
        <v>678</v>
      </c>
      <c r="F12" s="17" t="s">
        <v>679</v>
      </c>
      <c r="G12" s="17" t="s">
        <v>680</v>
      </c>
      <c r="H12" s="17" t="s">
        <v>681</v>
      </c>
      <c r="I12" s="118" t="s">
        <v>682</v>
      </c>
      <c r="J12" s="119"/>
      <c r="K12" s="119"/>
      <c r="L12" s="119"/>
      <c r="M12" s="119"/>
      <c r="N12" s="120" t="s">
        <v>683</v>
      </c>
      <c r="O12" s="118" t="s">
        <v>684</v>
      </c>
      <c r="P12" s="119"/>
      <c r="Q12" s="119"/>
      <c r="R12" s="119"/>
      <c r="S12" s="119"/>
      <c r="T12" s="121" t="s">
        <v>5</v>
      </c>
      <c r="U12" s="121" t="s">
        <v>685</v>
      </c>
      <c r="V12" s="122" t="s">
        <v>686</v>
      </c>
    </row>
    <row r="13" s="98" customFormat="1" ht="31.2" customHeight="1" spans="1:28">
      <c r="A13" s="123"/>
      <c r="B13" s="123"/>
      <c r="C13" s="123"/>
      <c r="D13" s="123"/>
      <c r="E13" s="123"/>
      <c r="F13" s="123"/>
      <c r="G13" s="123"/>
      <c r="H13" s="123"/>
      <c r="I13" s="124" t="s">
        <v>687</v>
      </c>
      <c r="J13" s="17" t="s">
        <v>496</v>
      </c>
      <c r="K13" s="17" t="s">
        <v>198</v>
      </c>
      <c r="L13" s="17" t="s">
        <v>199</v>
      </c>
      <c r="M13" s="17" t="s">
        <v>688</v>
      </c>
      <c r="N13" s="123"/>
      <c r="O13" s="117">
        <v>1</v>
      </c>
      <c r="P13" s="117">
        <v>2</v>
      </c>
      <c r="Q13" s="117">
        <v>3</v>
      </c>
      <c r="R13" s="117">
        <v>4</v>
      </c>
      <c r="S13" s="117">
        <v>5</v>
      </c>
      <c r="T13" s="125"/>
      <c r="U13" s="125"/>
      <c r="V13" s="123"/>
      <c r="W13" s="126"/>
    </row>
    <row r="14" customHeight="1" spans="1:28">
      <c r="A14" s="24">
        <v>1</v>
      </c>
      <c r="B14" s="127"/>
      <c r="C14" s="128"/>
      <c r="D14" s="129"/>
      <c r="E14" s="130"/>
      <c r="F14" s="131"/>
      <c r="G14" s="128"/>
      <c r="H14" s="129"/>
      <c r="I14" s="132"/>
      <c r="J14" s="132"/>
      <c r="K14" s="132"/>
      <c r="L14" s="132"/>
      <c r="M14" s="133">
        <f t="shared" ref="M14:M29" si="0">J14-K14-L14</f>
        <v>0</v>
      </c>
      <c r="N14" s="134"/>
      <c r="O14" s="23"/>
      <c r="P14" s="23"/>
      <c r="Q14" s="23"/>
      <c r="R14" s="23"/>
      <c r="S14" s="23"/>
      <c r="T14" s="134"/>
      <c r="U14" s="135"/>
      <c r="V14" s="135"/>
    </row>
    <row r="15" customHeight="1" spans="1:28">
      <c r="A15" s="24">
        <v>2</v>
      </c>
      <c r="B15" s="127"/>
      <c r="C15" s="128"/>
      <c r="D15" s="129"/>
      <c r="E15" s="130"/>
      <c r="F15" s="131"/>
      <c r="G15" s="128"/>
      <c r="H15" s="129"/>
      <c r="I15" s="132"/>
      <c r="J15" s="132"/>
      <c r="K15" s="132"/>
      <c r="L15" s="132"/>
      <c r="M15" s="133">
        <f t="shared" si="0"/>
        <v>0</v>
      </c>
      <c r="N15" s="134"/>
      <c r="O15" s="23"/>
      <c r="P15" s="23"/>
      <c r="Q15" s="23"/>
      <c r="R15" s="23"/>
      <c r="S15" s="23"/>
      <c r="T15" s="134"/>
      <c r="U15" s="135"/>
      <c r="V15" s="135"/>
    </row>
    <row r="16" customHeight="1" spans="1:28">
      <c r="A16" s="24">
        <v>3</v>
      </c>
      <c r="B16" s="127"/>
      <c r="C16" s="128"/>
      <c r="D16" s="129"/>
      <c r="E16" s="130"/>
      <c r="F16" s="131"/>
      <c r="G16" s="128"/>
      <c r="H16" s="129"/>
      <c r="I16" s="132"/>
      <c r="J16" s="132"/>
      <c r="K16" s="132"/>
      <c r="L16" s="132"/>
      <c r="M16" s="133">
        <f t="shared" si="0"/>
        <v>0</v>
      </c>
      <c r="N16" s="134"/>
      <c r="O16" s="23"/>
      <c r="P16" s="23"/>
      <c r="Q16" s="23"/>
      <c r="R16" s="23"/>
      <c r="S16" s="23"/>
      <c r="T16" s="134"/>
      <c r="U16" s="135"/>
      <c r="V16" s="135"/>
    </row>
    <row r="17" customHeight="1" spans="1:22">
      <c r="A17" s="24">
        <v>4</v>
      </c>
      <c r="B17" s="127"/>
      <c r="C17" s="128"/>
      <c r="D17" s="129"/>
      <c r="E17" s="130"/>
      <c r="F17" s="131"/>
      <c r="G17" s="128"/>
      <c r="H17" s="129"/>
      <c r="I17" s="132"/>
      <c r="J17" s="132"/>
      <c r="K17" s="132"/>
      <c r="L17" s="132"/>
      <c r="M17" s="133">
        <f t="shared" si="0"/>
        <v>0</v>
      </c>
      <c r="N17" s="134"/>
      <c r="O17" s="23"/>
      <c r="P17" s="23"/>
      <c r="Q17" s="23"/>
      <c r="R17" s="23"/>
      <c r="S17" s="23"/>
      <c r="T17" s="134"/>
      <c r="U17" s="135"/>
      <c r="V17" s="135"/>
    </row>
    <row r="18" customHeight="1" spans="1:22">
      <c r="A18" s="24">
        <v>5</v>
      </c>
      <c r="B18" s="127"/>
      <c r="C18" s="128"/>
      <c r="D18" s="129"/>
      <c r="E18" s="130"/>
      <c r="F18" s="131"/>
      <c r="G18" s="128"/>
      <c r="H18" s="129"/>
      <c r="I18" s="132"/>
      <c r="J18" s="132"/>
      <c r="K18" s="132"/>
      <c r="L18" s="132"/>
      <c r="M18" s="133">
        <f t="shared" si="0"/>
        <v>0</v>
      </c>
      <c r="N18" s="134"/>
      <c r="O18" s="23"/>
      <c r="P18" s="23"/>
      <c r="Q18" s="23"/>
      <c r="R18" s="23"/>
      <c r="S18" s="23"/>
      <c r="T18" s="134"/>
      <c r="U18" s="135"/>
      <c r="V18" s="135"/>
    </row>
    <row r="19" customHeight="1" spans="1:22">
      <c r="A19" s="24">
        <v>6</v>
      </c>
      <c r="B19" s="127"/>
      <c r="C19" s="128"/>
      <c r="D19" s="129"/>
      <c r="E19" s="130"/>
      <c r="F19" s="131"/>
      <c r="G19" s="128"/>
      <c r="H19" s="129"/>
      <c r="I19" s="132"/>
      <c r="J19" s="132"/>
      <c r="K19" s="132"/>
      <c r="L19" s="132"/>
      <c r="M19" s="133">
        <f t="shared" si="0"/>
        <v>0</v>
      </c>
      <c r="N19" s="134"/>
      <c r="O19" s="23"/>
      <c r="P19" s="23"/>
      <c r="Q19" s="23"/>
      <c r="R19" s="23"/>
      <c r="S19" s="23"/>
      <c r="T19" s="134"/>
      <c r="U19" s="135"/>
      <c r="V19" s="135"/>
    </row>
    <row r="20" customHeight="1" spans="1:22">
      <c r="A20" s="24">
        <v>7</v>
      </c>
      <c r="B20" s="127"/>
      <c r="C20" s="128"/>
      <c r="D20" s="129"/>
      <c r="E20" s="130"/>
      <c r="F20" s="131"/>
      <c r="G20" s="128"/>
      <c r="H20" s="129"/>
      <c r="I20" s="132"/>
      <c r="J20" s="132"/>
      <c r="K20" s="132"/>
      <c r="L20" s="132"/>
      <c r="M20" s="133">
        <f t="shared" si="0"/>
        <v>0</v>
      </c>
      <c r="N20" s="134"/>
      <c r="O20" s="23"/>
      <c r="P20" s="23"/>
      <c r="Q20" s="23"/>
      <c r="R20" s="23"/>
      <c r="S20" s="23"/>
      <c r="T20" s="134"/>
      <c r="U20" s="135"/>
      <c r="V20" s="135"/>
    </row>
    <row r="21" customHeight="1" spans="1:22">
      <c r="A21" s="24">
        <v>8</v>
      </c>
      <c r="B21" s="127"/>
      <c r="C21" s="128"/>
      <c r="D21" s="129"/>
      <c r="E21" s="130"/>
      <c r="F21" s="131"/>
      <c r="G21" s="128"/>
      <c r="H21" s="129"/>
      <c r="I21" s="132"/>
      <c r="J21" s="132"/>
      <c r="K21" s="132"/>
      <c r="L21" s="132"/>
      <c r="M21" s="133">
        <f t="shared" si="0"/>
        <v>0</v>
      </c>
      <c r="N21" s="134"/>
      <c r="O21" s="23"/>
      <c r="P21" s="23"/>
      <c r="Q21" s="23"/>
      <c r="R21" s="23"/>
      <c r="S21" s="23"/>
      <c r="T21" s="134"/>
      <c r="U21" s="135"/>
      <c r="V21" s="135"/>
    </row>
    <row r="22" customHeight="1" spans="1:22">
      <c r="A22" s="24">
        <v>9</v>
      </c>
      <c r="B22" s="127"/>
      <c r="C22" s="128"/>
      <c r="D22" s="129"/>
      <c r="E22" s="130"/>
      <c r="F22" s="131"/>
      <c r="G22" s="128"/>
      <c r="H22" s="129"/>
      <c r="I22" s="132"/>
      <c r="J22" s="132"/>
      <c r="K22" s="132"/>
      <c r="L22" s="132"/>
      <c r="M22" s="133">
        <f t="shared" si="0"/>
        <v>0</v>
      </c>
      <c r="N22" s="134"/>
      <c r="O22" s="23"/>
      <c r="P22" s="23"/>
      <c r="Q22" s="23"/>
      <c r="R22" s="23"/>
      <c r="S22" s="23"/>
      <c r="T22" s="134"/>
      <c r="U22" s="135"/>
      <c r="V22" s="135"/>
    </row>
    <row r="23" customHeight="1" spans="1:22">
      <c r="A23" s="24">
        <v>10</v>
      </c>
      <c r="B23" s="127"/>
      <c r="C23" s="128"/>
      <c r="D23" s="129"/>
      <c r="E23" s="130"/>
      <c r="F23" s="131"/>
      <c r="G23" s="128"/>
      <c r="H23" s="129"/>
      <c r="I23" s="132"/>
      <c r="J23" s="132"/>
      <c r="K23" s="132"/>
      <c r="L23" s="132"/>
      <c r="M23" s="133">
        <f t="shared" si="0"/>
        <v>0</v>
      </c>
      <c r="N23" s="134"/>
      <c r="O23" s="23"/>
      <c r="P23" s="23"/>
      <c r="Q23" s="23"/>
      <c r="R23" s="23"/>
      <c r="S23" s="23"/>
      <c r="T23" s="134"/>
      <c r="U23" s="135"/>
      <c r="V23" s="135"/>
    </row>
    <row r="24" customHeight="1" spans="1:22">
      <c r="A24" s="24">
        <v>11</v>
      </c>
      <c r="B24" s="127"/>
      <c r="C24" s="128"/>
      <c r="D24" s="129"/>
      <c r="E24" s="130"/>
      <c r="F24" s="131"/>
      <c r="G24" s="128"/>
      <c r="H24" s="129"/>
      <c r="I24" s="132"/>
      <c r="J24" s="132"/>
      <c r="K24" s="132"/>
      <c r="L24" s="132"/>
      <c r="M24" s="133">
        <f t="shared" si="0"/>
        <v>0</v>
      </c>
      <c r="N24" s="134"/>
      <c r="O24" s="23"/>
      <c r="P24" s="23"/>
      <c r="Q24" s="23"/>
      <c r="R24" s="23"/>
      <c r="S24" s="23"/>
      <c r="T24" s="134"/>
      <c r="U24" s="135"/>
      <c r="V24" s="135"/>
    </row>
    <row r="25" customHeight="1" spans="1:22">
      <c r="A25" s="24">
        <v>12</v>
      </c>
      <c r="B25" s="127"/>
      <c r="C25" s="128"/>
      <c r="D25" s="129"/>
      <c r="E25" s="130"/>
      <c r="F25" s="131"/>
      <c r="G25" s="128"/>
      <c r="H25" s="129"/>
      <c r="I25" s="132"/>
      <c r="J25" s="132"/>
      <c r="K25" s="132"/>
      <c r="L25" s="132"/>
      <c r="M25" s="133">
        <f t="shared" si="0"/>
        <v>0</v>
      </c>
      <c r="N25" s="134"/>
      <c r="O25" s="23"/>
      <c r="P25" s="23"/>
      <c r="Q25" s="23"/>
      <c r="R25" s="23"/>
      <c r="S25" s="23"/>
      <c r="T25" s="134"/>
      <c r="U25" s="135"/>
      <c r="V25" s="135"/>
    </row>
    <row r="26" customHeight="1" spans="1:22">
      <c r="A26" s="24">
        <v>13</v>
      </c>
      <c r="B26" s="127"/>
      <c r="C26" s="128"/>
      <c r="D26" s="129"/>
      <c r="E26" s="130"/>
      <c r="F26" s="131"/>
      <c r="G26" s="128"/>
      <c r="H26" s="129"/>
      <c r="I26" s="132"/>
      <c r="J26" s="132"/>
      <c r="K26" s="132"/>
      <c r="L26" s="132"/>
      <c r="M26" s="133">
        <f t="shared" si="0"/>
        <v>0</v>
      </c>
      <c r="N26" s="134"/>
      <c r="O26" s="23"/>
      <c r="P26" s="23"/>
      <c r="Q26" s="23"/>
      <c r="R26" s="23"/>
      <c r="S26" s="23"/>
      <c r="T26" s="134"/>
      <c r="U26" s="135"/>
      <c r="V26" s="135"/>
    </row>
    <row r="27" customHeight="1" spans="1:22">
      <c r="A27" s="24">
        <v>14</v>
      </c>
      <c r="B27" s="127"/>
      <c r="C27" s="128"/>
      <c r="D27" s="129"/>
      <c r="E27" s="130"/>
      <c r="F27" s="131"/>
      <c r="G27" s="128"/>
      <c r="H27" s="129"/>
      <c r="I27" s="132"/>
      <c r="J27" s="132"/>
      <c r="K27" s="132"/>
      <c r="L27" s="132"/>
      <c r="M27" s="133">
        <f t="shared" si="0"/>
        <v>0</v>
      </c>
      <c r="N27" s="134"/>
      <c r="O27" s="23"/>
      <c r="P27" s="23"/>
      <c r="Q27" s="23"/>
      <c r="R27" s="23"/>
      <c r="S27" s="23"/>
      <c r="T27" s="134"/>
      <c r="U27" s="135"/>
      <c r="V27" s="135"/>
    </row>
    <row r="28" customHeight="1" spans="1:22">
      <c r="A28" s="24">
        <v>15</v>
      </c>
      <c r="B28" s="127"/>
      <c r="C28" s="128"/>
      <c r="D28" s="129"/>
      <c r="E28" s="130"/>
      <c r="F28" s="131"/>
      <c r="G28" s="128"/>
      <c r="H28" s="129"/>
      <c r="I28" s="132"/>
      <c r="J28" s="132"/>
      <c r="K28" s="132"/>
      <c r="L28" s="132"/>
      <c r="M28" s="133">
        <f t="shared" si="0"/>
        <v>0</v>
      </c>
      <c r="N28" s="134"/>
      <c r="O28" s="23"/>
      <c r="P28" s="23"/>
      <c r="Q28" s="23"/>
      <c r="R28" s="23"/>
      <c r="S28" s="23"/>
      <c r="T28" s="134"/>
      <c r="U28" s="135"/>
      <c r="V28" s="135"/>
    </row>
    <row r="29" customHeight="1" spans="1:22">
      <c r="A29" s="24" t="s">
        <v>36</v>
      </c>
      <c r="B29" s="127"/>
      <c r="C29" s="128"/>
      <c r="D29" s="129"/>
      <c r="E29" s="130"/>
      <c r="F29" s="131"/>
      <c r="G29" s="128"/>
      <c r="H29" s="129"/>
      <c r="I29" s="132"/>
      <c r="J29" s="132"/>
      <c r="K29" s="132"/>
      <c r="L29" s="132"/>
      <c r="M29" s="133">
        <f t="shared" si="0"/>
        <v>0</v>
      </c>
      <c r="N29" s="134"/>
      <c r="O29" s="23"/>
      <c r="P29" s="23"/>
      <c r="Q29" s="23"/>
      <c r="R29" s="23"/>
      <c r="S29" s="23"/>
      <c r="T29" s="134"/>
      <c r="U29" s="135"/>
      <c r="V29" s="135"/>
    </row>
    <row r="30" customHeight="1" spans="1:22">
      <c r="A30" s="136" t="s">
        <v>139</v>
      </c>
      <c r="B30" s="119"/>
      <c r="C30" s="119"/>
      <c r="D30" s="119"/>
      <c r="E30" s="119"/>
      <c r="F30" s="119"/>
      <c r="G30" s="119"/>
      <c r="H30" s="137"/>
      <c r="I30" s="138">
        <f>SUM(I14:I29)</f>
        <v>0</v>
      </c>
      <c r="J30" s="138">
        <f>SUM(J14:J29)</f>
        <v>0</v>
      </c>
      <c r="K30" s="138">
        <f>SUM(K14:K29)</f>
        <v>0</v>
      </c>
      <c r="L30" s="138">
        <f>SUM(L14:L29)</f>
        <v>0</v>
      </c>
      <c r="M30" s="139">
        <f>SUM(M14:M29)</f>
        <v>0</v>
      </c>
      <c r="N30" s="140"/>
      <c r="O30" s="140"/>
      <c r="P30" s="140"/>
      <c r="Q30" s="140"/>
      <c r="R30" s="140"/>
      <c r="S30" s="140"/>
      <c r="T30" s="140"/>
      <c r="U30" s="140"/>
      <c r="V30" s="140"/>
    </row>
    <row r="31" customHeight="1" spans="1:22">
      <c r="A31" s="136" t="s">
        <v>689</v>
      </c>
      <c r="B31" s="119"/>
      <c r="C31" s="119"/>
      <c r="D31" s="119"/>
      <c r="E31" s="119"/>
      <c r="F31" s="119"/>
      <c r="G31" s="119"/>
      <c r="H31" s="137"/>
      <c r="I31" s="141"/>
      <c r="J31" s="142">
        <f>'明细表H8-2'!U32</f>
        <v>0</v>
      </c>
      <c r="K31" s="141"/>
      <c r="L31" s="141"/>
      <c r="M31" s="141"/>
      <c r="N31" s="143"/>
      <c r="O31" s="143"/>
      <c r="P31" s="143"/>
      <c r="Q31" s="143"/>
      <c r="R31" s="143"/>
      <c r="S31" s="143"/>
      <c r="T31" s="143"/>
      <c r="U31" s="143"/>
      <c r="V31" s="144"/>
    </row>
    <row r="32" customHeight="1" spans="1:22">
      <c r="A32" s="145" t="s">
        <v>690</v>
      </c>
      <c r="B32" s="119"/>
      <c r="C32" s="119"/>
      <c r="D32" s="119"/>
      <c r="E32" s="119"/>
      <c r="F32" s="119"/>
      <c r="G32" s="119"/>
      <c r="H32" s="137"/>
      <c r="I32" s="141"/>
      <c r="J32" s="146">
        <f>IF(J30=0,0,J30/$J$31)</f>
        <v>0</v>
      </c>
      <c r="K32" s="141"/>
      <c r="L32" s="141"/>
      <c r="M32" s="141"/>
      <c r="N32" s="147"/>
      <c r="O32" s="147"/>
      <c r="P32" s="147"/>
      <c r="Q32" s="147"/>
      <c r="R32" s="147"/>
      <c r="S32" s="147"/>
      <c r="T32" s="147"/>
      <c r="U32" s="147"/>
      <c r="V32" s="140"/>
    </row>
    <row r="33" customHeight="1" spans="1:22">
      <c r="A33" s="148" t="s">
        <v>691</v>
      </c>
      <c r="B33" s="149"/>
      <c r="C33" s="149"/>
      <c r="D33" s="149"/>
      <c r="E33" s="149"/>
      <c r="F33" s="149"/>
      <c r="G33" s="149"/>
      <c r="H33" s="149"/>
      <c r="I33" s="149"/>
      <c r="J33" s="149"/>
      <c r="K33" s="149"/>
      <c r="L33" s="149"/>
      <c r="M33" s="150"/>
      <c r="N33" s="3"/>
      <c r="O33" s="3"/>
      <c r="P33" s="3"/>
      <c r="Q33" s="3"/>
      <c r="R33" s="3"/>
      <c r="S33" s="151"/>
      <c r="T33" s="151"/>
      <c r="U33" s="151"/>
      <c r="V33" s="152"/>
    </row>
    <row r="34" customHeight="1" spans="1:22">
      <c r="A34" s="153" t="s">
        <v>692</v>
      </c>
      <c r="M34" s="154"/>
      <c r="N34" s="3"/>
      <c r="O34" s="3"/>
      <c r="P34" s="3"/>
      <c r="Q34" s="3"/>
      <c r="R34" s="3"/>
      <c r="S34" s="155"/>
      <c r="T34" s="155"/>
      <c r="U34" s="155"/>
      <c r="V34" s="156"/>
    </row>
    <row r="35" s="99" customFormat="1" customHeight="1" spans="1:22">
      <c r="A35" s="153" t="s">
        <v>693</v>
      </c>
      <c r="M35" s="154"/>
      <c r="S35" s="157"/>
      <c r="T35" s="157"/>
      <c r="U35" s="158"/>
      <c r="V35" s="159"/>
    </row>
    <row r="36" customHeight="1" spans="1:22">
      <c r="A36" s="99" t="s">
        <v>694</v>
      </c>
      <c r="M36" s="154"/>
      <c r="N36" s="3"/>
      <c r="O36" s="3"/>
      <c r="P36" s="3"/>
      <c r="Q36" s="3"/>
      <c r="R36" s="3"/>
      <c r="S36" s="102"/>
      <c r="T36" s="102"/>
      <c r="U36" s="102"/>
      <c r="V36" s="156"/>
    </row>
    <row r="37" customHeight="1" spans="1:22">
      <c r="A37" s="99"/>
      <c r="N37" s="102"/>
      <c r="O37" s="102"/>
      <c r="P37" s="102"/>
      <c r="Q37" s="102"/>
      <c r="R37" s="102"/>
      <c r="S37" s="102"/>
      <c r="T37" s="102"/>
      <c r="U37" s="102"/>
      <c r="V37" s="156"/>
    </row>
    <row r="38" customHeight="1" spans="1:22">
      <c r="N38" s="102"/>
      <c r="O38" s="102"/>
      <c r="P38" s="102"/>
      <c r="Q38" s="102"/>
      <c r="R38" s="102"/>
      <c r="S38" s="102"/>
      <c r="T38" s="102"/>
      <c r="U38" s="102"/>
      <c r="V38" s="156"/>
    </row>
    <row r="39" customHeight="1" spans="1:22">
      <c r="A39" s="160"/>
      <c r="C39" s="156"/>
      <c r="D39" s="156"/>
      <c r="E39" s="156"/>
      <c r="F39" s="156"/>
      <c r="G39" s="156"/>
      <c r="H39" s="156"/>
      <c r="I39" s="156"/>
      <c r="J39" s="156"/>
      <c r="K39" s="156"/>
      <c r="L39" s="156"/>
      <c r="M39" s="156"/>
      <c r="N39" s="102"/>
      <c r="O39" s="102"/>
      <c r="P39" s="102"/>
      <c r="Q39" s="102"/>
      <c r="R39" s="102"/>
      <c r="S39" s="102"/>
      <c r="T39" s="102"/>
      <c r="U39" s="102"/>
      <c r="V39" s="156"/>
    </row>
  </sheetData>
  <mergeCells count="20">
    <mergeCell ref="A1:V1"/>
    <mergeCell ref="A2:V2"/>
    <mergeCell ref="A5:V5"/>
    <mergeCell ref="I12:M12"/>
    <mergeCell ref="O12:S12"/>
    <mergeCell ref="A30:H30"/>
    <mergeCell ref="A31:H31"/>
    <mergeCell ref="A32:H32"/>
    <mergeCell ref="A12:A13"/>
    <mergeCell ref="B12:B13"/>
    <mergeCell ref="C12:C13"/>
    <mergeCell ref="D12:D13"/>
    <mergeCell ref="E12:E13"/>
    <mergeCell ref="F12:F13"/>
    <mergeCell ref="G12:G13"/>
    <mergeCell ref="H12:H13"/>
    <mergeCell ref="N12:N13"/>
    <mergeCell ref="T12:T13"/>
    <mergeCell ref="U12:U13"/>
    <mergeCell ref="V12:V13"/>
  </mergeCells>
  <dataValidations count="4">
    <dataValidation type="list" allowBlank="1" showInputMessage="1" showErrorMessage="1" prompt="如要修改下列框的选项，单击“数据-数据有效性-设置-序列-来源”。" sqref="B14:B29">
      <formula1>"房屋及建筑物,机器设备,运输设备,办公设备,其他设备"</formula1>
    </dataValidation>
    <dataValidation type="list" allowBlank="1" showInputMessage="1" showErrorMessage="1" prompt="如要修改下列框的选项，单击“数据-数据有效性-设置-序列-来源”。&#10;" sqref="E14:E29">
      <formula1>"处置,其他减少"</formula1>
    </dataValidation>
    <dataValidation type="list" allowBlank="1" showInputMessage="1" showErrorMessage="1" sqref="N31:U32">
      <formula1>"√,×"</formula1>
    </dataValidation>
    <dataValidation type="list" allowBlank="1" showInputMessage="1" showErrorMessage="1" sqref="O14:S29">
      <formula1>"√,X"</formula1>
    </dataValidation>
  </dataValidations>
  <hyperlinks>
    <hyperlink ref="V3" location="底稿目录!A1" display="H8-13"/>
  </hyperlinks>
  <printOptions horizontalCentered="1"/>
  <pageMargins left="0.393700787401575" right="0.393700787401575" top="0.354330708661417" bottom="0.275590551181102" header="0.31496062992126" footer="0.196850393700787"/>
  <pageSetup paperSize="9" scale="70" orientation="landscape" blackAndWhite="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99"/>
  <sheetViews>
    <sheetView view="pageBreakPreview" zoomScaleNormal="100" workbookViewId="0">
      <selection activeCell="E17" sqref="E17"/>
    </sheetView>
  </sheetViews>
  <sheetFormatPr defaultColWidth="9" defaultRowHeight="19.95" customHeight="1"/>
  <cols>
    <col min="1" max="1" width="6" style="34" customWidth="1"/>
    <col min="2" max="2" width="12" style="34" customWidth="1"/>
    <col min="3" max="4" width="14" style="34" customWidth="1"/>
    <col min="5" max="6" width="12" style="34" customWidth="1"/>
    <col min="7" max="7" width="10" style="34" customWidth="1"/>
    <col min="8" max="9" width="12" style="35" customWidth="1"/>
    <col min="10" max="11" width="11" style="34" customWidth="1"/>
    <col min="12" max="13" width="12" style="34" customWidth="1"/>
    <col min="14" max="14" width="11" style="34" customWidth="1"/>
    <col min="15" max="15" width="10" style="36" customWidth="1"/>
    <col min="16" max="16" width="12" style="34" customWidth="1"/>
    <col min="17" max="17" width="14" style="34" customWidth="1"/>
    <col min="18" max="16384" width="10" style="34" customWidth="1"/>
  </cols>
  <sheetData>
    <row r="1" s="29" customFormat="1" customHeight="1" spans="1:18">
      <c r="A1" s="37" t="s">
        <v>58</v>
      </c>
      <c r="B1"/>
      <c r="C1"/>
      <c r="D1"/>
      <c r="E1"/>
      <c r="F1"/>
      <c r="G1"/>
      <c r="H1"/>
      <c r="I1"/>
      <c r="J1"/>
      <c r="K1"/>
      <c r="L1"/>
      <c r="M1"/>
      <c r="N1"/>
      <c r="O1"/>
      <c r="P1"/>
      <c r="Q1"/>
      <c r="R1"/>
    </row>
    <row r="2" s="30" customFormat="1" customHeight="1" spans="1:18">
      <c r="A2" s="38" t="s">
        <v>53</v>
      </c>
      <c r="B2"/>
      <c r="C2"/>
      <c r="D2"/>
      <c r="E2"/>
      <c r="F2"/>
      <c r="G2"/>
      <c r="H2"/>
      <c r="I2"/>
      <c r="J2"/>
      <c r="K2"/>
      <c r="L2"/>
      <c r="M2"/>
      <c r="N2"/>
      <c r="O2"/>
      <c r="P2"/>
      <c r="Q2"/>
      <c r="R2"/>
    </row>
    <row r="3" customHeight="1" spans="1:18">
      <c r="A3" s="34" t="str">
        <f>[1]底稿目录!A2</f>
        <v>被审计单位：</v>
      </c>
      <c r="E3" s="36" t="str">
        <f>[1]底稿目录!A4</f>
        <v>编制人：</v>
      </c>
      <c r="K3" s="34" t="str">
        <f>[1]底稿目录!A6</f>
        <v>编制日期：</v>
      </c>
      <c r="L3" s="39"/>
      <c r="N3" s="40" t="s">
        <v>59</v>
      </c>
      <c r="O3" s="41" t="s">
        <v>54</v>
      </c>
    </row>
    <row r="4" customHeight="1" spans="1:18">
      <c r="A4" s="34" t="str">
        <f>[1]底稿目录!A3</f>
        <v>截止日：202X年12月31日</v>
      </c>
      <c r="E4" s="36" t="str">
        <f>[1]底稿目录!A5</f>
        <v>复核人：</v>
      </c>
      <c r="K4" s="34" t="str">
        <f>[1]底稿目录!A7</f>
        <v>复核日期：</v>
      </c>
      <c r="L4" s="39"/>
      <c r="N4" s="40" t="s">
        <v>60</v>
      </c>
      <c r="O4" s="42"/>
    </row>
    <row r="5" s="31" customFormat="1" customHeight="1" spans="1:18">
      <c r="A5" s="43" t="s">
        <v>191</v>
      </c>
      <c r="B5" s="44"/>
      <c r="C5" s="45"/>
      <c r="D5" s="45"/>
      <c r="E5" s="45"/>
      <c r="F5" s="45"/>
      <c r="G5" s="45"/>
      <c r="H5" s="45"/>
      <c r="I5" s="45"/>
      <c r="J5" s="45"/>
      <c r="K5" s="45"/>
      <c r="L5" s="45"/>
      <c r="M5" s="45"/>
      <c r="N5" s="45"/>
      <c r="O5" s="46"/>
    </row>
    <row r="6" s="31" customFormat="1" ht="13" spans="1:18">
      <c r="A6" s="47" t="s">
        <v>695</v>
      </c>
      <c r="B6" s="44"/>
      <c r="C6" s="48"/>
      <c r="D6" s="48"/>
      <c r="E6" s="48"/>
      <c r="F6" s="48"/>
      <c r="G6" s="48"/>
      <c r="H6" s="48"/>
      <c r="I6" s="48"/>
      <c r="J6" s="48"/>
      <c r="K6" s="48"/>
      <c r="L6" s="48"/>
      <c r="M6" s="48"/>
      <c r="N6" s="48"/>
      <c r="O6" s="46"/>
    </row>
    <row r="7" s="31" customFormat="1" ht="13" spans="1:18">
      <c r="A7" s="47" t="s">
        <v>696</v>
      </c>
      <c r="B7" s="44"/>
      <c r="C7" s="48"/>
      <c r="D7" s="48"/>
      <c r="E7" s="48"/>
      <c r="F7" s="48"/>
      <c r="G7" s="48"/>
      <c r="H7" s="48"/>
      <c r="I7" s="48"/>
      <c r="J7" s="48"/>
      <c r="K7" s="48"/>
      <c r="L7" s="48"/>
      <c r="M7" s="48"/>
      <c r="N7" s="48"/>
      <c r="O7" s="46"/>
    </row>
    <row r="8" s="31" customFormat="1" customHeight="1" spans="1:18">
      <c r="A8" s="43" t="s">
        <v>193</v>
      </c>
      <c r="C8" s="44"/>
      <c r="D8" s="44"/>
      <c r="E8" s="44"/>
      <c r="F8" s="44"/>
      <c r="G8" s="44"/>
      <c r="H8" s="44"/>
      <c r="I8" s="44"/>
      <c r="J8" s="44"/>
      <c r="K8" s="44"/>
      <c r="L8" s="44"/>
      <c r="M8" s="44"/>
      <c r="N8" s="44"/>
      <c r="O8" s="46"/>
    </row>
    <row r="9" s="32" customFormat="1" ht="32" customHeight="1" spans="1:18">
      <c r="A9" s="49" t="s">
        <v>3</v>
      </c>
      <c r="B9" s="49" t="s">
        <v>697</v>
      </c>
      <c r="C9" s="49" t="s">
        <v>698</v>
      </c>
      <c r="D9" s="49" t="s">
        <v>699</v>
      </c>
      <c r="E9" s="49" t="s">
        <v>360</v>
      </c>
      <c r="F9" s="49" t="s">
        <v>700</v>
      </c>
      <c r="G9" s="50" t="s">
        <v>336</v>
      </c>
      <c r="H9" s="49" t="s">
        <v>701</v>
      </c>
      <c r="I9" s="50" t="s">
        <v>702</v>
      </c>
      <c r="J9" s="49" t="s">
        <v>703</v>
      </c>
      <c r="K9" s="49" t="s">
        <v>704</v>
      </c>
      <c r="L9" s="50" t="s">
        <v>705</v>
      </c>
      <c r="M9" s="49" t="s">
        <v>706</v>
      </c>
      <c r="N9" s="50" t="s">
        <v>144</v>
      </c>
      <c r="O9" s="49" t="s">
        <v>707</v>
      </c>
      <c r="P9" s="51" t="s">
        <v>708</v>
      </c>
      <c r="Q9" s="51" t="s">
        <v>709</v>
      </c>
      <c r="R9" s="51" t="s">
        <v>5</v>
      </c>
    </row>
    <row r="10" customHeight="1" spans="1:18">
      <c r="A10" s="52">
        <v>1</v>
      </c>
      <c r="B10" s="53"/>
      <c r="C10" s="54"/>
      <c r="D10" s="54"/>
      <c r="E10" s="55"/>
      <c r="F10" s="55"/>
      <c r="G10" s="56" t="str">
        <f>IF(OR(E10="",F10=""),"",MAX(1,(YEAR(F10)-YEAR(E10))*12+MONTH(F10)-MONTH(E10)+1))</f>
        <v/>
      </c>
      <c r="H10" s="57"/>
      <c r="I10" s="58" t="str">
        <f>IF(OR(G10="",H10=""),"",IF(AND(G10&lt;=12,H10&lt;=40000),"短期+低价值",IF(G10&lt;=12,"短期租赁",IF(H10&lt;=40000,"低价值","不符合"))))</f>
        <v/>
      </c>
      <c r="J10" s="57"/>
      <c r="K10" s="59" t="e">
        <f>I10*J10</f>
        <v>#VALUE!</v>
      </c>
      <c r="L10" s="60" t="e">
        <f>IF(OR(J10="",K10=""),"",J10*K10)</f>
        <v>#VALUE!</v>
      </c>
      <c r="M10" s="61" t="e">
        <f>K10-L10</f>
        <v>#VALUE!</v>
      </c>
      <c r="N10" s="62" t="e">
        <f>IF(OR(L10="",M10=""),"",L10-M10)</f>
        <v>#VALUE!</v>
      </c>
      <c r="O10" s="63"/>
      <c r="P10" s="64"/>
      <c r="Q10" s="64"/>
      <c r="R10" s="64"/>
    </row>
    <row r="11" customHeight="1" spans="1:18">
      <c r="A11" s="52">
        <v>2</v>
      </c>
      <c r="B11" s="53"/>
      <c r="C11" s="54"/>
      <c r="D11" s="54"/>
      <c r="E11" s="55"/>
      <c r="F11" s="55"/>
      <c r="G11" s="56" t="str">
        <f>IF(OR(E11="",F11=""),"",MAX(1,(YEAR(F11)-YEAR(E11))*12+MONTH(F11)-MONTH(E11)+1))</f>
        <v/>
      </c>
      <c r="H11" s="57"/>
      <c r="I11" s="58" t="str">
        <f>IF(OR(G11="",H11=""),"",IF(AND(G11&lt;=12,H11&lt;=40000),"短期+低价值",IF(G11&lt;=12,"短期租赁",IF(H11&lt;=40000,"低价值","不符合"))))</f>
        <v/>
      </c>
      <c r="J11" s="57"/>
      <c r="K11" s="59" t="e">
        <f>I11*J11</f>
        <v>#VALUE!</v>
      </c>
      <c r="L11" s="60" t="e">
        <f>IF(OR(J11="",K11=""),"",J11*K11)</f>
        <v>#VALUE!</v>
      </c>
      <c r="M11" s="61" t="e">
        <f>K11-L11</f>
        <v>#VALUE!</v>
      </c>
      <c r="N11" s="65" t="e">
        <f>IF(OR(L11="",M11=""),"",L11-M11)</f>
        <v>#VALUE!</v>
      </c>
      <c r="O11" s="63"/>
      <c r="P11" s="64"/>
      <c r="Q11" s="64"/>
      <c r="R11" s="64"/>
    </row>
    <row r="12" customHeight="1" spans="1:18">
      <c r="A12" s="52">
        <v>3</v>
      </c>
      <c r="B12" s="53"/>
      <c r="C12" s="54"/>
      <c r="D12" s="54"/>
      <c r="E12" s="55"/>
      <c r="F12" s="55"/>
      <c r="G12" s="56" t="str">
        <f>IF(OR(E12="",F12=""),"",MAX(1,(YEAR(F12)-YEAR(E12))*12+MONTH(F12)-MONTH(E12)+1))</f>
        <v/>
      </c>
      <c r="H12" s="57"/>
      <c r="I12" s="58" t="str">
        <f>IF(OR(G12="",H12=""),"",IF(AND(G12&lt;=12,H12&lt;=40000),"短期+低价值",IF(G12&lt;=12,"短期租赁",IF(H12&lt;=40000,"低价值","不符合"))))</f>
        <v/>
      </c>
      <c r="J12" s="57"/>
      <c r="K12" s="59" t="e">
        <f>I12*J12</f>
        <v>#VALUE!</v>
      </c>
      <c r="L12" s="60" t="e">
        <f>IF(OR(J12="",K12=""),"",J12*K12)</f>
        <v>#VALUE!</v>
      </c>
      <c r="M12" s="61" t="e">
        <f>K12-L12</f>
        <v>#VALUE!</v>
      </c>
      <c r="N12" s="65" t="e">
        <f>IF(OR(L12="",M12=""),"",L12-M12)</f>
        <v>#VALUE!</v>
      </c>
      <c r="O12" s="63"/>
      <c r="P12" s="64"/>
      <c r="Q12" s="64"/>
      <c r="R12" s="64"/>
    </row>
    <row r="13" customHeight="1" spans="1:18">
      <c r="A13" s="52">
        <v>4</v>
      </c>
      <c r="B13" s="53"/>
      <c r="C13" s="54"/>
      <c r="D13" s="54"/>
      <c r="E13" s="55"/>
      <c r="F13" s="55"/>
      <c r="G13" s="56" t="str">
        <f>IF(OR(E13="",F13=""),"",MAX(1,(YEAR(F13)-YEAR(E13))*12+MONTH(F13)-MONTH(E13)+1))</f>
        <v/>
      </c>
      <c r="H13" s="57"/>
      <c r="I13" s="58" t="str">
        <f>IF(OR(G13="",H13=""),"",IF(AND(G13&lt;=12,H13&lt;=40000),"短期+低价值",IF(G13&lt;=12,"短期租赁",IF(H13&lt;=40000,"低价值","不符合"))))</f>
        <v/>
      </c>
      <c r="J13" s="57"/>
      <c r="K13" s="59" t="e">
        <f>I13*J13</f>
        <v>#VALUE!</v>
      </c>
      <c r="L13" s="60" t="e">
        <f>IF(OR(J13="",K13=""),"",J13*K13)</f>
        <v>#VALUE!</v>
      </c>
      <c r="M13" s="61" t="e">
        <f>K13-L13</f>
        <v>#VALUE!</v>
      </c>
      <c r="N13" s="65" t="e">
        <f>IF(OR(L13="",M13=""),"",L13-M13)</f>
        <v>#VALUE!</v>
      </c>
      <c r="O13" s="63"/>
      <c r="P13" s="64"/>
      <c r="Q13" s="64"/>
      <c r="R13" s="64"/>
    </row>
    <row r="14" customHeight="1" spans="1:18">
      <c r="A14" s="52">
        <v>5</v>
      </c>
      <c r="B14" s="53"/>
      <c r="C14" s="54"/>
      <c r="D14" s="54"/>
      <c r="E14" s="55"/>
      <c r="F14" s="55"/>
      <c r="G14" s="56" t="str">
        <f>IF(OR(E14="",F14=""),"",MAX(1,(YEAR(F14)-YEAR(E14))*12+MONTH(F14)-MONTH(E14)+1))</f>
        <v/>
      </c>
      <c r="H14" s="57"/>
      <c r="I14" s="58" t="str">
        <f>IF(OR(G14="",H14=""),"",IF(AND(G14&lt;=12,H14&lt;=40000),"短期+低价值",IF(G14&lt;=12,"短期租赁",IF(H14&lt;=40000,"低价值","不符合"))))</f>
        <v/>
      </c>
      <c r="J14" s="57"/>
      <c r="K14" s="59" t="e">
        <f>I14*J14</f>
        <v>#VALUE!</v>
      </c>
      <c r="L14" s="60" t="e">
        <f>IF(OR(J14="",K14=""),"",J14*K14)</f>
        <v>#VALUE!</v>
      </c>
      <c r="M14" s="61" t="e">
        <f>K14-L14</f>
        <v>#VALUE!</v>
      </c>
      <c r="N14" s="65" t="e">
        <f>IF(OR(L14="",M14=""),"",L14-M14)</f>
        <v>#VALUE!</v>
      </c>
      <c r="O14" s="63"/>
      <c r="P14" s="64"/>
      <c r="Q14" s="64"/>
      <c r="R14" s="64"/>
    </row>
    <row r="15" customHeight="1" spans="1:18">
      <c r="A15" s="52">
        <v>6</v>
      </c>
      <c r="B15" s="53"/>
      <c r="C15" s="54"/>
      <c r="D15" s="54"/>
      <c r="E15" s="55"/>
      <c r="F15" s="55"/>
      <c r="G15" s="56" t="str">
        <f>IF(OR(E15="",F15=""),"",MAX(1,(YEAR(F15)-YEAR(E15))*12+MONTH(F15)-MONTH(E15)+1))</f>
        <v/>
      </c>
      <c r="H15" s="57"/>
      <c r="I15" s="58" t="str">
        <f>IF(OR(G15="",H15=""),"",IF(AND(G15&lt;=12,H15&lt;=40000),"短期+低价值",IF(G15&lt;=12,"短期租赁",IF(H15&lt;=40000,"低价值","不符合"))))</f>
        <v/>
      </c>
      <c r="J15" s="57"/>
      <c r="K15" s="59" t="e">
        <f>I15*J15</f>
        <v>#VALUE!</v>
      </c>
      <c r="L15" s="60" t="e">
        <f>IF(OR(J15="",K15=""),"",J15*K15)</f>
        <v>#VALUE!</v>
      </c>
      <c r="M15" s="61" t="e">
        <f>K15-L15</f>
        <v>#VALUE!</v>
      </c>
      <c r="N15" s="65" t="e">
        <f>IF(OR(L15="",M15=""),"",L15-M15)</f>
        <v>#VALUE!</v>
      </c>
      <c r="O15" s="63"/>
      <c r="P15" s="64"/>
      <c r="Q15" s="64"/>
      <c r="R15" s="64"/>
    </row>
    <row r="16" customHeight="1" spans="1:18">
      <c r="A16" s="52">
        <v>7</v>
      </c>
      <c r="B16" s="53"/>
      <c r="C16" s="54"/>
      <c r="D16" s="54"/>
      <c r="E16" s="55"/>
      <c r="F16" s="55"/>
      <c r="G16" s="56" t="str">
        <f>IF(OR(E16="",F16=""),"",MAX(1,(YEAR(F16)-YEAR(E16))*12+MONTH(F16)-MONTH(E16)+1))</f>
        <v/>
      </c>
      <c r="H16" s="57"/>
      <c r="I16" s="58" t="str">
        <f>IF(OR(G16="",H16=""),"",IF(AND(G16&lt;=12,H16&lt;=40000),"短期+低价值",IF(G16&lt;=12,"短期租赁",IF(H16&lt;=40000,"低价值","不符合"))))</f>
        <v/>
      </c>
      <c r="J16" s="57"/>
      <c r="K16" s="59" t="e">
        <f>I16*J16</f>
        <v>#VALUE!</v>
      </c>
      <c r="L16" s="60" t="e">
        <f>IF(OR(J16="",K16=""),"",J16*K16)</f>
        <v>#VALUE!</v>
      </c>
      <c r="M16" s="61" t="e">
        <f>K16-L16</f>
        <v>#VALUE!</v>
      </c>
      <c r="N16" s="65" t="e">
        <f>IF(OR(L16="",M16=""),"",L16-M16)</f>
        <v>#VALUE!</v>
      </c>
      <c r="O16" s="63"/>
      <c r="P16" s="64"/>
      <c r="Q16" s="64"/>
      <c r="R16" s="64"/>
    </row>
    <row r="17" customHeight="1" spans="1:18">
      <c r="A17" s="52">
        <v>8</v>
      </c>
      <c r="B17" s="53"/>
      <c r="C17" s="54"/>
      <c r="D17" s="54"/>
      <c r="E17" s="55"/>
      <c r="F17" s="55"/>
      <c r="G17" s="56" t="str">
        <f>IF(OR(E17="",F17=""),"",MAX(1,(YEAR(F17)-YEAR(E17))*12+MONTH(F17)-MONTH(E17)+1))</f>
        <v/>
      </c>
      <c r="H17" s="57"/>
      <c r="I17" s="58" t="str">
        <f>IF(OR(G17="",H17=""),"",IF(AND(G17&lt;=12,H17&lt;=40000),"短期+低价值",IF(G17&lt;=12,"短期租赁",IF(H17&lt;=40000,"低价值","不符合"))))</f>
        <v/>
      </c>
      <c r="J17" s="57"/>
      <c r="K17" s="59" t="e">
        <f>I17*J17</f>
        <v>#VALUE!</v>
      </c>
      <c r="L17" s="60" t="e">
        <f>IF(OR(J17="",K17=""),"",J17*K17)</f>
        <v>#VALUE!</v>
      </c>
      <c r="M17" s="61" t="e">
        <f>K17-L17</f>
        <v>#VALUE!</v>
      </c>
      <c r="N17" s="65" t="e">
        <f>IF(OR(L17="",M17=""),"",L17-M17)</f>
        <v>#VALUE!</v>
      </c>
      <c r="O17" s="63"/>
      <c r="P17" s="64"/>
      <c r="Q17" s="64"/>
      <c r="R17" s="64"/>
    </row>
    <row r="18" customHeight="1" spans="1:18">
      <c r="A18" s="52">
        <v>9</v>
      </c>
      <c r="B18" s="53"/>
      <c r="C18" s="54"/>
      <c r="D18" s="54"/>
      <c r="E18" s="55"/>
      <c r="F18" s="55"/>
      <c r="G18" s="56" t="str">
        <f>IF(OR(E18="",F18=""),"",MAX(1,(YEAR(F18)-YEAR(E18))*12+MONTH(F18)-MONTH(E18)+1))</f>
        <v/>
      </c>
      <c r="H18" s="57"/>
      <c r="I18" s="58" t="str">
        <f>IF(OR(G18="",H18=""),"",IF(AND(G18&lt;=12,H18&lt;=40000),"短期+低价值",IF(G18&lt;=12,"短期租赁",IF(H18&lt;=40000,"低价值","不符合"))))</f>
        <v/>
      </c>
      <c r="J18" s="57"/>
      <c r="K18" s="59" t="e">
        <f>I18*J18</f>
        <v>#VALUE!</v>
      </c>
      <c r="L18" s="60" t="e">
        <f>IF(OR(J18="",K18=""),"",J18*K18)</f>
        <v>#VALUE!</v>
      </c>
      <c r="M18" s="61" t="e">
        <f>K18-L18</f>
        <v>#VALUE!</v>
      </c>
      <c r="N18" s="65" t="e">
        <f>IF(OR(L18="",M18=""),"",L18-M18)</f>
        <v>#VALUE!</v>
      </c>
      <c r="O18" s="63"/>
      <c r="P18" s="64"/>
      <c r="Q18" s="64"/>
      <c r="R18" s="64"/>
    </row>
    <row r="19" customHeight="1" spans="1:18">
      <c r="A19" s="52">
        <v>10</v>
      </c>
      <c r="B19" s="53"/>
      <c r="C19" s="54"/>
      <c r="D19" s="54"/>
      <c r="E19" s="55"/>
      <c r="F19" s="55"/>
      <c r="G19" s="56" t="str">
        <f>IF(OR(E19="",F19=""),"",MAX(1,(YEAR(F19)-YEAR(E19))*12+MONTH(F19)-MONTH(E19)+1))</f>
        <v/>
      </c>
      <c r="H19" s="57"/>
      <c r="I19" s="58" t="str">
        <f>IF(OR(G19="",H19=""),"",IF(AND(G19&lt;=12,H19&lt;=40000),"短期+低价值",IF(G19&lt;=12,"短期租赁",IF(H19&lt;=40000,"低价值","不符合"))))</f>
        <v/>
      </c>
      <c r="J19" s="57"/>
      <c r="K19" s="59" t="e">
        <f>I19*J19</f>
        <v>#VALUE!</v>
      </c>
      <c r="L19" s="60" t="e">
        <f>IF(OR(J19="",K19=""),"",J19*K19)</f>
        <v>#VALUE!</v>
      </c>
      <c r="M19" s="61" t="e">
        <f>K19-L19</f>
        <v>#VALUE!</v>
      </c>
      <c r="N19" s="65" t="e">
        <f>IF(OR(L19="",M19=""),"",L19-M19)</f>
        <v>#VALUE!</v>
      </c>
      <c r="O19" s="63"/>
      <c r="P19" s="64"/>
      <c r="Q19" s="64"/>
      <c r="R19" s="64"/>
    </row>
    <row r="20" s="33" customFormat="1" customHeight="1" spans="1:18">
      <c r="A20" s="66" t="s">
        <v>139</v>
      </c>
      <c r="B20" s="67"/>
      <c r="C20" s="67"/>
      <c r="D20" s="68"/>
      <c r="E20" s="69"/>
      <c r="F20" s="69"/>
      <c r="G20" s="69"/>
      <c r="H20" s="70">
        <f>SUM(H10:H19)</f>
        <v>0</v>
      </c>
      <c r="I20" s="71"/>
      <c r="J20" s="72">
        <f>SUM(J10:J19)</f>
        <v>0</v>
      </c>
      <c r="K20" s="73" t="e">
        <f>SUM(K10:K19)</f>
        <v>#VALUE!</v>
      </c>
      <c r="L20" s="70" t="e">
        <f>SUM(L10:L19)</f>
        <v>#VALUE!</v>
      </c>
      <c r="M20" s="70" t="e">
        <f>SUM(M10:M19)</f>
        <v>#VALUE!</v>
      </c>
      <c r="N20" s="74" t="e">
        <f>SUM(N10:N19)</f>
        <v>#VALUE!</v>
      </c>
      <c r="O20" s="75"/>
      <c r="P20" s="76"/>
      <c r="Q20" s="77">
        <f>COUNTIF(I10:I19,"不符合")</f>
        <v>0</v>
      </c>
      <c r="R20" s="77" t="s">
        <v>710</v>
      </c>
    </row>
    <row r="21" customHeight="1" spans="1:18">
      <c r="A21" s="45"/>
      <c r="B21" s="45"/>
      <c r="C21" s="45"/>
      <c r="D21" s="45"/>
      <c r="E21" s="45"/>
      <c r="F21" s="45"/>
      <c r="G21" s="45"/>
      <c r="H21" s="45"/>
      <c r="I21" s="78"/>
      <c r="J21" s="78"/>
      <c r="K21" s="45"/>
      <c r="L21" s="45"/>
      <c r="M21" s="45"/>
      <c r="N21" s="45"/>
      <c r="O21" s="79"/>
      <c r="P21" s="44"/>
      <c r="Q21" s="44"/>
      <c r="R21" s="44"/>
    </row>
    <row r="22" customHeight="1" spans="1:18">
      <c r="A22" s="80" t="s">
        <v>212</v>
      </c>
      <c r="B22" s="81"/>
      <c r="C22" s="82"/>
      <c r="D22" s="82"/>
      <c r="E22" s="82"/>
      <c r="F22" s="82"/>
      <c r="G22" s="82"/>
      <c r="H22" s="82"/>
      <c r="I22" s="82"/>
      <c r="J22" s="82"/>
      <c r="K22" s="82"/>
      <c r="L22" s="82"/>
      <c r="M22" s="82"/>
      <c r="N22" s="82"/>
      <c r="O22" s="79"/>
    </row>
    <row r="23" ht="28" customHeight="1" spans="1:18">
      <c r="A23" s="83" t="s">
        <v>711</v>
      </c>
      <c r="B23" s="81"/>
      <c r="C23" s="82"/>
      <c r="D23" s="84"/>
      <c r="E23" s="84"/>
      <c r="F23" s="84"/>
      <c r="G23" s="84"/>
      <c r="H23" s="84"/>
      <c r="I23" s="84"/>
      <c r="J23" s="84"/>
      <c r="K23" s="84"/>
      <c r="L23" s="84"/>
      <c r="M23" s="84"/>
      <c r="N23" s="84"/>
      <c r="O23" s="79"/>
    </row>
    <row r="24" customHeight="1" spans="1:18">
      <c r="A24" s="82"/>
      <c r="B24" s="81"/>
      <c r="C24" s="82"/>
      <c r="D24" s="82"/>
      <c r="E24" s="82"/>
      <c r="F24" s="82"/>
      <c r="G24" s="82"/>
      <c r="H24" s="82"/>
      <c r="I24" s="82"/>
      <c r="J24" s="82"/>
      <c r="K24" s="82"/>
      <c r="L24" s="82"/>
      <c r="M24" s="82"/>
      <c r="N24" s="82"/>
      <c r="O24" s="85"/>
    </row>
    <row r="25" customHeight="1" spans="1:18">
      <c r="A25" s="45"/>
      <c r="B25" s="45"/>
      <c r="C25" s="45"/>
      <c r="D25" s="45"/>
      <c r="E25" s="45"/>
      <c r="F25" s="45"/>
      <c r="G25" s="45"/>
      <c r="H25" s="45"/>
      <c r="I25" s="45"/>
      <c r="J25" s="45"/>
      <c r="K25" s="45"/>
      <c r="L25" s="45"/>
      <c r="M25" s="45"/>
      <c r="N25" s="45"/>
      <c r="O25" s="85"/>
    </row>
    <row r="26" customHeight="1" spans="1:18">
      <c r="A26" s="80" t="s">
        <v>213</v>
      </c>
      <c r="B26" s="82"/>
      <c r="C26" s="82"/>
      <c r="D26" s="82"/>
      <c r="E26" s="82"/>
      <c r="F26" s="82"/>
      <c r="G26" s="82"/>
      <c r="H26" s="82"/>
      <c r="I26" s="82"/>
      <c r="J26" s="82"/>
      <c r="K26" s="82"/>
      <c r="L26" s="82"/>
      <c r="M26" s="82"/>
      <c r="N26" s="82"/>
      <c r="O26" s="85"/>
    </row>
    <row r="27" ht="28" customHeight="1" spans="1:18">
      <c r="A27" s="86" t="s">
        <v>712</v>
      </c>
      <c r="B27" s="82"/>
      <c r="C27" s="82"/>
      <c r="D27" s="82"/>
      <c r="E27" s="82"/>
      <c r="F27" s="82"/>
      <c r="G27" s="82"/>
      <c r="H27" s="82"/>
      <c r="I27" s="82"/>
      <c r="J27" s="82"/>
      <c r="K27" s="82"/>
      <c r="L27" s="82"/>
      <c r="M27" s="82"/>
      <c r="N27" s="82"/>
      <c r="O27" s="85"/>
    </row>
    <row r="28" customHeight="1" spans="1:18">
      <c r="A28" s="45"/>
      <c r="B28" s="45"/>
      <c r="C28" s="45"/>
      <c r="D28" s="45"/>
      <c r="E28" s="45"/>
      <c r="F28" s="45"/>
      <c r="G28" s="45"/>
      <c r="H28" s="45"/>
      <c r="I28" s="45"/>
      <c r="J28" s="45"/>
      <c r="K28" s="45"/>
      <c r="L28" s="45"/>
      <c r="M28" s="45"/>
      <c r="N28" s="45"/>
      <c r="O28" s="87"/>
    </row>
    <row r="29" customHeight="1" spans="1:18">
      <c r="A29" s="88" t="s">
        <v>713</v>
      </c>
      <c r="B29" s="89"/>
      <c r="C29" s="89"/>
      <c r="D29" s="89"/>
      <c r="E29" s="89"/>
      <c r="F29" s="89"/>
      <c r="G29" s="89"/>
      <c r="H29" s="89"/>
      <c r="I29" s="89"/>
      <c r="J29" s="89"/>
      <c r="K29" s="89"/>
      <c r="L29" s="89"/>
      <c r="M29" s="89"/>
      <c r="N29" s="89"/>
      <c r="O29" s="87"/>
    </row>
    <row r="30" ht="22" customHeight="1" spans="1:18">
      <c r="A30" s="90" t="s">
        <v>714</v>
      </c>
      <c r="B30" s="89"/>
      <c r="C30" s="89"/>
      <c r="D30" s="89"/>
      <c r="E30" s="89"/>
      <c r="F30" s="89"/>
      <c r="G30" s="89"/>
      <c r="H30" s="89"/>
      <c r="I30" s="89"/>
      <c r="J30" s="89"/>
      <c r="K30" s="89"/>
      <c r="L30" s="89"/>
      <c r="M30" s="89"/>
      <c r="N30" s="89"/>
      <c r="O30" s="87"/>
    </row>
    <row r="31" ht="22" customHeight="1" spans="1:18">
      <c r="A31" s="90" t="s">
        <v>715</v>
      </c>
      <c r="B31" s="89"/>
      <c r="C31" s="89"/>
      <c r="D31" s="89"/>
      <c r="E31" s="89"/>
      <c r="F31" s="89"/>
      <c r="G31" s="89"/>
      <c r="H31" s="89"/>
      <c r="I31" s="89"/>
      <c r="J31" s="89"/>
      <c r="K31" s="89"/>
      <c r="L31" s="89"/>
      <c r="M31" s="89"/>
      <c r="N31" s="89"/>
      <c r="O31" s="87"/>
    </row>
    <row r="32" ht="22" customHeight="1" spans="1:18">
      <c r="A32" s="90" t="s">
        <v>716</v>
      </c>
      <c r="B32" s="89"/>
      <c r="C32" s="89"/>
      <c r="D32" s="89"/>
      <c r="E32" s="89"/>
      <c r="F32" s="89"/>
      <c r="G32" s="89"/>
      <c r="H32" s="89"/>
      <c r="I32" s="89"/>
      <c r="J32" s="89"/>
      <c r="K32" s="89"/>
      <c r="L32" s="89"/>
      <c r="M32" s="89"/>
      <c r="N32" s="89"/>
      <c r="O32" s="87"/>
    </row>
    <row r="33" ht="22" customHeight="1" spans="1:15">
      <c r="A33" s="90" t="s">
        <v>717</v>
      </c>
      <c r="B33" s="89"/>
      <c r="C33" s="89"/>
      <c r="D33" s="89"/>
      <c r="E33" s="89"/>
      <c r="F33" s="89"/>
      <c r="G33" s="89"/>
      <c r="H33" s="89"/>
      <c r="I33" s="89"/>
      <c r="J33" s="89"/>
      <c r="K33" s="89"/>
      <c r="L33" s="89"/>
      <c r="M33" s="89"/>
      <c r="N33" s="89"/>
      <c r="O33" s="87"/>
    </row>
    <row r="34" ht="22" customHeight="1" spans="1:15">
      <c r="A34" s="91" t="s">
        <v>718</v>
      </c>
      <c r="B34" s="89"/>
      <c r="C34" s="89"/>
      <c r="D34" s="89"/>
      <c r="E34" s="89"/>
      <c r="F34" s="89"/>
      <c r="G34" s="89"/>
      <c r="H34" s="89"/>
      <c r="I34" s="89"/>
      <c r="J34" s="89"/>
      <c r="K34" s="89"/>
      <c r="L34" s="89"/>
      <c r="M34" s="89"/>
      <c r="N34" s="89"/>
      <c r="O34" s="87"/>
    </row>
    <row r="35" ht="22" customHeight="1" spans="1:15">
      <c r="A35" s="92" t="s">
        <v>719</v>
      </c>
      <c r="B35" s="89"/>
      <c r="C35" s="89"/>
      <c r="D35" s="89"/>
      <c r="E35" s="89"/>
      <c r="F35" s="89"/>
      <c r="G35" s="89"/>
      <c r="H35" s="89"/>
      <c r="I35" s="89"/>
      <c r="J35" s="89"/>
      <c r="K35" s="89"/>
      <c r="L35" s="89"/>
      <c r="M35" s="89"/>
      <c r="N35" s="89"/>
      <c r="O35" s="87"/>
    </row>
    <row r="36" customHeight="1" spans="1:15">
      <c r="A36" s="93"/>
      <c r="B36" s="89"/>
      <c r="C36" s="89"/>
      <c r="D36" s="89"/>
      <c r="E36" s="89"/>
      <c r="F36" s="89"/>
      <c r="G36" s="89"/>
      <c r="H36" s="89"/>
      <c r="I36" s="89"/>
      <c r="J36" s="89"/>
      <c r="K36" s="89"/>
      <c r="L36" s="89"/>
      <c r="M36" s="89"/>
      <c r="N36" s="89"/>
      <c r="O36" s="87"/>
    </row>
    <row r="37" customHeight="1" spans="1:15">
      <c r="A37" s="89"/>
      <c r="B37" s="89"/>
      <c r="C37" s="89"/>
      <c r="D37" s="89"/>
      <c r="E37" s="89"/>
      <c r="F37" s="89"/>
      <c r="G37" s="89"/>
      <c r="H37" s="89"/>
      <c r="I37" s="89"/>
      <c r="J37" s="89"/>
      <c r="K37" s="89"/>
      <c r="L37" s="89"/>
      <c r="M37" s="89"/>
      <c r="N37" s="89"/>
      <c r="O37" s="87"/>
    </row>
    <row r="38" customHeight="1" spans="1:15">
      <c r="A38" s="89"/>
      <c r="B38" s="89"/>
      <c r="C38" s="89"/>
      <c r="D38" s="89"/>
      <c r="E38" s="89"/>
      <c r="F38" s="89"/>
      <c r="G38" s="89"/>
      <c r="H38" s="89"/>
      <c r="I38" s="89"/>
      <c r="J38" s="89"/>
      <c r="K38" s="89"/>
      <c r="L38" s="89"/>
      <c r="M38" s="89"/>
      <c r="N38" s="89"/>
      <c r="O38" s="87"/>
    </row>
    <row r="39" customHeight="1" spans="1:15">
      <c r="A39" s="89"/>
      <c r="B39" s="89"/>
      <c r="C39" s="89"/>
      <c r="D39" s="89"/>
      <c r="E39" s="89"/>
      <c r="F39" s="89"/>
      <c r="G39" s="89"/>
      <c r="H39" s="89"/>
      <c r="I39" s="89"/>
      <c r="J39" s="89"/>
      <c r="K39" s="89"/>
      <c r="L39" s="89"/>
      <c r="M39" s="89"/>
      <c r="N39" s="89"/>
      <c r="O39" s="87"/>
    </row>
    <row r="40" customHeight="1" spans="1:15">
      <c r="A40" s="89"/>
      <c r="B40" s="89"/>
      <c r="C40" s="89"/>
      <c r="D40" s="89"/>
      <c r="E40" s="89"/>
      <c r="F40" s="89"/>
      <c r="G40" s="89"/>
      <c r="H40" s="89"/>
      <c r="I40" s="89"/>
      <c r="J40" s="89"/>
      <c r="K40" s="89"/>
      <c r="L40" s="89"/>
      <c r="M40" s="89"/>
      <c r="N40" s="89"/>
      <c r="O40" s="87"/>
    </row>
    <row r="41" customHeight="1" spans="1:15">
      <c r="A41" s="89"/>
      <c r="B41" s="89"/>
      <c r="C41" s="89"/>
      <c r="D41" s="89"/>
      <c r="E41" s="89"/>
      <c r="F41" s="89"/>
      <c r="G41" s="89"/>
      <c r="H41" s="89"/>
      <c r="I41" s="89"/>
      <c r="J41" s="89"/>
      <c r="K41" s="89"/>
      <c r="L41" s="89"/>
      <c r="M41" s="89"/>
      <c r="N41" s="89"/>
      <c r="O41" s="87"/>
    </row>
    <row r="42" customHeight="1" spans="1:15">
      <c r="A42" s="89"/>
      <c r="B42" s="89"/>
      <c r="C42" s="89"/>
      <c r="D42" s="89"/>
      <c r="E42" s="89"/>
      <c r="F42" s="89"/>
      <c r="G42" s="89"/>
      <c r="H42" s="89"/>
      <c r="I42" s="89"/>
      <c r="J42" s="89"/>
      <c r="K42" s="89"/>
      <c r="L42" s="89"/>
      <c r="M42" s="89"/>
      <c r="N42" s="89"/>
      <c r="O42" s="87"/>
    </row>
    <row r="43" customHeight="1" spans="1:15">
      <c r="A43" s="89"/>
      <c r="B43" s="89"/>
      <c r="C43" s="89"/>
      <c r="D43" s="89"/>
      <c r="E43" s="89"/>
      <c r="F43" s="89"/>
      <c r="G43" s="89"/>
      <c r="H43" s="89"/>
      <c r="I43" s="89"/>
      <c r="J43" s="89"/>
      <c r="K43" s="89"/>
      <c r="L43" s="89"/>
      <c r="M43" s="89"/>
      <c r="N43" s="89"/>
      <c r="O43" s="87"/>
    </row>
    <row r="44" customHeight="1" spans="1:15">
      <c r="A44" s="89"/>
      <c r="B44" s="89"/>
      <c r="C44" s="89"/>
      <c r="D44" s="89"/>
      <c r="E44" s="89"/>
      <c r="F44" s="89"/>
      <c r="G44" s="89"/>
      <c r="H44" s="89"/>
      <c r="I44" s="89"/>
      <c r="J44" s="89"/>
      <c r="K44" s="89"/>
      <c r="L44" s="89"/>
      <c r="M44" s="89"/>
      <c r="N44" s="89"/>
      <c r="O44" s="87"/>
    </row>
    <row r="45" customHeight="1" spans="1:15">
      <c r="A45" s="89"/>
      <c r="B45" s="89"/>
      <c r="C45" s="89"/>
      <c r="D45" s="89"/>
      <c r="E45" s="89"/>
      <c r="F45" s="89"/>
      <c r="G45" s="89"/>
      <c r="H45" s="89"/>
      <c r="I45" s="89"/>
      <c r="J45" s="89"/>
      <c r="K45" s="89"/>
      <c r="L45" s="89"/>
      <c r="M45" s="89"/>
      <c r="N45" s="89"/>
      <c r="O45" s="87"/>
    </row>
    <row r="46" customHeight="1" spans="1:15">
      <c r="A46" s="89"/>
      <c r="B46" s="89"/>
      <c r="C46" s="89"/>
      <c r="D46" s="89"/>
      <c r="E46" s="89"/>
      <c r="F46" s="89"/>
      <c r="G46" s="89"/>
      <c r="H46" s="89"/>
      <c r="I46" s="89"/>
      <c r="J46" s="89"/>
      <c r="K46" s="89"/>
      <c r="L46" s="89"/>
      <c r="M46" s="89"/>
      <c r="N46" s="89"/>
      <c r="O46" s="87"/>
    </row>
    <row r="47" customHeight="1" spans="1:15">
      <c r="A47" s="89"/>
      <c r="B47" s="89"/>
      <c r="C47" s="89"/>
      <c r="D47" s="89"/>
      <c r="E47" s="89"/>
      <c r="F47" s="89"/>
      <c r="G47" s="89"/>
      <c r="H47" s="89"/>
      <c r="I47" s="89"/>
      <c r="J47" s="89"/>
      <c r="K47" s="89"/>
      <c r="L47" s="89"/>
      <c r="M47" s="89"/>
      <c r="N47" s="89"/>
      <c r="O47" s="87"/>
    </row>
    <row r="48" customHeight="1" spans="1:15">
      <c r="A48" s="89"/>
      <c r="B48" s="89"/>
      <c r="C48" s="89"/>
      <c r="D48" s="89"/>
      <c r="E48" s="89"/>
      <c r="F48" s="89"/>
      <c r="G48" s="89"/>
      <c r="H48" s="89"/>
      <c r="I48" s="89"/>
      <c r="J48" s="89"/>
      <c r="K48" s="89"/>
      <c r="L48" s="89"/>
      <c r="M48" s="89"/>
      <c r="N48" s="89"/>
      <c r="O48" s="87"/>
    </row>
    <row r="49" customHeight="1" spans="1:15">
      <c r="A49" s="89"/>
      <c r="B49" s="89"/>
      <c r="C49" s="89"/>
      <c r="D49" s="89"/>
      <c r="E49" s="89"/>
      <c r="F49" s="89"/>
      <c r="G49" s="89"/>
      <c r="H49" s="89"/>
      <c r="I49" s="89"/>
      <c r="J49" s="89"/>
      <c r="K49" s="89"/>
      <c r="L49" s="89"/>
      <c r="M49" s="89"/>
      <c r="N49" s="89"/>
      <c r="O49" s="87"/>
    </row>
    <row r="50" customHeight="1" spans="1:15">
      <c r="A50" s="89"/>
      <c r="B50" s="89"/>
      <c r="C50" s="89"/>
      <c r="D50" s="89"/>
      <c r="E50" s="89"/>
      <c r="F50" s="89"/>
      <c r="G50" s="89"/>
      <c r="H50" s="89"/>
      <c r="I50" s="89"/>
      <c r="J50" s="89"/>
      <c r="K50" s="89"/>
      <c r="L50" s="89"/>
      <c r="M50" s="89"/>
      <c r="N50" s="89"/>
      <c r="O50" s="87"/>
    </row>
    <row r="51" customHeight="1" spans="1:15">
      <c r="A51" s="89"/>
      <c r="B51" s="89"/>
      <c r="C51" s="89"/>
      <c r="D51" s="89"/>
      <c r="E51" s="89"/>
      <c r="F51" s="89"/>
      <c r="G51" s="89"/>
      <c r="H51" s="89"/>
      <c r="I51" s="89"/>
      <c r="J51" s="89"/>
      <c r="K51" s="89"/>
      <c r="L51" s="89"/>
      <c r="M51" s="89"/>
      <c r="N51" s="89"/>
      <c r="O51" s="87"/>
    </row>
    <row r="52" customHeight="1" spans="1:15">
      <c r="A52" s="89"/>
      <c r="B52" s="89"/>
      <c r="C52" s="89"/>
      <c r="D52" s="89"/>
      <c r="E52" s="89"/>
      <c r="F52" s="89"/>
      <c r="G52" s="89"/>
      <c r="H52" s="89"/>
      <c r="I52" s="89"/>
      <c r="J52" s="89"/>
      <c r="K52" s="89"/>
      <c r="L52" s="89"/>
      <c r="M52" s="89"/>
      <c r="N52" s="89"/>
      <c r="O52" s="87"/>
    </row>
    <row r="53" customHeight="1" spans="1:15">
      <c r="A53" s="89"/>
      <c r="B53" s="89"/>
      <c r="C53" s="89"/>
      <c r="D53" s="89"/>
      <c r="E53" s="89"/>
      <c r="F53" s="89"/>
      <c r="G53" s="89"/>
      <c r="H53" s="89"/>
      <c r="I53" s="89"/>
      <c r="J53" s="89"/>
      <c r="K53" s="89"/>
      <c r="L53" s="89"/>
      <c r="M53" s="89"/>
      <c r="N53" s="89"/>
      <c r="O53" s="87"/>
    </row>
    <row r="54" customHeight="1" spans="1:15">
      <c r="A54" s="89"/>
      <c r="B54" s="89"/>
      <c r="C54" s="89"/>
      <c r="D54" s="89"/>
      <c r="E54" s="89"/>
      <c r="F54" s="89"/>
      <c r="G54" s="89"/>
      <c r="H54" s="89"/>
      <c r="I54" s="89"/>
      <c r="J54" s="89"/>
      <c r="K54" s="89"/>
      <c r="L54" s="89"/>
      <c r="M54" s="89"/>
      <c r="N54" s="89"/>
      <c r="O54" s="87"/>
    </row>
    <row r="55" customHeight="1" spans="1:15">
      <c r="A55" s="89"/>
      <c r="B55" s="89"/>
      <c r="C55" s="89"/>
      <c r="D55" s="89"/>
      <c r="E55" s="89"/>
      <c r="F55" s="89"/>
      <c r="G55" s="89"/>
      <c r="H55" s="89"/>
      <c r="I55" s="89"/>
      <c r="J55" s="89"/>
      <c r="K55" s="89"/>
      <c r="L55" s="89"/>
      <c r="M55" s="89"/>
      <c r="N55" s="89"/>
      <c r="O55" s="87"/>
    </row>
    <row r="56" customHeight="1" spans="1:15">
      <c r="A56" s="89"/>
      <c r="B56" s="89"/>
      <c r="C56" s="89"/>
      <c r="D56" s="89"/>
      <c r="E56" s="89"/>
      <c r="F56" s="89"/>
      <c r="G56" s="89"/>
      <c r="H56" s="89"/>
      <c r="I56" s="89"/>
      <c r="J56" s="89"/>
      <c r="K56" s="89"/>
      <c r="L56" s="89"/>
      <c r="M56" s="89"/>
      <c r="N56" s="89"/>
      <c r="O56" s="87"/>
    </row>
    <row r="57" customHeight="1" spans="1:15">
      <c r="A57" s="89"/>
      <c r="B57" s="89"/>
      <c r="C57" s="89"/>
      <c r="D57" s="89"/>
      <c r="E57" s="89"/>
      <c r="F57" s="89"/>
      <c r="G57" s="89"/>
      <c r="H57" s="89"/>
      <c r="I57" s="89"/>
      <c r="J57" s="89"/>
      <c r="K57" s="89"/>
      <c r="L57" s="89"/>
      <c r="M57" s="89"/>
      <c r="N57" s="89"/>
      <c r="O57" s="87"/>
    </row>
    <row r="58" customHeight="1" spans="1:15">
      <c r="A58" s="89"/>
      <c r="B58" s="89"/>
      <c r="C58" s="89"/>
      <c r="D58" s="89"/>
      <c r="E58" s="89"/>
      <c r="F58" s="89"/>
      <c r="G58" s="89"/>
      <c r="H58" s="89"/>
      <c r="I58" s="89"/>
      <c r="J58" s="89"/>
      <c r="K58" s="89"/>
      <c r="L58" s="89"/>
      <c r="M58" s="89"/>
      <c r="N58" s="89"/>
      <c r="O58" s="87"/>
    </row>
    <row r="59" customHeight="1" spans="1:15">
      <c r="A59" s="89"/>
      <c r="B59" s="89"/>
      <c r="C59" s="89"/>
      <c r="D59" s="89"/>
      <c r="E59" s="89"/>
      <c r="F59" s="89"/>
      <c r="G59" s="89"/>
      <c r="H59" s="89"/>
      <c r="I59" s="89"/>
      <c r="J59" s="89"/>
      <c r="K59" s="89"/>
      <c r="L59" s="89"/>
      <c r="M59" s="89"/>
      <c r="N59" s="89"/>
      <c r="O59" s="87"/>
    </row>
    <row r="60" customHeight="1" spans="1:15">
      <c r="A60" s="89"/>
      <c r="B60" s="89"/>
      <c r="C60" s="89"/>
      <c r="D60" s="89"/>
      <c r="E60" s="89"/>
      <c r="F60" s="89"/>
      <c r="G60" s="89"/>
      <c r="H60" s="89"/>
      <c r="I60" s="89"/>
      <c r="J60" s="89"/>
      <c r="K60" s="89"/>
      <c r="L60" s="89"/>
      <c r="M60" s="89"/>
      <c r="N60" s="89"/>
      <c r="O60" s="87"/>
    </row>
    <row r="61" customHeight="1" spans="1:15">
      <c r="A61" s="89"/>
      <c r="B61" s="89"/>
      <c r="C61" s="89"/>
      <c r="D61" s="89"/>
      <c r="E61" s="89"/>
      <c r="F61" s="89"/>
      <c r="G61" s="89"/>
      <c r="H61" s="89"/>
      <c r="I61" s="89"/>
      <c r="J61" s="89"/>
      <c r="K61" s="89"/>
      <c r="L61" s="89"/>
      <c r="M61" s="89"/>
      <c r="N61" s="89"/>
      <c r="O61" s="87"/>
    </row>
    <row r="62" customHeight="1" spans="1:15">
      <c r="A62" s="89"/>
      <c r="B62" s="89"/>
      <c r="C62" s="89"/>
      <c r="D62" s="89"/>
      <c r="E62" s="89"/>
      <c r="F62" s="89"/>
      <c r="G62" s="89"/>
      <c r="H62" s="89"/>
      <c r="I62" s="89"/>
      <c r="J62" s="89"/>
      <c r="K62" s="89"/>
      <c r="L62" s="89"/>
      <c r="M62" s="89"/>
      <c r="N62" s="89"/>
      <c r="O62" s="87"/>
    </row>
    <row r="63" customHeight="1" spans="1:15">
      <c r="A63" s="89"/>
      <c r="B63" s="89"/>
      <c r="C63" s="89"/>
      <c r="D63" s="89"/>
      <c r="E63" s="89"/>
      <c r="F63" s="89"/>
      <c r="G63" s="89"/>
      <c r="H63" s="89"/>
      <c r="I63" s="89"/>
      <c r="J63" s="89"/>
      <c r="K63" s="89"/>
      <c r="L63" s="89"/>
      <c r="M63" s="89"/>
      <c r="N63" s="89"/>
      <c r="O63" s="87"/>
    </row>
    <row r="64" customHeight="1" spans="1:15">
      <c r="A64" s="89"/>
      <c r="B64" s="89"/>
      <c r="C64" s="89"/>
      <c r="D64" s="89"/>
      <c r="E64" s="89"/>
      <c r="F64" s="89"/>
      <c r="G64" s="89"/>
      <c r="H64" s="89"/>
      <c r="I64" s="89"/>
      <c r="J64" s="89"/>
      <c r="K64" s="89"/>
      <c r="L64" s="89"/>
      <c r="M64" s="89"/>
      <c r="N64" s="89"/>
      <c r="O64" s="87"/>
    </row>
    <row r="65" customHeight="1" spans="1:15">
      <c r="A65" s="89"/>
      <c r="B65" s="89"/>
      <c r="C65" s="89"/>
      <c r="D65" s="89"/>
      <c r="E65" s="89"/>
      <c r="F65" s="89"/>
      <c r="G65" s="89"/>
      <c r="H65" s="89"/>
      <c r="I65" s="89"/>
      <c r="J65" s="89"/>
      <c r="K65" s="89"/>
      <c r="L65" s="89"/>
      <c r="M65" s="89"/>
      <c r="N65" s="89"/>
      <c r="O65" s="87"/>
    </row>
    <row r="66" customHeight="1" spans="1:15">
      <c r="A66" s="89"/>
      <c r="B66" s="89"/>
      <c r="C66" s="89"/>
      <c r="D66" s="89"/>
      <c r="E66" s="89"/>
      <c r="F66" s="89"/>
      <c r="G66" s="89"/>
      <c r="H66" s="89"/>
      <c r="I66" s="89"/>
      <c r="J66" s="89"/>
      <c r="K66" s="89"/>
      <c r="L66" s="89"/>
      <c r="M66" s="89"/>
      <c r="N66" s="89"/>
      <c r="O66" s="87"/>
    </row>
    <row r="67" customHeight="1" spans="1:15">
      <c r="A67" s="89"/>
      <c r="B67" s="89"/>
      <c r="C67" s="89"/>
      <c r="D67" s="89"/>
      <c r="E67" s="89"/>
      <c r="F67" s="89"/>
      <c r="G67" s="89"/>
      <c r="H67" s="89"/>
      <c r="I67" s="89"/>
      <c r="J67" s="89"/>
      <c r="K67" s="89"/>
      <c r="L67" s="89"/>
      <c r="M67" s="89"/>
      <c r="N67" s="89"/>
      <c r="O67" s="87"/>
    </row>
    <row r="68" customHeight="1" spans="1:15">
      <c r="A68" s="89"/>
      <c r="B68" s="89"/>
      <c r="C68" s="89"/>
      <c r="D68" s="89"/>
      <c r="E68" s="89"/>
      <c r="F68" s="89"/>
      <c r="G68" s="89"/>
      <c r="H68" s="89"/>
      <c r="I68" s="89"/>
      <c r="J68" s="89"/>
      <c r="K68" s="89"/>
      <c r="L68" s="89"/>
      <c r="M68" s="89"/>
      <c r="N68" s="89"/>
      <c r="O68" s="87"/>
    </row>
    <row r="69" customHeight="1" spans="1:15">
      <c r="A69" s="89"/>
      <c r="B69" s="89"/>
      <c r="C69" s="89"/>
      <c r="D69" s="89"/>
      <c r="E69" s="89"/>
      <c r="F69" s="89"/>
      <c r="G69" s="89"/>
      <c r="H69" s="89"/>
      <c r="I69" s="89"/>
      <c r="J69" s="89"/>
      <c r="K69" s="89"/>
      <c r="L69" s="89"/>
      <c r="M69" s="89"/>
      <c r="N69" s="89"/>
      <c r="O69" s="87"/>
    </row>
    <row r="70" customHeight="1" spans="1:15">
      <c r="A70" s="89"/>
      <c r="B70" s="89"/>
      <c r="C70" s="89"/>
      <c r="D70" s="89"/>
      <c r="E70" s="89"/>
      <c r="F70" s="89"/>
      <c r="G70" s="89"/>
      <c r="H70" s="89"/>
      <c r="I70" s="89"/>
      <c r="J70" s="89"/>
      <c r="K70" s="89"/>
      <c r="L70" s="89"/>
      <c r="M70" s="89"/>
      <c r="N70" s="89"/>
      <c r="O70" s="87"/>
    </row>
    <row r="71" customHeight="1" spans="1:15">
      <c r="A71" s="89"/>
      <c r="B71" s="89"/>
      <c r="C71" s="89"/>
      <c r="D71" s="89"/>
      <c r="E71" s="89"/>
      <c r="F71" s="89"/>
      <c r="G71" s="89"/>
      <c r="H71" s="89"/>
      <c r="I71" s="89"/>
      <c r="J71" s="89"/>
      <c r="K71" s="89"/>
      <c r="L71" s="89"/>
      <c r="M71" s="89"/>
      <c r="N71" s="89"/>
      <c r="O71" s="87"/>
    </row>
    <row r="72" customHeight="1" spans="1:15">
      <c r="A72" s="89"/>
      <c r="B72" s="89"/>
      <c r="C72" s="89"/>
      <c r="D72" s="89"/>
      <c r="E72" s="89"/>
      <c r="F72" s="89"/>
      <c r="G72" s="89"/>
      <c r="H72" s="89"/>
      <c r="I72" s="89"/>
      <c r="J72" s="89"/>
      <c r="K72" s="89"/>
      <c r="L72" s="89"/>
      <c r="M72" s="89"/>
      <c r="N72" s="89"/>
      <c r="O72" s="87"/>
    </row>
    <row r="73" customHeight="1" spans="1:15">
      <c r="A73" s="89"/>
      <c r="B73" s="89"/>
      <c r="C73" s="89"/>
      <c r="D73" s="89"/>
      <c r="E73" s="89"/>
      <c r="F73" s="89"/>
      <c r="G73" s="89"/>
      <c r="H73" s="89"/>
      <c r="I73" s="89"/>
      <c r="J73" s="89"/>
      <c r="K73" s="89"/>
      <c r="L73" s="89"/>
      <c r="M73" s="89"/>
      <c r="N73" s="89"/>
      <c r="O73" s="87"/>
    </row>
    <row r="74" customHeight="1" spans="1:15">
      <c r="A74" s="89"/>
      <c r="B74" s="89"/>
      <c r="C74" s="89"/>
      <c r="D74" s="89"/>
      <c r="E74" s="89"/>
      <c r="F74" s="89"/>
      <c r="G74" s="89"/>
      <c r="H74" s="89"/>
      <c r="I74" s="89"/>
      <c r="J74" s="89"/>
      <c r="K74" s="89"/>
      <c r="L74" s="89"/>
      <c r="M74" s="89"/>
      <c r="N74" s="89"/>
      <c r="O74" s="87"/>
    </row>
    <row r="75" customHeight="1" spans="1:15">
      <c r="A75" s="89"/>
      <c r="B75" s="89"/>
      <c r="C75" s="89"/>
      <c r="D75" s="89"/>
      <c r="E75" s="89"/>
      <c r="F75" s="89"/>
      <c r="G75" s="89"/>
      <c r="H75" s="89"/>
      <c r="I75" s="89"/>
      <c r="J75" s="89"/>
      <c r="K75" s="89"/>
      <c r="L75" s="89"/>
      <c r="M75" s="89"/>
      <c r="N75" s="89"/>
      <c r="O75" s="87"/>
    </row>
    <row r="76" customHeight="1" spans="1:15">
      <c r="A76" s="89"/>
      <c r="B76" s="89"/>
      <c r="C76" s="89"/>
      <c r="D76" s="89"/>
      <c r="E76" s="89"/>
      <c r="F76" s="89"/>
      <c r="G76" s="89"/>
      <c r="H76" s="89"/>
      <c r="I76" s="89"/>
      <c r="J76" s="89"/>
      <c r="K76" s="89"/>
      <c r="L76" s="89"/>
      <c r="M76" s="89"/>
      <c r="N76" s="89"/>
      <c r="O76" s="87"/>
    </row>
    <row r="77" customHeight="1" spans="1:15">
      <c r="A77" s="89"/>
      <c r="B77" s="89"/>
      <c r="C77" s="89"/>
      <c r="D77" s="89"/>
      <c r="E77" s="89"/>
      <c r="F77" s="89"/>
      <c r="G77" s="89"/>
      <c r="H77" s="89"/>
      <c r="I77" s="89"/>
      <c r="J77" s="89"/>
      <c r="K77" s="89"/>
      <c r="L77" s="89"/>
      <c r="M77" s="89"/>
      <c r="N77" s="89"/>
      <c r="O77" s="87"/>
    </row>
    <row r="78" customHeight="1" spans="1:15">
      <c r="A78" s="89"/>
      <c r="B78" s="89"/>
      <c r="C78" s="89"/>
      <c r="D78" s="89"/>
      <c r="E78" s="89"/>
      <c r="F78" s="89"/>
      <c r="G78" s="89"/>
      <c r="H78" s="89"/>
      <c r="I78" s="89"/>
      <c r="J78" s="89"/>
      <c r="K78" s="89"/>
      <c r="L78" s="89"/>
      <c r="M78" s="89"/>
      <c r="N78" s="89"/>
      <c r="O78" s="87"/>
    </row>
    <row r="79" customHeight="1" spans="1:15">
      <c r="A79" s="89"/>
      <c r="B79" s="89"/>
      <c r="C79" s="89"/>
      <c r="D79" s="89"/>
      <c r="E79" s="89"/>
      <c r="F79" s="89"/>
      <c r="G79" s="89"/>
      <c r="H79" s="89"/>
      <c r="I79" s="89"/>
      <c r="J79" s="89"/>
      <c r="K79" s="89"/>
      <c r="L79" s="89"/>
      <c r="M79" s="89"/>
      <c r="N79" s="89"/>
      <c r="O79" s="87"/>
    </row>
    <row r="80" customHeight="1" spans="1:15">
      <c r="A80" s="89"/>
      <c r="B80" s="89"/>
      <c r="C80" s="89"/>
      <c r="D80" s="89"/>
      <c r="E80" s="89"/>
      <c r="F80" s="89"/>
      <c r="G80" s="89"/>
      <c r="H80" s="89"/>
      <c r="I80" s="89"/>
      <c r="J80" s="89"/>
      <c r="K80" s="89"/>
      <c r="L80" s="89"/>
      <c r="M80" s="89"/>
      <c r="N80" s="89"/>
      <c r="O80" s="87"/>
    </row>
    <row r="81" customHeight="1" spans="1:15">
      <c r="A81" s="89"/>
      <c r="B81" s="89"/>
      <c r="C81" s="89"/>
      <c r="D81" s="89"/>
      <c r="E81" s="89"/>
      <c r="F81" s="89"/>
      <c r="G81" s="89"/>
      <c r="H81" s="89"/>
      <c r="I81" s="89"/>
      <c r="J81" s="89"/>
      <c r="K81" s="89"/>
      <c r="L81" s="89"/>
      <c r="M81" s="89"/>
      <c r="N81" s="89"/>
      <c r="O81" s="87"/>
    </row>
    <row r="82" customHeight="1" spans="1:15">
      <c r="A82" s="89"/>
      <c r="B82" s="89"/>
      <c r="C82" s="89"/>
      <c r="D82" s="89"/>
      <c r="E82" s="89"/>
      <c r="F82" s="89"/>
      <c r="G82" s="89"/>
      <c r="H82" s="89"/>
      <c r="I82" s="89"/>
      <c r="J82" s="89"/>
      <c r="K82" s="89"/>
      <c r="L82" s="89"/>
      <c r="M82" s="89"/>
      <c r="N82" s="89"/>
      <c r="O82" s="87"/>
    </row>
    <row r="83" customHeight="1" spans="1:15">
      <c r="A83" s="89"/>
      <c r="B83" s="89"/>
      <c r="C83" s="89"/>
      <c r="D83" s="89"/>
      <c r="E83" s="89"/>
      <c r="F83" s="89"/>
      <c r="G83" s="89"/>
      <c r="H83" s="89"/>
      <c r="I83" s="89"/>
      <c r="J83" s="89"/>
      <c r="K83" s="89"/>
      <c r="L83" s="89"/>
      <c r="M83" s="89"/>
      <c r="N83" s="89"/>
      <c r="O83" s="87"/>
    </row>
    <row r="84" customHeight="1" spans="1:15">
      <c r="A84" s="89"/>
      <c r="B84" s="89"/>
      <c r="C84" s="89"/>
      <c r="D84" s="89"/>
      <c r="E84" s="89"/>
      <c r="F84" s="89"/>
      <c r="G84" s="89"/>
      <c r="H84" s="89"/>
      <c r="I84" s="89"/>
      <c r="J84" s="89"/>
      <c r="K84" s="89"/>
      <c r="L84" s="89"/>
      <c r="M84" s="89"/>
      <c r="N84" s="89"/>
      <c r="O84" s="87"/>
    </row>
    <row r="85" customHeight="1" spans="1:15">
      <c r="A85" s="89"/>
      <c r="B85" s="89"/>
      <c r="C85" s="89"/>
      <c r="D85" s="89"/>
      <c r="E85" s="89"/>
      <c r="F85" s="89"/>
      <c r="G85" s="89"/>
      <c r="H85" s="89"/>
      <c r="I85" s="89"/>
      <c r="J85" s="89"/>
      <c r="K85" s="89"/>
      <c r="L85" s="89"/>
      <c r="M85" s="89"/>
      <c r="N85" s="89"/>
      <c r="O85" s="87"/>
    </row>
    <row r="86" customHeight="1" spans="1:15">
      <c r="A86" s="89"/>
      <c r="B86" s="89"/>
      <c r="C86" s="89"/>
      <c r="D86" s="89"/>
      <c r="E86" s="89"/>
      <c r="F86" s="89"/>
      <c r="G86" s="89"/>
      <c r="H86" s="89"/>
      <c r="I86" s="89"/>
      <c r="J86" s="89"/>
      <c r="K86" s="89"/>
      <c r="L86" s="89"/>
      <c r="M86" s="89"/>
      <c r="N86" s="89"/>
      <c r="O86" s="87"/>
    </row>
    <row r="87" customHeight="1" spans="1:15">
      <c r="A87" s="89"/>
      <c r="B87" s="89"/>
      <c r="C87" s="89"/>
      <c r="D87" s="89"/>
      <c r="E87" s="89"/>
      <c r="F87" s="89"/>
      <c r="G87" s="89"/>
      <c r="H87" s="89"/>
      <c r="I87" s="89"/>
      <c r="J87" s="89"/>
      <c r="K87" s="89"/>
      <c r="L87" s="89"/>
      <c r="M87" s="89"/>
      <c r="N87" s="89"/>
      <c r="O87" s="87"/>
    </row>
    <row r="88" customHeight="1" spans="1:15">
      <c r="A88" s="89"/>
      <c r="B88" s="89"/>
      <c r="C88" s="89"/>
      <c r="D88" s="89"/>
      <c r="E88" s="89"/>
      <c r="F88" s="89"/>
      <c r="G88" s="89"/>
      <c r="H88" s="89"/>
      <c r="I88" s="89"/>
      <c r="J88" s="89"/>
      <c r="K88" s="89"/>
      <c r="L88" s="89"/>
      <c r="M88" s="89"/>
      <c r="N88" s="89"/>
      <c r="O88" s="87"/>
    </row>
    <row r="89" customHeight="1" spans="1:15">
      <c r="A89" s="89"/>
      <c r="B89" s="89"/>
      <c r="C89" s="89"/>
      <c r="D89" s="89"/>
      <c r="E89" s="89"/>
      <c r="F89" s="89"/>
      <c r="G89" s="89"/>
      <c r="H89" s="89"/>
      <c r="I89" s="89"/>
      <c r="J89" s="89"/>
      <c r="K89" s="89"/>
      <c r="L89" s="89"/>
      <c r="M89" s="89"/>
      <c r="N89" s="89"/>
      <c r="O89" s="87"/>
    </row>
    <row r="90" customHeight="1" spans="1:15">
      <c r="A90" s="89"/>
      <c r="B90" s="89"/>
      <c r="C90" s="89"/>
      <c r="D90" s="89"/>
      <c r="E90" s="89"/>
      <c r="F90" s="89"/>
      <c r="G90" s="89"/>
      <c r="H90" s="89"/>
      <c r="I90" s="89"/>
      <c r="J90" s="89"/>
      <c r="K90" s="89"/>
      <c r="L90" s="89"/>
      <c r="M90" s="89"/>
      <c r="N90" s="89"/>
      <c r="O90" s="87"/>
    </row>
    <row r="91" customHeight="1" spans="1:15">
      <c r="A91" s="89"/>
      <c r="B91" s="89"/>
      <c r="C91" s="89"/>
      <c r="D91" s="89"/>
      <c r="E91" s="89"/>
      <c r="F91" s="89"/>
      <c r="G91" s="89"/>
      <c r="H91" s="89"/>
      <c r="I91" s="89"/>
      <c r="J91" s="89"/>
      <c r="K91" s="89"/>
      <c r="L91" s="89"/>
      <c r="M91" s="89"/>
      <c r="N91" s="89"/>
      <c r="O91" s="87"/>
    </row>
    <row r="92" customHeight="1" spans="1:15">
      <c r="A92" s="89"/>
      <c r="B92" s="89"/>
      <c r="C92" s="89"/>
      <c r="D92" s="89"/>
      <c r="E92" s="89"/>
      <c r="F92" s="89"/>
      <c r="G92" s="89"/>
      <c r="H92" s="89"/>
      <c r="I92" s="89"/>
      <c r="J92" s="89"/>
      <c r="K92" s="89"/>
      <c r="L92" s="89"/>
      <c r="M92" s="89"/>
      <c r="N92" s="89"/>
      <c r="O92" s="87"/>
    </row>
    <row r="93" customHeight="1" spans="1:15">
      <c r="A93" s="89"/>
      <c r="B93" s="89"/>
      <c r="C93" s="89"/>
      <c r="D93" s="89"/>
      <c r="E93" s="89"/>
      <c r="F93" s="89"/>
      <c r="G93" s="89"/>
      <c r="H93" s="89"/>
      <c r="I93" s="89"/>
      <c r="J93" s="89"/>
      <c r="K93" s="89"/>
      <c r="L93" s="89"/>
      <c r="M93" s="89"/>
      <c r="N93" s="89"/>
      <c r="O93" s="87"/>
    </row>
    <row r="94" customHeight="1" spans="1:15">
      <c r="A94" s="89"/>
      <c r="B94" s="89"/>
      <c r="C94" s="89"/>
      <c r="D94" s="89"/>
      <c r="E94" s="89"/>
      <c r="F94" s="89"/>
      <c r="G94" s="89"/>
      <c r="H94" s="89"/>
      <c r="I94" s="89"/>
      <c r="J94" s="89"/>
      <c r="K94" s="89"/>
      <c r="L94" s="89"/>
      <c r="M94" s="89"/>
      <c r="N94" s="89"/>
      <c r="O94" s="87"/>
    </row>
    <row r="95" customHeight="1" spans="1:15">
      <c r="A95" s="89"/>
      <c r="B95" s="89"/>
      <c r="C95" s="89"/>
      <c r="D95" s="89"/>
      <c r="E95" s="89"/>
      <c r="F95" s="89"/>
      <c r="G95" s="89"/>
      <c r="H95" s="89"/>
      <c r="I95" s="89"/>
      <c r="J95" s="89"/>
      <c r="K95" s="89"/>
      <c r="L95" s="89"/>
      <c r="M95" s="89"/>
      <c r="N95" s="89"/>
      <c r="O95" s="87"/>
    </row>
    <row r="96" customHeight="1" spans="1:15">
      <c r="A96" s="89"/>
      <c r="B96" s="89"/>
      <c r="C96" s="89"/>
      <c r="D96" s="89"/>
      <c r="E96" s="89"/>
      <c r="F96" s="89"/>
      <c r="G96" s="89"/>
      <c r="H96" s="89"/>
      <c r="I96" s="89"/>
      <c r="J96" s="89"/>
      <c r="K96" s="89"/>
      <c r="L96" s="89"/>
      <c r="M96" s="89"/>
      <c r="N96" s="89"/>
      <c r="O96" s="87"/>
    </row>
    <row r="97" customHeight="1" spans="1:15">
      <c r="A97" s="89"/>
      <c r="B97" s="89"/>
      <c r="C97" s="89"/>
      <c r="D97" s="89"/>
      <c r="E97" s="89"/>
      <c r="F97" s="89"/>
      <c r="G97" s="89"/>
      <c r="H97" s="89"/>
      <c r="I97" s="89"/>
      <c r="J97" s="89"/>
      <c r="K97" s="89"/>
      <c r="L97" s="89"/>
      <c r="M97" s="89"/>
      <c r="N97" s="89"/>
      <c r="O97" s="87"/>
    </row>
    <row r="98" customHeight="1" spans="1:15">
      <c r="A98" s="89"/>
      <c r="B98" s="89"/>
      <c r="C98" s="89"/>
      <c r="D98" s="89"/>
      <c r="E98" s="89"/>
      <c r="F98" s="89"/>
      <c r="G98" s="89"/>
      <c r="H98" s="89"/>
      <c r="I98" s="89"/>
      <c r="J98" s="89"/>
      <c r="K98" s="89"/>
      <c r="L98" s="89"/>
      <c r="M98" s="89"/>
      <c r="N98" s="89"/>
      <c r="O98" s="87"/>
    </row>
    <row r="99" customHeight="1" spans="1:15">
      <c r="A99" s="89"/>
      <c r="B99" s="89"/>
      <c r="C99" s="89"/>
      <c r="D99" s="89"/>
      <c r="E99" s="89"/>
      <c r="F99" s="89"/>
      <c r="G99" s="89"/>
      <c r="H99" s="89"/>
      <c r="I99" s="89"/>
      <c r="J99" s="89"/>
      <c r="K99" s="89"/>
      <c r="L99" s="89"/>
      <c r="M99" s="89"/>
      <c r="N99" s="89"/>
      <c r="O99" s="87"/>
    </row>
  </sheetData>
  <mergeCells count="3">
    <mergeCell ref="A1:R1"/>
    <mergeCell ref="A2:R2"/>
    <mergeCell ref="A20:D20"/>
  </mergeCells>
  <dataValidations count="3">
    <dataValidation type="list" allowBlank="1" sqref="B10:B19">
      <formula1>"房屋建筑物,机器设备,运输工具,办公设备,其他"</formula1>
    </dataValidation>
    <dataValidation type="list" allowBlank="1" error="请选择：是 / 否 / 待核实" sqref="O10:O19">
      <formula1>"是,否,待核实"</formula1>
    </dataValidation>
    <dataValidation type="list" allowBlank="1" error="请选择核查结论" sqref="Q10:Q19">
      <formula1>"符合简化条件,不符合应确认ROU,待核实"</formula1>
    </dataValidation>
  </dataValidations>
  <hyperlinks>
    <hyperlink ref="O3" location="底稿目录!A1" display="H8-13"/>
  </hyperlinks>
  <printOptions horizontalCentered="1"/>
  <pageMargins left="0.708661417322835" right="0.708661417322835" top="0.748031496062992" bottom="0.748031496062992" header="0.31496062992126" footer="0.31496062992126"/>
  <pageSetup paperSize="9" scale="59" orientation="landscape" blackAndWhite="1"/>
  <headerFooter>
    <oddFooter>&amp;C&amp;P/&amp;N</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45"/>
  <sheetViews>
    <sheetView view="pageBreakPreview" zoomScaleNormal="100" workbookViewId="0">
      <selection activeCell="O3" sqref="O3"/>
    </sheetView>
  </sheetViews>
  <sheetFormatPr defaultColWidth="9" defaultRowHeight="19.95" customHeight="1"/>
  <cols>
    <col min="1" max="1" width="18" style="3" customWidth="1"/>
    <col min="2" max="2" width="11.8" style="3" customWidth="1"/>
    <col min="3" max="4" width="8.8" style="3" customWidth="1"/>
    <col min="5" max="5" width="13.9" style="3" customWidth="1"/>
    <col min="6" max="6" width="13.5" style="3" customWidth="1"/>
    <col min="7" max="8" width="14.8" style="3" customWidth="1"/>
    <col min="9" max="9" width="9" style="3" customWidth="1"/>
    <col min="10" max="10" width="16.2" style="3" customWidth="1"/>
    <col min="11" max="11" width="12.1" style="3" customWidth="1"/>
    <col min="12" max="12" width="8.8" style="3" customWidth="1"/>
    <col min="13" max="13" width="9.7" style="3" customWidth="1"/>
    <col min="14" max="16384" width="8.8" style="3" customWidth="1"/>
  </cols>
  <sheetData>
    <row r="1" s="1" customFormat="1" customHeight="1" spans="1:15">
      <c r="A1" s="4" t="s">
        <v>58</v>
      </c>
      <c r="B1"/>
      <c r="C1"/>
      <c r="D1"/>
      <c r="E1"/>
      <c r="F1"/>
      <c r="G1"/>
      <c r="H1"/>
      <c r="I1"/>
      <c r="J1"/>
      <c r="K1"/>
      <c r="L1"/>
      <c r="M1"/>
      <c r="N1"/>
      <c r="O1"/>
    </row>
    <row r="2" s="2" customFormat="1" customHeight="1" spans="1:15">
      <c r="A2" s="5" t="s">
        <v>720</v>
      </c>
      <c r="B2"/>
      <c r="C2"/>
      <c r="D2"/>
      <c r="E2"/>
      <c r="F2"/>
      <c r="G2"/>
      <c r="H2"/>
      <c r="I2"/>
      <c r="J2"/>
      <c r="K2"/>
      <c r="L2"/>
      <c r="M2"/>
      <c r="N2"/>
      <c r="O2"/>
    </row>
    <row r="3" customHeight="1" spans="1:15">
      <c r="A3" s="3" t="str">
        <f>底稿目录!A2</f>
        <v>被审计单位：</v>
      </c>
      <c r="E3" s="6"/>
      <c r="F3" s="3" t="str">
        <f>底稿目录!A4</f>
        <v>编制人：</v>
      </c>
      <c r="J3" s="3" t="str">
        <f>底稿目录!A6</f>
        <v>编制日期：</v>
      </c>
      <c r="N3" s="7" t="s">
        <v>59</v>
      </c>
      <c r="O3" s="8" t="s">
        <v>56</v>
      </c>
    </row>
    <row r="4" customHeight="1" spans="1:15">
      <c r="A4" s="3" t="str">
        <f>底稿目录!A3</f>
        <v>截止日：202X年12月31日</v>
      </c>
      <c r="E4" s="6"/>
      <c r="F4" s="3" t="str">
        <f>底稿目录!A5</f>
        <v>复核人：</v>
      </c>
      <c r="J4" s="3" t="str">
        <f>底稿目录!A7</f>
        <v>复核日期：</v>
      </c>
      <c r="N4" s="7" t="s">
        <v>60</v>
      </c>
      <c r="O4" s="9"/>
    </row>
    <row r="5" customHeight="1" spans="1:15">
      <c r="A5" s="10" t="s">
        <v>721</v>
      </c>
      <c r="B5" s="10"/>
      <c r="C5" s="10"/>
      <c r="D5" s="11"/>
      <c r="E5" s="11"/>
      <c r="F5" s="11"/>
      <c r="G5" s="11"/>
      <c r="H5" s="11"/>
      <c r="I5" s="11"/>
      <c r="J5" s="11"/>
      <c r="K5" s="11"/>
      <c r="L5" s="11"/>
      <c r="M5" s="12"/>
      <c r="N5" s="12"/>
      <c r="O5" s="12"/>
    </row>
    <row r="6" s="3" customFormat="1" ht="36" customHeight="1" spans="1:15">
      <c r="A6" s="13" t="s">
        <v>722</v>
      </c>
    </row>
    <row r="7" s="3" customFormat="1" ht="34.2" customHeight="1" spans="1:15">
      <c r="A7" s="14" t="s">
        <v>723</v>
      </c>
    </row>
    <row r="8" customHeight="1" spans="1:15">
      <c r="A8" s="10" t="s">
        <v>193</v>
      </c>
      <c r="B8" s="12"/>
      <c r="C8" s="12"/>
      <c r="D8" s="15"/>
      <c r="E8" s="11"/>
      <c r="F8" s="11"/>
      <c r="G8" s="11"/>
      <c r="H8" s="11"/>
      <c r="I8" s="11"/>
      <c r="J8" s="11"/>
      <c r="K8" s="11"/>
      <c r="L8" s="11"/>
      <c r="M8" s="12"/>
      <c r="N8" s="12"/>
      <c r="O8" s="12"/>
    </row>
    <row r="9" customHeight="1" spans="1:15">
      <c r="A9" s="10" t="s">
        <v>724</v>
      </c>
      <c r="B9" s="12"/>
      <c r="C9" s="12"/>
      <c r="D9" s="15"/>
      <c r="E9" s="11"/>
      <c r="F9" s="11"/>
      <c r="G9" s="11"/>
      <c r="H9" s="11"/>
      <c r="I9" s="11"/>
      <c r="J9" s="11"/>
      <c r="K9" s="11"/>
      <c r="L9" s="11"/>
      <c r="M9" s="12"/>
      <c r="N9" s="12"/>
      <c r="O9" s="12"/>
    </row>
    <row r="10" ht="32.4" customHeight="1" spans="1:15">
      <c r="A10" s="16" t="s">
        <v>725</v>
      </c>
      <c r="B10" s="16" t="s">
        <v>726</v>
      </c>
      <c r="C10" s="17" t="s">
        <v>727</v>
      </c>
      <c r="D10" s="17" t="s">
        <v>728</v>
      </c>
      <c r="E10" s="17" t="s">
        <v>729</v>
      </c>
      <c r="F10" s="17" t="s">
        <v>730</v>
      </c>
      <c r="G10" s="17" t="s">
        <v>731</v>
      </c>
      <c r="H10" s="17" t="s">
        <v>732</v>
      </c>
      <c r="I10" s="17" t="s">
        <v>733</v>
      </c>
      <c r="J10" s="17" t="s">
        <v>734</v>
      </c>
      <c r="K10" s="17" t="s">
        <v>735</v>
      </c>
      <c r="L10" s="17" t="s">
        <v>736</v>
      </c>
      <c r="M10" s="18" t="s">
        <v>737</v>
      </c>
      <c r="N10" s="18" t="s">
        <v>6</v>
      </c>
      <c r="O10" s="18" t="s">
        <v>5</v>
      </c>
    </row>
    <row r="11" customHeight="1" spans="1:15">
      <c r="A11" s="19"/>
      <c r="B11" s="19"/>
      <c r="C11" s="20"/>
      <c r="D11" s="20"/>
      <c r="E11" s="21"/>
      <c r="F11" s="22"/>
      <c r="G11" s="22"/>
      <c r="H11" s="22"/>
      <c r="I11" s="22"/>
      <c r="J11" s="22"/>
      <c r="K11" s="22"/>
      <c r="L11" s="20"/>
      <c r="M11" s="23"/>
      <c r="N11" s="20"/>
      <c r="O11" s="24"/>
    </row>
    <row r="12" customHeight="1" spans="1:15">
      <c r="A12" s="19"/>
      <c r="B12" s="19"/>
      <c r="C12" s="20"/>
      <c r="D12" s="20"/>
      <c r="E12" s="21"/>
      <c r="F12" s="22"/>
      <c r="G12" s="22"/>
      <c r="H12" s="22"/>
      <c r="I12" s="22"/>
      <c r="J12" s="22"/>
      <c r="K12" s="22"/>
      <c r="L12" s="20"/>
      <c r="M12" s="23"/>
      <c r="N12" s="20"/>
      <c r="O12" s="24"/>
    </row>
    <row r="13" customHeight="1" spans="1:15">
      <c r="A13" s="19"/>
      <c r="B13" s="19"/>
      <c r="C13" s="20"/>
      <c r="D13" s="20"/>
      <c r="E13" s="21"/>
      <c r="F13" s="22"/>
      <c r="G13" s="22"/>
      <c r="H13" s="22"/>
      <c r="I13" s="22"/>
      <c r="J13" s="22"/>
      <c r="K13" s="22"/>
      <c r="L13" s="20"/>
      <c r="M13" s="23"/>
      <c r="N13" s="20"/>
      <c r="O13" s="24"/>
    </row>
    <row r="14" customHeight="1" spans="1:15">
      <c r="A14" s="19"/>
      <c r="B14" s="19"/>
      <c r="C14" s="20"/>
      <c r="D14" s="20"/>
      <c r="E14" s="21"/>
      <c r="F14" s="22"/>
      <c r="G14" s="22"/>
      <c r="H14" s="22"/>
      <c r="I14" s="22"/>
      <c r="J14" s="22"/>
      <c r="K14" s="22"/>
      <c r="L14" s="20"/>
      <c r="M14" s="23"/>
      <c r="N14" s="20"/>
      <c r="O14" s="24"/>
    </row>
    <row r="15" customHeight="1" spans="1:15">
      <c r="A15" s="19"/>
      <c r="B15" s="19"/>
      <c r="C15" s="20"/>
      <c r="D15" s="20"/>
      <c r="E15" s="21"/>
      <c r="F15" s="22"/>
      <c r="G15" s="22"/>
      <c r="H15" s="22"/>
      <c r="I15" s="22"/>
      <c r="J15" s="22"/>
      <c r="K15" s="22"/>
      <c r="L15" s="20"/>
      <c r="M15" s="23"/>
      <c r="N15" s="20"/>
      <c r="O15" s="24"/>
    </row>
    <row r="16" customHeight="1" spans="1:15">
      <c r="A16" s="19"/>
      <c r="B16" s="19"/>
      <c r="C16" s="20"/>
      <c r="D16" s="20"/>
      <c r="E16" s="21"/>
      <c r="F16" s="22"/>
      <c r="G16" s="22"/>
      <c r="H16" s="22"/>
      <c r="I16" s="22"/>
      <c r="J16" s="22"/>
      <c r="K16" s="22"/>
      <c r="L16" s="20"/>
      <c r="M16" s="23"/>
      <c r="N16" s="20"/>
      <c r="O16" s="24"/>
    </row>
    <row r="18" customHeight="1" spans="1:12">
      <c r="A18" s="25" t="s">
        <v>738</v>
      </c>
    </row>
    <row r="19" ht="24" customHeight="1" spans="1:12">
      <c r="A19" s="26" t="s">
        <v>739</v>
      </c>
      <c r="B19" s="17" t="s">
        <v>740</v>
      </c>
      <c r="C19" s="17" t="s">
        <v>727</v>
      </c>
      <c r="D19" s="17" t="s">
        <v>728</v>
      </c>
      <c r="E19" s="17" t="s">
        <v>729</v>
      </c>
      <c r="F19" s="17" t="s">
        <v>741</v>
      </c>
      <c r="G19" s="17" t="s">
        <v>742</v>
      </c>
      <c r="H19" s="17" t="s">
        <v>743</v>
      </c>
      <c r="I19" s="17" t="s">
        <v>736</v>
      </c>
      <c r="J19" s="18" t="s">
        <v>737</v>
      </c>
      <c r="K19" s="18" t="s">
        <v>6</v>
      </c>
      <c r="L19" s="18" t="s">
        <v>5</v>
      </c>
    </row>
    <row r="20" customHeight="1" spans="1:12">
      <c r="A20" s="19"/>
      <c r="B20" s="19"/>
      <c r="C20" s="20"/>
      <c r="D20" s="20"/>
      <c r="E20" s="21"/>
      <c r="F20" s="22"/>
      <c r="G20" s="22"/>
      <c r="H20" s="22"/>
      <c r="I20" s="20"/>
      <c r="J20" s="23"/>
      <c r="K20" s="20"/>
      <c r="L20" s="24"/>
    </row>
    <row r="21" customHeight="1" spans="1:12">
      <c r="A21" s="19"/>
      <c r="B21" s="19"/>
      <c r="C21" s="20"/>
      <c r="D21" s="20"/>
      <c r="E21" s="21"/>
      <c r="F21" s="22"/>
      <c r="G21" s="22"/>
      <c r="H21" s="22"/>
      <c r="I21" s="20"/>
      <c r="J21" s="23"/>
      <c r="K21" s="20"/>
      <c r="L21" s="24"/>
    </row>
    <row r="22" customHeight="1" spans="1:12">
      <c r="A22" s="19"/>
      <c r="B22" s="19"/>
      <c r="C22" s="20"/>
      <c r="D22" s="20"/>
      <c r="E22" s="21"/>
      <c r="F22" s="22"/>
      <c r="G22" s="22"/>
      <c r="H22" s="22"/>
      <c r="I22" s="20"/>
      <c r="J22" s="23"/>
      <c r="K22" s="20"/>
      <c r="L22" s="24"/>
    </row>
    <row r="23" customHeight="1" spans="1:12">
      <c r="A23" s="19"/>
      <c r="B23" s="19"/>
      <c r="C23" s="20"/>
      <c r="D23" s="20"/>
      <c r="E23" s="21"/>
      <c r="F23" s="22"/>
      <c r="G23" s="22"/>
      <c r="H23" s="22"/>
      <c r="I23" s="20"/>
      <c r="J23" s="23"/>
      <c r="K23" s="20"/>
      <c r="L23" s="24"/>
    </row>
    <row r="24" customHeight="1" spans="1:12">
      <c r="A24" s="19"/>
      <c r="B24" s="19"/>
      <c r="C24" s="20"/>
      <c r="D24" s="20"/>
      <c r="E24" s="21"/>
      <c r="F24" s="22"/>
      <c r="G24" s="22"/>
      <c r="H24" s="22"/>
      <c r="I24" s="20"/>
      <c r="J24" s="23"/>
      <c r="K24" s="20"/>
      <c r="L24" s="24"/>
    </row>
    <row r="25" customHeight="1" spans="1:12">
      <c r="A25" s="19"/>
      <c r="B25" s="19"/>
      <c r="C25" s="20"/>
      <c r="D25" s="20"/>
      <c r="E25" s="21"/>
      <c r="F25" s="22"/>
      <c r="G25" s="22"/>
      <c r="H25" s="22"/>
      <c r="I25" s="20"/>
      <c r="J25" s="23"/>
      <c r="K25" s="20"/>
      <c r="L25" s="24"/>
    </row>
    <row r="26" customHeight="1" spans="1:12">
      <c r="A26" s="19"/>
      <c r="B26" s="19"/>
      <c r="C26" s="20"/>
      <c r="D26" s="20"/>
      <c r="E26" s="21"/>
      <c r="F26" s="22"/>
      <c r="G26" s="22"/>
      <c r="H26" s="22"/>
      <c r="I26" s="20"/>
      <c r="J26" s="23"/>
      <c r="K26" s="20"/>
      <c r="L26" s="24"/>
    </row>
    <row r="27" customHeight="1" spans="1:12">
      <c r="A27" s="10" t="s">
        <v>212</v>
      </c>
    </row>
    <row r="30" customHeight="1" spans="1:12">
      <c r="A30" s="10" t="s">
        <v>213</v>
      </c>
    </row>
    <row r="35" customHeight="1" spans="1:1">
      <c r="A35" s="27" t="s">
        <v>744</v>
      </c>
    </row>
    <row r="36" customHeight="1" spans="1:1">
      <c r="A36" s="27" t="s">
        <v>740</v>
      </c>
    </row>
    <row r="37" customHeight="1" spans="1:1">
      <c r="A37" s="28" t="s">
        <v>745</v>
      </c>
    </row>
    <row r="38" customHeight="1" spans="1:1">
      <c r="A38" s="28" t="s">
        <v>746</v>
      </c>
    </row>
    <row r="39" customHeight="1" spans="1:1">
      <c r="A39" s="28" t="s">
        <v>747</v>
      </c>
    </row>
    <row r="40" customHeight="1" spans="1:1">
      <c r="A40" s="28" t="s">
        <v>748</v>
      </c>
    </row>
    <row r="41" customHeight="1" spans="1:1">
      <c r="A41" s="28" t="s">
        <v>749</v>
      </c>
    </row>
    <row r="42" customHeight="1" spans="1:1">
      <c r="A42" s="28" t="s">
        <v>750</v>
      </c>
    </row>
    <row r="43" customHeight="1" spans="1:1">
      <c r="A43" s="28" t="s">
        <v>751</v>
      </c>
    </row>
    <row r="44" customHeight="1" spans="1:1">
      <c r="A44" s="28" t="s">
        <v>752</v>
      </c>
    </row>
    <row r="45" customHeight="1" spans="1:1">
      <c r="A45" s="6"/>
    </row>
  </sheetData>
  <mergeCells count="4">
    <mergeCell ref="A1:O1"/>
    <mergeCell ref="A2:O2"/>
    <mergeCell ref="A6:O6"/>
    <mergeCell ref="A7:O7"/>
  </mergeCells>
  <dataValidations count="1">
    <dataValidation type="list" allowBlank="1" showInputMessage="1" showErrorMessage="1" sqref="B11:B16 B20:B26">
      <formula1>$A$37:$A$44</formula1>
    </dataValidation>
  </dataValidations>
  <hyperlinks>
    <hyperlink ref="O3" location="底稿目录!A1" display="H8-14"/>
  </hyperlinks>
  <printOptions horizontalCentered="1"/>
  <pageMargins left="0.708661417322835" right="0.708661417322835" top="0.748031496062992" bottom="0.748031496062992" header="0.31496062992126" footer="0.31496062992126"/>
  <pageSetup paperSize="9" scale="69" orientation="landscape" blackAndWhite="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20</vt:i4>
      </vt:variant>
    </vt:vector>
  </HeadingPairs>
  <TitlesOfParts>
    <vt:vector size="20" baseType="lpstr">
      <vt:lpstr>底稿目录</vt:lpstr>
      <vt:lpstr>使用权资产实质性程序表H8A</vt:lpstr>
      <vt:lpstr>审定表H8-1</vt:lpstr>
      <vt:lpstr>附注披露信息（上市公司）</vt:lpstr>
      <vt:lpstr>附注披露信息（国企）</vt:lpstr>
      <vt:lpstr>明细表H8-2</vt:lpstr>
      <vt:lpstr>调整分录汇总H8-3</vt:lpstr>
      <vt:lpstr>租赁的识别H8-4</vt:lpstr>
      <vt:lpstr>租赁期的确定H8-5</vt:lpstr>
      <vt:lpstr>使用权资产 租赁负债初始及后续计量（按年）H8-6</vt:lpstr>
      <vt:lpstr>使用权资产 租赁负债初始及后续计量（按月）H8-6</vt:lpstr>
      <vt:lpstr>租赁变更H8-7</vt:lpstr>
      <vt:lpstr>折旧测算表（不含减值）H8-8</vt:lpstr>
      <vt:lpstr>折旧测算表（含减值）H8-8</vt:lpstr>
      <vt:lpstr>折旧分配分析表H8-9</vt:lpstr>
      <vt:lpstr>减值测算表H8-10</vt:lpstr>
      <vt:lpstr>可收回金额测试表H8-11</vt:lpstr>
      <vt:lpstr>减少检查表H8-12</vt:lpstr>
      <vt:lpstr>简化处理的租赁检查表H8-13</vt:lpstr>
      <vt:lpstr>关联交易检查表H8-14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杨志</cp:lastModifiedBy>
  <dcterms:created xsi:type="dcterms:W3CDTF">2013-12-07T08:37:00Z</dcterms:created>
  <cp:lastPrinted>2025-10-21T05:48:00Z</cp:lastPrinted>
  <dcterms:modified xsi:type="dcterms:W3CDTF">2026-07-22T03:17:39Z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0861379B43F248DC991CF653A35DD458_12</vt:lpwstr>
  </property>
  <property fmtid="{D5CDD505-2E9C-101B-9397-08002B2CF9AE}" pid="3" name="KSOProductBuildVer">
    <vt:lpwstr>2052-12.1.0.26895</vt:lpwstr>
  </property>
  <property fmtid="{D5CDD505-2E9C-101B-9397-08002B2CF9AE}" pid="4" name="CalculationRule">
    <vt:i4>0</vt:i4>
  </property>
</Properties>
</file>