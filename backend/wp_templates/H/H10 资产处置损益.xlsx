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80" yWindow="96" windowWidth="15480" windowHeight="8868" tabRatio="770" firstSheet="0" activeTab="0" autoFilterDateGrouping="1"/>
  </bookViews>
  <sheets>
    <sheet xmlns:r="http://schemas.openxmlformats.org/officeDocument/2006/relationships" name="底稿目录" sheetId="1" state="visible" r:id="rId1"/>
    <sheet xmlns:r="http://schemas.openxmlformats.org/officeDocument/2006/relationships" name="资产处置损益实质性程序表H10A" sheetId="2" state="visible" r:id="rId2"/>
    <sheet xmlns:r="http://schemas.openxmlformats.org/officeDocument/2006/relationships" name="审定表H10-1" sheetId="3" state="visible" r:id="rId3"/>
    <sheet xmlns:r="http://schemas.openxmlformats.org/officeDocument/2006/relationships" name="附注披露信息（上市公司）" sheetId="4" state="visible" r:id="rId4"/>
    <sheet xmlns:r="http://schemas.openxmlformats.org/officeDocument/2006/relationships" name="附注披露信息（国企）" sheetId="5" state="visible" r:id="rId5"/>
    <sheet xmlns:r="http://schemas.openxmlformats.org/officeDocument/2006/relationships" name="明细表H10-2" sheetId="6" state="visible" r:id="rId6"/>
    <sheet xmlns:r="http://schemas.openxmlformats.org/officeDocument/2006/relationships" name="调整分录汇总H10-3" sheetId="7" state="visible" r:id="rId7"/>
    <sheet xmlns:r="http://schemas.openxmlformats.org/officeDocument/2006/relationships" name="检查表H10-4" sheetId="8" state="visible" r:id="rId8"/>
    <sheet xmlns:r="http://schemas.openxmlformats.org/officeDocument/2006/relationships" name="GT_Custom" sheetId="9" state="hidden" r:id="rId9"/>
  </sheets>
  <definedNames>
    <definedName name="_xlnm.Print_Titles" localSheetId="1">'资产处置损益实质性程序表H10A'!$15:$15</definedName>
    <definedName name="_xlnm.Print_Area" localSheetId="1">'资产处置损益实质性程序表H10A'!$A$1:$I$21</definedName>
    <definedName name="_xlnm.Print_Titles" localSheetId="2">'审定表H10-1'!$1:$4</definedName>
    <definedName name="_xlnm.Print_Area" localSheetId="2">'审定表H10-1'!$A$1:$K$17</definedName>
    <definedName name="_xlnm.Print_Area" localSheetId="3">'附注披露信息（上市公司）'!$A$1:$E$31</definedName>
    <definedName name="_xlnm.Print_Area" localSheetId="4">'附注披露信息（国企）'!$A$1:$D$22</definedName>
    <definedName name="_xlnm.Print_Area" localSheetId="5">'明细表H10-2'!$A$1:$Z$23</definedName>
    <definedName name="_xlnm.Print_Area" localSheetId="6">'调整分录汇总H10-3'!$A$1:$J$20</definedName>
    <definedName name="_xlnm.Print_Area" localSheetId="7">'检查表H10-4'!$A$1:$Q$27</definedName>
  </definedNames>
  <calcPr calcId="162913" fullCalcOnLoad="1"/>
</workbook>
</file>

<file path=xl/styles.xml><?xml version="1.0" encoding="utf-8"?>
<styleSheet xmlns="http://schemas.openxmlformats.org/spreadsheetml/2006/main">
  <numFmts count="49">
    <numFmt numFmtId="164" formatCode="#,##0_ "/>
    <numFmt numFmtId="165" formatCode="_ * #,##0.00_ ;_ * \-#,##0.00_ ;_ * &quot;-&quot;??_ ;_ @_ "/>
    <numFmt numFmtId="166" formatCode="#,##0.00_);[Red]\(#,##0.00\)"/>
    <numFmt numFmtId="167" formatCode="_([$€-2]* #,##0.00_);_([$€-2]* \(#,##0.00\);_([$€-2]* &quot;-&quot;??_)"/>
    <numFmt numFmtId="168" formatCode="_-#,##0_-;\(#,##0\);_-\ \ &quot;-&quot;_-;_-@_-"/>
    <numFmt numFmtId="169" formatCode="_-#,##0.00_-;\(#,##0.00\);_-\ \ &quot;-&quot;_-;_-@_-"/>
    <numFmt numFmtId="170" formatCode="mmm/dd/yyyy;_-\ &quot;N/A&quot;_-;_-\ &quot;-&quot;_-"/>
    <numFmt numFmtId="171" formatCode="mmm/yyyy;_-\ &quot;N/A&quot;_-;_-\ &quot;-&quot;_-"/>
    <numFmt numFmtId="172" formatCode="_-#,##0%_-;\(#,##0%\);_-\ &quot;-&quot;_-"/>
    <numFmt numFmtId="173" formatCode="_-#,###,_-;\(#,###,\);_-\ \ &quot;-&quot;_-;_-@_-"/>
    <numFmt numFmtId="174" formatCode="_-#,###.00,_-;\(#,###.00,\);_-\ \ &quot;-&quot;_-;_-@_-"/>
    <numFmt numFmtId="175" formatCode="_-#0&quot;.&quot;0,_-;\(#0&quot;.&quot;0,\);_-\ \ &quot;-&quot;_-;_-@_-"/>
    <numFmt numFmtId="176" formatCode="_-#0&quot;.&quot;0000_-;\(#0&quot;.&quot;0000\);_-\ \ &quot;-&quot;_-;_-@_-"/>
    <numFmt numFmtId="177" formatCode="&quot;$&quot;#,##0_);\(&quot;$&quot;#,##0\)"/>
    <numFmt numFmtId="178" formatCode="&quot;\&quot;#,##0;[Red]&quot;\&quot;&quot;\&quot;\-#,##0"/>
    <numFmt numFmtId="179" formatCode="&quot;\&quot;#,##0.00;[Red]&quot;\&quot;&quot;\&quot;\-#,##0.00"/>
    <numFmt numFmtId="180" formatCode="&quot;\&quot;#,##0;&quot;\&quot;&quot;\&quot;\-#,##0"/>
    <numFmt numFmtId="181" formatCode="0%;\(0%\)"/>
    <numFmt numFmtId="182" formatCode="0.0%"/>
    <numFmt numFmtId="183" formatCode="#,##0;\-#,##0;&quot;-&quot;"/>
    <numFmt numFmtId="184" formatCode="\(#,##0\)\ "/>
    <numFmt numFmtId="185" formatCode="[Blue]0.0%;[Blue]\(0.0%\)"/>
    <numFmt numFmtId="186" formatCode="0.0%;\(0.0%\)"/>
    <numFmt numFmtId="187" formatCode="[Red]0.0%;[Red]\(0.0%\)"/>
    <numFmt numFmtId="188" formatCode="[Blue]#,##0_);[Blue]\(#,##0\)"/>
    <numFmt numFmtId="189" formatCode="#,##0_);[Blue]\(#,##0\)"/>
    <numFmt numFmtId="190" formatCode="&quot;$&quot;#,##0;[Red]&quot;$&quot;&quot;$&quot;&quot;$&quot;&quot;$&quot;&quot;$&quot;&quot;$&quot;&quot;$&quot;\-#,##0"/>
    <numFmt numFmtId="191" formatCode="#,##0;\(#,##0\)"/>
    <numFmt numFmtId="192" formatCode="#,##0.0_);\(#,##0.0\)"/>
    <numFmt numFmtId="193" formatCode="hh:mm\ AM/PM_)"/>
    <numFmt numFmtId="194" formatCode="&quot;$&quot;#,##0.00_);\(&quot;$&quot;#,##0.00\)"/>
    <numFmt numFmtId="195" formatCode=";;;"/>
    <numFmt numFmtId="196" formatCode="\$#,##0.00;\(\$#,##0.00\)"/>
    <numFmt numFmtId="197" formatCode="\$#,##0;\(\$#,##0\)"/>
    <numFmt numFmtId="198" formatCode="_(&quot;$&quot;* #,##0.00_);_(&quot;$&quot;* \(#,##0.00\);_(&quot;$&quot;* &quot;-&quot;??_);_(@_)"/>
    <numFmt numFmtId="199" formatCode="_-* #,##0_-;\-* #,##0_-;_-* &quot;-&quot;??_-;_-@_-"/>
    <numFmt numFmtId="200" formatCode="0.00000000000_);[Red]\(0.00000000000\)"/>
    <numFmt numFmtId="201" formatCode="0%_);\(0%\)"/>
    <numFmt numFmtId="202" formatCode="\ \ @"/>
    <numFmt numFmtId="203" formatCode="#,##0_);\(#,##0_)"/>
    <numFmt numFmtId="204" formatCode="_-* #,##0_-;\-* #,##0_-;_-* &quot;-&quot;_-;_-@_-"/>
    <numFmt numFmtId="205" formatCode="_-* #,##0.00_-;\-* #,##0.00_-;_-* &quot;-&quot;??_-;_-@_-"/>
    <numFmt numFmtId="206" formatCode="0.0000000"/>
    <numFmt numFmtId="207" formatCode="\¥#,##0.00;[Red]\¥\-#,##0.00"/>
    <numFmt numFmtId="208" formatCode="0.000000"/>
    <numFmt numFmtId="209" formatCode="0.00000000"/>
    <numFmt numFmtId="210" formatCode="_-&quot;$&quot;* #,##0_-;\-&quot;$&quot;* #,##0_-;_-&quot;$&quot;* &quot;-&quot;_-;_-@_-"/>
    <numFmt numFmtId="211" formatCode="_-&quot;$&quot;* #,##0.00_-;\-&quot;$&quot;* #,##0.00_-;_-&quot;$&quot;* &quot;-&quot;??_-;_-@_-"/>
    <numFmt numFmtId="212"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28">
    <font>
      <name val="宋体"/>
      <charset val="134"/>
      <sz val="12"/>
    </font>
    <font>
      <name val="宋体"/>
      <charset val="134"/>
      <family val="2"/>
      <color theme="1"/>
      <sz val="11"/>
      <scheme val="minor"/>
    </font>
    <font>
      <name val="Helv"/>
      <family val="2"/>
      <sz val="7"/>
    </font>
    <font>
      <name val="MS Sans Serif"/>
      <family val="2"/>
      <b val="1"/>
      <sz val="10"/>
    </font>
    <font>
      <name val="Arial"/>
      <family val="2"/>
      <sz val="10"/>
    </font>
    <font>
      <name val="Arial"/>
      <family val="2"/>
      <color indexed="36"/>
      <sz val="7.5"/>
      <u val="single"/>
    </font>
    <font>
      <name val="Arial"/>
      <family val="2"/>
      <sz val="8"/>
    </font>
    <font>
      <name val="Arial"/>
      <family val="2"/>
      <color indexed="12"/>
      <sz val="7.5"/>
      <u val="single"/>
    </font>
    <font>
      <name val="宋体"/>
      <charset val="134"/>
      <family val="3"/>
      <sz val="12"/>
    </font>
    <font>
      <name val="Courier"/>
      <family val="3"/>
      <sz val="10"/>
    </font>
    <font>
      <name val="Helv"/>
      <family val="2"/>
      <color indexed="10"/>
      <sz val="7"/>
    </font>
    <font>
      <name val="宋体"/>
      <charset val="134"/>
      <family val="3"/>
      <color indexed="12"/>
      <sz val="12"/>
      <u val="single"/>
    </font>
    <font>
      <name val="宋体"/>
      <charset val="134"/>
      <family val="3"/>
      <sz val="9"/>
    </font>
    <font>
      <name val="宋体"/>
      <charset val="134"/>
      <family val="3"/>
      <sz val="10"/>
    </font>
    <font>
      <name val="宋体"/>
      <charset val="134"/>
      <family val="3"/>
      <b val="1"/>
      <sz val="12"/>
    </font>
    <font>
      <name val="Times New Roman"/>
      <family val="1"/>
      <sz val="10"/>
    </font>
    <font>
      <name val="宋体"/>
      <charset val="134"/>
      <family val="3"/>
      <b val="1"/>
      <sz val="10"/>
    </font>
    <font>
      <name val="宋体"/>
      <charset val="134"/>
      <family val="3"/>
      <color indexed="12"/>
      <sz val="10"/>
    </font>
    <font>
      <name val="魏碑"/>
      <charset val="134"/>
      <family val="3"/>
      <color indexed="48"/>
      <sz val="18"/>
    </font>
    <font>
      <name val="宋体"/>
      <charset val="134"/>
      <family val="3"/>
      <i val="1"/>
      <color indexed="12"/>
      <sz val="10"/>
    </font>
    <font>
      <name val="Arial Narrow"/>
      <family val="2"/>
      <b val="1"/>
      <sz val="12"/>
    </font>
    <font>
      <name val="Arial Narrow"/>
      <family val="2"/>
      <sz val="12"/>
    </font>
    <font>
      <name val="Arial Narrow"/>
      <family val="2"/>
      <sz val="10"/>
    </font>
    <font>
      <name val="Arial Narrow"/>
      <family val="2"/>
      <b val="1"/>
      <sz val="10"/>
    </font>
    <font>
      <name val="Arial Narrow"/>
      <family val="2"/>
      <color indexed="12"/>
      <sz val="10"/>
    </font>
    <font>
      <name val="Times New Roman"/>
      <family val="1"/>
      <sz val="10"/>
      <u val="singleAccounting"/>
      <vertAlign val="subscript"/>
    </font>
    <font>
      <name val="Times New Roman"/>
      <family val="1"/>
      <i val="1"/>
      <sz val="9"/>
    </font>
    <font>
      <name val="Arial Narrow"/>
      <family val="2"/>
      <b val="1"/>
      <color indexed="8"/>
      <sz val="10"/>
    </font>
    <font>
      <name val="宋体"/>
      <charset val="134"/>
      <family val="3"/>
      <b val="1"/>
      <color indexed="8"/>
      <sz val="10"/>
    </font>
    <font>
      <name val="仿宋_GB2312"/>
      <charset val="134"/>
      <family val="3"/>
      <sz val="12"/>
    </font>
    <font>
      <name val="Arial Narrow"/>
      <family val="2"/>
      <b val="1"/>
      <color indexed="12"/>
      <sz val="10"/>
    </font>
    <font>
      <name val="宋体"/>
      <charset val="134"/>
      <family val="3"/>
      <sz val="12"/>
    </font>
    <font>
      <name val="Arial Narrow"/>
      <family val="2"/>
      <sz val="10.5"/>
    </font>
    <font>
      <name val="宋体"/>
      <charset val="134"/>
      <family val="3"/>
      <color rgb="FFFF0000"/>
      <sz val="10"/>
    </font>
    <font>
      <name val="Arial Narrow"/>
      <family val="2"/>
      <color rgb="FF0000FF"/>
      <sz val="10"/>
    </font>
    <font>
      <name val="宋体"/>
      <charset val="134"/>
      <family val="3"/>
      <color rgb="FF0000FF"/>
      <sz val="10"/>
    </font>
    <font>
      <name val="宋体"/>
      <charset val="134"/>
      <family val="2"/>
      <sz val="9"/>
      <scheme val="minor"/>
    </font>
    <font>
      <name val="宋体"/>
      <charset val="134"/>
      <family val="3"/>
      <color theme="1"/>
      <sz val="10"/>
    </font>
    <font>
      <name val="宋体"/>
      <charset val="134"/>
      <family val="3"/>
      <b val="1"/>
      <color rgb="FFFF0000"/>
      <sz val="10"/>
    </font>
    <font>
      <name val="Arial"/>
      <charset val="134"/>
      <family val="2"/>
      <sz val="10"/>
    </font>
    <font>
      <name val="Arial"/>
      <charset val="134"/>
      <family val="2"/>
      <color indexed="8"/>
      <sz val="10"/>
    </font>
    <font>
      <name val="Times New Roman"/>
      <family val="1"/>
      <sz val="12"/>
    </font>
    <font>
      <name val="Calibri"/>
      <family val="2"/>
      <color indexed="8"/>
      <sz val="11"/>
    </font>
    <font>
      <name val="Calibri"/>
      <family val="2"/>
      <color indexed="9"/>
      <sz val="11"/>
    </font>
    <font>
      <name val="Calibri"/>
      <family val="2"/>
      <color indexed="20"/>
      <sz val="11"/>
    </font>
    <font>
      <name val="Calibri"/>
      <family val="2"/>
      <b val="1"/>
      <color indexed="52"/>
      <sz val="11"/>
    </font>
    <font>
      <name val="Helv"/>
      <family val="2"/>
      <b val="1"/>
      <sz val="10"/>
    </font>
    <font>
      <name val="Calibri"/>
      <family val="2"/>
      <b val="1"/>
      <color indexed="9"/>
      <sz val="11"/>
    </font>
    <font>
      <name val="Tms Rmn"/>
      <charset val="134"/>
      <family val="1"/>
      <b val="1"/>
      <sz val="13"/>
    </font>
    <font>
      <name val="Arial"/>
      <charset val="134"/>
      <family val="2"/>
      <b val="1"/>
      <sz val="8"/>
    </font>
    <font>
      <name val="Arial"/>
      <family val="2"/>
      <color indexed="8"/>
      <sz val="10"/>
    </font>
    <font>
      <name val="Times New Roman"/>
      <charset val="134"/>
      <family val="1"/>
      <sz val="9"/>
    </font>
    <font>
      <name val="Arial"/>
      <charset val="134"/>
      <family val="2"/>
      <sz val="8"/>
    </font>
    <font>
      <name val="Calibri"/>
      <family val="2"/>
      <i val="1"/>
      <color indexed="23"/>
      <sz val="11"/>
    </font>
    <font>
      <name val="Calibri"/>
      <family val="2"/>
      <color indexed="17"/>
      <sz val="11"/>
    </font>
    <font>
      <name val="Helv"/>
      <family val="2"/>
      <b val="1"/>
      <sz val="12"/>
    </font>
    <font>
      <name val="Arial"/>
      <charset val="134"/>
      <family val="2"/>
      <b val="1"/>
      <sz val="12"/>
    </font>
    <font>
      <name val="Arial"/>
      <charset val="134"/>
      <family val="2"/>
      <b val="1"/>
      <sz val="10"/>
    </font>
    <font>
      <name val="Calibri"/>
      <family val="2"/>
      <b val="1"/>
      <color indexed="56"/>
      <sz val="15"/>
    </font>
    <font>
      <name val="Calibri"/>
      <family val="2"/>
      <b val="1"/>
      <color indexed="56"/>
      <sz val="13"/>
    </font>
    <font>
      <name val="Calibri"/>
      <family val="2"/>
      <b val="1"/>
      <color indexed="56"/>
      <sz val="11"/>
    </font>
    <font>
      <name val="Calibri"/>
      <family val="2"/>
      <color indexed="62"/>
      <sz val="11"/>
    </font>
    <font>
      <name val="Calibri"/>
      <family val="2"/>
      <color indexed="52"/>
      <sz val="11"/>
    </font>
    <font>
      <name val="Helv"/>
      <family val="2"/>
      <b val="1"/>
      <sz val="11"/>
    </font>
    <font>
      <name val="Calibri"/>
      <family val="2"/>
      <color indexed="60"/>
      <sz val="11"/>
    </font>
    <font>
      <name val="Small Fonts"/>
      <charset val="134"/>
      <family val="2"/>
      <sz val="7"/>
    </font>
    <font>
      <name val="MS Sans Serif"/>
      <charset val="134"/>
      <family val="2"/>
      <sz val="10"/>
    </font>
    <font>
      <name val="MS Sans Serif"/>
      <charset val="134"/>
      <family val="2"/>
      <color indexed="8"/>
      <sz val="10"/>
    </font>
    <font>
      <name val="Calibri"/>
      <family val="2"/>
      <b val="1"/>
      <color indexed="63"/>
      <sz val="11"/>
    </font>
    <font>
      <name val="Century Schoolbook"/>
      <charset val="134"/>
      <family val="1"/>
      <color indexed="16"/>
      <sz val="8"/>
    </font>
    <font>
      <name val="Times New Roman"/>
      <charset val="134"/>
      <family val="1"/>
      <b val="1"/>
      <i val="1"/>
      <sz val="10"/>
    </font>
    <font>
      <name val="MS Sans Serif"/>
      <charset val="134"/>
      <family val="2"/>
      <b val="1"/>
      <sz val="12"/>
    </font>
    <font>
      <name val="MS Sans Serif"/>
      <charset val="134"/>
      <family val="2"/>
      <sz val="12"/>
    </font>
    <font>
      <name val="Arial"/>
      <charset val="134"/>
      <family val="2"/>
      <b val="1"/>
      <color indexed="10"/>
      <sz val="10"/>
    </font>
    <font>
      <name val="Times New Roman"/>
      <charset val="134"/>
      <family val="1"/>
      <b val="1"/>
      <sz val="9"/>
    </font>
    <font>
      <name val="Calibri"/>
      <family val="2"/>
      <b val="1"/>
      <color indexed="8"/>
      <sz val="11"/>
    </font>
    <font>
      <name val="Calibri"/>
      <family val="2"/>
      <color indexed="10"/>
      <sz val="11"/>
    </font>
    <font>
      <name val="Century Schoolbook"/>
      <charset val="134"/>
      <family val="1"/>
      <sz val="8"/>
    </font>
    <font>
      <name val="宋体"/>
      <charset val="134"/>
      <family val="3"/>
      <color indexed="20"/>
      <sz val="12"/>
    </font>
    <font>
      <name val="宋体"/>
      <charset val="134"/>
      <family val="3"/>
      <color theme="1"/>
      <sz val="11"/>
      <scheme val="minor"/>
    </font>
    <font>
      <name val="宋体"/>
      <charset val="134"/>
      <family val="3"/>
      <color indexed="8"/>
      <sz val="12"/>
    </font>
    <font>
      <name val="宋体"/>
      <charset val="134"/>
      <family val="3"/>
      <color indexed="8"/>
      <sz val="11"/>
    </font>
    <font>
      <name val="宋体"/>
      <charset val="134"/>
      <family val="2"/>
      <color theme="1"/>
      <sz val="11"/>
      <scheme val="minor"/>
    </font>
    <font>
      <name val="Tahoma"/>
      <charset val="134"/>
      <family val="2"/>
      <color indexed="8"/>
      <sz val="10"/>
    </font>
    <font>
      <name val="宋体"/>
      <charset val="134"/>
      <family val="3"/>
      <color indexed="12"/>
      <sz val="10"/>
      <u val="single"/>
    </font>
    <font>
      <name val="MS Sans Serif"/>
      <charset val="134"/>
      <family val="2"/>
      <b val="1"/>
      <sz val="10"/>
    </font>
    <font>
      <name val="Times New Roman"/>
      <family val="1"/>
      <color indexed="17"/>
      <sz val="10"/>
    </font>
    <font>
      <name val="Times New Roman"/>
      <charset val="134"/>
      <family val="1"/>
      <sz val="10"/>
    </font>
    <font>
      <name val="蹈框"/>
      <charset val="134"/>
      <sz val="11"/>
    </font>
    <font>
      <name val="바탕체"/>
      <charset val="134"/>
      <family val="3"/>
      <sz val="12"/>
    </font>
    <font>
      <name val="Arial Narrow"/>
      <family val="2"/>
      <b val="1"/>
      <color rgb="FFE92841"/>
      <sz val="10"/>
    </font>
    <font>
      <name val="宋体"/>
      <charset val="134"/>
      <family val="3"/>
      <sz val="12"/>
      <scheme val="minor"/>
    </font>
    <font>
      <name val="宋体"/>
      <charset val="134"/>
      <family val="3"/>
      <b val="1"/>
      <sz val="12"/>
      <scheme val="minor"/>
    </font>
    <font>
      <name val="仿宋_GB2312"/>
      <charset val="134"/>
      <family val="3"/>
      <color rgb="FF0000FF"/>
      <sz val="12"/>
    </font>
    <font>
      <name val="仿宋_GB2312"/>
      <charset val="134"/>
      <family val="3"/>
      <b val="1"/>
      <sz val="10.5"/>
    </font>
    <font>
      <name val="Arial Narrow"/>
      <family val="2"/>
      <b val="1"/>
      <sz val="10.5"/>
    </font>
    <font>
      <name val="仿宋_GB2312"/>
      <charset val="134"/>
      <family val="3"/>
      <b val="1"/>
      <color rgb="FF000000"/>
      <sz val="10.5"/>
    </font>
    <font>
      <name val="仿宋_GB2312"/>
      <charset val="134"/>
      <family val="3"/>
      <sz val="10.5"/>
    </font>
    <font>
      <name val="仿宋_GB2312"/>
      <charset val="134"/>
      <family val="3"/>
      <color rgb="FFFF0000"/>
      <sz val="10.5"/>
    </font>
    <font>
      <name val="仿宋_GB2312"/>
      <charset val="134"/>
      <family val="3"/>
      <color rgb="FF0000FF"/>
      <sz val="10.5"/>
    </font>
    <font>
      <name val="Arial Narrow"/>
      <family val="2"/>
      <color rgb="FF0000FF"/>
      <sz val="12"/>
    </font>
    <font>
      <name val="仿宋_GB2312"/>
      <charset val="134"/>
      <family val="3"/>
      <b val="1"/>
      <color rgb="FFFF0000"/>
      <sz val="12"/>
    </font>
    <font>
      <name val="Arial Narrow"/>
      <family val="2"/>
      <b val="1"/>
      <color rgb="FFFF0000"/>
      <sz val="12"/>
    </font>
    <font>
      <name val="仿宋_GB2312"/>
      <charset val="134"/>
      <family val="3"/>
      <color rgb="FFFF0000"/>
      <sz val="12"/>
    </font>
    <font>
      <name val="Arial Narrow"/>
      <family val="2"/>
      <color rgb="FFFF0000"/>
      <sz val="12"/>
    </font>
    <font>
      <name val="仿宋_GB2312"/>
      <charset val="134"/>
      <family val="3"/>
      <color rgb="FF000000"/>
      <sz val="12"/>
    </font>
    <font>
      <name val="Arial Narrow"/>
      <family val="2"/>
      <color rgb="FF000000"/>
      <sz val="12"/>
    </font>
    <font>
      <name val="Arial Narrow"/>
      <family val="2"/>
      <b val="1"/>
      <color rgb="FF000000"/>
      <sz val="10.5"/>
    </font>
    <font>
      <name val="仿宋_GB2312"/>
      <charset val="134"/>
      <family val="3"/>
      <color rgb="FF000000"/>
      <sz val="10.5"/>
    </font>
    <font>
      <name val="Arial Narrow"/>
      <family val="2"/>
      <color rgb="FFFF0000"/>
      <sz val="10.5"/>
    </font>
    <font>
      <name val="仿宋_GB2312"/>
      <charset val="134"/>
      <family val="3"/>
      <b val="1"/>
      <color rgb="FF0000FF"/>
      <sz val="12"/>
    </font>
    <font>
      <name val="Arial Narrow"/>
      <family val="2"/>
      <b val="1"/>
      <color rgb="FF0000FF"/>
      <sz val="12"/>
    </font>
    <font>
      <name val="Arial Narrow"/>
      <family val="2"/>
      <color indexed="8"/>
      <sz val="10"/>
    </font>
    <font>
      <name val="Arial Narrow"/>
      <family val="2"/>
      <color rgb="FFFF0000"/>
      <sz val="10"/>
    </font>
    <font>
      <name val="宋体"/>
      <charset val="134"/>
      <family val="3"/>
      <color indexed="8"/>
      <sz val="10"/>
    </font>
    <font>
      <name val="Arial Narrow"/>
      <family val="2"/>
      <color rgb="FF0000FF"/>
      <sz val="9"/>
    </font>
    <font>
      <name val="宋体"/>
      <charset val="134"/>
      <family val="3"/>
      <color rgb="FF0000FF"/>
      <sz val="9"/>
    </font>
    <font>
      <name val="宋体"/>
      <charset val="134"/>
      <family val="3"/>
      <color rgb="FF0000FF"/>
      <sz val="10"/>
      <scheme val="major"/>
    </font>
    <font>
      <name val="Arial Narrow"/>
      <family val="2"/>
      <b val="1"/>
      <sz val="14"/>
    </font>
    <font>
      <name val="宋体"/>
      <charset val="134"/>
      <family val="3"/>
      <b val="1"/>
      <sz val="14"/>
    </font>
    <font>
      <name val="Arial Narrow"/>
      <family val="2"/>
      <sz val="14"/>
    </font>
    <font>
      <name val="宋体"/>
      <charset val="134"/>
      <family val="3"/>
      <b val="1"/>
      <color rgb="FFFF0000"/>
      <sz val="14"/>
    </font>
    <font>
      <name val="宋体"/>
      <charset val="134"/>
      <family val="3"/>
      <sz val="10"/>
      <scheme val="minor"/>
    </font>
    <font>
      <name val="宋体"/>
      <charset val="134"/>
      <family val="3"/>
      <b val="1"/>
      <color indexed="81"/>
      <sz val="9"/>
    </font>
    <font>
      <name val="宋体"/>
      <charset val="134"/>
      <family val="3"/>
      <color indexed="81"/>
      <sz val="9"/>
    </font>
    <font>
      <name val="宋体"/>
      <charset val="134"/>
      <family val="3"/>
      <b val="1"/>
      <color rgb="FF0000FF"/>
      <sz val="10"/>
    </font>
    <font>
      <i val="1"/>
      <color rgb="00808080"/>
    </font>
    <font>
      <b val="1"/>
    </font>
  </fonts>
  <fills count="37">
    <fill>
      <patternFill/>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799981688894314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7"/>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E4DFEC"/>
        <bgColor indexed="64"/>
      </patternFill>
    </fill>
    <fill>
      <patternFill patternType="solid">
        <fgColor theme="0"/>
        <bgColor indexed="64"/>
      </patternFill>
    </fill>
    <fill>
      <patternFill patternType="solid">
        <fgColor theme="0" tint="-0.1499984740745262"/>
        <bgColor indexed="64"/>
      </patternFill>
    </fill>
  </fills>
  <borders count="30">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right/>
      <top style="medium">
        <color indexed="64"/>
      </top>
      <bottom style="medium">
        <color indexed="64"/>
      </bottom>
      <diagonal/>
    </border>
    <border>
      <left/>
      <right/>
      <top/>
      <bottom style="medium">
        <color indexed="64"/>
      </bottom>
      <diagonal/>
    </border>
    <border>
      <left style="hair">
        <color indexed="64"/>
      </left>
      <right style="hair">
        <color indexed="64"/>
      </right>
      <top/>
      <bottom style="hair">
        <color indexed="64"/>
      </bottom>
      <diagonal/>
    </border>
    <border>
      <left/>
      <right/>
      <top style="medium">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top/>
      <bottom/>
      <diagonal/>
    </border>
    <border>
      <left style="hair">
        <color indexed="64"/>
      </left>
      <right style="hair">
        <color indexed="64"/>
      </right>
      <top style="hair">
        <color indexed="64"/>
      </top>
      <bottom/>
      <diagonal/>
    </border>
    <border>
      <left/>
      <right/>
      <top/>
      <bottom style="hair">
        <color indexed="64"/>
      </bottom>
      <diagonal/>
    </border>
    <border>
      <left/>
      <right style="hair">
        <color indexed="64"/>
      </right>
      <top style="hair">
        <color indexed="64"/>
      </top>
      <bottom/>
      <diagonal/>
    </border>
    <border>
      <left style="hair">
        <color indexed="64"/>
      </left>
      <right style="hair">
        <color indexed="64"/>
      </right>
      <top/>
      <bottom/>
      <diagonal/>
    </border>
    <border>
      <left style="thin"/>
      <right style="thin"/>
      <top style="thin"/>
      <bottom style="thin"/>
    </border>
  </borders>
  <cellStyleXfs count="308">
    <xf numFmtId="0" fontId="0" fillId="0" borderId="0" applyProtection="1">
      <protection locked="0" hidden="0"/>
    </xf>
    <xf numFmtId="49" fontId="15" fillId="0" borderId="0" applyAlignment="1">
      <alignment horizontal="left"/>
    </xf>
    <xf numFmtId="168" fontId="15" fillId="0" borderId="0" applyAlignment="1">
      <alignment horizontal="right"/>
    </xf>
    <xf numFmtId="169" fontId="15" fillId="0" borderId="0" applyAlignment="1">
      <alignment horizontal="right"/>
    </xf>
    <xf numFmtId="170" fontId="25" fillId="0" borderId="0" applyAlignment="1">
      <alignment horizontal="center"/>
    </xf>
    <xf numFmtId="171" fontId="25" fillId="0" borderId="0" applyAlignment="1">
      <alignment horizontal="center"/>
    </xf>
    <xf numFmtId="172" fontId="26" fillId="0" borderId="0" applyAlignment="1">
      <alignment horizontal="right"/>
    </xf>
    <xf numFmtId="173" fontId="15" fillId="0" borderId="0" applyAlignment="1">
      <alignment horizontal="right"/>
    </xf>
    <xf numFmtId="174" fontId="15" fillId="0" borderId="0" applyAlignment="1">
      <alignment horizontal="right"/>
    </xf>
    <xf numFmtId="175" fontId="15" fillId="0" borderId="0" applyAlignment="1">
      <alignment horizontal="right"/>
    </xf>
    <xf numFmtId="176" fontId="15" fillId="0" borderId="0" applyAlignment="1">
      <alignment horizontal="right"/>
    </xf>
    <xf numFmtId="3" fontId="2" fillId="0" borderId="0"/>
    <xf numFmtId="177" fontId="3" fillId="0" borderId="1"/>
    <xf numFmtId="41" fontId="4" fillId="0" borderId="0"/>
    <xf numFmtId="43" fontId="4" fillId="0" borderId="0"/>
    <xf numFmtId="0" fontId="15" fillId="0" borderId="0"/>
    <xf numFmtId="0" fontId="5" fillId="0" borderId="0" applyAlignment="1" applyProtection="1">
      <alignment vertical="top"/>
      <protection locked="0" hidden="0"/>
    </xf>
    <xf numFmtId="38" fontId="6" fillId="2" borderId="0"/>
    <xf numFmtId="0" fontId="7" fillId="0" borderId="0" applyAlignment="1" applyProtection="1">
      <alignment vertical="top"/>
      <protection locked="0" hidden="0"/>
    </xf>
    <xf numFmtId="10" fontId="6" fillId="3" borderId="2"/>
    <xf numFmtId="178" fontId="31" fillId="0" borderId="0"/>
    <xf numFmtId="179" fontId="31" fillId="0" borderId="0"/>
    <xf numFmtId="0" fontId="9" fillId="0" borderId="0"/>
    <xf numFmtId="180" fontId="31" fillId="0" borderId="0"/>
    <xf numFmtId="10" fontId="4" fillId="0" borderId="0"/>
    <xf numFmtId="3" fontId="10" fillId="0" borderId="0"/>
    <xf numFmtId="0" fontId="31" fillId="0" borderId="0" applyAlignment="1">
      <alignment vertical="center"/>
    </xf>
    <xf numFmtId="0" fontId="31" fillId="0" borderId="0" applyAlignment="1">
      <alignment vertical="center"/>
    </xf>
    <xf numFmtId="0" fontId="31" fillId="0" borderId="0"/>
    <xf numFmtId="0" fontId="31" fillId="0" borderId="0" applyProtection="1">
      <protection locked="0" hidden="0"/>
    </xf>
    <xf numFmtId="0" fontId="31" fillId="0" borderId="0"/>
    <xf numFmtId="0" fontId="31" fillId="0" borderId="0" applyAlignment="1">
      <alignment vertical="center"/>
    </xf>
    <xf numFmtId="0" fontId="11" fillId="0" borderId="0" applyAlignment="1" applyProtection="1">
      <alignment vertical="top"/>
      <protection locked="0" hidden="0"/>
    </xf>
    <xf numFmtId="43" fontId="31" fillId="0" borderId="0"/>
    <xf numFmtId="0" fontId="31" fillId="0" borderId="0"/>
    <xf numFmtId="9" fontId="31" fillId="0" borderId="0" applyAlignment="1">
      <alignment vertical="center"/>
    </xf>
    <xf numFmtId="0" fontId="31" fillId="0" borderId="0" applyProtection="1">
      <protection locked="0" hidden="0"/>
    </xf>
    <xf numFmtId="0" fontId="31" fillId="0" borderId="0" applyAlignment="1">
      <alignment vertical="center"/>
    </xf>
    <xf numFmtId="0" fontId="31" fillId="0" borderId="0" applyAlignment="1" applyProtection="1">
      <alignment vertical="center"/>
      <protection locked="0" hidden="0"/>
    </xf>
    <xf numFmtId="0" fontId="31" fillId="0" borderId="0" applyAlignment="1">
      <alignment vertical="center"/>
    </xf>
    <xf numFmtId="0" fontId="31" fillId="0" borderId="0" applyProtection="1">
      <protection locked="0" hidden="0"/>
    </xf>
    <xf numFmtId="0" fontId="4" fillId="0" borderId="0"/>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40" fillId="0" borderId="0" applyAlignment="1" applyProtection="1">
      <alignment vertical="top"/>
      <protection locked="0" hidden="0"/>
    </xf>
    <xf numFmtId="0" fontId="40" fillId="0" borderId="0" applyAlignment="1" applyProtection="1">
      <alignment vertical="top"/>
      <protection locked="0" hidden="0"/>
    </xf>
    <xf numFmtId="0" fontId="40" fillId="0" borderId="0" applyAlignment="1" applyProtection="1">
      <alignment vertical="top"/>
      <protection locked="0" hidden="0"/>
    </xf>
    <xf numFmtId="0" fontId="40" fillId="0" borderId="0" applyAlignment="1">
      <alignment vertical="top"/>
    </xf>
    <xf numFmtId="0" fontId="41" fillId="0" borderId="0"/>
    <xf numFmtId="0" fontId="40" fillId="0" borderId="0" applyAlignment="1">
      <alignment vertical="top"/>
    </xf>
    <xf numFmtId="0" fontId="40" fillId="0" borderId="0" applyAlignment="1" applyProtection="1">
      <alignment vertical="top"/>
      <protection locked="0" hidden="0"/>
    </xf>
    <xf numFmtId="0" fontId="40" fillId="0" borderId="0" applyAlignment="1">
      <alignment vertical="top"/>
    </xf>
    <xf numFmtId="0" fontId="40" fillId="0" borderId="0" applyAlignment="1">
      <alignment vertical="top"/>
    </xf>
    <xf numFmtId="0" fontId="40" fillId="0" borderId="0" applyAlignment="1" applyProtection="1">
      <alignment vertical="top"/>
      <protection locked="0" hidden="0"/>
    </xf>
    <xf numFmtId="0" fontId="40" fillId="0" borderId="0" applyAlignment="1" applyProtection="1">
      <alignment vertical="top"/>
      <protection locked="0" hidden="0"/>
    </xf>
    <xf numFmtId="0" fontId="40" fillId="0" borderId="0" applyAlignment="1" applyProtection="1">
      <alignment vertical="top"/>
      <protection locked="0" hidden="0"/>
    </xf>
    <xf numFmtId="0" fontId="40" fillId="0" borderId="0" applyAlignment="1">
      <alignment vertical="top"/>
    </xf>
    <xf numFmtId="0" fontId="40" fillId="0" borderId="0" applyAlignment="1">
      <alignment vertical="top"/>
    </xf>
    <xf numFmtId="0" fontId="40" fillId="0" borderId="0" applyAlignment="1" applyProtection="1">
      <alignment vertical="top"/>
      <protection locked="0" hidden="0"/>
    </xf>
    <xf numFmtId="0" fontId="40" fillId="0" borderId="0" applyAlignment="1">
      <alignment vertical="top"/>
    </xf>
    <xf numFmtId="0" fontId="40" fillId="0" borderId="0" applyAlignment="1">
      <alignment vertical="top"/>
    </xf>
    <xf numFmtId="0" fontId="40" fillId="0" borderId="0" applyAlignment="1">
      <alignment vertical="top"/>
    </xf>
    <xf numFmtId="0" fontId="40" fillId="0" borderId="0" applyAlignment="1" applyProtection="1">
      <alignment vertical="top"/>
      <protection locked="0" hidden="0"/>
    </xf>
    <xf numFmtId="0" fontId="40" fillId="0" borderId="0" applyAlignment="1">
      <alignment vertical="top"/>
    </xf>
    <xf numFmtId="0" fontId="40" fillId="0" borderId="0" applyAlignment="1" applyProtection="1">
      <alignment vertical="top"/>
      <protection locked="0" hidden="0"/>
    </xf>
    <xf numFmtId="0" fontId="40" fillId="0" borderId="0" applyAlignment="1" applyProtection="1">
      <alignment vertical="top"/>
      <protection locked="0" hidden="0"/>
    </xf>
    <xf numFmtId="0" fontId="40" fillId="0" borderId="0" applyAlignment="1" applyProtection="1">
      <alignment vertical="top"/>
      <protection locked="0" hidden="0"/>
    </xf>
    <xf numFmtId="0" fontId="40" fillId="0" borderId="0" applyAlignment="1">
      <alignment vertical="top"/>
    </xf>
    <xf numFmtId="0" fontId="40" fillId="0" borderId="0" applyAlignment="1">
      <alignment vertical="top"/>
    </xf>
    <xf numFmtId="0" fontId="40" fillId="0" borderId="0" applyAlignment="1">
      <alignment vertical="top"/>
    </xf>
    <xf numFmtId="0" fontId="40" fillId="0" borderId="0" applyAlignment="1">
      <alignment vertical="top"/>
    </xf>
    <xf numFmtId="0" fontId="40" fillId="0" borderId="0" applyAlignment="1" applyProtection="1">
      <alignment vertical="top"/>
      <protection locked="0" hidden="0"/>
    </xf>
    <xf numFmtId="0" fontId="40" fillId="0" borderId="0" applyAlignment="1" applyProtection="1">
      <alignment vertical="top"/>
      <protection locked="0" hidden="0"/>
    </xf>
    <xf numFmtId="0" fontId="40" fillId="0" borderId="0" applyAlignment="1">
      <alignment vertical="top"/>
    </xf>
    <xf numFmtId="0" fontId="40" fillId="0" borderId="0" applyAlignment="1" applyProtection="1">
      <alignment vertical="top"/>
      <protection locked="0" hidden="0"/>
    </xf>
    <xf numFmtId="181" fontId="31" fillId="0" borderId="0" applyAlignment="1">
      <alignment vertical="center"/>
    </xf>
    <xf numFmtId="182" fontId="31" fillId="0" borderId="0" applyAlignment="1">
      <alignment vertical="center"/>
    </xf>
    <xf numFmtId="10" fontId="31" fillId="0" borderId="0" applyAlignment="1">
      <alignment vertical="center"/>
    </xf>
    <xf numFmtId="0" fontId="42" fillId="6" borderId="0"/>
    <xf numFmtId="0" fontId="42" fillId="7" borderId="0"/>
    <xf numFmtId="0" fontId="42" fillId="8" borderId="0"/>
    <xf numFmtId="0" fontId="42" fillId="9" borderId="0"/>
    <xf numFmtId="0" fontId="42" fillId="10" borderId="0"/>
    <xf numFmtId="0" fontId="42" fillId="11" borderId="0"/>
    <xf numFmtId="0" fontId="42" fillId="12" borderId="0"/>
    <xf numFmtId="0" fontId="42" fillId="13" borderId="0"/>
    <xf numFmtId="0" fontId="42" fillId="14" borderId="0"/>
    <xf numFmtId="0" fontId="42" fillId="9" borderId="0"/>
    <xf numFmtId="0" fontId="42" fillId="12" borderId="0"/>
    <xf numFmtId="0" fontId="42" fillId="15" borderId="0"/>
    <xf numFmtId="0" fontId="43" fillId="16" borderId="0"/>
    <xf numFmtId="0" fontId="43" fillId="13" borderId="0"/>
    <xf numFmtId="0" fontId="43" fillId="14" borderId="0"/>
    <xf numFmtId="0" fontId="43" fillId="17" borderId="0"/>
    <xf numFmtId="0" fontId="43" fillId="18" borderId="0"/>
    <xf numFmtId="0" fontId="43" fillId="19" borderId="0"/>
    <xf numFmtId="0" fontId="43" fillId="20" borderId="0"/>
    <xf numFmtId="0" fontId="43" fillId="21" borderId="0"/>
    <xf numFmtId="0" fontId="43" fillId="22" borderId="0"/>
    <xf numFmtId="0" fontId="43" fillId="17" borderId="0"/>
    <xf numFmtId="0" fontId="43" fillId="18" borderId="0"/>
    <xf numFmtId="0" fontId="43" fillId="23" borderId="0"/>
    <xf numFmtId="0" fontId="44" fillId="7" borderId="0"/>
    <xf numFmtId="183" fontId="40" fillId="0" borderId="0" applyAlignment="1">
      <alignment vertical="center"/>
    </xf>
    <xf numFmtId="184" fontId="4" fillId="0" borderId="0"/>
    <xf numFmtId="185" fontId="4" fillId="0" borderId="0"/>
    <xf numFmtId="186" fontId="4" fillId="0" borderId="0"/>
    <xf numFmtId="187" fontId="4" fillId="0" borderId="0"/>
    <xf numFmtId="188" fontId="4" fillId="0" borderId="0"/>
    <xf numFmtId="189" fontId="4" fillId="0" borderId="0"/>
    <xf numFmtId="184" fontId="4" fillId="0" borderId="0"/>
    <xf numFmtId="0" fontId="45" fillId="24" borderId="12"/>
    <xf numFmtId="0" fontId="46" fillId="0" borderId="0"/>
    <xf numFmtId="0" fontId="47" fillId="25" borderId="13"/>
    <xf numFmtId="0" fontId="48" fillId="0" borderId="14" applyAlignment="1">
      <alignment horizontal="center" vertical="center"/>
    </xf>
    <xf numFmtId="0" fontId="49" fillId="0" borderId="15" applyAlignment="1">
      <alignment horizontal="center" vertical="center"/>
    </xf>
    <xf numFmtId="190" fontId="39" fillId="0" borderId="0" applyAlignment="1">
      <alignment vertical="center"/>
    </xf>
    <xf numFmtId="190" fontId="39" fillId="0" borderId="0" applyAlignment="1">
      <alignment vertical="center"/>
    </xf>
    <xf numFmtId="190" fontId="39" fillId="0" borderId="0" applyAlignment="1">
      <alignment vertical="center"/>
    </xf>
    <xf numFmtId="190" fontId="39" fillId="0" borderId="0" applyAlignment="1">
      <alignment vertical="center"/>
    </xf>
    <xf numFmtId="190" fontId="39" fillId="0" borderId="0" applyAlignment="1">
      <alignment vertical="center"/>
    </xf>
    <xf numFmtId="190" fontId="39" fillId="0" borderId="0" applyAlignment="1">
      <alignment vertical="center"/>
    </xf>
    <xf numFmtId="190" fontId="39" fillId="0" borderId="0" applyAlignment="1">
      <alignment vertical="center"/>
    </xf>
    <xf numFmtId="190" fontId="39" fillId="0" borderId="0" applyAlignment="1">
      <alignment vertical="center"/>
    </xf>
    <xf numFmtId="38" fontId="31" fillId="0" borderId="0" applyAlignment="1">
      <alignment vertical="center"/>
    </xf>
    <xf numFmtId="188" fontId="4" fillId="0" borderId="0"/>
    <xf numFmtId="43" fontId="31" fillId="0" borderId="0"/>
    <xf numFmtId="191" fontId="15" fillId="0" borderId="0"/>
    <xf numFmtId="37" fontId="31" fillId="0" borderId="0" applyAlignment="1">
      <alignment vertical="center"/>
    </xf>
    <xf numFmtId="192" fontId="31" fillId="0" borderId="0" applyAlignment="1">
      <alignment vertical="center"/>
    </xf>
    <xf numFmtId="39" fontId="31" fillId="0" borderId="0" applyAlignment="1">
      <alignment vertical="center"/>
    </xf>
    <xf numFmtId="40" fontId="31" fillId="0" borderId="0" applyAlignment="1">
      <alignment vertical="center"/>
    </xf>
    <xf numFmtId="193" fontId="31" fillId="0" borderId="0" applyAlignment="1">
      <alignment vertical="center"/>
    </xf>
    <xf numFmtId="184" fontId="4" fillId="0" borderId="0"/>
    <xf numFmtId="177" fontId="31" fillId="0" borderId="0" applyAlignment="1">
      <alignment vertical="center"/>
    </xf>
    <xf numFmtId="194" fontId="31" fillId="0" borderId="0" applyAlignment="1">
      <alignment vertical="center"/>
    </xf>
    <xf numFmtId="195" fontId="31" fillId="0" borderId="0" applyAlignment="1">
      <alignment vertical="center"/>
    </xf>
    <xf numFmtId="196" fontId="15" fillId="0" borderId="0"/>
    <xf numFmtId="14" fontId="50" fillId="0" borderId="0"/>
    <xf numFmtId="197" fontId="15" fillId="0" borderId="0"/>
    <xf numFmtId="188" fontId="4" fillId="0" borderId="0"/>
    <xf numFmtId="184" fontId="4" fillId="0" borderId="0"/>
    <xf numFmtId="188" fontId="4" fillId="0" borderId="0"/>
    <xf numFmtId="189" fontId="4" fillId="0" borderId="0"/>
    <xf numFmtId="184" fontId="4" fillId="0" borderId="0"/>
    <xf numFmtId="0" fontId="51" fillId="0" borderId="0" applyAlignment="1">
      <alignment horizontal="left" vertical="center"/>
    </xf>
    <xf numFmtId="0" fontId="52" fillId="26" borderId="2" applyAlignment="1">
      <alignment vertical="center"/>
    </xf>
    <xf numFmtId="0" fontId="53" fillId="0" borderId="0"/>
    <xf numFmtId="0" fontId="54" fillId="8" borderId="0"/>
    <xf numFmtId="0" fontId="55" fillId="0" borderId="0" applyAlignment="1">
      <alignment horizontal="left"/>
    </xf>
    <xf numFmtId="0" fontId="56" fillId="0" borderId="5" applyAlignment="1">
      <alignment horizontal="left" vertical="center"/>
    </xf>
    <xf numFmtId="0" fontId="56" fillId="0" borderId="16" applyAlignment="1">
      <alignment horizontal="left" vertical="center"/>
    </xf>
    <xf numFmtId="14" fontId="57" fillId="27" borderId="6" applyAlignment="1">
      <alignment horizontal="center" vertical="center" wrapText="1"/>
    </xf>
    <xf numFmtId="0" fontId="58" fillId="0" borderId="17"/>
    <xf numFmtId="0" fontId="59" fillId="0" borderId="18"/>
    <xf numFmtId="0" fontId="60" fillId="0" borderId="19"/>
    <xf numFmtId="0" fontId="60" fillId="0" borderId="0"/>
    <xf numFmtId="0" fontId="61" fillId="11" borderId="12"/>
    <xf numFmtId="0" fontId="31" fillId="0" borderId="0" applyAlignment="1">
      <alignment horizontal="left" vertical="center"/>
    </xf>
    <xf numFmtId="188" fontId="4" fillId="0" borderId="0"/>
    <xf numFmtId="184" fontId="4" fillId="0" borderId="0"/>
    <xf numFmtId="188" fontId="4" fillId="0" borderId="0"/>
    <xf numFmtId="189" fontId="4" fillId="0" borderId="0"/>
    <xf numFmtId="184" fontId="4" fillId="0" borderId="0"/>
    <xf numFmtId="0" fontId="62" fillId="0" borderId="20"/>
    <xf numFmtId="41" fontId="31" fillId="0" borderId="0" applyAlignment="1">
      <alignment vertical="center"/>
    </xf>
    <xf numFmtId="43" fontId="31" fillId="0" borderId="0" applyAlignment="1">
      <alignment vertical="center"/>
    </xf>
    <xf numFmtId="0" fontId="63" fillId="0" borderId="6"/>
    <xf numFmtId="42" fontId="31" fillId="0" borderId="0" applyAlignment="1">
      <alignment vertical="center"/>
    </xf>
    <xf numFmtId="198" fontId="31" fillId="0" borderId="0" applyAlignment="1">
      <alignment vertical="center"/>
    </xf>
    <xf numFmtId="199" fontId="31" fillId="0" borderId="0" applyAlignment="1">
      <alignment vertical="center"/>
    </xf>
    <xf numFmtId="200" fontId="31" fillId="0" borderId="0" applyAlignment="1">
      <alignment vertical="center"/>
    </xf>
    <xf numFmtId="0" fontId="64" fillId="28" borderId="0"/>
    <xf numFmtId="37" fontId="65" fillId="0" borderId="0" applyAlignment="1">
      <alignment vertical="center"/>
    </xf>
    <xf numFmtId="0" fontId="4" fillId="0" borderId="0"/>
    <xf numFmtId="0" fontId="4" fillId="0" borderId="0"/>
    <xf numFmtId="0" fontId="31" fillId="0" borderId="0"/>
    <xf numFmtId="0" fontId="31" fillId="0" borderId="0" applyAlignment="1">
      <alignment vertical="center"/>
    </xf>
    <xf numFmtId="0" fontId="66" fillId="0" borderId="0" applyAlignment="1">
      <alignment vertical="center"/>
    </xf>
    <xf numFmtId="0" fontId="67" fillId="0" borderId="0" applyAlignment="1">
      <alignment vertical="center"/>
    </xf>
    <xf numFmtId="0" fontId="4" fillId="29" borderId="21"/>
    <xf numFmtId="0" fontId="68" fillId="24" borderId="22"/>
    <xf numFmtId="201" fontId="31" fillId="0" borderId="0" applyAlignment="1">
      <alignment vertical="center"/>
    </xf>
    <xf numFmtId="187" fontId="4" fillId="0" borderId="0"/>
    <xf numFmtId="181" fontId="4" fillId="0" borderId="0"/>
    <xf numFmtId="0" fontId="52" fillId="2" borderId="2" applyAlignment="1">
      <alignment vertical="center"/>
    </xf>
    <xf numFmtId="188" fontId="4" fillId="0" borderId="0"/>
    <xf numFmtId="184" fontId="4" fillId="0" borderId="0"/>
    <xf numFmtId="188" fontId="4" fillId="0" borderId="0"/>
    <xf numFmtId="189" fontId="4" fillId="0" borderId="0"/>
    <xf numFmtId="184" fontId="4" fillId="0" borderId="0"/>
    <xf numFmtId="4" fontId="51" fillId="0" borderId="0" applyAlignment="1">
      <alignment horizontal="right" vertical="center"/>
    </xf>
    <xf numFmtId="4" fontId="69" fillId="0" borderId="0" applyAlignment="1">
      <alignment horizontal="right" vertical="center"/>
    </xf>
    <xf numFmtId="0" fontId="70" fillId="0" borderId="0" applyAlignment="1">
      <alignment horizontal="left" vertical="center"/>
    </xf>
    <xf numFmtId="43" fontId="6" fillId="0" borderId="3"/>
    <xf numFmtId="0" fontId="71" fillId="0" borderId="2" applyAlignment="1">
      <alignment horizontal="center" vertical="center"/>
    </xf>
    <xf numFmtId="0" fontId="71" fillId="0" borderId="0" applyAlignment="1">
      <alignment horizontal="center" vertical="center"/>
    </xf>
    <xf numFmtId="0" fontId="72" fillId="30" borderId="0" applyAlignment="1">
      <alignment horizontal="left" vertical="center"/>
    </xf>
    <xf numFmtId="0" fontId="63" fillId="0" borderId="0"/>
    <xf numFmtId="49" fontId="50" fillId="0" borderId="0"/>
    <xf numFmtId="202" fontId="50" fillId="0" borderId="0"/>
    <xf numFmtId="203" fontId="4" fillId="0" borderId="0"/>
    <xf numFmtId="0" fontId="73" fillId="0" borderId="0" applyAlignment="1">
      <alignment horizontal="left" vertical="top"/>
    </xf>
    <xf numFmtId="0" fontId="74" fillId="0" borderId="0" applyAlignment="1">
      <alignment horizontal="center" vertical="center"/>
    </xf>
    <xf numFmtId="0" fontId="75" fillId="0" borderId="23"/>
    <xf numFmtId="0" fontId="76" fillId="0" borderId="0"/>
    <xf numFmtId="0" fontId="31" fillId="0" borderId="0" applyAlignment="1">
      <alignment horizontal="center" vertical="center" wrapText="1"/>
    </xf>
    <xf numFmtId="9" fontId="31" fillId="0" borderId="0" applyAlignment="1">
      <alignment vertical="center"/>
    </xf>
    <xf numFmtId="0" fontId="41" fillId="0" borderId="0"/>
    <xf numFmtId="0" fontId="4" fillId="0" borderId="0"/>
    <xf numFmtId="204" fontId="41" fillId="0" borderId="0"/>
    <xf numFmtId="205" fontId="41" fillId="0" borderId="0"/>
    <xf numFmtId="41" fontId="4" fillId="0" borderId="0"/>
    <xf numFmtId="43" fontId="4" fillId="0" borderId="0"/>
    <xf numFmtId="9" fontId="31" fillId="0" borderId="0" applyAlignment="1">
      <alignment vertical="center"/>
    </xf>
    <xf numFmtId="9" fontId="31" fillId="0" borderId="0"/>
    <xf numFmtId="4" fontId="77" fillId="0" borderId="0" applyAlignment="1">
      <alignment horizontal="right" vertical="center"/>
    </xf>
    <xf numFmtId="0" fontId="78" fillId="7"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31" fillId="0" borderId="0" applyAlignment="1">
      <alignment vertical="center"/>
    </xf>
    <xf numFmtId="0" fontId="31" fillId="0" borderId="0" applyAlignment="1">
      <alignment vertical="center"/>
    </xf>
    <xf numFmtId="0" fontId="31"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80" fillId="0" borderId="0" applyAlignment="1" applyProtection="1">
      <alignment vertical="center"/>
      <protection locked="0" hidden="0"/>
    </xf>
    <xf numFmtId="0" fontId="31" fillId="0" borderId="0" applyProtection="1">
      <protection locked="0" hidden="0"/>
    </xf>
    <xf numFmtId="0" fontId="31" fillId="0" borderId="0" applyProtection="1">
      <protection locked="0" hidden="0"/>
    </xf>
    <xf numFmtId="0" fontId="31" fillId="0" borderId="0" applyAlignment="1">
      <alignment vertical="center"/>
    </xf>
    <xf numFmtId="0" fontId="31" fillId="0" borderId="0" applyAlignment="1">
      <alignment vertical="center"/>
    </xf>
    <xf numFmtId="0" fontId="31" fillId="0" borderId="0" applyAlignment="1">
      <alignment vertical="center"/>
    </xf>
    <xf numFmtId="0" fontId="81" fillId="0" borderId="0" applyAlignment="1">
      <alignment vertical="center"/>
    </xf>
    <xf numFmtId="0" fontId="31" fillId="0" borderId="0" applyProtection="1">
      <protection locked="0" hidden="0"/>
    </xf>
    <xf numFmtId="0" fontId="31" fillId="0" borderId="0" applyAlignment="1">
      <alignment vertical="center"/>
    </xf>
    <xf numFmtId="0" fontId="79" fillId="0" borderId="0" applyAlignment="1">
      <alignment vertical="center"/>
    </xf>
    <xf numFmtId="0" fontId="4" fillId="0" borderId="0"/>
    <xf numFmtId="0" fontId="31" fillId="0" borderId="0" applyAlignment="1">
      <alignment vertical="center"/>
    </xf>
    <xf numFmtId="0" fontId="82" fillId="0" borderId="0" applyAlignment="1">
      <alignment vertical="center"/>
    </xf>
    <xf numFmtId="0" fontId="82" fillId="0" borderId="0" applyAlignment="1">
      <alignment vertical="center"/>
    </xf>
    <xf numFmtId="0" fontId="31" fillId="0" borderId="0" applyAlignment="1">
      <alignment vertical="center"/>
    </xf>
    <xf numFmtId="0" fontId="31" fillId="0" borderId="0" applyAlignment="1">
      <alignment vertical="center"/>
    </xf>
    <xf numFmtId="0" fontId="83"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31" fillId="0" borderId="0"/>
    <xf numFmtId="0" fontId="80" fillId="0" borderId="0" applyAlignment="1">
      <alignment vertical="center"/>
    </xf>
    <xf numFmtId="0" fontId="79" fillId="0" borderId="0" applyAlignment="1">
      <alignment vertical="center"/>
    </xf>
    <xf numFmtId="0" fontId="82"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84" fillId="0" borderId="0" applyAlignment="1" applyProtection="1">
      <alignment vertical="top"/>
      <protection locked="0" hidden="0"/>
    </xf>
    <xf numFmtId="0" fontId="11" fillId="0" borderId="0" applyAlignment="1" applyProtection="1">
      <alignment vertical="top"/>
      <protection locked="0" hidden="0"/>
    </xf>
    <xf numFmtId="0" fontId="11" fillId="0" borderId="0" applyAlignment="1" applyProtection="1">
      <alignment vertical="top"/>
      <protection locked="0" hidden="0"/>
    </xf>
    <xf numFmtId="0" fontId="85" fillId="0" borderId="0" applyAlignment="1">
      <alignment vertical="center"/>
    </xf>
    <xf numFmtId="0" fontId="86" fillId="8" borderId="0" applyAlignment="1">
      <alignment vertical="center"/>
    </xf>
    <xf numFmtId="4" fontId="31" fillId="0" borderId="0" applyAlignment="1">
      <alignment vertical="center"/>
    </xf>
    <xf numFmtId="41" fontId="31" fillId="0" borderId="0" applyAlignment="1">
      <alignment vertical="center"/>
    </xf>
    <xf numFmtId="206" fontId="31" fillId="0" borderId="0" applyAlignment="1">
      <alignment vertical="center"/>
    </xf>
    <xf numFmtId="207" fontId="31" fillId="0" borderId="0" applyAlignment="1">
      <alignment vertical="center"/>
    </xf>
    <xf numFmtId="208" fontId="31" fillId="0" borderId="0" applyAlignment="1">
      <alignment vertical="center"/>
    </xf>
    <xf numFmtId="209" fontId="31" fillId="0" borderId="0" applyAlignment="1">
      <alignment vertical="center"/>
    </xf>
    <xf numFmtId="210" fontId="41" fillId="0" borderId="0"/>
    <xf numFmtId="211" fontId="41" fillId="0" borderId="0"/>
    <xf numFmtId="0" fontId="87" fillId="0" borderId="0" applyAlignment="1">
      <alignment vertical="center"/>
    </xf>
    <xf numFmtId="41" fontId="31" fillId="0" borderId="0" applyAlignment="1">
      <alignment vertical="center"/>
    </xf>
    <xf numFmtId="43" fontId="31" fillId="0" borderId="0" applyAlignment="1">
      <alignment vertical="center"/>
    </xf>
    <xf numFmtId="41" fontId="41" fillId="0" borderId="0"/>
    <xf numFmtId="43" fontId="41" fillId="0" borderId="0"/>
    <xf numFmtId="43" fontId="31" fillId="0" borderId="0" applyAlignment="1">
      <alignment vertical="center"/>
    </xf>
    <xf numFmtId="43" fontId="31" fillId="0" borderId="0"/>
    <xf numFmtId="0" fontId="88" fillId="0" borderId="0" applyAlignment="1">
      <alignment vertical="center"/>
    </xf>
    <xf numFmtId="198" fontId="31" fillId="0" borderId="0" applyAlignment="1">
      <alignment vertical="center"/>
    </xf>
    <xf numFmtId="212" fontId="31" fillId="0" borderId="0" applyAlignment="1">
      <alignment vertical="center"/>
    </xf>
    <xf numFmtId="0" fontId="40" fillId="0" borderId="0" applyAlignment="1">
      <alignment vertical="top"/>
    </xf>
    <xf numFmtId="38" fontId="31" fillId="0" borderId="0" applyAlignment="1">
      <alignment vertical="center"/>
    </xf>
    <xf numFmtId="40" fontId="31" fillId="0" borderId="0" applyAlignment="1">
      <alignment vertical="center"/>
    </xf>
    <xf numFmtId="0" fontId="31" fillId="0" borderId="0" applyAlignment="1">
      <alignment vertical="center"/>
    </xf>
    <xf numFmtId="0" fontId="31" fillId="0" borderId="0" applyAlignment="1">
      <alignment vertical="center"/>
    </xf>
    <xf numFmtId="0" fontId="89" fillId="0" borderId="0" applyAlignment="1">
      <alignment vertical="center"/>
    </xf>
    <xf numFmtId="0" fontId="31" fillId="0" borderId="0" applyProtection="1">
      <protection locked="0" hidden="0"/>
    </xf>
    <xf numFmtId="0" fontId="31" fillId="0" borderId="0"/>
    <xf numFmtId="0" fontId="11" fillId="0" borderId="0" applyAlignment="1" applyProtection="1">
      <alignment vertical="top"/>
      <protection locked="0" hidden="0"/>
    </xf>
    <xf numFmtId="9" fontId="31" fillId="0" borderId="0"/>
    <xf numFmtId="0" fontId="31" fillId="0" borderId="0" applyProtection="1">
      <protection locked="0" hidden="0"/>
    </xf>
    <xf numFmtId="167" fontId="31" fillId="0" borderId="0" applyProtection="1">
      <protection locked="0" hidden="0"/>
    </xf>
    <xf numFmtId="43" fontId="31" fillId="0" borderId="0" applyAlignment="1">
      <alignment vertical="center"/>
    </xf>
    <xf numFmtId="167" fontId="82" fillId="0" borderId="0" applyAlignment="1">
      <alignment vertical="center"/>
    </xf>
    <xf numFmtId="167" fontId="31" fillId="0" borderId="0"/>
  </cellStyleXfs>
  <cellXfs count="321">
    <xf numFmtId="0" fontId="0" fillId="0" borderId="0" applyProtection="1" pivotButton="0" quotePrefix="0" xfId="0">
      <protection locked="0" hidden="0"/>
    </xf>
    <xf numFmtId="0" fontId="21" fillId="0" borderId="0" applyAlignment="1" pivotButton="0" quotePrefix="0" xfId="27">
      <alignment vertical="center"/>
    </xf>
    <xf numFmtId="0" fontId="22" fillId="0" borderId="0" applyAlignment="1" pivotButton="0" quotePrefix="0" xfId="26">
      <alignment vertical="center"/>
    </xf>
    <xf numFmtId="0" fontId="22" fillId="0" borderId="0" applyAlignment="1" pivotButton="0" quotePrefix="0" xfId="26">
      <alignment vertical="center"/>
    </xf>
    <xf numFmtId="164" fontId="23" fillId="0" borderId="3" applyAlignment="1" pivotButton="0" quotePrefix="0" xfId="26">
      <alignment horizontal="center" vertical="center" wrapText="1"/>
    </xf>
    <xf numFmtId="164" fontId="22" fillId="0" borderId="3" applyAlignment="1" pivotButton="0" quotePrefix="0" xfId="26">
      <alignment horizontal="center" vertical="center" wrapText="1"/>
    </xf>
    <xf numFmtId="0" fontId="23" fillId="0" borderId="0" applyAlignment="1" pivotButton="0" quotePrefix="0" xfId="26">
      <alignment vertical="center"/>
    </xf>
    <xf numFmtId="165" fontId="22" fillId="0" borderId="0" applyAlignment="1" pivotButton="0" quotePrefix="0" xfId="30">
      <alignment vertical="center"/>
    </xf>
    <xf numFmtId="165" fontId="24" fillId="0" borderId="0" applyAlignment="1" pivotButton="0" quotePrefix="0" xfId="30">
      <alignment vertical="center"/>
    </xf>
    <xf numFmtId="0" fontId="22" fillId="0" borderId="0" applyAlignment="1" applyProtection="1" pivotButton="0" quotePrefix="0" xfId="0">
      <alignment vertical="center"/>
      <protection locked="0" hidden="0"/>
    </xf>
    <xf numFmtId="0" fontId="22" fillId="0" borderId="0" applyAlignment="1" applyProtection="1" pivotButton="0" quotePrefix="0" xfId="0">
      <alignment vertical="center"/>
      <protection locked="0" hidden="0"/>
    </xf>
    <xf numFmtId="0" fontId="22" fillId="0" borderId="0" applyAlignment="1" pivotButton="0" quotePrefix="0" xfId="31">
      <alignment vertical="center"/>
    </xf>
    <xf numFmtId="165" fontId="22" fillId="0" borderId="3" applyAlignment="1" pivotButton="0" quotePrefix="0" xfId="33">
      <alignment vertical="center"/>
    </xf>
    <xf numFmtId="0" fontId="22" fillId="0" borderId="4" applyAlignment="1" applyProtection="1" pivotButton="0" quotePrefix="0" xfId="0">
      <alignment vertical="center"/>
      <protection locked="0" hidden="0"/>
    </xf>
    <xf numFmtId="0" fontId="22" fillId="0" borderId="0" applyAlignment="1" applyProtection="1" pivotButton="0" quotePrefix="0" xfId="0">
      <alignment horizontal="left" vertical="center"/>
      <protection locked="0" hidden="0"/>
    </xf>
    <xf numFmtId="0" fontId="22" fillId="0" borderId="0" applyAlignment="1" applyProtection="1" pivotButton="0" quotePrefix="0" xfId="28">
      <alignment vertical="center"/>
      <protection locked="0" hidden="0"/>
    </xf>
    <xf numFmtId="0" fontId="22" fillId="0" borderId="3" applyAlignment="1" applyProtection="1" pivotButton="0" quotePrefix="0" xfId="0">
      <alignment horizontal="left" vertical="center"/>
      <protection locked="0" hidden="0"/>
    </xf>
    <xf numFmtId="0" fontId="22" fillId="0" borderId="3" applyAlignment="1" applyProtection="1" pivotButton="0" quotePrefix="0" xfId="0">
      <alignment vertical="center" wrapText="1"/>
      <protection locked="0" hidden="0"/>
    </xf>
    <xf numFmtId="165" fontId="22" fillId="0" borderId="3" applyAlignment="1" applyProtection="1" pivotButton="0" quotePrefix="0" xfId="0">
      <alignment horizontal="left" vertical="center"/>
      <protection locked="0" hidden="0"/>
    </xf>
    <xf numFmtId="0" fontId="22" fillId="0" borderId="3" applyAlignment="1" applyProtection="1" pivotButton="0" quotePrefix="0" xfId="0">
      <alignment horizontal="center" vertical="center"/>
      <protection locked="0" hidden="0"/>
    </xf>
    <xf numFmtId="0" fontId="22" fillId="0" borderId="0" applyAlignment="1" applyProtection="1" pivotButton="0" quotePrefix="0" xfId="0">
      <alignment horizontal="center" vertical="center"/>
      <protection locked="0" hidden="0"/>
    </xf>
    <xf numFmtId="0" fontId="23" fillId="0" borderId="0" applyAlignment="1" applyProtection="1" pivotButton="0" quotePrefix="0" xfId="0">
      <alignment vertical="center"/>
      <protection locked="0" hidden="0"/>
    </xf>
    <xf numFmtId="0" fontId="22" fillId="0" borderId="0" applyAlignment="1" applyProtection="1" pivotButton="0" quotePrefix="0" xfId="0">
      <alignment horizontal="center" vertical="center"/>
      <protection locked="0" hidden="0"/>
    </xf>
    <xf numFmtId="0" fontId="22" fillId="0" borderId="0" applyAlignment="1" applyProtection="1" pivotButton="0" quotePrefix="0" xfId="0">
      <alignment horizontal="left" vertical="center"/>
      <protection locked="0" hidden="0"/>
    </xf>
    <xf numFmtId="0" fontId="24" fillId="0" borderId="0" applyAlignment="1" applyProtection="1" pivotButton="0" quotePrefix="0" xfId="0">
      <alignment vertical="center"/>
      <protection locked="0" hidden="0"/>
    </xf>
    <xf numFmtId="0" fontId="24" fillId="0" borderId="0" applyProtection="1" pivotButton="0" quotePrefix="0" xfId="0">
      <protection locked="0" hidden="0"/>
    </xf>
    <xf numFmtId="0" fontId="24" fillId="0" borderId="0" applyAlignment="1" applyProtection="1" pivotButton="0" quotePrefix="0" xfId="0">
      <alignment horizontal="right"/>
      <protection locked="0" hidden="0"/>
    </xf>
    <xf numFmtId="49" fontId="24" fillId="0" borderId="0" applyAlignment="1" applyProtection="1" pivotButton="0" quotePrefix="0" xfId="0">
      <alignment horizontal="right" vertical="center"/>
      <protection locked="0" hidden="0"/>
    </xf>
    <xf numFmtId="0" fontId="24" fillId="0" borderId="0" applyAlignment="1" applyProtection="1" pivotButton="0" quotePrefix="0" xfId="0">
      <alignment horizontal="right" vertical="center"/>
      <protection locked="0" hidden="0"/>
    </xf>
    <xf numFmtId="0" fontId="22" fillId="0" borderId="0" applyAlignment="1" pivotButton="0" quotePrefix="0" xfId="27">
      <alignment vertical="center"/>
    </xf>
    <xf numFmtId="0" fontId="23" fillId="0" borderId="0" applyAlignment="1" applyProtection="1" pivotButton="0" quotePrefix="0" xfId="0">
      <alignment vertical="center"/>
      <protection locked="0" hidden="0"/>
    </xf>
    <xf numFmtId="0" fontId="23" fillId="0" borderId="0" applyAlignment="1" pivotButton="0" quotePrefix="0" xfId="27">
      <alignment vertical="center"/>
    </xf>
    <xf numFmtId="165" fontId="22" fillId="0" borderId="0" applyAlignment="1" applyProtection="1" pivotButton="0" quotePrefix="0" xfId="33">
      <alignment vertical="center"/>
      <protection locked="0" hidden="0"/>
    </xf>
    <xf numFmtId="165" fontId="22" fillId="0" borderId="4" applyAlignment="1" applyProtection="1" pivotButton="0" quotePrefix="0" xfId="33">
      <alignment vertical="center"/>
      <protection locked="0" hidden="0"/>
    </xf>
    <xf numFmtId="165" fontId="22" fillId="0" borderId="0" applyAlignment="1" applyProtection="1" pivotButton="0" quotePrefix="0" xfId="33">
      <alignment vertical="center"/>
      <protection locked="0" hidden="0"/>
    </xf>
    <xf numFmtId="0" fontId="22" fillId="0" borderId="3" applyAlignment="1" applyProtection="1" pivotButton="0" quotePrefix="0" xfId="0">
      <alignment vertical="center"/>
      <protection locked="0" hidden="0"/>
    </xf>
    <xf numFmtId="0" fontId="23" fillId="5" borderId="3" applyAlignment="1" applyProtection="1" pivotButton="0" quotePrefix="0" xfId="0">
      <alignment horizontal="center" vertical="center" wrapText="1"/>
      <protection locked="0" hidden="0"/>
    </xf>
    <xf numFmtId="0" fontId="23" fillId="5" borderId="3" applyAlignment="1" pivotButton="0" quotePrefix="0" xfId="26">
      <alignment horizontal="center" vertical="center" wrapText="1"/>
    </xf>
    <xf numFmtId="0" fontId="23" fillId="0" borderId="4" applyAlignment="1" applyProtection="1" pivotButton="0" quotePrefix="0" xfId="0">
      <alignment vertical="center"/>
      <protection locked="0" hidden="0"/>
    </xf>
    <xf numFmtId="0" fontId="30" fillId="0" borderId="0" applyAlignment="1" applyProtection="1" pivotButton="0" quotePrefix="0" xfId="0">
      <alignment horizontal="left"/>
      <protection locked="0" hidden="0"/>
    </xf>
    <xf numFmtId="165" fontId="30" fillId="0" borderId="0" applyAlignment="1" pivotButton="0" quotePrefix="0" xfId="30">
      <alignment vertical="center"/>
    </xf>
    <xf numFmtId="0" fontId="30" fillId="0" borderId="0" applyAlignment="1" applyProtection="1" pivotButton="0" quotePrefix="0" xfId="0">
      <alignment vertical="center"/>
      <protection locked="0" hidden="0"/>
    </xf>
    <xf numFmtId="0" fontId="20" fillId="0" borderId="0" applyAlignment="1" pivotButton="0" quotePrefix="0" xfId="27">
      <alignment vertical="center"/>
    </xf>
    <xf numFmtId="0" fontId="21" fillId="0" borderId="0" applyAlignment="1" applyProtection="1" pivotButton="0" quotePrefix="0" xfId="0">
      <alignment vertical="center"/>
      <protection locked="0" hidden="0"/>
    </xf>
    <xf numFmtId="164" fontId="22" fillId="0" borderId="3" applyAlignment="1" pivotButton="0" quotePrefix="0" xfId="26">
      <alignment horizontal="left" vertical="center" wrapText="1"/>
    </xf>
    <xf numFmtId="164" fontId="23" fillId="0" borderId="3" applyAlignment="1" pivotButton="0" quotePrefix="0" xfId="26">
      <alignment horizontal="center" vertical="center" wrapText="1"/>
    </xf>
    <xf numFmtId="0" fontId="22" fillId="4" borderId="0" applyAlignment="1" applyProtection="1" pivotButton="0" quotePrefix="0" xfId="29">
      <alignment horizontal="justify" vertical="center" wrapText="1"/>
      <protection locked="0" hidden="0"/>
    </xf>
    <xf numFmtId="0" fontId="34" fillId="0" borderId="0" applyAlignment="1" pivotButton="0" quotePrefix="0" xfId="26">
      <alignment vertical="center"/>
    </xf>
    <xf numFmtId="0" fontId="22" fillId="0" borderId="0" applyAlignment="1" applyProtection="1" pivotButton="0" quotePrefix="0" xfId="36">
      <alignment vertical="center"/>
      <protection locked="0" hidden="0"/>
    </xf>
    <xf numFmtId="0" fontId="22" fillId="0" borderId="0" applyAlignment="1" pivotButton="0" quotePrefix="0" xfId="26">
      <alignment horizontal="left" vertical="center" wrapText="1"/>
    </xf>
    <xf numFmtId="165" fontId="22" fillId="0" borderId="0" applyAlignment="1" pivotButton="0" quotePrefix="0" xfId="30">
      <alignment horizontal="left" vertical="center"/>
    </xf>
    <xf numFmtId="0" fontId="90" fillId="5" borderId="3" applyAlignment="1" applyProtection="1" pivotButton="0" quotePrefix="0" xfId="300">
      <alignment horizontal="center" vertical="center" wrapText="1"/>
      <protection locked="0" hidden="0"/>
    </xf>
    <xf numFmtId="0" fontId="92" fillId="0" borderId="0" applyAlignment="1" applyProtection="1" pivotButton="0" quotePrefix="0" xfId="0">
      <alignment vertical="center"/>
      <protection locked="0" hidden="0"/>
    </xf>
    <xf numFmtId="0" fontId="91"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21" fillId="0" borderId="0" applyAlignment="1" applyProtection="1" pivotButton="0" quotePrefix="0" xfId="0">
      <alignment horizontal="left" vertical="center"/>
      <protection locked="0" hidden="0"/>
    </xf>
    <xf numFmtId="0" fontId="94" fillId="0" borderId="5" applyAlignment="1" applyProtection="1" pivotButton="0" quotePrefix="0" xfId="0">
      <alignment horizontal="justify" vertical="center" wrapText="1"/>
      <protection locked="0" hidden="0"/>
    </xf>
    <xf numFmtId="0" fontId="96" fillId="0" borderId="5" applyAlignment="1" applyProtection="1" pivotButton="0" quotePrefix="0" xfId="0">
      <alignment horizontal="right" vertical="center" wrapText="1"/>
      <protection locked="0" hidden="0"/>
    </xf>
    <xf numFmtId="0" fontId="97" fillId="0" borderId="0" applyAlignment="1" applyProtection="1" pivotButton="0" quotePrefix="0" xfId="0">
      <alignment horizontal="justify" vertical="center" wrapText="1"/>
      <protection locked="0" hidden="0"/>
    </xf>
    <xf numFmtId="0" fontId="32" fillId="0" borderId="0" applyAlignment="1" applyProtection="1" pivotButton="0" quotePrefix="0" xfId="0">
      <alignment horizontal="right" vertical="center" wrapText="1"/>
      <protection locked="0" hidden="0"/>
    </xf>
    <xf numFmtId="0" fontId="98" fillId="0" borderId="0" applyAlignment="1" applyProtection="1" pivotButton="0" quotePrefix="0" xfId="0">
      <alignment horizontal="justify" vertical="center" wrapText="1"/>
      <protection locked="0" hidden="0"/>
    </xf>
    <xf numFmtId="0" fontId="99" fillId="0" borderId="6" applyAlignment="1" applyProtection="1" pivotButton="0" quotePrefix="0" xfId="0">
      <alignment horizontal="justify" vertical="center" wrapText="1"/>
      <protection locked="0" hidden="0"/>
    </xf>
    <xf numFmtId="0" fontId="32" fillId="0" borderId="6" applyAlignment="1" applyProtection="1" pivotButton="0" quotePrefix="0" xfId="0">
      <alignment horizontal="right" vertical="center" wrapText="1"/>
      <protection locked="0" hidden="0"/>
    </xf>
    <xf numFmtId="0" fontId="94" fillId="0" borderId="6" applyAlignment="1" applyProtection="1" pivotButton="0" quotePrefix="0" xfId="0">
      <alignment horizontal="justify" vertical="center" wrapText="1"/>
      <protection locked="0" hidden="0"/>
    </xf>
    <xf numFmtId="0" fontId="95" fillId="0" borderId="6" applyAlignment="1" applyProtection="1" pivotButton="0" quotePrefix="0" xfId="0">
      <alignment horizontal="right" vertical="center" wrapText="1"/>
      <protection locked="0" hidden="0"/>
    </xf>
    <xf numFmtId="0" fontId="93" fillId="0" borderId="0" applyAlignment="1" applyProtection="1" pivotButton="0" quotePrefix="0" xfId="0">
      <alignment horizontal="justify" vertical="center"/>
      <protection locked="0" hidden="0"/>
    </xf>
    <xf numFmtId="0" fontId="101" fillId="0" borderId="6" applyAlignment="1" applyProtection="1" pivotButton="0" quotePrefix="0" xfId="0">
      <alignment horizontal="right" vertical="center" wrapText="1"/>
      <protection locked="0" hidden="0"/>
    </xf>
    <xf numFmtId="0" fontId="101" fillId="0" borderId="5" applyAlignment="1" applyProtection="1" pivotButton="0" quotePrefix="0" xfId="0">
      <alignment horizontal="right" vertical="center" wrapText="1"/>
      <protection locked="0" hidden="0"/>
    </xf>
    <xf numFmtId="0" fontId="103" fillId="0" borderId="0" applyAlignment="1" applyProtection="1" pivotButton="0" quotePrefix="0" xfId="0">
      <alignment horizontal="justify" vertical="center" wrapText="1"/>
      <protection locked="0" hidden="0"/>
    </xf>
    <xf numFmtId="0" fontId="104" fillId="0" borderId="0" applyAlignment="1" applyProtection="1" pivotButton="0" quotePrefix="0" xfId="0">
      <alignment horizontal="right" vertical="center" wrapText="1"/>
      <protection locked="0" hidden="0"/>
    </xf>
    <xf numFmtId="0" fontId="103" fillId="0" borderId="6" applyAlignment="1" applyProtection="1" pivotButton="0" quotePrefix="0" xfId="0">
      <alignment horizontal="justify" vertical="center" wrapText="1"/>
      <protection locked="0" hidden="0"/>
    </xf>
    <xf numFmtId="0" fontId="104" fillId="0" borderId="6" applyAlignment="1" applyProtection="1" pivotButton="0" quotePrefix="0" xfId="0">
      <alignment horizontal="right" vertical="center" wrapText="1"/>
      <protection locked="0" hidden="0"/>
    </xf>
    <xf numFmtId="0" fontId="101" fillId="0" borderId="6" applyAlignment="1" applyProtection="1" pivotButton="0" quotePrefix="0" xfId="0">
      <alignment horizontal="justify" vertical="center" wrapText="1"/>
      <protection locked="0" hidden="0"/>
    </xf>
    <xf numFmtId="0" fontId="96" fillId="31" borderId="5" applyAlignment="1" applyProtection="1" pivotButton="0" quotePrefix="0" xfId="0">
      <alignment horizontal="justify" vertical="center" wrapText="1"/>
      <protection locked="0" hidden="0"/>
    </xf>
    <xf numFmtId="0" fontId="94" fillId="31" borderId="5" applyAlignment="1" applyProtection="1" pivotButton="0" quotePrefix="0" xfId="0">
      <alignment horizontal="right" vertical="center" wrapText="1"/>
      <protection locked="0" hidden="0"/>
    </xf>
    <xf numFmtId="0" fontId="108" fillId="31" borderId="0" applyAlignment="1" applyProtection="1" pivotButton="0" quotePrefix="0" xfId="0">
      <alignment horizontal="justify" vertical="center" wrapText="1"/>
      <protection locked="0" hidden="0"/>
    </xf>
    <xf numFmtId="0" fontId="32" fillId="31" borderId="0" applyAlignment="1" applyProtection="1" pivotButton="0" quotePrefix="0" xfId="0">
      <alignment horizontal="right" vertical="center" wrapText="1"/>
      <protection locked="0" hidden="0"/>
    </xf>
    <xf numFmtId="0" fontId="109" fillId="31" borderId="6" applyAlignment="1" applyProtection="1" pivotButton="0" quotePrefix="0" xfId="0">
      <alignment horizontal="justify" vertical="center" wrapText="1"/>
      <protection locked="0" hidden="0"/>
    </xf>
    <xf numFmtId="0" fontId="32" fillId="31" borderId="6" applyAlignment="1" applyProtection="1" pivotButton="0" quotePrefix="0" xfId="0">
      <alignment horizontal="right" vertical="center" wrapText="1"/>
      <protection locked="0" hidden="0"/>
    </xf>
    <xf numFmtId="0" fontId="96" fillId="31" borderId="6" applyAlignment="1" applyProtection="1" pivotButton="0" quotePrefix="0" xfId="0">
      <alignment horizontal="justify" vertical="center" wrapText="1"/>
      <protection locked="0" hidden="0"/>
    </xf>
    <xf numFmtId="0" fontId="95" fillId="31" borderId="6" applyAlignment="1" applyProtection="1" pivotButton="0" quotePrefix="0" xfId="0">
      <alignment horizontal="right" vertical="center" wrapText="1"/>
      <protection locked="0" hidden="0"/>
    </xf>
    <xf numFmtId="0" fontId="98" fillId="32" borderId="0" applyAlignment="1" applyProtection="1" pivotButton="0" quotePrefix="0" xfId="0">
      <alignment horizontal="justify" vertical="center" wrapText="1"/>
      <protection locked="0" hidden="0"/>
    </xf>
    <xf numFmtId="165" fontId="23" fillId="5" borderId="3" applyAlignment="1" pivotButton="0" quotePrefix="0" xfId="33">
      <alignment vertical="center"/>
    </xf>
    <xf numFmtId="10" fontId="22" fillId="5" borderId="3" applyAlignment="1" pivotButton="0" quotePrefix="0" xfId="35">
      <alignment horizontal="right" vertical="center"/>
    </xf>
    <xf numFmtId="10" fontId="23" fillId="5" borderId="3" applyAlignment="1" pivotButton="0" quotePrefix="0" xfId="35">
      <alignment horizontal="right" vertical="center"/>
    </xf>
    <xf numFmtId="165" fontId="22" fillId="5" borderId="3" applyAlignment="1" pivotButton="0" quotePrefix="0" xfId="33">
      <alignment vertical="center"/>
    </xf>
    <xf numFmtId="165" fontId="23" fillId="0" borderId="3" applyAlignment="1" pivotButton="0" quotePrefix="0" xfId="33">
      <alignment horizontal="right" vertical="center"/>
    </xf>
    <xf numFmtId="165" fontId="23" fillId="5" borderId="3" applyAlignment="1" pivotButton="0" quotePrefix="0" xfId="33">
      <alignment horizontal="right" vertical="center"/>
    </xf>
    <xf numFmtId="0" fontId="23" fillId="5" borderId="3" applyAlignment="1" applyProtection="1" pivotButton="0" quotePrefix="0" xfId="300">
      <alignment horizontal="center" vertical="center" wrapText="1"/>
      <protection locked="0" hidden="0"/>
    </xf>
    <xf numFmtId="0" fontId="112" fillId="0" borderId="3" applyAlignment="1" pivotButton="0" quotePrefix="0" xfId="299">
      <alignment vertical="center"/>
    </xf>
    <xf numFmtId="0" fontId="22" fillId="0" borderId="0" applyProtection="1" pivotButton="0" quotePrefix="0" xfId="0">
      <protection locked="0" hidden="0"/>
    </xf>
    <xf numFmtId="0" fontId="22" fillId="0" borderId="0" applyProtection="1" pivotButton="0" quotePrefix="0" xfId="299">
      <protection locked="0" hidden="0"/>
    </xf>
    <xf numFmtId="0" fontId="24" fillId="0" borderId="0" applyAlignment="1" applyProtection="1" pivotButton="0" quotePrefix="0" xfId="28">
      <alignment horizontal="center" vertical="center"/>
      <protection locked="1" hidden="1"/>
    </xf>
    <xf numFmtId="0" fontId="22" fillId="0" borderId="0" applyAlignment="1" applyProtection="1" pivotButton="0" quotePrefix="0" xfId="28">
      <alignment horizontal="left" vertical="center"/>
      <protection locked="1" hidden="1"/>
    </xf>
    <xf numFmtId="0" fontId="24" fillId="0" borderId="0" applyAlignment="1" applyProtection="1" pivotButton="0" quotePrefix="0" xfId="28">
      <alignment horizontal="left" vertical="center"/>
      <protection locked="0" hidden="0"/>
    </xf>
    <xf numFmtId="0" fontId="22" fillId="0" borderId="0" applyAlignment="1" applyProtection="1" pivotButton="0" quotePrefix="0" xfId="0">
      <alignment vertical="center" wrapText="1"/>
      <protection locked="0" hidden="0"/>
    </xf>
    <xf numFmtId="0" fontId="22" fillId="0" borderId="0" applyAlignment="1" applyProtection="1" pivotButton="0" quotePrefix="0" xfId="0">
      <alignment horizontal="left" vertical="center" wrapText="1"/>
      <protection locked="0" hidden="0"/>
    </xf>
    <xf numFmtId="0" fontId="22" fillId="0" borderId="0" applyAlignment="1" applyProtection="1" pivotButton="0" quotePrefix="0" xfId="28">
      <alignment vertical="center" wrapText="1"/>
      <protection locked="0" hidden="0"/>
    </xf>
    <xf numFmtId="0" fontId="22" fillId="0" borderId="0" applyAlignment="1" applyProtection="1" pivotButton="0" quotePrefix="0" xfId="0">
      <alignment horizontal="center" vertical="center" wrapText="1"/>
      <protection locked="0" hidden="0"/>
    </xf>
    <xf numFmtId="0" fontId="22" fillId="0" borderId="0" applyAlignment="1" applyProtection="1" pivotButton="0" quotePrefix="0" xfId="0">
      <alignment vertical="center" wrapText="1"/>
      <protection locked="0" hidden="0"/>
    </xf>
    <xf numFmtId="0" fontId="22" fillId="0" borderId="0" applyAlignment="1" applyProtection="1" pivotButton="0" quotePrefix="0" xfId="0">
      <alignment horizontal="left" vertical="center" wrapText="1"/>
      <protection locked="0" hidden="0"/>
    </xf>
    <xf numFmtId="0" fontId="24" fillId="0" borderId="0" applyAlignment="1" applyProtection="1" pivotButton="0" quotePrefix="0" xfId="0">
      <alignment vertical="center" wrapText="1"/>
      <protection locked="0" hidden="0"/>
    </xf>
    <xf numFmtId="165" fontId="22" fillId="0" borderId="3" applyAlignment="1" applyProtection="1" pivotButton="0" quotePrefix="0" xfId="33">
      <alignment horizontal="center" vertical="center" wrapText="1"/>
      <protection locked="0" hidden="0"/>
    </xf>
    <xf numFmtId="0" fontId="27" fillId="5" borderId="3" applyAlignment="1" pivotButton="0" quotePrefix="0" xfId="299">
      <alignment horizontal="center" vertical="center" wrapText="1"/>
    </xf>
    <xf numFmtId="0" fontId="22" fillId="0" borderId="0" applyAlignment="1" applyProtection="1" pivotButton="0" quotePrefix="0" xfId="0">
      <alignment horizontal="center" wrapText="1"/>
      <protection locked="0" hidden="0"/>
    </xf>
    <xf numFmtId="165" fontId="23" fillId="5" borderId="3" applyAlignment="1" pivotButton="0" quotePrefix="0" xfId="33">
      <alignment horizontal="center" vertical="center"/>
    </xf>
    <xf numFmtId="0" fontId="22" fillId="4" borderId="0" applyAlignment="1" applyProtection="1" pivotButton="0" quotePrefix="0" xfId="0">
      <alignment horizontal="justify" vertical="center" wrapText="1"/>
      <protection locked="0" hidden="0"/>
    </xf>
    <xf numFmtId="0" fontId="23" fillId="0" borderId="0" applyAlignment="1" applyProtection="1" pivotButton="0" quotePrefix="0" xfId="29">
      <alignment vertical="center"/>
      <protection locked="0" hidden="0"/>
    </xf>
    <xf numFmtId="0" fontId="22" fillId="0" borderId="0" applyAlignment="1" applyProtection="1" pivotButton="0" quotePrefix="0" xfId="29">
      <alignment vertical="center"/>
      <protection locked="0" hidden="0"/>
    </xf>
    <xf numFmtId="0" fontId="22" fillId="0" borderId="0" applyAlignment="1" applyProtection="1" pivotButton="0" quotePrefix="0" xfId="29">
      <alignment horizontal="justify" vertical="center" wrapText="1"/>
      <protection locked="0" hidden="0"/>
    </xf>
    <xf numFmtId="0" fontId="22" fillId="0" borderId="2" applyAlignment="1" applyProtection="1" pivotButton="0" quotePrefix="0" xfId="29">
      <alignment horizontal="center" vertical="center"/>
      <protection locked="0" hidden="0"/>
    </xf>
    <xf numFmtId="0" fontId="22" fillId="0" borderId="0" applyAlignment="1" applyProtection="1" pivotButton="0" quotePrefix="0" xfId="29">
      <alignment vertical="center"/>
      <protection locked="0" hidden="0"/>
    </xf>
    <xf numFmtId="0" fontId="23" fillId="0" borderId="0" applyAlignment="1" applyProtection="1" pivotButton="0" quotePrefix="0" xfId="0">
      <alignment horizontal="justify" vertical="center"/>
      <protection locked="0" hidden="0"/>
    </xf>
    <xf numFmtId="0" fontId="22" fillId="0" borderId="2" applyAlignment="1" applyProtection="1" pivotButton="0" quotePrefix="0" xfId="0">
      <alignment vertical="center"/>
      <protection locked="0" hidden="0"/>
    </xf>
    <xf numFmtId="164" fontId="22" fillId="0" borderId="3" applyAlignment="1" pivotButton="0" quotePrefix="0" xfId="26">
      <alignment horizontal="left" vertical="center" shrinkToFit="1"/>
    </xf>
    <xf numFmtId="0" fontId="23" fillId="0" borderId="0" applyAlignment="1" pivotButton="0" quotePrefix="0" xfId="28">
      <alignment vertical="center"/>
    </xf>
    <xf numFmtId="0" fontId="34" fillId="33" borderId="0" applyAlignment="1" pivotButton="0" quotePrefix="0" xfId="34">
      <alignment vertical="center"/>
    </xf>
    <xf numFmtId="0" fontId="34" fillId="33" borderId="0" applyAlignment="1" applyProtection="1" pivotButton="0" quotePrefix="0" xfId="0">
      <alignment vertical="center"/>
      <protection locked="0" hidden="0"/>
    </xf>
    <xf numFmtId="0" fontId="34" fillId="33" borderId="0" applyAlignment="1" pivotButton="0" quotePrefix="0" xfId="31">
      <alignment vertical="center"/>
    </xf>
    <xf numFmtId="0" fontId="34" fillId="33" borderId="0" applyAlignment="1" applyProtection="1" pivotButton="0" quotePrefix="0" xfId="0">
      <alignment vertical="center"/>
      <protection locked="0" hidden="0"/>
    </xf>
    <xf numFmtId="0" fontId="23" fillId="5" borderId="3" applyAlignment="1" applyProtection="1" pivotButton="0" quotePrefix="0" xfId="0">
      <alignment horizontal="center" vertical="center"/>
      <protection locked="0" hidden="0"/>
    </xf>
    <xf numFmtId="165" fontId="23" fillId="5" borderId="3" applyAlignment="1" applyProtection="1" pivotButton="0" quotePrefix="0" xfId="33">
      <alignment vertical="center"/>
      <protection locked="0" hidden="0"/>
    </xf>
    <xf numFmtId="0" fontId="22" fillId="0" borderId="0" applyAlignment="1" pivotButton="0" quotePrefix="0" xfId="37">
      <alignment vertical="center"/>
    </xf>
    <xf numFmtId="0" fontId="22" fillId="0" borderId="0" applyAlignment="1" applyProtection="1" pivotButton="0" quotePrefix="0" xfId="38">
      <alignment vertical="center"/>
      <protection locked="0" hidden="0"/>
    </xf>
    <xf numFmtId="0" fontId="22" fillId="0" borderId="0" applyAlignment="1" applyProtection="1" pivotButton="0" quotePrefix="0" xfId="38">
      <alignment vertical="center"/>
      <protection locked="0" hidden="0"/>
    </xf>
    <xf numFmtId="0" fontId="22" fillId="0" borderId="0" applyAlignment="1" pivotButton="0" quotePrefix="0" xfId="39">
      <alignment vertical="center"/>
    </xf>
    <xf numFmtId="0" fontId="23" fillId="0" borderId="0" applyAlignment="1" pivotButton="0" quotePrefix="0" xfId="39">
      <alignment horizontal="left" vertical="center"/>
    </xf>
    <xf numFmtId="165" fontId="22" fillId="0" borderId="3" applyAlignment="1" pivotButton="0" quotePrefix="0" xfId="33">
      <alignment vertical="center" wrapText="1"/>
    </xf>
    <xf numFmtId="10" fontId="22" fillId="34" borderId="3" applyAlignment="1" pivotButton="0" quotePrefix="0" xfId="35">
      <alignment vertical="center"/>
    </xf>
    <xf numFmtId="165" fontId="112" fillId="0" borderId="3" applyAlignment="1" pivotButton="0" quotePrefix="0" xfId="33">
      <alignment vertical="center"/>
    </xf>
    <xf numFmtId="14" fontId="22" fillId="0" borderId="3" applyAlignment="1" applyProtection="1" pivotButton="0" quotePrefix="0" xfId="0">
      <alignment horizontal="center" vertical="center"/>
      <protection locked="0" hidden="0"/>
    </xf>
    <xf numFmtId="0" fontId="24" fillId="0" borderId="0" applyAlignment="1" pivotButton="0" quotePrefix="0" xfId="32">
      <alignment vertical="center"/>
    </xf>
    <xf numFmtId="0" fontId="24" fillId="0" borderId="0" applyAlignment="1" applyProtection="1" pivotButton="0" quotePrefix="0" xfId="32">
      <alignment vertical="center"/>
      <protection locked="0" hidden="0"/>
    </xf>
    <xf numFmtId="0" fontId="11" fillId="0" borderId="0" applyAlignment="1" applyProtection="1" pivotButton="0" quotePrefix="0" xfId="32">
      <alignment vertical="center"/>
      <protection locked="0" hidden="0"/>
    </xf>
    <xf numFmtId="165" fontId="24" fillId="0" borderId="0" applyAlignment="1" applyProtection="1" pivotButton="0" quotePrefix="0" xfId="32">
      <alignment vertical="center"/>
      <protection locked="0" hidden="0"/>
    </xf>
    <xf numFmtId="165" fontId="24" fillId="0" borderId="0" applyAlignment="1" pivotButton="0" quotePrefix="0" xfId="32">
      <alignment horizontal="left" vertical="center"/>
    </xf>
    <xf numFmtId="0" fontId="24" fillId="0" borderId="0" applyAlignment="1" applyProtection="1" pivotButton="0" quotePrefix="0" xfId="32">
      <alignment horizontal="left" vertical="center"/>
      <protection locked="0" hidden="0"/>
    </xf>
    <xf numFmtId="0" fontId="24" fillId="0" borderId="2" applyAlignment="1" applyProtection="1" pivotButton="0" quotePrefix="0" xfId="32">
      <alignment vertical="center"/>
      <protection locked="0" hidden="0"/>
    </xf>
    <xf numFmtId="165" fontId="117" fillId="0" borderId="0" applyAlignment="1" applyProtection="1" pivotButton="0" quotePrefix="0" xfId="33">
      <alignment horizontal="left" vertical="center"/>
      <protection locked="0" hidden="0"/>
    </xf>
    <xf numFmtId="0" fontId="120" fillId="0" borderId="0" applyAlignment="1" pivotButton="0" quotePrefix="0" xfId="27">
      <alignment vertical="center"/>
    </xf>
    <xf numFmtId="0" fontId="22" fillId="0" borderId="2" applyAlignment="1" applyProtection="1" pivotButton="0" quotePrefix="0" xfId="29">
      <alignment horizontal="justify" vertical="center" wrapText="1"/>
      <protection locked="0" hidden="0"/>
    </xf>
    <xf numFmtId="0" fontId="23" fillId="35" borderId="2" applyAlignment="1" applyProtection="1" pivotButton="0" quotePrefix="0" xfId="29">
      <alignment horizontal="center" vertical="center"/>
      <protection locked="0" hidden="0"/>
    </xf>
    <xf numFmtId="0" fontId="122" fillId="0" borderId="0" applyAlignment="1" applyProtection="1" pivotButton="0" quotePrefix="0" xfId="0">
      <alignment horizontal="right" vertical="center"/>
      <protection locked="0" hidden="0"/>
    </xf>
    <xf numFmtId="0" fontId="122" fillId="0" borderId="0" applyAlignment="1" applyProtection="1" pivotButton="0" quotePrefix="0" xfId="0">
      <alignment horizontal="left" vertical="center"/>
      <protection locked="0" hidden="0"/>
    </xf>
    <xf numFmtId="0" fontId="34" fillId="0" borderId="0" applyAlignment="1" applyProtection="1" pivotButton="0" quotePrefix="0" xfId="0">
      <alignment horizontal="left" vertical="center"/>
      <protection locked="0" hidden="0"/>
    </xf>
    <xf numFmtId="0" fontId="113" fillId="0" borderId="0" applyAlignment="1" applyProtection="1" pivotButton="0" quotePrefix="0" xfId="0">
      <alignment horizontal="left" vertical="center"/>
      <protection locked="0" hidden="0"/>
    </xf>
    <xf numFmtId="166" fontId="17" fillId="0" borderId="0" applyAlignment="1" applyProtection="1" pivotButton="0" quotePrefix="0" xfId="260">
      <alignment horizontal="left" vertical="center"/>
      <protection locked="0" hidden="0"/>
    </xf>
    <xf numFmtId="0" fontId="19" fillId="0" borderId="0" applyAlignment="1" applyProtection="1" pivotButton="0" quotePrefix="0" xfId="0">
      <alignment vertical="center"/>
      <protection locked="0" hidden="0"/>
    </xf>
    <xf numFmtId="0" fontId="22" fillId="0" borderId="0" applyAlignment="1" applyProtection="1" pivotButton="0" quotePrefix="0" xfId="29">
      <alignment horizontal="center" vertical="center"/>
      <protection locked="0" hidden="0"/>
    </xf>
    <xf numFmtId="0" fontId="22" fillId="0" borderId="2" applyAlignment="1" applyProtection="1" pivotButton="0" quotePrefix="0" xfId="0">
      <alignment horizontal="center" vertical="center"/>
      <protection locked="0" hidden="0"/>
    </xf>
    <xf numFmtId="0" fontId="13" fillId="0" borderId="0" applyAlignment="1" applyProtection="1" pivotButton="0" quotePrefix="0" xfId="38">
      <alignment vertical="center"/>
      <protection locked="0" hidden="0"/>
    </xf>
    <xf numFmtId="0" fontId="13" fillId="0" borderId="0" applyAlignment="1" pivotButton="0" quotePrefix="0" xfId="39">
      <alignment vertical="center"/>
    </xf>
    <xf numFmtId="165" fontId="13" fillId="0" borderId="0" applyAlignment="1" applyProtection="1" pivotButton="0" quotePrefix="0" xfId="33">
      <alignment vertical="center"/>
      <protection locked="0" hidden="0"/>
    </xf>
    <xf numFmtId="165" fontId="13" fillId="0" borderId="0" applyAlignment="1" applyProtection="1" pivotButton="0" quotePrefix="0" xfId="33">
      <alignment vertical="center" wrapText="1"/>
      <protection locked="0" hidden="0"/>
    </xf>
    <xf numFmtId="165" fontId="16" fillId="0" borderId="0" applyAlignment="1" applyProtection="1" pivotButton="0" quotePrefix="0" xfId="33">
      <alignment horizontal="left" vertical="center"/>
      <protection locked="0" hidden="0"/>
    </xf>
    <xf numFmtId="165" fontId="13" fillId="0" borderId="3" applyAlignment="1" applyProtection="1" pivotButton="0" quotePrefix="0" xfId="33">
      <alignment horizontal="center" vertical="center" wrapText="1"/>
      <protection locked="0" hidden="0"/>
    </xf>
    <xf numFmtId="0" fontId="16" fillId="0" borderId="0" applyAlignment="1" applyProtection="1" pivotButton="0" quotePrefix="0" xfId="38">
      <alignment horizontal="justify" vertical="center"/>
      <protection locked="0" hidden="0"/>
    </xf>
    <xf numFmtId="165" fontId="16" fillId="5" borderId="3" applyAlignment="1" applyProtection="1" pivotButton="0" quotePrefix="0" xfId="33">
      <alignment horizontal="center" vertical="center"/>
      <protection locked="0" hidden="0"/>
    </xf>
    <xf numFmtId="0" fontId="22" fillId="0" borderId="0" applyAlignment="1" applyProtection="1" pivotButton="0" quotePrefix="0" xfId="0">
      <alignment horizontal="right" vertical="center"/>
      <protection locked="0" hidden="0"/>
    </xf>
    <xf numFmtId="49" fontId="22" fillId="0" borderId="7" applyAlignment="1" applyProtection="1" pivotButton="0" quotePrefix="0" xfId="33">
      <alignment horizontal="center" vertical="center"/>
      <protection locked="0" hidden="0"/>
    </xf>
    <xf numFmtId="165" fontId="13" fillId="0" borderId="9" applyAlignment="1" applyProtection="1" pivotButton="0" quotePrefix="0" xfId="33">
      <alignment horizontal="left" vertical="center" wrapText="1"/>
      <protection locked="0" hidden="0"/>
    </xf>
    <xf numFmtId="0" fontId="22" fillId="0" borderId="7" applyAlignment="1" applyProtection="1" pivotButton="0" quotePrefix="0" xfId="33">
      <alignment horizontal="center" vertical="center"/>
      <protection locked="0" hidden="0"/>
    </xf>
    <xf numFmtId="0" fontId="23" fillId="0" borderId="7" applyAlignment="1" applyProtection="1" pivotButton="0" quotePrefix="0" xfId="33">
      <alignment horizontal="center" vertical="center"/>
      <protection locked="0" hidden="0"/>
    </xf>
    <xf numFmtId="165" fontId="22" fillId="0" borderId="7" applyAlignment="1" applyProtection="1" pivotButton="0" quotePrefix="0" xfId="33">
      <alignment horizontal="center" vertical="center"/>
      <protection locked="0" hidden="0"/>
    </xf>
    <xf numFmtId="165" fontId="22" fillId="0" borderId="7" applyAlignment="1" applyProtection="1" pivotButton="0" quotePrefix="0" xfId="33">
      <alignment horizontal="center" vertical="center" wrapText="1"/>
      <protection locked="0" hidden="0"/>
    </xf>
    <xf numFmtId="49" fontId="13" fillId="0" borderId="9" applyAlignment="1" applyProtection="1" pivotButton="0" quotePrefix="0" xfId="34">
      <alignment horizontal="left" vertical="center" wrapText="1"/>
      <protection locked="0" hidden="0"/>
    </xf>
    <xf numFmtId="165" fontId="113" fillId="0" borderId="3" applyAlignment="1" applyProtection="1" pivotButton="0" quotePrefix="0" xfId="33">
      <alignment horizontal="center" vertical="center" wrapText="1"/>
      <protection locked="0" hidden="0"/>
    </xf>
    <xf numFmtId="49" fontId="13" fillId="0" borderId="9" applyAlignment="1" applyProtection="1" pivotButton="0" quotePrefix="0" xfId="33">
      <alignment horizontal="left" vertical="center" wrapText="1"/>
      <protection locked="0" hidden="0"/>
    </xf>
    <xf numFmtId="165" fontId="22" fillId="0" borderId="3" applyAlignment="1" applyProtection="1" pivotButton="0" quotePrefix="0" xfId="33">
      <alignment vertical="center" wrapText="1"/>
      <protection locked="0" hidden="0"/>
    </xf>
    <xf numFmtId="49" fontId="22" fillId="0" borderId="3" applyAlignment="1" applyProtection="1" pivotButton="0" quotePrefix="0" xfId="33">
      <alignment horizontal="center" vertical="center" wrapText="1"/>
      <protection locked="0" hidden="0"/>
    </xf>
    <xf numFmtId="165" fontId="37" fillId="0" borderId="7" applyAlignment="1" pivotButton="0" quotePrefix="0" xfId="33">
      <alignment horizontal="center" vertical="center" wrapText="1"/>
    </xf>
    <xf numFmtId="165" fontId="37" fillId="0" borderId="3" applyAlignment="1" pivotButton="0" quotePrefix="0" xfId="33">
      <alignment horizontal="center" vertical="center" wrapText="1"/>
    </xf>
    <xf numFmtId="164" fontId="13" fillId="0" borderId="3" applyAlignment="1" pivotButton="0" quotePrefix="0" xfId="26">
      <alignment horizontal="left" vertical="center" wrapText="1"/>
    </xf>
    <xf numFmtId="165" fontId="16" fillId="0" borderId="0" applyAlignment="1" pivotButton="0" quotePrefix="0" xfId="30">
      <alignment vertical="center"/>
    </xf>
    <xf numFmtId="0" fontId="13" fillId="0" borderId="0" applyAlignment="1" pivotButton="0" quotePrefix="0" xfId="28">
      <alignment vertical="center"/>
    </xf>
    <xf numFmtId="0" fontId="23" fillId="5" borderId="3" applyAlignment="1" applyProtection="1" pivotButton="0" quotePrefix="0" xfId="0">
      <alignment horizontal="center" vertical="center"/>
      <protection locked="0" hidden="0"/>
    </xf>
    <xf numFmtId="0" fontId="22" fillId="0" borderId="3" applyAlignment="1" applyProtection="1" pivotButton="0" quotePrefix="0" xfId="0">
      <alignment horizontal="center" vertical="center"/>
      <protection locked="0" hidden="0"/>
    </xf>
    <xf numFmtId="0" fontId="22" fillId="0" borderId="3" applyAlignment="1" applyProtection="1" pivotButton="0" quotePrefix="0" xfId="305">
      <alignment horizontal="center" vertical="center"/>
      <protection locked="0" hidden="0"/>
    </xf>
    <xf numFmtId="49" fontId="16" fillId="0" borderId="0" applyAlignment="1" applyProtection="1" pivotButton="0" quotePrefix="0" xfId="304">
      <alignment horizontal="left" vertical="center"/>
      <protection locked="0" hidden="0"/>
    </xf>
    <xf numFmtId="165" fontId="16" fillId="5" borderId="3" applyAlignment="1" applyProtection="1" pivotButton="0" quotePrefix="0" xfId="33">
      <alignment horizontal="center" vertical="center" wrapText="1"/>
      <protection locked="0" hidden="0"/>
    </xf>
    <xf numFmtId="0" fontId="22" fillId="0" borderId="0" applyAlignment="1" applyProtection="1" pivotButton="0" quotePrefix="0" xfId="0">
      <alignment vertical="center"/>
      <protection locked="0" hidden="0"/>
    </xf>
    <xf numFmtId="0" fontId="27" fillId="0" borderId="0" applyAlignment="1" pivotButton="0" quotePrefix="0" xfId="0">
      <alignment vertical="center"/>
    </xf>
    <xf numFmtId="0" fontId="22" fillId="0" borderId="0" applyAlignment="1" pivotButton="0" quotePrefix="0" xfId="31">
      <alignment vertical="center"/>
    </xf>
    <xf numFmtId="0" fontId="22" fillId="0" borderId="0" applyAlignment="1" applyProtection="1" pivotButton="0" quotePrefix="0" xfId="0">
      <alignment vertical="center"/>
      <protection locked="0" hidden="0"/>
    </xf>
    <xf numFmtId="165" fontId="22" fillId="0" borderId="0" applyAlignment="1" applyProtection="1" pivotButton="0" quotePrefix="0" xfId="33">
      <alignment vertical="center"/>
      <protection locked="0" hidden="0"/>
    </xf>
    <xf numFmtId="0" fontId="23" fillId="5" borderId="0" applyAlignment="1" applyProtection="1" pivotButton="0" quotePrefix="0" xfId="0">
      <alignment horizontal="center" vertical="center" wrapText="1"/>
      <protection locked="0" hidden="0"/>
    </xf>
    <xf numFmtId="165" fontId="22" fillId="0" borderId="3" applyAlignment="1" pivotButton="0" quotePrefix="0" xfId="33">
      <alignment vertical="center"/>
    </xf>
    <xf numFmtId="165" fontId="113" fillId="0" borderId="3" applyAlignment="1" pivotButton="0" quotePrefix="0" xfId="33">
      <alignment vertical="center" wrapText="1"/>
    </xf>
    <xf numFmtId="165" fontId="22" fillId="5" borderId="3" applyAlignment="1" pivotButton="0" quotePrefix="0" xfId="33">
      <alignment vertical="center" wrapText="1"/>
    </xf>
    <xf numFmtId="10" fontId="23" fillId="5" borderId="3" applyAlignment="1" pivotButton="0" quotePrefix="0" xfId="35">
      <alignment vertical="center"/>
    </xf>
    <xf numFmtId="0" fontId="22" fillId="5" borderId="0" applyAlignment="1" applyProtection="1" pivotButton="0" quotePrefix="0" xfId="0">
      <alignment vertical="center"/>
      <protection locked="0" hidden="0"/>
    </xf>
    <xf numFmtId="0" fontId="22" fillId="0" borderId="0" applyAlignment="1" applyProtection="1" pivotButton="0" quotePrefix="0" xfId="28">
      <alignment vertical="center"/>
      <protection locked="0" hidden="0"/>
    </xf>
    <xf numFmtId="0" fontId="34" fillId="0" borderId="0" applyAlignment="1" applyProtection="1" pivotButton="0" quotePrefix="0" xfId="0">
      <alignment horizontal="left"/>
      <protection locked="0" hidden="0"/>
    </xf>
    <xf numFmtId="165" fontId="22" fillId="0" borderId="0" applyAlignment="1" applyProtection="1" pivotButton="0" quotePrefix="0" xfId="33">
      <alignment vertical="center"/>
      <protection locked="0" hidden="0"/>
    </xf>
    <xf numFmtId="0" fontId="16" fillId="5" borderId="3" applyAlignment="1" applyProtection="1" pivotButton="0" quotePrefix="0" xfId="299">
      <alignment horizontal="center" vertical="center"/>
      <protection locked="0" hidden="0"/>
    </xf>
    <xf numFmtId="0" fontId="16" fillId="5" borderId="3" applyAlignment="1" applyProtection="1" pivotButton="0" quotePrefix="0" xfId="299">
      <alignment horizontal="center" vertical="center" wrapText="1"/>
      <protection locked="0" hidden="0"/>
    </xf>
    <xf numFmtId="0" fontId="119" fillId="0" borderId="0" applyAlignment="1" applyProtection="1" pivotButton="0" quotePrefix="0" xfId="0">
      <alignment horizontal="center" vertical="center"/>
      <protection locked="0" hidden="0"/>
    </xf>
    <xf numFmtId="167" fontId="35" fillId="0" borderId="0" applyAlignment="1" pivotButton="0" quotePrefix="0" xfId="306">
      <alignment horizontal="left" vertical="center"/>
    </xf>
    <xf numFmtId="0" fontId="33" fillId="0" borderId="0" applyAlignment="1" applyProtection="1" pivotButton="0" quotePrefix="0" xfId="36">
      <alignment vertical="center"/>
      <protection locked="0" hidden="0"/>
    </xf>
    <xf numFmtId="0" fontId="23" fillId="0" borderId="0" applyAlignment="1" applyProtection="1" pivotButton="0" quotePrefix="0" xfId="36">
      <alignment vertical="center"/>
      <protection locked="0" hidden="0"/>
    </xf>
    <xf numFmtId="0" fontId="13" fillId="0" borderId="0" applyAlignment="1" applyProtection="1" pivotButton="0" quotePrefix="0" xfId="0">
      <alignment vertical="center"/>
      <protection locked="0" hidden="0"/>
    </xf>
    <xf numFmtId="0" fontId="113" fillId="0" borderId="0" applyAlignment="1" applyProtection="1" pivotButton="0" quotePrefix="0" xfId="36">
      <alignment vertical="center"/>
      <protection locked="0" hidden="0"/>
    </xf>
    <xf numFmtId="0" fontId="13" fillId="0" borderId="0" applyAlignment="1" applyProtection="1" pivotButton="0" quotePrefix="0" xfId="0">
      <alignment horizontal="center" vertical="center"/>
      <protection locked="0" hidden="0"/>
    </xf>
    <xf numFmtId="165" fontId="22" fillId="0" borderId="0" applyAlignment="1" applyProtection="1" pivotButton="0" quotePrefix="0" xfId="288">
      <alignment horizontal="center" vertical="center"/>
      <protection locked="0" hidden="0"/>
    </xf>
    <xf numFmtId="10" fontId="22" fillId="0" borderId="0" applyAlignment="1" applyProtection="1" pivotButton="0" quotePrefix="0" xfId="216">
      <alignment horizontal="center" vertical="center"/>
      <protection locked="0" hidden="0"/>
    </xf>
    <xf numFmtId="0" fontId="23" fillId="5" borderId="3" applyAlignment="1" applyProtection="1" pivotButton="0" quotePrefix="0" xfId="0">
      <alignment horizontal="left" vertical="center"/>
      <protection locked="0" hidden="0"/>
    </xf>
    <xf numFmtId="165" fontId="23" fillId="5" borderId="3" applyAlignment="1" applyProtection="1" pivotButton="0" quotePrefix="0" xfId="0">
      <alignment horizontal="left" vertical="center"/>
      <protection locked="0" hidden="0"/>
    </xf>
    <xf numFmtId="0" fontId="23" fillId="5" borderId="3" applyAlignment="1" applyProtection="1" pivotButton="0" quotePrefix="0" xfId="305">
      <alignment horizontal="center" vertical="center"/>
      <protection locked="0" hidden="0"/>
    </xf>
    <xf numFmtId="0" fontId="23" fillId="5" borderId="0" applyAlignment="1" applyProtection="1" pivotButton="0" quotePrefix="0" xfId="0">
      <alignment vertical="center"/>
      <protection locked="0" hidden="0"/>
    </xf>
    <xf numFmtId="10" fontId="23" fillId="5" borderId="3" applyAlignment="1" applyProtection="1" pivotButton="0" quotePrefix="0" xfId="35">
      <alignment horizontal="right" vertical="center"/>
      <protection locked="0" hidden="0"/>
    </xf>
    <xf numFmtId="49" fontId="34" fillId="0" borderId="0" applyAlignment="1" pivotButton="0" quotePrefix="0" xfId="307">
      <alignment horizontal="left" vertical="center"/>
    </xf>
    <xf numFmtId="0" fontId="125" fillId="0" borderId="0" applyAlignment="1" applyProtection="1" pivotButton="0" quotePrefix="0" xfId="0">
      <alignment vertical="center"/>
      <protection locked="0" hidden="0"/>
    </xf>
    <xf numFmtId="0" fontId="20" fillId="0" borderId="0" applyAlignment="1" applyProtection="1" pivotButton="0" quotePrefix="0" xfId="0">
      <alignment horizontal="left" vertical="center" wrapText="1"/>
      <protection locked="0" hidden="0"/>
    </xf>
    <xf numFmtId="0" fontId="21" fillId="0" borderId="0" applyAlignment="1" applyProtection="1" pivotButton="0" quotePrefix="0" xfId="0">
      <alignment horizontal="left" vertical="center" wrapText="1"/>
      <protection locked="0" hidden="0"/>
    </xf>
    <xf numFmtId="167" fontId="115" fillId="36" borderId="24" applyAlignment="1" applyProtection="1" pivotButton="0" quotePrefix="0" xfId="304">
      <alignment horizontal="left" vertical="center" wrapText="1"/>
      <protection locked="0" hidden="0"/>
    </xf>
    <xf numFmtId="167" fontId="115" fillId="36" borderId="0" applyAlignment="1" applyProtection="1" pivotButton="0" quotePrefix="0" xfId="304">
      <alignment horizontal="left" vertical="center" wrapText="1"/>
      <protection locked="0" hidden="0"/>
    </xf>
    <xf numFmtId="0" fontId="14" fillId="0" borderId="0" applyAlignment="1" pivotButton="0" quotePrefix="0" xfId="37">
      <alignment horizontal="center" vertical="center"/>
    </xf>
    <xf numFmtId="0" fontId="119" fillId="0" borderId="0" applyAlignment="1" pivotButton="0" quotePrefix="0" xfId="37">
      <alignment horizontal="center" vertical="center"/>
    </xf>
    <xf numFmtId="0" fontId="23" fillId="0" borderId="0" applyAlignment="1" applyProtection="1" pivotButton="0" quotePrefix="0" xfId="250">
      <alignment horizontal="left" vertical="center"/>
      <protection locked="0" hidden="0"/>
    </xf>
    <xf numFmtId="0" fontId="115" fillId="34" borderId="24" applyAlignment="1" applyProtection="1" pivotButton="0" quotePrefix="0" xfId="303">
      <alignment horizontal="left" vertical="center" wrapText="1"/>
      <protection locked="0" hidden="0"/>
    </xf>
    <xf numFmtId="0" fontId="115" fillId="34" borderId="0" applyAlignment="1" applyProtection="1" pivotButton="0" quotePrefix="0" xfId="303">
      <alignment horizontal="left" vertical="center" wrapText="1"/>
      <protection locked="0" hidden="0"/>
    </xf>
    <xf numFmtId="0" fontId="16" fillId="0" borderId="26" applyAlignment="1" applyProtection="1" pivotButton="0" quotePrefix="0" xfId="258">
      <alignment horizontal="left" vertical="center" wrapText="1"/>
      <protection locked="0" hidden="0"/>
    </xf>
    <xf numFmtId="165" fontId="16" fillId="5" borderId="3" applyAlignment="1" applyProtection="1" pivotButton="0" quotePrefix="0" xfId="33">
      <alignment horizontal="center" vertical="center"/>
      <protection locked="0" hidden="0"/>
    </xf>
    <xf numFmtId="165" fontId="16" fillId="5" borderId="3" applyAlignment="1" applyProtection="1" pivotButton="0" quotePrefix="0" xfId="33">
      <alignment horizontal="center" vertical="center" wrapText="1"/>
      <protection locked="0" hidden="0"/>
    </xf>
    <xf numFmtId="0" fontId="16" fillId="5" borderId="3" applyAlignment="1" applyProtection="1" pivotButton="0" quotePrefix="0" xfId="258">
      <alignment horizontal="center" vertical="center" wrapText="1"/>
      <protection locked="0" hidden="0"/>
    </xf>
    <xf numFmtId="165" fontId="16" fillId="34" borderId="3" applyAlignment="1" applyProtection="1" pivotButton="0" quotePrefix="0" xfId="33">
      <alignment horizontal="center" vertical="center" wrapText="1"/>
      <protection locked="0" hidden="0"/>
    </xf>
    <xf numFmtId="165" fontId="13" fillId="0" borderId="3" applyAlignment="1" applyProtection="1" pivotButton="0" quotePrefix="0" xfId="33">
      <alignment horizontal="center" vertical="center" wrapText="1"/>
      <protection locked="0" hidden="0"/>
    </xf>
    <xf numFmtId="165" fontId="13" fillId="0" borderId="3" applyAlignment="1" applyProtection="1" pivotButton="0" quotePrefix="0" xfId="33">
      <alignment vertical="center" wrapText="1"/>
      <protection locked="0" hidden="0"/>
    </xf>
    <xf numFmtId="0" fontId="34" fillId="0" borderId="0" applyAlignment="1" pivotButton="0" quotePrefix="0" xfId="26">
      <alignment horizontal="left" vertical="center" wrapText="1"/>
    </xf>
    <xf numFmtId="0" fontId="34" fillId="0" borderId="0" applyAlignment="1" pivotButton="0" quotePrefix="0" xfId="26">
      <alignment vertical="center" wrapText="1"/>
    </xf>
    <xf numFmtId="0" fontId="14" fillId="0" borderId="0" applyAlignment="1" pivotButton="0" quotePrefix="0" xfId="27">
      <alignment horizontal="center" vertical="center"/>
    </xf>
    <xf numFmtId="0" fontId="119" fillId="0" borderId="0" applyAlignment="1" pivotButton="0" quotePrefix="0" xfId="27">
      <alignment horizontal="center" vertical="center"/>
    </xf>
    <xf numFmtId="0" fontId="100" fillId="0" borderId="0" applyAlignment="1" applyProtection="1" pivotButton="0" quotePrefix="0" xfId="0">
      <alignment horizontal="left" vertical="center" wrapText="1"/>
      <protection locked="0" hidden="0"/>
    </xf>
    <xf numFmtId="0" fontId="101" fillId="0" borderId="8" applyAlignment="1" applyProtection="1" pivotButton="0" quotePrefix="0" xfId="0">
      <alignment horizontal="justify" vertical="center" wrapText="1"/>
      <protection locked="0" hidden="0"/>
    </xf>
    <xf numFmtId="0" fontId="101" fillId="0" borderId="6" applyAlignment="1" applyProtection="1" pivotButton="0" quotePrefix="0" xfId="0">
      <alignment horizontal="justify" vertical="center" wrapText="1"/>
      <protection locked="0" hidden="0"/>
    </xf>
    <xf numFmtId="0" fontId="101" fillId="0" borderId="5" applyAlignment="1" applyProtection="1" pivotButton="0" quotePrefix="0" xfId="0">
      <alignment horizontal="center" vertical="center" wrapText="1"/>
      <protection locked="0" hidden="0"/>
    </xf>
    <xf numFmtId="0" fontId="20" fillId="0" borderId="0" applyAlignment="1" pivotButton="0" quotePrefix="0" xfId="27">
      <alignment horizontal="center" vertical="center"/>
    </xf>
    <xf numFmtId="0" fontId="118" fillId="0" borderId="0" applyAlignment="1" pivotButton="0" quotePrefix="0" xfId="27">
      <alignment horizontal="center" vertical="center"/>
    </xf>
    <xf numFmtId="0" fontId="93" fillId="0" borderId="0" applyAlignment="1" applyProtection="1" pivotButton="0" quotePrefix="0" xfId="0">
      <alignment horizontal="left" vertical="center" wrapText="1"/>
      <protection locked="0" hidden="0"/>
    </xf>
    <xf numFmtId="0" fontId="27" fillId="0" borderId="0" applyAlignment="1" pivotButton="0" quotePrefix="0" xfId="0">
      <alignment horizontal="left" vertical="center" wrapText="1"/>
    </xf>
    <xf numFmtId="0" fontId="20" fillId="0" borderId="0" applyAlignment="1" pivotButton="0" quotePrefix="0" xfId="30">
      <alignment horizontal="center" vertical="center"/>
    </xf>
    <xf numFmtId="0" fontId="119" fillId="0" borderId="0" applyAlignment="1" pivotButton="0" quotePrefix="0" xfId="30">
      <alignment horizontal="center" vertical="center"/>
    </xf>
    <xf numFmtId="0" fontId="118" fillId="0" borderId="0" applyAlignment="1" pivotButton="0" quotePrefix="0" xfId="30">
      <alignment horizontal="center" vertical="center"/>
    </xf>
    <xf numFmtId="0" fontId="16" fillId="5" borderId="3" applyAlignment="1" applyProtection="1" pivotButton="0" quotePrefix="0" xfId="0">
      <alignment horizontal="center" vertical="center"/>
      <protection locked="0" hidden="0"/>
    </xf>
    <xf numFmtId="0" fontId="20" fillId="0" borderId="0" applyAlignment="1" applyProtection="1" pivotButton="0" quotePrefix="0" xfId="0">
      <alignment horizontal="center" vertical="center"/>
      <protection locked="0" hidden="0"/>
    </xf>
    <xf numFmtId="0" fontId="118" fillId="0" borderId="0" applyAlignment="1" applyProtection="1" pivotButton="0" quotePrefix="0" xfId="0">
      <alignment horizontal="center" vertical="center"/>
      <protection locked="0" hidden="0"/>
    </xf>
    <xf numFmtId="0" fontId="16" fillId="5" borderId="9" applyAlignment="1" applyProtection="1" pivotButton="0" quotePrefix="0" xfId="299">
      <alignment horizontal="center" vertical="center"/>
      <protection locked="0" hidden="0"/>
    </xf>
    <xf numFmtId="0" fontId="16" fillId="5" borderId="10" applyAlignment="1" applyProtection="1" pivotButton="0" quotePrefix="0" xfId="299">
      <alignment horizontal="center" vertical="center"/>
      <protection locked="0" hidden="0"/>
    </xf>
    <xf numFmtId="0" fontId="16" fillId="5" borderId="11" applyAlignment="1" applyProtection="1" pivotButton="0" quotePrefix="0" xfId="299">
      <alignment horizontal="center" vertical="center"/>
      <protection locked="0" hidden="0"/>
    </xf>
    <xf numFmtId="0" fontId="16" fillId="5" borderId="3" applyAlignment="1" applyProtection="1" pivotButton="0" quotePrefix="0" xfId="38">
      <alignment horizontal="center" vertical="center" wrapText="1"/>
      <protection locked="0" hidden="0"/>
    </xf>
    <xf numFmtId="0" fontId="23" fillId="5" borderId="3" applyAlignment="1" applyProtection="1" pivotButton="0" quotePrefix="0" xfId="38">
      <alignment horizontal="center" vertical="center" wrapText="1"/>
      <protection locked="0" hidden="0"/>
    </xf>
    <xf numFmtId="0" fontId="23" fillId="5" borderId="9" applyAlignment="1" applyProtection="1" pivotButton="0" quotePrefix="0" xfId="0">
      <alignment horizontal="center" vertical="center"/>
      <protection locked="0" hidden="0"/>
    </xf>
    <xf numFmtId="0" fontId="23" fillId="5" borderId="10" applyAlignment="1" applyProtection="1" pivotButton="0" quotePrefix="0" xfId="0">
      <alignment horizontal="center" vertical="center"/>
      <protection locked="0" hidden="0"/>
    </xf>
    <xf numFmtId="0" fontId="16" fillId="5" borderId="3" applyAlignment="1" pivotButton="0" quotePrefix="0" xfId="299">
      <alignment horizontal="center" vertical="center" wrapText="1"/>
    </xf>
    <xf numFmtId="0" fontId="16" fillId="5" borderId="25" applyAlignment="1" pivotButton="0" quotePrefix="0" xfId="299">
      <alignment horizontal="center" vertical="center" wrapText="1"/>
    </xf>
    <xf numFmtId="0" fontId="16" fillId="5" borderId="7" applyAlignment="1" pivotButton="0" quotePrefix="0" xfId="299">
      <alignment horizontal="center" vertical="center" wrapText="1"/>
    </xf>
    <xf numFmtId="0" fontId="16" fillId="5" borderId="3" applyAlignment="1" applyProtection="1" pivotButton="0" quotePrefix="0" xfId="38">
      <alignment horizontal="center" vertical="center"/>
      <protection locked="0" hidden="0"/>
    </xf>
    <xf numFmtId="0" fontId="23" fillId="5" borderId="3" applyAlignment="1" applyProtection="1" pivotButton="0" quotePrefix="0" xfId="38">
      <alignment horizontal="center" vertical="center"/>
      <protection locked="0" hidden="0"/>
    </xf>
    <xf numFmtId="0" fontId="0" fillId="0" borderId="0" pivotButton="0" quotePrefix="0" xfId="0"/>
    <xf numFmtId="165" fontId="13" fillId="0" borderId="0" applyAlignment="1" applyProtection="1" pivotButton="0" quotePrefix="0" xfId="33">
      <alignment vertical="center"/>
      <protection locked="0" hidden="0"/>
    </xf>
    <xf numFmtId="165" fontId="13" fillId="0" borderId="0" applyAlignment="1" applyProtection="1" pivotButton="0" quotePrefix="0" xfId="33">
      <alignment vertical="center" wrapText="1"/>
      <protection locked="0" hidden="0"/>
    </xf>
    <xf numFmtId="165" fontId="16" fillId="0" borderId="0" applyAlignment="1" applyProtection="1" pivotButton="0" quotePrefix="0" xfId="33">
      <alignment horizontal="left" vertical="center"/>
      <protection locked="0" hidden="0"/>
    </xf>
    <xf numFmtId="165" fontId="16" fillId="5" borderId="3" applyAlignment="1" applyProtection="1" pivotButton="0" quotePrefix="0" xfId="33">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165" fontId="13" fillId="0" borderId="3" applyAlignment="1" applyProtection="1" pivotButton="0" quotePrefix="0" xfId="33">
      <alignment vertical="center" wrapText="1"/>
      <protection locked="0" hidden="0"/>
    </xf>
    <xf numFmtId="165" fontId="13" fillId="0" borderId="3" applyAlignment="1" applyProtection="1" pivotButton="0" quotePrefix="0" xfId="33">
      <alignment horizontal="center" vertical="center" wrapText="1"/>
      <protection locked="0" hidden="0"/>
    </xf>
    <xf numFmtId="0" fontId="0" fillId="0" borderId="26" applyProtection="1" pivotButton="0" quotePrefix="0" xfId="0">
      <protection locked="0" hidden="0"/>
    </xf>
    <xf numFmtId="165" fontId="16" fillId="5" borderId="3" applyAlignment="1" applyProtection="1" pivotButton="0" quotePrefix="0" xfId="33">
      <alignment horizontal="center" vertical="center"/>
      <protection locked="0" hidden="0"/>
    </xf>
    <xf numFmtId="165" fontId="16" fillId="34" borderId="3" applyAlignment="1" applyProtection="1" pivotButton="0" quotePrefix="0" xfId="33">
      <alignment horizontal="center" vertical="center" wrapText="1"/>
      <protection locked="0" hidden="0"/>
    </xf>
    <xf numFmtId="0" fontId="0" fillId="0" borderId="7" applyProtection="1" pivotButton="0" quotePrefix="0" xfId="0">
      <protection locked="0" hidden="0"/>
    </xf>
    <xf numFmtId="167" fontId="35" fillId="0" borderId="0" applyAlignment="1" pivotButton="0" quotePrefix="0" xfId="306">
      <alignment horizontal="left" vertical="center"/>
    </xf>
    <xf numFmtId="165" fontId="13" fillId="0" borderId="9" applyAlignment="1" applyProtection="1" pivotButton="0" quotePrefix="0" xfId="33">
      <alignment horizontal="left" vertical="center" wrapText="1"/>
      <protection locked="0" hidden="0"/>
    </xf>
    <xf numFmtId="165" fontId="37" fillId="0" borderId="7" applyAlignment="1" pivotButton="0" quotePrefix="0" xfId="33">
      <alignment horizontal="center" vertical="center" wrapText="1"/>
    </xf>
    <xf numFmtId="165" fontId="22" fillId="0" borderId="7" applyAlignment="1" applyProtection="1" pivotButton="0" quotePrefix="0" xfId="33">
      <alignment horizontal="center" vertical="center"/>
      <protection locked="0" hidden="0"/>
    </xf>
    <xf numFmtId="165" fontId="22" fillId="0" borderId="7" applyAlignment="1" applyProtection="1" pivotButton="0" quotePrefix="0" xfId="33">
      <alignment horizontal="center" vertical="center" wrapText="1"/>
      <protection locked="0" hidden="0"/>
    </xf>
    <xf numFmtId="165" fontId="113" fillId="0" borderId="3" applyAlignment="1" applyProtection="1" pivotButton="0" quotePrefix="0" xfId="33">
      <alignment horizontal="center" vertical="center" wrapText="1"/>
      <protection locked="0" hidden="0"/>
    </xf>
    <xf numFmtId="165" fontId="22" fillId="0" borderId="3" applyAlignment="1" applyProtection="1" pivotButton="0" quotePrefix="0" xfId="33">
      <alignment vertical="center" wrapText="1"/>
      <protection locked="0" hidden="0"/>
    </xf>
    <xf numFmtId="165" fontId="22" fillId="0" borderId="3" applyAlignment="1" applyProtection="1" pivotButton="0" quotePrefix="0" xfId="33">
      <alignment horizontal="center" vertical="center" wrapText="1"/>
      <protection locked="0" hidden="0"/>
    </xf>
    <xf numFmtId="167" fontId="115" fillId="36" borderId="24" applyAlignment="1" applyProtection="1" pivotButton="0" quotePrefix="0" xfId="304">
      <alignment horizontal="left" vertical="center" wrapText="1"/>
      <protection locked="0" hidden="0"/>
    </xf>
    <xf numFmtId="165" fontId="37" fillId="0" borderId="3" applyAlignment="1" pivotButton="0" quotePrefix="0" xfId="33">
      <alignment horizontal="center" vertical="center" wrapText="1"/>
    </xf>
    <xf numFmtId="164" fontId="13" fillId="0" borderId="3" applyAlignment="1" pivotButton="0" quotePrefix="0" xfId="26">
      <alignment horizontal="left" vertical="center" wrapText="1"/>
    </xf>
    <xf numFmtId="165" fontId="22" fillId="5" borderId="3" applyAlignment="1" pivotButton="0" quotePrefix="0" xfId="33">
      <alignment vertical="center"/>
    </xf>
    <xf numFmtId="165" fontId="22" fillId="5" borderId="3" applyAlignment="1" pivotButton="0" quotePrefix="0" xfId="26">
      <alignment vertical="center"/>
    </xf>
    <xf numFmtId="165" fontId="23" fillId="5" borderId="3" applyAlignment="1" pivotButton="0" quotePrefix="0" xfId="33">
      <alignment vertical="center"/>
    </xf>
    <xf numFmtId="164" fontId="23" fillId="0" borderId="3" applyAlignment="1" pivotButton="0" quotePrefix="0" xfId="26">
      <alignment horizontal="center" vertical="center" wrapText="1"/>
    </xf>
    <xf numFmtId="165" fontId="16" fillId="0" borderId="0" applyAlignment="1" pivotButton="0" quotePrefix="0" xfId="30">
      <alignment vertical="center"/>
    </xf>
    <xf numFmtId="165" fontId="23" fillId="0" borderId="3" applyAlignment="1" pivotButton="0" quotePrefix="0" xfId="33">
      <alignment horizontal="right" vertical="center"/>
    </xf>
    <xf numFmtId="165" fontId="23" fillId="5" borderId="3" applyAlignment="1" pivotButton="0" quotePrefix="0" xfId="33">
      <alignment horizontal="right" vertical="center"/>
    </xf>
    <xf numFmtId="0" fontId="101" fillId="0" borderId="5" applyAlignment="1" applyProtection="1" pivotButton="0" quotePrefix="0" xfId="0">
      <alignment horizontal="justify" vertical="center" wrapText="1"/>
      <protection locked="0" hidden="0"/>
    </xf>
    <xf numFmtId="0" fontId="0" fillId="0" borderId="5" applyProtection="1" pivotButton="0" quotePrefix="0" xfId="0">
      <protection locked="0" hidden="0"/>
    </xf>
    <xf numFmtId="0" fontId="0" fillId="0" borderId="6" applyProtection="1" pivotButton="0" quotePrefix="0" xfId="0">
      <protection locked="0" hidden="0"/>
    </xf>
    <xf numFmtId="165" fontId="22" fillId="0" borderId="0" applyAlignment="1" applyProtection="1" pivotButton="0" quotePrefix="0" xfId="33">
      <alignment vertical="center"/>
      <protection locked="0" hidden="0"/>
    </xf>
    <xf numFmtId="165" fontId="24" fillId="0" borderId="0" applyAlignment="1" applyProtection="1" pivotButton="0" quotePrefix="0" xfId="32">
      <alignment vertical="center"/>
      <protection locked="0" hidden="0"/>
    </xf>
    <xf numFmtId="164" fontId="22" fillId="0" borderId="3" applyAlignment="1" pivotButton="0" quotePrefix="0" xfId="26">
      <alignment horizontal="left" vertical="center" wrapText="1"/>
    </xf>
    <xf numFmtId="165" fontId="22" fillId="0" borderId="3" applyAlignment="1" pivotButton="0" quotePrefix="0" xfId="33">
      <alignment vertical="center"/>
    </xf>
    <xf numFmtId="165" fontId="113" fillId="0" borderId="3" applyAlignment="1" pivotButton="0" quotePrefix="0" xfId="33">
      <alignment vertical="center" wrapText="1"/>
    </xf>
    <xf numFmtId="165" fontId="22" fillId="0" borderId="3" applyAlignment="1" pivotButton="0" quotePrefix="0" xfId="33">
      <alignment vertical="center" wrapText="1"/>
    </xf>
    <xf numFmtId="165" fontId="22" fillId="5" borderId="3" applyAlignment="1" pivotButton="0" quotePrefix="0" xfId="33">
      <alignment vertical="center" wrapText="1"/>
    </xf>
    <xf numFmtId="165" fontId="23" fillId="5" borderId="3" applyAlignment="1" pivotButton="0" quotePrefix="0" xfId="33">
      <alignment horizontal="center" vertical="center"/>
    </xf>
    <xf numFmtId="165" fontId="23" fillId="5" borderId="3" applyAlignment="1" applyProtection="1" pivotButton="0" quotePrefix="0" xfId="33">
      <alignment vertical="center"/>
      <protection locked="0" hidden="0"/>
    </xf>
    <xf numFmtId="165" fontId="22" fillId="0" borderId="4" applyAlignment="1" applyProtection="1" pivotButton="0" quotePrefix="0" xfId="33">
      <alignment vertical="center"/>
      <protection locked="0" hidden="0"/>
    </xf>
    <xf numFmtId="0" fontId="126" fillId="0" borderId="0" applyAlignment="1" applyProtection="1" pivotButton="0" quotePrefix="0" xfId="0">
      <alignment vertical="center"/>
      <protection locked="0" hidden="0"/>
    </xf>
    <xf numFmtId="165" fontId="24" fillId="0" borderId="0" applyAlignment="1" pivotButton="0" quotePrefix="0" xfId="30">
      <alignment vertical="center"/>
    </xf>
    <xf numFmtId="165" fontId="117" fillId="0" borderId="0" applyAlignment="1" applyProtection="1" pivotButton="0" quotePrefix="0" xfId="33">
      <alignment horizontal="left" vertical="center"/>
      <protection locked="0" hidden="0"/>
    </xf>
    <xf numFmtId="165" fontId="22" fillId="0" borderId="0" applyAlignment="1" pivotButton="0" quotePrefix="0" xfId="30">
      <alignment vertical="center"/>
    </xf>
    <xf numFmtId="165" fontId="22" fillId="0" borderId="0" applyAlignment="1" pivotButton="0" quotePrefix="0" xfId="30">
      <alignment horizontal="left" vertical="center"/>
    </xf>
    <xf numFmtId="165" fontId="24" fillId="0" borderId="0" applyAlignment="1" pivotButton="0" quotePrefix="0" xfId="32">
      <alignment horizontal="left" vertical="center"/>
    </xf>
    <xf numFmtId="165" fontId="112" fillId="0" borderId="3" applyAlignment="1" pivotButton="0" quotePrefix="0" xfId="33">
      <alignment vertical="center"/>
    </xf>
    <xf numFmtId="0" fontId="127" fillId="0" borderId="29" applyAlignment="1" pivotButton="0" quotePrefix="0" xfId="299">
      <alignment vertical="center"/>
    </xf>
    <xf numFmtId="0" fontId="112" fillId="0" borderId="29" applyAlignment="1" pivotButton="0" quotePrefix="0" xfId="299">
      <alignment vertical="center"/>
    </xf>
    <xf numFmtId="165" fontId="112" fillId="0" borderId="29" applyAlignment="1" pivotButton="0" quotePrefix="0" xfId="33">
      <alignment vertical="center"/>
    </xf>
    <xf numFmtId="166" fontId="17" fillId="0" borderId="0" applyAlignment="1" applyProtection="1" pivotButton="0" quotePrefix="0" xfId="260">
      <alignment vertical="top" wrapText="1"/>
      <protection locked="0" hidden="0"/>
    </xf>
    <xf numFmtId="0" fontId="0" fillId="0" borderId="7" pivotButton="0" quotePrefix="0" xfId="0"/>
    <xf numFmtId="165" fontId="22" fillId="0" borderId="3" applyAlignment="1" applyProtection="1" pivotButton="0" quotePrefix="0" xfId="0">
      <alignment horizontal="left" vertical="center"/>
      <protection locked="0" hidden="0"/>
    </xf>
    <xf numFmtId="165" fontId="23" fillId="5" borderId="3" applyAlignment="1" applyProtection="1" pivotButton="0" quotePrefix="0" xfId="0">
      <alignment horizontal="left" vertical="center"/>
      <protection locked="0" hidden="0"/>
    </xf>
    <xf numFmtId="165" fontId="22" fillId="0" borderId="0" applyAlignment="1" applyProtection="1" pivotButton="0" quotePrefix="0" xfId="288">
      <alignment horizontal="center" vertical="center"/>
      <protection locked="0" hidden="0"/>
    </xf>
    <xf numFmtId="165" fontId="30" fillId="0" borderId="0" applyAlignment="1" pivotButton="0" quotePrefix="0" xfId="30">
      <alignment vertical="center"/>
    </xf>
    <xf numFmtId="0" fontId="97" fillId="0" borderId="0" applyAlignment="1" pivotButton="0" quotePrefix="0" xfId="0">
      <alignment horizontal="justify" vertical="center" wrapText="1"/>
    </xf>
    <xf numFmtId="0" fontId="32" fillId="0" borderId="0" applyAlignment="1" pivotButton="0" quotePrefix="0" xfId="0">
      <alignment horizontal="right" vertical="center" wrapText="1"/>
    </xf>
    <xf numFmtId="0" fontId="108" fillId="31" borderId="0" applyAlignment="1" pivotButton="0" quotePrefix="0" xfId="0">
      <alignment horizontal="justify" vertical="center" wrapText="1"/>
    </xf>
  </cellXfs>
  <cellStyles count="308">
    <cellStyle name="常规" xfId="0" builtinId="0"/>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Black" xfId="11"/>
    <cellStyle name="Border" xfId="12"/>
    <cellStyle name="Dezimal [0]_laroux" xfId="13"/>
    <cellStyle name="Dezimal_laroux" xfId="14"/>
    <cellStyle name="Euro" xfId="15"/>
    <cellStyle name="Followed Hyperlink_AheadBehind.xls Chart 23" xfId="16"/>
    <cellStyle name="Grey" xfId="17"/>
    <cellStyle name="Hyperlink_AheadBehind.xls Chart 23" xfId="18"/>
    <cellStyle name="Input [yellow]" xfId="19"/>
    <cellStyle name="Milliers [0]_laroux" xfId="20"/>
    <cellStyle name="Milliers_laroux" xfId="21"/>
    <cellStyle name="Non défini" xfId="22"/>
    <cellStyle name="Normal - Style1" xfId="23"/>
    <cellStyle name="Percent [2]" xfId="24"/>
    <cellStyle name="Red" xfId="25"/>
    <cellStyle name="常规_2-1项目审定表－模板" xfId="26"/>
    <cellStyle name="常规_Book1" xfId="27"/>
    <cellStyle name="常规_进一步审计程序--销售与收款循环" xfId="28"/>
    <cellStyle name="常规_通用表" xfId="29"/>
    <cellStyle name="常规_新审定表" xfId="30"/>
    <cellStyle name="常规_制造费用" xfId="31"/>
    <cellStyle name="超链接" xfId="32" builtinId="8"/>
    <cellStyle name="千位分隔" xfId="33" builtinId="3"/>
    <cellStyle name="常规 6" xfId="34"/>
    <cellStyle name="百分比" xfId="35" builtinId="5"/>
    <cellStyle name="常规 2" xfId="36"/>
    <cellStyle name="常规_Book1 2" xfId="37"/>
    <cellStyle name="常规 2 2" xfId="38"/>
    <cellStyle name="常规_制造费用 2" xfId="39"/>
    <cellStyle name="常规 3" xfId="40"/>
    <cellStyle name="%" xfId="41"/>
    <cellStyle name="?" xfId="42"/>
    <cellStyle name="?餡_x000c_k" xfId="43"/>
    <cellStyle name="?餡_x000c_k?_x000d_^" xfId="44"/>
    <cellStyle name="?餡_x000c_k?_x000d_^黇_x0001_??_x0007__x0001__x0001_" xfId="45"/>
    <cellStyle name="_2005审计报表及附注-中国建材股份模板（房屋）" xfId="46"/>
    <cellStyle name="_2006年年报审计PBC表-XXX" xfId="47"/>
    <cellStyle name="_2006年年报审计填报资料" xfId="48"/>
    <cellStyle name="_Book1" xfId="49"/>
    <cellStyle name="_J1000-存货-ZHHG" xfId="50"/>
    <cellStyle name="_PBC审核提示" xfId="51"/>
    <cellStyle name="_宝丽华房地产20051231" xfId="52"/>
    <cellStyle name="_保证金-企业填写部分" xfId="53"/>
    <cellStyle name="_北新房屋2004年审-刘" xfId="54"/>
    <cellStyle name="_北新股份2005年审工作底稿" xfId="55"/>
    <cellStyle name="_北新建材关连交易基础表051230（10－12月版）更新稿" xfId="56"/>
    <cellStyle name="_北新建材-会计报表附注模版" xfId="57"/>
    <cellStyle name="_北新龙之星2004年审工作底稿" xfId="58"/>
    <cellStyle name="_北新物流2005底稿-刘" xfId="59"/>
    <cellStyle name="_北新置换memo" xfId="60"/>
    <cellStyle name="_存货结转测试" xfId="61"/>
    <cellStyle name="_存货数量与明细05.12" xfId="62"/>
    <cellStyle name="_动力厂2004年审工作底稿-刘" xfId="63"/>
    <cellStyle name="_分工" xfId="64"/>
    <cellStyle name="_工程施工项目现场审计提示" xfId="65"/>
    <cellStyle name="_关联交易" xfId="66"/>
    <cellStyle name="_关联交易、往来统计表" xfId="67"/>
    <cellStyle name="_建造合同-宜万指（正式版）" xfId="68"/>
    <cellStyle name="_科目核对表" xfId="69"/>
    <cellStyle name="_母PL" xfId="70"/>
    <cellStyle name="_人员分工备忘录" xfId="71"/>
    <cellStyle name="_审计所需资料清单－子公司" xfId="72"/>
    <cellStyle name="_一公司建造合同前5名" xfId="73"/>
    <cellStyle name="_一公司－刘丰收" xfId="74"/>
    <cellStyle name="_长期借款－江阴" xfId="75"/>
    <cellStyle name="_子公司审计提示模版-Liufs" xfId="76"/>
    <cellStyle name="0%" xfId="77"/>
    <cellStyle name="0.0%" xfId="78"/>
    <cellStyle name="0.00%" xfId="79"/>
    <cellStyle name="20% - Accent1" xfId="80"/>
    <cellStyle name="20% - Accent2" xfId="81"/>
    <cellStyle name="20% - Accent3" xfId="82"/>
    <cellStyle name="20% - Accent4" xfId="83"/>
    <cellStyle name="20% - Accent5" xfId="84"/>
    <cellStyle name="20% - Accent6" xfId="85"/>
    <cellStyle name="40% - Accent1" xfId="86"/>
    <cellStyle name="40% - Accent2" xfId="87"/>
    <cellStyle name="40% - Accent3" xfId="88"/>
    <cellStyle name="40% - Accent4" xfId="89"/>
    <cellStyle name="40% - Accent5" xfId="90"/>
    <cellStyle name="40% - Accent6" xfId="91"/>
    <cellStyle name="60% - Accent1" xfId="92"/>
    <cellStyle name="60% - Accent2" xfId="93"/>
    <cellStyle name="60% - Accent3" xfId="94"/>
    <cellStyle name="60% - Accent4" xfId="95"/>
    <cellStyle name="60% - Accent5" xfId="96"/>
    <cellStyle name="60% - Accent6" xfId="97"/>
    <cellStyle name="Accent1" xfId="98"/>
    <cellStyle name="Accent2" xfId="99"/>
    <cellStyle name="Accent3" xfId="100"/>
    <cellStyle name="Accent4" xfId="101"/>
    <cellStyle name="Accent5" xfId="102"/>
    <cellStyle name="Accent6" xfId="103"/>
    <cellStyle name="Bad" xfId="104"/>
    <cellStyle name="Calc Currency (0)" xfId="105"/>
    <cellStyle name="Calc Currency (2)" xfId="106"/>
    <cellStyle name="Calc Percent (0)" xfId="107"/>
    <cellStyle name="Calc Percent (1)" xfId="108"/>
    <cellStyle name="Calc Percent (2)" xfId="109"/>
    <cellStyle name="Calc Units (0)" xfId="110"/>
    <cellStyle name="Calc Units (1)" xfId="111"/>
    <cellStyle name="Calc Units (2)" xfId="112"/>
    <cellStyle name="Calculation" xfId="113"/>
    <cellStyle name="category" xfId="114"/>
    <cellStyle name="Check Cell" xfId="115"/>
    <cellStyle name="Col Heads" xfId="116"/>
    <cellStyle name="Column_Title" xfId="117"/>
    <cellStyle name="Comma  - Style1" xfId="118"/>
    <cellStyle name="Comma  - Style2" xfId="119"/>
    <cellStyle name="Comma  - Style3" xfId="120"/>
    <cellStyle name="Comma  - Style4" xfId="121"/>
    <cellStyle name="Comma  - Style5" xfId="122"/>
    <cellStyle name="Comma  - Style6" xfId="123"/>
    <cellStyle name="Comma  - Style7" xfId="124"/>
    <cellStyle name="Comma  - Style8" xfId="125"/>
    <cellStyle name="Comma [0]_ rislugp" xfId="126"/>
    <cellStyle name="Comma [00]" xfId="127"/>
    <cellStyle name="Comma 28" xfId="128"/>
    <cellStyle name="comma zerodec" xfId="129"/>
    <cellStyle name="Comma,0" xfId="130"/>
    <cellStyle name="Comma,1" xfId="131"/>
    <cellStyle name="Comma,2" xfId="132"/>
    <cellStyle name="Comma_ rislugp" xfId="133"/>
    <cellStyle name="Currency [0]_ rislugp" xfId="134"/>
    <cellStyle name="Currency [00]" xfId="135"/>
    <cellStyle name="Currency,0" xfId="136"/>
    <cellStyle name="Currency,2" xfId="137"/>
    <cellStyle name="Currency_ rislugp" xfId="138"/>
    <cellStyle name="Currency1" xfId="139"/>
    <cellStyle name="Date Short" xfId="140"/>
    <cellStyle name="Dollar (zero dec)" xfId="141"/>
    <cellStyle name="Enter Currency (0)" xfId="142"/>
    <cellStyle name="Enter Currency (2)" xfId="143"/>
    <cellStyle name="Enter Units (0)" xfId="144"/>
    <cellStyle name="Enter Units (1)" xfId="145"/>
    <cellStyle name="Enter Units (2)" xfId="146"/>
    <cellStyle name="entry" xfId="147"/>
    <cellStyle name="entry box" xfId="148"/>
    <cellStyle name="Explanatory Text" xfId="149"/>
    <cellStyle name="Good" xfId="150"/>
    <cellStyle name="HEADER" xfId="151"/>
    <cellStyle name="Header1" xfId="152"/>
    <cellStyle name="Header2" xfId="153"/>
    <cellStyle name="Heading" xfId="154"/>
    <cellStyle name="Heading 1" xfId="155"/>
    <cellStyle name="Heading 2" xfId="156"/>
    <cellStyle name="Heading 3" xfId="157"/>
    <cellStyle name="Heading 4" xfId="158"/>
    <cellStyle name="Input" xfId="159"/>
    <cellStyle name="left" xfId="160"/>
    <cellStyle name="Link Currency (0)" xfId="161"/>
    <cellStyle name="Link Currency (2)" xfId="162"/>
    <cellStyle name="Link Units (0)" xfId="163"/>
    <cellStyle name="Link Units (1)" xfId="164"/>
    <cellStyle name="Link Units (2)" xfId="165"/>
    <cellStyle name="Linked Cell" xfId="166"/>
    <cellStyle name="Millares [0]_laroux" xfId="167"/>
    <cellStyle name="Millares_laroux" xfId="168"/>
    <cellStyle name="Model" xfId="169"/>
    <cellStyle name="Moneda [0]_laroux" xfId="170"/>
    <cellStyle name="Moneda_laroux" xfId="171"/>
    <cellStyle name="Mon閠aire [0]_laroux" xfId="172"/>
    <cellStyle name="Mon閠aire_laroux" xfId="173"/>
    <cellStyle name="Neutral" xfId="174"/>
    <cellStyle name="no dec" xfId="175"/>
    <cellStyle name="Normal 2" xfId="176"/>
    <cellStyle name="Normal 2 2" xfId="177"/>
    <cellStyle name="Normal 21" xfId="178"/>
    <cellStyle name="Normal 3 2" xfId="179"/>
    <cellStyle name="Normal_ rislugp" xfId="180"/>
    <cellStyle name="Normalny_Arkusz1" xfId="181"/>
    <cellStyle name="Note" xfId="182"/>
    <cellStyle name="Output" xfId="183"/>
    <cellStyle name="Percent (0)" xfId="184"/>
    <cellStyle name="Percent [0]" xfId="185"/>
    <cellStyle name="Percent [00]" xfId="186"/>
    <cellStyle name="Prefilled" xfId="187"/>
    <cellStyle name="PrePop Currency (0)" xfId="188"/>
    <cellStyle name="PrePop Currency (2)" xfId="189"/>
    <cellStyle name="PrePop Units (0)" xfId="190"/>
    <cellStyle name="PrePop Units (1)" xfId="191"/>
    <cellStyle name="PrePop Units (2)" xfId="192"/>
    <cellStyle name="price" xfId="193"/>
    <cellStyle name="revised" xfId="194"/>
    <cellStyle name="section" xfId="195"/>
    <cellStyle name="SOR" xfId="196"/>
    <cellStyle name="style" xfId="197"/>
    <cellStyle name="style1" xfId="198"/>
    <cellStyle name="style2" xfId="199"/>
    <cellStyle name="subhead" xfId="200"/>
    <cellStyle name="Text Indent A" xfId="201"/>
    <cellStyle name="Text Indent B" xfId="202"/>
    <cellStyle name="Text Indent C" xfId="203"/>
    <cellStyle name="Tickmark" xfId="204"/>
    <cellStyle name="title" xfId="205"/>
    <cellStyle name="Total" xfId="206"/>
    <cellStyle name="Warning Text" xfId="207"/>
    <cellStyle name="wrap" xfId="208"/>
    <cellStyle name="パーセント_laroux" xfId="209"/>
    <cellStyle name="_PLDT" xfId="210"/>
    <cellStyle name="_Total (2)" xfId="211"/>
    <cellStyle name="だ[0]_PLDT" xfId="212"/>
    <cellStyle name="だ_PLDT" xfId="213"/>
    <cellStyle name="だ[0]_Total (2)" xfId="214"/>
    <cellStyle name="だ_Total (2)" xfId="215"/>
    <cellStyle name="百分比 2" xfId="216"/>
    <cellStyle name="百分比 3" xfId="217"/>
    <cellStyle name="標準_１１月価格表" xfId="218"/>
    <cellStyle name="差_T1000-主营业务收入-LJCH" xfId="219"/>
    <cellStyle name="常规 10" xfId="220"/>
    <cellStyle name="常规 10 2" xfId="221"/>
    <cellStyle name="常规 10 3" xfId="222"/>
    <cellStyle name="常规 10 4" xfId="223"/>
    <cellStyle name="常规 11 2" xfId="224"/>
    <cellStyle name="常规 11 3" xfId="225"/>
    <cellStyle name="常规 11 4" xfId="226"/>
    <cellStyle name="常规 12 2" xfId="227"/>
    <cellStyle name="常规 12 3" xfId="228"/>
    <cellStyle name="常规 12 4" xfId="229"/>
    <cellStyle name="常规 13 2" xfId="230"/>
    <cellStyle name="常规 13 3" xfId="231"/>
    <cellStyle name="常规 13 4" xfId="232"/>
    <cellStyle name="常规 2 2 2" xfId="233"/>
    <cellStyle name="常规 2 2 3" xfId="234"/>
    <cellStyle name="常规 2 3" xfId="235"/>
    <cellStyle name="常规 2 3 2" xfId="236"/>
    <cellStyle name="常规 2 4" xfId="237"/>
    <cellStyle name="常规 2 5" xfId="238"/>
    <cellStyle name="常规 2 6" xfId="239"/>
    <cellStyle name="常规 2 7" xfId="240"/>
    <cellStyle name="常规 2 8" xfId="241"/>
    <cellStyle name="常规 2_经销商信息-1-原始表" xfId="242"/>
    <cellStyle name="常规 3 2" xfId="243"/>
    <cellStyle name="常规 3 3" xfId="244"/>
    <cellStyle name="常规 3 4" xfId="245"/>
    <cellStyle name="常规 4" xfId="246"/>
    <cellStyle name="常规 4 2" xfId="247"/>
    <cellStyle name="常规 4 3" xfId="248"/>
    <cellStyle name="常规 4 4" xfId="249"/>
    <cellStyle name="常规 5" xfId="250"/>
    <cellStyle name="常规 5 2" xfId="251"/>
    <cellStyle name="常规 5 3" xfId="252"/>
    <cellStyle name="常规 5 4" xfId="253"/>
    <cellStyle name="常规 6 2" xfId="254"/>
    <cellStyle name="常规 6 3" xfId="255"/>
    <cellStyle name="常规 6 4" xfId="256"/>
    <cellStyle name="常规 6 5" xfId="257"/>
    <cellStyle name="常规 7" xfId="258"/>
    <cellStyle name="常规 7 2" xfId="259"/>
    <cellStyle name="常规 7 3" xfId="260"/>
    <cellStyle name="常规 7 4" xfId="261"/>
    <cellStyle name="常规 8" xfId="262"/>
    <cellStyle name="常规 8 2" xfId="263"/>
    <cellStyle name="常规 8 3" xfId="264"/>
    <cellStyle name="常规 8 4" xfId="265"/>
    <cellStyle name="常规 9" xfId="266"/>
    <cellStyle name="常规 9 2" xfId="267"/>
    <cellStyle name="常规 9 3" xfId="268"/>
    <cellStyle name="常规 9 4" xfId="269"/>
    <cellStyle name="超级链接_B4-1审计项目工时预算与控制表(集团)" xfId="270"/>
    <cellStyle name="超链接 2" xfId="271"/>
    <cellStyle name="超链接 2 2" xfId="272"/>
    <cellStyle name="分级显示行_1_4附件二凯旋评估表" xfId="273"/>
    <cellStyle name="好_T1000-主营业务收入" xfId="274"/>
    <cellStyle name="桁区切り [0.00]_１１月価格表" xfId="275"/>
    <cellStyle name="桁区切り_１１月価格表" xfId="276"/>
    <cellStyle name="霓付 [0]_97MBO" xfId="277"/>
    <cellStyle name="霓付_97MBO" xfId="278"/>
    <cellStyle name="烹拳 [0]_97MBO" xfId="279"/>
    <cellStyle name="烹拳_97MBO" xfId="280"/>
    <cellStyle name="砯刽 [0]_PLDT" xfId="281"/>
    <cellStyle name="砯刽_PLDT" xfId="282"/>
    <cellStyle name="普通_ 白土" xfId="283"/>
    <cellStyle name="千分位[0]_ 白土" xfId="284"/>
    <cellStyle name="千分位_ 白土" xfId="285"/>
    <cellStyle name="千位[0]_ 应交税金审定表" xfId="286"/>
    <cellStyle name="千位_ 应交税金审定表" xfId="287"/>
    <cellStyle name="千位分隔 2" xfId="288"/>
    <cellStyle name="千位分隔 3" xfId="289"/>
    <cellStyle name="钎霖_laroux" xfId="290"/>
    <cellStyle name="通貨 [0.00]_１１月価格表" xfId="291"/>
    <cellStyle name="通貨_１１月価格表" xfId="292"/>
    <cellStyle name="样式 1" xfId="293"/>
    <cellStyle name="콤마 [0]_BOILER-CO1" xfId="294"/>
    <cellStyle name="콤마_BOILER-CO1" xfId="295"/>
    <cellStyle name="통화 [0]_BOILER-CO1" xfId="296"/>
    <cellStyle name="통화_BOILER-CO1" xfId="297"/>
    <cellStyle name="표준_0N-HANDLING " xfId="298"/>
    <cellStyle name="常规 2 2 4" xfId="299"/>
    <cellStyle name="常规 4 2 2" xfId="300"/>
    <cellStyle name="超链接 2 3" xfId="301"/>
    <cellStyle name="百分比 2 2" xfId="302"/>
    <cellStyle name="常规 7 6" xfId="303"/>
    <cellStyle name="常规 7 5" xfId="304"/>
    <cellStyle name="千位分隔 6" xfId="305"/>
    <cellStyle name="常规 11 5" xfId="306"/>
    <cellStyle name="常规_进一步审计程序--销售与收款循环 2" xfId="307"/>
  </cellStyles>
  <dxfs count="3">
    <dxf>
      <font>
        <condense val="0"/>
        <color indexed="12"/>
        <extend val="0"/>
      </font>
    </dxf>
    <dxf>
      <font>
        <condense val="0"/>
        <color indexed="12"/>
        <extend val="0"/>
      </font>
    </dxf>
    <dxf>
      <font>
        <color rgb="009C0006"/>
      </font>
      <fill>
        <patternFill patternType="solid">
          <fgColor rgb="00FFC7CE"/>
          <bgColor rgb="00FFC7CE"/>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何先琴</author>
  </authors>
  <commentList>
    <comment ref="B15" authorId="0" shapeId="0">
      <text>
        <t>专业技术部:
根据被审计单位实际情况和风险评估情况裁剪、修改或增加审计程序</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Sheet1">
    <outlinePr summaryBelow="1" summaryRight="1"/>
    <pageSetUpPr/>
  </sheetPr>
  <dimension ref="A1:H20"/>
  <sheetViews>
    <sheetView tabSelected="1" workbookViewId="0">
      <selection activeCell="A1" sqref="A1"/>
    </sheetView>
  </sheetViews>
  <sheetFormatPr baseColWidth="8" defaultColWidth="9" defaultRowHeight="19.95" customHeight="1"/>
  <cols>
    <col width="77.59765625" customWidth="1" style="111" min="1" max="1"/>
    <col width="2" customWidth="1" style="111" min="2" max="2"/>
    <col width="2.09765625" customWidth="1" style="111" min="3" max="3"/>
    <col width="6.09765625" customWidth="1" style="111" min="4" max="4"/>
    <col width="22.59765625" bestFit="1" customWidth="1" style="111" min="5" max="5"/>
    <col width="9.09765625" customWidth="1" style="148" min="6" max="6"/>
    <col width="9" customWidth="1" style="111" min="7" max="16384"/>
  </cols>
  <sheetData>
    <row r="1" ht="19.95" customHeight="1" s="258">
      <c r="A1" s="107" t="inlineStr">
        <is>
          <t>底稿开列时，可先在以下单元格填写有关内容，以便其他底稿引用有关数据：</t>
        </is>
      </c>
    </row>
    <row r="2" ht="19.95" customHeight="1" s="258">
      <c r="A2" s="46" t="inlineStr">
        <is>
          <t>被审计单位：</t>
        </is>
      </c>
      <c r="B2" s="109" t="n"/>
      <c r="C2" s="109" t="n"/>
      <c r="D2" s="141" t="inlineStr">
        <is>
          <t>序号</t>
        </is>
      </c>
      <c r="E2" s="141" t="inlineStr">
        <is>
          <t>内容</t>
        </is>
      </c>
      <c r="F2" s="141" t="inlineStr">
        <is>
          <t>索引号</t>
        </is>
      </c>
      <c r="G2" s="141" t="inlineStr">
        <is>
          <t>备注</t>
        </is>
      </c>
      <c r="H2" s="109" t="n"/>
    </row>
    <row r="3" ht="19.95" customHeight="1" s="258">
      <c r="A3" s="46" t="inlineStr">
        <is>
          <t>会计期间：202X年度</t>
        </is>
      </c>
      <c r="B3" s="109" t="n"/>
      <c r="C3" s="109" t="n"/>
      <c r="D3" s="110" t="n">
        <v>1</v>
      </c>
      <c r="E3" s="137" t="inlineStr">
        <is>
          <t>资产处置损益实质性程序表</t>
        </is>
      </c>
      <c r="F3" s="149" t="inlineStr">
        <is>
          <t>H10A</t>
        </is>
      </c>
      <c r="G3" s="140" t="n"/>
      <c r="H3" s="109" t="n"/>
    </row>
    <row r="4" ht="19.95" customHeight="1" s="258">
      <c r="A4" s="106" t="inlineStr">
        <is>
          <t>编制人：</t>
        </is>
      </c>
      <c r="B4" s="111" t="n"/>
      <c r="C4" s="111" t="n"/>
      <c r="D4" s="110">
        <f>D3+1</f>
        <v/>
      </c>
      <c r="E4" s="137" t="inlineStr">
        <is>
          <t>审定表</t>
        </is>
      </c>
      <c r="F4" s="149" t="inlineStr">
        <is>
          <t>H10-1</t>
        </is>
      </c>
      <c r="G4" s="113" t="n"/>
      <c r="H4" s="109" t="n"/>
    </row>
    <row r="5" ht="19.95" customHeight="1" s="258">
      <c r="A5" s="106" t="inlineStr">
        <is>
          <t>复核人：</t>
        </is>
      </c>
      <c r="D5" s="110">
        <f>D4+1</f>
        <v/>
      </c>
      <c r="E5" s="137" t="inlineStr">
        <is>
          <t>附注披露信息（上市公司）</t>
        </is>
      </c>
      <c r="F5" s="110" t="n"/>
      <c r="G5" s="113" t="inlineStr">
        <is>
          <t>无需打印</t>
        </is>
      </c>
      <c r="H5" s="111" t="n"/>
    </row>
    <row r="6" ht="19.95" customHeight="1" s="258">
      <c r="A6" s="106" t="inlineStr">
        <is>
          <t>编制日期：</t>
        </is>
      </c>
      <c r="D6" s="110">
        <f>D5+1</f>
        <v/>
      </c>
      <c r="E6" s="137" t="inlineStr">
        <is>
          <t>附注披露信息（国企）</t>
        </is>
      </c>
      <c r="F6" s="110" t="n"/>
      <c r="G6" s="113" t="inlineStr">
        <is>
          <t>无需打印</t>
        </is>
      </c>
    </row>
    <row r="7" ht="19.95" customHeight="1" s="258">
      <c r="A7" s="106" t="inlineStr">
        <is>
          <t>复核日期：</t>
        </is>
      </c>
      <c r="D7" s="110">
        <f>D6+1</f>
        <v/>
      </c>
      <c r="E7" s="137" t="inlineStr">
        <is>
          <t>明细表</t>
        </is>
      </c>
      <c r="F7" s="149" t="inlineStr">
        <is>
          <t>H10-2</t>
        </is>
      </c>
      <c r="G7" s="113" t="n"/>
    </row>
    <row r="8" ht="19.95" customHeight="1" s="258">
      <c r="A8" s="112" t="n"/>
      <c r="D8" s="110">
        <f>D7+1</f>
        <v/>
      </c>
      <c r="E8" s="137" t="inlineStr">
        <is>
          <t>调整分录汇总</t>
        </is>
      </c>
      <c r="F8" s="149" t="inlineStr">
        <is>
          <t>H10-3</t>
        </is>
      </c>
      <c r="G8" s="113" t="n"/>
    </row>
    <row r="9" ht="19.95" customHeight="1" s="258">
      <c r="A9" s="183" t="n"/>
      <c r="D9" s="110">
        <f>D8+1</f>
        <v/>
      </c>
      <c r="E9" s="137" t="inlineStr">
        <is>
          <t>检查表</t>
        </is>
      </c>
      <c r="F9" s="149" t="inlineStr">
        <is>
          <t>H10-4</t>
        </is>
      </c>
      <c r="G9" s="113" t="n"/>
    </row>
    <row r="10" ht="19.95" customHeight="1" s="258">
      <c r="A10" s="196" t="inlineStr">
        <is>
          <t>关于工作底稿与审计程序索引号对应的说明</t>
        </is>
      </c>
      <c r="G10" s="183" t="n"/>
    </row>
    <row r="11" ht="19.95" customHeight="1" s="258">
      <c r="A11" s="212" t="inlineStr">
        <is>
          <t>1.编制的审计工作底稿应与审计程序对应。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is>
      </c>
    </row>
    <row r="12" ht="19.95" customHeight="1" s="258">
      <c r="A12" s="0" t="n"/>
    </row>
    <row r="13" ht="19.95" customHeight="1" s="258">
      <c r="A13" s="0" t="n"/>
    </row>
    <row r="14" ht="19.95" customHeight="1" s="258">
      <c r="A14" s="0" t="n"/>
    </row>
    <row r="15" ht="19.95" customHeight="1" s="258">
      <c r="A15" s="212" t="inlineStr">
        <is>
          <t>2.获取的支持性证据应与审计底稿或程序对应。审计项目组在完成底稿时获取的支持性证据应根据底稿索引号编制下一级按自然顺序排序的索引号（如D1-2-1、D1-2-2、……），并在底稿中说明引用的支持性证据、关联索引号。</t>
        </is>
      </c>
    </row>
    <row r="16" ht="19.95" customHeight="1" s="258">
      <c r="A16" s="0" t="n"/>
    </row>
    <row r="17" ht="19.95" customHeight="1" s="258">
      <c r="A17" s="0" t="n"/>
    </row>
    <row r="18" ht="19.95" customHeight="1" s="258">
      <c r="A18" s="213" t="inlineStr">
        <is>
          <t>3.工作底稿索引号的编码规则：实质性程序索引号按循环从“D”到“N”,循环内账户以顺序号排列，模板中底稿索引号按账户顺序+自然数顺序（即模板中索引号按二级自然顺序排列，如D1-1、D1-2、D1-3、……D1-N）。</t>
        </is>
      </c>
    </row>
    <row r="19" ht="19.95" customHeight="1" s="258">
      <c r="A19" s="0" t="n"/>
    </row>
    <row r="20" ht="19.95" customHeight="1" s="258">
      <c r="A20" s="0" t="n"/>
    </row>
  </sheetData>
  <mergeCells count="3">
    <mergeCell ref="A15:A17"/>
    <mergeCell ref="A11:A14"/>
    <mergeCell ref="A18:A20"/>
  </mergeCells>
  <hyperlinks>
    <hyperlink ref="E3" location="'资产处置损益实质性程序表H10A'!A1" display="资产处置损益实质性程序表H10A"/>
    <hyperlink ref="E4" location="'审定表H10-1'!A1" display="审定表H10-1"/>
    <hyperlink ref="E5" location="'附注披露信息（上市公司）'!A1" display="附注披露信息（上市公司）"/>
    <hyperlink ref="E6" location="'附注披露信息（国企）'!A1" display="附注披露信息（国企）"/>
    <hyperlink ref="E7" location="'明细表H10-2'!A1" display="明细表H10-2"/>
    <hyperlink ref="E8" location="'调整分录汇总H10-3'!A1" display="调整分录汇总H10-3"/>
    <hyperlink ref="E9" location="'检查表H10-4'!A1" display="检查表H10-4"/>
  </hyperlinks>
  <pageMargins left="0.75" right="0.75" top="1" bottom="1" header="0.5" footer="0.5"/>
  <pageSetup orientation="portrait" paperSize="9" horizontalDpi="1200" verticalDpi="1200"/>
</worksheet>
</file>

<file path=xl/worksheets/sheet2.xml><?xml version="1.0" encoding="utf-8"?>
<worksheet xmlns="http://schemas.openxmlformats.org/spreadsheetml/2006/main">
  <sheetPr codeName="Sheet13">
    <outlinePr summaryBelow="1" summaryRight="1"/>
    <pageSetUpPr/>
  </sheetPr>
  <dimension ref="A1:U21"/>
  <sheetViews>
    <sheetView view="pageBreakPreview" zoomScaleSheetLayoutView="100" workbookViewId="0">
      <selection activeCell="A1" sqref="A1:I1"/>
    </sheetView>
  </sheetViews>
  <sheetFormatPr baseColWidth="8" defaultColWidth="9" defaultRowHeight="19.95" customHeight="1"/>
  <cols>
    <col width="4.3984375" customWidth="1" style="126" min="1" max="1"/>
    <col width="61.09765625" customWidth="1" style="125" min="2" max="2"/>
    <col width="8.8984375" customWidth="1" style="125" min="3" max="3"/>
    <col width="5.8984375" customWidth="1" style="125" min="4" max="4"/>
    <col width="8.09765625" customWidth="1" style="125" min="5" max="5"/>
    <col width="8" customWidth="1" style="125" min="6" max="6"/>
    <col width="6.19921875" customWidth="1" style="125" min="7" max="7"/>
    <col width="5.59765625" customWidth="1" style="125" min="8" max="8"/>
    <col width="8.3984375" customWidth="1" style="125" min="9" max="9"/>
    <col width="47" customWidth="1" style="125" min="10" max="10"/>
    <col width="14.59765625" customWidth="1" style="125" min="11" max="11"/>
    <col width="9" customWidth="1" style="125" min="12" max="16384"/>
  </cols>
  <sheetData>
    <row r="1" ht="19.95" customFormat="1" customHeight="1" s="122">
      <c r="A1" s="216" t="inlineStr">
        <is>
          <t>致同会计师事务所</t>
        </is>
      </c>
    </row>
    <row r="2" ht="19.95" customFormat="1" customHeight="1" s="122">
      <c r="A2" s="217" t="inlineStr">
        <is>
          <t>资产处置损益实质性程序表</t>
        </is>
      </c>
    </row>
    <row r="3" ht="19.95" customFormat="1" customHeight="1" s="124">
      <c r="A3" s="124">
        <f>底稿目录!A2</f>
        <v/>
      </c>
      <c r="B3" s="124" t="n"/>
      <c r="C3" s="124">
        <f>底稿目录!A4</f>
        <v/>
      </c>
      <c r="E3" s="124">
        <f>底稿目录!A6</f>
        <v/>
      </c>
      <c r="H3" s="158" t="inlineStr">
        <is>
          <t>索引号：</t>
        </is>
      </c>
      <c r="I3" s="132" t="inlineStr">
        <is>
          <t>H10A</t>
        </is>
      </c>
    </row>
    <row r="4" ht="19.95" customFormat="1" customHeight="1" s="124">
      <c r="A4" s="124">
        <f>底稿目录!A3</f>
        <v/>
      </c>
      <c r="B4" s="124" t="n"/>
      <c r="C4" s="124">
        <f>底稿目录!A5</f>
        <v/>
      </c>
      <c r="E4" s="124">
        <f>底稿目录!A7</f>
        <v/>
      </c>
      <c r="H4" s="158" t="inlineStr">
        <is>
          <t>页  次：</t>
        </is>
      </c>
    </row>
    <row r="5" ht="19.95" customFormat="1" customHeight="1" s="151">
      <c r="A5" s="218" t="inlineStr">
        <is>
          <t>一、本账户涉及的科目</t>
        </is>
      </c>
      <c r="B5" s="0" t="n"/>
    </row>
    <row r="6" ht="19.95" customFormat="1" customHeight="1" s="151">
      <c r="A6" s="259" t="inlineStr">
        <is>
          <t>资产处置损益</t>
        </is>
      </c>
      <c r="B6" s="260" t="n"/>
    </row>
    <row r="7" ht="19.95" customFormat="1" customHeight="1" s="150">
      <c r="A7" s="178" t="inlineStr">
        <is>
          <t>二、审计目标与认定的对应关系</t>
        </is>
      </c>
      <c r="B7" s="261" t="n"/>
      <c r="C7" s="151" t="n"/>
      <c r="D7" s="151" t="n"/>
      <c r="E7" s="151" t="n"/>
      <c r="F7" s="151" t="n"/>
      <c r="G7" s="151" t="n"/>
      <c r="H7" s="151" t="n"/>
      <c r="I7" s="151" t="n"/>
    </row>
    <row r="8" ht="19.95" customFormat="1" customHeight="1" s="150">
      <c r="A8" s="262" t="inlineStr">
        <is>
          <t>审计目标</t>
        </is>
      </c>
      <c r="B8" s="263" t="n"/>
      <c r="C8" s="263" t="n"/>
      <c r="D8" s="263" t="n"/>
      <c r="E8" s="263" t="n"/>
      <c r="F8" s="264" t="n"/>
      <c r="G8" s="262" t="inlineStr">
        <is>
          <t xml:space="preserve">财务报表的认定　</t>
        </is>
      </c>
      <c r="H8" s="263" t="n"/>
      <c r="I8" s="264" t="n"/>
    </row>
    <row r="9" ht="19.95" customFormat="1" customHeight="1" s="150">
      <c r="A9" s="265" t="inlineStr">
        <is>
          <t>A. 利润表中记录的资产处置损益已发生，且与被审计单位有关，已记录于恰当的账户</t>
        </is>
      </c>
      <c r="B9" s="263" t="n"/>
      <c r="C9" s="263" t="n"/>
      <c r="D9" s="263" t="n"/>
      <c r="E9" s="263" t="n"/>
      <c r="F9" s="264" t="n"/>
      <c r="G9" s="266" t="inlineStr">
        <is>
          <t>发生</t>
        </is>
      </c>
      <c r="H9" s="263" t="n"/>
      <c r="I9" s="264" t="n"/>
    </row>
    <row r="10" ht="19.95" customFormat="1" customHeight="1" s="150">
      <c r="A10" s="265" t="inlineStr">
        <is>
          <t>B. 所有应当记录的资产处置损益均已记录，所有应当包括在财务报表中的相关披露均已包括</t>
        </is>
      </c>
      <c r="B10" s="263" t="n"/>
      <c r="C10" s="263" t="n"/>
      <c r="D10" s="263" t="n"/>
      <c r="E10" s="263" t="n"/>
      <c r="F10" s="264" t="n"/>
      <c r="G10" s="266" t="inlineStr">
        <is>
          <t>完整性</t>
        </is>
      </c>
      <c r="H10" s="263" t="n"/>
      <c r="I10" s="264" t="n"/>
    </row>
    <row r="11" ht="19.95" customFormat="1" customHeight="1" s="150">
      <c r="A11" s="265" t="inlineStr">
        <is>
          <t>C. 与资产处置损益有关的金额及其他数据已恰当记录，相关披露已得到恰当计量和描述</t>
        </is>
      </c>
      <c r="B11" s="263" t="n"/>
      <c r="C11" s="263" t="n"/>
      <c r="D11" s="263" t="n"/>
      <c r="E11" s="263" t="n"/>
      <c r="F11" s="264" t="n"/>
      <c r="G11" s="266" t="inlineStr">
        <is>
          <t>准确性</t>
        </is>
      </c>
      <c r="H11" s="263" t="n"/>
      <c r="I11" s="264" t="n"/>
    </row>
    <row r="12" ht="19.95" customFormat="1" customHeight="1" s="150">
      <c r="A12" s="265" t="inlineStr">
        <is>
          <t>D. 资产处置损益已记录于正确的会计期间</t>
        </is>
      </c>
      <c r="B12" s="263" t="n"/>
      <c r="C12" s="263" t="n"/>
      <c r="D12" s="263" t="n"/>
      <c r="E12" s="263" t="n"/>
      <c r="F12" s="264" t="n"/>
      <c r="G12" s="266" t="inlineStr">
        <is>
          <t>截止</t>
        </is>
      </c>
      <c r="H12" s="263" t="n"/>
      <c r="I12" s="264" t="n"/>
    </row>
    <row r="13" ht="19.95" customFormat="1" customHeight="1" s="150">
      <c r="A13" s="265" t="inlineStr">
        <is>
          <t>E. 资产处置损益已被恰当地汇总或分解且表述清楚，相关披露在按照企业会计准则的编制基础下是相关的、可理解的</t>
        </is>
      </c>
      <c r="B13" s="263" t="n"/>
      <c r="C13" s="263" t="n"/>
      <c r="D13" s="263" t="n"/>
      <c r="E13" s="263" t="n"/>
      <c r="F13" s="264" t="n"/>
      <c r="G13" s="266" t="inlineStr">
        <is>
          <t>列报</t>
        </is>
      </c>
      <c r="H13" s="263" t="n"/>
      <c r="I13" s="264" t="n"/>
    </row>
    <row r="14" ht="19.95" customFormat="1" customHeight="1" s="150">
      <c r="A14" s="221" t="inlineStr">
        <is>
          <t>三、计划实施的实质性程序</t>
        </is>
      </c>
      <c r="B14" s="267" t="n"/>
      <c r="C14" s="156" t="n"/>
    </row>
    <row r="15" ht="19.95" customFormat="1" customHeight="1" s="150">
      <c r="A15" s="268" t="inlineStr">
        <is>
          <t>序号</t>
        </is>
      </c>
      <c r="B15" s="224" t="inlineStr">
        <is>
          <t>审计程序</t>
        </is>
      </c>
      <c r="C15" s="262" t="inlineStr">
        <is>
          <t>程序分类</t>
        </is>
      </c>
      <c r="D15" s="268" t="inlineStr">
        <is>
          <t>审计目标</t>
        </is>
      </c>
      <c r="E15" s="263" t="n"/>
      <c r="F15" s="263" t="n"/>
      <c r="G15" s="263" t="n"/>
      <c r="H15" s="264" t="n"/>
      <c r="I15" s="269" t="inlineStr">
        <is>
          <t>底稿索引号</t>
        </is>
      </c>
    </row>
    <row r="16" ht="19.95" customFormat="1" customHeight="1" s="150">
      <c r="A16" s="270" t="n"/>
      <c r="B16" s="270" t="n"/>
      <c r="C16" s="270" t="n"/>
      <c r="D16" s="268" t="inlineStr">
        <is>
          <t>发生</t>
        </is>
      </c>
      <c r="E16" s="268" t="inlineStr">
        <is>
          <t>完整性</t>
        </is>
      </c>
      <c r="F16" s="268" t="inlineStr">
        <is>
          <t>准确性</t>
        </is>
      </c>
      <c r="G16" s="268" t="inlineStr">
        <is>
          <t>截止</t>
        </is>
      </c>
      <c r="H16" s="268" t="inlineStr">
        <is>
          <t>列报</t>
        </is>
      </c>
      <c r="I16" s="270" t="n"/>
      <c r="J16" s="271" t="inlineStr">
        <is>
          <t>根据被审计单位实际情况和风险评估情况裁剪、修改或增加审计程序</t>
        </is>
      </c>
    </row>
    <row r="17" ht="39" customFormat="1" customHeight="1" s="124">
      <c r="A17" s="159" t="inlineStr">
        <is>
          <t>1</t>
        </is>
      </c>
      <c r="B17" s="272" t="inlineStr">
        <is>
          <t>获取或编制资产处置损益明细表，复核其加计数是否正确，并与报表数、总账数和明细账合计数核对是否相符，并编制审定表。</t>
        </is>
      </c>
      <c r="C17" s="273" t="inlineStr">
        <is>
          <t>常规★</t>
        </is>
      </c>
      <c r="D17" s="161" t="inlineStr">
        <is>
          <t>√</t>
        </is>
      </c>
      <c r="E17" s="161" t="inlineStr">
        <is>
          <t>√</t>
        </is>
      </c>
      <c r="F17" s="162" t="inlineStr">
        <is>
          <t>√</t>
        </is>
      </c>
      <c r="G17" s="161" t="inlineStr">
        <is>
          <t>√</t>
        </is>
      </c>
      <c r="H17" s="274" t="n"/>
      <c r="I17" s="275" t="inlineStr">
        <is>
          <t>H10-1
/H10-2</t>
        </is>
      </c>
    </row>
    <row r="18" ht="54" customFormat="1" customHeight="1" s="124">
      <c r="A18" s="159" t="inlineStr">
        <is>
          <t>2</t>
        </is>
      </c>
      <c r="B18" s="165" t="inlineStr">
        <is>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is>
      </c>
      <c r="C18" s="273" t="inlineStr">
        <is>
          <t>常规★</t>
        </is>
      </c>
      <c r="D18" s="274" t="n"/>
      <c r="E18" s="161" t="inlineStr">
        <is>
          <t>√</t>
        </is>
      </c>
      <c r="F18" s="161" t="inlineStr">
        <is>
          <t>√</t>
        </is>
      </c>
      <c r="G18" s="274" t="n"/>
      <c r="H18" s="274" t="n"/>
      <c r="I18" s="276" t="inlineStr">
        <is>
          <t>T1
/</t>
        </is>
      </c>
      <c r="J18" s="219" t="inlineStr">
        <is>
          <t>可参见《审计手册》4.2.6，由被审计单位生成的信息可能是由系统生成的、或手工编制的、或二者兼而有之的方式生成的。例如，由被审计单位生成的信息可能包括：
• 不涉及自定义的、由系统生成的报告（如，固定格式报告）；
• 可能通过人工自定义的、由系统生成的报告，例如，（计算机）查询信息或特别定制的报告；
• 手工编制的信息，例如，汇总信息的电子表格或用以支持分配、计算以及调节的电子表格；
• 其他系统生成或手工编制的信息，例如，由被审计单位编制的客户发票；
• 通过影印、拍摄、扫描或其他方式转换成电子形式的文件记录。</t>
        </is>
      </c>
      <c r="K18" s="0" t="n"/>
      <c r="L18" s="0" t="n"/>
      <c r="M18" s="0" t="n"/>
      <c r="N18" s="0" t="n"/>
      <c r="O18" s="0" t="n"/>
      <c r="P18" s="0" t="n"/>
      <c r="Q18" s="0" t="n"/>
      <c r="R18" s="0" t="n"/>
      <c r="S18" s="0" t="n"/>
      <c r="T18" s="0" t="n"/>
      <c r="U18" s="0" t="n"/>
    </row>
    <row r="19" ht="27.6" customHeight="1" s="258">
      <c r="A19" s="159" t="inlineStr">
        <is>
          <t>3</t>
        </is>
      </c>
      <c r="B19" s="167" t="inlineStr">
        <is>
          <t>对上期发生额的审计：结合本期检查确定资产处置收益的前期期末的截止是否恰当。（适用于首次承接）</t>
        </is>
      </c>
      <c r="C19" s="266" t="inlineStr">
        <is>
          <t>备选</t>
        </is>
      </c>
      <c r="D19" s="161" t="inlineStr">
        <is>
          <t>√</t>
        </is>
      </c>
      <c r="E19" s="161" t="inlineStr">
        <is>
          <t>√</t>
        </is>
      </c>
      <c r="F19" s="161" t="inlineStr">
        <is>
          <t>√</t>
        </is>
      </c>
      <c r="G19" s="162" t="inlineStr">
        <is>
          <t>√</t>
        </is>
      </c>
      <c r="H19" s="277" t="n"/>
      <c r="I19" s="278" t="n"/>
      <c r="J19" s="279" t="inlineStr">
        <is>
          <t>由被审计单位生成的信息不包括：
• 总分类账或明细分类账、试算平衡表、或经审计的财务报表；
• 第三方（除了服务机构）的报表或报告，例如，原始银行对账单，或函证的回函；
• 外部数据（例如，第三方发布的数据，如，定价来源）。</t>
        </is>
      </c>
      <c r="K19" s="0" t="n"/>
      <c r="L19" s="0" t="n"/>
    </row>
    <row r="20" ht="28.2" customHeight="1" s="258">
      <c r="A20" s="159" t="inlineStr">
        <is>
          <t>4</t>
        </is>
      </c>
      <c r="B20" s="272" t="inlineStr">
        <is>
          <t>结合固定资产、无形资产等相关科目审计，检查支持性文件，确定入账金额及会计处理是否正确。</t>
        </is>
      </c>
      <c r="C20" s="280" t="inlineStr">
        <is>
          <t>常规★</t>
        </is>
      </c>
      <c r="D20" s="161" t="inlineStr">
        <is>
          <t>√</t>
        </is>
      </c>
      <c r="E20" s="161" t="inlineStr">
        <is>
          <t>√</t>
        </is>
      </c>
      <c r="F20" s="162" t="inlineStr">
        <is>
          <t>√</t>
        </is>
      </c>
      <c r="G20" s="161" t="inlineStr">
        <is>
          <t>√</t>
        </is>
      </c>
      <c r="H20" s="277" t="n"/>
      <c r="I20" s="278" t="inlineStr">
        <is>
          <t>H10-4</t>
        </is>
      </c>
    </row>
    <row r="21" ht="27.6" customHeight="1" s="258">
      <c r="A21" s="159" t="inlineStr">
        <is>
          <t>5</t>
        </is>
      </c>
      <c r="B21" s="272" t="inlineStr">
        <is>
          <t>确定需在财务报表中单独披露的信息已被记录。</t>
        </is>
      </c>
      <c r="C21" s="280" t="inlineStr">
        <is>
          <t>常规★</t>
        </is>
      </c>
      <c r="D21" s="277" t="n"/>
      <c r="E21" s="277" t="n"/>
      <c r="F21" s="277" t="n"/>
      <c r="G21" s="277" t="n"/>
      <c r="H21" s="161" t="inlineStr">
        <is>
          <t>√</t>
        </is>
      </c>
      <c r="I21" s="169" t="inlineStr">
        <is>
          <t>A 1-1/A1-15 /A1-16</t>
        </is>
      </c>
    </row>
  </sheetData>
  <mergeCells count="23">
    <mergeCell ref="G10:I10"/>
    <mergeCell ref="G13:I13"/>
    <mergeCell ref="A12:F12"/>
    <mergeCell ref="A2:I2"/>
    <mergeCell ref="A8:F8"/>
    <mergeCell ref="B15:B16"/>
    <mergeCell ref="A10:F10"/>
    <mergeCell ref="A13:F13"/>
    <mergeCell ref="A9:F9"/>
    <mergeCell ref="A5:B5"/>
    <mergeCell ref="J18:U18"/>
    <mergeCell ref="G9:I9"/>
    <mergeCell ref="A14:B14"/>
    <mergeCell ref="G12:I12"/>
    <mergeCell ref="G11:I11"/>
    <mergeCell ref="A11:F11"/>
    <mergeCell ref="D15:H15"/>
    <mergeCell ref="J19:L19"/>
    <mergeCell ref="A1:I1"/>
    <mergeCell ref="A15:A16"/>
    <mergeCell ref="G8:I8"/>
    <mergeCell ref="C15:C16"/>
    <mergeCell ref="I15:I16"/>
  </mergeCells>
  <hyperlinks>
    <hyperlink ref="I3" location="底稿目录!A1" display="H10A"/>
  </hyperlinks>
  <printOptions horizontalCentered="1"/>
  <pageMargins left="0.7086614173228347" right="0.7086614173228347" top="0.7480314960629921" bottom="0.7480314960629921" header="0.3149606299212598" footer="0.3149606299212598"/>
  <pageSetup orientation="portrait" paperSize="9" scale="70" fitToHeight="50" blackAndWhite="1"/>
  <headerFooter alignWithMargins="0">
    <oddHeader/>
    <oddFooter>&amp;C&amp;P/&amp;N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Sheet2">
    <outlinePr summaryBelow="1" summaryRight="1"/>
    <pageSetUpPr fitToPage="1"/>
  </sheetPr>
  <dimension ref="A1:K20"/>
  <sheetViews>
    <sheetView view="pageBreakPreview" zoomScaleSheetLayoutView="100" workbookViewId="0">
      <selection activeCell="A1" sqref="A1:K1"/>
    </sheetView>
  </sheetViews>
  <sheetFormatPr baseColWidth="8" defaultColWidth="9" defaultRowHeight="19.95" customHeight="1"/>
  <cols>
    <col width="31.3984375" customWidth="1" style="3" min="1" max="1"/>
    <col width="15.5" customWidth="1" style="3" min="2" max="2"/>
    <col width="13.09765625" customWidth="1" style="3" min="3" max="3"/>
    <col width="11" customWidth="1" style="3" min="4" max="4"/>
    <col width="11.796875" customWidth="1" style="3" min="5" max="5"/>
    <col width="8.59765625" customWidth="1" style="3" min="6" max="6"/>
    <col width="14.69921875" customWidth="1" style="3" min="7" max="10"/>
    <col width="13.69921875" customWidth="1" style="3" min="11" max="11"/>
    <col width="9" customWidth="1" style="3" min="12" max="16384"/>
  </cols>
  <sheetData>
    <row r="1" ht="19.95" customFormat="1" customHeight="1" s="29">
      <c r="A1" s="230" t="inlineStr">
        <is>
          <t>致同会计师事务所</t>
        </is>
      </c>
    </row>
    <row r="2" ht="19.95" customFormat="1" customHeight="1" s="29">
      <c r="A2" s="231" t="inlineStr">
        <is>
          <t>资产处置损益审定表</t>
        </is>
      </c>
    </row>
    <row r="3" ht="19.95" customHeight="1" s="258">
      <c r="A3" s="3">
        <f>底稿目录!A2</f>
        <v/>
      </c>
      <c r="C3" s="3">
        <f>底稿目录!A4</f>
        <v/>
      </c>
      <c r="H3" s="3">
        <f>底稿目录!A6</f>
        <v/>
      </c>
      <c r="I3" s="3" t="n"/>
      <c r="J3" s="142" t="inlineStr">
        <is>
          <t>索引号：</t>
        </is>
      </c>
      <c r="K3" s="131" t="inlineStr">
        <is>
          <t>H10-1</t>
        </is>
      </c>
    </row>
    <row r="4" ht="19.95" customHeight="1" s="258">
      <c r="A4" s="3">
        <f>底稿目录!A3</f>
        <v/>
      </c>
      <c r="C4" s="3">
        <f>底稿目录!A5</f>
        <v/>
      </c>
      <c r="H4" s="3">
        <f>底稿目录!A7</f>
        <v/>
      </c>
      <c r="I4" s="3" t="n"/>
      <c r="J4" s="142" t="inlineStr">
        <is>
          <t>页  次：</t>
        </is>
      </c>
    </row>
    <row r="5" ht="19.95" customHeight="1" s="258">
      <c r="A5" s="37" t="inlineStr">
        <is>
          <t>项目名称</t>
        </is>
      </c>
      <c r="B5" s="37" t="inlineStr">
        <is>
          <t>本期未审数</t>
        </is>
      </c>
      <c r="C5" s="37" t="inlineStr">
        <is>
          <t>账项调整</t>
        </is>
      </c>
      <c r="D5" s="37" t="inlineStr">
        <is>
          <t>重分类调整</t>
        </is>
      </c>
      <c r="E5" s="37" t="inlineStr">
        <is>
          <t>本期审定数</t>
        </is>
      </c>
      <c r="F5" s="37" t="inlineStr">
        <is>
          <t>索引号</t>
        </is>
      </c>
      <c r="G5" s="37" t="inlineStr">
        <is>
          <t>上期未审数</t>
        </is>
      </c>
      <c r="H5" s="37" t="inlineStr">
        <is>
          <t>账项调整</t>
        </is>
      </c>
      <c r="I5" s="37" t="inlineStr">
        <is>
          <t>重分类调整</t>
        </is>
      </c>
      <c r="J5" s="37" t="inlineStr">
        <is>
          <t>上期审定数</t>
        </is>
      </c>
      <c r="K5" s="37" t="inlineStr">
        <is>
          <t>备注</t>
        </is>
      </c>
    </row>
    <row r="6" ht="24" customHeight="1" s="258">
      <c r="A6" s="281">
        <f>'明细表H10-2'!A8</f>
        <v/>
      </c>
      <c r="B6" s="282">
        <f>'明细表H10-2'!N8</f>
        <v/>
      </c>
      <c r="C6" s="282">
        <f>'明细表H10-2'!O8</f>
        <v/>
      </c>
      <c r="D6" s="282">
        <f>'明细表H10-2'!P8</f>
        <v/>
      </c>
      <c r="E6" s="282">
        <f>B6+C6+D6</f>
        <v/>
      </c>
      <c r="F6" s="283" t="inlineStr">
        <is>
          <t>H10-2</t>
        </is>
      </c>
      <c r="G6" s="282">
        <f>'明细表H10-2'!U8</f>
        <v/>
      </c>
      <c r="H6" s="282">
        <f>'明细表H10-2'!V8</f>
        <v/>
      </c>
      <c r="I6" s="282">
        <f>'明细表H10-2'!W8</f>
        <v/>
      </c>
      <c r="J6" s="284">
        <f>G6+H6+I6</f>
        <v/>
      </c>
      <c r="K6" s="285" t="n"/>
    </row>
    <row r="7" ht="19.95" customHeight="1" s="258">
      <c r="A7" s="281">
        <f>'明细表H10-2'!A9</f>
        <v/>
      </c>
      <c r="B7" s="282">
        <f>'明细表H10-2'!N9</f>
        <v/>
      </c>
      <c r="C7" s="282">
        <f>'明细表H10-2'!O9</f>
        <v/>
      </c>
      <c r="D7" s="282">
        <f>'明细表H10-2'!P9</f>
        <v/>
      </c>
      <c r="E7" s="282">
        <f>B7+C7+D7</f>
        <v/>
      </c>
      <c r="F7" s="283" t="inlineStr">
        <is>
          <t>H10-2</t>
        </is>
      </c>
      <c r="G7" s="282">
        <f>'明细表H10-2'!U9</f>
        <v/>
      </c>
      <c r="H7" s="282">
        <f>'明细表H10-2'!V9</f>
        <v/>
      </c>
      <c r="I7" s="282">
        <f>'明细表H10-2'!W9</f>
        <v/>
      </c>
      <c r="J7" s="284">
        <f>G7+H7+I7</f>
        <v/>
      </c>
      <c r="K7" s="285" t="n"/>
    </row>
    <row r="8" ht="19.95" customHeight="1" s="258">
      <c r="A8" s="281">
        <f>'明细表H10-2'!A10</f>
        <v/>
      </c>
      <c r="B8" s="282">
        <f>'明细表H10-2'!N10</f>
        <v/>
      </c>
      <c r="C8" s="282">
        <f>'明细表H10-2'!O10</f>
        <v/>
      </c>
      <c r="D8" s="282">
        <f>'明细表H10-2'!P10</f>
        <v/>
      </c>
      <c r="E8" s="282">
        <f>B8+C8+D8</f>
        <v/>
      </c>
      <c r="F8" s="283" t="inlineStr">
        <is>
          <t>H10-2</t>
        </is>
      </c>
      <c r="G8" s="282">
        <f>'明细表H10-2'!U10</f>
        <v/>
      </c>
      <c r="H8" s="282">
        <f>'明细表H10-2'!V10</f>
        <v/>
      </c>
      <c r="I8" s="282">
        <f>'明细表H10-2'!W10</f>
        <v/>
      </c>
      <c r="J8" s="284">
        <f>G8+H8+I8</f>
        <v/>
      </c>
      <c r="K8" s="285" t="n"/>
    </row>
    <row r="9" ht="24" customHeight="1" s="258">
      <c r="A9" s="281">
        <f>'明细表H10-2'!A11</f>
        <v/>
      </c>
      <c r="B9" s="282">
        <f>'明细表H10-2'!N11</f>
        <v/>
      </c>
      <c r="C9" s="282">
        <f>'明细表H10-2'!O11</f>
        <v/>
      </c>
      <c r="D9" s="282">
        <f>'明细表H10-2'!P11</f>
        <v/>
      </c>
      <c r="E9" s="282">
        <f>B9+C9+D9</f>
        <v/>
      </c>
      <c r="F9" s="283" t="inlineStr">
        <is>
          <t>H10-2</t>
        </is>
      </c>
      <c r="G9" s="282">
        <f>'明细表H10-2'!U11</f>
        <v/>
      </c>
      <c r="H9" s="282">
        <f>'明细表H10-2'!V11</f>
        <v/>
      </c>
      <c r="I9" s="282">
        <f>'明细表H10-2'!W11</f>
        <v/>
      </c>
      <c r="J9" s="284">
        <f>G9+H9+I9</f>
        <v/>
      </c>
      <c r="K9" s="285" t="n"/>
    </row>
    <row r="10" ht="19.95" customHeight="1" s="258">
      <c r="A10" s="281">
        <f>'明细表H10-2'!A12</f>
        <v/>
      </c>
      <c r="B10" s="282">
        <f>'明细表H10-2'!N12</f>
        <v/>
      </c>
      <c r="C10" s="282">
        <f>'明细表H10-2'!O12</f>
        <v/>
      </c>
      <c r="D10" s="282">
        <f>'明细表H10-2'!P12</f>
        <v/>
      </c>
      <c r="E10" s="282">
        <f>B10+C10+D10</f>
        <v/>
      </c>
      <c r="F10" s="283" t="inlineStr">
        <is>
          <t>H10-2</t>
        </is>
      </c>
      <c r="G10" s="282">
        <f>'明细表H10-2'!U12</f>
        <v/>
      </c>
      <c r="H10" s="282">
        <f>'明细表H10-2'!V12</f>
        <v/>
      </c>
      <c r="I10" s="282">
        <f>'明细表H10-2'!W12</f>
        <v/>
      </c>
      <c r="J10" s="284">
        <f>G10+H10+I10</f>
        <v/>
      </c>
      <c r="K10" s="285" t="n"/>
    </row>
    <row r="11" ht="24" customHeight="1" s="258">
      <c r="A11" s="281">
        <f>'明细表H10-2'!A13</f>
        <v/>
      </c>
      <c r="B11" s="282">
        <f>'明细表H10-2'!N13</f>
        <v/>
      </c>
      <c r="C11" s="282">
        <f>'明细表H10-2'!O13</f>
        <v/>
      </c>
      <c r="D11" s="282">
        <f>'明细表H10-2'!P13</f>
        <v/>
      </c>
      <c r="E11" s="282">
        <f>B11+C11+D11</f>
        <v/>
      </c>
      <c r="F11" s="283" t="inlineStr">
        <is>
          <t>H10-2</t>
        </is>
      </c>
      <c r="G11" s="282">
        <f>'明细表H10-2'!U13</f>
        <v/>
      </c>
      <c r="H11" s="282">
        <f>'明细表H10-2'!V13</f>
        <v/>
      </c>
      <c r="I11" s="282">
        <f>'明细表H10-2'!W13</f>
        <v/>
      </c>
      <c r="J11" s="284">
        <f>G11+H11+I11</f>
        <v/>
      </c>
      <c r="K11" s="285" t="n"/>
    </row>
    <row r="12" ht="24" customHeight="1" s="258">
      <c r="A12" s="281">
        <f>'明细表H10-2'!A14</f>
        <v/>
      </c>
      <c r="B12" s="282">
        <f>'明细表H10-2'!N14</f>
        <v/>
      </c>
      <c r="C12" s="282">
        <f>'明细表H10-2'!O14</f>
        <v/>
      </c>
      <c r="D12" s="282">
        <f>'明细表H10-2'!P14</f>
        <v/>
      </c>
      <c r="E12" s="282">
        <f>B12+C12+D12</f>
        <v/>
      </c>
      <c r="F12" s="283" t="inlineStr">
        <is>
          <t>H10-2</t>
        </is>
      </c>
      <c r="G12" s="282">
        <f>'明细表H10-2'!U14</f>
        <v/>
      </c>
      <c r="H12" s="282">
        <f>'明细表H10-2'!V14</f>
        <v/>
      </c>
      <c r="I12" s="282">
        <f>'明细表H10-2'!W14</f>
        <v/>
      </c>
      <c r="J12" s="284">
        <f>G12+H12+I12</f>
        <v/>
      </c>
      <c r="K12" s="285" t="n"/>
    </row>
    <row r="13" ht="19.95" customHeight="1" s="258">
      <c r="A13" s="281">
        <f>'明细表H10-2'!A15</f>
        <v/>
      </c>
      <c r="B13" s="282">
        <f>'明细表H10-2'!N15</f>
        <v/>
      </c>
      <c r="C13" s="282">
        <f>'明细表H10-2'!O15</f>
        <v/>
      </c>
      <c r="D13" s="282">
        <f>'明细表H10-2'!P15</f>
        <v/>
      </c>
      <c r="E13" s="282">
        <f>B13+C13+D13</f>
        <v/>
      </c>
      <c r="F13" s="283" t="inlineStr">
        <is>
          <t>H10-2</t>
        </is>
      </c>
      <c r="G13" s="282">
        <f>'明细表H10-2'!U15</f>
        <v/>
      </c>
      <c r="H13" s="282">
        <f>'明细表H10-2'!V15</f>
        <v/>
      </c>
      <c r="I13" s="282">
        <f>'明细表H10-2'!W15</f>
        <v/>
      </c>
      <c r="J13" s="284">
        <f>G13+H13+I13</f>
        <v/>
      </c>
      <c r="K13" s="285" t="n"/>
    </row>
    <row r="14" ht="19.95" customHeight="1" s="258">
      <c r="A14" s="281">
        <f>'明细表H10-2'!A16</f>
        <v/>
      </c>
      <c r="B14" s="282">
        <f>'明细表H10-2'!N16</f>
        <v/>
      </c>
      <c r="C14" s="282">
        <f>'明细表H10-2'!O16</f>
        <v/>
      </c>
      <c r="D14" s="282">
        <f>'明细表H10-2'!P16</f>
        <v/>
      </c>
      <c r="E14" s="282">
        <f>B14+C14+D14</f>
        <v/>
      </c>
      <c r="F14" s="283" t="inlineStr">
        <is>
          <t>H10-2</t>
        </is>
      </c>
      <c r="G14" s="282">
        <f>'明细表H10-2'!U16</f>
        <v/>
      </c>
      <c r="H14" s="282">
        <f>'明细表H10-2'!V16</f>
        <v/>
      </c>
      <c r="I14" s="282">
        <f>'明细表H10-2'!W16</f>
        <v/>
      </c>
      <c r="J14" s="284">
        <f>G14+H14+I14</f>
        <v/>
      </c>
      <c r="K14" s="285" t="n"/>
    </row>
    <row r="15" ht="19.95" customFormat="1" customHeight="1" s="6">
      <c r="A15" s="285" t="inlineStr">
        <is>
          <t>合计</t>
        </is>
      </c>
      <c r="B15" s="284">
        <f>SUM(B6:B14)</f>
        <v/>
      </c>
      <c r="C15" s="284">
        <f>SUM(C6:C14)</f>
        <v/>
      </c>
      <c r="D15" s="284">
        <f>SUM(D6:D14)</f>
        <v/>
      </c>
      <c r="E15" s="284">
        <f>SUM(E6:E14)</f>
        <v/>
      </c>
      <c r="F15" s="285" t="n"/>
      <c r="G15" s="284">
        <f>SUM(G6:G14)</f>
        <v/>
      </c>
      <c r="H15" s="284">
        <f>SUM(H6:H14)</f>
        <v/>
      </c>
      <c r="I15" s="284">
        <f>SUM(I6:I14)</f>
        <v/>
      </c>
      <c r="J15" s="284">
        <f>SUM(J6:J14)</f>
        <v/>
      </c>
      <c r="K15" s="285" t="n"/>
    </row>
    <row r="16" ht="19.95" customHeight="1" s="258">
      <c r="A16" s="286" t="inlineStr">
        <is>
          <t>试算平衡表数（TB 6115净发生额=贷-借）</t>
        </is>
      </c>
      <c r="B16" s="49" t="n"/>
      <c r="C16" s="49" t="n"/>
      <c r="D16" s="49" t="n"/>
      <c r="E16" s="287" t="n"/>
      <c r="F16" s="49" t="n"/>
      <c r="G16" s="49" t="n"/>
      <c r="H16" s="49" t="n"/>
      <c r="I16" s="49" t="n"/>
      <c r="J16" s="287" t="n"/>
    </row>
    <row r="17" ht="19.95" customHeight="1" s="258">
      <c r="A17" s="286" t="inlineStr">
        <is>
          <t>差异数</t>
        </is>
      </c>
      <c r="B17" s="49" t="n"/>
      <c r="C17" s="49" t="n"/>
      <c r="D17" s="49" t="n"/>
      <c r="E17" s="288">
        <f>E15-E16</f>
        <v/>
      </c>
      <c r="F17" s="49" t="n"/>
      <c r="G17" s="49" t="n"/>
      <c r="H17" s="49" t="n"/>
      <c r="I17" s="49" t="n"/>
      <c r="J17" s="288">
        <f>J15-J16</f>
        <v/>
      </c>
    </row>
    <row r="18" ht="19.95" customHeight="1" s="258">
      <c r="A18" s="47" t="inlineStr">
        <is>
          <t>提示：</t>
        </is>
      </c>
    </row>
    <row r="19" ht="32.4" customHeight="1" s="258">
      <c r="A19" s="229" t="inlineStr">
        <is>
          <t>1.关注非经常性损益列报的正确性。非经常性损益是指公司发生的与生产经营无直接关系，以及虽与生产经营相关，但由于其性质、金额或发生频率，影响了真实、公允地评价公司当期经营成果和获利能力的各项收入、支出，通常企业固定资产或长期资产的处置收益或损失、债务重组损益、资产置换损益等应列报为非经常性损益。</t>
        </is>
      </c>
    </row>
    <row r="20" ht="19.95" customHeight="1" s="258">
      <c r="A20" s="228" t="inlineStr">
        <is>
          <t>2.新债务重组准则下，不再区分资产转让损益与债务重组损益。3.使用权资产、油气资产处置损益计入6115；投资性房地产、金融工具、长期股权投资处置不通过本科目。4.本期审定数应与明细表H10-2期末审定合计、检查表抽查总体勾稽；差异数非0须说明或调整。</t>
        </is>
      </c>
    </row>
  </sheetData>
  <mergeCells count="4">
    <mergeCell ref="A19:K19"/>
    <mergeCell ref="A1:K1"/>
    <mergeCell ref="A2:K2"/>
    <mergeCell ref="A20:K20"/>
  </mergeCells>
  <conditionalFormatting sqref="E17">
    <cfRule type="cellIs" priority="1" operator="notEqual" dxfId="2">
      <formula>0</formula>
    </cfRule>
  </conditionalFormatting>
  <conditionalFormatting sqref="J17">
    <cfRule type="cellIs" priority="2" operator="notEqual" dxfId="2">
      <formula>0</formula>
    </cfRule>
  </conditionalFormatting>
  <hyperlinks>
    <hyperlink ref="K3" location="底稿目录!A1" display="H10"/>
  </hyperlinks>
  <printOptions horizontalCentered="1"/>
  <pageMargins left="0.7086614173228347" right="0.7086614173228347" top="0.7480314960629921" bottom="0.7480314960629921" header="0.3149606299212598" footer="0.3149606299212598"/>
  <pageSetup orientation="landscape" paperSize="9" scale="75" blackAndWhite="1"/>
  <headerFooter alignWithMargins="0">
    <oddHeader/>
    <oddFooter>&amp;C&amp;P/&amp;N</oddFooter>
    <evenHeader/>
    <evenFooter/>
    <firstHeader/>
    <firstFooter/>
  </headerFooter>
</worksheet>
</file>

<file path=xl/worksheets/sheet4.xml><?xml version="1.0" encoding="utf-8"?>
<worksheet xmlns="http://schemas.openxmlformats.org/spreadsheetml/2006/main">
  <sheetPr codeName="Sheet3">
    <outlinePr summaryBelow="1" summaryRight="1"/>
    <pageSetUpPr fitToPage="1"/>
  </sheetPr>
  <dimension ref="A1:Q32"/>
  <sheetViews>
    <sheetView view="pageBreakPreview" zoomScaleNormal="100" zoomScaleSheetLayoutView="100" workbookViewId="0">
      <selection activeCell="A1" sqref="A1:E1"/>
    </sheetView>
  </sheetViews>
  <sheetFormatPr baseColWidth="8" defaultColWidth="9" defaultRowHeight="13.8"/>
  <cols>
    <col width="36.5" customWidth="1" style="183" min="1" max="1"/>
    <col width="15.3984375" customWidth="1" style="183" min="2" max="5"/>
    <col width="9" customWidth="1" style="183" min="6" max="16384"/>
  </cols>
  <sheetData>
    <row r="1" ht="20.1" customFormat="1" customHeight="1" s="29">
      <c r="A1" s="236" t="inlineStr">
        <is>
          <t>致同会计师事务所</t>
        </is>
      </c>
      <c r="F1" s="31" t="n"/>
      <c r="G1" s="31" t="n"/>
      <c r="H1" s="31" t="n"/>
      <c r="I1" s="31" t="n"/>
      <c r="J1" s="31" t="n"/>
      <c r="K1" s="31" t="n"/>
      <c r="L1" s="31" t="n"/>
      <c r="M1" s="31" t="n"/>
      <c r="N1" s="31" t="n"/>
      <c r="O1" s="31" t="n"/>
      <c r="P1" s="31" t="n"/>
      <c r="Q1" s="31" t="n"/>
    </row>
    <row r="2" ht="25.05" customFormat="1" customHeight="1" s="1">
      <c r="A2" s="231" t="inlineStr">
        <is>
          <t>资产处置损益附注披露信息</t>
        </is>
      </c>
      <c r="F2" s="42" t="n"/>
      <c r="G2" s="42" t="n"/>
      <c r="H2" s="42" t="n"/>
      <c r="I2" s="42" t="n"/>
      <c r="J2" s="42" t="n"/>
      <c r="K2" s="236" t="n"/>
    </row>
    <row r="3" ht="20.1" customHeight="1" s="258">
      <c r="A3" s="183">
        <f>底稿目录!A2</f>
        <v/>
      </c>
      <c r="B3" s="183">
        <f>底稿目录!A4</f>
        <v/>
      </c>
      <c r="C3" s="183">
        <f>底稿目录!A6</f>
        <v/>
      </c>
      <c r="D3" s="183" t="n"/>
      <c r="E3" s="143" t="inlineStr">
        <is>
          <t>索引号：</t>
        </is>
      </c>
      <c r="F3" s="133" t="inlineStr">
        <is>
          <t>返回目录</t>
        </is>
      </c>
      <c r="O3" s="183" t="n"/>
      <c r="P3" s="183" t="n"/>
      <c r="Q3" s="183" t="n"/>
    </row>
    <row r="4" ht="20.1" customHeight="1" s="258">
      <c r="A4" s="183">
        <f>底稿目录!A3</f>
        <v/>
      </c>
      <c r="B4" s="183">
        <f>底稿目录!A5</f>
        <v/>
      </c>
      <c r="C4" s="183">
        <f>底稿目录!A7</f>
        <v/>
      </c>
      <c r="D4" s="183" t="n"/>
      <c r="E4" s="143" t="inlineStr">
        <is>
          <t>页  次：</t>
        </is>
      </c>
      <c r="H4" s="183" t="n"/>
      <c r="O4" s="183" t="n"/>
      <c r="P4" s="183" t="n"/>
      <c r="Q4" s="183" t="n"/>
    </row>
    <row r="5" ht="20.1" customHeight="1" s="258">
      <c r="A5" s="30" t="inlineStr">
        <is>
          <t>附注披露信息（上市公司）：</t>
        </is>
      </c>
    </row>
    <row r="6" ht="15.6" customFormat="1" customHeight="1" s="43">
      <c r="A6" s="183" t="n"/>
      <c r="B6" s="183" t="n"/>
      <c r="C6" s="183" t="n"/>
      <c r="D6" s="183" t="n"/>
    </row>
    <row r="7" ht="16.2" customFormat="1" customHeight="1" s="43" thickBot="1">
      <c r="A7" s="55" t="inlineStr">
        <is>
          <t>74、资产处置收益（损失以“-”填列）（注：以下不存在的项目可以删除）</t>
        </is>
      </c>
      <c r="B7" s="183" t="n"/>
      <c r="C7" s="183" t="n"/>
      <c r="D7" s="183" t="n"/>
    </row>
    <row r="8" ht="16.2" customFormat="1" customHeight="1" s="43" thickBot="1">
      <c r="A8" s="56" t="inlineStr">
        <is>
          <t>项  目</t>
        </is>
      </c>
      <c r="B8" s="57" t="inlineStr">
        <is>
          <t>本期发生额</t>
        </is>
      </c>
      <c r="C8" s="57" t="inlineStr">
        <is>
          <t>上期发生额</t>
        </is>
      </c>
      <c r="D8" s="183" t="n"/>
    </row>
    <row r="9" ht="28.8" customFormat="1" customHeight="1" s="43">
      <c r="A9" s="58" t="inlineStr">
        <is>
          <t>持有待售的非流动资产（处置组）处置利得（损失以“-”填列）</t>
        </is>
      </c>
      <c r="B9" s="59">
        <f>'审定表H10-1'!E6</f>
        <v/>
      </c>
      <c r="C9" s="59">
        <f>'审定表H10-1'!J6</f>
        <v/>
      </c>
      <c r="D9" s="183" t="n"/>
    </row>
    <row r="10" ht="40.5" customFormat="1" customHeight="1" s="43">
      <c r="A10" s="58" t="inlineStr">
        <is>
          <t>固定资产处置利得（损失以“-”填列）</t>
        </is>
      </c>
      <c r="B10" s="59">
        <f>'审定表H10-1'!E7</f>
        <v/>
      </c>
      <c r="C10" s="59">
        <f>'审定表H10-1'!J7</f>
        <v/>
      </c>
      <c r="D10" s="183" t="n"/>
    </row>
    <row r="11" ht="15.6" customFormat="1" customHeight="1" s="43">
      <c r="A11" s="58" t="inlineStr">
        <is>
          <t>在建工程处置利得（损失以“-”填列）</t>
        </is>
      </c>
      <c r="B11" s="59">
        <f>'审定表H10-1'!E8</f>
        <v/>
      </c>
      <c r="C11" s="59">
        <f>'审定表H10-1'!J8</f>
        <v/>
      </c>
      <c r="D11" s="183" t="n"/>
    </row>
    <row r="12" ht="28.8" customFormat="1" customHeight="1" s="43">
      <c r="A12" s="58" t="inlineStr">
        <is>
          <t>生产性生物资产处置利得（损失以“-”填列）</t>
        </is>
      </c>
      <c r="B12" s="59">
        <f>'审定表H10-1'!E9</f>
        <v/>
      </c>
      <c r="C12" s="59">
        <f>'审定表H10-1'!J9</f>
        <v/>
      </c>
      <c r="D12" s="183" t="n"/>
    </row>
    <row r="13" ht="15.6" customFormat="1" customHeight="1" s="43">
      <c r="A13" s="58" t="inlineStr">
        <is>
          <t>无形资产处置利得（损失以“-”填列）</t>
        </is>
      </c>
      <c r="B13" s="59">
        <f>'审定表H10-1'!E10</f>
        <v/>
      </c>
      <c r="C13" s="59">
        <f>'审定表H10-1'!J10</f>
        <v/>
      </c>
      <c r="D13" s="183" t="n"/>
    </row>
    <row r="14" ht="28.8" customFormat="1" customHeight="1" s="43">
      <c r="A14" s="318" t="inlineStr">
        <is>
          <t>债务重组中因处置非流动资产产生的利得（损失以"-"填列）</t>
        </is>
      </c>
      <c r="B14" s="319">
        <f>'审定表H10-1'!E11</f>
        <v/>
      </c>
      <c r="C14" s="0">
        <f>'审定表H10-1'!J11</f>
        <v/>
      </c>
    </row>
    <row r="15" ht="15.6" customFormat="1" customHeight="1" s="43">
      <c r="A15" s="58" t="inlineStr">
        <is>
          <t>非货币性资产交换产生的利得（损失以“-”填列）</t>
        </is>
      </c>
      <c r="B15" s="59">
        <f>'审定表H10-1'!E12</f>
        <v/>
      </c>
      <c r="C15" s="59">
        <f>'审定表H10-1'!J12</f>
        <v/>
      </c>
      <c r="D15" s="183" t="n"/>
    </row>
    <row r="16" ht="16.2" customFormat="1" customHeight="1" s="43" thickBot="1">
      <c r="A16" s="318" t="inlineStr">
        <is>
          <t>使用权资产处置利得（损失以"-"填列）</t>
        </is>
      </c>
      <c r="B16" s="319">
        <f>'审定表H10-1'!E13</f>
        <v/>
      </c>
      <c r="C16" s="0">
        <f>'审定表H10-1'!J13</f>
        <v/>
      </c>
    </row>
    <row r="17" ht="15" customHeight="1" s="258" thickBot="1">
      <c r="A17" s="318" t="inlineStr">
        <is>
          <t>油气资产处置利得（损失以"-"填列）</t>
        </is>
      </c>
      <c r="B17" s="319">
        <f>'审定表H10-1'!E14</f>
        <v/>
      </c>
      <c r="C17" s="0">
        <f>'审定表H10-1'!J14</f>
        <v/>
      </c>
    </row>
    <row r="18">
      <c r="A18" s="60" t="inlineStr">
        <is>
          <t>试运行销售损益</t>
        </is>
      </c>
      <c r="B18" s="59" t="n"/>
      <c r="C18" s="59" t="n"/>
      <c r="D18" s="183" t="n"/>
    </row>
    <row r="19" ht="15.6" customHeight="1" s="258">
      <c r="A19" s="63" t="inlineStr">
        <is>
          <t>合  计</t>
        </is>
      </c>
      <c r="B19" s="64">
        <f>SUM(B9:B18)</f>
        <v/>
      </c>
      <c r="C19" s="64">
        <f>SUM(C9:C18)</f>
        <v/>
      </c>
    </row>
    <row r="20" ht="45.6" customHeight="1" s="258"/>
    <row r="21" ht="45.6" customHeight="1" s="258">
      <c r="A21" s="65" t="inlineStr">
        <is>
          <t>【提示：</t>
        </is>
      </c>
      <c r="B21" s="0" t="n"/>
      <c r="C21" s="0" t="n"/>
      <c r="D21" s="0" t="n"/>
      <c r="E21" s="0" t="n"/>
    </row>
    <row r="22" ht="45.6" customHeight="1" s="258">
      <c r="A22" s="232" t="inlineStr">
        <is>
          <t>1.对于不构成业务的资产组的处置收益，无论直接出售还是先持有待售再出售，均整体计入资产处置收益，与资产组相关的其他综合收益转入资产处置收益。</t>
        </is>
      </c>
      <c r="B22" s="0" t="n"/>
      <c r="C22" s="0" t="n"/>
      <c r="D22" s="0" t="n"/>
      <c r="E22" s="0" t="n"/>
    </row>
    <row r="23" ht="16.2" customHeight="1" s="258">
      <c r="A23" s="232" t="inlineStr">
        <is>
          <t>2.对于业务（包括子公司和分公司）处置的收益，无论直接出售还是先持有待售再出售，均整体计入投资收益，与业务相关的其他综合收益同时转入投资收益。</t>
        </is>
      </c>
      <c r="B23" s="0" t="n"/>
      <c r="C23" s="0" t="n"/>
      <c r="D23" s="0" t="n"/>
      <c r="E23" s="0" t="n"/>
    </row>
    <row r="24" ht="94.8" customHeight="1" s="258" thickBot="1">
      <c r="A24" s="232" t="inlineStr">
        <is>
          <t>3.单项的投资性房地产的处置，无论是直接出售还是先划分为持有待售资产再出售，处置损益均计入“其他业务收入/成本”，不计入“资产处置收益”。4.使用权资产、油气资产处置损益计入资产处置收益；不适用项目可删除对应行。】</t>
        </is>
      </c>
      <c r="B24" s="0" t="n"/>
      <c r="C24" s="0" t="n"/>
      <c r="D24" s="0" t="n"/>
      <c r="E24" s="0" t="n"/>
    </row>
    <row r="25" ht="16.2" customHeight="1" s="258" thickBot="1">
      <c r="A25" s="54" t="inlineStr">
        <is>
          <t>（1）试运行销售损益</t>
        </is>
      </c>
    </row>
    <row r="26" ht="16.2" customHeight="1" s="258" thickBot="1">
      <c r="A26" s="0" t="n"/>
      <c r="B26" s="0" t="n"/>
      <c r="C26" s="0" t="n"/>
      <c r="D26" s="0" t="n"/>
      <c r="E26" s="0" t="n"/>
    </row>
    <row r="27" ht="15.6" customHeight="1" s="258">
      <c r="A27" s="289" t="inlineStr">
        <is>
          <t>项  目</t>
        </is>
      </c>
      <c r="B27" s="235" t="inlineStr">
        <is>
          <t>本期发生额</t>
        </is>
      </c>
      <c r="C27" s="290" t="n"/>
      <c r="D27" s="235" t="inlineStr">
        <is>
          <t>上期发生额</t>
        </is>
      </c>
      <c r="E27" s="290" t="n"/>
    </row>
    <row r="28" ht="16.2" customHeight="1" s="258" thickBot="1">
      <c r="A28" s="291" t="n"/>
      <c r="B28" s="66" t="inlineStr">
        <is>
          <t>收入</t>
        </is>
      </c>
      <c r="C28" s="67" t="inlineStr">
        <is>
          <t>成本</t>
        </is>
      </c>
      <c r="D28" s="66" t="inlineStr">
        <is>
          <t>收入</t>
        </is>
      </c>
      <c r="E28" s="66" t="inlineStr">
        <is>
          <t>成本</t>
        </is>
      </c>
    </row>
    <row r="29" ht="16.8" customHeight="1" s="258" thickBot="1">
      <c r="A29" s="68" t="inlineStr">
        <is>
          <t>固定资产试运行销售</t>
        </is>
      </c>
      <c r="B29" s="69" t="n"/>
      <c r="C29" s="69" t="n"/>
      <c r="D29" s="69" t="n"/>
      <c r="E29" s="69" t="n"/>
    </row>
    <row r="30" ht="15.6" customHeight="1" s="258">
      <c r="A30" s="70" t="inlineStr">
        <is>
          <t>研发样品销售</t>
        </is>
      </c>
      <c r="B30" s="71" t="n"/>
      <c r="C30" s="71" t="n"/>
      <c r="D30" s="71" t="n"/>
      <c r="E30" s="71" t="n"/>
    </row>
    <row r="31">
      <c r="A31" s="234" t="inlineStr">
        <is>
          <t>合  计</t>
        </is>
      </c>
      <c r="B31" s="71" t="n"/>
      <c r="C31" s="71" t="n"/>
      <c r="D31" s="71" t="n"/>
      <c r="E31" s="71" t="n"/>
    </row>
    <row r="32">
      <c r="A32" s="65" t="inlineStr">
        <is>
          <t>（说明成本的具体核算方法。）</t>
        </is>
      </c>
    </row>
  </sheetData>
  <mergeCells count="10">
    <mergeCell ref="A21:E21"/>
    <mergeCell ref="D25:E25"/>
    <mergeCell ref="A20:E20"/>
    <mergeCell ref="A24:E24"/>
    <mergeCell ref="A2:E2"/>
    <mergeCell ref="B25:C25"/>
    <mergeCell ref="A25:A26"/>
    <mergeCell ref="A1:E1"/>
    <mergeCell ref="K2:Q2"/>
    <mergeCell ref="A22:E22"/>
  </mergeCells>
  <hyperlinks>
    <hyperlink ref="F3" location="底稿目录!A1" display="返回目录"/>
  </hyperlinks>
  <printOptions horizontalCentered="1"/>
  <pageMargins left="0.7086614173228347" right="0.7086614173228347" top="0.7480314960629921" bottom="0.7480314960629921" header="0.3149606299212598" footer="0.3149606299212598"/>
  <pageSetup orientation="portrait" paperSize="9" scale="83" fitToHeight="100" blackAndWhite="1" cellComments="atEnd"/>
</worksheet>
</file>

<file path=xl/worksheets/sheet5.xml><?xml version="1.0" encoding="utf-8"?>
<worksheet xmlns="http://schemas.openxmlformats.org/spreadsheetml/2006/main">
  <sheetPr codeName="Sheet7">
    <outlinePr summaryBelow="1" summaryRight="1"/>
    <pageSetUpPr/>
  </sheetPr>
  <dimension ref="A1:E25"/>
  <sheetViews>
    <sheetView view="pageBreakPreview" zoomScaleSheetLayoutView="100" workbookViewId="0">
      <selection activeCell="A1" sqref="A1:D1"/>
    </sheetView>
  </sheetViews>
  <sheetFormatPr baseColWidth="8" defaultColWidth="9" defaultRowHeight="15.6"/>
  <cols>
    <col width="31.296875" customWidth="1" style="43" min="1" max="2"/>
    <col width="26.19921875" customWidth="1" style="43" min="3" max="3"/>
    <col width="16" customWidth="1" style="43" min="4" max="4"/>
    <col width="9" customWidth="1" style="43" min="5" max="16384"/>
  </cols>
  <sheetData>
    <row r="1" ht="20.1" customHeight="1" s="258">
      <c r="A1" s="236" t="inlineStr">
        <is>
          <t>致同会计师事务所</t>
        </is>
      </c>
    </row>
    <row r="2" ht="25.05" customHeight="1" s="258">
      <c r="A2" s="231" t="inlineStr">
        <is>
          <t>资产处置损益附注披露信息</t>
        </is>
      </c>
    </row>
    <row r="3" ht="20.1" customHeight="1" s="258">
      <c r="A3" s="183">
        <f>底稿目录!A2</f>
        <v/>
      </c>
      <c r="B3" s="183">
        <f>底稿目录!A4</f>
        <v/>
      </c>
      <c r="C3" s="183">
        <f>底稿目录!A6</f>
        <v/>
      </c>
      <c r="D3" s="143" t="inlineStr">
        <is>
          <t>索引号：</t>
        </is>
      </c>
      <c r="E3" s="133" t="inlineStr">
        <is>
          <t>返回目录</t>
        </is>
      </c>
    </row>
    <row r="4" ht="20.1" customHeight="1" s="258">
      <c r="A4" s="183">
        <f>底稿目录!A3</f>
        <v/>
      </c>
      <c r="B4" s="183">
        <f>底稿目录!A5</f>
        <v/>
      </c>
      <c r="C4" s="183">
        <f>底稿目录!A7</f>
        <v/>
      </c>
      <c r="D4" s="143" t="inlineStr">
        <is>
          <t>页  次：</t>
        </is>
      </c>
      <c r="E4" s="183" t="n"/>
    </row>
    <row r="5" ht="20.1" customFormat="1" customHeight="1" s="53">
      <c r="A5" s="52" t="inlineStr">
        <is>
          <t>附注披露信息（国企）：</t>
        </is>
      </c>
      <c r="B5" s="52" t="n"/>
    </row>
    <row r="7" ht="16.2" customHeight="1" s="258" thickBot="1">
      <c r="A7" s="43" t="inlineStr">
        <is>
          <t>72、资产处置收益（损失以“-”号填列）（不适用的项目，删除）</t>
        </is>
      </c>
    </row>
    <row r="8" ht="29.4" customHeight="1" s="258" thickBot="1">
      <c r="A8" s="73" t="inlineStr">
        <is>
          <t>项  目</t>
        </is>
      </c>
      <c r="B8" s="74" t="inlineStr">
        <is>
          <t>本期发生额</t>
        </is>
      </c>
      <c r="C8" s="74" t="inlineStr">
        <is>
          <t>上期发生额</t>
        </is>
      </c>
      <c r="D8" s="74" t="inlineStr">
        <is>
          <t>计入当期非经常性损益的金额</t>
        </is>
      </c>
    </row>
    <row r="9" ht="28.8" customHeight="1" s="258">
      <c r="A9" s="75" t="inlineStr">
        <is>
          <t>持有待售的非流动资产（处置组）处置利得</t>
        </is>
      </c>
      <c r="B9" s="76">
        <f>'审定表H10-1'!E6</f>
        <v/>
      </c>
      <c r="C9" s="76">
        <f>'审定表H10-1'!J6</f>
        <v/>
      </c>
      <c r="D9" s="76">
        <f>B9</f>
        <v/>
      </c>
    </row>
    <row r="10">
      <c r="A10" s="75" t="inlineStr">
        <is>
          <t>固定资产处置利得</t>
        </is>
      </c>
      <c r="B10" s="76">
        <f>'审定表H10-1'!E7</f>
        <v/>
      </c>
      <c r="C10" s="76">
        <f>'审定表H10-1'!J7</f>
        <v/>
      </c>
      <c r="D10" s="76">
        <f>B10</f>
        <v/>
      </c>
    </row>
    <row r="11">
      <c r="A11" s="75" t="inlineStr">
        <is>
          <t>在建工程处置利得</t>
        </is>
      </c>
      <c r="B11" s="76">
        <f>'审定表H10-1'!E8</f>
        <v/>
      </c>
      <c r="C11" s="76">
        <f>'审定表H10-1'!J8</f>
        <v/>
      </c>
      <c r="D11" s="76">
        <f>B11</f>
        <v/>
      </c>
    </row>
    <row r="12">
      <c r="A12" s="75" t="inlineStr">
        <is>
          <t>生产性生物资产处置利得</t>
        </is>
      </c>
      <c r="B12" s="76">
        <f>'审定表H10-1'!E9</f>
        <v/>
      </c>
      <c r="C12" s="76">
        <f>'审定表H10-1'!J9</f>
        <v/>
      </c>
      <c r="D12" s="76">
        <f>B12</f>
        <v/>
      </c>
    </row>
    <row r="13">
      <c r="A13" s="75" t="inlineStr">
        <is>
          <t>无形资产处置利得</t>
        </is>
      </c>
      <c r="B13" s="76">
        <f>'审定表H10-1'!E10</f>
        <v/>
      </c>
      <c r="C13" s="76">
        <f>'审定表H10-1'!J10</f>
        <v/>
      </c>
      <c r="D13" s="76">
        <f>B13</f>
        <v/>
      </c>
    </row>
    <row r="14">
      <c r="A14" s="320" t="inlineStr">
        <is>
          <t>债务重组中因处置非流动资产产生的利得</t>
        </is>
      </c>
      <c r="B14" s="0">
        <f>'审定表H10-1'!E11</f>
        <v/>
      </c>
      <c r="C14" s="0">
        <f>'审定表H10-1'!J11</f>
        <v/>
      </c>
      <c r="D14" s="0">
        <f>B14</f>
        <v/>
      </c>
    </row>
    <row r="15">
      <c r="A15" s="75" t="inlineStr">
        <is>
          <t>非货币性资产交换产生的利得</t>
        </is>
      </c>
      <c r="B15" s="76">
        <f>'审定表H10-1'!E12</f>
        <v/>
      </c>
      <c r="C15" s="76">
        <f>'审定表H10-1'!J12</f>
        <v/>
      </c>
      <c r="D15" s="76">
        <f>B15</f>
        <v/>
      </c>
    </row>
    <row r="16" ht="16.2" customHeight="1" s="258" thickBot="1">
      <c r="A16" s="320" t="inlineStr">
        <is>
          <t>使用权资产处置利得</t>
        </is>
      </c>
      <c r="B16" s="0">
        <f>'审定表H10-1'!E13</f>
        <v/>
      </c>
      <c r="C16" s="0">
        <f>'审定表H10-1'!J13</f>
        <v/>
      </c>
      <c r="D16" s="0">
        <f>B16</f>
        <v/>
      </c>
    </row>
    <row r="17" ht="16.2" customHeight="1" s="258" thickBot="1">
      <c r="A17" s="320" t="inlineStr">
        <is>
          <t>油气资产处置利得</t>
        </is>
      </c>
      <c r="B17" s="0">
        <f>'审定表H10-1'!E14</f>
        <v/>
      </c>
      <c r="C17" s="0">
        <f>'审定表H10-1'!J14</f>
        <v/>
      </c>
      <c r="D17" s="0">
        <f>B17</f>
        <v/>
      </c>
    </row>
    <row r="18">
      <c r="A18" s="81" t="inlineStr">
        <is>
          <t>试运行销售损益</t>
        </is>
      </c>
      <c r="B18" s="76" t="n"/>
      <c r="C18" s="76" t="n"/>
      <c r="D18" s="76" t="n"/>
    </row>
    <row r="19" ht="74.40000000000001" customHeight="1" s="258">
      <c r="A19" s="77" t="n"/>
      <c r="B19" s="291" t="n"/>
      <c r="C19" s="291" t="n"/>
      <c r="D19" s="291" t="n"/>
    </row>
    <row r="20" ht="48" customHeight="1" s="258">
      <c r="A20" s="79" t="inlineStr">
        <is>
          <t>合  计</t>
        </is>
      </c>
      <c r="B20">
        <f>SUM(B9:B18)</f>
        <v/>
      </c>
      <c r="C20">
        <f>SUM(C9:C18)</f>
        <v/>
      </c>
      <c r="D20">
        <f>SUM(D9:D18)</f>
        <v/>
      </c>
    </row>
    <row r="21" ht="48" customHeight="1" s="258"/>
    <row r="22" ht="48" customHeight="1" s="258">
      <c r="A22" s="238" t="inlineStr">
        <is>
          <t>【提示：反映企业出售划分为持有待售的非流动资产（金融工具、长期股权投资和投资性房地产除外）或处置组时确认的处置利得或损失，以及处置未划分为持有待售的固定资产、在建工程、生产性生物资产及无形资产而产生的处置利得或损失。债务重组中因处置非流动资产产生的利得或损失和非货币性资产交换产生的利得或损失也包括在本项目内。该项目应根据在损益类科目新设置的“资产处置损益”科目的发生额分析填列；如为处置损失，以“-”号填列。】</t>
        </is>
      </c>
      <c r="B22" s="0" t="n"/>
      <c r="C22" s="0" t="n"/>
      <c r="D22" s="0" t="n"/>
    </row>
    <row r="23">
      <c r="A23" s="238" t="inlineStr">
        <is>
          <t>【提示：1、针对业务（包括子公司和分公司）处置，不论直接出售还是先持有待售再出售，相关处置损益均计入“投资收益”，相关OCI在处置完成时转入“投资收益”。</t>
        </is>
      </c>
      <c r="B23" s="0" t="n"/>
      <c r="C23" s="0" t="n"/>
      <c r="D23" s="0" t="n"/>
    </row>
    <row r="24">
      <c r="A24" s="238" t="inlineStr">
        <is>
          <t>2、不构成业务的资产组处置（资产包涵盖42号准则规范及不在42号准则规范的相关资产），除非该资产组仅包括金融工具和长投（其处置损益计入“投资收益”），无论直接出售还是先持有待售再出售，相关处置损益打包确认，均计入“资产处置收益”。与处置组相关的OCI也转入“资产处置收益”。</t>
        </is>
      </c>
      <c r="B24" s="0" t="n"/>
      <c r="C24" s="0" t="n"/>
      <c r="D24" s="0" t="n"/>
    </row>
    <row r="25">
      <c r="A25" s="238" t="inlineStr">
        <is>
          <t>3、单项的投资性房地产的处置，无论是直接出售还是先划分为持有待售资产再出售，处置损益均计入 “其他业务收入/成本”】</t>
        </is>
      </c>
      <c r="B25" s="0" t="n"/>
      <c r="C25" s="0" t="n"/>
      <c r="D25" s="0" t="n"/>
    </row>
  </sheetData>
  <mergeCells count="5">
    <mergeCell ref="A1:D1"/>
    <mergeCell ref="A22:D22"/>
    <mergeCell ref="A21:D21"/>
    <mergeCell ref="A19:D19"/>
    <mergeCell ref="A2:D2"/>
  </mergeCells>
  <hyperlinks>
    <hyperlink ref="E3" location="底稿目录!A1" display="返回目录"/>
  </hyperlinks>
  <pageMargins left="0.7086614173228347" right="0.7086614173228347" top="0.7480314960629921" bottom="0.7480314960629921" header="0.3149606299212598" footer="0.3149606299212598"/>
  <pageSetup orientation="portrait" paperSize="9" scale="59" blackAndWhite="1"/>
</worksheet>
</file>

<file path=xl/worksheets/sheet6.xml><?xml version="1.0" encoding="utf-8"?>
<worksheet xmlns="http://schemas.openxmlformats.org/spreadsheetml/2006/main">
  <sheetPr codeName="Sheet4">
    <outlinePr summaryBelow="1" summaryRight="1"/>
    <pageSetUpPr fitToPage="1"/>
  </sheetPr>
  <dimension ref="A1:Z36"/>
  <sheetViews>
    <sheetView view="pageBreakPreview" zoomScaleSheetLayoutView="100" workbookViewId="0">
      <selection activeCell="A1" sqref="A1:Z1"/>
    </sheetView>
  </sheetViews>
  <sheetFormatPr baseColWidth="8" defaultColWidth="9" defaultRowHeight="13.8"/>
  <cols>
    <col width="29.296875" customWidth="1" style="183" min="1" max="1"/>
    <col width="6.69921875" customWidth="1" style="183" min="2" max="13"/>
    <col width="9.296875" customWidth="1" style="183" min="14" max="17"/>
    <col width="10.59765625" customWidth="1" style="183" min="18" max="19"/>
    <col width="6.69921875" bestFit="1" customWidth="1" style="183" min="20" max="20"/>
    <col width="8.09765625" customWidth="1" style="183" min="21" max="24"/>
    <col width="6.5" customWidth="1" style="292" min="25" max="25"/>
    <col width="7.296875" customWidth="1" style="292" min="26" max="26"/>
    <col width="9" customWidth="1" style="183" min="27" max="16384"/>
  </cols>
  <sheetData>
    <row r="1" ht="20.1" customFormat="1" customHeight="1" s="1">
      <c r="A1" s="230" t="inlineStr">
        <is>
          <t>致同会计师事务所</t>
        </is>
      </c>
    </row>
    <row r="2" ht="25.05" customFormat="1" customHeight="1" s="139">
      <c r="A2" s="231" t="inlineStr">
        <is>
          <t>资产处置损益明细表</t>
        </is>
      </c>
    </row>
    <row r="3" ht="20.1" customHeight="1" s="258">
      <c r="A3" s="183">
        <f>底稿目录!A2</f>
        <v/>
      </c>
      <c r="C3" s="182" t="n"/>
      <c r="F3" s="183" t="n"/>
      <c r="J3" s="183">
        <f>底稿目录!A4</f>
        <v/>
      </c>
      <c r="P3" s="183">
        <f>底稿目录!A6</f>
        <v/>
      </c>
      <c r="U3" s="183" t="n"/>
      <c r="V3" s="183" t="n"/>
      <c r="W3" s="183" t="n"/>
      <c r="Y3" s="142" t="inlineStr">
        <is>
          <t>索引号：</t>
        </is>
      </c>
      <c r="Z3" s="293" t="inlineStr">
        <is>
          <t>H10-2</t>
        </is>
      </c>
    </row>
    <row r="4" ht="20.1" customHeight="1" s="258">
      <c r="A4" s="183">
        <f>底稿目录!A3</f>
        <v/>
      </c>
      <c r="C4" s="182" t="n"/>
      <c r="F4" s="183" t="n"/>
      <c r="J4" s="183">
        <f>底稿目录!A5</f>
        <v/>
      </c>
      <c r="P4" s="183">
        <f>底稿目录!A7</f>
        <v/>
      </c>
      <c r="U4" s="183" t="n"/>
      <c r="V4" s="183" t="n"/>
      <c r="W4" s="183" t="n"/>
      <c r="Y4" s="142" t="inlineStr">
        <is>
          <t>页  次：</t>
        </is>
      </c>
      <c r="Z4" s="292" t="n"/>
    </row>
    <row r="5" ht="31.2" customFormat="1" customHeight="1" s="183">
      <c r="A5" s="239" t="inlineStr">
        <is>
          <t>一、审计目标：1. 利润表中记录的资产处置损益已发生，且与被审计单位有关，已记录于恰当的账户；2. 所有应当记录的资产处置损益均已记录，所有应当包括在财务报表中的相关披露均已包括；
3. 与资产处置损益有关的金额及其他数据已恰当记录，相关披露已得到恰当计量和描述；4. 资产处置损益已记录于正确的会计期间。</t>
        </is>
      </c>
    </row>
    <row r="6" ht="20.1" customFormat="1" customHeight="1" s="183">
      <c r="A6" s="181" t="inlineStr">
        <is>
          <t>二、审计过程:</t>
        </is>
      </c>
      <c r="C6" s="182" t="n"/>
      <c r="F6" s="183" t="n"/>
      <c r="G6" s="183" t="n"/>
      <c r="L6" s="183" t="n"/>
      <c r="U6" s="183" t="n"/>
      <c r="V6" s="183" t="n"/>
      <c r="W6" s="183" t="n"/>
      <c r="X6" s="183" t="n"/>
      <c r="Y6" s="292" t="n"/>
      <c r="Z6" s="292" t="n"/>
    </row>
    <row r="7" ht="24" customFormat="1" customHeight="1" s="185">
      <c r="A7" s="36" t="inlineStr">
        <is>
          <t>项目</t>
        </is>
      </c>
      <c r="B7" s="36" t="inlineStr">
        <is>
          <t>1月</t>
        </is>
      </c>
      <c r="C7" s="36" t="inlineStr">
        <is>
          <t>2月</t>
        </is>
      </c>
      <c r="D7" s="36" t="inlineStr">
        <is>
          <t>3月</t>
        </is>
      </c>
      <c r="E7" s="36" t="inlineStr">
        <is>
          <t>4月</t>
        </is>
      </c>
      <c r="F7" s="36" t="inlineStr">
        <is>
          <t>5月</t>
        </is>
      </c>
      <c r="G7" s="36" t="inlineStr">
        <is>
          <t>6月</t>
        </is>
      </c>
      <c r="H7" s="36" t="inlineStr">
        <is>
          <t>7月</t>
        </is>
      </c>
      <c r="I7" s="36" t="inlineStr">
        <is>
          <t>8月</t>
        </is>
      </c>
      <c r="J7" s="36" t="inlineStr">
        <is>
          <t>9月</t>
        </is>
      </c>
      <c r="K7" s="36" t="inlineStr">
        <is>
          <t>10月</t>
        </is>
      </c>
      <c r="L7" s="36" t="inlineStr">
        <is>
          <t>11月</t>
        </is>
      </c>
      <c r="M7" s="36" t="inlineStr">
        <is>
          <t>12月</t>
        </is>
      </c>
      <c r="N7" s="36" t="inlineStr">
        <is>
          <t>本期合计</t>
        </is>
      </c>
      <c r="O7" s="37" t="inlineStr">
        <is>
          <t>账项调整</t>
        </is>
      </c>
      <c r="P7" s="37" t="inlineStr">
        <is>
          <t>重分类调整</t>
        </is>
      </c>
      <c r="Q7" s="37" t="inlineStr">
        <is>
          <t>期末审定数</t>
        </is>
      </c>
      <c r="R7" s="36" t="inlineStr">
        <is>
          <t>与相关科目勾稽</t>
        </is>
      </c>
      <c r="S7" s="36" t="inlineStr">
        <is>
          <t>与相关科目勾稽金额</t>
        </is>
      </c>
      <c r="T7" s="36" t="inlineStr">
        <is>
          <t>结构比</t>
        </is>
      </c>
      <c r="U7" s="36" t="inlineStr">
        <is>
          <t>上年同期发生数</t>
        </is>
      </c>
      <c r="V7" s="37" t="inlineStr">
        <is>
          <t>账项调整</t>
        </is>
      </c>
      <c r="W7" s="37" t="inlineStr">
        <is>
          <t>重分类调整</t>
        </is>
      </c>
      <c r="X7" s="37" t="inlineStr">
        <is>
          <t>上年同期审定数</t>
        </is>
      </c>
      <c r="Y7" s="262" t="inlineStr">
        <is>
          <t>结构比</t>
        </is>
      </c>
      <c r="Z7" s="262" t="inlineStr">
        <is>
          <t>增长比例</t>
        </is>
      </c>
    </row>
    <row r="8" ht="27.6" customHeight="1" s="258">
      <c r="A8" s="294" t="inlineStr">
        <is>
          <t>持有待售的非流动资产（处置组）处置利得（损失以“-”填列）</t>
        </is>
      </c>
      <c r="B8" s="295" t="n"/>
      <c r="C8" s="295" t="n"/>
      <c r="D8" s="295" t="n"/>
      <c r="E8" s="295" t="n"/>
      <c r="F8" s="295" t="n"/>
      <c r="G8" s="295" t="n"/>
      <c r="H8" s="295" t="n"/>
      <c r="I8" s="295" t="n"/>
      <c r="J8" s="295" t="n"/>
      <c r="K8" s="295" t="n"/>
      <c r="L8" s="295" t="n"/>
      <c r="M8" s="295" t="n"/>
      <c r="N8" s="284">
        <f>SUM(B8:M8)</f>
        <v/>
      </c>
      <c r="O8" s="295" t="n"/>
      <c r="P8" s="295" t="n"/>
      <c r="Q8" s="284">
        <f>N8+O8+P8</f>
        <v/>
      </c>
      <c r="R8" s="296" t="inlineStr">
        <is>
          <t>与持有待售相关底稿勾稽</t>
        </is>
      </c>
      <c r="S8" s="297" t="n"/>
      <c r="T8" s="128">
        <f>IF($Q$17=0,0,Q8/$Q$17)</f>
        <v/>
      </c>
      <c r="U8" s="295" t="n"/>
      <c r="V8" s="295" t="n"/>
      <c r="W8" s="295" t="n"/>
      <c r="X8" s="282">
        <f>U8+V8+W8</f>
        <v/>
      </c>
      <c r="Y8" s="128">
        <f>IF($X$17=0,0,X8/$X$17)</f>
        <v/>
      </c>
      <c r="Z8" s="128">
        <f>IF(AND(X8=0,Q8&gt;0),1,IF(AND(X8=0,Q8=0),0,(Q8-X8)/X8))</f>
        <v/>
      </c>
    </row>
    <row r="9" ht="19.95" customHeight="1" s="258">
      <c r="A9" s="294" t="inlineStr">
        <is>
          <t>固定资产处置利得（损失以“-”填列）</t>
        </is>
      </c>
      <c r="B9" s="295" t="n"/>
      <c r="C9" s="295" t="n"/>
      <c r="D9" s="295" t="n"/>
      <c r="E9" s="295" t="n"/>
      <c r="F9" s="295" t="n"/>
      <c r="G9" s="295" t="n"/>
      <c r="H9" s="295" t="n"/>
      <c r="I9" s="295" t="n"/>
      <c r="J9" s="295" t="n"/>
      <c r="K9" s="295" t="n"/>
      <c r="L9" s="295" t="n"/>
      <c r="M9" s="295" t="n"/>
      <c r="N9" s="284">
        <f>SUM(B9:M9)</f>
        <v/>
      </c>
      <c r="O9" s="295" t="n"/>
      <c r="P9" s="295" t="n"/>
      <c r="Q9" s="284">
        <f>N9+O9+P9</f>
        <v/>
      </c>
      <c r="R9" s="296" t="inlineStr">
        <is>
          <t>与H1固定资产处置/H6清理勾稽</t>
        </is>
      </c>
      <c r="S9" s="297" t="n"/>
      <c r="T9" s="83">
        <f>IF($Q$17=0,0,Q9/$Q$17)</f>
        <v/>
      </c>
      <c r="U9" s="295" t="n"/>
      <c r="V9" s="295" t="n"/>
      <c r="W9" s="295" t="n"/>
      <c r="X9" s="282">
        <f>U9+V9+W9</f>
        <v/>
      </c>
      <c r="Y9" s="83">
        <f>IF($X$17=0,0,X9/$X$17)</f>
        <v/>
      </c>
      <c r="Z9" s="128">
        <f>IF(AND(X9=0,Q9&gt;0),1,IF(AND(X9=0,Q9=0),0,(Q9-X9)/X9))</f>
        <v/>
      </c>
    </row>
    <row r="10" ht="19.95" customHeight="1" s="258">
      <c r="A10" s="294" t="inlineStr">
        <is>
          <t>在建工程处置利得（损失以“-”填列）</t>
        </is>
      </c>
      <c r="B10" s="295" t="n"/>
      <c r="C10" s="295" t="n"/>
      <c r="D10" s="295" t="n"/>
      <c r="E10" s="295" t="n"/>
      <c r="F10" s="295" t="n"/>
      <c r="G10" s="295" t="n"/>
      <c r="H10" s="295" t="n"/>
      <c r="I10" s="295" t="n"/>
      <c r="J10" s="295" t="n"/>
      <c r="K10" s="295" t="n"/>
      <c r="L10" s="295" t="n"/>
      <c r="M10" s="295" t="n"/>
      <c r="N10" s="284">
        <f>SUM(B10:M10)</f>
        <v/>
      </c>
      <c r="O10" s="295" t="n"/>
      <c r="P10" s="295" t="n"/>
      <c r="Q10" s="284">
        <f>N10+O10+P10</f>
        <v/>
      </c>
      <c r="R10" s="296" t="inlineStr">
        <is>
          <t>与H2在建工程处置勾稽</t>
        </is>
      </c>
      <c r="S10" s="297" t="n"/>
      <c r="T10" s="83">
        <f>IF($Q$17=0,0,Q10/$Q$17)</f>
        <v/>
      </c>
      <c r="U10" s="295" t="n"/>
      <c r="V10" s="295" t="n"/>
      <c r="W10" s="295" t="n"/>
      <c r="X10" s="282">
        <f>U10+V10+W10</f>
        <v/>
      </c>
      <c r="Y10" s="83">
        <f>IF($X$17=0,0,X10/$X$17)</f>
        <v/>
      </c>
      <c r="Z10" s="128">
        <f>IF(AND(X10=0,Q10&gt;0),1,IF(AND(X10=0,Q10=0),0,(Q10-X10)/X10))</f>
        <v/>
      </c>
    </row>
    <row r="11" ht="25.8" customHeight="1" s="258">
      <c r="A11" s="294" t="inlineStr">
        <is>
          <t>生产性生物资产处置利得（损失以“-”填列）</t>
        </is>
      </c>
      <c r="B11" s="295" t="n"/>
      <c r="C11" s="295" t="n"/>
      <c r="D11" s="295" t="n"/>
      <c r="E11" s="295" t="n"/>
      <c r="F11" s="295" t="n"/>
      <c r="G11" s="295" t="n"/>
      <c r="H11" s="295" t="n"/>
      <c r="I11" s="295" t="n"/>
      <c r="J11" s="295" t="n"/>
      <c r="K11" s="295" t="n"/>
      <c r="L11" s="295" t="n"/>
      <c r="M11" s="295" t="n"/>
      <c r="N11" s="284">
        <f>SUM(B11:M11)</f>
        <v/>
      </c>
      <c r="O11" s="295" t="n"/>
      <c r="P11" s="295" t="n"/>
      <c r="Q11" s="284">
        <f>N11+O11+P11</f>
        <v/>
      </c>
      <c r="R11" s="296" t="inlineStr">
        <is>
          <t>与H7生产性生物资产处置勾稽</t>
        </is>
      </c>
      <c r="S11" s="297" t="n"/>
      <c r="T11" s="83">
        <f>IF($Q$17=0,0,Q11/$Q$17)</f>
        <v/>
      </c>
      <c r="U11" s="295" t="n"/>
      <c r="V11" s="295" t="n"/>
      <c r="W11" s="295" t="n"/>
      <c r="X11" s="282">
        <f>U11+V11+W11</f>
        <v/>
      </c>
      <c r="Y11" s="83">
        <f>IF($X$17=0,0,X11/$X$17)</f>
        <v/>
      </c>
      <c r="Z11" s="128">
        <f>IF(AND(X11=0,Q11&gt;0),1,IF(AND(X11=0,Q11=0),0,(Q11-X11)/X11))</f>
        <v/>
      </c>
    </row>
    <row r="12" ht="19.95" customHeight="1" s="258">
      <c r="A12" s="294" t="inlineStr">
        <is>
          <t>无形资产处置利得（损失以“-”填列）</t>
        </is>
      </c>
      <c r="B12" s="295" t="n"/>
      <c r="C12" s="295" t="n"/>
      <c r="D12" s="295" t="n"/>
      <c r="E12" s="295" t="n"/>
      <c r="F12" s="295" t="n"/>
      <c r="G12" s="295" t="n"/>
      <c r="H12" s="295" t="n"/>
      <c r="I12" s="295" t="n"/>
      <c r="J12" s="295" t="n"/>
      <c r="K12" s="295" t="n"/>
      <c r="L12" s="295" t="n"/>
      <c r="M12" s="295" t="n"/>
      <c r="N12" s="284">
        <f>SUM(B12:M12)</f>
        <v/>
      </c>
      <c r="O12" s="295" t="n"/>
      <c r="P12" s="295" t="n"/>
      <c r="Q12" s="284">
        <f>N12+O12+P12</f>
        <v/>
      </c>
      <c r="R12" s="296" t="inlineStr">
        <is>
          <t>与H8无形资产处置勾稽</t>
        </is>
      </c>
      <c r="S12" s="297" t="n"/>
      <c r="T12" s="83">
        <f>IF($Q$17=0,0,Q12/$Q$17)</f>
        <v/>
      </c>
      <c r="U12" s="295" t="n"/>
      <c r="V12" s="295" t="n"/>
      <c r="W12" s="295" t="n"/>
      <c r="X12" s="282">
        <f>U12+V12+W12</f>
        <v/>
      </c>
      <c r="Y12" s="83">
        <f>IF($X$17=0,0,X12/$X$17)</f>
        <v/>
      </c>
      <c r="Z12" s="128">
        <f>IF(AND(X12=0,Q12&gt;0),1,IF(AND(X12=0,Q12=0),0,(Q12-X12)/X12))</f>
        <v/>
      </c>
    </row>
    <row r="13" ht="25.8" customHeight="1" s="258">
      <c r="A13" s="294" t="inlineStr">
        <is>
          <t>债务重组中因处置非流动资产产生的利得（损失以“-”填列）</t>
        </is>
      </c>
      <c r="B13" s="295" t="n"/>
      <c r="C13" s="295" t="n"/>
      <c r="D13" s="295" t="n"/>
      <c r="E13" s="295" t="n"/>
      <c r="F13" s="295" t="n"/>
      <c r="G13" s="295" t="n"/>
      <c r="H13" s="295" t="n"/>
      <c r="I13" s="295" t="n"/>
      <c r="J13" s="295" t="n"/>
      <c r="K13" s="295" t="n"/>
      <c r="L13" s="295" t="n"/>
      <c r="M13" s="295" t="n"/>
      <c r="N13" s="284">
        <f>SUM(B13:M13)</f>
        <v/>
      </c>
      <c r="O13" s="295" t="n"/>
      <c r="P13" s="295" t="n"/>
      <c r="Q13" s="284">
        <f>N13+O13+P13</f>
        <v/>
      </c>
      <c r="R13" s="296" t="inlineStr">
        <is>
          <t>与债务重组事项底稿勾稽（新准则下可并入对应资产类别）</t>
        </is>
      </c>
      <c r="S13" s="297" t="n"/>
      <c r="T13" s="83">
        <f>IF($Q$17=0,0,Q13/$Q$17)</f>
        <v/>
      </c>
      <c r="U13" s="295" t="n"/>
      <c r="V13" s="295" t="n"/>
      <c r="W13" s="295" t="n"/>
      <c r="X13" s="282">
        <f>U13+V13+W13</f>
        <v/>
      </c>
      <c r="Y13" s="83">
        <f>IF($X$17=0,0,X13/$X$17)</f>
        <v/>
      </c>
      <c r="Z13" s="128">
        <f>IF(AND(X13=0,Q13&gt;0),1,IF(AND(X13=0,Q13=0),0,(Q13-X13)/X13))</f>
        <v/>
      </c>
    </row>
    <row r="14" ht="25.8" customHeight="1" s="258">
      <c r="A14" s="294" t="inlineStr">
        <is>
          <t>非货币性资产交换产生的利得（损失以“-”填列）</t>
        </is>
      </c>
      <c r="B14" s="295" t="n"/>
      <c r="C14" s="295" t="n"/>
      <c r="D14" s="295" t="n"/>
      <c r="E14" s="295" t="n"/>
      <c r="F14" s="295" t="n"/>
      <c r="G14" s="295" t="n"/>
      <c r="H14" s="295" t="n"/>
      <c r="I14" s="295" t="n"/>
      <c r="J14" s="295" t="n"/>
      <c r="K14" s="295" t="n"/>
      <c r="L14" s="295" t="n"/>
      <c r="M14" s="295" t="n"/>
      <c r="N14" s="284">
        <f>SUM(B14:M14)</f>
        <v/>
      </c>
      <c r="O14" s="295" t="n"/>
      <c r="P14" s="295" t="n"/>
      <c r="Q14" s="284">
        <f>N14+O14+P14</f>
        <v/>
      </c>
      <c r="R14" s="296" t="inlineStr">
        <is>
          <t>与非货币性资产交换底稿勾稽</t>
        </is>
      </c>
      <c r="S14" s="297" t="n"/>
      <c r="T14" s="83">
        <f>IF($Q$17=0,0,Q14/$Q$17)</f>
        <v/>
      </c>
      <c r="U14" s="295" t="n"/>
      <c r="V14" s="295" t="n"/>
      <c r="W14" s="295" t="n"/>
      <c r="X14" s="282">
        <f>U14+V14+W14</f>
        <v/>
      </c>
      <c r="Y14" s="83">
        <f>IF($X$17=0,0,X14/$X$17)</f>
        <v/>
      </c>
      <c r="Z14" s="128">
        <f>IF(AND(X14=0,Q14&gt;0),1,IF(AND(X14=0,Q14=0),0,(Q14-X14)/X14))</f>
        <v/>
      </c>
    </row>
    <row r="15" ht="19.95" customHeight="1" s="258">
      <c r="A15" s="294" t="inlineStr">
        <is>
          <t>使用权资产处置利得（损失以"-"填列）</t>
        </is>
      </c>
      <c r="B15" s="295" t="n"/>
      <c r="C15" s="295" t="n"/>
      <c r="D15" s="295" t="n"/>
      <c r="E15" s="295" t="n"/>
      <c r="F15" s="295" t="n"/>
      <c r="G15" s="295" t="n"/>
      <c r="H15" s="295" t="n"/>
      <c r="I15" s="295" t="n"/>
      <c r="J15" s="295" t="n"/>
      <c r="K15" s="295" t="n"/>
      <c r="L15" s="295" t="n"/>
      <c r="M15" s="295" t="n"/>
      <c r="N15" s="284">
        <f>SUM(B15:M15)</f>
        <v/>
      </c>
      <c r="O15" s="295" t="n"/>
      <c r="P15" s="295" t="n"/>
      <c r="Q15" s="284">
        <f>N15+O15+P15</f>
        <v/>
      </c>
      <c r="R15" s="296" t="inlineStr">
        <is>
          <t>与使用权资产/租赁相关底稿勾稽</t>
        </is>
      </c>
      <c r="S15" s="297" t="n"/>
      <c r="T15" s="83">
        <f>IF($Q$17=0,0,Q15/$Q$17)</f>
        <v/>
      </c>
      <c r="U15" s="295" t="n"/>
      <c r="V15" s="295" t="n"/>
      <c r="W15" s="295" t="n"/>
      <c r="X15" s="282">
        <f>U15+V15+W15</f>
        <v/>
      </c>
      <c r="Y15" s="83">
        <f>IF($X$17=0,0,X15/$X$17)</f>
        <v/>
      </c>
      <c r="Z15" s="128">
        <f>IF(AND(X15=0,Q15&gt;0),1,IF(AND(X15=0,Q15=0),0,(Q15-X15)/X15))</f>
        <v/>
      </c>
    </row>
    <row r="16" ht="19.95" customHeight="1" s="258">
      <c r="A16" s="294" t="inlineStr">
        <is>
          <t>油气资产处置利得（损失以"-"填列）</t>
        </is>
      </c>
      <c r="B16" s="295" t="n"/>
      <c r="C16" s="295" t="n"/>
      <c r="D16" s="295" t="n"/>
      <c r="E16" s="295" t="n"/>
      <c r="F16" s="295" t="n"/>
      <c r="G16" s="295" t="n"/>
      <c r="H16" s="295" t="n"/>
      <c r="I16" s="295" t="n"/>
      <c r="J16" s="295" t="n"/>
      <c r="K16" s="295" t="n"/>
      <c r="L16" s="295" t="n"/>
      <c r="M16" s="295" t="n"/>
      <c r="N16" s="284">
        <f>SUM(B16:M16)</f>
        <v/>
      </c>
      <c r="O16" s="295" t="n"/>
      <c r="P16" s="295" t="n"/>
      <c r="Q16" s="284">
        <f>N16+O16+P16</f>
        <v/>
      </c>
      <c r="R16" s="296" t="inlineStr">
        <is>
          <t>与H5油气资产处置勾稽</t>
        </is>
      </c>
      <c r="S16" s="297" t="n"/>
      <c r="T16" s="83">
        <f>IF($Q$17=0,0,Q16/$Q$17)</f>
        <v/>
      </c>
      <c r="U16" s="295" t="n"/>
      <c r="V16" s="295" t="n"/>
      <c r="W16" s="295" t="n"/>
      <c r="X16" s="282">
        <f>U16+V16+W16</f>
        <v/>
      </c>
      <c r="Y16" s="83">
        <f>IF($X$17=0,0,X16/$X$17)</f>
        <v/>
      </c>
      <c r="Z16" s="128">
        <f>IF(AND(X16=0,Q16&gt;0),1,IF(AND(X16=0,Q16=0),0,(Q16-X16)/X16))</f>
        <v/>
      </c>
    </row>
    <row r="17" ht="19.95" customFormat="1" customHeight="1" s="190">
      <c r="A17" s="175" t="inlineStr">
        <is>
          <t>合计</t>
        </is>
      </c>
      <c r="B17" s="284">
        <f>SUM(B8:B16)</f>
        <v/>
      </c>
      <c r="C17" s="284">
        <f>SUM(C8:C16)</f>
        <v/>
      </c>
      <c r="D17" s="284">
        <f>SUM(D8:D16)</f>
        <v/>
      </c>
      <c r="E17" s="284">
        <f>SUM(E8:E16)</f>
        <v/>
      </c>
      <c r="F17" s="284">
        <f>SUM(F8:F16)</f>
        <v/>
      </c>
      <c r="G17" s="284">
        <f>SUM(G8:G16)</f>
        <v/>
      </c>
      <c r="H17" s="284">
        <f>SUM(H8:H16)</f>
        <v/>
      </c>
      <c r="I17" s="284">
        <f>SUM(I8:I16)</f>
        <v/>
      </c>
      <c r="J17" s="284">
        <f>SUM(J8:J16)</f>
        <v/>
      </c>
      <c r="K17" s="284">
        <f>SUM(K8:K16)</f>
        <v/>
      </c>
      <c r="L17" s="284">
        <f>SUM(L8:L16)</f>
        <v/>
      </c>
      <c r="M17" s="284">
        <f>SUM(M8:M16)</f>
        <v/>
      </c>
      <c r="N17" s="284">
        <f>SUM(N8:N16)</f>
        <v/>
      </c>
      <c r="O17" s="284">
        <f>SUM(O8:O16)</f>
        <v/>
      </c>
      <c r="P17" s="284">
        <f>SUM(P8:P16)</f>
        <v/>
      </c>
      <c r="Q17" s="284">
        <f>SUM(Q8:Q16)</f>
        <v/>
      </c>
      <c r="R17" s="298" t="n"/>
      <c r="S17" s="298" t="n"/>
      <c r="T17" s="189">
        <f>IF($Q$17=0,0,Q17/$Q$17)</f>
        <v/>
      </c>
      <c r="U17" s="284">
        <f>SUM(U8:U16)</f>
        <v/>
      </c>
      <c r="V17" s="284">
        <f>SUM(V8:V16)</f>
        <v/>
      </c>
      <c r="W17" s="284">
        <f>SUM(W8:W16)</f>
        <v/>
      </c>
      <c r="X17" s="284">
        <f>U17+V17+W17</f>
        <v/>
      </c>
      <c r="Y17" s="189">
        <f>IF($X$17=0,0,X17/$X$17)</f>
        <v/>
      </c>
      <c r="Z17" s="189">
        <f>IF(AND(X17=0,Q17&gt;0),1,IF(AND(X17=0,Q17=0),0,(Q17-X17)/X17))</f>
        <v/>
      </c>
    </row>
    <row r="18" ht="19.95" customFormat="1" customHeight="1" s="190">
      <c r="A18" s="175" t="inlineStr">
        <is>
          <t>各月比例</t>
        </is>
      </c>
      <c r="B18" s="83">
        <f>IF($N$17=0,0,B17/$N$17)</f>
        <v/>
      </c>
      <c r="C18" s="83">
        <f>IF($N$17=0,0,C17/$N$17)</f>
        <v/>
      </c>
      <c r="D18" s="83">
        <f>IF($N$17=0,0,D17/$N$17)</f>
        <v/>
      </c>
      <c r="E18" s="83">
        <f>IF($N$17=0,0,E17/$N$17)</f>
        <v/>
      </c>
      <c r="F18" s="83">
        <f>IF($N$17=0,0,F17/$N$17)</f>
        <v/>
      </c>
      <c r="G18" s="83">
        <f>IF($N$17=0,0,G17/$N$17)</f>
        <v/>
      </c>
      <c r="H18" s="83">
        <f>IF($N$17=0,0,H17/$N$17)</f>
        <v/>
      </c>
      <c r="I18" s="83">
        <f>IF($N$17=0,0,I17/$N$17)</f>
        <v/>
      </c>
      <c r="J18" s="83">
        <f>IF($N$17=0,0,J17/$N$17)</f>
        <v/>
      </c>
      <c r="K18" s="83">
        <f>IF($N$17=0,0,K17/$N$17)</f>
        <v/>
      </c>
      <c r="L18" s="83">
        <f>IF($N$17=0,0,L17/$N$17)</f>
        <v/>
      </c>
      <c r="M18" s="83">
        <f>IF($N$17=0,0,M17/$N$17)</f>
        <v/>
      </c>
      <c r="N18" s="84">
        <f>IF($N$17=0,0,N17/$N$17)</f>
        <v/>
      </c>
      <c r="O18" s="299" t="n"/>
      <c r="P18" s="299" t="n"/>
      <c r="Q18" s="299" t="n"/>
      <c r="R18" s="284" t="n"/>
      <c r="S18" s="284" t="n"/>
      <c r="T18" s="284" t="n"/>
      <c r="U18" s="284" t="n"/>
      <c r="V18" s="284" t="n"/>
      <c r="W18" s="284" t="n"/>
      <c r="X18" s="284" t="n"/>
      <c r="Y18" s="284" t="n"/>
      <c r="Z18" s="300" t="n"/>
    </row>
    <row r="19" ht="19.95" customHeight="1" s="258">
      <c r="A19" s="38" t="inlineStr">
        <is>
          <t>三、审计说明：</t>
        </is>
      </c>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301" t="n"/>
      <c r="Z19" s="301" t="n"/>
    </row>
    <row r="20" ht="19.95" customHeight="1" s="258">
      <c r="A20" s="302" t="inlineStr">
        <is>
          <t>（说明：1）与H1/H2/H5/H7/H8等来源底稿勾稽情况；2）月度波动及结构比异常原因；3）大额/关联方/亏损处置的进一步程序。）</t>
        </is>
      </c>
      <c r="B20" s="183" t="n"/>
      <c r="C20" s="183" t="n"/>
      <c r="D20" s="183" t="n"/>
      <c r="E20" s="183" t="n"/>
      <c r="F20" s="183" t="n"/>
      <c r="G20" s="183" t="n"/>
      <c r="H20" s="183" t="n"/>
      <c r="I20" s="183" t="n"/>
      <c r="J20" s="183" t="n"/>
      <c r="K20" s="183" t="n"/>
      <c r="L20" s="183" t="n"/>
      <c r="M20" s="183" t="n"/>
      <c r="N20" s="183" t="n"/>
      <c r="O20" s="183" t="n"/>
      <c r="P20" s="183" t="n"/>
      <c r="Q20" s="183" t="n"/>
      <c r="R20" s="183" t="n"/>
      <c r="S20" s="183" t="n"/>
      <c r="T20" s="183" t="n"/>
      <c r="U20" s="183" t="n"/>
      <c r="V20" s="183" t="n"/>
      <c r="W20" s="183" t="n"/>
      <c r="X20" s="183" t="n"/>
      <c r="Y20" s="292" t="n"/>
      <c r="Z20" s="292" t="n"/>
    </row>
    <row r="21" ht="19.95" customHeight="1" s="258">
      <c r="A21" s="183" t="n"/>
      <c r="B21" s="183" t="n"/>
      <c r="C21" s="183" t="n"/>
      <c r="D21" s="183" t="n"/>
      <c r="E21" s="183" t="n"/>
      <c r="F21" s="183" t="n"/>
      <c r="G21" s="183" t="n"/>
      <c r="H21" s="183" t="n"/>
      <c r="I21" s="183" t="n"/>
      <c r="J21" s="183" t="n"/>
      <c r="K21" s="183" t="n"/>
      <c r="L21" s="183" t="n"/>
      <c r="M21" s="183" t="n"/>
      <c r="N21" s="183" t="n"/>
      <c r="O21" s="183" t="n"/>
      <c r="P21" s="183" t="n"/>
      <c r="Q21" s="183" t="n"/>
      <c r="R21" s="183" t="n"/>
      <c r="S21" s="183" t="n"/>
      <c r="T21" s="183" t="n"/>
      <c r="U21" s="183" t="n"/>
      <c r="V21" s="183" t="n"/>
      <c r="W21" s="183" t="n"/>
      <c r="X21" s="183" t="n"/>
      <c r="Y21" s="292" t="n"/>
      <c r="Z21" s="292" t="n"/>
    </row>
    <row r="22" ht="19.95" customHeight="1" s="258">
      <c r="A22" s="30" t="inlineStr">
        <is>
          <t>四、审计结论：</t>
        </is>
      </c>
      <c r="B22" s="183" t="n"/>
      <c r="C22" s="183" t="n"/>
      <c r="D22" s="183" t="n"/>
      <c r="E22" s="183" t="n"/>
      <c r="F22" s="183" t="n"/>
      <c r="G22" s="183" t="n"/>
      <c r="H22" s="183" t="n"/>
      <c r="I22" s="183" t="n"/>
      <c r="J22" s="183" t="n"/>
      <c r="K22" s="183" t="n"/>
      <c r="L22" s="183" t="n"/>
      <c r="M22" s="183" t="n"/>
      <c r="N22" s="183" t="n"/>
      <c r="O22" s="183" t="n"/>
      <c r="P22" s="183" t="n"/>
      <c r="Q22" s="183" t="n"/>
      <c r="R22" s="183" t="n"/>
      <c r="S22" s="183" t="n"/>
      <c r="T22" s="183" t="n"/>
      <c r="U22" s="183" t="n"/>
      <c r="V22" s="183" t="n"/>
      <c r="W22" s="183" t="n"/>
      <c r="X22" s="183" t="n"/>
      <c r="Y22" s="292" t="n"/>
      <c r="Z22" s="292" t="n"/>
    </row>
    <row r="23" ht="19.95" customHeight="1" s="258">
      <c r="A23" s="183" t="n"/>
      <c r="B23" s="183" t="n"/>
      <c r="C23" s="183" t="n"/>
      <c r="D23" s="183" t="n"/>
      <c r="E23" s="183" t="n"/>
      <c r="F23" s="183" t="n"/>
      <c r="G23" s="183" t="n"/>
      <c r="H23" s="183" t="n"/>
      <c r="I23" s="183" t="n"/>
      <c r="J23" s="183" t="n"/>
      <c r="K23" s="183" t="n"/>
      <c r="L23" s="183" t="n"/>
      <c r="M23" s="183" t="n"/>
      <c r="N23" s="183" t="n"/>
      <c r="O23" s="183" t="n"/>
      <c r="P23" s="183" t="n"/>
      <c r="Q23" s="183" t="n"/>
      <c r="R23" s="183" t="n"/>
      <c r="S23" s="183" t="n"/>
      <c r="T23" s="183" t="n"/>
      <c r="U23" s="183" t="n"/>
      <c r="V23" s="183" t="n"/>
      <c r="W23" s="183" t="n"/>
      <c r="X23" s="183" t="n"/>
      <c r="Y23" s="292" t="n"/>
      <c r="Z23" s="292" t="n"/>
    </row>
    <row r="25" ht="22.2" customHeight="1" s="258">
      <c r="A25" s="211" t="inlineStr">
        <is>
          <t>提示：</t>
        </is>
      </c>
    </row>
    <row r="26" ht="16.8" customHeight="1" s="258">
      <c r="A26" s="210" t="inlineStr">
        <is>
          <t>根据《中国注册会计师审计准则问题解答第18号——识别和应对第三方配合实施财务舞弊》：如存在大额资产处置收益，关注是否存在被审计单位在第三方配合下，对资产进行虚假处置或虚增处置价格。另：月度结构比异常集中、与相关科目勾稽不一致时，应扩大检查并考虑调整。</t>
        </is>
      </c>
    </row>
    <row r="27">
      <c r="A27" s="303" t="n"/>
    </row>
    <row r="28">
      <c r="A28" s="303" t="n"/>
    </row>
    <row r="29">
      <c r="A29" s="303" t="n"/>
    </row>
    <row r="30">
      <c r="A30" s="304" t="n"/>
    </row>
    <row r="31">
      <c r="A31" s="304" t="n"/>
    </row>
    <row r="32">
      <c r="A32" s="116" t="n"/>
    </row>
    <row r="33">
      <c r="A33" s="116" t="n"/>
      <c r="B33" s="119" t="n"/>
      <c r="C33" s="118" t="n"/>
      <c r="D33" s="119" t="n"/>
      <c r="E33" s="119" t="n"/>
      <c r="F33" s="119" t="n"/>
      <c r="G33" s="119" t="n"/>
      <c r="H33" s="119" t="n"/>
      <c r="I33" s="119" t="n"/>
      <c r="J33" s="119" t="n"/>
      <c r="K33" s="119" t="n"/>
      <c r="L33" s="119" t="n"/>
      <c r="M33" s="119" t="n"/>
      <c r="O33" s="119" t="n"/>
      <c r="P33" s="119" t="n"/>
    </row>
    <row r="34">
      <c r="A34" s="116" t="n"/>
      <c r="B34" s="119" t="n"/>
      <c r="C34" s="118" t="n"/>
      <c r="D34" s="119" t="n"/>
      <c r="E34" s="119" t="n"/>
      <c r="F34" s="119" t="n"/>
      <c r="G34" s="119" t="n"/>
      <c r="H34" s="119" t="n"/>
      <c r="I34" s="119" t="n"/>
      <c r="J34" s="119" t="n"/>
      <c r="K34" s="119" t="n"/>
      <c r="L34" s="119" t="n"/>
      <c r="M34" s="119" t="n"/>
      <c r="O34" s="119" t="n"/>
      <c r="P34" s="119" t="n"/>
    </row>
    <row r="35">
      <c r="A35" s="116" t="n"/>
    </row>
    <row r="36">
      <c r="A36" s="116" t="n"/>
    </row>
  </sheetData>
  <mergeCells count="3">
    <mergeCell ref="A1:Z1"/>
    <mergeCell ref="A5:Z5"/>
    <mergeCell ref="A2:Z2"/>
  </mergeCells>
  <conditionalFormatting sqref="B18:M18">
    <cfRule type="cellIs" priority="1" operator="greaterThanOrEqual" dxfId="0" stopIfTrue="1">
      <formula>0.3</formula>
    </cfRule>
  </conditionalFormatting>
  <conditionalFormatting sqref="T9:T16 Y9:Y16">
    <cfRule type="cellIs" priority="2" operator="greaterThanOrEqual" dxfId="0" stopIfTrue="1">
      <formula>0.5</formula>
    </cfRule>
  </conditionalFormatting>
  <hyperlinks>
    <hyperlink ref="Z3" location="底稿目录!A1" display="H10-2"/>
  </hyperlinks>
  <printOptions horizontalCentered="1"/>
  <pageMargins left="0.7086614173228347" right="0.7086614173228347" top="0.7480314960629921" bottom="0.7480314960629921" header="0.3149606299212598" footer="0.3149606299212598"/>
  <pageSetup orientation="landscape" paperSize="9" scale="55" fitToHeight="100" blackAndWhite="1" cellComments="atEnd"/>
  <headerFooter>
    <oddHeader/>
    <oddFooter>&amp;C&amp;P/&amp;N</oddFooter>
    <evenHeader/>
    <evenFooter/>
    <firstHeader/>
    <firstFooter/>
  </headerFooter>
</worksheet>
</file>

<file path=xl/worksheets/sheet7.xml><?xml version="1.0" encoding="utf-8"?>
<worksheet xmlns="http://schemas.openxmlformats.org/spreadsheetml/2006/main">
  <sheetPr codeName="Sheet8">
    <outlinePr summaryBelow="1" summaryRight="1"/>
    <pageSetUpPr/>
  </sheetPr>
  <dimension ref="A1:J22"/>
  <sheetViews>
    <sheetView view="pageBreakPreview" zoomScaleNormal="100" zoomScaleSheetLayoutView="100" workbookViewId="0">
      <selection activeCell="A1" sqref="A1:J1"/>
    </sheetView>
  </sheetViews>
  <sheetFormatPr baseColWidth="8" defaultRowHeight="19.95" customHeight="1"/>
  <cols>
    <col width="17.8984375" bestFit="1" customWidth="1" style="90" min="1" max="1"/>
    <col width="13.796875" customWidth="1" style="90" min="2" max="2"/>
    <col width="11.09765625" customWidth="1" style="90" min="3" max="3"/>
    <col width="12.296875" customWidth="1" style="90" min="4" max="4"/>
    <col width="15.69921875" customWidth="1" style="90" min="5" max="5"/>
    <col width="8.796875" customWidth="1" style="90" min="6" max="6"/>
    <col width="11.19921875" customWidth="1" style="90" min="7" max="8"/>
    <col width="10.09765625" customWidth="1" style="90" min="9" max="9"/>
    <col width="15.59765625" customWidth="1" style="90" min="10" max="10"/>
    <col width="8.796875" customWidth="1" style="90" min="11" max="16384"/>
  </cols>
  <sheetData>
    <row r="1" ht="19.95" customHeight="1" s="258">
      <c r="A1" s="240" t="inlineStr">
        <is>
          <t>致同会计师事务所</t>
        </is>
      </c>
    </row>
    <row r="2" ht="19.95" customHeight="1" s="258">
      <c r="A2" s="241" t="inlineStr">
        <is>
          <t>资产处置损益调整分录汇总表</t>
        </is>
      </c>
    </row>
    <row r="3" ht="19.95" customHeight="1" s="258">
      <c r="A3" s="305">
        <f>底稿目录!A2</f>
        <v/>
      </c>
      <c r="B3" s="305" t="n"/>
      <c r="C3" s="305" t="n"/>
      <c r="D3" s="305">
        <f>底稿目录!A4</f>
        <v/>
      </c>
      <c r="E3" s="305" t="n"/>
      <c r="F3" s="306" t="n"/>
      <c r="G3" s="305">
        <f>底稿目录!A6</f>
        <v/>
      </c>
      <c r="H3" s="305" t="n"/>
      <c r="I3" s="142" t="inlineStr">
        <is>
          <t>索引号：</t>
        </is>
      </c>
      <c r="J3" s="307" t="inlineStr">
        <is>
          <t>H10-3</t>
        </is>
      </c>
    </row>
    <row r="4" ht="19.95" customHeight="1" s="258">
      <c r="A4" s="305">
        <f>底稿目录!A3</f>
        <v/>
      </c>
      <c r="B4" s="305" t="n"/>
      <c r="C4" s="305" t="n"/>
      <c r="D4" s="305">
        <f>底稿目录!A5</f>
        <v/>
      </c>
      <c r="E4" s="305" t="n"/>
      <c r="F4" s="306" t="n"/>
      <c r="G4" s="305">
        <f>底稿目录!A7</f>
        <v/>
      </c>
      <c r="H4" s="305" t="n"/>
      <c r="I4" s="142" t="inlineStr">
        <is>
          <t>页  次：</t>
        </is>
      </c>
      <c r="J4" s="306" t="n"/>
    </row>
    <row r="5" ht="27.6" customFormat="1" customHeight="1" s="104">
      <c r="A5" s="103" t="inlineStr">
        <is>
          <t>调整事项说明</t>
        </is>
      </c>
      <c r="B5" s="103" t="inlineStr">
        <is>
          <t>类别（账项调整AJE/重分类调整RJE/其他）</t>
        </is>
      </c>
      <c r="C5" s="103" t="inlineStr">
        <is>
          <t>报表项目</t>
        </is>
      </c>
      <c r="D5" s="88" t="inlineStr">
        <is>
          <t>科目名称</t>
        </is>
      </c>
      <c r="E5" s="88" t="inlineStr">
        <is>
          <t>附注项目</t>
        </is>
      </c>
      <c r="F5" s="51" t="inlineStr">
        <is>
          <t>对方科目</t>
        </is>
      </c>
      <c r="G5" s="88" t="inlineStr">
        <is>
          <t>借方调整金额</t>
        </is>
      </c>
      <c r="H5" s="88" t="inlineStr">
        <is>
          <t>贷方调整金额</t>
        </is>
      </c>
      <c r="I5" s="88" t="inlineStr">
        <is>
          <t>索引</t>
        </is>
      </c>
      <c r="J5" s="88" t="inlineStr">
        <is>
          <t>备注</t>
        </is>
      </c>
    </row>
    <row r="6" ht="19.95" customHeight="1" s="258">
      <c r="A6" s="89" t="n"/>
      <c r="B6" s="89" t="n"/>
      <c r="C6" s="89" t="n"/>
      <c r="D6" s="89" t="n"/>
      <c r="E6" s="89" t="n"/>
      <c r="F6" s="89" t="n"/>
      <c r="G6" s="308" t="n"/>
      <c r="H6" s="308" t="n"/>
      <c r="I6" s="89" t="n"/>
      <c r="J6" s="89" t="n"/>
    </row>
    <row r="7" ht="19.95" customHeight="1" s="258">
      <c r="A7" s="89" t="n"/>
      <c r="B7" s="89" t="n"/>
      <c r="C7" s="89" t="n"/>
      <c r="D7" s="89" t="n"/>
      <c r="E7" s="89" t="n"/>
      <c r="F7" s="89" t="n"/>
      <c r="G7" s="308" t="n"/>
      <c r="H7" s="308" t="n"/>
      <c r="I7" s="89" t="n"/>
      <c r="J7" s="89" t="n"/>
    </row>
    <row r="8" ht="19.95" customHeight="1" s="258">
      <c r="A8" s="89" t="n"/>
      <c r="B8" s="89" t="n"/>
      <c r="C8" s="89" t="n"/>
      <c r="D8" s="89" t="n"/>
      <c r="E8" s="89" t="n"/>
      <c r="F8" s="89" t="n"/>
      <c r="G8" s="308" t="n"/>
      <c r="H8" s="308" t="n"/>
      <c r="I8" s="89" t="n"/>
      <c r="J8" s="89" t="n"/>
    </row>
    <row r="9" ht="19.95" customHeight="1" s="258">
      <c r="A9" s="89" t="n"/>
      <c r="B9" s="89" t="n"/>
      <c r="C9" s="89" t="n"/>
      <c r="D9" s="89" t="n"/>
      <c r="E9" s="89" t="n"/>
      <c r="F9" s="89" t="n"/>
      <c r="G9" s="308" t="n"/>
      <c r="H9" s="308" t="n"/>
      <c r="I9" s="89" t="n"/>
      <c r="J9" s="89" t="n"/>
    </row>
    <row r="10" ht="19.95" customHeight="1" s="258">
      <c r="A10" s="89" t="n"/>
      <c r="B10" s="89" t="n"/>
      <c r="C10" s="89" t="n"/>
      <c r="D10" s="89" t="n"/>
      <c r="E10" s="89" t="n"/>
      <c r="F10" s="89" t="n"/>
      <c r="G10" s="308" t="n"/>
      <c r="H10" s="308" t="n"/>
      <c r="I10" s="89" t="n"/>
      <c r="J10" s="89" t="n"/>
    </row>
    <row r="11" ht="19.95" customHeight="1" s="258">
      <c r="A11" s="89" t="n"/>
      <c r="B11" s="89" t="n"/>
      <c r="C11" s="89" t="n"/>
      <c r="D11" s="89" t="n"/>
      <c r="E11" s="89" t="n"/>
      <c r="F11" s="89" t="n"/>
      <c r="G11" s="308" t="n"/>
      <c r="H11" s="308" t="n"/>
      <c r="I11" s="89" t="n"/>
      <c r="J11" s="89" t="n"/>
    </row>
    <row r="12" ht="19.95" customHeight="1" s="258">
      <c r="A12" s="89" t="n"/>
      <c r="B12" s="89" t="n"/>
      <c r="C12" s="89" t="n"/>
      <c r="D12" s="89" t="n"/>
      <c r="E12" s="89" t="n"/>
      <c r="F12" s="89" t="n"/>
      <c r="G12" s="308" t="n"/>
      <c r="H12" s="308" t="n"/>
      <c r="I12" s="89" t="n"/>
      <c r="J12" s="89" t="n"/>
    </row>
    <row r="13" ht="19.95" customHeight="1" s="258">
      <c r="A13" s="89" t="n"/>
      <c r="B13" s="89" t="n"/>
      <c r="C13" s="89" t="n"/>
      <c r="D13" s="89" t="n"/>
      <c r="E13" s="89" t="n"/>
      <c r="F13" s="89" t="n"/>
      <c r="G13" s="308" t="n"/>
      <c r="H13" s="308" t="n"/>
      <c r="I13" s="89" t="n"/>
      <c r="J13" s="89" t="n"/>
    </row>
    <row r="14" ht="19.95" customHeight="1" s="258">
      <c r="A14" s="89" t="n"/>
      <c r="B14" s="89" t="n"/>
      <c r="C14" s="89" t="n"/>
      <c r="D14" s="89" t="n"/>
      <c r="E14" s="89" t="n"/>
      <c r="F14" s="89" t="n"/>
      <c r="G14" s="308" t="n"/>
      <c r="H14" s="308" t="n"/>
      <c r="I14" s="89" t="n"/>
      <c r="J14" s="89" t="n"/>
    </row>
    <row r="15" ht="19.95" customHeight="1" s="258">
      <c r="A15" s="89" t="n"/>
      <c r="B15" s="89" t="n"/>
      <c r="C15" s="89" t="n"/>
      <c r="D15" s="89" t="n"/>
      <c r="E15" s="89" t="n"/>
      <c r="F15" s="89" t="n"/>
      <c r="G15" s="308" t="n"/>
      <c r="H15" s="308" t="n"/>
      <c r="I15" s="89" t="n"/>
      <c r="J15" s="89" t="n"/>
    </row>
    <row r="16" ht="19.95" customHeight="1" s="258">
      <c r="A16" s="89" t="n"/>
      <c r="B16" s="89" t="n"/>
      <c r="C16" s="89" t="n"/>
      <c r="D16" s="89" t="n"/>
      <c r="E16" s="89" t="n"/>
      <c r="F16" s="89" t="n"/>
      <c r="G16" s="308" t="n"/>
      <c r="H16" s="308" t="n"/>
      <c r="I16" s="89" t="n"/>
      <c r="J16" s="89" t="n"/>
    </row>
    <row r="17" ht="19.95" customHeight="1" s="258">
      <c r="A17" s="89" t="n"/>
      <c r="B17" s="89" t="n"/>
      <c r="C17" s="89" t="n"/>
      <c r="D17" s="89" t="n"/>
      <c r="E17" s="89" t="n"/>
      <c r="F17" s="89" t="n"/>
      <c r="G17" s="308" t="n"/>
      <c r="H17" s="308" t="n"/>
      <c r="I17" s="89" t="n"/>
      <c r="J17" s="89" t="n"/>
    </row>
    <row r="18" ht="19.95" customHeight="1" s="258">
      <c r="A18" s="89" t="n"/>
      <c r="B18" s="89" t="n"/>
      <c r="C18" s="89" t="n"/>
      <c r="D18" s="89" t="n"/>
      <c r="E18" s="89" t="n"/>
      <c r="F18" s="89" t="n"/>
      <c r="G18" s="308" t="n"/>
      <c r="H18" s="308" t="n"/>
      <c r="I18" s="89" t="n"/>
      <c r="J18" s="89" t="n"/>
    </row>
    <row r="19" ht="19.95" customHeight="1" s="258">
      <c r="A19" s="309" t="inlineStr">
        <is>
          <t>合计</t>
        </is>
      </c>
      <c r="B19" s="310" t="n"/>
      <c r="C19" s="310" t="n"/>
      <c r="D19" s="310" t="n"/>
      <c r="E19" s="310" t="n"/>
      <c r="F19" s="310" t="n"/>
      <c r="G19" s="311">
        <f>SUM(G6:G18)</f>
        <v/>
      </c>
      <c r="H19" s="311">
        <f>SUM(H6:H18)</f>
        <v/>
      </c>
      <c r="I19" s="310" t="n"/>
      <c r="J19" s="310" t="n"/>
    </row>
    <row r="20" ht="19.95" customHeight="1" s="258">
      <c r="A20" s="310" t="inlineStr">
        <is>
          <t>借贷差额（应为0）</t>
        </is>
      </c>
      <c r="B20" s="310" t="n"/>
      <c r="C20" s="310" t="n"/>
      <c r="D20" s="310" t="n"/>
      <c r="E20" s="310" t="n"/>
      <c r="F20" s="310" t="n"/>
      <c r="G20" s="311">
        <f>G19-H19</f>
        <v/>
      </c>
      <c r="H20" s="311">
        <f>IF(G20=0,"平衡","不平衡")</f>
        <v/>
      </c>
      <c r="I20" s="310" t="n"/>
      <c r="J20" s="310" t="n"/>
    </row>
    <row r="21" ht="19.95" customHeight="1" s="258">
      <c r="A21" s="312" t="inlineStr">
        <is>
          <t>提示：本底稿适用于调整分录较多、较复杂的项目，且仅列示与本报表项目相关的审计调整。项目组可根据项目实际情况选择是否使用该底稿。调整金额须回写至明细表H10-2「账项调整/重分类调整」列，并与审定表H10-1勾稽；涉及6115的分录借贷须平衡，且与集中调整分录管理保持一致。</t>
        </is>
      </c>
      <c r="B21" s="91" t="n"/>
      <c r="C21" s="91" t="n"/>
      <c r="D21" s="91" t="n"/>
      <c r="E21" s="91" t="n"/>
      <c r="F21" s="91" t="n"/>
      <c r="G21" s="91" t="n"/>
      <c r="H21" s="91" t="n"/>
      <c r="I21" s="91" t="n"/>
      <c r="J21" s="91" t="n"/>
    </row>
    <row r="22" ht="19.95" customHeight="1" s="258">
      <c r="A22" s="91" t="n"/>
      <c r="B22" s="91" t="n"/>
      <c r="C22" s="91" t="n"/>
      <c r="D22" s="91" t="n"/>
      <c r="E22" s="91" t="n"/>
      <c r="F22" s="91" t="n"/>
      <c r="G22" s="91" t="n"/>
      <c r="H22" s="91" t="n"/>
      <c r="I22" s="91" t="n"/>
      <c r="J22" s="91" t="n"/>
    </row>
  </sheetData>
  <mergeCells count="2">
    <mergeCell ref="A1:J1"/>
    <mergeCell ref="A2:J2"/>
  </mergeCells>
  <conditionalFormatting sqref="G20">
    <cfRule type="cellIs" priority="1" operator="notEqual" dxfId="2">
      <formula>0</formula>
    </cfRule>
  </conditionalFormatting>
  <dataValidations count="1">
    <dataValidation sqref="B6:B20" showDropDown="0" showInputMessage="1" showErrorMessage="1" allowBlank="1" type="list">
      <formula1>"账项调整,报表调整,其他"</formula1>
    </dataValidation>
  </dataValidations>
  <hyperlinks>
    <hyperlink ref="J3" location="底稿目录!A1" display="H10-3"/>
  </hyperlinks>
  <printOptions horizontalCentered="1"/>
  <pageMargins left="0.7086614173228347" right="0.7086614173228347" top="0.7480314960629921" bottom="0.7480314960629921" header="0.3149606299212598" footer="0.3149606299212598"/>
  <pageSetup orientation="landscape" paperSize="9" scale="95" blackAndWhite="1"/>
  <headerFooter>
    <oddHeader/>
    <oddFooter>&amp;C&amp;P/&amp;N</oddFooter>
    <evenHeader/>
    <evenFooter/>
    <firstHeader/>
    <firstFooter/>
  </headerFooter>
</worksheet>
</file>

<file path=xl/worksheets/sheet8.xml><?xml version="1.0" encoding="utf-8"?>
<worksheet xmlns="http://schemas.openxmlformats.org/spreadsheetml/2006/main">
  <sheetPr codeName="Sheet6">
    <outlinePr summaryBelow="1" summaryRight="1"/>
    <pageSetUpPr fitToPage="1"/>
  </sheetPr>
  <dimension ref="A1:T80"/>
  <sheetViews>
    <sheetView view="pageBreakPreview" zoomScaleSheetLayoutView="100" workbookViewId="0">
      <selection activeCell="A1" sqref="A1:Q1"/>
    </sheetView>
  </sheetViews>
  <sheetFormatPr baseColWidth="8" defaultColWidth="9" defaultRowHeight="19.95" customHeight="1"/>
  <cols>
    <col width="12.19921875" customWidth="1" style="183" min="1" max="1"/>
    <col width="9" customWidth="1" style="183" min="2" max="3"/>
    <col width="16.796875" customWidth="1" style="183" min="4" max="4"/>
    <col width="12.296875" customWidth="1" style="183" min="5" max="5"/>
    <col width="11.5" customWidth="1" style="183" min="6" max="6"/>
    <col width="11.3984375" customWidth="1" style="183" min="7" max="7"/>
    <col width="11.59765625" customWidth="1" style="183" min="8" max="8"/>
    <col width="17.19921875" customWidth="1" style="183" min="9" max="9"/>
    <col width="4.3984375" customWidth="1" style="183" min="10" max="12"/>
    <col width="4.3984375" customWidth="1" style="99" min="13" max="14"/>
    <col width="9.796875" customWidth="1" style="99" min="15" max="15"/>
    <col width="7.19921875" customWidth="1" style="183" min="16" max="16"/>
    <col width="16.5" customWidth="1" style="183" min="17" max="17"/>
    <col width="15.3984375" customWidth="1" style="183" min="18" max="18"/>
    <col width="9" customWidth="1" style="183" min="19" max="16384"/>
  </cols>
  <sheetData>
    <row r="1" ht="19.95" customFormat="1" customHeight="1" s="30">
      <c r="A1" s="244" t="inlineStr">
        <is>
          <t>致同会计师事务所</t>
        </is>
      </c>
      <c r="B1" s="0" t="n"/>
      <c r="C1" s="0" t="n"/>
      <c r="D1" s="0" t="n"/>
      <c r="E1" s="0" t="n"/>
      <c r="F1" s="0" t="n"/>
      <c r="G1" s="0" t="n"/>
      <c r="H1" s="0" t="n"/>
      <c r="I1" s="0" t="n"/>
      <c r="J1" s="0" t="n"/>
      <c r="K1" s="0" t="n"/>
      <c r="L1" s="0" t="n"/>
      <c r="M1" s="0" t="n"/>
      <c r="N1" s="0" t="n"/>
      <c r="O1" s="0" t="n"/>
      <c r="P1" s="0" t="n"/>
      <c r="Q1" s="0" t="n"/>
    </row>
    <row r="2" ht="19.95" customFormat="1" customHeight="1" s="30">
      <c r="A2" s="245" t="inlineStr">
        <is>
          <t>资产处置损益检查表</t>
        </is>
      </c>
      <c r="B2" s="0" t="n"/>
      <c r="C2" s="0" t="n"/>
      <c r="D2" s="0" t="n"/>
      <c r="E2" s="0" t="n"/>
      <c r="F2" s="0" t="n"/>
      <c r="G2" s="0" t="n"/>
      <c r="H2" s="0" t="n"/>
      <c r="I2" s="0" t="n"/>
      <c r="J2" s="0" t="n"/>
      <c r="K2" s="0" t="n"/>
      <c r="L2" s="0" t="n"/>
      <c r="M2" s="0" t="n"/>
      <c r="N2" s="0" t="n"/>
      <c r="O2" s="0" t="n"/>
      <c r="P2" s="0" t="n"/>
      <c r="Q2" s="0" t="n"/>
    </row>
    <row r="3" ht="19.95" customHeight="1" s="258">
      <c r="A3" s="183">
        <f>底稿目录!A2</f>
        <v/>
      </c>
      <c r="C3" s="23" t="n"/>
      <c r="D3" s="23" t="n"/>
      <c r="E3" s="23">
        <f>底稿目录!A4</f>
        <v/>
      </c>
      <c r="I3" s="23">
        <f>底稿目录!A6</f>
        <v/>
      </c>
      <c r="P3" s="142" t="inlineStr">
        <is>
          <t>索引号：</t>
        </is>
      </c>
      <c r="Q3" s="136" t="inlineStr">
        <is>
          <t>H10-4</t>
        </is>
      </c>
    </row>
    <row r="4" ht="19.95" customHeight="1" s="258">
      <c r="A4" s="183">
        <f>底稿目录!A3</f>
        <v/>
      </c>
      <c r="C4" s="23" t="n"/>
      <c r="D4" s="23" t="n"/>
      <c r="E4" s="23">
        <f>底稿目录!A5</f>
        <v/>
      </c>
      <c r="I4" s="23">
        <f>底稿目录!A7</f>
        <v/>
      </c>
      <c r="P4" s="142" t="inlineStr">
        <is>
          <t>页  次：</t>
        </is>
      </c>
      <c r="Q4" s="23" t="n"/>
    </row>
    <row r="5" ht="37.8" customFormat="1" customHeight="1" s="191">
      <c r="A5" s="239" t="inlineStr">
        <is>
          <t>一、审计目标：
1.利润表中记录的资产处置损益已发生，且与被审计单位有关，已记录于恰当的账户；2.与资产处置损益有关的金额及其他数据已恰当记录，相关披露已得到恰当计量和描述；
3.资产处置损益已记录于正确的会计期间</t>
        </is>
      </c>
      <c r="S5" s="183" t="n"/>
      <c r="T5" s="183" t="n"/>
    </row>
    <row r="6" ht="19.95" customFormat="1" customHeight="1" s="191">
      <c r="A6" s="115" t="inlineStr">
        <is>
          <t>二、样本选取：</t>
        </is>
      </c>
      <c r="B6" s="174" t="inlineStr">
        <is>
          <t>测试原因：大额（ ）关联方（ ）大额交易频繁（ ）异常（ ）其他（ ）；样本量确定依据：________________</t>
        </is>
      </c>
      <c r="C6" s="92" t="n"/>
      <c r="D6" s="92" t="n"/>
      <c r="E6" s="93" t="n"/>
      <c r="F6" s="94" t="n"/>
      <c r="M6" s="97" t="n"/>
      <c r="N6" s="97" t="n"/>
      <c r="O6" s="97" t="n"/>
      <c r="S6" s="183" t="n"/>
      <c r="T6" s="183" t="n"/>
    </row>
    <row r="7" ht="19.95" customFormat="1" customHeight="1" s="191">
      <c r="A7" s="145" t="inlineStr">
        <is>
          <t>三、测试：测试内容说明：1.原始凭证是否齐全；2.记账凭证与原始凭证是否相符；3.账务处理是否正确；4.是否记录于恰当的会计期间；5.处置审批及定价是否公允（含关联方交易）。</t>
        </is>
      </c>
      <c r="C7" s="92" t="n"/>
      <c r="D7" s="92" t="n"/>
      <c r="E7" s="93" t="n"/>
      <c r="F7" s="94" t="n"/>
      <c r="M7" s="97" t="n"/>
      <c r="N7" s="97" t="n"/>
      <c r="O7" s="97" t="n"/>
      <c r="S7" s="183" t="n"/>
      <c r="T7" s="183" t="n"/>
    </row>
    <row r="8" ht="19.95" customFormat="1" customHeight="1" s="292">
      <c r="A8" s="268" t="inlineStr">
        <is>
          <t>项目</t>
        </is>
      </c>
      <c r="B8" s="194" t="inlineStr">
        <is>
          <t>记账凭证</t>
        </is>
      </c>
      <c r="C8" s="263" t="n"/>
      <c r="D8" s="263" t="n"/>
      <c r="E8" s="263" t="n"/>
      <c r="F8" s="263" t="n"/>
      <c r="G8" s="263" t="n"/>
      <c r="H8" s="264" t="n"/>
      <c r="I8" s="249" t="inlineStr">
        <is>
          <t>支持性文件</t>
        </is>
      </c>
      <c r="J8" s="251" t="inlineStr">
        <is>
          <t>核对内容</t>
        </is>
      </c>
      <c r="K8" s="263" t="n"/>
      <c r="L8" s="263" t="n"/>
      <c r="M8" s="263" t="n"/>
      <c r="N8" s="263" t="n"/>
      <c r="O8" s="253" t="inlineStr">
        <is>
          <t>索引号</t>
        </is>
      </c>
      <c r="P8" s="253" t="inlineStr">
        <is>
          <t>是否异常</t>
        </is>
      </c>
      <c r="Q8" s="256" t="inlineStr">
        <is>
          <t>备注说明</t>
        </is>
      </c>
    </row>
    <row r="9" ht="24.6" customFormat="1" customHeight="1" s="292">
      <c r="A9" s="270" t="n"/>
      <c r="B9" s="194" t="inlineStr">
        <is>
          <t>日期</t>
        </is>
      </c>
      <c r="C9" s="194" t="inlineStr">
        <is>
          <t>凭证编号</t>
        </is>
      </c>
      <c r="D9" s="194" t="inlineStr">
        <is>
          <t>业务内容</t>
        </is>
      </c>
      <c r="E9" s="194" t="inlineStr">
        <is>
          <t>对方科目</t>
        </is>
      </c>
      <c r="F9" s="194" t="inlineStr">
        <is>
          <t>对方明细科目</t>
        </is>
      </c>
      <c r="G9" s="195" t="inlineStr">
        <is>
          <t>借方金额</t>
        </is>
      </c>
      <c r="H9" s="195" t="inlineStr">
        <is>
          <t>贷方金额</t>
        </is>
      </c>
      <c r="I9" s="270" t="n"/>
      <c r="J9" s="175" t="n">
        <v>1</v>
      </c>
      <c r="K9" s="175" t="n">
        <v>2</v>
      </c>
      <c r="L9" s="175" t="n">
        <v>3</v>
      </c>
      <c r="M9" s="175" t="n">
        <v>4</v>
      </c>
      <c r="N9" s="175" t="n">
        <v>5</v>
      </c>
      <c r="O9" s="313" t="n"/>
      <c r="P9" s="313" t="n"/>
      <c r="Q9" s="270" t="n"/>
      <c r="R9" s="192" t="n"/>
    </row>
    <row r="10" ht="19.95" customHeight="1" s="258">
      <c r="A10" s="35" t="n"/>
      <c r="B10" s="130" t="n"/>
      <c r="C10" s="16" t="n"/>
      <c r="D10" s="17" t="n"/>
      <c r="E10" s="16" t="n"/>
      <c r="F10" s="16" t="n"/>
      <c r="G10" s="314" t="n"/>
      <c r="H10" s="314" t="n"/>
      <c r="I10" s="176" t="n"/>
      <c r="J10" s="176" t="n"/>
      <c r="K10" s="176" t="n"/>
      <c r="L10" s="176" t="n"/>
      <c r="M10" s="176" t="n"/>
      <c r="N10" s="176" t="n"/>
      <c r="O10" s="177" t="n"/>
      <c r="P10" s="176" t="n"/>
      <c r="Q10" s="176" t="n"/>
    </row>
    <row r="11" ht="19.95" customHeight="1" s="258">
      <c r="A11" s="35" t="n"/>
      <c r="B11" s="130" t="n"/>
      <c r="C11" s="16" t="n"/>
      <c r="D11" s="17" t="n"/>
      <c r="E11" s="16" t="n"/>
      <c r="F11" s="16" t="n"/>
      <c r="G11" s="314" t="n"/>
      <c r="H11" s="314" t="n"/>
      <c r="I11" s="176" t="n"/>
      <c r="J11" s="176" t="n"/>
      <c r="K11" s="176" t="n"/>
      <c r="L11" s="176" t="n"/>
      <c r="M11" s="176" t="n"/>
      <c r="N11" s="176" t="n"/>
      <c r="O11" s="177" t="n"/>
      <c r="P11" s="176" t="n"/>
      <c r="Q11" s="176" t="n"/>
    </row>
    <row r="12" ht="19.95" customHeight="1" s="258">
      <c r="A12" s="35" t="n"/>
      <c r="B12" s="130" t="n"/>
      <c r="C12" s="16" t="n"/>
      <c r="D12" s="17" t="n"/>
      <c r="E12" s="16" t="n"/>
      <c r="F12" s="16" t="n"/>
      <c r="G12" s="314" t="n"/>
      <c r="H12" s="314" t="n"/>
      <c r="I12" s="176" t="n"/>
      <c r="J12" s="176" t="n"/>
      <c r="K12" s="176" t="n"/>
      <c r="L12" s="176" t="n"/>
      <c r="M12" s="176" t="n"/>
      <c r="N12" s="176" t="n"/>
      <c r="O12" s="177" t="n"/>
      <c r="P12" s="176" t="n"/>
      <c r="Q12" s="176" t="n"/>
    </row>
    <row r="13" ht="19.95" customHeight="1" s="258">
      <c r="A13" s="35" t="n"/>
      <c r="B13" s="130" t="n"/>
      <c r="C13" s="16" t="n"/>
      <c r="D13" s="17" t="n"/>
      <c r="E13" s="16" t="n"/>
      <c r="F13" s="16" t="n"/>
      <c r="G13" s="314" t="n"/>
      <c r="H13" s="314" t="n"/>
      <c r="I13" s="176" t="n"/>
      <c r="J13" s="176" t="n"/>
      <c r="K13" s="176" t="n"/>
      <c r="L13" s="176" t="n"/>
      <c r="M13" s="176" t="n"/>
      <c r="N13" s="176" t="n"/>
      <c r="O13" s="177" t="n"/>
      <c r="P13" s="176" t="n"/>
      <c r="Q13" s="176" t="n"/>
    </row>
    <row r="14" ht="19.95" customHeight="1" s="258">
      <c r="A14" s="35" t="n"/>
      <c r="B14" s="130" t="n"/>
      <c r="C14" s="16" t="n"/>
      <c r="D14" s="17" t="n"/>
      <c r="E14" s="16" t="n"/>
      <c r="F14" s="16" t="n"/>
      <c r="G14" s="314" t="n"/>
      <c r="H14" s="314" t="n"/>
      <c r="I14" s="176" t="n"/>
      <c r="J14" s="176" t="n"/>
      <c r="K14" s="176" t="n"/>
      <c r="L14" s="176" t="n"/>
      <c r="M14" s="176" t="n"/>
      <c r="N14" s="176" t="n"/>
      <c r="O14" s="177" t="n"/>
      <c r="P14" s="176" t="n"/>
      <c r="Q14" s="176" t="n"/>
    </row>
    <row r="15" ht="19.95" customHeight="1" s="258">
      <c r="A15" s="35" t="n"/>
      <c r="B15" s="130" t="n"/>
      <c r="C15" s="16" t="n"/>
      <c r="D15" s="17" t="n"/>
      <c r="E15" s="16" t="n"/>
      <c r="F15" s="16" t="n"/>
      <c r="G15" s="314" t="n"/>
      <c r="H15" s="314" t="n"/>
      <c r="I15" s="176" t="n"/>
      <c r="J15" s="176" t="n"/>
      <c r="K15" s="176" t="n"/>
      <c r="L15" s="176" t="n"/>
      <c r="M15" s="176" t="n"/>
      <c r="N15" s="176" t="n"/>
      <c r="O15" s="177" t="n"/>
      <c r="P15" s="176" t="n"/>
      <c r="Q15" s="176" t="n"/>
    </row>
    <row r="16" ht="19.95" customHeight="1" s="258">
      <c r="A16" s="35" t="n"/>
      <c r="B16" s="130" t="n"/>
      <c r="C16" s="16" t="n"/>
      <c r="D16" s="17" t="n"/>
      <c r="E16" s="16" t="n"/>
      <c r="F16" s="16" t="n"/>
      <c r="G16" s="314" t="n"/>
      <c r="H16" s="314" t="n"/>
      <c r="I16" s="176" t="n"/>
      <c r="J16" s="176" t="n"/>
      <c r="K16" s="176" t="n"/>
      <c r="L16" s="176" t="n"/>
      <c r="M16" s="176" t="n"/>
      <c r="N16" s="176" t="n"/>
      <c r="O16" s="177" t="n"/>
      <c r="P16" s="176" t="n"/>
      <c r="Q16" s="176" t="n"/>
    </row>
    <row r="17" ht="19.95" customHeight="1" s="258">
      <c r="A17" s="35" t="n"/>
      <c r="B17" s="130" t="n"/>
      <c r="C17" s="16" t="n"/>
      <c r="D17" s="17" t="n"/>
      <c r="E17" s="16" t="n"/>
      <c r="F17" s="16" t="n"/>
      <c r="G17" s="314" t="n"/>
      <c r="H17" s="314" t="n"/>
      <c r="I17" s="176" t="n"/>
      <c r="J17" s="176" t="n"/>
      <c r="K17" s="176" t="n"/>
      <c r="L17" s="176" t="n"/>
      <c r="M17" s="176" t="n"/>
      <c r="N17" s="176" t="n"/>
      <c r="O17" s="177" t="n"/>
      <c r="P17" s="176" t="n"/>
      <c r="Q17" s="176" t="n"/>
    </row>
    <row r="18" ht="19.8" customHeight="1" s="258">
      <c r="A18" s="35" t="n"/>
      <c r="B18" s="130" t="n"/>
      <c r="C18" s="16" t="n"/>
      <c r="D18" s="17" t="n"/>
      <c r="E18" s="16" t="n"/>
      <c r="F18" s="16" t="n"/>
      <c r="G18" s="314" t="n"/>
      <c r="H18" s="314" t="n"/>
      <c r="I18" s="176" t="n"/>
      <c r="J18" s="176" t="n"/>
      <c r="K18" s="176" t="n"/>
      <c r="L18" s="176" t="n"/>
      <c r="M18" s="176" t="n"/>
      <c r="N18" s="176" t="n"/>
      <c r="O18" s="177" t="n"/>
      <c r="P18" s="176" t="n"/>
      <c r="Q18" s="176" t="n"/>
    </row>
    <row r="19" ht="19.95" customFormat="1" customHeight="1" s="208">
      <c r="A19" s="243" t="inlineStr">
        <is>
          <t>合计</t>
        </is>
      </c>
      <c r="B19" s="263" t="n"/>
      <c r="C19" s="263" t="n"/>
      <c r="D19" s="264" t="n"/>
      <c r="E19" s="205" t="n"/>
      <c r="F19" s="205" t="n"/>
      <c r="G19" s="315">
        <f>SUM(G10:G18)</f>
        <v/>
      </c>
      <c r="H19" s="315">
        <f>SUM(H10:H18)</f>
        <v/>
      </c>
      <c r="I19" s="175" t="n"/>
      <c r="J19" s="175" t="n"/>
      <c r="K19" s="175" t="n"/>
      <c r="L19" s="175" t="n"/>
      <c r="M19" s="175" t="n"/>
      <c r="N19" s="175" t="n"/>
      <c r="O19" s="207" t="n"/>
      <c r="P19" s="175" t="n"/>
      <c r="Q19" s="175" t="n"/>
    </row>
    <row r="20" ht="19.95" customFormat="1" customHeight="1" s="208">
      <c r="A20" s="243" t="inlineStr">
        <is>
          <t>本期发生额</t>
        </is>
      </c>
      <c r="B20" s="263" t="n"/>
      <c r="C20" s="263" t="n"/>
      <c r="D20" s="264" t="n"/>
      <c r="E20" s="205" t="n"/>
      <c r="F20" s="205" t="n"/>
      <c r="G20" s="315">
        <f>'明细表H10-2'!Q17</f>
        <v/>
      </c>
      <c r="H20" s="315">
        <f>'明细表H10-2'!Q17</f>
        <v/>
      </c>
      <c r="I20" s="175" t="n"/>
      <c r="J20" s="175" t="n"/>
      <c r="K20" s="175" t="n"/>
      <c r="L20" s="175" t="n"/>
      <c r="M20" s="175" t="n"/>
      <c r="N20" s="175" t="n"/>
      <c r="O20" s="207" t="n"/>
      <c r="P20" s="175" t="n"/>
      <c r="Q20" s="175" t="n"/>
    </row>
    <row r="21" ht="19.95" customFormat="1" customHeight="1" s="208">
      <c r="A21" s="243" t="inlineStr">
        <is>
          <t>检查比例</t>
        </is>
      </c>
      <c r="B21" s="263" t="n"/>
      <c r="C21" s="263" t="n"/>
      <c r="D21" s="264" t="n"/>
      <c r="E21" s="205" t="n"/>
      <c r="F21" s="205" t="n"/>
      <c r="G21" s="315">
        <f>IF(OR(G20="",G20=0),"—",G19/ABS(G20))</f>
        <v/>
      </c>
      <c r="H21" s="209">
        <f>IF(OR(H20="",H20=0),"—",H19/ABS(H20))</f>
        <v/>
      </c>
      <c r="I21" s="175" t="n"/>
      <c r="J21" s="175" t="n"/>
      <c r="K21" s="175" t="n"/>
      <c r="L21" s="175" t="n"/>
      <c r="M21" s="175" t="n"/>
      <c r="N21" s="175" t="n"/>
      <c r="O21" s="207" t="n"/>
      <c r="P21" s="175" t="n"/>
      <c r="Q21" s="175" t="n"/>
    </row>
    <row r="22" ht="19.95" customFormat="1" customHeight="1" s="183">
      <c r="A22" s="115" t="inlineStr">
        <is>
          <t>四、审计说明：</t>
        </is>
      </c>
      <c r="H22" s="30" t="n"/>
      <c r="I22" s="22" t="n"/>
      <c r="J22" s="22" t="n"/>
      <c r="K22" s="22" t="n"/>
      <c r="L22" s="22" t="n"/>
      <c r="M22" s="98" t="n"/>
      <c r="N22" s="99" t="n"/>
      <c r="O22" s="99" t="n"/>
    </row>
    <row r="23" ht="19.95" customFormat="1" customHeight="1" s="183">
      <c r="A23" s="198" t="inlineStr">
        <is>
          <t>1.如果检查比例较低应扩大检查样本量或说明原因</t>
        </is>
      </c>
      <c r="B23" s="48" t="n"/>
      <c r="C23" s="0" t="n"/>
      <c r="H23" s="198" t="n"/>
      <c r="I23" s="22" t="n"/>
      <c r="J23" s="22" t="n"/>
      <c r="K23" s="22" t="n"/>
      <c r="L23" s="22" t="n"/>
      <c r="M23" s="98" t="n"/>
      <c r="N23" s="99" t="n"/>
      <c r="O23" s="99" t="n"/>
    </row>
    <row r="24" ht="19.95" customFormat="1" customHeight="1" s="183">
      <c r="A24" s="201" t="inlineStr">
        <is>
          <t>2.对异常或不合规项目应追查支持性文件，评估错报影响，必要时编制调整分录入H10-3，并与来源底稿（H1/H2/H5/H7/H8等）交叉核对。</t>
        </is>
      </c>
      <c r="B24" s="199" t="n"/>
      <c r="C24" s="0" t="n"/>
      <c r="D24" s="202" t="n"/>
      <c r="E24" s="316" t="n"/>
      <c r="F24" s="316" t="n"/>
      <c r="G24" s="204" t="n"/>
      <c r="H24" s="200" t="n"/>
      <c r="I24" s="23" t="n"/>
      <c r="J24" s="23" t="n"/>
      <c r="K24" s="23" t="n"/>
      <c r="L24" s="23" t="n"/>
      <c r="M24" s="100" t="n"/>
      <c r="N24" s="99" t="n"/>
      <c r="O24" s="99" t="n"/>
    </row>
    <row r="25" ht="19.95" customHeight="1" s="258">
      <c r="A25" s="183" t="n"/>
      <c r="B25" s="183" t="n"/>
      <c r="C25" s="183" t="n"/>
      <c r="D25" s="183" t="n"/>
      <c r="E25" s="183" t="n"/>
      <c r="F25" s="183" t="n"/>
      <c r="G25" s="183" t="n"/>
      <c r="H25" s="144" t="n"/>
      <c r="I25" s="23" t="n"/>
      <c r="J25" s="23" t="n"/>
      <c r="K25" s="23" t="n"/>
      <c r="L25" s="23" t="n"/>
      <c r="M25" s="100" t="n"/>
      <c r="N25" s="99" t="n"/>
      <c r="O25" s="99" t="n"/>
      <c r="P25" s="183" t="n"/>
    </row>
    <row r="26" ht="19.95" customHeight="1" s="258">
      <c r="A26" s="30" t="inlineStr">
        <is>
          <t>五、审计结论：</t>
        </is>
      </c>
      <c r="B26" s="183" t="n"/>
      <c r="C26" s="183" t="n"/>
      <c r="D26" s="183" t="n"/>
      <c r="E26" s="183" t="n"/>
      <c r="F26" s="183" t="n"/>
      <c r="G26" s="183" t="n"/>
      <c r="H26" s="144" t="n"/>
      <c r="I26" s="23" t="n"/>
      <c r="J26" s="23" t="n"/>
      <c r="K26" s="23" t="n"/>
      <c r="L26" s="23" t="n"/>
      <c r="M26" s="100" t="n"/>
      <c r="N26" s="99" t="n"/>
      <c r="O26" s="99" t="n"/>
      <c r="P26" s="183" t="n"/>
    </row>
    <row r="27" ht="19.95" customHeight="1" s="258">
      <c r="A27" s="183" t="n"/>
      <c r="B27" s="183" t="n"/>
      <c r="C27" s="183" t="n"/>
      <c r="D27" s="183" t="n"/>
      <c r="E27" s="183" t="n"/>
      <c r="F27" s="183" t="n"/>
      <c r="G27" s="183" t="n"/>
      <c r="H27" s="23" t="n"/>
      <c r="I27" s="23" t="n"/>
      <c r="J27" s="23" t="n"/>
      <c r="K27" s="23" t="n"/>
      <c r="L27" s="23" t="n"/>
      <c r="M27" s="100" t="n"/>
      <c r="N27" s="99" t="n"/>
      <c r="O27" s="99" t="n"/>
      <c r="P27" s="183" t="n"/>
    </row>
    <row r="28" ht="19.95" customHeight="1" s="258">
      <c r="B28" s="22" t="n"/>
      <c r="D28" s="23" t="n"/>
      <c r="E28" s="23" t="n"/>
      <c r="F28" s="23" t="n"/>
      <c r="G28" s="23" t="n"/>
      <c r="H28" s="23" t="n"/>
      <c r="I28" s="23" t="n"/>
      <c r="J28" s="23" t="n"/>
      <c r="K28" s="23" t="n"/>
      <c r="L28" s="23" t="n"/>
      <c r="M28" s="100" t="n"/>
    </row>
    <row r="29" ht="19.95" customHeight="1" s="258">
      <c r="B29" s="22" t="n"/>
      <c r="D29" s="23" t="n"/>
      <c r="E29" s="23" t="n"/>
      <c r="F29" s="23" t="n"/>
      <c r="G29" s="23" t="n"/>
      <c r="H29" s="23" t="n"/>
      <c r="I29" s="23" t="n"/>
      <c r="J29" s="23" t="n"/>
      <c r="K29" s="23" t="n"/>
      <c r="L29" s="23" t="n"/>
      <c r="M29" s="100" t="n"/>
    </row>
    <row r="30" ht="19.95" customHeight="1" s="258">
      <c r="B30" s="147" t="n"/>
    </row>
    <row r="31" ht="19.95" customHeight="1" s="258">
      <c r="B31" s="24" t="n"/>
      <c r="C31" s="24" t="n"/>
    </row>
    <row r="32" ht="19.95" customHeight="1" s="258">
      <c r="B32" s="25" t="n"/>
      <c r="C32" s="25" t="n"/>
    </row>
    <row r="33" ht="19.95" customHeight="1" s="258">
      <c r="B33" s="39" t="n"/>
      <c r="C33" s="25" t="n"/>
    </row>
    <row r="34" ht="19.95" customHeight="1" s="258">
      <c r="B34" s="26" t="n"/>
      <c r="C34" s="25" t="n"/>
    </row>
    <row r="35" ht="19.95" customHeight="1" s="258">
      <c r="B35" s="26" t="n"/>
      <c r="C35" s="25" t="n"/>
    </row>
    <row r="36" ht="19.95" customHeight="1" s="258">
      <c r="B36" s="26" t="n"/>
      <c r="C36" s="25" t="n"/>
    </row>
    <row r="38" ht="19.95" customHeight="1" s="258">
      <c r="B38" s="24" t="n"/>
    </row>
    <row r="39" ht="19.95" customFormat="1" customHeight="1" s="24">
      <c r="B39" s="27" t="n"/>
      <c r="M39" s="101" t="n"/>
      <c r="N39" s="101" t="n"/>
      <c r="O39" s="101" t="n"/>
    </row>
    <row r="40" ht="19.95" customFormat="1" customHeight="1" s="24">
      <c r="B40" s="27" t="n"/>
      <c r="M40" s="101" t="n"/>
      <c r="N40" s="101" t="n"/>
      <c r="O40" s="101" t="n"/>
    </row>
    <row r="41" ht="19.95" customFormat="1" customHeight="1" s="24">
      <c r="B41" s="27" t="n"/>
      <c r="M41" s="101" t="n"/>
      <c r="N41" s="101" t="n"/>
      <c r="O41" s="101" t="n"/>
    </row>
    <row r="42" ht="19.95" customFormat="1" customHeight="1" s="24">
      <c r="B42" s="27" t="n"/>
      <c r="M42" s="101" t="n"/>
      <c r="N42" s="101" t="n"/>
      <c r="O42" s="101" t="n"/>
    </row>
    <row r="43" ht="19.95" customFormat="1" customHeight="1" s="24">
      <c r="B43" s="27" t="n"/>
      <c r="M43" s="101" t="n"/>
      <c r="N43" s="101" t="n"/>
      <c r="O43" s="101" t="n"/>
    </row>
    <row r="44" ht="19.95" customFormat="1" customHeight="1" s="24">
      <c r="B44" s="27" t="n"/>
      <c r="C44" s="317" t="n"/>
      <c r="D44" s="303" t="n"/>
      <c r="M44" s="101" t="n"/>
      <c r="N44" s="101" t="n"/>
      <c r="O44" s="101" t="n"/>
    </row>
    <row r="45" ht="19.95" customFormat="1" customHeight="1" s="24">
      <c r="B45" s="27" t="n"/>
      <c r="C45" s="303" t="n"/>
      <c r="D45" s="303" t="n"/>
      <c r="M45" s="101" t="n"/>
      <c r="N45" s="101" t="n"/>
      <c r="O45" s="101" t="n"/>
    </row>
    <row r="46" ht="19.95" customFormat="1" customHeight="1" s="24">
      <c r="B46" s="27" t="n"/>
      <c r="C46" s="303" t="n"/>
      <c r="D46" s="303" t="n"/>
      <c r="M46" s="101" t="n"/>
      <c r="N46" s="101" t="n"/>
      <c r="O46" s="101" t="n"/>
    </row>
    <row r="47" ht="19.95" customFormat="1" customHeight="1" s="24">
      <c r="B47" s="28" t="n"/>
      <c r="C47" s="303" t="n"/>
      <c r="D47" s="305" t="n"/>
      <c r="M47" s="101" t="n"/>
      <c r="N47" s="101" t="n"/>
      <c r="O47" s="101" t="n"/>
    </row>
    <row r="48" ht="19.95" customFormat="1" customHeight="1" s="24">
      <c r="C48" s="303" t="n"/>
      <c r="D48" s="305" t="n"/>
      <c r="M48" s="101" t="n"/>
      <c r="N48" s="101" t="n"/>
      <c r="O48" s="101" t="n"/>
    </row>
    <row r="49" ht="19.95" customFormat="1" customHeight="1" s="24">
      <c r="M49" s="101" t="n"/>
      <c r="N49" s="101" t="n"/>
      <c r="O49" s="101" t="n"/>
    </row>
    <row r="50" ht="19.95" customHeight="1" s="258">
      <c r="B50" s="27" t="n"/>
      <c r="C50" s="24" t="n"/>
    </row>
    <row r="51" ht="19.95" customHeight="1" s="258">
      <c r="C51" s="24" t="n"/>
    </row>
    <row r="52" ht="19.95" customHeight="1" s="258">
      <c r="C52" s="24" t="n"/>
    </row>
    <row r="53" ht="19.95" customHeight="1" s="258">
      <c r="C53" s="24" t="n"/>
    </row>
    <row r="54" ht="19.95" customHeight="1" s="258">
      <c r="C54" s="24" t="n"/>
    </row>
    <row r="55" ht="19.95" customHeight="1" s="258">
      <c r="C55" s="24" t="n"/>
    </row>
    <row r="56" ht="19.95" customHeight="1" s="258">
      <c r="C56" s="24" t="n"/>
    </row>
    <row r="58" ht="19.95" customHeight="1" s="258">
      <c r="C58" s="41" t="n"/>
    </row>
    <row r="59" ht="19.95" customHeight="1" s="258">
      <c r="C59" s="24" t="n"/>
    </row>
    <row r="60" ht="19.95" customHeight="1" s="258">
      <c r="C60" s="24" t="n"/>
    </row>
    <row r="62" ht="19.95" customHeight="1" s="258">
      <c r="B62" s="27" t="n"/>
      <c r="C62" s="24" t="n"/>
      <c r="D62" s="24" t="n"/>
    </row>
    <row r="63" ht="19.95" customHeight="1" s="258">
      <c r="C63" s="24" t="n"/>
      <c r="D63" s="24" t="n"/>
    </row>
    <row r="64" ht="19.95" customHeight="1" s="258">
      <c r="C64" s="24" t="n"/>
      <c r="D64" s="24" t="n"/>
    </row>
    <row r="65" ht="19.95" customHeight="1" s="258">
      <c r="C65" s="24" t="n"/>
      <c r="D65" s="24" t="n"/>
    </row>
    <row r="66" ht="19.95" customHeight="1" s="258">
      <c r="C66" s="24" t="n"/>
      <c r="D66" s="24" t="n"/>
    </row>
    <row r="67" ht="19.95" customHeight="1" s="258">
      <c r="C67" s="24" t="n"/>
      <c r="D67" s="24" t="n"/>
    </row>
    <row r="68" ht="19.95" customHeight="1" s="258">
      <c r="C68" s="24" t="n"/>
    </row>
    <row r="69" ht="19.95" customHeight="1" s="258">
      <c r="C69" s="24" t="n"/>
    </row>
    <row r="70" ht="19.95" customHeight="1" s="258">
      <c r="C70" s="24" t="n"/>
    </row>
    <row r="71" ht="19.95" customHeight="1" s="258">
      <c r="C71" s="41" t="n"/>
      <c r="D71" s="24" t="n"/>
    </row>
    <row r="72" ht="19.95" customHeight="1" s="258">
      <c r="C72" s="24" t="n"/>
      <c r="D72" s="24" t="n"/>
    </row>
    <row r="73" ht="19.95" customHeight="1" s="258">
      <c r="C73" s="24" t="n"/>
      <c r="D73" s="24" t="n"/>
    </row>
    <row r="74" ht="19.95" customHeight="1" s="258">
      <c r="C74" s="24" t="n"/>
      <c r="D74" s="24" t="n"/>
    </row>
    <row r="75" ht="19.95" customHeight="1" s="258">
      <c r="C75" s="24" t="n"/>
      <c r="D75" s="24" t="n"/>
    </row>
    <row r="76" ht="19.95" customHeight="1" s="258">
      <c r="C76" s="24" t="n"/>
      <c r="D76" s="24" t="n"/>
    </row>
    <row r="77" ht="19.95" customHeight="1" s="258">
      <c r="C77" s="24" t="n"/>
      <c r="D77" s="24" t="n"/>
    </row>
    <row r="78" ht="19.95" customHeight="1" s="258">
      <c r="C78" s="24" t="n"/>
      <c r="D78" s="24" t="n"/>
    </row>
    <row r="79" ht="19.95" customHeight="1" s="258">
      <c r="C79" s="24" t="n"/>
      <c r="D79" s="24" t="n"/>
    </row>
    <row r="80" ht="19.95" customHeight="1" s="258">
      <c r="C80" s="24" t="n"/>
      <c r="D80" s="24" t="n"/>
    </row>
  </sheetData>
  <mergeCells count="13">
    <mergeCell ref="B8:H8"/>
    <mergeCell ref="A8:A9"/>
    <mergeCell ref="I8:I9"/>
    <mergeCell ref="A20:D20"/>
    <mergeCell ref="A21:D21"/>
    <mergeCell ref="Q8:Q9"/>
    <mergeCell ref="O8:O9"/>
    <mergeCell ref="A2:Q2"/>
    <mergeCell ref="P8:P9"/>
    <mergeCell ref="A19:D19"/>
    <mergeCell ref="A1:Q1"/>
    <mergeCell ref="J8:N8"/>
    <mergeCell ref="A5:Q5"/>
  </mergeCells>
  <dataValidations count="1">
    <dataValidation sqref="J10:N21" showDropDown="0" showInputMessage="1" showErrorMessage="1" allowBlank="1" type="list">
      <formula1>"√,X"</formula1>
    </dataValidation>
  </dataValidations>
  <hyperlinks>
    <hyperlink ref="Q3" location="底稿目录!A1" display="H10-4"/>
  </hyperlinks>
  <printOptions horizontalCentered="1"/>
  <pageMargins left="0.7086614173228347" right="0.7086614173228347" top="0.7480314960629921" bottom="0.7480314960629921" header="0.3149606299212598" footer="0.3149606299212598"/>
  <pageSetup orientation="landscape" paperSize="9" scale="73" fitToHeight="100" blackAndWhite="1" cellComments="atEnd"/>
  <headerFooter>
    <oddHeader/>
    <oddFooter>&amp;C&amp;P/&amp;N</oddFooter>
    <evenHeader/>
    <evenFooter/>
    <firstHeader/>
    <firstFooter/>
  </headerFooter>
</worksheet>
</file>

<file path=xl/worksheets/sheet9.xml><?xml version="1.0" encoding="utf-8"?>
<worksheet xmlns="http://schemas.openxmlformats.org/spreadsheetml/2006/main">
  <sheetPr codeName="Sheet10">
    <outlinePr summaryBelow="1" summaryRight="1"/>
    <pageSetUpPr/>
  </sheetPr>
  <dimension ref="A1:B8"/>
  <sheetViews>
    <sheetView workbookViewId="0">
      <selection activeCell="A1" sqref="A1"/>
    </sheetView>
  </sheetViews>
  <sheetFormatPr baseColWidth="8" defaultRowHeight="15.6"/>
  <sheetData>
    <row r="1">
      <c r="A1" s="0" t="inlineStr">
        <is>
          <t>C1</t>
        </is>
      </c>
      <c r="B1" s="0" t="inlineStr">
        <is>
          <t>Custom 1</t>
        </is>
      </c>
    </row>
    <row r="2">
      <c r="A2" s="0" t="inlineStr">
        <is>
          <t>C2</t>
        </is>
      </c>
      <c r="B2" s="0" t="inlineStr">
        <is>
          <t>Custom 2</t>
        </is>
      </c>
    </row>
    <row r="3">
      <c r="A3" s="0" t="inlineStr">
        <is>
          <t>C3</t>
        </is>
      </c>
      <c r="B3" s="0" t="inlineStr">
        <is>
          <t>Custom 3</t>
        </is>
      </c>
    </row>
    <row r="4">
      <c r="A4" s="0" t="inlineStr">
        <is>
          <t>C4</t>
        </is>
      </c>
      <c r="B4" s="0" t="inlineStr">
        <is>
          <t>Custom 4</t>
        </is>
      </c>
    </row>
    <row r="5">
      <c r="A5" s="0" t="inlineStr">
        <is>
          <t>C5</t>
        </is>
      </c>
      <c r="B5" s="0" t="inlineStr">
        <is>
          <t>Custom 5</t>
        </is>
      </c>
    </row>
    <row r="6">
      <c r="A6" s="0" t="inlineStr">
        <is>
          <t>C6</t>
        </is>
      </c>
      <c r="B6" s="0" t="inlineStr">
        <is>
          <t>Custom 6</t>
        </is>
      </c>
    </row>
    <row r="7">
      <c r="A7" s="0" t="inlineStr">
        <is>
          <t>C7</t>
        </is>
      </c>
      <c r="B7" s="0" t="inlineStr">
        <is>
          <t>Custom 7</t>
        </is>
      </c>
    </row>
    <row r="8">
      <c r="A8" s="0" t="inlineStr">
        <is>
          <t>C8</t>
        </is>
      </c>
      <c r="B8" s="0" t="inlineStr">
        <is>
          <t>Custom 8</t>
        </is>
      </c>
    </row>
  </sheetData>
  <pageMargins left="0.7" right="0.7" top="0.75" bottom="0.75" header="0.3" footer="0.3"/>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Liufs</dc:creator>
  <dcterms:created xmlns:dcterms="http://purl.org/dc/terms/" xmlns:xsi="http://www.w3.org/2001/XMLSchema-instance" xsi:type="dcterms:W3CDTF">2007-05-20T08:51:05Z</dcterms:created>
  <dcterms:modified xmlns:dcterms="http://purl.org/dc/terms/" xmlns:xsi="http://www.w3.org/2001/XMLSchema-instance" xsi:type="dcterms:W3CDTF">2026-07-22T03:38:36Z</dcterms:modified>
  <cp:lastModifiedBy>何先琴</cp:lastModifiedBy>
  <cp:lastPrinted>2025-09-23T09:08:22Z</cp:lastPrinted>
</cp:coreProperties>
</file>