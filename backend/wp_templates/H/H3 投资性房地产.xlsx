
<file path=[Content_Types].xml><?xml version="1.0" encoding="utf-8"?>
<Types xmlns="http://schemas.openxmlformats.org/package/2006/content-types">
  <Default Extension="vml" ContentType="application/vnd.openxmlformats-officedocument.vmlDrawing"/>
  <Default Extension="bin" ContentType="application/vnd.openxmlformats-officedocument.oleObject"/>
  <Default Extension="wmf" ContentType="image/x-w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Height="10600" tabRatio="867" firstSheet="2" activeTab="3"/>
  </bookViews>
  <sheets>
    <sheet name="底稿目录" sheetId="16" r:id="rId1"/>
    <sheet name="投资性房地产实质性程序表H3A" sheetId="26" r:id="rId2"/>
    <sheet name="审定表（成本模式）H3-1" sheetId="1" r:id="rId3"/>
    <sheet name="审定表（公允价值模式）H3-1" sheetId="2" r:id="rId4"/>
    <sheet name="附注披露信息（上市公司）" sheetId="3" r:id="rId5"/>
    <sheet name="附注披露信息（国有企业）" sheetId="4" r:id="rId6"/>
    <sheet name="明细表（成本模式）H3-2" sheetId="5" r:id="rId7"/>
    <sheet name="明细表（公允价值模式）H3-2" sheetId="17" r:id="rId8"/>
    <sheet name="调整分录汇总H3-3" sheetId="23" r:id="rId9"/>
    <sheet name="会计政策会计估计检查表H3-4" sheetId="21" r:id="rId10"/>
    <sheet name="增减检查表（成本模式）H3-5" sheetId="24" r:id="rId11"/>
    <sheet name="增减检查表（公允价值模式）H3-5" sheetId="25" r:id="rId12"/>
    <sheet name="互转审核表H3-6" sheetId="11" r:id="rId13"/>
    <sheet name="折旧测算表（成本模式不含减值）H3-7" sheetId="8" r:id="rId14"/>
    <sheet name="折旧测算表（成本模式含减值）H3-7" sheetId="9" r:id="rId15"/>
    <sheet name="公允价值复核表H3-8" sheetId="10" r:id="rId16"/>
    <sheet name="盘点检查表H3-9" sheetId="14" r:id="rId17"/>
    <sheet name="减值测算表H3-10" sheetId="12" r:id="rId18"/>
    <sheet name="可收回金额测试表H3-11" sheetId="13" r:id="rId19"/>
    <sheet name="产权核对表H3-12" sheetId="15" r:id="rId20"/>
    <sheet name="关联交易检查表H3-13" sheetId="28" r:id="rId21"/>
    <sheet name="租金收入测算表H3-14" sheetId="20" r:id="rId22"/>
  </sheets>
  <definedNames>
    <definedName name="_xlnm._FilterDatabase" localSheetId="1" hidden="1">投资性房地产实质性程序表H3A!$A$16:$L$34</definedName>
    <definedName name="_xlnm.Print_Area" localSheetId="19">'产权核对表H3-12'!$A$1:$P$18</definedName>
    <definedName name="_xlnm.Print_Area" localSheetId="8">'调整分录汇总H3-3'!$A$1:$J$20</definedName>
    <definedName name="_xlnm.Print_Area" localSheetId="5">'附注披露信息（国有企业）'!$A$1:$H$46</definedName>
    <definedName name="_xlnm.Print_Area" localSheetId="4">'附注披露信息（上市公司）'!$A$1:$E$74</definedName>
    <definedName name="_xlnm.Print_Area" localSheetId="15">'公允价值复核表H3-8'!$A$1:$N$37</definedName>
    <definedName name="_xlnm.Print_Area" localSheetId="20">'关联交易检查表H3-13'!$A$1:$J$24</definedName>
    <definedName name="_xlnm.Print_Area" localSheetId="12">'互转审核表H3-6'!$A$1:$W$32</definedName>
    <definedName name="_xlnm.Print_Area" localSheetId="9">'会计政策会计估计检查表H3-4'!$A$1:$K$27</definedName>
    <definedName name="_xlnm.Print_Area" localSheetId="17">'减值测算表H3-10'!$A$1:$L$34</definedName>
    <definedName name="_xlnm.Print_Area" localSheetId="18">'可收回金额测试表H3-11'!$A$1:$O$31</definedName>
    <definedName name="_xlnm.Print_Area" localSheetId="6">'明细表（成本模式）H3-2'!$A$1:$AS$37</definedName>
    <definedName name="_xlnm.Print_Area" localSheetId="7">'明细表（公允价值模式）H3-2'!$A$1:$AA$37</definedName>
    <definedName name="_xlnm.Print_Area" localSheetId="16">'盘点检查表H3-9'!$A$1:$M$33</definedName>
    <definedName name="_xlnm.Print_Area" localSheetId="2">'审定表（成本模式）H3-1'!$A$1:$I$45</definedName>
    <definedName name="_xlnm.Print_Area" localSheetId="3">'审定表（公允价值模式）H3-1'!$A$1:$I$41</definedName>
    <definedName name="_xlnm.Print_Area" localSheetId="1">投资性房地产实质性程序表H3A!$A$1:$I$34</definedName>
    <definedName name="_xlnm.Print_Area" localSheetId="10">'增减检查表（成本模式）H3-5'!$A$1:$T$39</definedName>
    <definedName name="_xlnm.Print_Area" localSheetId="11">'增减检查表（公允价值模式）H3-5'!$A$1:$S$40</definedName>
    <definedName name="_xlnm.Print_Area" localSheetId="13">'折旧测算表（成本模式不含减值）H3-7'!$A$1:$S$33</definedName>
    <definedName name="_xlnm.Print_Area" localSheetId="14">'折旧测算表（成本模式含减值）H3-7'!$A$1:$Y$32</definedName>
    <definedName name="_xlnm.Print_Area" localSheetId="21">'租金收入测算表H3-14'!$A$1:$U$24</definedName>
    <definedName name="_xlnm.Print_Titles" localSheetId="6">'明细表（成本模式）H3-2'!$A:$B,'明细表（成本模式）H3-2'!$1:$8</definedName>
    <definedName name="_xlnm.Print_Titles" localSheetId="7">'明细表（公允价值模式）H3-2'!$A:$B</definedName>
    <definedName name="_xlnm.Print_Titles" localSheetId="1">投资性房地产实质性程序表H3A!$15:$16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何先琴</author>
  </authors>
  <commentList>
    <comment ref="B15" authorId="0">
      <text>
        <r>
          <rPr>
            <b/>
            <sz val="9"/>
            <rFont val="宋体"/>
            <charset val="134"/>
          </rPr>
          <t>专业技术部:</t>
        </r>
        <r>
          <rPr>
            <sz val="9"/>
            <rFont val="宋体"/>
            <charset val="134"/>
          </rPr>
          <t xml:space="preserve">
根据被审计单位实际情况和风险评估情况裁剪、修改或增加审计程序</t>
        </r>
      </text>
    </comment>
  </commentList>
</comments>
</file>

<file path=xl/sharedStrings.xml><?xml version="1.0" encoding="utf-8"?>
<sst xmlns="http://schemas.openxmlformats.org/spreadsheetml/2006/main" count="1293" uniqueCount="731">
  <si>
    <r>
      <rPr>
        <b/>
        <sz val="10"/>
        <rFont val="宋体"/>
        <charset val="134"/>
      </rPr>
      <t>底稿开列时，可先在以下单元格填写有关内容，以便其他底稿引用有关数据：</t>
    </r>
  </si>
  <si>
    <r>
      <rPr>
        <sz val="10"/>
        <rFont val="宋体"/>
        <charset val="134"/>
      </rPr>
      <t>被审计单位：</t>
    </r>
  </si>
  <si>
    <t>后续计量模式选择</t>
  </si>
  <si>
    <t>成本模式</t>
  </si>
  <si>
    <t>截止日：202X年12月31日</t>
  </si>
  <si>
    <r>
      <rPr>
        <b/>
        <sz val="10"/>
        <rFont val="宋体"/>
        <charset val="134"/>
      </rPr>
      <t>序号</t>
    </r>
  </si>
  <si>
    <r>
      <rPr>
        <b/>
        <sz val="10"/>
        <rFont val="宋体"/>
        <charset val="134"/>
      </rPr>
      <t>内容</t>
    </r>
  </si>
  <si>
    <r>
      <rPr>
        <b/>
        <sz val="10"/>
        <rFont val="宋体"/>
        <charset val="134"/>
      </rPr>
      <t>索引号</t>
    </r>
  </si>
  <si>
    <r>
      <rPr>
        <b/>
        <sz val="10"/>
        <rFont val="宋体"/>
        <charset val="134"/>
      </rPr>
      <t>备注</t>
    </r>
  </si>
  <si>
    <r>
      <rPr>
        <sz val="10"/>
        <rFont val="宋体"/>
        <charset val="134"/>
      </rPr>
      <t>编制人：</t>
    </r>
  </si>
  <si>
    <t>投资性房地产实质性程序表</t>
  </si>
  <si>
    <t>H3A</t>
  </si>
  <si>
    <r>
      <rPr>
        <sz val="10"/>
        <rFont val="宋体"/>
        <charset val="134"/>
      </rPr>
      <t>复核人：</t>
    </r>
  </si>
  <si>
    <r>
      <rPr>
        <sz val="10"/>
        <color rgb="FF0000FF"/>
        <rFont val="宋体"/>
        <charset val="134"/>
      </rPr>
      <t>审定表（成本模式）</t>
    </r>
  </si>
  <si>
    <t>H3-1</t>
  </si>
  <si>
    <r>
      <rPr>
        <sz val="10"/>
        <rFont val="宋体"/>
        <charset val="134"/>
      </rPr>
      <t>编制日期：</t>
    </r>
  </si>
  <si>
    <r>
      <rPr>
        <sz val="10"/>
        <color rgb="FF0000FF"/>
        <rFont val="宋体"/>
        <charset val="134"/>
      </rPr>
      <t>审定表（公允价值模式）</t>
    </r>
  </si>
  <si>
    <r>
      <rPr>
        <sz val="10"/>
        <rFont val="宋体"/>
        <charset val="134"/>
      </rPr>
      <t>复核日期：</t>
    </r>
  </si>
  <si>
    <r>
      <rPr>
        <sz val="10"/>
        <color rgb="FF0000FF"/>
        <rFont val="宋体"/>
        <charset val="134"/>
      </rPr>
      <t>附注披露信息（上市公司）</t>
    </r>
  </si>
  <si>
    <r>
      <rPr>
        <sz val="10"/>
        <color theme="1"/>
        <rFont val="宋体"/>
        <charset val="134"/>
      </rPr>
      <t>无需打印</t>
    </r>
  </si>
  <si>
    <r>
      <rPr>
        <b/>
        <sz val="10"/>
        <color rgb="FF000000"/>
        <rFont val="宋体"/>
        <charset val="134"/>
      </rPr>
      <t>固定资产类别设置（以下内容请根据实际情况修改）：</t>
    </r>
  </si>
  <si>
    <r>
      <rPr>
        <sz val="10"/>
        <color rgb="FF0000FF"/>
        <rFont val="宋体"/>
        <charset val="134"/>
      </rPr>
      <t>附注披露信息（国有企业）</t>
    </r>
  </si>
  <si>
    <r>
      <rPr>
        <sz val="10"/>
        <color rgb="FF000000"/>
        <rFont val="宋体"/>
        <charset val="134"/>
      </rPr>
      <t>房屋、建筑物</t>
    </r>
  </si>
  <si>
    <r>
      <rPr>
        <sz val="10"/>
        <color rgb="FF0000FF"/>
        <rFont val="宋体"/>
        <charset val="134"/>
      </rPr>
      <t>明细表（成本模式）</t>
    </r>
  </si>
  <si>
    <t>H3-2</t>
  </si>
  <si>
    <r>
      <rPr>
        <sz val="10"/>
        <color rgb="FF000000"/>
        <rFont val="宋体"/>
        <charset val="134"/>
      </rPr>
      <t>土地使用权</t>
    </r>
  </si>
  <si>
    <r>
      <rPr>
        <sz val="10"/>
        <color rgb="FF0000FF"/>
        <rFont val="宋体"/>
        <charset val="134"/>
      </rPr>
      <t>明细表（公允价值模式）</t>
    </r>
  </si>
  <si>
    <r>
      <rPr>
        <sz val="10"/>
        <color rgb="FF000000"/>
        <rFont val="宋体"/>
        <charset val="134"/>
      </rPr>
      <t>在建工程</t>
    </r>
  </si>
  <si>
    <r>
      <rPr>
        <sz val="10"/>
        <color rgb="FF0000FF"/>
        <rFont val="宋体"/>
        <charset val="134"/>
      </rPr>
      <t>调整分录汇总</t>
    </r>
  </si>
  <si>
    <t>H3-3</t>
  </si>
  <si>
    <t>……</t>
  </si>
  <si>
    <r>
      <rPr>
        <sz val="10"/>
        <color rgb="FF0000FF"/>
        <rFont val="宋体"/>
        <charset val="134"/>
      </rPr>
      <t>会计政策会计估计检查表</t>
    </r>
  </si>
  <si>
    <t>H3-4</t>
  </si>
  <si>
    <t>增减检查表（成本模式）</t>
  </si>
  <si>
    <t>H3-5</t>
  </si>
  <si>
    <t>增减检查表（公允价值模式）</t>
  </si>
  <si>
    <t>关于工作底稿与审计程序索引号对应的说明</t>
  </si>
  <si>
    <t>互转审核表</t>
  </si>
  <si>
    <t>H3-6</t>
  </si>
  <si>
    <r>
      <rPr>
        <b/>
        <sz val="12"/>
        <rFont val="Arial Narrow"/>
        <charset val="134"/>
      </rPr>
      <t>1.</t>
    </r>
    <r>
      <rPr>
        <b/>
        <sz val="12"/>
        <rFont val="宋体"/>
        <charset val="134"/>
      </rPr>
      <t>编制的审计工作底稿应与审计程序对应。</t>
    </r>
    <r>
      <rPr>
        <sz val="12"/>
        <rFont val="宋体"/>
        <charset val="134"/>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</si>
  <si>
    <r>
      <rPr>
        <sz val="10"/>
        <color rgb="FF0000FF"/>
        <rFont val="宋体"/>
        <charset val="134"/>
      </rPr>
      <t>折旧测算表（成本模式不含减值）</t>
    </r>
  </si>
  <si>
    <t>H3-7</t>
  </si>
  <si>
    <r>
      <rPr>
        <sz val="10"/>
        <color rgb="FF0000FF"/>
        <rFont val="宋体"/>
        <charset val="134"/>
      </rPr>
      <t>折旧测算表（成本模式含减值）</t>
    </r>
  </si>
  <si>
    <t>公允价值复核表</t>
  </si>
  <si>
    <t>H3-8</t>
  </si>
  <si>
    <t>盘点检查表</t>
  </si>
  <si>
    <t>H3-9</t>
  </si>
  <si>
    <r>
      <rPr>
        <b/>
        <sz val="12"/>
        <rFont val="Arial Narrow"/>
        <charset val="134"/>
      </rPr>
      <t>2.</t>
    </r>
    <r>
      <rPr>
        <b/>
        <sz val="12"/>
        <rFont val="宋体"/>
        <charset val="134"/>
      </rPr>
      <t>获取的支持性证据应与审计底稿或程序对应。</t>
    </r>
    <r>
      <rPr>
        <sz val="12"/>
        <rFont val="宋体"/>
        <charset val="134"/>
      </rPr>
      <t>审计项目组在完成底稿时获取的支持性证据应根据底稿索引号编制下一级按自然顺序排序的索引号（如</t>
    </r>
    <r>
      <rPr>
        <sz val="12"/>
        <rFont val="Arial Narrow"/>
        <charset val="134"/>
      </rPr>
      <t>D1-2-1</t>
    </r>
    <r>
      <rPr>
        <sz val="12"/>
        <rFont val="宋体"/>
        <charset val="134"/>
      </rPr>
      <t>、</t>
    </r>
    <r>
      <rPr>
        <sz val="12"/>
        <rFont val="Arial Narrow"/>
        <charset val="134"/>
      </rPr>
      <t>D1-2-2</t>
    </r>
    <r>
      <rPr>
        <sz val="12"/>
        <rFont val="宋体"/>
        <charset val="134"/>
      </rPr>
      <t>、</t>
    </r>
    <r>
      <rPr>
        <sz val="12"/>
        <rFont val="Arial Narrow"/>
        <charset val="134"/>
      </rPr>
      <t>……</t>
    </r>
    <r>
      <rPr>
        <sz val="12"/>
        <rFont val="宋体"/>
        <charset val="134"/>
      </rPr>
      <t>），并在底稿中说明引用的支持性证据、关联索引号。</t>
    </r>
  </si>
  <si>
    <t>减值测算表</t>
  </si>
  <si>
    <t>H3-10</t>
  </si>
  <si>
    <t>可收回金额测试表</t>
  </si>
  <si>
    <t>H3-11</t>
  </si>
  <si>
    <t>产权核对表</t>
  </si>
  <si>
    <t>H3-12</t>
  </si>
  <si>
    <r>
      <rPr>
        <b/>
        <sz val="12"/>
        <rFont val="Arial Narrow"/>
        <charset val="134"/>
      </rPr>
      <t>3.</t>
    </r>
    <r>
      <rPr>
        <b/>
        <sz val="12"/>
        <rFont val="宋体"/>
        <charset val="134"/>
      </rPr>
      <t>工作底稿索引号的编码规则：</t>
    </r>
    <r>
      <rPr>
        <sz val="12"/>
        <rFont val="宋体"/>
        <charset val="134"/>
      </rPr>
      <t>实质性程序索引号按循环从</t>
    </r>
    <r>
      <rPr>
        <sz val="12"/>
        <rFont val="Arial Narrow"/>
        <charset val="134"/>
      </rPr>
      <t>“D”</t>
    </r>
    <r>
      <rPr>
        <sz val="12"/>
        <rFont val="宋体"/>
        <charset val="134"/>
      </rPr>
      <t>到</t>
    </r>
    <r>
      <rPr>
        <sz val="12"/>
        <rFont val="Arial Narrow"/>
        <charset val="134"/>
      </rPr>
      <t>“N”,</t>
    </r>
    <r>
      <rPr>
        <sz val="12"/>
        <rFont val="宋体"/>
        <charset val="134"/>
      </rPr>
      <t>循环内账户以顺序号排列，模板中底稿索引号按账户顺序</t>
    </r>
    <r>
      <rPr>
        <sz val="12"/>
        <rFont val="Arial Narrow"/>
        <charset val="134"/>
      </rPr>
      <t>+</t>
    </r>
    <r>
      <rPr>
        <sz val="12"/>
        <rFont val="宋体"/>
        <charset val="134"/>
      </rPr>
      <t>自然数顺序（即模板中索引号按二级自然顺序排列，如</t>
    </r>
    <r>
      <rPr>
        <sz val="12"/>
        <rFont val="Arial Narrow"/>
        <charset val="134"/>
      </rPr>
      <t>D1-1</t>
    </r>
    <r>
      <rPr>
        <sz val="12"/>
        <rFont val="宋体"/>
        <charset val="134"/>
      </rPr>
      <t>、</t>
    </r>
    <r>
      <rPr>
        <sz val="12"/>
        <rFont val="Arial Narrow"/>
        <charset val="134"/>
      </rPr>
      <t>D1-2</t>
    </r>
    <r>
      <rPr>
        <sz val="12"/>
        <rFont val="宋体"/>
        <charset val="134"/>
      </rPr>
      <t>、</t>
    </r>
    <r>
      <rPr>
        <sz val="12"/>
        <rFont val="Arial Narrow"/>
        <charset val="134"/>
      </rPr>
      <t>D1-3</t>
    </r>
    <r>
      <rPr>
        <sz val="12"/>
        <rFont val="宋体"/>
        <charset val="134"/>
      </rPr>
      <t>、</t>
    </r>
    <r>
      <rPr>
        <sz val="12"/>
        <rFont val="Arial Narrow"/>
        <charset val="134"/>
      </rPr>
      <t>……D1-N</t>
    </r>
    <r>
      <rPr>
        <sz val="12"/>
        <rFont val="宋体"/>
        <charset val="134"/>
      </rPr>
      <t>）。</t>
    </r>
  </si>
  <si>
    <t>关联交易检查表</t>
  </si>
  <si>
    <t>H3-13</t>
  </si>
  <si>
    <t>租金收入测算表</t>
  </si>
  <si>
    <t>H3-14</t>
  </si>
  <si>
    <r>
      <rPr>
        <b/>
        <sz val="12"/>
        <rFont val="宋体"/>
        <charset val="134"/>
      </rPr>
      <t>致同会计师事务所</t>
    </r>
  </si>
  <si>
    <r>
      <rPr>
        <b/>
        <sz val="14"/>
        <rFont val="宋体"/>
        <charset val="134"/>
      </rPr>
      <t>投资性房地产、累计折旧</t>
    </r>
    <r>
      <rPr>
        <b/>
        <sz val="14"/>
        <rFont val="Arial Narrow"/>
        <charset val="134"/>
      </rPr>
      <t>/</t>
    </r>
    <r>
      <rPr>
        <b/>
        <sz val="14"/>
        <rFont val="宋体"/>
        <charset val="134"/>
      </rPr>
      <t>摊销及减值准备实质性程序表</t>
    </r>
  </si>
  <si>
    <t>索引号：</t>
  </si>
  <si>
    <t>页  次：</t>
  </si>
  <si>
    <r>
      <rPr>
        <b/>
        <sz val="10"/>
        <rFont val="宋体"/>
        <charset val="134"/>
      </rPr>
      <t>一、本账户涉及的科目</t>
    </r>
  </si>
  <si>
    <r>
      <rPr>
        <sz val="10"/>
        <rFont val="宋体"/>
        <charset val="134"/>
      </rPr>
      <t>投资性房地产、累计折旧</t>
    </r>
    <r>
      <rPr>
        <sz val="10"/>
        <rFont val="Arial Narrow"/>
        <charset val="134"/>
      </rPr>
      <t>/</t>
    </r>
    <r>
      <rPr>
        <sz val="10"/>
        <rFont val="宋体"/>
        <charset val="134"/>
      </rPr>
      <t>摊销、减值准备</t>
    </r>
  </si>
  <si>
    <t>二、审计目标与认定的对应关系</t>
  </si>
  <si>
    <t>审计目标</t>
  </si>
  <si>
    <r>
      <rPr>
        <b/>
        <sz val="10"/>
        <rFont val="宋体"/>
        <charset val="134"/>
      </rPr>
      <t>财务报表的认定</t>
    </r>
  </si>
  <si>
    <r>
      <rPr>
        <sz val="10"/>
        <rFont val="Arial Narrow"/>
        <charset val="134"/>
      </rPr>
      <t xml:space="preserve">A. </t>
    </r>
    <r>
      <rPr>
        <sz val="10"/>
        <rFont val="宋体"/>
        <charset val="134"/>
      </rPr>
      <t>资产负债表中记录的投资性房地产是存在的，且已记录于恰当的账户</t>
    </r>
  </si>
  <si>
    <r>
      <rPr>
        <sz val="10"/>
        <rFont val="宋体"/>
        <charset val="134"/>
      </rPr>
      <t>存在</t>
    </r>
  </si>
  <si>
    <r>
      <rPr>
        <sz val="10"/>
        <rFont val="Arial Narrow"/>
        <charset val="134"/>
      </rPr>
      <t xml:space="preserve">B. </t>
    </r>
    <r>
      <rPr>
        <sz val="10"/>
        <rFont val="宋体"/>
        <charset val="134"/>
      </rPr>
      <t>所有应记录的投资性房地产均已记录，所有应当包括在财务报表中的相关披露均已包括</t>
    </r>
  </si>
  <si>
    <r>
      <rPr>
        <sz val="10"/>
        <rFont val="宋体"/>
        <charset val="134"/>
      </rPr>
      <t>完整性</t>
    </r>
  </si>
  <si>
    <r>
      <rPr>
        <sz val="10"/>
        <rFont val="Arial Narrow"/>
        <charset val="134"/>
      </rPr>
      <t xml:space="preserve">C. </t>
    </r>
    <r>
      <rPr>
        <sz val="10"/>
        <rFont val="宋体"/>
        <charset val="134"/>
      </rPr>
      <t>记录的投资性房地产由被审计单位拥有或控制；</t>
    </r>
  </si>
  <si>
    <r>
      <rPr>
        <sz val="10"/>
        <rFont val="宋体"/>
        <charset val="134"/>
      </rPr>
      <t>权利和义务</t>
    </r>
  </si>
  <si>
    <r>
      <rPr>
        <sz val="10"/>
        <rFont val="Arial Narrow"/>
        <charset val="134"/>
      </rPr>
      <t xml:space="preserve">D. </t>
    </r>
    <r>
      <rPr>
        <sz val="10"/>
        <rFont val="宋体"/>
        <charset val="134"/>
      </rPr>
      <t>投资性房地产以恰当的金额包括在财务报表中，与之相关的计价或分摊调整已恰当记录，相关披露已得到恰当计量和描述</t>
    </r>
    <r>
      <rPr>
        <sz val="10"/>
        <rFont val="Arial Narrow"/>
        <charset val="134"/>
      </rPr>
      <t xml:space="preserve"> </t>
    </r>
  </si>
  <si>
    <r>
      <rPr>
        <sz val="10"/>
        <rFont val="宋体"/>
        <charset val="134"/>
      </rPr>
      <t>准确性、计价和分摊</t>
    </r>
  </si>
  <si>
    <r>
      <rPr>
        <sz val="10"/>
        <rFont val="Arial Narrow"/>
        <charset val="134"/>
      </rPr>
      <t xml:space="preserve">E. </t>
    </r>
    <r>
      <rPr>
        <sz val="10"/>
        <rFont val="宋体"/>
        <charset val="134"/>
      </rPr>
      <t>投资性房地产已被恰当地汇总或分解且表述清楚，相关披露在按照企业会计准则的编制基础下是相关的、可理解的</t>
    </r>
  </si>
  <si>
    <r>
      <rPr>
        <sz val="10"/>
        <rFont val="宋体"/>
        <charset val="134"/>
      </rPr>
      <t>列报</t>
    </r>
  </si>
  <si>
    <t>三、计划实施的实质性程序</t>
  </si>
  <si>
    <t>审计程序</t>
  </si>
  <si>
    <r>
      <rPr>
        <b/>
        <sz val="10"/>
        <rFont val="宋体"/>
        <charset val="134"/>
      </rPr>
      <t>程序分类</t>
    </r>
  </si>
  <si>
    <r>
      <rPr>
        <b/>
        <sz val="10"/>
        <rFont val="宋体"/>
        <charset val="134"/>
      </rPr>
      <t>底稿索引号</t>
    </r>
  </si>
  <si>
    <r>
      <rPr>
        <b/>
        <sz val="10"/>
        <rFont val="宋体"/>
        <charset val="134"/>
      </rPr>
      <t>存在</t>
    </r>
  </si>
  <si>
    <r>
      <rPr>
        <b/>
        <sz val="10"/>
        <rFont val="宋体"/>
        <charset val="134"/>
      </rPr>
      <t>完整性</t>
    </r>
  </si>
  <si>
    <r>
      <rPr>
        <b/>
        <sz val="10"/>
        <rFont val="宋体"/>
        <charset val="134"/>
      </rPr>
      <t>权利和
义务</t>
    </r>
  </si>
  <si>
    <r>
      <rPr>
        <b/>
        <sz val="10"/>
        <rFont val="宋体"/>
        <charset val="134"/>
      </rPr>
      <t>准确性、计价和分摊</t>
    </r>
  </si>
  <si>
    <r>
      <rPr>
        <b/>
        <sz val="10"/>
        <rFont val="宋体"/>
        <charset val="134"/>
      </rPr>
      <t>列报</t>
    </r>
  </si>
  <si>
    <t>根据被审计单位实际情况和风险评估情况裁剪、修改或增加审计程序</t>
  </si>
  <si>
    <t>1</t>
  </si>
  <si>
    <r>
      <rPr>
        <sz val="10"/>
        <rFont val="宋体"/>
        <charset val="134"/>
      </rPr>
      <t>获取或编制投资性房地产的明细表，完成以下工作，并编制审定表：
（</t>
    </r>
    <r>
      <rPr>
        <sz val="10"/>
        <rFont val="Arial Narrow"/>
        <charset val="134"/>
      </rPr>
      <t>1</t>
    </r>
    <r>
      <rPr>
        <sz val="10"/>
        <rFont val="宋体"/>
        <charset val="134"/>
      </rPr>
      <t>）复核加计是否正确，并与总账数和明细账合计数核对是否相符，期初余额与上期审定期末余额是否相符；
（</t>
    </r>
    <r>
      <rPr>
        <sz val="10"/>
        <rFont val="Arial Narrow"/>
        <charset val="134"/>
      </rPr>
      <t>3</t>
    </r>
    <r>
      <rPr>
        <sz val="10"/>
        <rFont val="宋体"/>
        <charset val="134"/>
      </rPr>
      <t>）分析投资性房地产与上期变动情况；
（</t>
    </r>
    <r>
      <rPr>
        <sz val="10"/>
        <rFont val="Arial Narrow"/>
        <charset val="134"/>
      </rPr>
      <t>2</t>
    </r>
    <r>
      <rPr>
        <sz val="10"/>
        <rFont val="宋体"/>
        <charset val="134"/>
      </rPr>
      <t>）询问闲置资产或未入账资产处置情况（如有）。</t>
    </r>
    <r>
      <rPr>
        <sz val="10"/>
        <rFont val="Arial Narrow"/>
        <charset val="134"/>
      </rPr>
      <t xml:space="preserve"> </t>
    </r>
  </si>
  <si>
    <r>
      <rPr>
        <sz val="10"/>
        <color theme="1"/>
        <rFont val="宋体"/>
        <charset val="134"/>
      </rPr>
      <t>常规★</t>
    </r>
  </si>
  <si>
    <r>
      <rPr>
        <sz val="10"/>
        <color theme="1"/>
        <rFont val="宋体"/>
        <charset val="134"/>
      </rPr>
      <t>√</t>
    </r>
  </si>
  <si>
    <r>
      <rPr>
        <b/>
        <sz val="10"/>
        <color theme="1"/>
        <rFont val="宋体"/>
        <charset val="134"/>
      </rPr>
      <t>√</t>
    </r>
  </si>
  <si>
    <t>H3-1
/H3-2</t>
  </si>
  <si>
    <t>2</t>
  </si>
  <si>
    <r>
      <rPr>
        <sz val="10"/>
        <rFont val="宋体"/>
        <charset val="134"/>
      </rPr>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r>
  </si>
  <si>
    <r>
      <rPr>
        <b/>
        <sz val="10"/>
        <rFont val="宋体"/>
        <charset val="134"/>
      </rPr>
      <t>√</t>
    </r>
  </si>
  <si>
    <r>
      <rPr>
        <sz val="10"/>
        <rFont val="宋体"/>
        <charset val="134"/>
      </rPr>
      <t>√</t>
    </r>
  </si>
  <si>
    <t>T1
/</t>
  </si>
  <si>
    <r>
      <rPr>
        <sz val="9"/>
        <color rgb="FF0000FF"/>
        <rFont val="宋体"/>
        <charset val="134"/>
      </rPr>
      <t>可参见《审计手册》</t>
    </r>
    <r>
      <rPr>
        <sz val="9"/>
        <color rgb="FF0000FF"/>
        <rFont val="Arial Narrow"/>
        <charset val="134"/>
      </rPr>
      <t>4.2.6</t>
    </r>
    <r>
      <rPr>
        <sz val="9"/>
        <color rgb="FF0000FF"/>
        <rFont val="宋体"/>
        <charset val="134"/>
      </rPr>
      <t xml:space="preserve">，由被审计单位生成的信息可能是由系统生成的、或手工编制的、或二者兼而有之的方式生成的。例如，由被审计单位生成的信息可能包括：
</t>
    </r>
    <r>
      <rPr>
        <sz val="9"/>
        <color rgb="FF0000FF"/>
        <rFont val="Arial Narrow"/>
        <charset val="134"/>
      </rPr>
      <t xml:space="preserve">• </t>
    </r>
    <r>
      <rPr>
        <sz val="9"/>
        <color rgb="FF0000FF"/>
        <rFont val="宋体"/>
        <charset val="134"/>
      </rPr>
      <t xml:space="preserve">不涉及自定义的、由系统生成的报告（如，固定格式报告）；
</t>
    </r>
    <r>
      <rPr>
        <sz val="9"/>
        <color rgb="FF0000FF"/>
        <rFont val="Arial Narrow"/>
        <charset val="134"/>
      </rPr>
      <t xml:space="preserve">• </t>
    </r>
    <r>
      <rPr>
        <sz val="9"/>
        <color rgb="FF0000FF"/>
        <rFont val="宋体"/>
        <charset val="134"/>
      </rPr>
      <t xml:space="preserve">可能通过人工自定义的、由系统生成的报告，例如，（计算机）查询信息或特别定制的报告；
</t>
    </r>
    <r>
      <rPr>
        <sz val="9"/>
        <color rgb="FF0000FF"/>
        <rFont val="Arial Narrow"/>
        <charset val="134"/>
      </rPr>
      <t xml:space="preserve">• </t>
    </r>
    <r>
      <rPr>
        <sz val="9"/>
        <color rgb="FF0000FF"/>
        <rFont val="宋体"/>
        <charset val="134"/>
      </rPr>
      <t xml:space="preserve">手工编制的信息，例如，汇总信息的电子表格或用以支持分配、计算以及调节的电子表格；
</t>
    </r>
    <r>
      <rPr>
        <sz val="9"/>
        <color rgb="FF0000FF"/>
        <rFont val="Arial Narrow"/>
        <charset val="134"/>
      </rPr>
      <t xml:space="preserve">• </t>
    </r>
    <r>
      <rPr>
        <sz val="9"/>
        <color rgb="FF0000FF"/>
        <rFont val="宋体"/>
        <charset val="134"/>
      </rPr>
      <t xml:space="preserve">其他系统生成或手工编制的信息，例如，由被审计单位编制的客户发票；
</t>
    </r>
    <r>
      <rPr>
        <sz val="9"/>
        <color rgb="FF0000FF"/>
        <rFont val="Arial Narrow"/>
        <charset val="134"/>
      </rPr>
      <t xml:space="preserve">• </t>
    </r>
    <r>
      <rPr>
        <sz val="9"/>
        <color rgb="FF0000FF"/>
        <rFont val="宋体"/>
        <charset val="134"/>
      </rPr>
      <t>通过影印、拍摄、扫描或其他方式转换成电子形式的文件记录。</t>
    </r>
  </si>
  <si>
    <t>3</t>
  </si>
  <si>
    <r>
      <rPr>
        <sz val="10"/>
        <rFont val="宋体"/>
        <charset val="134"/>
      </rPr>
      <t>对期初余额的审计，取得上期投资性房地产明细表复核加计是否正确，与总账、明细账合计数是否相符； 重新测算期初累计折旧余额准确性；对单项金额重大资产，进行实地查看资产或检查支持性文件，其他必要追加的审计程序。</t>
    </r>
    <r>
      <rPr>
        <sz val="10"/>
        <color rgb="FFFF0000"/>
        <rFont val="宋体"/>
        <charset val="134"/>
      </rPr>
      <t>（适用于首次承接）</t>
    </r>
  </si>
  <si>
    <r>
      <rPr>
        <sz val="10"/>
        <color theme="1"/>
        <rFont val="宋体"/>
        <charset val="134"/>
      </rPr>
      <t>备选</t>
    </r>
  </si>
  <si>
    <r>
      <rPr>
        <sz val="9"/>
        <color rgb="FF0000FF"/>
        <rFont val="宋体"/>
        <charset val="134"/>
      </rPr>
      <t xml:space="preserve">由被审计单位生成的信息不包括：
</t>
    </r>
    <r>
      <rPr>
        <sz val="9"/>
        <color rgb="FF0000FF"/>
        <rFont val="Arial Narrow"/>
        <charset val="134"/>
      </rPr>
      <t xml:space="preserve">• </t>
    </r>
    <r>
      <rPr>
        <sz val="9"/>
        <color rgb="FF0000FF"/>
        <rFont val="宋体"/>
        <charset val="134"/>
      </rPr>
      <t xml:space="preserve">总分类账或明细分类账、试算平衡表、或经审计的财务报表；
</t>
    </r>
    <r>
      <rPr>
        <sz val="9"/>
        <color rgb="FF0000FF"/>
        <rFont val="Arial Narrow"/>
        <charset val="134"/>
      </rPr>
      <t xml:space="preserve">• </t>
    </r>
    <r>
      <rPr>
        <sz val="9"/>
        <color rgb="FF0000FF"/>
        <rFont val="宋体"/>
        <charset val="134"/>
      </rPr>
      <t xml:space="preserve">第三方（除了服务机构）的报表或报告，例如，原始银行对账单，或函证的回函；
</t>
    </r>
    <r>
      <rPr>
        <sz val="9"/>
        <color rgb="FF0000FF"/>
        <rFont val="Arial Narrow"/>
        <charset val="134"/>
      </rPr>
      <t xml:space="preserve">• </t>
    </r>
    <r>
      <rPr>
        <sz val="9"/>
        <color rgb="FF0000FF"/>
        <rFont val="宋体"/>
        <charset val="134"/>
      </rPr>
      <t>外部数据（例如，第三方发布的数据，如，定价来源）。</t>
    </r>
  </si>
  <si>
    <t>4</t>
  </si>
  <si>
    <r>
      <rPr>
        <sz val="10"/>
        <rFont val="宋体"/>
        <charset val="134"/>
      </rPr>
      <t>关注会计政策、会计估计合理性、一贯性，关注其是否利用会计政策和会计估计及其变更操纵利润。必要时与同行业其他公司会计政策、会计估计进行对比，主要会计政策和估计包括：
（</t>
    </r>
    <r>
      <rPr>
        <sz val="10"/>
        <rFont val="Arial Narrow"/>
        <charset val="134"/>
      </rPr>
      <t>1</t>
    </r>
    <r>
      <rPr>
        <sz val="10"/>
        <rFont val="宋体"/>
        <charset val="134"/>
      </rPr>
      <t>）投资性房地产的分类和采用的计量模式和依据；
（</t>
    </r>
    <r>
      <rPr>
        <sz val="10"/>
        <rFont val="Arial Narrow"/>
        <charset val="134"/>
      </rPr>
      <t>2</t>
    </r>
    <r>
      <rPr>
        <sz val="10"/>
        <rFont val="宋体"/>
        <charset val="134"/>
      </rPr>
      <t>）投资性房地产折旧</t>
    </r>
    <r>
      <rPr>
        <sz val="10"/>
        <rFont val="Arial Narrow"/>
        <charset val="134"/>
      </rPr>
      <t>/</t>
    </r>
    <r>
      <rPr>
        <sz val="10"/>
        <rFont val="宋体"/>
        <charset val="134"/>
      </rPr>
      <t>减值的政策和方法；
（</t>
    </r>
    <r>
      <rPr>
        <sz val="10"/>
        <rFont val="Arial Narrow"/>
        <charset val="134"/>
      </rPr>
      <t>3</t>
    </r>
    <r>
      <rPr>
        <sz val="10"/>
        <rFont val="宋体"/>
        <charset val="134"/>
      </rPr>
      <t>）投资性房地产的后续支出（包括支出费用化和资本化）及终止确认；
（</t>
    </r>
    <r>
      <rPr>
        <sz val="10"/>
        <rFont val="Arial Narrow"/>
        <charset val="134"/>
      </rPr>
      <t>4</t>
    </r>
    <r>
      <rPr>
        <sz val="10"/>
        <rFont val="宋体"/>
        <charset val="134"/>
      </rPr>
      <t>）投资性房地产变更用途和计量属性的合理性。</t>
    </r>
  </si>
  <si>
    <t>5</t>
  </si>
  <si>
    <r>
      <rPr>
        <sz val="10"/>
        <rFont val="宋体"/>
        <charset val="134"/>
      </rPr>
      <t>检查本期增加的投资性房地产：
（</t>
    </r>
    <r>
      <rPr>
        <sz val="10"/>
        <rFont val="Arial Narrow"/>
        <charset val="134"/>
      </rPr>
      <t>1</t>
    </r>
    <r>
      <rPr>
        <sz val="10"/>
        <rFont val="宋体"/>
        <charset val="134"/>
      </rPr>
      <t>）对于外购的投资性房地产，追查至购买合同</t>
    </r>
    <r>
      <rPr>
        <sz val="10"/>
        <rFont val="Arial Narrow"/>
        <charset val="134"/>
      </rPr>
      <t>/</t>
    </r>
    <r>
      <rPr>
        <sz val="10"/>
        <rFont val="宋体"/>
        <charset val="134"/>
      </rPr>
      <t>协议、原始发票、验收报告等以确认其有效性、金额的正确性以及新增投资性房地产是否经过有效批准；
（</t>
    </r>
    <r>
      <rPr>
        <sz val="10"/>
        <rFont val="Arial Narrow"/>
        <charset val="134"/>
      </rPr>
      <t>2</t>
    </r>
    <r>
      <rPr>
        <sz val="10"/>
        <rFont val="宋体"/>
        <charset val="134"/>
      </rPr>
      <t>）对于投资性房地产后续支出，检查后续支出的核算是否符合规定，如果后续支出金额较大，进行细节测试：检查大额支出的原始记录，分析资本性支出和收益性支出的划分是否合理。
（</t>
    </r>
    <r>
      <rPr>
        <sz val="10"/>
        <rFont val="Arial Narrow"/>
        <charset val="134"/>
      </rPr>
      <t>3</t>
    </r>
    <r>
      <rPr>
        <sz val="10"/>
        <rFont val="宋体"/>
        <charset val="134"/>
      </rPr>
      <t>）检查本期对投资性房地产进行改良或装修的会计处理是否正确。</t>
    </r>
  </si>
  <si>
    <r>
      <rPr>
        <sz val="10"/>
        <color theme="1"/>
        <rFont val="宋体"/>
        <charset val="134"/>
      </rPr>
      <t>常规</t>
    </r>
  </si>
  <si>
    <t xml:space="preserve">H3-5
</t>
  </si>
  <si>
    <t>7</t>
  </si>
  <si>
    <r>
      <rPr>
        <sz val="10"/>
        <rFont val="宋体"/>
        <charset val="134"/>
      </rPr>
      <t>检查本期减少的投资性房地产：
（</t>
    </r>
    <r>
      <rPr>
        <sz val="10"/>
        <rFont val="Arial Narrow"/>
        <charset val="134"/>
      </rPr>
      <t>1</t>
    </r>
    <r>
      <rPr>
        <sz val="10"/>
        <rFont val="宋体"/>
        <charset val="134"/>
      </rPr>
      <t>）对于处置、报废、盘亏的投资性房地产，确认已经办理审批手续，相关收益或损失已正确计算，并进行正确的会计处理。
（</t>
    </r>
    <r>
      <rPr>
        <sz val="10"/>
        <rFont val="Arial Narrow"/>
        <charset val="134"/>
      </rPr>
      <t>2</t>
    </r>
    <r>
      <rPr>
        <sz val="10"/>
        <rFont val="宋体"/>
        <charset val="134"/>
      </rPr>
      <t>）对于投资性房地产转为自用房地产，关注转换依据是否充分，检查是否经过有效批准，会计处理是否正确。</t>
    </r>
  </si>
  <si>
    <t>6</t>
  </si>
  <si>
    <t>如存在投资性房地产转换：对于自用房地产或存货转入的投资性房地产，关注转换依据是否充分，检查是否经过有效批准，转换日成本计量是否正确，会计处理是否正确；</t>
  </si>
  <si>
    <t>8</t>
  </si>
  <si>
    <r>
      <rPr>
        <sz val="10"/>
        <rFont val="宋体"/>
        <charset val="134"/>
      </rPr>
      <t>以其他方式增加或减少投资性房地产，考虑执行的程序
（</t>
    </r>
    <r>
      <rPr>
        <sz val="10"/>
        <rFont val="Arial Narrow"/>
        <charset val="134"/>
      </rPr>
      <t>1</t>
    </r>
    <r>
      <rPr>
        <sz val="10"/>
        <rFont val="宋体"/>
        <charset val="134"/>
      </rPr>
      <t>）对于非货币性资产交换、债务重组、企业合并、投资者投入等交易方式取得或减少投资性房地产，检查相关合同</t>
    </r>
    <r>
      <rPr>
        <sz val="10"/>
        <rFont val="Arial Narrow"/>
        <charset val="134"/>
      </rPr>
      <t>/</t>
    </r>
    <r>
      <rPr>
        <sz val="10"/>
        <rFont val="宋体"/>
        <charset val="134"/>
      </rPr>
      <t>协议，关注计价是否正确、移交手续是否办理以及会计处理是否正确。
（</t>
    </r>
    <r>
      <rPr>
        <sz val="10"/>
        <rFont val="Arial Narrow"/>
        <charset val="134"/>
      </rPr>
      <t>2</t>
    </r>
    <r>
      <rPr>
        <sz val="10"/>
        <rFont val="宋体"/>
        <charset val="134"/>
      </rPr>
      <t>）对于因清产核资、资产评估调增或调减投资性房地产的，检查有关清产核资报告、资产评估报告、国有资产管理等部门的确认文件、验资报告等，检查会计处理是否正确。</t>
    </r>
  </si>
  <si>
    <t>9</t>
  </si>
  <si>
    <r>
      <rPr>
        <sz val="10"/>
        <rFont val="宋体"/>
        <charset val="134"/>
      </rPr>
      <t>投资性房地产后续计量选用成本计量模式的，确定投资性房地产累计折旧</t>
    </r>
    <r>
      <rPr>
        <sz val="10"/>
        <rFont val="Arial Narrow"/>
        <charset val="134"/>
      </rPr>
      <t>/</t>
    </r>
    <r>
      <rPr>
        <sz val="10"/>
        <rFont val="宋体"/>
        <charset val="134"/>
      </rPr>
      <t>摊销政策恰当，重新计算本期折旧</t>
    </r>
    <r>
      <rPr>
        <sz val="10"/>
        <rFont val="Arial Narrow"/>
        <charset val="134"/>
      </rPr>
      <t>/</t>
    </r>
    <r>
      <rPr>
        <sz val="10"/>
        <rFont val="宋体"/>
        <charset val="134"/>
      </rPr>
      <t>摊销的计提是否正确，分配是否恰当</t>
    </r>
  </si>
  <si>
    <t>10</t>
  </si>
  <si>
    <r>
      <rPr>
        <sz val="10"/>
        <rFont val="宋体"/>
        <charset val="134"/>
      </rPr>
      <t>投资性房地产后续计量选用公允价值计量模式的，确定投资性房地产后续计量选用公允价值模式政策恰当，计算复核期末计价正确：
（</t>
    </r>
    <r>
      <rPr>
        <sz val="10"/>
        <rFont val="Arial Narrow"/>
        <charset val="134"/>
      </rPr>
      <t>1</t>
    </r>
    <r>
      <rPr>
        <sz val="10"/>
        <rFont val="宋体"/>
        <charset val="134"/>
      </rPr>
      <t>）询问并获取相关资料，评价被审计单位确定公允价值方法的适当性、公允价值选用的合理性，包括公允价值的确定方法、估值模型的选择、披露的充分性等。检查公允价值的确定依据是否充分，复核公允价值变动计算是否正确，会计处理是否正确；
（</t>
    </r>
    <r>
      <rPr>
        <sz val="10"/>
        <rFont val="Arial Narrow"/>
        <charset val="134"/>
      </rPr>
      <t>2</t>
    </r>
    <r>
      <rPr>
        <sz val="10"/>
        <rFont val="宋体"/>
        <charset val="134"/>
      </rPr>
      <t>）如果需利用专家等工作，应对专家的执业资格和胜任能力、工作结果等进行评价。</t>
    </r>
  </si>
  <si>
    <t>11</t>
  </si>
  <si>
    <r>
      <rPr>
        <sz val="10"/>
        <rFont val="宋体"/>
        <charset val="134"/>
      </rPr>
      <t>确定投资性房地产后续计量模式的转换是否恰当：
（</t>
    </r>
    <r>
      <rPr>
        <sz val="10"/>
        <rFont val="Arial Narrow"/>
        <charset val="134"/>
      </rPr>
      <t>1</t>
    </r>
    <r>
      <rPr>
        <sz val="10"/>
        <rFont val="宋体"/>
        <charset val="134"/>
      </rPr>
      <t>）检查董事会等决议文件，确定后续计量模式改变的适当性、会计处理的正确性，并提请被审计单位进行充分披露。
（</t>
    </r>
    <r>
      <rPr>
        <sz val="10"/>
        <rFont val="Arial Narrow"/>
        <charset val="134"/>
      </rPr>
      <t>2</t>
    </r>
    <r>
      <rPr>
        <sz val="10"/>
        <rFont val="宋体"/>
        <charset val="134"/>
      </rPr>
      <t>）审查投资性房地产成本计量模式转为公允价值计量模式是否作为会计政策变更进行追溯调整期初留存收益处理；</t>
    </r>
  </si>
  <si>
    <r>
      <rPr>
        <sz val="10"/>
        <rFont val="宋体"/>
        <charset val="134"/>
      </rPr>
      <t>备选</t>
    </r>
  </si>
  <si>
    <t>12</t>
  </si>
  <si>
    <r>
      <rPr>
        <sz val="10"/>
        <rFont val="宋体"/>
        <charset val="134"/>
      </rPr>
      <t>盘点程序：
（</t>
    </r>
    <r>
      <rPr>
        <sz val="10"/>
        <rFont val="Arial Narrow"/>
        <charset val="134"/>
      </rPr>
      <t>1</t>
    </r>
    <r>
      <rPr>
        <sz val="10"/>
        <rFont val="宋体"/>
        <charset val="134"/>
      </rPr>
      <t>）取得公司投资性房地产清单，盘点范围考虑包括本期新增、容易侵占、重要、数量巨大及其他异常等；
（</t>
    </r>
    <r>
      <rPr>
        <sz val="10"/>
        <rFont val="Arial Narrow"/>
        <charset val="134"/>
      </rPr>
      <t>2</t>
    </r>
    <r>
      <rPr>
        <sz val="10"/>
        <rFont val="宋体"/>
        <charset val="134"/>
      </rPr>
      <t>）获取被审计单位对于投资性房地产的盘点计划，制定和实施监盘计划（如有）；
（</t>
    </r>
    <r>
      <rPr>
        <sz val="10"/>
        <rFont val="Arial Narrow"/>
        <charset val="134"/>
      </rPr>
      <t>3</t>
    </r>
    <r>
      <rPr>
        <sz val="10"/>
        <rFont val="宋体"/>
        <charset val="134"/>
      </rPr>
      <t>）取得投资性房地产地点清单，初步确定监盘方式、时间、监盘计划；
（</t>
    </r>
    <r>
      <rPr>
        <sz val="10"/>
        <rFont val="Arial Narrow"/>
        <charset val="134"/>
      </rPr>
      <t>4</t>
    </r>
    <r>
      <rPr>
        <sz val="10"/>
        <rFont val="宋体"/>
        <charset val="134"/>
      </rPr>
      <t>）观察被审计单位制定的盘点程序的执行情况
（</t>
    </r>
    <r>
      <rPr>
        <sz val="10"/>
        <rFont val="Arial Narrow"/>
        <charset val="134"/>
      </rPr>
      <t>5</t>
    </r>
    <r>
      <rPr>
        <sz val="10"/>
        <rFont val="宋体"/>
        <charset val="134"/>
      </rPr>
      <t>）抽取投资性房地产盘点，并检查投资性房地产的状态（空置、出租、在建、毁损或陈旧等）；
（</t>
    </r>
    <r>
      <rPr>
        <sz val="10"/>
        <rFont val="Arial Narrow"/>
        <charset val="134"/>
      </rPr>
      <t>6</t>
    </r>
    <r>
      <rPr>
        <sz val="10"/>
        <rFont val="宋体"/>
        <charset val="134"/>
      </rPr>
      <t>）评价投资性房地产盘点结果，完成监盘小结。</t>
    </r>
  </si>
  <si>
    <r>
      <rPr>
        <sz val="10"/>
        <rFont val="宋体"/>
        <charset val="134"/>
      </rPr>
      <t>常规★</t>
    </r>
  </si>
  <si>
    <t>13</t>
  </si>
  <si>
    <t>结合投资性房地产清单和盘点程序，了解投资性房地产的状态。针对存在减值迹象的投资性房地产，考虑执行下列程序：
获取被审计单位在资产负债表日就投资性房地产是否可能发生减值迹象的判断的说明，判断其合理性。对于已计提减值准备的投资性房地产，检查减值测试相关参数是否合理，减值准备计提是否正确。对于管理层聘请评估专家出具的评估报告，复核评估报告。</t>
  </si>
  <si>
    <t>H3-10
/H3-11</t>
  </si>
  <si>
    <t>14</t>
  </si>
  <si>
    <r>
      <rPr>
        <sz val="10"/>
        <rFont val="宋体"/>
        <charset val="134"/>
      </rPr>
      <t>检查投资性房地产的所有权或控制权
（</t>
    </r>
    <r>
      <rPr>
        <sz val="10"/>
        <rFont val="Arial Narrow"/>
        <charset val="134"/>
      </rPr>
      <t>1</t>
    </r>
    <r>
      <rPr>
        <sz val="10"/>
        <rFont val="宋体"/>
        <charset val="134"/>
      </rPr>
      <t>）查看资产权属证明原件，结合银行借款等项目的检查，了解是否存在重大的抵押、担保情况，并取得复印件作为工作底稿；
（</t>
    </r>
    <r>
      <rPr>
        <sz val="10"/>
        <rFont val="Arial Narrow"/>
        <charset val="134"/>
      </rPr>
      <t>2</t>
    </r>
    <r>
      <rPr>
        <sz val="10"/>
        <rFont val="宋体"/>
        <charset val="134"/>
      </rPr>
      <t>）对于正在办理权属证明的大额资产，了解权属证明办理情况，确认是否存在权属纠纷或实质性障碍。</t>
    </r>
  </si>
  <si>
    <t>15</t>
  </si>
  <si>
    <r>
      <rPr>
        <sz val="10"/>
        <rFont val="宋体"/>
        <charset val="134"/>
      </rPr>
      <t>检查关联交易情况，检查关联交易的真实性、合理性及合规性；检查关联交易会计处理是否正确，考虑是否存在未识别的关联方，检查关联交易和余额披露是否正确。</t>
    </r>
  </si>
  <si>
    <t>16</t>
  </si>
  <si>
    <r>
      <rPr>
        <sz val="10"/>
        <rFont val="宋体"/>
        <charset val="134"/>
      </rPr>
      <t>对于投资性房地产租赁，结合其他业务收入审计考虑执行下列程序：
根据租赁合同</t>
    </r>
    <r>
      <rPr>
        <sz val="10"/>
        <rFont val="Arial Narrow"/>
        <charset val="134"/>
      </rPr>
      <t>/</t>
    </r>
    <r>
      <rPr>
        <sz val="10"/>
        <rFont val="宋体"/>
        <charset val="134"/>
      </rPr>
      <t>协议等文件，重新计算租金收入，检查投资性房地产的租金收入计算是否正确、会计处理是否正确，租金收人是否计人其他业务收人。</t>
    </r>
  </si>
  <si>
    <t>17</t>
  </si>
  <si>
    <r>
      <rPr>
        <sz val="10"/>
        <rFont val="宋体"/>
        <charset val="134"/>
      </rPr>
      <t>根据评估的舞弊风险等因素增加的审计程序。</t>
    </r>
  </si>
  <si>
    <t>IPO/上市/新三板/重组/舞弊应对</t>
  </si>
  <si>
    <t>18</t>
  </si>
  <si>
    <t>检查投资性房地产、抵押和担保情况等是否已按企业会计准则或其他适用的规定在财务报表中做出恰当列报和披露</t>
  </si>
  <si>
    <r>
      <rPr>
        <sz val="10"/>
        <rFont val="Arial Narrow"/>
        <charset val="134"/>
      </rPr>
      <t>A 1-1/</t>
    </r>
    <r>
      <rPr>
        <sz val="10"/>
        <color rgb="FFFF0000"/>
        <rFont val="Arial Narrow"/>
        <charset val="134"/>
      </rPr>
      <t>A1-15 /A1-16</t>
    </r>
  </si>
  <si>
    <r>
      <rPr>
        <b/>
        <sz val="10"/>
        <color indexed="8"/>
        <rFont val="宋体"/>
        <charset val="134"/>
      </rPr>
      <t>项目</t>
    </r>
  </si>
  <si>
    <r>
      <rPr>
        <b/>
        <sz val="10"/>
        <rFont val="宋体"/>
        <charset val="134"/>
      </rPr>
      <t>期初数</t>
    </r>
  </si>
  <si>
    <r>
      <rPr>
        <b/>
        <sz val="10"/>
        <rFont val="宋体"/>
        <charset val="134"/>
      </rPr>
      <t>期末数</t>
    </r>
  </si>
  <si>
    <r>
      <rPr>
        <b/>
        <sz val="10"/>
        <color indexed="8"/>
        <rFont val="宋体"/>
        <charset val="134"/>
      </rPr>
      <t>本期审定数与上期
审定数的比较</t>
    </r>
  </si>
  <si>
    <r>
      <rPr>
        <b/>
        <sz val="10"/>
        <rFont val="宋体"/>
        <charset val="134"/>
      </rPr>
      <t>未审数</t>
    </r>
  </si>
  <si>
    <r>
      <rPr>
        <b/>
        <sz val="10"/>
        <rFont val="宋体"/>
        <charset val="134"/>
      </rPr>
      <t>账项调整</t>
    </r>
  </si>
  <si>
    <r>
      <rPr>
        <b/>
        <sz val="10"/>
        <rFont val="宋体"/>
        <charset val="134"/>
      </rPr>
      <t>审定数</t>
    </r>
  </si>
  <si>
    <r>
      <rPr>
        <b/>
        <sz val="10"/>
        <rFont val="宋体"/>
        <charset val="134"/>
      </rPr>
      <t>变动额</t>
    </r>
  </si>
  <si>
    <r>
      <rPr>
        <b/>
        <sz val="10"/>
        <color indexed="8"/>
        <rFont val="宋体"/>
        <charset val="134"/>
      </rPr>
      <t>变动率</t>
    </r>
  </si>
  <si>
    <r>
      <rPr>
        <b/>
        <sz val="10"/>
        <color indexed="8"/>
        <rFont val="宋体"/>
        <charset val="134"/>
      </rPr>
      <t>一、投资性房地产原值</t>
    </r>
  </si>
  <si>
    <r>
      <rPr>
        <b/>
        <sz val="10"/>
        <color indexed="8"/>
        <rFont val="宋体"/>
        <charset val="134"/>
      </rPr>
      <t>合计</t>
    </r>
  </si>
  <si>
    <r>
      <rPr>
        <b/>
        <sz val="10"/>
        <color indexed="8"/>
        <rFont val="宋体"/>
        <charset val="134"/>
      </rPr>
      <t>二、累计折旧或累计摊销</t>
    </r>
  </si>
  <si>
    <r>
      <rPr>
        <b/>
        <sz val="10"/>
        <color indexed="8"/>
        <rFont val="宋体"/>
        <charset val="134"/>
      </rPr>
      <t>三、减值准备</t>
    </r>
  </si>
  <si>
    <r>
      <rPr>
        <b/>
        <sz val="10"/>
        <color indexed="8"/>
        <rFont val="宋体"/>
        <charset val="134"/>
      </rPr>
      <t>四、净值</t>
    </r>
  </si>
  <si>
    <t>试算平衡表数</t>
  </si>
  <si>
    <t>差异数</t>
  </si>
  <si>
    <r>
      <t>1</t>
    </r>
    <r>
      <rPr>
        <b/>
        <sz val="10"/>
        <color rgb="FFC00000"/>
        <rFont val="宋体"/>
        <charset val="134"/>
      </rPr>
      <t>、审计说明（先判断计量模式：同一企业通常仅选择一种后续计量模式；本页仅适用于成本模式）</t>
    </r>
  </si>
  <si>
    <r>
      <rPr>
        <sz val="10"/>
        <rFont val="宋体"/>
        <charset val="134"/>
      </rPr>
      <t>（</t>
    </r>
    <r>
      <rPr>
        <sz val="10"/>
        <rFont val="Arial Narrow"/>
        <charset val="134"/>
      </rPr>
      <t>1</t>
    </r>
    <r>
      <rPr>
        <sz val="10"/>
        <rFont val="宋体"/>
        <charset val="134"/>
      </rPr>
      <t>）投资性房地产期末净值较期初净值增加（负数为减少）：</t>
    </r>
  </si>
  <si>
    <r>
      <rPr>
        <sz val="10"/>
        <rFont val="宋体"/>
        <charset val="134"/>
      </rPr>
      <t>主要原因</t>
    </r>
    <r>
      <rPr>
        <sz val="10"/>
        <color indexed="10"/>
        <rFont val="宋体"/>
        <charset val="134"/>
      </rPr>
      <t>（比例超过</t>
    </r>
    <r>
      <rPr>
        <sz val="10"/>
        <color indexed="10"/>
        <rFont val="Arial Narrow"/>
        <charset val="134"/>
      </rPr>
      <t>30%</t>
    </r>
    <r>
      <rPr>
        <sz val="10"/>
        <color indexed="10"/>
        <rFont val="宋体"/>
        <charset val="134"/>
      </rPr>
      <t>的）</t>
    </r>
    <r>
      <rPr>
        <sz val="10"/>
        <rFont val="宋体"/>
        <charset val="134"/>
      </rPr>
      <t>：</t>
    </r>
  </si>
  <si>
    <r>
      <t>编制逻辑：原值</t>
    </r>
    <r>
      <rPr>
        <i/>
        <sz val="10"/>
        <color rgb="FF403D40"/>
        <rFont val="Arial Narrow"/>
        <charset val="134"/>
      </rPr>
      <t xml:space="preserve"> -&gt; </t>
    </r>
    <r>
      <rPr>
        <i/>
        <sz val="10"/>
        <color rgb="FF403D40"/>
        <rFont val="宋体"/>
        <charset val="134"/>
      </rPr>
      <t>累计折旧</t>
    </r>
    <r>
      <rPr>
        <i/>
        <sz val="10"/>
        <color rgb="FF403D40"/>
        <rFont val="Arial Narrow"/>
        <charset val="134"/>
      </rPr>
      <t>/</t>
    </r>
    <r>
      <rPr>
        <i/>
        <sz val="10"/>
        <color rgb="FF403D40"/>
        <rFont val="宋体"/>
        <charset val="134"/>
      </rPr>
      <t>摊销</t>
    </r>
    <r>
      <rPr>
        <i/>
        <sz val="10"/>
        <color rgb="FF403D40"/>
        <rFont val="Arial Narrow"/>
        <charset val="134"/>
      </rPr>
      <t xml:space="preserve"> -&gt; </t>
    </r>
    <r>
      <rPr>
        <i/>
        <sz val="10"/>
        <color rgb="FF403D40"/>
        <rFont val="宋体"/>
        <charset val="134"/>
      </rPr>
      <t>减值准备</t>
    </r>
    <r>
      <rPr>
        <i/>
        <sz val="10"/>
        <color rgb="FF403D40"/>
        <rFont val="Arial Narrow"/>
        <charset val="134"/>
      </rPr>
      <t xml:space="preserve"> -&gt; </t>
    </r>
    <r>
      <rPr>
        <i/>
        <sz val="10"/>
        <color rgb="FF403D40"/>
        <rFont val="宋体"/>
        <charset val="134"/>
      </rPr>
      <t>净值，且净值审定数应与试算平衡表数核对一致。</t>
    </r>
  </si>
  <si>
    <r>
      <t>交叉核对：成本模式下通常还应结合</t>
    </r>
    <r>
      <rPr>
        <i/>
        <sz val="10"/>
        <color rgb="FF403D40"/>
        <rFont val="Arial Narrow"/>
        <charset val="134"/>
      </rPr>
      <t xml:space="preserve"> H3-2 </t>
    </r>
    <r>
      <rPr>
        <i/>
        <sz val="10"/>
        <color rgb="FF403D40"/>
        <rFont val="宋体"/>
        <charset val="134"/>
      </rPr>
      <t>明细表、</t>
    </r>
    <r>
      <rPr>
        <i/>
        <sz val="10"/>
        <color rgb="FF403D40"/>
        <rFont val="Arial Narrow"/>
        <charset val="134"/>
      </rPr>
      <t xml:space="preserve">H3-7 </t>
    </r>
    <r>
      <rPr>
        <i/>
        <sz val="10"/>
        <color rgb="FF403D40"/>
        <rFont val="宋体"/>
        <charset val="134"/>
      </rPr>
      <t>折旧摊销表、</t>
    </r>
    <r>
      <rPr>
        <i/>
        <sz val="10"/>
        <color rgb="FF403D40"/>
        <rFont val="Arial Narrow"/>
        <charset val="134"/>
      </rPr>
      <t xml:space="preserve">H3-10/11 </t>
    </r>
    <r>
      <rPr>
        <i/>
        <sz val="10"/>
        <color rgb="FF403D40"/>
        <rFont val="宋体"/>
        <charset val="134"/>
      </rPr>
      <t>减值测试底稿检查取数来源。</t>
    </r>
  </si>
  <si>
    <r>
      <rPr>
        <sz val="10"/>
        <rFont val="宋体"/>
        <charset val="134"/>
      </rPr>
      <t>（</t>
    </r>
    <r>
      <rPr>
        <sz val="10"/>
        <rFont val="Arial Narrow"/>
        <charset val="134"/>
      </rPr>
      <t>2</t>
    </r>
    <r>
      <rPr>
        <sz val="10"/>
        <rFont val="宋体"/>
        <charset val="134"/>
      </rPr>
      <t>）自用房地产或存货转换为投资性房地产</t>
    </r>
    <r>
      <rPr>
        <sz val="10"/>
        <rFont val="Arial Narrow"/>
        <charset val="134"/>
      </rPr>
      <t>/</t>
    </r>
    <r>
      <rPr>
        <sz val="10"/>
        <rFont val="宋体"/>
        <charset val="134"/>
      </rPr>
      <t>投资性房地产转换为自用房地产的原因及其影响：</t>
    </r>
  </si>
  <si>
    <r>
      <t>如本期存在自用房地产</t>
    </r>
    <r>
      <rPr>
        <i/>
        <sz val="10"/>
        <color rgb="FF403D40"/>
        <rFont val="Arial Narrow"/>
        <charset val="134"/>
      </rPr>
      <t>/</t>
    </r>
    <r>
      <rPr>
        <i/>
        <sz val="10"/>
        <color rgb="FF403D40"/>
        <rFont val="宋体"/>
        <charset val="134"/>
      </rPr>
      <t>存货与投资性房地产之间转换，应说明转换时点、依据、转换前后计量口径及对折旧、减值、净值的影响。</t>
    </r>
  </si>
  <si>
    <r>
      <rPr>
        <sz val="10"/>
        <rFont val="宋体"/>
        <charset val="134"/>
      </rPr>
      <t>（</t>
    </r>
    <r>
      <rPr>
        <sz val="10"/>
        <rFont val="Arial Narrow"/>
        <charset val="134"/>
      </rPr>
      <t>3</t>
    </r>
    <r>
      <rPr>
        <sz val="10"/>
        <rFont val="宋体"/>
        <charset val="134"/>
      </rPr>
      <t>）其他说明：</t>
    </r>
  </si>
  <si>
    <r>
      <t>如企业实际采用公允价值模式，本页建议直接标注</t>
    </r>
    <r>
      <rPr>
        <i/>
        <sz val="10"/>
        <color rgb="FF403D40"/>
        <rFont val="Arial Narrow"/>
        <charset val="134"/>
      </rPr>
      <t>“</t>
    </r>
    <r>
      <rPr>
        <i/>
        <sz val="10"/>
        <color rgb="FF403D40"/>
        <rFont val="宋体"/>
        <charset val="134"/>
      </rPr>
      <t>不适用（企业采用公允价值模式）</t>
    </r>
    <r>
      <rPr>
        <i/>
        <sz val="10"/>
        <color rgb="FF403D40"/>
        <rFont val="Arial Narrow"/>
        <charset val="134"/>
      </rPr>
      <t>”</t>
    </r>
    <r>
      <rPr>
        <i/>
        <sz val="10"/>
        <color rgb="FF403D40"/>
        <rFont val="宋体"/>
        <charset val="134"/>
      </rPr>
      <t>，避免与另一张</t>
    </r>
    <r>
      <rPr>
        <i/>
        <sz val="10"/>
        <color rgb="FF403D40"/>
        <rFont val="Arial Narrow"/>
        <charset val="134"/>
      </rPr>
      <t xml:space="preserve"> H3-1 </t>
    </r>
    <r>
      <rPr>
        <i/>
        <sz val="10"/>
        <color rgb="FF403D40"/>
        <rFont val="宋体"/>
        <charset val="134"/>
      </rPr>
      <t>重复编制。</t>
    </r>
  </si>
  <si>
    <t>2、审计结论（核对模式选择、取数链路和试算平衡勾稽后填写）</t>
  </si>
  <si>
    <r>
      <rPr>
        <b/>
        <sz val="10"/>
        <color indexed="8"/>
        <rFont val="宋体"/>
        <charset val="134"/>
      </rPr>
      <t>二、公允价值变动</t>
    </r>
  </si>
  <si>
    <r>
      <rPr>
        <b/>
        <sz val="10"/>
        <color indexed="8"/>
        <rFont val="宋体"/>
        <charset val="134"/>
      </rPr>
      <t>三、净值</t>
    </r>
  </si>
  <si>
    <r>
      <rPr>
        <b/>
        <sz val="10"/>
        <rFont val="Arial Narrow"/>
        <charset val="134"/>
      </rPr>
      <t>1</t>
    </r>
    <r>
      <rPr>
        <b/>
        <sz val="10"/>
        <rFont val="宋体"/>
        <charset val="134"/>
      </rPr>
      <t>、审计说明：</t>
    </r>
  </si>
  <si>
    <r>
      <rPr>
        <sz val="10"/>
        <rFont val="宋体"/>
        <charset val="134"/>
      </rPr>
      <t>（</t>
    </r>
    <r>
      <rPr>
        <sz val="10"/>
        <rFont val="Arial Narrow"/>
        <charset val="134"/>
      </rPr>
      <t>1</t>
    </r>
    <r>
      <rPr>
        <sz val="10"/>
        <rFont val="宋体"/>
        <charset val="134"/>
      </rPr>
      <t>）投资性房地产期末账面价值较期初账面价值增加（负数为减少）：</t>
    </r>
  </si>
  <si>
    <r>
      <t>编制提示：本页仅适用于公允价值模式；若企业采用成本模式，本页应标注</t>
    </r>
    <r>
      <rPr>
        <i/>
        <sz val="10"/>
        <color rgb="FF403D40"/>
        <rFont val="Arial Narrow"/>
        <charset val="134"/>
      </rPr>
      <t>“</t>
    </r>
    <r>
      <rPr>
        <i/>
        <sz val="10"/>
        <color rgb="FF403D40"/>
        <rFont val="宋体"/>
        <charset val="134"/>
      </rPr>
      <t>不适用</t>
    </r>
    <r>
      <rPr>
        <i/>
        <sz val="10"/>
        <color rgb="FF403D40"/>
        <rFont val="Arial Narrow"/>
        <charset val="134"/>
      </rPr>
      <t>”</t>
    </r>
    <r>
      <rPr>
        <i/>
        <sz val="10"/>
        <color rgb="FF403D40"/>
        <rFont val="宋体"/>
        <charset val="134"/>
      </rPr>
      <t>，不应与成本模式审定表同时作为有效底稿。</t>
    </r>
  </si>
  <si>
    <t>（2）投资性房地产公允价值的确定依据及公允价值金额的增减变动情况说明：</t>
  </si>
  <si>
    <t>重点说明：估值方法、关键假设、第三方评估机构或市场依据，以及本期公允价值变动计入损益的原因。</t>
  </si>
  <si>
    <r>
      <t>编制逻辑：原值</t>
    </r>
    <r>
      <rPr>
        <i/>
        <sz val="10"/>
        <color rgb="FF403D40"/>
        <rFont val="Arial Narrow"/>
        <charset val="134"/>
      </rPr>
      <t xml:space="preserve"> + </t>
    </r>
    <r>
      <rPr>
        <i/>
        <sz val="10"/>
        <color rgb="FF403D40"/>
        <rFont val="宋体"/>
        <charset val="134"/>
      </rPr>
      <t>公允价值变动</t>
    </r>
    <r>
      <rPr>
        <i/>
        <sz val="10"/>
        <color rgb="FF403D40"/>
        <rFont val="Arial Narrow"/>
        <charset val="134"/>
      </rPr>
      <t xml:space="preserve"> = </t>
    </r>
    <r>
      <rPr>
        <i/>
        <sz val="10"/>
        <color rgb="FF403D40"/>
        <rFont val="宋体"/>
        <charset val="134"/>
      </rPr>
      <t>净值；公允价值模式下一般不再单独计提折旧</t>
    </r>
    <r>
      <rPr>
        <i/>
        <sz val="10"/>
        <color rgb="FF403D40"/>
        <rFont val="Arial Narrow"/>
        <charset val="134"/>
      </rPr>
      <t>/</t>
    </r>
    <r>
      <rPr>
        <i/>
        <sz val="10"/>
        <color rgb="FF403D40"/>
        <rFont val="宋体"/>
        <charset val="134"/>
      </rPr>
      <t>摊销和减值准备。</t>
    </r>
  </si>
  <si>
    <t>（3）自用房地产或存货转换为投资性房地产/投资性房地产转换为自用房地产的原因及其影响：</t>
  </si>
  <si>
    <r>
      <t>交叉核对：公允价值模式下应重点结合</t>
    </r>
    <r>
      <rPr>
        <i/>
        <sz val="10"/>
        <color rgb="FF403D40"/>
        <rFont val="Arial Narrow"/>
        <charset val="134"/>
      </rPr>
      <t xml:space="preserve"> H3-2 </t>
    </r>
    <r>
      <rPr>
        <i/>
        <sz val="10"/>
        <color rgb="FF403D40"/>
        <rFont val="宋体"/>
        <charset val="134"/>
      </rPr>
      <t>明细表、附注披露信息及评估</t>
    </r>
    <r>
      <rPr>
        <i/>
        <sz val="10"/>
        <color rgb="FF403D40"/>
        <rFont val="Arial Narrow"/>
        <charset val="134"/>
      </rPr>
      <t>/</t>
    </r>
    <r>
      <rPr>
        <i/>
        <sz val="10"/>
        <color rgb="FF403D40"/>
        <rFont val="宋体"/>
        <charset val="134"/>
      </rPr>
      <t>市场证据核对期末净值与公允价值变动。</t>
    </r>
  </si>
  <si>
    <t>（4）其他说明（如模式变更、估值层次变化、关键参数敏感性、与财报披露不一致事项等）：</t>
  </si>
  <si>
    <t>2、审计结论（核对模式选择、公允价值依据及损益影响后填写）</t>
  </si>
  <si>
    <t>致同会计师事务所</t>
  </si>
  <si>
    <t>附注披露信息（上市公司）</t>
  </si>
  <si>
    <t>返回目录</t>
  </si>
  <si>
    <r>
      <rPr>
        <sz val="12"/>
        <rFont val="Arial Narrow"/>
        <charset val="134"/>
      </rPr>
      <t>21</t>
    </r>
    <r>
      <rPr>
        <sz val="12"/>
        <rFont val="宋体"/>
        <charset val="134"/>
      </rPr>
      <t>、</t>
    </r>
    <r>
      <rPr>
        <sz val="12"/>
        <rFont val="仿宋_GB2312"/>
        <charset val="134"/>
      </rPr>
      <t>投资性房地产</t>
    </r>
  </si>
  <si>
    <r>
      <rPr>
        <sz val="12"/>
        <rFont val="Arial Narrow"/>
        <charset val="134"/>
      </rPr>
      <t>（1）</t>
    </r>
    <r>
      <rPr>
        <sz val="12"/>
        <rFont val="仿宋_GB2312"/>
        <charset val="134"/>
      </rPr>
      <t>按成本计量的投资性房地产（如无以公允价值计量的投资性房地产，删除此标题）</t>
    </r>
  </si>
  <si>
    <r>
      <rPr>
        <b/>
        <sz val="10.5"/>
        <rFont val="仿宋_GB2312"/>
        <charset val="134"/>
      </rPr>
      <t>项</t>
    </r>
    <r>
      <rPr>
        <b/>
        <sz val="10.5"/>
        <rFont val="Arial Narrow"/>
        <charset val="134"/>
      </rPr>
      <t xml:space="preserve">  </t>
    </r>
    <r>
      <rPr>
        <b/>
        <sz val="10.5"/>
        <rFont val="仿宋_GB2312"/>
        <charset val="134"/>
      </rPr>
      <t>目</t>
    </r>
  </si>
  <si>
    <t>房屋、建筑物</t>
  </si>
  <si>
    <t>土地使用权</t>
  </si>
  <si>
    <t>在建工程</t>
  </si>
  <si>
    <t>合计</t>
  </si>
  <si>
    <t>一、账面原值</t>
  </si>
  <si>
    <r>
      <rPr>
        <sz val="10.5"/>
        <rFont val="Arial Narrow"/>
        <charset val="134"/>
      </rPr>
      <t xml:space="preserve">   1.</t>
    </r>
    <r>
      <rPr>
        <sz val="10.5"/>
        <rFont val="仿宋_GB2312"/>
        <charset val="134"/>
      </rPr>
      <t>期初余额</t>
    </r>
  </si>
  <si>
    <r>
      <rPr>
        <sz val="10.5"/>
        <rFont val="Arial Narrow"/>
        <charset val="134"/>
      </rPr>
      <t xml:space="preserve">   2.</t>
    </r>
    <r>
      <rPr>
        <sz val="10.5"/>
        <rFont val="仿宋_GB2312"/>
        <charset val="134"/>
      </rPr>
      <t>本期增加金额</t>
    </r>
  </si>
  <si>
    <r>
      <rPr>
        <sz val="10.5"/>
        <rFont val="Arial Narrow"/>
        <charset val="134"/>
      </rPr>
      <t xml:space="preserve">   </t>
    </r>
    <r>
      <rPr>
        <sz val="10.5"/>
        <rFont val="仿宋_GB2312"/>
        <charset val="134"/>
      </rPr>
      <t>（</t>
    </r>
    <r>
      <rPr>
        <sz val="10.5"/>
        <rFont val="Arial Narrow"/>
        <charset val="134"/>
      </rPr>
      <t>1</t>
    </r>
    <r>
      <rPr>
        <sz val="10.5"/>
        <rFont val="仿宋_GB2312"/>
        <charset val="134"/>
      </rPr>
      <t>）外购</t>
    </r>
  </si>
  <si>
    <r>
      <rPr>
        <sz val="10.5"/>
        <rFont val="Arial Narrow"/>
        <charset val="134"/>
      </rPr>
      <t xml:space="preserve">   </t>
    </r>
    <r>
      <rPr>
        <sz val="10.5"/>
        <rFont val="仿宋_GB2312"/>
        <charset val="134"/>
      </rPr>
      <t>（</t>
    </r>
    <r>
      <rPr>
        <sz val="10.5"/>
        <rFont val="Arial Narrow"/>
        <charset val="134"/>
      </rPr>
      <t>2</t>
    </r>
    <r>
      <rPr>
        <sz val="10.5"/>
        <rFont val="仿宋_GB2312"/>
        <charset val="134"/>
      </rPr>
      <t>）存货</t>
    </r>
    <r>
      <rPr>
        <sz val="10.5"/>
        <rFont val="Arial Narrow"/>
        <charset val="134"/>
      </rPr>
      <t>\</t>
    </r>
    <r>
      <rPr>
        <sz val="10.5"/>
        <rFont val="仿宋_GB2312"/>
        <charset val="134"/>
      </rPr>
      <t>固定资产</t>
    </r>
    <r>
      <rPr>
        <sz val="10.5"/>
        <rFont val="Arial Narrow"/>
        <charset val="134"/>
      </rPr>
      <t>\</t>
    </r>
    <r>
      <rPr>
        <sz val="10.5"/>
        <rFont val="仿宋_GB2312"/>
        <charset val="134"/>
      </rPr>
      <t>在建工程转入</t>
    </r>
  </si>
  <si>
    <r>
      <rPr>
        <sz val="10.5"/>
        <rFont val="Arial Narrow"/>
        <charset val="134"/>
      </rPr>
      <t xml:space="preserve">   </t>
    </r>
    <r>
      <rPr>
        <sz val="10.5"/>
        <rFont val="仿宋_GB2312"/>
        <charset val="134"/>
      </rPr>
      <t>（</t>
    </r>
    <r>
      <rPr>
        <sz val="10.5"/>
        <rFont val="Arial Narrow"/>
        <charset val="134"/>
      </rPr>
      <t>3</t>
    </r>
    <r>
      <rPr>
        <sz val="10.5"/>
        <rFont val="仿宋_GB2312"/>
        <charset val="134"/>
      </rPr>
      <t>）企业合并增加</t>
    </r>
  </si>
  <si>
    <r>
      <rPr>
        <sz val="10.5"/>
        <rFont val="Arial Narrow"/>
        <charset val="134"/>
      </rPr>
      <t xml:space="preserve">   </t>
    </r>
    <r>
      <rPr>
        <sz val="10.5"/>
        <color rgb="FF0000FF"/>
        <rFont val="仿宋_GB2312"/>
        <charset val="134"/>
      </rPr>
      <t>可无限量添加行</t>
    </r>
  </si>
  <si>
    <r>
      <rPr>
        <sz val="10.5"/>
        <rFont val="Arial Narrow"/>
        <charset val="134"/>
      </rPr>
      <t xml:space="preserve">   3.</t>
    </r>
    <r>
      <rPr>
        <sz val="10.5"/>
        <rFont val="仿宋_GB2312"/>
        <charset val="134"/>
      </rPr>
      <t>本期减少金额</t>
    </r>
  </si>
  <si>
    <r>
      <rPr>
        <sz val="10.5"/>
        <rFont val="Arial Narrow"/>
        <charset val="134"/>
      </rPr>
      <t xml:space="preserve">   </t>
    </r>
    <r>
      <rPr>
        <sz val="10.5"/>
        <rFont val="仿宋_GB2312"/>
        <charset val="134"/>
      </rPr>
      <t>（</t>
    </r>
    <r>
      <rPr>
        <sz val="10.5"/>
        <rFont val="Arial Narrow"/>
        <charset val="134"/>
      </rPr>
      <t>1</t>
    </r>
    <r>
      <rPr>
        <sz val="10.5"/>
        <rFont val="仿宋_GB2312"/>
        <charset val="134"/>
      </rPr>
      <t>）处置</t>
    </r>
  </si>
  <si>
    <r>
      <rPr>
        <sz val="10.5"/>
        <rFont val="Arial Narrow"/>
        <charset val="134"/>
      </rPr>
      <t xml:space="preserve">   </t>
    </r>
    <r>
      <rPr>
        <sz val="10.5"/>
        <rFont val="仿宋_GB2312"/>
        <charset val="134"/>
      </rPr>
      <t>（</t>
    </r>
    <r>
      <rPr>
        <sz val="10.5"/>
        <rFont val="Arial Narrow"/>
        <charset val="134"/>
      </rPr>
      <t>2</t>
    </r>
    <r>
      <rPr>
        <sz val="10.5"/>
        <rFont val="仿宋_GB2312"/>
        <charset val="134"/>
      </rPr>
      <t>）其他转出</t>
    </r>
  </si>
  <si>
    <r>
      <rPr>
        <sz val="10.5"/>
        <rFont val="Arial Narrow"/>
        <charset val="134"/>
      </rPr>
      <t xml:space="preserve">   4.</t>
    </r>
    <r>
      <rPr>
        <sz val="10.5"/>
        <rFont val="仿宋_GB2312"/>
        <charset val="134"/>
      </rPr>
      <t>期末余额</t>
    </r>
  </si>
  <si>
    <t>二、累计折旧和累计摊销</t>
  </si>
  <si>
    <r>
      <rPr>
        <sz val="10.5"/>
        <rFont val="Arial Narrow"/>
        <charset val="134"/>
      </rPr>
      <t xml:space="preserve">   </t>
    </r>
    <r>
      <rPr>
        <sz val="10.5"/>
        <rFont val="仿宋_GB2312"/>
        <charset val="134"/>
      </rPr>
      <t>（</t>
    </r>
    <r>
      <rPr>
        <sz val="10.5"/>
        <rFont val="Arial Narrow"/>
        <charset val="134"/>
      </rPr>
      <t>1</t>
    </r>
    <r>
      <rPr>
        <sz val="10.5"/>
        <rFont val="仿宋_GB2312"/>
        <charset val="134"/>
      </rPr>
      <t>）计提或摊销</t>
    </r>
  </si>
  <si>
    <r>
      <rPr>
        <sz val="10.5"/>
        <rFont val="Arial Narrow"/>
        <charset val="134"/>
      </rPr>
      <t xml:space="preserve">   </t>
    </r>
    <r>
      <rPr>
        <sz val="10.5"/>
        <rFont val="仿宋_GB2312"/>
        <charset val="134"/>
      </rPr>
      <t>（</t>
    </r>
    <r>
      <rPr>
        <sz val="10.5"/>
        <rFont val="Arial Narrow"/>
        <charset val="134"/>
      </rPr>
      <t>2</t>
    </r>
    <r>
      <rPr>
        <sz val="10.5"/>
        <rFont val="仿宋_GB2312"/>
        <charset val="134"/>
      </rPr>
      <t>）企业合并增加</t>
    </r>
  </si>
  <si>
    <r>
      <rPr>
        <sz val="10.5"/>
        <rFont val="Arial Narrow"/>
        <charset val="134"/>
      </rPr>
      <t xml:space="preserve">   </t>
    </r>
    <r>
      <rPr>
        <sz val="10.5"/>
        <rFont val="仿宋_GB2312"/>
        <charset val="134"/>
      </rPr>
      <t>（</t>
    </r>
    <r>
      <rPr>
        <sz val="10.5"/>
        <rFont val="Arial Narrow"/>
        <charset val="134"/>
      </rPr>
      <t>3</t>
    </r>
    <r>
      <rPr>
        <sz val="10.5"/>
        <rFont val="仿宋_GB2312"/>
        <charset val="134"/>
      </rPr>
      <t>）其他增加</t>
    </r>
  </si>
  <si>
    <t>三、减值准备</t>
  </si>
  <si>
    <r>
      <rPr>
        <sz val="10.5"/>
        <rFont val="Arial Narrow"/>
        <charset val="134"/>
      </rPr>
      <t xml:space="preserve">   </t>
    </r>
    <r>
      <rPr>
        <sz val="10.5"/>
        <rFont val="仿宋_GB2312"/>
        <charset val="134"/>
      </rPr>
      <t>（</t>
    </r>
    <r>
      <rPr>
        <sz val="10.5"/>
        <rFont val="Arial Narrow"/>
        <charset val="134"/>
      </rPr>
      <t>1</t>
    </r>
    <r>
      <rPr>
        <sz val="10.5"/>
        <rFont val="仿宋_GB2312"/>
        <charset val="134"/>
      </rPr>
      <t>）计提</t>
    </r>
  </si>
  <si>
    <r>
      <rPr>
        <sz val="10.5"/>
        <rFont val="Arial Narrow"/>
        <charset val="134"/>
      </rPr>
      <t xml:space="preserve">   </t>
    </r>
    <r>
      <rPr>
        <sz val="10.5"/>
        <rFont val="仿宋_GB2312"/>
        <charset val="134"/>
      </rPr>
      <t>（</t>
    </r>
    <r>
      <rPr>
        <sz val="10.5"/>
        <rFont val="Arial Narrow"/>
        <charset val="134"/>
      </rPr>
      <t>2</t>
    </r>
    <r>
      <rPr>
        <sz val="10.5"/>
        <rFont val="仿宋_GB2312"/>
        <charset val="134"/>
      </rPr>
      <t>）其他增加</t>
    </r>
  </si>
  <si>
    <r>
      <rPr>
        <sz val="10.5"/>
        <rFont val="Arial Narrow"/>
        <charset val="134"/>
      </rPr>
      <t xml:space="preserve">   3</t>
    </r>
    <r>
      <rPr>
        <sz val="10.5"/>
        <rFont val="仿宋_GB2312"/>
        <charset val="134"/>
      </rPr>
      <t>、本期减少金额</t>
    </r>
  </si>
  <si>
    <t>四、账面价值</t>
  </si>
  <si>
    <r>
      <rPr>
        <sz val="10.5"/>
        <rFont val="Arial Narrow"/>
        <charset val="134"/>
      </rPr>
      <t xml:space="preserve">   1.</t>
    </r>
    <r>
      <rPr>
        <sz val="10.5"/>
        <rFont val="仿宋_GB2312"/>
        <charset val="134"/>
      </rPr>
      <t>期末账面价值</t>
    </r>
  </si>
  <si>
    <r>
      <rPr>
        <sz val="10.5"/>
        <rFont val="Arial Narrow"/>
        <charset val="134"/>
      </rPr>
      <t xml:space="preserve">   2.</t>
    </r>
    <r>
      <rPr>
        <sz val="10.5"/>
        <rFont val="仿宋_GB2312"/>
        <charset val="134"/>
      </rPr>
      <t>期初账面价值</t>
    </r>
  </si>
  <si>
    <r>
      <rPr>
        <sz val="12"/>
        <color rgb="FF0000FF"/>
        <rFont val="仿宋_GB2312"/>
        <charset val="134"/>
      </rPr>
      <t>【长期资产本期进行减值测试的，应披露可收回金额的具体确定方法。可收回金额按公允价值减去处置费用后的净额确定的，应披露公允价值和处置费用的确定方式、关键参数及其确定依据。可收回金额按预计未来现金流量的现值确定的，应披露预测期的年限、预测期及稳定期的关键参数及其确定依据。前述信息与以前年度减值测试采用的信息或外部信息明显不一致的，或公司以前年度减值测试采用信息与当年实际情况明显不一致的，应披露差异原因。（</t>
    </r>
    <r>
      <rPr>
        <sz val="12"/>
        <color rgb="FF0000FF"/>
        <rFont val="Arial Narrow"/>
        <charset val="134"/>
      </rPr>
      <t>15</t>
    </r>
    <r>
      <rPr>
        <sz val="12"/>
        <color rgb="FF0000FF"/>
        <rFont val="仿宋_GB2312"/>
        <charset val="134"/>
      </rPr>
      <t>号文第十九条（十九）；】</t>
    </r>
  </si>
  <si>
    <r>
      <rPr>
        <sz val="12"/>
        <color rgb="FF0000FF"/>
        <rFont val="仿宋_GB2312"/>
        <charset val="134"/>
      </rPr>
      <t>【提示：证监会《</t>
    </r>
    <r>
      <rPr>
        <sz val="12"/>
        <color rgb="FF0000FF"/>
        <rFont val="Arial Narrow"/>
        <charset val="134"/>
      </rPr>
      <t xml:space="preserve">2014 </t>
    </r>
    <r>
      <rPr>
        <sz val="12"/>
        <color rgb="FF0000FF"/>
        <rFont val="仿宋_GB2312"/>
        <charset val="134"/>
      </rPr>
      <t>年上市公司年报会计监管报告》，已出租的建筑物是指公司拥有产权的、以经营租赁方式出租的建筑物。因此，不得将没有产权的物业经营权列报为投资性房地产。】</t>
    </r>
  </si>
  <si>
    <r>
      <rPr>
        <sz val="12"/>
        <rFont val="宋体"/>
        <charset val="134"/>
      </rPr>
      <t>（</t>
    </r>
    <r>
      <rPr>
        <sz val="12"/>
        <rFont val="Arial Narrow"/>
        <charset val="134"/>
      </rPr>
      <t>2</t>
    </r>
    <r>
      <rPr>
        <sz val="12"/>
        <rFont val="宋体"/>
        <charset val="134"/>
      </rPr>
      <t>）</t>
    </r>
    <r>
      <rPr>
        <sz val="12"/>
        <rFont val="仿宋_GB2312"/>
        <charset val="134"/>
      </rPr>
      <t>按公允价值计量的投资性房地产</t>
    </r>
    <r>
      <rPr>
        <sz val="12"/>
        <color rgb="FF0000FF"/>
        <rFont val="仿宋_GB2312"/>
        <charset val="134"/>
      </rPr>
      <t>（不适用的删除）</t>
    </r>
  </si>
  <si>
    <t>（采用公允价值计量模式的投资性房地产，分类列示期初余额、期末余额和本期增减变动情况。）</t>
  </si>
  <si>
    <r>
      <rPr>
        <b/>
        <sz val="10.5"/>
        <color rgb="FF000000"/>
        <rFont val="仿宋_GB2312"/>
        <charset val="134"/>
      </rPr>
      <t>项</t>
    </r>
    <r>
      <rPr>
        <b/>
        <sz val="10.5"/>
        <color rgb="FF000000"/>
        <rFont val="Arial Narrow"/>
        <charset val="134"/>
      </rPr>
      <t xml:space="preserve">  </t>
    </r>
    <r>
      <rPr>
        <b/>
        <sz val="10.5"/>
        <color rgb="FF000000"/>
        <rFont val="仿宋_GB2312"/>
        <charset val="134"/>
      </rPr>
      <t>目</t>
    </r>
  </si>
  <si>
    <t>一、期初余额</t>
  </si>
  <si>
    <t>二、本期变动</t>
  </si>
  <si>
    <r>
      <rPr>
        <sz val="10.5"/>
        <color rgb="FF000000"/>
        <rFont val="Arial Narrow"/>
        <charset val="134"/>
      </rPr>
      <t xml:space="preserve">    </t>
    </r>
    <r>
      <rPr>
        <sz val="10.5"/>
        <color rgb="FF000000"/>
        <rFont val="仿宋_GB2312"/>
        <charset val="134"/>
      </rPr>
      <t>加：外购</t>
    </r>
  </si>
  <si>
    <r>
      <rPr>
        <sz val="10.5"/>
        <color rgb="FFFF0000"/>
        <rFont val="Arial Narrow"/>
        <charset val="134"/>
      </rPr>
      <t xml:space="preserve">        </t>
    </r>
    <r>
      <rPr>
        <sz val="10.5"/>
        <color rgb="FFFF0000"/>
        <rFont val="仿宋_GB2312"/>
        <charset val="134"/>
      </rPr>
      <t>存货</t>
    </r>
    <r>
      <rPr>
        <sz val="10.5"/>
        <color rgb="FFFF0000"/>
        <rFont val="Arial Narrow"/>
        <charset val="134"/>
      </rPr>
      <t>\</t>
    </r>
    <r>
      <rPr>
        <sz val="10.5"/>
        <color rgb="FFFF0000"/>
        <rFont val="仿宋_GB2312"/>
        <charset val="134"/>
      </rPr>
      <t>固定资产</t>
    </r>
    <r>
      <rPr>
        <sz val="10.5"/>
        <color rgb="FFFF0000"/>
        <rFont val="Arial Narrow"/>
        <charset val="134"/>
      </rPr>
      <t>\</t>
    </r>
    <r>
      <rPr>
        <sz val="10.5"/>
        <color rgb="FFFF0000"/>
        <rFont val="仿宋_GB2312"/>
        <charset val="134"/>
      </rPr>
      <t>在建工程</t>
    </r>
    <r>
      <rPr>
        <sz val="10.5"/>
        <color rgb="FF000000"/>
        <rFont val="仿宋_GB2312"/>
        <charset val="134"/>
      </rPr>
      <t>转入</t>
    </r>
  </si>
  <si>
    <r>
      <rPr>
        <sz val="10.5"/>
        <color rgb="FF000000"/>
        <rFont val="Arial Narrow"/>
        <charset val="134"/>
      </rPr>
      <t xml:space="preserve">        </t>
    </r>
    <r>
      <rPr>
        <sz val="10.5"/>
        <color rgb="FF000000"/>
        <rFont val="仿宋_GB2312"/>
        <charset val="134"/>
      </rPr>
      <t>企业合并增加</t>
    </r>
  </si>
  <si>
    <r>
      <rPr>
        <sz val="10.5"/>
        <color rgb="FF000000"/>
        <rFont val="Arial Narrow"/>
        <charset val="134"/>
      </rPr>
      <t xml:space="preserve">    </t>
    </r>
    <r>
      <rPr>
        <sz val="10.5"/>
        <color rgb="FF000000"/>
        <rFont val="仿宋_GB2312"/>
        <charset val="134"/>
      </rPr>
      <t>减：处置</t>
    </r>
  </si>
  <si>
    <r>
      <rPr>
        <sz val="10.5"/>
        <color rgb="FF000000"/>
        <rFont val="Arial Narrow"/>
        <charset val="134"/>
      </rPr>
      <t xml:space="preserve">        </t>
    </r>
    <r>
      <rPr>
        <sz val="10.5"/>
        <color rgb="FF000000"/>
        <rFont val="仿宋_GB2312"/>
        <charset val="134"/>
      </rPr>
      <t>其他转出</t>
    </r>
  </si>
  <si>
    <r>
      <rPr>
        <sz val="10.5"/>
        <color rgb="FF000000"/>
        <rFont val="Arial Narrow"/>
        <charset val="134"/>
      </rPr>
      <t xml:space="preserve">    </t>
    </r>
    <r>
      <rPr>
        <sz val="10.5"/>
        <color rgb="FF000000"/>
        <rFont val="仿宋_GB2312"/>
        <charset val="134"/>
      </rPr>
      <t>公允价值变动</t>
    </r>
  </si>
  <si>
    <t xml:space="preserve">        </t>
  </si>
  <si>
    <t>三、期末余额</t>
  </si>
  <si>
    <r>
      <rPr>
        <sz val="12"/>
        <rFont val="宋体"/>
        <charset val="134"/>
      </rPr>
      <t>（</t>
    </r>
    <r>
      <rPr>
        <sz val="12"/>
        <rFont val="Arial Narrow"/>
        <charset val="134"/>
      </rPr>
      <t>3</t>
    </r>
    <r>
      <rPr>
        <sz val="12"/>
        <rFont val="宋体"/>
        <charset val="134"/>
      </rPr>
      <t>）</t>
    </r>
    <r>
      <rPr>
        <sz val="12"/>
        <rFont val="仿宋_GB2312"/>
        <charset val="134"/>
      </rPr>
      <t>未办妥产权证书的情况</t>
    </r>
  </si>
  <si>
    <t>（披露未办妥产权证书的投资性房地产账面价值及原因。）</t>
  </si>
  <si>
    <t>账面价值</t>
  </si>
  <si>
    <t>未办妥产权证书原因</t>
  </si>
  <si>
    <t>可无限量添加行</t>
  </si>
  <si>
    <r>
      <rPr>
        <sz val="12"/>
        <rFont val="宋体"/>
        <charset val="134"/>
      </rPr>
      <t>（</t>
    </r>
    <r>
      <rPr>
        <sz val="12"/>
        <rFont val="Arial Narrow"/>
        <charset val="134"/>
      </rPr>
      <t>4</t>
    </r>
    <r>
      <rPr>
        <sz val="12"/>
        <rFont val="宋体"/>
        <charset val="134"/>
      </rPr>
      <t>）</t>
    </r>
    <r>
      <rPr>
        <sz val="12"/>
        <rFont val="仿宋_GB2312"/>
        <charset val="134"/>
      </rPr>
      <t>房地产转换情况及改变计量模式的情况</t>
    </r>
  </si>
  <si>
    <t>（说明报告期内房地产转换或改变计量模式的情况、理由，以及对损益或所有者权益的影响。</t>
  </si>
  <si>
    <t>对于转换为投资性房地产并采用公允价值计量模式的，应披露转换的理由、审批程序，以及对损益、其他综合收益的影响。（15号文第十九条（十二）</t>
  </si>
  <si>
    <t>房地产开发企业列示出租开发产品时，应披露出租开发产品的成本、租赁合同主要条款等内容。对重要的出租房产应单项披露，非重要或零星的出租房产可采用合并披露。）</t>
  </si>
  <si>
    <t>附注披露信息（国有企业）</t>
  </si>
  <si>
    <r>
      <rPr>
        <sz val="12"/>
        <rFont val="Arial Narrow"/>
        <charset val="134"/>
      </rPr>
      <t>（1）</t>
    </r>
    <r>
      <rPr>
        <sz val="12"/>
        <rFont val="仿宋_GB2312"/>
        <charset val="134"/>
      </rPr>
      <t>以成本计量</t>
    </r>
    <r>
      <rPr>
        <sz val="12"/>
        <color rgb="FF0000FF"/>
        <rFont val="仿宋_GB2312"/>
        <charset val="134"/>
      </rPr>
      <t>（如无按公允价值计量的投资性房地产，删除此标题）</t>
    </r>
  </si>
  <si>
    <t>期初余额</t>
  </si>
  <si>
    <t>本期增加</t>
  </si>
  <si>
    <t>本期减少</t>
  </si>
  <si>
    <t>期末余额</t>
  </si>
  <si>
    <t>购置或</t>
  </si>
  <si>
    <t>自用房地产或存货转入</t>
  </si>
  <si>
    <r>
      <rPr>
        <b/>
        <sz val="10.5"/>
        <rFont val="仿宋_GB2312"/>
        <charset val="134"/>
      </rPr>
      <t>处</t>
    </r>
    <r>
      <rPr>
        <b/>
        <sz val="10.5"/>
        <rFont val="Arial Narrow"/>
        <charset val="134"/>
      </rPr>
      <t xml:space="preserve"> </t>
    </r>
    <r>
      <rPr>
        <b/>
        <sz val="10.5"/>
        <rFont val="仿宋_GB2312"/>
        <charset val="134"/>
      </rPr>
      <t>置</t>
    </r>
  </si>
  <si>
    <t>转为自用房地产</t>
  </si>
  <si>
    <t>计提</t>
  </si>
  <si>
    <t>一、账面原值合计</t>
  </si>
  <si>
    <t>X.XX</t>
  </si>
  <si>
    <r>
      <rPr>
        <sz val="10.5"/>
        <rFont val="Arial Narrow"/>
        <charset val="134"/>
      </rPr>
      <t>1</t>
    </r>
    <r>
      <rPr>
        <sz val="10.5"/>
        <rFont val="仿宋_GB2312"/>
        <charset val="134"/>
      </rPr>
      <t>、房屋、建筑物</t>
    </r>
  </si>
  <si>
    <r>
      <rPr>
        <sz val="10.5"/>
        <rFont val="Arial Narrow"/>
        <charset val="134"/>
      </rPr>
      <t>2</t>
    </r>
    <r>
      <rPr>
        <sz val="10.5"/>
        <rFont val="仿宋_GB2312"/>
        <charset val="134"/>
      </rPr>
      <t>、土地使用权</t>
    </r>
  </si>
  <si>
    <t>二、累计折旧和累计摊销合计</t>
  </si>
  <si>
    <t>三、投资性房地产账面净值合计</t>
  </si>
  <si>
    <t>四、投资性房地产减值准备累计金额合计</t>
  </si>
  <si>
    <t>五、投资性房地产账面价值合计</t>
  </si>
  <si>
    <r>
      <rPr>
        <sz val="12"/>
        <color rgb="FF0000FF"/>
        <rFont val="微软雅黑"/>
        <charset val="134"/>
      </rPr>
      <t>①</t>
    </r>
    <r>
      <rPr>
        <sz val="12"/>
        <color rgb="FF0000FF"/>
        <rFont val="Arial Narrow"/>
        <charset val="134"/>
      </rPr>
      <t xml:space="preserve"> </t>
    </r>
    <r>
      <rPr>
        <sz val="12"/>
        <color rgb="FF0000FF"/>
        <rFont val="仿宋_GB2312"/>
        <charset val="134"/>
      </rPr>
      <t>本期折旧和摊销额</t>
    </r>
    <r>
      <rPr>
        <sz val="12"/>
        <color rgb="FF0000FF"/>
        <rFont val="Arial Narrow"/>
        <charset val="134"/>
      </rPr>
      <t>XX</t>
    </r>
    <r>
      <rPr>
        <sz val="12"/>
        <color rgb="FF0000FF"/>
        <rFont val="仿宋_GB2312"/>
        <charset val="134"/>
      </rPr>
      <t>元。</t>
    </r>
  </si>
  <si>
    <r>
      <rPr>
        <sz val="12"/>
        <color rgb="FF0000FF"/>
        <rFont val="微软雅黑"/>
        <charset val="134"/>
      </rPr>
      <t>②</t>
    </r>
    <r>
      <rPr>
        <sz val="12"/>
        <color rgb="FF0000FF"/>
        <rFont val="Arial Narrow"/>
        <charset val="134"/>
      </rPr>
      <t xml:space="preserve"> </t>
    </r>
    <r>
      <rPr>
        <sz val="12"/>
        <color rgb="FF0000FF"/>
        <rFont val="仿宋_GB2312"/>
        <charset val="134"/>
      </rPr>
      <t>投资性房地产本期减值准备计提额</t>
    </r>
    <r>
      <rPr>
        <sz val="12"/>
        <color rgb="FF0000FF"/>
        <rFont val="Arial Narrow"/>
        <charset val="134"/>
      </rPr>
      <t>XX</t>
    </r>
    <r>
      <rPr>
        <sz val="12"/>
        <color rgb="FF0000FF"/>
        <rFont val="仿宋_GB2312"/>
        <charset val="134"/>
      </rPr>
      <t>元。</t>
    </r>
  </si>
  <si>
    <r>
      <rPr>
        <sz val="12"/>
        <rFont val="宋体"/>
        <charset val="134"/>
      </rPr>
      <t>（</t>
    </r>
    <r>
      <rPr>
        <sz val="12"/>
        <rFont val="Arial Narrow"/>
        <charset val="134"/>
      </rPr>
      <t>2</t>
    </r>
    <r>
      <rPr>
        <sz val="12"/>
        <rFont val="宋体"/>
        <charset val="134"/>
      </rPr>
      <t>）</t>
    </r>
    <r>
      <rPr>
        <sz val="12"/>
        <rFont val="仿宋_GB2312"/>
        <charset val="134"/>
      </rPr>
      <t>以公允价值计量</t>
    </r>
    <r>
      <rPr>
        <sz val="12"/>
        <color rgb="FF0000FF"/>
        <rFont val="仿宋_GB2312"/>
        <charset val="134"/>
      </rPr>
      <t>（不适用的删除）</t>
    </r>
  </si>
  <si>
    <r>
      <rPr>
        <b/>
        <sz val="10.5"/>
        <color rgb="FF000000"/>
        <rFont val="仿宋_GB2312"/>
        <charset val="134"/>
      </rPr>
      <t>期初</t>
    </r>
    <r>
      <rPr>
        <b/>
        <sz val="10.5"/>
        <rFont val="仿宋_GB2312"/>
        <charset val="134"/>
      </rPr>
      <t>公允价值</t>
    </r>
  </si>
  <si>
    <t>期末公允价值</t>
  </si>
  <si>
    <t>购置</t>
  </si>
  <si>
    <t>公允价值变动损益</t>
  </si>
  <si>
    <t>一、成本合计</t>
  </si>
  <si>
    <r>
      <rPr>
        <sz val="10.5"/>
        <rFont val="仿宋_GB2312"/>
        <charset val="134"/>
      </rPr>
      <t>其中：</t>
    </r>
    <r>
      <rPr>
        <sz val="10.5"/>
        <rFont val="Arial Narrow"/>
        <charset val="134"/>
      </rPr>
      <t>1</t>
    </r>
    <r>
      <rPr>
        <sz val="10.5"/>
        <rFont val="仿宋_GB2312"/>
        <charset val="134"/>
      </rPr>
      <t>、房屋、建筑物</t>
    </r>
  </si>
  <si>
    <r>
      <rPr>
        <sz val="10.5"/>
        <rFont val="Arial Narrow"/>
        <charset val="134"/>
      </rPr>
      <t xml:space="preserve">      2</t>
    </r>
    <r>
      <rPr>
        <sz val="10.5"/>
        <rFont val="仿宋_GB2312"/>
        <charset val="134"/>
      </rPr>
      <t>、土地使用权</t>
    </r>
  </si>
  <si>
    <t>二、公允价值变动合计</t>
  </si>
  <si>
    <t>三、投资性房地产账面价值合计</t>
  </si>
  <si>
    <t>（注：①应披露公允价值确认依据。②说明报告期内改变计量模式的投资性房地产转换的原因及其影响。）</t>
  </si>
  <si>
    <r>
      <rPr>
        <sz val="12"/>
        <rFont val="宋体"/>
        <charset val="134"/>
      </rPr>
      <t>（</t>
    </r>
    <r>
      <rPr>
        <sz val="12"/>
        <rFont val="Arial Narrow"/>
        <charset val="134"/>
      </rPr>
      <t>3</t>
    </r>
    <r>
      <rPr>
        <sz val="12"/>
        <rFont val="宋体"/>
        <charset val="134"/>
      </rPr>
      <t>）</t>
    </r>
    <r>
      <rPr>
        <sz val="12"/>
        <rFont val="仿宋_GB2312"/>
        <charset val="134"/>
      </rPr>
      <t>未办妥产权证书的投资性房地产</t>
    </r>
  </si>
  <si>
    <t>原因</t>
  </si>
  <si>
    <r>
      <rPr>
        <b/>
        <sz val="10.5"/>
        <rFont val="仿宋_GB2312"/>
        <charset val="134"/>
      </rPr>
      <t>合</t>
    </r>
    <r>
      <rPr>
        <b/>
        <sz val="10.5"/>
        <rFont val="Arial Narrow"/>
        <charset val="134"/>
      </rPr>
      <t xml:space="preserve">  </t>
    </r>
    <r>
      <rPr>
        <b/>
        <sz val="10.5"/>
        <rFont val="仿宋_GB2312"/>
        <charset val="134"/>
      </rPr>
      <t>计</t>
    </r>
  </si>
  <si>
    <r>
      <rPr>
        <b/>
        <sz val="14"/>
        <rFont val="宋体"/>
        <charset val="134"/>
      </rPr>
      <t>投资性房地产明细表（成本模式）</t>
    </r>
  </si>
  <si>
    <r>
      <rPr>
        <b/>
        <sz val="10"/>
        <rFont val="宋体"/>
        <charset val="134"/>
      </rPr>
      <t>一、审计目标：</t>
    </r>
  </si>
  <si>
    <r>
      <rPr>
        <sz val="10"/>
        <color indexed="8"/>
        <rFont val="Arial Narrow"/>
        <charset val="134"/>
      </rPr>
      <t xml:space="preserve">1. </t>
    </r>
    <r>
      <rPr>
        <sz val="10"/>
        <color indexed="8"/>
        <rFont val="宋体"/>
        <charset val="134"/>
      </rPr>
      <t>资产负债表中记录的投资性房地产是存在的，且已记录于恰当的账户；</t>
    </r>
    <r>
      <rPr>
        <sz val="10"/>
        <color indexed="8"/>
        <rFont val="Arial Narrow"/>
        <charset val="134"/>
      </rPr>
      <t xml:space="preserve">2. </t>
    </r>
    <r>
      <rPr>
        <sz val="10"/>
        <color indexed="8"/>
        <rFont val="宋体"/>
        <charset val="134"/>
      </rPr>
      <t>所有应记录的投资性房地产均已记录，所有应当包括在财务报表中的相关披露均已包括；</t>
    </r>
  </si>
  <si>
    <r>
      <rPr>
        <sz val="10"/>
        <color indexed="8"/>
        <rFont val="Arial Narrow"/>
        <charset val="134"/>
      </rPr>
      <t>3.</t>
    </r>
    <r>
      <rPr>
        <sz val="10"/>
        <color indexed="8"/>
        <rFont val="宋体"/>
        <charset val="134"/>
      </rPr>
      <t>投资性房地产以恰当的金额包括在财务报表中，与之相关的计价或分摊调整已恰当记录，相关披露已得到恰当计量和描述</t>
    </r>
    <r>
      <rPr>
        <sz val="10"/>
        <color indexed="8"/>
        <rFont val="Arial Narrow"/>
        <charset val="134"/>
      </rPr>
      <t xml:space="preserve"> </t>
    </r>
  </si>
  <si>
    <r>
      <rPr>
        <b/>
        <sz val="10"/>
        <rFont val="宋体"/>
        <charset val="134"/>
      </rPr>
      <t>二、审计过程：</t>
    </r>
  </si>
  <si>
    <r>
      <rPr>
        <b/>
        <sz val="10"/>
        <rFont val="宋体"/>
        <charset val="134"/>
      </rPr>
      <t>投资性房地产类别</t>
    </r>
  </si>
  <si>
    <r>
      <rPr>
        <b/>
        <sz val="10"/>
        <rFont val="宋体"/>
        <charset val="134"/>
      </rPr>
      <t>投资性房地产名称</t>
    </r>
  </si>
  <si>
    <r>
      <rPr>
        <b/>
        <sz val="10"/>
        <rFont val="宋体"/>
        <charset val="134"/>
      </rPr>
      <t>投资性房地产原值</t>
    </r>
  </si>
  <si>
    <r>
      <rPr>
        <b/>
        <sz val="10"/>
        <rFont val="宋体"/>
        <charset val="134"/>
      </rPr>
      <t>累计折旧</t>
    </r>
    <r>
      <rPr>
        <b/>
        <sz val="10"/>
        <rFont val="Arial Narrow"/>
        <charset val="134"/>
      </rPr>
      <t>/</t>
    </r>
    <r>
      <rPr>
        <b/>
        <sz val="10"/>
        <rFont val="宋体"/>
        <charset val="134"/>
      </rPr>
      <t>累计摊销</t>
    </r>
  </si>
  <si>
    <r>
      <rPr>
        <b/>
        <sz val="10"/>
        <rFont val="宋体"/>
        <charset val="134"/>
      </rPr>
      <t>减值准备</t>
    </r>
  </si>
  <si>
    <r>
      <rPr>
        <b/>
        <sz val="10"/>
        <rFont val="宋体"/>
        <charset val="134"/>
      </rPr>
      <t>期初净值</t>
    </r>
  </si>
  <si>
    <r>
      <rPr>
        <b/>
        <sz val="10"/>
        <rFont val="宋体"/>
        <charset val="134"/>
      </rPr>
      <t>期末净值</t>
    </r>
  </si>
  <si>
    <r>
      <rPr>
        <b/>
        <sz val="10"/>
        <rFont val="宋体"/>
        <charset val="134"/>
      </rPr>
      <t>是否有权属证明</t>
    </r>
  </si>
  <si>
    <r>
      <rPr>
        <b/>
        <sz val="10"/>
        <rFont val="宋体"/>
        <charset val="134"/>
      </rPr>
      <t>是否抵押受限</t>
    </r>
  </si>
  <si>
    <r>
      <rPr>
        <b/>
        <sz val="10"/>
        <rFont val="宋体"/>
        <charset val="134"/>
      </rPr>
      <t>期初调整</t>
    </r>
  </si>
  <si>
    <r>
      <rPr>
        <b/>
        <sz val="10"/>
        <rFont val="宋体"/>
        <charset val="134"/>
      </rPr>
      <t>期初余额</t>
    </r>
  </si>
  <si>
    <r>
      <rPr>
        <b/>
        <sz val="10"/>
        <rFont val="宋体"/>
        <charset val="134"/>
      </rPr>
      <t>本年增加</t>
    </r>
  </si>
  <si>
    <r>
      <rPr>
        <b/>
        <sz val="10"/>
        <rFont val="宋体"/>
        <charset val="134"/>
      </rPr>
      <t>增加方式</t>
    </r>
  </si>
  <si>
    <r>
      <rPr>
        <b/>
        <sz val="10"/>
        <rFont val="宋体"/>
        <charset val="134"/>
      </rPr>
      <t>本年减少</t>
    </r>
  </si>
  <si>
    <r>
      <rPr>
        <b/>
        <sz val="10"/>
        <rFont val="宋体"/>
        <charset val="134"/>
      </rPr>
      <t>减少方式</t>
    </r>
  </si>
  <si>
    <r>
      <rPr>
        <b/>
        <sz val="10"/>
        <rFont val="宋体"/>
        <charset val="134"/>
      </rPr>
      <t>期末余额</t>
    </r>
  </si>
  <si>
    <r>
      <rPr>
        <b/>
        <sz val="10"/>
        <rFont val="宋体"/>
        <charset val="134"/>
      </rPr>
      <t>本期增加</t>
    </r>
  </si>
  <si>
    <r>
      <rPr>
        <b/>
        <sz val="10"/>
        <rFont val="宋体"/>
        <charset val="134"/>
      </rPr>
      <t>本期减少</t>
    </r>
  </si>
  <si>
    <r>
      <rPr>
        <sz val="10"/>
        <rFont val="宋体"/>
        <charset val="134"/>
      </rPr>
      <t>房屋、建筑物</t>
    </r>
  </si>
  <si>
    <r>
      <rPr>
        <sz val="10"/>
        <rFont val="宋体"/>
        <charset val="134"/>
      </rPr>
      <t>在建工程</t>
    </r>
  </si>
  <si>
    <r>
      <rPr>
        <b/>
        <sz val="10"/>
        <rFont val="宋体"/>
        <charset val="134"/>
      </rPr>
      <t>合计</t>
    </r>
  </si>
  <si>
    <r>
      <rPr>
        <sz val="10"/>
        <rFont val="宋体"/>
        <charset val="134"/>
      </rPr>
      <t>其中：</t>
    </r>
  </si>
  <si>
    <r>
      <rPr>
        <b/>
        <sz val="10"/>
        <rFont val="宋体"/>
        <charset val="134"/>
      </rPr>
      <t>三、审计说明：</t>
    </r>
  </si>
  <si>
    <r>
      <rPr>
        <b/>
        <sz val="10"/>
        <rFont val="宋体"/>
        <charset val="134"/>
      </rPr>
      <t>四、审计结论</t>
    </r>
    <r>
      <rPr>
        <b/>
        <sz val="10"/>
        <rFont val="Arial Narrow"/>
        <charset val="134"/>
      </rPr>
      <t>:</t>
    </r>
  </si>
  <si>
    <t>提示：</t>
  </si>
  <si>
    <r>
      <rPr>
        <sz val="10"/>
        <color indexed="12"/>
        <rFont val="Arial Narrow"/>
        <charset val="134"/>
      </rPr>
      <t>1</t>
    </r>
    <r>
      <rPr>
        <sz val="10"/>
        <color indexed="12"/>
        <rFont val="宋体"/>
        <charset val="134"/>
      </rPr>
      <t>、投资性房地产，是指为赚取租金或资本增值，或两者兼有而持有的房地产。投资性房地产应当能够单独计量和出售。</t>
    </r>
  </si>
  <si>
    <r>
      <rPr>
        <sz val="10"/>
        <color indexed="12"/>
        <rFont val="Arial Narrow"/>
        <charset val="134"/>
      </rPr>
      <t>2</t>
    </r>
    <r>
      <rPr>
        <sz val="10"/>
        <color indexed="12"/>
        <rFont val="宋体"/>
        <charset val="134"/>
      </rPr>
      <t>、包括：已出租的土地使用权；持有并准备增值后转让的土地使用权；已出租的建筑物。</t>
    </r>
  </si>
  <si>
    <r>
      <rPr>
        <sz val="10"/>
        <color indexed="12"/>
        <rFont val="Arial Narrow"/>
        <charset val="134"/>
      </rPr>
      <t>3</t>
    </r>
    <r>
      <rPr>
        <sz val="10"/>
        <color indexed="12"/>
        <rFont val="宋体"/>
        <charset val="134"/>
      </rPr>
      <t>、通常情况下，对企业持有以备经营出租的空置建筑物，如董事会或类似机构作出书面决议，明确表明将其用于经营</t>
    </r>
  </si>
  <si>
    <r>
      <rPr>
        <sz val="10"/>
        <color indexed="12"/>
        <rFont val="宋体"/>
        <charset val="134"/>
      </rPr>
      <t>租出且持有意图短期内不再发生变化的，即使尚未签定租赁协议，也应视为投资性房地产。</t>
    </r>
  </si>
  <si>
    <r>
      <rPr>
        <sz val="10"/>
        <color indexed="12"/>
        <rFont val="Arial Narrow"/>
        <charset val="134"/>
      </rPr>
      <t>4.</t>
    </r>
    <r>
      <rPr>
        <sz val="10"/>
        <color indexed="12"/>
        <rFont val="宋体"/>
        <charset val="134"/>
      </rPr>
      <t>审计说明可以概述：（</t>
    </r>
    <r>
      <rPr>
        <sz val="10"/>
        <color indexed="12"/>
        <rFont val="Arial Narrow"/>
        <charset val="134"/>
      </rPr>
      <t>1</t>
    </r>
    <r>
      <rPr>
        <sz val="10"/>
        <color indexed="12"/>
        <rFont val="宋体"/>
        <charset val="134"/>
      </rPr>
      <t>）程序的测试情况、结果；（</t>
    </r>
    <r>
      <rPr>
        <sz val="10"/>
        <color indexed="12"/>
        <rFont val="Arial Narrow"/>
        <charset val="134"/>
      </rPr>
      <t>2</t>
    </r>
    <r>
      <rPr>
        <sz val="10"/>
        <color indexed="12"/>
        <rFont val="宋体"/>
        <charset val="134"/>
      </rPr>
      <t>）拟调整事项及其调整分录、未调整事项及其影响，审计范围受到限制情况及其影响。</t>
    </r>
  </si>
  <si>
    <r>
      <rPr>
        <sz val="10"/>
        <color indexed="12"/>
        <rFont val="Arial Narrow"/>
        <charset val="134"/>
      </rPr>
      <t>5.</t>
    </r>
    <r>
      <rPr>
        <sz val="10"/>
        <color indexed="12"/>
        <rFont val="宋体"/>
        <charset val="134"/>
      </rPr>
      <t>审计结论可参考：</t>
    </r>
    <r>
      <rPr>
        <sz val="10"/>
        <color indexed="12"/>
        <rFont val="Arial Narrow"/>
        <charset val="134"/>
      </rPr>
      <t>A</t>
    </r>
    <r>
      <rPr>
        <sz val="10"/>
        <color indexed="12"/>
        <rFont val="宋体"/>
        <charset val="134"/>
      </rPr>
      <t>、未见异常。</t>
    </r>
    <r>
      <rPr>
        <sz val="10"/>
        <color indexed="12"/>
        <rFont val="Arial Narrow"/>
        <charset val="134"/>
      </rPr>
      <t xml:space="preserve"> B</t>
    </r>
    <r>
      <rPr>
        <sz val="10"/>
        <color indexed="12"/>
        <rFont val="宋体"/>
        <charset val="134"/>
      </rPr>
      <t>、除上述重大不符事项应当作为调整事项予以调整外，其余未见异常。</t>
    </r>
    <r>
      <rPr>
        <sz val="10"/>
        <color indexed="12"/>
        <rFont val="Arial Narrow"/>
        <charset val="134"/>
      </rPr>
      <t xml:space="preserve">  C</t>
    </r>
    <r>
      <rPr>
        <sz val="10"/>
        <color indexed="12"/>
        <rFont val="宋体"/>
        <charset val="134"/>
      </rPr>
      <t>、由于存在以下重大未调整事项（或审计范围受到限制无法获取充分、适当证据），不可确认。</t>
    </r>
  </si>
  <si>
    <r>
      <rPr>
        <b/>
        <sz val="14"/>
        <rFont val="宋体"/>
        <charset val="134"/>
      </rPr>
      <t>投资性房地产明细表（公允价值模式）</t>
    </r>
  </si>
  <si>
    <r>
      <rPr>
        <b/>
        <sz val="10"/>
        <color indexed="8"/>
        <rFont val="宋体"/>
        <charset val="134"/>
      </rPr>
      <t>一、审计目标</t>
    </r>
    <r>
      <rPr>
        <b/>
        <sz val="10"/>
        <color indexed="8"/>
        <rFont val="Arial Narrow"/>
        <charset val="134"/>
      </rPr>
      <t>:</t>
    </r>
  </si>
  <si>
    <t>投资性房地产类别</t>
  </si>
  <si>
    <t>投资性房地产名称</t>
  </si>
  <si>
    <t>投资性房地产原值</t>
  </si>
  <si>
    <t>公允价值变动</t>
  </si>
  <si>
    <t>期初净值</t>
  </si>
  <si>
    <t>期末净值</t>
  </si>
  <si>
    <t>是否有权属证明</t>
  </si>
  <si>
    <t>是否抵押受限</t>
  </si>
  <si>
    <t>未审数</t>
  </si>
  <si>
    <t>期初调整</t>
  </si>
  <si>
    <t>账项调整</t>
  </si>
  <si>
    <t>审定数</t>
  </si>
  <si>
    <t>本期变动调整</t>
  </si>
  <si>
    <t>本年增加</t>
  </si>
  <si>
    <t>增加方式</t>
  </si>
  <si>
    <t>本年减少</t>
  </si>
  <si>
    <t>减少方式</t>
  </si>
  <si>
    <t>本年变动</t>
  </si>
  <si>
    <r>
      <rPr>
        <b/>
        <sz val="10"/>
        <rFont val="宋体"/>
        <charset val="134"/>
      </rPr>
      <t>四、审计结论</t>
    </r>
  </si>
  <si>
    <t>4.审计说明可以概述:(1)程序的测试情况、结果;(2)拟调整事项及其调整分录、未调整事项及其影响，审计范围受到限制情况及其影响。</t>
  </si>
  <si>
    <t>5.审计结论可参考：A、未见异常。 B、除上述重大不符事项应当作为调整事项予以调整外，其余未见异常。
C、由于存在以下重大未调整事项(或审计范围受到限制无法获取充分、适当证据)，不可确认。</t>
  </si>
  <si>
    <r>
      <rPr>
        <b/>
        <sz val="14"/>
        <rFont val="宋体"/>
        <charset val="134"/>
      </rPr>
      <t>投资性房地产调整分录汇总表</t>
    </r>
  </si>
  <si>
    <r>
      <rPr>
        <b/>
        <sz val="10"/>
        <color indexed="8"/>
        <rFont val="宋体"/>
        <charset val="134"/>
      </rPr>
      <t>调整事项说明</t>
    </r>
  </si>
  <si>
    <r>
      <rPr>
        <b/>
        <sz val="10"/>
        <color indexed="8"/>
        <rFont val="宋体"/>
        <charset val="134"/>
      </rPr>
      <t>类别（报表调整</t>
    </r>
    <r>
      <rPr>
        <b/>
        <sz val="10"/>
        <color indexed="8"/>
        <rFont val="Arial Narrow"/>
        <charset val="134"/>
      </rPr>
      <t>/</t>
    </r>
    <r>
      <rPr>
        <b/>
        <sz val="10"/>
        <color indexed="8"/>
        <rFont val="宋体"/>
        <charset val="134"/>
      </rPr>
      <t>账项调整</t>
    </r>
    <r>
      <rPr>
        <b/>
        <sz val="10"/>
        <color indexed="8"/>
        <rFont val="Arial Narrow"/>
        <charset val="134"/>
      </rPr>
      <t>/</t>
    </r>
    <r>
      <rPr>
        <b/>
        <sz val="10"/>
        <color indexed="8"/>
        <rFont val="宋体"/>
        <charset val="134"/>
      </rPr>
      <t>其他）</t>
    </r>
  </si>
  <si>
    <r>
      <rPr>
        <b/>
        <sz val="10"/>
        <color indexed="8"/>
        <rFont val="宋体"/>
        <charset val="134"/>
      </rPr>
      <t>报表项目</t>
    </r>
  </si>
  <si>
    <r>
      <rPr>
        <b/>
        <sz val="10"/>
        <rFont val="宋体"/>
        <charset val="134"/>
      </rPr>
      <t>科目名称</t>
    </r>
  </si>
  <si>
    <r>
      <rPr>
        <b/>
        <sz val="10"/>
        <rFont val="宋体"/>
        <charset val="134"/>
      </rPr>
      <t>附注项目</t>
    </r>
  </si>
  <si>
    <r>
      <rPr>
        <b/>
        <sz val="10"/>
        <rFont val="宋体"/>
        <charset val="134"/>
      </rPr>
      <t>借方调整金额</t>
    </r>
  </si>
  <si>
    <r>
      <rPr>
        <b/>
        <sz val="10"/>
        <rFont val="宋体"/>
        <charset val="134"/>
      </rPr>
      <t>贷方调整金额</t>
    </r>
  </si>
  <si>
    <r>
      <rPr>
        <b/>
        <sz val="10"/>
        <rFont val="宋体"/>
        <charset val="134"/>
      </rPr>
      <t>索引</t>
    </r>
  </si>
  <si>
    <t>提示：本底稿适用于调整分录较多、较复杂的项目，且仅列示与本报表项目相关的审计调整。项目组可根据项目实际情况选择是否使用该底稿。</t>
  </si>
  <si>
    <r>
      <rPr>
        <b/>
        <sz val="12"/>
        <color indexed="8"/>
        <rFont val="宋体"/>
        <charset val="134"/>
      </rPr>
      <t>致同会计师事务所</t>
    </r>
  </si>
  <si>
    <r>
      <rPr>
        <b/>
        <sz val="14"/>
        <color indexed="8"/>
        <rFont val="宋体"/>
        <charset val="134"/>
      </rPr>
      <t>投资性房地产相关会计政策</t>
    </r>
    <r>
      <rPr>
        <b/>
        <sz val="14"/>
        <color indexed="8"/>
        <rFont val="Arial Narrow"/>
        <charset val="134"/>
      </rPr>
      <t>/</t>
    </r>
    <r>
      <rPr>
        <b/>
        <sz val="14"/>
        <color indexed="8"/>
        <rFont val="宋体"/>
        <charset val="134"/>
      </rPr>
      <t>估计检查表</t>
    </r>
  </si>
  <si>
    <r>
      <rPr>
        <b/>
        <sz val="10"/>
        <color indexed="8"/>
        <rFont val="宋体"/>
        <charset val="134"/>
      </rPr>
      <t>一、审计目标：</t>
    </r>
  </si>
  <si>
    <r>
      <rPr>
        <sz val="10"/>
        <color indexed="8"/>
        <rFont val="Arial Narrow"/>
        <charset val="134"/>
      </rPr>
      <t>1.</t>
    </r>
    <r>
      <rPr>
        <sz val="10"/>
        <color indexed="8"/>
        <rFont val="宋体"/>
        <charset val="134"/>
      </rPr>
      <t>所有应记录的投资性房地产均已记录，所有应当包括在财务报表中的相关披露均已包括；</t>
    </r>
  </si>
  <si>
    <r>
      <rPr>
        <sz val="10"/>
        <color indexed="8"/>
        <rFont val="Arial Narrow"/>
        <charset val="134"/>
      </rPr>
      <t xml:space="preserve">2. </t>
    </r>
    <r>
      <rPr>
        <sz val="10"/>
        <color indexed="8"/>
        <rFont val="宋体"/>
        <charset val="134"/>
      </rPr>
      <t>所有应记录的投资性房地产均已记录，所有应当包括在财务报表中的相关披露均已包括</t>
    </r>
  </si>
  <si>
    <r>
      <rPr>
        <sz val="10"/>
        <color indexed="8"/>
        <rFont val="Arial Narrow"/>
        <charset val="134"/>
      </rPr>
      <t>2.</t>
    </r>
    <r>
      <rPr>
        <sz val="10"/>
        <rFont val="宋体"/>
        <charset val="134"/>
      </rPr>
      <t>投资性房地产以恰当的金额包括在财务报表中，与之相关的计价或分摊调整已恰当记录，相关披露已得到恰当计量和描述</t>
    </r>
    <r>
      <rPr>
        <sz val="10"/>
        <rFont val="Arial Narrow"/>
        <charset val="134"/>
      </rPr>
      <t xml:space="preserve"> </t>
    </r>
    <r>
      <rPr>
        <sz val="10"/>
        <rFont val="宋体"/>
        <charset val="134"/>
      </rPr>
      <t>。</t>
    </r>
  </si>
  <si>
    <r>
      <rPr>
        <b/>
        <sz val="10"/>
        <rFont val="宋体"/>
        <charset val="134"/>
      </rPr>
      <t>（一）分类为投资性房地产的判断依据。</t>
    </r>
  </si>
  <si>
    <r>
      <rPr>
        <b/>
        <sz val="10"/>
        <rFont val="宋体"/>
        <charset val="134"/>
      </rPr>
      <t>（二）被审计单位对投资性房地产的计量属性的选择及其原因：</t>
    </r>
  </si>
  <si>
    <r>
      <rPr>
        <b/>
        <sz val="10"/>
        <rFont val="宋体"/>
        <charset val="134"/>
      </rPr>
      <t>（三）成本模式下，被审计单位的投资性房地产折旧政策：</t>
    </r>
  </si>
  <si>
    <r>
      <rPr>
        <b/>
        <sz val="10"/>
        <color indexed="8"/>
        <rFont val="宋体"/>
        <charset val="134"/>
      </rPr>
      <t>序号</t>
    </r>
  </si>
  <si>
    <r>
      <rPr>
        <b/>
        <sz val="10"/>
        <color indexed="8"/>
        <rFont val="宋体"/>
        <charset val="134"/>
      </rPr>
      <t>类别</t>
    </r>
  </si>
  <si>
    <r>
      <rPr>
        <b/>
        <sz val="10"/>
        <color indexed="8"/>
        <rFont val="宋体"/>
        <charset val="134"/>
      </rPr>
      <t>折旧年限</t>
    </r>
  </si>
  <si>
    <r>
      <rPr>
        <b/>
        <sz val="10"/>
        <color indexed="8"/>
        <rFont val="宋体"/>
        <charset val="134"/>
      </rPr>
      <t>折旧方法</t>
    </r>
  </si>
  <si>
    <r>
      <rPr>
        <b/>
        <sz val="10"/>
        <color indexed="8"/>
        <rFont val="宋体"/>
        <charset val="134"/>
      </rPr>
      <t>残值率</t>
    </r>
  </si>
  <si>
    <r>
      <rPr>
        <b/>
        <sz val="10"/>
        <color indexed="8"/>
        <rFont val="宋体"/>
        <charset val="134"/>
      </rPr>
      <t>是否符合实际经营情况和会计准则的要求</t>
    </r>
  </si>
  <si>
    <r>
      <rPr>
        <b/>
        <sz val="10"/>
        <color indexed="8"/>
        <rFont val="宋体"/>
        <charset val="134"/>
      </rPr>
      <t>是否与相关资产所包含的经济利益预期实现方式相一致</t>
    </r>
  </si>
  <si>
    <r>
      <rPr>
        <b/>
        <sz val="10"/>
        <color indexed="8"/>
        <rFont val="宋体"/>
        <charset val="134"/>
      </rPr>
      <t>与同行业公司相比，会计政策是否合理</t>
    </r>
  </si>
  <si>
    <r>
      <rPr>
        <b/>
        <sz val="10"/>
        <color indexed="8"/>
        <rFont val="宋体"/>
        <charset val="134"/>
      </rPr>
      <t>是否存在会计政策</t>
    </r>
    <r>
      <rPr>
        <b/>
        <sz val="10"/>
        <color indexed="8"/>
        <rFont val="Arial Narrow"/>
        <charset val="134"/>
      </rPr>
      <t>/</t>
    </r>
    <r>
      <rPr>
        <b/>
        <sz val="10"/>
        <color indexed="8"/>
        <rFont val="宋体"/>
        <charset val="134"/>
      </rPr>
      <t>会计估计变更</t>
    </r>
  </si>
  <si>
    <r>
      <rPr>
        <b/>
        <sz val="10"/>
        <color indexed="8"/>
        <rFont val="宋体"/>
        <charset val="134"/>
      </rPr>
      <t>会计政策</t>
    </r>
    <r>
      <rPr>
        <b/>
        <sz val="10"/>
        <color indexed="8"/>
        <rFont val="Arial Narrow"/>
        <charset val="134"/>
      </rPr>
      <t>/</t>
    </r>
    <r>
      <rPr>
        <b/>
        <sz val="10"/>
        <color indexed="8"/>
        <rFont val="宋体"/>
        <charset val="134"/>
      </rPr>
      <t>会计估计变更是否合理</t>
    </r>
  </si>
  <si>
    <r>
      <rPr>
        <b/>
        <sz val="10"/>
        <color indexed="8"/>
        <rFont val="宋体"/>
        <charset val="134"/>
      </rPr>
      <t>备注</t>
    </r>
  </si>
  <si>
    <r>
      <rPr>
        <sz val="10"/>
        <color rgb="FFFF0000"/>
        <rFont val="宋体"/>
        <charset val="134"/>
      </rPr>
      <t>房屋、建筑物</t>
    </r>
  </si>
  <si>
    <r>
      <rPr>
        <sz val="10"/>
        <color rgb="FFFF0000"/>
        <rFont val="宋体"/>
        <charset val="134"/>
      </rPr>
      <t>土地使用权</t>
    </r>
  </si>
  <si>
    <r>
      <rPr>
        <sz val="10"/>
        <color rgb="FFFF0000"/>
        <rFont val="宋体"/>
        <charset val="134"/>
      </rPr>
      <t>在建工程</t>
    </r>
  </si>
  <si>
    <r>
      <rPr>
        <b/>
        <sz val="10"/>
        <rFont val="宋体"/>
        <charset val="134"/>
      </rPr>
      <t>（四）公允价值模式下，期末投资性房地产公允价值的取得：</t>
    </r>
  </si>
  <si>
    <r>
      <rPr>
        <b/>
        <sz val="10"/>
        <rFont val="宋体"/>
        <charset val="134"/>
      </rPr>
      <t>（五）如本期存在会计估计变更，原会计估计如下：</t>
    </r>
  </si>
  <si>
    <r>
      <rPr>
        <b/>
        <sz val="10"/>
        <color indexed="8"/>
        <rFont val="宋体"/>
        <charset val="134"/>
      </rPr>
      <t>使用寿命</t>
    </r>
  </si>
  <si>
    <r>
      <rPr>
        <b/>
        <sz val="10"/>
        <color indexed="8"/>
        <rFont val="宋体"/>
        <charset val="134"/>
      </rPr>
      <t>摊销方法</t>
    </r>
  </si>
  <si>
    <r>
      <rPr>
        <i/>
        <sz val="10"/>
        <color rgb="FFFF0000"/>
        <rFont val="宋体"/>
        <charset val="134"/>
      </rPr>
      <t>房屋、建筑物</t>
    </r>
  </si>
  <si>
    <r>
      <rPr>
        <i/>
        <sz val="10"/>
        <color rgb="FFFF0000"/>
        <rFont val="宋体"/>
        <charset val="134"/>
      </rPr>
      <t>土地使用权</t>
    </r>
  </si>
  <si>
    <r>
      <rPr>
        <i/>
        <sz val="10"/>
        <color rgb="FFFF0000"/>
        <rFont val="宋体"/>
        <charset val="134"/>
      </rPr>
      <t>在建工程</t>
    </r>
  </si>
  <si>
    <r>
      <rPr>
        <b/>
        <sz val="10"/>
        <rFont val="宋体"/>
        <charset val="134"/>
      </rPr>
      <t>四、审计结论：</t>
    </r>
  </si>
  <si>
    <t>投资性房地产增减检查表（成本模式）</t>
  </si>
  <si>
    <r>
      <rPr>
        <sz val="10"/>
        <rFont val="宋体"/>
        <charset val="134"/>
      </rPr>
      <t>截止日：</t>
    </r>
    <r>
      <rPr>
        <sz val="10"/>
        <rFont val="Arial Narrow"/>
        <charset val="134"/>
      </rPr>
      <t>202X</t>
    </r>
    <r>
      <rPr>
        <sz val="10"/>
        <rFont val="宋体"/>
        <charset val="134"/>
      </rPr>
      <t>年</t>
    </r>
    <r>
      <rPr>
        <sz val="10"/>
        <rFont val="Arial Narrow"/>
        <charset val="134"/>
      </rPr>
      <t>12</t>
    </r>
    <r>
      <rPr>
        <sz val="10"/>
        <rFont val="宋体"/>
        <charset val="134"/>
      </rPr>
      <t>月</t>
    </r>
    <r>
      <rPr>
        <sz val="10"/>
        <rFont val="Arial Narrow"/>
        <charset val="134"/>
      </rPr>
      <t>31</t>
    </r>
    <r>
      <rPr>
        <sz val="10"/>
        <rFont val="宋体"/>
        <charset val="134"/>
      </rPr>
      <t>日</t>
    </r>
  </si>
  <si>
    <r>
      <rPr>
        <b/>
        <sz val="10"/>
        <rFont val="宋体"/>
        <charset val="134"/>
      </rPr>
      <t>一、审计目标</t>
    </r>
    <r>
      <rPr>
        <sz val="10"/>
        <rFont val="宋体"/>
        <charset val="134"/>
      </rPr>
      <t>：</t>
    </r>
  </si>
  <si>
    <r>
      <rPr>
        <sz val="10"/>
        <rFont val="Arial Narrow"/>
        <charset val="134"/>
      </rPr>
      <t>1.</t>
    </r>
    <r>
      <rPr>
        <sz val="10"/>
        <rFont val="宋体"/>
        <charset val="134"/>
      </rPr>
      <t>资产负债表中记录的投资性房地产是存在的，且已记录于恰当的账户；</t>
    </r>
    <r>
      <rPr>
        <sz val="10"/>
        <rFont val="Arial Narrow"/>
        <charset val="134"/>
      </rPr>
      <t>2.</t>
    </r>
    <r>
      <rPr>
        <sz val="10"/>
        <rFont val="宋体"/>
        <charset val="134"/>
      </rPr>
      <t>所有应记录的投资性房地产均已记录，所有应当包括在财务报表中的相关披露均已包括；</t>
    </r>
  </si>
  <si>
    <r>
      <rPr>
        <sz val="10"/>
        <rFont val="Arial Narrow"/>
        <charset val="134"/>
      </rPr>
      <t>3.</t>
    </r>
    <r>
      <rPr>
        <sz val="10"/>
        <rFont val="宋体"/>
        <charset val="134"/>
      </rPr>
      <t>记录的投资性房地产由被审计单位拥有或控制；</t>
    </r>
    <r>
      <rPr>
        <sz val="10"/>
        <rFont val="Arial Narrow"/>
        <charset val="134"/>
      </rPr>
      <t>4.</t>
    </r>
    <r>
      <rPr>
        <sz val="10"/>
        <rFont val="宋体"/>
        <charset val="134"/>
      </rPr>
      <t>投资性房地产以恰当的金额包括在财务报表中，与之相关的计价或分摊调整已恰当记录，相关披露已得到恰当计量和描述。</t>
    </r>
  </si>
  <si>
    <r>
      <rPr>
        <b/>
        <sz val="10"/>
        <rFont val="宋体"/>
        <charset val="134"/>
      </rPr>
      <t>二、样本选取标准与规模：</t>
    </r>
  </si>
  <si>
    <t>测试总体：</t>
  </si>
  <si>
    <t>如投资性房地产借方发生额所有凭证共XX笔金额XX、贷方发生额所有凭证共XX笔金额XX</t>
  </si>
  <si>
    <t>特定样本：</t>
  </si>
  <si>
    <t>XX金额以上（大额）、关联方/关联交易形成的款项、XX异常款项全部测试，共XX笔；</t>
  </si>
  <si>
    <t>抽样总体：</t>
  </si>
  <si>
    <t>测试总体扣除特定样本以外的样本，共XX笔、金额XX</t>
  </si>
  <si>
    <t>确定的抽样样本量：</t>
  </si>
  <si>
    <t>抽取XX笔</t>
  </si>
  <si>
    <t>（如果使用了样本计算器计算样本量，样本量计算过程见&lt;XX&gt;底稿）</t>
  </si>
  <si>
    <t>抽样方法：</t>
  </si>
  <si>
    <t>随机选样/系统选样/货币单元抽样/随意选样（非统计抽样适用）</t>
  </si>
  <si>
    <t>抽样过程：</t>
  </si>
  <si>
    <t>使用IDEA（XX抽样工具）选择XX数量、金额XX的样本进行测试，抽样工具中的样本选择过程和结果见&lt;XX&gt;底稿</t>
  </si>
  <si>
    <r>
      <rPr>
        <b/>
        <sz val="10"/>
        <rFont val="宋体"/>
        <charset val="134"/>
      </rPr>
      <t>三、测试：</t>
    </r>
  </si>
  <si>
    <r>
      <rPr>
        <b/>
        <sz val="10"/>
        <color rgb="FFFF0000"/>
        <rFont val="宋体"/>
        <charset val="134"/>
      </rPr>
      <t>测试内容说明：</t>
    </r>
    <r>
      <rPr>
        <sz val="10"/>
        <color rgb="FFFF0000"/>
        <rFont val="Arial Narrow"/>
        <charset val="134"/>
      </rPr>
      <t>1.</t>
    </r>
    <r>
      <rPr>
        <sz val="10"/>
        <color rgb="FFFF0000"/>
        <rFont val="宋体"/>
        <charset val="134"/>
      </rPr>
      <t>原始凭证是否齐全；</t>
    </r>
    <r>
      <rPr>
        <sz val="10"/>
        <color rgb="FFFF0000"/>
        <rFont val="Arial Narrow"/>
        <charset val="134"/>
      </rPr>
      <t xml:space="preserve"> 2.</t>
    </r>
    <r>
      <rPr>
        <sz val="10"/>
        <color rgb="FFFF0000"/>
        <rFont val="宋体"/>
        <charset val="134"/>
      </rPr>
      <t>记账凭证与原始凭证是否相符；</t>
    </r>
    <r>
      <rPr>
        <sz val="10"/>
        <color rgb="FFFF0000"/>
        <rFont val="Arial Narrow"/>
        <charset val="134"/>
      </rPr>
      <t>3.</t>
    </r>
    <r>
      <rPr>
        <sz val="10"/>
        <color rgb="FFFF0000"/>
        <rFont val="宋体"/>
        <charset val="134"/>
      </rPr>
      <t>账务处理是否正确；</t>
    </r>
    <r>
      <rPr>
        <sz val="10"/>
        <color rgb="FFFF0000"/>
        <rFont val="Arial Narrow"/>
        <charset val="134"/>
      </rPr>
      <t>4.</t>
    </r>
    <r>
      <rPr>
        <sz val="10"/>
        <color rgb="FFFF0000"/>
        <rFont val="宋体"/>
        <charset val="134"/>
      </rPr>
      <t>是否记录于恰当的会计期间；</t>
    </r>
    <r>
      <rPr>
        <sz val="10"/>
        <color rgb="FFFF0000"/>
        <rFont val="Arial Narrow"/>
        <charset val="134"/>
      </rPr>
      <t>5.……</t>
    </r>
  </si>
  <si>
    <r>
      <rPr>
        <b/>
        <sz val="10"/>
        <rFont val="宋体"/>
        <charset val="134"/>
      </rPr>
      <t>增减日期</t>
    </r>
  </si>
  <si>
    <r>
      <rPr>
        <b/>
        <sz val="10"/>
        <rFont val="宋体"/>
        <charset val="134"/>
      </rPr>
      <t>增减方式</t>
    </r>
  </si>
  <si>
    <r>
      <rPr>
        <b/>
        <sz val="10"/>
        <rFont val="宋体"/>
        <charset val="134"/>
      </rPr>
      <t>入账凭证号</t>
    </r>
  </si>
  <si>
    <r>
      <rPr>
        <b/>
        <sz val="10"/>
        <rFont val="宋体"/>
        <charset val="134"/>
      </rPr>
      <t>对方科目</t>
    </r>
  </si>
  <si>
    <r>
      <rPr>
        <b/>
        <sz val="10"/>
        <rFont val="宋体"/>
        <charset val="134"/>
      </rPr>
      <t>增减情况</t>
    </r>
  </si>
  <si>
    <t>支持性文件</t>
  </si>
  <si>
    <r>
      <rPr>
        <b/>
        <sz val="10"/>
        <rFont val="宋体"/>
        <charset val="134"/>
      </rPr>
      <t>核对内容</t>
    </r>
  </si>
  <si>
    <t>索引号</t>
  </si>
  <si>
    <t>是否异常</t>
  </si>
  <si>
    <t>备注说明</t>
  </si>
  <si>
    <r>
      <rPr>
        <b/>
        <sz val="10"/>
        <rFont val="宋体"/>
        <charset val="134"/>
      </rPr>
      <t>原值</t>
    </r>
  </si>
  <si>
    <r>
      <rPr>
        <b/>
        <sz val="10"/>
        <rFont val="宋体"/>
        <charset val="134"/>
      </rPr>
      <t>累计折旧</t>
    </r>
  </si>
  <si>
    <r>
      <rPr>
        <b/>
        <sz val="10"/>
        <rFont val="宋体"/>
        <charset val="134"/>
      </rPr>
      <t>净值</t>
    </r>
  </si>
  <si>
    <r>
      <rPr>
        <sz val="10"/>
        <color rgb="FFFF0000"/>
        <rFont val="Arial Narrow"/>
        <charset val="134"/>
      </rPr>
      <t>XX</t>
    </r>
    <r>
      <rPr>
        <sz val="10"/>
        <color rgb="FFFF0000"/>
        <rFont val="宋体"/>
        <charset val="134"/>
      </rPr>
      <t>购买合同</t>
    </r>
    <r>
      <rPr>
        <sz val="10"/>
        <color rgb="FFFF0000"/>
        <rFont val="Arial Narrow"/>
        <charset val="134"/>
      </rPr>
      <t>/</t>
    </r>
    <r>
      <rPr>
        <sz val="10"/>
        <color rgb="FFFF0000"/>
        <rFont val="宋体"/>
        <charset val="134"/>
      </rPr>
      <t>协议、发票、验收报告、……</t>
    </r>
  </si>
  <si>
    <r>
      <rPr>
        <b/>
        <sz val="10"/>
        <rFont val="宋体"/>
        <charset val="134"/>
      </rPr>
      <t>本期新增投资性房地产合计</t>
    </r>
  </si>
  <si>
    <t>检查比例</t>
  </si>
  <si>
    <r>
      <rPr>
        <b/>
        <sz val="10"/>
        <rFont val="宋体"/>
        <charset val="134"/>
      </rPr>
      <t>四、审计说明：</t>
    </r>
  </si>
  <si>
    <r>
      <rPr>
        <sz val="10"/>
        <color rgb="FFFF0000"/>
        <rFont val="Arial Narrow"/>
        <charset val="134"/>
      </rPr>
      <t>1.</t>
    </r>
    <r>
      <rPr>
        <sz val="10"/>
        <color rgb="FFFF0000"/>
        <rFont val="宋体"/>
        <charset val="134"/>
      </rPr>
      <t>如果检查比例较低应扩大检查样本量或说明原因</t>
    </r>
  </si>
  <si>
    <t>2.……</t>
  </si>
  <si>
    <r>
      <rPr>
        <b/>
        <sz val="10"/>
        <rFont val="宋体"/>
        <charset val="134"/>
      </rPr>
      <t>五、审计结论：</t>
    </r>
  </si>
  <si>
    <r>
      <rPr>
        <sz val="10"/>
        <color indexed="12"/>
        <rFont val="Arial Narrow"/>
        <charset val="134"/>
      </rPr>
      <t>1</t>
    </r>
    <r>
      <rPr>
        <sz val="10"/>
        <color indexed="12"/>
        <rFont val="宋体"/>
        <charset val="134"/>
      </rPr>
      <t>、本表用于汇总本年度增加、减少投资性房地产的测试情况。</t>
    </r>
  </si>
  <si>
    <r>
      <rPr>
        <sz val="10"/>
        <color rgb="FF0000FF"/>
        <rFont val="宋体"/>
        <charset val="134"/>
      </rPr>
      <t>对于外购的投资性房地产，追查至购买合同</t>
    </r>
    <r>
      <rPr>
        <sz val="10"/>
        <color rgb="FF0000FF"/>
        <rFont val="Arial Narrow"/>
        <charset val="134"/>
      </rPr>
      <t>/</t>
    </r>
    <r>
      <rPr>
        <sz val="10"/>
        <color rgb="FF0000FF"/>
        <rFont val="宋体"/>
        <charset val="134"/>
      </rPr>
      <t>协议、原始发票、验收报告等以确认其有效性、金额的正确性以及新增投资性房地产是否经过有效批准；检查建筑物产权证、土地使用权证等所有权证明文件，确定建筑物、土地使用权是否归被审计单位所有。</t>
    </r>
  </si>
  <si>
    <r>
      <rPr>
        <sz val="10"/>
        <color rgb="FF0000FF"/>
        <rFont val="宋体"/>
        <charset val="134"/>
      </rPr>
      <t>对于自用房地产或存货转入的投资性房地产，关注转换依据是否充分，检查是否经过有效批准，转换日成本计量是否正确，会计处理是否正确。</t>
    </r>
  </si>
  <si>
    <r>
      <rPr>
        <sz val="10"/>
        <color rgb="FF0000FF"/>
        <rFont val="宋体"/>
        <charset val="134"/>
      </rPr>
      <t>对于投资性房地产后续支出，检查后续支出的核算是否符合规定，如果后续支出金额较大，进行细节测试：检查大额支出的原始记录，分析资本性支出和收益性支出的划分是否合理。</t>
    </r>
  </si>
  <si>
    <r>
      <rPr>
        <b/>
        <sz val="14"/>
        <rFont val="宋体"/>
        <charset val="134"/>
      </rPr>
      <t>投资性房地产增减检查表（公允价值模式）</t>
    </r>
  </si>
  <si>
    <r>
      <rPr>
        <b/>
        <sz val="10"/>
        <rFont val="宋体"/>
        <charset val="134"/>
      </rPr>
      <t>原价</t>
    </r>
  </si>
  <si>
    <r>
      <rPr>
        <b/>
        <sz val="10"/>
        <rFont val="宋体"/>
        <charset val="134"/>
      </rPr>
      <t>公允价值变动</t>
    </r>
  </si>
  <si>
    <t>外购</t>
  </si>
  <si>
    <r>
      <rPr>
        <b/>
        <sz val="14"/>
        <rFont val="宋体"/>
        <charset val="134"/>
      </rPr>
      <t>投资性房地产与自用房地产互转审核表</t>
    </r>
  </si>
  <si>
    <r>
      <rPr>
        <b/>
        <sz val="10"/>
        <color indexed="8"/>
        <rFont val="宋体"/>
        <charset val="134"/>
      </rPr>
      <t>一、审计目标：</t>
    </r>
    <r>
      <rPr>
        <sz val="10"/>
        <color indexed="8"/>
        <rFont val="Arial Narrow"/>
        <charset val="134"/>
      </rPr>
      <t xml:space="preserve">1. </t>
    </r>
    <r>
      <rPr>
        <sz val="10"/>
        <color indexed="8"/>
        <rFont val="宋体"/>
        <charset val="134"/>
      </rPr>
      <t>投资性房地产以恰当的金额包括在财务报表中，与之相关的计价或分摊调整已恰当记录，相关披露已得到恰当计量和描述；</t>
    </r>
    <r>
      <rPr>
        <sz val="10"/>
        <color indexed="8"/>
        <rFont val="Arial Narrow"/>
        <charset val="134"/>
      </rPr>
      <t xml:space="preserve">2. </t>
    </r>
    <r>
      <rPr>
        <sz val="10"/>
        <color indexed="8"/>
        <rFont val="宋体"/>
        <charset val="134"/>
      </rPr>
      <t>投资性房地产已被恰当地汇总或分解且表述清楚，相关披露在按照企业会计准则的编制基础下是相关的、可理解的</t>
    </r>
  </si>
  <si>
    <r>
      <rPr>
        <b/>
        <sz val="10"/>
        <rFont val="宋体"/>
        <charset val="134"/>
      </rPr>
      <t>转换方式</t>
    </r>
  </si>
  <si>
    <r>
      <rPr>
        <b/>
        <sz val="10"/>
        <rFont val="宋体"/>
        <charset val="134"/>
      </rPr>
      <t>转换日期</t>
    </r>
  </si>
  <si>
    <r>
      <rPr>
        <b/>
        <sz val="10"/>
        <rFont val="宋体"/>
        <charset val="134"/>
      </rPr>
      <t>转换比例</t>
    </r>
  </si>
  <si>
    <r>
      <rPr>
        <b/>
        <sz val="10"/>
        <rFont val="宋体"/>
        <charset val="134"/>
      </rPr>
      <t>自用房地产转换日价值</t>
    </r>
  </si>
  <si>
    <r>
      <rPr>
        <b/>
        <sz val="10"/>
        <rFont val="宋体"/>
        <charset val="134"/>
      </rPr>
      <t>投资性房地产转换日价值</t>
    </r>
  </si>
  <si>
    <r>
      <rPr>
        <b/>
        <sz val="10"/>
        <rFont val="宋体"/>
        <charset val="134"/>
      </rPr>
      <t>转换影响</t>
    </r>
  </si>
  <si>
    <r>
      <rPr>
        <b/>
        <sz val="10"/>
        <rFont val="宋体"/>
        <charset val="134"/>
      </rPr>
      <t>转换原因</t>
    </r>
  </si>
  <si>
    <r>
      <rPr>
        <b/>
        <sz val="10"/>
        <rFont val="宋体"/>
        <charset val="134"/>
      </rPr>
      <t>批准文件</t>
    </r>
  </si>
  <si>
    <r>
      <rPr>
        <b/>
        <sz val="10"/>
        <rFont val="宋体"/>
        <charset val="134"/>
      </rPr>
      <t>成本模式</t>
    </r>
  </si>
  <si>
    <r>
      <rPr>
        <b/>
        <sz val="10"/>
        <rFont val="宋体"/>
        <charset val="134"/>
      </rPr>
      <t>公允价值模式</t>
    </r>
  </si>
  <si>
    <r>
      <rPr>
        <b/>
        <sz val="10"/>
        <rFont val="宋体"/>
        <charset val="134"/>
      </rPr>
      <t>资产原值</t>
    </r>
  </si>
  <si>
    <r>
      <rPr>
        <b/>
        <sz val="10"/>
        <rFont val="宋体"/>
        <charset val="134"/>
      </rPr>
      <t>累计折旧</t>
    </r>
    <r>
      <rPr>
        <b/>
        <sz val="10"/>
        <rFont val="Arial Narrow"/>
        <charset val="134"/>
      </rPr>
      <t>/</t>
    </r>
    <r>
      <rPr>
        <b/>
        <sz val="10"/>
        <rFont val="宋体"/>
        <charset val="134"/>
      </rPr>
      <t>摊销</t>
    </r>
  </si>
  <si>
    <r>
      <rPr>
        <b/>
        <sz val="10"/>
        <rFont val="宋体"/>
        <charset val="134"/>
      </rPr>
      <t>净额</t>
    </r>
  </si>
  <si>
    <r>
      <rPr>
        <b/>
        <sz val="10"/>
        <rFont val="宋体"/>
        <charset val="134"/>
      </rPr>
      <t>账面价值</t>
    </r>
  </si>
  <si>
    <r>
      <rPr>
        <b/>
        <sz val="10"/>
        <rFont val="宋体"/>
        <charset val="134"/>
      </rPr>
      <t>公允价值</t>
    </r>
  </si>
  <si>
    <r>
      <rPr>
        <b/>
        <sz val="10"/>
        <rFont val="宋体"/>
        <charset val="134"/>
      </rPr>
      <t>面积</t>
    </r>
  </si>
  <si>
    <r>
      <rPr>
        <b/>
        <sz val="10"/>
        <rFont val="宋体"/>
        <charset val="134"/>
      </rPr>
      <t>参考单价</t>
    </r>
  </si>
  <si>
    <r>
      <rPr>
        <b/>
        <sz val="10"/>
        <rFont val="宋体"/>
        <charset val="134"/>
      </rPr>
      <t>参考单价来源</t>
    </r>
  </si>
  <si>
    <r>
      <rPr>
        <b/>
        <sz val="10"/>
        <rFont val="宋体"/>
        <charset val="134"/>
      </rPr>
      <t>当期损益</t>
    </r>
  </si>
  <si>
    <r>
      <rPr>
        <b/>
        <sz val="10"/>
        <rFont val="宋体"/>
        <charset val="134"/>
      </rPr>
      <t>其他综合收益</t>
    </r>
  </si>
  <si>
    <r>
      <rPr>
        <sz val="10"/>
        <rFont val="宋体"/>
        <charset val="134"/>
      </rPr>
      <t>①</t>
    </r>
  </si>
  <si>
    <r>
      <rPr>
        <sz val="10"/>
        <rFont val="宋体"/>
        <charset val="134"/>
      </rPr>
      <t>②</t>
    </r>
  </si>
  <si>
    <r>
      <rPr>
        <sz val="10"/>
        <rFont val="宋体"/>
        <charset val="134"/>
      </rPr>
      <t>③</t>
    </r>
  </si>
  <si>
    <r>
      <rPr>
        <sz val="10"/>
        <rFont val="宋体"/>
        <charset val="134"/>
      </rPr>
      <t>④</t>
    </r>
    <r>
      <rPr>
        <sz val="10"/>
        <rFont val="Arial Narrow"/>
        <charset val="134"/>
      </rPr>
      <t>=</t>
    </r>
    <r>
      <rPr>
        <sz val="10"/>
        <rFont val="宋体"/>
        <charset val="134"/>
      </rPr>
      <t>①</t>
    </r>
    <r>
      <rPr>
        <sz val="10"/>
        <rFont val="Arial Narrow"/>
        <charset val="134"/>
      </rPr>
      <t>-</t>
    </r>
    <r>
      <rPr>
        <sz val="10"/>
        <rFont val="宋体"/>
        <charset val="134"/>
      </rPr>
      <t>②</t>
    </r>
    <r>
      <rPr>
        <sz val="10"/>
        <rFont val="Arial Narrow"/>
        <charset val="134"/>
      </rPr>
      <t>-</t>
    </r>
    <r>
      <rPr>
        <sz val="10"/>
        <rFont val="宋体"/>
        <charset val="134"/>
      </rPr>
      <t>③</t>
    </r>
  </si>
  <si>
    <r>
      <rPr>
        <sz val="10"/>
        <rFont val="宋体"/>
        <charset val="134"/>
      </rPr>
      <t>⑤</t>
    </r>
  </si>
  <si>
    <r>
      <rPr>
        <sz val="10"/>
        <rFont val="宋体"/>
        <charset val="134"/>
      </rPr>
      <t>⑥</t>
    </r>
  </si>
  <si>
    <r>
      <rPr>
        <sz val="10"/>
        <rFont val="宋体"/>
        <charset val="134"/>
      </rPr>
      <t>⑦</t>
    </r>
  </si>
  <si>
    <r>
      <rPr>
        <sz val="10"/>
        <rFont val="宋体"/>
        <charset val="134"/>
      </rPr>
      <t>⑧</t>
    </r>
    <r>
      <rPr>
        <sz val="10"/>
        <rFont val="Arial Narrow"/>
        <charset val="134"/>
      </rPr>
      <t>=</t>
    </r>
    <r>
      <rPr>
        <sz val="10"/>
        <rFont val="宋体"/>
        <charset val="134"/>
      </rPr>
      <t>⑤</t>
    </r>
    <r>
      <rPr>
        <sz val="10"/>
        <rFont val="Arial Narrow"/>
        <charset val="134"/>
      </rPr>
      <t>-</t>
    </r>
    <r>
      <rPr>
        <sz val="10"/>
        <rFont val="宋体"/>
        <charset val="134"/>
      </rPr>
      <t>⑥</t>
    </r>
    <r>
      <rPr>
        <sz val="10"/>
        <rFont val="Arial Narrow"/>
        <charset val="134"/>
      </rPr>
      <t>-</t>
    </r>
    <r>
      <rPr>
        <sz val="10"/>
        <rFont val="宋体"/>
        <charset val="134"/>
      </rPr>
      <t>⑦</t>
    </r>
  </si>
  <si>
    <r>
      <rPr>
        <sz val="10"/>
        <rFont val="宋体"/>
        <charset val="134"/>
      </rPr>
      <t>⑨</t>
    </r>
  </si>
  <si>
    <r>
      <rPr>
        <sz val="10"/>
        <rFont val="宋体"/>
        <charset val="134"/>
      </rPr>
      <t>⑩</t>
    </r>
  </si>
  <si>
    <r>
      <rPr>
        <sz val="10"/>
        <rFont val="宋体"/>
        <charset val="134"/>
      </rPr>
      <t>⑾</t>
    </r>
    <r>
      <rPr>
        <sz val="10"/>
        <rFont val="Arial Narrow"/>
        <charset val="134"/>
      </rPr>
      <t>=</t>
    </r>
    <r>
      <rPr>
        <sz val="10"/>
        <rFont val="宋体"/>
        <charset val="134"/>
      </rPr>
      <t>⑨</t>
    </r>
    <r>
      <rPr>
        <sz val="10"/>
        <rFont val="Arial Narrow"/>
        <charset val="134"/>
      </rPr>
      <t>-</t>
    </r>
    <r>
      <rPr>
        <sz val="10"/>
        <rFont val="宋体"/>
        <charset val="134"/>
      </rPr>
      <t>⑩</t>
    </r>
  </si>
  <si>
    <r>
      <rPr>
        <sz val="10"/>
        <rFont val="宋体"/>
        <charset val="134"/>
      </rPr>
      <t>⑿</t>
    </r>
    <r>
      <rPr>
        <sz val="10"/>
        <rFont val="Arial Narrow"/>
        <charset val="134"/>
      </rPr>
      <t>=</t>
    </r>
    <r>
      <rPr>
        <sz val="10"/>
        <rFont val="宋体"/>
        <charset val="134"/>
      </rPr>
      <t>⑩</t>
    </r>
    <r>
      <rPr>
        <sz val="10"/>
        <rFont val="Arial Narrow"/>
        <charset val="134"/>
      </rPr>
      <t>-</t>
    </r>
    <r>
      <rPr>
        <sz val="10"/>
        <rFont val="宋体"/>
        <charset val="134"/>
      </rPr>
      <t>⑨</t>
    </r>
  </si>
  <si>
    <r>
      <rPr>
        <b/>
        <sz val="10"/>
        <rFont val="Arial Narrow"/>
        <charset val="134"/>
      </rPr>
      <t>1.</t>
    </r>
    <r>
      <rPr>
        <b/>
        <sz val="10"/>
        <rFont val="宋体"/>
        <charset val="134"/>
      </rPr>
      <t>房屋、建筑物</t>
    </r>
  </si>
  <si>
    <r>
      <rPr>
        <b/>
        <sz val="10"/>
        <rFont val="Arial Narrow"/>
        <charset val="134"/>
      </rPr>
      <t>2.</t>
    </r>
    <r>
      <rPr>
        <b/>
        <sz val="10"/>
        <rFont val="宋体"/>
        <charset val="134"/>
      </rPr>
      <t>土地使用权</t>
    </r>
  </si>
  <si>
    <r>
      <rPr>
        <b/>
        <sz val="10"/>
        <rFont val="Arial Narrow"/>
        <charset val="134"/>
      </rPr>
      <t>3.</t>
    </r>
    <r>
      <rPr>
        <b/>
        <sz val="10"/>
        <rFont val="宋体"/>
        <charset val="134"/>
      </rPr>
      <t>在建工程</t>
    </r>
  </si>
  <si>
    <r>
      <rPr>
        <sz val="10"/>
        <color indexed="12"/>
        <rFont val="Arial Narrow"/>
        <charset val="134"/>
      </rPr>
      <t>1</t>
    </r>
    <r>
      <rPr>
        <sz val="10"/>
        <color indexed="12"/>
        <rFont val="宋体"/>
        <charset val="134"/>
      </rPr>
      <t>、企业必须有确凿证据表明房地产用途发生改变</t>
    </r>
    <r>
      <rPr>
        <sz val="10"/>
        <color indexed="12"/>
        <rFont val="Arial Narrow"/>
        <charset val="134"/>
      </rPr>
      <t>,</t>
    </r>
    <r>
      <rPr>
        <sz val="10"/>
        <color indexed="12"/>
        <rFont val="宋体"/>
        <charset val="134"/>
      </rPr>
      <t>才能将投资性房地产转换为非投资性房地产或者将非投资性房地产转换为投资性房地产。</t>
    </r>
  </si>
  <si>
    <r>
      <rPr>
        <sz val="10"/>
        <color indexed="12"/>
        <rFont val="宋体"/>
        <charset val="134"/>
      </rPr>
      <t>这里的确凿证据包括两个方面：一是企业董事会或类似机构应当就改变房地产用途形成正式的书面决议，</t>
    </r>
  </si>
  <si>
    <r>
      <rPr>
        <sz val="10"/>
        <color indexed="12"/>
        <rFont val="宋体"/>
        <charset val="134"/>
      </rPr>
      <t>二是房地产因用途改变而发生实际状态上的改变，从自用状态改为出租状态。</t>
    </r>
  </si>
  <si>
    <r>
      <rPr>
        <sz val="10"/>
        <color indexed="12"/>
        <rFont val="Arial Narrow"/>
        <charset val="134"/>
      </rPr>
      <t>2</t>
    </r>
    <r>
      <rPr>
        <sz val="10"/>
        <color indexed="12"/>
        <rFont val="宋体"/>
        <charset val="134"/>
      </rPr>
      <t>、企业将原本用于生产商品、提供劳务或者经营管理的房地产改用于出租，通常应于租赁期开始日，将相应的固定资产或无形资产转换为投资性房地产。</t>
    </r>
  </si>
  <si>
    <r>
      <rPr>
        <sz val="10"/>
        <color indexed="12"/>
        <rFont val="宋体"/>
        <charset val="134"/>
      </rPr>
      <t>对不再用于日常生产经营活动且经整理后达到可经营出租状态的建筑物，如果董事会或类似机构作出正式书面决议，明确表明其持有以备经营出租的</t>
    </r>
  </si>
  <si>
    <r>
      <rPr>
        <sz val="10"/>
        <color indexed="12"/>
        <rFont val="宋体"/>
        <charset val="134"/>
      </rPr>
      <t>空置建筑物，如董事会或类似机构作出书面决议，明确表明其自用房地产用于经营租出、持有意图短期内不再发生变化的，应视为存货转换为投资性房地产，</t>
    </r>
  </si>
  <si>
    <r>
      <rPr>
        <sz val="10"/>
        <color indexed="12"/>
        <rFont val="宋体"/>
        <charset val="134"/>
      </rPr>
      <t>转换日为董事会或类似机构作出书面决议的日期。</t>
    </r>
  </si>
  <si>
    <r>
      <rPr>
        <sz val="10"/>
        <color indexed="12"/>
        <rFont val="Arial Narrow"/>
        <charset val="134"/>
      </rPr>
      <t>3</t>
    </r>
    <r>
      <rPr>
        <sz val="10"/>
        <color indexed="12"/>
        <rFont val="宋体"/>
        <charset val="134"/>
      </rPr>
      <t>、采用公允价值模式计量投资性房地产，应当同时满足以下两个条件：（</t>
    </r>
    <r>
      <rPr>
        <sz val="10"/>
        <color indexed="12"/>
        <rFont val="Arial Narrow"/>
        <charset val="134"/>
      </rPr>
      <t>1</t>
    </r>
    <r>
      <rPr>
        <sz val="10"/>
        <color indexed="12"/>
        <rFont val="宋体"/>
        <charset val="134"/>
      </rPr>
      <t>）投资性房地产所在地有活跃的房地产交易市场；</t>
    </r>
  </si>
  <si>
    <r>
      <rPr>
        <sz val="10"/>
        <color indexed="12"/>
        <rFont val="宋体"/>
        <charset val="134"/>
      </rPr>
      <t>（</t>
    </r>
    <r>
      <rPr>
        <sz val="10"/>
        <color indexed="12"/>
        <rFont val="Arial Narrow"/>
        <charset val="134"/>
      </rPr>
      <t>2</t>
    </r>
    <r>
      <rPr>
        <sz val="10"/>
        <color indexed="12"/>
        <rFont val="宋体"/>
        <charset val="134"/>
      </rPr>
      <t>）企业能够从房地产交易市场上取得同类或类似房地产的市场价格及其他相关信息，从而对投资性房地产的公允价值做出科学合理的估计。</t>
    </r>
  </si>
  <si>
    <r>
      <rPr>
        <sz val="10"/>
        <color indexed="12"/>
        <rFont val="宋体"/>
        <charset val="134"/>
      </rPr>
      <t>这两个条件必须同时具备，缺一不可。</t>
    </r>
  </si>
  <si>
    <r>
      <rPr>
        <sz val="10"/>
        <color indexed="12"/>
        <rFont val="Arial Narrow"/>
        <charset val="134"/>
      </rPr>
      <t>4</t>
    </r>
    <r>
      <rPr>
        <sz val="10"/>
        <color indexed="12"/>
        <rFont val="宋体"/>
        <charset val="134"/>
      </rPr>
      <t>、确定投资性房地产的公允价值时，应当参照活跃市场上同类或类似房地产的现行市场价格</t>
    </r>
    <r>
      <rPr>
        <sz val="10"/>
        <color indexed="12"/>
        <rFont val="Arial Narrow"/>
        <charset val="134"/>
      </rPr>
      <t>(</t>
    </r>
    <r>
      <rPr>
        <sz val="10"/>
        <color indexed="12"/>
        <rFont val="宋体"/>
        <charset val="134"/>
      </rPr>
      <t>市场公开报价</t>
    </r>
    <r>
      <rPr>
        <sz val="10"/>
        <color indexed="12"/>
        <rFont val="Arial Narrow"/>
        <charset val="134"/>
      </rPr>
      <t>)</t>
    </r>
    <r>
      <rPr>
        <sz val="10"/>
        <color indexed="12"/>
        <rFont val="宋体"/>
        <charset val="134"/>
      </rPr>
      <t>；</t>
    </r>
  </si>
  <si>
    <r>
      <rPr>
        <sz val="10"/>
        <color indexed="12"/>
        <rFont val="宋体"/>
        <charset val="134"/>
      </rPr>
      <t>无法取得同类或类似房地产现行市场价格的</t>
    </r>
    <r>
      <rPr>
        <sz val="10"/>
        <color indexed="12"/>
        <rFont val="Arial Narrow"/>
        <charset val="134"/>
      </rPr>
      <t>,</t>
    </r>
    <r>
      <rPr>
        <sz val="10"/>
        <color indexed="12"/>
        <rFont val="宋体"/>
        <charset val="134"/>
      </rPr>
      <t>可以参照活跃市场上同类或类似房地产的最近交易价格，并考虑交易情况、交易日期、所在区域等因素。</t>
    </r>
  </si>
  <si>
    <r>
      <rPr>
        <sz val="10"/>
        <color indexed="12"/>
        <rFont val="宋体"/>
        <charset val="134"/>
      </rPr>
      <t>从而对投资性房地产的公允价值作出合理估计；也可以基于预计未来获得的租金收益和有关现金流量的现值计量。</t>
    </r>
  </si>
  <si>
    <r>
      <rPr>
        <sz val="10"/>
        <color indexed="12"/>
        <rFont val="Arial Narrow"/>
        <charset val="134"/>
      </rPr>
      <t>5</t>
    </r>
    <r>
      <rPr>
        <sz val="10"/>
        <color indexed="12"/>
        <rFont val="宋体"/>
        <charset val="134"/>
      </rPr>
      <t>、投资性房地产采用公允价值模式计量的，不计提折旧或摊销，应当以资产负债表日的公允价值计量。</t>
    </r>
  </si>
  <si>
    <r>
      <rPr>
        <b/>
        <sz val="14"/>
        <rFont val="宋体"/>
        <charset val="134"/>
      </rPr>
      <t>投资性房地产的折旧测算表（成本模式）</t>
    </r>
  </si>
  <si>
    <r>
      <rPr>
        <b/>
        <sz val="10"/>
        <color indexed="8"/>
        <rFont val="宋体"/>
        <charset val="134"/>
      </rPr>
      <t>一、审计目标：</t>
    </r>
    <r>
      <rPr>
        <sz val="10"/>
        <color indexed="8"/>
        <rFont val="宋体"/>
        <charset val="134"/>
      </rPr>
      <t>投资性房地产以恰当的金额包括在财务报表中，与之相关的计价或分摊调整已恰当记录，相关披露已得到恰当计量和描述</t>
    </r>
    <r>
      <rPr>
        <sz val="10"/>
        <color indexed="8"/>
        <rFont val="Arial Narrow"/>
        <charset val="134"/>
      </rPr>
      <t xml:space="preserve"> </t>
    </r>
  </si>
  <si>
    <r>
      <rPr>
        <sz val="10"/>
        <rFont val="宋体"/>
        <charset val="134"/>
      </rPr>
      <t>折旧期初：</t>
    </r>
  </si>
  <si>
    <r>
      <rPr>
        <sz val="10"/>
        <rFont val="宋体"/>
        <charset val="134"/>
      </rPr>
      <t>折旧期末：</t>
    </r>
  </si>
  <si>
    <r>
      <rPr>
        <sz val="10"/>
        <color indexed="12"/>
        <rFont val="宋体"/>
        <charset val="134"/>
      </rPr>
      <t>各列顺序请根据需要进行调整，行数请根据需要增加。</t>
    </r>
    <r>
      <rPr>
        <sz val="10"/>
        <color indexed="53"/>
        <rFont val="宋体"/>
        <charset val="134"/>
      </rPr>
      <t>非公式列输入数据时请使用</t>
    </r>
    <r>
      <rPr>
        <sz val="10"/>
        <color indexed="53"/>
        <rFont val="Arial Narrow"/>
        <charset val="134"/>
      </rPr>
      <t>“</t>
    </r>
    <r>
      <rPr>
        <sz val="10"/>
        <color indexed="53"/>
        <rFont val="宋体"/>
        <charset val="134"/>
      </rPr>
      <t>选择性粘贴</t>
    </r>
    <r>
      <rPr>
        <sz val="10"/>
        <color indexed="53"/>
        <rFont val="Arial Narrow"/>
        <charset val="134"/>
      </rPr>
      <t>-</t>
    </r>
    <r>
      <rPr>
        <sz val="10"/>
        <color indexed="53"/>
        <rFont val="宋体"/>
        <charset val="134"/>
      </rPr>
      <t>数值</t>
    </r>
    <r>
      <rPr>
        <sz val="10"/>
        <color indexed="53"/>
        <rFont val="Arial Narrow"/>
        <charset val="134"/>
      </rPr>
      <t>”</t>
    </r>
    <r>
      <rPr>
        <sz val="10"/>
        <color indexed="12"/>
        <rFont val="宋体"/>
        <charset val="134"/>
      </rPr>
      <t>。</t>
    </r>
  </si>
  <si>
    <t>投资性房地产编号</t>
  </si>
  <si>
    <t>管理部门</t>
  </si>
  <si>
    <t>原值</t>
  </si>
  <si>
    <t>累计折旧</t>
  </si>
  <si>
    <t>开始使用日期</t>
  </si>
  <si>
    <t>使用年限</t>
  </si>
  <si>
    <t>残值率</t>
  </si>
  <si>
    <t>账面月折旧额</t>
  </si>
  <si>
    <t>使用月限</t>
  </si>
  <si>
    <t>测算到期日</t>
  </si>
  <si>
    <t>已提折旧月份</t>
  </si>
  <si>
    <t>本期折旧月份</t>
  </si>
  <si>
    <t>测算月折旧</t>
  </si>
  <si>
    <t>当期折旧费用</t>
  </si>
  <si>
    <t>月折旧额差异</t>
  </si>
  <si>
    <t>累计折旧费用</t>
  </si>
  <si>
    <t>累计折旧额差异</t>
  </si>
  <si>
    <r>
      <rPr>
        <sz val="10"/>
        <rFont val="宋体"/>
        <charset val="134"/>
      </rPr>
      <t>计提减值准备日期：</t>
    </r>
  </si>
  <si>
    <t>减值准备</t>
  </si>
  <si>
    <t>截止计提减值准备日计提月份</t>
  </si>
  <si>
    <t>本期折旧月份（减值前）</t>
  </si>
  <si>
    <t>本期折旧月份（减值后）</t>
  </si>
  <si>
    <t>计提减值准备前月折旧</t>
  </si>
  <si>
    <t>计提减值准备前累计折旧</t>
  </si>
  <si>
    <t>计提减值准备后月折旧</t>
  </si>
  <si>
    <r>
      <rPr>
        <b/>
        <sz val="14"/>
        <rFont val="宋体"/>
        <charset val="134"/>
      </rPr>
      <t>投资性房地产公允价值复核表</t>
    </r>
  </si>
  <si>
    <r>
      <rPr>
        <b/>
        <sz val="10"/>
        <rFont val="宋体"/>
        <charset val="134"/>
      </rPr>
      <t>账面数</t>
    </r>
  </si>
  <si>
    <r>
      <rPr>
        <b/>
        <sz val="10"/>
        <rFont val="宋体"/>
        <charset val="134"/>
      </rPr>
      <t>复核</t>
    </r>
  </si>
  <si>
    <r>
      <rPr>
        <b/>
        <sz val="10"/>
        <rFont val="宋体"/>
        <charset val="134"/>
      </rPr>
      <t>期初公允价值</t>
    </r>
  </si>
  <si>
    <r>
      <rPr>
        <b/>
        <sz val="10"/>
        <rFont val="宋体"/>
        <charset val="134"/>
      </rPr>
      <t>单价</t>
    </r>
  </si>
  <si>
    <r>
      <rPr>
        <b/>
        <sz val="10"/>
        <rFont val="宋体"/>
        <charset val="134"/>
      </rPr>
      <t>差异</t>
    </r>
  </si>
  <si>
    <r>
      <rPr>
        <b/>
        <sz val="10"/>
        <rFont val="宋体"/>
        <charset val="134"/>
      </rPr>
      <t>差异原因</t>
    </r>
  </si>
  <si>
    <r>
      <rPr>
        <b/>
        <sz val="10"/>
        <rFont val="宋体"/>
        <charset val="134"/>
      </rPr>
      <t>与上期计价方法是否一致</t>
    </r>
  </si>
  <si>
    <r>
      <rPr>
        <b/>
        <sz val="10"/>
        <rFont val="宋体"/>
        <charset val="134"/>
      </rPr>
      <t>①</t>
    </r>
  </si>
  <si>
    <r>
      <rPr>
        <b/>
        <sz val="10"/>
        <rFont val="宋体"/>
        <charset val="134"/>
      </rPr>
      <t>②</t>
    </r>
  </si>
  <si>
    <r>
      <rPr>
        <b/>
        <sz val="10"/>
        <rFont val="宋体"/>
        <charset val="134"/>
      </rPr>
      <t>③</t>
    </r>
    <r>
      <rPr>
        <b/>
        <sz val="10"/>
        <rFont val="Arial Narrow"/>
        <charset val="134"/>
      </rPr>
      <t>÷</t>
    </r>
    <r>
      <rPr>
        <b/>
        <sz val="10"/>
        <rFont val="宋体"/>
        <charset val="134"/>
      </rPr>
      <t>②</t>
    </r>
  </si>
  <si>
    <r>
      <rPr>
        <b/>
        <sz val="10"/>
        <rFont val="宋体"/>
        <charset val="134"/>
      </rPr>
      <t>③</t>
    </r>
  </si>
  <si>
    <r>
      <rPr>
        <b/>
        <sz val="10"/>
        <rFont val="宋体"/>
        <charset val="134"/>
      </rPr>
      <t>④</t>
    </r>
  </si>
  <si>
    <r>
      <rPr>
        <b/>
        <sz val="10"/>
        <rFont val="宋体"/>
        <charset val="134"/>
      </rPr>
      <t>⑤</t>
    </r>
  </si>
  <si>
    <r>
      <rPr>
        <b/>
        <sz val="10"/>
        <rFont val="宋体"/>
        <charset val="134"/>
      </rPr>
      <t>⑥</t>
    </r>
    <r>
      <rPr>
        <b/>
        <sz val="10"/>
        <rFont val="Arial Narrow"/>
        <charset val="134"/>
      </rPr>
      <t>=</t>
    </r>
    <r>
      <rPr>
        <b/>
        <sz val="10"/>
        <rFont val="宋体"/>
        <charset val="134"/>
      </rPr>
      <t>②</t>
    </r>
    <r>
      <rPr>
        <b/>
        <sz val="10"/>
        <rFont val="Arial Narrow"/>
        <charset val="134"/>
      </rPr>
      <t>×</t>
    </r>
    <r>
      <rPr>
        <b/>
        <sz val="10"/>
        <rFont val="宋体"/>
        <charset val="134"/>
      </rPr>
      <t>④</t>
    </r>
  </si>
  <si>
    <r>
      <rPr>
        <b/>
        <sz val="10"/>
        <rFont val="宋体"/>
        <charset val="134"/>
      </rPr>
      <t>⑦</t>
    </r>
    <r>
      <rPr>
        <b/>
        <sz val="10"/>
        <rFont val="Arial Narrow"/>
        <charset val="134"/>
      </rPr>
      <t>=</t>
    </r>
    <r>
      <rPr>
        <b/>
        <sz val="10"/>
        <rFont val="宋体"/>
        <charset val="134"/>
      </rPr>
      <t>③</t>
    </r>
    <r>
      <rPr>
        <b/>
        <sz val="10"/>
        <rFont val="Arial Narrow"/>
        <charset val="134"/>
      </rPr>
      <t>-</t>
    </r>
    <r>
      <rPr>
        <b/>
        <sz val="10"/>
        <rFont val="宋体"/>
        <charset val="134"/>
      </rPr>
      <t>⑥</t>
    </r>
  </si>
  <si>
    <r>
      <rPr>
        <b/>
        <sz val="10"/>
        <rFont val="宋体"/>
        <charset val="134"/>
      </rPr>
      <t>⑧</t>
    </r>
  </si>
  <si>
    <r>
      <rPr>
        <b/>
        <sz val="10"/>
        <rFont val="宋体"/>
        <charset val="134"/>
      </rPr>
      <t>⑨</t>
    </r>
  </si>
  <si>
    <t xml:space="preserve"> </t>
  </si>
  <si>
    <r>
      <rPr>
        <sz val="10"/>
        <rFont val="宋体"/>
        <charset val="134"/>
      </rPr>
      <t>说明：投资性房地产使用公允价值模式前提条件之一的</t>
    </r>
    <r>
      <rPr>
        <sz val="10"/>
        <rFont val="Arial Narrow"/>
        <charset val="134"/>
      </rPr>
      <t>“</t>
    </r>
    <r>
      <rPr>
        <sz val="10"/>
        <rFont val="宋体"/>
        <charset val="134"/>
      </rPr>
      <t>投资性房地产所在地有活跃的房地产交易市场</t>
    </r>
    <r>
      <rPr>
        <sz val="10"/>
        <rFont val="Arial Narrow"/>
        <charset val="134"/>
      </rPr>
      <t>”,“"</t>
    </r>
    <r>
      <rPr>
        <sz val="10"/>
        <rFont val="宋体"/>
        <charset val="134"/>
      </rPr>
      <t>所在地</t>
    </r>
    <r>
      <rPr>
        <sz val="10"/>
        <rFont val="Arial Narrow"/>
        <charset val="134"/>
      </rPr>
      <t>"</t>
    </r>
    <r>
      <rPr>
        <sz val="10"/>
        <rFont val="宋体"/>
        <charset val="134"/>
      </rPr>
      <t>一般是指投资性房地产所在的大中型城市的城区</t>
    </r>
    <r>
      <rPr>
        <sz val="10"/>
        <rFont val="Arial Narrow"/>
        <charset val="134"/>
      </rPr>
      <t>”</t>
    </r>
    <r>
      <rPr>
        <sz val="10"/>
        <rFont val="宋体"/>
        <charset val="134"/>
      </rPr>
      <t>。</t>
    </r>
  </si>
  <si>
    <r>
      <rPr>
        <sz val="10"/>
        <color indexed="12"/>
        <rFont val="Arial Narrow"/>
        <charset val="134"/>
      </rPr>
      <t>1</t>
    </r>
    <r>
      <rPr>
        <sz val="10"/>
        <color indexed="12"/>
        <rFont val="宋体"/>
        <charset val="134"/>
      </rPr>
      <t>、企业选择公允价值模式，就应当对其所有投资性房地产采用公允价值模式进行后续计量，不得对一部分投资性房地产采用成本模式进行后续计量，</t>
    </r>
  </si>
  <si>
    <r>
      <rPr>
        <sz val="10"/>
        <color indexed="12"/>
        <rFont val="宋体"/>
        <charset val="134"/>
      </rPr>
      <t>对另一部分投资性房地产采用公允价值模式进行后续计量。</t>
    </r>
  </si>
  <si>
    <r>
      <rPr>
        <sz val="10"/>
        <color indexed="12"/>
        <rFont val="Arial Narrow"/>
        <charset val="134"/>
      </rPr>
      <t>2</t>
    </r>
    <r>
      <rPr>
        <sz val="10"/>
        <color indexed="12"/>
        <rFont val="宋体"/>
        <charset val="134"/>
      </rPr>
      <t>、采用公允价值模式计量投资性房地产，应当同时满足以下两个条件：（</t>
    </r>
    <r>
      <rPr>
        <sz val="10"/>
        <color indexed="12"/>
        <rFont val="Arial Narrow"/>
        <charset val="134"/>
      </rPr>
      <t>1</t>
    </r>
    <r>
      <rPr>
        <sz val="10"/>
        <color indexed="12"/>
        <rFont val="宋体"/>
        <charset val="134"/>
      </rPr>
      <t>）投资性房地产所在地有活跃的房地产交易市场；</t>
    </r>
  </si>
  <si>
    <r>
      <rPr>
        <sz val="10"/>
        <color indexed="12"/>
        <rFont val="Arial Narrow"/>
        <charset val="134"/>
      </rPr>
      <t>3</t>
    </r>
    <r>
      <rPr>
        <sz val="10"/>
        <color indexed="12"/>
        <rFont val="宋体"/>
        <charset val="134"/>
      </rPr>
      <t>、确定投资性房地产的公允价值时，应当参照活跃市场上同类或类似房地产的现行市场价格</t>
    </r>
    <r>
      <rPr>
        <sz val="10"/>
        <color indexed="12"/>
        <rFont val="Arial Narrow"/>
        <charset val="134"/>
      </rPr>
      <t>(</t>
    </r>
    <r>
      <rPr>
        <sz val="10"/>
        <color indexed="12"/>
        <rFont val="宋体"/>
        <charset val="134"/>
      </rPr>
      <t>市场公开报价</t>
    </r>
    <r>
      <rPr>
        <sz val="10"/>
        <color indexed="12"/>
        <rFont val="Arial Narrow"/>
        <charset val="134"/>
      </rPr>
      <t>)</t>
    </r>
    <r>
      <rPr>
        <sz val="10"/>
        <color indexed="12"/>
        <rFont val="宋体"/>
        <charset val="134"/>
      </rPr>
      <t>；</t>
    </r>
  </si>
  <si>
    <r>
      <rPr>
        <sz val="10"/>
        <color indexed="12"/>
        <rFont val="Arial Narrow"/>
        <charset val="134"/>
      </rPr>
      <t>4</t>
    </r>
    <r>
      <rPr>
        <sz val="10"/>
        <color indexed="12"/>
        <rFont val="宋体"/>
        <charset val="134"/>
      </rPr>
      <t>、投资性房地产采用公允价值模式计量的，不计提折旧或摊销，应当以资产负债表日的公允价值计量。</t>
    </r>
  </si>
  <si>
    <t>投资性房地产盘点检查表</t>
  </si>
  <si>
    <r>
      <rPr>
        <sz val="10"/>
        <rFont val="Arial Narrow"/>
        <charset val="134"/>
      </rPr>
      <t>1.</t>
    </r>
    <r>
      <rPr>
        <sz val="10"/>
        <rFont val="宋体"/>
        <charset val="134"/>
      </rPr>
      <t>资产负债表中记录的投资性房地产是存在的，且已记录于恰当的账户；</t>
    </r>
    <r>
      <rPr>
        <sz val="10"/>
        <rFont val="Arial Narrow"/>
        <charset val="134"/>
      </rPr>
      <t>2.</t>
    </r>
    <r>
      <rPr>
        <sz val="10"/>
        <rFont val="宋体"/>
        <charset val="134"/>
      </rPr>
      <t>记录的投资性房地产由被审计单位拥有或控制；</t>
    </r>
  </si>
  <si>
    <r>
      <rPr>
        <sz val="10"/>
        <rFont val="Arial Narrow"/>
        <charset val="134"/>
      </rPr>
      <t>3.</t>
    </r>
    <r>
      <rPr>
        <sz val="10"/>
        <rFont val="宋体"/>
        <charset val="134"/>
      </rPr>
      <t>投资性房地产以恰当的金额包括在财务报表中，与之相关的计价或分摊调整已恰当记录，相关披露已得到恰当计量和描述</t>
    </r>
    <r>
      <rPr>
        <sz val="10"/>
        <rFont val="Arial Narrow"/>
        <charset val="134"/>
      </rPr>
      <t xml:space="preserve"> </t>
    </r>
    <r>
      <rPr>
        <sz val="10"/>
        <rFont val="宋体"/>
        <charset val="134"/>
      </rPr>
      <t>。</t>
    </r>
  </si>
  <si>
    <r>
      <rPr>
        <sz val="10"/>
        <rFont val="宋体"/>
        <charset val="134"/>
      </rPr>
      <t>测试总体：</t>
    </r>
  </si>
  <si>
    <t>如期末投资性房地产数量XX、金额XX</t>
  </si>
  <si>
    <r>
      <rPr>
        <sz val="10"/>
        <rFont val="宋体"/>
        <charset val="134"/>
      </rPr>
      <t>特定样本：</t>
    </r>
  </si>
  <si>
    <r>
      <rPr>
        <sz val="10"/>
        <color rgb="FF0000FF"/>
        <rFont val="Arial Narrow"/>
        <charset val="134"/>
      </rPr>
      <t>XX</t>
    </r>
    <r>
      <rPr>
        <sz val="10"/>
        <color rgb="FF0000FF"/>
        <rFont val="宋体"/>
        <charset val="134"/>
      </rPr>
      <t>金额以上（大额）、关联方</t>
    </r>
    <r>
      <rPr>
        <sz val="10"/>
        <color rgb="FF0000FF"/>
        <rFont val="Arial Narrow"/>
        <charset val="134"/>
      </rPr>
      <t>/</t>
    </r>
    <r>
      <rPr>
        <sz val="10"/>
        <color rgb="FF0000FF"/>
        <rFont val="宋体"/>
        <charset val="134"/>
      </rPr>
      <t>关联交易形成的款项、</t>
    </r>
    <r>
      <rPr>
        <sz val="10"/>
        <color rgb="FF0000FF"/>
        <rFont val="Arial Narrow"/>
        <charset val="134"/>
      </rPr>
      <t>XX</t>
    </r>
    <r>
      <rPr>
        <sz val="10"/>
        <color rgb="FF0000FF"/>
        <rFont val="宋体"/>
        <charset val="134"/>
      </rPr>
      <t>异常款项全部测试，共</t>
    </r>
    <r>
      <rPr>
        <sz val="10"/>
        <color rgb="FF0000FF"/>
        <rFont val="Arial Narrow"/>
        <charset val="134"/>
      </rPr>
      <t>XX</t>
    </r>
    <r>
      <rPr>
        <sz val="10"/>
        <color rgb="FF0000FF"/>
        <rFont val="宋体"/>
        <charset val="134"/>
      </rPr>
      <t>笔；</t>
    </r>
  </si>
  <si>
    <r>
      <rPr>
        <sz val="10"/>
        <rFont val="宋体"/>
        <charset val="134"/>
      </rPr>
      <t>抽样总体：</t>
    </r>
  </si>
  <si>
    <r>
      <rPr>
        <sz val="10"/>
        <color rgb="FF0000FF"/>
        <rFont val="宋体"/>
        <charset val="134"/>
      </rPr>
      <t>测试总体扣除特定样本以外的样本，数量</t>
    </r>
    <r>
      <rPr>
        <sz val="10"/>
        <color rgb="FF0000FF"/>
        <rFont val="Arial Narrow"/>
        <charset val="134"/>
      </rPr>
      <t>XX</t>
    </r>
    <r>
      <rPr>
        <sz val="10"/>
        <color rgb="FF0000FF"/>
        <rFont val="宋体"/>
        <charset val="134"/>
      </rPr>
      <t>、金额</t>
    </r>
    <r>
      <rPr>
        <sz val="10"/>
        <color rgb="FF0000FF"/>
        <rFont val="Arial Narrow"/>
        <charset val="134"/>
      </rPr>
      <t>XX</t>
    </r>
  </si>
  <si>
    <r>
      <rPr>
        <sz val="10"/>
        <rFont val="宋体"/>
        <charset val="134"/>
      </rPr>
      <t>确定的抽样样本量：</t>
    </r>
  </si>
  <si>
    <r>
      <rPr>
        <sz val="10"/>
        <color rgb="FF0000FF"/>
        <rFont val="宋体"/>
        <charset val="134"/>
      </rPr>
      <t>抽取</t>
    </r>
    <r>
      <rPr>
        <sz val="10"/>
        <color rgb="FF0000FF"/>
        <rFont val="Arial Narrow"/>
        <charset val="134"/>
      </rPr>
      <t>XX</t>
    </r>
    <r>
      <rPr>
        <sz val="10"/>
        <color rgb="FF0000FF"/>
        <rFont val="宋体"/>
        <charset val="134"/>
      </rPr>
      <t>笔</t>
    </r>
  </si>
  <si>
    <r>
      <rPr>
        <sz val="10"/>
        <color rgb="FF0000FF"/>
        <rFont val="宋体"/>
        <charset val="134"/>
      </rPr>
      <t>（如果使用了样本计算器计算样本量，样本量计算过程见</t>
    </r>
    <r>
      <rPr>
        <sz val="10"/>
        <color rgb="FF0000FF"/>
        <rFont val="Arial Narrow"/>
        <charset val="134"/>
      </rPr>
      <t>&lt;XX&gt;</t>
    </r>
    <r>
      <rPr>
        <sz val="10"/>
        <color rgb="FF0000FF"/>
        <rFont val="宋体"/>
        <charset val="134"/>
      </rPr>
      <t>底稿）</t>
    </r>
  </si>
  <si>
    <r>
      <rPr>
        <sz val="10"/>
        <rFont val="宋体"/>
        <charset val="134"/>
      </rPr>
      <t>抽样方法：</t>
    </r>
  </si>
  <si>
    <r>
      <rPr>
        <sz val="10"/>
        <rFont val="宋体"/>
        <charset val="134"/>
      </rPr>
      <t>抽样过程：</t>
    </r>
  </si>
  <si>
    <r>
      <rPr>
        <sz val="10"/>
        <color rgb="FF0000FF"/>
        <rFont val="宋体"/>
        <charset val="134"/>
      </rPr>
      <t>使用</t>
    </r>
    <r>
      <rPr>
        <sz val="10"/>
        <color rgb="FF0000FF"/>
        <rFont val="Arial Narrow"/>
        <charset val="134"/>
      </rPr>
      <t>IDEA</t>
    </r>
    <r>
      <rPr>
        <sz val="10"/>
        <color rgb="FF0000FF"/>
        <rFont val="宋体"/>
        <charset val="134"/>
      </rPr>
      <t>（</t>
    </r>
    <r>
      <rPr>
        <sz val="10"/>
        <color rgb="FF0000FF"/>
        <rFont val="Arial Narrow"/>
        <charset val="134"/>
      </rPr>
      <t>XX</t>
    </r>
    <r>
      <rPr>
        <sz val="10"/>
        <color rgb="FF0000FF"/>
        <rFont val="宋体"/>
        <charset val="134"/>
      </rPr>
      <t>抽样工具）选择</t>
    </r>
    <r>
      <rPr>
        <sz val="10"/>
        <color rgb="FF0000FF"/>
        <rFont val="Arial Narrow"/>
        <charset val="134"/>
      </rPr>
      <t>XX</t>
    </r>
    <r>
      <rPr>
        <sz val="10"/>
        <color rgb="FF0000FF"/>
        <rFont val="宋体"/>
        <charset val="134"/>
      </rPr>
      <t>数量、金额</t>
    </r>
    <r>
      <rPr>
        <sz val="10"/>
        <color rgb="FF0000FF"/>
        <rFont val="Arial Narrow"/>
        <charset val="134"/>
      </rPr>
      <t>XX</t>
    </r>
    <r>
      <rPr>
        <sz val="10"/>
        <color rgb="FF0000FF"/>
        <rFont val="宋体"/>
        <charset val="134"/>
      </rPr>
      <t>的样本进行测试，抽样工具中的样本选择过程和结果见</t>
    </r>
    <r>
      <rPr>
        <sz val="10"/>
        <color rgb="FF0000FF"/>
        <rFont val="Arial Narrow"/>
        <charset val="134"/>
      </rPr>
      <t>&lt;XX&gt;</t>
    </r>
    <r>
      <rPr>
        <sz val="10"/>
        <color rgb="FF0000FF"/>
        <rFont val="宋体"/>
        <charset val="134"/>
      </rPr>
      <t>底稿</t>
    </r>
  </si>
  <si>
    <r>
      <rPr>
        <b/>
        <sz val="10"/>
        <rFont val="宋体"/>
        <charset val="134"/>
      </rPr>
      <t>三、审计过程：</t>
    </r>
  </si>
  <si>
    <r>
      <rPr>
        <sz val="10"/>
        <rFont val="宋体"/>
        <charset val="134"/>
      </rPr>
      <t>抽盘地点：</t>
    </r>
    <r>
      <rPr>
        <sz val="10"/>
        <rFont val="Arial Narrow"/>
        <charset val="134"/>
      </rPr>
      <t>______________</t>
    </r>
  </si>
  <si>
    <t>盘点人员：</t>
  </si>
  <si>
    <t>被审计单位仓库盘点人和财务监盘人签字</t>
  </si>
  <si>
    <t>监盘人员：</t>
  </si>
  <si>
    <t>（审计人员签字）</t>
  </si>
  <si>
    <r>
      <rPr>
        <sz val="10"/>
        <rFont val="宋体"/>
        <charset val="134"/>
      </rPr>
      <t>盘点时间：</t>
    </r>
    <r>
      <rPr>
        <sz val="10"/>
        <rFont val="Arial Narrow"/>
        <charset val="134"/>
      </rPr>
      <t>__________________</t>
    </r>
  </si>
  <si>
    <r>
      <rPr>
        <b/>
        <sz val="10"/>
        <rFont val="宋体"/>
        <charset val="134"/>
      </rPr>
      <t>投资性房地产名称</t>
    </r>
    <r>
      <rPr>
        <b/>
        <sz val="10"/>
        <rFont val="Arial Narrow"/>
        <charset val="134"/>
      </rPr>
      <t>/</t>
    </r>
    <r>
      <rPr>
        <b/>
        <sz val="10"/>
        <rFont val="宋体"/>
        <charset val="134"/>
      </rPr>
      <t>类别</t>
    </r>
  </si>
  <si>
    <r>
      <rPr>
        <b/>
        <sz val="10"/>
        <rFont val="宋体"/>
        <charset val="134"/>
      </rPr>
      <t>资产编号</t>
    </r>
  </si>
  <si>
    <r>
      <rPr>
        <b/>
        <sz val="10"/>
        <rFont val="宋体"/>
        <charset val="134"/>
      </rPr>
      <t>规格</t>
    </r>
    <r>
      <rPr>
        <b/>
        <sz val="10"/>
        <rFont val="Arial Narrow"/>
        <charset val="134"/>
      </rPr>
      <t>/</t>
    </r>
    <r>
      <rPr>
        <b/>
        <sz val="10"/>
        <rFont val="宋体"/>
        <charset val="134"/>
      </rPr>
      <t>面积</t>
    </r>
  </si>
  <si>
    <r>
      <rPr>
        <b/>
        <sz val="10"/>
        <rFont val="宋体"/>
        <charset val="134"/>
      </rPr>
      <t>单位</t>
    </r>
  </si>
  <si>
    <r>
      <rPr>
        <b/>
        <sz val="10"/>
        <rFont val="宋体"/>
        <charset val="134"/>
      </rPr>
      <t>盘点前财务账面记录</t>
    </r>
  </si>
  <si>
    <r>
      <rPr>
        <b/>
        <sz val="10"/>
        <rFont val="宋体"/>
        <charset val="134"/>
      </rPr>
      <t>企业盘点记录数量</t>
    </r>
  </si>
  <si>
    <r>
      <rPr>
        <b/>
        <sz val="10"/>
        <rFont val="宋体"/>
        <charset val="134"/>
      </rPr>
      <t>抽盘数量</t>
    </r>
  </si>
  <si>
    <r>
      <rPr>
        <b/>
        <sz val="10"/>
        <rFont val="宋体"/>
        <charset val="134"/>
      </rPr>
      <t>抽盘与账面差异（</t>
    </r>
    <r>
      <rPr>
        <b/>
        <sz val="10"/>
        <rFont val="Arial Narrow"/>
        <charset val="134"/>
      </rPr>
      <t>+</t>
    </r>
    <r>
      <rPr>
        <b/>
        <sz val="10"/>
        <rFont val="宋体"/>
        <charset val="134"/>
      </rPr>
      <t>盈</t>
    </r>
    <r>
      <rPr>
        <b/>
        <sz val="10"/>
        <rFont val="Arial Narrow"/>
        <charset val="134"/>
      </rPr>
      <t>-</t>
    </r>
    <r>
      <rPr>
        <b/>
        <sz val="10"/>
        <rFont val="宋体"/>
        <charset val="134"/>
      </rPr>
      <t>亏）</t>
    </r>
  </si>
  <si>
    <r>
      <rPr>
        <b/>
        <sz val="10"/>
        <rFont val="宋体"/>
        <charset val="134"/>
      </rPr>
      <t>抽盘与企业盘点差异</t>
    </r>
  </si>
  <si>
    <r>
      <rPr>
        <b/>
        <sz val="10"/>
        <rFont val="宋体"/>
        <charset val="134"/>
      </rPr>
      <t>企业盘点与账面差异</t>
    </r>
  </si>
  <si>
    <r>
      <rPr>
        <b/>
        <sz val="10"/>
        <rFont val="宋体"/>
        <charset val="134"/>
      </rPr>
      <t>品质状况（出租</t>
    </r>
    <r>
      <rPr>
        <b/>
        <sz val="10"/>
        <rFont val="Arial Narrow"/>
        <charset val="134"/>
      </rPr>
      <t>/</t>
    </r>
    <r>
      <rPr>
        <b/>
        <sz val="10"/>
        <rFont val="宋体"/>
        <charset val="134"/>
      </rPr>
      <t>闲置</t>
    </r>
    <r>
      <rPr>
        <b/>
        <sz val="10"/>
        <rFont val="Arial Narrow"/>
        <charset val="134"/>
      </rPr>
      <t>/</t>
    </r>
    <r>
      <rPr>
        <b/>
        <sz val="10"/>
        <rFont val="宋体"/>
        <charset val="134"/>
      </rPr>
      <t>毁损等）</t>
    </r>
  </si>
  <si>
    <r>
      <rPr>
        <b/>
        <sz val="10"/>
        <rFont val="宋体"/>
        <charset val="134"/>
      </rPr>
      <t>数量</t>
    </r>
  </si>
  <si>
    <r>
      <rPr>
        <b/>
        <sz val="10"/>
        <rFont val="宋体"/>
        <charset val="134"/>
      </rPr>
      <t>金额</t>
    </r>
  </si>
  <si>
    <r>
      <rPr>
        <b/>
        <sz val="10"/>
        <rFont val="宋体"/>
        <charset val="134"/>
      </rPr>
      <t>期末投资性房地产原值合计：</t>
    </r>
  </si>
  <si>
    <r>
      <rPr>
        <b/>
        <sz val="10"/>
        <rFont val="宋体"/>
        <charset val="134"/>
      </rPr>
      <t>抽取样本占期末原值合计的比例：（</t>
    </r>
    <r>
      <rPr>
        <b/>
        <sz val="10"/>
        <rFont val="Arial Narrow"/>
        <charset val="134"/>
      </rPr>
      <t>%</t>
    </r>
    <r>
      <rPr>
        <b/>
        <sz val="10"/>
        <rFont val="宋体"/>
        <charset val="134"/>
      </rPr>
      <t>）</t>
    </r>
  </si>
  <si>
    <r>
      <rPr>
        <sz val="10"/>
        <color rgb="FFFF0000"/>
        <rFont val="Arial Narrow"/>
        <charset val="134"/>
      </rPr>
      <t>1.</t>
    </r>
    <r>
      <rPr>
        <sz val="10"/>
        <color rgb="FFFF0000"/>
        <rFont val="宋体"/>
        <charset val="134"/>
      </rPr>
      <t>盘点小结、盘点计划，参考固定资产相关底稿</t>
    </r>
  </si>
  <si>
    <r>
      <rPr>
        <sz val="10"/>
        <color indexed="12"/>
        <rFont val="Arial Narrow"/>
        <charset val="134"/>
      </rPr>
      <t>2.</t>
    </r>
    <r>
      <rPr>
        <sz val="10"/>
        <color indexed="12"/>
        <rFont val="宋体"/>
        <charset val="134"/>
      </rPr>
      <t>本表可作为投资性房地产盘点汇总表或盘点明细表或投资性房地产抽盘表。</t>
    </r>
  </si>
  <si>
    <r>
      <rPr>
        <sz val="10"/>
        <color indexed="12"/>
        <rFont val="Arial Narrow"/>
        <charset val="134"/>
      </rPr>
      <t>3.</t>
    </r>
    <r>
      <rPr>
        <sz val="10"/>
        <color indexed="12"/>
        <rFont val="宋体"/>
        <charset val="134"/>
      </rPr>
      <t>财务账面记录与资产管理管理部门账面记录应一致，若存在差异应调整一致。</t>
    </r>
  </si>
  <si>
    <r>
      <rPr>
        <sz val="10"/>
        <color indexed="12"/>
        <rFont val="Arial Narrow"/>
        <charset val="134"/>
      </rPr>
      <t>4.</t>
    </r>
    <r>
      <rPr>
        <sz val="10"/>
        <color indexed="12"/>
        <rFont val="宋体"/>
        <charset val="134"/>
      </rPr>
      <t>财务账面记录与实际盘点记录的差异构成盘盈</t>
    </r>
    <r>
      <rPr>
        <sz val="10"/>
        <color indexed="12"/>
        <rFont val="Arial Narrow"/>
        <charset val="134"/>
      </rPr>
      <t>/</t>
    </r>
    <r>
      <rPr>
        <sz val="10"/>
        <color indexed="12"/>
        <rFont val="宋体"/>
        <charset val="134"/>
      </rPr>
      <t>盘亏，应根据具体原因分析处理。应说明企业的处理结果。</t>
    </r>
  </si>
  <si>
    <r>
      <rPr>
        <sz val="10"/>
        <color indexed="12"/>
        <rFont val="Arial Narrow"/>
        <charset val="134"/>
      </rPr>
      <t>5.</t>
    </r>
    <r>
      <rPr>
        <sz val="10"/>
        <color indexed="12"/>
        <rFont val="宋体"/>
        <charset val="134"/>
      </rPr>
      <t>盘点时应关注资产的品质状况（影响减值准备的计提）；</t>
    </r>
  </si>
  <si>
    <r>
      <rPr>
        <sz val="10"/>
        <color indexed="12"/>
        <rFont val="Arial Narrow"/>
        <charset val="134"/>
      </rPr>
      <t>6.</t>
    </r>
    <r>
      <rPr>
        <sz val="10"/>
        <color indexed="12"/>
        <rFont val="宋体"/>
        <charset val="134"/>
      </rPr>
      <t>关注投资性房地产盘点信息是否与记录的信息一致。</t>
    </r>
  </si>
  <si>
    <r>
      <rPr>
        <b/>
        <sz val="14"/>
        <rFont val="宋体"/>
        <charset val="134"/>
      </rPr>
      <t>投资性房地产减值测算表（成本模式）</t>
    </r>
  </si>
  <si>
    <r>
      <rPr>
        <b/>
        <sz val="10"/>
        <color indexed="8"/>
        <rFont val="宋体"/>
        <charset val="134"/>
      </rPr>
      <t>一、审计目标：</t>
    </r>
    <r>
      <rPr>
        <sz val="10"/>
        <color indexed="8"/>
        <rFont val="宋体"/>
        <charset val="134"/>
      </rPr>
      <t>投资性房地产以恰当的金额包括在财务报表中，与之相关的计价或分摊调整已恰当记录，相关披露已得到恰当计量和描述。</t>
    </r>
    <r>
      <rPr>
        <sz val="10"/>
        <color indexed="8"/>
        <rFont val="Arial Narrow"/>
        <charset val="134"/>
      </rPr>
      <t xml:space="preserve"> </t>
    </r>
  </si>
  <si>
    <r>
      <rPr>
        <b/>
        <sz val="10"/>
        <rFont val="宋体"/>
        <charset val="134"/>
      </rPr>
      <t>项目名称</t>
    </r>
  </si>
  <si>
    <r>
      <rPr>
        <b/>
        <sz val="10"/>
        <rFont val="宋体"/>
        <charset val="134"/>
      </rPr>
      <t>是否存在减值迹象</t>
    </r>
  </si>
  <si>
    <r>
      <rPr>
        <b/>
        <sz val="10"/>
        <rFont val="宋体"/>
        <charset val="134"/>
      </rPr>
      <t>减值迹象描述</t>
    </r>
  </si>
  <si>
    <r>
      <rPr>
        <b/>
        <sz val="10"/>
        <rFont val="宋体"/>
        <charset val="134"/>
      </rPr>
      <t>可收回金额</t>
    </r>
  </si>
  <si>
    <r>
      <rPr>
        <b/>
        <sz val="10"/>
        <rFont val="宋体"/>
        <charset val="134"/>
      </rPr>
      <t>期末应计提的减值金额（当⑤＜②）</t>
    </r>
  </si>
  <si>
    <r>
      <rPr>
        <b/>
        <sz val="10"/>
        <rFont val="宋体"/>
        <charset val="134"/>
      </rPr>
      <t>期末账面已计提的减值准备</t>
    </r>
  </si>
  <si>
    <r>
      <rPr>
        <b/>
        <sz val="10"/>
        <rFont val="宋体"/>
        <charset val="134"/>
      </rPr>
      <t>本期应补提
或冲回的减值准备</t>
    </r>
  </si>
  <si>
    <r>
      <rPr>
        <b/>
        <sz val="10"/>
        <rFont val="宋体"/>
        <charset val="134"/>
      </rPr>
      <t>工作底稿索引号</t>
    </r>
  </si>
  <si>
    <r>
      <rPr>
        <b/>
        <sz val="10"/>
        <rFont val="宋体"/>
        <charset val="134"/>
      </rPr>
      <t>公允价值减处置费用的净额</t>
    </r>
  </si>
  <si>
    <r>
      <rPr>
        <b/>
        <sz val="10"/>
        <rFont val="宋体"/>
        <charset val="134"/>
      </rPr>
      <t>预计未来现金流量现值</t>
    </r>
  </si>
  <si>
    <r>
      <rPr>
        <b/>
        <sz val="10"/>
        <rFont val="宋体"/>
        <charset val="134"/>
      </rPr>
      <t>可收回金额（③、④较高者）</t>
    </r>
  </si>
  <si>
    <r>
      <rPr>
        <b/>
        <sz val="10"/>
        <rFont val="宋体"/>
        <charset val="134"/>
      </rPr>
      <t>期末已计提
减值准备</t>
    </r>
  </si>
  <si>
    <r>
      <rPr>
        <b/>
        <sz val="10"/>
        <rFont val="宋体"/>
        <charset val="134"/>
      </rPr>
      <t>⑥＝⑤－②</t>
    </r>
  </si>
  <si>
    <r>
      <rPr>
        <b/>
        <sz val="10"/>
        <rFont val="宋体"/>
        <charset val="134"/>
      </rPr>
      <t>⑦</t>
    </r>
  </si>
  <si>
    <r>
      <rPr>
        <b/>
        <sz val="10"/>
        <rFont val="宋体"/>
        <charset val="134"/>
      </rPr>
      <t>⑧</t>
    </r>
    <r>
      <rPr>
        <b/>
        <sz val="10"/>
        <rFont val="Arial Narrow"/>
        <charset val="134"/>
      </rPr>
      <t>=</t>
    </r>
    <r>
      <rPr>
        <b/>
        <sz val="10"/>
        <rFont val="宋体"/>
        <charset val="134"/>
      </rPr>
      <t>⑥</t>
    </r>
    <r>
      <rPr>
        <b/>
        <sz val="10"/>
        <rFont val="Arial Narrow"/>
        <charset val="134"/>
      </rPr>
      <t>-</t>
    </r>
    <r>
      <rPr>
        <b/>
        <sz val="10"/>
        <rFont val="宋体"/>
        <charset val="134"/>
      </rPr>
      <t>⑦</t>
    </r>
  </si>
  <si>
    <r>
      <rPr>
        <b/>
        <sz val="10"/>
        <rFont val="Arial Narrow"/>
        <charset val="134"/>
      </rPr>
      <t>1</t>
    </r>
    <r>
      <rPr>
        <b/>
        <sz val="10"/>
        <rFont val="宋体"/>
        <charset val="134"/>
      </rPr>
      <t>．房屋、建筑物</t>
    </r>
  </si>
  <si>
    <t>…</t>
  </si>
  <si>
    <r>
      <rPr>
        <b/>
        <sz val="10"/>
        <rFont val="Arial Narrow"/>
        <charset val="134"/>
      </rPr>
      <t>2</t>
    </r>
    <r>
      <rPr>
        <b/>
        <sz val="10"/>
        <rFont val="宋体"/>
        <charset val="134"/>
      </rPr>
      <t>．土地使用权</t>
    </r>
  </si>
  <si>
    <r>
      <rPr>
        <b/>
        <sz val="10"/>
        <rFont val="Arial Narrow"/>
        <charset val="134"/>
      </rPr>
      <t xml:space="preserve">3.  </t>
    </r>
    <r>
      <rPr>
        <b/>
        <sz val="10"/>
        <rFont val="宋体"/>
        <charset val="134"/>
      </rPr>
      <t>在建工程</t>
    </r>
  </si>
  <si>
    <r>
      <rPr>
        <sz val="10"/>
        <color rgb="FF0000FF"/>
        <rFont val="Arial Narrow"/>
        <charset val="134"/>
      </rPr>
      <t>1.</t>
    </r>
    <r>
      <rPr>
        <sz val="10"/>
        <color rgb="FF0000FF"/>
        <rFont val="宋体"/>
        <charset val="134"/>
      </rPr>
      <t>获取或编制投资性房地产减值准备明细表，复核加计正确，并与总账数和明细账合计数核对相符；</t>
    </r>
  </si>
  <si>
    <r>
      <rPr>
        <sz val="10"/>
        <color rgb="FF0000FF"/>
        <rFont val="Arial Narrow"/>
        <charset val="134"/>
      </rPr>
      <t>2.</t>
    </r>
    <r>
      <rPr>
        <sz val="10"/>
        <color rgb="FF0000FF"/>
        <rFont val="宋体"/>
        <charset val="134"/>
      </rPr>
      <t>检查投资性房地产减值准备计提和转销的批准程序，取得书面报告等证明文件；检查被审计单位计提投资性房地产减值准备的依据是否充分，会计处理是否正确；</t>
    </r>
  </si>
  <si>
    <r>
      <rPr>
        <sz val="10"/>
        <color rgb="FF0000FF"/>
        <rFont val="Arial Narrow"/>
        <charset val="134"/>
      </rPr>
      <t>3.</t>
    </r>
    <r>
      <rPr>
        <sz val="10"/>
        <color rgb="FF0000FF"/>
        <rFont val="宋体"/>
        <charset val="134"/>
      </rPr>
      <t>检查投资性房地产转让时，相应的减值准备是否一并结转，会计处理是否正确；</t>
    </r>
  </si>
  <si>
    <r>
      <rPr>
        <sz val="10"/>
        <color rgb="FF0000FF"/>
        <rFont val="Arial Narrow"/>
        <charset val="134"/>
      </rPr>
      <t>4.</t>
    </r>
    <r>
      <rPr>
        <sz val="10"/>
        <color rgb="FF0000FF"/>
        <rFont val="宋体"/>
        <charset val="134"/>
      </rPr>
      <t>重新测试被审计单位计提的减值准备是否合理；比较我们预期所估计减值准备和已记录的金额，调查所有重大差异。</t>
    </r>
  </si>
  <si>
    <r>
      <rPr>
        <sz val="10"/>
        <color rgb="FF0000FF"/>
        <rFont val="Arial Narrow"/>
        <charset val="134"/>
      </rPr>
      <t>5.</t>
    </r>
    <r>
      <rPr>
        <sz val="10"/>
        <color rgb="FF0000FF"/>
        <rFont val="宋体"/>
        <charset val="134"/>
      </rPr>
      <t>上期确认的投资性房地产减值准备在本期的变动是否适当。</t>
    </r>
  </si>
  <si>
    <r>
      <rPr>
        <sz val="10"/>
        <color rgb="FF0000FF"/>
        <rFont val="Arial Narrow"/>
        <charset val="134"/>
      </rPr>
      <t>6.</t>
    </r>
    <r>
      <rPr>
        <sz val="10"/>
        <color rgb="FF0000FF"/>
        <rFont val="宋体"/>
        <charset val="134"/>
      </rPr>
      <t>考虑分析租赁收入占投资性房地产的比例，判断投资性房地产租赁回收期、是否存在减值迹象等。</t>
    </r>
  </si>
  <si>
    <r>
      <rPr>
        <b/>
        <sz val="14"/>
        <rFont val="宋体"/>
        <charset val="134"/>
      </rPr>
      <t>投资性房地产减值准备测试表</t>
    </r>
    <r>
      <rPr>
        <b/>
        <sz val="14"/>
        <rFont val="Arial Narrow"/>
        <charset val="134"/>
      </rPr>
      <t>-</t>
    </r>
    <r>
      <rPr>
        <b/>
        <sz val="14"/>
        <rFont val="宋体"/>
        <charset val="134"/>
      </rPr>
      <t>可收回金额</t>
    </r>
  </si>
  <si>
    <r>
      <rPr>
        <b/>
        <sz val="10"/>
        <rFont val="宋体"/>
        <charset val="134"/>
      </rPr>
      <t>（一）资产的公允价值减去处置费用后的净额</t>
    </r>
  </si>
  <si>
    <r>
      <rPr>
        <b/>
        <sz val="10"/>
        <rFont val="宋体"/>
        <charset val="134"/>
      </rPr>
      <t>处置费用（资产处置的直接归属费用）</t>
    </r>
  </si>
  <si>
    <r>
      <rPr>
        <b/>
        <sz val="10"/>
        <rFont val="宋体"/>
        <charset val="134"/>
      </rPr>
      <t>公允价值</t>
    </r>
    <r>
      <rPr>
        <b/>
        <sz val="10"/>
        <rFont val="Arial Narrow"/>
        <charset val="134"/>
      </rPr>
      <t>-</t>
    </r>
    <r>
      <rPr>
        <b/>
        <sz val="10"/>
        <rFont val="宋体"/>
        <charset val="134"/>
      </rPr>
      <t>处置费用</t>
    </r>
  </si>
  <si>
    <r>
      <rPr>
        <b/>
        <sz val="10"/>
        <rFont val="宋体"/>
        <charset val="134"/>
      </rPr>
      <t>销售协议价格</t>
    </r>
  </si>
  <si>
    <r>
      <rPr>
        <b/>
        <sz val="10"/>
        <rFont val="宋体"/>
        <charset val="134"/>
      </rPr>
      <t>说明</t>
    </r>
  </si>
  <si>
    <r>
      <rPr>
        <b/>
        <sz val="10"/>
        <rFont val="宋体"/>
        <charset val="134"/>
      </rPr>
      <t>资产活跃市场价格</t>
    </r>
  </si>
  <si>
    <r>
      <rPr>
        <b/>
        <sz val="10"/>
        <rFont val="宋体"/>
        <charset val="134"/>
      </rPr>
      <t>估计价格</t>
    </r>
  </si>
  <si>
    <r>
      <rPr>
        <b/>
        <sz val="10"/>
        <rFont val="宋体"/>
        <charset val="134"/>
      </rPr>
      <t>法律费用</t>
    </r>
  </si>
  <si>
    <r>
      <rPr>
        <b/>
        <sz val="10"/>
        <rFont val="宋体"/>
        <charset val="134"/>
      </rPr>
      <t>相关税费</t>
    </r>
  </si>
  <si>
    <r>
      <rPr>
        <b/>
        <sz val="10"/>
        <rFont val="宋体"/>
        <charset val="134"/>
      </rPr>
      <t>搬运费</t>
    </r>
  </si>
  <si>
    <r>
      <rPr>
        <b/>
        <sz val="10"/>
        <rFont val="宋体"/>
        <charset val="134"/>
      </rPr>
      <t>直接费用</t>
    </r>
  </si>
  <si>
    <r>
      <rPr>
        <b/>
        <sz val="10"/>
        <rFont val="宋体"/>
        <charset val="134"/>
      </rPr>
      <t>其他费用</t>
    </r>
  </si>
  <si>
    <r>
      <rPr>
        <b/>
        <sz val="10"/>
        <rFont val="宋体"/>
        <charset val="134"/>
      </rPr>
      <t>处置费用合计</t>
    </r>
  </si>
  <si>
    <r>
      <rPr>
        <b/>
        <sz val="10"/>
        <rFont val="宋体"/>
        <charset val="134"/>
      </rPr>
      <t>审计说明：</t>
    </r>
  </si>
  <si>
    <r>
      <rPr>
        <b/>
        <sz val="10"/>
        <rFont val="宋体"/>
        <charset val="134"/>
      </rPr>
      <t>（二）资产预计未来现金流量的现值</t>
    </r>
  </si>
  <si>
    <r>
      <rPr>
        <b/>
        <sz val="10"/>
        <rFont val="宋体"/>
        <charset val="134"/>
      </rPr>
      <t>预计未来现金流量</t>
    </r>
  </si>
  <si>
    <r>
      <rPr>
        <b/>
        <sz val="10"/>
        <rFont val="宋体"/>
        <charset val="134"/>
      </rPr>
      <t>预算或者预测期</t>
    </r>
  </si>
  <si>
    <r>
      <rPr>
        <b/>
        <sz val="10"/>
        <rFont val="宋体"/>
        <charset val="134"/>
      </rPr>
      <t>以后年度</t>
    </r>
  </si>
  <si>
    <r>
      <rPr>
        <sz val="10"/>
        <rFont val="宋体"/>
        <charset val="134"/>
      </rPr>
      <t>行业的长期平均增长率</t>
    </r>
  </si>
  <si>
    <r>
      <rPr>
        <sz val="10"/>
        <rFont val="宋体"/>
        <charset val="134"/>
      </rPr>
      <t>市场长期平均增长率</t>
    </r>
  </si>
  <si>
    <r>
      <rPr>
        <sz val="10"/>
        <rFont val="宋体"/>
        <charset val="134"/>
      </rPr>
      <t>所在国家或地区的长期平均增长率</t>
    </r>
  </si>
  <si>
    <r>
      <rPr>
        <b/>
        <sz val="10"/>
        <rFont val="宋体"/>
        <charset val="134"/>
      </rPr>
      <t>增长率确定依据</t>
    </r>
  </si>
  <si>
    <r>
      <rPr>
        <b/>
        <sz val="10"/>
        <rFont val="宋体"/>
        <charset val="134"/>
      </rPr>
      <t>预计未来现金流量的现值</t>
    </r>
  </si>
  <si>
    <r>
      <rPr>
        <b/>
        <sz val="10"/>
        <rFont val="宋体"/>
        <charset val="134"/>
      </rPr>
      <t>第一年</t>
    </r>
  </si>
  <si>
    <r>
      <rPr>
        <b/>
        <sz val="10"/>
        <rFont val="宋体"/>
        <charset val="134"/>
      </rPr>
      <t>第二年</t>
    </r>
  </si>
  <si>
    <r>
      <rPr>
        <b/>
        <sz val="10"/>
        <rFont val="宋体"/>
        <charset val="134"/>
      </rPr>
      <t>第三年</t>
    </r>
  </si>
  <si>
    <r>
      <rPr>
        <b/>
        <sz val="10"/>
        <rFont val="宋体"/>
        <charset val="134"/>
      </rPr>
      <t>第四年</t>
    </r>
  </si>
  <si>
    <r>
      <rPr>
        <b/>
        <sz val="10"/>
        <rFont val="宋体"/>
        <charset val="134"/>
      </rPr>
      <t>第五年</t>
    </r>
  </si>
  <si>
    <r>
      <rPr>
        <b/>
        <sz val="10"/>
        <rFont val="宋体"/>
        <charset val="134"/>
      </rPr>
      <t>基数</t>
    </r>
  </si>
  <si>
    <r>
      <rPr>
        <b/>
        <sz val="10"/>
        <rFont val="宋体"/>
        <charset val="134"/>
      </rPr>
      <t>增长率</t>
    </r>
  </si>
  <si>
    <r>
      <rPr>
        <sz val="10"/>
        <rFont val="宋体"/>
        <charset val="134"/>
      </rPr>
      <t>预计未来现金净流量</t>
    </r>
  </si>
  <si>
    <r>
      <rPr>
        <sz val="10"/>
        <rFont val="宋体"/>
        <charset val="134"/>
      </rPr>
      <t>折现系数</t>
    </r>
  </si>
  <si>
    <r>
      <rPr>
        <sz val="10"/>
        <color indexed="12"/>
        <rFont val="宋体"/>
        <charset val="134"/>
      </rPr>
      <t>（企业管理层如能证明递增的增长率是合理的，可以以递增的增长率为基础。）</t>
    </r>
  </si>
  <si>
    <r>
      <rPr>
        <sz val="10"/>
        <rFont val="宋体"/>
        <charset val="134"/>
      </rPr>
      <t>现值</t>
    </r>
  </si>
  <si>
    <r>
      <rPr>
        <sz val="10"/>
        <color indexed="12"/>
        <rFont val="宋体"/>
        <charset val="134"/>
      </rPr>
      <t>（建立在预算或者预测基础上的预计现金流量最多涵盖</t>
    </r>
    <r>
      <rPr>
        <sz val="10"/>
        <color indexed="12"/>
        <rFont val="Arial Narrow"/>
        <charset val="134"/>
      </rPr>
      <t>5</t>
    </r>
    <r>
      <rPr>
        <sz val="10"/>
        <color indexed="12"/>
        <rFont val="宋体"/>
        <charset val="134"/>
      </rPr>
      <t>年。）</t>
    </r>
  </si>
  <si>
    <r>
      <rPr>
        <b/>
        <sz val="10"/>
        <rFont val="宋体"/>
        <charset val="134"/>
      </rPr>
      <t>折现率</t>
    </r>
  </si>
  <si>
    <r>
      <rPr>
        <b/>
        <sz val="10"/>
        <rFont val="宋体"/>
        <charset val="134"/>
      </rPr>
      <t>所得税率</t>
    </r>
  </si>
  <si>
    <r>
      <rPr>
        <b/>
        <sz val="10"/>
        <rFont val="宋体"/>
        <charset val="134"/>
      </rPr>
      <t>债务总额</t>
    </r>
  </si>
  <si>
    <r>
      <rPr>
        <b/>
        <sz val="10"/>
        <rFont val="宋体"/>
        <charset val="134"/>
      </rPr>
      <t>资本总额</t>
    </r>
  </si>
  <si>
    <r>
      <rPr>
        <b/>
        <sz val="10"/>
        <rFont val="宋体"/>
        <charset val="134"/>
      </rPr>
      <t>债务成本</t>
    </r>
    <r>
      <rPr>
        <b/>
        <sz val="10"/>
        <rFont val="Arial Narrow"/>
        <charset val="134"/>
      </rPr>
      <t>Kd</t>
    </r>
  </si>
  <si>
    <r>
      <rPr>
        <b/>
        <sz val="10"/>
        <rFont val="宋体"/>
        <charset val="134"/>
      </rPr>
      <t>无风险报酬率</t>
    </r>
    <r>
      <rPr>
        <b/>
        <sz val="10"/>
        <rFont val="Arial Narrow"/>
        <charset val="134"/>
      </rPr>
      <t>Rf</t>
    </r>
  </si>
  <si>
    <r>
      <rPr>
        <b/>
        <sz val="10"/>
        <rFont val="Arial Narrow"/>
        <charset val="134"/>
      </rPr>
      <t>β</t>
    </r>
    <r>
      <rPr>
        <b/>
        <sz val="10"/>
        <rFont val="宋体"/>
        <charset val="134"/>
      </rPr>
      <t>系数</t>
    </r>
  </si>
  <si>
    <r>
      <rPr>
        <b/>
        <sz val="10"/>
        <rFont val="宋体"/>
        <charset val="134"/>
      </rPr>
      <t>平均风险股票必要报酬率</t>
    </r>
    <r>
      <rPr>
        <b/>
        <sz val="10"/>
        <rFont val="Arial Narrow"/>
        <charset val="134"/>
      </rPr>
      <t>Rm</t>
    </r>
  </si>
  <si>
    <r>
      <rPr>
        <b/>
        <sz val="10"/>
        <rFont val="宋体"/>
        <charset val="134"/>
      </rPr>
      <t>资本成本</t>
    </r>
    <r>
      <rPr>
        <b/>
        <sz val="10"/>
        <rFont val="Arial Narrow"/>
        <charset val="134"/>
      </rPr>
      <t>Ke</t>
    </r>
  </si>
  <si>
    <r>
      <rPr>
        <b/>
        <sz val="10"/>
        <rFont val="宋体"/>
        <charset val="134"/>
      </rPr>
      <t>折现率</t>
    </r>
    <r>
      <rPr>
        <b/>
        <sz val="10"/>
        <rFont val="Arial Narrow"/>
        <charset val="134"/>
      </rPr>
      <t>(</t>
    </r>
    <r>
      <rPr>
        <b/>
        <sz val="10"/>
        <rFont val="宋体"/>
        <charset val="134"/>
      </rPr>
      <t>税后</t>
    </r>
    <r>
      <rPr>
        <b/>
        <sz val="10"/>
        <rFont val="Arial Narrow"/>
        <charset val="134"/>
      </rPr>
      <t>)</t>
    </r>
  </si>
  <si>
    <r>
      <rPr>
        <b/>
        <sz val="10"/>
        <rFont val="宋体"/>
        <charset val="134"/>
      </rPr>
      <t>折现率</t>
    </r>
    <r>
      <rPr>
        <b/>
        <sz val="10"/>
        <rFont val="Arial Narrow"/>
        <charset val="134"/>
      </rPr>
      <t>(</t>
    </r>
    <r>
      <rPr>
        <b/>
        <sz val="10"/>
        <rFont val="宋体"/>
        <charset val="134"/>
      </rPr>
      <t>税前</t>
    </r>
    <r>
      <rPr>
        <b/>
        <sz val="10"/>
        <rFont val="Arial Narrow"/>
        <charset val="134"/>
      </rPr>
      <t>)</t>
    </r>
  </si>
  <si>
    <r>
      <rPr>
        <b/>
        <sz val="10"/>
        <rFont val="宋体"/>
        <charset val="134"/>
      </rPr>
      <t>税后折税前调整说明</t>
    </r>
  </si>
  <si>
    <r>
      <rPr>
        <b/>
        <sz val="10"/>
        <rFont val="宋体"/>
        <charset val="134"/>
      </rPr>
      <t>适用税率</t>
    </r>
  </si>
  <si>
    <r>
      <rPr>
        <b/>
        <sz val="10"/>
        <rFont val="宋体"/>
        <charset val="134"/>
      </rPr>
      <t>税率调整</t>
    </r>
  </si>
  <si>
    <r>
      <rPr>
        <b/>
        <sz val="10"/>
        <rFont val="宋体"/>
        <charset val="134"/>
      </rPr>
      <t>调整说明</t>
    </r>
  </si>
  <si>
    <r>
      <rPr>
        <sz val="10"/>
        <rFont val="宋体"/>
        <charset val="134"/>
      </rPr>
      <t>加权平均资金成本</t>
    </r>
  </si>
  <si>
    <r>
      <rPr>
        <b/>
        <sz val="10"/>
        <rFont val="宋体"/>
        <charset val="134"/>
      </rPr>
      <t>（三）可收回金额</t>
    </r>
  </si>
  <si>
    <r>
      <rPr>
        <sz val="10"/>
        <rFont val="宋体"/>
        <charset val="134"/>
      </rPr>
      <t>资产的公允价值减去处置费用后的净额与资产预计未来现金流量的现值两者之间较高者</t>
    </r>
  </si>
  <si>
    <r>
      <rPr>
        <sz val="10"/>
        <color indexed="12"/>
        <rFont val="Arial Narrow"/>
        <charset val="134"/>
      </rPr>
      <t>1</t>
    </r>
    <r>
      <rPr>
        <sz val="10"/>
        <color indexed="12"/>
        <rFont val="宋体"/>
        <charset val="134"/>
      </rPr>
      <t>、可收回金额应当根据资产的公允价值减去处置费用后的净额与资产预计未来现金流量的现值两者之间较高者确定。</t>
    </r>
  </si>
  <si>
    <r>
      <rPr>
        <sz val="10"/>
        <color indexed="12"/>
        <rFont val="Arial Narrow"/>
        <charset val="134"/>
      </rPr>
      <t>2</t>
    </r>
    <r>
      <rPr>
        <sz val="10"/>
        <color indexed="12"/>
        <rFont val="宋体"/>
        <charset val="134"/>
      </rPr>
      <t>、资产的公允价值减去处置费用后的净额，应当根据公平交易中销售协议价格减去可直接归属于该资产处置费用的金额确定。不存在销售协议但存在资产活跃市场的，</t>
    </r>
  </si>
  <si>
    <r>
      <rPr>
        <sz val="10"/>
        <color indexed="12"/>
        <rFont val="宋体"/>
        <charset val="134"/>
      </rPr>
      <t>应当按照该资产的市场价格减去处置费用后的金额确定。资产的市场价格通常应当根据资产的买方出价确定。在不存在销售协议和资产活跃市场的情况下，应当</t>
    </r>
  </si>
  <si>
    <r>
      <rPr>
        <sz val="10"/>
        <color indexed="12"/>
        <rFont val="宋体"/>
        <charset val="134"/>
      </rPr>
      <t>以可获取的最佳信息为基础，估计资产的公允价值减去处置费用后的净额，该净额可以参考同行业类似资产的最近交易价格或者结果进行估计。企业按照上述规定</t>
    </r>
  </si>
  <si>
    <r>
      <rPr>
        <sz val="10"/>
        <color indexed="12"/>
        <rFont val="宋体"/>
        <charset val="134"/>
      </rPr>
      <t>仍然无法可靠估计资产的公允价值减去处置费用后的净额的，应当以该资产预计未来现金流量的现值作为其可收回金额。</t>
    </r>
  </si>
  <si>
    <r>
      <rPr>
        <sz val="10"/>
        <color indexed="12"/>
        <rFont val="Arial Narrow"/>
        <charset val="134"/>
      </rPr>
      <t>3</t>
    </r>
    <r>
      <rPr>
        <sz val="10"/>
        <color indexed="12"/>
        <rFont val="宋体"/>
        <charset val="134"/>
      </rPr>
      <t>、处置费用包括与资产处置有关的法律费用、相关税费、搬运费以及为使资产达到可销售状态所发生的直接费用等。</t>
    </r>
  </si>
  <si>
    <r>
      <rPr>
        <sz val="10"/>
        <color indexed="12"/>
        <rFont val="Arial Narrow"/>
        <charset val="134"/>
      </rPr>
      <t>4</t>
    </r>
    <r>
      <rPr>
        <sz val="10"/>
        <color indexed="12"/>
        <rFont val="宋体"/>
        <charset val="134"/>
      </rPr>
      <t>、资产预计未来现金流量的现值，应当按照资产在持续使用过程中和最终处置时所产生的预计未来现金流量，选择恰当的折现率对其进行折现后的金额加以确定。</t>
    </r>
  </si>
  <si>
    <r>
      <rPr>
        <sz val="10"/>
        <color indexed="12"/>
        <rFont val="Arial Narrow"/>
        <charset val="134"/>
      </rPr>
      <t>5</t>
    </r>
    <r>
      <rPr>
        <sz val="10"/>
        <color indexed="12"/>
        <rFont val="宋体"/>
        <charset val="134"/>
      </rPr>
      <t>、预计资产的未来现金流量，应当以经企业管理层批准的最近财务预算或者预测数据，以及该预算或者预测期之后年份稳定的或者递减的增长率为基础。</t>
    </r>
  </si>
  <si>
    <r>
      <rPr>
        <sz val="10"/>
        <color indexed="12"/>
        <rFont val="宋体"/>
        <charset val="134"/>
      </rPr>
      <t>预计的资产未来现金流量应当包括下列各项：</t>
    </r>
  </si>
  <si>
    <r>
      <rPr>
        <sz val="10"/>
        <color indexed="12"/>
        <rFont val="宋体"/>
        <charset val="134"/>
      </rPr>
      <t>　　（一）资产持续使用过程中预计产生的现金流入。</t>
    </r>
  </si>
  <si>
    <r>
      <rPr>
        <sz val="10"/>
        <color indexed="12"/>
        <rFont val="宋体"/>
        <charset val="134"/>
      </rPr>
      <t>　　（二）为实现资产持续使用过程中产生的现金流入所必需的预计现金流出（包括为使资产达到预定可使用状态所发生的现金流出）。该现金流出应当是可直接归属</t>
    </r>
  </si>
  <si>
    <r>
      <rPr>
        <sz val="10"/>
        <color indexed="12"/>
        <rFont val="宋体"/>
        <charset val="134"/>
      </rPr>
      <t>于或者可通过合理和一致的基础分配到资产中的现金流出。</t>
    </r>
  </si>
  <si>
    <r>
      <rPr>
        <sz val="10"/>
        <color indexed="12"/>
        <rFont val="宋体"/>
        <charset val="134"/>
      </rPr>
      <t>　　（三）资产使用寿命结束时，处置资产所收到或者支付的净现金流量。该现金流量应当是在公平交易中，熟悉情况的交易双方自愿进行交易时，企业预期可从资产的</t>
    </r>
  </si>
  <si>
    <r>
      <rPr>
        <sz val="10"/>
        <color indexed="12"/>
        <rFont val="宋体"/>
        <charset val="134"/>
      </rPr>
      <t>处置中获取或者支付的、减去预计处置费用后的金额。</t>
    </r>
  </si>
  <si>
    <r>
      <rPr>
        <sz val="10"/>
        <color indexed="12"/>
        <rFont val="Arial Narrow"/>
        <charset val="134"/>
      </rPr>
      <t>6</t>
    </r>
    <r>
      <rPr>
        <sz val="10"/>
        <color indexed="12"/>
        <rFont val="宋体"/>
        <charset val="134"/>
      </rPr>
      <t>、折现率是反映当前市场货币时间价值和资产特定风险的税前利率。该折现率是企业在购置或者投资资产时所要求的必要报酬率。</t>
    </r>
  </si>
  <si>
    <r>
      <rPr>
        <sz val="10"/>
        <color indexed="12"/>
        <rFont val="宋体"/>
        <charset val="134"/>
      </rPr>
      <t>折现率的确定通常应当以该资产的市场利率为依据。无法从市场获得的，可以使用替代利率估计折现率。</t>
    </r>
  </si>
  <si>
    <r>
      <rPr>
        <sz val="10"/>
        <color indexed="12"/>
        <rFont val="宋体"/>
        <charset val="134"/>
      </rPr>
      <t>加权平均资金成本（税后）</t>
    </r>
    <r>
      <rPr>
        <sz val="10"/>
        <color indexed="12"/>
        <rFont val="Arial Narrow"/>
        <charset val="134"/>
      </rPr>
      <t>:</t>
    </r>
  </si>
  <si>
    <r>
      <rPr>
        <b/>
        <sz val="10"/>
        <color rgb="FF0000FF"/>
        <rFont val="宋体"/>
        <charset val="134"/>
      </rPr>
      <t>审计过程提示：</t>
    </r>
  </si>
  <si>
    <r>
      <rPr>
        <sz val="10"/>
        <color rgb="FF0000FF"/>
        <rFont val="Arial Narrow"/>
        <charset val="134"/>
      </rPr>
      <t>4.</t>
    </r>
    <r>
      <rPr>
        <sz val="10"/>
        <color rgb="FF0000FF"/>
        <rFont val="宋体"/>
        <charset val="134"/>
      </rPr>
      <t>重新测试被审计单位计提的减值准备是否合理；比较我们预期所估计减值准备和已记录的金额，调查所有重大差异；</t>
    </r>
  </si>
  <si>
    <r>
      <rPr>
        <b/>
        <sz val="14"/>
        <rFont val="宋体"/>
        <charset val="134"/>
      </rPr>
      <t>投资性房地产产权证明核对表</t>
    </r>
  </si>
  <si>
    <r>
      <rPr>
        <b/>
        <sz val="10"/>
        <color indexed="8"/>
        <rFont val="宋体"/>
        <charset val="134"/>
      </rPr>
      <t>一、审计目标：</t>
    </r>
    <r>
      <rPr>
        <sz val="10"/>
        <color indexed="8"/>
        <rFont val="宋体"/>
        <charset val="134"/>
      </rPr>
      <t>记录的投资性房地产由被审计单位拥有或控制；</t>
    </r>
  </si>
  <si>
    <r>
      <rPr>
        <b/>
        <sz val="10"/>
        <color indexed="8"/>
        <rFont val="宋体"/>
        <charset val="134"/>
      </rPr>
      <t>二、审计过程：</t>
    </r>
  </si>
  <si>
    <r>
      <rPr>
        <sz val="10"/>
        <color rgb="FF0000FF"/>
        <rFont val="宋体"/>
        <charset val="134"/>
      </rPr>
      <t>（提示：每次审计需要重新取得原件，进行原件和复印件的核对并记录）检查资产的权属证明，验证其属于被审计单位所有。</t>
    </r>
  </si>
  <si>
    <r>
      <rPr>
        <b/>
        <sz val="10"/>
        <rFont val="宋体"/>
        <charset val="134"/>
      </rPr>
      <t>账面（登记簿）资产信息</t>
    </r>
  </si>
  <si>
    <r>
      <rPr>
        <b/>
        <sz val="10"/>
        <rFont val="宋体"/>
        <charset val="134"/>
      </rPr>
      <t>产权证明核对</t>
    </r>
  </si>
  <si>
    <r>
      <rPr>
        <b/>
        <sz val="10"/>
        <rFont val="宋体"/>
        <charset val="134"/>
      </rPr>
      <t>说明与资产信息不一致的原因</t>
    </r>
  </si>
  <si>
    <r>
      <rPr>
        <b/>
        <sz val="10"/>
        <rFont val="宋体"/>
        <charset val="134"/>
      </rPr>
      <t>抵押情况</t>
    </r>
  </si>
  <si>
    <r>
      <rPr>
        <b/>
        <sz val="10"/>
        <rFont val="宋体"/>
        <charset val="134"/>
      </rPr>
      <t>资产所有者名称</t>
    </r>
  </si>
  <si>
    <r>
      <rPr>
        <b/>
        <sz val="10"/>
        <rFont val="宋体"/>
        <charset val="134"/>
      </rPr>
      <t>资产名称</t>
    </r>
  </si>
  <si>
    <r>
      <rPr>
        <b/>
        <sz val="10"/>
        <rFont val="宋体"/>
        <charset val="134"/>
      </rPr>
      <t>坐落地点</t>
    </r>
  </si>
  <si>
    <r>
      <rPr>
        <b/>
        <sz val="10"/>
        <rFont val="宋体"/>
        <charset val="134"/>
      </rPr>
      <t>产权证书名称</t>
    </r>
  </si>
  <si>
    <r>
      <rPr>
        <b/>
        <sz val="10"/>
        <rFont val="宋体"/>
        <charset val="134"/>
      </rPr>
      <t>产权证书编号</t>
    </r>
  </si>
  <si>
    <r>
      <rPr>
        <b/>
        <sz val="10"/>
        <rFont val="宋体"/>
        <charset val="134"/>
      </rPr>
      <t>产权证索引号</t>
    </r>
  </si>
  <si>
    <r>
      <rPr>
        <b/>
        <sz val="10"/>
        <rFont val="宋体"/>
        <charset val="134"/>
      </rPr>
      <t>与资产信息核对一致</t>
    </r>
  </si>
  <si>
    <r>
      <rPr>
        <b/>
        <sz val="10"/>
        <rFont val="宋体"/>
        <charset val="134"/>
      </rPr>
      <t>抵押面积</t>
    </r>
  </si>
  <si>
    <r>
      <rPr>
        <b/>
        <sz val="10"/>
        <rFont val="宋体"/>
        <charset val="134"/>
      </rPr>
      <t>抵押价值</t>
    </r>
  </si>
  <si>
    <r>
      <rPr>
        <b/>
        <sz val="10"/>
        <rFont val="宋体"/>
        <charset val="134"/>
      </rPr>
      <t>抵押性质</t>
    </r>
  </si>
  <si>
    <r>
      <rPr>
        <sz val="10"/>
        <color rgb="FF0000FF"/>
        <rFont val="Arial Narrow"/>
        <charset val="134"/>
      </rPr>
      <t>1.</t>
    </r>
    <r>
      <rPr>
        <sz val="10"/>
        <color rgb="FF0000FF"/>
        <rFont val="宋体"/>
        <charset val="134"/>
      </rPr>
      <t>实地查看房屋及建筑物等投资性房地产，并同时查看资产权属证明原件（复印并加盖公司公章（已和原件核对一致）），结合银行借款等项目的检查，了解是否设定对外抵押，并取得复印件作为工作底稿；</t>
    </r>
  </si>
  <si>
    <r>
      <rPr>
        <sz val="10"/>
        <color rgb="FF0000FF"/>
        <rFont val="Arial Narrow"/>
        <charset val="134"/>
      </rPr>
      <t>2.</t>
    </r>
    <r>
      <rPr>
        <sz val="10"/>
        <color rgb="FF0000FF"/>
        <rFont val="宋体"/>
        <charset val="134"/>
      </rPr>
      <t>对于正在办理权属证明的大额资产，应了解权属证明办理情况，确认是否存在权属纠纷或实质性障碍。</t>
    </r>
  </si>
  <si>
    <r>
      <rPr>
        <sz val="10"/>
        <color rgb="FF0000FF"/>
        <rFont val="Arial Narrow"/>
        <charset val="134"/>
      </rPr>
      <t>3.</t>
    </r>
    <r>
      <rPr>
        <sz val="10"/>
        <color rgb="FF0000FF"/>
        <rFont val="宋体"/>
        <charset val="134"/>
      </rPr>
      <t>详细记录抵押、担保等事项，并提请被审计单位进行充分披露。</t>
    </r>
    <r>
      <rPr>
        <sz val="10"/>
        <color rgb="FF0000FF"/>
        <rFont val="Arial Narrow"/>
        <charset val="134"/>
      </rPr>
      <t>&lt;CSRC14-7&gt;</t>
    </r>
  </si>
  <si>
    <r>
      <rPr>
        <b/>
        <sz val="14"/>
        <rFont val="宋体"/>
        <charset val="134"/>
      </rPr>
      <t>关联交易检查表</t>
    </r>
  </si>
  <si>
    <r>
      <rPr>
        <sz val="10"/>
        <rFont val="Arial Narrow"/>
        <charset val="134"/>
      </rPr>
      <t>1.</t>
    </r>
    <r>
      <rPr>
        <sz val="10"/>
        <rFont val="宋体"/>
        <charset val="134"/>
      </rPr>
      <t>资产负债表中记录的投资性房地产是存在的，且已记录于恰当的账户；</t>
    </r>
    <r>
      <rPr>
        <sz val="10"/>
        <rFont val="Arial Narrow"/>
        <charset val="134"/>
      </rPr>
      <t>2.</t>
    </r>
    <r>
      <rPr>
        <sz val="10"/>
        <rFont val="宋体"/>
        <charset val="134"/>
      </rPr>
      <t xml:space="preserve">所有应记录的投资性房地产均已记录，所有应当包括在财务报表中的相关披露均已包括；
</t>
    </r>
    <r>
      <rPr>
        <sz val="10"/>
        <rFont val="Arial Narrow"/>
        <charset val="134"/>
      </rPr>
      <t>3.</t>
    </r>
    <r>
      <rPr>
        <sz val="10"/>
        <rFont val="宋体"/>
        <charset val="134"/>
      </rPr>
      <t>记录的投资性房地产由被审计单位拥有或控制。</t>
    </r>
    <r>
      <rPr>
        <sz val="10"/>
        <rFont val="Arial Narrow"/>
        <charset val="134"/>
      </rPr>
      <t>4.</t>
    </r>
    <r>
      <rPr>
        <sz val="10"/>
        <rFont val="宋体"/>
        <charset val="134"/>
      </rPr>
      <t xml:space="preserve">投资性房地产以恰当的金额包括在财务报表中，与之相关的计价或分摊调整已恰当记录，相关披露已得到恰当计量和描述；
</t>
    </r>
    <r>
      <rPr>
        <sz val="10"/>
        <rFont val="Arial Narrow"/>
        <charset val="134"/>
      </rPr>
      <t>5.</t>
    </r>
    <r>
      <rPr>
        <sz val="10"/>
        <rFont val="宋体"/>
        <charset val="134"/>
      </rPr>
      <t>固定资产已被恰当地汇总或分解且表述清楚，相关披露在按照企业会计准则的编制基础下是相关的、可理解的。</t>
    </r>
  </si>
  <si>
    <r>
      <rPr>
        <sz val="10"/>
        <rFont val="Arial Narrow"/>
        <charset val="134"/>
      </rPr>
      <t>1.</t>
    </r>
    <r>
      <rPr>
        <sz val="10"/>
        <rFont val="宋体"/>
        <charset val="134"/>
      </rPr>
      <t>对于合并范围外关联交易，核对合同、发票等有关文件，了解交易事项目的、价格和条件，确认关联方交易是否真实、公允。</t>
    </r>
  </si>
  <si>
    <r>
      <rPr>
        <b/>
        <sz val="10"/>
        <rFont val="宋体"/>
        <charset val="134"/>
      </rPr>
      <t>关联单位名称</t>
    </r>
  </si>
  <si>
    <r>
      <rPr>
        <b/>
        <sz val="10"/>
        <rFont val="宋体"/>
        <charset val="134"/>
      </rPr>
      <t>关联方关系</t>
    </r>
  </si>
  <si>
    <r>
      <rPr>
        <b/>
        <sz val="10"/>
        <rFont val="宋体"/>
        <charset val="134"/>
      </rPr>
      <t>租赁项目</t>
    </r>
  </si>
  <si>
    <r>
      <rPr>
        <b/>
        <sz val="10"/>
        <rFont val="宋体"/>
        <charset val="134"/>
      </rPr>
      <t>租赁资产种类</t>
    </r>
  </si>
  <si>
    <r>
      <rPr>
        <b/>
        <sz val="10"/>
        <rFont val="宋体"/>
        <charset val="134"/>
      </rPr>
      <t>租赁发生时间及到期日</t>
    </r>
  </si>
  <si>
    <r>
      <rPr>
        <b/>
        <sz val="10"/>
        <rFont val="宋体"/>
        <charset val="134"/>
      </rPr>
      <t>本期确认的租赁收益</t>
    </r>
  </si>
  <si>
    <r>
      <rPr>
        <b/>
        <sz val="10"/>
        <rFont val="宋体"/>
        <charset val="134"/>
      </rPr>
      <t>定价政策</t>
    </r>
  </si>
  <si>
    <r>
      <rPr>
        <b/>
        <sz val="10"/>
        <rFont val="宋体"/>
        <charset val="134"/>
      </rPr>
      <t>关联交易是否存在异常</t>
    </r>
  </si>
  <si>
    <r>
      <rPr>
        <b/>
        <sz val="10"/>
        <color indexed="8"/>
        <rFont val="宋体"/>
        <charset val="134"/>
      </rPr>
      <t>三、审计说明：</t>
    </r>
  </si>
  <si>
    <r>
      <rPr>
        <b/>
        <sz val="10"/>
        <color indexed="8"/>
        <rFont val="宋体"/>
        <charset val="134"/>
      </rPr>
      <t>四、审计结论：</t>
    </r>
  </si>
  <si>
    <r>
      <rPr>
        <sz val="10"/>
        <color rgb="FF0000FF"/>
        <rFont val="宋体"/>
        <charset val="134"/>
      </rPr>
      <t>勿删</t>
    </r>
  </si>
  <si>
    <r>
      <rPr>
        <sz val="10"/>
        <color rgb="FF0000FF"/>
        <rFont val="宋体"/>
        <charset val="134"/>
      </rPr>
      <t>关联关系</t>
    </r>
  </si>
  <si>
    <r>
      <rPr>
        <sz val="10"/>
        <color rgb="FF0000FF"/>
        <rFont val="宋体"/>
        <charset val="134"/>
      </rPr>
      <t>实际控制人</t>
    </r>
  </si>
  <si>
    <r>
      <rPr>
        <sz val="10"/>
        <color rgb="FF0000FF"/>
        <rFont val="宋体"/>
        <charset val="134"/>
      </rPr>
      <t>控股股东</t>
    </r>
  </si>
  <si>
    <r>
      <rPr>
        <sz val="10"/>
        <color rgb="FF0000FF"/>
        <rFont val="宋体"/>
        <charset val="134"/>
      </rPr>
      <t>控股股东、实际控制人的附属企业</t>
    </r>
  </si>
  <si>
    <r>
      <rPr>
        <sz val="10"/>
        <color rgb="FF0000FF"/>
        <rFont val="宋体"/>
        <charset val="134"/>
      </rPr>
      <t>持有</t>
    </r>
    <r>
      <rPr>
        <sz val="10"/>
        <color rgb="FF0000FF"/>
        <rFont val="Arial Narrow"/>
        <charset val="134"/>
      </rPr>
      <t>5%</t>
    </r>
    <r>
      <rPr>
        <sz val="10"/>
        <color rgb="FF0000FF"/>
        <rFont val="宋体"/>
        <charset val="134"/>
      </rPr>
      <t>以上股份的法人或其他组织</t>
    </r>
  </si>
  <si>
    <r>
      <rPr>
        <sz val="10"/>
        <color rgb="FF0000FF"/>
        <rFont val="宋体"/>
        <charset val="134"/>
      </rPr>
      <t>联营企业</t>
    </r>
  </si>
  <si>
    <r>
      <rPr>
        <sz val="10"/>
        <color rgb="FF0000FF"/>
        <rFont val="宋体"/>
        <charset val="134"/>
      </rPr>
      <t>合营企业</t>
    </r>
  </si>
  <si>
    <r>
      <rPr>
        <sz val="10"/>
        <color rgb="FF0000FF"/>
        <rFont val="宋体"/>
        <charset val="134"/>
      </rPr>
      <t>董高监等关键管理人员</t>
    </r>
  </si>
  <si>
    <r>
      <rPr>
        <sz val="10"/>
        <color rgb="FF0000FF"/>
        <rFont val="宋体"/>
        <charset val="134"/>
      </rPr>
      <t>其他关联方</t>
    </r>
  </si>
  <si>
    <r>
      <rPr>
        <b/>
        <sz val="14"/>
        <rFont val="宋体"/>
        <charset val="134"/>
      </rPr>
      <t>投资性房地产租金收入测算表</t>
    </r>
  </si>
  <si>
    <r>
      <rPr>
        <b/>
        <sz val="10"/>
        <rFont val="宋体"/>
        <charset val="134"/>
      </rPr>
      <t>二、审计过程：</t>
    </r>
    <r>
      <rPr>
        <sz val="10"/>
        <rFont val="宋体"/>
        <charset val="134"/>
      </rPr>
      <t>获取或编制投资性房地产的租金收入明细表，测算本期租金收入的计量是否合理；与租金收入的对方相关科目进行勾稽核对。</t>
    </r>
  </si>
  <si>
    <r>
      <rPr>
        <b/>
        <sz val="10"/>
        <rFont val="宋体"/>
        <charset val="134"/>
      </rPr>
      <t>承租人</t>
    </r>
  </si>
  <si>
    <r>
      <rPr>
        <b/>
        <sz val="10"/>
        <rFont val="宋体"/>
        <charset val="134"/>
      </rPr>
      <t>租赁期间</t>
    </r>
  </si>
  <si>
    <r>
      <rPr>
        <b/>
        <sz val="10"/>
        <rFont val="宋体"/>
        <charset val="134"/>
      </rPr>
      <t>租赁合同总金额</t>
    </r>
  </si>
  <si>
    <r>
      <rPr>
        <b/>
        <sz val="10"/>
        <rFont val="宋体"/>
        <charset val="134"/>
      </rPr>
      <t xml:space="preserve">租赁面积
</t>
    </r>
  </si>
  <si>
    <r>
      <rPr>
        <b/>
        <sz val="10"/>
        <rFont val="宋体"/>
        <charset val="134"/>
      </rPr>
      <t>租赁月份
①</t>
    </r>
  </si>
  <si>
    <r>
      <rPr>
        <b/>
        <sz val="10"/>
        <rFont val="宋体"/>
        <charset val="134"/>
      </rPr>
      <t>月租金
②</t>
    </r>
  </si>
  <si>
    <r>
      <rPr>
        <b/>
        <sz val="10"/>
        <rFont val="宋体"/>
        <charset val="134"/>
      </rPr>
      <t>应计租金收入
③</t>
    </r>
    <r>
      <rPr>
        <b/>
        <sz val="10"/>
        <rFont val="Arial Narrow"/>
        <charset val="134"/>
      </rPr>
      <t>=</t>
    </r>
    <r>
      <rPr>
        <b/>
        <sz val="10"/>
        <rFont val="宋体"/>
        <charset val="134"/>
      </rPr>
      <t>①</t>
    </r>
    <r>
      <rPr>
        <b/>
        <sz val="10"/>
        <rFont val="Arial Narrow"/>
        <charset val="134"/>
      </rPr>
      <t>×</t>
    </r>
    <r>
      <rPr>
        <b/>
        <sz val="10"/>
        <rFont val="宋体"/>
        <charset val="134"/>
      </rPr>
      <t>②</t>
    </r>
  </si>
  <si>
    <r>
      <rPr>
        <b/>
        <sz val="10"/>
        <rFont val="宋体"/>
        <charset val="134"/>
      </rPr>
      <t>已计租金收入
④</t>
    </r>
  </si>
  <si>
    <r>
      <rPr>
        <b/>
        <sz val="10"/>
        <rFont val="宋体"/>
        <charset val="134"/>
      </rPr>
      <t>差异
⑤</t>
    </r>
    <r>
      <rPr>
        <b/>
        <sz val="10"/>
        <rFont val="Arial Narrow"/>
        <charset val="134"/>
      </rPr>
      <t>=</t>
    </r>
    <r>
      <rPr>
        <b/>
        <sz val="10"/>
        <rFont val="宋体"/>
        <charset val="134"/>
      </rPr>
      <t>④</t>
    </r>
    <r>
      <rPr>
        <b/>
        <sz val="10"/>
        <rFont val="Arial Narrow"/>
        <charset val="134"/>
      </rPr>
      <t>-</t>
    </r>
    <r>
      <rPr>
        <b/>
        <sz val="10"/>
        <rFont val="宋体"/>
        <charset val="134"/>
      </rPr>
      <t>③</t>
    </r>
  </si>
  <si>
    <r>
      <rPr>
        <b/>
        <sz val="10"/>
        <rFont val="宋体"/>
        <charset val="134"/>
      </rPr>
      <t>租赁协议索引号</t>
    </r>
  </si>
  <si>
    <r>
      <rPr>
        <b/>
        <sz val="10"/>
        <rFont val="宋体"/>
        <charset val="134"/>
      </rPr>
      <t>资产负债表日后未折现租赁收款额</t>
    </r>
  </si>
  <si>
    <r>
      <rPr>
        <b/>
        <sz val="10"/>
        <rFont val="宋体"/>
        <charset val="134"/>
      </rPr>
      <t>第</t>
    </r>
    <r>
      <rPr>
        <b/>
        <sz val="10"/>
        <rFont val="Arial Narrow"/>
        <charset val="134"/>
      </rPr>
      <t>1</t>
    </r>
    <r>
      <rPr>
        <b/>
        <sz val="10"/>
        <rFont val="宋体"/>
        <charset val="134"/>
      </rPr>
      <t>年</t>
    </r>
  </si>
  <si>
    <r>
      <rPr>
        <b/>
        <sz val="10"/>
        <rFont val="宋体"/>
        <charset val="134"/>
      </rPr>
      <t>第</t>
    </r>
    <r>
      <rPr>
        <b/>
        <sz val="10"/>
        <rFont val="Arial Narrow"/>
        <charset val="134"/>
      </rPr>
      <t>2</t>
    </r>
    <r>
      <rPr>
        <b/>
        <sz val="10"/>
        <rFont val="宋体"/>
        <charset val="134"/>
      </rPr>
      <t>年</t>
    </r>
  </si>
  <si>
    <r>
      <rPr>
        <b/>
        <sz val="10"/>
        <rFont val="宋体"/>
        <charset val="134"/>
      </rPr>
      <t>第</t>
    </r>
    <r>
      <rPr>
        <b/>
        <sz val="10"/>
        <rFont val="Arial Narrow"/>
        <charset val="134"/>
      </rPr>
      <t>3</t>
    </r>
    <r>
      <rPr>
        <b/>
        <sz val="10"/>
        <rFont val="宋体"/>
        <charset val="134"/>
      </rPr>
      <t>年</t>
    </r>
  </si>
  <si>
    <r>
      <rPr>
        <b/>
        <sz val="10"/>
        <rFont val="宋体"/>
        <charset val="134"/>
      </rPr>
      <t>第</t>
    </r>
    <r>
      <rPr>
        <b/>
        <sz val="10"/>
        <rFont val="Arial Narrow"/>
        <charset val="134"/>
      </rPr>
      <t>4</t>
    </r>
    <r>
      <rPr>
        <b/>
        <sz val="10"/>
        <rFont val="宋体"/>
        <charset val="134"/>
      </rPr>
      <t>年</t>
    </r>
  </si>
  <si>
    <r>
      <rPr>
        <b/>
        <sz val="10"/>
        <rFont val="宋体"/>
        <charset val="134"/>
      </rPr>
      <t>第</t>
    </r>
    <r>
      <rPr>
        <b/>
        <sz val="10"/>
        <rFont val="Arial Narrow"/>
        <charset val="134"/>
      </rPr>
      <t>5</t>
    </r>
    <r>
      <rPr>
        <b/>
        <sz val="10"/>
        <rFont val="宋体"/>
        <charset val="134"/>
      </rPr>
      <t>年</t>
    </r>
  </si>
  <si>
    <r>
      <rPr>
        <sz val="10"/>
        <color rgb="FF0000FF"/>
        <rFont val="Arial Narrow"/>
        <charset val="134"/>
      </rPr>
      <t>1.</t>
    </r>
    <r>
      <rPr>
        <sz val="10"/>
        <color rgb="FF0000FF"/>
        <rFont val="宋体"/>
        <charset val="134"/>
      </rPr>
      <t>租赁收入与其他业务收入的勾稽情况</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</si>
</sst>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3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2]* #,##0.00_);_([$€-2]* \(#,##0.00\);_([$€-2]* &quot;-&quot;??_)"/>
    <numFmt numFmtId="177" formatCode="_-#,##0_-;\(#,##0\);_-\ \ &quot;-&quot;_-;_-@_-"/>
    <numFmt numFmtId="178" formatCode="_-#,##0.00_-;\(#,##0.00\);_-\ \ &quot;-&quot;_-;_-@_-"/>
    <numFmt numFmtId="179" formatCode="mmm/dd/yyyy;_-\ &quot;N/A&quot;_-;_-\ &quot;-&quot;_-"/>
    <numFmt numFmtId="180" formatCode="mmm/yyyy;_-\ &quot;N/A&quot;_-;_-\ &quot;-&quot;_-"/>
    <numFmt numFmtId="181" formatCode="_-#,##0%_-;\(#,##0%\);_-\ &quot;-&quot;_-"/>
    <numFmt numFmtId="182" formatCode="_-#,###,_-;\(#,###,\);_-\ \ &quot;-&quot;_-;_-@_-"/>
    <numFmt numFmtId="183" formatCode="_-#,###.00,_-;\(#,###.00,\);_-\ \ &quot;-&quot;_-;_-@_-"/>
    <numFmt numFmtId="184" formatCode="_-#0&quot;.&quot;0,_-;\(#0&quot;.&quot;0,\);_-\ \ &quot;-&quot;_-;_-@_-"/>
    <numFmt numFmtId="185" formatCode="_-#0&quot;.&quot;0000_-;\(#0&quot;.&quot;0000\);_-\ \ &quot;-&quot;_-;_-@_-"/>
    <numFmt numFmtId="186" formatCode="&quot;$&quot;#,##0_);\(&quot;$&quot;#,##0\)"/>
    <numFmt numFmtId="187" formatCode="_-* #,##0_-;\-* #,##0_-;_-* &quot;-&quot;_-;_-@_-"/>
    <numFmt numFmtId="188" formatCode="_-* #,##0.00_-;\-* #,##0.00_-;_-* &quot;-&quot;??_-;_-@_-"/>
    <numFmt numFmtId="189" formatCode="_-&quot;$&quot;* #,##0_-;\-&quot;$&quot;* #,##0_-;_-&quot;$&quot;* &quot;-&quot;_-;_-@_-"/>
    <numFmt numFmtId="190" formatCode="_-&quot;$&quot;* #,##0.00_-;\-&quot;$&quot;* #,##0.00_-;_-&quot;$&quot;* &quot;-&quot;??_-;_-@_-"/>
    <numFmt numFmtId="191" formatCode="&quot;\&quot;#,##0;[Red]&quot;\&quot;&quot;\&quot;\-#,##0"/>
    <numFmt numFmtId="192" formatCode="&quot;\&quot;#,##0.00;[Red]&quot;\&quot;&quot;\&quot;\-#,##0.00"/>
    <numFmt numFmtId="193" formatCode="&quot;\&quot;#,##0;&quot;\&quot;&quot;\&quot;\-#,##0"/>
    <numFmt numFmtId="194" formatCode="_(* #,##0_);_(* \(#,##0\);_(* &quot;-&quot;_);_(@_)"/>
    <numFmt numFmtId="195" formatCode="_(* #,##0.00_);_(* \(#,##0.00\);_(* &quot;-&quot;??_);_(@_)"/>
    <numFmt numFmtId="196" formatCode="_ * #,##0_ ;_ * \-#,##0_ ;_ * &quot;-&quot;??_ ;_ @_ "/>
    <numFmt numFmtId="197" formatCode="#,##0.00_ "/>
    <numFmt numFmtId="198" formatCode="_ * #,##0.0000_ ;_ * \-#,##0.0000_ ;_ * &quot;-&quot;??_ ;_ @_ "/>
    <numFmt numFmtId="199" formatCode="#,##0.00_);\(#,##0.00\)"/>
    <numFmt numFmtId="200" formatCode="_ \¥* #,##0.00_ ;_ \¥* \-#,##0.00_ ;_ \¥* &quot;-&quot;??_ ;_ @_ "/>
    <numFmt numFmtId="201" formatCode="0.0000%"/>
  </numFmts>
  <fonts count="127">
    <font>
      <sz val="12"/>
      <name val="宋体"/>
      <charset val="134"/>
    </font>
    <font>
      <sz val="12"/>
      <name val="Arial Narrow"/>
      <charset val="134"/>
    </font>
    <font>
      <sz val="14"/>
      <name val="Arial Narrow"/>
      <charset val="134"/>
    </font>
    <font>
      <sz val="10"/>
      <name val="Arial Narrow"/>
      <charset val="134"/>
    </font>
    <font>
      <b/>
      <sz val="10"/>
      <name val="Arial Narrow"/>
      <charset val="134"/>
    </font>
    <font>
      <b/>
      <sz val="12"/>
      <name val="Arial Narrow"/>
      <charset val="134"/>
    </font>
    <font>
      <b/>
      <sz val="14"/>
      <name val="Arial Narrow"/>
      <charset val="134"/>
    </font>
    <font>
      <sz val="10"/>
      <name val="宋体"/>
      <charset val="134"/>
      <scheme val="minor"/>
    </font>
    <font>
      <sz val="10"/>
      <color rgb="FF0000FF"/>
      <name val="Arial Narrow"/>
      <charset val="134"/>
    </font>
    <font>
      <b/>
      <sz val="10"/>
      <color indexed="8"/>
      <name val="Arial Narrow"/>
      <charset val="134"/>
    </font>
    <font>
      <b/>
      <u/>
      <sz val="10"/>
      <color indexed="10"/>
      <name val="Arial Narrow"/>
      <charset val="134"/>
    </font>
    <font>
      <i/>
      <sz val="10"/>
      <color indexed="12"/>
      <name val="Arial Narrow"/>
      <charset val="134"/>
    </font>
    <font>
      <sz val="10"/>
      <color indexed="12"/>
      <name val="Arial Narrow"/>
      <charset val="134"/>
    </font>
    <font>
      <sz val="10"/>
      <color rgb="FFFF0000"/>
      <name val="Arial Narrow"/>
      <charset val="134"/>
    </font>
    <font>
      <sz val="10"/>
      <color indexed="8"/>
      <name val="Arial Narrow"/>
      <charset val="134"/>
    </font>
    <font>
      <b/>
      <sz val="10"/>
      <color rgb="FF0000FF"/>
      <name val="宋体"/>
      <charset val="134"/>
    </font>
    <font>
      <i/>
      <sz val="10"/>
      <color indexed="12"/>
      <name val="宋体"/>
      <charset val="134"/>
    </font>
    <font>
      <b/>
      <sz val="10"/>
      <color rgb="FF0000FF"/>
      <name val="Arial Narrow"/>
      <charset val="134"/>
    </font>
    <font>
      <sz val="10"/>
      <color indexed="48"/>
      <name val="Arial Narrow"/>
      <charset val="134"/>
    </font>
    <font>
      <b/>
      <sz val="14"/>
      <name val="宋体"/>
      <charset val="134"/>
    </font>
    <font>
      <sz val="10"/>
      <color rgb="FF0000FF"/>
      <name val="宋体"/>
      <charset val="134"/>
    </font>
    <font>
      <u/>
      <sz val="10"/>
      <name val="Arial Narrow"/>
      <charset val="134"/>
    </font>
    <font>
      <sz val="10"/>
      <name val="宋体"/>
      <charset val="134"/>
    </font>
    <font>
      <u val="singleAccounting"/>
      <sz val="10"/>
      <color rgb="FF0000FF"/>
      <name val="宋体"/>
      <charset val="134"/>
    </font>
    <font>
      <b/>
      <sz val="10"/>
      <name val="宋体"/>
      <charset val="134"/>
    </font>
    <font>
      <b/>
      <sz val="10"/>
      <color rgb="FFFF0000"/>
      <name val="Arial Narrow"/>
      <charset val="134"/>
    </font>
    <font>
      <b/>
      <sz val="10"/>
      <name val="宋体"/>
      <charset val="134"/>
      <scheme val="minor"/>
    </font>
    <font>
      <sz val="10"/>
      <color rgb="FF0000FF"/>
      <name val="宋体"/>
      <charset val="134"/>
      <scheme val="minor"/>
    </font>
    <font>
      <b/>
      <sz val="10"/>
      <color rgb="FF0000FF"/>
      <name val="宋体"/>
      <charset val="134"/>
      <scheme val="minor"/>
    </font>
    <font>
      <b/>
      <sz val="12"/>
      <color indexed="8"/>
      <name val="Arial Narrow"/>
      <charset val="134"/>
    </font>
    <font>
      <b/>
      <sz val="14"/>
      <color indexed="8"/>
      <name val="Arial Narrow"/>
      <charset val="134"/>
    </font>
    <font>
      <b/>
      <sz val="10"/>
      <color theme="1"/>
      <name val="Arial Narrow"/>
      <charset val="134"/>
    </font>
    <font>
      <sz val="10"/>
      <color rgb="FF0070C0"/>
      <name val="Arial Narrow"/>
      <charset val="134"/>
    </font>
    <font>
      <i/>
      <sz val="10"/>
      <color rgb="FFFF0000"/>
      <name val="Arial Narrow"/>
      <charset val="134"/>
    </font>
    <font>
      <b/>
      <sz val="10"/>
      <color rgb="FFE92841"/>
      <name val="Arial Narrow"/>
      <charset val="134"/>
    </font>
    <font>
      <sz val="10"/>
      <color rgb="FF0000FF"/>
      <name val="宋体"/>
      <charset val="134"/>
      <scheme val="major"/>
    </font>
    <font>
      <sz val="14"/>
      <name val="宋体"/>
      <charset val="134"/>
    </font>
    <font>
      <b/>
      <sz val="12"/>
      <name val="宋体"/>
      <charset val="134"/>
      <scheme val="minor"/>
    </font>
    <font>
      <b/>
      <sz val="14"/>
      <name val="宋体"/>
      <charset val="134"/>
      <scheme val="minor"/>
    </font>
    <font>
      <u/>
      <sz val="12"/>
      <color rgb="FF0000FF"/>
      <name val="宋体"/>
      <charset val="134"/>
    </font>
    <font>
      <b/>
      <sz val="10.5"/>
      <color rgb="FF000000"/>
      <name val="仿宋_GB2312"/>
      <charset val="134"/>
    </font>
    <font>
      <b/>
      <sz val="10.5"/>
      <name val="仿宋_GB2312"/>
      <charset val="134"/>
    </font>
    <font>
      <sz val="10.5"/>
      <color rgb="FF000000"/>
      <name val="仿宋_GB2312"/>
      <charset val="134"/>
    </font>
    <font>
      <sz val="10.5"/>
      <name val="Arial Narrow"/>
      <charset val="134"/>
    </font>
    <font>
      <sz val="10.5"/>
      <name val="仿宋_GB2312"/>
      <charset val="134"/>
    </font>
    <font>
      <sz val="12"/>
      <color rgb="FF0000FF"/>
      <name val="微软雅黑"/>
      <charset val="134"/>
    </font>
    <font>
      <sz val="12"/>
      <color rgb="FF0000FF"/>
      <name val="仿宋_GB2312"/>
      <charset val="134"/>
    </font>
    <font>
      <b/>
      <sz val="10.5"/>
      <name val="Arial Narrow"/>
      <charset val="134"/>
    </font>
    <font>
      <sz val="10"/>
      <color theme="1"/>
      <name val="宋体"/>
      <charset val="134"/>
      <scheme val="minor"/>
    </font>
    <font>
      <sz val="10.5"/>
      <color rgb="FF000000"/>
      <name val="Arial Narrow"/>
      <charset val="134"/>
    </font>
    <font>
      <sz val="10.5"/>
      <color rgb="FFFF0000"/>
      <name val="Arial Narrow"/>
      <charset val="134"/>
    </font>
    <font>
      <sz val="10.5"/>
      <color rgb="FF0000FF"/>
      <name val="仿宋_GB2312"/>
      <charset val="134"/>
    </font>
    <font>
      <b/>
      <sz val="11"/>
      <name val="Arial Narrow"/>
      <charset val="134"/>
    </font>
    <font>
      <i/>
      <sz val="10"/>
      <color rgb="FF403D40"/>
      <name val="宋体"/>
      <charset val="134"/>
    </font>
    <font>
      <i/>
      <sz val="10"/>
      <color rgb="FF403D40"/>
      <name val="宋体"/>
      <charset val="134"/>
    </font>
    <font>
      <b/>
      <sz val="10"/>
      <color indexed="12"/>
      <name val="Arial Narrow"/>
      <charset val="134"/>
    </font>
    <font>
      <b/>
      <sz val="11"/>
      <name val="宋体"/>
      <charset val="134"/>
    </font>
    <font>
      <b/>
      <sz val="10"/>
      <color rgb="FFC00000"/>
      <name val="Arial Narrow"/>
      <charset val="134"/>
    </font>
    <font>
      <sz val="10"/>
      <color theme="1"/>
      <name val="Arial Narrow"/>
      <charset val="134"/>
    </font>
    <font>
      <sz val="9"/>
      <color rgb="FF0000FF"/>
      <name val="Arial Narrow"/>
      <charset val="134"/>
    </font>
    <font>
      <sz val="10"/>
      <color theme="1"/>
      <name val="宋体"/>
      <charset val="134"/>
    </font>
    <font>
      <b/>
      <sz val="9"/>
      <name val="宋体"/>
      <charset val="134"/>
    </font>
    <font>
      <b/>
      <sz val="10"/>
      <color rgb="FFC00000"/>
      <name val="宋体"/>
      <charset val="134"/>
    </font>
    <font>
      <sz val="9"/>
      <name val="宋体"/>
      <charset val="134"/>
    </font>
    <font>
      <b/>
      <sz val="10"/>
      <color rgb="FF000000"/>
      <name val="Arial Narrow"/>
      <charset val="134"/>
    </font>
    <font>
      <sz val="10"/>
      <color rgb="FF000000"/>
      <name val="Arial Narrow"/>
      <charset val="134"/>
    </font>
    <font>
      <sz val="11"/>
      <color theme="1"/>
      <name val="宋体"/>
      <charset val="134"/>
      <scheme val="minor"/>
    </font>
    <font>
      <u/>
      <sz val="12"/>
      <color theme="10"/>
      <name val="宋体"/>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Times New Roman"/>
      <charset val="134"/>
    </font>
    <font>
      <u val="singleAccounting"/>
      <vertAlign val="subscript"/>
      <sz val="10"/>
      <name val="Times New Roman"/>
      <charset val="134"/>
    </font>
    <font>
      <i/>
      <sz val="9"/>
      <name val="Times New Roman"/>
      <charset val="134"/>
    </font>
    <font>
      <sz val="7"/>
      <name val="Helv"/>
      <charset val="134"/>
    </font>
    <font>
      <b/>
      <sz val="10"/>
      <name val="MS Sans Serif"/>
      <charset val="134"/>
    </font>
    <font>
      <sz val="10"/>
      <name val="Arial"/>
      <charset val="134"/>
    </font>
    <font>
      <u/>
      <sz val="7.5"/>
      <color indexed="36"/>
      <name val="Arial"/>
      <charset val="134"/>
    </font>
    <font>
      <sz val="8"/>
      <name val="Arial"/>
      <charset val="134"/>
    </font>
    <font>
      <u/>
      <sz val="7.5"/>
      <color indexed="12"/>
      <name val="Arial"/>
      <charset val="134"/>
    </font>
    <font>
      <sz val="10"/>
      <name val="Courier"/>
      <charset val="134"/>
    </font>
    <font>
      <sz val="12"/>
      <name val="Garamond"/>
      <charset val="134"/>
    </font>
    <font>
      <sz val="7"/>
      <color indexed="10"/>
      <name val="Helv"/>
      <charset val="134"/>
    </font>
    <font>
      <sz val="11"/>
      <color theme="1"/>
      <name val="宋体"/>
      <charset val="134"/>
      <scheme val="minor"/>
    </font>
    <font>
      <sz val="12"/>
      <name val="Times New Roman"/>
      <charset val="134"/>
    </font>
    <font>
      <u/>
      <sz val="12"/>
      <color indexed="12"/>
      <name val="宋体"/>
      <charset val="134"/>
    </font>
    <font>
      <sz val="12"/>
      <name val="楷体"/>
      <charset val="134"/>
    </font>
    <font>
      <sz val="12"/>
      <name val="楷体_GB2312"/>
      <charset val="134"/>
    </font>
    <font>
      <i/>
      <sz val="10"/>
      <color rgb="FF403D40"/>
      <name val="Arial Narrow"/>
      <charset val="134"/>
    </font>
    <font>
      <sz val="10"/>
      <color indexed="12"/>
      <name val="宋体"/>
      <charset val="134"/>
    </font>
    <font>
      <b/>
      <sz val="10"/>
      <color indexed="8"/>
      <name val="宋体"/>
      <charset val="134"/>
    </font>
    <font>
      <sz val="10"/>
      <color indexed="8"/>
      <name val="宋体"/>
      <charset val="134"/>
    </font>
    <font>
      <sz val="10"/>
      <color rgb="FFFF0000"/>
      <name val="宋体"/>
      <charset val="134"/>
    </font>
    <font>
      <sz val="12"/>
      <color rgb="FF0000FF"/>
      <name val="Arial Narrow"/>
      <charset val="134"/>
    </font>
    <font>
      <sz val="12"/>
      <name val="仿宋_GB2312"/>
      <charset val="134"/>
    </font>
    <font>
      <b/>
      <sz val="10"/>
      <color rgb="FF000000"/>
      <name val="宋体"/>
      <charset val="134"/>
    </font>
    <font>
      <b/>
      <sz val="14"/>
      <color indexed="8"/>
      <name val="宋体"/>
      <charset val="134"/>
    </font>
    <font>
      <sz val="10"/>
      <color rgb="FF000000"/>
      <name val="宋体"/>
      <charset val="134"/>
    </font>
    <font>
      <i/>
      <sz val="10"/>
      <color rgb="FFFF0000"/>
      <name val="宋体"/>
      <charset val="134"/>
    </font>
    <font>
      <b/>
      <sz val="12"/>
      <name val="宋体"/>
      <charset val="134"/>
    </font>
    <font>
      <b/>
      <sz val="10.5"/>
      <color rgb="FF000000"/>
      <name val="Arial Narrow"/>
      <charset val="134"/>
    </font>
    <font>
      <sz val="10.5"/>
      <color rgb="FFFF0000"/>
      <name val="仿宋_GB2312"/>
      <charset val="134"/>
    </font>
    <font>
      <sz val="10"/>
      <color indexed="10"/>
      <name val="宋体"/>
      <charset val="134"/>
    </font>
    <font>
      <sz val="10"/>
      <color indexed="10"/>
      <name val="Arial Narrow"/>
      <charset val="134"/>
    </font>
    <font>
      <b/>
      <sz val="12"/>
      <color indexed="8"/>
      <name val="宋体"/>
      <charset val="134"/>
    </font>
    <font>
      <b/>
      <sz val="10"/>
      <color rgb="FFFF0000"/>
      <name val="宋体"/>
      <charset val="134"/>
    </font>
    <font>
      <sz val="9"/>
      <color rgb="FF0000FF"/>
      <name val="宋体"/>
      <charset val="134"/>
    </font>
    <font>
      <sz val="10"/>
      <color indexed="53"/>
      <name val="宋体"/>
      <charset val="134"/>
    </font>
    <font>
      <sz val="10"/>
      <color indexed="53"/>
      <name val="Arial Narrow"/>
      <charset val="134"/>
    </font>
    <font>
      <b/>
      <sz val="10"/>
      <color theme="1"/>
      <name val="宋体"/>
      <charset val="134"/>
    </font>
    <font>
      <b/>
      <sz val="9"/>
      <name val="宋体"/>
      <charset val="134"/>
    </font>
    <font>
      <sz val="9"/>
      <name val="宋体"/>
      <charset val="134"/>
    </font>
  </fonts>
  <fills count="44">
    <fill>
      <patternFill patternType="none"/>
    </fill>
    <fill>
      <patternFill patternType="gray125"/>
    </fill>
    <fill>
      <patternFill patternType="solid">
        <fgColor rgb="FFE4DFEC"/>
        <bgColor indexed="64"/>
      </patternFill>
    </fill>
    <fill>
      <patternFill patternType="solid">
        <fgColor rgb="FFFF0000"/>
        <bgColor indexed="64"/>
      </patternFill>
    </fill>
    <fill>
      <patternFill patternType="solid">
        <fgColor theme="4" tint="0.799981688894314"/>
        <bgColor indexed="64"/>
      </patternFill>
    </fill>
    <fill>
      <patternFill patternType="solid">
        <fgColor rgb="FFE4DFEC"/>
        <bgColor rgb="FFB7DEE8"/>
      </patternFill>
    </fill>
    <fill>
      <patternFill patternType="solid">
        <fgColor rgb="FFFFFFCC"/>
        <bgColor indexed="64"/>
      </patternFill>
    </fill>
    <fill>
      <patternFill patternType="solid">
        <fgColor theme="0" tint="-0.149998474074526"/>
        <bgColor indexed="64"/>
      </patternFill>
    </fill>
    <fill>
      <patternFill patternType="solid">
        <fgColor indexed="14"/>
        <bgColor indexed="64"/>
      </patternFill>
    </fill>
    <fill>
      <patternFill patternType="solid">
        <fgColor theme="0"/>
        <bgColor indexed="64"/>
      </patternFill>
    </fill>
    <fill>
      <patternFill patternType="solid">
        <fgColor theme="0" tint="-0.499984740745262"/>
        <bgColor indexed="64"/>
      </patternFill>
    </fill>
    <fill>
      <patternFill patternType="solid">
        <fgColor theme="6" tint="0.799981688894314"/>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22"/>
        <bgColor indexed="64"/>
      </patternFill>
    </fill>
    <fill>
      <patternFill patternType="solid">
        <fgColor indexed="26"/>
        <bgColor indexed="64"/>
      </patternFill>
    </fill>
  </fills>
  <borders count="26">
    <border>
      <left/>
      <right/>
      <top/>
      <bottom/>
      <diagonal/>
    </border>
    <border>
      <left style="hair">
        <color auto="1"/>
      </left>
      <right style="hair">
        <color auto="1"/>
      </right>
      <top style="hair">
        <color auto="1"/>
      </top>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right/>
      <top style="hair">
        <color auto="1"/>
      </top>
      <bottom/>
      <diagonal/>
    </border>
    <border>
      <left style="hair">
        <color auto="1"/>
      </left>
      <right/>
      <top style="hair">
        <color auto="1"/>
      </top>
      <bottom/>
      <diagonal/>
    </border>
    <border>
      <left/>
      <right style="hair">
        <color auto="1"/>
      </right>
      <top style="hair">
        <color auto="1"/>
      </top>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hair">
        <color auto="1"/>
      </left>
      <right style="hair">
        <color auto="1"/>
      </right>
      <top/>
      <bottom/>
      <diagonal/>
    </border>
    <border>
      <left style="thin">
        <color auto="1"/>
      </left>
      <right style="thin">
        <color auto="1"/>
      </right>
      <top style="thin">
        <color auto="1"/>
      </top>
      <bottom style="thin">
        <color auto="1"/>
      </bottom>
      <diagonal/>
    </border>
    <border>
      <left/>
      <right/>
      <top style="medium">
        <color auto="1"/>
      </top>
      <bottom/>
      <diagonal/>
    </border>
    <border>
      <left/>
      <right/>
      <top/>
      <bottom style="medium">
        <color auto="1"/>
      </bottom>
      <diagonal/>
    </border>
    <border>
      <left/>
      <right/>
      <top style="medium">
        <color auto="1"/>
      </top>
      <bottom style="medium">
        <color auto="1"/>
      </bottom>
      <diagonal/>
    </border>
    <border>
      <left/>
      <right/>
      <top/>
      <bottom style="hair">
        <color auto="1"/>
      </bottom>
      <diagonal/>
    </border>
    <border>
      <left style="hair">
        <color auto="1"/>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s>
  <cellStyleXfs count="108">
    <xf numFmtId="176" fontId="0" fillId="0" borderId="0">
      <protection locked="0"/>
    </xf>
    <xf numFmtId="43" fontId="0" fillId="0" borderId="0" applyFont="0" applyFill="0" applyBorder="0" applyAlignment="0" applyProtection="0"/>
    <xf numFmtId="44" fontId="66" fillId="0" borderId="0" applyFont="0" applyFill="0" applyBorder="0" applyAlignment="0" applyProtection="0">
      <alignment vertical="center"/>
    </xf>
    <xf numFmtId="9" fontId="0" fillId="0" borderId="0" applyFont="0" applyFill="0" applyBorder="0" applyAlignment="0" applyProtection="0"/>
    <xf numFmtId="41" fontId="66" fillId="0" borderId="0" applyFont="0" applyFill="0" applyBorder="0" applyAlignment="0" applyProtection="0">
      <alignment vertical="center"/>
    </xf>
    <xf numFmtId="42" fontId="66" fillId="0" borderId="0" applyFont="0" applyFill="0" applyBorder="0" applyAlignment="0" applyProtection="0">
      <alignment vertical="center"/>
    </xf>
    <xf numFmtId="176" fontId="67" fillId="0" borderId="0" applyNumberFormat="0" applyFill="0" applyBorder="0" applyAlignment="0" applyProtection="0">
      <alignment vertical="top"/>
      <protection locked="0"/>
    </xf>
    <xf numFmtId="0" fontId="68" fillId="0" borderId="0" applyNumberFormat="0" applyFill="0" applyBorder="0" applyAlignment="0" applyProtection="0">
      <alignment vertical="center"/>
    </xf>
    <xf numFmtId="0" fontId="66" fillId="6" borderId="17" applyNumberFormat="0" applyFont="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71" fillId="0" borderId="0" applyNumberFormat="0" applyFill="0" applyBorder="0" applyAlignment="0" applyProtection="0">
      <alignment vertical="center"/>
    </xf>
    <xf numFmtId="0" fontId="72" fillId="0" borderId="18" applyNumberFormat="0" applyFill="0" applyAlignment="0" applyProtection="0">
      <alignment vertical="center"/>
    </xf>
    <xf numFmtId="0" fontId="73" fillId="0" borderId="18" applyNumberFormat="0" applyFill="0" applyAlignment="0" applyProtection="0">
      <alignment vertical="center"/>
    </xf>
    <xf numFmtId="0" fontId="74" fillId="0" borderId="19" applyNumberFormat="0" applyFill="0" applyAlignment="0" applyProtection="0">
      <alignment vertical="center"/>
    </xf>
    <xf numFmtId="0" fontId="74" fillId="0" borderId="0" applyNumberFormat="0" applyFill="0" applyBorder="0" applyAlignment="0" applyProtection="0">
      <alignment vertical="center"/>
    </xf>
    <xf numFmtId="0" fontId="75" fillId="12" borderId="20" applyNumberFormat="0" applyAlignment="0" applyProtection="0">
      <alignment vertical="center"/>
    </xf>
    <xf numFmtId="0" fontId="76" fillId="13" borderId="21" applyNumberFormat="0" applyAlignment="0" applyProtection="0">
      <alignment vertical="center"/>
    </xf>
    <xf numFmtId="0" fontId="77" fillId="13" borderId="20" applyNumberFormat="0" applyAlignment="0" applyProtection="0">
      <alignment vertical="center"/>
    </xf>
    <xf numFmtId="0" fontId="78" fillId="14" borderId="22" applyNumberFormat="0" applyAlignment="0" applyProtection="0">
      <alignment vertical="center"/>
    </xf>
    <xf numFmtId="0" fontId="79" fillId="0" borderId="23" applyNumberFormat="0" applyFill="0" applyAlignment="0" applyProtection="0">
      <alignment vertical="center"/>
    </xf>
    <xf numFmtId="0" fontId="80" fillId="0" borderId="24" applyNumberFormat="0" applyFill="0" applyAlignment="0" applyProtection="0">
      <alignment vertical="center"/>
    </xf>
    <xf numFmtId="0" fontId="81" fillId="15" borderId="0" applyNumberFormat="0" applyBorder="0" applyAlignment="0" applyProtection="0">
      <alignment vertical="center"/>
    </xf>
    <xf numFmtId="0" fontId="82" fillId="16" borderId="0" applyNumberFormat="0" applyBorder="0" applyAlignment="0" applyProtection="0">
      <alignment vertical="center"/>
    </xf>
    <xf numFmtId="0" fontId="83" fillId="17" borderId="0" applyNumberFormat="0" applyBorder="0" applyAlignment="0" applyProtection="0">
      <alignment vertical="center"/>
    </xf>
    <xf numFmtId="0" fontId="84" fillId="18" borderId="0" applyNumberFormat="0" applyBorder="0" applyAlignment="0" applyProtection="0">
      <alignment vertical="center"/>
    </xf>
    <xf numFmtId="0" fontId="85" fillId="19" borderId="0" applyNumberFormat="0" applyBorder="0" applyAlignment="0" applyProtection="0">
      <alignment vertical="center"/>
    </xf>
    <xf numFmtId="0" fontId="85" fillId="20" borderId="0" applyNumberFormat="0" applyBorder="0" applyAlignment="0" applyProtection="0">
      <alignment vertical="center"/>
    </xf>
    <xf numFmtId="0" fontId="84" fillId="21" borderId="0" applyNumberFormat="0" applyBorder="0" applyAlignment="0" applyProtection="0">
      <alignment vertical="center"/>
    </xf>
    <xf numFmtId="0" fontId="84" fillId="22" borderId="0" applyNumberFormat="0" applyBorder="0" applyAlignment="0" applyProtection="0">
      <alignment vertical="center"/>
    </xf>
    <xf numFmtId="0" fontId="85" fillId="23" borderId="0" applyNumberFormat="0" applyBorder="0" applyAlignment="0" applyProtection="0">
      <alignment vertical="center"/>
    </xf>
    <xf numFmtId="0" fontId="85" fillId="24" borderId="0" applyNumberFormat="0" applyBorder="0" applyAlignment="0" applyProtection="0">
      <alignment vertical="center"/>
    </xf>
    <xf numFmtId="0" fontId="84" fillId="25" borderId="0" applyNumberFormat="0" applyBorder="0" applyAlignment="0" applyProtection="0">
      <alignment vertical="center"/>
    </xf>
    <xf numFmtId="0" fontId="84" fillId="26" borderId="0" applyNumberFormat="0" applyBorder="0" applyAlignment="0" applyProtection="0">
      <alignment vertical="center"/>
    </xf>
    <xf numFmtId="0" fontId="85" fillId="27" borderId="0" applyNumberFormat="0" applyBorder="0" applyAlignment="0" applyProtection="0">
      <alignment vertical="center"/>
    </xf>
    <xf numFmtId="0" fontId="85" fillId="28" borderId="0" applyNumberFormat="0" applyBorder="0" applyAlignment="0" applyProtection="0">
      <alignment vertical="center"/>
    </xf>
    <xf numFmtId="0" fontId="84" fillId="29" borderId="0" applyNumberFormat="0" applyBorder="0" applyAlignment="0" applyProtection="0">
      <alignment vertical="center"/>
    </xf>
    <xf numFmtId="0" fontId="84" fillId="30" borderId="0" applyNumberFormat="0" applyBorder="0" applyAlignment="0" applyProtection="0">
      <alignment vertical="center"/>
    </xf>
    <xf numFmtId="0" fontId="85" fillId="31" borderId="0" applyNumberFormat="0" applyBorder="0" applyAlignment="0" applyProtection="0">
      <alignment vertical="center"/>
    </xf>
    <xf numFmtId="0" fontId="85" fillId="32" borderId="0" applyNumberFormat="0" applyBorder="0" applyAlignment="0" applyProtection="0">
      <alignment vertical="center"/>
    </xf>
    <xf numFmtId="0" fontId="84" fillId="33" borderId="0" applyNumberFormat="0" applyBorder="0" applyAlignment="0" applyProtection="0">
      <alignment vertical="center"/>
    </xf>
    <xf numFmtId="0" fontId="84" fillId="34" borderId="0" applyNumberFormat="0" applyBorder="0" applyAlignment="0" applyProtection="0">
      <alignment vertical="center"/>
    </xf>
    <xf numFmtId="0" fontId="85" fillId="35" borderId="0" applyNumberFormat="0" applyBorder="0" applyAlignment="0" applyProtection="0">
      <alignment vertical="center"/>
    </xf>
    <xf numFmtId="0" fontId="85" fillId="36" borderId="0" applyNumberFormat="0" applyBorder="0" applyAlignment="0" applyProtection="0">
      <alignment vertical="center"/>
    </xf>
    <xf numFmtId="0" fontId="84" fillId="37" borderId="0" applyNumberFormat="0" applyBorder="0" applyAlignment="0" applyProtection="0">
      <alignment vertical="center"/>
    </xf>
    <xf numFmtId="0" fontId="84" fillId="38" borderId="0" applyNumberFormat="0" applyBorder="0" applyAlignment="0" applyProtection="0">
      <alignment vertical="center"/>
    </xf>
    <xf numFmtId="0" fontId="85" fillId="39" borderId="0" applyNumberFormat="0" applyBorder="0" applyAlignment="0" applyProtection="0">
      <alignment vertical="center"/>
    </xf>
    <xf numFmtId="0" fontId="85" fillId="40" borderId="0" applyNumberFormat="0" applyBorder="0" applyAlignment="0" applyProtection="0">
      <alignment vertical="center"/>
    </xf>
    <xf numFmtId="0" fontId="84" fillId="41" borderId="0" applyNumberFormat="0" applyBorder="0" applyAlignment="0" applyProtection="0">
      <alignment vertical="center"/>
    </xf>
    <xf numFmtId="49" fontId="86" fillId="0" borderId="0" applyProtection="0">
      <alignment horizontal="left"/>
    </xf>
    <xf numFmtId="177" fontId="86" fillId="0" borderId="0" applyFill="0" applyBorder="0" applyProtection="0">
      <alignment horizontal="right"/>
    </xf>
    <xf numFmtId="178" fontId="86" fillId="0" borderId="0" applyFill="0" applyBorder="0" applyProtection="0">
      <alignment horizontal="right"/>
    </xf>
    <xf numFmtId="179" fontId="87" fillId="0" borderId="0" applyFill="0" applyBorder="0" applyProtection="0">
      <alignment horizontal="center"/>
    </xf>
    <xf numFmtId="180" fontId="87" fillId="0" borderId="0" applyFill="0" applyBorder="0" applyProtection="0">
      <alignment horizontal="center"/>
    </xf>
    <xf numFmtId="181" fontId="88" fillId="0" borderId="0" applyFill="0" applyBorder="0" applyProtection="0">
      <alignment horizontal="right"/>
    </xf>
    <xf numFmtId="182" fontId="86" fillId="0" borderId="0" applyFill="0" applyBorder="0" applyProtection="0">
      <alignment horizontal="right"/>
    </xf>
    <xf numFmtId="183" fontId="86" fillId="0" borderId="0" applyFill="0" applyBorder="0" applyProtection="0">
      <alignment horizontal="right"/>
    </xf>
    <xf numFmtId="184" fontId="86" fillId="0" borderId="0" applyFill="0" applyBorder="0" applyProtection="0">
      <alignment horizontal="right"/>
    </xf>
    <xf numFmtId="185" fontId="86" fillId="0" borderId="0" applyFill="0" applyBorder="0" applyProtection="0">
      <alignment horizontal="right"/>
    </xf>
    <xf numFmtId="3" fontId="89" fillId="0" borderId="0"/>
    <xf numFmtId="186" fontId="90" fillId="0" borderId="25" applyAlignment="0" applyProtection="0"/>
    <xf numFmtId="187" fontId="91" fillId="0" borderId="0" applyFont="0" applyFill="0" applyBorder="0" applyAlignment="0" applyProtection="0"/>
    <xf numFmtId="188" fontId="91" fillId="0" borderId="0" applyFont="0" applyFill="0" applyBorder="0" applyAlignment="0" applyProtection="0"/>
    <xf numFmtId="189" fontId="91" fillId="0" borderId="0" applyFont="0" applyFill="0" applyBorder="0" applyAlignment="0" applyProtection="0"/>
    <xf numFmtId="190" fontId="91" fillId="0" borderId="0" applyFont="0" applyFill="0" applyBorder="0" applyAlignment="0" applyProtection="0"/>
    <xf numFmtId="41" fontId="91" fillId="0" borderId="0" applyFont="0" applyFill="0" applyBorder="0" applyAlignment="0" applyProtection="0"/>
    <xf numFmtId="43" fontId="91" fillId="0" borderId="0" applyFont="0" applyFill="0" applyBorder="0" applyAlignment="0" applyProtection="0"/>
    <xf numFmtId="176" fontId="86" fillId="0" borderId="0" applyFont="0" applyFill="0" applyBorder="0" applyAlignment="0" applyProtection="0"/>
    <xf numFmtId="176" fontId="92" fillId="0" borderId="0" applyNumberFormat="0" applyFill="0" applyBorder="0" applyAlignment="0" applyProtection="0">
      <alignment vertical="top"/>
      <protection locked="0"/>
    </xf>
    <xf numFmtId="38" fontId="93" fillId="42" borderId="0" applyNumberFormat="0" applyBorder="0" applyAlignment="0" applyProtection="0"/>
    <xf numFmtId="176" fontId="94" fillId="0" borderId="0" applyNumberFormat="0" applyFill="0" applyBorder="0" applyAlignment="0" applyProtection="0">
      <alignment vertical="top"/>
      <protection locked="0"/>
    </xf>
    <xf numFmtId="10" fontId="93" fillId="43" borderId="11" applyNumberFormat="0" applyBorder="0" applyAlignment="0" applyProtection="0"/>
    <xf numFmtId="191" fontId="0" fillId="0" borderId="0" applyFont="0" applyFill="0" applyBorder="0" applyAlignment="0" applyProtection="0"/>
    <xf numFmtId="192" fontId="0" fillId="0" borderId="0" applyFont="0" applyFill="0" applyBorder="0" applyAlignment="0" applyProtection="0"/>
    <xf numFmtId="176" fontId="95" fillId="0" borderId="0"/>
    <xf numFmtId="193" fontId="0" fillId="0" borderId="0"/>
    <xf numFmtId="176" fontId="96" fillId="0" borderId="0"/>
    <xf numFmtId="10" fontId="91" fillId="0" borderId="0" applyFont="0" applyFill="0" applyBorder="0" applyAlignment="0" applyProtection="0"/>
    <xf numFmtId="3" fontId="97" fillId="0" borderId="0"/>
    <xf numFmtId="9" fontId="0" fillId="0" borderId="0" applyFont="0" applyFill="0" applyBorder="0" applyAlignment="0" applyProtection="0"/>
    <xf numFmtId="176" fontId="98" fillId="0" borderId="0">
      <alignment vertical="center"/>
    </xf>
    <xf numFmtId="176" fontId="0" fillId="0" borderId="0">
      <protection locked="0"/>
    </xf>
    <xf numFmtId="176" fontId="0" fillId="0" borderId="0">
      <alignment vertical="center"/>
      <protection locked="0"/>
    </xf>
    <xf numFmtId="176" fontId="0" fillId="0" borderId="0">
      <protection locked="0"/>
    </xf>
    <xf numFmtId="176" fontId="0" fillId="0" borderId="0">
      <protection locked="0"/>
    </xf>
    <xf numFmtId="176" fontId="0" fillId="0" borderId="0"/>
    <xf numFmtId="176" fontId="0" fillId="0" borderId="0">
      <alignment vertical="center"/>
      <protection locked="0"/>
    </xf>
    <xf numFmtId="176" fontId="0" fillId="0" borderId="0">
      <alignment vertical="center"/>
      <protection locked="0"/>
    </xf>
    <xf numFmtId="176" fontId="0" fillId="0" borderId="0">
      <protection locked="0"/>
    </xf>
    <xf numFmtId="176" fontId="98" fillId="0" borderId="0">
      <alignment vertical="center"/>
    </xf>
    <xf numFmtId="176" fontId="0" fillId="0" borderId="0">
      <alignment vertical="center"/>
    </xf>
    <xf numFmtId="176" fontId="0" fillId="0" borderId="0">
      <alignment vertical="center"/>
    </xf>
    <xf numFmtId="176" fontId="99" fillId="0" borderId="0"/>
    <xf numFmtId="176" fontId="22" fillId="0" borderId="0"/>
    <xf numFmtId="176" fontId="0" fillId="0" borderId="0"/>
    <xf numFmtId="0" fontId="0" fillId="0" borderId="0">
      <protection locked="0"/>
    </xf>
    <xf numFmtId="176" fontId="0" fillId="0" borderId="0" applyFill="0" applyBorder="0"/>
    <xf numFmtId="176" fontId="0" fillId="0" borderId="0" applyFill="0" applyBorder="0"/>
    <xf numFmtId="176" fontId="0" fillId="0" borderId="0">
      <alignment vertical="center"/>
    </xf>
    <xf numFmtId="176" fontId="0" fillId="0" borderId="0">
      <alignment vertical="center"/>
    </xf>
    <xf numFmtId="176" fontId="100" fillId="0" borderId="0" applyNumberFormat="0" applyFill="0" applyBorder="0" applyAlignment="0" applyProtection="0">
      <alignment vertical="top"/>
      <protection locked="0"/>
    </xf>
    <xf numFmtId="176" fontId="101" fillId="0" borderId="0"/>
    <xf numFmtId="194" fontId="0" fillId="0" borderId="0" applyFont="0" applyFill="0" applyBorder="0" applyAlignment="0" applyProtection="0"/>
    <xf numFmtId="195" fontId="0" fillId="0" borderId="0" applyFont="0" applyFill="0" applyBorder="0" applyAlignment="0" applyProtection="0"/>
    <xf numFmtId="41" fontId="102" fillId="0" borderId="0" applyFont="0" applyFill="0" applyBorder="0" applyAlignment="0" applyProtection="0"/>
    <xf numFmtId="43" fontId="102"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alignment vertical="center"/>
    </xf>
  </cellStyleXfs>
  <cellXfs count="590">
    <xf numFmtId="176" fontId="0" fillId="0" borderId="0" xfId="0">
      <protection locked="0"/>
    </xf>
    <xf numFmtId="176" fontId="1" fillId="0" borderId="0" xfId="90" applyFont="1">
      <alignment vertical="center"/>
    </xf>
    <xf numFmtId="176" fontId="2" fillId="0" borderId="0" xfId="90" applyFont="1">
      <alignment vertical="center"/>
    </xf>
    <xf numFmtId="176" fontId="3" fillId="0" borderId="0" xfId="0" applyFont="1" applyFill="1" applyAlignment="1">
      <alignment vertical="center"/>
      <protection locked="0"/>
    </xf>
    <xf numFmtId="176" fontId="4" fillId="2" borderId="0" xfId="0" applyFont="1" applyFill="1" applyAlignment="1">
      <alignment vertical="center"/>
      <protection locked="0"/>
    </xf>
    <xf numFmtId="176" fontId="4" fillId="0" borderId="0" xfId="0" applyFont="1" applyAlignment="1">
      <alignment vertical="center"/>
      <protection locked="0"/>
    </xf>
    <xf numFmtId="176" fontId="3" fillId="0" borderId="0" xfId="0" applyFont="1" applyAlignment="1">
      <alignment vertical="center"/>
      <protection locked="0"/>
    </xf>
    <xf numFmtId="0" fontId="5" fillId="0" borderId="0" xfId="90" applyNumberFormat="1" applyFont="1" applyAlignment="1">
      <alignment horizontal="center" vertical="center"/>
    </xf>
    <xf numFmtId="176" fontId="5" fillId="0" borderId="0" xfId="90" applyFont="1" applyAlignment="1">
      <alignment horizontal="center" vertical="center"/>
    </xf>
    <xf numFmtId="0" fontId="6" fillId="0" borderId="0" xfId="90" applyNumberFormat="1" applyFont="1" applyAlignment="1">
      <alignment horizontal="center" vertical="center"/>
    </xf>
    <xf numFmtId="176" fontId="6" fillId="0" borderId="0" xfId="90" applyFont="1" applyAlignment="1">
      <alignment horizontal="center" vertical="center"/>
    </xf>
    <xf numFmtId="14" fontId="3" fillId="0" borderId="0" xfId="0" applyNumberFormat="1" applyFont="1" applyAlignment="1">
      <alignment vertical="center"/>
      <protection locked="0"/>
    </xf>
    <xf numFmtId="0" fontId="7" fillId="0" borderId="0" xfId="0" applyNumberFormat="1" applyFont="1" applyAlignment="1">
      <alignment horizontal="right" vertical="center"/>
      <protection locked="0"/>
    </xf>
    <xf numFmtId="176" fontId="8" fillId="0" borderId="0" xfId="6" applyFont="1" applyAlignment="1">
      <alignment vertical="center"/>
      <protection locked="0"/>
    </xf>
    <xf numFmtId="176" fontId="3" fillId="0" borderId="0" xfId="86" applyFont="1" applyAlignment="1">
      <alignment horizontal="left" vertical="center"/>
      <protection locked="0"/>
    </xf>
    <xf numFmtId="176" fontId="9" fillId="0" borderId="0" xfId="81" applyFont="1" applyFill="1" applyAlignment="1" applyProtection="1">
      <alignment vertical="center"/>
    </xf>
    <xf numFmtId="176" fontId="10" fillId="0" borderId="0" xfId="81" applyFont="1" applyFill="1" applyAlignment="1" applyProtection="1">
      <alignment horizontal="center"/>
    </xf>
    <xf numFmtId="176" fontId="3" fillId="0" borderId="0" xfId="98" applyFont="1" applyFill="1">
      <alignment vertical="center"/>
    </xf>
    <xf numFmtId="49" fontId="3" fillId="0" borderId="0" xfId="0" applyNumberFormat="1" applyFont="1" applyFill="1" applyAlignment="1">
      <alignment vertical="center"/>
      <protection locked="0"/>
    </xf>
    <xf numFmtId="176" fontId="3" fillId="0" borderId="0" xfId="0" applyFont="1" applyFill="1" applyAlignment="1">
      <alignment horizontal="right" vertical="center"/>
      <protection locked="0"/>
    </xf>
    <xf numFmtId="176" fontId="4" fillId="0" borderId="0" xfId="81" applyFont="1" applyFill="1" applyAlignment="1" applyProtection="1">
      <alignment horizontal="left" vertical="center"/>
    </xf>
    <xf numFmtId="176" fontId="3" fillId="0" borderId="0" xfId="81" applyFont="1" applyFill="1" applyAlignment="1" applyProtection="1">
      <alignment vertical="center"/>
    </xf>
    <xf numFmtId="176" fontId="4" fillId="2" borderId="1" xfId="0" applyFont="1" applyFill="1" applyBorder="1" applyAlignment="1" applyProtection="1">
      <alignment horizontal="center" vertical="center" wrapText="1"/>
    </xf>
    <xf numFmtId="176" fontId="4" fillId="2" borderId="2" xfId="0" applyFont="1" applyFill="1" applyBorder="1" applyAlignment="1">
      <alignment horizontal="center" vertical="center"/>
      <protection locked="0"/>
    </xf>
    <xf numFmtId="176" fontId="4" fillId="2" borderId="3" xfId="0" applyFont="1" applyFill="1" applyBorder="1" applyAlignment="1" applyProtection="1">
      <alignment horizontal="center" vertical="center" wrapText="1"/>
    </xf>
    <xf numFmtId="176" fontId="4" fillId="2" borderId="2" xfId="0" applyFont="1" applyFill="1" applyBorder="1" applyAlignment="1">
      <alignment horizontal="justify" vertical="center" wrapText="1"/>
      <protection locked="0"/>
    </xf>
    <xf numFmtId="43" fontId="4" fillId="2" borderId="2" xfId="0" applyNumberFormat="1" applyFont="1" applyFill="1" applyBorder="1" applyAlignment="1">
      <alignment horizontal="justify" vertical="center" wrapText="1"/>
      <protection locked="0"/>
    </xf>
    <xf numFmtId="43" fontId="4" fillId="2" borderId="2" xfId="1" applyFont="1" applyFill="1" applyBorder="1" applyAlignment="1" applyProtection="1">
      <alignment horizontal="justify" vertical="center" wrapText="1"/>
      <protection locked="0"/>
    </xf>
    <xf numFmtId="43" fontId="4" fillId="2" borderId="2" xfId="1" applyFont="1" applyFill="1" applyBorder="1" applyAlignment="1" applyProtection="1">
      <alignment vertical="center"/>
      <protection locked="0"/>
    </xf>
    <xf numFmtId="43" fontId="4" fillId="2" borderId="2" xfId="1" applyFont="1" applyFill="1" applyBorder="1" applyAlignment="1" applyProtection="1">
      <alignment horizontal="center" vertical="center"/>
    </xf>
    <xf numFmtId="176" fontId="3" fillId="0" borderId="2" xfId="0" applyFont="1" applyBorder="1" applyAlignment="1">
      <alignment horizontal="justify" vertical="center" wrapText="1"/>
      <protection locked="0"/>
    </xf>
    <xf numFmtId="14" fontId="3" fillId="0" borderId="2" xfId="0" applyNumberFormat="1" applyFont="1" applyBorder="1" applyAlignment="1">
      <alignment horizontal="justify" vertical="center" wrapText="1"/>
      <protection locked="0"/>
    </xf>
    <xf numFmtId="43" fontId="3" fillId="0" borderId="2" xfId="1" applyFont="1" applyBorder="1" applyAlignment="1" applyProtection="1">
      <alignment horizontal="justify" vertical="center" wrapText="1"/>
      <protection locked="0"/>
    </xf>
    <xf numFmtId="43" fontId="3" fillId="0" borderId="2" xfId="0" applyNumberFormat="1" applyFont="1" applyBorder="1" applyAlignment="1">
      <alignment horizontal="justify" vertical="center" wrapText="1"/>
      <protection locked="0"/>
    </xf>
    <xf numFmtId="43" fontId="3" fillId="2" borderId="2" xfId="1" applyFont="1" applyFill="1" applyBorder="1" applyAlignment="1" applyProtection="1">
      <alignment horizontal="justify" vertical="center" wrapText="1"/>
      <protection locked="0"/>
    </xf>
    <xf numFmtId="49" fontId="3" fillId="0" borderId="2" xfId="0" applyNumberFormat="1" applyFont="1" applyBorder="1" applyAlignment="1" applyProtection="1">
      <alignment horizontal="center" vertical="center"/>
    </xf>
    <xf numFmtId="43" fontId="3" fillId="0" borderId="2" xfId="1" applyFont="1" applyBorder="1" applyAlignment="1" applyProtection="1">
      <alignment vertical="center"/>
      <protection locked="0"/>
    </xf>
    <xf numFmtId="43" fontId="3" fillId="2" borderId="2" xfId="1" applyFont="1" applyFill="1" applyBorder="1" applyAlignment="1" applyProtection="1">
      <alignment horizontal="center" vertical="center"/>
    </xf>
    <xf numFmtId="176" fontId="4" fillId="2" borderId="2" xfId="0" applyFont="1" applyFill="1" applyBorder="1" applyAlignment="1" applyProtection="1">
      <alignment horizontal="center" vertical="center"/>
    </xf>
    <xf numFmtId="176" fontId="4" fillId="0" borderId="4" xfId="0" applyFont="1" applyBorder="1" applyAlignment="1">
      <alignment vertical="center"/>
      <protection locked="0"/>
    </xf>
    <xf numFmtId="176" fontId="3" fillId="0" borderId="4" xfId="0" applyFont="1" applyBorder="1" applyAlignment="1">
      <alignment vertical="center"/>
      <protection locked="0"/>
    </xf>
    <xf numFmtId="176" fontId="8" fillId="0" borderId="0" xfId="0" applyFont="1" applyAlignment="1">
      <alignment vertical="center"/>
      <protection locked="0"/>
    </xf>
    <xf numFmtId="176" fontId="11" fillId="0" borderId="0" xfId="0" applyFont="1" applyAlignment="1">
      <alignment vertical="center" wrapText="1"/>
      <protection locked="0"/>
    </xf>
    <xf numFmtId="176" fontId="12" fillId="0" borderId="0" xfId="0" applyFont="1" applyAlignment="1">
      <alignment vertical="center"/>
      <protection locked="0"/>
    </xf>
    <xf numFmtId="176" fontId="1" fillId="0" borderId="0" xfId="0" applyFont="1">
      <protection locked="0"/>
    </xf>
    <xf numFmtId="176" fontId="2" fillId="0" borderId="0" xfId="0" applyFont="1">
      <protection locked="0"/>
    </xf>
    <xf numFmtId="176" fontId="3" fillId="0" borderId="0" xfId="0" applyFont="1" applyFill="1">
      <protection locked="0"/>
    </xf>
    <xf numFmtId="176" fontId="3" fillId="0" borderId="0" xfId="0" applyFont="1">
      <protection locked="0"/>
    </xf>
    <xf numFmtId="0" fontId="5" fillId="0" borderId="0" xfId="0" applyNumberFormat="1" applyFont="1" applyAlignment="1">
      <alignment horizontal="center" vertical="center"/>
      <protection locked="0"/>
    </xf>
    <xf numFmtId="0" fontId="6" fillId="0" borderId="0" xfId="0" applyNumberFormat="1" applyFont="1" applyAlignment="1">
      <alignment horizontal="center" vertical="center"/>
      <protection locked="0"/>
    </xf>
    <xf numFmtId="176" fontId="3" fillId="0" borderId="0" xfId="0" applyNumberFormat="1" applyFont="1" applyAlignment="1">
      <alignment vertical="center"/>
      <protection locked="0"/>
    </xf>
    <xf numFmtId="176" fontId="3" fillId="0" borderId="0" xfId="0" applyNumberFormat="1" applyFont="1" applyAlignment="1">
      <alignment vertical="center" wrapText="1"/>
      <protection locked="0"/>
    </xf>
    <xf numFmtId="176" fontId="9" fillId="0" borderId="0" xfId="81" applyNumberFormat="1" applyFont="1" applyAlignment="1" applyProtection="1">
      <alignment vertical="center"/>
    </xf>
    <xf numFmtId="176" fontId="3" fillId="0" borderId="0" xfId="85" applyNumberFormat="1" applyFont="1" applyAlignment="1">
      <alignment horizontal="left" vertical="center" wrapText="1"/>
    </xf>
    <xf numFmtId="176" fontId="3" fillId="0" borderId="0" xfId="85" applyNumberFormat="1" applyFont="1" applyAlignment="1">
      <alignment horizontal="left" vertical="center"/>
    </xf>
    <xf numFmtId="176" fontId="3" fillId="0" borderId="0" xfId="94" applyNumberFormat="1" applyFont="1" applyAlignment="1" applyProtection="1">
      <alignment vertical="center"/>
      <protection locked="0"/>
    </xf>
    <xf numFmtId="176" fontId="3" fillId="0" borderId="0" xfId="85" applyNumberFormat="1" applyFont="1" applyFill="1" applyAlignment="1">
      <alignment horizontal="left" vertical="center" wrapText="1"/>
    </xf>
    <xf numFmtId="176" fontId="3" fillId="0" borderId="0" xfId="94" applyNumberFormat="1" applyFont="1" applyAlignment="1" applyProtection="1">
      <alignment vertical="center" wrapText="1"/>
      <protection locked="0"/>
    </xf>
    <xf numFmtId="176" fontId="3" fillId="0" borderId="0" xfId="85" applyNumberFormat="1" applyFont="1" applyAlignment="1" applyProtection="1">
      <alignment vertical="center"/>
      <protection locked="0"/>
    </xf>
    <xf numFmtId="176" fontId="13" fillId="0" borderId="0" xfId="0" applyFont="1">
      <protection locked="0"/>
    </xf>
    <xf numFmtId="176" fontId="4" fillId="2" borderId="2" xfId="0" applyNumberFormat="1" applyFont="1" applyFill="1" applyBorder="1" applyAlignment="1" applyProtection="1">
      <alignment horizontal="center" vertical="center" wrapText="1"/>
    </xf>
    <xf numFmtId="176" fontId="4" fillId="2" borderId="2" xfId="93" applyNumberFormat="1" applyFont="1" applyFill="1" applyBorder="1" applyAlignment="1">
      <alignment horizontal="center" vertical="center" wrapText="1"/>
    </xf>
    <xf numFmtId="176" fontId="3" fillId="0" borderId="2" xfId="85" applyNumberFormat="1" applyFont="1" applyBorder="1" applyAlignment="1" applyProtection="1">
      <alignment vertical="center"/>
      <protection locked="0"/>
    </xf>
    <xf numFmtId="176" fontId="3" fillId="0" borderId="2" xfId="85" applyNumberFormat="1" applyFont="1" applyFill="1" applyBorder="1" applyAlignment="1" applyProtection="1">
      <alignment vertical="center"/>
      <protection locked="0"/>
    </xf>
    <xf numFmtId="14" fontId="3" fillId="0" borderId="2" xfId="85" applyNumberFormat="1" applyFont="1" applyBorder="1" applyAlignment="1" applyProtection="1">
      <alignment vertical="center"/>
      <protection locked="0"/>
    </xf>
    <xf numFmtId="176" fontId="3" fillId="0" borderId="2" xfId="85" applyNumberFormat="1" applyFont="1" applyBorder="1" applyAlignment="1" applyProtection="1">
      <alignment horizontal="center" vertical="center"/>
      <protection locked="0"/>
    </xf>
    <xf numFmtId="49" fontId="3" fillId="0" borderId="2" xfId="85" applyNumberFormat="1" applyFont="1" applyBorder="1" applyAlignment="1" applyProtection="1">
      <alignment vertical="center"/>
      <protection locked="0"/>
    </xf>
    <xf numFmtId="176" fontId="8" fillId="0" borderId="0" xfId="85" applyNumberFormat="1" applyFont="1" applyAlignment="1" applyProtection="1">
      <protection locked="0"/>
    </xf>
    <xf numFmtId="176" fontId="8" fillId="0" borderId="0" xfId="0" applyFont="1" applyBorder="1" applyAlignment="1">
      <alignment vertical="center"/>
      <protection locked="0"/>
    </xf>
    <xf numFmtId="176" fontId="3" fillId="0" borderId="0" xfId="85" applyNumberFormat="1" applyFont="1" applyProtection="1">
      <protection locked="0"/>
    </xf>
    <xf numFmtId="176" fontId="3" fillId="0" borderId="0" xfId="94" applyFont="1" applyFill="1" applyAlignment="1" applyProtection="1">
      <alignment vertical="center"/>
      <protection locked="0"/>
    </xf>
    <xf numFmtId="176" fontId="3" fillId="0" borderId="0" xfId="94" applyFont="1" applyAlignment="1" applyProtection="1">
      <alignment vertical="center"/>
      <protection locked="0"/>
    </xf>
    <xf numFmtId="176" fontId="3" fillId="0" borderId="0" xfId="85" applyFont="1" applyFill="1" applyAlignment="1">
      <alignment horizontal="left" vertical="center"/>
    </xf>
    <xf numFmtId="176" fontId="4" fillId="0" borderId="0" xfId="94" applyFont="1" applyFill="1" applyAlignment="1">
      <alignment vertical="center"/>
    </xf>
    <xf numFmtId="176" fontId="9" fillId="0" borderId="0" xfId="81" applyFont="1" applyAlignment="1" applyProtection="1">
      <alignment vertical="center"/>
    </xf>
    <xf numFmtId="176" fontId="4" fillId="0" borderId="0" xfId="94" applyFont="1" applyAlignment="1">
      <alignment vertical="center"/>
    </xf>
    <xf numFmtId="176" fontId="8" fillId="0" borderId="0" xfId="85" applyFont="1" applyAlignment="1">
      <alignment horizontal="left" vertical="center"/>
    </xf>
    <xf numFmtId="176" fontId="4" fillId="2" borderId="2" xfId="0" applyFont="1" applyFill="1" applyBorder="1" applyAlignment="1">
      <alignment horizontal="center" vertical="center" wrapText="1"/>
      <protection locked="0"/>
    </xf>
    <xf numFmtId="176" fontId="4" fillId="2" borderId="1" xfId="0" applyFont="1" applyFill="1" applyBorder="1" applyAlignment="1">
      <alignment horizontal="center" vertical="center" wrapText="1"/>
      <protection locked="0"/>
    </xf>
    <xf numFmtId="176" fontId="4" fillId="2" borderId="5" xfId="85" applyFont="1" applyFill="1" applyBorder="1" applyAlignment="1" applyProtection="1">
      <alignment horizontal="center" vertical="center"/>
      <protection locked="0"/>
    </xf>
    <xf numFmtId="176" fontId="4" fillId="2" borderId="4" xfId="85" applyFont="1" applyFill="1" applyBorder="1" applyAlignment="1" applyProtection="1">
      <alignment horizontal="center" vertical="center"/>
      <protection locked="0"/>
    </xf>
    <xf numFmtId="176" fontId="4" fillId="2" borderId="6" xfId="85" applyFont="1" applyFill="1" applyBorder="1" applyAlignment="1" applyProtection="1">
      <alignment horizontal="center" vertical="center"/>
      <protection locked="0"/>
    </xf>
    <xf numFmtId="176" fontId="4" fillId="2" borderId="3" xfId="0" applyFont="1" applyFill="1" applyBorder="1" applyAlignment="1">
      <alignment horizontal="center" vertical="center" wrapText="1"/>
      <protection locked="0"/>
    </xf>
    <xf numFmtId="176" fontId="4" fillId="2" borderId="2" xfId="85" applyFont="1" applyFill="1" applyBorder="1" applyAlignment="1" applyProtection="1">
      <alignment horizontal="center" vertical="center" wrapText="1"/>
      <protection locked="0"/>
    </xf>
    <xf numFmtId="176" fontId="4" fillId="2" borderId="2" xfId="85" applyFont="1" applyFill="1" applyBorder="1" applyAlignment="1" applyProtection="1">
      <alignment horizontal="center" vertical="center"/>
      <protection locked="0"/>
    </xf>
    <xf numFmtId="0" fontId="14" fillId="0" borderId="2" xfId="0" applyNumberFormat="1" applyFont="1" applyBorder="1" applyAlignment="1">
      <alignment horizontal="center" vertical="center" wrapText="1"/>
      <protection locked="0"/>
    </xf>
    <xf numFmtId="176" fontId="14" fillId="0" borderId="2" xfId="0" applyFont="1" applyBorder="1" applyAlignment="1">
      <alignment horizontal="center" vertical="center" wrapText="1"/>
      <protection locked="0"/>
    </xf>
    <xf numFmtId="49" fontId="14" fillId="0" borderId="2" xfId="0" applyNumberFormat="1" applyFont="1" applyBorder="1" applyAlignment="1">
      <alignment horizontal="center" vertical="center" wrapText="1"/>
      <protection locked="0"/>
    </xf>
    <xf numFmtId="43" fontId="14" fillId="0" borderId="2" xfId="1" applyFont="1" applyBorder="1" applyAlignment="1" applyProtection="1">
      <alignment horizontal="center" vertical="center" wrapText="1"/>
      <protection locked="0"/>
    </xf>
    <xf numFmtId="176" fontId="15" fillId="0" borderId="0" xfId="81" applyFont="1" applyAlignment="1" applyProtection="1">
      <alignment vertical="center"/>
    </xf>
    <xf numFmtId="176" fontId="8" fillId="3" borderId="0" xfId="85" applyFont="1" applyFill="1" applyAlignment="1">
      <alignment horizontal="left" vertical="center"/>
    </xf>
    <xf numFmtId="176" fontId="8" fillId="3" borderId="0" xfId="85" applyFont="1" applyFill="1" applyAlignment="1" applyProtection="1">
      <alignment vertical="center"/>
      <protection locked="0"/>
    </xf>
    <xf numFmtId="176" fontId="3" fillId="0" borderId="0" xfId="0" applyFont="1" applyAlignment="1">
      <alignment horizontal="left" vertical="center"/>
      <protection locked="0"/>
    </xf>
    <xf numFmtId="176" fontId="3" fillId="0" borderId="0" xfId="81" applyFont="1" applyAlignment="1">
      <alignment vertical="center"/>
      <protection locked="0"/>
    </xf>
    <xf numFmtId="176" fontId="3" fillId="0" borderId="0" xfId="84" applyFont="1" applyFill="1">
      <protection locked="0"/>
    </xf>
    <xf numFmtId="176" fontId="4" fillId="0" borderId="0" xfId="81" applyFont="1" applyAlignment="1" applyProtection="1">
      <alignment horizontal="left" vertical="center"/>
    </xf>
    <xf numFmtId="176" fontId="3" fillId="0" borderId="0" xfId="98" applyFont="1">
      <alignment vertical="center"/>
    </xf>
    <xf numFmtId="49" fontId="3" fillId="0" borderId="0" xfId="0" applyNumberFormat="1" applyFont="1" applyAlignment="1">
      <alignment vertical="center"/>
      <protection locked="0"/>
    </xf>
    <xf numFmtId="176" fontId="3" fillId="0" borderId="0" xfId="84" applyFont="1">
      <protection locked="0"/>
    </xf>
    <xf numFmtId="176" fontId="3" fillId="0" borderId="0" xfId="0" applyFont="1" applyAlignment="1">
      <alignment horizontal="right" vertical="center"/>
      <protection locked="0"/>
    </xf>
    <xf numFmtId="176" fontId="4" fillId="2" borderId="2" xfId="0" applyFont="1" applyFill="1" applyBorder="1" applyAlignment="1">
      <alignment horizontal="centerContinuous" vertical="center" wrapText="1"/>
      <protection locked="0"/>
    </xf>
    <xf numFmtId="176" fontId="3" fillId="2" borderId="2" xfId="0" applyFont="1" applyFill="1" applyBorder="1" applyAlignment="1">
      <alignment horizontal="centerContinuous" vertical="center"/>
      <protection locked="0"/>
    </xf>
    <xf numFmtId="176" fontId="3" fillId="0" borderId="2" xfId="0" applyFont="1" applyBorder="1" applyAlignment="1">
      <alignment horizontal="left" vertical="center" wrapText="1"/>
      <protection locked="0"/>
    </xf>
    <xf numFmtId="43" fontId="3" fillId="0" borderId="2" xfId="0" applyNumberFormat="1" applyFont="1" applyBorder="1" applyAlignment="1">
      <alignment horizontal="center" vertical="center" wrapText="1"/>
      <protection locked="0"/>
    </xf>
    <xf numFmtId="43" fontId="3" fillId="2" borderId="2" xfId="0" applyNumberFormat="1" applyFont="1" applyFill="1" applyBorder="1" applyAlignment="1">
      <alignment horizontal="justify" vertical="center" wrapText="1"/>
      <protection locked="0"/>
    </xf>
    <xf numFmtId="176" fontId="3" fillId="0" borderId="2" xfId="0" applyFont="1" applyBorder="1" applyAlignment="1">
      <alignment horizontal="center" vertical="center" wrapText="1"/>
      <protection locked="0"/>
    </xf>
    <xf numFmtId="43" fontId="3" fillId="2" borderId="2" xfId="0" applyNumberFormat="1" applyFont="1" applyFill="1" applyBorder="1" applyAlignment="1">
      <alignment horizontal="center" vertical="center" wrapText="1"/>
      <protection locked="0"/>
    </xf>
    <xf numFmtId="176" fontId="3" fillId="2" borderId="2" xfId="0" applyFont="1" applyFill="1" applyBorder="1" applyAlignment="1">
      <alignment horizontal="center" vertical="center" wrapText="1"/>
      <protection locked="0"/>
    </xf>
    <xf numFmtId="176" fontId="4" fillId="0" borderId="7" xfId="0" applyFont="1" applyBorder="1" applyAlignment="1">
      <alignment horizontal="left" vertical="center"/>
      <protection locked="0"/>
    </xf>
    <xf numFmtId="176" fontId="3" fillId="0" borderId="8" xfId="0" applyFont="1" applyBorder="1" applyAlignment="1">
      <alignment horizontal="left" vertical="center"/>
      <protection locked="0"/>
    </xf>
    <xf numFmtId="176" fontId="3" fillId="0" borderId="9" xfId="0" applyFont="1" applyBorder="1" applyAlignment="1">
      <alignment horizontal="left" vertical="center"/>
      <protection locked="0"/>
    </xf>
    <xf numFmtId="43" fontId="3" fillId="2" borderId="2" xfId="0" applyNumberFormat="1" applyFont="1" applyFill="1" applyBorder="1" applyAlignment="1">
      <alignment vertical="center"/>
      <protection locked="0"/>
    </xf>
    <xf numFmtId="9" fontId="3" fillId="0" borderId="2" xfId="79" applyFont="1" applyBorder="1" applyAlignment="1" applyProtection="1">
      <alignment horizontal="center" vertical="center" wrapText="1"/>
      <protection locked="0"/>
    </xf>
    <xf numFmtId="176" fontId="3" fillId="0" borderId="2" xfId="0" applyFont="1" applyBorder="1" applyAlignment="1">
      <alignment vertical="center"/>
      <protection locked="0"/>
    </xf>
    <xf numFmtId="10" fontId="3" fillId="0" borderId="2" xfId="79" applyNumberFormat="1" applyFont="1" applyBorder="1" applyAlignment="1" applyProtection="1">
      <alignment vertical="center"/>
      <protection locked="0"/>
    </xf>
    <xf numFmtId="43" fontId="3" fillId="0" borderId="2" xfId="0" applyNumberFormat="1" applyFont="1" applyBorder="1" applyAlignment="1">
      <alignment vertical="center"/>
      <protection locked="0"/>
    </xf>
    <xf numFmtId="43" fontId="4" fillId="0" borderId="2" xfId="0" applyNumberFormat="1" applyFont="1" applyBorder="1" applyAlignment="1">
      <alignment horizontal="center" vertical="center" wrapText="1"/>
      <protection locked="0"/>
    </xf>
    <xf numFmtId="176" fontId="12" fillId="0" borderId="2" xfId="0" applyFont="1" applyBorder="1" applyAlignment="1">
      <alignment vertical="center"/>
      <protection locked="0"/>
    </xf>
    <xf numFmtId="10" fontId="3" fillId="0" borderId="2" xfId="79" applyNumberFormat="1" applyFont="1" applyFill="1" applyBorder="1" applyAlignment="1" applyProtection="1">
      <alignment horizontal="center" vertical="center" wrapText="1"/>
      <protection locked="0"/>
    </xf>
    <xf numFmtId="10" fontId="3" fillId="0" borderId="2" xfId="79" applyNumberFormat="1" applyFont="1" applyFill="1" applyBorder="1" applyAlignment="1" applyProtection="1">
      <alignment vertical="center"/>
      <protection locked="0"/>
    </xf>
    <xf numFmtId="176" fontId="4" fillId="2" borderId="2" xfId="0" applyFont="1" applyFill="1" applyBorder="1" applyAlignment="1">
      <alignment horizontal="centerContinuous" vertical="center"/>
      <protection locked="0"/>
    </xf>
    <xf numFmtId="9" fontId="3" fillId="0" borderId="2" xfId="0" applyNumberFormat="1" applyFont="1" applyBorder="1" applyAlignment="1">
      <alignment horizontal="center" vertical="center" wrapText="1"/>
      <protection locked="0"/>
    </xf>
    <xf numFmtId="10" fontId="3" fillId="0" borderId="2" xfId="79" applyNumberFormat="1" applyFont="1" applyBorder="1" applyAlignment="1" applyProtection="1">
      <alignment horizontal="center" vertical="center" wrapText="1"/>
      <protection locked="0"/>
    </xf>
    <xf numFmtId="176" fontId="3" fillId="0" borderId="2" xfId="0" applyFont="1" applyBorder="1" applyAlignment="1">
      <alignment horizontal="center" vertical="center"/>
      <protection locked="0"/>
    </xf>
    <xf numFmtId="176" fontId="4" fillId="0" borderId="0" xfId="0" applyFont="1" applyAlignment="1">
      <alignment horizontal="right" vertical="center"/>
      <protection locked="0"/>
    </xf>
    <xf numFmtId="43" fontId="4" fillId="4" borderId="0" xfId="0" applyNumberFormat="1" applyFont="1" applyFill="1" applyAlignment="1">
      <alignment horizontal="left" vertical="center"/>
      <protection locked="0"/>
    </xf>
    <xf numFmtId="176" fontId="4" fillId="0" borderId="0" xfId="0" applyFont="1" applyAlignment="1">
      <alignment horizontal="left" vertical="center"/>
      <protection locked="0"/>
    </xf>
    <xf numFmtId="43" fontId="4" fillId="0" borderId="0" xfId="0" applyNumberFormat="1" applyFont="1" applyAlignment="1">
      <alignment horizontal="left" vertical="center"/>
      <protection locked="0"/>
    </xf>
    <xf numFmtId="176" fontId="16" fillId="0" borderId="0" xfId="0" applyFont="1" applyAlignment="1">
      <alignment horizontal="left" vertical="center"/>
      <protection locked="0"/>
    </xf>
    <xf numFmtId="176" fontId="12" fillId="0" borderId="0" xfId="0" applyFont="1" applyAlignment="1">
      <alignment horizontal="left" vertical="center"/>
      <protection locked="0"/>
    </xf>
    <xf numFmtId="176" fontId="17" fillId="0" borderId="0" xfId="81" applyFont="1" applyAlignment="1" applyProtection="1">
      <alignment horizontal="left" vertical="center"/>
    </xf>
    <xf numFmtId="176" fontId="8" fillId="3" borderId="0" xfId="81" applyFont="1" applyFill="1" applyAlignment="1" applyProtection="1">
      <alignment vertical="center"/>
    </xf>
    <xf numFmtId="176" fontId="18" fillId="2" borderId="0" xfId="0" applyFont="1" applyFill="1" applyAlignment="1">
      <alignment vertical="center"/>
      <protection locked="0"/>
    </xf>
    <xf numFmtId="176" fontId="3" fillId="2" borderId="0" xfId="0" applyFont="1" applyFill="1" applyAlignment="1">
      <alignment vertical="center"/>
      <protection locked="0"/>
    </xf>
    <xf numFmtId="176" fontId="4" fillId="2" borderId="7" xfId="0" applyFont="1" applyFill="1" applyBorder="1" applyAlignment="1">
      <alignment horizontal="center" vertical="center" wrapText="1"/>
      <protection locked="0"/>
    </xf>
    <xf numFmtId="176" fontId="4" fillId="2" borderId="8" xfId="0" applyFont="1" applyFill="1" applyBorder="1" applyAlignment="1">
      <alignment horizontal="center" vertical="center" wrapText="1"/>
      <protection locked="0"/>
    </xf>
    <xf numFmtId="176" fontId="4" fillId="2" borderId="9" xfId="0" applyFont="1" applyFill="1" applyBorder="1" applyAlignment="1">
      <alignment horizontal="center" vertical="center" wrapText="1"/>
      <protection locked="0"/>
    </xf>
    <xf numFmtId="176" fontId="4" fillId="2" borderId="10" xfId="0" applyFont="1" applyFill="1" applyBorder="1" applyAlignment="1">
      <alignment horizontal="center" vertical="center" wrapText="1"/>
      <protection locked="0"/>
    </xf>
    <xf numFmtId="176" fontId="3" fillId="0" borderId="2" xfId="0" applyFont="1" applyBorder="1" applyAlignment="1">
      <alignment vertical="center" wrapText="1"/>
      <protection locked="0"/>
    </xf>
    <xf numFmtId="43" fontId="14" fillId="0" borderId="2" xfId="1" applyFont="1" applyFill="1" applyBorder="1" applyAlignment="1">
      <alignment horizontal="center" vertical="center"/>
    </xf>
    <xf numFmtId="196" fontId="3" fillId="2" borderId="2" xfId="1" applyNumberFormat="1" applyFont="1" applyFill="1" applyBorder="1" applyAlignment="1">
      <alignment vertical="center"/>
    </xf>
    <xf numFmtId="196" fontId="3" fillId="0" borderId="2" xfId="1" applyNumberFormat="1" applyFont="1" applyFill="1" applyBorder="1" applyAlignment="1">
      <alignment vertical="center"/>
    </xf>
    <xf numFmtId="49" fontId="3" fillId="0" borderId="2" xfId="0" applyNumberFormat="1" applyFont="1" applyBorder="1" applyAlignment="1">
      <alignment horizontal="justify" vertical="center" wrapText="1"/>
      <protection locked="0"/>
    </xf>
    <xf numFmtId="176" fontId="15" fillId="0" borderId="0" xfId="81" applyFont="1" applyAlignment="1" applyProtection="1">
      <alignment horizontal="left" vertical="center"/>
    </xf>
    <xf numFmtId="176" fontId="1" fillId="0" borderId="0" xfId="90" applyFont="1" applyAlignment="1">
      <alignment vertical="center" wrapText="1"/>
    </xf>
    <xf numFmtId="176" fontId="2" fillId="0" borderId="0" xfId="90" applyFont="1" applyAlignment="1">
      <alignment vertical="center" wrapText="1"/>
    </xf>
    <xf numFmtId="176" fontId="3" fillId="0" borderId="0" xfId="94" applyFont="1" applyFill="1" applyAlignment="1" applyProtection="1">
      <alignment vertical="center" wrapText="1"/>
      <protection locked="0"/>
    </xf>
    <xf numFmtId="176" fontId="3" fillId="0" borderId="0" xfId="0" applyFont="1" applyFill="1" applyAlignment="1">
      <alignment vertical="center" wrapText="1"/>
      <protection locked="0"/>
    </xf>
    <xf numFmtId="176" fontId="3" fillId="0" borderId="0" xfId="0" applyFont="1" applyAlignment="1">
      <alignment vertical="center" wrapText="1"/>
      <protection locked="0"/>
    </xf>
    <xf numFmtId="0" fontId="5" fillId="0" borderId="0" xfId="90" applyNumberFormat="1" applyFont="1" applyAlignment="1">
      <alignment horizontal="center" vertical="center" wrapText="1"/>
    </xf>
    <xf numFmtId="176" fontId="5" fillId="0" borderId="0" xfId="90" applyFont="1" applyAlignment="1">
      <alignment horizontal="center" vertical="center" wrapText="1"/>
    </xf>
    <xf numFmtId="0" fontId="19" fillId="0" borderId="0" xfId="90" applyNumberFormat="1" applyFont="1" applyFill="1" applyAlignment="1">
      <alignment horizontal="center" vertical="center" wrapText="1"/>
    </xf>
    <xf numFmtId="0" fontId="6" fillId="0" borderId="0" xfId="90" applyNumberFormat="1" applyFont="1" applyFill="1" applyAlignment="1">
      <alignment horizontal="center" vertical="center" wrapText="1"/>
    </xf>
    <xf numFmtId="176" fontId="6" fillId="0" borderId="0" xfId="90" applyFont="1" applyFill="1" applyAlignment="1">
      <alignment horizontal="center" vertical="center" wrapText="1"/>
    </xf>
    <xf numFmtId="14" fontId="3" fillId="0" borderId="0" xfId="0" applyNumberFormat="1" applyFont="1" applyAlignment="1">
      <alignment vertical="center" wrapText="1"/>
      <protection locked="0"/>
    </xf>
    <xf numFmtId="176" fontId="4" fillId="0" borderId="0" xfId="94" applyFont="1" applyFill="1" applyAlignment="1">
      <alignment vertical="center" wrapText="1"/>
    </xf>
    <xf numFmtId="176" fontId="3" fillId="0" borderId="0" xfId="94" applyFont="1" applyFill="1" applyAlignment="1">
      <alignment vertical="center"/>
    </xf>
    <xf numFmtId="176" fontId="4" fillId="0" borderId="0" xfId="94" applyFont="1" applyFill="1" applyAlignment="1">
      <alignment horizontal="left" vertical="center" wrapText="1"/>
    </xf>
    <xf numFmtId="176" fontId="3" fillId="0" borderId="0" xfId="94" applyFont="1" applyFill="1" applyAlignment="1">
      <alignment horizontal="left" vertical="center"/>
    </xf>
    <xf numFmtId="176" fontId="20" fillId="0" borderId="0" xfId="94" applyFont="1" applyFill="1" applyAlignment="1">
      <alignment horizontal="left" vertical="center"/>
    </xf>
    <xf numFmtId="176" fontId="8" fillId="0" borderId="0" xfId="94" applyFont="1" applyFill="1" applyAlignment="1">
      <alignment horizontal="left" vertical="center"/>
    </xf>
    <xf numFmtId="176" fontId="20" fillId="0" borderId="0" xfId="94" applyFont="1" applyAlignment="1">
      <alignment horizontal="left" vertical="center"/>
    </xf>
    <xf numFmtId="176" fontId="12" fillId="0" borderId="0" xfId="94" applyFont="1" applyFill="1" applyAlignment="1" applyProtection="1">
      <alignment vertical="center"/>
      <protection hidden="1"/>
    </xf>
    <xf numFmtId="176" fontId="3" fillId="0" borderId="0" xfId="94" applyFont="1" applyFill="1" applyAlignment="1" applyProtection="1">
      <alignment vertical="center"/>
      <protection hidden="1"/>
    </xf>
    <xf numFmtId="176" fontId="12" fillId="0" borderId="0" xfId="94" applyFont="1" applyFill="1" applyAlignment="1" applyProtection="1">
      <alignment vertical="center"/>
      <protection locked="0"/>
    </xf>
    <xf numFmtId="176" fontId="21" fillId="0" borderId="0" xfId="0" applyFont="1" applyFill="1" applyAlignment="1">
      <alignment vertical="center"/>
      <protection locked="0"/>
    </xf>
    <xf numFmtId="176" fontId="22" fillId="0" borderId="0" xfId="0" applyFont="1" applyFill="1" applyAlignment="1">
      <alignment vertical="center"/>
      <protection locked="0"/>
    </xf>
    <xf numFmtId="176" fontId="23" fillId="0" borderId="0" xfId="0" applyFont="1" applyFill="1" applyAlignment="1">
      <alignment vertical="center"/>
      <protection locked="0"/>
    </xf>
    <xf numFmtId="176" fontId="3" fillId="0" borderId="0" xfId="81" applyFont="1" applyFill="1" applyAlignment="1">
      <alignment vertical="center"/>
      <protection locked="0"/>
    </xf>
    <xf numFmtId="176" fontId="4" fillId="2" borderId="7" xfId="81" applyFont="1" applyFill="1" applyBorder="1" applyAlignment="1">
      <alignment horizontal="center" vertical="center" wrapText="1"/>
      <protection locked="0"/>
    </xf>
    <xf numFmtId="176" fontId="4" fillId="2" borderId="9" xfId="81" applyFont="1" applyFill="1" applyBorder="1" applyAlignment="1">
      <alignment horizontal="center" vertical="center" wrapText="1"/>
      <protection locked="0"/>
    </xf>
    <xf numFmtId="176" fontId="4" fillId="2" borderId="1" xfId="81" applyFont="1" applyFill="1" applyBorder="1" applyAlignment="1">
      <alignment horizontal="center" vertical="center" wrapText="1"/>
      <protection locked="0"/>
    </xf>
    <xf numFmtId="176" fontId="4" fillId="2" borderId="2" xfId="81" applyFont="1" applyFill="1" applyBorder="1" applyAlignment="1">
      <alignment horizontal="center" vertical="center" wrapText="1"/>
      <protection locked="0"/>
    </xf>
    <xf numFmtId="176" fontId="4" fillId="2" borderId="3" xfId="81" applyFont="1" applyFill="1" applyBorder="1" applyAlignment="1">
      <alignment horizontal="center" vertical="center" wrapText="1"/>
      <protection locked="0"/>
    </xf>
    <xf numFmtId="176" fontId="3" fillId="0" borderId="2" xfId="0" applyFont="1" applyBorder="1" applyAlignment="1">
      <alignment vertical="center" shrinkToFit="1"/>
      <protection locked="0"/>
    </xf>
    <xf numFmtId="49" fontId="3" fillId="0" borderId="2" xfId="0" applyNumberFormat="1" applyFont="1" applyBorder="1" applyAlignment="1">
      <alignment horizontal="center" vertical="center" shrinkToFit="1"/>
      <protection locked="0"/>
    </xf>
    <xf numFmtId="43" fontId="3" fillId="0" borderId="2" xfId="1" applyFont="1" applyBorder="1" applyAlignment="1" applyProtection="1">
      <alignment horizontal="center" vertical="center" shrinkToFit="1"/>
      <protection locked="0"/>
    </xf>
    <xf numFmtId="176" fontId="3" fillId="0" borderId="2" xfId="0" applyFont="1" applyBorder="1" applyAlignment="1">
      <alignment horizontal="center" vertical="center" shrinkToFit="1"/>
      <protection locked="0"/>
    </xf>
    <xf numFmtId="197" fontId="3" fillId="0" borderId="2" xfId="0" applyNumberFormat="1" applyFont="1" applyBorder="1" applyAlignment="1">
      <alignment vertical="center"/>
      <protection locked="0"/>
    </xf>
    <xf numFmtId="43" fontId="3" fillId="2" borderId="2" xfId="1" applyFont="1" applyFill="1" applyBorder="1" applyAlignment="1" applyProtection="1">
      <alignment vertical="center"/>
      <protection locked="0"/>
    </xf>
    <xf numFmtId="176" fontId="3" fillId="0" borderId="2" xfId="81" applyFont="1" applyBorder="1" applyAlignment="1">
      <alignment vertical="center"/>
      <protection locked="0"/>
    </xf>
    <xf numFmtId="176" fontId="4" fillId="2" borderId="2" xfId="81" applyFont="1" applyFill="1" applyBorder="1" applyAlignment="1">
      <alignment horizontal="centerContinuous" vertical="center"/>
      <protection locked="0"/>
    </xf>
    <xf numFmtId="43" fontId="4" fillId="2" borderId="2" xfId="1" applyFont="1" applyFill="1" applyBorder="1" applyAlignment="1" applyProtection="1">
      <alignment horizontal="centerContinuous" vertical="center"/>
      <protection locked="0"/>
    </xf>
    <xf numFmtId="176" fontId="4" fillId="2" borderId="2" xfId="81" applyFont="1" applyFill="1" applyBorder="1" applyAlignment="1">
      <alignment vertical="center"/>
      <protection locked="0"/>
    </xf>
    <xf numFmtId="176" fontId="4" fillId="2" borderId="7" xfId="0" applyFont="1" applyFill="1" applyBorder="1" applyAlignment="1">
      <alignment horizontal="center" vertical="center" shrinkToFit="1"/>
      <protection locked="0"/>
    </xf>
    <xf numFmtId="176" fontId="4" fillId="2" borderId="8" xfId="0" applyFont="1" applyFill="1" applyBorder="1" applyAlignment="1">
      <alignment horizontal="center" vertical="center" shrinkToFit="1"/>
      <protection locked="0"/>
    </xf>
    <xf numFmtId="176" fontId="4" fillId="2" borderId="9" xfId="0" applyFont="1" applyFill="1" applyBorder="1" applyAlignment="1">
      <alignment horizontal="center" vertical="center" shrinkToFit="1"/>
      <protection locked="0"/>
    </xf>
    <xf numFmtId="10" fontId="3" fillId="2" borderId="2" xfId="3" applyNumberFormat="1" applyFont="1" applyFill="1" applyBorder="1" applyAlignment="1">
      <alignment vertical="center"/>
    </xf>
    <xf numFmtId="176" fontId="3" fillId="0" borderId="4" xfId="0" applyFont="1" applyBorder="1" applyAlignment="1">
      <alignment vertical="center" shrinkToFit="1"/>
      <protection locked="0"/>
    </xf>
    <xf numFmtId="176" fontId="3" fillId="0" borderId="4" xfId="0" applyFont="1" applyBorder="1" applyAlignment="1">
      <alignment horizontal="center" vertical="center" shrinkToFit="1"/>
      <protection locked="0"/>
    </xf>
    <xf numFmtId="197" fontId="3" fillId="0" borderId="4" xfId="0" applyNumberFormat="1" applyFont="1" applyBorder="1" applyAlignment="1">
      <alignment vertical="center"/>
      <protection locked="0"/>
    </xf>
    <xf numFmtId="176" fontId="4" fillId="0" borderId="0" xfId="0" applyFont="1" applyBorder="1" applyAlignment="1">
      <alignment vertical="center"/>
      <protection locked="0"/>
    </xf>
    <xf numFmtId="176" fontId="3" fillId="0" borderId="0" xfId="0" applyFont="1" applyBorder="1" applyAlignment="1">
      <alignment vertical="center"/>
      <protection locked="0"/>
    </xf>
    <xf numFmtId="176" fontId="16" fillId="0" borderId="0" xfId="0" applyFont="1" applyAlignment="1">
      <alignment vertical="center" wrapText="1"/>
      <protection locked="0"/>
    </xf>
    <xf numFmtId="176" fontId="12" fillId="0" borderId="0" xfId="0" applyFont="1" applyAlignment="1">
      <alignment vertical="center" wrapText="1"/>
      <protection locked="0"/>
    </xf>
    <xf numFmtId="176" fontId="13" fillId="0" borderId="0" xfId="0" applyFont="1" applyAlignment="1">
      <alignment horizontal="left" vertical="center"/>
      <protection locked="0"/>
    </xf>
    <xf numFmtId="176" fontId="3" fillId="0" borderId="0" xfId="81" applyFont="1" applyAlignment="1" applyProtection="1">
      <alignment vertical="center"/>
    </xf>
    <xf numFmtId="49" fontId="3" fillId="0" borderId="2" xfId="0" applyNumberFormat="1" applyFont="1" applyFill="1" applyBorder="1" applyAlignment="1">
      <alignment horizontal="justify" vertical="center" wrapText="1"/>
      <protection locked="0"/>
    </xf>
    <xf numFmtId="43" fontId="3" fillId="0" borderId="2" xfId="1" applyFont="1" applyFill="1" applyBorder="1" applyAlignment="1">
      <alignment vertical="center"/>
    </xf>
    <xf numFmtId="198" fontId="3" fillId="2" borderId="2" xfId="1" applyNumberFormat="1" applyFont="1" applyFill="1" applyBorder="1" applyAlignment="1">
      <alignment vertical="center"/>
    </xf>
    <xf numFmtId="43" fontId="3" fillId="2" borderId="2" xfId="1" applyFont="1" applyFill="1" applyBorder="1" applyAlignment="1">
      <alignment vertical="center"/>
    </xf>
    <xf numFmtId="49" fontId="3" fillId="0" borderId="2" xfId="0" applyNumberFormat="1" applyFont="1" applyBorder="1" applyAlignment="1">
      <alignment horizontal="center" vertical="center"/>
      <protection locked="0"/>
    </xf>
    <xf numFmtId="49" fontId="3" fillId="0" borderId="2" xfId="1" applyNumberFormat="1" applyFont="1" applyFill="1" applyBorder="1" applyAlignment="1">
      <alignment vertical="center"/>
    </xf>
    <xf numFmtId="43" fontId="3" fillId="0" borderId="2" xfId="0" applyNumberFormat="1" applyFont="1" applyFill="1" applyBorder="1" applyAlignment="1">
      <alignment horizontal="justify" vertical="center" wrapText="1"/>
      <protection locked="0"/>
    </xf>
    <xf numFmtId="176" fontId="8" fillId="0" borderId="0" xfId="0" applyFont="1" applyAlignment="1" applyProtection="1">
      <alignment vertical="center"/>
    </xf>
    <xf numFmtId="176" fontId="3" fillId="0" borderId="0" xfId="1" applyNumberFormat="1" applyFont="1" applyAlignment="1">
      <alignment vertical="center"/>
    </xf>
    <xf numFmtId="43" fontId="22" fillId="0" borderId="0" xfId="1" applyFont="1" applyAlignment="1">
      <alignment horizontal="center" vertical="center" wrapText="1"/>
    </xf>
    <xf numFmtId="43" fontId="3" fillId="0" borderId="0" xfId="1" applyFont="1" applyAlignment="1">
      <alignment vertical="center"/>
    </xf>
    <xf numFmtId="0" fontId="3" fillId="0" borderId="0" xfId="0" applyNumberFormat="1" applyFont="1" applyAlignment="1">
      <alignment vertical="center"/>
      <protection locked="0"/>
    </xf>
    <xf numFmtId="0" fontId="3" fillId="0" borderId="0" xfId="84" applyNumberFormat="1" applyFont="1" applyFill="1">
      <protection locked="0"/>
    </xf>
    <xf numFmtId="0" fontId="3" fillId="0" borderId="0" xfId="84" applyNumberFormat="1" applyFont="1">
      <protection locked="0"/>
    </xf>
    <xf numFmtId="176" fontId="3" fillId="2" borderId="11" xfId="1" applyNumberFormat="1" applyFont="1" applyFill="1" applyBorder="1" applyAlignment="1">
      <alignment horizontal="center" vertical="center"/>
    </xf>
    <xf numFmtId="14" fontId="3" fillId="0" borderId="11" xfId="1" applyNumberFormat="1" applyFont="1" applyFill="1" applyBorder="1" applyAlignment="1">
      <alignment vertical="center" shrinkToFit="1"/>
    </xf>
    <xf numFmtId="176" fontId="3" fillId="2" borderId="11" xfId="1" applyNumberFormat="1" applyFont="1" applyFill="1" applyBorder="1" applyAlignment="1">
      <alignment horizontal="center" vertical="center" shrinkToFit="1"/>
    </xf>
    <xf numFmtId="176" fontId="12" fillId="0" borderId="0" xfId="1" applyNumberFormat="1" applyFont="1" applyAlignment="1">
      <alignment vertical="center"/>
    </xf>
    <xf numFmtId="9" fontId="3" fillId="0" borderId="0" xfId="3" applyFont="1" applyAlignment="1">
      <alignment vertical="center"/>
    </xf>
    <xf numFmtId="0" fontId="3" fillId="0" borderId="0" xfId="1" applyNumberFormat="1" applyFont="1" applyAlignment="1">
      <alignment vertical="center"/>
    </xf>
    <xf numFmtId="43" fontId="24" fillId="2" borderId="3" xfId="1" applyFont="1" applyFill="1" applyBorder="1" applyAlignment="1">
      <alignment horizontal="center" vertical="center" wrapText="1"/>
    </xf>
    <xf numFmtId="43" fontId="24" fillId="2" borderId="2" xfId="1" applyFont="1" applyFill="1" applyBorder="1" applyAlignment="1">
      <alignment horizontal="center" vertical="center" wrapText="1"/>
    </xf>
    <xf numFmtId="14" fontId="24" fillId="2" borderId="2" xfId="1" applyNumberFormat="1" applyFont="1" applyFill="1" applyBorder="1" applyAlignment="1">
      <alignment horizontal="center" vertical="center" wrapText="1"/>
    </xf>
    <xf numFmtId="9" fontId="24" fillId="2" borderId="2" xfId="3" applyFont="1" applyFill="1" applyBorder="1" applyAlignment="1">
      <alignment horizontal="center" vertical="center" wrapText="1"/>
    </xf>
    <xf numFmtId="0" fontId="24" fillId="2" borderId="2" xfId="1" applyNumberFormat="1" applyFont="1" applyFill="1" applyBorder="1" applyAlignment="1">
      <alignment horizontal="center" vertical="center" wrapText="1"/>
    </xf>
    <xf numFmtId="43" fontId="3" fillId="0" borderId="2" xfId="1" applyFont="1" applyBorder="1" applyAlignment="1">
      <alignment vertical="center"/>
    </xf>
    <xf numFmtId="14" fontId="3" fillId="0" borderId="2" xfId="1" applyNumberFormat="1" applyFont="1" applyBorder="1" applyAlignment="1">
      <alignment horizontal="center" vertical="center"/>
    </xf>
    <xf numFmtId="43" fontId="3" fillId="0" borderId="2" xfId="1" applyFont="1" applyBorder="1" applyAlignment="1">
      <alignment horizontal="center" vertical="center"/>
    </xf>
    <xf numFmtId="9" fontId="3" fillId="0" borderId="2" xfId="3" applyFont="1" applyBorder="1" applyAlignment="1">
      <alignment horizontal="center" vertical="center"/>
    </xf>
    <xf numFmtId="0" fontId="3" fillId="2" borderId="2" xfId="1" applyNumberFormat="1" applyFont="1" applyFill="1" applyBorder="1" applyAlignment="1">
      <alignment horizontal="center" vertical="center"/>
    </xf>
    <xf numFmtId="14" fontId="3" fillId="2" borderId="2" xfId="1" applyNumberFormat="1" applyFont="1" applyFill="1" applyBorder="1" applyAlignment="1">
      <alignment vertical="center"/>
    </xf>
    <xf numFmtId="14" fontId="4" fillId="2" borderId="2" xfId="1" applyNumberFormat="1" applyFont="1" applyFill="1" applyBorder="1" applyAlignment="1">
      <alignment vertical="center"/>
    </xf>
    <xf numFmtId="43" fontId="4" fillId="2" borderId="2" xfId="1" applyFont="1" applyFill="1" applyBorder="1" applyAlignment="1">
      <alignment vertical="center"/>
    </xf>
    <xf numFmtId="176" fontId="3" fillId="2" borderId="2" xfId="0" applyFont="1" applyFill="1" applyBorder="1" applyAlignment="1">
      <alignment vertical="center"/>
      <protection locked="0"/>
    </xf>
    <xf numFmtId="0" fontId="3" fillId="2" borderId="2" xfId="0" applyNumberFormat="1" applyFont="1" applyFill="1" applyBorder="1" applyAlignment="1">
      <alignment vertical="center"/>
      <protection locked="0"/>
    </xf>
    <xf numFmtId="0" fontId="3" fillId="0" borderId="4" xfId="0" applyNumberFormat="1" applyFont="1" applyBorder="1" applyAlignment="1">
      <alignment vertical="center"/>
      <protection locked="0"/>
    </xf>
    <xf numFmtId="176" fontId="8" fillId="3" borderId="0" xfId="81" applyFont="1" applyFill="1" applyAlignment="1" applyProtection="1">
      <alignment horizontal="left" vertical="center"/>
    </xf>
    <xf numFmtId="43" fontId="3" fillId="2" borderId="2" xfId="1" applyFont="1" applyFill="1" applyBorder="1" applyAlignment="1">
      <alignment horizontal="center" vertical="center" shrinkToFit="1"/>
    </xf>
    <xf numFmtId="43" fontId="3" fillId="2" borderId="2" xfId="1" applyFont="1" applyFill="1" applyBorder="1" applyAlignment="1">
      <alignment vertical="center" shrinkToFit="1"/>
    </xf>
    <xf numFmtId="176" fontId="3" fillId="2" borderId="2" xfId="0" applyFont="1" applyFill="1" applyBorder="1" applyAlignment="1">
      <alignment horizontal="center" vertical="center"/>
      <protection locked="0"/>
    </xf>
    <xf numFmtId="176" fontId="3" fillId="2" borderId="0" xfId="0" applyFont="1" applyFill="1" applyAlignment="1">
      <alignment horizontal="center" vertical="center" wrapText="1"/>
      <protection locked="0"/>
    </xf>
    <xf numFmtId="10" fontId="3" fillId="0" borderId="2" xfId="3" applyNumberFormat="1" applyFont="1" applyBorder="1" applyAlignment="1" applyProtection="1">
      <alignment horizontal="center" vertical="center" wrapText="1"/>
      <protection locked="0"/>
    </xf>
    <xf numFmtId="176" fontId="8" fillId="3" borderId="0" xfId="0" applyFont="1" applyFill="1" applyAlignment="1" applyProtection="1">
      <alignment vertical="center"/>
    </xf>
    <xf numFmtId="176" fontId="5" fillId="0" borderId="0" xfId="81" applyFont="1" applyAlignment="1">
      <alignment vertical="center"/>
      <protection locked="0"/>
    </xf>
    <xf numFmtId="176" fontId="6" fillId="0" borderId="0" xfId="81" applyFont="1" applyAlignment="1">
      <alignment vertical="center"/>
      <protection locked="0"/>
    </xf>
    <xf numFmtId="176" fontId="3" fillId="2" borderId="0" xfId="81" applyFont="1" applyFill="1" applyAlignment="1">
      <alignment vertical="center"/>
      <protection locked="0"/>
    </xf>
    <xf numFmtId="176" fontId="4" fillId="0" borderId="0" xfId="81" applyFont="1" applyAlignment="1">
      <alignment vertical="center"/>
      <protection locked="0"/>
    </xf>
    <xf numFmtId="0" fontId="5" fillId="0" borderId="0" xfId="81" applyNumberFormat="1" applyFont="1" applyAlignment="1">
      <alignment horizontal="center" vertical="center"/>
      <protection locked="0"/>
    </xf>
    <xf numFmtId="176" fontId="5" fillId="0" borderId="0" xfId="81" applyFont="1" applyAlignment="1">
      <alignment horizontal="center" vertical="center"/>
      <protection locked="0"/>
    </xf>
    <xf numFmtId="0" fontId="6" fillId="0" borderId="0" xfId="81" applyNumberFormat="1" applyFont="1" applyAlignment="1">
      <alignment horizontal="center" vertical="center"/>
      <protection locked="0"/>
    </xf>
    <xf numFmtId="176" fontId="6" fillId="0" borderId="0" xfId="81" applyFont="1" applyAlignment="1">
      <alignment horizontal="center" vertical="center"/>
      <protection locked="0"/>
    </xf>
    <xf numFmtId="176" fontId="3" fillId="0" borderId="0" xfId="81" applyFont="1" applyAlignment="1">
      <alignment horizontal="left" vertical="center"/>
      <protection locked="0"/>
    </xf>
    <xf numFmtId="176" fontId="4" fillId="0" borderId="0" xfId="94" applyFont="1" applyFill="1" applyAlignment="1">
      <alignment horizontal="left" vertical="center"/>
    </xf>
    <xf numFmtId="176" fontId="22" fillId="0" borderId="0" xfId="94" applyFont="1" applyFill="1" applyAlignment="1">
      <alignment horizontal="left" vertical="center"/>
    </xf>
    <xf numFmtId="176" fontId="0" fillId="0" borderId="0" xfId="0" applyFill="1">
      <protection locked="0"/>
    </xf>
    <xf numFmtId="176" fontId="12" fillId="0" borderId="0" xfId="94" applyFont="1" applyFill="1" applyAlignment="1" applyProtection="1">
      <alignment horizontal="center" vertical="center"/>
      <protection hidden="1"/>
    </xf>
    <xf numFmtId="176" fontId="22" fillId="0" borderId="0" xfId="94" applyFont="1" applyFill="1" applyBorder="1" applyAlignment="1">
      <alignment vertical="center"/>
    </xf>
    <xf numFmtId="176" fontId="12" fillId="0" borderId="0" xfId="94" applyFont="1" applyFill="1" applyAlignment="1" applyProtection="1">
      <alignment horizontal="left" vertical="center"/>
      <protection locked="0"/>
    </xf>
    <xf numFmtId="176" fontId="13" fillId="0" borderId="0" xfId="0" applyFont="1" applyFill="1" applyBorder="1" applyAlignment="1">
      <alignment horizontal="left" vertical="center"/>
      <protection locked="0"/>
    </xf>
    <xf numFmtId="176" fontId="12" fillId="0" borderId="0" xfId="94" applyFont="1" applyAlignment="1" applyProtection="1">
      <alignment horizontal="center" vertical="center"/>
      <protection hidden="1"/>
    </xf>
    <xf numFmtId="176" fontId="12" fillId="0" borderId="0" xfId="94" applyFont="1" applyAlignment="1" applyProtection="1">
      <alignment horizontal="left" vertical="center"/>
      <protection locked="0"/>
    </xf>
    <xf numFmtId="176" fontId="4" fillId="2" borderId="2" xfId="81" applyFont="1" applyFill="1" applyBorder="1" applyAlignment="1">
      <alignment horizontal="center" vertical="center"/>
      <protection locked="0"/>
    </xf>
    <xf numFmtId="176" fontId="24" fillId="2" borderId="2" xfId="82" applyFont="1" applyFill="1" applyBorder="1" applyAlignment="1">
      <alignment horizontal="center" vertical="center" wrapText="1"/>
      <protection locked="0"/>
    </xf>
    <xf numFmtId="176" fontId="4" fillId="2" borderId="7" xfId="0" applyFont="1" applyFill="1" applyBorder="1" applyAlignment="1">
      <alignment horizontal="center" vertical="center"/>
      <protection locked="0"/>
    </xf>
    <xf numFmtId="176" fontId="4" fillId="2" borderId="8" xfId="0" applyFont="1" applyFill="1" applyBorder="1" applyAlignment="1">
      <alignment horizontal="center" vertical="center"/>
      <protection locked="0"/>
    </xf>
    <xf numFmtId="176" fontId="24" fillId="5" borderId="2" xfId="81" applyFont="1" applyFill="1" applyBorder="1" applyAlignment="1" applyProtection="1">
      <alignment horizontal="center" vertical="center" wrapText="1"/>
    </xf>
    <xf numFmtId="176" fontId="24" fillId="5" borderId="1" xfId="81" applyFont="1" applyFill="1" applyBorder="1" applyAlignment="1" applyProtection="1">
      <alignment horizontal="center" vertical="center" wrapText="1"/>
    </xf>
    <xf numFmtId="176" fontId="24" fillId="2" borderId="2" xfId="82" applyFont="1" applyFill="1" applyBorder="1" applyAlignment="1">
      <alignment horizontal="center" vertical="center"/>
      <protection locked="0"/>
    </xf>
    <xf numFmtId="176" fontId="4" fillId="2" borderId="2" xfId="82" applyFont="1" applyFill="1" applyBorder="1" applyAlignment="1">
      <alignment horizontal="center" vertical="center" wrapText="1"/>
      <protection locked="0"/>
    </xf>
    <xf numFmtId="0" fontId="4" fillId="2" borderId="2" xfId="0" applyNumberFormat="1" applyFont="1" applyFill="1" applyBorder="1" applyAlignment="1">
      <alignment horizontal="center" vertical="center"/>
      <protection locked="0"/>
    </xf>
    <xf numFmtId="176" fontId="24" fillId="5" borderId="3" xfId="81" applyFont="1" applyFill="1" applyBorder="1" applyAlignment="1" applyProtection="1">
      <alignment horizontal="center" vertical="center" wrapText="1"/>
    </xf>
    <xf numFmtId="176" fontId="4" fillId="2" borderId="2" xfId="82" applyFont="1" applyFill="1" applyBorder="1" applyAlignment="1">
      <alignment horizontal="center" vertical="center"/>
      <protection locked="0"/>
    </xf>
    <xf numFmtId="176" fontId="8" fillId="2" borderId="0" xfId="0" applyFont="1" applyFill="1" applyAlignment="1">
      <alignment horizontal="left"/>
      <protection locked="0"/>
    </xf>
    <xf numFmtId="176" fontId="3" fillId="0" borderId="2" xfId="0" applyFont="1" applyBorder="1" applyAlignment="1">
      <alignment horizontal="left" vertical="center"/>
      <protection locked="0"/>
    </xf>
    <xf numFmtId="176" fontId="3" fillId="0" borderId="2" xfId="81" applyFont="1" applyBorder="1" applyAlignment="1">
      <alignment vertical="center" wrapText="1"/>
      <protection locked="0"/>
    </xf>
    <xf numFmtId="14" fontId="3" fillId="0" borderId="2" xfId="81" applyNumberFormat="1" applyFont="1" applyBorder="1" applyAlignment="1">
      <alignment horizontal="center" vertical="center" wrapText="1"/>
      <protection locked="0"/>
    </xf>
    <xf numFmtId="43" fontId="3" fillId="0" borderId="2" xfId="0" applyNumberFormat="1" applyFont="1" applyFill="1" applyBorder="1" applyAlignment="1">
      <alignment horizontal="justify" vertical="center"/>
      <protection locked="0"/>
    </xf>
    <xf numFmtId="49" fontId="3" fillId="0" borderId="2" xfId="81" applyNumberFormat="1" applyFont="1" applyBorder="1" applyAlignment="1">
      <alignment vertical="center" wrapText="1"/>
      <protection locked="0"/>
    </xf>
    <xf numFmtId="43" fontId="3" fillId="0" borderId="2" xfId="1" applyFont="1" applyBorder="1" applyAlignment="1" applyProtection="1">
      <alignment horizontal="left" vertical="center"/>
      <protection locked="0"/>
    </xf>
    <xf numFmtId="43" fontId="14" fillId="2" borderId="2" xfId="1" applyFont="1" applyFill="1" applyBorder="1" applyAlignment="1">
      <alignment horizontal="right" vertical="center"/>
    </xf>
    <xf numFmtId="49" fontId="13" fillId="0" borderId="2" xfId="83" applyNumberFormat="1" applyFont="1" applyBorder="1" applyAlignment="1">
      <alignment horizontal="left" vertical="center"/>
      <protection locked="0"/>
    </xf>
    <xf numFmtId="49" fontId="3" fillId="0" borderId="2" xfId="83" applyNumberFormat="1" applyFont="1" applyBorder="1" applyAlignment="1">
      <alignment horizontal="center" vertical="center"/>
      <protection locked="0"/>
    </xf>
    <xf numFmtId="49" fontId="3" fillId="0" borderId="2" xfId="83" applyNumberFormat="1" applyFont="1" applyBorder="1" applyAlignment="1">
      <alignment vertical="center"/>
      <protection locked="0"/>
    </xf>
    <xf numFmtId="49" fontId="4" fillId="2" borderId="2" xfId="0" applyNumberFormat="1" applyFont="1" applyFill="1" applyBorder="1" applyAlignment="1">
      <alignment horizontal="center" vertical="center"/>
      <protection locked="0"/>
    </xf>
    <xf numFmtId="176" fontId="4" fillId="2" borderId="2" xfId="81" applyFont="1" applyFill="1" applyBorder="1" applyAlignment="1">
      <alignment vertical="center" wrapText="1"/>
      <protection locked="0"/>
    </xf>
    <xf numFmtId="43" fontId="9" fillId="2" borderId="2" xfId="1" applyFont="1" applyFill="1" applyBorder="1" applyAlignment="1">
      <alignment horizontal="right" vertical="center"/>
    </xf>
    <xf numFmtId="10" fontId="25" fillId="2" borderId="2" xfId="3" applyNumberFormat="1" applyFont="1" applyFill="1" applyBorder="1" applyAlignment="1">
      <alignment horizontal="right" vertical="center" wrapText="1"/>
    </xf>
    <xf numFmtId="176" fontId="3" fillId="2" borderId="2" xfId="81" applyFont="1" applyFill="1" applyBorder="1" applyAlignment="1">
      <alignment vertical="center" wrapText="1"/>
      <protection locked="0"/>
    </xf>
    <xf numFmtId="49" fontId="24" fillId="2" borderId="2" xfId="0" applyNumberFormat="1" applyFont="1" applyFill="1" applyBorder="1" applyAlignment="1">
      <alignment horizontal="center" vertical="center"/>
      <protection locked="0"/>
    </xf>
    <xf numFmtId="176" fontId="4" fillId="0" borderId="0" xfId="94" applyFont="1" applyBorder="1" applyAlignment="1">
      <alignment vertical="center"/>
    </xf>
    <xf numFmtId="176" fontId="3" fillId="0" borderId="0" xfId="81" applyFont="1" applyBorder="1" applyAlignment="1">
      <alignment vertical="center"/>
      <protection locked="0"/>
    </xf>
    <xf numFmtId="176" fontId="26" fillId="0" borderId="0" xfId="81" applyFont="1" applyBorder="1" applyAlignment="1">
      <alignment vertical="center"/>
      <protection locked="0"/>
    </xf>
    <xf numFmtId="176" fontId="7" fillId="0" borderId="0" xfId="81" applyFont="1" applyBorder="1" applyAlignment="1">
      <alignment horizontal="center" vertical="center"/>
      <protection locked="0"/>
    </xf>
    <xf numFmtId="176" fontId="26" fillId="0" borderId="0" xfId="81" applyFont="1" applyBorder="1" applyAlignment="1">
      <alignment horizontal="left" vertical="center"/>
      <protection locked="0"/>
    </xf>
    <xf numFmtId="176" fontId="3" fillId="0" borderId="0" xfId="81" applyFont="1" applyBorder="1" applyAlignment="1">
      <alignment horizontal="center" vertical="center"/>
      <protection locked="0"/>
    </xf>
    <xf numFmtId="176" fontId="3" fillId="0" borderId="0" xfId="81" applyFont="1" applyBorder="1" applyAlignment="1">
      <alignment horizontal="left" vertical="center"/>
      <protection locked="0"/>
    </xf>
    <xf numFmtId="176" fontId="13" fillId="0" borderId="0" xfId="81" applyFont="1" applyBorder="1" applyAlignment="1">
      <alignment vertical="center"/>
      <protection locked="0"/>
    </xf>
    <xf numFmtId="176" fontId="8" fillId="0" borderId="0" xfId="81" applyFont="1" applyAlignment="1">
      <alignment horizontal="left" vertical="center"/>
      <protection locked="0"/>
    </xf>
    <xf numFmtId="176" fontId="8" fillId="0" borderId="0" xfId="81" applyFont="1" applyAlignment="1">
      <alignment horizontal="center" vertical="center"/>
      <protection locked="0"/>
    </xf>
    <xf numFmtId="0" fontId="27" fillId="0" borderId="0" xfId="81" applyNumberFormat="1" applyFont="1" applyAlignment="1">
      <alignment horizontal="left" vertical="center"/>
      <protection locked="0"/>
    </xf>
    <xf numFmtId="176" fontId="3" fillId="0" borderId="0" xfId="81" applyFont="1" applyAlignment="1">
      <alignment horizontal="center" vertical="center"/>
      <protection locked="0"/>
    </xf>
    <xf numFmtId="0" fontId="19" fillId="0" borderId="0" xfId="81" applyNumberFormat="1" applyFont="1" applyAlignment="1">
      <alignment horizontal="center" vertical="center"/>
      <protection locked="0"/>
    </xf>
    <xf numFmtId="43" fontId="3" fillId="0" borderId="0" xfId="1" applyFont="1" applyFill="1" applyAlignment="1" applyProtection="1">
      <alignment vertical="center"/>
      <protection locked="0"/>
    </xf>
    <xf numFmtId="176" fontId="17" fillId="2" borderId="0" xfId="0" applyFont="1" applyFill="1" applyAlignment="1">
      <alignment horizontal="left"/>
      <protection locked="0"/>
    </xf>
    <xf numFmtId="14" fontId="3" fillId="0" borderId="2" xfId="81" applyNumberFormat="1" applyFont="1" applyBorder="1" applyAlignment="1">
      <alignment vertical="center" wrapText="1"/>
      <protection locked="0"/>
    </xf>
    <xf numFmtId="43" fontId="3" fillId="2" borderId="2" xfId="1" applyFont="1" applyFill="1" applyBorder="1" applyAlignment="1" applyProtection="1">
      <alignment horizontal="left" vertical="center"/>
      <protection locked="0"/>
    </xf>
    <xf numFmtId="43" fontId="4" fillId="2" borderId="2" xfId="1" applyFont="1" applyFill="1" applyBorder="1" applyAlignment="1">
      <alignment horizontal="right" vertical="center"/>
    </xf>
    <xf numFmtId="176" fontId="3" fillId="2" borderId="2" xfId="81" applyFont="1" applyFill="1" applyBorder="1" applyAlignment="1">
      <alignment horizontal="left" vertical="center"/>
      <protection locked="0"/>
    </xf>
    <xf numFmtId="10" fontId="3" fillId="2" borderId="2" xfId="3" applyNumberFormat="1" applyFont="1" applyFill="1" applyBorder="1" applyAlignment="1">
      <alignment horizontal="right" vertical="center" wrapText="1"/>
    </xf>
    <xf numFmtId="176" fontId="7" fillId="0" borderId="0" xfId="81" applyFont="1" applyBorder="1" applyAlignment="1">
      <alignment vertical="center"/>
      <protection locked="0"/>
    </xf>
    <xf numFmtId="176" fontId="27" fillId="0" borderId="0" xfId="81" applyFont="1" applyAlignment="1">
      <alignment vertical="center"/>
      <protection locked="0"/>
    </xf>
    <xf numFmtId="176" fontId="28" fillId="0" borderId="0" xfId="81" applyFont="1" applyAlignment="1">
      <alignment vertical="center"/>
      <protection locked="0"/>
    </xf>
    <xf numFmtId="176" fontId="4" fillId="0" borderId="0" xfId="81" applyFont="1" applyAlignment="1">
      <alignment horizontal="left" vertical="center"/>
      <protection locked="0"/>
    </xf>
    <xf numFmtId="176" fontId="16" fillId="0" borderId="0" xfId="81" applyFont="1" applyAlignment="1">
      <alignment vertical="center"/>
      <protection locked="0"/>
    </xf>
    <xf numFmtId="176" fontId="12" fillId="0" borderId="0" xfId="81" applyFont="1" applyAlignment="1">
      <alignment vertical="center"/>
      <protection locked="0"/>
    </xf>
    <xf numFmtId="176" fontId="8" fillId="0" borderId="0" xfId="81" applyFont="1" applyAlignment="1">
      <alignment horizontal="left"/>
      <protection locked="0"/>
    </xf>
    <xf numFmtId="176" fontId="17" fillId="0" borderId="0" xfId="81" applyFont="1" applyAlignment="1">
      <alignment horizontal="left"/>
      <protection locked="0"/>
    </xf>
    <xf numFmtId="176" fontId="12" fillId="0" borderId="0" xfId="81" applyFont="1">
      <protection locked="0"/>
    </xf>
    <xf numFmtId="176" fontId="29" fillId="0" borderId="0" xfId="0" applyFont="1" applyAlignment="1" applyProtection="1">
      <alignment vertical="center"/>
    </xf>
    <xf numFmtId="176" fontId="30" fillId="0" borderId="0" xfId="0" applyFont="1" applyAlignment="1" applyProtection="1">
      <alignment vertical="center"/>
    </xf>
    <xf numFmtId="176" fontId="9" fillId="0" borderId="0" xfId="0" applyFont="1" applyAlignment="1" applyProtection="1">
      <alignment vertical="center"/>
    </xf>
    <xf numFmtId="49" fontId="14" fillId="0" borderId="0" xfId="0" applyNumberFormat="1" applyFont="1" applyAlignment="1" applyProtection="1">
      <alignment vertical="center"/>
    </xf>
    <xf numFmtId="176" fontId="14" fillId="0" borderId="0" xfId="0" applyFont="1" applyAlignment="1" applyProtection="1">
      <alignment vertical="center"/>
    </xf>
    <xf numFmtId="0" fontId="29" fillId="0" borderId="0" xfId="0" applyNumberFormat="1" applyFont="1" applyAlignment="1" applyProtection="1">
      <alignment horizontal="center" vertical="center"/>
    </xf>
    <xf numFmtId="176" fontId="29" fillId="0" borderId="0" xfId="0" applyFont="1" applyAlignment="1" applyProtection="1">
      <alignment horizontal="center" vertical="center"/>
    </xf>
    <xf numFmtId="0" fontId="30" fillId="0" borderId="0" xfId="0" applyNumberFormat="1" applyFont="1" applyAlignment="1" applyProtection="1">
      <alignment horizontal="center" vertical="center"/>
    </xf>
    <xf numFmtId="176" fontId="30" fillId="0" borderId="0" xfId="0" applyFont="1" applyAlignment="1" applyProtection="1">
      <alignment horizontal="center" vertical="center"/>
    </xf>
    <xf numFmtId="14" fontId="14" fillId="0" borderId="0" xfId="0" applyNumberFormat="1" applyFont="1" applyAlignment="1" applyProtection="1">
      <alignment vertical="center"/>
    </xf>
    <xf numFmtId="49" fontId="9" fillId="0" borderId="0" xfId="81" applyNumberFormat="1" applyFont="1" applyFill="1" applyAlignment="1" applyProtection="1">
      <alignment vertical="center"/>
    </xf>
    <xf numFmtId="176" fontId="3" fillId="0" borderId="0" xfId="81" applyFont="1" applyFill="1" applyAlignment="1">
      <alignment horizontal="right" vertical="center"/>
      <protection locked="0"/>
    </xf>
    <xf numFmtId="176" fontId="3" fillId="0" borderId="0" xfId="81" applyFont="1" applyFill="1" applyAlignment="1">
      <alignment horizontal="justify" vertical="center" wrapText="1"/>
      <protection locked="0"/>
    </xf>
    <xf numFmtId="49" fontId="14" fillId="0" borderId="0" xfId="81" applyNumberFormat="1" applyFont="1" applyFill="1" applyAlignment="1" applyProtection="1">
      <alignment vertical="center"/>
    </xf>
    <xf numFmtId="49" fontId="14" fillId="0" borderId="0" xfId="81" applyNumberFormat="1" applyFont="1" applyFill="1" applyAlignment="1" applyProtection="1">
      <alignment horizontal="left" vertical="center" wrapText="1"/>
    </xf>
    <xf numFmtId="49" fontId="14" fillId="0" borderId="0" xfId="81" applyNumberFormat="1" applyFont="1" applyFill="1" applyAlignment="1" applyProtection="1">
      <alignment horizontal="left" vertical="center"/>
    </xf>
    <xf numFmtId="49" fontId="9" fillId="0" borderId="0" xfId="81" applyNumberFormat="1" applyFont="1" applyFill="1" applyAlignment="1" applyProtection="1">
      <alignment horizontal="left" vertical="center" wrapText="1"/>
    </xf>
    <xf numFmtId="49" fontId="4" fillId="0" borderId="0" xfId="81" applyNumberFormat="1" applyFont="1" applyAlignment="1" applyProtection="1">
      <alignment horizontal="left" vertical="center"/>
    </xf>
    <xf numFmtId="176" fontId="3" fillId="0" borderId="0" xfId="81" applyFont="1" applyAlignment="1">
      <alignment horizontal="right" vertical="center"/>
      <protection locked="0"/>
    </xf>
    <xf numFmtId="176" fontId="3" fillId="0" borderId="0" xfId="81" applyFont="1" applyAlignment="1">
      <alignment horizontal="justify" vertical="center" wrapText="1"/>
      <protection locked="0"/>
    </xf>
    <xf numFmtId="176" fontId="4" fillId="0" borderId="0" xfId="81" applyFont="1" applyFill="1" applyAlignment="1">
      <alignment vertical="center"/>
      <protection locked="0"/>
    </xf>
    <xf numFmtId="176" fontId="4" fillId="0" borderId="0" xfId="81" applyFont="1" applyFill="1" applyAlignment="1" applyProtection="1">
      <alignment vertical="center"/>
    </xf>
    <xf numFmtId="199" fontId="3" fillId="0" borderId="0" xfId="81" applyNumberFormat="1" applyFont="1" applyAlignment="1">
      <alignment vertical="center"/>
      <protection locked="0"/>
    </xf>
    <xf numFmtId="176" fontId="4" fillId="0" borderId="0" xfId="0" applyFont="1" applyAlignment="1" applyProtection="1">
      <alignment vertical="center"/>
    </xf>
    <xf numFmtId="49" fontId="4" fillId="0" borderId="0" xfId="1" applyNumberFormat="1" applyFont="1" applyFill="1" applyAlignment="1" applyProtection="1">
      <alignment horizontal="right" vertical="center" shrinkToFit="1"/>
    </xf>
    <xf numFmtId="49" fontId="9" fillId="2" borderId="2" xfId="0" applyNumberFormat="1" applyFont="1" applyFill="1" applyBorder="1" applyAlignment="1" applyProtection="1">
      <alignment horizontal="center" vertical="center"/>
    </xf>
    <xf numFmtId="176" fontId="9" fillId="2" borderId="2" xfId="0" applyFont="1" applyFill="1" applyBorder="1" applyAlignment="1" applyProtection="1">
      <alignment horizontal="center" vertical="center"/>
    </xf>
    <xf numFmtId="176" fontId="9" fillId="2" borderId="2" xfId="0" applyFont="1" applyFill="1" applyBorder="1" applyAlignment="1" applyProtection="1">
      <alignment horizontal="center" vertical="center" wrapText="1"/>
    </xf>
    <xf numFmtId="49" fontId="31" fillId="0" borderId="2" xfId="0" applyNumberFormat="1" applyFont="1" applyBorder="1" applyAlignment="1" applyProtection="1">
      <alignment horizontal="center" vertical="center"/>
    </xf>
    <xf numFmtId="176" fontId="13" fillId="0" borderId="2" xfId="0" applyFont="1" applyFill="1" applyBorder="1" applyAlignment="1" applyProtection="1">
      <alignment vertical="center"/>
    </xf>
    <xf numFmtId="43" fontId="3" fillId="0" borderId="2" xfId="1" applyFont="1" applyBorder="1" applyAlignment="1" applyProtection="1">
      <alignment vertical="center"/>
    </xf>
    <xf numFmtId="176" fontId="3" fillId="0" borderId="2" xfId="0" applyFont="1" applyBorder="1" applyAlignment="1" applyProtection="1">
      <alignment vertical="center"/>
    </xf>
    <xf numFmtId="10" fontId="3" fillId="0" borderId="2" xfId="3" applyNumberFormat="1" applyFont="1" applyBorder="1" applyAlignment="1" applyProtection="1">
      <alignment vertical="center"/>
    </xf>
    <xf numFmtId="43" fontId="3" fillId="0" borderId="2" xfId="1" applyFont="1" applyFill="1" applyBorder="1" applyAlignment="1">
      <alignment horizontal="center" vertical="center"/>
    </xf>
    <xf numFmtId="176" fontId="32" fillId="0" borderId="0" xfId="0" applyFont="1" applyAlignment="1" applyProtection="1">
      <alignment vertical="center"/>
    </xf>
    <xf numFmtId="176" fontId="33" fillId="0" borderId="2" xfId="0" applyFont="1" applyBorder="1" applyAlignment="1" applyProtection="1">
      <alignment vertical="center"/>
    </xf>
    <xf numFmtId="49" fontId="4" fillId="0" borderId="0" xfId="0" applyNumberFormat="1" applyFont="1" applyAlignment="1">
      <alignment vertical="center"/>
      <protection locked="0"/>
    </xf>
    <xf numFmtId="176" fontId="1" fillId="0" borderId="0" xfId="88" applyFont="1">
      <protection locked="0"/>
    </xf>
    <xf numFmtId="176" fontId="2" fillId="0" borderId="0" xfId="88" applyFont="1">
      <protection locked="0"/>
    </xf>
    <xf numFmtId="176" fontId="3" fillId="0" borderId="0" xfId="88" applyFont="1" applyAlignment="1">
      <alignment horizontal="center" wrapText="1"/>
      <protection locked="0"/>
    </xf>
    <xf numFmtId="176" fontId="3" fillId="0" borderId="0" xfId="88" applyFont="1">
      <protection locked="0"/>
    </xf>
    <xf numFmtId="0" fontId="5" fillId="0" borderId="0" xfId="97" applyNumberFormat="1" applyFont="1" applyBorder="1" applyAlignment="1">
      <alignment horizontal="center" vertical="center"/>
    </xf>
    <xf numFmtId="0" fontId="6" fillId="0" borderId="0" xfId="97" applyNumberFormat="1" applyFont="1" applyBorder="1" applyAlignment="1">
      <alignment horizontal="center" vertical="center"/>
    </xf>
    <xf numFmtId="43" fontId="3" fillId="0" borderId="0" xfId="97" applyNumberFormat="1" applyFont="1" applyBorder="1" applyAlignment="1">
      <alignment vertical="center"/>
    </xf>
    <xf numFmtId="43" fontId="3" fillId="0" borderId="0" xfId="97" applyNumberFormat="1" applyFont="1" applyBorder="1" applyAlignment="1">
      <alignment horizontal="left" vertical="center"/>
    </xf>
    <xf numFmtId="176" fontId="9" fillId="2" borderId="2" xfId="88" applyFont="1" applyFill="1" applyBorder="1" applyAlignment="1" applyProtection="1">
      <alignment horizontal="center" vertical="center" wrapText="1"/>
    </xf>
    <xf numFmtId="176" fontId="34" fillId="2" borderId="2" xfId="85" applyFont="1" applyFill="1" applyBorder="1" applyAlignment="1" applyProtection="1">
      <alignment horizontal="center" vertical="center" wrapText="1"/>
      <protection locked="0"/>
    </xf>
    <xf numFmtId="176" fontId="14" fillId="0" borderId="2" xfId="88" applyFont="1" applyBorder="1" applyAlignment="1" applyProtection="1">
      <alignment vertical="center"/>
    </xf>
    <xf numFmtId="43" fontId="14" fillId="0" borderId="2" xfId="1" applyFont="1" applyBorder="1" applyAlignment="1" applyProtection="1">
      <alignment vertical="center"/>
    </xf>
    <xf numFmtId="49" fontId="14" fillId="0" borderId="2" xfId="88" applyNumberFormat="1" applyFont="1" applyBorder="1" applyAlignment="1" applyProtection="1">
      <alignment vertical="center"/>
    </xf>
    <xf numFmtId="176" fontId="12" fillId="0" borderId="0" xfId="88" applyFont="1" applyAlignment="1">
      <alignment horizontal="left" vertical="center" wrapText="1"/>
      <protection locked="0"/>
    </xf>
    <xf numFmtId="176" fontId="3" fillId="0" borderId="0" xfId="88" applyFont="1" applyAlignment="1">
      <alignment horizontal="left" vertical="center" wrapText="1"/>
      <protection locked="0"/>
    </xf>
    <xf numFmtId="43" fontId="24" fillId="2" borderId="0" xfId="1" applyFont="1" applyFill="1" applyAlignment="1" applyProtection="1">
      <alignment horizontal="center" vertical="center" wrapText="1"/>
      <protection locked="0"/>
    </xf>
    <xf numFmtId="176" fontId="14" fillId="0" borderId="0" xfId="81" applyFont="1" applyFill="1" applyAlignment="1" applyProtection="1">
      <alignment vertical="center"/>
    </xf>
    <xf numFmtId="43" fontId="24" fillId="2" borderId="2" xfId="1" applyFont="1" applyFill="1" applyBorder="1" applyAlignment="1" applyProtection="1">
      <alignment horizontal="center" vertical="center" wrapText="1"/>
      <protection locked="0"/>
    </xf>
    <xf numFmtId="43" fontId="24" fillId="2" borderId="1" xfId="1" applyFont="1" applyFill="1" applyBorder="1" applyAlignment="1" applyProtection="1">
      <alignment horizontal="center" vertical="center" wrapText="1"/>
      <protection locked="0"/>
    </xf>
    <xf numFmtId="43" fontId="24" fillId="2" borderId="7" xfId="1" applyFont="1" applyFill="1" applyBorder="1" applyAlignment="1" applyProtection="1">
      <alignment horizontal="center" vertical="center" wrapText="1"/>
      <protection locked="0"/>
    </xf>
    <xf numFmtId="43" fontId="24" fillId="2" borderId="8" xfId="1" applyFont="1" applyFill="1" applyBorder="1" applyAlignment="1" applyProtection="1">
      <alignment horizontal="center" vertical="center" wrapText="1"/>
      <protection locked="0"/>
    </xf>
    <xf numFmtId="43" fontId="24" fillId="2" borderId="9" xfId="1" applyFont="1" applyFill="1" applyBorder="1" applyAlignment="1" applyProtection="1">
      <alignment horizontal="center" vertical="center" wrapText="1"/>
      <protection locked="0"/>
    </xf>
    <xf numFmtId="43" fontId="24" fillId="2" borderId="10" xfId="1" applyFont="1" applyFill="1" applyBorder="1" applyAlignment="1" applyProtection="1">
      <alignment horizontal="center" vertical="center" wrapText="1"/>
      <protection locked="0"/>
    </xf>
    <xf numFmtId="43" fontId="24" fillId="2" borderId="1" xfId="1" applyFont="1" applyFill="1" applyBorder="1" applyAlignment="1" applyProtection="1">
      <alignment horizontal="center" vertical="center"/>
      <protection locked="0"/>
    </xf>
    <xf numFmtId="43" fontId="24" fillId="2" borderId="2" xfId="1" applyFont="1" applyFill="1" applyBorder="1" applyAlignment="1" applyProtection="1">
      <alignment horizontal="center" vertical="center"/>
      <protection locked="0"/>
    </xf>
    <xf numFmtId="43" fontId="24" fillId="2" borderId="3" xfId="1" applyFont="1" applyFill="1" applyBorder="1" applyAlignment="1" applyProtection="1">
      <alignment horizontal="center" vertical="center" wrapText="1"/>
      <protection locked="0"/>
    </xf>
    <xf numFmtId="43" fontId="24" fillId="2" borderId="3" xfId="1" applyFont="1" applyFill="1" applyBorder="1" applyAlignment="1" applyProtection="1">
      <alignment horizontal="center" vertical="center"/>
      <protection locked="0"/>
    </xf>
    <xf numFmtId="43" fontId="24" fillId="2" borderId="2" xfId="1" applyFont="1" applyFill="1" applyBorder="1" applyAlignment="1" applyProtection="1">
      <alignment vertical="center"/>
      <protection locked="0"/>
    </xf>
    <xf numFmtId="176" fontId="13" fillId="0" borderId="2" xfId="0" applyFont="1" applyFill="1" applyBorder="1" applyAlignment="1">
      <alignment horizontal="left" vertical="center" wrapText="1"/>
      <protection locked="0"/>
    </xf>
    <xf numFmtId="176" fontId="3" fillId="0" borderId="2" xfId="0" applyFont="1" applyFill="1" applyBorder="1" applyAlignment="1">
      <alignment horizontal="left" vertical="center" wrapText="1"/>
      <protection locked="0"/>
    </xf>
    <xf numFmtId="43" fontId="3" fillId="0" borderId="2" xfId="0" applyNumberFormat="1" applyFont="1" applyFill="1" applyBorder="1" applyAlignment="1">
      <alignment horizontal="left" vertical="center" wrapText="1"/>
      <protection locked="0"/>
    </xf>
    <xf numFmtId="43" fontId="33" fillId="0" borderId="2" xfId="0" applyNumberFormat="1" applyFont="1" applyFill="1" applyBorder="1" applyAlignment="1">
      <alignment horizontal="justify" vertical="center"/>
      <protection locked="0"/>
    </xf>
    <xf numFmtId="43" fontId="3" fillId="2" borderId="2" xfId="0" applyNumberFormat="1" applyFont="1" applyFill="1" applyBorder="1" applyAlignment="1">
      <alignment horizontal="justify" vertical="center"/>
      <protection locked="0"/>
    </xf>
    <xf numFmtId="43" fontId="3" fillId="0" borderId="2" xfId="0" applyNumberFormat="1" applyFont="1" applyBorder="1" applyAlignment="1">
      <alignment horizontal="justify" vertical="center"/>
      <protection locked="0"/>
    </xf>
    <xf numFmtId="43" fontId="3" fillId="0" borderId="2" xfId="1" applyFont="1" applyFill="1" applyBorder="1" applyAlignment="1" applyProtection="1">
      <alignment horizontal="left" vertical="center" wrapText="1"/>
      <protection locked="0"/>
    </xf>
    <xf numFmtId="43" fontId="3" fillId="2" borderId="2" xfId="0" applyNumberFormat="1" applyFont="1" applyFill="1" applyBorder="1" applyAlignment="1">
      <alignment horizontal="left" vertical="center"/>
      <protection locked="0"/>
    </xf>
    <xf numFmtId="43" fontId="3" fillId="0" borderId="2" xfId="0" applyNumberFormat="1" applyFont="1" applyBorder="1" applyAlignment="1">
      <alignment horizontal="center" vertical="center"/>
      <protection locked="0"/>
    </xf>
    <xf numFmtId="43" fontId="3" fillId="0" borderId="2" xfId="0" applyNumberFormat="1" applyFont="1" applyBorder="1" applyAlignment="1">
      <alignment horizontal="left" vertical="center" wrapText="1"/>
      <protection locked="0"/>
    </xf>
    <xf numFmtId="43" fontId="33" fillId="0" borderId="2" xfId="0" applyNumberFormat="1" applyFont="1" applyBorder="1" applyAlignment="1">
      <alignment horizontal="justify" vertical="center"/>
      <protection locked="0"/>
    </xf>
    <xf numFmtId="43" fontId="3" fillId="0" borderId="2" xfId="1" applyFont="1" applyBorder="1" applyAlignment="1" applyProtection="1">
      <alignment horizontal="left" vertical="center" wrapText="1"/>
      <protection locked="0"/>
    </xf>
    <xf numFmtId="43" fontId="4" fillId="2" borderId="2" xfId="0" applyNumberFormat="1" applyFont="1" applyFill="1" applyBorder="1" applyAlignment="1">
      <alignment horizontal="left" vertical="center"/>
      <protection locked="0"/>
    </xf>
    <xf numFmtId="176" fontId="3" fillId="2" borderId="4" xfId="0" applyFont="1" applyFill="1" applyBorder="1" applyAlignment="1">
      <alignment horizontal="left" vertical="center" wrapText="1"/>
      <protection locked="0"/>
    </xf>
    <xf numFmtId="43" fontId="9" fillId="0" borderId="4" xfId="1" applyFont="1" applyFill="1" applyBorder="1" applyAlignment="1">
      <alignment horizontal="right" vertical="center"/>
    </xf>
    <xf numFmtId="43" fontId="4" fillId="0" borderId="4" xfId="0" applyNumberFormat="1" applyFont="1" applyBorder="1" applyAlignment="1">
      <alignment horizontal="left" vertical="center"/>
      <protection locked="0"/>
    </xf>
    <xf numFmtId="176" fontId="22" fillId="2" borderId="2" xfId="0" applyFont="1" applyFill="1" applyBorder="1" applyAlignment="1">
      <alignment horizontal="left" vertical="center" wrapText="1"/>
      <protection locked="0"/>
    </xf>
    <xf numFmtId="176" fontId="8" fillId="3" borderId="0" xfId="81" applyNumberFormat="1" applyFont="1" applyFill="1" applyAlignment="1">
      <alignment horizontal="left" vertical="center"/>
      <protection locked="0"/>
    </xf>
    <xf numFmtId="176" fontId="4" fillId="2" borderId="0" xfId="0" applyFont="1" applyFill="1" applyAlignment="1">
      <alignment horizontal="center" vertical="center" wrapText="1"/>
      <protection locked="0"/>
    </xf>
    <xf numFmtId="176" fontId="4" fillId="0" borderId="0" xfId="94" applyFont="1" applyAlignment="1">
      <alignment horizontal="left" vertical="center"/>
    </xf>
    <xf numFmtId="176" fontId="4" fillId="2" borderId="1" xfId="85" applyFont="1" applyFill="1" applyBorder="1" applyAlignment="1" applyProtection="1">
      <alignment horizontal="center" vertical="center"/>
      <protection locked="0"/>
    </xf>
    <xf numFmtId="176" fontId="4" fillId="2" borderId="10" xfId="85" applyFont="1" applyFill="1" applyBorder="1" applyAlignment="1" applyProtection="1">
      <alignment horizontal="center" vertical="center"/>
      <protection locked="0"/>
    </xf>
    <xf numFmtId="176" fontId="4" fillId="2" borderId="3" xfId="85" applyFont="1" applyFill="1" applyBorder="1" applyAlignment="1" applyProtection="1">
      <alignment horizontal="center" vertical="center"/>
      <protection locked="0"/>
    </xf>
    <xf numFmtId="43" fontId="13" fillId="0" borderId="2" xfId="0" applyNumberFormat="1" applyFont="1" applyFill="1" applyBorder="1" applyAlignment="1">
      <alignment horizontal="justify" vertical="center"/>
      <protection locked="0"/>
    </xf>
    <xf numFmtId="43" fontId="14" fillId="2" borderId="2" xfId="1" applyFont="1" applyFill="1" applyBorder="1" applyAlignment="1">
      <alignment vertical="center" shrinkToFit="1"/>
    </xf>
    <xf numFmtId="43" fontId="3" fillId="0" borderId="2" xfId="0" applyNumberFormat="1" applyFont="1" applyFill="1" applyBorder="1" applyAlignment="1">
      <alignment horizontal="left" vertical="center"/>
      <protection locked="0"/>
    </xf>
    <xf numFmtId="43" fontId="3" fillId="0" borderId="2" xfId="0" applyNumberFormat="1" applyFont="1" applyFill="1" applyBorder="1" applyAlignment="1">
      <alignment horizontal="center" vertical="center"/>
      <protection locked="0"/>
    </xf>
    <xf numFmtId="43" fontId="3" fillId="0" borderId="2" xfId="0" applyNumberFormat="1" applyFont="1" applyBorder="1" applyAlignment="1">
      <alignment horizontal="left" vertical="center"/>
      <protection locked="0"/>
    </xf>
    <xf numFmtId="43" fontId="13" fillId="0" borderId="2" xfId="0" applyNumberFormat="1" applyFont="1" applyBorder="1" applyAlignment="1">
      <alignment horizontal="justify" vertical="center"/>
      <protection locked="0"/>
    </xf>
    <xf numFmtId="43" fontId="14" fillId="0" borderId="4" xfId="1" applyFont="1" applyFill="1" applyBorder="1" applyAlignment="1">
      <alignment horizontal="right" vertical="center"/>
    </xf>
    <xf numFmtId="43" fontId="4" fillId="0" borderId="4" xfId="0" applyNumberFormat="1" applyFont="1" applyBorder="1" applyAlignment="1">
      <alignment horizontal="left" vertical="center" wrapText="1"/>
      <protection locked="0"/>
    </xf>
    <xf numFmtId="43" fontId="35" fillId="0" borderId="0" xfId="1" applyFont="1" applyAlignment="1" applyProtection="1">
      <alignment horizontal="left" vertical="center"/>
      <protection locked="0"/>
    </xf>
    <xf numFmtId="176" fontId="0" fillId="0" borderId="0" xfId="84" applyFont="1">
      <protection locked="0"/>
    </xf>
    <xf numFmtId="176" fontId="36" fillId="0" borderId="0" xfId="84" applyFont="1">
      <protection locked="0"/>
    </xf>
    <xf numFmtId="176" fontId="22" fillId="0" borderId="0" xfId="84" applyFont="1">
      <protection locked="0"/>
    </xf>
    <xf numFmtId="0" fontId="37" fillId="0" borderId="0" xfId="84" applyNumberFormat="1" applyFont="1" applyAlignment="1">
      <alignment horizontal="center" vertical="center"/>
      <protection locked="0"/>
    </xf>
    <xf numFmtId="0" fontId="5" fillId="0" borderId="0" xfId="84" applyNumberFormat="1" applyFont="1" applyAlignment="1">
      <alignment vertical="center"/>
      <protection locked="0"/>
    </xf>
    <xf numFmtId="176" fontId="5" fillId="0" borderId="0" xfId="84" applyFont="1" applyAlignment="1">
      <alignment vertical="center"/>
      <protection locked="0"/>
    </xf>
    <xf numFmtId="0" fontId="38" fillId="0" borderId="0" xfId="84" applyNumberFormat="1" applyFont="1" applyAlignment="1">
      <alignment horizontal="center" vertical="center"/>
      <protection locked="0"/>
    </xf>
    <xf numFmtId="0" fontId="6" fillId="0" borderId="0" xfId="84" applyNumberFormat="1" applyFont="1" applyAlignment="1">
      <alignment vertical="center"/>
      <protection locked="0"/>
    </xf>
    <xf numFmtId="176" fontId="6" fillId="0" borderId="0" xfId="84" applyFont="1" applyAlignment="1">
      <alignment vertical="center"/>
      <protection locked="0"/>
    </xf>
    <xf numFmtId="176" fontId="7" fillId="0" borderId="0" xfId="0" applyFont="1" applyAlignment="1">
      <alignment vertical="center"/>
      <protection locked="0"/>
    </xf>
    <xf numFmtId="0" fontId="7" fillId="0" borderId="0" xfId="0" applyNumberFormat="1" applyFont="1" applyAlignment="1">
      <alignment horizontal="left" vertical="center"/>
      <protection locked="0"/>
    </xf>
    <xf numFmtId="176" fontId="39" fillId="0" borderId="0" xfId="6" applyFont="1" applyAlignment="1">
      <protection locked="0"/>
    </xf>
    <xf numFmtId="176" fontId="7" fillId="0" borderId="0" xfId="84" applyFont="1">
      <protection locked="0"/>
    </xf>
    <xf numFmtId="176" fontId="1" fillId="0" borderId="0" xfId="0" applyFont="1" applyAlignment="1">
      <alignment vertical="center"/>
      <protection locked="0"/>
    </xf>
    <xf numFmtId="176" fontId="1" fillId="0" borderId="0" xfId="0" applyFont="1" applyAlignment="1">
      <alignment horizontal="left" vertical="center"/>
      <protection locked="0"/>
    </xf>
    <xf numFmtId="176" fontId="40" fillId="0" borderId="12" xfId="0" applyFont="1" applyBorder="1" applyAlignment="1">
      <alignment horizontal="justify" vertical="center" wrapText="1"/>
      <protection locked="0"/>
    </xf>
    <xf numFmtId="176" fontId="41" fillId="0" borderId="12" xfId="0" applyFont="1" applyBorder="1" applyAlignment="1">
      <alignment horizontal="left" vertical="center" wrapText="1"/>
      <protection locked="0"/>
    </xf>
    <xf numFmtId="176" fontId="41" fillId="0" borderId="12" xfId="0" applyFont="1" applyBorder="1" applyAlignment="1">
      <alignment horizontal="center" vertical="center" wrapText="1"/>
      <protection locked="0"/>
    </xf>
    <xf numFmtId="176" fontId="40" fillId="0" borderId="0" xfId="0" applyFont="1" applyBorder="1" applyAlignment="1">
      <alignment horizontal="justify" vertical="center" wrapText="1"/>
      <protection locked="0"/>
    </xf>
    <xf numFmtId="176" fontId="41" fillId="0" borderId="0" xfId="0" applyFont="1" applyBorder="1" applyAlignment="1">
      <alignment horizontal="left" vertical="center" wrapText="1"/>
      <protection locked="0"/>
    </xf>
    <xf numFmtId="176" fontId="41" fillId="0" borderId="0" xfId="0" applyFont="1" applyAlignment="1">
      <alignment horizontal="right" vertical="center" wrapText="1"/>
      <protection locked="0"/>
    </xf>
    <xf numFmtId="176" fontId="40" fillId="0" borderId="13" xfId="0" applyFont="1" applyBorder="1" applyAlignment="1">
      <alignment horizontal="justify" vertical="center" wrapText="1"/>
      <protection locked="0"/>
    </xf>
    <xf numFmtId="176" fontId="41" fillId="0" borderId="13" xfId="0" applyFont="1" applyBorder="1" applyAlignment="1">
      <alignment horizontal="left" vertical="center" wrapText="1"/>
      <protection locked="0"/>
    </xf>
    <xf numFmtId="176" fontId="41" fillId="0" borderId="13" xfId="0" applyFont="1" applyBorder="1" applyAlignment="1">
      <alignment horizontal="right" vertical="center" wrapText="1"/>
      <protection locked="0"/>
    </xf>
    <xf numFmtId="176" fontId="42" fillId="0" borderId="0" xfId="0" applyFont="1" applyAlignment="1">
      <alignment horizontal="justify" vertical="center" wrapText="1"/>
      <protection locked="0"/>
    </xf>
    <xf numFmtId="176" fontId="43" fillId="0" borderId="0" xfId="0" applyFont="1" applyAlignment="1">
      <alignment horizontal="right" vertical="center" wrapText="1"/>
      <protection locked="0"/>
    </xf>
    <xf numFmtId="176" fontId="43" fillId="0" borderId="0" xfId="0" applyFont="1" applyAlignment="1">
      <alignment horizontal="justify" vertical="center" wrapText="1"/>
      <protection locked="0"/>
    </xf>
    <xf numFmtId="176" fontId="44" fillId="0" borderId="0" xfId="0" applyFont="1" applyAlignment="1">
      <alignment horizontal="justify" vertical="center" wrapText="1"/>
      <protection locked="0"/>
    </xf>
    <xf numFmtId="176" fontId="43" fillId="0" borderId="13" xfId="0" applyFont="1" applyBorder="1" applyAlignment="1">
      <alignment horizontal="justify" vertical="center" wrapText="1"/>
      <protection locked="0"/>
    </xf>
    <xf numFmtId="176" fontId="43" fillId="0" borderId="13" xfId="0" applyFont="1" applyBorder="1" applyAlignment="1">
      <alignment horizontal="right" vertical="center" wrapText="1"/>
      <protection locked="0"/>
    </xf>
    <xf numFmtId="176" fontId="45" fillId="0" borderId="0" xfId="0" applyFont="1" applyAlignment="1">
      <alignment horizontal="justify" vertical="center"/>
      <protection locked="0"/>
    </xf>
    <xf numFmtId="176" fontId="45" fillId="0" borderId="0" xfId="0" applyFont="1" applyAlignment="1">
      <alignment horizontal="left" vertical="center"/>
      <protection locked="0"/>
    </xf>
    <xf numFmtId="176" fontId="41" fillId="0" borderId="12" xfId="0" applyFont="1" applyBorder="1" applyAlignment="1">
      <alignment horizontal="justify" vertical="center" wrapText="1"/>
      <protection locked="0"/>
    </xf>
    <xf numFmtId="176" fontId="41" fillId="0" borderId="13" xfId="0" applyFont="1" applyBorder="1" applyAlignment="1">
      <alignment horizontal="justify" vertical="center" wrapText="1"/>
      <protection locked="0"/>
    </xf>
    <xf numFmtId="176" fontId="46" fillId="0" borderId="0" xfId="0" applyFont="1" applyAlignment="1">
      <alignment horizontal="left" vertical="center"/>
      <protection locked="0"/>
    </xf>
    <xf numFmtId="176" fontId="41" fillId="0" borderId="14" xfId="0" applyFont="1" applyBorder="1" applyAlignment="1">
      <alignment horizontal="justify" vertical="center" wrapText="1"/>
      <protection locked="0"/>
    </xf>
    <xf numFmtId="176" fontId="41" fillId="0" borderId="14" xfId="0" applyFont="1" applyBorder="1" applyAlignment="1">
      <alignment horizontal="right" vertical="center" wrapText="1"/>
      <protection locked="0"/>
    </xf>
    <xf numFmtId="176" fontId="47" fillId="0" borderId="13" xfId="0" applyFont="1" applyBorder="1" applyAlignment="1">
      <alignment horizontal="right" vertical="center" wrapText="1"/>
      <protection locked="0"/>
    </xf>
    <xf numFmtId="0" fontId="37" fillId="0" borderId="0" xfId="84" applyNumberFormat="1" applyFont="1" applyAlignment="1">
      <alignment vertical="center"/>
      <protection locked="0"/>
    </xf>
    <xf numFmtId="0" fontId="38" fillId="0" borderId="0" xfId="84" applyNumberFormat="1" applyFont="1" applyAlignment="1">
      <alignment vertical="center"/>
      <protection locked="0"/>
    </xf>
    <xf numFmtId="176" fontId="7" fillId="0" borderId="0" xfId="84" applyFont="1" applyAlignment="1">
      <alignment horizontal="left" vertical="center"/>
      <protection locked="0"/>
    </xf>
    <xf numFmtId="176" fontId="1" fillId="0" borderId="0" xfId="0" applyFont="1" applyAlignment="1">
      <alignment horizontal="justify" vertical="center"/>
      <protection locked="0"/>
    </xf>
    <xf numFmtId="176" fontId="48" fillId="0" borderId="0" xfId="0" applyFont="1" applyAlignment="1" applyProtection="1">
      <alignment vertical="center"/>
    </xf>
    <xf numFmtId="176" fontId="46" fillId="0" borderId="0" xfId="0" applyFont="1" applyAlignment="1">
      <alignment horizontal="left" vertical="center" wrapText="1"/>
      <protection locked="0"/>
    </xf>
    <xf numFmtId="176" fontId="40" fillId="0" borderId="14" xfId="0" applyFont="1" applyBorder="1" applyAlignment="1">
      <alignment horizontal="justify" vertical="center" wrapText="1"/>
      <protection locked="0"/>
    </xf>
    <xf numFmtId="176" fontId="40" fillId="0" borderId="14" xfId="0" applyFont="1" applyBorder="1" applyAlignment="1">
      <alignment horizontal="right" vertical="center" wrapText="1"/>
      <protection locked="0"/>
    </xf>
    <xf numFmtId="176" fontId="49" fillId="0" borderId="0" xfId="0" applyFont="1" applyAlignment="1">
      <alignment horizontal="justify" vertical="center" wrapText="1"/>
      <protection locked="0"/>
    </xf>
    <xf numFmtId="176" fontId="50" fillId="0" borderId="0" xfId="0" applyFont="1" applyAlignment="1">
      <alignment horizontal="justify" vertical="center" wrapText="1"/>
      <protection locked="0"/>
    </xf>
    <xf numFmtId="176" fontId="42" fillId="0" borderId="13" xfId="0" applyFont="1" applyBorder="1" applyAlignment="1">
      <alignment horizontal="justify" vertical="center" wrapText="1"/>
      <protection locked="0"/>
    </xf>
    <xf numFmtId="176" fontId="40" fillId="0" borderId="14" xfId="0" applyFont="1" applyBorder="1" applyAlignment="1">
      <alignment horizontal="left" vertical="center" wrapText="1"/>
      <protection locked="0"/>
    </xf>
    <xf numFmtId="176" fontId="51" fillId="0" borderId="0" xfId="0" applyFont="1" applyAlignment="1">
      <alignment horizontal="left" vertical="center" wrapText="1"/>
      <protection locked="0"/>
    </xf>
    <xf numFmtId="176" fontId="49" fillId="0" borderId="0" xfId="0" applyFont="1" applyAlignment="1">
      <alignment horizontal="right" vertical="center" wrapText="1"/>
      <protection locked="0"/>
    </xf>
    <xf numFmtId="176" fontId="49" fillId="0" borderId="0" xfId="0" applyFont="1" applyAlignment="1">
      <alignment horizontal="left" vertical="center" wrapText="1"/>
      <protection locked="0"/>
    </xf>
    <xf numFmtId="176" fontId="49" fillId="0" borderId="13" xfId="0" applyFont="1" applyBorder="1" applyAlignment="1">
      <alignment horizontal="left" vertical="center" wrapText="1"/>
      <protection locked="0"/>
    </xf>
    <xf numFmtId="176" fontId="49" fillId="0" borderId="13" xfId="0" applyFont="1" applyBorder="1" applyAlignment="1">
      <alignment horizontal="right" vertical="center" wrapText="1"/>
      <protection locked="0"/>
    </xf>
    <xf numFmtId="43" fontId="1" fillId="0" borderId="0" xfId="96" applyNumberFormat="1" applyFont="1" applyBorder="1" applyAlignment="1">
      <alignment vertical="center"/>
    </xf>
    <xf numFmtId="43" fontId="2" fillId="0" borderId="0" xfId="96" applyNumberFormat="1" applyFont="1" applyBorder="1" applyAlignment="1">
      <alignment vertical="center"/>
    </xf>
    <xf numFmtId="176" fontId="9" fillId="0" borderId="0" xfId="0" applyFont="1" applyFill="1" applyAlignment="1" applyProtection="1">
      <alignment vertical="center"/>
    </xf>
    <xf numFmtId="176" fontId="9" fillId="2" borderId="0" xfId="0" applyFont="1" applyFill="1" applyAlignment="1" applyProtection="1">
      <alignment vertical="center"/>
    </xf>
    <xf numFmtId="43" fontId="12" fillId="0" borderId="0" xfId="96" applyNumberFormat="1" applyFont="1" applyBorder="1" applyAlignment="1">
      <alignment vertical="center"/>
    </xf>
    <xf numFmtId="43" fontId="3" fillId="0" borderId="0" xfId="96" applyNumberFormat="1" applyFont="1" applyBorder="1" applyAlignment="1">
      <alignment vertical="center"/>
    </xf>
    <xf numFmtId="0" fontId="5" fillId="0" borderId="0" xfId="92" applyNumberFormat="1" applyFont="1" applyAlignment="1">
      <alignment horizontal="center" vertical="center"/>
    </xf>
    <xf numFmtId="0" fontId="1" fillId="0" borderId="0" xfId="96" applyNumberFormat="1" applyFont="1" applyBorder="1" applyAlignment="1">
      <alignment vertical="center"/>
    </xf>
    <xf numFmtId="0" fontId="52" fillId="0" borderId="0" xfId="96" applyNumberFormat="1" applyFont="1" applyBorder="1" applyAlignment="1">
      <alignment horizontal="center" vertical="center" wrapText="1"/>
    </xf>
    <xf numFmtId="0" fontId="6" fillId="0" borderId="0" xfId="96" applyNumberFormat="1" applyFont="1" applyBorder="1" applyAlignment="1">
      <alignment horizontal="center" vertical="center"/>
    </xf>
    <xf numFmtId="0" fontId="2" fillId="0" borderId="0" xfId="96" applyNumberFormat="1" applyFont="1" applyBorder="1" applyAlignment="1">
      <alignment vertical="center"/>
    </xf>
    <xf numFmtId="176" fontId="4" fillId="2" borderId="7" xfId="85" applyFont="1" applyFill="1" applyBorder="1" applyAlignment="1" applyProtection="1">
      <alignment horizontal="center" vertical="center" wrapText="1"/>
      <protection locked="0"/>
    </xf>
    <xf numFmtId="176" fontId="4" fillId="2" borderId="8" xfId="85" applyFont="1" applyFill="1" applyBorder="1" applyAlignment="1" applyProtection="1">
      <alignment horizontal="center" vertical="center" wrapText="1"/>
      <protection locked="0"/>
    </xf>
    <xf numFmtId="176" fontId="4" fillId="2" borderId="9" xfId="85" applyFont="1" applyFill="1" applyBorder="1" applyAlignment="1" applyProtection="1">
      <alignment horizontal="center" vertical="center" wrapText="1"/>
      <protection locked="0"/>
    </xf>
    <xf numFmtId="176" fontId="9" fillId="2" borderId="2" xfId="84" applyNumberFormat="1" applyFont="1" applyFill="1" applyBorder="1" applyAlignment="1">
      <alignment horizontal="center" vertical="center" wrapText="1"/>
      <protection locked="0"/>
    </xf>
    <xf numFmtId="176" fontId="4" fillId="2" borderId="2" xfId="84" applyFont="1" applyFill="1" applyBorder="1" applyAlignment="1">
      <alignment horizontal="center" vertical="center" wrapText="1"/>
      <protection locked="0"/>
    </xf>
    <xf numFmtId="176" fontId="9" fillId="2" borderId="2" xfId="0" applyFont="1" applyFill="1" applyBorder="1" applyAlignment="1" applyProtection="1">
      <alignment vertical="center"/>
    </xf>
    <xf numFmtId="176" fontId="4" fillId="2" borderId="2" xfId="84" applyNumberFormat="1" applyFont="1" applyFill="1" applyBorder="1" applyAlignment="1">
      <alignment horizontal="center" vertical="center"/>
      <protection locked="0"/>
    </xf>
    <xf numFmtId="43" fontId="3" fillId="2" borderId="2" xfId="1" applyFont="1" applyFill="1" applyBorder="1" applyAlignment="1">
      <alignment horizontal="right" vertical="center" wrapText="1"/>
    </xf>
    <xf numFmtId="176" fontId="14" fillId="0" borderId="2" xfId="0" applyFont="1" applyBorder="1" applyAlignment="1" applyProtection="1">
      <alignment vertical="center"/>
    </xf>
    <xf numFmtId="43" fontId="4" fillId="2" borderId="2" xfId="1" applyFont="1" applyFill="1" applyBorder="1" applyAlignment="1">
      <alignment horizontal="right" vertical="center" wrapText="1"/>
    </xf>
    <xf numFmtId="10" fontId="4" fillId="2" borderId="2" xfId="3" applyNumberFormat="1" applyFont="1" applyFill="1" applyBorder="1" applyAlignment="1">
      <alignment horizontal="right" vertical="center" wrapText="1"/>
    </xf>
    <xf numFmtId="200" fontId="3" fillId="2" borderId="2" xfId="1" applyNumberFormat="1" applyFont="1" applyFill="1" applyBorder="1" applyAlignment="1">
      <alignment horizontal="right" vertical="center" wrapText="1"/>
    </xf>
    <xf numFmtId="200" fontId="3" fillId="2" borderId="2" xfId="3" applyNumberFormat="1" applyFont="1" applyFill="1" applyBorder="1" applyAlignment="1">
      <alignment horizontal="right" vertical="center" wrapText="1"/>
    </xf>
    <xf numFmtId="176" fontId="14" fillId="0" borderId="2" xfId="0" applyFont="1" applyBorder="1" applyAlignment="1" applyProtection="1">
      <alignment horizontal="left" vertical="center"/>
    </xf>
    <xf numFmtId="43" fontId="24" fillId="2" borderId="0" xfId="96" applyNumberFormat="1" applyFont="1" applyFill="1" applyBorder="1" applyAlignment="1">
      <alignment vertical="center"/>
    </xf>
    <xf numFmtId="43" fontId="9" fillId="0" borderId="0" xfId="1" applyFont="1" applyFill="1" applyBorder="1" applyAlignment="1">
      <alignment horizontal="right" vertical="center"/>
    </xf>
    <xf numFmtId="43" fontId="9" fillId="0" borderId="2" xfId="1" applyFont="1" applyFill="1" applyBorder="1" applyAlignment="1">
      <alignment horizontal="right" vertical="center"/>
    </xf>
    <xf numFmtId="10" fontId="4" fillId="0" borderId="0" xfId="3" applyNumberFormat="1" applyFont="1" applyFill="1" applyBorder="1" applyAlignment="1">
      <alignment horizontal="right" vertical="center" wrapText="1"/>
    </xf>
    <xf numFmtId="43" fontId="9" fillId="2" borderId="0" xfId="1" applyFont="1" applyFill="1" applyBorder="1" applyAlignment="1">
      <alignment horizontal="right" vertical="center"/>
    </xf>
    <xf numFmtId="10" fontId="4" fillId="2" borderId="0" xfId="3" applyNumberFormat="1" applyFont="1" applyFill="1" applyBorder="1" applyAlignment="1">
      <alignment horizontal="right" vertical="center" wrapText="1"/>
    </xf>
    <xf numFmtId="43" fontId="4" fillId="0" borderId="0" xfId="96" applyNumberFormat="1" applyFont="1" applyFill="1" applyBorder="1" applyAlignment="1">
      <alignment vertical="center"/>
    </xf>
    <xf numFmtId="43" fontId="3" fillId="0" borderId="0" xfId="96" applyNumberFormat="1" applyFont="1" applyFill="1" applyBorder="1" applyAlignment="1">
      <alignment vertical="center"/>
    </xf>
    <xf numFmtId="176" fontId="3" fillId="0" borderId="0" xfId="92" applyFont="1" applyAlignment="1">
      <alignment vertical="center"/>
    </xf>
    <xf numFmtId="201" fontId="21" fillId="0" borderId="0" xfId="3" applyNumberFormat="1" applyFont="1" applyBorder="1" applyAlignment="1">
      <alignment horizontal="left" vertical="center"/>
    </xf>
    <xf numFmtId="43" fontId="53" fillId="6" borderId="0" xfId="96" applyNumberFormat="1" applyFont="1" applyFill="1" applyBorder="1" applyAlignment="1">
      <alignment vertical="center" wrapText="1"/>
    </xf>
    <xf numFmtId="43" fontId="22" fillId="0" borderId="0" xfId="96" applyNumberFormat="1" applyFont="1" applyBorder="1" applyAlignment="1">
      <alignment vertical="center" wrapText="1"/>
    </xf>
    <xf numFmtId="43" fontId="53" fillId="0" borderId="0" xfId="96" applyNumberFormat="1" applyFont="1" applyBorder="1" applyAlignment="1">
      <alignment vertical="center" wrapText="1"/>
    </xf>
    <xf numFmtId="43" fontId="54" fillId="0" borderId="0" xfId="96" applyNumberFormat="1" applyFont="1" applyBorder="1" applyAlignment="1">
      <alignment vertical="center" wrapText="1"/>
    </xf>
    <xf numFmtId="43" fontId="3" fillId="0" borderId="0" xfId="96" applyNumberFormat="1" applyFont="1" applyBorder="1" applyAlignment="1">
      <alignment vertical="center" wrapText="1"/>
    </xf>
    <xf numFmtId="43" fontId="4" fillId="0" borderId="0" xfId="96" applyNumberFormat="1" applyFont="1" applyBorder="1" applyAlignment="1">
      <alignment vertical="center" wrapText="1"/>
    </xf>
    <xf numFmtId="43" fontId="16" fillId="0" borderId="0" xfId="96" applyNumberFormat="1" applyFont="1" applyBorder="1" applyAlignment="1">
      <alignment vertical="center"/>
    </xf>
    <xf numFmtId="43" fontId="55" fillId="0" borderId="0" xfId="96" applyNumberFormat="1" applyFont="1" applyBorder="1" applyAlignment="1">
      <alignment vertical="center"/>
    </xf>
    <xf numFmtId="0" fontId="56" fillId="0" borderId="0" xfId="96" applyNumberFormat="1" applyFont="1" applyBorder="1" applyAlignment="1">
      <alignment horizontal="center" vertical="center" wrapText="1"/>
    </xf>
    <xf numFmtId="176" fontId="9" fillId="2" borderId="1" xfId="0" applyFont="1" applyFill="1" applyBorder="1" applyAlignment="1" applyProtection="1">
      <alignment horizontal="center" vertical="center"/>
    </xf>
    <xf numFmtId="176" fontId="9" fillId="2" borderId="3" xfId="0" applyFont="1" applyFill="1" applyBorder="1" applyAlignment="1" applyProtection="1">
      <alignment horizontal="center" vertical="center"/>
    </xf>
    <xf numFmtId="49" fontId="3" fillId="0" borderId="2" xfId="0" applyNumberFormat="1" applyFont="1" applyBorder="1" applyAlignment="1" applyProtection="1">
      <alignment vertical="center"/>
    </xf>
    <xf numFmtId="43" fontId="14" fillId="0" borderId="2" xfId="106" applyFont="1" applyFill="1" applyBorder="1" applyAlignment="1">
      <alignment horizontal="right" vertical="center"/>
    </xf>
    <xf numFmtId="43" fontId="57" fillId="6" borderId="0" xfId="96" applyNumberFormat="1" applyFont="1" applyFill="1" applyBorder="1" applyAlignment="1">
      <alignment vertical="center" wrapText="1"/>
    </xf>
    <xf numFmtId="176" fontId="3" fillId="0" borderId="0" xfId="92" applyFont="1" applyAlignment="1">
      <alignment vertical="center" wrapText="1"/>
    </xf>
    <xf numFmtId="176" fontId="1" fillId="0" borderId="0" xfId="91" applyFont="1">
      <alignment vertical="center"/>
    </xf>
    <xf numFmtId="176" fontId="2" fillId="0" borderId="0" xfId="91" applyFont="1">
      <alignment vertical="center"/>
    </xf>
    <xf numFmtId="176" fontId="3" fillId="0" borderId="0" xfId="86" applyFont="1">
      <alignment vertical="center"/>
      <protection locked="0"/>
    </xf>
    <xf numFmtId="176" fontId="3" fillId="0" borderId="0" xfId="87" applyFont="1">
      <alignment vertical="center"/>
      <protection locked="0"/>
    </xf>
    <xf numFmtId="49" fontId="3" fillId="0" borderId="0" xfId="99" applyNumberFormat="1" applyFont="1" applyAlignment="1">
      <alignment horizontal="left" vertical="center"/>
    </xf>
    <xf numFmtId="176" fontId="3" fillId="0" borderId="0" xfId="99" applyFont="1">
      <alignment vertical="center"/>
    </xf>
    <xf numFmtId="0" fontId="5" fillId="0" borderId="0" xfId="91" applyNumberFormat="1" applyFont="1" applyAlignment="1">
      <alignment horizontal="center" vertical="center"/>
    </xf>
    <xf numFmtId="0" fontId="6" fillId="0" borderId="0" xfId="91" applyNumberFormat="1" applyFont="1" applyAlignment="1">
      <alignment horizontal="center" vertical="center"/>
    </xf>
    <xf numFmtId="176" fontId="3" fillId="0" borderId="0" xfId="86" applyFont="1" applyAlignment="1">
      <alignment vertical="center"/>
      <protection locked="0"/>
    </xf>
    <xf numFmtId="176" fontId="4" fillId="0" borderId="0" xfId="86" applyFont="1" applyAlignment="1">
      <alignment horizontal="left" vertical="center"/>
      <protection locked="0"/>
    </xf>
    <xf numFmtId="176" fontId="3" fillId="0" borderId="0" xfId="86" applyFont="1" applyBorder="1" applyAlignment="1">
      <alignment vertical="center"/>
      <protection locked="0"/>
    </xf>
    <xf numFmtId="49" fontId="24" fillId="0" borderId="0" xfId="88" applyNumberFormat="1" applyFont="1" applyFill="1" applyAlignment="1" applyProtection="1">
      <alignment horizontal="left" vertical="center"/>
      <protection locked="0"/>
    </xf>
    <xf numFmtId="176" fontId="4" fillId="0" borderId="0" xfId="86" applyFont="1" applyAlignment="1">
      <alignment horizontal="justify" vertical="center"/>
      <protection locked="0"/>
    </xf>
    <xf numFmtId="176" fontId="24" fillId="2" borderId="2" xfId="87" applyFont="1" applyFill="1" applyBorder="1" applyAlignment="1">
      <alignment horizontal="center" vertical="center" wrapText="1"/>
      <protection locked="0"/>
    </xf>
    <xf numFmtId="176" fontId="4" fillId="2" borderId="2" xfId="87" applyFont="1" applyFill="1" applyBorder="1" applyAlignment="1">
      <alignment horizontal="center" vertical="center" wrapText="1"/>
      <protection locked="0"/>
    </xf>
    <xf numFmtId="176" fontId="3" fillId="0" borderId="2" xfId="87" applyFont="1" applyBorder="1" applyAlignment="1">
      <alignment horizontal="left" vertical="center" wrapText="1"/>
      <protection locked="0"/>
    </xf>
    <xf numFmtId="176" fontId="3" fillId="0" borderId="2" xfId="87" applyFont="1" applyBorder="1" applyAlignment="1">
      <alignment horizontal="center" vertical="center" wrapText="1"/>
      <protection locked="0"/>
    </xf>
    <xf numFmtId="176" fontId="24" fillId="0" borderId="15" xfId="88" applyFont="1" applyFill="1" applyBorder="1" applyAlignment="1" applyProtection="1">
      <alignment horizontal="left" vertical="center" wrapText="1"/>
      <protection locked="0"/>
    </xf>
    <xf numFmtId="49" fontId="4" fillId="2" borderId="2" xfId="87" applyNumberFormat="1" applyFont="1" applyFill="1" applyBorder="1" applyAlignment="1">
      <alignment horizontal="center" vertical="center"/>
      <protection locked="0"/>
    </xf>
    <xf numFmtId="176" fontId="24" fillId="2" borderId="2" xfId="88" applyFont="1" applyFill="1" applyBorder="1" applyAlignment="1" applyProtection="1">
      <alignment horizontal="center" vertical="center" wrapText="1"/>
      <protection locked="0"/>
    </xf>
    <xf numFmtId="176" fontId="4" fillId="2" borderId="2" xfId="88" applyFont="1" applyFill="1" applyBorder="1" applyAlignment="1" applyProtection="1">
      <alignment horizontal="center" vertical="center" wrapText="1"/>
      <protection locked="0"/>
    </xf>
    <xf numFmtId="176" fontId="4" fillId="2" borderId="2" xfId="88" applyFont="1" applyFill="1" applyBorder="1" applyAlignment="1" applyProtection="1">
      <alignment horizontal="center" vertical="center"/>
      <protection locked="0"/>
    </xf>
    <xf numFmtId="176" fontId="20" fillId="0" borderId="0" xfId="80" applyFont="1" applyFill="1" applyAlignment="1">
      <alignment horizontal="left" vertical="center"/>
    </xf>
    <xf numFmtId="49" fontId="3" fillId="0" borderId="2" xfId="86" applyNumberFormat="1" applyFont="1" applyFill="1" applyBorder="1" applyAlignment="1">
      <alignment horizontal="center" vertical="center"/>
      <protection locked="0"/>
    </xf>
    <xf numFmtId="176" fontId="3" fillId="0" borderId="2" xfId="86" applyFont="1" applyFill="1" applyBorder="1" applyAlignment="1">
      <alignment horizontal="left" vertical="center" wrapText="1"/>
      <protection locked="0"/>
    </xf>
    <xf numFmtId="176" fontId="58" fillId="0" borderId="2" xfId="86" applyFont="1" applyFill="1" applyBorder="1" applyAlignment="1" applyProtection="1">
      <alignment horizontal="center" vertical="center" wrapText="1"/>
    </xf>
    <xf numFmtId="176" fontId="58" fillId="0" borderId="2" xfId="88" applyFont="1" applyFill="1" applyBorder="1" applyAlignment="1" applyProtection="1">
      <alignment horizontal="center" vertical="center" wrapText="1"/>
    </xf>
    <xf numFmtId="176" fontId="31" fillId="0" borderId="2" xfId="88" applyFont="1" applyFill="1" applyBorder="1" applyAlignment="1" applyProtection="1">
      <alignment horizontal="center" vertical="center" wrapText="1"/>
    </xf>
    <xf numFmtId="176" fontId="3" fillId="0" borderId="2" xfId="86" applyFont="1" applyFill="1" applyBorder="1" applyAlignment="1">
      <alignment horizontal="center" vertical="center" wrapText="1"/>
      <protection locked="0"/>
    </xf>
    <xf numFmtId="49" fontId="3" fillId="0" borderId="2" xfId="87" applyNumberFormat="1" applyFont="1" applyFill="1" applyBorder="1" applyAlignment="1" applyProtection="1">
      <alignment horizontal="left" vertical="center" wrapText="1"/>
      <protection locked="0"/>
    </xf>
    <xf numFmtId="176" fontId="3" fillId="0" borderId="2" xfId="89" applyFont="1" applyFill="1" applyBorder="1" applyAlignment="1" applyProtection="1">
      <alignment horizontal="center" vertical="center"/>
      <protection locked="0"/>
    </xf>
    <xf numFmtId="176" fontId="4" fillId="0" borderId="2" xfId="88" applyFont="1" applyFill="1" applyBorder="1" applyAlignment="1" applyProtection="1">
      <alignment horizontal="center" vertical="center"/>
      <protection locked="0"/>
    </xf>
    <xf numFmtId="176" fontId="3" fillId="0" borderId="2" xfId="88" applyFont="1" applyFill="1" applyBorder="1" applyAlignment="1" applyProtection="1">
      <alignment horizontal="center" vertical="center"/>
      <protection locked="0"/>
    </xf>
    <xf numFmtId="176" fontId="13" fillId="0" borderId="2" xfId="86" applyFont="1" applyFill="1" applyBorder="1" applyAlignment="1">
      <alignment horizontal="center" vertical="center" wrapText="1"/>
      <protection locked="0"/>
    </xf>
    <xf numFmtId="176" fontId="59" fillId="7" borderId="16" xfId="88" applyFont="1" applyFill="1" applyBorder="1" applyAlignment="1" applyProtection="1">
      <alignment horizontal="left" vertical="center" wrapText="1"/>
      <protection locked="0"/>
    </xf>
    <xf numFmtId="176" fontId="59" fillId="7" borderId="0" xfId="88" applyFont="1" applyFill="1" applyAlignment="1" applyProtection="1">
      <alignment horizontal="left" vertical="center" wrapText="1"/>
      <protection locked="0"/>
    </xf>
    <xf numFmtId="176" fontId="22" fillId="0" borderId="2" xfId="86" applyFont="1" applyFill="1" applyBorder="1" applyAlignment="1">
      <alignment horizontal="left" vertical="center" wrapText="1"/>
      <protection locked="0"/>
    </xf>
    <xf numFmtId="176" fontId="4" fillId="0" borderId="2" xfId="86" applyFont="1" applyFill="1" applyBorder="1" applyAlignment="1" applyProtection="1">
      <alignment horizontal="center" vertical="center" wrapText="1"/>
      <protection locked="0"/>
    </xf>
    <xf numFmtId="176" fontId="3" fillId="0" borderId="2" xfId="86" applyFont="1" applyFill="1" applyBorder="1" applyAlignment="1" applyProtection="1">
      <alignment horizontal="center" vertical="center" wrapText="1"/>
      <protection locked="0"/>
    </xf>
    <xf numFmtId="176" fontId="3" fillId="0" borderId="2" xfId="86" applyFont="1" applyFill="1" applyBorder="1" applyAlignment="1" applyProtection="1">
      <alignment horizontal="left" vertical="center" wrapText="1"/>
      <protection locked="0"/>
    </xf>
    <xf numFmtId="176" fontId="4" fillId="0" borderId="2" xfId="86" applyFont="1" applyFill="1" applyBorder="1" applyAlignment="1">
      <alignment horizontal="center" vertical="center" wrapText="1"/>
      <protection locked="0"/>
    </xf>
    <xf numFmtId="176" fontId="3" fillId="0" borderId="8" xfId="86" applyFont="1" applyFill="1" applyBorder="1" applyAlignment="1" applyProtection="1">
      <alignment horizontal="center" vertical="center" wrapText="1"/>
      <protection locked="0"/>
    </xf>
    <xf numFmtId="176" fontId="22" fillId="0" borderId="2" xfId="87" applyFont="1" applyFill="1" applyBorder="1" applyAlignment="1" applyProtection="1">
      <alignment horizontal="left" vertical="center" wrapText="1"/>
      <protection locked="0"/>
    </xf>
    <xf numFmtId="176" fontId="4" fillId="0" borderId="2" xfId="89" applyFont="1" applyFill="1" applyBorder="1" applyAlignment="1" applyProtection="1">
      <alignment horizontal="center" vertical="center"/>
      <protection locked="0"/>
    </xf>
    <xf numFmtId="176" fontId="22" fillId="0" borderId="0" xfId="86" applyFont="1">
      <alignment vertical="center"/>
      <protection locked="0"/>
    </xf>
    <xf numFmtId="176" fontId="60" fillId="0" borderId="2" xfId="88" applyFont="1" applyFill="1" applyBorder="1" applyAlignment="1" applyProtection="1">
      <alignment horizontal="center" vertical="center" wrapText="1"/>
    </xf>
    <xf numFmtId="176" fontId="22" fillId="0" borderId="7" xfId="87" applyFont="1" applyFill="1" applyBorder="1" applyAlignment="1">
      <alignment horizontal="left" vertical="center" wrapText="1"/>
      <protection locked="0"/>
    </xf>
    <xf numFmtId="49" fontId="3" fillId="0" borderId="2" xfId="1" applyNumberFormat="1" applyFont="1" applyFill="1" applyBorder="1" applyAlignment="1" applyProtection="1">
      <alignment horizontal="center" vertical="center" wrapText="1"/>
      <protection locked="0"/>
    </xf>
    <xf numFmtId="176" fontId="22" fillId="0" borderId="0" xfId="99" applyFont="1">
      <alignment vertical="center"/>
    </xf>
    <xf numFmtId="0" fontId="3" fillId="0" borderId="0" xfId="0" applyNumberFormat="1" applyFont="1">
      <protection locked="0"/>
    </xf>
    <xf numFmtId="176" fontId="3" fillId="8" borderId="0" xfId="0" applyFont="1" applyFill="1" applyAlignment="1">
      <alignment horizontal="justify" vertical="center" wrapText="1"/>
      <protection locked="0"/>
    </xf>
    <xf numFmtId="176" fontId="3" fillId="0" borderId="0" xfId="0" applyFont="1" applyAlignment="1">
      <alignment horizontal="justify" wrapText="1"/>
      <protection locked="0"/>
    </xf>
    <xf numFmtId="176" fontId="61" fillId="0" borderId="0" xfId="0" applyFont="1" applyAlignment="1">
      <alignment horizontal="right" wrapText="1"/>
      <protection locked="0"/>
    </xf>
    <xf numFmtId="176" fontId="62" fillId="6" borderId="11" xfId="0" applyFont="1" applyFill="1" applyBorder="1" applyAlignment="1">
      <alignment horizontal="center" wrapText="1"/>
      <protection locked="0"/>
    </xf>
    <xf numFmtId="176" fontId="22" fillId="8" borderId="0" xfId="0" applyFont="1" applyFill="1" applyAlignment="1">
      <alignment horizontal="justify" vertical="center" wrapText="1"/>
      <protection locked="0"/>
    </xf>
    <xf numFmtId="176" fontId="4" fillId="0" borderId="0" xfId="0" applyFont="1" applyAlignment="1">
      <alignment horizontal="justify" wrapText="1"/>
      <protection locked="0"/>
    </xf>
    <xf numFmtId="0" fontId="4" fillId="9" borderId="11" xfId="95" applyFont="1" applyFill="1" applyBorder="1" applyAlignment="1">
      <alignment horizontal="center" vertical="center"/>
      <protection locked="0"/>
    </xf>
    <xf numFmtId="176" fontId="3" fillId="0" borderId="0" xfId="0" applyFont="1" applyAlignment="1">
      <alignment horizontal="justify" vertical="top" wrapText="1"/>
      <protection locked="0"/>
    </xf>
    <xf numFmtId="0" fontId="58" fillId="0" borderId="11" xfId="0" applyNumberFormat="1" applyFont="1" applyBorder="1" applyAlignment="1">
      <alignment horizontal="center" vertical="center" wrapText="1"/>
      <protection locked="0"/>
    </xf>
    <xf numFmtId="176" fontId="20" fillId="0" borderId="11" xfId="6" applyFont="1" applyBorder="1" applyAlignment="1">
      <alignment vertical="center"/>
      <protection locked="0"/>
    </xf>
    <xf numFmtId="176" fontId="14" fillId="0" borderId="11" xfId="0" applyFont="1" applyBorder="1" applyAlignment="1" applyProtection="1">
      <alignment horizontal="center" vertical="center"/>
    </xf>
    <xf numFmtId="176" fontId="3" fillId="0" borderId="11" xfId="0" applyFont="1" applyBorder="1">
      <protection locked="0"/>
    </xf>
    <xf numFmtId="0" fontId="58" fillId="0" borderId="11" xfId="0" applyNumberFormat="1" applyFont="1" applyBorder="1" applyAlignment="1">
      <alignment horizontal="center" vertical="center"/>
      <protection locked="0"/>
    </xf>
    <xf numFmtId="176" fontId="8" fillId="0" borderId="11" xfId="6" applyFont="1" applyBorder="1" applyAlignment="1">
      <alignment vertical="center"/>
      <protection locked="0"/>
    </xf>
    <xf numFmtId="176" fontId="63" fillId="0" borderId="11" xfId="0" applyFont="1" applyBorder="1" applyAlignment="1">
      <alignment wrapText="1"/>
      <protection locked="0"/>
    </xf>
    <xf numFmtId="176" fontId="58" fillId="0" borderId="11" xfId="0" applyFont="1" applyBorder="1" applyAlignment="1">
      <alignment vertical="center"/>
      <protection locked="0"/>
    </xf>
    <xf numFmtId="176" fontId="64" fillId="10" borderId="0" xfId="0" applyFont="1" applyFill="1" applyAlignment="1" applyProtection="1">
      <alignment vertical="center"/>
    </xf>
    <xf numFmtId="176" fontId="65" fillId="11" borderId="0" xfId="0" applyFont="1" applyFill="1" applyAlignment="1" applyProtection="1">
      <alignment vertical="center"/>
    </xf>
    <xf numFmtId="176" fontId="4" fillId="0" borderId="0" xfId="0" applyFont="1" applyAlignment="1">
      <alignment horizontal="justify"/>
      <protection locked="0"/>
    </xf>
    <xf numFmtId="176" fontId="19" fillId="0" borderId="0" xfId="0" applyFont="1" applyAlignment="1">
      <alignment horizontal="center" vertical="center"/>
      <protection locked="0"/>
    </xf>
    <xf numFmtId="176" fontId="5" fillId="0" borderId="0" xfId="0" applyFont="1" applyAlignment="1">
      <alignment horizontal="left" vertical="center" wrapText="1"/>
      <protection locked="0"/>
    </xf>
    <xf numFmtId="176" fontId="1" fillId="0" borderId="0" xfId="0" applyFont="1" applyAlignment="1">
      <alignment horizontal="left" vertical="center" wrapText="1"/>
      <protection locked="0"/>
    </xf>
    <xf numFmtId="0" fontId="3" fillId="0" borderId="0" xfId="0" applyNumberFormat="1" applyFont="1" applyAlignment="1">
      <alignment horizontal="center"/>
      <protection locked="0"/>
    </xf>
  </cellXfs>
  <cellStyles count="108">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_text" xfId="49"/>
    <cellStyle name="{Comma [0]}" xfId="50"/>
    <cellStyle name="{Comma}" xfId="51"/>
    <cellStyle name="{Date}" xfId="52"/>
    <cellStyle name="{Month}" xfId="53"/>
    <cellStyle name="{Percent}" xfId="54"/>
    <cellStyle name="{Thousand [0]}" xfId="55"/>
    <cellStyle name="{Thousand}" xfId="56"/>
    <cellStyle name="{Z'0000(1 dec)}" xfId="57"/>
    <cellStyle name="{Z'0000(4 dec)}" xfId="58"/>
    <cellStyle name="Black" xfId="59"/>
    <cellStyle name="Border" xfId="60"/>
    <cellStyle name="Comma [0]_1995" xfId="61"/>
    <cellStyle name="Comma_1995" xfId="62"/>
    <cellStyle name="Currency [0]_1995" xfId="63"/>
    <cellStyle name="Currency_1995" xfId="64"/>
    <cellStyle name="Dezimal [0]_laroux" xfId="65"/>
    <cellStyle name="Dezimal_laroux" xfId="66"/>
    <cellStyle name="Euro" xfId="67"/>
    <cellStyle name="Followed Hyperlink_AheadBehind.xls Chart 23" xfId="68"/>
    <cellStyle name="Grey" xfId="69"/>
    <cellStyle name="Hyperlink_AheadBehind.xls Chart 23" xfId="70"/>
    <cellStyle name="Input [yellow]" xfId="71"/>
    <cellStyle name="Milliers [0]_laroux" xfId="72"/>
    <cellStyle name="Milliers_laroux" xfId="73"/>
    <cellStyle name="Non défini" xfId="74"/>
    <cellStyle name="Normal - Style1" xfId="75"/>
    <cellStyle name="Normal_22-Jun EUS Forecasts" xfId="76"/>
    <cellStyle name="Percent [2]" xfId="77"/>
    <cellStyle name="Red" xfId="78"/>
    <cellStyle name="百分比 2" xfId="79"/>
    <cellStyle name="常规 11 5" xfId="80"/>
    <cellStyle name="常规 2" xfId="81"/>
    <cellStyle name="常规 2 2" xfId="82"/>
    <cellStyle name="常规 2 8" xfId="83"/>
    <cellStyle name="常规 3" xfId="84"/>
    <cellStyle name="常规 4" xfId="85"/>
    <cellStyle name="常规 5" xfId="86"/>
    <cellStyle name="常规 6" xfId="87"/>
    <cellStyle name="常规 7" xfId="88"/>
    <cellStyle name="常规 7 2" xfId="89"/>
    <cellStyle name="常规_Book1" xfId="90"/>
    <cellStyle name="常规_Book1 2" xfId="91"/>
    <cellStyle name="常规_c-资产类" xfId="92"/>
    <cellStyle name="常规_SA 营业收入" xfId="93"/>
    <cellStyle name="常规_进一步审计程序--销售与收款循环" xfId="94"/>
    <cellStyle name="常规_通用表" xfId="95"/>
    <cellStyle name="常规_新审定表" xfId="96"/>
    <cellStyle name="常规_新审定表 2" xfId="97"/>
    <cellStyle name="常规_制造费用" xfId="98"/>
    <cellStyle name="常规_制造费用 2" xfId="99"/>
    <cellStyle name="超链接 2 2" xfId="100"/>
    <cellStyle name="普通_ 外G9(3)" xfId="101"/>
    <cellStyle name="千分位[0]_宁波" xfId="102"/>
    <cellStyle name="千分位_宁波" xfId="103"/>
    <cellStyle name="千位[0]_laroux" xfId="104"/>
    <cellStyle name="千位_laroux" xfId="105"/>
    <cellStyle name="千位分隔 2 4" xfId="106"/>
    <cellStyle name="千位分隔 6" xfId="107"/>
  </cellStyles>
  <tableStyles count="0" defaultTableStyle="TableStyleMedium2" defaultPivotStyle="PivotStyleLight16"/>
  <colors>
    <mruColors>
      <color rgb="00E4DFEC"/>
      <color rgb="000000FF"/>
      <color rgb="00FFFF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aredStrings" Target="sharedStrings.xml"/><Relationship Id="rId23" Type="http://schemas.openxmlformats.org/officeDocument/2006/relationships/theme" Target="theme/theme1.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vmlDrawing2.vml.rels><?xml version="1.0" encoding="UTF-8" standalone="yes"?>
<Relationships xmlns="http://schemas.openxmlformats.org/package/2006/relationships"><Relationship Id="rId2" Type="http://schemas.openxmlformats.org/officeDocument/2006/relationships/image" Target="../media/image2.wmf"/><Relationship Id="rId1" Type="http://schemas.openxmlformats.org/officeDocument/2006/relationships/image" Target="../media/image1.wmf"/></Relationships>
</file>

<file path=xl/drawings/drawing1.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xdr:from>
          <xdr:col>0</xdr:col>
          <xdr:colOff>106680</xdr:colOff>
          <xdr:row>50</xdr:row>
          <xdr:rowOff>45720</xdr:rowOff>
        </xdr:from>
        <xdr:to>
          <xdr:col>3</xdr:col>
          <xdr:colOff>0</xdr:colOff>
          <xdr:row>52</xdr:row>
          <xdr:rowOff>137160</xdr:rowOff>
        </xdr:to>
        <xdr:sp>
          <xdr:nvSpPr>
            <xdr:cNvPr id="6145" name="Object 1" hidden="1">
              <a:extLst>
                <a:ext uri="{63B3BB69-23CF-44E3-9099-C40C66FF867C}">
                  <a14:compatExt spid="_x0000_s6145"/>
                </a:ext>
              </a:extLst>
            </xdr:cNvPr>
            <xdr:cNvSpPr/>
          </xdr:nvSpPr>
          <xdr:spPr>
            <a:xfrm>
              <a:off x="106680" y="12788265"/>
              <a:ext cx="2781300" cy="59817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655320</xdr:colOff>
          <xdr:row>50</xdr:row>
          <xdr:rowOff>144780</xdr:rowOff>
        </xdr:from>
        <xdr:to>
          <xdr:col>7</xdr:col>
          <xdr:colOff>198120</xdr:colOff>
          <xdr:row>52</xdr:row>
          <xdr:rowOff>76200</xdr:rowOff>
        </xdr:to>
        <xdr:sp>
          <xdr:nvSpPr>
            <xdr:cNvPr id="6146" name="Object 2" hidden="1">
              <a:extLst>
                <a:ext uri="{63B3BB69-23CF-44E3-9099-C40C66FF867C}">
                  <a14:compatExt spid="_x0000_s6146"/>
                </a:ext>
              </a:extLst>
            </xdr:cNvPr>
            <xdr:cNvSpPr/>
          </xdr:nvSpPr>
          <xdr:spPr>
            <a:xfrm>
              <a:off x="3543300" y="12887325"/>
              <a:ext cx="2004060" cy="438150"/>
            </a:xfrm>
            <a:prstGeom prst="rect">
              <a:avLst/>
            </a:prstGeom>
          </xdr:spPr>
        </xdr:sp>
        <xdr:clientData/>
      </xdr:twoCellAnchor>
    </mc:Choice>
    <mc:Fallback/>
  </mc:AlternateContent>
</xdr:wsDr>
</file>

<file path=xl/theme/theme1.xml><?xml version="1.0" encoding="utf-8"?>
<a:theme xmlns:a="http://schemas.openxmlformats.org/drawingml/2006/main" name="离子会议室">
  <a:themeElements>
    <a:clrScheme name="紫罗兰色">
      <a:dk1>
        <a:sysClr val="windowText" lastClr="000000"/>
      </a:dk1>
      <a:lt1>
        <a:sysClr val="window" lastClr="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离子会议室">
      <a:majorFont>
        <a:latin typeface="Century Gothic"/>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离子会议室">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8000"/>
                <a:hueMod val="124000"/>
                <a:satMod val="148000"/>
                <a:lumMod val="124000"/>
              </a:schemeClr>
            </a:gs>
            <a:gs pos="100000">
              <a:schemeClr val="phClr">
                <a:shade val="76000"/>
                <a:hueMod val="89000"/>
                <a:satMod val="164000"/>
                <a:lumMod val="56000"/>
              </a:schemeClr>
            </a:gs>
          </a:gsLst>
          <a:path path="circle">
            <a:fillToRect l="45000" t="65000" r="125000" b="100000"/>
          </a:path>
        </a:gradFill>
        <a:blipFill rotWithShape="1">
          <a:stretch>
            <a:fillRect/>
          </a:stretch>
        </a:blip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9.xml.rels><?xml version='1.0' encoding='utf-8'?>
<Relationships xmlns="http://schemas.openxmlformats.org/package/2006/relationships"><Relationship Id="rId6" Type="http://schemas.openxmlformats.org/officeDocument/2006/relationships/image" Target="../media/image2.wmf" /><Relationship Id="rId4" Type="http://schemas.openxmlformats.org/officeDocument/2006/relationships/image" Target="../media/image1.wmf" /><Relationship Id="rId2" Type="http://schemas.openxmlformats.org/officeDocument/2006/relationships/vmlDrawing" Target="../drawings/vmlDrawing2.vml"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H25"/>
  <sheetViews>
    <sheetView workbookViewId="0">
      <selection activeCell="A1" sqref="A1"/>
    </sheetView>
  </sheetViews>
  <sheetFormatPr defaultColWidth="9" defaultRowHeight="19.95" customHeight="1" outlineLevelCol="7"/>
  <cols>
    <col min="1" max="1" width="77.5" style="47" customWidth="1"/>
    <col min="2" max="2" width="2" style="47" customWidth="1"/>
    <col min="3" max="3" width="2.1" style="47" customWidth="1"/>
    <col min="4" max="4" width="6.1" style="566" customWidth="1"/>
    <col min="5" max="5" width="42.6" style="47" customWidth="1"/>
    <col min="6" max="6" width="7.5" style="47" customWidth="1"/>
    <col min="7" max="16384" width="8.8" style="47"/>
  </cols>
  <sheetData>
    <row r="1" s="6" customFormat="1" customHeight="1" spans="1:8">
      <c r="A1" s="5" t="s">
        <v>0</v>
      </c>
      <c r="D1" s="208"/>
    </row>
    <row r="2" customHeight="1" spans="1:8">
      <c r="A2" s="567" t="s">
        <v>1</v>
      </c>
      <c r="B2" s="568"/>
      <c r="C2" s="568"/>
      <c r="G2" s="569" t="s">
        <v>2</v>
      </c>
      <c r="H2" s="570" t="s">
        <v>3</v>
      </c>
    </row>
    <row r="3" customHeight="1" spans="1:8">
      <c r="A3" s="571" t="s">
        <v>4</v>
      </c>
      <c r="B3" s="568"/>
      <c r="C3" s="572"/>
      <c r="D3" s="573" t="s">
        <v>5</v>
      </c>
      <c r="E3" s="573" t="s">
        <v>6</v>
      </c>
      <c r="F3" s="573" t="s">
        <v>7</v>
      </c>
      <c r="G3" s="573" t="s">
        <v>8</v>
      </c>
      <c r="H3" s="574"/>
    </row>
    <row r="4" customHeight="1" spans="1:8">
      <c r="A4" s="567" t="s">
        <v>9</v>
      </c>
      <c r="D4" s="575">
        <v>1</v>
      </c>
      <c r="E4" s="576" t="s">
        <v>10</v>
      </c>
      <c r="F4" s="577" t="s">
        <v>11</v>
      </c>
      <c r="G4" s="578"/>
      <c r="H4" s="568"/>
    </row>
    <row r="5" customHeight="1" spans="1:8">
      <c r="A5" s="567" t="s">
        <v>12</v>
      </c>
      <c r="D5" s="579">
        <f>D4+1</f>
        <v>2</v>
      </c>
      <c r="E5" s="580" t="s">
        <v>13</v>
      </c>
      <c r="F5" s="577" t="s">
        <v>14</v>
      </c>
      <c r="G5" s="581" t="str">
        <f>IF(底稿目录!$H$2="成本模式","有效（当前模式）","不适用（请标注并留空）")</f>
        <v>有效（当前模式）</v>
      </c>
    </row>
    <row r="6" customHeight="1" spans="1:8">
      <c r="A6" s="567" t="s">
        <v>15</v>
      </c>
      <c r="D6" s="579">
        <f>D5+1</f>
        <v>3</v>
      </c>
      <c r="E6" s="580" t="s">
        <v>16</v>
      </c>
      <c r="F6" s="577" t="s">
        <v>14</v>
      </c>
      <c r="G6" s="581" t="str">
        <f>IF(底稿目录!$H$2="公允价值模式","有效（当前模式）","不适用（请标注并留空）")</f>
        <v>不适用（请标注并留空）</v>
      </c>
    </row>
    <row r="7" customHeight="1" spans="1:8">
      <c r="A7" s="567" t="s">
        <v>17</v>
      </c>
      <c r="D7" s="579">
        <f t="shared" ref="D7:D24" si="0">D6+1</f>
        <v>4</v>
      </c>
      <c r="E7" s="580" t="s">
        <v>18</v>
      </c>
      <c r="F7" s="582"/>
      <c r="G7" s="582" t="s">
        <v>19</v>
      </c>
    </row>
    <row r="8" customHeight="1" spans="1:8">
      <c r="A8" s="583" t="s">
        <v>20</v>
      </c>
      <c r="D8" s="579">
        <f t="shared" si="0"/>
        <v>5</v>
      </c>
      <c r="E8" s="580" t="s">
        <v>21</v>
      </c>
      <c r="F8" s="582"/>
      <c r="G8" s="582" t="s">
        <v>19</v>
      </c>
    </row>
    <row r="9" customHeight="1" spans="1:8">
      <c r="A9" s="584" t="s">
        <v>22</v>
      </c>
      <c r="D9" s="579">
        <f t="shared" si="0"/>
        <v>6</v>
      </c>
      <c r="E9" s="580" t="s">
        <v>23</v>
      </c>
      <c r="F9" s="577" t="s">
        <v>24</v>
      </c>
      <c r="G9" s="578"/>
    </row>
    <row r="10" customHeight="1" spans="1:8">
      <c r="A10" s="584" t="s">
        <v>25</v>
      </c>
      <c r="D10" s="579">
        <f t="shared" si="0"/>
        <v>7</v>
      </c>
      <c r="E10" s="580" t="s">
        <v>26</v>
      </c>
      <c r="F10" s="577" t="s">
        <v>24</v>
      </c>
      <c r="G10" s="578"/>
    </row>
    <row r="11" customHeight="1" spans="1:8">
      <c r="A11" s="584" t="s">
        <v>27</v>
      </c>
      <c r="D11" s="579">
        <f t="shared" si="0"/>
        <v>8</v>
      </c>
      <c r="E11" s="576" t="s">
        <v>28</v>
      </c>
      <c r="F11" s="577" t="s">
        <v>29</v>
      </c>
      <c r="G11" s="578"/>
    </row>
    <row r="12" customHeight="1" spans="1:8">
      <c r="A12" s="584" t="s">
        <v>30</v>
      </c>
      <c r="D12" s="579">
        <f t="shared" si="0"/>
        <v>9</v>
      </c>
      <c r="E12" s="576" t="s">
        <v>31</v>
      </c>
      <c r="F12" s="577" t="s">
        <v>32</v>
      </c>
      <c r="G12" s="578"/>
    </row>
    <row r="13" customHeight="1" spans="1:8">
      <c r="D13" s="579">
        <f t="shared" si="0"/>
        <v>10</v>
      </c>
      <c r="E13" s="576" t="s">
        <v>33</v>
      </c>
      <c r="F13" s="577" t="s">
        <v>34</v>
      </c>
      <c r="G13" s="578"/>
    </row>
    <row r="14" customHeight="1" spans="1:8">
      <c r="A14" s="585"/>
      <c r="D14" s="579">
        <f t="shared" si="0"/>
        <v>11</v>
      </c>
      <c r="E14" s="576" t="s">
        <v>35</v>
      </c>
      <c r="F14" s="577" t="s">
        <v>34</v>
      </c>
      <c r="G14" s="578"/>
    </row>
    <row r="15" customHeight="1" spans="1:8">
      <c r="A15" s="586" t="s">
        <v>36</v>
      </c>
      <c r="D15" s="579">
        <f t="shared" si="0"/>
        <v>12</v>
      </c>
      <c r="E15" s="576" t="s">
        <v>37</v>
      </c>
      <c r="F15" s="577" t="s">
        <v>38</v>
      </c>
      <c r="G15" s="578"/>
    </row>
    <row r="16" customHeight="1" spans="1:8">
      <c r="A16" s="587" t="s">
        <v>39</v>
      </c>
      <c r="D16" s="579">
        <f t="shared" si="0"/>
        <v>13</v>
      </c>
      <c r="E16" s="576" t="s">
        <v>40</v>
      </c>
      <c r="F16" s="577" t="s">
        <v>41</v>
      </c>
      <c r="G16" s="578"/>
    </row>
    <row r="17" customHeight="1" spans="1:7">
      <c r="A17" s="587"/>
      <c r="D17" s="579">
        <f t="shared" si="0"/>
        <v>14</v>
      </c>
      <c r="E17" s="576" t="s">
        <v>42</v>
      </c>
      <c r="F17" s="577" t="s">
        <v>41</v>
      </c>
      <c r="G17" s="578"/>
    </row>
    <row r="18" customHeight="1" spans="1:7">
      <c r="A18" s="587"/>
      <c r="D18" s="579">
        <f t="shared" si="0"/>
        <v>15</v>
      </c>
      <c r="E18" s="576" t="s">
        <v>43</v>
      </c>
      <c r="F18" s="577" t="s">
        <v>44</v>
      </c>
      <c r="G18" s="578"/>
    </row>
    <row r="19" customHeight="1" spans="1:7">
      <c r="A19" s="587"/>
      <c r="D19" s="579">
        <f t="shared" si="0"/>
        <v>16</v>
      </c>
      <c r="E19" s="576" t="s">
        <v>45</v>
      </c>
      <c r="F19" s="577" t="s">
        <v>46</v>
      </c>
      <c r="G19" s="578"/>
    </row>
    <row r="20" customHeight="1" spans="1:7">
      <c r="A20" s="587" t="s">
        <v>47</v>
      </c>
      <c r="D20" s="579">
        <f t="shared" si="0"/>
        <v>17</v>
      </c>
      <c r="E20" s="576" t="s">
        <v>48</v>
      </c>
      <c r="F20" s="577" t="s">
        <v>49</v>
      </c>
      <c r="G20" s="578"/>
    </row>
    <row r="21" customHeight="1" spans="1:7">
      <c r="A21" s="587"/>
      <c r="D21" s="579">
        <f t="shared" si="0"/>
        <v>18</v>
      </c>
      <c r="E21" s="576" t="s">
        <v>50</v>
      </c>
      <c r="F21" s="577" t="s">
        <v>51</v>
      </c>
      <c r="G21" s="578"/>
    </row>
    <row r="22" customHeight="1" spans="1:7">
      <c r="A22" s="587"/>
      <c r="D22" s="579">
        <f t="shared" si="0"/>
        <v>19</v>
      </c>
      <c r="E22" s="576" t="s">
        <v>52</v>
      </c>
      <c r="F22" s="577" t="s">
        <v>53</v>
      </c>
      <c r="G22" s="578"/>
    </row>
    <row r="23" customHeight="1" spans="1:7">
      <c r="A23" s="588" t="s">
        <v>54</v>
      </c>
      <c r="D23" s="579">
        <f t="shared" si="0"/>
        <v>20</v>
      </c>
      <c r="E23" s="576" t="s">
        <v>55</v>
      </c>
      <c r="F23" s="577" t="s">
        <v>56</v>
      </c>
      <c r="G23" s="578"/>
    </row>
    <row r="24" customHeight="1" spans="1:7">
      <c r="A24" s="588"/>
      <c r="D24" s="579">
        <f t="shared" si="0"/>
        <v>21</v>
      </c>
      <c r="E24" s="576" t="s">
        <v>57</v>
      </c>
      <c r="F24" s="577" t="s">
        <v>58</v>
      </c>
      <c r="G24" s="578"/>
    </row>
    <row r="25" customHeight="1" spans="1:7">
      <c r="A25" s="588"/>
      <c r="D25" s="589"/>
    </row>
  </sheetData>
  <mergeCells count="3">
    <mergeCell ref="A16:A19"/>
    <mergeCell ref="A20:A22"/>
    <mergeCell ref="A23:A25"/>
  </mergeCells>
  <dataValidations count="1">
    <dataValidation type="list" allowBlank="1" showInputMessage="1" showErrorMessage="1" errorTitle="模式选择" error="请选择成本模式或公允价值模式。同一企业通常只能选一种后续计量模式。" sqref="H2">
      <formula1>"""成本模式,公允价值模式"""</formula1>
    </dataValidation>
  </dataValidations>
  <hyperlinks>
    <hyperlink ref="E4" location="投资性房地产实质性程序表H3A!A1" display="投资性房地产实质性程序表"/>
    <hyperlink ref="E5" location="'审定表（成本模式）H3-1'!A1" display="审定表（成本模式）"/>
    <hyperlink ref="E6" location="'审定表（公允价值模式）H3-1'!A1" display="审定表（公允价值模式）"/>
    <hyperlink ref="E7" location="'附注披露信息（上市公司）'!A1" display="附注披露信息（上市公司）"/>
    <hyperlink ref="E8" location="'附注披露信息（国有企业）'!A1" display="附注披露信息（国有企业）"/>
    <hyperlink ref="E9" location="'明细表（成本模式）H3-2'!A1" display="明细表（成本模式）"/>
    <hyperlink ref="E10" location="'明细表（公允价值模式）H3-2'!A1" display="明细表（公允价值模式）"/>
    <hyperlink ref="E11" location="'调整分录汇总H3-3'!A1" display="调整分录汇总"/>
    <hyperlink ref="E12" location="'会计政策会计估计检查表H3-4'!A1" display="会计政策会计估计检查表"/>
    <hyperlink ref="E13" location="'增减检查表（成本模式）H3-5'!A1" display="增减检查表（成本模式）"/>
    <hyperlink ref="E14" location="'增减检查表（公允价值模式）H3-5'!A1" display="增减检查表（公允价值模式）"/>
    <hyperlink ref="E16" location="'折旧测算表（成本模式不含减值）H3-7'!A1" display="折旧测算表（成本模式不含减值）"/>
    <hyperlink ref="E17" location="'折旧测算表（成本模式含减值）H3-7'!A1" display="折旧测算表（成本模式含减值）"/>
    <hyperlink ref="E18" location="'公允价值复核表H3-8'!A1" display="公允价值复核表"/>
    <hyperlink ref="E15" location="'互转审核表H3-6'!A1" display="互转审核表"/>
    <hyperlink ref="E20" location="'减值测算表H3-10'!A1" display="减值测算表"/>
    <hyperlink ref="E21" location="'可收回金额测试表H3-11'!A1" display="可收回金额测试表"/>
    <hyperlink ref="E19" location="'盘点检查表H3-9'!A1" display="盘点检查表"/>
    <hyperlink ref="E22" location="'产权核对表H3-13'!A1" display="产权核对表"/>
    <hyperlink ref="E24" location="'租金收入测算表H3-14'!A1" display="租金收入测算表"/>
    <hyperlink ref="E23" location="'关联交易检查表H3-15'!A1" display="关联交易检查表"/>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36"/>
  <sheetViews>
    <sheetView view="pageBreakPreview" zoomScaleNormal="90" workbookViewId="0">
      <selection activeCell="A1" sqref="A1:I1"/>
    </sheetView>
  </sheetViews>
  <sheetFormatPr defaultColWidth="9" defaultRowHeight="19.95" customHeight="1"/>
  <cols>
    <col min="1" max="1" width="4.8" style="521" customWidth="1"/>
    <col min="2" max="2" width="66.7" style="522" customWidth="1"/>
    <col min="3" max="3" width="10.2" style="522" customWidth="1"/>
    <col min="4" max="4" width="5.4" style="522" customWidth="1"/>
    <col min="5" max="6" width="6.3" style="522" customWidth="1"/>
    <col min="7" max="7" width="7.3" style="522" customWidth="1"/>
    <col min="8" max="8" width="5.3" style="522" customWidth="1"/>
    <col min="9" max="9" width="7.4" style="522" customWidth="1"/>
    <col min="10" max="10" width="47.9" style="522" customWidth="1"/>
    <col min="11" max="11" width="9" style="522"/>
    <col min="12" max="12" width="28.6" style="522" customWidth="1"/>
    <col min="13" max="16384" width="9" style="522"/>
  </cols>
  <sheetData>
    <row r="1" s="517" customFormat="1" customHeight="1" spans="1:10">
      <c r="A1" s="523" t="s">
        <v>59</v>
      </c>
      <c r="B1" s="523"/>
      <c r="C1" s="523"/>
      <c r="D1" s="523"/>
      <c r="E1" s="523"/>
      <c r="F1" s="523"/>
      <c r="G1" s="523"/>
      <c r="H1" s="523"/>
      <c r="I1" s="523"/>
    </row>
    <row r="2" s="518" customFormat="1" customHeight="1" spans="1:10">
      <c r="A2" s="524" t="s">
        <v>60</v>
      </c>
      <c r="B2" s="524"/>
      <c r="C2" s="524"/>
      <c r="D2" s="524"/>
      <c r="E2" s="524"/>
      <c r="F2" s="524"/>
      <c r="G2" s="524"/>
      <c r="H2" s="524"/>
      <c r="I2" s="524"/>
    </row>
    <row r="3" s="519" customFormat="1" customHeight="1" spans="1:10">
      <c r="A3" s="525" t="str">
        <f>底稿目录!A2</f>
        <v>被审计单位：</v>
      </c>
      <c r="B3" s="525"/>
      <c r="C3" s="519" t="str">
        <f>底稿目录!A4</f>
        <v>编制人：</v>
      </c>
      <c r="E3" s="519" t="str">
        <f>底稿目录!A6</f>
        <v>编制日期：</v>
      </c>
      <c r="H3" s="12" t="s">
        <v>61</v>
      </c>
      <c r="I3" s="13" t="s">
        <v>11</v>
      </c>
    </row>
    <row r="4" s="519" customFormat="1" customHeight="1" spans="1:10">
      <c r="A4" s="525" t="str">
        <f>底稿目录!A3</f>
        <v>截止日：202X年12月31日</v>
      </c>
      <c r="B4" s="525"/>
      <c r="C4" s="519" t="str">
        <f>底稿目录!A5</f>
        <v>复核人：</v>
      </c>
      <c r="E4" s="519" t="str">
        <f>底稿目录!A7</f>
        <v>复核日期：</v>
      </c>
      <c r="H4" s="12" t="s">
        <v>62</v>
      </c>
      <c r="I4" s="14"/>
    </row>
    <row r="5" customHeight="1" spans="1:10">
      <c r="A5" s="526" t="s">
        <v>63</v>
      </c>
      <c r="B5" s="526"/>
    </row>
    <row r="6" customHeight="1" spans="1:10">
      <c r="A6" s="527" t="s">
        <v>64</v>
      </c>
      <c r="B6" s="527"/>
      <c r="C6" s="527"/>
      <c r="D6" s="527"/>
      <c r="E6" s="527"/>
      <c r="F6" s="527"/>
      <c r="G6" s="527"/>
      <c r="H6" s="527"/>
      <c r="I6" s="527"/>
    </row>
    <row r="7" s="519" customFormat="1" customHeight="1" spans="1:10">
      <c r="A7" s="528" t="s">
        <v>65</v>
      </c>
      <c r="B7" s="526"/>
      <c r="C7" s="529"/>
    </row>
    <row r="8" s="520" customFormat="1" customHeight="1" spans="1:10">
      <c r="A8" s="530" t="s">
        <v>66</v>
      </c>
      <c r="B8" s="531"/>
      <c r="C8" s="531"/>
      <c r="D8" s="531"/>
      <c r="E8" s="531"/>
      <c r="F8" s="531"/>
      <c r="G8" s="531" t="s">
        <v>67</v>
      </c>
      <c r="H8" s="531"/>
      <c r="I8" s="531"/>
    </row>
    <row r="9" s="520" customFormat="1" customHeight="1" spans="1:10">
      <c r="A9" s="532" t="s">
        <v>68</v>
      </c>
      <c r="B9" s="532"/>
      <c r="C9" s="532"/>
      <c r="D9" s="532"/>
      <c r="E9" s="532"/>
      <c r="F9" s="532"/>
      <c r="G9" s="533" t="s">
        <v>69</v>
      </c>
      <c r="H9" s="533"/>
      <c r="I9" s="533"/>
    </row>
    <row r="10" s="520" customFormat="1" customHeight="1" spans="1:10">
      <c r="A10" s="532" t="s">
        <v>70</v>
      </c>
      <c r="B10" s="532"/>
      <c r="C10" s="532"/>
      <c r="D10" s="532"/>
      <c r="E10" s="532"/>
      <c r="F10" s="532"/>
      <c r="G10" s="533" t="s">
        <v>71</v>
      </c>
      <c r="H10" s="533"/>
      <c r="I10" s="533"/>
    </row>
    <row r="11" s="520" customFormat="1" customHeight="1" spans="1:10">
      <c r="A11" s="532" t="s">
        <v>72</v>
      </c>
      <c r="B11" s="532"/>
      <c r="C11" s="532"/>
      <c r="D11" s="532"/>
      <c r="E11" s="532"/>
      <c r="F11" s="532"/>
      <c r="G11" s="533" t="s">
        <v>73</v>
      </c>
      <c r="H11" s="533"/>
      <c r="I11" s="533"/>
    </row>
    <row r="12" s="520" customFormat="1" customHeight="1" spans="1:10">
      <c r="A12" s="532" t="s">
        <v>74</v>
      </c>
      <c r="B12" s="532"/>
      <c r="C12" s="532"/>
      <c r="D12" s="532"/>
      <c r="E12" s="532"/>
      <c r="F12" s="532"/>
      <c r="G12" s="533" t="s">
        <v>75</v>
      </c>
      <c r="H12" s="533"/>
      <c r="I12" s="533"/>
    </row>
    <row r="13" s="520" customFormat="1" customHeight="1" spans="1:10">
      <c r="A13" s="532" t="s">
        <v>76</v>
      </c>
      <c r="B13" s="532"/>
      <c r="C13" s="532"/>
      <c r="D13" s="532"/>
      <c r="E13" s="532"/>
      <c r="F13" s="532"/>
      <c r="G13" s="533" t="s">
        <v>77</v>
      </c>
      <c r="H13" s="533"/>
      <c r="I13" s="533"/>
    </row>
    <row r="14" s="519" customFormat="1" customHeight="1" spans="1:10">
      <c r="A14" s="534" t="s">
        <v>78</v>
      </c>
      <c r="B14" s="534"/>
      <c r="C14" s="529"/>
    </row>
    <row r="15" s="519" customFormat="1" customHeight="1" spans="1:10">
      <c r="A15" s="535" t="s">
        <v>5</v>
      </c>
      <c r="B15" s="536" t="s">
        <v>79</v>
      </c>
      <c r="C15" s="537" t="s">
        <v>80</v>
      </c>
      <c r="D15" s="538" t="s">
        <v>67</v>
      </c>
      <c r="E15" s="538"/>
      <c r="F15" s="538"/>
      <c r="G15" s="538"/>
      <c r="H15" s="538"/>
      <c r="I15" s="537" t="s">
        <v>81</v>
      </c>
    </row>
    <row r="16" s="519" customFormat="1" ht="40.2" customHeight="1" spans="1:10">
      <c r="A16" s="535"/>
      <c r="B16" s="536"/>
      <c r="C16" s="537"/>
      <c r="D16" s="538" t="s">
        <v>82</v>
      </c>
      <c r="E16" s="538" t="s">
        <v>83</v>
      </c>
      <c r="F16" s="537" t="s">
        <v>84</v>
      </c>
      <c r="G16" s="537" t="s">
        <v>85</v>
      </c>
      <c r="H16" s="537" t="s">
        <v>86</v>
      </c>
      <c r="I16" s="537"/>
      <c r="J16" s="539" t="s">
        <v>87</v>
      </c>
    </row>
    <row r="17" s="519" customFormat="1" ht="69" customHeight="1" spans="1:12">
      <c r="A17" s="540" t="s">
        <v>88</v>
      </c>
      <c r="B17" s="541" t="s">
        <v>89</v>
      </c>
      <c r="C17" s="542" t="s">
        <v>90</v>
      </c>
      <c r="D17" s="543" t="s">
        <v>91</v>
      </c>
      <c r="E17" s="543" t="s">
        <v>91</v>
      </c>
      <c r="F17" s="543"/>
      <c r="G17" s="544" t="s">
        <v>92</v>
      </c>
      <c r="H17" s="545"/>
      <c r="I17" s="545" t="s">
        <v>93</v>
      </c>
    </row>
    <row r="18" s="519" customFormat="1" ht="55.8" customHeight="1" spans="1:12">
      <c r="A18" s="540" t="s">
        <v>94</v>
      </c>
      <c r="B18" s="546" t="s">
        <v>95</v>
      </c>
      <c r="C18" s="542" t="s">
        <v>90</v>
      </c>
      <c r="D18" s="547"/>
      <c r="E18" s="548" t="s">
        <v>96</v>
      </c>
      <c r="F18" s="547"/>
      <c r="G18" s="549" t="s">
        <v>97</v>
      </c>
      <c r="H18" s="545"/>
      <c r="I18" s="550" t="s">
        <v>98</v>
      </c>
      <c r="J18" s="551" t="s">
        <v>99</v>
      </c>
      <c r="K18" s="552"/>
      <c r="L18" s="552"/>
    </row>
    <row r="19" s="519" customFormat="1" ht="54" customHeight="1" spans="1:12">
      <c r="A19" s="540" t="s">
        <v>100</v>
      </c>
      <c r="B19" s="553" t="s">
        <v>101</v>
      </c>
      <c r="C19" s="542" t="s">
        <v>102</v>
      </c>
      <c r="D19" s="554" t="s">
        <v>96</v>
      </c>
      <c r="E19" s="555" t="s">
        <v>97</v>
      </c>
      <c r="F19" s="555" t="s">
        <v>97</v>
      </c>
      <c r="G19" s="555" t="s">
        <v>97</v>
      </c>
      <c r="H19" s="545"/>
      <c r="I19" s="545"/>
      <c r="J19" s="551" t="s">
        <v>103</v>
      </c>
      <c r="K19" s="552"/>
      <c r="L19" s="552"/>
    </row>
    <row r="20" s="519" customFormat="1" ht="98.4" customHeight="1" spans="1:12">
      <c r="A20" s="540" t="s">
        <v>104</v>
      </c>
      <c r="B20" s="556" t="s">
        <v>105</v>
      </c>
      <c r="C20" s="545" t="s">
        <v>90</v>
      </c>
      <c r="D20" s="555" t="s">
        <v>97</v>
      </c>
      <c r="E20" s="555" t="s">
        <v>97</v>
      </c>
      <c r="F20" s="555"/>
      <c r="G20" s="554" t="s">
        <v>96</v>
      </c>
      <c r="H20" s="545"/>
      <c r="I20" s="545" t="s">
        <v>32</v>
      </c>
    </row>
    <row r="21" s="519" customFormat="1" ht="97.8" customHeight="1" spans="1:12">
      <c r="A21" s="540" t="s">
        <v>106</v>
      </c>
      <c r="B21" s="541" t="s">
        <v>107</v>
      </c>
      <c r="C21" s="542" t="s">
        <v>108</v>
      </c>
      <c r="D21" s="557" t="s">
        <v>96</v>
      </c>
      <c r="E21" s="545" t="s">
        <v>97</v>
      </c>
      <c r="F21" s="545" t="s">
        <v>97</v>
      </c>
      <c r="G21" s="545" t="s">
        <v>97</v>
      </c>
      <c r="H21" s="545"/>
      <c r="I21" s="545" t="s">
        <v>109</v>
      </c>
    </row>
    <row r="22" s="519" customFormat="1" ht="72.6" customHeight="1" spans="1:12">
      <c r="A22" s="540" t="s">
        <v>110</v>
      </c>
      <c r="B22" s="541" t="s">
        <v>111</v>
      </c>
      <c r="C22" s="542" t="s">
        <v>90</v>
      </c>
      <c r="D22" s="555" t="s">
        <v>97</v>
      </c>
      <c r="E22" s="555" t="s">
        <v>97</v>
      </c>
      <c r="F22" s="555"/>
      <c r="G22" s="554" t="s">
        <v>96</v>
      </c>
      <c r="H22" s="545"/>
      <c r="I22" s="545" t="s">
        <v>109</v>
      </c>
    </row>
    <row r="23" s="519" customFormat="1" ht="33" customHeight="1" spans="1:12">
      <c r="A23" s="540" t="s">
        <v>112</v>
      </c>
      <c r="B23" s="553" t="s">
        <v>113</v>
      </c>
      <c r="C23" s="542" t="s">
        <v>102</v>
      </c>
      <c r="D23" s="557" t="s">
        <v>96</v>
      </c>
      <c r="E23" s="545"/>
      <c r="F23" s="545"/>
      <c r="G23" s="545" t="s">
        <v>97</v>
      </c>
      <c r="H23" s="545"/>
      <c r="I23" s="545" t="s">
        <v>38</v>
      </c>
    </row>
    <row r="24" s="519" customFormat="1" ht="93.6" customHeight="1" spans="1:12">
      <c r="A24" s="540" t="s">
        <v>114</v>
      </c>
      <c r="B24" s="541" t="s">
        <v>115</v>
      </c>
      <c r="C24" s="542" t="s">
        <v>102</v>
      </c>
      <c r="D24" s="557" t="s">
        <v>96</v>
      </c>
      <c r="E24" s="545" t="s">
        <v>97</v>
      </c>
      <c r="F24" s="545" t="s">
        <v>97</v>
      </c>
      <c r="G24" s="557" t="s">
        <v>96</v>
      </c>
      <c r="H24" s="545"/>
      <c r="I24" s="545" t="s">
        <v>109</v>
      </c>
    </row>
    <row r="25" s="519" customFormat="1" ht="34.2" customHeight="1" spans="1:12">
      <c r="A25" s="540" t="s">
        <v>116</v>
      </c>
      <c r="B25" s="541" t="s">
        <v>117</v>
      </c>
      <c r="C25" s="542" t="s">
        <v>90</v>
      </c>
      <c r="D25" s="545"/>
      <c r="E25" s="545"/>
      <c r="F25" s="545"/>
      <c r="G25" s="557" t="s">
        <v>96</v>
      </c>
      <c r="H25" s="545"/>
      <c r="I25" s="545" t="s">
        <v>41</v>
      </c>
    </row>
    <row r="26" s="519" customFormat="1" ht="88.2" customHeight="1" spans="1:12">
      <c r="A26" s="540" t="s">
        <v>118</v>
      </c>
      <c r="B26" s="541" t="s">
        <v>119</v>
      </c>
      <c r="C26" s="542" t="s">
        <v>90</v>
      </c>
      <c r="D26" s="545"/>
      <c r="E26" s="545"/>
      <c r="F26" s="545"/>
      <c r="G26" s="557" t="s">
        <v>96</v>
      </c>
      <c r="H26" s="545" t="s">
        <v>97</v>
      </c>
      <c r="I26" s="545" t="s">
        <v>44</v>
      </c>
    </row>
    <row r="27" s="519" customFormat="1" ht="75" customHeight="1" spans="1:12">
      <c r="A27" s="540" t="s">
        <v>120</v>
      </c>
      <c r="B27" s="541" t="s">
        <v>121</v>
      </c>
      <c r="C27" s="545" t="s">
        <v>122</v>
      </c>
      <c r="D27" s="545"/>
      <c r="E27" s="545"/>
      <c r="F27" s="545"/>
      <c r="G27" s="557" t="s">
        <v>96</v>
      </c>
      <c r="H27" s="545" t="s">
        <v>97</v>
      </c>
      <c r="I27" s="545"/>
    </row>
    <row r="28" s="519" customFormat="1" ht="121.2" customHeight="1" spans="1:12">
      <c r="A28" s="540" t="s">
        <v>123</v>
      </c>
      <c r="B28" s="541" t="s">
        <v>124</v>
      </c>
      <c r="C28" s="545" t="s">
        <v>125</v>
      </c>
      <c r="D28" s="554" t="s">
        <v>96</v>
      </c>
      <c r="E28" s="558"/>
      <c r="F28" s="555" t="s">
        <v>97</v>
      </c>
      <c r="G28" s="555" t="s">
        <v>97</v>
      </c>
      <c r="H28" s="545"/>
      <c r="I28" s="545" t="s">
        <v>46</v>
      </c>
    </row>
    <row r="29" s="519" customFormat="1" ht="75" customHeight="1" spans="1:12">
      <c r="A29" s="540" t="s">
        <v>126</v>
      </c>
      <c r="B29" s="559" t="s">
        <v>127</v>
      </c>
      <c r="C29" s="545" t="s">
        <v>125</v>
      </c>
      <c r="D29" s="545"/>
      <c r="E29" s="545"/>
      <c r="F29" s="545"/>
      <c r="G29" s="545" t="s">
        <v>97</v>
      </c>
      <c r="H29" s="545"/>
      <c r="I29" s="545" t="s">
        <v>128</v>
      </c>
    </row>
    <row r="30" s="519" customFormat="1" ht="69" customHeight="1" spans="1:12">
      <c r="A30" s="540" t="s">
        <v>129</v>
      </c>
      <c r="B30" s="541" t="s">
        <v>130</v>
      </c>
      <c r="C30" s="545" t="s">
        <v>125</v>
      </c>
      <c r="D30" s="545"/>
      <c r="E30" s="545"/>
      <c r="F30" s="560" t="s">
        <v>96</v>
      </c>
      <c r="G30" s="545"/>
      <c r="H30" s="545"/>
      <c r="I30" s="545" t="s">
        <v>53</v>
      </c>
    </row>
    <row r="31" s="519" customFormat="1" ht="42.6" customHeight="1" spans="1:12">
      <c r="A31" s="540" t="s">
        <v>131</v>
      </c>
      <c r="B31" s="541" t="s">
        <v>132</v>
      </c>
      <c r="C31" s="545" t="s">
        <v>125</v>
      </c>
      <c r="D31" s="560" t="s">
        <v>96</v>
      </c>
      <c r="E31" s="547" t="s">
        <v>97</v>
      </c>
      <c r="F31" s="547" t="s">
        <v>97</v>
      </c>
      <c r="G31" s="560" t="s">
        <v>96</v>
      </c>
      <c r="H31" s="547" t="s">
        <v>97</v>
      </c>
      <c r="I31" s="545" t="s">
        <v>56</v>
      </c>
    </row>
    <row r="32" s="519" customFormat="1" ht="48.6" customHeight="1" spans="1:12">
      <c r="A32" s="540" t="s">
        <v>133</v>
      </c>
      <c r="B32" s="541" t="s">
        <v>134</v>
      </c>
      <c r="C32" s="545" t="s">
        <v>125</v>
      </c>
      <c r="D32" s="545"/>
      <c r="E32" s="545"/>
      <c r="F32" s="545"/>
      <c r="G32" s="545" t="s">
        <v>97</v>
      </c>
      <c r="H32" s="545"/>
      <c r="I32" s="545" t="s">
        <v>58</v>
      </c>
      <c r="J32" s="561"/>
    </row>
    <row r="33" s="519" customFormat="1" ht="39" spans="1:9">
      <c r="A33" s="540" t="s">
        <v>135</v>
      </c>
      <c r="B33" s="541" t="s">
        <v>136</v>
      </c>
      <c r="C33" s="562" t="s">
        <v>137</v>
      </c>
      <c r="D33" s="545" t="s">
        <v>97</v>
      </c>
      <c r="E33" s="545" t="s">
        <v>97</v>
      </c>
      <c r="F33" s="545" t="s">
        <v>97</v>
      </c>
      <c r="G33" s="545" t="s">
        <v>97</v>
      </c>
      <c r="H33" s="545"/>
      <c r="I33" s="545"/>
    </row>
    <row r="34" s="519" customFormat="1" ht="43.8" customHeight="1" spans="1:9">
      <c r="A34" s="540" t="s">
        <v>138</v>
      </c>
      <c r="B34" s="563" t="s">
        <v>139</v>
      </c>
      <c r="C34" s="542" t="s">
        <v>90</v>
      </c>
      <c r="D34" s="545"/>
      <c r="E34" s="545"/>
      <c r="F34" s="545"/>
      <c r="G34" s="545"/>
      <c r="H34" s="545" t="s">
        <v>97</v>
      </c>
      <c r="I34" s="564" t="s">
        <v>140</v>
      </c>
    </row>
    <row r="36" customHeight="1" spans="1:9">
      <c r="I36" s="565"/>
    </row>
  </sheetData>
  <mergeCells count="23">
    <mergeCell ref="A1:I1"/>
    <mergeCell ref="A2:I2"/>
    <mergeCell ref="A5:B5"/>
    <mergeCell ref="A8:F8"/>
    <mergeCell ref="G8:I8"/>
    <mergeCell ref="A9:F9"/>
    <mergeCell ref="G9:I9"/>
    <mergeCell ref="A10:F10"/>
    <mergeCell ref="G10:I10"/>
    <mergeCell ref="A11:F11"/>
    <mergeCell ref="G11:I11"/>
    <mergeCell ref="A12:F12"/>
    <mergeCell ref="G12:I12"/>
    <mergeCell ref="A13:F13"/>
    <mergeCell ref="G13:I13"/>
    <mergeCell ref="A14:B14"/>
    <mergeCell ref="D15:H15"/>
    <mergeCell ref="J18:L18"/>
    <mergeCell ref="J19:L19"/>
    <mergeCell ref="A15:A16"/>
    <mergeCell ref="B15:B16"/>
    <mergeCell ref="C15:C16"/>
    <mergeCell ref="I15:I16"/>
  </mergeCells>
  <hyperlinks>
    <hyperlink ref="I3" location="底稿目录!A1" display="H3A"/>
  </hyperlinks>
  <pageMargins left="0.708661417322835" right="0.708661417322835" top="0.748031496062992" bottom="0.748031496062992" header="0.31496062992126" footer="0.31496062992126"/>
  <pageSetup paperSize="9" scale="68" fitToHeight="2" orientation="portrait" blackAndWhite="1"/>
  <headerFooter>
    <oddFooter>&amp;C&amp;P/&amp;N</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pageSetUpPr fitToPage="1"/>
  </sheetPr>
  <dimension ref="A1:J65"/>
  <sheetViews>
    <sheetView view="pageBreakPreview" zoomScale="85" zoomScaleNormal="90" topLeftCell="A16" workbookViewId="0">
      <selection activeCell="A1" sqref="A1:I1"/>
    </sheetView>
  </sheetViews>
  <sheetFormatPr defaultColWidth="9" defaultRowHeight="19.95" customHeight="1"/>
  <cols>
    <col min="1" max="1" width="20.1" style="472" customWidth="1"/>
    <col min="2" max="7" width="10.1" style="472" customWidth="1"/>
    <col min="8" max="16384" width="9" style="472"/>
  </cols>
  <sheetData>
    <row r="1" s="467" customFormat="1" customHeight="1" spans="1:10">
      <c r="A1" s="473" t="s">
        <v>59</v>
      </c>
      <c r="B1" s="473"/>
      <c r="C1" s="473"/>
      <c r="D1" s="473"/>
      <c r="E1" s="473"/>
      <c r="F1" s="473"/>
      <c r="G1" s="473"/>
      <c r="H1" s="473"/>
      <c r="I1" s="473"/>
      <c r="J1" s="474"/>
    </row>
    <row r="2" s="468" customFormat="1" ht="32" customHeight="1" spans="1:10">
      <c r="A2" s="510" t="str">
        <f>IF(底稿目录!$H$2="公允价值模式","[不适用] 当前企业选择公允价值模式，本页无需填列，请标注不适用。","投资性房地产审定表（成本模式）")</f>
        <v>投资性房地产审定表（成本模式）</v>
      </c>
      <c r="B2" s="476"/>
      <c r="C2" s="476"/>
      <c r="D2" s="476"/>
      <c r="E2" s="476"/>
      <c r="F2" s="476"/>
      <c r="G2" s="476"/>
      <c r="H2" s="476"/>
      <c r="I2" s="476"/>
      <c r="J2" s="477"/>
    </row>
    <row r="3" customHeight="1" spans="1:10">
      <c r="A3" s="6" t="str">
        <f>底稿目录!A2</f>
        <v>被审计单位：</v>
      </c>
      <c r="B3" s="6"/>
      <c r="C3" s="6"/>
      <c r="D3" s="6" t="str">
        <f>底稿目录!A4</f>
        <v>编制人：</v>
      </c>
      <c r="F3" s="6" t="str">
        <f>底稿目录!A6</f>
        <v>编制日期：</v>
      </c>
      <c r="H3" s="12" t="s">
        <v>61</v>
      </c>
      <c r="I3" s="13" t="s">
        <v>14</v>
      </c>
    </row>
    <row r="4" customHeight="1" spans="1:10">
      <c r="A4" s="6" t="str">
        <f>底稿目录!A3</f>
        <v>截止日：202X年12月31日</v>
      </c>
      <c r="B4" s="6"/>
      <c r="C4" s="6"/>
      <c r="D4" s="6" t="str">
        <f>底稿目录!A5</f>
        <v>复核人：</v>
      </c>
      <c r="F4" s="6" t="str">
        <f>底稿目录!A7</f>
        <v>复核日期：</v>
      </c>
      <c r="H4" s="12" t="s">
        <v>62</v>
      </c>
      <c r="I4" s="14"/>
    </row>
    <row r="5" ht="27" customHeight="1" spans="1:10">
      <c r="A5" s="511" t="s">
        <v>141</v>
      </c>
      <c r="B5" s="478" t="s">
        <v>142</v>
      </c>
      <c r="C5" s="479"/>
      <c r="D5" s="480"/>
      <c r="E5" s="478" t="s">
        <v>143</v>
      </c>
      <c r="F5" s="479"/>
      <c r="G5" s="480"/>
      <c r="H5" s="481" t="s">
        <v>144</v>
      </c>
      <c r="I5" s="482"/>
    </row>
    <row r="6" ht="19.8" customHeight="1" spans="1:10">
      <c r="A6" s="512"/>
      <c r="B6" s="83" t="s">
        <v>145</v>
      </c>
      <c r="C6" s="83" t="s">
        <v>146</v>
      </c>
      <c r="D6" s="83" t="s">
        <v>147</v>
      </c>
      <c r="E6" s="83" t="s">
        <v>145</v>
      </c>
      <c r="F6" s="83" t="s">
        <v>146</v>
      </c>
      <c r="G6" s="83" t="s">
        <v>147</v>
      </c>
      <c r="H6" s="484" t="s">
        <v>148</v>
      </c>
      <c r="I6" s="481" t="s">
        <v>149</v>
      </c>
    </row>
    <row r="7" s="317" customFormat="1" customHeight="1" spans="1:10">
      <c r="A7" s="483" t="s">
        <v>150</v>
      </c>
      <c r="B7" s="276"/>
      <c r="C7" s="276"/>
      <c r="D7" s="276"/>
      <c r="E7" s="276"/>
      <c r="F7" s="276"/>
      <c r="G7" s="276"/>
      <c r="H7" s="485"/>
      <c r="I7" s="305"/>
    </row>
    <row r="8" s="317" customFormat="1" customHeight="1" spans="1:10">
      <c r="A8" s="346" t="str">
        <f>底稿目录!A9</f>
        <v>房屋、建筑物</v>
      </c>
      <c r="B8" s="276">
        <f>'明细表（成本模式）H3-2'!C30</f>
        <v>0</v>
      </c>
      <c r="C8" s="276">
        <f>'明细表（成本模式）H3-2'!I30</f>
        <v>0</v>
      </c>
      <c r="D8" s="276">
        <f>B8+C8</f>
        <v>0</v>
      </c>
      <c r="E8" s="276">
        <f>'明细表（成本模式）H3-2'!H30</f>
        <v>0</v>
      </c>
      <c r="F8" s="276">
        <f>'明细表（成本模式）H3-2'!I30+'明细表（成本模式）H3-2'!J30-'明细表（成本模式）H3-2'!K30</f>
        <v>0</v>
      </c>
      <c r="G8" s="276">
        <f>'明细表（成本模式）H3-2'!O30</f>
        <v>0</v>
      </c>
      <c r="H8" s="485">
        <f>G8-D8</f>
        <v>0</v>
      </c>
      <c r="I8" s="305">
        <f>IF(AND(D8=0,H8=0),0,IF(AND(D8=0,H8&gt;0),1,H8/D8))</f>
        <v>0</v>
      </c>
    </row>
    <row r="9" s="317" customFormat="1" customHeight="1" spans="1:10">
      <c r="A9" s="346" t="str">
        <f>底稿目录!A10</f>
        <v>土地使用权</v>
      </c>
      <c r="B9" s="276">
        <f>'明细表（成本模式）H3-2'!C31</f>
        <v>0</v>
      </c>
      <c r="C9" s="276">
        <f>'明细表（成本模式）H3-2'!I31</f>
        <v>0</v>
      </c>
      <c r="D9" s="276">
        <f>B9+C9</f>
        <v>0</v>
      </c>
      <c r="E9" s="276">
        <f>'明细表（成本模式）H3-2'!H31</f>
        <v>0</v>
      </c>
      <c r="F9" s="276">
        <f>'明细表（成本模式）H3-2'!I31+'明细表（成本模式）H3-2'!J31-'明细表（成本模式）H3-2'!K31</f>
        <v>0</v>
      </c>
      <c r="G9" s="276">
        <f>'明细表（成本模式）H3-2'!O31</f>
        <v>0</v>
      </c>
      <c r="H9" s="485">
        <f>G9-D9</f>
        <v>0</v>
      </c>
      <c r="I9" s="305">
        <f>IF(AND(D9=0,H9=0),0,IF(AND(D9=0,H9&gt;0),1,H9/D9))</f>
        <v>0</v>
      </c>
    </row>
    <row r="10" s="317" customFormat="1" customHeight="1" spans="1:10">
      <c r="A10" s="346" t="str">
        <f>底稿目录!A11</f>
        <v>在建工程</v>
      </c>
      <c r="B10" s="276">
        <f>'明细表（成本模式）H3-2'!C32</f>
        <v>0</v>
      </c>
      <c r="C10" s="276">
        <f>'明细表（成本模式）H3-2'!I32</f>
        <v>0</v>
      </c>
      <c r="D10" s="276">
        <f>B10+C10</f>
        <v>0</v>
      </c>
      <c r="E10" s="276">
        <f>'明细表（成本模式）H3-2'!H32</f>
        <v>0</v>
      </c>
      <c r="F10" s="276">
        <f>'明细表（成本模式）H3-2'!I32+'明细表（成本模式）H3-2'!J32-'明细表（成本模式）H3-2'!K32</f>
        <v>0</v>
      </c>
      <c r="G10" s="276">
        <f>'明细表（成本模式）H3-2'!O32</f>
        <v>0</v>
      </c>
      <c r="H10" s="485">
        <f>G10-D10</f>
        <v>0</v>
      </c>
      <c r="I10" s="305">
        <f>IF(AND(D10=0,H10=0),0,IF(AND(D10=0,H10&gt;0),1,H10/D10))</f>
        <v>0</v>
      </c>
    </row>
    <row r="11" s="317" customFormat="1" customHeight="1" spans="1:10">
      <c r="A11" s="346" t="str">
        <f>底稿目录!A12</f>
        <v>……</v>
      </c>
      <c r="B11" s="276">
        <f>'明细表（成本模式）H3-2'!C33</f>
        <v>0</v>
      </c>
      <c r="C11" s="276">
        <f>'明细表（成本模式）H3-2'!I33</f>
        <v>0</v>
      </c>
      <c r="D11" s="276">
        <f>B11+C11</f>
        <v>0</v>
      </c>
      <c r="E11" s="276">
        <f>'明细表（成本模式）H3-2'!H33</f>
        <v>0</v>
      </c>
      <c r="F11" s="276">
        <f>'明细表（成本模式）H3-2'!I33+'明细表（成本模式）H3-2'!J33-'明细表（成本模式）H3-2'!K33</f>
        <v>0</v>
      </c>
      <c r="G11" s="276">
        <f>'明细表（成本模式）H3-2'!O33</f>
        <v>0</v>
      </c>
      <c r="H11" s="485">
        <f>G11-D11</f>
        <v>0</v>
      </c>
      <c r="I11" s="305">
        <f>IF(AND(D11=0,H11=0),0,IF(AND(D11=0,H11&gt;0),1,H11/D11))</f>
        <v>0</v>
      </c>
    </row>
    <row r="12" s="317" customFormat="1" customHeight="1" spans="1:10">
      <c r="A12" s="341" t="s">
        <v>151</v>
      </c>
      <c r="B12" s="282">
        <f t="shared" ref="B12:G12" si="0">SUM(B8:B11)</f>
        <v>0</v>
      </c>
      <c r="C12" s="282">
        <f t="shared" si="0"/>
        <v>0</v>
      </c>
      <c r="D12" s="282">
        <f t="shared" si="0"/>
        <v>0</v>
      </c>
      <c r="E12" s="282">
        <f t="shared" si="0"/>
        <v>0</v>
      </c>
      <c r="F12" s="282">
        <f t="shared" si="0"/>
        <v>0</v>
      </c>
      <c r="G12" s="282">
        <f t="shared" si="0"/>
        <v>0</v>
      </c>
      <c r="H12" s="487">
        <f>G12-D12</f>
        <v>0</v>
      </c>
      <c r="I12" s="488">
        <f>IF(AND(D12=0,H12=0),0,IF(AND(D12=0,H12&gt;0),1,H12/D12))</f>
        <v>0</v>
      </c>
    </row>
    <row r="13" s="317" customFormat="1" customHeight="1" spans="1:10">
      <c r="A13" s="483" t="s">
        <v>152</v>
      </c>
      <c r="B13" s="276"/>
      <c r="C13" s="276"/>
      <c r="D13" s="276"/>
      <c r="E13" s="276"/>
      <c r="F13" s="276"/>
      <c r="G13" s="276"/>
      <c r="H13" s="489"/>
      <c r="I13" s="490"/>
    </row>
    <row r="14" s="317" customFormat="1" customHeight="1" spans="1:10">
      <c r="A14" s="346" t="str">
        <f>A8</f>
        <v>房屋、建筑物</v>
      </c>
      <c r="B14" s="276">
        <f>'明细表（成本模式）H3-2'!P30</f>
        <v>0</v>
      </c>
      <c r="C14" s="276">
        <f>'明细表（成本模式）H3-2'!V30</f>
        <v>0</v>
      </c>
      <c r="D14" s="276">
        <f>B14+C14</f>
        <v>0</v>
      </c>
      <c r="E14" s="276">
        <f>'明细表（成本模式）H3-2'!U30</f>
        <v>0</v>
      </c>
      <c r="F14" s="276">
        <f>'明细表（成本模式）H3-2'!V30+'明细表（成本模式）H3-2'!W30-'明细表（成本模式）H3-2'!X30</f>
        <v>0</v>
      </c>
      <c r="G14" s="276">
        <f>E14+F14</f>
        <v>0</v>
      </c>
      <c r="H14" s="485">
        <f>G14-D14</f>
        <v>0</v>
      </c>
      <c r="I14" s="305">
        <f>IF(AND(D14=0,H14=0),0,IF(AND(D14=0,H14&gt;0),1,H14/D14))</f>
        <v>0</v>
      </c>
    </row>
    <row r="15" s="317" customFormat="1" customHeight="1" spans="1:10">
      <c r="A15" s="346" t="str">
        <f>A9</f>
        <v>土地使用权</v>
      </c>
      <c r="B15" s="276">
        <f>'明细表（成本模式）H3-2'!P31</f>
        <v>0</v>
      </c>
      <c r="C15" s="276">
        <f>'明细表（成本模式）H3-2'!V31</f>
        <v>0</v>
      </c>
      <c r="D15" s="276">
        <f>B15+C15</f>
        <v>0</v>
      </c>
      <c r="E15" s="276">
        <f>'明细表（成本模式）H3-2'!U31</f>
        <v>0</v>
      </c>
      <c r="F15" s="276">
        <f>'明细表（成本模式）H3-2'!V31+'明细表（成本模式）H3-2'!W31-'明细表（成本模式）H3-2'!X31</f>
        <v>0</v>
      </c>
      <c r="G15" s="276">
        <f>E15+F15</f>
        <v>0</v>
      </c>
      <c r="H15" s="485">
        <f>G15-D15</f>
        <v>0</v>
      </c>
      <c r="I15" s="305">
        <f>IF(AND(D15=0,H15=0),0,IF(AND(D15=0,H15&gt;0),1,H15/D15))</f>
        <v>0</v>
      </c>
    </row>
    <row r="16" s="317" customFormat="1" customHeight="1" spans="1:10">
      <c r="A16" s="346" t="str">
        <f>A10</f>
        <v>在建工程</v>
      </c>
      <c r="B16" s="276">
        <f>'明细表（成本模式）H3-2'!P32</f>
        <v>0</v>
      </c>
      <c r="C16" s="276">
        <f>'明细表（成本模式）H3-2'!V32</f>
        <v>0</v>
      </c>
      <c r="D16" s="276">
        <f>B16+C16</f>
        <v>0</v>
      </c>
      <c r="E16" s="276">
        <f>'明细表（成本模式）H3-2'!U32</f>
        <v>0</v>
      </c>
      <c r="F16" s="276">
        <f>'明细表（成本模式）H3-2'!V32+'明细表（成本模式）H3-2'!W32-'明细表（成本模式）H3-2'!X32</f>
        <v>0</v>
      </c>
      <c r="G16" s="276">
        <f>E16+F16</f>
        <v>0</v>
      </c>
      <c r="H16" s="485">
        <f>G16-D16</f>
        <v>0</v>
      </c>
      <c r="I16" s="305">
        <f>IF(AND(D16=0,H16=0),0,IF(AND(D16=0,H16&gt;0),1,H16/D16))</f>
        <v>0</v>
      </c>
    </row>
    <row r="17" s="317" customFormat="1" customHeight="1" spans="1:9">
      <c r="A17" s="346" t="str">
        <f>A11</f>
        <v>……</v>
      </c>
      <c r="B17" s="276">
        <f>'明细表（成本模式）H3-2'!P33</f>
        <v>0</v>
      </c>
      <c r="C17" s="276">
        <f>'明细表（成本模式）H3-2'!V33</f>
        <v>0</v>
      </c>
      <c r="D17" s="276">
        <f>B17+C17</f>
        <v>0</v>
      </c>
      <c r="E17" s="276">
        <f>'明细表（成本模式）H3-2'!U33</f>
        <v>0</v>
      </c>
      <c r="F17" s="276">
        <f>'明细表（成本模式）H3-2'!V33+'明细表（成本模式）H3-2'!W33-'明细表（成本模式）H3-2'!X33</f>
        <v>0</v>
      </c>
      <c r="G17" s="276">
        <f>E17+F17</f>
        <v>0</v>
      </c>
      <c r="H17" s="485">
        <f>G17-D17</f>
        <v>0</v>
      </c>
      <c r="I17" s="305">
        <f>IF(AND(D17=0,H17=0),0,IF(AND(D17=0,H17&gt;0),1,H17/D17))</f>
        <v>0</v>
      </c>
    </row>
    <row r="18" s="317" customFormat="1" customHeight="1" spans="1:9">
      <c r="A18" s="341" t="s">
        <v>151</v>
      </c>
      <c r="B18" s="282">
        <f t="shared" ref="B18:H18" si="1">SUM(B14:B17)</f>
        <v>0</v>
      </c>
      <c r="C18" s="282">
        <f t="shared" si="1"/>
        <v>0</v>
      </c>
      <c r="D18" s="282">
        <f t="shared" si="1"/>
        <v>0</v>
      </c>
      <c r="E18" s="282">
        <f t="shared" si="1"/>
        <v>0</v>
      </c>
      <c r="F18" s="282">
        <f t="shared" si="1"/>
        <v>0</v>
      </c>
      <c r="G18" s="282">
        <f t="shared" si="1"/>
        <v>0</v>
      </c>
      <c r="H18" s="282">
        <f t="shared" si="1"/>
        <v>0</v>
      </c>
      <c r="I18" s="488">
        <f>IF(AND(D18=0,H18=0),0,IF(AND(D18=0,H18&gt;0),1,H18/D18))</f>
        <v>0</v>
      </c>
    </row>
    <row r="19" s="317" customFormat="1" customHeight="1" spans="1:9">
      <c r="A19" s="483" t="s">
        <v>153</v>
      </c>
      <c r="B19" s="276"/>
      <c r="C19" s="276"/>
      <c r="D19" s="276"/>
      <c r="E19" s="276"/>
      <c r="F19" s="276"/>
      <c r="G19" s="276"/>
      <c r="H19" s="489"/>
      <c r="I19" s="490"/>
    </row>
    <row r="20" s="317" customFormat="1" customHeight="1" spans="1:9">
      <c r="A20" s="346" t="str">
        <f>A14</f>
        <v>房屋、建筑物</v>
      </c>
      <c r="B20" s="276">
        <f>'明细表（成本模式）H3-2'!AC30</f>
        <v>0</v>
      </c>
      <c r="C20" s="276">
        <f>'明细表（成本模式）H3-2'!AI30</f>
        <v>0</v>
      </c>
      <c r="D20" s="276">
        <f>B20+C20</f>
        <v>0</v>
      </c>
      <c r="E20" s="276">
        <f>'明细表（成本模式）H3-2'!AH30</f>
        <v>0</v>
      </c>
      <c r="F20" s="276">
        <f>'明细表（成本模式）H3-2'!AI30+'明细表（成本模式）H3-2'!AJ30-'明细表（成本模式）H3-2'!AK30</f>
        <v>0</v>
      </c>
      <c r="G20" s="276">
        <f>E20+F20</f>
        <v>0</v>
      </c>
      <c r="H20" s="485">
        <f>G20-D20</f>
        <v>0</v>
      </c>
      <c r="I20" s="305">
        <f>IF(AND(D20=0,H20=0),0,IF(AND(D20=0,H20&gt;0),1,H20/D20))</f>
        <v>0</v>
      </c>
    </row>
    <row r="21" s="317" customFormat="1" customHeight="1" spans="1:9">
      <c r="A21" s="346" t="str">
        <f>A15</f>
        <v>土地使用权</v>
      </c>
      <c r="B21" s="276">
        <f>'明细表（成本模式）H3-2'!AC31</f>
        <v>0</v>
      </c>
      <c r="C21" s="276">
        <f>'明细表（成本模式）H3-2'!AI31</f>
        <v>0</v>
      </c>
      <c r="D21" s="276">
        <f>B21+C21</f>
        <v>0</v>
      </c>
      <c r="E21" s="276">
        <f>'明细表（成本模式）H3-2'!AH31</f>
        <v>0</v>
      </c>
      <c r="F21" s="276">
        <f>'明细表（成本模式）H3-2'!AI31+'明细表（成本模式）H3-2'!AJ31-'明细表（成本模式）H3-2'!AK31</f>
        <v>0</v>
      </c>
      <c r="G21" s="276">
        <f>E21+F21</f>
        <v>0</v>
      </c>
      <c r="H21" s="485">
        <f>G21-D21</f>
        <v>0</v>
      </c>
      <c r="I21" s="305">
        <f>IF(AND(D21=0,H21=0),0,IF(AND(D21=0,H21&gt;0),1,H21/D21))</f>
        <v>0</v>
      </c>
    </row>
    <row r="22" s="317" customFormat="1" customHeight="1" spans="1:9">
      <c r="A22" s="513" t="str">
        <f>A16</f>
        <v>在建工程</v>
      </c>
      <c r="B22" s="276">
        <f>'明细表（成本模式）H3-2'!AC32</f>
        <v>0</v>
      </c>
      <c r="C22" s="276">
        <f>'明细表（成本模式）H3-2'!AI32</f>
        <v>0</v>
      </c>
      <c r="D22" s="276">
        <f>B22+C22</f>
        <v>0</v>
      </c>
      <c r="E22" s="276">
        <f>'明细表（成本模式）H3-2'!AH32</f>
        <v>0</v>
      </c>
      <c r="F22" s="276">
        <f>'明细表（成本模式）H3-2'!AI32+'明细表（成本模式）H3-2'!AJ32-'明细表（成本模式）H3-2'!AK32</f>
        <v>0</v>
      </c>
      <c r="G22" s="276">
        <f>E22+F22</f>
        <v>0</v>
      </c>
      <c r="H22" s="485">
        <f>G22-D22</f>
        <v>0</v>
      </c>
      <c r="I22" s="305">
        <f>IF(AND(D22=0,H22=0),0,IF(AND(D22=0,H22&gt;0),1,H22/D22))</f>
        <v>0</v>
      </c>
    </row>
    <row r="23" s="317" customFormat="1" customHeight="1" spans="1:9">
      <c r="A23" s="513" t="str">
        <f>A17</f>
        <v>……</v>
      </c>
      <c r="B23" s="276">
        <f>'明细表（成本模式）H3-2'!AC33</f>
        <v>0</v>
      </c>
      <c r="C23" s="276">
        <f>'明细表（成本模式）H3-2'!AI33</f>
        <v>0</v>
      </c>
      <c r="D23" s="276">
        <f>B23+C23</f>
        <v>0</v>
      </c>
      <c r="E23" s="276">
        <f>'明细表（成本模式）H3-2'!AH33</f>
        <v>0</v>
      </c>
      <c r="F23" s="276">
        <f>'明细表（成本模式）H3-2'!AI33+'明细表（成本模式）H3-2'!AJ33-'明细表（成本模式）H3-2'!AK33</f>
        <v>0</v>
      </c>
      <c r="G23" s="276">
        <f>E23+F23</f>
        <v>0</v>
      </c>
      <c r="H23" s="485">
        <f>G23-D23</f>
        <v>0</v>
      </c>
      <c r="I23" s="305">
        <f>IF(AND(D23=0,H23=0),0,IF(AND(D23=0,H23&gt;0),1,H23/D23))</f>
        <v>0</v>
      </c>
    </row>
    <row r="24" s="317" customFormat="1" customHeight="1" spans="1:9">
      <c r="A24" s="341" t="s">
        <v>151</v>
      </c>
      <c r="B24" s="282">
        <f>SUM(B20:B23)</f>
        <v>0</v>
      </c>
      <c r="C24" s="282">
        <f t="shared" ref="C24:H24" si="2">SUM(C20:C23)</f>
        <v>0</v>
      </c>
      <c r="D24" s="282">
        <f t="shared" si="2"/>
        <v>0</v>
      </c>
      <c r="E24" s="282">
        <f t="shared" si="2"/>
        <v>0</v>
      </c>
      <c r="F24" s="282">
        <f t="shared" si="2"/>
        <v>0</v>
      </c>
      <c r="G24" s="282">
        <f t="shared" si="2"/>
        <v>0</v>
      </c>
      <c r="H24" s="282">
        <f t="shared" si="2"/>
        <v>0</v>
      </c>
      <c r="I24" s="488">
        <f>IF(AND(D24=0,H24=0),0,IF(AND(D24=0,H24&gt;0),1,H24/D24))</f>
        <v>0</v>
      </c>
    </row>
    <row r="25" s="317" customFormat="1" customHeight="1" spans="1:9">
      <c r="A25" s="483" t="s">
        <v>154</v>
      </c>
      <c r="B25" s="276"/>
      <c r="C25" s="276"/>
      <c r="D25" s="276"/>
      <c r="E25" s="276"/>
      <c r="F25" s="276"/>
      <c r="G25" s="276"/>
      <c r="H25" s="489"/>
      <c r="I25" s="490"/>
    </row>
    <row r="26" s="317" customFormat="1" customHeight="1" spans="1:9">
      <c r="A26" s="346" t="str">
        <f>A20</f>
        <v>房屋、建筑物</v>
      </c>
      <c r="B26" s="276">
        <f t="shared" ref="B26:G26" si="3">B8-B14-B20</f>
        <v>0</v>
      </c>
      <c r="C26" s="276">
        <f t="shared" si="3"/>
        <v>0</v>
      </c>
      <c r="D26" s="276">
        <f t="shared" si="3"/>
        <v>0</v>
      </c>
      <c r="E26" s="276">
        <f t="shared" si="3"/>
        <v>0</v>
      </c>
      <c r="F26" s="276">
        <f t="shared" si="3"/>
        <v>0</v>
      </c>
      <c r="G26" s="276">
        <f t="shared" si="3"/>
        <v>0</v>
      </c>
      <c r="H26" s="485">
        <f>G26-D26</f>
        <v>0</v>
      </c>
      <c r="I26" s="305">
        <f>IF(AND(D26=0,H26=0),0,IF(AND(D26=0,H26&gt;0),1,H26/D26))</f>
        <v>0</v>
      </c>
    </row>
    <row r="27" s="317" customFormat="1" customHeight="1" spans="1:9">
      <c r="A27" s="346" t="str">
        <f>A21</f>
        <v>土地使用权</v>
      </c>
      <c r="B27" s="276">
        <f>B9-B15-B21</f>
        <v>0</v>
      </c>
      <c r="C27" s="276">
        <f t="shared" ref="C27:G29" si="4">C9-C15-C21</f>
        <v>0</v>
      </c>
      <c r="D27" s="276">
        <f t="shared" si="4"/>
        <v>0</v>
      </c>
      <c r="E27" s="276">
        <f t="shared" si="4"/>
        <v>0</v>
      </c>
      <c r="F27" s="276">
        <f t="shared" si="4"/>
        <v>0</v>
      </c>
      <c r="G27" s="276">
        <f t="shared" si="4"/>
        <v>0</v>
      </c>
      <c r="H27" s="485">
        <f>G27-D27</f>
        <v>0</v>
      </c>
      <c r="I27" s="305">
        <f>IF(AND(D27=0,H27=0),0,IF(AND(D27=0,H27&gt;0),1,H27/D27))</f>
        <v>0</v>
      </c>
    </row>
    <row r="28" s="317" customFormat="1" customHeight="1" spans="1:9">
      <c r="A28" s="513" t="str">
        <f>A22</f>
        <v>在建工程</v>
      </c>
      <c r="B28" s="276">
        <f>B10-B16-B22</f>
        <v>0</v>
      </c>
      <c r="C28" s="276">
        <f t="shared" si="4"/>
        <v>0</v>
      </c>
      <c r="D28" s="276">
        <f t="shared" si="4"/>
        <v>0</v>
      </c>
      <c r="E28" s="276">
        <f t="shared" si="4"/>
        <v>0</v>
      </c>
      <c r="F28" s="276">
        <f t="shared" si="4"/>
        <v>0</v>
      </c>
      <c r="G28" s="276">
        <f t="shared" si="4"/>
        <v>0</v>
      </c>
      <c r="H28" s="485">
        <f>G28-D28</f>
        <v>0</v>
      </c>
      <c r="I28" s="305">
        <f>IF(AND(D28=0,H28=0),0,IF(AND(D28=0,H28&gt;0),1,H28/D28))</f>
        <v>0</v>
      </c>
    </row>
    <row r="29" s="317" customFormat="1" customHeight="1" spans="1:9">
      <c r="A29" s="513" t="str">
        <f>A23</f>
        <v>……</v>
      </c>
      <c r="B29" s="276">
        <f>B11-B17-B23</f>
        <v>0</v>
      </c>
      <c r="C29" s="276">
        <f t="shared" si="4"/>
        <v>0</v>
      </c>
      <c r="D29" s="276">
        <f t="shared" si="4"/>
        <v>0</v>
      </c>
      <c r="E29" s="276">
        <f t="shared" si="4"/>
        <v>0</v>
      </c>
      <c r="F29" s="276">
        <f t="shared" si="4"/>
        <v>0</v>
      </c>
      <c r="G29" s="276">
        <f t="shared" si="4"/>
        <v>0</v>
      </c>
      <c r="H29" s="485">
        <f>G29-D29</f>
        <v>0</v>
      </c>
      <c r="I29" s="305">
        <f>IF(AND(D29=0,H29=0),0,IF(AND(D29=0,H29&gt;0),1,H29/D29))</f>
        <v>0</v>
      </c>
    </row>
    <row r="30" s="317" customFormat="1" customHeight="1" spans="1:9">
      <c r="A30" s="341" t="s">
        <v>151</v>
      </c>
      <c r="B30" s="282">
        <f>SUM(B26:B29)</f>
        <v>0</v>
      </c>
      <c r="C30" s="282">
        <f t="shared" ref="C30:H30" si="5">SUM(C26:C29)</f>
        <v>0</v>
      </c>
      <c r="D30" s="282">
        <f t="shared" si="5"/>
        <v>0</v>
      </c>
      <c r="E30" s="282">
        <f t="shared" si="5"/>
        <v>0</v>
      </c>
      <c r="F30" s="282">
        <f t="shared" si="5"/>
        <v>0</v>
      </c>
      <c r="G30" s="282">
        <f t="shared" si="5"/>
        <v>0</v>
      </c>
      <c r="H30" s="282">
        <f t="shared" si="5"/>
        <v>0</v>
      </c>
      <c r="I30" s="488">
        <f>IF(AND(D30=0,H30=0),0,IF(AND(D30=0,H30&gt;0),1,H30/D30))</f>
        <v>0</v>
      </c>
    </row>
    <row r="31" s="469" customFormat="1" ht="24" customHeight="1" spans="1:9">
      <c r="A31" s="492" t="s">
        <v>155</v>
      </c>
      <c r="B31" s="493"/>
      <c r="C31" s="493"/>
      <c r="D31" s="514"/>
      <c r="E31" s="493"/>
      <c r="F31" s="493"/>
      <c r="G31" s="514"/>
      <c r="H31" s="493"/>
      <c r="I31" s="495"/>
    </row>
    <row r="32" s="470" customFormat="1" ht="24" customHeight="1" spans="1:9">
      <c r="A32" s="492" t="s">
        <v>156</v>
      </c>
      <c r="B32" s="496"/>
      <c r="C32" s="496"/>
      <c r="D32" s="282">
        <f>D30-D31</f>
        <v>0</v>
      </c>
      <c r="E32" s="496"/>
      <c r="F32" s="496"/>
      <c r="G32" s="282">
        <f>G30-G31</f>
        <v>0</v>
      </c>
      <c r="H32" s="496"/>
      <c r="I32" s="497"/>
    </row>
    <row r="33" ht="24" customHeight="1" spans="1:4">
      <c r="A33" s="515" t="s">
        <v>157</v>
      </c>
    </row>
    <row r="34" ht="24" customHeight="1" spans="1:4">
      <c r="A34" s="516" t="s">
        <v>158</v>
      </c>
      <c r="D34" s="501"/>
    </row>
    <row r="35" ht="24" customHeight="1" spans="1:4">
      <c r="A35" s="516" t="s">
        <v>159</v>
      </c>
    </row>
    <row r="36" ht="24" customHeight="1" spans="1:4">
      <c r="A36" s="504" t="s">
        <v>160</v>
      </c>
    </row>
    <row r="37" ht="24" customHeight="1" spans="1:4">
      <c r="A37" s="504" t="s">
        <v>161</v>
      </c>
    </row>
    <row r="38" ht="24" customHeight="1" spans="1:4">
      <c r="A38" s="506" t="s">
        <v>162</v>
      </c>
    </row>
    <row r="39" ht="24" customHeight="1" spans="1:4">
      <c r="A39" s="504" t="s">
        <v>163</v>
      </c>
    </row>
    <row r="40" ht="24" customHeight="1" spans="1:4">
      <c r="A40" s="506"/>
    </row>
    <row r="41" ht="24" customHeight="1" spans="1:4">
      <c r="A41" s="506" t="s">
        <v>164</v>
      </c>
    </row>
    <row r="42" ht="24" customHeight="1" spans="1:4">
      <c r="A42" s="504" t="s">
        <v>165</v>
      </c>
    </row>
    <row r="43" ht="24" customHeight="1" spans="1:4">
      <c r="A43" s="507" t="s">
        <v>166</v>
      </c>
    </row>
    <row r="48" s="471" customFormat="1" customHeight="1" spans="1:4">
      <c r="A48" s="508"/>
    </row>
    <row r="49" s="471" customFormat="1" customHeight="1"/>
    <row r="50" s="471" customFormat="1" customHeight="1"/>
    <row r="51" s="471" customFormat="1" customHeight="1"/>
    <row r="52" s="471" customFormat="1" customHeight="1"/>
    <row r="53" s="471" customFormat="1" customHeight="1"/>
    <row r="54" s="471" customFormat="1" customHeight="1"/>
    <row r="55" s="471" customFormat="1" customHeight="1" spans="1:1">
      <c r="A55" s="509"/>
    </row>
    <row r="56" s="471" customFormat="1" customHeight="1"/>
    <row r="57" s="471" customFormat="1" customHeight="1"/>
    <row r="58" customHeight="1" spans="1:1">
      <c r="A58" s="471"/>
    </row>
    <row r="59" customHeight="1" spans="1:1">
      <c r="A59" s="471"/>
    </row>
    <row r="60" customHeight="1" spans="1:1">
      <c r="A60" s="471"/>
    </row>
    <row r="61" customHeight="1" spans="1:1">
      <c r="A61" s="471"/>
    </row>
    <row r="62" customHeight="1" spans="1:1">
      <c r="A62" s="471"/>
    </row>
    <row r="64" customHeight="1" spans="1:1">
      <c r="A64" s="471"/>
    </row>
    <row r="65" customHeight="1" spans="1:1">
      <c r="A65" s="471"/>
    </row>
  </sheetData>
  <mergeCells count="6">
    <mergeCell ref="A1:I1"/>
    <mergeCell ref="A2:I2"/>
    <mergeCell ref="B5:D5"/>
    <mergeCell ref="E5:G5"/>
    <mergeCell ref="H5:I5"/>
    <mergeCell ref="A5:A6"/>
  </mergeCells>
  <hyperlinks>
    <hyperlink ref="I3" location="底稿目录!A1" display="H3-1"/>
  </hyperlinks>
  <printOptions horizontalCentered="1"/>
  <pageMargins left="0.708661417322835" right="0.708661417322835" top="0.748031496062992" bottom="0.748031496062992" header="0.31496062992126" footer="0.31496062992126"/>
  <pageSetup paperSize="9" scale="83" orientation="portrait" blackAndWhite="1"/>
  <headerFooter>
    <oddFooter>&amp;C&amp;P/&amp;N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pageSetUpPr fitToPage="1"/>
  </sheetPr>
  <dimension ref="A1:J62"/>
  <sheetViews>
    <sheetView tabSelected="1" view="pageBreakPreview" zoomScale="85" zoomScaleNormal="90" topLeftCell="A15" workbookViewId="0">
      <selection activeCell="A1" sqref="A1:I1"/>
    </sheetView>
  </sheetViews>
  <sheetFormatPr defaultColWidth="9" defaultRowHeight="19.95" customHeight="1"/>
  <cols>
    <col min="1" max="1" width="20" style="472" customWidth="1"/>
    <col min="2" max="7" width="11.1" style="472" customWidth="1"/>
    <col min="8" max="16384" width="9" style="472"/>
  </cols>
  <sheetData>
    <row r="1" s="467" customFormat="1" customHeight="1" spans="1:10">
      <c r="A1" s="473" t="s">
        <v>59</v>
      </c>
      <c r="B1" s="473"/>
      <c r="C1" s="473"/>
      <c r="D1" s="473"/>
      <c r="E1" s="473"/>
      <c r="F1" s="473"/>
      <c r="G1" s="473"/>
      <c r="H1" s="473"/>
      <c r="I1" s="473"/>
      <c r="J1" s="474"/>
    </row>
    <row r="2" s="468" customFormat="1" ht="32" customHeight="1" spans="1:10">
      <c r="A2" s="475" t="str">
        <f>IF(底稿目录!$H$2="成本模式","[不适用] 当前企业选择成本模式，本页无需填列，请标注不适用。","投资性房地产审定表（公允价值模式）")</f>
        <v>[不适用] 当前企业选择成本模式，本页无需填列，请标注不适用。</v>
      </c>
      <c r="B2" s="476"/>
      <c r="C2" s="476"/>
      <c r="D2" s="476"/>
      <c r="E2" s="476"/>
      <c r="F2" s="476"/>
      <c r="G2" s="476"/>
      <c r="H2" s="476"/>
      <c r="I2" s="476"/>
      <c r="J2" s="477"/>
    </row>
    <row r="3" customHeight="1" spans="1:10">
      <c r="A3" s="6" t="str">
        <f>底稿目录!A2</f>
        <v>被审计单位：</v>
      </c>
      <c r="B3" s="6"/>
      <c r="C3" s="6"/>
      <c r="D3" s="6" t="str">
        <f>底稿目录!A4</f>
        <v>编制人：</v>
      </c>
      <c r="F3" s="6" t="str">
        <f>底稿目录!A6</f>
        <v>编制日期：</v>
      </c>
      <c r="H3" s="12" t="s">
        <v>61</v>
      </c>
      <c r="I3" s="13" t="s">
        <v>14</v>
      </c>
    </row>
    <row r="4" customHeight="1" spans="1:10">
      <c r="A4" s="6" t="str">
        <f>底稿目录!A3</f>
        <v>截止日：202X年12月31日</v>
      </c>
      <c r="B4" s="6"/>
      <c r="C4" s="6"/>
      <c r="D4" s="6" t="str">
        <f>底稿目录!A5</f>
        <v>复核人：</v>
      </c>
      <c r="F4" s="6" t="str">
        <f>底稿目录!A7</f>
        <v>复核日期：</v>
      </c>
      <c r="H4" s="12" t="s">
        <v>62</v>
      </c>
      <c r="I4" s="14"/>
    </row>
    <row r="5" ht="27.6" customHeight="1" spans="1:10">
      <c r="A5" s="341" t="s">
        <v>141</v>
      </c>
      <c r="B5" s="478" t="s">
        <v>142</v>
      </c>
      <c r="C5" s="479"/>
      <c r="D5" s="480"/>
      <c r="E5" s="478" t="s">
        <v>143</v>
      </c>
      <c r="F5" s="479"/>
      <c r="G5" s="480"/>
      <c r="H5" s="481" t="s">
        <v>144</v>
      </c>
      <c r="I5" s="482"/>
    </row>
    <row r="6" customHeight="1" spans="1:10">
      <c r="A6" s="483"/>
      <c r="B6" s="83" t="s">
        <v>145</v>
      </c>
      <c r="C6" s="83" t="s">
        <v>146</v>
      </c>
      <c r="D6" s="83" t="s">
        <v>147</v>
      </c>
      <c r="E6" s="83" t="s">
        <v>145</v>
      </c>
      <c r="F6" s="83" t="s">
        <v>146</v>
      </c>
      <c r="G6" s="83" t="s">
        <v>147</v>
      </c>
      <c r="H6" s="484" t="s">
        <v>148</v>
      </c>
      <c r="I6" s="481" t="s">
        <v>149</v>
      </c>
    </row>
    <row r="7" s="317" customFormat="1" customHeight="1" spans="1:10">
      <c r="A7" s="483" t="s">
        <v>150</v>
      </c>
      <c r="B7" s="276"/>
      <c r="C7" s="276"/>
      <c r="D7" s="276"/>
      <c r="E7" s="276"/>
      <c r="F7" s="276"/>
      <c r="G7" s="276"/>
      <c r="H7" s="485"/>
      <c r="I7" s="305"/>
    </row>
    <row r="8" s="317" customFormat="1" customHeight="1" spans="1:10">
      <c r="A8" s="486" t="str">
        <f>底稿目录!A9</f>
        <v>房屋、建筑物</v>
      </c>
      <c r="B8" s="276">
        <f>'明细表（公允价值模式）H3-2'!C29</f>
        <v>0</v>
      </c>
      <c r="C8" s="276">
        <f>'明细表（公允价值模式）H3-2'!I29</f>
        <v>0</v>
      </c>
      <c r="D8" s="276">
        <f>B8+C8</f>
        <v>0</v>
      </c>
      <c r="E8" s="276">
        <f>'明细表（公允价值模式）H3-2'!H29</f>
        <v>0</v>
      </c>
      <c r="F8" s="276">
        <f>'明细表（公允价值模式）H3-2'!I29+'明细表（公允价值模式）H3-2'!J29-'明细表（公允价值模式）H3-2'!K29</f>
        <v>0</v>
      </c>
      <c r="G8" s="276">
        <f>E8+F8</f>
        <v>0</v>
      </c>
      <c r="H8" s="485">
        <f>G8-D8</f>
        <v>0</v>
      </c>
      <c r="I8" s="305">
        <f>IF(AND(D8=0,H8=0),0,IF(AND(D8=0,H8&gt;0),1,H8/D8))</f>
        <v>0</v>
      </c>
    </row>
    <row r="9" s="317" customFormat="1" customHeight="1" spans="1:10">
      <c r="A9" s="486" t="str">
        <f>底稿目录!A10</f>
        <v>土地使用权</v>
      </c>
      <c r="B9" s="276">
        <f>'明细表（公允价值模式）H3-2'!C30</f>
        <v>0</v>
      </c>
      <c r="C9" s="276">
        <f>'明细表（公允价值模式）H3-2'!I30</f>
        <v>0</v>
      </c>
      <c r="D9" s="276">
        <f>B9+C9</f>
        <v>0</v>
      </c>
      <c r="E9" s="276">
        <f>'明细表（公允价值模式）H3-2'!H30</f>
        <v>0</v>
      </c>
      <c r="F9" s="276">
        <f>'明细表（公允价值模式）H3-2'!I30+'明细表（公允价值模式）H3-2'!J30-'明细表（公允价值模式）H3-2'!K30</f>
        <v>0</v>
      </c>
      <c r="G9" s="276">
        <f>E9+F9</f>
        <v>0</v>
      </c>
      <c r="H9" s="485">
        <f>G9-D9</f>
        <v>0</v>
      </c>
      <c r="I9" s="305">
        <f>IF(AND(D9=0,H9=0),0,IF(AND(D9=0,H9&gt;0),1,H9/D9))</f>
        <v>0</v>
      </c>
    </row>
    <row r="10" s="317" customFormat="1" customHeight="1" spans="1:10">
      <c r="A10" s="486" t="str">
        <f>底稿目录!A11</f>
        <v>在建工程</v>
      </c>
      <c r="B10" s="276">
        <f>'明细表（公允价值模式）H3-2'!C31</f>
        <v>0</v>
      </c>
      <c r="C10" s="276">
        <f>'明细表（公允价值模式）H3-2'!I31</f>
        <v>0</v>
      </c>
      <c r="D10" s="276">
        <f>B10+C10</f>
        <v>0</v>
      </c>
      <c r="E10" s="276">
        <f>'明细表（公允价值模式）H3-2'!H31</f>
        <v>0</v>
      </c>
      <c r="F10" s="276">
        <f>'明细表（公允价值模式）H3-2'!I31+'明细表（公允价值模式）H3-2'!J31-'明细表（公允价值模式）H3-2'!K31</f>
        <v>0</v>
      </c>
      <c r="G10" s="276">
        <f>E10+F10</f>
        <v>0</v>
      </c>
      <c r="H10" s="485">
        <f>G10-D10</f>
        <v>0</v>
      </c>
      <c r="I10" s="305">
        <f>IF(AND(D10=0,H10=0),0,IF(AND(D10=0,H10&gt;0),1,H10/D10))</f>
        <v>0</v>
      </c>
    </row>
    <row r="11" s="317" customFormat="1" customHeight="1" spans="1:10">
      <c r="A11" s="486" t="str">
        <f>底稿目录!A12</f>
        <v>……</v>
      </c>
      <c r="B11" s="276">
        <f>'明细表（公允价值模式）H3-2'!C32</f>
        <v>0</v>
      </c>
      <c r="C11" s="276">
        <f>'明细表（公允价值模式）H3-2'!I32</f>
        <v>0</v>
      </c>
      <c r="D11" s="276">
        <f>B11+C11</f>
        <v>0</v>
      </c>
      <c r="E11" s="276">
        <f>'明细表（公允价值模式）H3-2'!H32</f>
        <v>0</v>
      </c>
      <c r="F11" s="276">
        <f>'明细表（公允价值模式）H3-2'!I32+'明细表（公允价值模式）H3-2'!J32-'明细表（公允价值模式）H3-2'!K32</f>
        <v>0</v>
      </c>
      <c r="G11" s="276">
        <f>E11+F11</f>
        <v>0</v>
      </c>
      <c r="H11" s="485">
        <f>G11-D11</f>
        <v>0</v>
      </c>
      <c r="I11" s="305">
        <f>IF(AND(D11=0,H11=0),0,IF(AND(D11=0,H11&gt;0),1,H11/D11))</f>
        <v>0</v>
      </c>
    </row>
    <row r="12" s="317" customFormat="1" customHeight="1" spans="1:10">
      <c r="A12" s="341" t="s">
        <v>151</v>
      </c>
      <c r="B12" s="282">
        <f t="shared" ref="B12:G12" si="0">SUM(B8:B11)</f>
        <v>0</v>
      </c>
      <c r="C12" s="282">
        <f t="shared" si="0"/>
        <v>0</v>
      </c>
      <c r="D12" s="282">
        <f t="shared" si="0"/>
        <v>0</v>
      </c>
      <c r="E12" s="282">
        <f t="shared" si="0"/>
        <v>0</v>
      </c>
      <c r="F12" s="282">
        <f t="shared" si="0"/>
        <v>0</v>
      </c>
      <c r="G12" s="282">
        <f t="shared" si="0"/>
        <v>0</v>
      </c>
      <c r="H12" s="487">
        <f>G12-D12</f>
        <v>0</v>
      </c>
      <c r="I12" s="488">
        <f>IF(AND(D12=0,H12=0),0,IF(AND(D12=0,H12&gt;0),1,H12/D12))</f>
        <v>0</v>
      </c>
    </row>
    <row r="13" s="317" customFormat="1" customHeight="1" spans="1:10">
      <c r="A13" s="483" t="s">
        <v>167</v>
      </c>
      <c r="B13" s="276"/>
      <c r="C13" s="276"/>
      <c r="D13" s="276"/>
      <c r="E13" s="276"/>
      <c r="F13" s="276"/>
      <c r="G13" s="276"/>
      <c r="H13" s="489"/>
      <c r="I13" s="490"/>
    </row>
    <row r="14" s="317" customFormat="1" customHeight="1" spans="1:10">
      <c r="A14" s="486" t="str">
        <f>A8</f>
        <v>房屋、建筑物</v>
      </c>
      <c r="B14" s="276">
        <f>'明细表（公允价值模式）H3-2'!P29</f>
        <v>0</v>
      </c>
      <c r="C14" s="276">
        <f>'明细表（公允价值模式）H3-2'!S29</f>
        <v>0</v>
      </c>
      <c r="D14" s="276">
        <f>B14+C14</f>
        <v>0</v>
      </c>
      <c r="E14" s="276">
        <f>'明细表（公允价值模式）H3-2'!R29</f>
        <v>0</v>
      </c>
      <c r="F14" s="276">
        <f>'明细表（公允价值模式）H3-2'!S29+'明细表（公允价值模式）H3-2'!T29</f>
        <v>0</v>
      </c>
      <c r="G14" s="276">
        <f>E14+F14</f>
        <v>0</v>
      </c>
      <c r="H14" s="485">
        <f>G14-D14</f>
        <v>0</v>
      </c>
      <c r="I14" s="305">
        <f>IF(AND(D14=0,H14=0),0,IF(AND(D14=0,H14&gt;0),1,H14/D14))</f>
        <v>0</v>
      </c>
    </row>
    <row r="15" s="317" customFormat="1" customHeight="1" spans="1:10">
      <c r="A15" s="486" t="str">
        <f>A9</f>
        <v>土地使用权</v>
      </c>
      <c r="B15" s="276">
        <f>'明细表（公允价值模式）H3-2'!P30</f>
        <v>0</v>
      </c>
      <c r="C15" s="276">
        <f>'明细表（公允价值模式）H3-2'!S30</f>
        <v>0</v>
      </c>
      <c r="D15" s="276">
        <f>B15+C15</f>
        <v>0</v>
      </c>
      <c r="E15" s="276">
        <f>'明细表（公允价值模式）H3-2'!R30</f>
        <v>0</v>
      </c>
      <c r="F15" s="276">
        <f>'明细表（公允价值模式）H3-2'!S30+'明细表（公允价值模式）H3-2'!T30</f>
        <v>0</v>
      </c>
      <c r="G15" s="276">
        <f>E15+F15</f>
        <v>0</v>
      </c>
      <c r="H15" s="485">
        <f>G15-D15</f>
        <v>0</v>
      </c>
      <c r="I15" s="305">
        <f>IF(AND(D15=0,H15=0),0,IF(AND(D15=0,H15&gt;0),1,H15/D15))</f>
        <v>0</v>
      </c>
    </row>
    <row r="16" s="317" customFormat="1" customHeight="1" spans="1:10">
      <c r="A16" s="486" t="str">
        <f>A10</f>
        <v>在建工程</v>
      </c>
      <c r="B16" s="276">
        <f>'明细表（公允价值模式）H3-2'!P31</f>
        <v>0</v>
      </c>
      <c r="C16" s="276">
        <f>'明细表（公允价值模式）H3-2'!S31</f>
        <v>0</v>
      </c>
      <c r="D16" s="276">
        <f>B16+C16</f>
        <v>0</v>
      </c>
      <c r="E16" s="276">
        <f>'明细表（公允价值模式）H3-2'!R31</f>
        <v>0</v>
      </c>
      <c r="F16" s="276">
        <f>'明细表（公允价值模式）H3-2'!S31+'明细表（公允价值模式）H3-2'!T31</f>
        <v>0</v>
      </c>
      <c r="G16" s="276">
        <f>E16+F16</f>
        <v>0</v>
      </c>
      <c r="H16" s="485">
        <f>G16-D16</f>
        <v>0</v>
      </c>
      <c r="I16" s="305">
        <f>IF(AND(D16=0,H16=0),0,IF(AND(D16=0,H16&gt;0),1,H16/D16))</f>
        <v>0</v>
      </c>
    </row>
    <row r="17" s="317" customFormat="1" customHeight="1" spans="1:9">
      <c r="A17" s="486" t="str">
        <f>A11</f>
        <v>……</v>
      </c>
      <c r="B17" s="276">
        <f>'明细表（公允价值模式）H3-2'!P32</f>
        <v>0</v>
      </c>
      <c r="C17" s="276">
        <f>'明细表（公允价值模式）H3-2'!S32</f>
        <v>0</v>
      </c>
      <c r="D17" s="276">
        <f>B17+C17</f>
        <v>0</v>
      </c>
      <c r="E17" s="276">
        <f>'明细表（公允价值模式）H3-2'!R32</f>
        <v>0</v>
      </c>
      <c r="F17" s="276">
        <f>'明细表（公允价值模式）H3-2'!S32+'明细表（公允价值模式）H3-2'!T32</f>
        <v>0</v>
      </c>
      <c r="G17" s="276">
        <f>E17+F17</f>
        <v>0</v>
      </c>
      <c r="H17" s="485">
        <f>G17-D17</f>
        <v>0</v>
      </c>
      <c r="I17" s="305">
        <f>IF(AND(D17=0,H17=0),0,IF(AND(D17=0,H17&gt;0),1,H17/D17))</f>
        <v>0</v>
      </c>
    </row>
    <row r="18" s="317" customFormat="1" customHeight="1" spans="1:9">
      <c r="A18" s="341" t="s">
        <v>151</v>
      </c>
      <c r="B18" s="282">
        <f t="shared" ref="B18:G18" si="1">SUM(B14:B17)</f>
        <v>0</v>
      </c>
      <c r="C18" s="282">
        <f t="shared" si="1"/>
        <v>0</v>
      </c>
      <c r="D18" s="282">
        <f t="shared" si="1"/>
        <v>0</v>
      </c>
      <c r="E18" s="282">
        <f t="shared" si="1"/>
        <v>0</v>
      </c>
      <c r="F18" s="282">
        <f t="shared" si="1"/>
        <v>0</v>
      </c>
      <c r="G18" s="282">
        <f t="shared" si="1"/>
        <v>0</v>
      </c>
      <c r="H18" s="487">
        <f>G18-D18</f>
        <v>0</v>
      </c>
      <c r="I18" s="488">
        <f>IF(AND(D18=0,H18=0),0,IF(AND(D18=0,H18&gt;0),1,H18/D18))</f>
        <v>0</v>
      </c>
    </row>
    <row r="19" s="317" customFormat="1" customHeight="1" spans="1:9">
      <c r="A19" s="483" t="s">
        <v>168</v>
      </c>
      <c r="B19" s="276"/>
      <c r="C19" s="276"/>
      <c r="D19" s="276"/>
      <c r="E19" s="276"/>
      <c r="F19" s="276"/>
      <c r="G19" s="276"/>
      <c r="H19" s="489"/>
      <c r="I19" s="490"/>
    </row>
    <row r="20" s="317" customFormat="1" customHeight="1" spans="1:9">
      <c r="A20" s="486" t="str">
        <f>A8</f>
        <v>房屋、建筑物</v>
      </c>
      <c r="B20" s="276">
        <f t="shared" ref="B20:G20" si="2">B8+B14</f>
        <v>0</v>
      </c>
      <c r="C20" s="276">
        <f t="shared" si="2"/>
        <v>0</v>
      </c>
      <c r="D20" s="276">
        <f t="shared" si="2"/>
        <v>0</v>
      </c>
      <c r="E20" s="276">
        <f t="shared" si="2"/>
        <v>0</v>
      </c>
      <c r="F20" s="276">
        <f t="shared" si="2"/>
        <v>0</v>
      </c>
      <c r="G20" s="276">
        <f t="shared" si="2"/>
        <v>0</v>
      </c>
      <c r="H20" s="485">
        <f>G20-D20</f>
        <v>0</v>
      </c>
      <c r="I20" s="305">
        <f>IF(AND(D20=0,H20=0),0,IF(AND(D20=0,H20&gt;0),1,H20/D20))</f>
        <v>0</v>
      </c>
    </row>
    <row r="21" s="317" customFormat="1" customHeight="1" spans="1:9">
      <c r="A21" s="486" t="str">
        <f>A9</f>
        <v>土地使用权</v>
      </c>
      <c r="B21" s="276">
        <f>B9+B15</f>
        <v>0</v>
      </c>
      <c r="C21" s="276">
        <f t="shared" ref="C21:G23" si="3">C9+C15</f>
        <v>0</v>
      </c>
      <c r="D21" s="276">
        <f t="shared" si="3"/>
        <v>0</v>
      </c>
      <c r="E21" s="276">
        <f t="shared" si="3"/>
        <v>0</v>
      </c>
      <c r="F21" s="276">
        <f t="shared" si="3"/>
        <v>0</v>
      </c>
      <c r="G21" s="276">
        <f t="shared" si="3"/>
        <v>0</v>
      </c>
      <c r="H21" s="485">
        <f>G21-D21</f>
        <v>0</v>
      </c>
      <c r="I21" s="305">
        <f>IF(AND(D21=0,H21=0),0,IF(AND(D21=0,H21&gt;0),1,H21/D21))</f>
        <v>0</v>
      </c>
    </row>
    <row r="22" s="317" customFormat="1" customHeight="1" spans="1:9">
      <c r="A22" s="491" t="str">
        <f>A10</f>
        <v>在建工程</v>
      </c>
      <c r="B22" s="276">
        <f>B10+B16</f>
        <v>0</v>
      </c>
      <c r="C22" s="276">
        <f t="shared" si="3"/>
        <v>0</v>
      </c>
      <c r="D22" s="276">
        <f t="shared" si="3"/>
        <v>0</v>
      </c>
      <c r="E22" s="276">
        <f t="shared" si="3"/>
        <v>0</v>
      </c>
      <c r="F22" s="276">
        <f t="shared" si="3"/>
        <v>0</v>
      </c>
      <c r="G22" s="276">
        <f t="shared" si="3"/>
        <v>0</v>
      </c>
      <c r="H22" s="485">
        <f>G22-D22</f>
        <v>0</v>
      </c>
      <c r="I22" s="305">
        <f>IF(AND(D22=0,H22=0),0,IF(AND(D22=0,H22&gt;0),1,H22/D22))</f>
        <v>0</v>
      </c>
    </row>
    <row r="23" s="317" customFormat="1" customHeight="1" spans="1:9">
      <c r="A23" s="491" t="str">
        <f>A11</f>
        <v>……</v>
      </c>
      <c r="B23" s="276">
        <f>B11+B17</f>
        <v>0</v>
      </c>
      <c r="C23" s="276">
        <f t="shared" si="3"/>
        <v>0</v>
      </c>
      <c r="D23" s="276">
        <f t="shared" si="3"/>
        <v>0</v>
      </c>
      <c r="E23" s="276">
        <f t="shared" si="3"/>
        <v>0</v>
      </c>
      <c r="F23" s="276">
        <f t="shared" si="3"/>
        <v>0</v>
      </c>
      <c r="G23" s="276">
        <f t="shared" si="3"/>
        <v>0</v>
      </c>
      <c r="H23" s="485">
        <f>G23-D23</f>
        <v>0</v>
      </c>
      <c r="I23" s="305">
        <f>IF(AND(D23=0,H23=0),0,IF(AND(D23=0,H23&gt;0),1,H23/D23))</f>
        <v>0</v>
      </c>
    </row>
    <row r="24" s="317" customFormat="1" customHeight="1" spans="1:9">
      <c r="A24" s="341" t="s">
        <v>151</v>
      </c>
      <c r="B24" s="282">
        <f>SUM(B20:B23)</f>
        <v>0</v>
      </c>
      <c r="C24" s="282">
        <f t="shared" ref="C24:H24" si="4">SUM(C20:C23)</f>
        <v>0</v>
      </c>
      <c r="D24" s="282">
        <f t="shared" si="4"/>
        <v>0</v>
      </c>
      <c r="E24" s="282">
        <f t="shared" si="4"/>
        <v>0</v>
      </c>
      <c r="F24" s="282">
        <f t="shared" si="4"/>
        <v>0</v>
      </c>
      <c r="G24" s="282">
        <f t="shared" si="4"/>
        <v>0</v>
      </c>
      <c r="H24" s="282">
        <f t="shared" si="4"/>
        <v>0</v>
      </c>
      <c r="I24" s="488">
        <f>IF(AND(D24=0,H24=0),0,IF(AND(D24=0,H24&gt;0),1,H24/D24))</f>
        <v>0</v>
      </c>
    </row>
    <row r="25" s="469" customFormat="1" customHeight="1" spans="1:9">
      <c r="A25" s="492" t="s">
        <v>155</v>
      </c>
      <c r="B25" s="493"/>
      <c r="C25" s="493"/>
      <c r="D25" s="494"/>
      <c r="E25" s="493"/>
      <c r="F25" s="493"/>
      <c r="G25" s="494"/>
      <c r="H25" s="493"/>
      <c r="I25" s="495"/>
    </row>
    <row r="26" s="470" customFormat="1" customHeight="1" spans="1:9">
      <c r="A26" s="492" t="s">
        <v>156</v>
      </c>
      <c r="B26" s="496"/>
      <c r="C26" s="496"/>
      <c r="D26" s="282">
        <f>D24-D25</f>
        <v>0</v>
      </c>
      <c r="E26" s="496"/>
      <c r="F26" s="496"/>
      <c r="G26" s="282">
        <f>G24-G25</f>
        <v>0</v>
      </c>
      <c r="H26" s="496"/>
      <c r="I26" s="497"/>
    </row>
    <row r="27" customHeight="1" spans="1:9">
      <c r="A27" s="498" t="s">
        <v>169</v>
      </c>
      <c r="B27" s="499"/>
      <c r="C27" s="499"/>
      <c r="D27" s="499"/>
      <c r="E27" s="499"/>
      <c r="F27" s="499"/>
      <c r="G27" s="499"/>
      <c r="H27" s="499"/>
      <c r="I27" s="499"/>
    </row>
    <row r="28" customHeight="1" spans="1:9">
      <c r="A28" s="500" t="s">
        <v>170</v>
      </c>
      <c r="D28" s="501"/>
    </row>
    <row r="29" customHeight="1" spans="1:9">
      <c r="A29" s="500" t="s">
        <v>159</v>
      </c>
    </row>
    <row r="30" customHeight="1" spans="1:9">
      <c r="A30" s="499"/>
    </row>
    <row r="31" ht="24" customHeight="1" spans="1:9">
      <c r="A31" s="502" t="s">
        <v>171</v>
      </c>
    </row>
    <row r="32" ht="24" customHeight="1" spans="1:9">
      <c r="A32" s="503" t="s">
        <v>172</v>
      </c>
    </row>
    <row r="33" ht="24" customHeight="1" spans="1:1">
      <c r="A33" s="504" t="s">
        <v>173</v>
      </c>
    </row>
    <row r="34" ht="24" customHeight="1" spans="1:1">
      <c r="A34" s="504" t="s">
        <v>174</v>
      </c>
    </row>
    <row r="35" ht="24" customHeight="1" spans="1:1">
      <c r="A35" s="505" t="s">
        <v>175</v>
      </c>
    </row>
    <row r="36" ht="24" customHeight="1" spans="1:1">
      <c r="A36" s="504" t="s">
        <v>176</v>
      </c>
    </row>
    <row r="37" ht="24" customHeight="1" spans="1:1">
      <c r="A37" s="506"/>
    </row>
    <row r="38" ht="24" customHeight="1" spans="1:1">
      <c r="A38" s="506" t="s">
        <v>177</v>
      </c>
    </row>
    <row r="39" ht="24" customHeight="1" spans="1:1">
      <c r="A39" s="506"/>
    </row>
    <row r="40" ht="24" customHeight="1" spans="1:1">
      <c r="A40" s="507" t="s">
        <v>178</v>
      </c>
    </row>
    <row r="41" ht="24" customHeight="1"/>
    <row r="42" ht="24" customHeight="1"/>
    <row r="43" ht="24" customHeight="1"/>
    <row r="46" s="471" customFormat="1" customHeight="1" spans="1:1">
      <c r="A46" s="508"/>
    </row>
    <row r="47" s="471" customFormat="1" customHeight="1"/>
    <row r="48" s="471" customFormat="1" customHeight="1"/>
    <row r="49" s="471" customFormat="1" customHeight="1"/>
    <row r="50" s="471" customFormat="1" customHeight="1"/>
    <row r="51" s="471" customFormat="1" customHeight="1"/>
    <row r="52" s="471" customFormat="1" customHeight="1"/>
    <row r="53" s="471" customFormat="1" customHeight="1" spans="1:1">
      <c r="A53" s="509"/>
    </row>
    <row r="54" s="471" customFormat="1" customHeight="1"/>
    <row r="55" s="471" customFormat="1" customHeight="1"/>
    <row r="56" customHeight="1" spans="1:1">
      <c r="A56" s="471"/>
    </row>
    <row r="57" customHeight="1" spans="1:1">
      <c r="A57" s="471"/>
    </row>
    <row r="58" customHeight="1" spans="1:1">
      <c r="A58" s="471"/>
    </row>
    <row r="59" customHeight="1" spans="1:1">
      <c r="A59" s="471"/>
    </row>
    <row r="60" customHeight="1" spans="1:1">
      <c r="A60" s="471"/>
    </row>
    <row r="62" customHeight="1" spans="1:1">
      <c r="A62" s="471"/>
    </row>
  </sheetData>
  <mergeCells count="6">
    <mergeCell ref="A1:I1"/>
    <mergeCell ref="A2:I2"/>
    <mergeCell ref="B5:D5"/>
    <mergeCell ref="E5:G5"/>
    <mergeCell ref="H5:I5"/>
    <mergeCell ref="A5:A6"/>
  </mergeCells>
  <hyperlinks>
    <hyperlink ref="I3" location="底稿目录!A1" display="H3-1"/>
  </hyperlinks>
  <printOptions horizontalCentered="1"/>
  <pageMargins left="0.708661417322835" right="0.708661417322835" top="0.748031496062992" bottom="0.748031496062992" header="0.31496062992126" footer="0.31496062992126"/>
  <pageSetup paperSize="9" scale="78" orientation="portrait" blackAndWhite="1"/>
  <headerFooter>
    <oddFooter>&amp;C&amp;P/&amp;N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IP74"/>
  <sheetViews>
    <sheetView view="pageBreakPreview" zoomScale="85" zoomScaleNormal="100" topLeftCell="A49" workbookViewId="0">
      <selection activeCell="M71" sqref="M71"/>
    </sheetView>
  </sheetViews>
  <sheetFormatPr defaultColWidth="9" defaultRowHeight="19.95" customHeight="1"/>
  <cols>
    <col min="1" max="1" width="38.1" style="414" customWidth="1"/>
    <col min="2" max="2" width="15" style="414" customWidth="1"/>
    <col min="3" max="4" width="13.9" style="414" customWidth="1"/>
    <col min="5" max="5" width="16.1" style="414" customWidth="1"/>
    <col min="6" max="6" width="14.1" style="414" customWidth="1"/>
    <col min="7" max="16384" width="9" style="414"/>
  </cols>
  <sheetData>
    <row r="1" s="412" customFormat="1" customHeight="1" spans="1:250">
      <c r="A1" s="415" t="s">
        <v>179</v>
      </c>
      <c r="B1" s="415"/>
      <c r="C1" s="415"/>
      <c r="D1" s="415"/>
      <c r="E1" s="415"/>
      <c r="F1" s="450"/>
      <c r="G1" s="450"/>
      <c r="H1" s="450"/>
      <c r="I1" s="450"/>
      <c r="J1" s="416"/>
      <c r="K1" s="417"/>
      <c r="L1" s="417"/>
      <c r="M1" s="417"/>
      <c r="N1" s="417"/>
      <c r="O1" s="417"/>
      <c r="P1" s="417"/>
      <c r="Q1" s="417"/>
      <c r="R1" s="417"/>
      <c r="S1" s="417"/>
      <c r="T1" s="417"/>
      <c r="U1" s="417"/>
      <c r="V1" s="417"/>
      <c r="W1" s="417"/>
      <c r="X1" s="417"/>
      <c r="Y1" s="417"/>
      <c r="Z1" s="417"/>
      <c r="AA1" s="417"/>
      <c r="AB1" s="417"/>
      <c r="AC1" s="417"/>
      <c r="AD1" s="417"/>
      <c r="AE1" s="417"/>
      <c r="AF1" s="417"/>
      <c r="AG1" s="417"/>
      <c r="AH1" s="417"/>
      <c r="AI1" s="417"/>
      <c r="AJ1" s="417"/>
      <c r="AK1" s="417"/>
      <c r="AL1" s="417"/>
      <c r="AM1" s="417"/>
      <c r="AN1" s="417"/>
      <c r="AO1" s="417"/>
      <c r="AP1" s="417"/>
      <c r="AQ1" s="417"/>
      <c r="AR1" s="417"/>
      <c r="AS1" s="417"/>
      <c r="AT1" s="417"/>
      <c r="AU1" s="417"/>
      <c r="AV1" s="417"/>
      <c r="AW1" s="417"/>
      <c r="AX1" s="417"/>
      <c r="AY1" s="417"/>
      <c r="AZ1" s="417"/>
      <c r="BA1" s="417"/>
      <c r="BB1" s="417"/>
      <c r="BC1" s="417"/>
      <c r="BD1" s="417"/>
      <c r="BE1" s="417"/>
      <c r="BF1" s="417"/>
      <c r="BG1" s="417"/>
      <c r="BH1" s="417"/>
      <c r="BI1" s="417"/>
      <c r="BJ1" s="417"/>
      <c r="BK1" s="417"/>
      <c r="BL1" s="417"/>
      <c r="BM1" s="417"/>
      <c r="BN1" s="417"/>
      <c r="BO1" s="417"/>
      <c r="BP1" s="417"/>
      <c r="BQ1" s="417"/>
      <c r="BR1" s="417"/>
      <c r="BS1" s="417"/>
      <c r="BT1" s="417"/>
      <c r="BU1" s="417"/>
      <c r="BV1" s="417"/>
      <c r="BW1" s="417"/>
      <c r="BX1" s="417"/>
      <c r="BY1" s="417"/>
      <c r="BZ1" s="417"/>
      <c r="CA1" s="417"/>
      <c r="CB1" s="417"/>
      <c r="CC1" s="417"/>
      <c r="CD1" s="417"/>
      <c r="CE1" s="417"/>
      <c r="CF1" s="417"/>
      <c r="CG1" s="417"/>
      <c r="CH1" s="417"/>
      <c r="CI1" s="417"/>
      <c r="CJ1" s="417"/>
      <c r="CK1" s="417"/>
      <c r="CL1" s="417"/>
      <c r="CM1" s="417"/>
      <c r="CN1" s="417"/>
      <c r="CO1" s="417"/>
      <c r="CP1" s="417"/>
      <c r="CQ1" s="417"/>
      <c r="CR1" s="417"/>
      <c r="CS1" s="417"/>
      <c r="CT1" s="417"/>
      <c r="CU1" s="417"/>
      <c r="CV1" s="417"/>
      <c r="CW1" s="417"/>
      <c r="CX1" s="417"/>
      <c r="CY1" s="417"/>
      <c r="CZ1" s="417"/>
      <c r="DA1" s="417"/>
      <c r="DB1" s="417"/>
      <c r="DC1" s="417"/>
      <c r="DD1" s="417"/>
      <c r="DE1" s="417"/>
      <c r="DF1" s="417"/>
      <c r="DG1" s="417"/>
      <c r="DH1" s="417"/>
      <c r="DI1" s="417"/>
      <c r="DJ1" s="417"/>
      <c r="DK1" s="417"/>
      <c r="DL1" s="417"/>
      <c r="DM1" s="417"/>
      <c r="DN1" s="417"/>
      <c r="DO1" s="417"/>
      <c r="DP1" s="417"/>
      <c r="DQ1" s="417"/>
      <c r="DR1" s="417"/>
      <c r="DS1" s="417"/>
      <c r="DT1" s="417"/>
      <c r="DU1" s="417"/>
      <c r="DV1" s="417"/>
      <c r="DW1" s="417"/>
      <c r="DX1" s="417"/>
      <c r="DY1" s="417"/>
      <c r="DZ1" s="417"/>
      <c r="EA1" s="417"/>
      <c r="EB1" s="417"/>
      <c r="EC1" s="417"/>
      <c r="ED1" s="417"/>
      <c r="EE1" s="417"/>
      <c r="EF1" s="417"/>
      <c r="EG1" s="417"/>
      <c r="EH1" s="417"/>
      <c r="EI1" s="417"/>
      <c r="EJ1" s="417"/>
      <c r="EK1" s="417"/>
      <c r="EL1" s="417"/>
      <c r="EM1" s="417"/>
      <c r="EN1" s="417"/>
      <c r="EO1" s="417"/>
      <c r="EP1" s="417"/>
      <c r="EQ1" s="417"/>
      <c r="ER1" s="417"/>
      <c r="ES1" s="417"/>
      <c r="ET1" s="417"/>
      <c r="EU1" s="417"/>
      <c r="EV1" s="417"/>
      <c r="EW1" s="417"/>
      <c r="EX1" s="417"/>
      <c r="EY1" s="417"/>
      <c r="EZ1" s="417"/>
      <c r="FA1" s="417"/>
      <c r="FB1" s="417"/>
      <c r="FC1" s="417"/>
      <c r="FD1" s="417"/>
      <c r="FE1" s="417"/>
      <c r="FF1" s="417"/>
      <c r="FG1" s="417"/>
      <c r="FH1" s="417"/>
      <c r="FI1" s="417"/>
      <c r="FJ1" s="417"/>
      <c r="FK1" s="417"/>
      <c r="FL1" s="417"/>
      <c r="FM1" s="417"/>
      <c r="FN1" s="417"/>
      <c r="FO1" s="417"/>
      <c r="FP1" s="417"/>
      <c r="FQ1" s="417"/>
      <c r="FR1" s="417"/>
      <c r="FS1" s="417"/>
      <c r="FT1" s="417"/>
      <c r="FU1" s="417"/>
      <c r="FV1" s="417"/>
      <c r="FW1" s="417"/>
      <c r="FX1" s="417"/>
      <c r="FY1" s="417"/>
      <c r="FZ1" s="417"/>
      <c r="GA1" s="417"/>
      <c r="GB1" s="417"/>
      <c r="GC1" s="417"/>
      <c r="GD1" s="417"/>
      <c r="GE1" s="417"/>
      <c r="GF1" s="417"/>
      <c r="GG1" s="417"/>
      <c r="GH1" s="417"/>
      <c r="GI1" s="417"/>
      <c r="GJ1" s="417"/>
      <c r="GK1" s="417"/>
      <c r="GL1" s="417"/>
      <c r="GM1" s="417"/>
      <c r="GN1" s="417"/>
      <c r="GO1" s="417"/>
      <c r="GP1" s="417"/>
      <c r="GQ1" s="417"/>
      <c r="GR1" s="417"/>
      <c r="GS1" s="417"/>
      <c r="GT1" s="417"/>
      <c r="GU1" s="417"/>
      <c r="GV1" s="417"/>
      <c r="GW1" s="417"/>
      <c r="GX1" s="417"/>
      <c r="GY1" s="417"/>
      <c r="GZ1" s="417"/>
      <c r="HA1" s="417"/>
      <c r="HB1" s="417"/>
      <c r="HC1" s="417"/>
      <c r="HD1" s="417"/>
      <c r="HE1" s="417"/>
      <c r="HF1" s="417"/>
      <c r="HG1" s="417"/>
      <c r="HH1" s="417"/>
      <c r="HI1" s="417"/>
      <c r="HJ1" s="417"/>
      <c r="HK1" s="417"/>
      <c r="HL1" s="417"/>
      <c r="HM1" s="417"/>
      <c r="HN1" s="417"/>
      <c r="HO1" s="417"/>
      <c r="HP1" s="417"/>
      <c r="HQ1" s="417"/>
      <c r="HR1" s="417"/>
      <c r="HS1" s="417"/>
      <c r="HT1" s="417"/>
      <c r="HU1" s="417"/>
      <c r="HV1" s="417"/>
      <c r="HW1" s="417"/>
      <c r="HX1" s="417"/>
      <c r="HY1" s="417"/>
      <c r="HZ1" s="417"/>
      <c r="IA1" s="417"/>
      <c r="IB1" s="417"/>
      <c r="IC1" s="417"/>
      <c r="ID1" s="417"/>
      <c r="IE1" s="417"/>
      <c r="IF1" s="417"/>
      <c r="IG1" s="417"/>
      <c r="IH1" s="417"/>
      <c r="II1" s="417"/>
      <c r="IJ1" s="417"/>
      <c r="IK1" s="417"/>
      <c r="IL1" s="417"/>
      <c r="IM1" s="417"/>
      <c r="IN1" s="417"/>
      <c r="IO1" s="417"/>
      <c r="IP1" s="417"/>
    </row>
    <row r="2" s="413" customFormat="1" customHeight="1" spans="1:250">
      <c r="A2" s="418" t="s">
        <v>180</v>
      </c>
      <c r="B2" s="418"/>
      <c r="C2" s="418"/>
      <c r="D2" s="418"/>
      <c r="E2" s="418"/>
      <c r="F2" s="451"/>
      <c r="G2" s="451"/>
      <c r="H2" s="451"/>
      <c r="I2" s="451"/>
      <c r="J2" s="419"/>
      <c r="K2" s="420"/>
      <c r="L2" s="420"/>
      <c r="M2" s="420"/>
      <c r="N2" s="420"/>
      <c r="O2" s="420"/>
      <c r="P2" s="420"/>
      <c r="Q2" s="420"/>
      <c r="R2" s="420"/>
      <c r="S2" s="420"/>
      <c r="T2" s="420"/>
      <c r="U2" s="420"/>
      <c r="V2" s="420"/>
      <c r="W2" s="420"/>
      <c r="X2" s="420"/>
      <c r="Y2" s="420"/>
      <c r="Z2" s="420"/>
      <c r="AA2" s="420"/>
      <c r="AB2" s="420"/>
      <c r="AC2" s="420"/>
      <c r="AD2" s="420"/>
      <c r="AE2" s="420"/>
      <c r="AF2" s="420"/>
      <c r="AG2" s="420"/>
      <c r="AH2" s="420"/>
      <c r="AI2" s="420"/>
      <c r="AJ2" s="420"/>
      <c r="AK2" s="420"/>
      <c r="AL2" s="420"/>
      <c r="AM2" s="420"/>
      <c r="AN2" s="420"/>
      <c r="AO2" s="420"/>
      <c r="AP2" s="420"/>
      <c r="AQ2" s="420"/>
      <c r="AR2" s="420"/>
      <c r="AS2" s="420"/>
      <c r="AT2" s="420"/>
      <c r="AU2" s="420"/>
      <c r="AV2" s="420"/>
      <c r="AW2" s="420"/>
      <c r="AX2" s="420"/>
      <c r="AY2" s="420"/>
      <c r="AZ2" s="420"/>
      <c r="BA2" s="420"/>
      <c r="BB2" s="420"/>
      <c r="BC2" s="420"/>
      <c r="BD2" s="420"/>
      <c r="BE2" s="420"/>
      <c r="BF2" s="420"/>
      <c r="BG2" s="420"/>
      <c r="BH2" s="420"/>
      <c r="BI2" s="420"/>
      <c r="BJ2" s="420"/>
      <c r="BK2" s="420"/>
      <c r="BL2" s="420"/>
      <c r="BM2" s="420"/>
      <c r="BN2" s="420"/>
      <c r="BO2" s="420"/>
      <c r="BP2" s="420"/>
      <c r="BQ2" s="420"/>
      <c r="BR2" s="420"/>
      <c r="BS2" s="420"/>
      <c r="BT2" s="420"/>
      <c r="BU2" s="420"/>
      <c r="BV2" s="420"/>
      <c r="BW2" s="420"/>
      <c r="BX2" s="420"/>
      <c r="BY2" s="420"/>
      <c r="BZ2" s="420"/>
      <c r="CA2" s="420"/>
      <c r="CB2" s="420"/>
      <c r="CC2" s="420"/>
      <c r="CD2" s="420"/>
      <c r="CE2" s="420"/>
      <c r="CF2" s="420"/>
      <c r="CG2" s="420"/>
      <c r="CH2" s="420"/>
      <c r="CI2" s="420"/>
      <c r="CJ2" s="420"/>
      <c r="CK2" s="420"/>
      <c r="CL2" s="420"/>
      <c r="CM2" s="420"/>
      <c r="CN2" s="420"/>
      <c r="CO2" s="420"/>
      <c r="CP2" s="420"/>
      <c r="CQ2" s="420"/>
      <c r="CR2" s="420"/>
      <c r="CS2" s="420"/>
      <c r="CT2" s="420"/>
      <c r="CU2" s="420"/>
      <c r="CV2" s="420"/>
      <c r="CW2" s="420"/>
      <c r="CX2" s="420"/>
      <c r="CY2" s="420"/>
      <c r="CZ2" s="420"/>
      <c r="DA2" s="420"/>
      <c r="DB2" s="420"/>
      <c r="DC2" s="420"/>
      <c r="DD2" s="420"/>
      <c r="DE2" s="420"/>
      <c r="DF2" s="420"/>
      <c r="DG2" s="420"/>
      <c r="DH2" s="420"/>
      <c r="DI2" s="420"/>
      <c r="DJ2" s="420"/>
      <c r="DK2" s="420"/>
      <c r="DL2" s="420"/>
      <c r="DM2" s="420"/>
      <c r="DN2" s="420"/>
      <c r="DO2" s="420"/>
      <c r="DP2" s="420"/>
      <c r="DQ2" s="420"/>
      <c r="DR2" s="420"/>
      <c r="DS2" s="420"/>
      <c r="DT2" s="420"/>
      <c r="DU2" s="420"/>
      <c r="DV2" s="420"/>
      <c r="DW2" s="420"/>
      <c r="DX2" s="420"/>
      <c r="DY2" s="420"/>
      <c r="DZ2" s="420"/>
      <c r="EA2" s="420"/>
      <c r="EB2" s="420"/>
      <c r="EC2" s="420"/>
      <c r="ED2" s="420"/>
      <c r="EE2" s="420"/>
      <c r="EF2" s="420"/>
      <c r="EG2" s="420"/>
      <c r="EH2" s="420"/>
      <c r="EI2" s="420"/>
      <c r="EJ2" s="420"/>
      <c r="EK2" s="420"/>
      <c r="EL2" s="420"/>
      <c r="EM2" s="420"/>
      <c r="EN2" s="420"/>
      <c r="EO2" s="420"/>
      <c r="EP2" s="420"/>
      <c r="EQ2" s="420"/>
      <c r="ER2" s="420"/>
      <c r="ES2" s="420"/>
      <c r="ET2" s="420"/>
      <c r="EU2" s="420"/>
      <c r="EV2" s="420"/>
      <c r="EW2" s="420"/>
      <c r="EX2" s="420"/>
      <c r="EY2" s="420"/>
      <c r="EZ2" s="420"/>
      <c r="FA2" s="420"/>
      <c r="FB2" s="420"/>
      <c r="FC2" s="420"/>
      <c r="FD2" s="420"/>
      <c r="FE2" s="420"/>
      <c r="FF2" s="420"/>
      <c r="FG2" s="420"/>
      <c r="FH2" s="420"/>
      <c r="FI2" s="420"/>
      <c r="FJ2" s="420"/>
      <c r="FK2" s="420"/>
      <c r="FL2" s="420"/>
      <c r="FM2" s="420"/>
      <c r="FN2" s="420"/>
      <c r="FO2" s="420"/>
      <c r="FP2" s="420"/>
      <c r="FQ2" s="420"/>
      <c r="FR2" s="420"/>
      <c r="FS2" s="420"/>
      <c r="FT2" s="420"/>
      <c r="FU2" s="420"/>
      <c r="FV2" s="420"/>
      <c r="FW2" s="420"/>
      <c r="FX2" s="420"/>
      <c r="FY2" s="420"/>
      <c r="FZ2" s="420"/>
      <c r="GA2" s="420"/>
      <c r="GB2" s="420"/>
      <c r="GC2" s="420"/>
      <c r="GD2" s="420"/>
      <c r="GE2" s="420"/>
      <c r="GF2" s="420"/>
      <c r="GG2" s="420"/>
      <c r="GH2" s="420"/>
      <c r="GI2" s="420"/>
      <c r="GJ2" s="420"/>
      <c r="GK2" s="420"/>
      <c r="GL2" s="420"/>
      <c r="GM2" s="420"/>
      <c r="GN2" s="420"/>
      <c r="GO2" s="420"/>
      <c r="GP2" s="420"/>
      <c r="GQ2" s="420"/>
      <c r="GR2" s="420"/>
      <c r="GS2" s="420"/>
      <c r="GT2" s="420"/>
      <c r="GU2" s="420"/>
      <c r="GV2" s="420"/>
      <c r="GW2" s="420"/>
      <c r="GX2" s="420"/>
      <c r="GY2" s="420"/>
      <c r="GZ2" s="420"/>
      <c r="HA2" s="420"/>
      <c r="HB2" s="420"/>
      <c r="HC2" s="420"/>
      <c r="HD2" s="420"/>
      <c r="HE2" s="420"/>
      <c r="HF2" s="420"/>
      <c r="HG2" s="420"/>
      <c r="HH2" s="420"/>
      <c r="HI2" s="420"/>
      <c r="HJ2" s="420"/>
      <c r="HK2" s="420"/>
      <c r="HL2" s="420"/>
      <c r="HM2" s="420"/>
      <c r="HN2" s="420"/>
      <c r="HO2" s="420"/>
      <c r="HP2" s="420"/>
      <c r="HQ2" s="420"/>
      <c r="HR2" s="420"/>
      <c r="HS2" s="420"/>
      <c r="HT2" s="420"/>
      <c r="HU2" s="420"/>
      <c r="HV2" s="420"/>
      <c r="HW2" s="420"/>
      <c r="HX2" s="420"/>
      <c r="HY2" s="420"/>
      <c r="HZ2" s="420"/>
      <c r="IA2" s="420"/>
      <c r="IB2" s="420"/>
      <c r="IC2" s="420"/>
      <c r="ID2" s="420"/>
      <c r="IE2" s="420"/>
      <c r="IF2" s="420"/>
      <c r="IG2" s="420"/>
      <c r="IH2" s="420"/>
      <c r="II2" s="420"/>
      <c r="IJ2" s="420"/>
      <c r="IK2" s="420"/>
      <c r="IL2" s="420"/>
      <c r="IM2" s="420"/>
      <c r="IN2" s="420"/>
      <c r="IO2" s="420"/>
      <c r="IP2" s="420"/>
    </row>
    <row r="3" customHeight="1" spans="1:250">
      <c r="A3" s="421" t="str">
        <f>底稿目录!A2</f>
        <v>被审计单位：</v>
      </c>
      <c r="B3" s="421" t="str">
        <f>底稿目录!A4</f>
        <v>编制人：</v>
      </c>
      <c r="C3" s="421" t="str">
        <f>底稿目录!A6</f>
        <v>编制日期：</v>
      </c>
      <c r="D3" s="424"/>
      <c r="E3" s="422" t="s">
        <v>61</v>
      </c>
      <c r="F3" s="423" t="s">
        <v>181</v>
      </c>
      <c r="G3" s="424"/>
      <c r="H3" s="424"/>
      <c r="I3" s="424"/>
      <c r="J3" s="98"/>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8"/>
      <c r="AW3" s="98"/>
      <c r="AX3" s="98"/>
      <c r="AY3" s="98"/>
      <c r="AZ3" s="98"/>
      <c r="BA3" s="98"/>
      <c r="BB3" s="98"/>
      <c r="BC3" s="98"/>
      <c r="BD3" s="98"/>
      <c r="BE3" s="98"/>
      <c r="BF3" s="98"/>
      <c r="BG3" s="98"/>
      <c r="BH3" s="98"/>
      <c r="BI3" s="98"/>
      <c r="BJ3" s="98"/>
      <c r="BK3" s="98"/>
      <c r="BL3" s="98"/>
      <c r="BM3" s="98"/>
      <c r="BN3" s="98"/>
      <c r="BO3" s="98"/>
      <c r="BP3" s="98"/>
      <c r="BQ3" s="98"/>
      <c r="BR3" s="98"/>
      <c r="BS3" s="98"/>
      <c r="BT3" s="98"/>
      <c r="BU3" s="98"/>
      <c r="BV3" s="98"/>
      <c r="BW3" s="98"/>
      <c r="BX3" s="98"/>
      <c r="BY3" s="98"/>
      <c r="BZ3" s="98"/>
      <c r="CA3" s="98"/>
      <c r="CB3" s="98"/>
      <c r="CC3" s="98"/>
      <c r="CD3" s="98"/>
      <c r="CE3" s="98"/>
      <c r="CF3" s="98"/>
      <c r="CG3" s="98"/>
      <c r="CH3" s="98"/>
      <c r="CI3" s="98"/>
      <c r="CJ3" s="98"/>
      <c r="CK3" s="98"/>
      <c r="CL3" s="98"/>
      <c r="CM3" s="98"/>
      <c r="CN3" s="98"/>
      <c r="CO3" s="98"/>
      <c r="CP3" s="98"/>
      <c r="CQ3" s="98"/>
      <c r="CR3" s="98"/>
      <c r="CS3" s="98"/>
      <c r="CT3" s="98"/>
      <c r="CU3" s="98"/>
      <c r="CV3" s="98"/>
      <c r="CW3" s="98"/>
      <c r="CX3" s="98"/>
      <c r="CY3" s="98"/>
      <c r="CZ3" s="98"/>
      <c r="DA3" s="98"/>
      <c r="DB3" s="98"/>
      <c r="DC3" s="98"/>
      <c r="DD3" s="98"/>
      <c r="DE3" s="98"/>
      <c r="DF3" s="98"/>
      <c r="DG3" s="98"/>
      <c r="DH3" s="98"/>
      <c r="DI3" s="98"/>
      <c r="DJ3" s="98"/>
      <c r="DK3" s="98"/>
      <c r="DL3" s="98"/>
      <c r="DM3" s="98"/>
      <c r="DN3" s="98"/>
      <c r="DO3" s="98"/>
      <c r="DP3" s="98"/>
      <c r="DQ3" s="98"/>
      <c r="DR3" s="98"/>
      <c r="DS3" s="98"/>
      <c r="DT3" s="98"/>
      <c r="DU3" s="98"/>
      <c r="DV3" s="98"/>
      <c r="DW3" s="98"/>
      <c r="DX3" s="98"/>
      <c r="DY3" s="98"/>
      <c r="DZ3" s="98"/>
      <c r="EA3" s="98"/>
      <c r="EB3" s="98"/>
      <c r="EC3" s="98"/>
      <c r="ED3" s="98"/>
      <c r="EE3" s="98"/>
      <c r="EF3" s="98"/>
      <c r="EG3" s="98"/>
      <c r="EH3" s="98"/>
      <c r="EI3" s="98"/>
      <c r="EJ3" s="98"/>
      <c r="EK3" s="98"/>
      <c r="EL3" s="98"/>
      <c r="EM3" s="98"/>
      <c r="EN3" s="98"/>
      <c r="EO3" s="98"/>
      <c r="EP3" s="98"/>
      <c r="EQ3" s="98"/>
      <c r="ER3" s="98"/>
      <c r="ES3" s="98"/>
      <c r="ET3" s="98"/>
      <c r="EU3" s="98"/>
      <c r="EV3" s="98"/>
      <c r="EW3" s="98"/>
      <c r="EX3" s="98"/>
      <c r="EY3" s="98"/>
      <c r="EZ3" s="98"/>
      <c r="FA3" s="98"/>
      <c r="FB3" s="98"/>
      <c r="FC3" s="98"/>
      <c r="FD3" s="98"/>
      <c r="FE3" s="98"/>
      <c r="FF3" s="98"/>
      <c r="FG3" s="98"/>
      <c r="FH3" s="98"/>
      <c r="FI3" s="98"/>
      <c r="FJ3" s="98"/>
      <c r="FK3" s="98"/>
      <c r="FL3" s="98"/>
      <c r="FM3" s="98"/>
      <c r="FN3" s="98"/>
      <c r="FO3" s="98"/>
      <c r="FP3" s="98"/>
      <c r="FQ3" s="98"/>
      <c r="FR3" s="98"/>
      <c r="FS3" s="98"/>
      <c r="FT3" s="98"/>
      <c r="FU3" s="98"/>
      <c r="FV3" s="98"/>
      <c r="FW3" s="98"/>
      <c r="FX3" s="98"/>
      <c r="FY3" s="98"/>
      <c r="FZ3" s="98"/>
      <c r="GA3" s="98"/>
      <c r="GB3" s="98"/>
      <c r="GC3" s="98"/>
      <c r="GD3" s="98"/>
      <c r="GE3" s="98"/>
      <c r="GF3" s="98"/>
      <c r="GG3" s="98"/>
      <c r="GH3" s="98"/>
      <c r="GI3" s="98"/>
      <c r="GJ3" s="98"/>
      <c r="GK3" s="98"/>
      <c r="GL3" s="98"/>
      <c r="GM3" s="98"/>
      <c r="GN3" s="98"/>
      <c r="GO3" s="98"/>
      <c r="GP3" s="98"/>
      <c r="GQ3" s="98"/>
      <c r="GR3" s="98"/>
      <c r="GS3" s="98"/>
      <c r="GT3" s="98"/>
      <c r="GU3" s="98"/>
      <c r="GV3" s="98"/>
      <c r="GW3" s="98"/>
      <c r="GX3" s="98"/>
      <c r="GY3" s="98"/>
      <c r="GZ3" s="98"/>
      <c r="HA3" s="98"/>
      <c r="HB3" s="98"/>
      <c r="HC3" s="98"/>
      <c r="HD3" s="98"/>
      <c r="HE3" s="98"/>
      <c r="HF3" s="98"/>
      <c r="HG3" s="98"/>
      <c r="HH3" s="98"/>
      <c r="HI3" s="98"/>
      <c r="HJ3" s="98"/>
      <c r="HK3" s="98"/>
      <c r="HL3" s="98"/>
      <c r="HM3" s="98"/>
      <c r="HN3" s="98"/>
      <c r="HO3" s="98"/>
      <c r="HP3" s="98"/>
      <c r="HQ3" s="98"/>
      <c r="HR3" s="98"/>
      <c r="HS3" s="98"/>
      <c r="HT3" s="98"/>
      <c r="HU3" s="98"/>
      <c r="HV3" s="98"/>
      <c r="HW3" s="98"/>
      <c r="HX3" s="98"/>
      <c r="HY3" s="98"/>
      <c r="HZ3" s="98"/>
      <c r="IA3" s="98"/>
      <c r="IB3" s="98"/>
      <c r="IC3" s="98"/>
      <c r="ID3" s="98"/>
      <c r="IE3" s="98"/>
      <c r="IF3" s="98"/>
      <c r="IG3" s="98"/>
      <c r="IH3" s="98"/>
      <c r="II3" s="98"/>
      <c r="IJ3" s="98"/>
      <c r="IK3" s="98"/>
      <c r="IL3" s="98"/>
      <c r="IM3" s="98"/>
      <c r="IN3" s="98"/>
      <c r="IO3" s="98"/>
      <c r="IP3" s="98"/>
    </row>
    <row r="4" customHeight="1" spans="1:250">
      <c r="A4" s="421" t="str">
        <f>底稿目录!A3</f>
        <v>截止日：202X年12月31日</v>
      </c>
      <c r="B4" s="421" t="str">
        <f>底稿目录!A5</f>
        <v>复核人：</v>
      </c>
      <c r="C4" s="421" t="str">
        <f>底稿目录!A7</f>
        <v>复核日期：</v>
      </c>
      <c r="D4" s="424"/>
      <c r="E4" s="422" t="s">
        <v>62</v>
      </c>
      <c r="F4" s="424"/>
      <c r="G4" s="424"/>
      <c r="H4" s="424"/>
      <c r="I4" s="424"/>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8"/>
      <c r="AW4" s="98"/>
      <c r="AX4" s="98"/>
      <c r="AY4" s="98"/>
      <c r="AZ4" s="98"/>
      <c r="BA4" s="98"/>
      <c r="BB4" s="98"/>
      <c r="BC4" s="98"/>
      <c r="BD4" s="98"/>
      <c r="BE4" s="98"/>
      <c r="BF4" s="98"/>
      <c r="BG4" s="98"/>
      <c r="BH4" s="98"/>
      <c r="BI4" s="98"/>
      <c r="BJ4" s="98"/>
      <c r="BK4" s="98"/>
      <c r="BL4" s="98"/>
      <c r="BM4" s="98"/>
      <c r="BN4" s="98"/>
      <c r="BO4" s="98"/>
      <c r="BP4" s="98"/>
      <c r="BQ4" s="98"/>
      <c r="BR4" s="98"/>
      <c r="BS4" s="98"/>
      <c r="BT4" s="98"/>
      <c r="BU4" s="98"/>
      <c r="BV4" s="98"/>
      <c r="BW4" s="98"/>
      <c r="BX4" s="98"/>
      <c r="BY4" s="98"/>
      <c r="BZ4" s="98"/>
      <c r="CA4" s="98"/>
      <c r="CB4" s="98"/>
      <c r="CC4" s="98"/>
      <c r="CD4" s="98"/>
      <c r="CE4" s="98"/>
      <c r="CF4" s="98"/>
      <c r="CG4" s="98"/>
      <c r="CH4" s="98"/>
      <c r="CI4" s="98"/>
      <c r="CJ4" s="98"/>
      <c r="CK4" s="98"/>
      <c r="CL4" s="98"/>
      <c r="CM4" s="98"/>
      <c r="CN4" s="98"/>
      <c r="CO4" s="98"/>
      <c r="CP4" s="98"/>
      <c r="CQ4" s="98"/>
      <c r="CR4" s="98"/>
      <c r="CS4" s="98"/>
      <c r="CT4" s="98"/>
      <c r="CU4" s="98"/>
      <c r="CV4" s="98"/>
      <c r="CW4" s="98"/>
      <c r="CX4" s="98"/>
      <c r="CY4" s="98"/>
      <c r="CZ4" s="98"/>
      <c r="DA4" s="98"/>
      <c r="DB4" s="98"/>
      <c r="DC4" s="98"/>
      <c r="DD4" s="98"/>
      <c r="DE4" s="98"/>
      <c r="DF4" s="98"/>
      <c r="DG4" s="98"/>
      <c r="DH4" s="98"/>
      <c r="DI4" s="98"/>
      <c r="DJ4" s="98"/>
      <c r="DK4" s="98"/>
      <c r="DL4" s="98"/>
      <c r="DM4" s="98"/>
      <c r="DN4" s="98"/>
      <c r="DO4" s="98"/>
      <c r="DP4" s="98"/>
      <c r="DQ4" s="98"/>
      <c r="DR4" s="98"/>
      <c r="DS4" s="98"/>
      <c r="DT4" s="98"/>
      <c r="DU4" s="98"/>
      <c r="DV4" s="98"/>
      <c r="DW4" s="98"/>
      <c r="DX4" s="98"/>
      <c r="DY4" s="98"/>
      <c r="DZ4" s="98"/>
      <c r="EA4" s="98"/>
      <c r="EB4" s="98"/>
      <c r="EC4" s="98"/>
      <c r="ED4" s="98"/>
      <c r="EE4" s="98"/>
      <c r="EF4" s="98"/>
      <c r="EG4" s="98"/>
      <c r="EH4" s="98"/>
      <c r="EI4" s="98"/>
      <c r="EJ4" s="98"/>
      <c r="EK4" s="98"/>
      <c r="EL4" s="98"/>
      <c r="EM4" s="98"/>
      <c r="EN4" s="98"/>
      <c r="EO4" s="98"/>
      <c r="EP4" s="98"/>
      <c r="EQ4" s="98"/>
      <c r="ER4" s="98"/>
      <c r="ES4" s="98"/>
      <c r="ET4" s="98"/>
      <c r="EU4" s="98"/>
      <c r="EV4" s="98"/>
      <c r="EW4" s="98"/>
      <c r="EX4" s="98"/>
      <c r="EY4" s="98"/>
      <c r="EZ4" s="98"/>
      <c r="FA4" s="98"/>
      <c r="FB4" s="98"/>
      <c r="FC4" s="98"/>
      <c r="FD4" s="98"/>
      <c r="FE4" s="98"/>
      <c r="FF4" s="98"/>
      <c r="FG4" s="98"/>
      <c r="FH4" s="98"/>
      <c r="FI4" s="98"/>
      <c r="FJ4" s="98"/>
      <c r="FK4" s="98"/>
      <c r="FL4" s="98"/>
      <c r="FM4" s="98"/>
      <c r="FN4" s="98"/>
      <c r="FO4" s="98"/>
      <c r="FP4" s="98"/>
      <c r="FQ4" s="98"/>
      <c r="FR4" s="98"/>
      <c r="FS4" s="98"/>
      <c r="FT4" s="98"/>
      <c r="FU4" s="98"/>
      <c r="FV4" s="98"/>
      <c r="FW4" s="98"/>
      <c r="FX4" s="98"/>
      <c r="FY4" s="98"/>
      <c r="FZ4" s="98"/>
      <c r="GA4" s="98"/>
      <c r="GB4" s="98"/>
      <c r="GC4" s="98"/>
      <c r="GD4" s="98"/>
      <c r="GE4" s="98"/>
      <c r="GF4" s="98"/>
      <c r="GG4" s="98"/>
      <c r="GH4" s="98"/>
      <c r="GI4" s="98"/>
      <c r="GJ4" s="98"/>
      <c r="GK4" s="98"/>
      <c r="GL4" s="98"/>
      <c r="GM4" s="98"/>
      <c r="GN4" s="98"/>
      <c r="GO4" s="98"/>
      <c r="GP4" s="98"/>
      <c r="GQ4" s="98"/>
      <c r="GR4" s="98"/>
      <c r="GS4" s="98"/>
      <c r="GT4" s="98"/>
      <c r="GU4" s="98"/>
      <c r="GV4" s="98"/>
      <c r="GW4" s="98"/>
      <c r="GX4" s="98"/>
      <c r="GY4" s="98"/>
      <c r="GZ4" s="98"/>
      <c r="HA4" s="98"/>
      <c r="HB4" s="98"/>
      <c r="HC4" s="98"/>
      <c r="HD4" s="98"/>
      <c r="HE4" s="98"/>
      <c r="HF4" s="98"/>
      <c r="HG4" s="98"/>
      <c r="HH4" s="98"/>
      <c r="HI4" s="98"/>
      <c r="HJ4" s="98"/>
      <c r="HK4" s="98"/>
      <c r="HL4" s="98"/>
      <c r="HM4" s="98"/>
      <c r="HN4" s="98"/>
      <c r="HO4" s="98"/>
      <c r="HP4" s="98"/>
      <c r="HQ4" s="98"/>
      <c r="HR4" s="98"/>
      <c r="HS4" s="98"/>
      <c r="HT4" s="98"/>
      <c r="HU4" s="98"/>
      <c r="HV4" s="98"/>
      <c r="HW4" s="98"/>
      <c r="HX4" s="98"/>
      <c r="HY4" s="98"/>
      <c r="HZ4" s="98"/>
      <c r="IA4" s="98"/>
      <c r="IB4" s="98"/>
      <c r="IC4" s="98"/>
      <c r="ID4" s="98"/>
      <c r="IE4" s="98"/>
      <c r="IF4" s="98"/>
      <c r="IG4" s="98"/>
      <c r="IH4" s="98"/>
      <c r="II4" s="98"/>
      <c r="IJ4" s="98"/>
      <c r="IK4" s="98"/>
      <c r="IL4" s="98"/>
      <c r="IM4" s="98"/>
      <c r="IN4" s="98"/>
      <c r="IO4" s="98"/>
      <c r="IP4" s="98"/>
    </row>
    <row r="5" customHeight="1" spans="1:250">
      <c r="A5" s="421"/>
      <c r="B5" s="421"/>
      <c r="C5" s="421"/>
      <c r="D5" s="424"/>
      <c r="E5" s="452"/>
      <c r="F5" s="424"/>
      <c r="G5" s="424"/>
      <c r="H5" s="424"/>
      <c r="I5" s="424"/>
      <c r="J5" s="98"/>
      <c r="K5" s="98"/>
      <c r="L5" s="98"/>
      <c r="M5" s="98"/>
      <c r="N5" s="98"/>
      <c r="O5" s="98"/>
      <c r="P5" s="98"/>
      <c r="Q5" s="98"/>
      <c r="R5" s="98"/>
      <c r="S5" s="98"/>
      <c r="T5" s="98"/>
      <c r="U5" s="98"/>
      <c r="V5" s="98"/>
      <c r="W5" s="98"/>
      <c r="X5" s="98"/>
      <c r="Y5" s="98"/>
      <c r="Z5" s="98"/>
      <c r="AA5" s="98"/>
      <c r="AB5" s="98"/>
      <c r="AC5" s="98"/>
      <c r="AD5" s="98"/>
      <c r="AE5" s="98"/>
      <c r="AF5" s="98"/>
      <c r="AG5" s="98"/>
      <c r="AH5" s="98"/>
      <c r="AI5" s="98"/>
      <c r="AJ5" s="98"/>
      <c r="AK5" s="98"/>
      <c r="AL5" s="98"/>
      <c r="AM5" s="98"/>
      <c r="AN5" s="98"/>
      <c r="AO5" s="98"/>
      <c r="AP5" s="98"/>
      <c r="AQ5" s="98"/>
      <c r="AR5" s="98"/>
      <c r="AS5" s="98"/>
      <c r="AT5" s="98"/>
      <c r="AU5" s="98"/>
      <c r="AV5" s="98"/>
      <c r="AW5" s="98"/>
      <c r="AX5" s="98"/>
      <c r="AY5" s="98"/>
      <c r="AZ5" s="98"/>
      <c r="BA5" s="98"/>
      <c r="BB5" s="98"/>
      <c r="BC5" s="98"/>
      <c r="BD5" s="98"/>
      <c r="BE5" s="98"/>
      <c r="BF5" s="98"/>
      <c r="BG5" s="98"/>
      <c r="BH5" s="98"/>
      <c r="BI5" s="98"/>
      <c r="BJ5" s="98"/>
      <c r="BK5" s="98"/>
      <c r="BL5" s="98"/>
      <c r="BM5" s="98"/>
      <c r="BN5" s="98"/>
      <c r="BO5" s="98"/>
      <c r="BP5" s="98"/>
      <c r="BQ5" s="98"/>
      <c r="BR5" s="98"/>
      <c r="BS5" s="98"/>
      <c r="BT5" s="98"/>
      <c r="BU5" s="98"/>
      <c r="BV5" s="98"/>
      <c r="BW5" s="98"/>
      <c r="BX5" s="98"/>
      <c r="BY5" s="98"/>
      <c r="BZ5" s="98"/>
      <c r="CA5" s="98"/>
      <c r="CB5" s="98"/>
      <c r="CC5" s="98"/>
      <c r="CD5" s="98"/>
      <c r="CE5" s="98"/>
      <c r="CF5" s="98"/>
      <c r="CG5" s="98"/>
      <c r="CH5" s="98"/>
      <c r="CI5" s="98"/>
      <c r="CJ5" s="98"/>
      <c r="CK5" s="98"/>
      <c r="CL5" s="98"/>
      <c r="CM5" s="98"/>
      <c r="CN5" s="98"/>
      <c r="CO5" s="98"/>
      <c r="CP5" s="98"/>
      <c r="CQ5" s="98"/>
      <c r="CR5" s="98"/>
      <c r="CS5" s="98"/>
      <c r="CT5" s="98"/>
      <c r="CU5" s="98"/>
      <c r="CV5" s="98"/>
      <c r="CW5" s="98"/>
      <c r="CX5" s="98"/>
      <c r="CY5" s="98"/>
      <c r="CZ5" s="98"/>
      <c r="DA5" s="98"/>
      <c r="DB5" s="98"/>
      <c r="DC5" s="98"/>
      <c r="DD5" s="98"/>
      <c r="DE5" s="98"/>
      <c r="DF5" s="98"/>
      <c r="DG5" s="98"/>
      <c r="DH5" s="98"/>
      <c r="DI5" s="98"/>
      <c r="DJ5" s="98"/>
      <c r="DK5" s="98"/>
      <c r="DL5" s="98"/>
      <c r="DM5" s="98"/>
      <c r="DN5" s="98"/>
      <c r="DO5" s="98"/>
      <c r="DP5" s="98"/>
      <c r="DQ5" s="98"/>
      <c r="DR5" s="98"/>
      <c r="DS5" s="98"/>
      <c r="DT5" s="98"/>
      <c r="DU5" s="98"/>
      <c r="DV5" s="98"/>
      <c r="DW5" s="98"/>
      <c r="DX5" s="98"/>
      <c r="DY5" s="98"/>
      <c r="DZ5" s="98"/>
      <c r="EA5" s="98"/>
      <c r="EB5" s="98"/>
      <c r="EC5" s="98"/>
      <c r="ED5" s="98"/>
      <c r="EE5" s="98"/>
      <c r="EF5" s="98"/>
      <c r="EG5" s="98"/>
      <c r="EH5" s="98"/>
      <c r="EI5" s="98"/>
      <c r="EJ5" s="98"/>
      <c r="EK5" s="98"/>
      <c r="EL5" s="98"/>
      <c r="EM5" s="98"/>
      <c r="EN5" s="98"/>
      <c r="EO5" s="98"/>
      <c r="EP5" s="98"/>
      <c r="EQ5" s="98"/>
      <c r="ER5" s="98"/>
      <c r="ES5" s="98"/>
      <c r="ET5" s="98"/>
      <c r="EU5" s="98"/>
      <c r="EV5" s="98"/>
      <c r="EW5" s="98"/>
      <c r="EX5" s="98"/>
      <c r="EY5" s="98"/>
      <c r="EZ5" s="98"/>
      <c r="FA5" s="98"/>
      <c r="FB5" s="98"/>
      <c r="FC5" s="98"/>
      <c r="FD5" s="98"/>
      <c r="FE5" s="98"/>
      <c r="FF5" s="98"/>
      <c r="FG5" s="98"/>
      <c r="FH5" s="98"/>
      <c r="FI5" s="98"/>
      <c r="FJ5" s="98"/>
      <c r="FK5" s="98"/>
      <c r="FL5" s="98"/>
      <c r="FM5" s="98"/>
      <c r="FN5" s="98"/>
      <c r="FO5" s="98"/>
      <c r="FP5" s="98"/>
      <c r="FQ5" s="98"/>
      <c r="FR5" s="98"/>
      <c r="FS5" s="98"/>
      <c r="FT5" s="98"/>
      <c r="FU5" s="98"/>
      <c r="FV5" s="98"/>
      <c r="FW5" s="98"/>
      <c r="FX5" s="98"/>
      <c r="FY5" s="98"/>
      <c r="FZ5" s="98"/>
      <c r="GA5" s="98"/>
      <c r="GB5" s="98"/>
      <c r="GC5" s="98"/>
      <c r="GD5" s="98"/>
      <c r="GE5" s="98"/>
      <c r="GF5" s="98"/>
      <c r="GG5" s="98"/>
      <c r="GH5" s="98"/>
      <c r="GI5" s="98"/>
      <c r="GJ5" s="98"/>
      <c r="GK5" s="98"/>
      <c r="GL5" s="98"/>
      <c r="GM5" s="98"/>
      <c r="GN5" s="98"/>
      <c r="GO5" s="98"/>
      <c r="GP5" s="98"/>
      <c r="GQ5" s="98"/>
      <c r="GR5" s="98"/>
      <c r="GS5" s="98"/>
      <c r="GT5" s="98"/>
      <c r="GU5" s="98"/>
      <c r="GV5" s="98"/>
      <c r="GW5" s="98"/>
      <c r="GX5" s="98"/>
      <c r="GY5" s="98"/>
      <c r="GZ5" s="98"/>
      <c r="HA5" s="98"/>
      <c r="HB5" s="98"/>
      <c r="HC5" s="98"/>
      <c r="HD5" s="98"/>
      <c r="HE5" s="98"/>
      <c r="HF5" s="98"/>
      <c r="HG5" s="98"/>
      <c r="HH5" s="98"/>
      <c r="HI5" s="98"/>
      <c r="HJ5" s="98"/>
      <c r="HK5" s="98"/>
      <c r="HL5" s="98"/>
      <c r="HM5" s="98"/>
      <c r="HN5" s="98"/>
      <c r="HO5" s="98"/>
      <c r="HP5" s="98"/>
      <c r="HQ5" s="98"/>
      <c r="HR5" s="98"/>
      <c r="HS5" s="98"/>
      <c r="HT5" s="98"/>
      <c r="HU5" s="98"/>
      <c r="HV5" s="98"/>
      <c r="HW5" s="98"/>
      <c r="HX5" s="98"/>
      <c r="HY5" s="98"/>
      <c r="HZ5" s="98"/>
      <c r="IA5" s="98"/>
      <c r="IB5" s="98"/>
      <c r="IC5" s="98"/>
      <c r="ID5" s="98"/>
      <c r="IE5" s="98"/>
      <c r="IF5" s="98"/>
      <c r="IG5" s="98"/>
      <c r="IH5" s="98"/>
      <c r="II5" s="98"/>
      <c r="IJ5" s="98"/>
      <c r="IK5" s="98"/>
      <c r="IL5" s="98"/>
      <c r="IM5" s="98"/>
      <c r="IN5" s="98"/>
      <c r="IO5" s="98"/>
      <c r="IP5" s="98"/>
    </row>
    <row r="6" customHeight="1" spans="1:250">
      <c r="A6" s="453" t="s">
        <v>182</v>
      </c>
      <c r="B6" s="454"/>
      <c r="C6" s="454"/>
      <c r="D6" s="454"/>
      <c r="E6" s="454"/>
      <c r="F6" s="424"/>
      <c r="G6" s="424"/>
      <c r="H6" s="424"/>
      <c r="I6" s="424"/>
    </row>
    <row r="7" customHeight="1" spans="1:250">
      <c r="A7" s="426" t="s">
        <v>183</v>
      </c>
      <c r="B7" s="454"/>
      <c r="C7" s="454"/>
      <c r="D7" s="454"/>
      <c r="E7" s="454"/>
      <c r="F7" s="424"/>
      <c r="G7" s="424"/>
      <c r="H7" s="424"/>
      <c r="I7" s="424"/>
    </row>
    <row r="8" customHeight="1" spans="1:250">
      <c r="A8" s="447" t="s">
        <v>184</v>
      </c>
      <c r="B8" s="448" t="s">
        <v>185</v>
      </c>
      <c r="C8" s="448" t="s">
        <v>186</v>
      </c>
      <c r="D8" s="448" t="s">
        <v>187</v>
      </c>
      <c r="E8" s="448" t="s">
        <v>188</v>
      </c>
      <c r="F8" s="424"/>
      <c r="G8" s="424"/>
      <c r="H8" s="424"/>
      <c r="I8" s="424"/>
    </row>
    <row r="9" customHeight="1" spans="1:250">
      <c r="A9" s="439" t="s">
        <v>189</v>
      </c>
      <c r="B9" s="437"/>
      <c r="C9" s="437"/>
      <c r="D9" s="437"/>
      <c r="E9" s="437"/>
    </row>
    <row r="10" customHeight="1" spans="1:250">
      <c r="A10" s="438" t="s">
        <v>190</v>
      </c>
      <c r="B10" s="437"/>
      <c r="C10" s="437"/>
      <c r="D10" s="437"/>
      <c r="E10" s="437"/>
    </row>
    <row r="11" customHeight="1" spans="1:250">
      <c r="A11" s="438" t="s">
        <v>191</v>
      </c>
      <c r="B11" s="437"/>
      <c r="C11" s="437"/>
      <c r="D11" s="437"/>
      <c r="E11" s="437"/>
    </row>
    <row r="12" customHeight="1" spans="1:250">
      <c r="A12" s="438" t="s">
        <v>192</v>
      </c>
      <c r="B12" s="437"/>
      <c r="C12" s="437"/>
      <c r="D12" s="437"/>
      <c r="E12" s="437"/>
    </row>
    <row r="13" customHeight="1" spans="1:250">
      <c r="A13" s="438" t="s">
        <v>193</v>
      </c>
      <c r="B13" s="437"/>
      <c r="C13" s="437"/>
      <c r="D13" s="437"/>
      <c r="E13" s="437"/>
    </row>
    <row r="14" customHeight="1" spans="1:250">
      <c r="A14" s="438" t="s">
        <v>194</v>
      </c>
      <c r="B14" s="437"/>
      <c r="C14" s="437"/>
      <c r="D14" s="437"/>
      <c r="E14" s="437"/>
    </row>
    <row r="15" customHeight="1" spans="1:250">
      <c r="A15" s="438" t="s">
        <v>195</v>
      </c>
      <c r="B15" s="437"/>
      <c r="C15" s="437"/>
      <c r="D15" s="437"/>
      <c r="E15" s="437"/>
    </row>
    <row r="16" customHeight="1" spans="1:250">
      <c r="A16" s="438" t="s">
        <v>196</v>
      </c>
      <c r="B16" s="437"/>
      <c r="C16" s="437"/>
      <c r="D16" s="437"/>
      <c r="E16" s="437"/>
    </row>
    <row r="17" customHeight="1" spans="1:5">
      <c r="A17" s="438" t="s">
        <v>197</v>
      </c>
      <c r="B17" s="437"/>
      <c r="C17" s="437"/>
      <c r="D17" s="437"/>
      <c r="E17" s="437"/>
    </row>
    <row r="18" customHeight="1" spans="1:5">
      <c r="A18" s="438" t="s">
        <v>198</v>
      </c>
      <c r="B18" s="437"/>
      <c r="C18" s="437"/>
      <c r="D18" s="437"/>
      <c r="E18" s="437"/>
    </row>
    <row r="19" customHeight="1" spans="1:5">
      <c r="A19" s="438" t="s">
        <v>195</v>
      </c>
      <c r="B19" s="437"/>
      <c r="C19" s="437"/>
      <c r="D19" s="437"/>
      <c r="E19" s="437"/>
    </row>
    <row r="20" customHeight="1" spans="1:5">
      <c r="A20" s="438" t="s">
        <v>199</v>
      </c>
      <c r="B20" s="437"/>
      <c r="C20" s="437"/>
      <c r="D20" s="437"/>
      <c r="E20" s="437"/>
    </row>
    <row r="21" customHeight="1" spans="1:5">
      <c r="A21" s="439" t="s">
        <v>200</v>
      </c>
      <c r="B21" s="437"/>
      <c r="C21" s="437"/>
      <c r="D21" s="437"/>
      <c r="E21" s="437"/>
    </row>
    <row r="22" customHeight="1" spans="1:5">
      <c r="A22" s="438" t="s">
        <v>190</v>
      </c>
      <c r="B22" s="437"/>
      <c r="C22" s="437"/>
      <c r="D22" s="437"/>
      <c r="E22" s="437"/>
    </row>
    <row r="23" customHeight="1" spans="1:5">
      <c r="A23" s="438" t="s">
        <v>191</v>
      </c>
      <c r="B23" s="437"/>
      <c r="C23" s="437"/>
      <c r="D23" s="437"/>
      <c r="E23" s="437"/>
    </row>
    <row r="24" customHeight="1" spans="1:5">
      <c r="A24" s="438" t="s">
        <v>201</v>
      </c>
      <c r="B24" s="437"/>
      <c r="C24" s="437"/>
      <c r="D24" s="437"/>
      <c r="E24" s="437"/>
    </row>
    <row r="25" customHeight="1" spans="1:5">
      <c r="A25" s="438" t="s">
        <v>202</v>
      </c>
      <c r="B25" s="437"/>
      <c r="C25" s="437"/>
      <c r="D25" s="437"/>
      <c r="E25" s="437"/>
    </row>
    <row r="26" customHeight="1" spans="1:5">
      <c r="A26" s="438" t="s">
        <v>203</v>
      </c>
      <c r="B26" s="437"/>
      <c r="C26" s="437"/>
      <c r="D26" s="437"/>
      <c r="E26" s="437"/>
    </row>
    <row r="27" customHeight="1" spans="1:5">
      <c r="A27" s="438" t="s">
        <v>195</v>
      </c>
      <c r="B27" s="437"/>
      <c r="C27" s="437"/>
      <c r="D27" s="437"/>
      <c r="E27" s="437"/>
    </row>
    <row r="28" customHeight="1" spans="1:5">
      <c r="A28" s="438" t="s">
        <v>196</v>
      </c>
      <c r="B28" s="437"/>
      <c r="C28" s="437"/>
      <c r="D28" s="437"/>
      <c r="E28" s="437"/>
    </row>
    <row r="29" customHeight="1" spans="1:5">
      <c r="A29" s="438" t="s">
        <v>197</v>
      </c>
      <c r="B29" s="437"/>
      <c r="C29" s="437"/>
      <c r="D29" s="437"/>
      <c r="E29" s="437"/>
    </row>
    <row r="30" customHeight="1" spans="1:5">
      <c r="A30" s="438" t="s">
        <v>198</v>
      </c>
      <c r="B30" s="437"/>
      <c r="C30" s="437"/>
      <c r="D30" s="437"/>
      <c r="E30" s="437"/>
    </row>
    <row r="31" customHeight="1" spans="1:5">
      <c r="A31" s="438" t="s">
        <v>195</v>
      </c>
      <c r="B31" s="437"/>
      <c r="C31" s="437"/>
      <c r="D31" s="437"/>
      <c r="E31" s="437"/>
    </row>
    <row r="32" customHeight="1" spans="1:5">
      <c r="A32" s="438" t="s">
        <v>199</v>
      </c>
      <c r="B32" s="437"/>
      <c r="C32" s="437"/>
      <c r="D32" s="437"/>
      <c r="E32" s="437"/>
    </row>
    <row r="33" customHeight="1" spans="1:5">
      <c r="A33" s="439" t="s">
        <v>204</v>
      </c>
      <c r="B33" s="437"/>
      <c r="C33" s="437"/>
      <c r="D33" s="437"/>
      <c r="E33" s="437"/>
    </row>
    <row r="34" customHeight="1" spans="1:5">
      <c r="A34" s="438" t="s">
        <v>190</v>
      </c>
      <c r="B34" s="437"/>
      <c r="C34" s="437"/>
      <c r="D34" s="437"/>
      <c r="E34" s="437"/>
    </row>
    <row r="35" customHeight="1" spans="1:5">
      <c r="A35" s="438" t="s">
        <v>191</v>
      </c>
      <c r="B35" s="437"/>
      <c r="C35" s="437"/>
      <c r="D35" s="437"/>
      <c r="E35" s="437"/>
    </row>
    <row r="36" customHeight="1" spans="1:5">
      <c r="A36" s="438" t="s">
        <v>205</v>
      </c>
      <c r="B36" s="437"/>
      <c r="C36" s="437"/>
      <c r="D36" s="437"/>
      <c r="E36" s="437"/>
    </row>
    <row r="37" customHeight="1" spans="1:5">
      <c r="A37" s="438" t="s">
        <v>206</v>
      </c>
      <c r="B37" s="437"/>
      <c r="C37" s="437"/>
      <c r="D37" s="437"/>
      <c r="E37" s="437"/>
    </row>
    <row r="38" customHeight="1" spans="1:5">
      <c r="A38" s="438" t="s">
        <v>195</v>
      </c>
      <c r="B38" s="437"/>
      <c r="C38" s="437"/>
      <c r="D38" s="437"/>
      <c r="E38" s="437"/>
    </row>
    <row r="39" customHeight="1" spans="1:5">
      <c r="A39" s="438" t="s">
        <v>207</v>
      </c>
      <c r="B39" s="437"/>
      <c r="C39" s="437"/>
      <c r="D39" s="437"/>
      <c r="E39" s="437"/>
    </row>
    <row r="40" customHeight="1" spans="1:5">
      <c r="A40" s="438" t="s">
        <v>197</v>
      </c>
      <c r="B40" s="437"/>
      <c r="C40" s="437"/>
      <c r="D40" s="437"/>
      <c r="E40" s="437"/>
    </row>
    <row r="41" customHeight="1" spans="1:5">
      <c r="A41" s="438" t="s">
        <v>198</v>
      </c>
      <c r="B41" s="437"/>
      <c r="C41" s="437"/>
      <c r="D41" s="437"/>
      <c r="E41" s="437"/>
    </row>
    <row r="42" customHeight="1" spans="1:5">
      <c r="A42" s="438" t="s">
        <v>195</v>
      </c>
      <c r="B42" s="437"/>
      <c r="C42" s="437"/>
      <c r="D42" s="437"/>
      <c r="E42" s="437"/>
    </row>
    <row r="43" customHeight="1" spans="1:5">
      <c r="A43" s="438" t="s">
        <v>199</v>
      </c>
      <c r="B43" s="437"/>
      <c r="C43" s="437"/>
      <c r="D43" s="437"/>
      <c r="E43" s="437"/>
    </row>
    <row r="44" customHeight="1" spans="1:5">
      <c r="A44" s="439" t="s">
        <v>208</v>
      </c>
      <c r="B44" s="437"/>
      <c r="C44" s="437"/>
      <c r="D44" s="437"/>
      <c r="E44" s="437"/>
    </row>
    <row r="45" customHeight="1" spans="1:5">
      <c r="A45" s="438" t="s">
        <v>209</v>
      </c>
      <c r="B45" s="437"/>
      <c r="C45" s="437"/>
      <c r="D45" s="437"/>
      <c r="E45" s="437"/>
    </row>
    <row r="46" customHeight="1" spans="1:5">
      <c r="A46" s="440" t="s">
        <v>210</v>
      </c>
      <c r="B46" s="441"/>
      <c r="C46" s="441"/>
      <c r="D46" s="441"/>
      <c r="E46" s="441"/>
    </row>
    <row r="48" ht="94" customHeight="1" spans="1:5">
      <c r="A48" s="455" t="s">
        <v>211</v>
      </c>
      <c r="B48" s="455"/>
      <c r="C48" s="455"/>
      <c r="D48" s="455"/>
      <c r="E48" s="455"/>
    </row>
    <row r="49" ht="45" customHeight="1" spans="1:5">
      <c r="A49" s="455" t="s">
        <v>212</v>
      </c>
      <c r="B49" s="455"/>
      <c r="C49" s="455"/>
      <c r="D49" s="455"/>
      <c r="E49" s="455"/>
    </row>
    <row r="51" customHeight="1" spans="1:5">
      <c r="A51" s="426" t="s">
        <v>213</v>
      </c>
    </row>
    <row r="52" customHeight="1" spans="1:5">
      <c r="A52" s="446" t="s">
        <v>214</v>
      </c>
    </row>
    <row r="53" customHeight="1" spans="1:5">
      <c r="A53" s="456" t="s">
        <v>215</v>
      </c>
      <c r="B53" s="457" t="s">
        <v>185</v>
      </c>
      <c r="C53" s="457" t="s">
        <v>186</v>
      </c>
      <c r="D53" s="457" t="s">
        <v>187</v>
      </c>
      <c r="E53" s="457" t="s">
        <v>188</v>
      </c>
    </row>
    <row r="54" customHeight="1" spans="1:5">
      <c r="A54" s="436" t="s">
        <v>216</v>
      </c>
      <c r="B54" s="437"/>
      <c r="C54" s="437"/>
      <c r="D54" s="437"/>
      <c r="E54" s="437"/>
    </row>
    <row r="55" customHeight="1" spans="1:5">
      <c r="A55" s="436" t="s">
        <v>217</v>
      </c>
      <c r="B55" s="437"/>
      <c r="C55" s="437"/>
      <c r="D55" s="437"/>
      <c r="E55" s="437"/>
    </row>
    <row r="56" customHeight="1" spans="1:5">
      <c r="A56" s="458" t="s">
        <v>218</v>
      </c>
      <c r="B56" s="437"/>
      <c r="C56" s="437"/>
      <c r="D56" s="437"/>
      <c r="E56" s="437"/>
    </row>
    <row r="57" customHeight="1" spans="1:5">
      <c r="A57" s="459" t="s">
        <v>219</v>
      </c>
      <c r="B57" s="437"/>
      <c r="C57" s="437"/>
      <c r="D57" s="437"/>
      <c r="E57" s="437"/>
    </row>
    <row r="58" customHeight="1" spans="1:5">
      <c r="A58" s="458" t="s">
        <v>220</v>
      </c>
      <c r="B58" s="437"/>
      <c r="C58" s="437"/>
      <c r="D58" s="437"/>
      <c r="E58" s="437"/>
    </row>
    <row r="59" customHeight="1" spans="1:5">
      <c r="A59" s="458" t="s">
        <v>221</v>
      </c>
      <c r="B59" s="437"/>
      <c r="C59" s="437"/>
      <c r="D59" s="437"/>
      <c r="E59" s="437"/>
    </row>
    <row r="60" customHeight="1" spans="1:5">
      <c r="A60" s="458" t="s">
        <v>222</v>
      </c>
      <c r="B60" s="437"/>
      <c r="C60" s="437"/>
      <c r="D60" s="437"/>
      <c r="E60" s="437"/>
    </row>
    <row r="61" customHeight="1" spans="1:5">
      <c r="A61" s="458" t="s">
        <v>223</v>
      </c>
      <c r="B61" s="437"/>
      <c r="C61" s="437"/>
      <c r="D61" s="437"/>
      <c r="E61" s="437"/>
    </row>
    <row r="62" customHeight="1" spans="1:5">
      <c r="A62" s="458" t="s">
        <v>224</v>
      </c>
      <c r="B62" s="437"/>
      <c r="C62" s="437"/>
      <c r="D62" s="437"/>
      <c r="E62" s="437"/>
    </row>
    <row r="63" customHeight="1" spans="1:5">
      <c r="A63" s="460" t="s">
        <v>225</v>
      </c>
      <c r="B63" s="441"/>
      <c r="C63" s="441"/>
      <c r="D63" s="441"/>
      <c r="E63" s="441"/>
    </row>
    <row r="65" customHeight="1" spans="1:5">
      <c r="A65" s="453" t="s">
        <v>226</v>
      </c>
    </row>
    <row r="66" customHeight="1" spans="1:5">
      <c r="A66" s="446" t="s">
        <v>227</v>
      </c>
    </row>
    <row r="67" customHeight="1" spans="1:5">
      <c r="A67" s="461" t="s">
        <v>215</v>
      </c>
      <c r="B67" s="457" t="s">
        <v>228</v>
      </c>
      <c r="C67" s="457" t="s">
        <v>229</v>
      </c>
    </row>
    <row r="68" customHeight="1" spans="1:5">
      <c r="A68" s="462" t="s">
        <v>230</v>
      </c>
      <c r="B68" s="463"/>
      <c r="C68" s="463"/>
    </row>
    <row r="69" customHeight="1" spans="1:5">
      <c r="A69" s="464"/>
      <c r="B69" s="463"/>
      <c r="C69" s="463"/>
    </row>
    <row r="70" customHeight="1" spans="1:5">
      <c r="A70" s="465"/>
      <c r="B70" s="466"/>
      <c r="C70" s="466"/>
    </row>
    <row r="71" customHeight="1" spans="1:5">
      <c r="A71" s="426" t="s">
        <v>231</v>
      </c>
    </row>
    <row r="72" customHeight="1" spans="1:5">
      <c r="A72" s="446" t="s">
        <v>232</v>
      </c>
    </row>
    <row r="73" ht="32" customHeight="1" spans="1:5">
      <c r="A73" s="455" t="s">
        <v>233</v>
      </c>
      <c r="B73" s="455"/>
      <c r="C73" s="455"/>
      <c r="D73" s="455"/>
      <c r="E73" s="455"/>
    </row>
    <row r="74" ht="68" customHeight="1" spans="1:5">
      <c r="A74" s="455" t="s">
        <v>234</v>
      </c>
      <c r="B74" s="455"/>
      <c r="C74" s="455"/>
      <c r="D74" s="455"/>
      <c r="E74" s="455"/>
    </row>
  </sheetData>
  <mergeCells count="6">
    <mergeCell ref="A1:E1"/>
    <mergeCell ref="A2:E2"/>
    <mergeCell ref="A48:E48"/>
    <mergeCell ref="A49:E49"/>
    <mergeCell ref="A73:E73"/>
    <mergeCell ref="A74:E74"/>
  </mergeCells>
  <hyperlinks>
    <hyperlink ref="F3" location="底稿目录!A1" display="返回目录"/>
  </hyperlinks>
  <pageMargins left="0.708661417322835" right="0.708661417322835" top="0.748031496062992" bottom="0.748031496062992" header="0.31496062992126" footer="0.31496062992126"/>
  <pageSetup paperSize="9" scale="62" orientation="portrait" blackAndWhite="1"/>
  <headerFooter>
    <oddFooter>&amp;C&amp;P/&amp;N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IR46"/>
  <sheetViews>
    <sheetView view="pageBreakPreview" zoomScale="85" zoomScaleNormal="100" topLeftCell="A19" workbookViewId="0">
      <selection activeCell="P39" sqref="P39"/>
    </sheetView>
  </sheetViews>
  <sheetFormatPr defaultColWidth="9" defaultRowHeight="19.95" customHeight="1"/>
  <cols>
    <col min="1" max="1" width="25.5" style="414" customWidth="1"/>
    <col min="2" max="2" width="15" style="414" customWidth="1"/>
    <col min="3" max="3" width="12" style="414" customWidth="1"/>
    <col min="4" max="6" width="12.5" style="414" customWidth="1"/>
    <col min="7" max="7" width="10.5" style="414" customWidth="1"/>
    <col min="8" max="8" width="15.6" style="414" customWidth="1"/>
    <col min="9" max="16384" width="9" style="414"/>
  </cols>
  <sheetData>
    <row r="1" s="412" customFormat="1" customHeight="1" spans="1:252">
      <c r="A1" s="415" t="s">
        <v>179</v>
      </c>
      <c r="B1" s="415"/>
      <c r="C1" s="415"/>
      <c r="D1" s="415"/>
      <c r="E1" s="415"/>
      <c r="F1" s="415"/>
      <c r="G1" s="415"/>
      <c r="H1" s="415"/>
      <c r="I1" s="416"/>
      <c r="J1" s="416"/>
      <c r="K1" s="417"/>
      <c r="L1" s="417"/>
      <c r="M1" s="417"/>
      <c r="N1" s="417"/>
      <c r="O1" s="417"/>
      <c r="P1" s="417"/>
      <c r="Q1" s="417"/>
      <c r="R1" s="417"/>
      <c r="S1" s="417"/>
      <c r="T1" s="417"/>
      <c r="U1" s="417"/>
      <c r="V1" s="417"/>
      <c r="W1" s="417"/>
      <c r="X1" s="417"/>
      <c r="Y1" s="417"/>
      <c r="Z1" s="417"/>
      <c r="AA1" s="417"/>
      <c r="AB1" s="417"/>
      <c r="AC1" s="417"/>
      <c r="AD1" s="417"/>
      <c r="AE1" s="417"/>
      <c r="AF1" s="417"/>
      <c r="AG1" s="417"/>
      <c r="AH1" s="417"/>
      <c r="AI1" s="417"/>
      <c r="AJ1" s="417"/>
      <c r="AK1" s="417"/>
      <c r="AL1" s="417"/>
      <c r="AM1" s="417"/>
      <c r="AN1" s="417"/>
      <c r="AO1" s="417"/>
      <c r="AP1" s="417"/>
      <c r="AQ1" s="417"/>
      <c r="AR1" s="417"/>
      <c r="AS1" s="417"/>
      <c r="AT1" s="417"/>
      <c r="AU1" s="417"/>
      <c r="AV1" s="417"/>
      <c r="AW1" s="417"/>
      <c r="AX1" s="417"/>
      <c r="AY1" s="417"/>
      <c r="AZ1" s="417"/>
      <c r="BA1" s="417"/>
      <c r="BB1" s="417"/>
      <c r="BC1" s="417"/>
      <c r="BD1" s="417"/>
      <c r="BE1" s="417"/>
      <c r="BF1" s="417"/>
      <c r="BG1" s="417"/>
      <c r="BH1" s="417"/>
      <c r="BI1" s="417"/>
      <c r="BJ1" s="417"/>
      <c r="BK1" s="417"/>
      <c r="BL1" s="417"/>
      <c r="BM1" s="417"/>
      <c r="BN1" s="417"/>
      <c r="BO1" s="417"/>
      <c r="BP1" s="417"/>
      <c r="BQ1" s="417"/>
      <c r="BR1" s="417"/>
      <c r="BS1" s="417"/>
      <c r="BT1" s="417"/>
      <c r="BU1" s="417"/>
      <c r="BV1" s="417"/>
      <c r="BW1" s="417"/>
      <c r="BX1" s="417"/>
      <c r="BY1" s="417"/>
      <c r="BZ1" s="417"/>
      <c r="CA1" s="417"/>
      <c r="CB1" s="417"/>
      <c r="CC1" s="417"/>
      <c r="CD1" s="417"/>
      <c r="CE1" s="417"/>
      <c r="CF1" s="417"/>
      <c r="CG1" s="417"/>
      <c r="CH1" s="417"/>
      <c r="CI1" s="417"/>
      <c r="CJ1" s="417"/>
      <c r="CK1" s="417"/>
      <c r="CL1" s="417"/>
      <c r="CM1" s="417"/>
      <c r="CN1" s="417"/>
      <c r="CO1" s="417"/>
      <c r="CP1" s="417"/>
      <c r="CQ1" s="417"/>
      <c r="CR1" s="417"/>
      <c r="CS1" s="417"/>
      <c r="CT1" s="417"/>
      <c r="CU1" s="417"/>
      <c r="CV1" s="417"/>
      <c r="CW1" s="417"/>
      <c r="CX1" s="417"/>
      <c r="CY1" s="417"/>
      <c r="CZ1" s="417"/>
      <c r="DA1" s="417"/>
      <c r="DB1" s="417"/>
      <c r="DC1" s="417"/>
      <c r="DD1" s="417"/>
      <c r="DE1" s="417"/>
      <c r="DF1" s="417"/>
      <c r="DG1" s="417"/>
      <c r="DH1" s="417"/>
      <c r="DI1" s="417"/>
      <c r="DJ1" s="417"/>
      <c r="DK1" s="417"/>
      <c r="DL1" s="417"/>
      <c r="DM1" s="417"/>
      <c r="DN1" s="417"/>
      <c r="DO1" s="417"/>
      <c r="DP1" s="417"/>
      <c r="DQ1" s="417"/>
      <c r="DR1" s="417"/>
      <c r="DS1" s="417"/>
      <c r="DT1" s="417"/>
      <c r="DU1" s="417"/>
      <c r="DV1" s="417"/>
      <c r="DW1" s="417"/>
      <c r="DX1" s="417"/>
      <c r="DY1" s="417"/>
      <c r="DZ1" s="417"/>
      <c r="EA1" s="417"/>
      <c r="EB1" s="417"/>
      <c r="EC1" s="417"/>
      <c r="ED1" s="417"/>
      <c r="EE1" s="417"/>
      <c r="EF1" s="417"/>
      <c r="EG1" s="417"/>
      <c r="EH1" s="417"/>
      <c r="EI1" s="417"/>
      <c r="EJ1" s="417"/>
      <c r="EK1" s="417"/>
      <c r="EL1" s="417"/>
      <c r="EM1" s="417"/>
      <c r="EN1" s="417"/>
      <c r="EO1" s="417"/>
      <c r="EP1" s="417"/>
      <c r="EQ1" s="417"/>
      <c r="ER1" s="417"/>
      <c r="ES1" s="417"/>
      <c r="ET1" s="417"/>
      <c r="EU1" s="417"/>
      <c r="EV1" s="417"/>
      <c r="EW1" s="417"/>
      <c r="EX1" s="417"/>
      <c r="EY1" s="417"/>
      <c r="EZ1" s="417"/>
      <c r="FA1" s="417"/>
      <c r="FB1" s="417"/>
      <c r="FC1" s="417"/>
      <c r="FD1" s="417"/>
      <c r="FE1" s="417"/>
      <c r="FF1" s="417"/>
      <c r="FG1" s="417"/>
      <c r="FH1" s="417"/>
      <c r="FI1" s="417"/>
      <c r="FJ1" s="417"/>
      <c r="FK1" s="417"/>
      <c r="FL1" s="417"/>
      <c r="FM1" s="417"/>
      <c r="FN1" s="417"/>
      <c r="FO1" s="417"/>
      <c r="FP1" s="417"/>
      <c r="FQ1" s="417"/>
      <c r="FR1" s="417"/>
      <c r="FS1" s="417"/>
      <c r="FT1" s="417"/>
      <c r="FU1" s="417"/>
      <c r="FV1" s="417"/>
      <c r="FW1" s="417"/>
      <c r="FX1" s="417"/>
      <c r="FY1" s="417"/>
      <c r="FZ1" s="417"/>
      <c r="GA1" s="417"/>
      <c r="GB1" s="417"/>
      <c r="GC1" s="417"/>
      <c r="GD1" s="417"/>
      <c r="GE1" s="417"/>
      <c r="GF1" s="417"/>
      <c r="GG1" s="417"/>
      <c r="GH1" s="417"/>
      <c r="GI1" s="417"/>
      <c r="GJ1" s="417"/>
      <c r="GK1" s="417"/>
      <c r="GL1" s="417"/>
      <c r="GM1" s="417"/>
      <c r="GN1" s="417"/>
      <c r="GO1" s="417"/>
      <c r="GP1" s="417"/>
      <c r="GQ1" s="417"/>
      <c r="GR1" s="417"/>
      <c r="GS1" s="417"/>
      <c r="GT1" s="417"/>
      <c r="GU1" s="417"/>
      <c r="GV1" s="417"/>
      <c r="GW1" s="417"/>
      <c r="GX1" s="417"/>
      <c r="GY1" s="417"/>
      <c r="GZ1" s="417"/>
      <c r="HA1" s="417"/>
      <c r="HB1" s="417"/>
      <c r="HC1" s="417"/>
      <c r="HD1" s="417"/>
      <c r="HE1" s="417"/>
      <c r="HF1" s="417"/>
      <c r="HG1" s="417"/>
      <c r="HH1" s="417"/>
      <c r="HI1" s="417"/>
      <c r="HJ1" s="417"/>
      <c r="HK1" s="417"/>
      <c r="HL1" s="417"/>
      <c r="HM1" s="417"/>
      <c r="HN1" s="417"/>
      <c r="HO1" s="417"/>
      <c r="HP1" s="417"/>
      <c r="HQ1" s="417"/>
      <c r="HR1" s="417"/>
      <c r="HS1" s="417"/>
      <c r="HT1" s="417"/>
      <c r="HU1" s="417"/>
      <c r="HV1" s="417"/>
      <c r="HW1" s="417"/>
      <c r="HX1" s="417"/>
      <c r="HY1" s="417"/>
      <c r="HZ1" s="417"/>
      <c r="IA1" s="417"/>
      <c r="IB1" s="417"/>
      <c r="IC1" s="417"/>
      <c r="ID1" s="417"/>
      <c r="IE1" s="417"/>
      <c r="IF1" s="417"/>
      <c r="IG1" s="417"/>
      <c r="IH1" s="417"/>
      <c r="II1" s="417"/>
      <c r="IJ1" s="417"/>
      <c r="IK1" s="417"/>
      <c r="IL1" s="417"/>
      <c r="IM1" s="417"/>
      <c r="IN1" s="417"/>
      <c r="IO1" s="417"/>
      <c r="IP1" s="417"/>
      <c r="IQ1" s="417"/>
      <c r="IR1" s="417"/>
    </row>
    <row r="2" s="413" customFormat="1" customHeight="1" spans="1:252">
      <c r="A2" s="418" t="s">
        <v>235</v>
      </c>
      <c r="B2" s="418"/>
      <c r="C2" s="418"/>
      <c r="D2" s="418"/>
      <c r="E2" s="418"/>
      <c r="F2" s="418"/>
      <c r="G2" s="418"/>
      <c r="H2" s="418"/>
      <c r="I2" s="419"/>
      <c r="J2" s="419"/>
      <c r="K2" s="420"/>
      <c r="L2" s="420"/>
      <c r="M2" s="420"/>
      <c r="N2" s="420"/>
      <c r="O2" s="420"/>
      <c r="P2" s="420"/>
      <c r="Q2" s="420"/>
      <c r="R2" s="420"/>
      <c r="S2" s="420"/>
      <c r="T2" s="420"/>
      <c r="U2" s="420"/>
      <c r="V2" s="420"/>
      <c r="W2" s="420"/>
      <c r="X2" s="420"/>
      <c r="Y2" s="420"/>
      <c r="Z2" s="420"/>
      <c r="AA2" s="420"/>
      <c r="AB2" s="420"/>
      <c r="AC2" s="420"/>
      <c r="AD2" s="420"/>
      <c r="AE2" s="420"/>
      <c r="AF2" s="420"/>
      <c r="AG2" s="420"/>
      <c r="AH2" s="420"/>
      <c r="AI2" s="420"/>
      <c r="AJ2" s="420"/>
      <c r="AK2" s="420"/>
      <c r="AL2" s="420"/>
      <c r="AM2" s="420"/>
      <c r="AN2" s="420"/>
      <c r="AO2" s="420"/>
      <c r="AP2" s="420"/>
      <c r="AQ2" s="420"/>
      <c r="AR2" s="420"/>
      <c r="AS2" s="420"/>
      <c r="AT2" s="420"/>
      <c r="AU2" s="420"/>
      <c r="AV2" s="420"/>
      <c r="AW2" s="420"/>
      <c r="AX2" s="420"/>
      <c r="AY2" s="420"/>
      <c r="AZ2" s="420"/>
      <c r="BA2" s="420"/>
      <c r="BB2" s="420"/>
      <c r="BC2" s="420"/>
      <c r="BD2" s="420"/>
      <c r="BE2" s="420"/>
      <c r="BF2" s="420"/>
      <c r="BG2" s="420"/>
      <c r="BH2" s="420"/>
      <c r="BI2" s="420"/>
      <c r="BJ2" s="420"/>
      <c r="BK2" s="420"/>
      <c r="BL2" s="420"/>
      <c r="BM2" s="420"/>
      <c r="BN2" s="420"/>
      <c r="BO2" s="420"/>
      <c r="BP2" s="420"/>
      <c r="BQ2" s="420"/>
      <c r="BR2" s="420"/>
      <c r="BS2" s="420"/>
      <c r="BT2" s="420"/>
      <c r="BU2" s="420"/>
      <c r="BV2" s="420"/>
      <c r="BW2" s="420"/>
      <c r="BX2" s="420"/>
      <c r="BY2" s="420"/>
      <c r="BZ2" s="420"/>
      <c r="CA2" s="420"/>
      <c r="CB2" s="420"/>
      <c r="CC2" s="420"/>
      <c r="CD2" s="420"/>
      <c r="CE2" s="420"/>
      <c r="CF2" s="420"/>
      <c r="CG2" s="420"/>
      <c r="CH2" s="420"/>
      <c r="CI2" s="420"/>
      <c r="CJ2" s="420"/>
      <c r="CK2" s="420"/>
      <c r="CL2" s="420"/>
      <c r="CM2" s="420"/>
      <c r="CN2" s="420"/>
      <c r="CO2" s="420"/>
      <c r="CP2" s="420"/>
      <c r="CQ2" s="420"/>
      <c r="CR2" s="420"/>
      <c r="CS2" s="420"/>
      <c r="CT2" s="420"/>
      <c r="CU2" s="420"/>
      <c r="CV2" s="420"/>
      <c r="CW2" s="420"/>
      <c r="CX2" s="420"/>
      <c r="CY2" s="420"/>
      <c r="CZ2" s="420"/>
      <c r="DA2" s="420"/>
      <c r="DB2" s="420"/>
      <c r="DC2" s="420"/>
      <c r="DD2" s="420"/>
      <c r="DE2" s="420"/>
      <c r="DF2" s="420"/>
      <c r="DG2" s="420"/>
      <c r="DH2" s="420"/>
      <c r="DI2" s="420"/>
      <c r="DJ2" s="420"/>
      <c r="DK2" s="420"/>
      <c r="DL2" s="420"/>
      <c r="DM2" s="420"/>
      <c r="DN2" s="420"/>
      <c r="DO2" s="420"/>
      <c r="DP2" s="420"/>
      <c r="DQ2" s="420"/>
      <c r="DR2" s="420"/>
      <c r="DS2" s="420"/>
      <c r="DT2" s="420"/>
      <c r="DU2" s="420"/>
      <c r="DV2" s="420"/>
      <c r="DW2" s="420"/>
      <c r="DX2" s="420"/>
      <c r="DY2" s="420"/>
      <c r="DZ2" s="420"/>
      <c r="EA2" s="420"/>
      <c r="EB2" s="420"/>
      <c r="EC2" s="420"/>
      <c r="ED2" s="420"/>
      <c r="EE2" s="420"/>
      <c r="EF2" s="420"/>
      <c r="EG2" s="420"/>
      <c r="EH2" s="420"/>
      <c r="EI2" s="420"/>
      <c r="EJ2" s="420"/>
      <c r="EK2" s="420"/>
      <c r="EL2" s="420"/>
      <c r="EM2" s="420"/>
      <c r="EN2" s="420"/>
      <c r="EO2" s="420"/>
      <c r="EP2" s="420"/>
      <c r="EQ2" s="420"/>
      <c r="ER2" s="420"/>
      <c r="ES2" s="420"/>
      <c r="ET2" s="420"/>
      <c r="EU2" s="420"/>
      <c r="EV2" s="420"/>
      <c r="EW2" s="420"/>
      <c r="EX2" s="420"/>
      <c r="EY2" s="420"/>
      <c r="EZ2" s="420"/>
      <c r="FA2" s="420"/>
      <c r="FB2" s="420"/>
      <c r="FC2" s="420"/>
      <c r="FD2" s="420"/>
      <c r="FE2" s="420"/>
      <c r="FF2" s="420"/>
      <c r="FG2" s="420"/>
      <c r="FH2" s="420"/>
      <c r="FI2" s="420"/>
      <c r="FJ2" s="420"/>
      <c r="FK2" s="420"/>
      <c r="FL2" s="420"/>
      <c r="FM2" s="420"/>
      <c r="FN2" s="420"/>
      <c r="FO2" s="420"/>
      <c r="FP2" s="420"/>
      <c r="FQ2" s="420"/>
      <c r="FR2" s="420"/>
      <c r="FS2" s="420"/>
      <c r="FT2" s="420"/>
      <c r="FU2" s="420"/>
      <c r="FV2" s="420"/>
      <c r="FW2" s="420"/>
      <c r="FX2" s="420"/>
      <c r="FY2" s="420"/>
      <c r="FZ2" s="420"/>
      <c r="GA2" s="420"/>
      <c r="GB2" s="420"/>
      <c r="GC2" s="420"/>
      <c r="GD2" s="420"/>
      <c r="GE2" s="420"/>
      <c r="GF2" s="420"/>
      <c r="GG2" s="420"/>
      <c r="GH2" s="420"/>
      <c r="GI2" s="420"/>
      <c r="GJ2" s="420"/>
      <c r="GK2" s="420"/>
      <c r="GL2" s="420"/>
      <c r="GM2" s="420"/>
      <c r="GN2" s="420"/>
      <c r="GO2" s="420"/>
      <c r="GP2" s="420"/>
      <c r="GQ2" s="420"/>
      <c r="GR2" s="420"/>
      <c r="GS2" s="420"/>
      <c r="GT2" s="420"/>
      <c r="GU2" s="420"/>
      <c r="GV2" s="420"/>
      <c r="GW2" s="420"/>
      <c r="GX2" s="420"/>
      <c r="GY2" s="420"/>
      <c r="GZ2" s="420"/>
      <c r="HA2" s="420"/>
      <c r="HB2" s="420"/>
      <c r="HC2" s="420"/>
      <c r="HD2" s="420"/>
      <c r="HE2" s="420"/>
      <c r="HF2" s="420"/>
      <c r="HG2" s="420"/>
      <c r="HH2" s="420"/>
      <c r="HI2" s="420"/>
      <c r="HJ2" s="420"/>
      <c r="HK2" s="420"/>
      <c r="HL2" s="420"/>
      <c r="HM2" s="420"/>
      <c r="HN2" s="420"/>
      <c r="HO2" s="420"/>
      <c r="HP2" s="420"/>
      <c r="HQ2" s="420"/>
      <c r="HR2" s="420"/>
      <c r="HS2" s="420"/>
      <c r="HT2" s="420"/>
      <c r="HU2" s="420"/>
      <c r="HV2" s="420"/>
      <c r="HW2" s="420"/>
      <c r="HX2" s="420"/>
      <c r="HY2" s="420"/>
      <c r="HZ2" s="420"/>
      <c r="IA2" s="420"/>
      <c r="IB2" s="420"/>
      <c r="IC2" s="420"/>
      <c r="ID2" s="420"/>
      <c r="IE2" s="420"/>
      <c r="IF2" s="420"/>
      <c r="IG2" s="420"/>
      <c r="IH2" s="420"/>
      <c r="II2" s="420"/>
      <c r="IJ2" s="420"/>
      <c r="IK2" s="420"/>
      <c r="IL2" s="420"/>
      <c r="IM2" s="420"/>
      <c r="IN2" s="420"/>
      <c r="IO2" s="420"/>
      <c r="IP2" s="420"/>
      <c r="IQ2" s="420"/>
      <c r="IR2" s="420"/>
    </row>
    <row r="3" customHeight="1" spans="1:252">
      <c r="A3" s="421" t="str">
        <f>底稿目录!A2</f>
        <v>被审计单位：</v>
      </c>
      <c r="B3" s="421"/>
      <c r="C3" s="421" t="str">
        <f>底稿目录!A4</f>
        <v>编制人：</v>
      </c>
      <c r="E3" s="421" t="str">
        <f>底稿目录!A6</f>
        <v>编制日期：</v>
      </c>
      <c r="F3" s="421"/>
      <c r="H3" s="422" t="s">
        <v>61</v>
      </c>
      <c r="I3" s="423" t="s">
        <v>181</v>
      </c>
      <c r="J3" s="98"/>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8"/>
      <c r="AW3" s="98"/>
      <c r="AX3" s="98"/>
      <c r="AY3" s="98"/>
      <c r="AZ3" s="98"/>
      <c r="BA3" s="98"/>
      <c r="BB3" s="98"/>
      <c r="BC3" s="98"/>
      <c r="BD3" s="98"/>
      <c r="BE3" s="98"/>
      <c r="BF3" s="98"/>
      <c r="BG3" s="98"/>
      <c r="BH3" s="98"/>
      <c r="BI3" s="98"/>
      <c r="BJ3" s="98"/>
      <c r="BK3" s="98"/>
      <c r="BL3" s="98"/>
      <c r="BM3" s="98"/>
      <c r="BN3" s="98"/>
      <c r="BO3" s="98"/>
      <c r="BP3" s="98"/>
      <c r="BQ3" s="98"/>
      <c r="BR3" s="98"/>
      <c r="BS3" s="98"/>
      <c r="BT3" s="98"/>
      <c r="BU3" s="98"/>
      <c r="BV3" s="98"/>
      <c r="BW3" s="98"/>
      <c r="BX3" s="98"/>
      <c r="BY3" s="98"/>
      <c r="BZ3" s="98"/>
      <c r="CA3" s="98"/>
      <c r="CB3" s="98"/>
      <c r="CC3" s="98"/>
      <c r="CD3" s="98"/>
      <c r="CE3" s="98"/>
      <c r="CF3" s="98"/>
      <c r="CG3" s="98"/>
      <c r="CH3" s="98"/>
      <c r="CI3" s="98"/>
      <c r="CJ3" s="98"/>
      <c r="CK3" s="98"/>
      <c r="CL3" s="98"/>
      <c r="CM3" s="98"/>
      <c r="CN3" s="98"/>
      <c r="CO3" s="98"/>
      <c r="CP3" s="98"/>
      <c r="CQ3" s="98"/>
      <c r="CR3" s="98"/>
      <c r="CS3" s="98"/>
      <c r="CT3" s="98"/>
      <c r="CU3" s="98"/>
      <c r="CV3" s="98"/>
      <c r="CW3" s="98"/>
      <c r="CX3" s="98"/>
      <c r="CY3" s="98"/>
      <c r="CZ3" s="98"/>
      <c r="DA3" s="98"/>
      <c r="DB3" s="98"/>
      <c r="DC3" s="98"/>
      <c r="DD3" s="98"/>
      <c r="DE3" s="98"/>
      <c r="DF3" s="98"/>
      <c r="DG3" s="98"/>
      <c r="DH3" s="98"/>
      <c r="DI3" s="98"/>
      <c r="DJ3" s="98"/>
      <c r="DK3" s="98"/>
      <c r="DL3" s="98"/>
      <c r="DM3" s="98"/>
      <c r="DN3" s="98"/>
      <c r="DO3" s="98"/>
      <c r="DP3" s="98"/>
      <c r="DQ3" s="98"/>
      <c r="DR3" s="98"/>
      <c r="DS3" s="98"/>
      <c r="DT3" s="98"/>
      <c r="DU3" s="98"/>
      <c r="DV3" s="98"/>
      <c r="DW3" s="98"/>
      <c r="DX3" s="98"/>
      <c r="DY3" s="98"/>
      <c r="DZ3" s="98"/>
      <c r="EA3" s="98"/>
      <c r="EB3" s="98"/>
      <c r="EC3" s="98"/>
      <c r="ED3" s="98"/>
      <c r="EE3" s="98"/>
      <c r="EF3" s="98"/>
      <c r="EG3" s="98"/>
      <c r="EH3" s="98"/>
      <c r="EI3" s="98"/>
      <c r="EJ3" s="98"/>
      <c r="EK3" s="98"/>
      <c r="EL3" s="98"/>
      <c r="EM3" s="98"/>
      <c r="EN3" s="98"/>
      <c r="EO3" s="98"/>
      <c r="EP3" s="98"/>
      <c r="EQ3" s="98"/>
      <c r="ER3" s="98"/>
      <c r="ES3" s="98"/>
      <c r="ET3" s="98"/>
      <c r="EU3" s="98"/>
      <c r="EV3" s="98"/>
      <c r="EW3" s="98"/>
      <c r="EX3" s="98"/>
      <c r="EY3" s="98"/>
      <c r="EZ3" s="98"/>
      <c r="FA3" s="98"/>
      <c r="FB3" s="98"/>
      <c r="FC3" s="98"/>
      <c r="FD3" s="98"/>
      <c r="FE3" s="98"/>
      <c r="FF3" s="98"/>
      <c r="FG3" s="98"/>
      <c r="FH3" s="98"/>
      <c r="FI3" s="98"/>
      <c r="FJ3" s="98"/>
      <c r="FK3" s="98"/>
      <c r="FL3" s="98"/>
      <c r="FM3" s="98"/>
      <c r="FN3" s="98"/>
      <c r="FO3" s="98"/>
      <c r="FP3" s="98"/>
      <c r="FQ3" s="98"/>
      <c r="FR3" s="98"/>
      <c r="FS3" s="98"/>
      <c r="FT3" s="98"/>
      <c r="FU3" s="98"/>
      <c r="FV3" s="98"/>
      <c r="FW3" s="98"/>
      <c r="FX3" s="98"/>
      <c r="FY3" s="98"/>
      <c r="FZ3" s="98"/>
      <c r="GA3" s="98"/>
      <c r="GB3" s="98"/>
      <c r="GC3" s="98"/>
      <c r="GD3" s="98"/>
      <c r="GE3" s="98"/>
      <c r="GF3" s="98"/>
      <c r="GG3" s="98"/>
      <c r="GH3" s="98"/>
      <c r="GI3" s="98"/>
      <c r="GJ3" s="98"/>
      <c r="GK3" s="98"/>
      <c r="GL3" s="98"/>
      <c r="GM3" s="98"/>
      <c r="GN3" s="98"/>
      <c r="GO3" s="98"/>
      <c r="GP3" s="98"/>
      <c r="GQ3" s="98"/>
      <c r="GR3" s="98"/>
      <c r="GS3" s="98"/>
      <c r="GT3" s="98"/>
      <c r="GU3" s="98"/>
      <c r="GV3" s="98"/>
      <c r="GW3" s="98"/>
      <c r="GX3" s="98"/>
      <c r="GY3" s="98"/>
      <c r="GZ3" s="98"/>
      <c r="HA3" s="98"/>
      <c r="HB3" s="98"/>
      <c r="HC3" s="98"/>
      <c r="HD3" s="98"/>
      <c r="HE3" s="98"/>
      <c r="HF3" s="98"/>
      <c r="HG3" s="98"/>
      <c r="HH3" s="98"/>
      <c r="HI3" s="98"/>
      <c r="HJ3" s="98"/>
      <c r="HK3" s="98"/>
      <c r="HL3" s="98"/>
      <c r="HM3" s="98"/>
      <c r="HN3" s="98"/>
      <c r="HO3" s="98"/>
      <c r="HP3" s="98"/>
      <c r="HQ3" s="98"/>
      <c r="HR3" s="98"/>
      <c r="HS3" s="98"/>
      <c r="HT3" s="98"/>
      <c r="HU3" s="98"/>
      <c r="HV3" s="98"/>
      <c r="HW3" s="98"/>
      <c r="HX3" s="98"/>
      <c r="HY3" s="98"/>
      <c r="HZ3" s="98"/>
      <c r="IA3" s="98"/>
      <c r="IB3" s="98"/>
      <c r="IC3" s="98"/>
      <c r="ID3" s="98"/>
      <c r="IE3" s="98"/>
      <c r="IF3" s="98"/>
      <c r="IG3" s="98"/>
      <c r="IH3" s="98"/>
      <c r="II3" s="98"/>
      <c r="IJ3" s="98"/>
      <c r="IK3" s="98"/>
      <c r="IL3" s="98"/>
      <c r="IM3" s="98"/>
      <c r="IN3" s="98"/>
      <c r="IO3" s="98"/>
      <c r="IP3" s="98"/>
      <c r="IQ3" s="98"/>
      <c r="IR3" s="98"/>
    </row>
    <row r="4" customHeight="1" spans="1:252">
      <c r="A4" s="421" t="str">
        <f>底稿目录!A3</f>
        <v>截止日：202X年12月31日</v>
      </c>
      <c r="B4" s="421"/>
      <c r="C4" s="421" t="str">
        <f>底稿目录!A5</f>
        <v>复核人：</v>
      </c>
      <c r="E4" s="421" t="str">
        <f>底稿目录!A7</f>
        <v>复核日期：</v>
      </c>
      <c r="F4" s="421"/>
      <c r="H4" s="422" t="s">
        <v>62</v>
      </c>
      <c r="I4" s="424"/>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8"/>
      <c r="AW4" s="98"/>
      <c r="AX4" s="98"/>
      <c r="AY4" s="98"/>
      <c r="AZ4" s="98"/>
      <c r="BA4" s="98"/>
      <c r="BB4" s="98"/>
      <c r="BC4" s="98"/>
      <c r="BD4" s="98"/>
      <c r="BE4" s="98"/>
      <c r="BF4" s="98"/>
      <c r="BG4" s="98"/>
      <c r="BH4" s="98"/>
      <c r="BI4" s="98"/>
      <c r="BJ4" s="98"/>
      <c r="BK4" s="98"/>
      <c r="BL4" s="98"/>
      <c r="BM4" s="98"/>
      <c r="BN4" s="98"/>
      <c r="BO4" s="98"/>
      <c r="BP4" s="98"/>
      <c r="BQ4" s="98"/>
      <c r="BR4" s="98"/>
      <c r="BS4" s="98"/>
      <c r="BT4" s="98"/>
      <c r="BU4" s="98"/>
      <c r="BV4" s="98"/>
      <c r="BW4" s="98"/>
      <c r="BX4" s="98"/>
      <c r="BY4" s="98"/>
      <c r="BZ4" s="98"/>
      <c r="CA4" s="98"/>
      <c r="CB4" s="98"/>
      <c r="CC4" s="98"/>
      <c r="CD4" s="98"/>
      <c r="CE4" s="98"/>
      <c r="CF4" s="98"/>
      <c r="CG4" s="98"/>
      <c r="CH4" s="98"/>
      <c r="CI4" s="98"/>
      <c r="CJ4" s="98"/>
      <c r="CK4" s="98"/>
      <c r="CL4" s="98"/>
      <c r="CM4" s="98"/>
      <c r="CN4" s="98"/>
      <c r="CO4" s="98"/>
      <c r="CP4" s="98"/>
      <c r="CQ4" s="98"/>
      <c r="CR4" s="98"/>
      <c r="CS4" s="98"/>
      <c r="CT4" s="98"/>
      <c r="CU4" s="98"/>
      <c r="CV4" s="98"/>
      <c r="CW4" s="98"/>
      <c r="CX4" s="98"/>
      <c r="CY4" s="98"/>
      <c r="CZ4" s="98"/>
      <c r="DA4" s="98"/>
      <c r="DB4" s="98"/>
      <c r="DC4" s="98"/>
      <c r="DD4" s="98"/>
      <c r="DE4" s="98"/>
      <c r="DF4" s="98"/>
      <c r="DG4" s="98"/>
      <c r="DH4" s="98"/>
      <c r="DI4" s="98"/>
      <c r="DJ4" s="98"/>
      <c r="DK4" s="98"/>
      <c r="DL4" s="98"/>
      <c r="DM4" s="98"/>
      <c r="DN4" s="98"/>
      <c r="DO4" s="98"/>
      <c r="DP4" s="98"/>
      <c r="DQ4" s="98"/>
      <c r="DR4" s="98"/>
      <c r="DS4" s="98"/>
      <c r="DT4" s="98"/>
      <c r="DU4" s="98"/>
      <c r="DV4" s="98"/>
      <c r="DW4" s="98"/>
      <c r="DX4" s="98"/>
      <c r="DY4" s="98"/>
      <c r="DZ4" s="98"/>
      <c r="EA4" s="98"/>
      <c r="EB4" s="98"/>
      <c r="EC4" s="98"/>
      <c r="ED4" s="98"/>
      <c r="EE4" s="98"/>
      <c r="EF4" s="98"/>
      <c r="EG4" s="98"/>
      <c r="EH4" s="98"/>
      <c r="EI4" s="98"/>
      <c r="EJ4" s="98"/>
      <c r="EK4" s="98"/>
      <c r="EL4" s="98"/>
      <c r="EM4" s="98"/>
      <c r="EN4" s="98"/>
      <c r="EO4" s="98"/>
      <c r="EP4" s="98"/>
      <c r="EQ4" s="98"/>
      <c r="ER4" s="98"/>
      <c r="ES4" s="98"/>
      <c r="ET4" s="98"/>
      <c r="EU4" s="98"/>
      <c r="EV4" s="98"/>
      <c r="EW4" s="98"/>
      <c r="EX4" s="98"/>
      <c r="EY4" s="98"/>
      <c r="EZ4" s="98"/>
      <c r="FA4" s="98"/>
      <c r="FB4" s="98"/>
      <c r="FC4" s="98"/>
      <c r="FD4" s="98"/>
      <c r="FE4" s="98"/>
      <c r="FF4" s="98"/>
      <c r="FG4" s="98"/>
      <c r="FH4" s="98"/>
      <c r="FI4" s="98"/>
      <c r="FJ4" s="98"/>
      <c r="FK4" s="98"/>
      <c r="FL4" s="98"/>
      <c r="FM4" s="98"/>
      <c r="FN4" s="98"/>
      <c r="FO4" s="98"/>
      <c r="FP4" s="98"/>
      <c r="FQ4" s="98"/>
      <c r="FR4" s="98"/>
      <c r="FS4" s="98"/>
      <c r="FT4" s="98"/>
      <c r="FU4" s="98"/>
      <c r="FV4" s="98"/>
      <c r="FW4" s="98"/>
      <c r="FX4" s="98"/>
      <c r="FY4" s="98"/>
      <c r="FZ4" s="98"/>
      <c r="GA4" s="98"/>
      <c r="GB4" s="98"/>
      <c r="GC4" s="98"/>
      <c r="GD4" s="98"/>
      <c r="GE4" s="98"/>
      <c r="GF4" s="98"/>
      <c r="GG4" s="98"/>
      <c r="GH4" s="98"/>
      <c r="GI4" s="98"/>
      <c r="GJ4" s="98"/>
      <c r="GK4" s="98"/>
      <c r="GL4" s="98"/>
      <c r="GM4" s="98"/>
      <c r="GN4" s="98"/>
      <c r="GO4" s="98"/>
      <c r="GP4" s="98"/>
      <c r="GQ4" s="98"/>
      <c r="GR4" s="98"/>
      <c r="GS4" s="98"/>
      <c r="GT4" s="98"/>
      <c r="GU4" s="98"/>
      <c r="GV4" s="98"/>
      <c r="GW4" s="98"/>
      <c r="GX4" s="98"/>
      <c r="GY4" s="98"/>
      <c r="GZ4" s="98"/>
      <c r="HA4" s="98"/>
      <c r="HB4" s="98"/>
      <c r="HC4" s="98"/>
      <c r="HD4" s="98"/>
      <c r="HE4" s="98"/>
      <c r="HF4" s="98"/>
      <c r="HG4" s="98"/>
      <c r="HH4" s="98"/>
      <c r="HI4" s="98"/>
      <c r="HJ4" s="98"/>
      <c r="HK4" s="98"/>
      <c r="HL4" s="98"/>
      <c r="HM4" s="98"/>
      <c r="HN4" s="98"/>
      <c r="HO4" s="98"/>
      <c r="HP4" s="98"/>
      <c r="HQ4" s="98"/>
      <c r="HR4" s="98"/>
      <c r="HS4" s="98"/>
      <c r="HT4" s="98"/>
      <c r="HU4" s="98"/>
      <c r="HV4" s="98"/>
      <c r="HW4" s="98"/>
      <c r="HX4" s="98"/>
      <c r="HY4" s="98"/>
      <c r="HZ4" s="98"/>
      <c r="IA4" s="98"/>
      <c r="IB4" s="98"/>
      <c r="IC4" s="98"/>
      <c r="ID4" s="98"/>
      <c r="IE4" s="98"/>
      <c r="IF4" s="98"/>
      <c r="IG4" s="98"/>
      <c r="IH4" s="98"/>
      <c r="II4" s="98"/>
      <c r="IJ4" s="98"/>
      <c r="IK4" s="98"/>
      <c r="IL4" s="98"/>
      <c r="IM4" s="98"/>
      <c r="IN4" s="98"/>
      <c r="IO4" s="98"/>
      <c r="IP4" s="98"/>
      <c r="IQ4" s="98"/>
      <c r="IR4" s="98"/>
    </row>
    <row r="5" customHeight="1" spans="1:252">
      <c r="A5" s="421"/>
      <c r="B5" s="421"/>
      <c r="C5" s="421"/>
      <c r="D5" s="421"/>
      <c r="E5" s="421"/>
      <c r="F5" s="421"/>
      <c r="G5" s="421"/>
      <c r="H5" s="421"/>
      <c r="I5" s="424"/>
      <c r="J5" s="98"/>
      <c r="K5" s="98"/>
      <c r="L5" s="98"/>
      <c r="M5" s="98"/>
      <c r="N5" s="98"/>
      <c r="O5" s="98"/>
      <c r="P5" s="98"/>
      <c r="Q5" s="98"/>
      <c r="R5" s="98"/>
      <c r="S5" s="98"/>
      <c r="T5" s="98"/>
      <c r="U5" s="98"/>
      <c r="V5" s="98"/>
      <c r="W5" s="98"/>
      <c r="X5" s="98"/>
      <c r="Y5" s="98"/>
      <c r="Z5" s="98"/>
      <c r="AA5" s="98"/>
      <c r="AB5" s="98"/>
      <c r="AC5" s="98"/>
      <c r="AD5" s="98"/>
      <c r="AE5" s="98"/>
      <c r="AF5" s="98"/>
      <c r="AG5" s="98"/>
      <c r="AH5" s="98"/>
      <c r="AI5" s="98"/>
      <c r="AJ5" s="98"/>
      <c r="AK5" s="98"/>
      <c r="AL5" s="98"/>
      <c r="AM5" s="98"/>
      <c r="AN5" s="98"/>
      <c r="AO5" s="98"/>
      <c r="AP5" s="98"/>
      <c r="AQ5" s="98"/>
      <c r="AR5" s="98"/>
      <c r="AS5" s="98"/>
      <c r="AT5" s="98"/>
      <c r="AU5" s="98"/>
      <c r="AV5" s="98"/>
      <c r="AW5" s="98"/>
      <c r="AX5" s="98"/>
      <c r="AY5" s="98"/>
      <c r="AZ5" s="98"/>
      <c r="BA5" s="98"/>
      <c r="BB5" s="98"/>
      <c r="BC5" s="98"/>
      <c r="BD5" s="98"/>
      <c r="BE5" s="98"/>
      <c r="BF5" s="98"/>
      <c r="BG5" s="98"/>
      <c r="BH5" s="98"/>
      <c r="BI5" s="98"/>
      <c r="BJ5" s="98"/>
      <c r="BK5" s="98"/>
      <c r="BL5" s="98"/>
      <c r="BM5" s="98"/>
      <c r="BN5" s="98"/>
      <c r="BO5" s="98"/>
      <c r="BP5" s="98"/>
      <c r="BQ5" s="98"/>
      <c r="BR5" s="98"/>
      <c r="BS5" s="98"/>
      <c r="BT5" s="98"/>
      <c r="BU5" s="98"/>
      <c r="BV5" s="98"/>
      <c r="BW5" s="98"/>
      <c r="BX5" s="98"/>
      <c r="BY5" s="98"/>
      <c r="BZ5" s="98"/>
      <c r="CA5" s="98"/>
      <c r="CB5" s="98"/>
      <c r="CC5" s="98"/>
      <c r="CD5" s="98"/>
      <c r="CE5" s="98"/>
      <c r="CF5" s="98"/>
      <c r="CG5" s="98"/>
      <c r="CH5" s="98"/>
      <c r="CI5" s="98"/>
      <c r="CJ5" s="98"/>
      <c r="CK5" s="98"/>
      <c r="CL5" s="98"/>
      <c r="CM5" s="98"/>
      <c r="CN5" s="98"/>
      <c r="CO5" s="98"/>
      <c r="CP5" s="98"/>
      <c r="CQ5" s="98"/>
      <c r="CR5" s="98"/>
      <c r="CS5" s="98"/>
      <c r="CT5" s="98"/>
      <c r="CU5" s="98"/>
      <c r="CV5" s="98"/>
      <c r="CW5" s="98"/>
      <c r="CX5" s="98"/>
      <c r="CY5" s="98"/>
      <c r="CZ5" s="98"/>
      <c r="DA5" s="98"/>
      <c r="DB5" s="98"/>
      <c r="DC5" s="98"/>
      <c r="DD5" s="98"/>
      <c r="DE5" s="98"/>
      <c r="DF5" s="98"/>
      <c r="DG5" s="98"/>
      <c r="DH5" s="98"/>
      <c r="DI5" s="98"/>
      <c r="DJ5" s="98"/>
      <c r="DK5" s="98"/>
      <c r="DL5" s="98"/>
      <c r="DM5" s="98"/>
      <c r="DN5" s="98"/>
      <c r="DO5" s="98"/>
      <c r="DP5" s="98"/>
      <c r="DQ5" s="98"/>
      <c r="DR5" s="98"/>
      <c r="DS5" s="98"/>
      <c r="DT5" s="98"/>
      <c r="DU5" s="98"/>
      <c r="DV5" s="98"/>
      <c r="DW5" s="98"/>
      <c r="DX5" s="98"/>
      <c r="DY5" s="98"/>
      <c r="DZ5" s="98"/>
      <c r="EA5" s="98"/>
      <c r="EB5" s="98"/>
      <c r="EC5" s="98"/>
      <c r="ED5" s="98"/>
      <c r="EE5" s="98"/>
      <c r="EF5" s="98"/>
      <c r="EG5" s="98"/>
      <c r="EH5" s="98"/>
      <c r="EI5" s="98"/>
      <c r="EJ5" s="98"/>
      <c r="EK5" s="98"/>
      <c r="EL5" s="98"/>
      <c r="EM5" s="98"/>
      <c r="EN5" s="98"/>
      <c r="EO5" s="98"/>
      <c r="EP5" s="98"/>
      <c r="EQ5" s="98"/>
      <c r="ER5" s="98"/>
      <c r="ES5" s="98"/>
      <c r="ET5" s="98"/>
      <c r="EU5" s="98"/>
      <c r="EV5" s="98"/>
      <c r="EW5" s="98"/>
      <c r="EX5" s="98"/>
      <c r="EY5" s="98"/>
      <c r="EZ5" s="98"/>
      <c r="FA5" s="98"/>
      <c r="FB5" s="98"/>
      <c r="FC5" s="98"/>
      <c r="FD5" s="98"/>
      <c r="FE5" s="98"/>
      <c r="FF5" s="98"/>
      <c r="FG5" s="98"/>
      <c r="FH5" s="98"/>
      <c r="FI5" s="98"/>
      <c r="FJ5" s="98"/>
      <c r="FK5" s="98"/>
      <c r="FL5" s="98"/>
      <c r="FM5" s="98"/>
      <c r="FN5" s="98"/>
      <c r="FO5" s="98"/>
      <c r="FP5" s="98"/>
      <c r="FQ5" s="98"/>
      <c r="FR5" s="98"/>
      <c r="FS5" s="98"/>
      <c r="FT5" s="98"/>
      <c r="FU5" s="98"/>
      <c r="FV5" s="98"/>
      <c r="FW5" s="98"/>
      <c r="FX5" s="98"/>
      <c r="FY5" s="98"/>
      <c r="FZ5" s="98"/>
      <c r="GA5" s="98"/>
      <c r="GB5" s="98"/>
      <c r="GC5" s="98"/>
      <c r="GD5" s="98"/>
      <c r="GE5" s="98"/>
      <c r="GF5" s="98"/>
      <c r="GG5" s="98"/>
      <c r="GH5" s="98"/>
      <c r="GI5" s="98"/>
      <c r="GJ5" s="98"/>
      <c r="GK5" s="98"/>
      <c r="GL5" s="98"/>
      <c r="GM5" s="98"/>
      <c r="GN5" s="98"/>
      <c r="GO5" s="98"/>
      <c r="GP5" s="98"/>
      <c r="GQ5" s="98"/>
      <c r="GR5" s="98"/>
      <c r="GS5" s="98"/>
      <c r="GT5" s="98"/>
      <c r="GU5" s="98"/>
      <c r="GV5" s="98"/>
      <c r="GW5" s="98"/>
      <c r="GX5" s="98"/>
      <c r="GY5" s="98"/>
      <c r="GZ5" s="98"/>
      <c r="HA5" s="98"/>
      <c r="HB5" s="98"/>
      <c r="HC5" s="98"/>
      <c r="HD5" s="98"/>
      <c r="HE5" s="98"/>
      <c r="HF5" s="98"/>
      <c r="HG5" s="98"/>
      <c r="HH5" s="98"/>
      <c r="HI5" s="98"/>
      <c r="HJ5" s="98"/>
      <c r="HK5" s="98"/>
      <c r="HL5" s="98"/>
      <c r="HM5" s="98"/>
      <c r="HN5" s="98"/>
      <c r="HO5" s="98"/>
      <c r="HP5" s="98"/>
      <c r="HQ5" s="98"/>
      <c r="HR5" s="98"/>
      <c r="HS5" s="98"/>
      <c r="HT5" s="98"/>
      <c r="HU5" s="98"/>
      <c r="HV5" s="98"/>
      <c r="HW5" s="98"/>
      <c r="HX5" s="98"/>
      <c r="HY5" s="98"/>
      <c r="HZ5" s="98"/>
      <c r="IA5" s="98"/>
      <c r="IB5" s="98"/>
      <c r="IC5" s="98"/>
      <c r="ID5" s="98"/>
      <c r="IE5" s="98"/>
      <c r="IF5" s="98"/>
      <c r="IG5" s="98"/>
      <c r="IH5" s="98"/>
      <c r="II5" s="98"/>
      <c r="IJ5" s="98"/>
      <c r="IK5" s="98"/>
      <c r="IL5" s="98"/>
      <c r="IM5" s="98"/>
      <c r="IN5" s="98"/>
      <c r="IO5" s="98"/>
      <c r="IP5" s="98"/>
      <c r="IQ5" s="98"/>
      <c r="IR5" s="98"/>
    </row>
    <row r="6" customHeight="1" spans="1:252">
      <c r="A6" s="425" t="s">
        <v>182</v>
      </c>
    </row>
    <row r="7" customHeight="1" spans="1:252">
      <c r="A7" s="426" t="s">
        <v>236</v>
      </c>
    </row>
    <row r="8" customHeight="1" spans="1:252">
      <c r="A8" s="427" t="s">
        <v>215</v>
      </c>
      <c r="B8" s="428" t="s">
        <v>237</v>
      </c>
      <c r="C8" s="429" t="s">
        <v>238</v>
      </c>
      <c r="D8" s="429"/>
      <c r="E8" s="429" t="s">
        <v>239</v>
      </c>
      <c r="F8" s="429"/>
      <c r="G8" s="428" t="s">
        <v>240</v>
      </c>
    </row>
    <row r="9" customHeight="1" spans="1:252">
      <c r="A9" s="430"/>
      <c r="B9" s="431"/>
      <c r="C9" s="432" t="s">
        <v>241</v>
      </c>
      <c r="D9" s="432" t="s">
        <v>242</v>
      </c>
      <c r="E9" s="432" t="s">
        <v>243</v>
      </c>
      <c r="F9" s="432" t="s">
        <v>244</v>
      </c>
      <c r="G9" s="431"/>
    </row>
    <row r="10" customHeight="1" spans="1:252">
      <c r="A10" s="433"/>
      <c r="B10" s="434"/>
      <c r="C10" s="435" t="s">
        <v>245</v>
      </c>
      <c r="D10" s="435"/>
      <c r="E10" s="435"/>
      <c r="F10" s="435"/>
      <c r="G10" s="434"/>
    </row>
    <row r="11" customHeight="1" spans="1:252">
      <c r="A11" s="436" t="s">
        <v>246</v>
      </c>
      <c r="B11" s="437" t="s">
        <v>247</v>
      </c>
      <c r="C11" s="437" t="s">
        <v>247</v>
      </c>
      <c r="D11" s="437" t="s">
        <v>247</v>
      </c>
      <c r="E11" s="437" t="s">
        <v>247</v>
      </c>
      <c r="F11" s="437" t="s">
        <v>247</v>
      </c>
      <c r="G11" s="437" t="s">
        <v>247</v>
      </c>
    </row>
    <row r="12" customHeight="1" spans="1:252">
      <c r="A12" s="438" t="s">
        <v>248</v>
      </c>
      <c r="B12" s="437"/>
      <c r="C12" s="437"/>
      <c r="D12" s="437"/>
      <c r="E12" s="437"/>
      <c r="F12" s="437"/>
      <c r="G12" s="437"/>
    </row>
    <row r="13" customHeight="1" spans="1:252">
      <c r="A13" s="438" t="s">
        <v>249</v>
      </c>
      <c r="B13" s="437"/>
      <c r="C13" s="437"/>
      <c r="D13" s="437"/>
      <c r="E13" s="437"/>
      <c r="F13" s="437"/>
      <c r="G13" s="437"/>
    </row>
    <row r="14" customHeight="1" spans="1:252">
      <c r="A14" s="439" t="s">
        <v>250</v>
      </c>
      <c r="B14" s="437" t="s">
        <v>247</v>
      </c>
      <c r="C14" s="437" t="s">
        <v>247</v>
      </c>
      <c r="D14" s="437" t="s">
        <v>247</v>
      </c>
      <c r="E14" s="437" t="s">
        <v>247</v>
      </c>
      <c r="F14" s="437" t="s">
        <v>247</v>
      </c>
      <c r="G14" s="437" t="s">
        <v>247</v>
      </c>
    </row>
    <row r="15" customHeight="1" spans="1:252">
      <c r="A15" s="438" t="s">
        <v>248</v>
      </c>
      <c r="B15" s="437"/>
      <c r="C15" s="437"/>
      <c r="D15" s="437"/>
      <c r="E15" s="437"/>
      <c r="F15" s="437"/>
      <c r="G15" s="437"/>
    </row>
    <row r="16" customHeight="1" spans="1:252">
      <c r="A16" s="438" t="s">
        <v>249</v>
      </c>
      <c r="B16" s="437"/>
      <c r="C16" s="437"/>
      <c r="D16" s="437"/>
      <c r="E16" s="437"/>
      <c r="F16" s="437"/>
      <c r="G16" s="437"/>
    </row>
    <row r="17" ht="27" spans="1:8">
      <c r="A17" s="439" t="s">
        <v>251</v>
      </c>
      <c r="B17" s="437" t="s">
        <v>247</v>
      </c>
      <c r="C17" s="437" t="s">
        <v>247</v>
      </c>
      <c r="D17" s="437" t="s">
        <v>247</v>
      </c>
      <c r="E17" s="437" t="s">
        <v>247</v>
      </c>
      <c r="F17" s="437" t="s">
        <v>247</v>
      </c>
      <c r="G17" s="437" t="s">
        <v>247</v>
      </c>
    </row>
    <row r="18" customHeight="1" spans="1:8">
      <c r="A18" s="438" t="s">
        <v>248</v>
      </c>
      <c r="B18" s="437"/>
      <c r="C18" s="437"/>
      <c r="D18" s="437"/>
      <c r="E18" s="437"/>
      <c r="F18" s="437"/>
      <c r="G18" s="437"/>
    </row>
    <row r="19" customHeight="1" spans="1:8">
      <c r="A19" s="438" t="s">
        <v>249</v>
      </c>
      <c r="B19" s="437"/>
      <c r="C19" s="437"/>
      <c r="D19" s="437"/>
      <c r="E19" s="437"/>
      <c r="F19" s="437"/>
      <c r="G19" s="437"/>
    </row>
    <row r="20" customHeight="1" spans="1:8">
      <c r="A20" s="439" t="s">
        <v>252</v>
      </c>
      <c r="B20" s="437" t="s">
        <v>247</v>
      </c>
      <c r="C20" s="437" t="s">
        <v>247</v>
      </c>
      <c r="D20" s="437" t="s">
        <v>247</v>
      </c>
      <c r="E20" s="437" t="s">
        <v>247</v>
      </c>
      <c r="F20" s="437" t="s">
        <v>247</v>
      </c>
      <c r="G20" s="437" t="s">
        <v>247</v>
      </c>
    </row>
    <row r="21" customHeight="1" spans="1:8">
      <c r="A21" s="438" t="s">
        <v>248</v>
      </c>
      <c r="B21" s="437"/>
      <c r="C21" s="437"/>
      <c r="D21" s="437"/>
      <c r="E21" s="437"/>
      <c r="F21" s="437"/>
      <c r="G21" s="437"/>
    </row>
    <row r="22" customHeight="1" spans="1:8">
      <c r="A22" s="438" t="s">
        <v>249</v>
      </c>
      <c r="B22" s="437"/>
      <c r="C22" s="437"/>
      <c r="D22" s="437"/>
      <c r="E22" s="437"/>
      <c r="F22" s="437"/>
      <c r="G22" s="437"/>
    </row>
    <row r="23" customHeight="1" spans="1:8">
      <c r="A23" s="439" t="s">
        <v>253</v>
      </c>
      <c r="B23" s="437" t="s">
        <v>247</v>
      </c>
      <c r="C23" s="437" t="s">
        <v>247</v>
      </c>
      <c r="D23" s="437" t="s">
        <v>247</v>
      </c>
      <c r="E23" s="437" t="s">
        <v>247</v>
      </c>
      <c r="F23" s="437" t="s">
        <v>247</v>
      </c>
      <c r="G23" s="437" t="s">
        <v>247</v>
      </c>
    </row>
    <row r="24" customHeight="1" spans="1:8">
      <c r="A24" s="438" t="s">
        <v>248</v>
      </c>
      <c r="B24" s="437"/>
      <c r="C24" s="437"/>
      <c r="D24" s="437"/>
      <c r="E24" s="437"/>
      <c r="F24" s="437"/>
      <c r="G24" s="437"/>
    </row>
    <row r="25" customHeight="1" spans="1:8">
      <c r="A25" s="440" t="s">
        <v>249</v>
      </c>
      <c r="B25" s="441"/>
      <c r="C25" s="441"/>
      <c r="D25" s="441"/>
      <c r="E25" s="441"/>
      <c r="F25" s="441"/>
      <c r="G25" s="441"/>
    </row>
    <row r="26" customHeight="1" spans="1:8">
      <c r="A26" s="442" t="s">
        <v>254</v>
      </c>
    </row>
    <row r="27" customHeight="1" spans="1:8">
      <c r="A27" s="443" t="s">
        <v>255</v>
      </c>
    </row>
    <row r="28" customHeight="1" spans="1:8">
      <c r="A28" s="426" t="s">
        <v>256</v>
      </c>
    </row>
    <row r="29" customHeight="1" spans="1:8">
      <c r="A29" s="444" t="s">
        <v>184</v>
      </c>
      <c r="B29" s="427" t="s">
        <v>257</v>
      </c>
      <c r="C29" s="429" t="s">
        <v>238</v>
      </c>
      <c r="D29" s="429"/>
      <c r="E29" s="429"/>
      <c r="F29" s="429" t="s">
        <v>239</v>
      </c>
      <c r="G29" s="429"/>
      <c r="H29" s="444" t="s">
        <v>258</v>
      </c>
    </row>
    <row r="30" customHeight="1" spans="1:8">
      <c r="A30" s="445"/>
      <c r="B30" s="433"/>
      <c r="C30" s="445" t="s">
        <v>259</v>
      </c>
      <c r="D30" s="445" t="s">
        <v>242</v>
      </c>
      <c r="E30" s="445" t="s">
        <v>260</v>
      </c>
      <c r="F30" s="445" t="s">
        <v>243</v>
      </c>
      <c r="G30" s="445" t="s">
        <v>244</v>
      </c>
      <c r="H30" s="445"/>
    </row>
    <row r="31" customHeight="1" spans="1:8">
      <c r="A31" s="439" t="s">
        <v>261</v>
      </c>
      <c r="B31" s="437" t="s">
        <v>247</v>
      </c>
      <c r="C31" s="437" t="s">
        <v>247</v>
      </c>
      <c r="D31" s="437" t="s">
        <v>247</v>
      </c>
      <c r="E31" s="437" t="s">
        <v>247</v>
      </c>
      <c r="F31" s="437" t="s">
        <v>247</v>
      </c>
      <c r="G31" s="437" t="s">
        <v>247</v>
      </c>
      <c r="H31" s="437" t="s">
        <v>247</v>
      </c>
    </row>
    <row r="32" customHeight="1" spans="1:8">
      <c r="A32" s="439" t="s">
        <v>262</v>
      </c>
      <c r="B32" s="437"/>
      <c r="C32" s="437"/>
      <c r="D32" s="437"/>
      <c r="E32" s="437"/>
      <c r="F32" s="437"/>
      <c r="G32" s="437"/>
      <c r="H32" s="437"/>
    </row>
    <row r="33" customHeight="1" spans="1:8">
      <c r="A33" s="438" t="s">
        <v>263</v>
      </c>
      <c r="B33" s="437"/>
      <c r="C33" s="437"/>
      <c r="D33" s="437"/>
      <c r="E33" s="437"/>
      <c r="F33" s="437"/>
      <c r="G33" s="437"/>
      <c r="H33" s="437"/>
    </row>
    <row r="34" customHeight="1" spans="1:8">
      <c r="A34" s="439" t="s">
        <v>264</v>
      </c>
      <c r="B34" s="437" t="s">
        <v>247</v>
      </c>
      <c r="C34" s="437" t="s">
        <v>247</v>
      </c>
      <c r="D34" s="437" t="s">
        <v>247</v>
      </c>
      <c r="E34" s="437" t="s">
        <v>247</v>
      </c>
      <c r="F34" s="437" t="s">
        <v>247</v>
      </c>
      <c r="G34" s="437" t="s">
        <v>247</v>
      </c>
      <c r="H34" s="437" t="s">
        <v>247</v>
      </c>
    </row>
    <row r="35" customHeight="1" spans="1:8">
      <c r="A35" s="439" t="s">
        <v>262</v>
      </c>
      <c r="B35" s="437"/>
      <c r="C35" s="437"/>
      <c r="D35" s="437"/>
      <c r="E35" s="437"/>
      <c r="F35" s="437"/>
      <c r="G35" s="437"/>
      <c r="H35" s="437"/>
    </row>
    <row r="36" customHeight="1" spans="1:8">
      <c r="A36" s="438" t="s">
        <v>263</v>
      </c>
      <c r="B36" s="437"/>
      <c r="C36" s="437"/>
      <c r="D36" s="437"/>
      <c r="E36" s="437"/>
      <c r="F36" s="437"/>
      <c r="G36" s="437"/>
      <c r="H36" s="437"/>
    </row>
    <row r="37" customHeight="1" spans="1:8">
      <c r="A37" s="439" t="s">
        <v>265</v>
      </c>
      <c r="B37" s="437" t="s">
        <v>247</v>
      </c>
      <c r="C37" s="437" t="s">
        <v>247</v>
      </c>
      <c r="D37" s="437" t="s">
        <v>247</v>
      </c>
      <c r="E37" s="437" t="s">
        <v>247</v>
      </c>
      <c r="F37" s="437" t="s">
        <v>247</v>
      </c>
      <c r="G37" s="437" t="s">
        <v>247</v>
      </c>
      <c r="H37" s="437" t="s">
        <v>247</v>
      </c>
    </row>
    <row r="38" customHeight="1" spans="1:8">
      <c r="A38" s="439" t="s">
        <v>262</v>
      </c>
      <c r="B38" s="437"/>
      <c r="C38" s="437"/>
      <c r="D38" s="437"/>
      <c r="E38" s="437"/>
      <c r="F38" s="437"/>
      <c r="G38" s="437"/>
      <c r="H38" s="437"/>
    </row>
    <row r="39" customHeight="1" spans="1:8">
      <c r="A39" s="440" t="s">
        <v>263</v>
      </c>
      <c r="B39" s="441"/>
      <c r="C39" s="441"/>
      <c r="D39" s="441"/>
      <c r="E39" s="441"/>
      <c r="F39" s="441"/>
      <c r="G39" s="441"/>
      <c r="H39" s="441"/>
    </row>
    <row r="40" customHeight="1" spans="1:8">
      <c r="A40" s="446" t="s">
        <v>266</v>
      </c>
    </row>
    <row r="41" customHeight="1" spans="1:8">
      <c r="A41" s="426" t="s">
        <v>267</v>
      </c>
      <c r="B41"/>
      <c r="C41"/>
    </row>
    <row r="42" customHeight="1" spans="1:8">
      <c r="A42" s="447" t="s">
        <v>184</v>
      </c>
      <c r="B42" s="448" t="s">
        <v>228</v>
      </c>
      <c r="C42" s="448" t="s">
        <v>268</v>
      </c>
    </row>
    <row r="43" customHeight="1" spans="1:8">
      <c r="A43" s="438"/>
      <c r="B43" s="437"/>
      <c r="C43" s="437"/>
    </row>
    <row r="44" customHeight="1" spans="1:8">
      <c r="A44" s="438"/>
      <c r="B44" s="437"/>
      <c r="C44" s="437"/>
    </row>
    <row r="45" customHeight="1" spans="1:8">
      <c r="A45" s="440"/>
      <c r="B45" s="441"/>
      <c r="C45" s="441"/>
    </row>
    <row r="46" customHeight="1" spans="1:8">
      <c r="A46" s="445" t="s">
        <v>269</v>
      </c>
      <c r="B46" s="449" t="s">
        <v>247</v>
      </c>
      <c r="C46" s="449"/>
    </row>
  </sheetData>
  <mergeCells count="15">
    <mergeCell ref="A1:H1"/>
    <mergeCell ref="A2:H2"/>
    <mergeCell ref="C8:D8"/>
    <mergeCell ref="E8:F8"/>
    <mergeCell ref="C29:E29"/>
    <mergeCell ref="F29:G29"/>
    <mergeCell ref="A8:A10"/>
    <mergeCell ref="A29:A30"/>
    <mergeCell ref="B8:B10"/>
    <mergeCell ref="B29:B30"/>
    <mergeCell ref="D9:D10"/>
    <mergeCell ref="E9:E10"/>
    <mergeCell ref="F9:F10"/>
    <mergeCell ref="G8:G10"/>
    <mergeCell ref="H29:H30"/>
  </mergeCells>
  <hyperlinks>
    <hyperlink ref="I3" location="底稿目录!A1" display="返回目录"/>
  </hyperlinks>
  <pageMargins left="0.708661417322835" right="0.708661417322835" top="0.748031496062992" bottom="0.748031496062992" header="0.31496062992126" footer="0.31496062992126"/>
  <pageSetup paperSize="9" scale="70" orientation="portrait" blackAndWhite="1"/>
  <headerFooter>
    <oddFooter>&amp;C&amp;P/&amp;N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AW48"/>
  <sheetViews>
    <sheetView view="pageBreakPreview" zoomScale="70" zoomScaleNormal="100" topLeftCell="A5" workbookViewId="0">
      <selection activeCell="D23" sqref="D23"/>
    </sheetView>
  </sheetViews>
  <sheetFormatPr defaultColWidth="9" defaultRowHeight="19.95" customHeight="1"/>
  <cols>
    <col min="1" max="2" width="11.6" style="6" customWidth="1"/>
    <col min="3" max="3" width="9.6" style="6" customWidth="1"/>
    <col min="4" max="4" width="8.9" style="6" customWidth="1"/>
    <col min="5" max="5" width="11.2" style="6" customWidth="1"/>
    <col min="6" max="6" width="7.6" style="6" customWidth="1"/>
    <col min="7" max="7" width="11.6" style="6" customWidth="1"/>
    <col min="8" max="8" width="8.4" style="6" customWidth="1"/>
    <col min="9" max="9" width="9.1" style="6" customWidth="1"/>
    <col min="10" max="11" width="7.6" style="6" customWidth="1"/>
    <col min="12" max="12" width="8.6" style="6" customWidth="1"/>
    <col min="13" max="13" width="8.7" style="6" customWidth="1"/>
    <col min="14" max="14" width="7.6" style="6" customWidth="1"/>
    <col min="15" max="15" width="8.4" style="6" customWidth="1"/>
    <col min="16" max="16" width="9" style="6"/>
    <col min="17" max="17" width="9.1" style="6" customWidth="1"/>
    <col min="18" max="21" width="9" style="6"/>
    <col min="22" max="22" width="9.1" style="6" customWidth="1"/>
    <col min="23" max="24" width="7.6" style="6" customWidth="1"/>
    <col min="25" max="25" width="9" style="6"/>
    <col min="26" max="26" width="9.1" style="6" customWidth="1"/>
    <col min="27" max="34" width="9" style="6"/>
    <col min="35" max="35" width="9.1" style="6" customWidth="1"/>
    <col min="36" max="37" width="7.6" style="6" customWidth="1"/>
    <col min="38" max="43" width="9" style="6"/>
    <col min="44" max="44" width="7" style="6" customWidth="1"/>
    <col min="45" max="45" width="7.2" style="6" customWidth="1"/>
    <col min="46" max="16384" width="9" style="6"/>
  </cols>
  <sheetData>
    <row r="1" s="1" customFormat="1" customHeight="1" spans="1:49">
      <c r="A1" s="7" t="s">
        <v>59</v>
      </c>
      <c r="B1" s="7"/>
      <c r="C1" s="7"/>
      <c r="D1" s="7"/>
      <c r="E1" s="7"/>
      <c r="F1" s="7"/>
      <c r="G1" s="7"/>
      <c r="H1" s="7"/>
      <c r="I1" s="7"/>
      <c r="J1" s="7"/>
      <c r="K1" s="7"/>
      <c r="L1" s="7"/>
      <c r="M1" s="7"/>
      <c r="N1" s="7"/>
      <c r="O1" s="7"/>
      <c r="P1" s="8" t="s">
        <v>59</v>
      </c>
      <c r="Q1" s="8"/>
      <c r="R1" s="8"/>
      <c r="S1" s="8"/>
      <c r="T1" s="8"/>
      <c r="U1" s="8"/>
      <c r="V1" s="8"/>
      <c r="W1" s="8"/>
      <c r="X1" s="8"/>
      <c r="Y1" s="8"/>
      <c r="Z1" s="8"/>
      <c r="AA1" s="8"/>
      <c r="AB1" s="8"/>
      <c r="AC1" s="8" t="s">
        <v>59</v>
      </c>
      <c r="AD1" s="8"/>
      <c r="AE1" s="8"/>
      <c r="AF1" s="8"/>
      <c r="AG1" s="8"/>
      <c r="AH1" s="8"/>
      <c r="AI1" s="8"/>
      <c r="AJ1" s="8"/>
      <c r="AK1" s="8"/>
      <c r="AL1" s="8"/>
      <c r="AM1" s="8"/>
      <c r="AN1" s="8"/>
      <c r="AO1" s="8"/>
      <c r="AP1" s="8"/>
      <c r="AQ1" s="8"/>
      <c r="AR1" s="8"/>
      <c r="AS1" s="8"/>
    </row>
    <row r="2" s="2" customFormat="1" customHeight="1" spans="1:49">
      <c r="A2" s="9" t="s">
        <v>270</v>
      </c>
      <c r="B2" s="9"/>
      <c r="C2" s="9"/>
      <c r="D2" s="9"/>
      <c r="E2" s="9"/>
      <c r="F2" s="9"/>
      <c r="G2" s="9"/>
      <c r="H2" s="9"/>
      <c r="I2" s="9"/>
      <c r="J2" s="9"/>
      <c r="K2" s="9"/>
      <c r="L2" s="9"/>
      <c r="M2" s="9"/>
      <c r="N2" s="9"/>
      <c r="O2" s="9"/>
      <c r="P2" s="10" t="s">
        <v>270</v>
      </c>
      <c r="Q2" s="10"/>
      <c r="R2" s="10"/>
      <c r="S2" s="10"/>
      <c r="T2" s="10"/>
      <c r="U2" s="10"/>
      <c r="V2" s="10"/>
      <c r="W2" s="10"/>
      <c r="X2" s="10"/>
      <c r="Y2" s="10"/>
      <c r="Z2" s="10"/>
      <c r="AA2" s="10"/>
      <c r="AB2" s="10"/>
      <c r="AC2" s="10" t="s">
        <v>270</v>
      </c>
      <c r="AD2" s="10"/>
      <c r="AE2" s="10"/>
      <c r="AF2" s="10"/>
      <c r="AG2" s="10"/>
      <c r="AH2" s="10"/>
      <c r="AI2" s="10"/>
      <c r="AJ2" s="10"/>
      <c r="AK2" s="10"/>
      <c r="AL2" s="10"/>
      <c r="AM2" s="10"/>
      <c r="AN2" s="10"/>
      <c r="AO2" s="10"/>
      <c r="AP2" s="10"/>
      <c r="AQ2" s="10"/>
      <c r="AR2" s="10"/>
      <c r="AS2" s="10"/>
    </row>
    <row r="3" customHeight="1" spans="1:49">
      <c r="A3" s="6" t="str">
        <f>底稿目录!A2</f>
        <v>被审计单位：</v>
      </c>
      <c r="G3" s="6" t="str">
        <f>底稿目录!A4</f>
        <v>编制人：</v>
      </c>
      <c r="K3" s="6" t="str">
        <f>底稿目录!A6</f>
        <v>编制日期：</v>
      </c>
      <c r="N3" s="12" t="s">
        <v>61</v>
      </c>
      <c r="O3" s="13" t="s">
        <v>24</v>
      </c>
      <c r="P3" s="6" t="str">
        <f>底稿目录!A2</f>
        <v>被审计单位：</v>
      </c>
      <c r="U3" s="6" t="str">
        <f>底稿目录!A4</f>
        <v>编制人：</v>
      </c>
      <c r="X3" s="6" t="str">
        <f>底稿目录!A6</f>
        <v>编制日期：</v>
      </c>
      <c r="AA3" s="12" t="s">
        <v>61</v>
      </c>
      <c r="AB3" s="13" t="s">
        <v>24</v>
      </c>
      <c r="AC3" s="6" t="str">
        <f>底稿目录!A2</f>
        <v>被审计单位：</v>
      </c>
      <c r="AI3" s="6" t="str">
        <f>底稿目录!A4</f>
        <v>编制人：</v>
      </c>
      <c r="AM3" s="6" t="str">
        <f>底稿目录!A6</f>
        <v>编制日期：</v>
      </c>
      <c r="AR3" s="12" t="s">
        <v>61</v>
      </c>
      <c r="AS3" s="13" t="s">
        <v>24</v>
      </c>
    </row>
    <row r="4" customHeight="1" spans="1:49">
      <c r="A4" s="6" t="str">
        <f>底稿目录!A3</f>
        <v>截止日：202X年12月31日</v>
      </c>
      <c r="G4" s="6" t="str">
        <f>底稿目录!A5</f>
        <v>复核人：</v>
      </c>
      <c r="K4" s="6" t="str">
        <f>底稿目录!A7</f>
        <v>复核日期：</v>
      </c>
      <c r="N4" s="12" t="s">
        <v>62</v>
      </c>
      <c r="P4" s="6" t="str">
        <f>底稿目录!A3</f>
        <v>截止日：202X年12月31日</v>
      </c>
      <c r="U4" s="6" t="str">
        <f>底稿目录!A5</f>
        <v>复核人：</v>
      </c>
      <c r="X4" s="6" t="str">
        <f>底稿目录!A7</f>
        <v>复核日期：</v>
      </c>
      <c r="AA4" s="12" t="s">
        <v>62</v>
      </c>
      <c r="AC4" s="6" t="str">
        <f>底稿目录!A3</f>
        <v>截止日：202X年12月31日</v>
      </c>
      <c r="AI4" s="6" t="str">
        <f>底稿目录!A5</f>
        <v>复核人：</v>
      </c>
      <c r="AM4" s="6" t="str">
        <f>底稿目录!A7</f>
        <v>复核日期：</v>
      </c>
      <c r="AR4" s="12" t="s">
        <v>62</v>
      </c>
    </row>
    <row r="5" customHeight="1" spans="1:49">
      <c r="A5" s="399" t="s">
        <v>271</v>
      </c>
      <c r="E5" s="96"/>
      <c r="Q5" s="98"/>
      <c r="Z5" s="98"/>
      <c r="AQ5" s="99"/>
      <c r="AR5" s="99"/>
      <c r="AS5" s="99"/>
      <c r="AT5" s="99"/>
      <c r="AU5" s="99"/>
      <c r="AV5" s="99"/>
      <c r="AW5" s="99"/>
    </row>
    <row r="6" s="3" customFormat="1" customHeight="1" spans="1:49">
      <c r="A6" s="368" t="s">
        <v>272</v>
      </c>
      <c r="B6" s="21"/>
      <c r="E6" s="17"/>
      <c r="Q6" s="94"/>
      <c r="Z6" s="94"/>
      <c r="AQ6" s="19"/>
      <c r="AR6" s="19"/>
      <c r="AS6" s="19"/>
      <c r="AT6" s="19"/>
      <c r="AU6" s="19"/>
      <c r="AV6" s="19"/>
      <c r="AW6" s="19"/>
    </row>
    <row r="7" s="3" customFormat="1" customHeight="1" spans="1:49">
      <c r="A7" s="368" t="s">
        <v>273</v>
      </c>
      <c r="B7" s="21"/>
      <c r="E7" s="17"/>
      <c r="Q7" s="94"/>
      <c r="Z7" s="94"/>
      <c r="AQ7" s="19"/>
      <c r="AR7" s="19"/>
      <c r="AS7" s="19"/>
      <c r="AT7" s="19"/>
      <c r="AU7" s="19"/>
      <c r="AV7" s="19"/>
      <c r="AW7" s="19"/>
    </row>
    <row r="8" customHeight="1" spans="1:49">
      <c r="A8" s="95" t="s">
        <v>274</v>
      </c>
      <c r="B8" s="93"/>
      <c r="E8" s="96"/>
      <c r="Q8" s="98"/>
      <c r="Z8" s="98"/>
      <c r="AQ8" s="99"/>
      <c r="AR8" s="99"/>
      <c r="AS8" s="99"/>
      <c r="AT8" s="99"/>
      <c r="AU8" s="99"/>
      <c r="AV8" s="99"/>
      <c r="AW8" s="99"/>
    </row>
    <row r="9" s="398" customFormat="1" customHeight="1" spans="1:49">
      <c r="A9" s="77" t="s">
        <v>275</v>
      </c>
      <c r="B9" s="77" t="s">
        <v>276</v>
      </c>
      <c r="C9" s="134" t="s">
        <v>277</v>
      </c>
      <c r="D9" s="135"/>
      <c r="E9" s="135"/>
      <c r="F9" s="135"/>
      <c r="G9" s="135"/>
      <c r="H9" s="135"/>
      <c r="I9" s="135"/>
      <c r="J9" s="135"/>
      <c r="K9" s="135"/>
      <c r="L9" s="135"/>
      <c r="M9" s="135"/>
      <c r="N9" s="135"/>
      <c r="O9" s="136"/>
      <c r="P9" s="134" t="s">
        <v>278</v>
      </c>
      <c r="Q9" s="135"/>
      <c r="R9" s="135"/>
      <c r="S9" s="135"/>
      <c r="T9" s="135"/>
      <c r="U9" s="135"/>
      <c r="V9" s="135"/>
      <c r="W9" s="135"/>
      <c r="X9" s="135"/>
      <c r="Y9" s="135"/>
      <c r="Z9" s="135"/>
      <c r="AA9" s="135"/>
      <c r="AB9" s="136"/>
      <c r="AC9" s="134" t="s">
        <v>279</v>
      </c>
      <c r="AD9" s="135"/>
      <c r="AE9" s="135"/>
      <c r="AF9" s="135"/>
      <c r="AG9" s="135"/>
      <c r="AH9" s="135"/>
      <c r="AI9" s="135"/>
      <c r="AJ9" s="135"/>
      <c r="AK9" s="135"/>
      <c r="AL9" s="135"/>
      <c r="AM9" s="135"/>
      <c r="AN9" s="135"/>
      <c r="AO9" s="136"/>
      <c r="AP9" s="77" t="s">
        <v>280</v>
      </c>
      <c r="AQ9" s="77" t="s">
        <v>281</v>
      </c>
      <c r="AR9" s="77" t="s">
        <v>282</v>
      </c>
      <c r="AS9" s="77" t="s">
        <v>283</v>
      </c>
    </row>
    <row r="10" s="398" customFormat="1" customHeight="1" spans="1:49">
      <c r="A10" s="77"/>
      <c r="B10" s="77"/>
      <c r="C10" s="134" t="s">
        <v>145</v>
      </c>
      <c r="D10" s="135"/>
      <c r="E10" s="135"/>
      <c r="F10" s="135"/>
      <c r="G10" s="135"/>
      <c r="H10" s="136"/>
      <c r="I10" s="400" t="s">
        <v>284</v>
      </c>
      <c r="J10" s="84" t="s">
        <v>146</v>
      </c>
      <c r="K10" s="84"/>
      <c r="L10" s="134" t="s">
        <v>147</v>
      </c>
      <c r="M10" s="135"/>
      <c r="N10" s="135"/>
      <c r="O10" s="136"/>
      <c r="P10" s="134" t="s">
        <v>145</v>
      </c>
      <c r="Q10" s="135"/>
      <c r="R10" s="135"/>
      <c r="S10" s="135"/>
      <c r="T10" s="135"/>
      <c r="U10" s="136"/>
      <c r="V10" s="400" t="s">
        <v>284</v>
      </c>
      <c r="W10" s="84" t="s">
        <v>146</v>
      </c>
      <c r="X10" s="84"/>
      <c r="Y10" s="134" t="s">
        <v>147</v>
      </c>
      <c r="Z10" s="135"/>
      <c r="AA10" s="135"/>
      <c r="AB10" s="136"/>
      <c r="AC10" s="134" t="s">
        <v>145</v>
      </c>
      <c r="AD10" s="135"/>
      <c r="AE10" s="135"/>
      <c r="AF10" s="135"/>
      <c r="AG10" s="135"/>
      <c r="AH10" s="136"/>
      <c r="AI10" s="400" t="s">
        <v>284</v>
      </c>
      <c r="AJ10" s="84" t="s">
        <v>146</v>
      </c>
      <c r="AK10" s="84"/>
      <c r="AL10" s="134" t="s">
        <v>147</v>
      </c>
      <c r="AM10" s="135"/>
      <c r="AN10" s="135"/>
      <c r="AO10" s="136"/>
      <c r="AP10" s="77"/>
      <c r="AQ10" s="77"/>
      <c r="AR10" s="77"/>
      <c r="AS10" s="77"/>
    </row>
    <row r="11" s="398" customFormat="1" customHeight="1" spans="1:49">
      <c r="A11" s="77"/>
      <c r="B11" s="77"/>
      <c r="C11" s="77" t="s">
        <v>285</v>
      </c>
      <c r="D11" s="77" t="s">
        <v>286</v>
      </c>
      <c r="E11" s="77" t="s">
        <v>287</v>
      </c>
      <c r="F11" s="77" t="s">
        <v>288</v>
      </c>
      <c r="G11" s="77" t="s">
        <v>289</v>
      </c>
      <c r="H11" s="77" t="s">
        <v>290</v>
      </c>
      <c r="I11" s="401"/>
      <c r="J11" s="84" t="s">
        <v>291</v>
      </c>
      <c r="K11" s="84" t="s">
        <v>292</v>
      </c>
      <c r="L11" s="77" t="s">
        <v>285</v>
      </c>
      <c r="M11" s="77" t="s">
        <v>286</v>
      </c>
      <c r="N11" s="77" t="s">
        <v>288</v>
      </c>
      <c r="O11" s="77" t="s">
        <v>290</v>
      </c>
      <c r="P11" s="77" t="s">
        <v>285</v>
      </c>
      <c r="Q11" s="77" t="s">
        <v>286</v>
      </c>
      <c r="R11" s="77" t="s">
        <v>287</v>
      </c>
      <c r="S11" s="77" t="s">
        <v>288</v>
      </c>
      <c r="T11" s="77" t="s">
        <v>289</v>
      </c>
      <c r="U11" s="77" t="s">
        <v>290</v>
      </c>
      <c r="V11" s="401"/>
      <c r="W11" s="84" t="s">
        <v>291</v>
      </c>
      <c r="X11" s="84" t="s">
        <v>292</v>
      </c>
      <c r="Y11" s="77" t="s">
        <v>285</v>
      </c>
      <c r="Z11" s="78" t="s">
        <v>286</v>
      </c>
      <c r="AA11" s="78" t="s">
        <v>288</v>
      </c>
      <c r="AB11" s="77" t="s">
        <v>290</v>
      </c>
      <c r="AC11" s="77" t="s">
        <v>285</v>
      </c>
      <c r="AD11" s="77" t="s">
        <v>286</v>
      </c>
      <c r="AE11" s="77" t="s">
        <v>287</v>
      </c>
      <c r="AF11" s="77" t="s">
        <v>288</v>
      </c>
      <c r="AG11" s="77" t="s">
        <v>289</v>
      </c>
      <c r="AH11" s="77" t="s">
        <v>290</v>
      </c>
      <c r="AI11" s="401"/>
      <c r="AJ11" s="84" t="s">
        <v>291</v>
      </c>
      <c r="AK11" s="84" t="s">
        <v>292</v>
      </c>
      <c r="AL11" s="77" t="s">
        <v>285</v>
      </c>
      <c r="AM11" s="78" t="s">
        <v>286</v>
      </c>
      <c r="AN11" s="77" t="s">
        <v>288</v>
      </c>
      <c r="AO11" s="77" t="s">
        <v>290</v>
      </c>
      <c r="AP11" s="77"/>
      <c r="AQ11" s="77"/>
      <c r="AR11" s="77"/>
      <c r="AS11" s="77"/>
    </row>
    <row r="12" s="398" customFormat="1" customHeight="1" spans="1:49">
      <c r="A12" s="77"/>
      <c r="B12" s="77"/>
      <c r="C12" s="77"/>
      <c r="D12" s="77"/>
      <c r="E12" s="77"/>
      <c r="F12" s="77"/>
      <c r="G12" s="77"/>
      <c r="H12" s="77"/>
      <c r="I12" s="402"/>
      <c r="J12" s="84"/>
      <c r="K12" s="84"/>
      <c r="L12" s="77"/>
      <c r="M12" s="77"/>
      <c r="N12" s="77"/>
      <c r="O12" s="77"/>
      <c r="P12" s="77"/>
      <c r="Q12" s="77"/>
      <c r="R12" s="77"/>
      <c r="S12" s="77"/>
      <c r="T12" s="77"/>
      <c r="U12" s="77"/>
      <c r="V12" s="402"/>
      <c r="W12" s="84"/>
      <c r="X12" s="84"/>
      <c r="Y12" s="77"/>
      <c r="Z12" s="82"/>
      <c r="AA12" s="82"/>
      <c r="AB12" s="77"/>
      <c r="AC12" s="77"/>
      <c r="AD12" s="77"/>
      <c r="AE12" s="77"/>
      <c r="AF12" s="77"/>
      <c r="AG12" s="77"/>
      <c r="AH12" s="77"/>
      <c r="AI12" s="402"/>
      <c r="AJ12" s="84"/>
      <c r="AK12" s="84"/>
      <c r="AL12" s="77"/>
      <c r="AM12" s="82"/>
      <c r="AN12" s="77"/>
      <c r="AO12" s="77"/>
      <c r="AP12" s="77"/>
      <c r="AQ12" s="77"/>
      <c r="AR12" s="77"/>
      <c r="AS12" s="77"/>
    </row>
    <row r="13" customHeight="1" spans="1:49">
      <c r="A13" s="102" t="s">
        <v>293</v>
      </c>
      <c r="B13" s="381"/>
      <c r="C13" s="382"/>
      <c r="D13" s="382"/>
      <c r="E13" s="403"/>
      <c r="F13" s="273"/>
      <c r="G13" s="403"/>
      <c r="H13" s="404">
        <f>C13+D13-F13</f>
        <v>0</v>
      </c>
      <c r="I13" s="385"/>
      <c r="J13" s="385"/>
      <c r="K13" s="385"/>
      <c r="L13" s="276">
        <f>C13+I13</f>
        <v>0</v>
      </c>
      <c r="M13" s="276">
        <f>D13+J13</f>
        <v>0</v>
      </c>
      <c r="N13" s="276">
        <f>F13+K13</f>
        <v>0</v>
      </c>
      <c r="O13" s="276">
        <f>L13+M13-N13</f>
        <v>0</v>
      </c>
      <c r="P13" s="386"/>
      <c r="Q13" s="386"/>
      <c r="R13" s="383"/>
      <c r="S13" s="386"/>
      <c r="T13" s="383"/>
      <c r="U13" s="276">
        <f>P13+Q13-S13</f>
        <v>0</v>
      </c>
      <c r="V13" s="385"/>
      <c r="W13" s="385"/>
      <c r="X13" s="385"/>
      <c r="Y13" s="276">
        <f>P13+V13</f>
        <v>0</v>
      </c>
      <c r="Z13" s="276">
        <f>Q13+W13</f>
        <v>0</v>
      </c>
      <c r="AA13" s="276">
        <f>S13+X13</f>
        <v>0</v>
      </c>
      <c r="AB13" s="276">
        <f t="shared" ref="AB13:AB27" si="0">Y13+Z13-AA13</f>
        <v>0</v>
      </c>
      <c r="AC13" s="382"/>
      <c r="AD13" s="405"/>
      <c r="AE13" s="383"/>
      <c r="AF13" s="405"/>
      <c r="AG13" s="383"/>
      <c r="AH13" s="276">
        <f>AC13+AD13-AF13</f>
        <v>0</v>
      </c>
      <c r="AI13" s="385"/>
      <c r="AJ13" s="385"/>
      <c r="AK13" s="385"/>
      <c r="AL13" s="276">
        <f>AC13+AI13</f>
        <v>0</v>
      </c>
      <c r="AM13" s="276">
        <f>AD13+AJ13</f>
        <v>0</v>
      </c>
      <c r="AN13" s="276">
        <f>AF13+AK13</f>
        <v>0</v>
      </c>
      <c r="AO13" s="276">
        <f>AL13+AM13-AN13</f>
        <v>0</v>
      </c>
      <c r="AP13" s="276">
        <f>L13-Y13-AL13</f>
        <v>0</v>
      </c>
      <c r="AQ13" s="276">
        <f>O13-AB13-AO13</f>
        <v>0</v>
      </c>
      <c r="AR13" s="406"/>
      <c r="AS13" s="406"/>
    </row>
    <row r="14" hidden="1" customHeight="1" spans="1:49">
      <c r="A14" s="102" t="s">
        <v>293</v>
      </c>
      <c r="B14" s="381"/>
      <c r="C14" s="382"/>
      <c r="D14" s="382"/>
      <c r="E14" s="403"/>
      <c r="F14" s="273"/>
      <c r="G14" s="403"/>
      <c r="H14" s="404">
        <f t="shared" ref="H14:H27" si="1">C14+D14-F14</f>
        <v>0</v>
      </c>
      <c r="I14" s="385"/>
      <c r="J14" s="385"/>
      <c r="K14" s="385"/>
      <c r="L14" s="276">
        <f t="shared" ref="L14:M17" si="2">C14+I14</f>
        <v>0</v>
      </c>
      <c r="M14" s="276">
        <f t="shared" si="2"/>
        <v>0</v>
      </c>
      <c r="N14" s="276">
        <f t="shared" ref="N14:N27" si="3">F14+K14</f>
        <v>0</v>
      </c>
      <c r="O14" s="276">
        <f t="shared" ref="O14:O27" si="4">L14+M14-N14</f>
        <v>0</v>
      </c>
      <c r="P14" s="386"/>
      <c r="Q14" s="386"/>
      <c r="R14" s="383"/>
      <c r="S14" s="386"/>
      <c r="T14" s="383"/>
      <c r="U14" s="276">
        <f t="shared" ref="U14:U27" si="5">P14+Q14-S14</f>
        <v>0</v>
      </c>
      <c r="V14" s="385"/>
      <c r="W14" s="385"/>
      <c r="X14" s="385"/>
      <c r="Y14" s="276">
        <f t="shared" ref="Y14:Y27" si="6">P14+V14</f>
        <v>0</v>
      </c>
      <c r="Z14" s="276">
        <f t="shared" ref="Z14:Z27" si="7">Q14+W14</f>
        <v>0</v>
      </c>
      <c r="AA14" s="276">
        <f t="shared" ref="AA14:AA27" si="8">S14+X14</f>
        <v>0</v>
      </c>
      <c r="AB14" s="276">
        <f t="shared" si="0"/>
        <v>0</v>
      </c>
      <c r="AC14" s="382"/>
      <c r="AD14" s="382"/>
      <c r="AE14" s="383"/>
      <c r="AF14" s="405"/>
      <c r="AG14" s="383"/>
      <c r="AH14" s="276">
        <f t="shared" ref="AH14:AH27" si="9">AC14+AD14-AF14</f>
        <v>0</v>
      </c>
      <c r="AI14" s="385"/>
      <c r="AJ14" s="385"/>
      <c r="AK14" s="385"/>
      <c r="AL14" s="276">
        <f t="shared" ref="AL14:AL27" si="10">AC14+AI14</f>
        <v>0</v>
      </c>
      <c r="AM14" s="276">
        <f t="shared" ref="AM14:AM27" si="11">AD14+AJ14</f>
        <v>0</v>
      </c>
      <c r="AN14" s="276">
        <f t="shared" ref="AN14:AN27" si="12">AF14+AK14</f>
        <v>0</v>
      </c>
      <c r="AO14" s="276">
        <f t="shared" ref="AO14:AO27" si="13">AL14+AM14-AN14</f>
        <v>0</v>
      </c>
      <c r="AP14" s="276">
        <f t="shared" ref="AP14:AP27" si="14">L14-Y14-AL14</f>
        <v>0</v>
      </c>
      <c r="AQ14" s="276">
        <f t="shared" ref="AQ14:AQ27" si="15">O14-AB14-AO14</f>
        <v>0</v>
      </c>
      <c r="AR14" s="406"/>
      <c r="AS14" s="406"/>
    </row>
    <row r="15" hidden="1" customHeight="1" spans="1:49">
      <c r="A15" s="102" t="s">
        <v>293</v>
      </c>
      <c r="B15" s="381"/>
      <c r="C15" s="382"/>
      <c r="D15" s="382"/>
      <c r="E15" s="403"/>
      <c r="F15" s="273"/>
      <c r="G15" s="403"/>
      <c r="H15" s="404">
        <f t="shared" si="1"/>
        <v>0</v>
      </c>
      <c r="I15" s="385"/>
      <c r="J15" s="385"/>
      <c r="K15" s="385"/>
      <c r="L15" s="276">
        <f t="shared" si="2"/>
        <v>0</v>
      </c>
      <c r="M15" s="276">
        <f t="shared" si="2"/>
        <v>0</v>
      </c>
      <c r="N15" s="276">
        <f t="shared" si="3"/>
        <v>0</v>
      </c>
      <c r="O15" s="276">
        <f t="shared" si="4"/>
        <v>0</v>
      </c>
      <c r="P15" s="386"/>
      <c r="Q15" s="386"/>
      <c r="R15" s="383"/>
      <c r="S15" s="386"/>
      <c r="T15" s="383"/>
      <c r="U15" s="276">
        <f t="shared" si="5"/>
        <v>0</v>
      </c>
      <c r="V15" s="385"/>
      <c r="W15" s="385"/>
      <c r="X15" s="385"/>
      <c r="Y15" s="276">
        <f t="shared" si="6"/>
        <v>0</v>
      </c>
      <c r="Z15" s="276">
        <f t="shared" si="7"/>
        <v>0</v>
      </c>
      <c r="AA15" s="276">
        <f t="shared" si="8"/>
        <v>0</v>
      </c>
      <c r="AB15" s="276">
        <f t="shared" si="0"/>
        <v>0</v>
      </c>
      <c r="AC15" s="382"/>
      <c r="AD15" s="405"/>
      <c r="AE15" s="383"/>
      <c r="AF15" s="405"/>
      <c r="AG15" s="383"/>
      <c r="AH15" s="276">
        <f t="shared" si="9"/>
        <v>0</v>
      </c>
      <c r="AI15" s="385"/>
      <c r="AJ15" s="385"/>
      <c r="AK15" s="385"/>
      <c r="AL15" s="276">
        <f t="shared" si="10"/>
        <v>0</v>
      </c>
      <c r="AM15" s="276">
        <f t="shared" si="11"/>
        <v>0</v>
      </c>
      <c r="AN15" s="276">
        <f t="shared" si="12"/>
        <v>0</v>
      </c>
      <c r="AO15" s="276">
        <f t="shared" si="13"/>
        <v>0</v>
      </c>
      <c r="AP15" s="276">
        <f t="shared" si="14"/>
        <v>0</v>
      </c>
      <c r="AQ15" s="276">
        <f t="shared" si="15"/>
        <v>0</v>
      </c>
      <c r="AR15" s="406"/>
      <c r="AS15" s="406"/>
    </row>
    <row r="16" hidden="1" customHeight="1" spans="1:49">
      <c r="A16" s="102" t="s">
        <v>293</v>
      </c>
      <c r="B16" s="381"/>
      <c r="C16" s="382"/>
      <c r="D16" s="382"/>
      <c r="E16" s="403"/>
      <c r="F16" s="273"/>
      <c r="G16" s="403"/>
      <c r="H16" s="404">
        <f t="shared" si="1"/>
        <v>0</v>
      </c>
      <c r="I16" s="385"/>
      <c r="J16" s="385"/>
      <c r="K16" s="385"/>
      <c r="L16" s="276">
        <f t="shared" si="2"/>
        <v>0</v>
      </c>
      <c r="M16" s="276">
        <f t="shared" si="2"/>
        <v>0</v>
      </c>
      <c r="N16" s="276">
        <f t="shared" si="3"/>
        <v>0</v>
      </c>
      <c r="O16" s="276">
        <f t="shared" si="4"/>
        <v>0</v>
      </c>
      <c r="P16" s="391"/>
      <c r="Q16" s="391"/>
      <c r="R16" s="390"/>
      <c r="S16" s="389"/>
      <c r="T16" s="390"/>
      <c r="U16" s="276">
        <f t="shared" si="5"/>
        <v>0</v>
      </c>
      <c r="V16" s="385"/>
      <c r="W16" s="385"/>
      <c r="X16" s="385"/>
      <c r="Y16" s="276">
        <f t="shared" si="6"/>
        <v>0</v>
      </c>
      <c r="Z16" s="276">
        <f t="shared" si="7"/>
        <v>0</v>
      </c>
      <c r="AA16" s="276">
        <f t="shared" si="8"/>
        <v>0</v>
      </c>
      <c r="AB16" s="276">
        <f t="shared" si="0"/>
        <v>0</v>
      </c>
      <c r="AC16" s="382"/>
      <c r="AD16" s="405"/>
      <c r="AE16" s="383"/>
      <c r="AF16" s="405"/>
      <c r="AG16" s="383"/>
      <c r="AH16" s="276">
        <f t="shared" si="9"/>
        <v>0</v>
      </c>
      <c r="AI16" s="385"/>
      <c r="AJ16" s="385"/>
      <c r="AK16" s="385"/>
      <c r="AL16" s="276">
        <f t="shared" si="10"/>
        <v>0</v>
      </c>
      <c r="AM16" s="276">
        <f t="shared" si="11"/>
        <v>0</v>
      </c>
      <c r="AN16" s="276">
        <f t="shared" si="12"/>
        <v>0</v>
      </c>
      <c r="AO16" s="276">
        <f t="shared" si="13"/>
        <v>0</v>
      </c>
      <c r="AP16" s="276">
        <f t="shared" si="14"/>
        <v>0</v>
      </c>
      <c r="AQ16" s="276">
        <f t="shared" si="15"/>
        <v>0</v>
      </c>
      <c r="AR16" s="406"/>
      <c r="AS16" s="406"/>
    </row>
    <row r="17" hidden="1" customHeight="1" spans="1:45">
      <c r="A17" s="102" t="s">
        <v>293</v>
      </c>
      <c r="B17" s="381"/>
      <c r="C17" s="382"/>
      <c r="D17" s="382"/>
      <c r="E17" s="403"/>
      <c r="F17" s="273"/>
      <c r="G17" s="403"/>
      <c r="H17" s="404">
        <f t="shared" si="1"/>
        <v>0</v>
      </c>
      <c r="I17" s="385"/>
      <c r="J17" s="385"/>
      <c r="K17" s="385"/>
      <c r="L17" s="276">
        <f t="shared" si="2"/>
        <v>0</v>
      </c>
      <c r="M17" s="276">
        <f t="shared" si="2"/>
        <v>0</v>
      </c>
      <c r="N17" s="276">
        <f t="shared" si="3"/>
        <v>0</v>
      </c>
      <c r="O17" s="276">
        <f t="shared" si="4"/>
        <v>0</v>
      </c>
      <c r="P17" s="391"/>
      <c r="Q17" s="391"/>
      <c r="R17" s="390"/>
      <c r="S17" s="389"/>
      <c r="T17" s="390"/>
      <c r="U17" s="276">
        <f t="shared" si="5"/>
        <v>0</v>
      </c>
      <c r="V17" s="385"/>
      <c r="W17" s="385"/>
      <c r="X17" s="385"/>
      <c r="Y17" s="276">
        <f t="shared" si="6"/>
        <v>0</v>
      </c>
      <c r="Z17" s="276">
        <f t="shared" si="7"/>
        <v>0</v>
      </c>
      <c r="AA17" s="276">
        <f t="shared" si="8"/>
        <v>0</v>
      </c>
      <c r="AB17" s="276">
        <f t="shared" si="0"/>
        <v>0</v>
      </c>
      <c r="AC17" s="382"/>
      <c r="AD17" s="405"/>
      <c r="AE17" s="383"/>
      <c r="AF17" s="405"/>
      <c r="AG17" s="383"/>
      <c r="AH17" s="276">
        <f t="shared" si="9"/>
        <v>0</v>
      </c>
      <c r="AI17" s="385"/>
      <c r="AJ17" s="385"/>
      <c r="AK17" s="385"/>
      <c r="AL17" s="276">
        <f t="shared" si="10"/>
        <v>0</v>
      </c>
      <c r="AM17" s="276">
        <f t="shared" si="11"/>
        <v>0</v>
      </c>
      <c r="AN17" s="276">
        <f t="shared" si="12"/>
        <v>0</v>
      </c>
      <c r="AO17" s="276">
        <f t="shared" si="13"/>
        <v>0</v>
      </c>
      <c r="AP17" s="276">
        <f t="shared" si="14"/>
        <v>0</v>
      </c>
      <c r="AQ17" s="276">
        <f t="shared" si="15"/>
        <v>0</v>
      </c>
      <c r="AR17" s="388"/>
      <c r="AS17" s="388"/>
    </row>
    <row r="18" hidden="1" customHeight="1" spans="1:45">
      <c r="A18" s="102" t="s">
        <v>293</v>
      </c>
      <c r="B18" s="381"/>
      <c r="C18" s="382"/>
      <c r="D18" s="382"/>
      <c r="E18" s="403"/>
      <c r="F18" s="273"/>
      <c r="G18" s="403"/>
      <c r="H18" s="404">
        <f t="shared" si="1"/>
        <v>0</v>
      </c>
      <c r="I18" s="385"/>
      <c r="J18" s="385"/>
      <c r="K18" s="385"/>
      <c r="L18" s="276">
        <f t="shared" ref="L18:M22" si="16">C18+I18</f>
        <v>0</v>
      </c>
      <c r="M18" s="276">
        <f t="shared" si="16"/>
        <v>0</v>
      </c>
      <c r="N18" s="276">
        <f t="shared" si="3"/>
        <v>0</v>
      </c>
      <c r="O18" s="276">
        <f t="shared" si="4"/>
        <v>0</v>
      </c>
      <c r="P18" s="391"/>
      <c r="Q18" s="391"/>
      <c r="R18" s="390"/>
      <c r="S18" s="389"/>
      <c r="T18" s="390"/>
      <c r="U18" s="276">
        <f t="shared" si="5"/>
        <v>0</v>
      </c>
      <c r="V18" s="385"/>
      <c r="W18" s="385"/>
      <c r="X18" s="385"/>
      <c r="Y18" s="276">
        <f t="shared" si="6"/>
        <v>0</v>
      </c>
      <c r="Z18" s="276">
        <f t="shared" si="7"/>
        <v>0</v>
      </c>
      <c r="AA18" s="276">
        <f t="shared" si="8"/>
        <v>0</v>
      </c>
      <c r="AB18" s="276">
        <f t="shared" si="0"/>
        <v>0</v>
      </c>
      <c r="AC18" s="382"/>
      <c r="AD18" s="405"/>
      <c r="AE18" s="383"/>
      <c r="AF18" s="405"/>
      <c r="AG18" s="383"/>
      <c r="AH18" s="276">
        <f t="shared" si="9"/>
        <v>0</v>
      </c>
      <c r="AI18" s="385"/>
      <c r="AJ18" s="385"/>
      <c r="AK18" s="385"/>
      <c r="AL18" s="276">
        <f t="shared" si="10"/>
        <v>0</v>
      </c>
      <c r="AM18" s="276">
        <f t="shared" si="11"/>
        <v>0</v>
      </c>
      <c r="AN18" s="276">
        <f t="shared" si="12"/>
        <v>0</v>
      </c>
      <c r="AO18" s="276">
        <f t="shared" si="13"/>
        <v>0</v>
      </c>
      <c r="AP18" s="276">
        <f t="shared" si="14"/>
        <v>0</v>
      </c>
      <c r="AQ18" s="276">
        <f t="shared" si="15"/>
        <v>0</v>
      </c>
      <c r="AR18" s="388"/>
      <c r="AS18" s="388"/>
    </row>
    <row r="19" hidden="1" customHeight="1" spans="1:45">
      <c r="A19" s="102" t="s">
        <v>293</v>
      </c>
      <c r="B19" s="381"/>
      <c r="C19" s="382"/>
      <c r="D19" s="382"/>
      <c r="E19" s="403"/>
      <c r="F19" s="273"/>
      <c r="G19" s="403"/>
      <c r="H19" s="404">
        <f t="shared" si="1"/>
        <v>0</v>
      </c>
      <c r="I19" s="385"/>
      <c r="J19" s="385"/>
      <c r="K19" s="385"/>
      <c r="L19" s="276">
        <f t="shared" si="16"/>
        <v>0</v>
      </c>
      <c r="M19" s="276">
        <f t="shared" si="16"/>
        <v>0</v>
      </c>
      <c r="N19" s="276">
        <f t="shared" si="3"/>
        <v>0</v>
      </c>
      <c r="O19" s="276">
        <f t="shared" si="4"/>
        <v>0</v>
      </c>
      <c r="P19" s="391"/>
      <c r="Q19" s="391"/>
      <c r="R19" s="390"/>
      <c r="S19" s="389"/>
      <c r="T19" s="390"/>
      <c r="U19" s="276">
        <f t="shared" si="5"/>
        <v>0</v>
      </c>
      <c r="V19" s="385"/>
      <c r="W19" s="385"/>
      <c r="X19" s="385"/>
      <c r="Y19" s="276">
        <f t="shared" si="6"/>
        <v>0</v>
      </c>
      <c r="Z19" s="276">
        <f t="shared" si="7"/>
        <v>0</v>
      </c>
      <c r="AA19" s="276">
        <f t="shared" si="8"/>
        <v>0</v>
      </c>
      <c r="AB19" s="276">
        <f t="shared" si="0"/>
        <v>0</v>
      </c>
      <c r="AC19" s="389"/>
      <c r="AD19" s="407"/>
      <c r="AE19" s="390"/>
      <c r="AF19" s="407"/>
      <c r="AG19" s="390"/>
      <c r="AH19" s="276">
        <f t="shared" si="9"/>
        <v>0</v>
      </c>
      <c r="AI19" s="385"/>
      <c r="AJ19" s="385"/>
      <c r="AK19" s="385"/>
      <c r="AL19" s="276">
        <f t="shared" si="10"/>
        <v>0</v>
      </c>
      <c r="AM19" s="276">
        <f t="shared" si="11"/>
        <v>0</v>
      </c>
      <c r="AN19" s="276">
        <f t="shared" si="12"/>
        <v>0</v>
      </c>
      <c r="AO19" s="276">
        <f t="shared" si="13"/>
        <v>0</v>
      </c>
      <c r="AP19" s="276">
        <f t="shared" si="14"/>
        <v>0</v>
      </c>
      <c r="AQ19" s="276">
        <f t="shared" si="15"/>
        <v>0</v>
      </c>
      <c r="AR19" s="388"/>
      <c r="AS19" s="388"/>
    </row>
    <row r="20" customHeight="1" spans="1:45">
      <c r="A20" s="102" t="s">
        <v>293</v>
      </c>
      <c r="B20" s="102"/>
      <c r="C20" s="389"/>
      <c r="D20" s="389"/>
      <c r="E20" s="408"/>
      <c r="F20" s="385"/>
      <c r="G20" s="408"/>
      <c r="H20" s="404">
        <f t="shared" si="1"/>
        <v>0</v>
      </c>
      <c r="I20" s="385"/>
      <c r="J20" s="385"/>
      <c r="K20" s="385"/>
      <c r="L20" s="276">
        <f t="shared" si="16"/>
        <v>0</v>
      </c>
      <c r="M20" s="276">
        <f t="shared" si="16"/>
        <v>0</v>
      </c>
      <c r="N20" s="276">
        <f t="shared" si="3"/>
        <v>0</v>
      </c>
      <c r="O20" s="276">
        <f t="shared" si="4"/>
        <v>0</v>
      </c>
      <c r="P20" s="391"/>
      <c r="Q20" s="391"/>
      <c r="R20" s="390"/>
      <c r="S20" s="389"/>
      <c r="T20" s="390"/>
      <c r="U20" s="276">
        <f t="shared" si="5"/>
        <v>0</v>
      </c>
      <c r="V20" s="385"/>
      <c r="W20" s="385"/>
      <c r="X20" s="385"/>
      <c r="Y20" s="276">
        <f t="shared" si="6"/>
        <v>0</v>
      </c>
      <c r="Z20" s="276">
        <f t="shared" si="7"/>
        <v>0</v>
      </c>
      <c r="AA20" s="276">
        <f t="shared" si="8"/>
        <v>0</v>
      </c>
      <c r="AB20" s="276">
        <f t="shared" si="0"/>
        <v>0</v>
      </c>
      <c r="AC20" s="389"/>
      <c r="AD20" s="407"/>
      <c r="AE20" s="390"/>
      <c r="AF20" s="407"/>
      <c r="AG20" s="390"/>
      <c r="AH20" s="276">
        <f t="shared" si="9"/>
        <v>0</v>
      </c>
      <c r="AI20" s="385"/>
      <c r="AJ20" s="385"/>
      <c r="AK20" s="385"/>
      <c r="AL20" s="276">
        <f t="shared" si="10"/>
        <v>0</v>
      </c>
      <c r="AM20" s="276">
        <f t="shared" si="11"/>
        <v>0</v>
      </c>
      <c r="AN20" s="276">
        <f t="shared" si="12"/>
        <v>0</v>
      </c>
      <c r="AO20" s="276">
        <f t="shared" si="13"/>
        <v>0</v>
      </c>
      <c r="AP20" s="276">
        <f t="shared" si="14"/>
        <v>0</v>
      </c>
      <c r="AQ20" s="276">
        <f t="shared" si="15"/>
        <v>0</v>
      </c>
      <c r="AR20" s="388"/>
      <c r="AS20" s="388"/>
    </row>
    <row r="21" customHeight="1" spans="1:45">
      <c r="A21" s="102" t="s">
        <v>186</v>
      </c>
      <c r="B21" s="102"/>
      <c r="C21" s="389"/>
      <c r="D21" s="389"/>
      <c r="E21" s="408"/>
      <c r="F21" s="385"/>
      <c r="G21" s="408"/>
      <c r="H21" s="404">
        <f t="shared" si="1"/>
        <v>0</v>
      </c>
      <c r="I21" s="385"/>
      <c r="J21" s="385"/>
      <c r="K21" s="385"/>
      <c r="L21" s="276">
        <f t="shared" si="16"/>
        <v>0</v>
      </c>
      <c r="M21" s="276">
        <f t="shared" si="16"/>
        <v>0</v>
      </c>
      <c r="N21" s="276">
        <f t="shared" si="3"/>
        <v>0</v>
      </c>
      <c r="O21" s="276">
        <f t="shared" si="4"/>
        <v>0</v>
      </c>
      <c r="P21" s="391"/>
      <c r="Q21" s="391"/>
      <c r="R21" s="390"/>
      <c r="S21" s="389"/>
      <c r="T21" s="390"/>
      <c r="U21" s="276">
        <f t="shared" si="5"/>
        <v>0</v>
      </c>
      <c r="V21" s="385"/>
      <c r="W21" s="385"/>
      <c r="X21" s="385"/>
      <c r="Y21" s="276">
        <f t="shared" si="6"/>
        <v>0</v>
      </c>
      <c r="Z21" s="276">
        <f t="shared" si="7"/>
        <v>0</v>
      </c>
      <c r="AA21" s="276">
        <f t="shared" si="8"/>
        <v>0</v>
      </c>
      <c r="AB21" s="276">
        <f t="shared" si="0"/>
        <v>0</v>
      </c>
      <c r="AC21" s="389"/>
      <c r="AD21" s="407"/>
      <c r="AE21" s="390"/>
      <c r="AF21" s="407"/>
      <c r="AG21" s="390"/>
      <c r="AH21" s="276">
        <f t="shared" si="9"/>
        <v>0</v>
      </c>
      <c r="AI21" s="385"/>
      <c r="AJ21" s="385"/>
      <c r="AK21" s="385"/>
      <c r="AL21" s="276">
        <f t="shared" si="10"/>
        <v>0</v>
      </c>
      <c r="AM21" s="276">
        <f t="shared" si="11"/>
        <v>0</v>
      </c>
      <c r="AN21" s="276">
        <f t="shared" si="12"/>
        <v>0</v>
      </c>
      <c r="AO21" s="276">
        <f t="shared" si="13"/>
        <v>0</v>
      </c>
      <c r="AP21" s="276">
        <f t="shared" si="14"/>
        <v>0</v>
      </c>
      <c r="AQ21" s="276">
        <f t="shared" si="15"/>
        <v>0</v>
      </c>
      <c r="AR21" s="388"/>
      <c r="AS21" s="388"/>
    </row>
    <row r="22" customHeight="1" spans="1:45">
      <c r="A22" s="102" t="s">
        <v>186</v>
      </c>
      <c r="B22" s="102"/>
      <c r="C22" s="389"/>
      <c r="D22" s="389"/>
      <c r="E22" s="408"/>
      <c r="F22" s="385"/>
      <c r="G22" s="408"/>
      <c r="H22" s="404">
        <f t="shared" si="1"/>
        <v>0</v>
      </c>
      <c r="I22" s="385"/>
      <c r="J22" s="385"/>
      <c r="K22" s="385"/>
      <c r="L22" s="276">
        <f t="shared" si="16"/>
        <v>0</v>
      </c>
      <c r="M22" s="276">
        <f t="shared" si="16"/>
        <v>0</v>
      </c>
      <c r="N22" s="276">
        <f t="shared" si="3"/>
        <v>0</v>
      </c>
      <c r="O22" s="276">
        <f t="shared" si="4"/>
        <v>0</v>
      </c>
      <c r="P22" s="391"/>
      <c r="Q22" s="391"/>
      <c r="R22" s="390"/>
      <c r="S22" s="389"/>
      <c r="T22" s="390"/>
      <c r="U22" s="276">
        <f t="shared" si="5"/>
        <v>0</v>
      </c>
      <c r="V22" s="385"/>
      <c r="W22" s="385"/>
      <c r="X22" s="385"/>
      <c r="Y22" s="276">
        <f t="shared" si="6"/>
        <v>0</v>
      </c>
      <c r="Z22" s="276">
        <f t="shared" si="7"/>
        <v>0</v>
      </c>
      <c r="AA22" s="276">
        <f t="shared" si="8"/>
        <v>0</v>
      </c>
      <c r="AB22" s="276">
        <f t="shared" si="0"/>
        <v>0</v>
      </c>
      <c r="AC22" s="389"/>
      <c r="AD22" s="407"/>
      <c r="AE22" s="390"/>
      <c r="AF22" s="407"/>
      <c r="AG22" s="390"/>
      <c r="AH22" s="276">
        <f t="shared" si="9"/>
        <v>0</v>
      </c>
      <c r="AI22" s="385"/>
      <c r="AJ22" s="385"/>
      <c r="AK22" s="385"/>
      <c r="AL22" s="276">
        <f t="shared" si="10"/>
        <v>0</v>
      </c>
      <c r="AM22" s="276">
        <f t="shared" si="11"/>
        <v>0</v>
      </c>
      <c r="AN22" s="276">
        <f t="shared" si="12"/>
        <v>0</v>
      </c>
      <c r="AO22" s="276">
        <f t="shared" si="13"/>
        <v>0</v>
      </c>
      <c r="AP22" s="276">
        <f t="shared" si="14"/>
        <v>0</v>
      </c>
      <c r="AQ22" s="276">
        <f t="shared" si="15"/>
        <v>0</v>
      </c>
      <c r="AR22" s="388"/>
      <c r="AS22" s="388"/>
    </row>
    <row r="23" customHeight="1" spans="1:45">
      <c r="A23" s="102" t="s">
        <v>186</v>
      </c>
      <c r="B23" s="102"/>
      <c r="C23" s="389"/>
      <c r="D23" s="389"/>
      <c r="E23" s="408"/>
      <c r="F23" s="385"/>
      <c r="G23" s="408"/>
      <c r="H23" s="404">
        <f t="shared" si="1"/>
        <v>0</v>
      </c>
      <c r="I23" s="385"/>
      <c r="J23" s="385"/>
      <c r="K23" s="385"/>
      <c r="L23" s="276">
        <f t="shared" ref="L23:M27" si="17">C23+I23</f>
        <v>0</v>
      </c>
      <c r="M23" s="276">
        <f t="shared" si="17"/>
        <v>0</v>
      </c>
      <c r="N23" s="276">
        <f t="shared" si="3"/>
        <v>0</v>
      </c>
      <c r="O23" s="276">
        <f t="shared" si="4"/>
        <v>0</v>
      </c>
      <c r="P23" s="391"/>
      <c r="Q23" s="391"/>
      <c r="R23" s="390"/>
      <c r="S23" s="389"/>
      <c r="T23" s="390"/>
      <c r="U23" s="276">
        <f t="shared" si="5"/>
        <v>0</v>
      </c>
      <c r="V23" s="385"/>
      <c r="W23" s="385"/>
      <c r="X23" s="385"/>
      <c r="Y23" s="276">
        <f t="shared" si="6"/>
        <v>0</v>
      </c>
      <c r="Z23" s="276">
        <f t="shared" si="7"/>
        <v>0</v>
      </c>
      <c r="AA23" s="276">
        <f t="shared" si="8"/>
        <v>0</v>
      </c>
      <c r="AB23" s="276">
        <f t="shared" si="0"/>
        <v>0</v>
      </c>
      <c r="AC23" s="389"/>
      <c r="AD23" s="407"/>
      <c r="AE23" s="390"/>
      <c r="AF23" s="407"/>
      <c r="AG23" s="390"/>
      <c r="AH23" s="276">
        <f t="shared" si="9"/>
        <v>0</v>
      </c>
      <c r="AI23" s="385"/>
      <c r="AJ23" s="385"/>
      <c r="AK23" s="385"/>
      <c r="AL23" s="276">
        <f t="shared" si="10"/>
        <v>0</v>
      </c>
      <c r="AM23" s="276">
        <f t="shared" si="11"/>
        <v>0</v>
      </c>
      <c r="AN23" s="276">
        <f t="shared" si="12"/>
        <v>0</v>
      </c>
      <c r="AO23" s="276">
        <f t="shared" si="13"/>
        <v>0</v>
      </c>
      <c r="AP23" s="276">
        <f t="shared" si="14"/>
        <v>0</v>
      </c>
      <c r="AQ23" s="276">
        <f t="shared" si="15"/>
        <v>0</v>
      </c>
      <c r="AR23" s="388"/>
      <c r="AS23" s="388"/>
    </row>
    <row r="24" customHeight="1" spans="1:45">
      <c r="A24" s="102" t="s">
        <v>294</v>
      </c>
      <c r="B24" s="102"/>
      <c r="C24" s="389"/>
      <c r="D24" s="389"/>
      <c r="E24" s="408"/>
      <c r="F24" s="385"/>
      <c r="G24" s="408"/>
      <c r="H24" s="404">
        <f t="shared" si="1"/>
        <v>0</v>
      </c>
      <c r="I24" s="385"/>
      <c r="J24" s="385"/>
      <c r="K24" s="385"/>
      <c r="L24" s="276">
        <f t="shared" si="17"/>
        <v>0</v>
      </c>
      <c r="M24" s="276">
        <f t="shared" si="17"/>
        <v>0</v>
      </c>
      <c r="N24" s="276">
        <f t="shared" si="3"/>
        <v>0</v>
      </c>
      <c r="O24" s="276">
        <f t="shared" si="4"/>
        <v>0</v>
      </c>
      <c r="P24" s="391"/>
      <c r="Q24" s="391"/>
      <c r="R24" s="390"/>
      <c r="S24" s="389"/>
      <c r="T24" s="390"/>
      <c r="U24" s="276">
        <f t="shared" si="5"/>
        <v>0</v>
      </c>
      <c r="V24" s="385"/>
      <c r="W24" s="385"/>
      <c r="X24" s="385"/>
      <c r="Y24" s="276">
        <f t="shared" si="6"/>
        <v>0</v>
      </c>
      <c r="Z24" s="276">
        <f t="shared" si="7"/>
        <v>0</v>
      </c>
      <c r="AA24" s="276">
        <f t="shared" si="8"/>
        <v>0</v>
      </c>
      <c r="AB24" s="276">
        <f t="shared" si="0"/>
        <v>0</v>
      </c>
      <c r="AC24" s="389"/>
      <c r="AD24" s="407"/>
      <c r="AE24" s="390"/>
      <c r="AF24" s="407"/>
      <c r="AG24" s="390"/>
      <c r="AH24" s="276">
        <f t="shared" si="9"/>
        <v>0</v>
      </c>
      <c r="AI24" s="385"/>
      <c r="AJ24" s="385"/>
      <c r="AK24" s="385"/>
      <c r="AL24" s="276">
        <f t="shared" si="10"/>
        <v>0</v>
      </c>
      <c r="AM24" s="276">
        <f t="shared" si="11"/>
        <v>0</v>
      </c>
      <c r="AN24" s="276">
        <f t="shared" si="12"/>
        <v>0</v>
      </c>
      <c r="AO24" s="276">
        <f t="shared" si="13"/>
        <v>0</v>
      </c>
      <c r="AP24" s="276">
        <f t="shared" si="14"/>
        <v>0</v>
      </c>
      <c r="AQ24" s="276">
        <f t="shared" si="15"/>
        <v>0</v>
      </c>
      <c r="AR24" s="388"/>
      <c r="AS24" s="388"/>
    </row>
    <row r="25" hidden="1" customHeight="1" spans="1:45">
      <c r="A25" s="102" t="s">
        <v>294</v>
      </c>
      <c r="B25" s="102"/>
      <c r="C25" s="389"/>
      <c r="D25" s="389"/>
      <c r="E25" s="408"/>
      <c r="F25" s="385"/>
      <c r="G25" s="408"/>
      <c r="H25" s="404">
        <f t="shared" si="1"/>
        <v>0</v>
      </c>
      <c r="I25" s="385"/>
      <c r="J25" s="385"/>
      <c r="K25" s="385"/>
      <c r="L25" s="276">
        <f t="shared" si="17"/>
        <v>0</v>
      </c>
      <c r="M25" s="276">
        <f t="shared" si="17"/>
        <v>0</v>
      </c>
      <c r="N25" s="276">
        <f t="shared" si="3"/>
        <v>0</v>
      </c>
      <c r="O25" s="276">
        <f t="shared" si="4"/>
        <v>0</v>
      </c>
      <c r="P25" s="391"/>
      <c r="Q25" s="391"/>
      <c r="R25" s="390"/>
      <c r="S25" s="389"/>
      <c r="T25" s="390"/>
      <c r="U25" s="276">
        <f t="shared" si="5"/>
        <v>0</v>
      </c>
      <c r="V25" s="385"/>
      <c r="W25" s="385"/>
      <c r="X25" s="385"/>
      <c r="Y25" s="276">
        <f t="shared" si="6"/>
        <v>0</v>
      </c>
      <c r="Z25" s="276">
        <f t="shared" si="7"/>
        <v>0</v>
      </c>
      <c r="AA25" s="276">
        <f t="shared" si="8"/>
        <v>0</v>
      </c>
      <c r="AB25" s="276">
        <f t="shared" si="0"/>
        <v>0</v>
      </c>
      <c r="AC25" s="389"/>
      <c r="AD25" s="407"/>
      <c r="AE25" s="390"/>
      <c r="AF25" s="407"/>
      <c r="AG25" s="390"/>
      <c r="AH25" s="276">
        <f t="shared" si="9"/>
        <v>0</v>
      </c>
      <c r="AI25" s="385"/>
      <c r="AJ25" s="385"/>
      <c r="AK25" s="385"/>
      <c r="AL25" s="276">
        <f t="shared" si="10"/>
        <v>0</v>
      </c>
      <c r="AM25" s="276">
        <f t="shared" si="11"/>
        <v>0</v>
      </c>
      <c r="AN25" s="276">
        <f t="shared" si="12"/>
        <v>0</v>
      </c>
      <c r="AO25" s="276">
        <f t="shared" si="13"/>
        <v>0</v>
      </c>
      <c r="AP25" s="276">
        <f t="shared" si="14"/>
        <v>0</v>
      </c>
      <c r="AQ25" s="276">
        <f t="shared" si="15"/>
        <v>0</v>
      </c>
      <c r="AR25" s="388"/>
      <c r="AS25" s="388"/>
    </row>
    <row r="26" hidden="1" customHeight="1" spans="1:45">
      <c r="A26" s="102" t="s">
        <v>294</v>
      </c>
      <c r="B26" s="102"/>
      <c r="C26" s="389"/>
      <c r="D26" s="389"/>
      <c r="E26" s="408"/>
      <c r="F26" s="385"/>
      <c r="G26" s="408"/>
      <c r="H26" s="404">
        <f t="shared" si="1"/>
        <v>0</v>
      </c>
      <c r="I26" s="385"/>
      <c r="J26" s="385"/>
      <c r="K26" s="385"/>
      <c r="L26" s="276">
        <f t="shared" si="17"/>
        <v>0</v>
      </c>
      <c r="M26" s="276">
        <f t="shared" si="17"/>
        <v>0</v>
      </c>
      <c r="N26" s="276">
        <f t="shared" si="3"/>
        <v>0</v>
      </c>
      <c r="O26" s="276">
        <f t="shared" si="4"/>
        <v>0</v>
      </c>
      <c r="P26" s="391"/>
      <c r="Q26" s="391"/>
      <c r="R26" s="390"/>
      <c r="S26" s="389"/>
      <c r="T26" s="390"/>
      <c r="U26" s="276">
        <f t="shared" si="5"/>
        <v>0</v>
      </c>
      <c r="V26" s="385"/>
      <c r="W26" s="385"/>
      <c r="X26" s="385"/>
      <c r="Y26" s="276">
        <f t="shared" si="6"/>
        <v>0</v>
      </c>
      <c r="Z26" s="276">
        <f t="shared" si="7"/>
        <v>0</v>
      </c>
      <c r="AA26" s="276">
        <f t="shared" si="8"/>
        <v>0</v>
      </c>
      <c r="AB26" s="276">
        <f t="shared" si="0"/>
        <v>0</v>
      </c>
      <c r="AC26" s="389"/>
      <c r="AD26" s="407"/>
      <c r="AE26" s="390"/>
      <c r="AF26" s="407"/>
      <c r="AG26" s="390"/>
      <c r="AH26" s="276">
        <f t="shared" si="9"/>
        <v>0</v>
      </c>
      <c r="AI26" s="385"/>
      <c r="AJ26" s="385"/>
      <c r="AK26" s="385"/>
      <c r="AL26" s="276">
        <f t="shared" si="10"/>
        <v>0</v>
      </c>
      <c r="AM26" s="276">
        <f t="shared" si="11"/>
        <v>0</v>
      </c>
      <c r="AN26" s="276">
        <f t="shared" si="12"/>
        <v>0</v>
      </c>
      <c r="AO26" s="276">
        <f t="shared" si="13"/>
        <v>0</v>
      </c>
      <c r="AP26" s="276">
        <f t="shared" si="14"/>
        <v>0</v>
      </c>
      <c r="AQ26" s="276">
        <f t="shared" si="15"/>
        <v>0</v>
      </c>
      <c r="AR26" s="388"/>
      <c r="AS26" s="388"/>
    </row>
    <row r="27" customHeight="1" spans="1:45">
      <c r="A27" s="102" t="s">
        <v>294</v>
      </c>
      <c r="B27" s="102"/>
      <c r="C27" s="389"/>
      <c r="D27" s="389"/>
      <c r="E27" s="408"/>
      <c r="F27" s="385"/>
      <c r="G27" s="408"/>
      <c r="H27" s="404">
        <f t="shared" si="1"/>
        <v>0</v>
      </c>
      <c r="I27" s="385"/>
      <c r="J27" s="385"/>
      <c r="K27" s="385"/>
      <c r="L27" s="276">
        <f t="shared" si="17"/>
        <v>0</v>
      </c>
      <c r="M27" s="276">
        <f t="shared" si="17"/>
        <v>0</v>
      </c>
      <c r="N27" s="276">
        <f t="shared" si="3"/>
        <v>0</v>
      </c>
      <c r="O27" s="276">
        <f t="shared" si="4"/>
        <v>0</v>
      </c>
      <c r="P27" s="391"/>
      <c r="Q27" s="391"/>
      <c r="R27" s="390"/>
      <c r="S27" s="389"/>
      <c r="T27" s="390"/>
      <c r="U27" s="276">
        <f t="shared" si="5"/>
        <v>0</v>
      </c>
      <c r="V27" s="385"/>
      <c r="W27" s="385"/>
      <c r="X27" s="385"/>
      <c r="Y27" s="276">
        <f t="shared" si="6"/>
        <v>0</v>
      </c>
      <c r="Z27" s="276">
        <f t="shared" si="7"/>
        <v>0</v>
      </c>
      <c r="AA27" s="276">
        <f t="shared" si="8"/>
        <v>0</v>
      </c>
      <c r="AB27" s="276">
        <f t="shared" si="0"/>
        <v>0</v>
      </c>
      <c r="AC27" s="389"/>
      <c r="AD27" s="407"/>
      <c r="AE27" s="390"/>
      <c r="AF27" s="407"/>
      <c r="AG27" s="390"/>
      <c r="AH27" s="276">
        <f t="shared" si="9"/>
        <v>0</v>
      </c>
      <c r="AI27" s="385"/>
      <c r="AJ27" s="385"/>
      <c r="AK27" s="385"/>
      <c r="AL27" s="276">
        <f t="shared" si="10"/>
        <v>0</v>
      </c>
      <c r="AM27" s="276">
        <f t="shared" si="11"/>
        <v>0</v>
      </c>
      <c r="AN27" s="276">
        <f t="shared" si="12"/>
        <v>0</v>
      </c>
      <c r="AO27" s="276">
        <f t="shared" si="13"/>
        <v>0</v>
      </c>
      <c r="AP27" s="276">
        <f t="shared" si="14"/>
        <v>0</v>
      </c>
      <c r="AQ27" s="276">
        <f t="shared" si="15"/>
        <v>0</v>
      </c>
      <c r="AR27" s="388"/>
      <c r="AS27" s="388"/>
    </row>
    <row r="28" s="5" customFormat="1" customHeight="1" spans="1:45">
      <c r="A28" s="134" t="s">
        <v>295</v>
      </c>
      <c r="B28" s="136"/>
      <c r="C28" s="282">
        <f>SUM(C13:C27)</f>
        <v>0</v>
      </c>
      <c r="D28" s="282">
        <f t="shared" ref="D28:AQ28" si="18">SUM(D13:D27)</f>
        <v>0</v>
      </c>
      <c r="E28" s="282">
        <f t="shared" si="18"/>
        <v>0</v>
      </c>
      <c r="F28" s="282">
        <f t="shared" si="18"/>
        <v>0</v>
      </c>
      <c r="G28" s="282">
        <f t="shared" si="18"/>
        <v>0</v>
      </c>
      <c r="H28" s="282">
        <f t="shared" si="18"/>
        <v>0</v>
      </c>
      <c r="I28" s="282">
        <f t="shared" si="18"/>
        <v>0</v>
      </c>
      <c r="J28" s="282">
        <f t="shared" si="18"/>
        <v>0</v>
      </c>
      <c r="K28" s="282">
        <f t="shared" si="18"/>
        <v>0</v>
      </c>
      <c r="L28" s="282">
        <f t="shared" si="18"/>
        <v>0</v>
      </c>
      <c r="M28" s="282">
        <f t="shared" si="18"/>
        <v>0</v>
      </c>
      <c r="N28" s="282">
        <f t="shared" si="18"/>
        <v>0</v>
      </c>
      <c r="O28" s="282">
        <f t="shared" si="18"/>
        <v>0</v>
      </c>
      <c r="P28" s="282">
        <f t="shared" si="18"/>
        <v>0</v>
      </c>
      <c r="Q28" s="282">
        <f t="shared" si="18"/>
        <v>0</v>
      </c>
      <c r="R28" s="282">
        <f t="shared" si="18"/>
        <v>0</v>
      </c>
      <c r="S28" s="282">
        <f t="shared" si="18"/>
        <v>0</v>
      </c>
      <c r="T28" s="282">
        <f t="shared" si="18"/>
        <v>0</v>
      </c>
      <c r="U28" s="282">
        <f t="shared" si="18"/>
        <v>0</v>
      </c>
      <c r="V28" s="282">
        <f t="shared" si="18"/>
        <v>0</v>
      </c>
      <c r="W28" s="282">
        <f t="shared" si="18"/>
        <v>0</v>
      </c>
      <c r="X28" s="282">
        <f t="shared" si="18"/>
        <v>0</v>
      </c>
      <c r="Y28" s="282">
        <f t="shared" si="18"/>
        <v>0</v>
      </c>
      <c r="Z28" s="282">
        <f t="shared" si="18"/>
        <v>0</v>
      </c>
      <c r="AA28" s="282">
        <f t="shared" si="18"/>
        <v>0</v>
      </c>
      <c r="AB28" s="282">
        <f t="shared" si="18"/>
        <v>0</v>
      </c>
      <c r="AC28" s="282">
        <f t="shared" si="18"/>
        <v>0</v>
      </c>
      <c r="AD28" s="282">
        <f t="shared" si="18"/>
        <v>0</v>
      </c>
      <c r="AE28" s="282">
        <f t="shared" si="18"/>
        <v>0</v>
      </c>
      <c r="AF28" s="282">
        <f t="shared" si="18"/>
        <v>0</v>
      </c>
      <c r="AG28" s="282">
        <f t="shared" si="18"/>
        <v>0</v>
      </c>
      <c r="AH28" s="282">
        <f t="shared" si="18"/>
        <v>0</v>
      </c>
      <c r="AI28" s="282">
        <f t="shared" si="18"/>
        <v>0</v>
      </c>
      <c r="AJ28" s="282">
        <f t="shared" si="18"/>
        <v>0</v>
      </c>
      <c r="AK28" s="282">
        <f t="shared" si="18"/>
        <v>0</v>
      </c>
      <c r="AL28" s="282">
        <f t="shared" si="18"/>
        <v>0</v>
      </c>
      <c r="AM28" s="282">
        <f t="shared" si="18"/>
        <v>0</v>
      </c>
      <c r="AN28" s="282">
        <f t="shared" si="18"/>
        <v>0</v>
      </c>
      <c r="AO28" s="282">
        <f t="shared" si="18"/>
        <v>0</v>
      </c>
      <c r="AP28" s="282">
        <f t="shared" si="18"/>
        <v>0</v>
      </c>
      <c r="AQ28" s="282">
        <f t="shared" si="18"/>
        <v>0</v>
      </c>
      <c r="AR28" s="282"/>
      <c r="AS28" s="282"/>
    </row>
    <row r="29" customHeight="1" spans="1:45">
      <c r="A29" s="393" t="s">
        <v>296</v>
      </c>
      <c r="B29" s="393"/>
      <c r="C29" s="409"/>
      <c r="D29" s="409"/>
      <c r="E29" s="409"/>
      <c r="F29" s="409"/>
      <c r="G29" s="409"/>
      <c r="H29" s="409"/>
      <c r="I29" s="409"/>
      <c r="J29" s="409"/>
      <c r="K29" s="409"/>
      <c r="L29" s="409"/>
      <c r="M29" s="409"/>
      <c r="N29" s="409"/>
      <c r="O29" s="409"/>
      <c r="P29" s="409"/>
      <c r="Q29" s="409"/>
      <c r="R29" s="409"/>
      <c r="S29" s="409"/>
      <c r="T29" s="409"/>
      <c r="U29" s="409"/>
      <c r="V29" s="409"/>
      <c r="W29" s="409"/>
      <c r="X29" s="409"/>
      <c r="Y29" s="409"/>
      <c r="Z29" s="409"/>
      <c r="AA29" s="409"/>
      <c r="AB29" s="409"/>
      <c r="AC29" s="409"/>
      <c r="AD29" s="409"/>
      <c r="AE29" s="409"/>
      <c r="AF29" s="409"/>
      <c r="AG29" s="409"/>
      <c r="AH29" s="409"/>
      <c r="AI29" s="409"/>
      <c r="AJ29" s="409"/>
      <c r="AK29" s="409"/>
      <c r="AL29" s="409"/>
      <c r="AM29" s="409"/>
      <c r="AN29" s="409"/>
      <c r="AO29" s="409"/>
      <c r="AP29" s="409"/>
      <c r="AQ29" s="409"/>
      <c r="AR29" s="410"/>
      <c r="AS29" s="410"/>
    </row>
    <row r="30" s="133" customFormat="1" customHeight="1" spans="1:45">
      <c r="A30" s="396" t="str">
        <f>底稿目录!A9</f>
        <v>房屋、建筑物</v>
      </c>
      <c r="B30" s="396"/>
      <c r="C30" s="276">
        <f>SUMPRODUCT(($A$13:$A$27=$A30)*(C$13:C$27))</f>
        <v>0</v>
      </c>
      <c r="D30" s="276">
        <f>SUMPRODUCT(($A$13:$A$27=$A30)*(D$13:D$27))</f>
        <v>0</v>
      </c>
      <c r="E30" s="276"/>
      <c r="F30" s="276">
        <f>SUMPRODUCT(($A$13:$A$27=$A30)*(F$13:F$27))</f>
        <v>0</v>
      </c>
      <c r="G30" s="276"/>
      <c r="H30" s="276">
        <f t="shared" ref="H30:Q30" si="19">SUMPRODUCT(($A$13:$A$27=$A30)*(H$13:H$27))</f>
        <v>0</v>
      </c>
      <c r="I30" s="276">
        <f t="shared" si="19"/>
        <v>0</v>
      </c>
      <c r="J30" s="276">
        <f t="shared" si="19"/>
        <v>0</v>
      </c>
      <c r="K30" s="276">
        <f t="shared" si="19"/>
        <v>0</v>
      </c>
      <c r="L30" s="276">
        <f t="shared" si="19"/>
        <v>0</v>
      </c>
      <c r="M30" s="276">
        <f t="shared" si="19"/>
        <v>0</v>
      </c>
      <c r="N30" s="276">
        <f t="shared" si="19"/>
        <v>0</v>
      </c>
      <c r="O30" s="276">
        <f t="shared" si="19"/>
        <v>0</v>
      </c>
      <c r="P30" s="276">
        <f t="shared" si="19"/>
        <v>0</v>
      </c>
      <c r="Q30" s="276">
        <f t="shared" si="19"/>
        <v>0</v>
      </c>
      <c r="R30" s="276"/>
      <c r="S30" s="276">
        <f>SUMPRODUCT(($A$13:$A$27=$A30)*(S$13:S$27))</f>
        <v>0</v>
      </c>
      <c r="T30" s="276"/>
      <c r="U30" s="276">
        <f t="shared" ref="U30:AD30" si="20">SUMPRODUCT(($A$13:$A$27=$A30)*(U$13:U$27))</f>
        <v>0</v>
      </c>
      <c r="V30" s="276">
        <f t="shared" si="20"/>
        <v>0</v>
      </c>
      <c r="W30" s="276">
        <f t="shared" si="20"/>
        <v>0</v>
      </c>
      <c r="X30" s="276">
        <f t="shared" si="20"/>
        <v>0</v>
      </c>
      <c r="Y30" s="276">
        <f t="shared" si="20"/>
        <v>0</v>
      </c>
      <c r="Z30" s="276">
        <f t="shared" si="20"/>
        <v>0</v>
      </c>
      <c r="AA30" s="276">
        <f t="shared" si="20"/>
        <v>0</v>
      </c>
      <c r="AB30" s="276">
        <f t="shared" si="20"/>
        <v>0</v>
      </c>
      <c r="AC30" s="276">
        <f t="shared" si="20"/>
        <v>0</v>
      </c>
      <c r="AD30" s="276">
        <f t="shared" si="20"/>
        <v>0</v>
      </c>
      <c r="AE30" s="276"/>
      <c r="AF30" s="276">
        <f>SUMPRODUCT(($A$13:$A$27=$A30)*(AF$13:AF$27))</f>
        <v>0</v>
      </c>
      <c r="AG30" s="276"/>
      <c r="AH30" s="276">
        <f t="shared" ref="AH30:AQ30" si="21">SUMPRODUCT(($A$13:$A$27=$A30)*(AH$13:AH$27))</f>
        <v>0</v>
      </c>
      <c r="AI30" s="276">
        <f t="shared" si="21"/>
        <v>0</v>
      </c>
      <c r="AJ30" s="276">
        <f t="shared" si="21"/>
        <v>0</v>
      </c>
      <c r="AK30" s="276">
        <f t="shared" si="21"/>
        <v>0</v>
      </c>
      <c r="AL30" s="276">
        <f t="shared" si="21"/>
        <v>0</v>
      </c>
      <c r="AM30" s="276">
        <f t="shared" si="21"/>
        <v>0</v>
      </c>
      <c r="AN30" s="276">
        <f t="shared" si="21"/>
        <v>0</v>
      </c>
      <c r="AO30" s="276">
        <f t="shared" si="21"/>
        <v>0</v>
      </c>
      <c r="AP30" s="276">
        <f t="shared" si="21"/>
        <v>0</v>
      </c>
      <c r="AQ30" s="276">
        <f t="shared" si="21"/>
        <v>0</v>
      </c>
      <c r="AR30" s="276"/>
      <c r="AS30" s="276"/>
    </row>
    <row r="31" s="133" customFormat="1" customHeight="1" spans="1:45">
      <c r="A31" s="396" t="str">
        <f>底稿目录!A10</f>
        <v>土地使用权</v>
      </c>
      <c r="B31" s="396"/>
      <c r="C31" s="276">
        <f t="shared" ref="C31:D33" si="22">SUMPRODUCT(($A$13:$A$27=$A31)*(C$13:C$27))</f>
        <v>0</v>
      </c>
      <c r="D31" s="276">
        <f t="shared" si="22"/>
        <v>0</v>
      </c>
      <c r="E31" s="276"/>
      <c r="F31" s="276">
        <f>SUMPRODUCT(($A$13:$A$27=$A31)*(F$13:F$27))</f>
        <v>0</v>
      </c>
      <c r="G31" s="276"/>
      <c r="H31" s="276">
        <f t="shared" ref="H31:Q33" si="23">SUMPRODUCT(($A$13:$A$27=$A31)*(H$13:H$27))</f>
        <v>0</v>
      </c>
      <c r="I31" s="276">
        <f t="shared" si="23"/>
        <v>0</v>
      </c>
      <c r="J31" s="276">
        <f t="shared" si="23"/>
        <v>0</v>
      </c>
      <c r="K31" s="276">
        <f t="shared" si="23"/>
        <v>0</v>
      </c>
      <c r="L31" s="276">
        <f t="shared" si="23"/>
        <v>0</v>
      </c>
      <c r="M31" s="276">
        <f t="shared" si="23"/>
        <v>0</v>
      </c>
      <c r="N31" s="276">
        <f t="shared" si="23"/>
        <v>0</v>
      </c>
      <c r="O31" s="276">
        <f t="shared" si="23"/>
        <v>0</v>
      </c>
      <c r="P31" s="276">
        <f t="shared" si="23"/>
        <v>0</v>
      </c>
      <c r="Q31" s="276">
        <f t="shared" si="23"/>
        <v>0</v>
      </c>
      <c r="R31" s="276"/>
      <c r="S31" s="276">
        <f>SUMPRODUCT(($A$13:$A$27=$A31)*(S$13:S$27))</f>
        <v>0</v>
      </c>
      <c r="T31" s="276"/>
      <c r="U31" s="276">
        <f t="shared" ref="U31:AC33" si="24">SUMPRODUCT(($A$13:$A$27=$A31)*(U$13:U$27))</f>
        <v>0</v>
      </c>
      <c r="V31" s="276">
        <f t="shared" si="24"/>
        <v>0</v>
      </c>
      <c r="W31" s="276">
        <f t="shared" si="24"/>
        <v>0</v>
      </c>
      <c r="X31" s="276">
        <f t="shared" si="24"/>
        <v>0</v>
      </c>
      <c r="Y31" s="276">
        <f t="shared" si="24"/>
        <v>0</v>
      </c>
      <c r="Z31" s="276">
        <f t="shared" si="24"/>
        <v>0</v>
      </c>
      <c r="AA31" s="276">
        <f t="shared" si="24"/>
        <v>0</v>
      </c>
      <c r="AB31" s="276">
        <f t="shared" si="24"/>
        <v>0</v>
      </c>
      <c r="AC31" s="276">
        <f t="shared" si="24"/>
        <v>0</v>
      </c>
      <c r="AD31" s="276">
        <f>SUMPRODUCT(($A$13:$A$27=$A31)*(AD$13:AD$27))</f>
        <v>0</v>
      </c>
      <c r="AE31" s="276"/>
      <c r="AF31" s="276">
        <f>SUMPRODUCT(($A$13:$A$27=$A31)*(AF$13:AF$27))</f>
        <v>0</v>
      </c>
      <c r="AG31" s="276"/>
      <c r="AH31" s="276">
        <f>SUMPRODUCT(($A$13:$A$27=$A31)*(AH$13:AH$27))</f>
        <v>0</v>
      </c>
      <c r="AI31" s="276">
        <f t="shared" ref="AI31:AK33" si="25">SUMPRODUCT(($A$13:$A$27=$A31)*(AI$13:AI$27))</f>
        <v>0</v>
      </c>
      <c r="AJ31" s="276">
        <f t="shared" si="25"/>
        <v>0</v>
      </c>
      <c r="AK31" s="276">
        <f t="shared" si="25"/>
        <v>0</v>
      </c>
      <c r="AL31" s="276">
        <f>SUMPRODUCT(($A$13:$A$27=$A31)*(AL$13:AL$27))</f>
        <v>0</v>
      </c>
      <c r="AM31" s="276">
        <f t="shared" ref="AM31:AQ33" si="26">SUMPRODUCT(($A$13:$A$27=$A31)*(AM$13:AM$27))</f>
        <v>0</v>
      </c>
      <c r="AN31" s="276">
        <f t="shared" si="26"/>
        <v>0</v>
      </c>
      <c r="AO31" s="276">
        <f t="shared" si="26"/>
        <v>0</v>
      </c>
      <c r="AP31" s="276">
        <f t="shared" si="26"/>
        <v>0</v>
      </c>
      <c r="AQ31" s="276">
        <f t="shared" si="26"/>
        <v>0</v>
      </c>
      <c r="AR31" s="276"/>
      <c r="AS31" s="276"/>
    </row>
    <row r="32" s="133" customFormat="1" customHeight="1" spans="1:45">
      <c r="A32" s="396" t="str">
        <f>底稿目录!A11</f>
        <v>在建工程</v>
      </c>
      <c r="B32" s="396"/>
      <c r="C32" s="276">
        <f t="shared" si="22"/>
        <v>0</v>
      </c>
      <c r="D32" s="276">
        <f t="shared" si="22"/>
        <v>0</v>
      </c>
      <c r="E32" s="276"/>
      <c r="F32" s="276">
        <f>SUMPRODUCT(($A$13:$A$27=$A32)*(F$13:F$27))</f>
        <v>0</v>
      </c>
      <c r="G32" s="276"/>
      <c r="H32" s="276">
        <f t="shared" si="23"/>
        <v>0</v>
      </c>
      <c r="I32" s="276">
        <f t="shared" si="23"/>
        <v>0</v>
      </c>
      <c r="J32" s="276">
        <f t="shared" si="23"/>
        <v>0</v>
      </c>
      <c r="K32" s="276">
        <f t="shared" si="23"/>
        <v>0</v>
      </c>
      <c r="L32" s="276">
        <f t="shared" si="23"/>
        <v>0</v>
      </c>
      <c r="M32" s="276">
        <f t="shared" si="23"/>
        <v>0</v>
      </c>
      <c r="N32" s="276">
        <f t="shared" si="23"/>
        <v>0</v>
      </c>
      <c r="O32" s="276">
        <f t="shared" si="23"/>
        <v>0</v>
      </c>
      <c r="P32" s="276">
        <f t="shared" si="23"/>
        <v>0</v>
      </c>
      <c r="Q32" s="276">
        <f t="shared" si="23"/>
        <v>0</v>
      </c>
      <c r="R32" s="276"/>
      <c r="S32" s="276">
        <f>SUMPRODUCT(($A$13:$A$27=$A32)*(S$13:S$27))</f>
        <v>0</v>
      </c>
      <c r="T32" s="276"/>
      <c r="U32" s="276">
        <f t="shared" si="24"/>
        <v>0</v>
      </c>
      <c r="V32" s="276">
        <f t="shared" si="24"/>
        <v>0</v>
      </c>
      <c r="W32" s="276">
        <f t="shared" si="24"/>
        <v>0</v>
      </c>
      <c r="X32" s="276">
        <f t="shared" si="24"/>
        <v>0</v>
      </c>
      <c r="Y32" s="276">
        <f t="shared" si="24"/>
        <v>0</v>
      </c>
      <c r="Z32" s="276">
        <f t="shared" si="24"/>
        <v>0</v>
      </c>
      <c r="AA32" s="276">
        <f t="shared" si="24"/>
        <v>0</v>
      </c>
      <c r="AB32" s="276">
        <f t="shared" si="24"/>
        <v>0</v>
      </c>
      <c r="AC32" s="276">
        <f t="shared" si="24"/>
        <v>0</v>
      </c>
      <c r="AD32" s="276">
        <f>SUMPRODUCT(($A$13:$A$27=$A32)*(AD$13:AD$27))</f>
        <v>0</v>
      </c>
      <c r="AE32" s="276"/>
      <c r="AF32" s="276">
        <f>SUMPRODUCT(($A$13:$A$27=$A32)*(AF$13:AF$27))</f>
        <v>0</v>
      </c>
      <c r="AG32" s="276"/>
      <c r="AH32" s="276">
        <f>SUMPRODUCT(($A$13:$A$27=$A32)*(AH$13:AH$27))</f>
        <v>0</v>
      </c>
      <c r="AI32" s="276">
        <f t="shared" si="25"/>
        <v>0</v>
      </c>
      <c r="AJ32" s="276">
        <f t="shared" si="25"/>
        <v>0</v>
      </c>
      <c r="AK32" s="276">
        <f t="shared" si="25"/>
        <v>0</v>
      </c>
      <c r="AL32" s="276">
        <f>SUMPRODUCT(($A$13:$A$27=$A32)*(AL$13:AL$27))</f>
        <v>0</v>
      </c>
      <c r="AM32" s="276">
        <f t="shared" si="26"/>
        <v>0</v>
      </c>
      <c r="AN32" s="276">
        <f t="shared" si="26"/>
        <v>0</v>
      </c>
      <c r="AO32" s="276">
        <f t="shared" si="26"/>
        <v>0</v>
      </c>
      <c r="AP32" s="276">
        <f t="shared" si="26"/>
        <v>0</v>
      </c>
      <c r="AQ32" s="276">
        <f t="shared" si="26"/>
        <v>0</v>
      </c>
      <c r="AR32" s="276"/>
      <c r="AS32" s="276"/>
    </row>
    <row r="33" s="133" customFormat="1" customHeight="1" spans="1:45">
      <c r="A33" s="396" t="str">
        <f>底稿目录!A12</f>
        <v>……</v>
      </c>
      <c r="B33" s="396"/>
      <c r="C33" s="276">
        <f>SUMPRODUCT(($A$13:$A$27=$A33)*(C$13:C$27))</f>
        <v>0</v>
      </c>
      <c r="D33" s="276">
        <f t="shared" si="22"/>
        <v>0</v>
      </c>
      <c r="E33" s="276"/>
      <c r="F33" s="276">
        <f>SUMPRODUCT(($A$13:$A$27=$A33)*(F$13:F$27))</f>
        <v>0</v>
      </c>
      <c r="G33" s="276"/>
      <c r="H33" s="276">
        <f t="shared" si="23"/>
        <v>0</v>
      </c>
      <c r="I33" s="276">
        <f t="shared" si="23"/>
        <v>0</v>
      </c>
      <c r="J33" s="276">
        <f t="shared" si="23"/>
        <v>0</v>
      </c>
      <c r="K33" s="276">
        <f t="shared" si="23"/>
        <v>0</v>
      </c>
      <c r="L33" s="276">
        <f t="shared" si="23"/>
        <v>0</v>
      </c>
      <c r="M33" s="276">
        <f t="shared" si="23"/>
        <v>0</v>
      </c>
      <c r="N33" s="276">
        <f t="shared" si="23"/>
        <v>0</v>
      </c>
      <c r="O33" s="276">
        <f t="shared" si="23"/>
        <v>0</v>
      </c>
      <c r="P33" s="276">
        <f t="shared" si="23"/>
        <v>0</v>
      </c>
      <c r="Q33" s="276">
        <f t="shared" si="23"/>
        <v>0</v>
      </c>
      <c r="R33" s="276"/>
      <c r="S33" s="276">
        <f>SUMPRODUCT(($A$13:$A$27=$A33)*(S$13:S$27))</f>
        <v>0</v>
      </c>
      <c r="T33" s="276"/>
      <c r="U33" s="276">
        <f t="shared" si="24"/>
        <v>0</v>
      </c>
      <c r="V33" s="276">
        <f t="shared" si="24"/>
        <v>0</v>
      </c>
      <c r="W33" s="276">
        <f t="shared" si="24"/>
        <v>0</v>
      </c>
      <c r="X33" s="276">
        <f t="shared" si="24"/>
        <v>0</v>
      </c>
      <c r="Y33" s="276">
        <f t="shared" si="24"/>
        <v>0</v>
      </c>
      <c r="Z33" s="276">
        <f t="shared" si="24"/>
        <v>0</v>
      </c>
      <c r="AA33" s="276">
        <f t="shared" si="24"/>
        <v>0</v>
      </c>
      <c r="AB33" s="276">
        <f t="shared" si="24"/>
        <v>0</v>
      </c>
      <c r="AC33" s="276">
        <f t="shared" si="24"/>
        <v>0</v>
      </c>
      <c r="AD33" s="276">
        <f>SUMPRODUCT(($A$13:$A$27=$A33)*(AD$13:AD$27))</f>
        <v>0</v>
      </c>
      <c r="AE33" s="276"/>
      <c r="AF33" s="276">
        <f>SUMPRODUCT(($A$13:$A$27=$A33)*(AF$13:AF$27))</f>
        <v>0</v>
      </c>
      <c r="AG33" s="276"/>
      <c r="AH33" s="276">
        <f>SUMPRODUCT(($A$13:$A$27=$A33)*(AH$13:AH$27))</f>
        <v>0</v>
      </c>
      <c r="AI33" s="276">
        <f t="shared" si="25"/>
        <v>0</v>
      </c>
      <c r="AJ33" s="276">
        <f t="shared" si="25"/>
        <v>0</v>
      </c>
      <c r="AK33" s="276">
        <f t="shared" si="25"/>
        <v>0</v>
      </c>
      <c r="AL33" s="276">
        <f>SUMPRODUCT(($A$13:$A$27=$A33)*(AL$13:AL$27))</f>
        <v>0</v>
      </c>
      <c r="AM33" s="276">
        <f t="shared" si="26"/>
        <v>0</v>
      </c>
      <c r="AN33" s="276">
        <f>SUMPRODUCT(($A$13:$A$27=$A33)*(AN$13:AN$27))</f>
        <v>0</v>
      </c>
      <c r="AO33" s="276">
        <f t="shared" si="26"/>
        <v>0</v>
      </c>
      <c r="AP33" s="276">
        <f t="shared" si="26"/>
        <v>0</v>
      </c>
      <c r="AQ33" s="276">
        <f t="shared" si="26"/>
        <v>0</v>
      </c>
      <c r="AR33" s="276"/>
      <c r="AS33" s="276"/>
    </row>
    <row r="34" customHeight="1" spans="1:45">
      <c r="A34" s="191" t="s">
        <v>297</v>
      </c>
      <c r="B34" s="191"/>
      <c r="C34" s="192"/>
      <c r="D34" s="192"/>
      <c r="E34" s="192"/>
      <c r="F34" s="192"/>
      <c r="G34" s="192"/>
      <c r="H34" s="192"/>
      <c r="I34" s="192"/>
      <c r="J34" s="192"/>
      <c r="K34" s="192"/>
      <c r="L34" s="192"/>
      <c r="M34" s="192"/>
      <c r="N34" s="192"/>
      <c r="O34" s="192"/>
      <c r="P34" s="192"/>
      <c r="Q34" s="192"/>
      <c r="R34" s="192"/>
      <c r="S34" s="192"/>
      <c r="T34" s="192"/>
      <c r="U34" s="192"/>
      <c r="V34" s="192"/>
      <c r="W34" s="192"/>
      <c r="X34" s="192"/>
      <c r="Y34" s="192"/>
      <c r="Z34" s="192"/>
      <c r="AA34" s="192"/>
      <c r="AB34" s="192"/>
      <c r="AC34" s="192"/>
      <c r="AD34" s="192"/>
      <c r="AE34" s="192"/>
      <c r="AF34" s="192"/>
      <c r="AG34" s="192"/>
      <c r="AH34" s="192"/>
      <c r="AI34" s="192"/>
      <c r="AJ34" s="192"/>
      <c r="AK34" s="192"/>
      <c r="AL34" s="192"/>
      <c r="AM34" s="192"/>
      <c r="AN34" s="192"/>
      <c r="AO34" s="192"/>
      <c r="AP34" s="192"/>
      <c r="AQ34" s="192"/>
      <c r="AR34" s="192"/>
      <c r="AS34" s="192"/>
    </row>
    <row r="36" customHeight="1" spans="1:45">
      <c r="A36" s="5" t="s">
        <v>298</v>
      </c>
      <c r="B36" s="5"/>
    </row>
    <row r="40" customHeight="1" spans="1:45">
      <c r="A40" s="193" t="s">
        <v>299</v>
      </c>
      <c r="B40" s="42"/>
    </row>
    <row r="41" customHeight="1" spans="1:45">
      <c r="A41" s="43" t="s">
        <v>300</v>
      </c>
      <c r="B41" s="43"/>
    </row>
    <row r="42" customHeight="1" spans="1:45">
      <c r="A42" s="43" t="s">
        <v>301</v>
      </c>
      <c r="B42" s="43"/>
    </row>
    <row r="43" customHeight="1" spans="1:45">
      <c r="A43" s="43" t="s">
        <v>302</v>
      </c>
      <c r="B43" s="43"/>
    </row>
    <row r="44" customHeight="1" spans="1:45">
      <c r="A44" s="43" t="s">
        <v>303</v>
      </c>
      <c r="B44" s="43"/>
    </row>
    <row r="45" customHeight="1" spans="1:45">
      <c r="A45" s="43" t="s">
        <v>304</v>
      </c>
      <c r="B45" s="43"/>
    </row>
    <row r="46" customHeight="1" spans="1:45">
      <c r="A46" s="43" t="s">
        <v>305</v>
      </c>
      <c r="B46" s="43"/>
    </row>
    <row r="47" customHeight="1" spans="1:45">
      <c r="A47" s="411"/>
    </row>
    <row r="48" customHeight="1" spans="1:45">
      <c r="A48" s="411"/>
    </row>
  </sheetData>
  <mergeCells count="68">
    <mergeCell ref="A1:O1"/>
    <mergeCell ref="P1:AB1"/>
    <mergeCell ref="AC1:AS1"/>
    <mergeCell ref="A2:O2"/>
    <mergeCell ref="P2:AB2"/>
    <mergeCell ref="AC2:AS2"/>
    <mergeCell ref="C9:O9"/>
    <mergeCell ref="P9:AB9"/>
    <mergeCell ref="AC9:AO9"/>
    <mergeCell ref="C10:H10"/>
    <mergeCell ref="J10:K10"/>
    <mergeCell ref="L10:O10"/>
    <mergeCell ref="P10:U10"/>
    <mergeCell ref="W10:X10"/>
    <mergeCell ref="Y10:AB10"/>
    <mergeCell ref="AC10:AH10"/>
    <mergeCell ref="AJ10:AK10"/>
    <mergeCell ref="AL10:AO10"/>
    <mergeCell ref="A28:B28"/>
    <mergeCell ref="A30:B30"/>
    <mergeCell ref="A31:B31"/>
    <mergeCell ref="A32:B32"/>
    <mergeCell ref="A33:B33"/>
    <mergeCell ref="A9:A12"/>
    <mergeCell ref="B9:B12"/>
    <mergeCell ref="C11:C12"/>
    <mergeCell ref="D11:D12"/>
    <mergeCell ref="E11:E12"/>
    <mergeCell ref="F11:F12"/>
    <mergeCell ref="G11:G12"/>
    <mergeCell ref="H11:H12"/>
    <mergeCell ref="I10:I12"/>
    <mergeCell ref="J11:J12"/>
    <mergeCell ref="K11:K12"/>
    <mergeCell ref="L11:L12"/>
    <mergeCell ref="M11:M12"/>
    <mergeCell ref="N11:N12"/>
    <mergeCell ref="O11:O12"/>
    <mergeCell ref="P11:P12"/>
    <mergeCell ref="Q11:Q12"/>
    <mergeCell ref="R11:R12"/>
    <mergeCell ref="S11:S12"/>
    <mergeCell ref="T11:T12"/>
    <mergeCell ref="U11:U12"/>
    <mergeCell ref="V10:V12"/>
    <mergeCell ref="W11:W12"/>
    <mergeCell ref="X11:X12"/>
    <mergeCell ref="Y11:Y12"/>
    <mergeCell ref="Z11:Z12"/>
    <mergeCell ref="AA11:AA12"/>
    <mergeCell ref="AB11:AB12"/>
    <mergeCell ref="AC11:AC12"/>
    <mergeCell ref="AD11:AD12"/>
    <mergeCell ref="AE11:AE12"/>
    <mergeCell ref="AF11:AF12"/>
    <mergeCell ref="AG11:AG12"/>
    <mergeCell ref="AH11:AH12"/>
    <mergeCell ref="AI10:AI12"/>
    <mergeCell ref="AJ11:AJ12"/>
    <mergeCell ref="AK11:AK12"/>
    <mergeCell ref="AL11:AL12"/>
    <mergeCell ref="AM11:AM12"/>
    <mergeCell ref="AN11:AN12"/>
    <mergeCell ref="AO11:AO12"/>
    <mergeCell ref="AP9:AP12"/>
    <mergeCell ref="AQ9:AQ12"/>
    <mergeCell ref="AR9:AR12"/>
    <mergeCell ref="AS9:AS12"/>
  </mergeCells>
  <dataValidations count="6">
    <dataValidation type="list" allowBlank="1" showInputMessage="1" showErrorMessage="1" sqref="A13:A27">
      <formula1>底稿目录!$A$9:$A$12</formula1>
    </dataValidation>
    <dataValidation type="list" allowBlank="1" showInputMessage="1" showErrorMessage="1" prompt="如要修改下列框的选项，单击“数据-数据有效性-设置-序列-来源”。" sqref="E13:E27">
      <formula1>"外购,存货/固定资产/在建工程转入,企业合并增加,其他增加"</formula1>
    </dataValidation>
    <dataValidation type="list" allowBlank="1" showInputMessage="1" showErrorMessage="1" prompt="如要修改下列框的选项，单击“数据-数据有效性-设置-序列-来源”。" sqref="G13:G27 T13:T27 AG13:AG27">
      <formula1>"处置,转入固定资产/存货/无形资产等,其他减少"</formula1>
    </dataValidation>
    <dataValidation type="list" allowBlank="1" showInputMessage="1" showErrorMessage="1" prompt="如要修改下列框的选项，单击“数据-数据有效性-设置-序列-来源”。" sqref="R13:R27">
      <formula1>"计提或摊销,存货/固定资产/在建工程转入,企业合并增加,其他增加"</formula1>
    </dataValidation>
    <dataValidation type="list" allowBlank="1" showInputMessage="1" showErrorMessage="1" prompt="如要修改下列框的选项，单击“数据-数据有效性-设置-序列-来源”。" sqref="AE13:AE27">
      <formula1>"计提,存货/固定资产/在建工程转入,企业合并增加,其他增加"</formula1>
    </dataValidation>
    <dataValidation type="list" allowBlank="1" showInputMessage="1" showErrorMessage="1" sqref="AR13:AS27">
      <formula1>"√,×"</formula1>
    </dataValidation>
  </dataValidations>
  <hyperlinks>
    <hyperlink ref="O3" location="底稿目录!A1" display="H3-2"/>
    <hyperlink ref="AB3" location="底稿目录!A1" display="H3-2"/>
    <hyperlink ref="AS3" location="底稿目录!A1" display="H3-2"/>
  </hyperlinks>
  <printOptions horizontalCentered="1"/>
  <pageMargins left="0.708661417322835" right="0.708661417322835" top="0.748031496062992" bottom="0.748031496062992" header="0.31496062992126" footer="0.31496062992126"/>
  <pageSetup paperSize="9" scale="70" fitToWidth="3" orientation="landscape" blackAndWhite="1"/>
  <headerFooter>
    <oddFooter>&amp;C&amp;P/&amp;N</oddFooter>
  </headerFooter>
  <colBreaks count="2" manualBreakCount="2">
    <brk id="15" max="37" man="1"/>
    <brk id="28" max="37" man="1"/>
  </colBreak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AE53"/>
  <sheetViews>
    <sheetView view="pageBreakPreview" zoomScale="85" zoomScaleNormal="90" workbookViewId="0">
      <selection activeCell="A32" sqref="A32:B32"/>
    </sheetView>
  </sheetViews>
  <sheetFormatPr defaultColWidth="9" defaultRowHeight="19.95" customHeight="1"/>
  <cols>
    <col min="1" max="1" width="18" style="6" customWidth="1"/>
    <col min="2" max="2" width="11.6" style="6" customWidth="1"/>
    <col min="3" max="4" width="8.1" style="6" customWidth="1"/>
    <col min="5" max="5" width="8.6" style="6" customWidth="1"/>
    <col min="6" max="6" width="9.1" style="6" customWidth="1"/>
    <col min="7" max="7" width="10.5" style="6" customWidth="1"/>
    <col min="8" max="11" width="9.1" style="6" customWidth="1"/>
    <col min="12" max="15" width="10.1" style="6" customWidth="1"/>
    <col min="16" max="18" width="9" style="6"/>
    <col min="19" max="20" width="9.1" style="6" customWidth="1"/>
    <col min="21" max="16384" width="9" style="6"/>
  </cols>
  <sheetData>
    <row r="1" s="1" customFormat="1" customHeight="1" spans="1:31">
      <c r="A1" s="7" t="s">
        <v>59</v>
      </c>
      <c r="B1" s="7"/>
      <c r="C1" s="7"/>
      <c r="D1" s="7"/>
      <c r="E1" s="7"/>
      <c r="F1" s="7"/>
      <c r="G1" s="7"/>
      <c r="H1" s="7"/>
      <c r="I1" s="7"/>
      <c r="J1" s="7"/>
      <c r="K1" s="7"/>
      <c r="L1" s="7"/>
      <c r="M1" s="7"/>
      <c r="N1" s="7"/>
      <c r="O1" s="7"/>
      <c r="P1" s="8" t="s">
        <v>59</v>
      </c>
      <c r="Q1" s="8"/>
      <c r="R1" s="8"/>
      <c r="S1" s="8"/>
      <c r="T1" s="8"/>
      <c r="U1" s="8"/>
      <c r="V1" s="8"/>
      <c r="W1" s="8"/>
      <c r="X1" s="8"/>
      <c r="Y1" s="8"/>
      <c r="Z1" s="8"/>
      <c r="AA1" s="8"/>
    </row>
    <row r="2" s="2" customFormat="1" customHeight="1" spans="1:31">
      <c r="A2" s="9" t="s">
        <v>306</v>
      </c>
      <c r="B2" s="9"/>
      <c r="C2" s="9"/>
      <c r="D2" s="9"/>
      <c r="E2" s="9"/>
      <c r="F2" s="9"/>
      <c r="G2" s="9"/>
      <c r="H2" s="9"/>
      <c r="I2" s="9"/>
      <c r="J2" s="9"/>
      <c r="K2" s="9"/>
      <c r="L2" s="9"/>
      <c r="M2" s="9"/>
      <c r="N2" s="9"/>
      <c r="O2" s="9"/>
      <c r="P2" s="10" t="s">
        <v>306</v>
      </c>
      <c r="Q2" s="10"/>
      <c r="R2" s="10"/>
      <c r="S2" s="10"/>
      <c r="T2" s="10"/>
      <c r="U2" s="10"/>
      <c r="V2" s="10"/>
      <c r="W2" s="10"/>
      <c r="X2" s="10"/>
      <c r="Y2" s="10"/>
      <c r="Z2" s="10"/>
      <c r="AA2" s="10"/>
    </row>
    <row r="3" customHeight="1" spans="1:31">
      <c r="A3" s="6" t="str">
        <f>底稿目录!A2</f>
        <v>被审计单位：</v>
      </c>
      <c r="H3" s="6" t="str">
        <f>底稿目录!A4</f>
        <v>编制人：</v>
      </c>
      <c r="K3" s="6" t="str">
        <f>底稿目录!A6</f>
        <v>编制日期：</v>
      </c>
      <c r="N3" s="12" t="s">
        <v>61</v>
      </c>
      <c r="O3" s="13" t="s">
        <v>24</v>
      </c>
      <c r="T3" s="6" t="str">
        <f>底稿目录!A4</f>
        <v>编制人：</v>
      </c>
      <c r="W3" s="6" t="str">
        <f>底稿目录!A6</f>
        <v>编制日期：</v>
      </c>
      <c r="X3" s="11"/>
      <c r="Z3" s="12" t="s">
        <v>61</v>
      </c>
      <c r="AA3" s="13" t="s">
        <v>24</v>
      </c>
    </row>
    <row r="4" customHeight="1" spans="1:31">
      <c r="A4" s="6" t="str">
        <f>底稿目录!A3</f>
        <v>截止日：202X年12月31日</v>
      </c>
      <c r="H4" s="6" t="str">
        <f>底稿目录!A5</f>
        <v>复核人：</v>
      </c>
      <c r="K4" s="6" t="str">
        <f>底稿目录!A7</f>
        <v>复核日期：</v>
      </c>
      <c r="N4" s="12" t="s">
        <v>62</v>
      </c>
      <c r="O4" s="14"/>
      <c r="T4" s="6" t="str">
        <f>底稿目录!A5</f>
        <v>复核人：</v>
      </c>
      <c r="W4" s="6" t="str">
        <f>底稿目录!A7</f>
        <v>复核日期：</v>
      </c>
      <c r="X4" s="11"/>
      <c r="Z4" s="12" t="s">
        <v>62</v>
      </c>
      <c r="AA4" s="14"/>
    </row>
    <row r="5" customHeight="1" spans="1:31">
      <c r="A5" s="74" t="s">
        <v>307</v>
      </c>
      <c r="B5" s="74"/>
      <c r="E5" s="96"/>
      <c r="Y5" s="99"/>
      <c r="Z5" s="99"/>
      <c r="AA5" s="99"/>
      <c r="AB5" s="99"/>
      <c r="AC5" s="99"/>
      <c r="AD5" s="99"/>
      <c r="AE5" s="99"/>
    </row>
    <row r="6" s="3" customFormat="1" customHeight="1" spans="1:31">
      <c r="A6" s="368" t="s">
        <v>272</v>
      </c>
      <c r="B6" s="21"/>
      <c r="E6" s="17"/>
      <c r="Y6" s="19"/>
      <c r="Z6" s="19"/>
      <c r="AA6" s="19"/>
      <c r="AB6" s="19"/>
      <c r="AC6" s="19"/>
      <c r="AD6" s="19"/>
      <c r="AE6" s="19"/>
    </row>
    <row r="7" s="3" customFormat="1" customHeight="1" spans="1:31">
      <c r="A7" s="368" t="s">
        <v>273</v>
      </c>
      <c r="B7" s="21"/>
      <c r="E7" s="17"/>
      <c r="Y7" s="19"/>
      <c r="Z7" s="19"/>
      <c r="AA7" s="19"/>
      <c r="AB7" s="19"/>
      <c r="AC7" s="19"/>
      <c r="AD7" s="19"/>
      <c r="AE7" s="19"/>
    </row>
    <row r="8" customHeight="1" spans="1:31">
      <c r="A8" s="95" t="s">
        <v>274</v>
      </c>
      <c r="B8" s="93"/>
      <c r="E8" s="96"/>
      <c r="Y8" s="99"/>
      <c r="Z8" s="99"/>
      <c r="AA8" s="99"/>
      <c r="AB8" s="99"/>
      <c r="AC8" s="99"/>
      <c r="AD8" s="99"/>
      <c r="AE8" s="99"/>
    </row>
    <row r="9" s="367" customFormat="1" customHeight="1" spans="1:31">
      <c r="A9" s="369" t="s">
        <v>308</v>
      </c>
      <c r="B9" s="370" t="s">
        <v>309</v>
      </c>
      <c r="C9" s="371" t="s">
        <v>310</v>
      </c>
      <c r="D9" s="372"/>
      <c r="E9" s="372"/>
      <c r="F9" s="372"/>
      <c r="G9" s="372"/>
      <c r="H9" s="372"/>
      <c r="I9" s="372"/>
      <c r="J9" s="372"/>
      <c r="K9" s="372"/>
      <c r="L9" s="372"/>
      <c r="M9" s="372"/>
      <c r="N9" s="372"/>
      <c r="O9" s="373"/>
      <c r="P9" s="371" t="s">
        <v>311</v>
      </c>
      <c r="Q9" s="372"/>
      <c r="R9" s="372"/>
      <c r="S9" s="372"/>
      <c r="T9" s="372"/>
      <c r="U9" s="372"/>
      <c r="V9" s="372"/>
      <c r="W9" s="373"/>
      <c r="X9" s="369" t="s">
        <v>312</v>
      </c>
      <c r="Y9" s="369" t="s">
        <v>313</v>
      </c>
      <c r="Z9" s="369" t="s">
        <v>314</v>
      </c>
      <c r="AA9" s="369" t="s">
        <v>315</v>
      </c>
    </row>
    <row r="10" s="367" customFormat="1" customHeight="1" spans="1:31">
      <c r="A10" s="369"/>
      <c r="B10" s="374"/>
      <c r="C10" s="369" t="s">
        <v>316</v>
      </c>
      <c r="D10" s="369"/>
      <c r="E10" s="369"/>
      <c r="F10" s="369"/>
      <c r="G10" s="369"/>
      <c r="H10" s="369"/>
      <c r="I10" s="375" t="s">
        <v>317</v>
      </c>
      <c r="J10" s="376" t="s">
        <v>318</v>
      </c>
      <c r="K10" s="376"/>
      <c r="L10" s="369" t="s">
        <v>319</v>
      </c>
      <c r="M10" s="369"/>
      <c r="N10" s="369"/>
      <c r="O10" s="369"/>
      <c r="P10" s="371" t="s">
        <v>316</v>
      </c>
      <c r="Q10" s="372"/>
      <c r="R10" s="373"/>
      <c r="S10" s="375" t="s">
        <v>317</v>
      </c>
      <c r="T10" s="370" t="s">
        <v>320</v>
      </c>
      <c r="U10" s="371" t="s">
        <v>319</v>
      </c>
      <c r="V10" s="372"/>
      <c r="W10" s="373"/>
      <c r="X10" s="369"/>
      <c r="Y10" s="369"/>
      <c r="Z10" s="369"/>
      <c r="AA10" s="369"/>
    </row>
    <row r="11" s="367" customFormat="1" customHeight="1" spans="1:31">
      <c r="A11" s="369"/>
      <c r="B11" s="377"/>
      <c r="C11" s="369" t="s">
        <v>237</v>
      </c>
      <c r="D11" s="369" t="s">
        <v>321</v>
      </c>
      <c r="E11" s="369" t="s">
        <v>322</v>
      </c>
      <c r="F11" s="369" t="s">
        <v>323</v>
      </c>
      <c r="G11" s="369" t="s">
        <v>324</v>
      </c>
      <c r="H11" s="369" t="s">
        <v>240</v>
      </c>
      <c r="I11" s="378"/>
      <c r="J11" s="379" t="s">
        <v>238</v>
      </c>
      <c r="K11" s="379" t="s">
        <v>239</v>
      </c>
      <c r="L11" s="369" t="s">
        <v>237</v>
      </c>
      <c r="M11" s="369" t="s">
        <v>321</v>
      </c>
      <c r="N11" s="369" t="s">
        <v>323</v>
      </c>
      <c r="O11" s="369" t="s">
        <v>240</v>
      </c>
      <c r="P11" s="369" t="s">
        <v>237</v>
      </c>
      <c r="Q11" s="369" t="s">
        <v>325</v>
      </c>
      <c r="R11" s="369" t="s">
        <v>240</v>
      </c>
      <c r="S11" s="378"/>
      <c r="T11" s="377"/>
      <c r="U11" s="369" t="s">
        <v>237</v>
      </c>
      <c r="V11" s="369" t="s">
        <v>325</v>
      </c>
      <c r="W11" s="369" t="s">
        <v>240</v>
      </c>
      <c r="X11" s="369"/>
      <c r="Y11" s="369"/>
      <c r="Z11" s="369"/>
      <c r="AA11" s="369"/>
    </row>
    <row r="12" customHeight="1" spans="1:31">
      <c r="A12" s="380"/>
      <c r="B12" s="381"/>
      <c r="C12" s="382"/>
      <c r="D12" s="382"/>
      <c r="E12" s="383"/>
      <c r="F12" s="273"/>
      <c r="G12" s="383"/>
      <c r="H12" s="384">
        <f>C12+D12-F12</f>
        <v>0</v>
      </c>
      <c r="I12" s="385"/>
      <c r="J12" s="385"/>
      <c r="K12" s="385"/>
      <c r="L12" s="276">
        <f>C12+I12</f>
        <v>0</v>
      </c>
      <c r="M12" s="276">
        <f>D12+J12</f>
        <v>0</v>
      </c>
      <c r="N12" s="276">
        <f>F12+K12</f>
        <v>0</v>
      </c>
      <c r="O12" s="276">
        <f>L12+M12-N12</f>
        <v>0</v>
      </c>
      <c r="P12" s="386"/>
      <c r="Q12" s="382"/>
      <c r="R12" s="387">
        <f>P12+Q12</f>
        <v>0</v>
      </c>
      <c r="S12" s="385"/>
      <c r="T12" s="385"/>
      <c r="U12" s="276">
        <f>P12+S12</f>
        <v>0</v>
      </c>
      <c r="V12" s="276">
        <f>Q12+T12</f>
        <v>0</v>
      </c>
      <c r="W12" s="276">
        <f t="shared" ref="W12:W26" si="0">U12+V12</f>
        <v>0</v>
      </c>
      <c r="X12" s="276">
        <f>L12+U12</f>
        <v>0</v>
      </c>
      <c r="Y12" s="276">
        <f>O12+W12</f>
        <v>0</v>
      </c>
      <c r="Z12" s="388"/>
      <c r="AA12" s="388"/>
    </row>
    <row r="13" customHeight="1" spans="1:31">
      <c r="A13" s="381"/>
      <c r="B13" s="381"/>
      <c r="C13" s="382"/>
      <c r="D13" s="382"/>
      <c r="E13" s="383"/>
      <c r="F13" s="273"/>
      <c r="G13" s="383"/>
      <c r="H13" s="384">
        <f t="shared" ref="H13:H26" si="1">C13+D13-F13</f>
        <v>0</v>
      </c>
      <c r="I13" s="385"/>
      <c r="J13" s="385"/>
      <c r="K13" s="385"/>
      <c r="L13" s="276">
        <f t="shared" ref="L13:M16" si="2">C13+I13</f>
        <v>0</v>
      </c>
      <c r="M13" s="276">
        <f t="shared" si="2"/>
        <v>0</v>
      </c>
      <c r="N13" s="276">
        <f t="shared" ref="N13:N26" si="3">F13+K13</f>
        <v>0</v>
      </c>
      <c r="O13" s="276">
        <f t="shared" ref="O13:O26" si="4">L13+M13-N13</f>
        <v>0</v>
      </c>
      <c r="P13" s="386"/>
      <c r="Q13" s="382"/>
      <c r="R13" s="387">
        <f>P13+Q13</f>
      </c>
      <c r="S13" s="385"/>
      <c r="T13" s="385"/>
      <c r="U13" s="276">
        <f t="shared" ref="U13:V16" si="5">P13+S13</f>
        <v>0</v>
      </c>
      <c r="V13" s="276">
        <f t="shared" si="5"/>
        <v>0</v>
      </c>
      <c r="W13" s="276">
        <f t="shared" si="0"/>
        <v>0</v>
      </c>
      <c r="X13" s="276">
        <f t="shared" ref="X13:X26" si="6">L13+U13</f>
        <v>0</v>
      </c>
      <c r="Y13" s="276">
        <f t="shared" ref="Y13:Y26" si="7">O13+W13</f>
        <v>0</v>
      </c>
      <c r="Z13" s="388"/>
      <c r="AA13" s="388"/>
    </row>
    <row r="14" customHeight="1" spans="1:31">
      <c r="A14" s="381"/>
      <c r="B14" s="381"/>
      <c r="C14" s="382"/>
      <c r="D14" s="382"/>
      <c r="E14" s="383"/>
      <c r="F14" s="273"/>
      <c r="G14" s="383"/>
      <c r="H14" s="384">
        <f t="shared" si="1"/>
        <v>0</v>
      </c>
      <c r="I14" s="385"/>
      <c r="J14" s="385"/>
      <c r="K14" s="385"/>
      <c r="L14" s="276">
        <f t="shared" si="2"/>
        <v>0</v>
      </c>
      <c r="M14" s="276">
        <f t="shared" si="2"/>
        <v>0</v>
      </c>
      <c r="N14" s="276">
        <f t="shared" si="3"/>
        <v>0</v>
      </c>
      <c r="O14" s="276">
        <f t="shared" si="4"/>
        <v>0</v>
      </c>
      <c r="P14" s="386"/>
      <c r="Q14" s="382"/>
      <c r="R14" s="387">
        <f>P14+Q14</f>
      </c>
      <c r="S14" s="385"/>
      <c r="T14" s="385"/>
      <c r="U14" s="276">
        <f t="shared" si="5"/>
        <v>0</v>
      </c>
      <c r="V14" s="276">
        <f t="shared" si="5"/>
        <v>0</v>
      </c>
      <c r="W14" s="276">
        <f t="shared" si="0"/>
        <v>0</v>
      </c>
      <c r="X14" s="276">
        <f t="shared" si="6"/>
        <v>0</v>
      </c>
      <c r="Y14" s="276">
        <f t="shared" si="7"/>
        <v>0</v>
      </c>
      <c r="Z14" s="388"/>
      <c r="AA14" s="388"/>
    </row>
    <row r="15" hidden="1" customHeight="1" spans="1:31">
      <c r="A15" s="381"/>
      <c r="B15" s="381"/>
      <c r="C15" s="382"/>
      <c r="D15" s="382"/>
      <c r="E15" s="383"/>
      <c r="F15" s="273"/>
      <c r="G15" s="383"/>
      <c r="H15" s="384">
        <f t="shared" si="1"/>
        <v>0</v>
      </c>
      <c r="I15" s="385"/>
      <c r="J15" s="385"/>
      <c r="K15" s="385"/>
      <c r="L15" s="276">
        <f t="shared" si="2"/>
        <v>0</v>
      </c>
      <c r="M15" s="276">
        <f t="shared" si="2"/>
        <v>0</v>
      </c>
      <c r="N15" s="276">
        <f t="shared" si="3"/>
        <v>0</v>
      </c>
      <c r="O15" s="276">
        <f t="shared" si="4"/>
        <v>0</v>
      </c>
      <c r="P15" s="386"/>
      <c r="Q15" s="382"/>
      <c r="R15" s="387">
        <f>P15+Q15</f>
      </c>
      <c r="S15" s="385"/>
      <c r="T15" s="385"/>
      <c r="U15" s="276">
        <f t="shared" si="5"/>
        <v>0</v>
      </c>
      <c r="V15" s="276">
        <f t="shared" si="5"/>
        <v>0</v>
      </c>
      <c r="W15" s="276">
        <f t="shared" si="0"/>
        <v>0</v>
      </c>
      <c r="X15" s="276">
        <f t="shared" si="6"/>
        <v>0</v>
      </c>
      <c r="Y15" s="276">
        <f t="shared" si="7"/>
        <v>0</v>
      </c>
      <c r="Z15" s="388"/>
      <c r="AA15" s="388"/>
    </row>
    <row r="16" hidden="1" customHeight="1" spans="1:31">
      <c r="A16" s="381"/>
      <c r="B16" s="381"/>
      <c r="C16" s="382"/>
      <c r="D16" s="382"/>
      <c r="E16" s="383"/>
      <c r="F16" s="273"/>
      <c r="G16" s="383"/>
      <c r="H16" s="384">
        <f t="shared" si="1"/>
        <v>0</v>
      </c>
      <c r="I16" s="385"/>
      <c r="J16" s="385"/>
      <c r="K16" s="385"/>
      <c r="L16" s="276">
        <f t="shared" si="2"/>
        <v>0</v>
      </c>
      <c r="M16" s="276">
        <f t="shared" si="2"/>
        <v>0</v>
      </c>
      <c r="N16" s="276">
        <f t="shared" si="3"/>
        <v>0</v>
      </c>
      <c r="O16" s="276">
        <f t="shared" si="4"/>
        <v>0</v>
      </c>
      <c r="P16" s="386"/>
      <c r="Q16" s="382"/>
      <c r="R16" s="387">
        <f>P16+Q16</f>
      </c>
      <c r="S16" s="385"/>
      <c r="T16" s="385"/>
      <c r="U16" s="276">
        <f t="shared" si="5"/>
        <v>0</v>
      </c>
      <c r="V16" s="276">
        <f t="shared" si="5"/>
        <v>0</v>
      </c>
      <c r="W16" s="276">
        <f t="shared" si="0"/>
        <v>0</v>
      </c>
      <c r="X16" s="276">
        <f t="shared" si="6"/>
        <v>0</v>
      </c>
      <c r="Y16" s="276">
        <f t="shared" si="7"/>
        <v>0</v>
      </c>
      <c r="Z16" s="388"/>
      <c r="AA16" s="388"/>
    </row>
    <row r="17" hidden="1" customHeight="1" spans="1:27">
      <c r="A17" s="381"/>
      <c r="B17" s="381"/>
      <c r="C17" s="382"/>
      <c r="D17" s="382"/>
      <c r="E17" s="383"/>
      <c r="F17" s="273"/>
      <c r="G17" s="383"/>
      <c r="H17" s="384">
        <f t="shared" si="1"/>
        <v>0</v>
      </c>
      <c r="I17" s="385"/>
      <c r="J17" s="385"/>
      <c r="K17" s="385"/>
      <c r="L17" s="276">
        <f t="shared" ref="L17:M21" si="8">C17+I17</f>
        <v>0</v>
      </c>
      <c r="M17" s="276">
        <f t="shared" si="8"/>
        <v>0</v>
      </c>
      <c r="N17" s="276">
        <f t="shared" si="3"/>
        <v>0</v>
      </c>
      <c r="O17" s="276">
        <f t="shared" si="4"/>
        <v>0</v>
      </c>
      <c r="P17" s="386"/>
      <c r="Q17" s="382"/>
      <c r="R17" s="387">
        <f>P17+Q17</f>
      </c>
      <c r="S17" s="385"/>
      <c r="T17" s="385"/>
      <c r="U17" s="276">
        <f t="shared" ref="U17:V21" si="9">P17+S17</f>
        <v>0</v>
      </c>
      <c r="V17" s="276">
        <f t="shared" si="9"/>
        <v>0</v>
      </c>
      <c r="W17" s="276">
        <f t="shared" si="0"/>
        <v>0</v>
      </c>
      <c r="X17" s="276">
        <f t="shared" si="6"/>
        <v>0</v>
      </c>
      <c r="Y17" s="276">
        <f t="shared" si="7"/>
        <v>0</v>
      </c>
      <c r="Z17" s="388"/>
      <c r="AA17" s="388"/>
    </row>
    <row r="18" hidden="1" customHeight="1" spans="1:27">
      <c r="A18" s="381"/>
      <c r="B18" s="381"/>
      <c r="C18" s="382"/>
      <c r="D18" s="382"/>
      <c r="E18" s="383"/>
      <c r="F18" s="273"/>
      <c r="G18" s="383"/>
      <c r="H18" s="384">
        <f t="shared" si="1"/>
        <v>0</v>
      </c>
      <c r="I18" s="385"/>
      <c r="J18" s="385"/>
      <c r="K18" s="385"/>
      <c r="L18" s="276">
        <f t="shared" si="8"/>
        <v>0</v>
      </c>
      <c r="M18" s="276">
        <f t="shared" si="8"/>
        <v>0</v>
      </c>
      <c r="N18" s="276">
        <f t="shared" si="3"/>
        <v>0</v>
      </c>
      <c r="O18" s="276">
        <f t="shared" si="4"/>
        <v>0</v>
      </c>
      <c r="P18" s="386"/>
      <c r="Q18" s="382"/>
      <c r="R18" s="387">
        <f>P18+Q18</f>
      </c>
      <c r="S18" s="385"/>
      <c r="T18" s="385"/>
      <c r="U18" s="276">
        <f t="shared" si="9"/>
        <v>0</v>
      </c>
      <c r="V18" s="276">
        <f t="shared" si="9"/>
        <v>0</v>
      </c>
      <c r="W18" s="276">
        <f t="shared" si="0"/>
        <v>0</v>
      </c>
      <c r="X18" s="276">
        <f t="shared" si="6"/>
        <v>0</v>
      </c>
      <c r="Y18" s="276">
        <f t="shared" si="7"/>
        <v>0</v>
      </c>
      <c r="Z18" s="388"/>
      <c r="AA18" s="388"/>
    </row>
    <row r="19" hidden="1" customHeight="1" spans="1:27">
      <c r="A19" s="102"/>
      <c r="B19" s="102"/>
      <c r="C19" s="389"/>
      <c r="D19" s="389"/>
      <c r="E19" s="390"/>
      <c r="F19" s="385"/>
      <c r="G19" s="390"/>
      <c r="H19" s="384">
        <f t="shared" si="1"/>
        <v>0</v>
      </c>
      <c r="I19" s="385"/>
      <c r="J19" s="385"/>
      <c r="K19" s="385"/>
      <c r="L19" s="276">
        <f t="shared" si="8"/>
        <v>0</v>
      </c>
      <c r="M19" s="276">
        <f t="shared" si="8"/>
        <v>0</v>
      </c>
      <c r="N19" s="276">
        <f t="shared" si="3"/>
        <v>0</v>
      </c>
      <c r="O19" s="276">
        <f t="shared" si="4"/>
        <v>0</v>
      </c>
      <c r="P19" s="391"/>
      <c r="Q19" s="389"/>
      <c r="R19" s="387">
        <f>P19+Q19</f>
      </c>
      <c r="S19" s="385"/>
      <c r="T19" s="385"/>
      <c r="U19" s="276">
        <f t="shared" si="9"/>
        <v>0</v>
      </c>
      <c r="V19" s="276">
        <f t="shared" si="9"/>
        <v>0</v>
      </c>
      <c r="W19" s="276">
        <f t="shared" si="0"/>
        <v>0</v>
      </c>
      <c r="X19" s="276">
        <f t="shared" si="6"/>
        <v>0</v>
      </c>
      <c r="Y19" s="276">
        <f t="shared" si="7"/>
        <v>0</v>
      </c>
      <c r="Z19" s="388"/>
      <c r="AA19" s="388"/>
    </row>
    <row r="20" hidden="1" customHeight="1" spans="1:27">
      <c r="A20" s="102"/>
      <c r="B20" s="102"/>
      <c r="C20" s="389"/>
      <c r="D20" s="389"/>
      <c r="E20" s="390"/>
      <c r="F20" s="385"/>
      <c r="G20" s="390"/>
      <c r="H20" s="384">
        <f t="shared" si="1"/>
        <v>0</v>
      </c>
      <c r="I20" s="385"/>
      <c r="J20" s="385"/>
      <c r="K20" s="385"/>
      <c r="L20" s="276">
        <f t="shared" si="8"/>
        <v>0</v>
      </c>
      <c r="M20" s="276">
        <f t="shared" si="8"/>
        <v>0</v>
      </c>
      <c r="N20" s="276">
        <f t="shared" si="3"/>
        <v>0</v>
      </c>
      <c r="O20" s="276">
        <f t="shared" si="4"/>
        <v>0</v>
      </c>
      <c r="P20" s="391"/>
      <c r="Q20" s="389"/>
      <c r="R20" s="387">
        <f>P20+Q20</f>
      </c>
      <c r="S20" s="385"/>
      <c r="T20" s="385"/>
      <c r="U20" s="276">
        <f t="shared" si="9"/>
        <v>0</v>
      </c>
      <c r="V20" s="276">
        <f t="shared" si="9"/>
        <v>0</v>
      </c>
      <c r="W20" s="276">
        <f t="shared" si="0"/>
        <v>0</v>
      </c>
      <c r="X20" s="276">
        <f t="shared" si="6"/>
        <v>0</v>
      </c>
      <c r="Y20" s="276">
        <f t="shared" si="7"/>
        <v>0</v>
      </c>
      <c r="Z20" s="388"/>
      <c r="AA20" s="388"/>
    </row>
    <row r="21" hidden="1" customHeight="1" spans="1:27">
      <c r="A21" s="102"/>
      <c r="B21" s="102"/>
      <c r="C21" s="389"/>
      <c r="D21" s="389"/>
      <c r="E21" s="390"/>
      <c r="F21" s="385"/>
      <c r="G21" s="390"/>
      <c r="H21" s="384">
        <f t="shared" si="1"/>
        <v>0</v>
      </c>
      <c r="I21" s="385"/>
      <c r="J21" s="385"/>
      <c r="K21" s="385"/>
      <c r="L21" s="276">
        <f t="shared" si="8"/>
        <v>0</v>
      </c>
      <c r="M21" s="276">
        <f t="shared" si="8"/>
        <v>0</v>
      </c>
      <c r="N21" s="276">
        <f t="shared" si="3"/>
        <v>0</v>
      </c>
      <c r="O21" s="276">
        <f t="shared" si="4"/>
        <v>0</v>
      </c>
      <c r="P21" s="391"/>
      <c r="Q21" s="389"/>
      <c r="R21" s="387">
        <f>P21+Q21</f>
      </c>
      <c r="S21" s="385"/>
      <c r="T21" s="385"/>
      <c r="U21" s="276">
        <f t="shared" si="9"/>
        <v>0</v>
      </c>
      <c r="V21" s="276">
        <f t="shared" si="9"/>
        <v>0</v>
      </c>
      <c r="W21" s="276">
        <f t="shared" si="0"/>
        <v>0</v>
      </c>
      <c r="X21" s="276">
        <f t="shared" si="6"/>
        <v>0</v>
      </c>
      <c r="Y21" s="276">
        <f t="shared" si="7"/>
        <v>0</v>
      </c>
      <c r="Z21" s="388"/>
      <c r="AA21" s="388"/>
    </row>
    <row r="22" hidden="1" customHeight="1" spans="1:27">
      <c r="A22" s="102"/>
      <c r="B22" s="102"/>
      <c r="C22" s="389"/>
      <c r="D22" s="389"/>
      <c r="E22" s="390"/>
      <c r="F22" s="385"/>
      <c r="G22" s="390"/>
      <c r="H22" s="384">
        <f t="shared" si="1"/>
        <v>0</v>
      </c>
      <c r="I22" s="385"/>
      <c r="J22" s="385"/>
      <c r="K22" s="385"/>
      <c r="L22" s="276">
        <f t="shared" ref="L22:M26" si="10">C22+I22</f>
        <v>0</v>
      </c>
      <c r="M22" s="276">
        <f t="shared" si="10"/>
        <v>0</v>
      </c>
      <c r="N22" s="276">
        <f t="shared" si="3"/>
        <v>0</v>
      </c>
      <c r="O22" s="276">
        <f t="shared" si="4"/>
        <v>0</v>
      </c>
      <c r="P22" s="391"/>
      <c r="Q22" s="389"/>
      <c r="R22" s="387">
        <f>P22+Q22</f>
      </c>
      <c r="S22" s="385"/>
      <c r="T22" s="385"/>
      <c r="U22" s="276">
        <f t="shared" ref="U22:V26" si="11">P22+S22</f>
        <v>0</v>
      </c>
      <c r="V22" s="276">
        <f t="shared" si="11"/>
        <v>0</v>
      </c>
      <c r="W22" s="276">
        <f t="shared" si="0"/>
        <v>0</v>
      </c>
      <c r="X22" s="276">
        <f t="shared" si="6"/>
        <v>0</v>
      </c>
      <c r="Y22" s="276">
        <f t="shared" si="7"/>
        <v>0</v>
      </c>
      <c r="Z22" s="388"/>
      <c r="AA22" s="388"/>
    </row>
    <row r="23" hidden="1" customHeight="1" spans="1:27">
      <c r="A23" s="102"/>
      <c r="B23" s="102"/>
      <c r="C23" s="389"/>
      <c r="D23" s="389"/>
      <c r="E23" s="390"/>
      <c r="F23" s="385"/>
      <c r="G23" s="390"/>
      <c r="H23" s="384">
        <f t="shared" si="1"/>
        <v>0</v>
      </c>
      <c r="I23" s="385"/>
      <c r="J23" s="385"/>
      <c r="K23" s="385"/>
      <c r="L23" s="276">
        <f t="shared" si="10"/>
        <v>0</v>
      </c>
      <c r="M23" s="276">
        <f t="shared" si="10"/>
        <v>0</v>
      </c>
      <c r="N23" s="276">
        <f t="shared" si="3"/>
        <v>0</v>
      </c>
      <c r="O23" s="276">
        <f t="shared" si="4"/>
        <v>0</v>
      </c>
      <c r="P23" s="391"/>
      <c r="Q23" s="389"/>
      <c r="R23" s="387">
        <f>P23+Q23</f>
      </c>
      <c r="S23" s="385"/>
      <c r="T23" s="385"/>
      <c r="U23" s="276">
        <f t="shared" si="11"/>
        <v>0</v>
      </c>
      <c r="V23" s="276">
        <f t="shared" si="11"/>
        <v>0</v>
      </c>
      <c r="W23" s="276">
        <f t="shared" si="0"/>
        <v>0</v>
      </c>
      <c r="X23" s="276">
        <f t="shared" si="6"/>
        <v>0</v>
      </c>
      <c r="Y23" s="276">
        <f t="shared" si="7"/>
        <v>0</v>
      </c>
      <c r="Z23" s="388"/>
      <c r="AA23" s="388"/>
    </row>
    <row r="24" hidden="1" customHeight="1" spans="1:27">
      <c r="A24" s="102"/>
      <c r="B24" s="102"/>
      <c r="C24" s="389"/>
      <c r="D24" s="389"/>
      <c r="E24" s="390"/>
      <c r="F24" s="385"/>
      <c r="G24" s="390"/>
      <c r="H24" s="384">
        <f t="shared" si="1"/>
        <v>0</v>
      </c>
      <c r="I24" s="385"/>
      <c r="J24" s="385"/>
      <c r="K24" s="385"/>
      <c r="L24" s="276">
        <f t="shared" si="10"/>
        <v>0</v>
      </c>
      <c r="M24" s="276">
        <f t="shared" si="10"/>
        <v>0</v>
      </c>
      <c r="N24" s="276">
        <f t="shared" si="3"/>
        <v>0</v>
      </c>
      <c r="O24" s="276">
        <f t="shared" si="4"/>
        <v>0</v>
      </c>
      <c r="P24" s="391"/>
      <c r="Q24" s="389"/>
      <c r="R24" s="387">
        <f>P24+Q24</f>
      </c>
      <c r="S24" s="385"/>
      <c r="T24" s="385"/>
      <c r="U24" s="276">
        <f t="shared" si="11"/>
        <v>0</v>
      </c>
      <c r="V24" s="276">
        <f t="shared" si="11"/>
        <v>0</v>
      </c>
      <c r="W24" s="276">
        <f t="shared" si="0"/>
        <v>0</v>
      </c>
      <c r="X24" s="276">
        <f t="shared" si="6"/>
        <v>0</v>
      </c>
      <c r="Y24" s="276">
        <f t="shared" si="7"/>
        <v>0</v>
      </c>
      <c r="Z24" s="388"/>
      <c r="AA24" s="388"/>
    </row>
    <row r="25" customHeight="1" spans="1:27">
      <c r="A25" s="102"/>
      <c r="B25" s="102"/>
      <c r="C25" s="389"/>
      <c r="D25" s="389"/>
      <c r="E25" s="390"/>
      <c r="F25" s="385"/>
      <c r="G25" s="390"/>
      <c r="H25" s="384">
        <f t="shared" si="1"/>
        <v>0</v>
      </c>
      <c r="I25" s="385"/>
      <c r="J25" s="385"/>
      <c r="K25" s="385"/>
      <c r="L25" s="276">
        <f t="shared" si="10"/>
        <v>0</v>
      </c>
      <c r="M25" s="276">
        <f t="shared" si="10"/>
        <v>0</v>
      </c>
      <c r="N25" s="276">
        <f t="shared" si="3"/>
        <v>0</v>
      </c>
      <c r="O25" s="276">
        <f t="shared" si="4"/>
        <v>0</v>
      </c>
      <c r="P25" s="391"/>
      <c r="Q25" s="389"/>
      <c r="R25" s="387">
        <f>P25+Q25</f>
      </c>
      <c r="S25" s="385"/>
      <c r="T25" s="385"/>
      <c r="U25" s="276">
        <f t="shared" si="11"/>
        <v>0</v>
      </c>
      <c r="V25" s="276">
        <f t="shared" si="11"/>
        <v>0</v>
      </c>
      <c r="W25" s="276">
        <f t="shared" si="0"/>
        <v>0</v>
      </c>
      <c r="X25" s="276">
        <f t="shared" si="6"/>
        <v>0</v>
      </c>
      <c r="Y25" s="276">
        <f t="shared" si="7"/>
        <v>0</v>
      </c>
      <c r="Z25" s="388"/>
      <c r="AA25" s="388"/>
    </row>
    <row r="26" customHeight="1" spans="1:27">
      <c r="A26" s="102"/>
      <c r="B26" s="102"/>
      <c r="C26" s="389"/>
      <c r="D26" s="389"/>
      <c r="E26" s="390"/>
      <c r="F26" s="385"/>
      <c r="G26" s="390"/>
      <c r="H26" s="384">
        <f t="shared" si="1"/>
        <v>0</v>
      </c>
      <c r="I26" s="385"/>
      <c r="J26" s="385"/>
      <c r="K26" s="385"/>
      <c r="L26" s="276">
        <f t="shared" si="10"/>
        <v>0</v>
      </c>
      <c r="M26" s="276">
        <f t="shared" si="10"/>
        <v>0</v>
      </c>
      <c r="N26" s="276">
        <f t="shared" si="3"/>
        <v>0</v>
      </c>
      <c r="O26" s="276">
        <f t="shared" si="4"/>
        <v>0</v>
      </c>
      <c r="P26" s="391"/>
      <c r="Q26" s="389"/>
      <c r="R26" s="387">
        <f>P26+Q26</f>
      </c>
      <c r="S26" s="385"/>
      <c r="T26" s="385"/>
      <c r="U26" s="276">
        <f t="shared" si="11"/>
        <v>0</v>
      </c>
      <c r="V26" s="276">
        <f>Q26+T26</f>
        <v>0</v>
      </c>
      <c r="W26" s="276">
        <f t="shared" si="0"/>
        <v>0</v>
      </c>
      <c r="X26" s="276">
        <f t="shared" si="6"/>
        <v>0</v>
      </c>
      <c r="Y26" s="276">
        <f t="shared" si="7"/>
        <v>0</v>
      </c>
      <c r="Z26" s="388"/>
      <c r="AA26" s="388"/>
    </row>
    <row r="27" s="4" customFormat="1" customHeight="1" spans="1:27">
      <c r="A27" s="134" t="s">
        <v>295</v>
      </c>
      <c r="B27" s="136"/>
      <c r="C27" s="282">
        <f>SUM(C12:C26)</f>
        <v>0</v>
      </c>
      <c r="D27" s="282">
        <f t="shared" ref="D27:Y27" si="12">SUM(D12:D26)</f>
        <v>0</v>
      </c>
      <c r="E27" s="282"/>
      <c r="F27" s="282">
        <f t="shared" si="12"/>
        <v>0</v>
      </c>
      <c r="G27" s="282"/>
      <c r="H27" s="282">
        <f t="shared" si="12"/>
        <v>0</v>
      </c>
      <c r="I27" s="282">
        <f t="shared" si="12"/>
        <v>0</v>
      </c>
      <c r="J27" s="282">
        <f t="shared" si="12"/>
        <v>0</v>
      </c>
      <c r="K27" s="282">
        <f t="shared" si="12"/>
        <v>0</v>
      </c>
      <c r="L27" s="282">
        <f t="shared" si="12"/>
        <v>0</v>
      </c>
      <c r="M27" s="282">
        <f t="shared" si="12"/>
        <v>0</v>
      </c>
      <c r="N27" s="282">
        <f t="shared" si="12"/>
        <v>0</v>
      </c>
      <c r="O27" s="282">
        <f t="shared" si="12"/>
        <v>0</v>
      </c>
      <c r="P27" s="282">
        <f t="shared" si="12"/>
        <v>0</v>
      </c>
      <c r="Q27" s="282">
        <f t="shared" si="12"/>
        <v>0</v>
      </c>
      <c r="R27" s="282">
        <f t="shared" si="12"/>
        <v>0</v>
      </c>
      <c r="S27" s="282">
        <f t="shared" si="12"/>
        <v>0</v>
      </c>
      <c r="T27" s="282">
        <f t="shared" si="12"/>
        <v>0</v>
      </c>
      <c r="U27" s="282">
        <f t="shared" si="12"/>
        <v>0</v>
      </c>
      <c r="V27" s="282">
        <f t="shared" si="12"/>
        <v>0</v>
      </c>
      <c r="W27" s="282">
        <f t="shared" si="12"/>
        <v>0</v>
      </c>
      <c r="X27" s="282">
        <f t="shared" si="12"/>
        <v>0</v>
      </c>
      <c r="Y27" s="282">
        <f t="shared" si="12"/>
        <v>0</v>
      </c>
      <c r="Z27" s="392"/>
      <c r="AA27" s="392"/>
    </row>
    <row r="28" s="5" customFormat="1" customHeight="1" spans="1:27">
      <c r="A28" s="393" t="s">
        <v>296</v>
      </c>
      <c r="B28" s="393"/>
      <c r="C28" s="394"/>
      <c r="D28" s="394"/>
      <c r="E28" s="394"/>
      <c r="F28" s="394"/>
      <c r="G28" s="394"/>
      <c r="H28" s="394"/>
      <c r="I28" s="394"/>
      <c r="J28" s="394"/>
      <c r="K28" s="394"/>
      <c r="L28" s="394"/>
      <c r="M28" s="394"/>
      <c r="N28" s="394"/>
      <c r="O28" s="394"/>
      <c r="P28" s="394"/>
      <c r="Q28" s="394"/>
      <c r="R28" s="394"/>
      <c r="S28" s="394"/>
      <c r="T28" s="394"/>
      <c r="U28" s="394"/>
      <c r="V28" s="394"/>
      <c r="W28" s="394"/>
      <c r="X28" s="394"/>
      <c r="Y28" s="394"/>
      <c r="Z28" s="395"/>
      <c r="AA28" s="395"/>
    </row>
    <row r="29" s="4" customFormat="1" customHeight="1" spans="1:27">
      <c r="A29" s="396" t="str">
        <f>底稿目录!A9</f>
        <v>房屋、建筑物</v>
      </c>
      <c r="B29" s="396"/>
      <c r="C29" s="282">
        <f>SUMPRODUCT(($A$12:$A$26=$A29)*(C$12:C$26))</f>
        <v>0</v>
      </c>
      <c r="D29" s="282">
        <f>SUMPRODUCT(($A$12:$A$26=$A29)*(D$12:D$26))</f>
        <v>0</v>
      </c>
      <c r="E29" s="282"/>
      <c r="F29" s="282">
        <f>SUMPRODUCT(($A$12:$A$26=$A29)*(F$12:F$26))</f>
        <v>0</v>
      </c>
      <c r="G29" s="282"/>
      <c r="H29" s="282">
        <f t="shared" ref="H29:Y29" si="13">SUMPRODUCT(($A$12:$A$26=$A29)*(H$12:H$26))</f>
        <v>0</v>
      </c>
      <c r="I29" s="282">
        <f t="shared" si="13"/>
        <v>0</v>
      </c>
      <c r="J29" s="282">
        <f t="shared" si="13"/>
        <v>0</v>
      </c>
      <c r="K29" s="282">
        <f t="shared" si="13"/>
        <v>0</v>
      </c>
      <c r="L29" s="282">
        <f t="shared" si="13"/>
        <v>0</v>
      </c>
      <c r="M29" s="282">
        <f t="shared" si="13"/>
        <v>0</v>
      </c>
      <c r="N29" s="282">
        <f t="shared" si="13"/>
        <v>0</v>
      </c>
      <c r="O29" s="282">
        <f t="shared" si="13"/>
        <v>0</v>
      </c>
      <c r="P29" s="282">
        <f t="shared" si="13"/>
        <v>0</v>
      </c>
      <c r="Q29" s="282">
        <f t="shared" si="13"/>
        <v>0</v>
      </c>
      <c r="R29" s="282">
        <f t="shared" si="13"/>
        <v>0</v>
      </c>
      <c r="S29" s="282">
        <f t="shared" si="13"/>
        <v>0</v>
      </c>
      <c r="T29" s="282">
        <f t="shared" si="13"/>
        <v>0</v>
      </c>
      <c r="U29" s="282">
        <f t="shared" si="13"/>
        <v>0</v>
      </c>
      <c r="V29" s="282">
        <f t="shared" si="13"/>
        <v>0</v>
      </c>
      <c r="W29" s="282">
        <f t="shared" si="13"/>
        <v>0</v>
      </c>
      <c r="X29" s="282">
        <f t="shared" si="13"/>
        <v>0</v>
      </c>
      <c r="Y29" s="282">
        <f t="shared" si="13"/>
        <v>0</v>
      </c>
      <c r="Z29" s="392"/>
      <c r="AA29" s="392"/>
    </row>
    <row r="30" s="4" customFormat="1" customHeight="1" spans="1:27">
      <c r="A30" s="396" t="str">
        <f>底稿目录!A10</f>
        <v>土地使用权</v>
      </c>
      <c r="B30" s="396"/>
      <c r="C30" s="282">
        <f>SUMPRODUCT(($A$12:$A$26=$A30)*(C$12:C$26))</f>
        <v>0</v>
      </c>
      <c r="D30" s="282">
        <f>SUMPRODUCT(($A$12:$A$26=$A30)*(D$12:D$26))</f>
        <v>0</v>
      </c>
      <c r="E30" s="282"/>
      <c r="F30" s="282">
        <f>SUMPRODUCT(($A$12:$A$26=$A30)*(F$12:F$26))</f>
        <v>0</v>
      </c>
      <c r="G30" s="282"/>
      <c r="H30" s="282">
        <f t="shared" ref="H30:R30" si="14">SUMPRODUCT(($A$12:$A$26=$A30)*(H$12:H$26))</f>
        <v>0</v>
      </c>
      <c r="I30" s="282">
        <f t="shared" si="14"/>
        <v>0</v>
      </c>
      <c r="J30" s="282">
        <f t="shared" si="14"/>
        <v>0</v>
      </c>
      <c r="K30" s="282">
        <f t="shared" si="14"/>
        <v>0</v>
      </c>
      <c r="L30" s="282">
        <f t="shared" si="14"/>
        <v>0</v>
      </c>
      <c r="M30" s="282">
        <f t="shared" si="14"/>
        <v>0</v>
      </c>
      <c r="N30" s="282">
        <f t="shared" si="14"/>
        <v>0</v>
      </c>
      <c r="O30" s="282">
        <f t="shared" si="14"/>
        <v>0</v>
      </c>
      <c r="P30" s="282">
        <f t="shared" si="14"/>
        <v>0</v>
      </c>
      <c r="Q30" s="282">
        <f t="shared" si="14"/>
        <v>0</v>
      </c>
      <c r="R30" s="282">
        <f t="shared" si="14"/>
        <v>0</v>
      </c>
      <c r="S30" s="282">
        <f t="shared" ref="D30:Y32" si="15">SUMPRODUCT(($A$12:$A$26=$A30)*(S$12:S$26))</f>
        <v>0</v>
      </c>
      <c r="T30" s="282">
        <f t="shared" si="15"/>
        <v>0</v>
      </c>
      <c r="U30" s="282">
        <f t="shared" si="15"/>
        <v>0</v>
      </c>
      <c r="V30" s="282">
        <f t="shared" si="15"/>
        <v>0</v>
      </c>
      <c r="W30" s="282">
        <f t="shared" si="15"/>
        <v>0</v>
      </c>
      <c r="X30" s="282">
        <f t="shared" si="15"/>
        <v>0</v>
      </c>
      <c r="Y30" s="282">
        <f t="shared" si="15"/>
        <v>0</v>
      </c>
      <c r="Z30" s="392"/>
      <c r="AA30" s="392"/>
    </row>
    <row r="31" s="4" customFormat="1" customHeight="1" spans="1:27">
      <c r="A31" s="396" t="str">
        <f>底稿目录!A11</f>
        <v>在建工程</v>
      </c>
      <c r="B31" s="396"/>
      <c r="C31" s="282">
        <f>SUMPRODUCT(($A$12:$A$26=$A31)*(C$12:C$26))</f>
        <v>0</v>
      </c>
      <c r="D31" s="282">
        <f t="shared" si="15"/>
        <v>0</v>
      </c>
      <c r="E31" s="282"/>
      <c r="F31" s="282">
        <f t="shared" si="15"/>
        <v>0</v>
      </c>
      <c r="G31" s="282"/>
      <c r="H31" s="282">
        <f t="shared" si="15"/>
        <v>0</v>
      </c>
      <c r="I31" s="282">
        <f t="shared" si="15"/>
        <v>0</v>
      </c>
      <c r="J31" s="282">
        <f t="shared" si="15"/>
        <v>0</v>
      </c>
      <c r="K31" s="282">
        <f t="shared" si="15"/>
        <v>0</v>
      </c>
      <c r="L31" s="282">
        <f t="shared" si="15"/>
        <v>0</v>
      </c>
      <c r="M31" s="282">
        <f t="shared" si="15"/>
        <v>0</v>
      </c>
      <c r="N31" s="282">
        <f t="shared" si="15"/>
        <v>0</v>
      </c>
      <c r="O31" s="282">
        <f t="shared" si="15"/>
        <v>0</v>
      </c>
      <c r="P31" s="282">
        <f t="shared" si="15"/>
        <v>0</v>
      </c>
      <c r="Q31" s="282">
        <f t="shared" si="15"/>
        <v>0</v>
      </c>
      <c r="R31" s="282">
        <f t="shared" si="15"/>
        <v>0</v>
      </c>
      <c r="S31" s="282">
        <f t="shared" si="15"/>
        <v>0</v>
      </c>
      <c r="T31" s="282">
        <f t="shared" si="15"/>
        <v>0</v>
      </c>
      <c r="U31" s="282">
        <f t="shared" si="15"/>
        <v>0</v>
      </c>
      <c r="V31" s="282">
        <f t="shared" si="15"/>
        <v>0</v>
      </c>
      <c r="W31" s="282">
        <f t="shared" si="15"/>
        <v>0</v>
      </c>
      <c r="X31" s="282">
        <f t="shared" si="15"/>
        <v>0</v>
      </c>
      <c r="Y31" s="282">
        <f t="shared" si="15"/>
        <v>0</v>
      </c>
      <c r="Z31" s="392"/>
      <c r="AA31" s="392"/>
    </row>
    <row r="32" s="4" customFormat="1" customHeight="1" spans="1:27">
      <c r="A32" s="396" t="str">
        <f>底稿目录!A12</f>
        <v>……</v>
      </c>
      <c r="B32" s="396"/>
      <c r="C32" s="282">
        <f>SUMPRODUCT(($A$12:$A$26=$A32)*(C$12:C$26))</f>
        <v>0</v>
      </c>
      <c r="D32" s="282">
        <f t="shared" si="15"/>
        <v>0</v>
      </c>
      <c r="E32" s="282"/>
      <c r="F32" s="282">
        <f t="shared" si="15"/>
        <v>0</v>
      </c>
      <c r="G32" s="282"/>
      <c r="H32" s="282">
        <f t="shared" si="15"/>
        <v>0</v>
      </c>
      <c r="I32" s="282">
        <f t="shared" si="15"/>
        <v>0</v>
      </c>
      <c r="J32" s="282">
        <f t="shared" si="15"/>
        <v>0</v>
      </c>
      <c r="K32" s="282">
        <f t="shared" si="15"/>
        <v>0</v>
      </c>
      <c r="L32" s="282">
        <f t="shared" si="15"/>
        <v>0</v>
      </c>
      <c r="M32" s="282">
        <f t="shared" si="15"/>
        <v>0</v>
      </c>
      <c r="N32" s="282">
        <f t="shared" si="15"/>
        <v>0</v>
      </c>
      <c r="O32" s="282">
        <f>SUMPRODUCT(($A$12:$A$26=$A32)*(O$12:O$26))</f>
        <v>0</v>
      </c>
      <c r="P32" s="282">
        <f t="shared" si="15"/>
        <v>0</v>
      </c>
      <c r="Q32" s="282">
        <f t="shared" si="15"/>
        <v>0</v>
      </c>
      <c r="R32" s="282">
        <f t="shared" si="15"/>
        <v>0</v>
      </c>
      <c r="S32" s="282">
        <f t="shared" si="15"/>
        <v>0</v>
      </c>
      <c r="T32" s="282">
        <f t="shared" si="15"/>
        <v>0</v>
      </c>
      <c r="U32" s="282">
        <f t="shared" si="15"/>
        <v>0</v>
      </c>
      <c r="V32" s="282">
        <f t="shared" si="15"/>
        <v>0</v>
      </c>
      <c r="W32" s="282">
        <f t="shared" si="15"/>
        <v>0</v>
      </c>
      <c r="X32" s="282">
        <f t="shared" si="15"/>
        <v>0</v>
      </c>
      <c r="Y32" s="282">
        <f t="shared" si="15"/>
        <v>0</v>
      </c>
      <c r="Z32" s="392"/>
      <c r="AA32" s="392"/>
    </row>
    <row r="33" customHeight="1" spans="1:27">
      <c r="A33" s="191" t="s">
        <v>297</v>
      </c>
      <c r="B33" s="191"/>
      <c r="C33" s="192"/>
      <c r="D33" s="192"/>
      <c r="E33" s="192"/>
      <c r="F33" s="192"/>
      <c r="G33" s="192"/>
      <c r="H33" s="192"/>
      <c r="I33" s="192"/>
      <c r="J33" s="192"/>
      <c r="K33" s="192"/>
      <c r="L33" s="192"/>
      <c r="M33" s="192"/>
      <c r="N33" s="192"/>
      <c r="O33" s="192"/>
      <c r="P33" s="192"/>
      <c r="Q33" s="192"/>
      <c r="R33" s="192"/>
      <c r="S33" s="192"/>
      <c r="T33" s="192"/>
      <c r="U33" s="192"/>
      <c r="V33" s="192"/>
      <c r="W33" s="192"/>
      <c r="X33" s="192"/>
      <c r="Y33" s="192"/>
      <c r="Z33" s="192"/>
      <c r="AA33" s="192"/>
    </row>
    <row r="36" customHeight="1" spans="1:27">
      <c r="A36" s="5" t="s">
        <v>326</v>
      </c>
      <c r="B36" s="5"/>
    </row>
    <row r="41" customHeight="1" spans="1:27">
      <c r="A41" s="193" t="s">
        <v>299</v>
      </c>
      <c r="B41" s="42"/>
    </row>
    <row r="42" customHeight="1" spans="1:27">
      <c r="A42" s="43" t="s">
        <v>300</v>
      </c>
      <c r="B42" s="43"/>
    </row>
    <row r="43" customHeight="1" spans="1:27">
      <c r="A43" s="43" t="s">
        <v>301</v>
      </c>
      <c r="B43" s="43"/>
    </row>
    <row r="44" customHeight="1" spans="1:27">
      <c r="A44" s="43" t="s">
        <v>302</v>
      </c>
      <c r="B44" s="43"/>
    </row>
    <row r="45" customHeight="1" spans="1:27">
      <c r="A45" s="43" t="s">
        <v>303</v>
      </c>
      <c r="B45" s="43"/>
    </row>
    <row r="46" customHeight="1" spans="1:27">
      <c r="A46" s="43" t="s">
        <v>327</v>
      </c>
      <c r="B46" s="43"/>
    </row>
    <row r="47" customHeight="1" spans="1:27">
      <c r="A47" s="43" t="s">
        <v>328</v>
      </c>
      <c r="B47" s="43"/>
    </row>
    <row r="48" customHeight="1" spans="1:27">
      <c r="A48" s="43"/>
      <c r="B48" s="43"/>
    </row>
    <row r="50" customHeight="1" spans="1:1">
      <c r="A50" s="143"/>
    </row>
    <row r="51" customHeight="1" spans="1:1">
      <c r="A51" s="397"/>
    </row>
    <row r="52" customHeight="1" spans="1:1">
      <c r="A52" s="397"/>
    </row>
    <row r="53" customHeight="1" spans="1:1">
      <c r="A53" s="397"/>
    </row>
  </sheetData>
  <mergeCells count="25">
    <mergeCell ref="A1:O1"/>
    <mergeCell ref="P1:AA1"/>
    <mergeCell ref="A2:O2"/>
    <mergeCell ref="P2:AA2"/>
    <mergeCell ref="C9:O9"/>
    <mergeCell ref="P9:W9"/>
    <mergeCell ref="C10:H10"/>
    <mergeCell ref="J10:K10"/>
    <mergeCell ref="L10:O10"/>
    <mergeCell ref="P10:R10"/>
    <mergeCell ref="U10:W10"/>
    <mergeCell ref="A27:B27"/>
    <mergeCell ref="A29:B29"/>
    <mergeCell ref="A30:B30"/>
    <mergeCell ref="A31:B31"/>
    <mergeCell ref="A32:B32"/>
    <mergeCell ref="A9:A11"/>
    <mergeCell ref="B9:B11"/>
    <mergeCell ref="I10:I11"/>
    <mergeCell ref="S10:S11"/>
    <mergeCell ref="T10:T11"/>
    <mergeCell ref="X9:X11"/>
    <mergeCell ref="Y9:Y11"/>
    <mergeCell ref="Z9:Z11"/>
    <mergeCell ref="AA9:AA11"/>
  </mergeCells>
  <dataValidations count="4">
    <dataValidation type="list" allowBlank="1" showInputMessage="1" showErrorMessage="1" sqref="AA11:AB11 Z12:AB14 Z15:AA26">
      <formula1>"√,×"</formula1>
    </dataValidation>
    <dataValidation type="list" allowBlank="1" showInputMessage="1" showErrorMessage="1" sqref="A12:A26">
      <formula1>底稿目录!$A$9:$A$12</formula1>
    </dataValidation>
    <dataValidation type="list" allowBlank="1" showInputMessage="1" showErrorMessage="1" prompt="如要修改下列框的选项，单击“数据-数据有效性-设置-序列-来源”。" sqref="E12:E26">
      <formula1>"外购,存货/固定资产/在建工程转入,企业合并增加,其他增加"</formula1>
    </dataValidation>
    <dataValidation type="list" allowBlank="1" showInputMessage="1" showErrorMessage="1" prompt="如要修改下列框的选项，单击“数据-数据有效性-设置-序列-来源”。" sqref="G12:G26">
      <formula1>"处置,转入固定资产/存货/无形资产等,其他转出"</formula1>
    </dataValidation>
  </dataValidations>
  <hyperlinks>
    <hyperlink ref="AA3" location="底稿目录!A1" display="H3-2"/>
    <hyperlink ref="O3" location="底稿目录!A1" display="H3-2"/>
  </hyperlinks>
  <printOptions horizontalCentered="1"/>
  <pageMargins left="0.708661417322835" right="0.708661417322835" top="0.748031496062992" bottom="0.748031496062992" header="0.31496062992126" footer="0.31496062992126"/>
  <pageSetup paperSize="9" scale="70" fitToWidth="2" orientation="landscape" blackAndWhite="1"/>
  <headerFooter>
    <oddFooter>&amp;C&amp;P/&amp;N</oddFooter>
  </headerFooter>
  <colBreaks count="1" manualBreakCount="1">
    <brk id="15" max="37" man="1"/>
  </col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J21"/>
  <sheetViews>
    <sheetView view="pageBreakPreview" zoomScaleNormal="100" workbookViewId="0">
      <selection activeCell="A1" sqref="A1:J1"/>
    </sheetView>
  </sheetViews>
  <sheetFormatPr defaultColWidth="9" defaultRowHeight="19.95" customHeight="1"/>
  <cols>
    <col min="1" max="1" width="20.7" style="355" customWidth="1"/>
    <col min="2" max="2" width="14.7" style="355" customWidth="1"/>
    <col min="3" max="3" width="14" style="355" customWidth="1"/>
    <col min="4" max="4" width="14.5" style="355" customWidth="1"/>
    <col min="5" max="5" width="14.8" style="355" customWidth="1"/>
    <col min="6" max="6" width="12.8" style="355" customWidth="1"/>
    <col min="7" max="7" width="10" style="355" customWidth="1"/>
    <col min="8" max="8" width="9.9" style="355" customWidth="1"/>
    <col min="9" max="16384" width="9" style="355"/>
  </cols>
  <sheetData>
    <row r="1" s="352" customFormat="1" customHeight="1" spans="1:10">
      <c r="A1" s="356" t="s">
        <v>59</v>
      </c>
      <c r="B1" s="356"/>
      <c r="C1" s="356"/>
      <c r="D1" s="356"/>
      <c r="E1" s="356"/>
      <c r="F1" s="356"/>
      <c r="G1" s="356"/>
      <c r="H1" s="356"/>
      <c r="I1" s="356"/>
      <c r="J1" s="356"/>
    </row>
    <row r="2" s="353" customFormat="1" customHeight="1" spans="1:10">
      <c r="A2" s="357" t="s">
        <v>329</v>
      </c>
      <c r="B2" s="357"/>
      <c r="C2" s="357"/>
      <c r="D2" s="357"/>
      <c r="E2" s="357"/>
      <c r="F2" s="357"/>
      <c r="G2" s="357"/>
      <c r="H2" s="357"/>
      <c r="I2" s="357"/>
      <c r="J2" s="357"/>
    </row>
    <row r="3" customHeight="1" spans="1:10">
      <c r="A3" s="358" t="str">
        <f>底稿目录!A2</f>
        <v>被审计单位：</v>
      </c>
      <c r="B3" s="358"/>
      <c r="C3" s="358"/>
      <c r="D3" s="358" t="str">
        <f>底稿目录!A4</f>
        <v>编制人：</v>
      </c>
      <c r="E3" s="358"/>
      <c r="F3" s="359"/>
      <c r="G3" s="358" t="str">
        <f>底稿目录!A6</f>
        <v>编制日期：</v>
      </c>
      <c r="H3" s="358"/>
      <c r="I3" s="12" t="s">
        <v>61</v>
      </c>
      <c r="J3" s="13" t="s">
        <v>29</v>
      </c>
    </row>
    <row r="4" customHeight="1" spans="1:10">
      <c r="A4" s="358" t="str">
        <f>底稿目录!A3</f>
        <v>截止日：202X年12月31日</v>
      </c>
      <c r="B4" s="358"/>
      <c r="C4" s="358"/>
      <c r="D4" s="358" t="str">
        <f>底稿目录!A5</f>
        <v>复核人：</v>
      </c>
      <c r="E4" s="358"/>
      <c r="F4" s="359"/>
      <c r="G4" s="358" t="str">
        <f>底稿目录!A7</f>
        <v>复核日期：</v>
      </c>
      <c r="H4" s="358"/>
      <c r="I4" s="12" t="s">
        <v>62</v>
      </c>
      <c r="J4" s="14"/>
    </row>
    <row r="5" s="354" customFormat="1" ht="26" spans="1:10">
      <c r="A5" s="360" t="s">
        <v>330</v>
      </c>
      <c r="B5" s="360" t="s">
        <v>331</v>
      </c>
      <c r="C5" s="360" t="s">
        <v>332</v>
      </c>
      <c r="D5" s="83" t="s">
        <v>333</v>
      </c>
      <c r="E5" s="83" t="s">
        <v>334</v>
      </c>
      <c r="F5" s="361" t="s">
        <v>30</v>
      </c>
      <c r="G5" s="83" t="s">
        <v>335</v>
      </c>
      <c r="H5" s="83" t="s">
        <v>336</v>
      </c>
      <c r="I5" s="83" t="s">
        <v>337</v>
      </c>
      <c r="J5" s="83" t="s">
        <v>8</v>
      </c>
    </row>
    <row r="6" customHeight="1" spans="1:10">
      <c r="A6" s="362"/>
      <c r="B6" s="362"/>
      <c r="C6" s="362"/>
      <c r="D6" s="362"/>
      <c r="E6" s="362"/>
      <c r="F6" s="362"/>
      <c r="G6" s="363"/>
      <c r="H6" s="363"/>
      <c r="I6" s="364"/>
      <c r="J6" s="362"/>
    </row>
    <row r="7" customHeight="1" spans="1:10">
      <c r="A7" s="362"/>
      <c r="B7" s="362"/>
      <c r="C7" s="362"/>
      <c r="D7" s="362"/>
      <c r="E7" s="362"/>
      <c r="F7" s="362"/>
      <c r="G7" s="363"/>
      <c r="H7" s="363"/>
      <c r="I7" s="364"/>
      <c r="J7" s="362"/>
    </row>
    <row r="8" customHeight="1" spans="1:10">
      <c r="A8" s="362"/>
      <c r="B8" s="362"/>
      <c r="C8" s="362"/>
      <c r="D8" s="362"/>
      <c r="E8" s="362"/>
      <c r="F8" s="362"/>
      <c r="G8" s="363"/>
      <c r="H8" s="363"/>
      <c r="I8" s="364"/>
      <c r="J8" s="362"/>
    </row>
    <row r="9" customHeight="1" spans="1:10">
      <c r="A9" s="362"/>
      <c r="B9" s="362"/>
      <c r="C9" s="362"/>
      <c r="D9" s="362"/>
      <c r="E9" s="362"/>
      <c r="F9" s="362"/>
      <c r="G9" s="363"/>
      <c r="H9" s="363"/>
      <c r="I9" s="364"/>
      <c r="J9" s="362"/>
    </row>
    <row r="10" customHeight="1" spans="1:10">
      <c r="A10" s="362"/>
      <c r="B10" s="362"/>
      <c r="C10" s="362"/>
      <c r="D10" s="362"/>
      <c r="E10" s="362"/>
      <c r="F10" s="362"/>
      <c r="G10" s="363"/>
      <c r="H10" s="363"/>
      <c r="I10" s="364"/>
      <c r="J10" s="362"/>
    </row>
    <row r="11" customHeight="1" spans="1:10">
      <c r="A11" s="362"/>
      <c r="B11" s="362"/>
      <c r="C11" s="362"/>
      <c r="D11" s="362"/>
      <c r="E11" s="362"/>
      <c r="F11" s="362"/>
      <c r="G11" s="363"/>
      <c r="H11" s="363"/>
      <c r="I11" s="364"/>
      <c r="J11" s="362"/>
    </row>
    <row r="12" customHeight="1" spans="1:10">
      <c r="A12" s="362"/>
      <c r="B12" s="362"/>
      <c r="C12" s="362"/>
      <c r="D12" s="362"/>
      <c r="E12" s="362"/>
      <c r="F12" s="362"/>
      <c r="G12" s="363"/>
      <c r="H12" s="363"/>
      <c r="I12" s="364"/>
      <c r="J12" s="362"/>
    </row>
    <row r="13" customHeight="1" spans="1:10">
      <c r="A13" s="362"/>
      <c r="B13" s="362"/>
      <c r="C13" s="362"/>
      <c r="D13" s="362"/>
      <c r="E13" s="362"/>
      <c r="F13" s="362"/>
      <c r="G13" s="363"/>
      <c r="H13" s="363"/>
      <c r="I13" s="364"/>
      <c r="J13" s="362"/>
    </row>
    <row r="14" customHeight="1" spans="1:10">
      <c r="A14" s="362"/>
      <c r="B14" s="362"/>
      <c r="C14" s="362"/>
      <c r="D14" s="362"/>
      <c r="E14" s="362"/>
      <c r="F14" s="362"/>
      <c r="G14" s="363"/>
      <c r="H14" s="363"/>
      <c r="I14" s="364"/>
      <c r="J14" s="362"/>
    </row>
    <row r="15" customHeight="1" spans="1:10">
      <c r="A15" s="362"/>
      <c r="B15" s="362"/>
      <c r="C15" s="362"/>
      <c r="D15" s="362"/>
      <c r="E15" s="362"/>
      <c r="F15" s="362"/>
      <c r="G15" s="363"/>
      <c r="H15" s="363"/>
      <c r="I15" s="364"/>
      <c r="J15" s="362"/>
    </row>
    <row r="16" customHeight="1" spans="1:10">
      <c r="A16" s="362"/>
      <c r="B16" s="362"/>
      <c r="C16" s="362"/>
      <c r="D16" s="362"/>
      <c r="E16" s="362"/>
      <c r="F16" s="362"/>
      <c r="G16" s="363"/>
      <c r="H16" s="363"/>
      <c r="I16" s="364"/>
      <c r="J16" s="362"/>
    </row>
    <row r="17" customHeight="1" spans="1:10">
      <c r="A17" s="362"/>
      <c r="B17" s="362"/>
      <c r="C17" s="362"/>
      <c r="D17" s="362"/>
      <c r="E17" s="362"/>
      <c r="F17" s="362"/>
      <c r="G17" s="363"/>
      <c r="H17" s="363"/>
      <c r="I17" s="364"/>
      <c r="J17" s="362"/>
    </row>
    <row r="18" customHeight="1" spans="1:10">
      <c r="A18" s="362"/>
      <c r="B18" s="362"/>
      <c r="C18" s="362"/>
      <c r="D18" s="362"/>
      <c r="E18" s="362"/>
      <c r="F18" s="362"/>
      <c r="G18" s="363"/>
      <c r="H18" s="363"/>
      <c r="I18" s="364"/>
      <c r="J18" s="362"/>
    </row>
    <row r="19" customHeight="1" spans="1:10">
      <c r="A19" s="362"/>
      <c r="B19" s="362"/>
      <c r="C19" s="362"/>
      <c r="D19" s="362"/>
      <c r="E19" s="362"/>
      <c r="F19" s="362"/>
      <c r="G19" s="363"/>
      <c r="H19" s="363"/>
      <c r="I19" s="364"/>
      <c r="J19" s="362"/>
    </row>
    <row r="20" customHeight="1" spans="1:10">
      <c r="A20" s="362"/>
      <c r="B20" s="362"/>
      <c r="C20" s="362"/>
      <c r="D20" s="362"/>
      <c r="E20" s="362"/>
      <c r="F20" s="362"/>
      <c r="G20" s="363"/>
      <c r="H20" s="363"/>
      <c r="I20" s="364"/>
      <c r="J20" s="362"/>
    </row>
    <row r="21" customHeight="1" spans="1:10">
      <c r="A21" s="365" t="s">
        <v>338</v>
      </c>
      <c r="B21" s="366"/>
      <c r="C21" s="366"/>
      <c r="D21" s="366"/>
      <c r="E21" s="366"/>
      <c r="F21" s="366"/>
      <c r="G21" s="366"/>
      <c r="H21" s="366"/>
      <c r="I21" s="366"/>
      <c r="J21" s="366"/>
    </row>
  </sheetData>
  <mergeCells count="3">
    <mergeCell ref="A1:J1"/>
    <mergeCell ref="A2:J2"/>
    <mergeCell ref="A21:J21"/>
  </mergeCells>
  <dataValidations count="1">
    <dataValidation type="list" allowBlank="1" showInputMessage="1" showErrorMessage="1" sqref="B6:B20">
      <formula1>"账项调整,报表调整,其他"</formula1>
    </dataValidation>
  </dataValidations>
  <hyperlinks>
    <hyperlink ref="J3" location="底稿目录!A1" display="H3-3"/>
  </hyperlinks>
  <pageMargins left="0.708661417322835" right="0.708661417322835" top="0.748031496062992" bottom="0.748031496062992" header="0.31496062992126" footer="0.31496062992126"/>
  <pageSetup paperSize="9" scale="95" orientation="landscape" blackAndWhite="1"/>
  <headerFooter>
    <oddFooter>&amp;C&amp;P/&amp;N</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pageSetUpPr fitToPage="1"/>
  </sheetPr>
  <dimension ref="A1:O27"/>
  <sheetViews>
    <sheetView view="pageBreakPreview" zoomScale="85" zoomScaleNormal="90" workbookViewId="0">
      <selection activeCell="A1" sqref="A1:K1"/>
    </sheetView>
  </sheetViews>
  <sheetFormatPr defaultColWidth="9" defaultRowHeight="19.95" customHeight="1"/>
  <cols>
    <col min="1" max="1" width="7.9" style="318" customWidth="1"/>
    <col min="2" max="2" width="13.1" style="319" customWidth="1"/>
    <col min="3" max="3" width="11.5" style="319" customWidth="1"/>
    <col min="4" max="4" width="13.1" style="319" customWidth="1"/>
    <col min="5" max="5" width="10.5" style="319" customWidth="1"/>
    <col min="6" max="7" width="15.5" style="319" customWidth="1"/>
    <col min="8" max="11" width="14.5" style="319" customWidth="1"/>
    <col min="12" max="16384" width="9" style="319"/>
  </cols>
  <sheetData>
    <row r="1" s="315" customFormat="1" customHeight="1" spans="1:15">
      <c r="A1" s="320" t="s">
        <v>339</v>
      </c>
      <c r="B1" s="320"/>
      <c r="C1" s="320"/>
      <c r="D1" s="320"/>
      <c r="E1" s="320"/>
      <c r="F1" s="320"/>
      <c r="G1" s="320"/>
      <c r="H1" s="320"/>
      <c r="I1" s="320"/>
      <c r="J1" s="320"/>
      <c r="K1" s="321"/>
    </row>
    <row r="2" s="316" customFormat="1" customHeight="1" spans="1:15">
      <c r="A2" s="322" t="s">
        <v>340</v>
      </c>
      <c r="B2" s="322"/>
      <c r="C2" s="322"/>
      <c r="D2" s="322"/>
      <c r="E2" s="322"/>
      <c r="F2" s="322"/>
      <c r="G2" s="322"/>
      <c r="H2" s="322"/>
      <c r="I2" s="322"/>
      <c r="J2" s="322"/>
      <c r="K2" s="323"/>
    </row>
    <row r="3" customHeight="1" spans="1:15">
      <c r="A3" s="6" t="str">
        <f>底稿目录!A2</f>
        <v>被审计单位：</v>
      </c>
      <c r="D3" s="319" t="str">
        <f>底稿目录!A4</f>
        <v>编制人：</v>
      </c>
      <c r="H3" s="319" t="str">
        <f>底稿目录!A6</f>
        <v>编制日期：</v>
      </c>
      <c r="I3" s="324"/>
      <c r="J3" s="12" t="s">
        <v>61</v>
      </c>
      <c r="K3" s="13" t="str">
        <f>底稿目录!F12</f>
        <v>H3-4</v>
      </c>
    </row>
    <row r="4" customHeight="1" spans="1:15">
      <c r="A4" s="6" t="str">
        <f>底稿目录!A3</f>
        <v>截止日：202X年12月31日</v>
      </c>
      <c r="D4" s="319" t="str">
        <f>底稿目录!A5</f>
        <v>复核人：</v>
      </c>
      <c r="H4" s="319" t="str">
        <f>底稿目录!A7</f>
        <v>复核日期：</v>
      </c>
      <c r="I4" s="324"/>
      <c r="J4" s="12" t="s">
        <v>62</v>
      </c>
      <c r="K4" s="14"/>
    </row>
    <row r="5" s="168" customFormat="1" customHeight="1" spans="1:15">
      <c r="A5" s="325" t="s">
        <v>341</v>
      </c>
      <c r="B5" s="325"/>
      <c r="C5" s="325"/>
      <c r="D5" s="325"/>
      <c r="E5" s="325"/>
      <c r="F5" s="325"/>
      <c r="G5" s="325"/>
      <c r="H5" s="325"/>
      <c r="I5" s="325"/>
      <c r="J5" s="325"/>
      <c r="K5" s="325"/>
      <c r="L5" s="326"/>
      <c r="O5" s="327"/>
    </row>
    <row r="6" s="168" customFormat="1" customHeight="1" spans="1:15">
      <c r="A6" s="328" t="s">
        <v>342</v>
      </c>
      <c r="B6" s="329"/>
      <c r="C6" s="329"/>
      <c r="D6" s="329"/>
      <c r="E6" s="329"/>
      <c r="F6" s="329"/>
      <c r="G6" s="330" t="s">
        <v>343</v>
      </c>
      <c r="H6" s="329"/>
      <c r="I6" s="329"/>
      <c r="J6" s="329"/>
      <c r="K6" s="331"/>
      <c r="L6" s="326"/>
      <c r="O6" s="327"/>
    </row>
    <row r="7" s="168" customFormat="1" customHeight="1" spans="1:15">
      <c r="A7" s="328" t="s">
        <v>344</v>
      </c>
      <c r="B7" s="329"/>
      <c r="C7" s="329"/>
      <c r="D7" s="329"/>
      <c r="E7" s="329"/>
      <c r="F7" s="329"/>
      <c r="G7" s="329"/>
      <c r="H7" s="329"/>
      <c r="I7" s="329"/>
      <c r="J7" s="329"/>
      <c r="K7" s="331"/>
      <c r="L7" s="326"/>
      <c r="O7" s="327"/>
    </row>
    <row r="8" s="93" customFormat="1" customHeight="1" spans="1:15">
      <c r="A8" s="332" t="s">
        <v>274</v>
      </c>
      <c r="I8" s="96"/>
      <c r="L8" s="333"/>
      <c r="O8" s="334"/>
    </row>
    <row r="9" s="93" customFormat="1" customHeight="1" spans="1:15">
      <c r="A9" s="335" t="s">
        <v>345</v>
      </c>
      <c r="B9" s="336"/>
      <c r="C9" s="335"/>
      <c r="D9" s="337"/>
      <c r="E9" s="337"/>
      <c r="I9" s="96"/>
      <c r="L9" s="333"/>
      <c r="O9" s="334"/>
    </row>
    <row r="10" s="93" customFormat="1" customHeight="1" spans="1:15">
      <c r="A10" s="335"/>
      <c r="B10" s="336"/>
      <c r="C10" s="335"/>
      <c r="D10" s="337"/>
      <c r="E10" s="337"/>
      <c r="I10" s="96"/>
      <c r="L10" s="333"/>
      <c r="O10" s="334"/>
    </row>
    <row r="11" s="93" customFormat="1" customHeight="1" spans="1:15">
      <c r="A11" s="338" t="s">
        <v>346</v>
      </c>
      <c r="B11" s="196"/>
      <c r="D11" s="337"/>
      <c r="E11" s="337"/>
      <c r="I11" s="96"/>
      <c r="L11" s="333"/>
      <c r="O11" s="334"/>
    </row>
    <row r="12" s="93" customFormat="1" customHeight="1" spans="1:15">
      <c r="A12" s="339"/>
      <c r="B12" s="196"/>
      <c r="D12" s="337"/>
      <c r="E12" s="337"/>
      <c r="I12" s="96"/>
      <c r="L12" s="333"/>
      <c r="O12" s="334"/>
    </row>
    <row r="13" s="93" customFormat="1" customHeight="1" spans="1:15">
      <c r="A13" s="338" t="s">
        <v>347</v>
      </c>
      <c r="I13" s="96"/>
      <c r="L13" s="333"/>
      <c r="O13" s="334"/>
    </row>
    <row r="14" s="93" customFormat="1" ht="42.6" customHeight="1" spans="1:15">
      <c r="A14" s="340" t="s">
        <v>348</v>
      </c>
      <c r="B14" s="341" t="s">
        <v>349</v>
      </c>
      <c r="C14" s="341" t="s">
        <v>350</v>
      </c>
      <c r="D14" s="341" t="s">
        <v>351</v>
      </c>
      <c r="E14" s="341" t="s">
        <v>352</v>
      </c>
      <c r="F14" s="342" t="s">
        <v>353</v>
      </c>
      <c r="G14" s="342" t="s">
        <v>354</v>
      </c>
      <c r="H14" s="342" t="s">
        <v>355</v>
      </c>
      <c r="I14" s="342" t="s">
        <v>356</v>
      </c>
      <c r="J14" s="342" t="s">
        <v>357</v>
      </c>
      <c r="K14" s="342" t="s">
        <v>358</v>
      </c>
      <c r="L14" s="333"/>
      <c r="O14" s="334"/>
    </row>
    <row r="15" s="93" customFormat="1" customHeight="1" spans="1:15">
      <c r="A15" s="343">
        <v>1</v>
      </c>
      <c r="B15" s="344" t="s">
        <v>359</v>
      </c>
      <c r="C15" s="345"/>
      <c r="D15" s="346"/>
      <c r="E15" s="347"/>
      <c r="F15" s="348"/>
      <c r="G15" s="348"/>
      <c r="H15" s="348"/>
      <c r="I15" s="348"/>
      <c r="J15" s="348"/>
      <c r="K15" s="346"/>
      <c r="L15" s="333"/>
      <c r="O15" s="334"/>
    </row>
    <row r="16" s="93" customFormat="1" customHeight="1" spans="1:15">
      <c r="A16" s="343">
        <v>2</v>
      </c>
      <c r="B16" s="344" t="s">
        <v>360</v>
      </c>
      <c r="C16" s="345"/>
      <c r="D16" s="346"/>
      <c r="E16" s="347"/>
      <c r="F16" s="348"/>
      <c r="G16" s="348"/>
      <c r="H16" s="348"/>
      <c r="I16" s="348"/>
      <c r="J16" s="348"/>
      <c r="K16" s="346"/>
      <c r="L16" s="333"/>
      <c r="O16" s="334"/>
    </row>
    <row r="17" s="93" customFormat="1" customHeight="1" spans="1:15">
      <c r="A17" s="343">
        <v>3</v>
      </c>
      <c r="B17" s="344" t="s">
        <v>361</v>
      </c>
      <c r="C17" s="345"/>
      <c r="D17" s="346"/>
      <c r="E17" s="347"/>
      <c r="F17" s="348"/>
      <c r="G17" s="348"/>
      <c r="H17" s="348"/>
      <c r="I17" s="348"/>
      <c r="J17" s="348"/>
      <c r="K17" s="346"/>
      <c r="L17" s="333"/>
      <c r="O17" s="334"/>
    </row>
    <row r="18" s="93" customFormat="1" customHeight="1" spans="1:15">
      <c r="A18" s="338" t="s">
        <v>362</v>
      </c>
      <c r="B18" s="196"/>
      <c r="D18" s="337"/>
      <c r="E18" s="337"/>
      <c r="I18" s="96"/>
      <c r="L18" s="333"/>
      <c r="O18" s="334"/>
    </row>
    <row r="19" s="93" customFormat="1" customHeight="1" spans="1:15">
      <c r="A19" s="339"/>
      <c r="B19" s="196"/>
      <c r="D19" s="337"/>
      <c r="E19" s="337"/>
      <c r="I19" s="96"/>
      <c r="L19" s="333"/>
      <c r="O19" s="334"/>
    </row>
    <row r="20" s="93" customFormat="1" customHeight="1" spans="1:15">
      <c r="A20" s="338" t="s">
        <v>363</v>
      </c>
      <c r="B20" s="338"/>
      <c r="C20" s="349"/>
      <c r="D20" s="349"/>
      <c r="E20" s="349"/>
      <c r="I20" s="96"/>
      <c r="L20" s="333"/>
      <c r="O20" s="334"/>
    </row>
    <row r="21" s="93" customFormat="1" customHeight="1" spans="1:15">
      <c r="A21" s="340" t="s">
        <v>348</v>
      </c>
      <c r="B21" s="341" t="s">
        <v>349</v>
      </c>
      <c r="C21" s="341" t="s">
        <v>364</v>
      </c>
      <c r="D21" s="341" t="s">
        <v>365</v>
      </c>
      <c r="E21" s="341" t="s">
        <v>352</v>
      </c>
      <c r="I21" s="96"/>
      <c r="L21" s="333"/>
      <c r="O21" s="334"/>
    </row>
    <row r="22" s="93" customFormat="1" customHeight="1" spans="1:15">
      <c r="A22" s="343">
        <v>1</v>
      </c>
      <c r="B22" s="350" t="s">
        <v>366</v>
      </c>
      <c r="C22" s="345"/>
      <c r="D22" s="346"/>
      <c r="E22" s="347"/>
      <c r="I22" s="96"/>
      <c r="L22" s="333"/>
      <c r="O22" s="334"/>
    </row>
    <row r="23" s="93" customFormat="1" customHeight="1" spans="1:15">
      <c r="A23" s="343">
        <v>2</v>
      </c>
      <c r="B23" s="350" t="s">
        <v>367</v>
      </c>
      <c r="C23" s="345"/>
      <c r="D23" s="346"/>
      <c r="E23" s="347"/>
      <c r="I23" s="96"/>
      <c r="L23" s="333"/>
      <c r="O23" s="334"/>
    </row>
    <row r="24" s="93" customFormat="1" customHeight="1" spans="1:15">
      <c r="A24" s="343">
        <v>3</v>
      </c>
      <c r="B24" s="350" t="s">
        <v>368</v>
      </c>
      <c r="C24" s="345"/>
      <c r="D24" s="346"/>
      <c r="E24" s="347"/>
      <c r="I24" s="96"/>
      <c r="L24" s="333"/>
      <c r="O24" s="334"/>
    </row>
    <row r="25" s="317" customFormat="1" customHeight="1" spans="1:15">
      <c r="A25" s="351" t="s">
        <v>297</v>
      </c>
    </row>
    <row r="26" customHeight="1" spans="1:15">
      <c r="A26" s="97"/>
    </row>
    <row r="27" customHeight="1" spans="1:15">
      <c r="A27" s="351" t="s">
        <v>369</v>
      </c>
    </row>
  </sheetData>
  <mergeCells count="2">
    <mergeCell ref="A1:K1"/>
    <mergeCell ref="A2:K2"/>
  </mergeCells>
  <dataValidations count="1">
    <dataValidation type="list" allowBlank="1" showInputMessage="1" showErrorMessage="1" sqref="F15:J17">
      <formula1>"√,×"</formula1>
    </dataValidation>
  </dataValidations>
  <hyperlinks>
    <hyperlink ref="K3" location="底稿目录!A1" display="=底稿目录!F12"/>
  </hyperlinks>
  <printOptions horizontalCentered="1"/>
  <pageMargins left="0.708661417322835" right="0.708661417322835" top="0.748031496062992" bottom="0.748031496062992" header="0.31496062992126" footer="0.31496062992126"/>
  <pageSetup paperSize="9" scale="84" orientation="landscape" blackAndWhite="1"/>
  <headerFooter>
    <oddFooter>&amp;C&amp;P/&amp;N</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pageSetUpPr fitToPage="1"/>
  </sheetPr>
  <dimension ref="A1:U46"/>
  <sheetViews>
    <sheetView view="pageBreakPreview" zoomScale="85" zoomScaleNormal="100" topLeftCell="A19" workbookViewId="0">
      <selection activeCell="K32" sqref="K32"/>
    </sheetView>
  </sheetViews>
  <sheetFormatPr defaultColWidth="9" defaultRowHeight="19.95" customHeight="1"/>
  <cols>
    <col min="1" max="1" width="7.7" style="93" customWidth="1"/>
    <col min="2" max="2" width="13.3" style="93" customWidth="1"/>
    <col min="3" max="3" width="14.8" style="93" customWidth="1"/>
    <col min="4" max="4" width="8.1" style="93" customWidth="1"/>
    <col min="5" max="5" width="12.6" style="93" customWidth="1"/>
    <col min="6" max="6" width="7.7" style="93" customWidth="1"/>
    <col min="7" max="8" width="8.5" style="93" customWidth="1"/>
    <col min="9" max="10" width="8.6" style="93" customWidth="1"/>
    <col min="11" max="11" width="10.5" style="93" customWidth="1"/>
    <col min="12" max="12" width="24.2" style="93" customWidth="1"/>
    <col min="13" max="17" width="4.6" style="93" customWidth="1"/>
    <col min="18" max="18" width="10.5" style="93" customWidth="1"/>
    <col min="19" max="19" width="6.4" style="93" customWidth="1"/>
    <col min="20" max="20" width="10.9" style="93" customWidth="1"/>
    <col min="21" max="16384" width="9" style="93"/>
  </cols>
  <sheetData>
    <row r="1" s="240" customFormat="1" customHeight="1" spans="1:21">
      <c r="A1" s="244" t="s">
        <v>59</v>
      </c>
      <c r="B1" s="244"/>
      <c r="C1" s="244"/>
      <c r="D1" s="244"/>
      <c r="E1" s="244"/>
      <c r="F1" s="244"/>
      <c r="G1" s="244"/>
      <c r="H1" s="244"/>
      <c r="I1" s="244"/>
      <c r="J1" s="244"/>
      <c r="K1" s="245"/>
      <c r="L1" s="245"/>
      <c r="M1" s="245"/>
      <c r="N1" s="245"/>
      <c r="O1" s="245"/>
      <c r="P1" s="245"/>
      <c r="Q1" s="245"/>
      <c r="R1" s="245"/>
      <c r="S1" s="245"/>
      <c r="T1" s="245"/>
    </row>
    <row r="2" s="241" customFormat="1" customHeight="1" spans="1:21">
      <c r="A2" s="298" t="s">
        <v>370</v>
      </c>
      <c r="B2" s="246"/>
      <c r="C2" s="246"/>
      <c r="D2" s="246"/>
      <c r="E2" s="246"/>
      <c r="F2" s="246"/>
      <c r="G2" s="246"/>
      <c r="H2" s="246"/>
      <c r="I2" s="246"/>
      <c r="J2" s="246"/>
      <c r="K2" s="247"/>
      <c r="L2" s="247"/>
      <c r="M2" s="247"/>
      <c r="N2" s="247"/>
      <c r="O2" s="247"/>
      <c r="P2" s="247"/>
      <c r="Q2" s="247"/>
      <c r="R2" s="247"/>
      <c r="S2" s="247"/>
      <c r="T2" s="247"/>
    </row>
    <row r="3" customHeight="1" spans="1:21">
      <c r="A3" s="6" t="s">
        <v>1</v>
      </c>
      <c r="B3" s="6"/>
      <c r="C3" s="6"/>
      <c r="D3" s="6"/>
      <c r="E3" s="6" t="s">
        <v>9</v>
      </c>
      <c r="F3" s="6"/>
      <c r="G3" s="6"/>
      <c r="H3" s="6"/>
      <c r="K3" s="6" t="s">
        <v>15</v>
      </c>
      <c r="L3" s="6"/>
      <c r="M3" s="6"/>
      <c r="N3" s="6"/>
      <c r="O3" s="6"/>
      <c r="P3" s="6"/>
      <c r="Q3" s="6"/>
      <c r="R3" s="6"/>
      <c r="S3" s="12" t="s">
        <v>61</v>
      </c>
      <c r="T3" s="13" t="str">
        <f>底稿目录!F13</f>
        <v>H3-5</v>
      </c>
    </row>
    <row r="4" customHeight="1" spans="1:21">
      <c r="A4" s="6" t="s">
        <v>371</v>
      </c>
      <c r="B4" s="6"/>
      <c r="C4" s="6"/>
      <c r="D4" s="6"/>
      <c r="E4" s="6" t="s">
        <v>12</v>
      </c>
      <c r="F4" s="6"/>
      <c r="G4" s="6"/>
      <c r="H4" s="6"/>
      <c r="K4" s="6" t="s">
        <v>17</v>
      </c>
      <c r="L4" s="6"/>
      <c r="M4" s="6"/>
      <c r="N4" s="6"/>
      <c r="O4" s="6"/>
      <c r="P4" s="6"/>
      <c r="Q4" s="6"/>
      <c r="R4" s="6"/>
      <c r="S4" s="12" t="s">
        <v>62</v>
      </c>
      <c r="T4" s="14"/>
    </row>
    <row r="5" s="70" customFormat="1" customHeight="1" spans="1:21">
      <c r="A5" s="73" t="s">
        <v>372</v>
      </c>
      <c r="B5" s="155"/>
      <c r="C5" s="155"/>
      <c r="D5" s="155"/>
      <c r="E5" s="155"/>
      <c r="F5" s="155"/>
      <c r="G5" s="155"/>
      <c r="H5" s="155"/>
      <c r="I5" s="155"/>
      <c r="J5" s="155"/>
      <c r="K5" s="155"/>
      <c r="L5" s="155"/>
      <c r="M5" s="155"/>
      <c r="N5" s="155"/>
      <c r="O5" s="155"/>
      <c r="P5" s="155"/>
      <c r="Q5" s="155"/>
      <c r="R5" s="155"/>
      <c r="S5" s="155"/>
      <c r="T5" s="155"/>
    </row>
    <row r="6" s="70" customFormat="1" customHeight="1" spans="1:21">
      <c r="A6" s="158" t="s">
        <v>373</v>
      </c>
      <c r="B6" s="157"/>
      <c r="C6" s="157"/>
      <c r="D6" s="157"/>
      <c r="E6" s="157"/>
      <c r="F6" s="157"/>
      <c r="G6" s="157"/>
      <c r="H6" s="157"/>
      <c r="I6" s="157"/>
      <c r="J6" s="157"/>
      <c r="K6" s="157"/>
      <c r="L6" s="157"/>
      <c r="M6" s="157"/>
      <c r="N6" s="157"/>
      <c r="O6" s="157"/>
      <c r="P6" s="157"/>
      <c r="Q6" s="157"/>
      <c r="R6" s="157"/>
      <c r="S6" s="157"/>
      <c r="T6" s="157"/>
    </row>
    <row r="7" s="70" customFormat="1" customHeight="1" spans="1:21">
      <c r="A7" s="158" t="s">
        <v>374</v>
      </c>
      <c r="B7" s="157"/>
      <c r="C7" s="157"/>
      <c r="D7" s="157"/>
      <c r="E7" s="157"/>
      <c r="F7" s="157"/>
      <c r="G7" s="157"/>
      <c r="H7" s="157"/>
      <c r="I7" s="157"/>
      <c r="J7" s="157"/>
      <c r="K7" s="157"/>
      <c r="L7" s="157"/>
      <c r="M7" s="157"/>
      <c r="N7" s="157"/>
      <c r="O7" s="157"/>
      <c r="P7" s="157"/>
      <c r="Q7" s="157"/>
      <c r="R7" s="157"/>
      <c r="S7" s="157"/>
      <c r="T7" s="157"/>
    </row>
    <row r="8" s="70" customFormat="1" customHeight="1" spans="1:21">
      <c r="A8" s="249" t="s">
        <v>375</v>
      </c>
      <c r="B8" s="249"/>
      <c r="C8" s="249"/>
      <c r="D8" s="249"/>
      <c r="E8" s="249"/>
      <c r="F8" s="249"/>
      <c r="G8" s="249"/>
      <c r="H8" s="249"/>
      <c r="I8" s="249"/>
      <c r="J8" s="249"/>
      <c r="K8" s="249"/>
      <c r="L8" s="249"/>
      <c r="M8" s="249"/>
      <c r="N8" s="249"/>
      <c r="O8" s="249"/>
      <c r="P8" s="249"/>
      <c r="Q8" s="249"/>
      <c r="R8" s="249"/>
      <c r="S8" s="249"/>
    </row>
    <row r="9" s="46" customFormat="1" customHeight="1" spans="1:21">
      <c r="A9" s="250" t="s">
        <v>376</v>
      </c>
      <c r="B9" s="159" t="s">
        <v>377</v>
      </c>
      <c r="C9" s="251"/>
      <c r="D9" s="251"/>
      <c r="E9" s="251"/>
      <c r="F9" s="250"/>
      <c r="G9" s="159"/>
      <c r="H9" s="251"/>
      <c r="I9" s="250" t="s">
        <v>378</v>
      </c>
      <c r="J9" s="159" t="s">
        <v>379</v>
      </c>
      <c r="K9" s="251"/>
      <c r="L9" s="251"/>
      <c r="M9" s="251"/>
      <c r="N9" s="251"/>
      <c r="O9" s="251"/>
      <c r="P9" s="251"/>
      <c r="Q9" s="251"/>
      <c r="R9" s="251"/>
      <c r="S9" s="299"/>
    </row>
    <row r="10" s="46" customFormat="1" customHeight="1" spans="1:21">
      <c r="A10" s="250" t="s">
        <v>380</v>
      </c>
      <c r="B10" s="159" t="s">
        <v>381</v>
      </c>
      <c r="C10" s="251"/>
      <c r="D10" s="251"/>
      <c r="E10" s="251"/>
      <c r="F10" s="250"/>
      <c r="G10" s="159"/>
      <c r="H10" s="251"/>
      <c r="I10" s="250" t="s">
        <v>382</v>
      </c>
      <c r="J10" s="159"/>
      <c r="K10" s="159" t="s">
        <v>383</v>
      </c>
      <c r="L10" s="159" t="s">
        <v>384</v>
      </c>
      <c r="M10" s="251"/>
      <c r="N10" s="159"/>
      <c r="O10" s="159"/>
      <c r="P10" s="251"/>
      <c r="Q10" s="251"/>
      <c r="R10" s="251"/>
      <c r="S10" s="299"/>
    </row>
    <row r="11" s="46" customFormat="1" customHeight="1" spans="1:21">
      <c r="A11" s="250" t="s">
        <v>385</v>
      </c>
      <c r="B11" s="161" t="s">
        <v>386</v>
      </c>
      <c r="C11" s="251"/>
      <c r="D11" s="251"/>
      <c r="E11" s="251"/>
      <c r="F11" s="250"/>
      <c r="G11" s="159"/>
      <c r="H11" s="251"/>
      <c r="I11" s="250" t="s">
        <v>387</v>
      </c>
      <c r="J11" s="159" t="s">
        <v>388</v>
      </c>
      <c r="K11" s="251"/>
      <c r="L11" s="251"/>
      <c r="M11" s="251"/>
      <c r="N11" s="250"/>
      <c r="O11" s="159"/>
      <c r="P11" s="251"/>
      <c r="Q11" s="251"/>
      <c r="R11" s="251"/>
      <c r="S11" s="299"/>
    </row>
    <row r="12" s="71" customFormat="1" customHeight="1" spans="1:21">
      <c r="A12" s="75" t="s">
        <v>389</v>
      </c>
      <c r="B12" s="256"/>
      <c r="C12" s="256"/>
      <c r="D12" s="256"/>
      <c r="E12" s="256"/>
      <c r="F12" s="256"/>
      <c r="G12" s="256"/>
      <c r="H12" s="257"/>
      <c r="I12" s="257"/>
      <c r="J12" s="257"/>
      <c r="K12" s="257"/>
      <c r="L12" s="257"/>
      <c r="M12" s="257"/>
      <c r="N12" s="257"/>
      <c r="O12" s="257"/>
      <c r="P12" s="257"/>
      <c r="Q12" s="257"/>
      <c r="R12" s="257"/>
    </row>
    <row r="13" s="71" customFormat="1" customHeight="1" spans="1:21">
      <c r="A13" s="255" t="s">
        <v>390</v>
      </c>
      <c r="B13" s="256"/>
      <c r="C13" s="256"/>
      <c r="D13" s="256"/>
      <c r="E13" s="256"/>
      <c r="F13" s="256"/>
      <c r="G13" s="256"/>
      <c r="H13" s="257"/>
      <c r="I13" s="257"/>
      <c r="J13" s="257"/>
      <c r="K13" s="257"/>
      <c r="L13" s="257"/>
      <c r="M13" s="257"/>
      <c r="N13" s="257"/>
      <c r="O13" s="257"/>
      <c r="P13" s="257"/>
      <c r="Q13" s="257"/>
      <c r="R13" s="257"/>
    </row>
    <row r="14" s="242" customFormat="1" customHeight="1" spans="1:21">
      <c r="A14" s="23" t="s">
        <v>5</v>
      </c>
      <c r="B14" s="172" t="s">
        <v>275</v>
      </c>
      <c r="C14" s="172" t="s">
        <v>276</v>
      </c>
      <c r="D14" s="172" t="s">
        <v>391</v>
      </c>
      <c r="E14" s="172" t="s">
        <v>392</v>
      </c>
      <c r="F14" s="77" t="s">
        <v>393</v>
      </c>
      <c r="G14" s="77" t="s">
        <v>394</v>
      </c>
      <c r="H14" s="258" t="s">
        <v>395</v>
      </c>
      <c r="I14" s="258"/>
      <c r="J14" s="258"/>
      <c r="K14" s="258"/>
      <c r="L14" s="259" t="s">
        <v>396</v>
      </c>
      <c r="M14" s="260" t="s">
        <v>397</v>
      </c>
      <c r="N14" s="261"/>
      <c r="O14" s="261"/>
      <c r="P14" s="261"/>
      <c r="Q14" s="261"/>
      <c r="R14" s="262" t="s">
        <v>398</v>
      </c>
      <c r="S14" s="263" t="s">
        <v>399</v>
      </c>
      <c r="T14" s="264" t="s">
        <v>400</v>
      </c>
      <c r="U14" s="300"/>
    </row>
    <row r="15" s="242" customFormat="1" ht="13" spans="1:21">
      <c r="A15" s="23"/>
      <c r="B15" s="172"/>
      <c r="C15" s="172"/>
      <c r="D15" s="172"/>
      <c r="E15" s="172"/>
      <c r="F15" s="77"/>
      <c r="G15" s="77"/>
      <c r="H15" s="258" t="s">
        <v>401</v>
      </c>
      <c r="I15" s="172" t="s">
        <v>402</v>
      </c>
      <c r="J15" s="172" t="s">
        <v>279</v>
      </c>
      <c r="K15" s="172" t="s">
        <v>403</v>
      </c>
      <c r="L15" s="265"/>
      <c r="M15" s="266">
        <v>1</v>
      </c>
      <c r="N15" s="266">
        <v>2</v>
      </c>
      <c r="O15" s="266">
        <v>3</v>
      </c>
      <c r="P15" s="266">
        <v>4</v>
      </c>
      <c r="Q15" s="266">
        <v>5</v>
      </c>
      <c r="R15" s="262"/>
      <c r="S15" s="267"/>
      <c r="T15" s="268"/>
    </row>
    <row r="16" customHeight="1" spans="1:21">
      <c r="A16" s="201">
        <v>1</v>
      </c>
      <c r="B16" s="270"/>
      <c r="C16" s="271"/>
      <c r="D16" s="301"/>
      <c r="E16" s="273"/>
      <c r="F16" s="274"/>
      <c r="G16" s="271"/>
      <c r="H16" s="275"/>
      <c r="I16" s="275"/>
      <c r="J16" s="275"/>
      <c r="K16" s="276">
        <f>H16-I16-J16</f>
        <v>0</v>
      </c>
      <c r="L16" s="277" t="s">
        <v>404</v>
      </c>
      <c r="M16" s="123"/>
      <c r="N16" s="123"/>
      <c r="O16" s="123"/>
      <c r="P16" s="123"/>
      <c r="Q16" s="123"/>
      <c r="R16" s="278"/>
      <c r="S16" s="279"/>
      <c r="T16" s="279"/>
    </row>
    <row r="17" customHeight="1" spans="1:20">
      <c r="A17" s="201">
        <v>2</v>
      </c>
      <c r="B17" s="270"/>
      <c r="C17" s="271"/>
      <c r="D17" s="301"/>
      <c r="E17" s="273"/>
      <c r="F17" s="274"/>
      <c r="G17" s="271"/>
      <c r="H17" s="275"/>
      <c r="I17" s="275"/>
      <c r="J17" s="275"/>
      <c r="K17" s="276">
        <f t="shared" ref="K17:K31" si="0">H17-I17-J17</f>
        <v>0</v>
      </c>
      <c r="L17" s="278"/>
      <c r="M17" s="123"/>
      <c r="N17" s="123"/>
      <c r="O17" s="123"/>
      <c r="P17" s="123"/>
      <c r="Q17" s="123"/>
      <c r="R17" s="278"/>
      <c r="S17" s="279"/>
      <c r="T17" s="279"/>
    </row>
    <row r="18" customHeight="1" spans="1:20">
      <c r="A18" s="201">
        <v>3</v>
      </c>
      <c r="B18" s="270"/>
      <c r="C18" s="271"/>
      <c r="D18" s="301"/>
      <c r="E18" s="273"/>
      <c r="F18" s="274"/>
      <c r="G18" s="271"/>
      <c r="H18" s="275"/>
      <c r="I18" s="275"/>
      <c r="J18" s="275"/>
      <c r="K18" s="276">
        <f t="shared" si="0"/>
        <v>0</v>
      </c>
      <c r="L18" s="278"/>
      <c r="M18" s="123"/>
      <c r="N18" s="123"/>
      <c r="O18" s="123"/>
      <c r="P18" s="123"/>
      <c r="Q18" s="123"/>
      <c r="R18" s="278"/>
      <c r="S18" s="279"/>
      <c r="T18" s="279"/>
    </row>
    <row r="19" customHeight="1" spans="1:20">
      <c r="A19" s="201">
        <v>4</v>
      </c>
      <c r="B19" s="270"/>
      <c r="C19" s="271"/>
      <c r="D19" s="301"/>
      <c r="E19" s="273"/>
      <c r="F19" s="274"/>
      <c r="G19" s="271"/>
      <c r="H19" s="275"/>
      <c r="I19" s="275"/>
      <c r="J19" s="275"/>
      <c r="K19" s="276">
        <f t="shared" si="0"/>
        <v>0</v>
      </c>
      <c r="L19" s="278"/>
      <c r="M19" s="123"/>
      <c r="N19" s="123"/>
      <c r="O19" s="123"/>
      <c r="P19" s="123"/>
      <c r="Q19" s="123"/>
      <c r="R19" s="278"/>
      <c r="S19" s="279"/>
      <c r="T19" s="279"/>
    </row>
    <row r="20" customHeight="1" spans="1:20">
      <c r="A20" s="201">
        <v>5</v>
      </c>
      <c r="B20" s="270"/>
      <c r="C20" s="271"/>
      <c r="D20" s="301"/>
      <c r="E20" s="273"/>
      <c r="F20" s="274"/>
      <c r="G20" s="271"/>
      <c r="H20" s="275"/>
      <c r="I20" s="275"/>
      <c r="J20" s="275"/>
      <c r="K20" s="276">
        <f t="shared" si="0"/>
        <v>0</v>
      </c>
      <c r="L20" s="278"/>
      <c r="M20" s="123"/>
      <c r="N20" s="123"/>
      <c r="O20" s="123"/>
      <c r="P20" s="123"/>
      <c r="Q20" s="123"/>
      <c r="R20" s="278"/>
      <c r="S20" s="279"/>
      <c r="T20" s="279"/>
    </row>
    <row r="21" customHeight="1" spans="1:20">
      <c r="A21" s="201">
        <v>6</v>
      </c>
      <c r="B21" s="270"/>
      <c r="C21" s="271"/>
      <c r="D21" s="301"/>
      <c r="E21" s="273"/>
      <c r="F21" s="274"/>
      <c r="G21" s="271"/>
      <c r="H21" s="275"/>
      <c r="I21" s="275"/>
      <c r="J21" s="275"/>
      <c r="K21" s="276">
        <f t="shared" si="0"/>
        <v>0</v>
      </c>
      <c r="L21" s="278"/>
      <c r="M21" s="123"/>
      <c r="N21" s="123"/>
      <c r="O21" s="123"/>
      <c r="P21" s="123"/>
      <c r="Q21" s="123"/>
      <c r="R21" s="278"/>
      <c r="S21" s="279"/>
      <c r="T21" s="279"/>
    </row>
    <row r="22" hidden="1" customHeight="1" spans="1:20">
      <c r="A22" s="201">
        <v>7</v>
      </c>
      <c r="B22" s="270"/>
      <c r="C22" s="271"/>
      <c r="D22" s="301"/>
      <c r="E22" s="273"/>
      <c r="F22" s="274"/>
      <c r="G22" s="271"/>
      <c r="H22" s="275"/>
      <c r="I22" s="275"/>
      <c r="J22" s="275"/>
      <c r="K22" s="276">
        <f t="shared" si="0"/>
        <v>0</v>
      </c>
      <c r="L22" s="278"/>
      <c r="M22" s="123"/>
      <c r="N22" s="123"/>
      <c r="O22" s="123"/>
      <c r="P22" s="123"/>
      <c r="Q22" s="123"/>
      <c r="R22" s="278"/>
      <c r="S22" s="279"/>
      <c r="T22" s="279"/>
    </row>
    <row r="23" hidden="1" customHeight="1" spans="1:20">
      <c r="A23" s="201">
        <v>8</v>
      </c>
      <c r="B23" s="270"/>
      <c r="C23" s="271"/>
      <c r="D23" s="301"/>
      <c r="E23" s="273"/>
      <c r="F23" s="274"/>
      <c r="G23" s="271"/>
      <c r="H23" s="275"/>
      <c r="I23" s="275"/>
      <c r="J23" s="275"/>
      <c r="K23" s="276">
        <f t="shared" si="0"/>
        <v>0</v>
      </c>
      <c r="L23" s="278"/>
      <c r="M23" s="123"/>
      <c r="N23" s="123"/>
      <c r="O23" s="123"/>
      <c r="P23" s="123"/>
      <c r="Q23" s="123"/>
      <c r="R23" s="278"/>
      <c r="S23" s="279"/>
      <c r="T23" s="279"/>
    </row>
    <row r="24" hidden="1" customHeight="1" spans="1:20">
      <c r="A24" s="201">
        <v>9</v>
      </c>
      <c r="B24" s="270"/>
      <c r="C24" s="271"/>
      <c r="D24" s="301"/>
      <c r="E24" s="273"/>
      <c r="F24" s="274"/>
      <c r="G24" s="271"/>
      <c r="H24" s="275"/>
      <c r="I24" s="275"/>
      <c r="J24" s="275"/>
      <c r="K24" s="276">
        <f t="shared" si="0"/>
        <v>0</v>
      </c>
      <c r="L24" s="278"/>
      <c r="M24" s="123"/>
      <c r="N24" s="123"/>
      <c r="O24" s="123"/>
      <c r="P24" s="123"/>
      <c r="Q24" s="123"/>
      <c r="R24" s="278"/>
      <c r="S24" s="279"/>
      <c r="T24" s="279"/>
    </row>
    <row r="25" hidden="1" customHeight="1" spans="1:20">
      <c r="A25" s="201">
        <v>10</v>
      </c>
      <c r="B25" s="270"/>
      <c r="C25" s="271"/>
      <c r="D25" s="301"/>
      <c r="E25" s="273"/>
      <c r="F25" s="274"/>
      <c r="G25" s="271"/>
      <c r="H25" s="275"/>
      <c r="I25" s="275"/>
      <c r="J25" s="275"/>
      <c r="K25" s="276">
        <f t="shared" si="0"/>
        <v>0</v>
      </c>
      <c r="L25" s="278"/>
      <c r="M25" s="123"/>
      <c r="N25" s="123"/>
      <c r="O25" s="123"/>
      <c r="P25" s="123"/>
      <c r="Q25" s="123"/>
      <c r="R25" s="278"/>
      <c r="S25" s="279"/>
      <c r="T25" s="279"/>
    </row>
    <row r="26" hidden="1" customHeight="1" spans="1:20">
      <c r="A26" s="201">
        <v>11</v>
      </c>
      <c r="B26" s="270"/>
      <c r="C26" s="271"/>
      <c r="D26" s="301"/>
      <c r="E26" s="273"/>
      <c r="F26" s="274"/>
      <c r="G26" s="271"/>
      <c r="H26" s="275"/>
      <c r="I26" s="275"/>
      <c r="J26" s="275"/>
      <c r="K26" s="276">
        <f t="shared" si="0"/>
        <v>0</v>
      </c>
      <c r="L26" s="278"/>
      <c r="M26" s="123"/>
      <c r="N26" s="123"/>
      <c r="O26" s="123"/>
      <c r="P26" s="123"/>
      <c r="Q26" s="123"/>
      <c r="R26" s="278"/>
      <c r="S26" s="279"/>
      <c r="T26" s="279"/>
    </row>
    <row r="27" hidden="1" customHeight="1" spans="1:20">
      <c r="A27" s="201">
        <v>12</v>
      </c>
      <c r="B27" s="270"/>
      <c r="C27" s="271"/>
      <c r="D27" s="301"/>
      <c r="E27" s="273"/>
      <c r="F27" s="274"/>
      <c r="G27" s="271"/>
      <c r="H27" s="275"/>
      <c r="I27" s="275"/>
      <c r="J27" s="275"/>
      <c r="K27" s="276">
        <f t="shared" si="0"/>
        <v>0</v>
      </c>
      <c r="L27" s="278"/>
      <c r="M27" s="123"/>
      <c r="N27" s="123"/>
      <c r="O27" s="123"/>
      <c r="P27" s="123"/>
      <c r="Q27" s="123"/>
      <c r="R27" s="278"/>
      <c r="S27" s="279"/>
      <c r="T27" s="279"/>
    </row>
    <row r="28" hidden="1" customHeight="1" spans="1:20">
      <c r="A28" s="201">
        <v>13</v>
      </c>
      <c r="B28" s="270"/>
      <c r="C28" s="271"/>
      <c r="D28" s="301"/>
      <c r="E28" s="273"/>
      <c r="F28" s="274"/>
      <c r="G28" s="271"/>
      <c r="H28" s="275"/>
      <c r="I28" s="275"/>
      <c r="J28" s="275"/>
      <c r="K28" s="276">
        <f t="shared" si="0"/>
        <v>0</v>
      </c>
      <c r="L28" s="278"/>
      <c r="M28" s="123"/>
      <c r="N28" s="123"/>
      <c r="O28" s="123"/>
      <c r="P28" s="123"/>
      <c r="Q28" s="123"/>
      <c r="R28" s="278"/>
      <c r="S28" s="279"/>
      <c r="T28" s="279"/>
    </row>
    <row r="29" hidden="1" customHeight="1" spans="1:20">
      <c r="A29" s="201">
        <v>14</v>
      </c>
      <c r="B29" s="270"/>
      <c r="C29" s="271"/>
      <c r="D29" s="301"/>
      <c r="E29" s="273"/>
      <c r="F29" s="274"/>
      <c r="G29" s="271"/>
      <c r="H29" s="275"/>
      <c r="I29" s="275"/>
      <c r="J29" s="275"/>
      <c r="K29" s="276">
        <f t="shared" si="0"/>
        <v>0</v>
      </c>
      <c r="L29" s="278"/>
      <c r="M29" s="123"/>
      <c r="N29" s="123"/>
      <c r="O29" s="123"/>
      <c r="P29" s="123"/>
      <c r="Q29" s="123"/>
      <c r="R29" s="278"/>
      <c r="S29" s="279"/>
      <c r="T29" s="279"/>
    </row>
    <row r="30" hidden="1" customHeight="1" spans="1:20">
      <c r="A30" s="201">
        <v>15</v>
      </c>
      <c r="B30" s="270"/>
      <c r="C30" s="271"/>
      <c r="D30" s="301"/>
      <c r="E30" s="273"/>
      <c r="F30" s="274"/>
      <c r="G30" s="271"/>
      <c r="H30" s="275"/>
      <c r="I30" s="275"/>
      <c r="J30" s="275"/>
      <c r="K30" s="276">
        <f t="shared" si="0"/>
        <v>0</v>
      </c>
      <c r="L30" s="278"/>
      <c r="M30" s="123"/>
      <c r="N30" s="123"/>
      <c r="O30" s="123"/>
      <c r="P30" s="123"/>
      <c r="Q30" s="123"/>
      <c r="R30" s="278"/>
      <c r="S30" s="279"/>
      <c r="T30" s="279"/>
    </row>
    <row r="31" customHeight="1" spans="1:20">
      <c r="A31" s="201" t="s">
        <v>30</v>
      </c>
      <c r="B31" s="270"/>
      <c r="C31" s="271"/>
      <c r="D31" s="301"/>
      <c r="E31" s="273"/>
      <c r="F31" s="274"/>
      <c r="G31" s="271"/>
      <c r="H31" s="275"/>
      <c r="I31" s="275"/>
      <c r="J31" s="275"/>
      <c r="K31" s="276">
        <f t="shared" si="0"/>
        <v>0</v>
      </c>
      <c r="L31" s="278"/>
      <c r="M31" s="123"/>
      <c r="N31" s="123"/>
      <c r="O31" s="123"/>
      <c r="P31" s="123"/>
      <c r="Q31" s="123"/>
      <c r="R31" s="278"/>
      <c r="S31" s="279"/>
      <c r="T31" s="279"/>
    </row>
    <row r="32" customHeight="1" spans="1:20">
      <c r="A32" s="280" t="s">
        <v>295</v>
      </c>
      <c r="B32" s="280"/>
      <c r="C32" s="280"/>
      <c r="D32" s="280"/>
      <c r="E32" s="280"/>
      <c r="F32" s="280"/>
      <c r="G32" s="284"/>
      <c r="H32" s="302">
        <f>SUM(H16:H31)</f>
        <v>0</v>
      </c>
      <c r="I32" s="302">
        <f>SUM(I16:I31)</f>
        <v>0</v>
      </c>
      <c r="J32" s="302">
        <f>SUM(J16:J31)</f>
        <v>0</v>
      </c>
      <c r="K32" s="276">
        <f>SUM(K16:K31)</f>
        <v>0</v>
      </c>
      <c r="L32" s="283"/>
      <c r="M32" s="283"/>
      <c r="N32" s="283"/>
      <c r="O32" s="283"/>
      <c r="P32" s="283"/>
      <c r="Q32" s="283"/>
      <c r="R32" s="283"/>
      <c r="S32" s="283"/>
      <c r="T32" s="283"/>
    </row>
    <row r="33" customHeight="1" spans="1:20">
      <c r="A33" s="280" t="s">
        <v>405</v>
      </c>
      <c r="B33" s="280"/>
      <c r="C33" s="280"/>
      <c r="D33" s="280"/>
      <c r="E33" s="280"/>
      <c r="F33" s="280"/>
      <c r="G33" s="284"/>
      <c r="H33" s="303"/>
      <c r="I33" s="304"/>
      <c r="J33" s="304"/>
      <c r="K33" s="303"/>
      <c r="L33" s="283"/>
      <c r="M33" s="283"/>
      <c r="N33" s="283"/>
      <c r="O33" s="283"/>
      <c r="P33" s="283"/>
      <c r="Q33" s="283"/>
      <c r="R33" s="283"/>
      <c r="S33" s="283"/>
      <c r="T33" s="283"/>
    </row>
    <row r="34" customHeight="1" spans="1:20">
      <c r="A34" s="285" t="s">
        <v>406</v>
      </c>
      <c r="B34" s="280"/>
      <c r="C34" s="280"/>
      <c r="D34" s="280"/>
      <c r="E34" s="280"/>
      <c r="F34" s="280"/>
      <c r="G34" s="284"/>
      <c r="H34" s="305">
        <f>IF(H32=0,0,H32/$H$33)</f>
        <v>0</v>
      </c>
      <c r="I34" s="304"/>
      <c r="J34" s="304"/>
      <c r="K34" s="283"/>
      <c r="L34" s="283"/>
      <c r="M34" s="283"/>
      <c r="N34" s="283"/>
      <c r="O34" s="283"/>
      <c r="P34" s="283"/>
      <c r="Q34" s="283"/>
      <c r="R34" s="283"/>
      <c r="S34" s="283"/>
      <c r="T34" s="283"/>
    </row>
    <row r="35" customHeight="1" spans="1:20">
      <c r="A35" s="286" t="s">
        <v>407</v>
      </c>
      <c r="B35" s="287"/>
      <c r="C35" s="287"/>
      <c r="D35" s="287"/>
      <c r="E35" s="287"/>
      <c r="F35" s="287"/>
      <c r="G35" s="287"/>
      <c r="H35" s="287"/>
      <c r="I35" s="287"/>
      <c r="J35" s="287"/>
      <c r="K35" s="287"/>
      <c r="L35" s="288"/>
      <c r="M35" s="288"/>
      <c r="N35" s="288"/>
      <c r="O35" s="288"/>
      <c r="P35" s="288"/>
      <c r="Q35" s="306"/>
      <c r="R35" s="306"/>
      <c r="S35" s="291"/>
      <c r="T35" s="291"/>
    </row>
    <row r="36" customHeight="1" spans="1:20">
      <c r="A36" s="293" t="s">
        <v>408</v>
      </c>
      <c r="L36" s="307"/>
      <c r="M36" s="307"/>
      <c r="N36" s="307"/>
      <c r="O36" s="307"/>
      <c r="P36" s="307"/>
      <c r="Q36" s="307"/>
      <c r="R36" s="307"/>
      <c r="S36" s="297"/>
      <c r="T36" s="297"/>
    </row>
    <row r="37" s="243" customFormat="1" customHeight="1" spans="1:20">
      <c r="A37" s="293" t="s">
        <v>409</v>
      </c>
      <c r="L37" s="307"/>
      <c r="M37" s="308"/>
      <c r="N37" s="308"/>
      <c r="O37" s="308"/>
      <c r="P37" s="307"/>
      <c r="Q37" s="308"/>
      <c r="R37" s="308"/>
      <c r="S37" s="309"/>
      <c r="T37" s="309"/>
    </row>
    <row r="38" customHeight="1" spans="1:20">
      <c r="A38" s="243" t="s">
        <v>410</v>
      </c>
      <c r="L38" s="307"/>
      <c r="M38" s="307"/>
      <c r="N38" s="307"/>
      <c r="O38" s="307"/>
      <c r="P38" s="307"/>
      <c r="Q38" s="307"/>
      <c r="R38" s="307"/>
      <c r="S38" s="248"/>
    </row>
    <row r="39" customHeight="1" spans="1:20">
      <c r="A39" s="243"/>
      <c r="L39" s="307"/>
      <c r="M39" s="307"/>
      <c r="N39" s="307"/>
      <c r="O39" s="307"/>
      <c r="P39" s="307"/>
      <c r="Q39" s="307"/>
      <c r="R39" s="307"/>
      <c r="S39" s="248"/>
      <c r="T39" s="248"/>
    </row>
    <row r="40" customHeight="1" spans="1:20">
      <c r="A40" s="297"/>
      <c r="B40" s="248"/>
      <c r="C40" s="248"/>
      <c r="D40" s="248"/>
      <c r="E40" s="248"/>
      <c r="F40" s="248"/>
      <c r="G40" s="248"/>
      <c r="H40" s="248"/>
      <c r="I40" s="248"/>
      <c r="J40" s="248"/>
      <c r="K40" s="248"/>
      <c r="L40" s="248"/>
      <c r="M40" s="248"/>
      <c r="N40" s="248"/>
      <c r="O40" s="248"/>
      <c r="P40" s="248"/>
      <c r="Q40" s="248"/>
      <c r="R40" s="248"/>
      <c r="S40" s="248"/>
      <c r="T40" s="248"/>
    </row>
    <row r="41" customHeight="1" spans="1:20">
      <c r="A41" s="310" t="s">
        <v>299</v>
      </c>
      <c r="B41" s="248"/>
      <c r="C41" s="248"/>
      <c r="D41" s="248"/>
      <c r="E41" s="248"/>
      <c r="F41" s="248"/>
      <c r="G41" s="248"/>
      <c r="H41" s="248"/>
      <c r="I41" s="248"/>
      <c r="J41" s="248"/>
      <c r="K41" s="248"/>
      <c r="L41" s="248"/>
      <c r="M41" s="248"/>
      <c r="N41" s="248"/>
      <c r="O41" s="248"/>
      <c r="P41" s="248"/>
      <c r="Q41" s="248"/>
      <c r="R41" s="248"/>
      <c r="S41" s="248"/>
      <c r="T41" s="248"/>
    </row>
    <row r="42" customHeight="1" spans="1:20">
      <c r="A42" s="311" t="s">
        <v>411</v>
      </c>
      <c r="B42" s="248"/>
      <c r="C42" s="248"/>
      <c r="D42" s="248"/>
      <c r="E42" s="248"/>
      <c r="F42" s="248"/>
      <c r="G42" s="248"/>
      <c r="H42" s="248"/>
      <c r="I42" s="248"/>
      <c r="J42" s="248"/>
      <c r="K42" s="248"/>
      <c r="L42" s="248"/>
      <c r="M42" s="248"/>
      <c r="N42" s="248"/>
      <c r="O42" s="248"/>
      <c r="P42" s="248"/>
      <c r="Q42" s="248"/>
      <c r="R42" s="248"/>
      <c r="S42" s="248"/>
      <c r="T42" s="248"/>
    </row>
    <row r="43" customHeight="1" spans="1:20">
      <c r="A43" s="312" t="s">
        <v>412</v>
      </c>
    </row>
    <row r="44" customHeight="1" spans="1:20">
      <c r="A44" s="313" t="s">
        <v>413</v>
      </c>
    </row>
    <row r="45" customHeight="1" spans="1:20">
      <c r="A45" s="313" t="s">
        <v>414</v>
      </c>
    </row>
    <row r="46" customHeight="1" spans="1:20">
      <c r="A46" s="314"/>
    </row>
  </sheetData>
  <mergeCells count="18">
    <mergeCell ref="A1:T1"/>
    <mergeCell ref="A2:T2"/>
    <mergeCell ref="H14:K14"/>
    <mergeCell ref="M14:Q14"/>
    <mergeCell ref="A32:F32"/>
    <mergeCell ref="A33:F33"/>
    <mergeCell ref="A34:F34"/>
    <mergeCell ref="A14:A15"/>
    <mergeCell ref="B14:B15"/>
    <mergeCell ref="C14:C15"/>
    <mergeCell ref="D14:D15"/>
    <mergeCell ref="E14:E15"/>
    <mergeCell ref="F14:F15"/>
    <mergeCell ref="G14:G15"/>
    <mergeCell ref="L14:L15"/>
    <mergeCell ref="R14:R15"/>
    <mergeCell ref="S14:S15"/>
    <mergeCell ref="T14:T15"/>
  </mergeCells>
  <dataValidations count="4">
    <dataValidation type="list" allowBlank="1" showInputMessage="1" showErrorMessage="1" prompt="如要修改下列框的选项，单击“数据-数据有效性-设置-序列-来源”。" sqref="B16:B31">
      <formula1>"房屋、建筑物,土地使用权,在建工程"</formula1>
    </dataValidation>
    <dataValidation type="list" allowBlank="1" showInputMessage="1" showErrorMessage="1" prompt="如要修改下列框的选项，单击“数据-数据有效性-设置-序列-来源”。" sqref="E16:E31">
      <formula1>"外购,存货/固定资产/在建工程转入,企业合并增加,其他增加,处置,转入固定资产/存货/无形资产等,其他减少"</formula1>
    </dataValidation>
    <dataValidation type="list" allowBlank="1" showInputMessage="1" showErrorMessage="1" sqref="S32:S34">
      <formula1>"√,×"</formula1>
    </dataValidation>
    <dataValidation type="list" allowBlank="1" showInputMessage="1" showErrorMessage="1" sqref="M16:Q31">
      <formula1>"√,X"</formula1>
    </dataValidation>
  </dataValidations>
  <hyperlinks>
    <hyperlink ref="T3" location="底稿目录!A1" display="=底稿目录!F13"/>
  </hyperlinks>
  <printOptions horizontalCentered="1"/>
  <pageMargins left="0.708661417322835" right="0.708661417322835" top="0.748031496062992" bottom="0.748031496062992" header="0.31496062992126" footer="0.31496062992126"/>
  <pageSetup paperSize="9" scale="66" orientation="landscape" blackAndWhite="1"/>
  <headerFooter>
    <oddFooter>&amp;C&amp;P/&amp;N</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pageSetUpPr fitToPage="1"/>
  </sheetPr>
  <dimension ref="A1:T41"/>
  <sheetViews>
    <sheetView view="pageBreakPreview" zoomScaleNormal="90" topLeftCell="A5" workbookViewId="0">
      <selection activeCell="F38" sqref="F38"/>
    </sheetView>
  </sheetViews>
  <sheetFormatPr defaultColWidth="9" defaultRowHeight="19.95" customHeight="1"/>
  <cols>
    <col min="1" max="1" width="7.7" style="93" customWidth="1"/>
    <col min="2" max="2" width="10.8" style="93" customWidth="1"/>
    <col min="3" max="3" width="16.6" style="93" customWidth="1"/>
    <col min="4" max="4" width="8.3" style="93" customWidth="1"/>
    <col min="5" max="5" width="12.4" style="93" customWidth="1"/>
    <col min="6" max="7" width="13.5" style="93" customWidth="1"/>
    <col min="8" max="8" width="10" style="93" customWidth="1"/>
    <col min="9" max="9" width="11.4" style="93" customWidth="1"/>
    <col min="10" max="10" width="10.7" style="93" customWidth="1"/>
    <col min="11" max="11" width="20.1" style="93" customWidth="1"/>
    <col min="12" max="16" width="4.7" style="93" customWidth="1"/>
    <col min="17" max="17" width="10.4" style="93" customWidth="1"/>
    <col min="18" max="18" width="6.5" style="93" customWidth="1"/>
    <col min="19" max="19" width="14.8" style="93" customWidth="1"/>
    <col min="20" max="16384" width="9" style="93"/>
  </cols>
  <sheetData>
    <row r="1" s="240" customFormat="1" customHeight="1" spans="1:20">
      <c r="A1" s="244" t="s">
        <v>59</v>
      </c>
      <c r="B1" s="244"/>
      <c r="C1" s="244"/>
      <c r="D1" s="244"/>
      <c r="E1" s="244"/>
      <c r="F1" s="244"/>
      <c r="G1" s="244"/>
      <c r="H1" s="244"/>
      <c r="I1" s="244"/>
      <c r="J1" s="244"/>
      <c r="K1" s="245"/>
      <c r="L1" s="245"/>
      <c r="M1" s="245"/>
      <c r="N1" s="245"/>
      <c r="O1" s="245"/>
      <c r="P1" s="245"/>
      <c r="Q1" s="245"/>
      <c r="R1" s="245"/>
      <c r="S1" s="245"/>
    </row>
    <row r="2" s="241" customFormat="1" customHeight="1" spans="1:20">
      <c r="A2" s="246" t="s">
        <v>415</v>
      </c>
      <c r="B2" s="246"/>
      <c r="C2" s="246"/>
      <c r="D2" s="246"/>
      <c r="E2" s="246"/>
      <c r="F2" s="246"/>
      <c r="G2" s="246"/>
      <c r="H2" s="246"/>
      <c r="I2" s="246"/>
      <c r="J2" s="246"/>
      <c r="K2" s="247"/>
      <c r="L2" s="247"/>
      <c r="M2" s="247"/>
      <c r="N2" s="247"/>
      <c r="O2" s="247"/>
      <c r="P2" s="247"/>
      <c r="Q2" s="247"/>
      <c r="R2" s="247"/>
      <c r="S2" s="247"/>
    </row>
    <row r="3" customHeight="1" spans="1:20">
      <c r="A3" s="6" t="s">
        <v>1</v>
      </c>
      <c r="B3" s="6"/>
      <c r="C3" s="6"/>
      <c r="D3" s="6"/>
      <c r="E3" s="6" t="s">
        <v>9</v>
      </c>
      <c r="F3" s="6"/>
      <c r="G3" s="6"/>
      <c r="H3" s="6"/>
      <c r="I3" s="6" t="s">
        <v>15</v>
      </c>
      <c r="K3" s="248"/>
      <c r="R3" s="12" t="s">
        <v>61</v>
      </c>
      <c r="S3" s="13" t="str">
        <f>底稿目录!F14</f>
        <v>H3-5</v>
      </c>
    </row>
    <row r="4" customHeight="1" spans="1:20">
      <c r="A4" s="6" t="s">
        <v>371</v>
      </c>
      <c r="B4" s="6"/>
      <c r="C4" s="6"/>
      <c r="D4" s="6"/>
      <c r="E4" s="6" t="s">
        <v>12</v>
      </c>
      <c r="F4" s="6"/>
      <c r="G4" s="6"/>
      <c r="H4" s="6"/>
      <c r="I4" s="6" t="s">
        <v>17</v>
      </c>
      <c r="K4" s="248"/>
      <c r="R4" s="12" t="s">
        <v>62</v>
      </c>
      <c r="S4" s="14"/>
    </row>
    <row r="5" s="70" customFormat="1" customHeight="1" spans="1:20">
      <c r="A5" s="157" t="s">
        <v>372</v>
      </c>
      <c r="B5" s="157"/>
      <c r="C5" s="157"/>
      <c r="D5" s="157"/>
      <c r="E5" s="157"/>
      <c r="F5" s="157"/>
      <c r="G5" s="157"/>
      <c r="H5" s="157"/>
      <c r="I5" s="157"/>
      <c r="J5" s="157"/>
      <c r="K5" s="157"/>
      <c r="L5" s="157"/>
      <c r="M5" s="157"/>
      <c r="N5" s="157"/>
      <c r="O5" s="157"/>
      <c r="P5" s="157"/>
      <c r="Q5" s="157"/>
      <c r="R5" s="157"/>
      <c r="S5" s="157"/>
      <c r="T5" s="155"/>
    </row>
    <row r="6" s="70" customFormat="1" customHeight="1" spans="1:20">
      <c r="A6" s="158" t="s">
        <v>373</v>
      </c>
      <c r="B6" s="157"/>
      <c r="C6" s="157"/>
      <c r="D6" s="157"/>
      <c r="E6" s="157"/>
      <c r="F6" s="157"/>
      <c r="G6" s="157"/>
      <c r="H6" s="157"/>
      <c r="I6" s="157"/>
      <c r="J6" s="157"/>
      <c r="K6" s="157"/>
      <c r="L6" s="157"/>
      <c r="M6" s="157"/>
      <c r="N6" s="157"/>
      <c r="O6" s="157"/>
      <c r="P6" s="157"/>
      <c r="Q6" s="157"/>
      <c r="R6" s="157"/>
      <c r="S6" s="157"/>
      <c r="T6" s="155"/>
    </row>
    <row r="7" s="70" customFormat="1" customHeight="1" spans="1:20">
      <c r="A7" s="158" t="s">
        <v>374</v>
      </c>
      <c r="B7" s="157"/>
      <c r="C7" s="157"/>
      <c r="D7" s="157"/>
      <c r="E7" s="157"/>
      <c r="F7" s="157"/>
      <c r="G7" s="157"/>
      <c r="H7" s="157"/>
      <c r="I7" s="157"/>
      <c r="J7" s="157"/>
      <c r="K7" s="157"/>
      <c r="L7" s="157"/>
      <c r="M7" s="157"/>
      <c r="N7" s="157"/>
      <c r="O7" s="157"/>
      <c r="P7" s="157"/>
      <c r="Q7" s="157"/>
      <c r="R7" s="157"/>
      <c r="S7" s="157"/>
      <c r="T7" s="155"/>
    </row>
    <row r="8" s="70" customFormat="1" customHeight="1" spans="1:20">
      <c r="A8" s="249" t="s">
        <v>375</v>
      </c>
      <c r="B8" s="249"/>
      <c r="C8" s="249"/>
      <c r="D8" s="249"/>
      <c r="E8" s="249"/>
      <c r="F8" s="249"/>
      <c r="G8" s="249"/>
      <c r="H8" s="249"/>
      <c r="I8" s="249"/>
      <c r="J8" s="249"/>
      <c r="K8" s="249"/>
      <c r="L8" s="249"/>
      <c r="M8" s="157"/>
      <c r="N8" s="157"/>
      <c r="O8" s="157"/>
      <c r="P8" s="157"/>
      <c r="Q8" s="157"/>
      <c r="R8" s="157"/>
      <c r="S8" s="157"/>
      <c r="T8" s="155"/>
    </row>
    <row r="9" s="70" customFormat="1" customHeight="1" spans="1:20">
      <c r="A9" s="250" t="s">
        <v>376</v>
      </c>
      <c r="B9" s="159" t="s">
        <v>377</v>
      </c>
      <c r="C9" s="251"/>
      <c r="D9" s="251"/>
      <c r="E9" s="251"/>
      <c r="F9" s="250"/>
      <c r="G9" s="159"/>
      <c r="H9" s="251"/>
      <c r="I9" s="250" t="s">
        <v>378</v>
      </c>
      <c r="J9" s="159" t="s">
        <v>379</v>
      </c>
      <c r="K9" s="251"/>
      <c r="L9" s="251"/>
      <c r="M9" s="157"/>
      <c r="N9" s="157"/>
      <c r="O9" s="157"/>
      <c r="P9" s="157"/>
      <c r="Q9" s="157"/>
      <c r="R9" s="157"/>
      <c r="S9" s="157"/>
      <c r="T9" s="155"/>
    </row>
    <row r="10" s="70" customFormat="1" customHeight="1" spans="1:20">
      <c r="A10" s="250" t="s">
        <v>380</v>
      </c>
      <c r="B10" s="159" t="s">
        <v>381</v>
      </c>
      <c r="C10" s="251"/>
      <c r="D10" s="251"/>
      <c r="E10" s="251"/>
      <c r="F10" s="250"/>
      <c r="G10" s="159"/>
      <c r="H10" s="251"/>
      <c r="I10" s="250" t="s">
        <v>382</v>
      </c>
      <c r="J10" s="159"/>
      <c r="K10" s="159" t="s">
        <v>383</v>
      </c>
      <c r="L10" s="159" t="s">
        <v>384</v>
      </c>
      <c r="M10" s="157"/>
      <c r="N10" s="157"/>
      <c r="O10" s="157"/>
      <c r="P10" s="157"/>
      <c r="Q10" s="157"/>
      <c r="R10" s="157"/>
      <c r="S10" s="157"/>
      <c r="T10" s="155"/>
    </row>
    <row r="11" s="70" customFormat="1" customHeight="1" spans="1:20">
      <c r="A11" s="250" t="s">
        <v>385</v>
      </c>
      <c r="B11" s="161" t="s">
        <v>386</v>
      </c>
      <c r="C11" s="251"/>
      <c r="D11" s="251"/>
      <c r="E11" s="251"/>
      <c r="F11" s="250"/>
      <c r="G11" s="159"/>
      <c r="H11" s="251"/>
      <c r="I11" s="250" t="s">
        <v>387</v>
      </c>
      <c r="J11" s="159" t="s">
        <v>388</v>
      </c>
      <c r="K11" s="251"/>
      <c r="L11" s="251"/>
      <c r="M11" s="157"/>
      <c r="N11" s="157"/>
      <c r="O11" s="157"/>
      <c r="P11" s="157"/>
      <c r="Q11" s="157"/>
      <c r="R11" s="157"/>
      <c r="S11" s="157"/>
      <c r="T11" s="155"/>
    </row>
    <row r="12" s="70" customFormat="1" customHeight="1" spans="1:20">
      <c r="A12" s="73" t="s">
        <v>389</v>
      </c>
      <c r="B12" s="252"/>
      <c r="C12" s="253"/>
      <c r="D12" s="252"/>
      <c r="E12" s="252"/>
      <c r="F12" s="252"/>
      <c r="G12" s="252"/>
      <c r="H12" s="254"/>
      <c r="I12" s="254"/>
      <c r="J12" s="254"/>
    </row>
    <row r="13" s="71" customFormat="1" customHeight="1" spans="1:20">
      <c r="A13" s="255" t="s">
        <v>390</v>
      </c>
      <c r="B13" s="256"/>
      <c r="C13" s="256"/>
      <c r="D13" s="256"/>
      <c r="E13" s="256"/>
      <c r="F13" s="256"/>
      <c r="G13" s="256"/>
      <c r="H13" s="257"/>
      <c r="I13" s="257"/>
      <c r="J13" s="257"/>
    </row>
    <row r="14" s="242" customFormat="1" customHeight="1" spans="1:20">
      <c r="A14" s="23" t="s">
        <v>5</v>
      </c>
      <c r="B14" s="172" t="s">
        <v>275</v>
      </c>
      <c r="C14" s="172" t="s">
        <v>276</v>
      </c>
      <c r="D14" s="172" t="s">
        <v>391</v>
      </c>
      <c r="E14" s="172" t="s">
        <v>392</v>
      </c>
      <c r="F14" s="77" t="s">
        <v>393</v>
      </c>
      <c r="G14" s="77" t="s">
        <v>394</v>
      </c>
      <c r="H14" s="258" t="s">
        <v>395</v>
      </c>
      <c r="I14" s="258"/>
      <c r="J14" s="258"/>
      <c r="K14" s="259" t="s">
        <v>396</v>
      </c>
      <c r="L14" s="260" t="s">
        <v>397</v>
      </c>
      <c r="M14" s="261"/>
      <c r="N14" s="261"/>
      <c r="O14" s="261"/>
      <c r="P14" s="261"/>
      <c r="Q14" s="262" t="s">
        <v>398</v>
      </c>
      <c r="R14" s="263" t="s">
        <v>399</v>
      </c>
      <c r="S14" s="264" t="s">
        <v>400</v>
      </c>
    </row>
    <row r="15" s="242" customFormat="1" ht="13" spans="1:20">
      <c r="A15" s="23"/>
      <c r="B15" s="172"/>
      <c r="C15" s="172"/>
      <c r="D15" s="172"/>
      <c r="E15" s="172"/>
      <c r="F15" s="77"/>
      <c r="G15" s="77"/>
      <c r="H15" s="258" t="s">
        <v>416</v>
      </c>
      <c r="I15" s="172" t="s">
        <v>417</v>
      </c>
      <c r="J15" s="172" t="s">
        <v>290</v>
      </c>
      <c r="K15" s="265"/>
      <c r="L15" s="266">
        <v>1</v>
      </c>
      <c r="M15" s="266">
        <v>2</v>
      </c>
      <c r="N15" s="266">
        <v>3</v>
      </c>
      <c r="O15" s="266">
        <v>4</v>
      </c>
      <c r="P15" s="266">
        <v>5</v>
      </c>
      <c r="Q15" s="262"/>
      <c r="R15" s="267"/>
      <c r="S15" s="268"/>
      <c r="T15" s="269"/>
    </row>
    <row r="16" customHeight="1" spans="1:20">
      <c r="A16" s="201">
        <v>1</v>
      </c>
      <c r="B16" s="270"/>
      <c r="C16" s="271"/>
      <c r="D16" s="272"/>
      <c r="E16" s="273" t="s">
        <v>418</v>
      </c>
      <c r="F16" s="274"/>
      <c r="G16" s="271"/>
      <c r="H16" s="275"/>
      <c r="I16" s="275"/>
      <c r="J16" s="276">
        <f>H16+I16</f>
        <v>0</v>
      </c>
      <c r="K16" s="277" t="s">
        <v>404</v>
      </c>
      <c r="L16" s="123"/>
      <c r="M16" s="123"/>
      <c r="N16" s="123"/>
      <c r="O16" s="123"/>
      <c r="P16" s="123"/>
      <c r="Q16" s="278"/>
      <c r="R16" s="279"/>
      <c r="S16" s="279"/>
    </row>
    <row r="17" customHeight="1" spans="1:19">
      <c r="A17" s="201">
        <v>2</v>
      </c>
      <c r="B17" s="270"/>
      <c r="C17" s="271"/>
      <c r="D17" s="272"/>
      <c r="E17" s="273"/>
      <c r="F17" s="274"/>
      <c r="G17" s="271"/>
      <c r="H17" s="275"/>
      <c r="I17" s="275"/>
      <c r="J17" s="276">
        <f t="shared" ref="J17:J31" si="0">H17+I17</f>
        <v>0</v>
      </c>
      <c r="K17" s="278"/>
      <c r="L17" s="123"/>
      <c r="M17" s="123"/>
      <c r="N17" s="123"/>
      <c r="O17" s="123"/>
      <c r="P17" s="123"/>
      <c r="Q17" s="278"/>
      <c r="R17" s="279"/>
      <c r="S17" s="279"/>
    </row>
    <row r="18" customHeight="1" spans="1:19">
      <c r="A18" s="201">
        <v>3</v>
      </c>
      <c r="B18" s="270"/>
      <c r="C18" s="271"/>
      <c r="D18" s="272"/>
      <c r="E18" s="273"/>
      <c r="F18" s="274"/>
      <c r="G18" s="271"/>
      <c r="H18" s="275"/>
      <c r="I18" s="275"/>
      <c r="J18" s="276">
        <f t="shared" si="0"/>
        <v>0</v>
      </c>
      <c r="K18" s="278"/>
      <c r="L18" s="123"/>
      <c r="M18" s="123"/>
      <c r="N18" s="123"/>
      <c r="O18" s="123"/>
      <c r="P18" s="123"/>
      <c r="Q18" s="278"/>
      <c r="R18" s="279"/>
      <c r="S18" s="279"/>
    </row>
    <row r="19" customHeight="1" spans="1:19">
      <c r="A19" s="201">
        <v>4</v>
      </c>
      <c r="B19" s="270"/>
      <c r="C19" s="271"/>
      <c r="D19" s="272"/>
      <c r="E19" s="273"/>
      <c r="F19" s="274"/>
      <c r="G19" s="271"/>
      <c r="H19" s="275"/>
      <c r="I19" s="275"/>
      <c r="J19" s="276">
        <f t="shared" si="0"/>
        <v>0</v>
      </c>
      <c r="K19" s="278"/>
      <c r="L19" s="123"/>
      <c r="M19" s="123"/>
      <c r="N19" s="123"/>
      <c r="O19" s="123"/>
      <c r="P19" s="123"/>
      <c r="Q19" s="278"/>
      <c r="R19" s="279"/>
      <c r="S19" s="279"/>
    </row>
    <row r="20" hidden="1" customHeight="1" spans="1:19">
      <c r="A20" s="201">
        <v>5</v>
      </c>
      <c r="B20" s="270"/>
      <c r="C20" s="271"/>
      <c r="D20" s="272"/>
      <c r="E20" s="273"/>
      <c r="F20" s="274"/>
      <c r="G20" s="271"/>
      <c r="H20" s="275"/>
      <c r="I20" s="275"/>
      <c r="J20" s="276">
        <f t="shared" si="0"/>
        <v>0</v>
      </c>
      <c r="K20" s="278"/>
      <c r="L20" s="123"/>
      <c r="M20" s="123"/>
      <c r="N20" s="123"/>
      <c r="O20" s="123"/>
      <c r="P20" s="123"/>
      <c r="Q20" s="278"/>
      <c r="R20" s="279"/>
      <c r="S20" s="279"/>
    </row>
    <row r="21" hidden="1" customHeight="1" spans="1:19">
      <c r="A21" s="201">
        <v>6</v>
      </c>
      <c r="B21" s="270"/>
      <c r="C21" s="271"/>
      <c r="D21" s="272"/>
      <c r="E21" s="273"/>
      <c r="F21" s="274"/>
      <c r="G21" s="271"/>
      <c r="H21" s="275"/>
      <c r="I21" s="275"/>
      <c r="J21" s="276">
        <f t="shared" si="0"/>
        <v>0</v>
      </c>
      <c r="K21" s="278"/>
      <c r="L21" s="123"/>
      <c r="M21" s="123"/>
      <c r="N21" s="123"/>
      <c r="O21" s="123"/>
      <c r="P21" s="123"/>
      <c r="Q21" s="278"/>
      <c r="R21" s="279"/>
      <c r="S21" s="279"/>
    </row>
    <row r="22" hidden="1" customHeight="1" spans="1:19">
      <c r="A22" s="201">
        <v>7</v>
      </c>
      <c r="B22" s="270"/>
      <c r="C22" s="271"/>
      <c r="D22" s="272"/>
      <c r="E22" s="273"/>
      <c r="F22" s="274"/>
      <c r="G22" s="271"/>
      <c r="H22" s="275"/>
      <c r="I22" s="275"/>
      <c r="J22" s="276">
        <f t="shared" si="0"/>
        <v>0</v>
      </c>
      <c r="K22" s="278"/>
      <c r="L22" s="123"/>
      <c r="M22" s="123"/>
      <c r="N22" s="123"/>
      <c r="O22" s="123"/>
      <c r="P22" s="123"/>
      <c r="Q22" s="278"/>
      <c r="R22" s="279"/>
      <c r="S22" s="279"/>
    </row>
    <row r="23" hidden="1" customHeight="1" spans="1:19">
      <c r="A23" s="201">
        <v>8</v>
      </c>
      <c r="B23" s="270"/>
      <c r="C23" s="271"/>
      <c r="D23" s="272"/>
      <c r="E23" s="273"/>
      <c r="F23" s="274"/>
      <c r="G23" s="271"/>
      <c r="H23" s="275"/>
      <c r="I23" s="275"/>
      <c r="J23" s="276">
        <f t="shared" si="0"/>
        <v>0</v>
      </c>
      <c r="K23" s="278"/>
      <c r="L23" s="123"/>
      <c r="M23" s="123"/>
      <c r="N23" s="123"/>
      <c r="O23" s="123"/>
      <c r="P23" s="123"/>
      <c r="Q23" s="278"/>
      <c r="R23" s="279"/>
      <c r="S23" s="279"/>
    </row>
    <row r="24" hidden="1" customHeight="1" spans="1:19">
      <c r="A24" s="201">
        <v>9</v>
      </c>
      <c r="B24" s="270"/>
      <c r="C24" s="271"/>
      <c r="D24" s="272"/>
      <c r="E24" s="273"/>
      <c r="F24" s="274"/>
      <c r="G24" s="271"/>
      <c r="H24" s="275"/>
      <c r="I24" s="275"/>
      <c r="J24" s="276">
        <f t="shared" si="0"/>
        <v>0</v>
      </c>
      <c r="K24" s="278"/>
      <c r="L24" s="123"/>
      <c r="M24" s="123"/>
      <c r="N24" s="123"/>
      <c r="O24" s="123"/>
      <c r="P24" s="123"/>
      <c r="Q24" s="278"/>
      <c r="R24" s="279"/>
      <c r="S24" s="279"/>
    </row>
    <row r="25" hidden="1" customHeight="1" spans="1:19">
      <c r="A25" s="201">
        <v>10</v>
      </c>
      <c r="B25" s="270"/>
      <c r="C25" s="271"/>
      <c r="D25" s="272"/>
      <c r="E25" s="273"/>
      <c r="F25" s="274"/>
      <c r="G25" s="271"/>
      <c r="H25" s="275"/>
      <c r="I25" s="275"/>
      <c r="J25" s="276">
        <f t="shared" si="0"/>
        <v>0</v>
      </c>
      <c r="K25" s="278"/>
      <c r="L25" s="123"/>
      <c r="M25" s="123"/>
      <c r="N25" s="123"/>
      <c r="O25" s="123"/>
      <c r="P25" s="123"/>
      <c r="Q25" s="278"/>
      <c r="R25" s="279"/>
      <c r="S25" s="279"/>
    </row>
    <row r="26" hidden="1" customHeight="1" spans="1:19">
      <c r="A26" s="201">
        <v>11</v>
      </c>
      <c r="B26" s="270"/>
      <c r="C26" s="271"/>
      <c r="D26" s="272"/>
      <c r="E26" s="273"/>
      <c r="F26" s="274"/>
      <c r="G26" s="271"/>
      <c r="H26" s="275"/>
      <c r="I26" s="275"/>
      <c r="J26" s="276">
        <f t="shared" si="0"/>
        <v>0</v>
      </c>
      <c r="K26" s="278"/>
      <c r="L26" s="123"/>
      <c r="M26" s="123"/>
      <c r="N26" s="123"/>
      <c r="O26" s="123"/>
      <c r="P26" s="123"/>
      <c r="Q26" s="278"/>
      <c r="R26" s="279"/>
      <c r="S26" s="279"/>
    </row>
    <row r="27" hidden="1" customHeight="1" spans="1:19">
      <c r="A27" s="201">
        <v>12</v>
      </c>
      <c r="B27" s="270"/>
      <c r="C27" s="271"/>
      <c r="D27" s="272"/>
      <c r="E27" s="273"/>
      <c r="F27" s="274"/>
      <c r="G27" s="271"/>
      <c r="H27" s="275"/>
      <c r="I27" s="275"/>
      <c r="J27" s="276">
        <f t="shared" si="0"/>
        <v>0</v>
      </c>
      <c r="K27" s="278"/>
      <c r="L27" s="123"/>
      <c r="M27" s="123"/>
      <c r="N27" s="123"/>
      <c r="O27" s="123"/>
      <c r="P27" s="123"/>
      <c r="Q27" s="278"/>
      <c r="R27" s="279"/>
      <c r="S27" s="279"/>
    </row>
    <row r="28" hidden="1" customHeight="1" spans="1:19">
      <c r="A28" s="201">
        <v>13</v>
      </c>
      <c r="B28" s="270"/>
      <c r="C28" s="271"/>
      <c r="D28" s="272"/>
      <c r="E28" s="273"/>
      <c r="F28" s="274"/>
      <c r="G28" s="271"/>
      <c r="H28" s="275"/>
      <c r="I28" s="275"/>
      <c r="J28" s="276">
        <f t="shared" si="0"/>
        <v>0</v>
      </c>
      <c r="K28" s="278"/>
      <c r="L28" s="123"/>
      <c r="M28" s="123"/>
      <c r="N28" s="123"/>
      <c r="O28" s="123"/>
      <c r="P28" s="123"/>
      <c r="Q28" s="278"/>
      <c r="R28" s="279"/>
      <c r="S28" s="279"/>
    </row>
    <row r="29" hidden="1" customHeight="1" spans="1:19">
      <c r="A29" s="201">
        <v>14</v>
      </c>
      <c r="B29" s="270"/>
      <c r="C29" s="271"/>
      <c r="D29" s="272"/>
      <c r="E29" s="273"/>
      <c r="F29" s="274"/>
      <c r="G29" s="271"/>
      <c r="H29" s="275"/>
      <c r="I29" s="275"/>
      <c r="J29" s="276">
        <f t="shared" si="0"/>
        <v>0</v>
      </c>
      <c r="K29" s="278"/>
      <c r="L29" s="123"/>
      <c r="M29" s="123"/>
      <c r="N29" s="123"/>
      <c r="O29" s="123"/>
      <c r="P29" s="123"/>
      <c r="Q29" s="278"/>
      <c r="R29" s="279"/>
      <c r="S29" s="279"/>
    </row>
    <row r="30" hidden="1" customHeight="1" spans="1:19">
      <c r="A30" s="201">
        <v>15</v>
      </c>
      <c r="B30" s="270"/>
      <c r="C30" s="271"/>
      <c r="D30" s="272"/>
      <c r="E30" s="273"/>
      <c r="F30" s="274"/>
      <c r="G30" s="271"/>
      <c r="H30" s="275"/>
      <c r="I30" s="275"/>
      <c r="J30" s="276">
        <f t="shared" si="0"/>
        <v>0</v>
      </c>
      <c r="K30" s="278"/>
      <c r="L30" s="123"/>
      <c r="M30" s="123"/>
      <c r="N30" s="123"/>
      <c r="O30" s="123"/>
      <c r="P30" s="123"/>
      <c r="Q30" s="278"/>
      <c r="R30" s="279"/>
      <c r="S30" s="279"/>
    </row>
    <row r="31" customHeight="1" spans="1:19">
      <c r="A31" s="201" t="s">
        <v>30</v>
      </c>
      <c r="B31" s="270"/>
      <c r="C31" s="271"/>
      <c r="D31" s="272"/>
      <c r="E31" s="273"/>
      <c r="F31" s="274"/>
      <c r="G31" s="271"/>
      <c r="H31" s="275"/>
      <c r="I31" s="275"/>
      <c r="J31" s="276">
        <f t="shared" si="0"/>
        <v>0</v>
      </c>
      <c r="K31" s="278"/>
      <c r="L31" s="123"/>
      <c r="M31" s="123"/>
      <c r="N31" s="123"/>
      <c r="O31" s="123"/>
      <c r="P31" s="123"/>
      <c r="Q31" s="278"/>
      <c r="R31" s="279"/>
      <c r="S31" s="279"/>
    </row>
    <row r="32" s="243" customFormat="1" customHeight="1" spans="1:19">
      <c r="A32" s="280" t="s">
        <v>295</v>
      </c>
      <c r="B32" s="280"/>
      <c r="C32" s="280"/>
      <c r="D32" s="280"/>
      <c r="E32" s="280"/>
      <c r="F32" s="280"/>
      <c r="G32" s="281"/>
      <c r="H32" s="282">
        <f>SUM(H16:H31)</f>
        <v>0</v>
      </c>
      <c r="I32" s="282">
        <f>SUM(I16:I31)</f>
        <v>0</v>
      </c>
      <c r="J32" s="282">
        <f>SUM(J16:J31)</f>
        <v>0</v>
      </c>
      <c r="K32" s="283"/>
      <c r="L32" s="283"/>
      <c r="M32" s="283"/>
      <c r="N32" s="283"/>
      <c r="O32" s="283"/>
      <c r="P32" s="283"/>
      <c r="Q32" s="283"/>
      <c r="R32" s="283"/>
      <c r="S32" s="283"/>
    </row>
    <row r="33" customHeight="1" spans="1:19">
      <c r="A33" s="280" t="s">
        <v>405</v>
      </c>
      <c r="B33" s="280"/>
      <c r="C33" s="280"/>
      <c r="D33" s="280"/>
      <c r="E33" s="280"/>
      <c r="F33" s="280"/>
      <c r="G33" s="284"/>
      <c r="H33" s="282"/>
      <c r="I33" s="282"/>
      <c r="J33" s="282">
        <v>0</v>
      </c>
      <c r="K33" s="282"/>
      <c r="L33" s="282"/>
      <c r="M33" s="282"/>
      <c r="N33" s="282"/>
      <c r="O33" s="282"/>
      <c r="P33" s="282"/>
      <c r="Q33" s="282"/>
      <c r="R33" s="282"/>
      <c r="S33" s="282"/>
    </row>
    <row r="34" customHeight="1" spans="1:19">
      <c r="A34" s="285" t="s">
        <v>406</v>
      </c>
      <c r="B34" s="280"/>
      <c r="C34" s="280"/>
      <c r="D34" s="280"/>
      <c r="E34" s="280"/>
      <c r="F34" s="280"/>
      <c r="G34" s="284"/>
      <c r="H34" s="282"/>
      <c r="I34" s="282"/>
      <c r="J34" s="283">
        <f>IF(H32=0,0,H32/$J$33)</f>
        <v>0</v>
      </c>
      <c r="K34" s="282"/>
      <c r="L34" s="282"/>
      <c r="M34" s="282"/>
      <c r="N34" s="282"/>
      <c r="O34" s="282"/>
      <c r="P34" s="282"/>
      <c r="Q34" s="282"/>
      <c r="R34" s="282"/>
      <c r="S34" s="282"/>
    </row>
    <row r="35" customHeight="1" spans="1:19">
      <c r="A35" s="286" t="s">
        <v>407</v>
      </c>
      <c r="B35" s="287"/>
      <c r="C35" s="287"/>
      <c r="D35" s="287"/>
      <c r="E35" s="287"/>
      <c r="F35" s="287"/>
      <c r="G35" s="287"/>
      <c r="H35" s="287"/>
      <c r="I35" s="287"/>
      <c r="J35" s="287"/>
      <c r="K35" s="288"/>
      <c r="L35" s="289"/>
      <c r="M35" s="289"/>
      <c r="N35" s="289"/>
      <c r="O35" s="290"/>
      <c r="P35" s="289"/>
      <c r="Q35" s="291"/>
      <c r="R35" s="291"/>
      <c r="S35" s="292"/>
    </row>
    <row r="36" customHeight="1" spans="1:19">
      <c r="A36" s="293" t="s">
        <v>408</v>
      </c>
      <c r="K36" s="294"/>
      <c r="L36" s="295"/>
      <c r="M36" s="295"/>
      <c r="N36" s="295"/>
      <c r="O36" s="296"/>
      <c r="P36" s="295"/>
      <c r="Q36" s="297"/>
      <c r="R36" s="297"/>
      <c r="S36" s="248"/>
    </row>
    <row r="37" customHeight="1" spans="1:19">
      <c r="A37" s="293" t="s">
        <v>409</v>
      </c>
      <c r="K37" s="294"/>
      <c r="L37" s="294"/>
      <c r="M37" s="294"/>
      <c r="N37" s="294"/>
      <c r="O37" s="296"/>
      <c r="P37" s="294"/>
      <c r="Q37" s="248"/>
      <c r="R37" s="248"/>
      <c r="S37" s="248"/>
    </row>
    <row r="38" customHeight="1" spans="1:19">
      <c r="K38" s="294"/>
      <c r="L38" s="294"/>
      <c r="M38" s="294"/>
      <c r="N38" s="294"/>
      <c r="O38" s="296"/>
      <c r="P38" s="294"/>
      <c r="Q38" s="248"/>
      <c r="R38" s="248"/>
      <c r="S38" s="248"/>
    </row>
    <row r="39" customHeight="1" spans="1:19">
      <c r="A39" s="243" t="s">
        <v>410</v>
      </c>
      <c r="K39" s="294"/>
      <c r="L39" s="294"/>
      <c r="M39" s="294"/>
      <c r="N39" s="294"/>
      <c r="O39" s="296"/>
      <c r="P39" s="294"/>
      <c r="Q39" s="248"/>
      <c r="R39" s="248"/>
      <c r="S39" s="248"/>
    </row>
    <row r="40" customHeight="1" spans="1:19">
      <c r="A40" s="243"/>
      <c r="K40" s="294"/>
      <c r="L40" s="294"/>
      <c r="M40" s="294"/>
      <c r="N40" s="294"/>
      <c r="O40" s="296"/>
      <c r="P40" s="294"/>
      <c r="Q40" s="248"/>
      <c r="R40" s="248"/>
      <c r="S40" s="248"/>
    </row>
    <row r="41" customHeight="1" spans="1:19">
      <c r="A41" s="297"/>
      <c r="B41" s="248"/>
      <c r="C41" s="248"/>
      <c r="D41" s="248"/>
      <c r="E41" s="248"/>
      <c r="F41" s="248"/>
      <c r="G41" s="248"/>
      <c r="H41" s="248"/>
      <c r="I41" s="248"/>
      <c r="J41" s="248"/>
      <c r="K41" s="248"/>
      <c r="L41" s="248"/>
      <c r="M41" s="248"/>
      <c r="N41" s="248"/>
      <c r="O41" s="248"/>
      <c r="P41" s="248"/>
      <c r="Q41" s="248"/>
      <c r="R41" s="248"/>
      <c r="S41" s="248"/>
    </row>
  </sheetData>
  <mergeCells count="19">
    <mergeCell ref="A1:S1"/>
    <mergeCell ref="A2:S2"/>
    <mergeCell ref="A5:S5"/>
    <mergeCell ref="H14:J14"/>
    <mergeCell ref="L14:P14"/>
    <mergeCell ref="A32:F32"/>
    <mergeCell ref="A33:F33"/>
    <mergeCell ref="A34:F34"/>
    <mergeCell ref="A14:A15"/>
    <mergeCell ref="B14:B15"/>
    <mergeCell ref="C14:C15"/>
    <mergeCell ref="D14:D15"/>
    <mergeCell ref="E14:E15"/>
    <mergeCell ref="F14:F15"/>
    <mergeCell ref="G14:G15"/>
    <mergeCell ref="K14:K15"/>
    <mergeCell ref="Q14:Q15"/>
    <mergeCell ref="R14:R15"/>
    <mergeCell ref="S14:S15"/>
  </mergeCells>
  <dataValidations count="4">
    <dataValidation type="list" allowBlank="1" showInputMessage="1" showErrorMessage="1" sqref="R32">
      <formula1>"√,×"</formula1>
    </dataValidation>
    <dataValidation type="list" allowBlank="1" showInputMessage="1" showErrorMessage="1" prompt="如要修改下列框的选项，单击“数据-数据有效性-设置-序列-来源”。" sqref="B16:B31">
      <formula1>"房屋、建筑物,土地使用权,在建工程"</formula1>
    </dataValidation>
    <dataValidation type="list" allowBlank="1" showInputMessage="1" showErrorMessage="1" prompt="如要修改下列框的选项，单击“数据-数据有效性-设置-序列-来源”。" sqref="E16:E31">
      <formula1>"外购,存货/固定资产/在建工程转入,企业合并增加,其他增加,处置,转入固定资产/存货/无形资产等,其他减少"</formula1>
    </dataValidation>
    <dataValidation type="list" allowBlank="1" showInputMessage="1" showErrorMessage="1" sqref="L16:P31">
      <formula1>"√,X"</formula1>
    </dataValidation>
  </dataValidations>
  <hyperlinks>
    <hyperlink ref="S3" location="底稿目录!A1" display="=底稿目录!F14"/>
  </hyperlinks>
  <printOptions horizontalCentered="1"/>
  <pageMargins left="0.708661417322835" right="0.708661417322835" top="0.748031496062992" bottom="0.748031496062992" header="0.31496062992126" footer="0.31496062992126"/>
  <pageSetup paperSize="9" scale="64" orientation="landscape" blackAndWhite="1"/>
  <headerFooter>
    <oddFooter>&amp;C&amp;P/&amp;N</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pageSetUpPr fitToPage="1"/>
  </sheetPr>
  <dimension ref="A1:AJ62"/>
  <sheetViews>
    <sheetView view="pageBreakPreview" zoomScale="80" zoomScaleNormal="90" topLeftCell="A31" workbookViewId="0">
      <selection activeCell="H27" sqref="H27"/>
    </sheetView>
  </sheetViews>
  <sheetFormatPr defaultColWidth="9" defaultRowHeight="19.95" customHeight="1"/>
  <cols>
    <col min="1" max="2" width="12.6" style="6" customWidth="1"/>
    <col min="3" max="3" width="9" style="6" customWidth="1"/>
    <col min="4" max="5" width="9.1" style="6" customWidth="1"/>
    <col min="6" max="6" width="10.5" style="6" customWidth="1"/>
    <col min="7" max="7" width="12.5" style="6" customWidth="1"/>
    <col min="8" max="9" width="9.9" style="6" customWidth="1"/>
    <col min="10" max="10" width="8.5" style="6" customWidth="1"/>
    <col min="11" max="12" width="8.1" style="6" customWidth="1"/>
    <col min="13" max="13" width="9.6" style="6" customWidth="1"/>
    <col min="14" max="17" width="8.1" style="6" customWidth="1"/>
    <col min="18" max="18" width="7.5" style="6" customWidth="1"/>
    <col min="19" max="19" width="10" style="6" customWidth="1"/>
    <col min="20" max="20" width="9.1" style="6" customWidth="1"/>
    <col min="21" max="21" width="8.5" style="6" customWidth="1"/>
    <col min="22" max="22" width="8.1" style="6" customWidth="1"/>
    <col min="23" max="23" width="6.1" style="6" customWidth="1"/>
    <col min="24" max="16384" width="9" style="6"/>
  </cols>
  <sheetData>
    <row r="1" s="1" customFormat="1" customHeight="1" spans="1:36">
      <c r="A1" s="7" t="s">
        <v>59</v>
      </c>
      <c r="B1" s="7"/>
      <c r="C1" s="7"/>
      <c r="D1" s="7"/>
      <c r="E1" s="7"/>
      <c r="F1" s="7"/>
      <c r="G1" s="7"/>
      <c r="H1" s="7"/>
      <c r="I1" s="7"/>
      <c r="J1" s="7"/>
      <c r="K1" s="8"/>
      <c r="L1" s="8"/>
      <c r="M1" s="8"/>
      <c r="N1" s="8"/>
      <c r="O1" s="8"/>
      <c r="P1" s="8"/>
      <c r="Q1" s="8"/>
      <c r="R1" s="8"/>
      <c r="S1" s="8"/>
      <c r="T1" s="8"/>
      <c r="U1" s="8"/>
      <c r="V1" s="8"/>
      <c r="W1" s="8"/>
    </row>
    <row r="2" s="2" customFormat="1" customHeight="1" spans="1:36">
      <c r="A2" s="9" t="s">
        <v>419</v>
      </c>
      <c r="B2" s="9"/>
      <c r="C2" s="9"/>
      <c r="D2" s="9"/>
      <c r="E2" s="9"/>
      <c r="F2" s="9"/>
      <c r="G2" s="9"/>
      <c r="H2" s="9"/>
      <c r="I2" s="9"/>
      <c r="J2" s="9"/>
      <c r="K2" s="10"/>
      <c r="L2" s="10"/>
      <c r="M2" s="10"/>
      <c r="N2" s="10"/>
      <c r="O2" s="10"/>
      <c r="P2" s="10"/>
      <c r="Q2" s="10"/>
      <c r="R2" s="10"/>
      <c r="S2" s="10"/>
      <c r="T2" s="10"/>
      <c r="U2" s="10"/>
      <c r="V2" s="10"/>
      <c r="W2" s="10"/>
    </row>
    <row r="3" customHeight="1" spans="1:36">
      <c r="A3" s="6" t="str">
        <f>底稿目录!A2</f>
        <v>被审计单位：</v>
      </c>
      <c r="F3" s="6" t="str">
        <f>底稿目录!A4</f>
        <v>编制人：</v>
      </c>
      <c r="K3" s="93"/>
      <c r="L3" s="6" t="str">
        <f>底稿目录!A6</f>
        <v>编制日期：</v>
      </c>
      <c r="M3" s="11"/>
      <c r="V3" s="12" t="s">
        <v>61</v>
      </c>
      <c r="W3" s="13" t="str">
        <f>底稿目录!F15</f>
        <v>H3-6</v>
      </c>
    </row>
    <row r="4" customHeight="1" spans="1:36">
      <c r="A4" s="6" t="str">
        <f>底稿目录!A3</f>
        <v>截止日：202X年12月31日</v>
      </c>
      <c r="F4" s="6" t="str">
        <f>底稿目录!A5</f>
        <v>复核人：</v>
      </c>
      <c r="K4" s="93"/>
      <c r="L4" s="6" t="str">
        <f>底稿目录!A7</f>
        <v>复核日期：</v>
      </c>
      <c r="M4" s="11"/>
      <c r="V4" s="12" t="s">
        <v>62</v>
      </c>
      <c r="W4" s="14"/>
    </row>
    <row r="5" s="3" customFormat="1" customHeight="1" spans="1:36">
      <c r="A5" s="15" t="s">
        <v>420</v>
      </c>
      <c r="B5" s="15"/>
      <c r="C5" s="16"/>
      <c r="D5" s="16"/>
      <c r="E5" s="16"/>
      <c r="K5" s="17"/>
      <c r="S5" s="18"/>
      <c r="T5" s="94"/>
      <c r="AD5" s="19"/>
      <c r="AE5" s="19"/>
      <c r="AF5" s="19"/>
      <c r="AG5" s="19"/>
      <c r="AH5" s="19"/>
      <c r="AI5" s="19"/>
      <c r="AJ5" s="19"/>
    </row>
    <row r="6" customHeight="1" spans="1:36">
      <c r="A6" s="95" t="s">
        <v>274</v>
      </c>
      <c r="B6" s="196"/>
      <c r="D6" s="196"/>
      <c r="E6" s="196"/>
      <c r="K6" s="96"/>
      <c r="S6" s="97"/>
      <c r="T6" s="98"/>
      <c r="AD6" s="99"/>
      <c r="AE6" s="99"/>
      <c r="AF6" s="99"/>
      <c r="AG6" s="99"/>
      <c r="AH6" s="99"/>
      <c r="AI6" s="99"/>
      <c r="AJ6" s="99"/>
    </row>
    <row r="7" s="4" customFormat="1" customHeight="1" spans="1:36">
      <c r="A7" s="78" t="s">
        <v>275</v>
      </c>
      <c r="B7" s="78" t="s">
        <v>276</v>
      </c>
      <c r="C7" s="78" t="s">
        <v>421</v>
      </c>
      <c r="D7" s="78" t="s">
        <v>422</v>
      </c>
      <c r="E7" s="78" t="s">
        <v>423</v>
      </c>
      <c r="F7" s="77" t="s">
        <v>424</v>
      </c>
      <c r="G7" s="77"/>
      <c r="H7" s="77"/>
      <c r="I7" s="77"/>
      <c r="J7" s="77" t="s">
        <v>425</v>
      </c>
      <c r="K7" s="77"/>
      <c r="L7" s="77"/>
      <c r="M7" s="77"/>
      <c r="N7" s="77"/>
      <c r="O7" s="77"/>
      <c r="P7" s="77"/>
      <c r="Q7" s="77"/>
      <c r="R7" s="77"/>
      <c r="S7" s="77" t="s">
        <v>426</v>
      </c>
      <c r="T7" s="77"/>
      <c r="U7" s="77" t="s">
        <v>427</v>
      </c>
      <c r="V7" s="77" t="s">
        <v>428</v>
      </c>
      <c r="W7" s="77" t="s">
        <v>8</v>
      </c>
    </row>
    <row r="8" s="4" customFormat="1" customHeight="1" spans="1:36">
      <c r="A8" s="137"/>
      <c r="B8" s="137"/>
      <c r="C8" s="137"/>
      <c r="D8" s="137"/>
      <c r="E8" s="137"/>
      <c r="F8" s="77"/>
      <c r="G8" s="77"/>
      <c r="H8" s="77"/>
      <c r="I8" s="77"/>
      <c r="J8" s="134" t="s">
        <v>429</v>
      </c>
      <c r="K8" s="135"/>
      <c r="L8" s="135"/>
      <c r="M8" s="136"/>
      <c r="N8" s="77" t="s">
        <v>430</v>
      </c>
      <c r="O8" s="77"/>
      <c r="P8" s="77"/>
      <c r="Q8" s="77"/>
      <c r="R8" s="77"/>
      <c r="S8" s="77"/>
      <c r="T8" s="77"/>
      <c r="U8" s="77"/>
      <c r="V8" s="77"/>
      <c r="W8" s="77"/>
    </row>
    <row r="9" s="4" customFormat="1" ht="26" spans="1:36">
      <c r="A9" s="137"/>
      <c r="B9" s="137"/>
      <c r="C9" s="137"/>
      <c r="D9" s="137"/>
      <c r="E9" s="137"/>
      <c r="F9" s="77" t="s">
        <v>431</v>
      </c>
      <c r="G9" s="77" t="s">
        <v>432</v>
      </c>
      <c r="H9" s="77" t="s">
        <v>279</v>
      </c>
      <c r="I9" s="77" t="s">
        <v>433</v>
      </c>
      <c r="J9" s="77" t="s">
        <v>431</v>
      </c>
      <c r="K9" s="77" t="s">
        <v>402</v>
      </c>
      <c r="L9" s="77" t="s">
        <v>279</v>
      </c>
      <c r="M9" s="77" t="s">
        <v>433</v>
      </c>
      <c r="N9" s="77" t="s">
        <v>434</v>
      </c>
      <c r="O9" s="77" t="s">
        <v>435</v>
      </c>
      <c r="P9" s="77" t="s">
        <v>436</v>
      </c>
      <c r="Q9" s="77" t="s">
        <v>437</v>
      </c>
      <c r="R9" s="77" t="s">
        <v>438</v>
      </c>
      <c r="S9" s="77" t="s">
        <v>439</v>
      </c>
      <c r="T9" s="77" t="s">
        <v>440</v>
      </c>
      <c r="U9" s="77"/>
      <c r="V9" s="77"/>
      <c r="W9" s="77"/>
    </row>
    <row r="10" s="4" customFormat="1" customHeight="1" spans="1:36">
      <c r="A10" s="82"/>
      <c r="B10" s="82"/>
      <c r="C10" s="82"/>
      <c r="D10" s="82"/>
      <c r="E10" s="82"/>
      <c r="F10" s="107" t="s">
        <v>441</v>
      </c>
      <c r="G10" s="107" t="s">
        <v>442</v>
      </c>
      <c r="H10" s="107" t="s">
        <v>443</v>
      </c>
      <c r="I10" s="107" t="s">
        <v>444</v>
      </c>
      <c r="J10" s="107" t="s">
        <v>445</v>
      </c>
      <c r="K10" s="107" t="s">
        <v>446</v>
      </c>
      <c r="L10" s="107" t="s">
        <v>447</v>
      </c>
      <c r="M10" s="107" t="s">
        <v>448</v>
      </c>
      <c r="N10" s="107" t="s">
        <v>449</v>
      </c>
      <c r="O10" s="107" t="s">
        <v>450</v>
      </c>
      <c r="P10" s="107"/>
      <c r="Q10" s="237"/>
      <c r="R10" s="237"/>
      <c r="S10" s="107" t="s">
        <v>451</v>
      </c>
      <c r="T10" s="107" t="s">
        <v>452</v>
      </c>
      <c r="U10" s="77"/>
      <c r="V10" s="77"/>
      <c r="W10" s="77"/>
    </row>
    <row r="11" s="4" customFormat="1" customHeight="1" spans="1:36">
      <c r="A11" s="25" t="s">
        <v>453</v>
      </c>
      <c r="B11" s="25"/>
      <c r="C11" s="25"/>
      <c r="D11" s="25"/>
      <c r="E11" s="25"/>
      <c r="F11" s="229">
        <f t="shared" ref="F11:O11" si="0">SUM(F12:F15)</f>
        <v>0</v>
      </c>
      <c r="G11" s="229">
        <f t="shared" si="0"/>
        <v>0</v>
      </c>
      <c r="H11" s="229">
        <f t="shared" si="0"/>
        <v>0</v>
      </c>
      <c r="I11" s="229">
        <f t="shared" si="0"/>
        <v>0</v>
      </c>
      <c r="J11" s="229">
        <f t="shared" si="0"/>
        <v>0</v>
      </c>
      <c r="K11" s="229">
        <f t="shared" si="0"/>
        <v>0</v>
      </c>
      <c r="L11" s="229">
        <f t="shared" si="0"/>
        <v>0</v>
      </c>
      <c r="M11" s="229">
        <f t="shared" si="0"/>
        <v>0</v>
      </c>
      <c r="N11" s="229">
        <f t="shared" si="0"/>
        <v>0</v>
      </c>
      <c r="O11" s="229">
        <f t="shared" si="0"/>
        <v>0</v>
      </c>
      <c r="P11" s="25"/>
      <c r="Q11" s="25"/>
      <c r="R11" s="25"/>
      <c r="S11" s="229">
        <f>SUM(S12:S15)</f>
        <v>0</v>
      </c>
      <c r="T11" s="229">
        <f>SUM(T12:T15)</f>
        <v>0</v>
      </c>
      <c r="U11" s="25"/>
      <c r="V11" s="25"/>
      <c r="W11" s="25"/>
    </row>
    <row r="12" ht="22.2" customHeight="1" spans="1:36">
      <c r="A12" s="30"/>
      <c r="B12" s="30"/>
      <c r="C12" s="30"/>
      <c r="D12" s="31"/>
      <c r="E12" s="238"/>
      <c r="F12" s="33"/>
      <c r="G12" s="33"/>
      <c r="H12" s="33"/>
      <c r="I12" s="200">
        <f>F12-G12-H12</f>
        <v>0</v>
      </c>
      <c r="J12" s="33"/>
      <c r="K12" s="33"/>
      <c r="L12" s="33"/>
      <c r="M12" s="200">
        <f>J12-K12-L12</f>
        <v>0</v>
      </c>
      <c r="N12" s="200">
        <f>I12</f>
        <v>0</v>
      </c>
      <c r="O12" s="200">
        <f>P12*Q12</f>
        <v>0</v>
      </c>
      <c r="P12" s="198"/>
      <c r="Q12" s="198"/>
      <c r="R12" s="198"/>
      <c r="S12" s="200">
        <f>IF(N12&gt;O12,N12-O12,0)</f>
        <v>0</v>
      </c>
      <c r="T12" s="200">
        <f>IF(O12&gt;N12,O12-N12,0)</f>
        <v>0</v>
      </c>
      <c r="U12" s="198"/>
      <c r="V12" s="198"/>
      <c r="W12" s="198"/>
    </row>
    <row r="13" customHeight="1" spans="1:36">
      <c r="A13" s="30"/>
      <c r="B13" s="30"/>
      <c r="C13" s="30"/>
      <c r="D13" s="31"/>
      <c r="E13" s="238"/>
      <c r="F13" s="33"/>
      <c r="G13" s="33"/>
      <c r="H13" s="33"/>
      <c r="I13" s="200">
        <f>F13-G13-H13</f>
        <v>0</v>
      </c>
      <c r="J13" s="33"/>
      <c r="K13" s="33"/>
      <c r="L13" s="33"/>
      <c r="M13" s="200">
        <f>J13-K13-L13</f>
        <v>0</v>
      </c>
      <c r="N13" s="200">
        <f>I13</f>
        <v>0</v>
      </c>
      <c r="O13" s="200">
        <f>P13*Q13</f>
        <v>0</v>
      </c>
      <c r="P13" s="198"/>
      <c r="Q13" s="198"/>
      <c r="R13" s="198"/>
      <c r="S13" s="200">
        <f>IF(N13&gt;O13,N13-O13,0)</f>
        <v>0</v>
      </c>
      <c r="T13" s="200">
        <f>IF(O13&gt;N13,O13-N13,0)</f>
        <v>0</v>
      </c>
      <c r="U13" s="198"/>
      <c r="V13" s="198"/>
      <c r="W13" s="198"/>
    </row>
    <row r="14" customHeight="1" spans="1:36">
      <c r="A14" s="30"/>
      <c r="B14" s="30"/>
      <c r="C14" s="30"/>
      <c r="D14" s="31"/>
      <c r="E14" s="238"/>
      <c r="F14" s="33"/>
      <c r="G14" s="33"/>
      <c r="H14" s="33"/>
      <c r="I14" s="200">
        <f>F14-G14-H14</f>
        <v>0</v>
      </c>
      <c r="J14" s="33"/>
      <c r="K14" s="33"/>
      <c r="L14" s="33"/>
      <c r="M14" s="200">
        <f>J14-K14-L14</f>
        <v>0</v>
      </c>
      <c r="N14" s="200">
        <f>I14</f>
        <v>0</v>
      </c>
      <c r="O14" s="200">
        <f>P14*Q14</f>
        <v>0</v>
      </c>
      <c r="P14" s="198"/>
      <c r="Q14" s="198"/>
      <c r="R14" s="198"/>
      <c r="S14" s="200">
        <f>IF(N14&gt;O14,N14-O14,0)</f>
        <v>0</v>
      </c>
      <c r="T14" s="200">
        <f>IF(O14&gt;N14,O14-N14,0)</f>
        <v>0</v>
      </c>
      <c r="U14" s="198"/>
      <c r="V14" s="198"/>
      <c r="W14" s="198"/>
    </row>
    <row r="15" customHeight="1" spans="1:36">
      <c r="A15" s="30"/>
      <c r="B15" s="30"/>
      <c r="C15" s="30"/>
      <c r="D15" s="31"/>
      <c r="E15" s="238"/>
      <c r="F15" s="33"/>
      <c r="G15" s="33"/>
      <c r="H15" s="33"/>
      <c r="I15" s="200">
        <f>F15-G15-H15</f>
        <v>0</v>
      </c>
      <c r="J15" s="103"/>
      <c r="K15" s="103"/>
      <c r="L15" s="103"/>
      <c r="M15" s="200">
        <f>J15-K15-L15</f>
        <v>0</v>
      </c>
      <c r="N15" s="200">
        <f>I15</f>
        <v>0</v>
      </c>
      <c r="O15" s="200">
        <f>P15*Q15</f>
        <v>0</v>
      </c>
      <c r="P15" s="198"/>
      <c r="Q15" s="198"/>
      <c r="R15" s="198"/>
      <c r="S15" s="200">
        <f>IF(N15&gt;O15,N15-O15,0)</f>
        <v>0</v>
      </c>
      <c r="T15" s="200">
        <f>IF(O15&gt;N15,O15-N15,0)</f>
        <v>0</v>
      </c>
      <c r="U15" s="198"/>
      <c r="V15" s="198"/>
      <c r="W15" s="198"/>
    </row>
    <row r="16" s="5" customFormat="1" customHeight="1" spans="1:36">
      <c r="A16" s="25" t="s">
        <v>454</v>
      </c>
      <c r="B16" s="25"/>
      <c r="C16" s="25"/>
      <c r="D16" s="25"/>
      <c r="E16" s="25"/>
      <c r="F16" s="229">
        <f t="shared" ref="F16:O16" si="1">SUM(F17:F20)</f>
        <v>0</v>
      </c>
      <c r="G16" s="229">
        <f t="shared" si="1"/>
        <v>0</v>
      </c>
      <c r="H16" s="229">
        <f t="shared" si="1"/>
        <v>0</v>
      </c>
      <c r="I16" s="229">
        <f t="shared" si="1"/>
        <v>0</v>
      </c>
      <c r="J16" s="229">
        <f t="shared" si="1"/>
        <v>0</v>
      </c>
      <c r="K16" s="229">
        <f t="shared" si="1"/>
        <v>0</v>
      </c>
      <c r="L16" s="229">
        <f t="shared" si="1"/>
        <v>0</v>
      </c>
      <c r="M16" s="229">
        <f t="shared" si="1"/>
        <v>0</v>
      </c>
      <c r="N16" s="229">
        <f t="shared" si="1"/>
        <v>0</v>
      </c>
      <c r="O16" s="229">
        <f t="shared" si="1"/>
        <v>0</v>
      </c>
      <c r="P16" s="25"/>
      <c r="Q16" s="25"/>
      <c r="R16" s="25"/>
      <c r="S16" s="229">
        <f>SUM(S17:S20)</f>
        <v>0</v>
      </c>
      <c r="T16" s="229">
        <f>SUM(T17:T20)</f>
        <v>0</v>
      </c>
      <c r="U16" s="25"/>
      <c r="V16" s="25"/>
      <c r="W16" s="25"/>
    </row>
    <row r="17" ht="15" spans="1:23">
      <c r="A17" s="30"/>
      <c r="B17" s="30"/>
      <c r="C17" s="30"/>
      <c r="D17" s="31"/>
      <c r="E17" s="238"/>
      <c r="F17" s="33"/>
      <c r="G17" s="33"/>
      <c r="H17" s="33"/>
      <c r="I17" s="200">
        <f>F17-G17-H17</f>
        <v>0</v>
      </c>
      <c r="J17" s="33"/>
      <c r="K17" s="33"/>
      <c r="L17" s="33"/>
      <c r="M17" s="200">
        <f>J17-K17-L17</f>
        <v>0</v>
      </c>
      <c r="N17" s="200">
        <f>I17</f>
        <v>0</v>
      </c>
      <c r="O17" s="200">
        <f>P17*Q17</f>
        <v>0</v>
      </c>
      <c r="P17" s="198"/>
      <c r="Q17" s="198"/>
      <c r="R17" s="198"/>
      <c r="S17" s="200">
        <f>IF(N17&gt;O17,N17-O17,0)</f>
        <v>0</v>
      </c>
      <c r="T17" s="200">
        <f>IF(O17&gt;N17,O17-N17,0)</f>
        <v>0</v>
      </c>
      <c r="U17" s="198"/>
      <c r="V17" s="198"/>
      <c r="W17" s="198"/>
    </row>
    <row r="18" customHeight="1" spans="1:23">
      <c r="A18" s="30"/>
      <c r="B18" s="30"/>
      <c r="C18" s="30"/>
      <c r="D18" s="31"/>
      <c r="E18" s="238"/>
      <c r="F18" s="33"/>
      <c r="G18" s="33"/>
      <c r="H18" s="33"/>
      <c r="I18" s="200">
        <f t="shared" ref="I18:I25" si="2">F18-G18-H18</f>
        <v>0</v>
      </c>
      <c r="J18" s="33"/>
      <c r="K18" s="33"/>
      <c r="L18" s="33"/>
      <c r="M18" s="200">
        <f>J18-K18-L18</f>
        <v>0</v>
      </c>
      <c r="N18" s="200">
        <f>I18</f>
        <v>0</v>
      </c>
      <c r="O18" s="200">
        <f>P18*Q18</f>
        <v>0</v>
      </c>
      <c r="P18" s="198"/>
      <c r="Q18" s="198"/>
      <c r="R18" s="198"/>
      <c r="S18" s="200">
        <f>IF(N18&gt;O18,N18-O18,0)</f>
        <v>0</v>
      </c>
      <c r="T18" s="200">
        <f>IF(O18&gt;N18,O18-N18,0)</f>
        <v>0</v>
      </c>
      <c r="U18" s="198"/>
      <c r="V18" s="198"/>
      <c r="W18" s="198"/>
    </row>
    <row r="19" customHeight="1" spans="1:23">
      <c r="A19" s="30"/>
      <c r="B19" s="30"/>
      <c r="C19" s="30"/>
      <c r="D19" s="31"/>
      <c r="E19" s="238"/>
      <c r="F19" s="33"/>
      <c r="G19" s="33"/>
      <c r="H19" s="33"/>
      <c r="I19" s="200">
        <f t="shared" si="2"/>
        <v>0</v>
      </c>
      <c r="J19" s="33"/>
      <c r="K19" s="33"/>
      <c r="L19" s="33"/>
      <c r="M19" s="200">
        <f>J19-K19-L19</f>
        <v>0</v>
      </c>
      <c r="N19" s="200">
        <f>I19</f>
        <v>0</v>
      </c>
      <c r="O19" s="200">
        <f>P19*Q19</f>
        <v>0</v>
      </c>
      <c r="P19" s="198"/>
      <c r="Q19" s="198"/>
      <c r="R19" s="198"/>
      <c r="S19" s="200">
        <f>IF(N19&gt;O19,N19-O19,0)</f>
        <v>0</v>
      </c>
      <c r="T19" s="200">
        <f>IF(O19&gt;N19,O19-N19,0)</f>
        <v>0</v>
      </c>
      <c r="U19" s="198"/>
      <c r="V19" s="198"/>
      <c r="W19" s="198"/>
    </row>
    <row r="20" customHeight="1" spans="1:23">
      <c r="A20" s="30"/>
      <c r="B20" s="30"/>
      <c r="C20" s="30"/>
      <c r="D20" s="31"/>
      <c r="E20" s="238"/>
      <c r="F20" s="33"/>
      <c r="G20" s="33"/>
      <c r="H20" s="33"/>
      <c r="I20" s="200">
        <f t="shared" si="2"/>
        <v>0</v>
      </c>
      <c r="J20" s="103"/>
      <c r="K20" s="103"/>
      <c r="L20" s="103"/>
      <c r="M20" s="200">
        <f>J20-K20-L20</f>
        <v>0</v>
      </c>
      <c r="N20" s="200">
        <f>I20</f>
        <v>0</v>
      </c>
      <c r="O20" s="200">
        <f>P20*Q20</f>
        <v>0</v>
      </c>
      <c r="P20" s="198"/>
      <c r="Q20" s="198"/>
      <c r="R20" s="198"/>
      <c r="S20" s="200">
        <f>IF(N20&gt;O20,N20-O20,0)</f>
        <v>0</v>
      </c>
      <c r="T20" s="200">
        <f>IF(O20&gt;N20,O20-N20,0)</f>
        <v>0</v>
      </c>
      <c r="U20" s="198"/>
      <c r="V20" s="198"/>
      <c r="W20" s="198"/>
    </row>
    <row r="21" s="5" customFormat="1" customHeight="1" spans="1:23">
      <c r="A21" s="25" t="s">
        <v>455</v>
      </c>
      <c r="B21" s="77"/>
      <c r="C21" s="77"/>
      <c r="D21" s="77"/>
      <c r="E21" s="77"/>
      <c r="F21" s="229">
        <f t="shared" ref="F21:O21" si="3">SUM(F22:F25)</f>
        <v>0</v>
      </c>
      <c r="G21" s="229">
        <f t="shared" si="3"/>
        <v>0</v>
      </c>
      <c r="H21" s="229">
        <f t="shared" si="3"/>
        <v>0</v>
      </c>
      <c r="I21" s="229">
        <f t="shared" si="3"/>
        <v>0</v>
      </c>
      <c r="J21" s="229">
        <f t="shared" si="3"/>
        <v>0</v>
      </c>
      <c r="K21" s="229">
        <f t="shared" si="3"/>
        <v>0</v>
      </c>
      <c r="L21" s="229">
        <f t="shared" si="3"/>
        <v>0</v>
      </c>
      <c r="M21" s="229">
        <f t="shared" si="3"/>
        <v>0</v>
      </c>
      <c r="N21" s="229">
        <f t="shared" si="3"/>
        <v>0</v>
      </c>
      <c r="O21" s="229">
        <f t="shared" si="3"/>
        <v>0</v>
      </c>
      <c r="P21" s="25"/>
      <c r="Q21" s="25"/>
      <c r="R21" s="25"/>
      <c r="S21" s="229">
        <f>SUM(S22:S25)</f>
        <v>0</v>
      </c>
      <c r="T21" s="229">
        <f>SUM(T22:T25)</f>
        <v>0</v>
      </c>
      <c r="U21" s="25"/>
      <c r="V21" s="25"/>
      <c r="W21" s="25"/>
    </row>
    <row r="22" ht="21.6" customHeight="1" spans="1:23">
      <c r="A22" s="30"/>
      <c r="B22" s="30"/>
      <c r="C22" s="30"/>
      <c r="D22" s="31"/>
      <c r="E22" s="238"/>
      <c r="F22" s="33"/>
      <c r="G22" s="33"/>
      <c r="H22" s="33"/>
      <c r="I22" s="200">
        <f t="shared" si="2"/>
        <v>0</v>
      </c>
      <c r="J22" s="33"/>
      <c r="K22" s="33"/>
      <c r="L22" s="33"/>
      <c r="M22" s="200">
        <f>J22-K22-L22</f>
        <v>0</v>
      </c>
      <c r="N22" s="200">
        <f>I22</f>
        <v>0</v>
      </c>
      <c r="O22" s="200">
        <f>P22*Q22</f>
        <v>0</v>
      </c>
      <c r="P22" s="198"/>
      <c r="Q22" s="198"/>
      <c r="R22" s="198"/>
      <c r="S22" s="200">
        <f>IF(N22&gt;O22,N22-O22,0)</f>
        <v>0</v>
      </c>
      <c r="T22" s="200">
        <f>IF(O22&gt;N22,O22-N22,0)</f>
        <v>0</v>
      </c>
      <c r="U22" s="198"/>
      <c r="V22" s="198"/>
      <c r="W22" s="198"/>
    </row>
    <row r="23" customHeight="1" spans="1:23">
      <c r="A23" s="30"/>
      <c r="B23" s="30"/>
      <c r="C23" s="30"/>
      <c r="D23" s="31"/>
      <c r="E23" s="238"/>
      <c r="F23" s="33"/>
      <c r="G23" s="33"/>
      <c r="H23" s="33"/>
      <c r="I23" s="200">
        <f t="shared" si="2"/>
        <v>0</v>
      </c>
      <c r="J23" s="33"/>
      <c r="K23" s="33"/>
      <c r="L23" s="33"/>
      <c r="M23" s="200">
        <f>J23-K23-L23</f>
        <v>0</v>
      </c>
      <c r="N23" s="200">
        <f>I23</f>
        <v>0</v>
      </c>
      <c r="O23" s="200">
        <f>P23*Q23</f>
        <v>0</v>
      </c>
      <c r="P23" s="198"/>
      <c r="Q23" s="198"/>
      <c r="R23" s="198"/>
      <c r="S23" s="200">
        <f>IF(N23&gt;O23,N23-O23,0)</f>
        <v>0</v>
      </c>
      <c r="T23" s="200">
        <f>IF(O23&gt;N23,O23-N23,0)</f>
        <v>0</v>
      </c>
      <c r="U23" s="198"/>
      <c r="V23" s="198"/>
      <c r="W23" s="198"/>
    </row>
    <row r="24" customHeight="1" spans="1:23">
      <c r="A24" s="30"/>
      <c r="B24" s="30"/>
      <c r="C24" s="30"/>
      <c r="D24" s="31"/>
      <c r="E24" s="238"/>
      <c r="F24" s="33"/>
      <c r="G24" s="33"/>
      <c r="H24" s="33"/>
      <c r="I24" s="200">
        <f t="shared" si="2"/>
        <v>0</v>
      </c>
      <c r="J24" s="33"/>
      <c r="K24" s="33"/>
      <c r="L24" s="33"/>
      <c r="M24" s="200">
        <f>J24-K24-L24</f>
        <v>0</v>
      </c>
      <c r="N24" s="200">
        <f>I24</f>
        <v>0</v>
      </c>
      <c r="O24" s="200">
        <f>P24*Q24</f>
        <v>0</v>
      </c>
      <c r="P24" s="198"/>
      <c r="Q24" s="198"/>
      <c r="R24" s="198"/>
      <c r="S24" s="200">
        <f>IF(N24&gt;O24,N24-O24,0)</f>
        <v>0</v>
      </c>
      <c r="T24" s="200">
        <f>IF(O24&gt;N24,O24-N24,0)</f>
        <v>0</v>
      </c>
      <c r="U24" s="198"/>
      <c r="V24" s="198"/>
      <c r="W24" s="198"/>
    </row>
    <row r="25" customHeight="1" spans="1:23">
      <c r="A25" s="30"/>
      <c r="B25" s="30"/>
      <c r="C25" s="30"/>
      <c r="D25" s="31"/>
      <c r="E25" s="238"/>
      <c r="F25" s="33"/>
      <c r="G25" s="33"/>
      <c r="H25" s="33"/>
      <c r="I25" s="200">
        <f t="shared" si="2"/>
        <v>0</v>
      </c>
      <c r="J25" s="103"/>
      <c r="K25" s="103"/>
      <c r="L25" s="103"/>
      <c r="M25" s="200">
        <f>J25-K25-L25</f>
        <v>0</v>
      </c>
      <c r="N25" s="200">
        <f>I25</f>
        <v>0</v>
      </c>
      <c r="O25" s="200">
        <f>P25*Q25</f>
        <v>0</v>
      </c>
      <c r="P25" s="198"/>
      <c r="Q25" s="198"/>
      <c r="R25" s="198"/>
      <c r="S25" s="200">
        <f>IF(N25&gt;O25,N25-O25,0)</f>
        <v>0</v>
      </c>
      <c r="T25" s="200">
        <f>IF(O25&gt;N25,O25-N25,0)</f>
        <v>0</v>
      </c>
      <c r="U25" s="198"/>
      <c r="V25" s="198"/>
      <c r="W25" s="198"/>
    </row>
    <row r="26" s="5" customFormat="1" customHeight="1" spans="1:23">
      <c r="A26" s="134" t="s">
        <v>295</v>
      </c>
      <c r="B26" s="136"/>
      <c r="C26" s="77"/>
      <c r="D26" s="77"/>
      <c r="E26" s="77"/>
      <c r="F26" s="229">
        <f>F11+F16+F21</f>
        <v>0</v>
      </c>
      <c r="G26" s="229">
        <f t="shared" ref="G26:O26" si="4">G11+G16+G21</f>
        <v>0</v>
      </c>
      <c r="H26" s="229">
        <f t="shared" si="4"/>
        <v>0</v>
      </c>
      <c r="I26" s="229">
        <f t="shared" si="4"/>
        <v>0</v>
      </c>
      <c r="J26" s="229">
        <f t="shared" si="4"/>
        <v>0</v>
      </c>
      <c r="K26" s="229">
        <f t="shared" si="4"/>
        <v>0</v>
      </c>
      <c r="L26" s="229">
        <f t="shared" si="4"/>
        <v>0</v>
      </c>
      <c r="M26" s="229">
        <f t="shared" si="4"/>
        <v>0</v>
      </c>
      <c r="N26" s="229">
        <f t="shared" si="4"/>
        <v>0</v>
      </c>
      <c r="O26" s="229">
        <f t="shared" si="4"/>
        <v>0</v>
      </c>
      <c r="P26" s="229"/>
      <c r="Q26" s="229"/>
      <c r="R26" s="229"/>
      <c r="S26" s="229">
        <f>S11+S16+S21</f>
        <v>0</v>
      </c>
      <c r="T26" s="229">
        <f>T11+T16+T21</f>
        <v>0</v>
      </c>
      <c r="U26" s="229"/>
      <c r="V26" s="229"/>
      <c r="W26" s="229"/>
    </row>
    <row r="27" customHeight="1" spans="1:23">
      <c r="A27" s="5" t="s">
        <v>297</v>
      </c>
      <c r="B27" s="5"/>
      <c r="C27" s="5"/>
      <c r="D27" s="5"/>
      <c r="E27" s="5"/>
    </row>
    <row r="30" customHeight="1" spans="1:23">
      <c r="A30" s="5" t="s">
        <v>369</v>
      </c>
      <c r="B30" s="5"/>
    </row>
    <row r="35" customHeight="1" spans="1:5">
      <c r="A35" s="193" t="s">
        <v>299</v>
      </c>
      <c r="B35" s="42"/>
      <c r="C35" s="42"/>
      <c r="D35" s="42"/>
      <c r="E35" s="42"/>
    </row>
    <row r="36" customHeight="1" spans="1:5">
      <c r="A36" s="43" t="s">
        <v>456</v>
      </c>
      <c r="B36" s="43"/>
      <c r="C36" s="43"/>
      <c r="D36" s="43"/>
      <c r="E36" s="43"/>
    </row>
    <row r="37" customHeight="1" spans="1:5">
      <c r="A37" s="43" t="s">
        <v>457</v>
      </c>
      <c r="B37" s="43"/>
      <c r="C37" s="43"/>
      <c r="D37" s="43"/>
      <c r="E37" s="43"/>
    </row>
    <row r="38" customHeight="1" spans="1:5">
      <c r="A38" s="43" t="s">
        <v>458</v>
      </c>
      <c r="B38" s="43"/>
      <c r="C38" s="43"/>
      <c r="D38" s="43"/>
      <c r="E38" s="43"/>
    </row>
    <row r="39" customHeight="1" spans="1:5">
      <c r="A39" s="43"/>
      <c r="B39" s="43"/>
      <c r="C39" s="43"/>
      <c r="D39" s="43"/>
      <c r="E39" s="43"/>
    </row>
    <row r="40" customHeight="1" spans="1:5">
      <c r="A40" s="43" t="s">
        <v>459</v>
      </c>
      <c r="B40" s="43"/>
      <c r="C40" s="43"/>
      <c r="D40" s="43"/>
      <c r="E40" s="43"/>
    </row>
    <row r="41" customHeight="1" spans="1:5">
      <c r="A41" s="43" t="s">
        <v>460</v>
      </c>
      <c r="B41" s="43"/>
      <c r="C41" s="43"/>
      <c r="D41" s="43"/>
      <c r="E41" s="43"/>
    </row>
    <row r="42" customHeight="1" spans="1:5">
      <c r="A42" s="43" t="s">
        <v>461</v>
      </c>
      <c r="B42" s="43"/>
      <c r="C42" s="43"/>
      <c r="D42" s="43"/>
      <c r="E42" s="43"/>
    </row>
    <row r="43" customHeight="1" spans="1:5">
      <c r="A43" s="43" t="s">
        <v>462</v>
      </c>
      <c r="B43" s="43"/>
      <c r="C43" s="43"/>
      <c r="D43" s="43"/>
      <c r="E43" s="43"/>
    </row>
    <row r="46" customHeight="1" spans="1:5">
      <c r="A46" s="43" t="s">
        <v>463</v>
      </c>
    </row>
    <row r="47" customHeight="1" spans="1:5">
      <c r="A47" s="43" t="s">
        <v>464</v>
      </c>
    </row>
    <row r="48" customHeight="1" spans="1:5">
      <c r="A48" s="43" t="s">
        <v>465</v>
      </c>
    </row>
    <row r="49" customHeight="1" spans="1:1">
      <c r="A49" s="43"/>
    </row>
    <row r="50" customHeight="1" spans="1:1">
      <c r="A50" s="43" t="s">
        <v>466</v>
      </c>
    </row>
    <row r="51" customHeight="1" spans="1:1">
      <c r="A51" s="43" t="s">
        <v>467</v>
      </c>
    </row>
    <row r="52" customHeight="1" spans="1:1">
      <c r="A52" s="43" t="s">
        <v>468</v>
      </c>
    </row>
    <row r="54" customHeight="1" spans="1:1">
      <c r="A54" s="43" t="s">
        <v>469</v>
      </c>
    </row>
    <row r="59" customHeight="1" spans="1:1">
      <c r="A59" s="41"/>
    </row>
    <row r="60" customHeight="1" spans="1:1">
      <c r="A60" s="204"/>
    </row>
    <row r="61" customHeight="1" spans="1:1">
      <c r="A61" s="239"/>
    </row>
    <row r="62" customHeight="1" spans="1:1">
      <c r="A62" s="204"/>
    </row>
  </sheetData>
  <mergeCells count="16">
    <mergeCell ref="A1:W1"/>
    <mergeCell ref="A2:W2"/>
    <mergeCell ref="J7:R7"/>
    <mergeCell ref="J8:M8"/>
    <mergeCell ref="N8:R8"/>
    <mergeCell ref="A26:B26"/>
    <mergeCell ref="A7:A10"/>
    <mergeCell ref="B7:B10"/>
    <mergeCell ref="C7:C10"/>
    <mergeCell ref="D7:D10"/>
    <mergeCell ref="E7:E10"/>
    <mergeCell ref="U7:U10"/>
    <mergeCell ref="V7:V10"/>
    <mergeCell ref="W7:W10"/>
    <mergeCell ref="F7:I8"/>
    <mergeCell ref="S7:T8"/>
  </mergeCells>
  <dataValidations count="1">
    <dataValidation type="list" allowBlank="1" showInputMessage="1" showErrorMessage="1" sqref="C12:C15 C17:C20 C22:C25">
      <formula1>"自用房地产转化为投资性房地产,投资性房地产转换为自用房地产"</formula1>
    </dataValidation>
  </dataValidations>
  <hyperlinks>
    <hyperlink ref="W3" location="底稿目录!A1" display="=底稿目录!F15"/>
  </hyperlinks>
  <printOptions horizontalCentered="1"/>
  <pageMargins left="0.708661417322835" right="0.708661417322835" top="0.748031496062992" bottom="0.748031496062992" header="0.31496062992126" footer="0.31496062992126"/>
  <pageSetup paperSize="9" scale="58" fitToHeight="2" orientation="landscape" blackAndWhite="1"/>
  <headerFooter>
    <oddFooter>&amp;C&amp;P/&amp;N</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pageSetUpPr fitToPage="1"/>
  </sheetPr>
  <dimension ref="A1:AB40"/>
  <sheetViews>
    <sheetView showZeros="0" view="pageBreakPreview" zoomScaleNormal="90" workbookViewId="0">
      <selection activeCell="H30" sqref="H30"/>
    </sheetView>
  </sheetViews>
  <sheetFormatPr defaultColWidth="9" defaultRowHeight="19.95" customHeight="1"/>
  <cols>
    <col min="1" max="1" width="11.5" style="6" customWidth="1"/>
    <col min="2" max="3" width="11.1" style="6" customWidth="1"/>
    <col min="4" max="4" width="9" style="6"/>
    <col min="5" max="5" width="12.1" style="6" customWidth="1"/>
    <col min="6" max="6" width="10.6" style="6" customWidth="1"/>
    <col min="7" max="7" width="8.1" style="6" customWidth="1"/>
    <col min="8" max="9" width="7.6" style="6" customWidth="1"/>
    <col min="10" max="10" width="8.5" style="6" customWidth="1"/>
    <col min="11" max="11" width="5" style="6" customWidth="1"/>
    <col min="12" max="12" width="6.6" style="6" customWidth="1"/>
    <col min="13" max="13" width="8.9" style="6" customWidth="1"/>
    <col min="14" max="14" width="6.5" style="6" customWidth="1"/>
    <col min="15" max="15" width="8.9" style="6" customWidth="1"/>
    <col min="16" max="16" width="10.1" style="6" customWidth="1"/>
    <col min="17" max="17" width="8.1" style="6" customWidth="1"/>
    <col min="18" max="18" width="10.1" style="6" customWidth="1"/>
    <col min="19" max="19" width="9.5" style="6" customWidth="1"/>
    <col min="20" max="16384" width="9" style="6"/>
  </cols>
  <sheetData>
    <row r="1" s="1" customFormat="1" customHeight="1" spans="1:28">
      <c r="A1" s="7" t="s">
        <v>59</v>
      </c>
      <c r="B1" s="7"/>
      <c r="C1" s="7"/>
      <c r="D1" s="7"/>
      <c r="E1" s="7"/>
      <c r="F1" s="7"/>
      <c r="G1" s="7"/>
      <c r="H1" s="7"/>
      <c r="I1" s="7"/>
      <c r="J1" s="7"/>
      <c r="K1" s="8"/>
      <c r="L1" s="8"/>
      <c r="M1" s="8"/>
      <c r="N1" s="8"/>
      <c r="O1" s="8"/>
      <c r="P1" s="8"/>
      <c r="Q1" s="8"/>
      <c r="R1" s="8"/>
      <c r="S1" s="8"/>
    </row>
    <row r="2" s="2" customFormat="1" customHeight="1" spans="1:28">
      <c r="A2" s="9" t="s">
        <v>470</v>
      </c>
      <c r="B2" s="9"/>
      <c r="C2" s="9"/>
      <c r="D2" s="9"/>
      <c r="E2" s="9"/>
      <c r="F2" s="9"/>
      <c r="G2" s="9"/>
      <c r="H2" s="9"/>
      <c r="I2" s="9"/>
      <c r="J2" s="9"/>
      <c r="K2" s="10"/>
      <c r="L2" s="10"/>
      <c r="M2" s="10"/>
      <c r="N2" s="10"/>
      <c r="O2" s="10"/>
      <c r="P2" s="10"/>
      <c r="Q2" s="10"/>
      <c r="R2" s="10"/>
      <c r="S2" s="10"/>
    </row>
    <row r="3" customHeight="1" spans="1:28">
      <c r="A3" s="6" t="str">
        <f>底稿目录!A2</f>
        <v>被审计单位：</v>
      </c>
      <c r="F3" s="93"/>
      <c r="G3" s="6" t="str">
        <f>底稿目录!A4</f>
        <v>编制人：</v>
      </c>
      <c r="N3" s="6" t="str">
        <f>底稿目录!A6</f>
        <v>编制日期：</v>
      </c>
      <c r="O3" s="11"/>
      <c r="R3" s="12" t="s">
        <v>61</v>
      </c>
      <c r="S3" s="13" t="s">
        <v>41</v>
      </c>
    </row>
    <row r="4" customHeight="1" spans="1:28">
      <c r="A4" s="6" t="str">
        <f>底稿目录!A3</f>
        <v>截止日：202X年12月31日</v>
      </c>
      <c r="F4" s="93"/>
      <c r="G4" s="6" t="str">
        <f>底稿目录!A5</f>
        <v>复核人：</v>
      </c>
      <c r="N4" s="6" t="str">
        <f>底稿目录!A7</f>
        <v>复核日期：</v>
      </c>
      <c r="O4" s="11"/>
      <c r="R4" s="12" t="s">
        <v>62</v>
      </c>
      <c r="S4" s="14"/>
    </row>
    <row r="5" s="3" customFormat="1" customHeight="1" spans="1:28">
      <c r="A5" s="15" t="s">
        <v>471</v>
      </c>
      <c r="B5" s="16"/>
      <c r="G5" s="17"/>
      <c r="K5" s="18"/>
      <c r="L5" s="94"/>
      <c r="V5" s="19"/>
      <c r="W5" s="19"/>
      <c r="X5" s="19"/>
      <c r="Y5" s="19"/>
      <c r="Z5" s="19"/>
      <c r="AA5" s="19"/>
      <c r="AB5" s="19"/>
    </row>
    <row r="6" customHeight="1" spans="1:28">
      <c r="A6" s="95" t="s">
        <v>274</v>
      </c>
      <c r="B6" s="196"/>
      <c r="G6" s="96"/>
      <c r="K6" s="97"/>
      <c r="L6" s="98"/>
      <c r="V6" s="99"/>
      <c r="W6" s="99"/>
      <c r="X6" s="99"/>
      <c r="Y6" s="99"/>
      <c r="Z6" s="99"/>
      <c r="AA6" s="99"/>
      <c r="AB6" s="99"/>
    </row>
    <row r="7" s="205" customFormat="1" customHeight="1" spans="1:28">
      <c r="A7" s="211" t="s">
        <v>472</v>
      </c>
      <c r="B7" s="212">
        <v>45658</v>
      </c>
      <c r="C7" s="211" t="s">
        <v>473</v>
      </c>
      <c r="D7" s="212">
        <v>46022</v>
      </c>
      <c r="E7" s="214" t="s">
        <v>474</v>
      </c>
      <c r="I7" s="215"/>
      <c r="M7" s="215"/>
      <c r="N7" s="215"/>
      <c r="P7" s="6"/>
      <c r="Q7" s="6"/>
    </row>
    <row r="8" s="206" customFormat="1" ht="26" spans="1:28">
      <c r="A8" s="217" t="s">
        <v>475</v>
      </c>
      <c r="B8" s="217" t="s">
        <v>308</v>
      </c>
      <c r="C8" s="217" t="s">
        <v>309</v>
      </c>
      <c r="D8" s="217" t="s">
        <v>476</v>
      </c>
      <c r="E8" s="218" t="s">
        <v>477</v>
      </c>
      <c r="F8" s="218" t="s">
        <v>478</v>
      </c>
      <c r="G8" s="219" t="s">
        <v>479</v>
      </c>
      <c r="H8" s="219" t="s">
        <v>480</v>
      </c>
      <c r="I8" s="220" t="s">
        <v>481</v>
      </c>
      <c r="J8" s="218" t="s">
        <v>482</v>
      </c>
      <c r="K8" s="219" t="s">
        <v>483</v>
      </c>
      <c r="L8" s="219" t="s">
        <v>484</v>
      </c>
      <c r="M8" s="220" t="s">
        <v>485</v>
      </c>
      <c r="N8" s="220" t="s">
        <v>486</v>
      </c>
      <c r="O8" s="218" t="s">
        <v>487</v>
      </c>
      <c r="P8" s="218" t="s">
        <v>488</v>
      </c>
      <c r="Q8" s="218" t="s">
        <v>489</v>
      </c>
      <c r="R8" s="218" t="s">
        <v>490</v>
      </c>
      <c r="S8" s="218" t="s">
        <v>491</v>
      </c>
    </row>
    <row r="9" s="207" customFormat="1" customHeight="1" spans="1:28">
      <c r="A9" s="202"/>
      <c r="B9" s="198"/>
      <c r="C9" s="198"/>
      <c r="D9" s="198"/>
      <c r="E9" s="198"/>
      <c r="F9" s="198"/>
      <c r="G9" s="223"/>
      <c r="H9" s="224"/>
      <c r="I9" s="225"/>
      <c r="J9" s="222"/>
      <c r="K9" s="234">
        <f>IF(H9=0,0,IF(RIGHT(H9,1)&lt;&gt;"年",H9*12,IF(LEN(H9)=3,VALUE(LEFT(H9,2))*12,IF(LEN(H9)=2,VALUE(LEFT(H9,1))*12,"??"))))</f>
        <v>0</v>
      </c>
      <c r="L9" s="235">
        <f>IF(G9=0,0,DATE(YEAR(G9),MONTH(G9)+K9,DAY(G9)-1))</f>
        <v>0</v>
      </c>
      <c r="M9" s="235">
        <f>IF(G9=0,0,IF(L9&gt;$D$7,DATEDIF(G9,MIN($D$7,L9),"m"),VALUE(DATEDIF(G9,MIN($D$7,L9),"m")+1)))</f>
        <v>0</v>
      </c>
      <c r="N9" s="235">
        <f>IF(OR(G9=0,L9&lt;$B$7),0,IF(AND(G9&lt;$B$7,L9&gt;$D$7),VALUE(DATEDIF($B$7,$D$7,"m")+1),IF(AND(G9&lt;$B$7,L9&lt;=$D$7),VALUE(DATEDIF($B$7,L9,"m")+1),IF(AND(G9&gt;=$B$7,L9&gt;$D$7),VALUE(DATEDIF(G9,$D$7,"m")),IF(AND(G9&gt;=$B$7,L9&lt;=$D$7),VALUE(DATEDIF(G9,L9,"m")+1),)))))</f>
        <v>0</v>
      </c>
      <c r="O9" s="235">
        <f>IF(K9=0,0,ROUND(((1-I9)/K9)*E9,4))</f>
        <v>0</v>
      </c>
      <c r="P9" s="235">
        <f>ROUND(O9*N9,2)</f>
        <v>0</v>
      </c>
      <c r="Q9" s="235">
        <f>ROUND(J9-O9,2)</f>
        <v>0</v>
      </c>
      <c r="R9" s="235">
        <f>ROUND(O9*M9,2)</f>
        <v>0</v>
      </c>
      <c r="S9" s="235">
        <f>ROUND(F9-R9,2)</f>
        <v>0</v>
      </c>
    </row>
    <row r="10" s="207" customFormat="1" customHeight="1" spans="1:28">
      <c r="A10" s="202"/>
      <c r="B10" s="198"/>
      <c r="C10" s="198"/>
      <c r="D10" s="198"/>
      <c r="E10" s="198"/>
      <c r="F10" s="198"/>
      <c r="G10" s="223"/>
      <c r="H10" s="224"/>
      <c r="I10" s="225"/>
      <c r="J10" s="222"/>
      <c r="K10" s="234">
        <f t="shared" ref="K10:K26" si="0">IF(H10=0,0,IF(RIGHT(H10,1)&lt;&gt;"年",H10*12,IF(LEN(H10)=3,VALUE(LEFT(H10,2))*12,IF(LEN(H10)=2,VALUE(LEFT(H10,1))*12,"??"))))</f>
        <v>0</v>
      </c>
      <c r="L10" s="235">
        <f t="shared" ref="L10:L26" si="1">IF(G10=0,0,DATE(YEAR(G10),MONTH(G10)+K10,DAY(G10)-1))</f>
        <v>0</v>
      </c>
      <c r="M10" s="235">
        <f>IF(G10=0,0,IF(L10&gt;$D$7,DATEDIF(G10,MIN($D$7,L10),"m"),VALUE(DATEDIF(G10,MIN($D$7,L10),"m")+1)))</f>
        <v>0</v>
      </c>
      <c r="N10" s="235">
        <f>IF(OR(G10=0,L10&lt;$B$7),0,IF(AND(G10&lt;$B$7,L10&gt;$D$7),VALUE(DATEDIF($B$7,$D$7,"m")+1),IF(AND(G10&lt;$B$7,L10&lt;=$D$7),VALUE(DATEDIF($B$7,L10,"m")+1),IF(AND(G10&gt;=$B$7,L10&gt;$D$7),VALUE(DATEDIF(G10,$D$7,"m")),IF(AND(G10&gt;=$B$7,L10&lt;=$D$7),VALUE(DATEDIF(G10,L10,"m")+1),)))))</f>
        <v>0</v>
      </c>
      <c r="O10" s="235">
        <f>IF(K10=0,0,ROUND(((1-I10)/K10)*E10,4))</f>
        <v>0</v>
      </c>
      <c r="P10" s="235">
        <f>ROUND(O10*N10,2)</f>
        <v>0</v>
      </c>
      <c r="Q10" s="235">
        <f>ROUND(J10-O10,2)</f>
        <v>0</v>
      </c>
      <c r="R10" s="235">
        <f>ROUND(O10*M10,2)</f>
        <v>0</v>
      </c>
      <c r="S10" s="235">
        <f>ROUND(F10-R10,2)</f>
        <v>0</v>
      </c>
    </row>
    <row r="11" hidden="1" customHeight="1" spans="1:28">
      <c r="A11" s="202"/>
      <c r="B11" s="198"/>
      <c r="C11" s="198"/>
      <c r="D11" s="198"/>
      <c r="E11" s="198"/>
      <c r="F11" s="198"/>
      <c r="G11" s="223"/>
      <c r="H11" s="224"/>
      <c r="I11" s="225"/>
      <c r="J11" s="222"/>
      <c r="K11" s="234">
        <f t="shared" si="0"/>
        <v>0</v>
      </c>
      <c r="L11" s="235">
        <f t="shared" si="1"/>
        <v>0</v>
      </c>
      <c r="M11" s="235">
        <f t="shared" ref="M11:M26" si="2">IF(G11=0,0,IF(L11&gt;$D$7,DATEDIF(G11,MIN($D$7,L11),"m"),VALUE(DATEDIF(G11,MIN($D$7,L11),"m")+1)))</f>
        <v>0</v>
      </c>
      <c r="N11" s="235">
        <f t="shared" ref="N11:N26" si="3">IF(OR(G11=0,L11&lt;$B$7),0,IF(AND(G11&lt;$B$7,L11&gt;$D$7),VALUE(DATEDIF($B$7,$D$7,"m")+1),IF(AND(G11&lt;$B$7,L11&lt;=$D$7),VALUE(DATEDIF($B$7,L11,"m")+1),IF(AND(G11&gt;=$B$7,L11&gt;$D$7),VALUE(DATEDIF(G11,$D$7,"m")),IF(AND(G11&gt;=$B$7,L11&lt;=$D$7),VALUE(DATEDIF(G11,L11,"m")+1),)))))</f>
        <v>0</v>
      </c>
      <c r="O11" s="235">
        <f t="shared" ref="O11:O26" si="4">IF(K11=0,0,ROUND(((1-I11)/K11)*E11,4))</f>
        <v>0</v>
      </c>
      <c r="P11" s="235">
        <f t="shared" ref="P11:P26" si="5">ROUND(O11*N11,2)</f>
        <v>0</v>
      </c>
      <c r="Q11" s="235">
        <f t="shared" ref="Q11:Q26" si="6">ROUND(J11-O11,2)</f>
        <v>0</v>
      </c>
      <c r="R11" s="235">
        <f t="shared" ref="R11:R26" si="7">ROUND(O11*M11,2)</f>
        <v>0</v>
      </c>
      <c r="S11" s="235">
        <f t="shared" ref="S11:S26" si="8">ROUND(F11-R11,2)</f>
        <v>0</v>
      </c>
    </row>
    <row r="12" hidden="1" customHeight="1" spans="1:28">
      <c r="A12" s="202"/>
      <c r="B12" s="198"/>
      <c r="C12" s="198"/>
      <c r="D12" s="198"/>
      <c r="E12" s="198"/>
      <c r="F12" s="198"/>
      <c r="G12" s="223"/>
      <c r="H12" s="224"/>
      <c r="I12" s="225"/>
      <c r="J12" s="222"/>
      <c r="K12" s="234">
        <f t="shared" si="0"/>
        <v>0</v>
      </c>
      <c r="L12" s="235">
        <f t="shared" si="1"/>
        <v>0</v>
      </c>
      <c r="M12" s="235">
        <f t="shared" si="2"/>
        <v>0</v>
      </c>
      <c r="N12" s="235">
        <f t="shared" si="3"/>
        <v>0</v>
      </c>
      <c r="O12" s="235">
        <f t="shared" si="4"/>
        <v>0</v>
      </c>
      <c r="P12" s="235">
        <f t="shared" si="5"/>
        <v>0</v>
      </c>
      <c r="Q12" s="235">
        <f t="shared" si="6"/>
        <v>0</v>
      </c>
      <c r="R12" s="235">
        <f t="shared" si="7"/>
        <v>0</v>
      </c>
      <c r="S12" s="235">
        <f t="shared" si="8"/>
        <v>0</v>
      </c>
    </row>
    <row r="13" hidden="1" customHeight="1" spans="1:28">
      <c r="A13" s="202"/>
      <c r="B13" s="198"/>
      <c r="C13" s="198"/>
      <c r="D13" s="198"/>
      <c r="E13" s="198"/>
      <c r="F13" s="198"/>
      <c r="G13" s="223"/>
      <c r="H13" s="224"/>
      <c r="I13" s="225"/>
      <c r="J13" s="222"/>
      <c r="K13" s="234">
        <f t="shared" si="0"/>
        <v>0</v>
      </c>
      <c r="L13" s="235">
        <f t="shared" si="1"/>
        <v>0</v>
      </c>
      <c r="M13" s="235">
        <f t="shared" si="2"/>
        <v>0</v>
      </c>
      <c r="N13" s="235">
        <f t="shared" si="3"/>
        <v>0</v>
      </c>
      <c r="O13" s="235">
        <f t="shared" si="4"/>
        <v>0</v>
      </c>
      <c r="P13" s="235">
        <f t="shared" si="5"/>
        <v>0</v>
      </c>
      <c r="Q13" s="235">
        <f t="shared" si="6"/>
        <v>0</v>
      </c>
      <c r="R13" s="235">
        <f t="shared" si="7"/>
        <v>0</v>
      </c>
      <c r="S13" s="235">
        <f t="shared" si="8"/>
        <v>0</v>
      </c>
    </row>
    <row r="14" hidden="1" customHeight="1" spans="1:28">
      <c r="A14" s="202"/>
      <c r="B14" s="198"/>
      <c r="C14" s="198"/>
      <c r="D14" s="198"/>
      <c r="E14" s="198"/>
      <c r="F14" s="198"/>
      <c r="G14" s="223"/>
      <c r="H14" s="224"/>
      <c r="I14" s="225"/>
      <c r="J14" s="222"/>
      <c r="K14" s="234">
        <f t="shared" si="0"/>
        <v>0</v>
      </c>
      <c r="L14" s="235">
        <f t="shared" si="1"/>
        <v>0</v>
      </c>
      <c r="M14" s="235">
        <f t="shared" si="2"/>
        <v>0</v>
      </c>
      <c r="N14" s="235">
        <f t="shared" si="3"/>
        <v>0</v>
      </c>
      <c r="O14" s="235">
        <f t="shared" si="4"/>
        <v>0</v>
      </c>
      <c r="P14" s="235">
        <f t="shared" si="5"/>
        <v>0</v>
      </c>
      <c r="Q14" s="235">
        <f t="shared" si="6"/>
        <v>0</v>
      </c>
      <c r="R14" s="235">
        <f t="shared" si="7"/>
        <v>0</v>
      </c>
      <c r="S14" s="235">
        <f t="shared" si="8"/>
        <v>0</v>
      </c>
    </row>
    <row r="15" hidden="1" customHeight="1" spans="1:28">
      <c r="A15" s="202"/>
      <c r="B15" s="198"/>
      <c r="C15" s="198"/>
      <c r="D15" s="198"/>
      <c r="E15" s="198"/>
      <c r="F15" s="198"/>
      <c r="G15" s="223"/>
      <c r="H15" s="224"/>
      <c r="I15" s="225"/>
      <c r="J15" s="222"/>
      <c r="K15" s="234">
        <f t="shared" si="0"/>
        <v>0</v>
      </c>
      <c r="L15" s="235">
        <f t="shared" si="1"/>
        <v>0</v>
      </c>
      <c r="M15" s="235">
        <f t="shared" si="2"/>
        <v>0</v>
      </c>
      <c r="N15" s="235">
        <f t="shared" si="3"/>
        <v>0</v>
      </c>
      <c r="O15" s="235">
        <f t="shared" si="4"/>
        <v>0</v>
      </c>
      <c r="P15" s="235">
        <f t="shared" si="5"/>
        <v>0</v>
      </c>
      <c r="Q15" s="235">
        <f t="shared" si="6"/>
        <v>0</v>
      </c>
      <c r="R15" s="235">
        <f t="shared" si="7"/>
        <v>0</v>
      </c>
      <c r="S15" s="235">
        <f t="shared" si="8"/>
        <v>0</v>
      </c>
    </row>
    <row r="16" hidden="1" customHeight="1" spans="1:28">
      <c r="A16" s="202"/>
      <c r="B16" s="198"/>
      <c r="C16" s="198"/>
      <c r="D16" s="198"/>
      <c r="E16" s="198"/>
      <c r="F16" s="198"/>
      <c r="G16" s="223"/>
      <c r="H16" s="224"/>
      <c r="I16" s="225"/>
      <c r="J16" s="222"/>
      <c r="K16" s="234">
        <f t="shared" si="0"/>
        <v>0</v>
      </c>
      <c r="L16" s="235">
        <f t="shared" si="1"/>
        <v>0</v>
      </c>
      <c r="M16" s="235">
        <f t="shared" si="2"/>
        <v>0</v>
      </c>
      <c r="N16" s="235">
        <f t="shared" si="3"/>
        <v>0</v>
      </c>
      <c r="O16" s="235">
        <f t="shared" si="4"/>
        <v>0</v>
      </c>
      <c r="P16" s="235">
        <f t="shared" si="5"/>
        <v>0</v>
      </c>
      <c r="Q16" s="235">
        <f t="shared" si="6"/>
        <v>0</v>
      </c>
      <c r="R16" s="235">
        <f t="shared" si="7"/>
        <v>0</v>
      </c>
      <c r="S16" s="235">
        <f t="shared" si="8"/>
        <v>0</v>
      </c>
    </row>
    <row r="17" hidden="1" customHeight="1" spans="1:19">
      <c r="A17" s="202"/>
      <c r="B17" s="198"/>
      <c r="C17" s="198"/>
      <c r="D17" s="198"/>
      <c r="E17" s="198"/>
      <c r="F17" s="198"/>
      <c r="G17" s="223"/>
      <c r="H17" s="224"/>
      <c r="I17" s="225"/>
      <c r="J17" s="222"/>
      <c r="K17" s="234">
        <f t="shared" si="0"/>
        <v>0</v>
      </c>
      <c r="L17" s="235">
        <f t="shared" si="1"/>
        <v>0</v>
      </c>
      <c r="M17" s="235">
        <f t="shared" si="2"/>
        <v>0</v>
      </c>
      <c r="N17" s="235">
        <f t="shared" si="3"/>
        <v>0</v>
      </c>
      <c r="O17" s="235">
        <f t="shared" si="4"/>
        <v>0</v>
      </c>
      <c r="P17" s="235">
        <f t="shared" si="5"/>
        <v>0</v>
      </c>
      <c r="Q17" s="235">
        <f t="shared" si="6"/>
        <v>0</v>
      </c>
      <c r="R17" s="235">
        <f t="shared" si="7"/>
        <v>0</v>
      </c>
      <c r="S17" s="235">
        <f t="shared" si="8"/>
        <v>0</v>
      </c>
    </row>
    <row r="18" hidden="1" customHeight="1" spans="1:19">
      <c r="A18" s="202"/>
      <c r="B18" s="198"/>
      <c r="C18" s="198"/>
      <c r="D18" s="198"/>
      <c r="E18" s="198"/>
      <c r="F18" s="198"/>
      <c r="G18" s="223"/>
      <c r="H18" s="224"/>
      <c r="I18" s="225"/>
      <c r="J18" s="222"/>
      <c r="K18" s="234">
        <f t="shared" si="0"/>
        <v>0</v>
      </c>
      <c r="L18" s="235">
        <f t="shared" si="1"/>
        <v>0</v>
      </c>
      <c r="M18" s="235">
        <f t="shared" si="2"/>
        <v>0</v>
      </c>
      <c r="N18" s="235">
        <f t="shared" si="3"/>
        <v>0</v>
      </c>
      <c r="O18" s="235">
        <f t="shared" si="4"/>
        <v>0</v>
      </c>
      <c r="P18" s="235">
        <f t="shared" si="5"/>
        <v>0</v>
      </c>
      <c r="Q18" s="235">
        <f t="shared" si="6"/>
        <v>0</v>
      </c>
      <c r="R18" s="235">
        <f t="shared" si="7"/>
        <v>0</v>
      </c>
      <c r="S18" s="235">
        <f t="shared" si="8"/>
        <v>0</v>
      </c>
    </row>
    <row r="19" hidden="1" customHeight="1" spans="1:19">
      <c r="A19" s="202"/>
      <c r="B19" s="198"/>
      <c r="C19" s="198"/>
      <c r="D19" s="198"/>
      <c r="E19" s="198"/>
      <c r="F19" s="198"/>
      <c r="G19" s="223"/>
      <c r="H19" s="224"/>
      <c r="I19" s="225"/>
      <c r="J19" s="222"/>
      <c r="K19" s="234">
        <f t="shared" si="0"/>
        <v>0</v>
      </c>
      <c r="L19" s="235">
        <f t="shared" si="1"/>
        <v>0</v>
      </c>
      <c r="M19" s="235">
        <f t="shared" si="2"/>
        <v>0</v>
      </c>
      <c r="N19" s="235">
        <f t="shared" si="3"/>
        <v>0</v>
      </c>
      <c r="O19" s="235">
        <f t="shared" si="4"/>
        <v>0</v>
      </c>
      <c r="P19" s="235">
        <f t="shared" si="5"/>
        <v>0</v>
      </c>
      <c r="Q19" s="235">
        <f t="shared" si="6"/>
        <v>0</v>
      </c>
      <c r="R19" s="235">
        <f t="shared" si="7"/>
        <v>0</v>
      </c>
      <c r="S19" s="235">
        <f t="shared" si="8"/>
        <v>0</v>
      </c>
    </row>
    <row r="20" hidden="1" customHeight="1" spans="1:19">
      <c r="A20" s="202"/>
      <c r="B20" s="198"/>
      <c r="C20" s="198"/>
      <c r="D20" s="198"/>
      <c r="E20" s="198"/>
      <c r="F20" s="198"/>
      <c r="G20" s="223"/>
      <c r="H20" s="224"/>
      <c r="I20" s="225"/>
      <c r="J20" s="222"/>
      <c r="K20" s="234">
        <f t="shared" si="0"/>
        <v>0</v>
      </c>
      <c r="L20" s="235">
        <f t="shared" si="1"/>
        <v>0</v>
      </c>
      <c r="M20" s="235">
        <f t="shared" si="2"/>
        <v>0</v>
      </c>
      <c r="N20" s="235">
        <f t="shared" si="3"/>
        <v>0</v>
      </c>
      <c r="O20" s="235">
        <f t="shared" si="4"/>
        <v>0</v>
      </c>
      <c r="P20" s="235">
        <f t="shared" si="5"/>
        <v>0</v>
      </c>
      <c r="Q20" s="235">
        <f t="shared" si="6"/>
        <v>0</v>
      </c>
      <c r="R20" s="235">
        <f t="shared" si="7"/>
        <v>0</v>
      </c>
      <c r="S20" s="235">
        <f t="shared" si="8"/>
        <v>0</v>
      </c>
    </row>
    <row r="21" hidden="1" customHeight="1" spans="1:19">
      <c r="A21" s="202"/>
      <c r="B21" s="198"/>
      <c r="C21" s="198"/>
      <c r="D21" s="198"/>
      <c r="E21" s="198"/>
      <c r="F21" s="198"/>
      <c r="G21" s="223"/>
      <c r="H21" s="224"/>
      <c r="I21" s="225"/>
      <c r="J21" s="222"/>
      <c r="K21" s="234">
        <f t="shared" si="0"/>
        <v>0</v>
      </c>
      <c r="L21" s="235">
        <f t="shared" si="1"/>
        <v>0</v>
      </c>
      <c r="M21" s="235">
        <f t="shared" si="2"/>
        <v>0</v>
      </c>
      <c r="N21" s="235">
        <f t="shared" si="3"/>
        <v>0</v>
      </c>
      <c r="O21" s="235">
        <f t="shared" si="4"/>
        <v>0</v>
      </c>
      <c r="P21" s="235">
        <f t="shared" si="5"/>
        <v>0</v>
      </c>
      <c r="Q21" s="235">
        <f t="shared" si="6"/>
        <v>0</v>
      </c>
      <c r="R21" s="235">
        <f t="shared" si="7"/>
        <v>0</v>
      </c>
      <c r="S21" s="235">
        <f t="shared" si="8"/>
        <v>0</v>
      </c>
    </row>
    <row r="22" hidden="1" customHeight="1" spans="1:19">
      <c r="A22" s="202"/>
      <c r="B22" s="198"/>
      <c r="C22" s="198"/>
      <c r="D22" s="198"/>
      <c r="E22" s="198"/>
      <c r="F22" s="198"/>
      <c r="G22" s="223"/>
      <c r="H22" s="224"/>
      <c r="I22" s="225"/>
      <c r="J22" s="222"/>
      <c r="K22" s="234">
        <f t="shared" si="0"/>
        <v>0</v>
      </c>
      <c r="L22" s="235">
        <f t="shared" si="1"/>
        <v>0</v>
      </c>
      <c r="M22" s="235">
        <f t="shared" si="2"/>
        <v>0</v>
      </c>
      <c r="N22" s="235">
        <f t="shared" si="3"/>
        <v>0</v>
      </c>
      <c r="O22" s="235">
        <f t="shared" si="4"/>
        <v>0</v>
      </c>
      <c r="P22" s="235">
        <f t="shared" si="5"/>
        <v>0</v>
      </c>
      <c r="Q22" s="235">
        <f t="shared" si="6"/>
        <v>0</v>
      </c>
      <c r="R22" s="235">
        <f t="shared" si="7"/>
        <v>0</v>
      </c>
      <c r="S22" s="235">
        <f t="shared" si="8"/>
        <v>0</v>
      </c>
    </row>
    <row r="23" hidden="1" customHeight="1" spans="1:19">
      <c r="A23" s="202"/>
      <c r="B23" s="198"/>
      <c r="C23" s="198"/>
      <c r="D23" s="198"/>
      <c r="E23" s="198"/>
      <c r="F23" s="198"/>
      <c r="G23" s="223"/>
      <c r="H23" s="224"/>
      <c r="I23" s="225"/>
      <c r="J23" s="222"/>
      <c r="K23" s="234">
        <f t="shared" si="0"/>
        <v>0</v>
      </c>
      <c r="L23" s="235">
        <f t="shared" si="1"/>
        <v>0</v>
      </c>
      <c r="M23" s="235">
        <f t="shared" si="2"/>
        <v>0</v>
      </c>
      <c r="N23" s="235">
        <f t="shared" si="3"/>
        <v>0</v>
      </c>
      <c r="O23" s="235">
        <f t="shared" si="4"/>
        <v>0</v>
      </c>
      <c r="P23" s="235">
        <f t="shared" si="5"/>
        <v>0</v>
      </c>
      <c r="Q23" s="235">
        <f t="shared" si="6"/>
        <v>0</v>
      </c>
      <c r="R23" s="235">
        <f t="shared" si="7"/>
        <v>0</v>
      </c>
      <c r="S23" s="235">
        <f t="shared" si="8"/>
        <v>0</v>
      </c>
    </row>
    <row r="24" customHeight="1" spans="1:19">
      <c r="A24" s="202"/>
      <c r="B24" s="198"/>
      <c r="C24" s="198"/>
      <c r="D24" s="198"/>
      <c r="E24" s="198"/>
      <c r="F24" s="198"/>
      <c r="G24" s="223"/>
      <c r="H24" s="224"/>
      <c r="I24" s="225"/>
      <c r="J24" s="222"/>
      <c r="K24" s="234">
        <f t="shared" si="0"/>
        <v>0</v>
      </c>
      <c r="L24" s="235">
        <f t="shared" si="1"/>
        <v>0</v>
      </c>
      <c r="M24" s="235">
        <f t="shared" si="2"/>
        <v>0</v>
      </c>
      <c r="N24" s="235">
        <f t="shared" si="3"/>
        <v>0</v>
      </c>
      <c r="O24" s="235">
        <f t="shared" si="4"/>
        <v>0</v>
      </c>
      <c r="P24" s="235">
        <f t="shared" si="5"/>
        <v>0</v>
      </c>
      <c r="Q24" s="235">
        <f t="shared" si="6"/>
        <v>0</v>
      </c>
      <c r="R24" s="235">
        <f t="shared" si="7"/>
        <v>0</v>
      </c>
      <c r="S24" s="235">
        <f t="shared" si="8"/>
        <v>0</v>
      </c>
    </row>
    <row r="25" customHeight="1" spans="1:19">
      <c r="A25" s="202"/>
      <c r="B25" s="198"/>
      <c r="C25" s="198"/>
      <c r="D25" s="198"/>
      <c r="E25" s="198"/>
      <c r="F25" s="198"/>
      <c r="G25" s="223"/>
      <c r="H25" s="224"/>
      <c r="I25" s="225"/>
      <c r="J25" s="222"/>
      <c r="K25" s="234">
        <f t="shared" si="0"/>
        <v>0</v>
      </c>
      <c r="L25" s="235">
        <f t="shared" si="1"/>
        <v>0</v>
      </c>
      <c r="M25" s="235">
        <f t="shared" si="2"/>
        <v>0</v>
      </c>
      <c r="N25" s="235">
        <f t="shared" si="3"/>
        <v>0</v>
      </c>
      <c r="O25" s="235">
        <f t="shared" si="4"/>
        <v>0</v>
      </c>
      <c r="P25" s="235">
        <f t="shared" si="5"/>
        <v>0</v>
      </c>
      <c r="Q25" s="235">
        <f t="shared" si="6"/>
        <v>0</v>
      </c>
      <c r="R25" s="235">
        <f t="shared" si="7"/>
        <v>0</v>
      </c>
      <c r="S25" s="235">
        <f t="shared" si="8"/>
        <v>0</v>
      </c>
    </row>
    <row r="26" customHeight="1" spans="1:19">
      <c r="A26" s="202"/>
      <c r="B26" s="198"/>
      <c r="C26" s="198"/>
      <c r="D26" s="198"/>
      <c r="E26" s="198"/>
      <c r="F26" s="198"/>
      <c r="G26" s="223"/>
      <c r="H26" s="224"/>
      <c r="I26" s="225"/>
      <c r="J26" s="222"/>
      <c r="K26" s="234">
        <f t="shared" si="0"/>
        <v>0</v>
      </c>
      <c r="L26" s="235">
        <f t="shared" si="1"/>
        <v>0</v>
      </c>
      <c r="M26" s="235">
        <f t="shared" si="2"/>
        <v>0</v>
      </c>
      <c r="N26" s="235">
        <f t="shared" si="3"/>
        <v>0</v>
      </c>
      <c r="O26" s="235">
        <f t="shared" si="4"/>
        <v>0</v>
      </c>
      <c r="P26" s="235">
        <f t="shared" si="5"/>
        <v>0</v>
      </c>
      <c r="Q26" s="235">
        <f t="shared" si="6"/>
        <v>0</v>
      </c>
      <c r="R26" s="235">
        <f t="shared" si="7"/>
        <v>0</v>
      </c>
      <c r="S26" s="235">
        <f t="shared" si="8"/>
        <v>0</v>
      </c>
    </row>
    <row r="27" s="133" customFormat="1" customHeight="1" spans="1:19">
      <c r="A27" s="120" t="s">
        <v>295</v>
      </c>
      <c r="B27" s="120"/>
      <c r="C27" s="120"/>
      <c r="D27" s="120"/>
      <c r="E27" s="229">
        <f>SUM(E9:E26)</f>
        <v>0</v>
      </c>
      <c r="F27" s="229">
        <f>SUM(F9:F26)</f>
        <v>0</v>
      </c>
      <c r="G27" s="236"/>
      <c r="H27" s="236"/>
      <c r="I27" s="236"/>
      <c r="J27" s="236"/>
      <c r="K27" s="229"/>
      <c r="L27" s="229"/>
      <c r="M27" s="229"/>
      <c r="N27" s="229"/>
      <c r="O27" s="229">
        <f>SUM(O9:O26)</f>
        <v>0</v>
      </c>
      <c r="P27" s="229">
        <f>SUM(P9:P26)</f>
        <v>0</v>
      </c>
      <c r="Q27" s="229">
        <f>SUM(Q9:Q26)</f>
        <v>0</v>
      </c>
      <c r="R27" s="229">
        <f>SUM(R9:R26)</f>
        <v>0</v>
      </c>
      <c r="S27" s="229">
        <f>SUM(S9:S26)</f>
        <v>0</v>
      </c>
    </row>
    <row r="28" customHeight="1" spans="1:19">
      <c r="A28" s="39" t="s">
        <v>297</v>
      </c>
      <c r="B28" s="40"/>
      <c r="C28" s="40"/>
      <c r="D28" s="40"/>
      <c r="E28" s="40"/>
      <c r="F28" s="40"/>
      <c r="G28" s="40"/>
      <c r="H28" s="40"/>
      <c r="I28" s="40"/>
      <c r="J28" s="40"/>
      <c r="K28" s="40"/>
      <c r="L28" s="40"/>
      <c r="M28" s="40"/>
      <c r="N28" s="40"/>
      <c r="O28" s="40"/>
      <c r="P28" s="40"/>
      <c r="Q28" s="40"/>
      <c r="R28" s="40"/>
      <c r="S28" s="40"/>
    </row>
    <row r="32" customHeight="1" spans="1:19">
      <c r="A32" s="5" t="s">
        <v>369</v>
      </c>
    </row>
    <row r="36" customHeight="1" spans="1:1">
      <c r="A36" s="143"/>
    </row>
    <row r="37" customHeight="1" spans="1:1">
      <c r="A37" s="233"/>
    </row>
    <row r="38" customHeight="1" spans="1:1">
      <c r="A38" s="131"/>
    </row>
    <row r="39" customHeight="1" spans="1:1">
      <c r="A39" s="131"/>
    </row>
    <row r="40" customHeight="1" spans="1:1">
      <c r="A40" s="131"/>
    </row>
  </sheetData>
  <mergeCells count="2">
    <mergeCell ref="A1:S1"/>
    <mergeCell ref="A2:S2"/>
  </mergeCells>
  <hyperlinks>
    <hyperlink ref="S3" location="底稿目录!A1" display="H3-7"/>
  </hyperlinks>
  <printOptions horizontalCentered="1"/>
  <pageMargins left="0.708661417322835" right="0.708661417322835" top="0.748031496062992" bottom="0.748031496062992" header="0.31496062992126" footer="0.31496062992126"/>
  <pageSetup paperSize="9" scale="72" fitToHeight="50" orientation="landscape" blackAndWhite="1"/>
  <headerFooter>
    <oddFooter>&amp;C&amp;P/&amp;N</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pageSetUpPr fitToPage="1"/>
  </sheetPr>
  <dimension ref="A1:AB38"/>
  <sheetViews>
    <sheetView showZeros="0" view="pageBreakPreview" zoomScaleNormal="90" workbookViewId="0">
      <selection activeCell="M33" sqref="M33"/>
    </sheetView>
  </sheetViews>
  <sheetFormatPr defaultColWidth="9" defaultRowHeight="19.95" customHeight="1"/>
  <cols>
    <col min="1" max="1" width="9" style="6"/>
    <col min="2" max="2" width="11.6" style="6" customWidth="1"/>
    <col min="3" max="3" width="11.1" style="6" customWidth="1"/>
    <col min="4" max="4" width="9" style="6"/>
    <col min="5" max="5" width="12.1" style="6" customWidth="1"/>
    <col min="6" max="8" width="9" style="6"/>
    <col min="9" max="9" width="4.9" style="6" customWidth="1"/>
    <col min="10" max="10" width="6.5" style="6" customWidth="1"/>
    <col min="11" max="11" width="8.9" style="6" customWidth="1"/>
    <col min="12" max="12" width="4.6" style="208" customWidth="1"/>
    <col min="13" max="13" width="7.3" style="6" customWidth="1"/>
    <col min="14" max="14" width="6.5" style="6" customWidth="1"/>
    <col min="15" max="15" width="10.1" style="6" customWidth="1"/>
    <col min="16" max="16" width="6.3" style="6" customWidth="1"/>
    <col min="17" max="17" width="8.5" style="6" customWidth="1"/>
    <col min="18" max="18" width="10.3" style="6" customWidth="1"/>
    <col min="19" max="21" width="8.9" style="6" customWidth="1"/>
    <col min="22" max="22" width="10.1" style="6" customWidth="1"/>
    <col min="23" max="23" width="8.1" style="6" customWidth="1"/>
    <col min="24" max="24" width="10.1" style="6" customWidth="1"/>
    <col min="25" max="25" width="9.5" style="6" customWidth="1"/>
    <col min="26" max="16384" width="9" style="6"/>
  </cols>
  <sheetData>
    <row r="1" s="1" customFormat="1" customHeight="1" spans="1:28">
      <c r="A1" s="7" t="s">
        <v>59</v>
      </c>
      <c r="B1" s="7"/>
      <c r="C1" s="7"/>
      <c r="D1" s="7"/>
      <c r="E1" s="7"/>
      <c r="F1" s="7"/>
      <c r="G1" s="7"/>
      <c r="H1" s="7"/>
      <c r="I1" s="7"/>
      <c r="J1" s="7"/>
      <c r="K1" s="7"/>
      <c r="L1" s="7"/>
      <c r="M1" s="7"/>
      <c r="N1" s="7"/>
      <c r="O1" s="7"/>
      <c r="P1" s="7"/>
      <c r="Q1" s="7"/>
      <c r="R1" s="7"/>
      <c r="S1" s="7"/>
      <c r="T1" s="7"/>
      <c r="U1" s="7"/>
      <c r="V1" s="7"/>
      <c r="W1" s="7"/>
      <c r="X1" s="7"/>
      <c r="Y1" s="7"/>
    </row>
    <row r="2" s="2" customFormat="1" customHeight="1" spans="1:28">
      <c r="A2" s="9" t="s">
        <v>470</v>
      </c>
      <c r="B2" s="9"/>
      <c r="C2" s="9"/>
      <c r="D2" s="9"/>
      <c r="E2" s="9"/>
      <c r="F2" s="9"/>
      <c r="G2" s="9"/>
      <c r="H2" s="9"/>
      <c r="I2" s="9"/>
      <c r="J2" s="9"/>
      <c r="K2" s="10"/>
      <c r="L2" s="10"/>
      <c r="M2" s="10"/>
      <c r="N2" s="10"/>
      <c r="O2" s="10"/>
      <c r="P2" s="10"/>
      <c r="Q2" s="10"/>
      <c r="R2" s="10"/>
      <c r="S2" s="10"/>
      <c r="T2" s="10"/>
      <c r="U2" s="10"/>
      <c r="V2" s="10"/>
      <c r="W2" s="10"/>
      <c r="X2" s="10"/>
      <c r="Y2" s="10"/>
    </row>
    <row r="3" customHeight="1" spans="1:28">
      <c r="A3" s="6" t="str">
        <f>底稿目录!A2</f>
        <v>被审计单位：</v>
      </c>
      <c r="F3" s="93"/>
      <c r="G3" s="6" t="str">
        <f>底稿目录!A4</f>
        <v>编制人：</v>
      </c>
      <c r="Q3" s="6" t="str">
        <f>底稿目录!A6</f>
        <v>编制日期：</v>
      </c>
      <c r="R3" s="11"/>
      <c r="X3" s="12" t="s">
        <v>61</v>
      </c>
      <c r="Y3" s="13" t="s">
        <v>41</v>
      </c>
    </row>
    <row r="4" customHeight="1" spans="1:28">
      <c r="A4" s="6" t="str">
        <f>底稿目录!A3</f>
        <v>截止日：202X年12月31日</v>
      </c>
      <c r="F4" s="93"/>
      <c r="G4" s="6" t="str">
        <f>底稿目录!A5</f>
        <v>复核人：</v>
      </c>
      <c r="Q4" s="6" t="str">
        <f>底稿目录!A7</f>
        <v>复核日期：</v>
      </c>
      <c r="R4" s="11"/>
      <c r="X4" s="12" t="s">
        <v>62</v>
      </c>
      <c r="Y4" s="14"/>
    </row>
    <row r="5" s="3" customFormat="1" customHeight="1" spans="1:28">
      <c r="A5" s="15" t="s">
        <v>471</v>
      </c>
      <c r="B5" s="16"/>
      <c r="G5" s="17"/>
      <c r="K5" s="18"/>
      <c r="L5" s="209"/>
      <c r="V5" s="19"/>
      <c r="W5" s="19"/>
      <c r="X5" s="19"/>
      <c r="Y5" s="19"/>
      <c r="Z5" s="19"/>
      <c r="AA5" s="19"/>
      <c r="AB5" s="19"/>
    </row>
    <row r="6" customHeight="1" spans="1:28">
      <c r="A6" s="95" t="s">
        <v>274</v>
      </c>
      <c r="B6" s="196"/>
      <c r="G6" s="96"/>
      <c r="K6" s="97"/>
      <c r="L6" s="210"/>
      <c r="V6" s="99"/>
      <c r="W6" s="99"/>
      <c r="X6" s="99"/>
      <c r="Y6" s="99"/>
      <c r="Z6" s="99"/>
      <c r="AA6" s="99"/>
      <c r="AB6" s="99"/>
    </row>
    <row r="7" s="205" customFormat="1" customHeight="1" spans="1:28">
      <c r="A7" s="211" t="s">
        <v>472</v>
      </c>
      <c r="B7" s="212">
        <v>45658</v>
      </c>
      <c r="C7" s="211" t="s">
        <v>473</v>
      </c>
      <c r="D7" s="212">
        <v>46022</v>
      </c>
      <c r="E7" s="213" t="s">
        <v>492</v>
      </c>
      <c r="F7" s="212">
        <v>46022</v>
      </c>
      <c r="G7" s="214" t="s">
        <v>474</v>
      </c>
      <c r="J7" s="215"/>
      <c r="L7" s="216"/>
      <c r="N7" s="215"/>
      <c r="O7" s="215"/>
      <c r="P7" s="215"/>
      <c r="Q7" s="215"/>
      <c r="R7" s="215"/>
      <c r="V7" s="6"/>
      <c r="W7" s="6"/>
    </row>
    <row r="8" s="206" customFormat="1" ht="39" spans="1:28">
      <c r="A8" s="217" t="s">
        <v>475</v>
      </c>
      <c r="B8" s="217" t="s">
        <v>308</v>
      </c>
      <c r="C8" s="217" t="s">
        <v>309</v>
      </c>
      <c r="D8" s="217" t="s">
        <v>476</v>
      </c>
      <c r="E8" s="217" t="s">
        <v>477</v>
      </c>
      <c r="F8" s="217" t="s">
        <v>478</v>
      </c>
      <c r="G8" s="218" t="s">
        <v>493</v>
      </c>
      <c r="H8" s="219" t="s">
        <v>479</v>
      </c>
      <c r="I8" s="219" t="s">
        <v>480</v>
      </c>
      <c r="J8" s="220" t="s">
        <v>481</v>
      </c>
      <c r="K8" s="218" t="s">
        <v>482</v>
      </c>
      <c r="L8" s="221" t="s">
        <v>483</v>
      </c>
      <c r="M8" s="219" t="s">
        <v>484</v>
      </c>
      <c r="N8" s="220" t="s">
        <v>485</v>
      </c>
      <c r="O8" s="220" t="s">
        <v>494</v>
      </c>
      <c r="P8" s="220" t="s">
        <v>486</v>
      </c>
      <c r="Q8" s="220" t="s">
        <v>495</v>
      </c>
      <c r="R8" s="220" t="s">
        <v>496</v>
      </c>
      <c r="S8" s="219" t="s">
        <v>497</v>
      </c>
      <c r="T8" s="219" t="s">
        <v>498</v>
      </c>
      <c r="U8" s="219" t="s">
        <v>499</v>
      </c>
      <c r="V8" s="218" t="s">
        <v>488</v>
      </c>
      <c r="W8" s="218" t="s">
        <v>489</v>
      </c>
      <c r="X8" s="218" t="s">
        <v>490</v>
      </c>
      <c r="Y8" s="218" t="s">
        <v>491</v>
      </c>
    </row>
    <row r="9" s="207" customFormat="1" customHeight="1" spans="1:28">
      <c r="A9" s="202"/>
      <c r="B9" s="198"/>
      <c r="C9" s="198"/>
      <c r="D9" s="198"/>
      <c r="E9" s="198"/>
      <c r="F9" s="198"/>
      <c r="G9" s="222"/>
      <c r="H9" s="223"/>
      <c r="I9" s="224"/>
      <c r="J9" s="225"/>
      <c r="K9" s="222"/>
      <c r="L9" s="226">
        <f>IF(I9=0,0,IF(RIGHT(I9,1)&lt;&gt;"年",I9*12,IF(LEN(I9)=3,VALUE(LEFT(I9,2))*12,IF(LEN(I9)=2,VALUE(LEFT(I9,1))*12,"??"))))</f>
        <v>0</v>
      </c>
      <c r="M9" s="227">
        <f>IF(H9=0,0,DATE(YEAR(H9),MONTH(H9)+L9,DAY(H9)-1))</f>
        <v>0</v>
      </c>
      <c r="N9" s="200">
        <f>IF(H9=0,0,IF(M9&gt;$D$7,DATEDIF(H9,MIN($D$7,M9),"m"),VALUE(DATEDIF(H9,MIN($D$7,M9),"m")+1)))</f>
        <v>0</v>
      </c>
      <c r="O9" s="200">
        <f>IF(H9=0,0,DATEDIF(H9,$F$7,"m"))</f>
        <v>0</v>
      </c>
      <c r="P9" s="200">
        <f>IF(OR(H9=0,M9&lt;$B$7),0,IF(AND(H9&lt;$B$7,M9&gt;$D$7),VALUE(DATEDIF($B$7,$D$7,"m")+1),IF(AND(H9&lt;$B$7,M9&lt;=$D$7),VALUE(DATEDIF($B$7,M9,"m")+1),IF(AND(H9&gt;=$B$7,M9&gt;$D$7),VALUE(DATEDIF(H9,$D$7,"m")),IF(AND(H9&gt;=$B$7,M9&lt;=$D$7),VALUE(DATEDIF(H9,M9,"m")+1),)))))</f>
        <v>0</v>
      </c>
      <c r="Q9" s="200">
        <f>P9-R9</f>
        <v>0</v>
      </c>
      <c r="R9" s="200">
        <f>IF(H9=0,0,IF($F$7&lt;$B$7,P9,DATEDIF(MAX(H9,$F$7),MIN(M9,$D$7),"m")))</f>
        <v>0</v>
      </c>
      <c r="S9" s="200">
        <f>IF(L9=0,0,ROUND(((1-J9)/L9)*E9,4))</f>
        <v>0</v>
      </c>
      <c r="T9" s="200">
        <f>ROUND(S9*O9,2)</f>
        <v>0</v>
      </c>
      <c r="U9" s="200">
        <f>IF((E9*(1-J9)-T9-G9)&gt;0,(E9*(1-J9)-T9-G9)/(L9-O9),0)</f>
        <v>0</v>
      </c>
      <c r="V9" s="200">
        <f>ROUND(S9*Q9,2)+ROUND(U9*R9,2)</f>
        <v>0</v>
      </c>
      <c r="W9" s="200">
        <f>ROUND(K9-U9,2)</f>
        <v>0</v>
      </c>
      <c r="X9" s="200">
        <f>ROUND(S9*O9,2)+ROUND(U9*(N9-O9),2)</f>
        <v>0</v>
      </c>
      <c r="Y9" s="200">
        <f>ROUND(F9-X9,2)</f>
        <v>0</v>
      </c>
    </row>
    <row r="10" s="207" customFormat="1" customHeight="1" spans="1:28">
      <c r="A10" s="202"/>
      <c r="B10" s="198"/>
      <c r="C10" s="198"/>
      <c r="D10" s="198"/>
      <c r="E10" s="198"/>
      <c r="F10" s="198"/>
      <c r="G10" s="222"/>
      <c r="H10" s="223"/>
      <c r="I10" s="224"/>
      <c r="J10" s="225"/>
      <c r="K10" s="222"/>
      <c r="L10" s="226">
        <f>IF(I10=0,0,IF(RIGHT(I10,1)&lt;&gt;"年",I10*12,IF(LEN(I10)=3,VALUE(LEFT(I10,2))*12,IF(LEN(I10)=2,VALUE(LEFT(I10,1))*12,"??"))))</f>
        <v>0</v>
      </c>
      <c r="M10" s="227">
        <f t="shared" ref="M10:M26" si="0">IF(H10=0,0,DATE(YEAR(H10),MONTH(H10)+L10,DAY(H10)-1))</f>
        <v>0</v>
      </c>
      <c r="N10" s="200">
        <f>IF(H10=0,0,IF(M10&gt;$D$7,DATEDIF(H10,MIN($D$7,M10),"m"),VALUE(DATEDIF(H10,MIN($D$7,M10),"m")+1)))</f>
        <v>0</v>
      </c>
      <c r="O10" s="200">
        <f>IF(H10=0,0,DATEDIF(H10,$F$7,"m"))</f>
        <v>0</v>
      </c>
      <c r="P10" s="200">
        <f>IF(OR(H10=0,M10&lt;$B$7),0,IF(AND(H10&lt;$B$7,M10&gt;$D$7),VALUE(DATEDIF($B$7,$D$7,"m")+1),IF(AND(H10&lt;$B$7,M10&lt;=$D$7),VALUE(DATEDIF($B$7,M10,"m")+1),IF(AND(H10&gt;=$B$7,M10&gt;$D$7),VALUE(DATEDIF(H10,$D$7,"m")),IF(AND(H10&gt;=$B$7,M10&lt;=$D$7),VALUE(DATEDIF(H10,M10,"m")+1),)))))</f>
        <v>0</v>
      </c>
      <c r="Q10" s="200">
        <f>P10-R10</f>
        <v>0</v>
      </c>
      <c r="R10" s="200">
        <f>IF(H10=0,0,IF($F$7&lt;$B$7,P10,DATEDIF(MAX(H10,$F$7),MIN(M10,$D$7),"m")))</f>
        <v>0</v>
      </c>
      <c r="S10" s="200">
        <f>IF(L10=0,0,ROUND(((1-J10)/L10)*E10,4))</f>
        <v>0</v>
      </c>
      <c r="T10" s="200">
        <f>ROUND(S10*O10,2)</f>
        <v>0</v>
      </c>
      <c r="U10" s="200">
        <f>IF((E10*(1-J10)-T10-G10)&gt;0,(E10*(1-J10)-T10-G10)/(L10-O10),0)</f>
        <v>0</v>
      </c>
      <c r="V10" s="200">
        <f>ROUND(S10*Q10,2)+ROUND(U10*R10,2)</f>
        <v>0</v>
      </c>
      <c r="W10" s="200">
        <f>ROUND(K10-U10,2)</f>
        <v>0</v>
      </c>
      <c r="X10" s="200">
        <f>ROUND(S10*O10,2)+ROUND(U10*(N10-O10),2)</f>
        <v>0</v>
      </c>
      <c r="Y10" s="200">
        <f>ROUND(F10-X10,2)</f>
        <v>0</v>
      </c>
    </row>
    <row r="11" hidden="1" customHeight="1" spans="1:28">
      <c r="A11" s="202"/>
      <c r="B11" s="198"/>
      <c r="C11" s="198"/>
      <c r="D11" s="198"/>
      <c r="E11" s="198"/>
      <c r="F11" s="198"/>
      <c r="G11" s="222"/>
      <c r="H11" s="223"/>
      <c r="I11" s="224"/>
      <c r="J11" s="225"/>
      <c r="K11" s="222"/>
      <c r="L11" s="226">
        <f t="shared" ref="L11:L26" si="1">IF(I11=0,0,IF(RIGHT(I11,1)&lt;&gt;"年",I11*12,IF(LEN(I11)=3,VALUE(LEFT(I11,2))*12,IF(LEN(I11)=2,VALUE(LEFT(I11,1))*12,"??"))))</f>
        <v>0</v>
      </c>
      <c r="M11" s="227">
        <f t="shared" si="0"/>
        <v>0</v>
      </c>
      <c r="N11" s="200">
        <f t="shared" ref="N11:N26" si="2">IF(H11=0,0,IF(M11&gt;$D$7,DATEDIF(H11,MIN($D$7,M11),"m"),VALUE(DATEDIF(H11,MIN($D$7,M11),"m")+1)))</f>
        <v>0</v>
      </c>
      <c r="O11" s="200">
        <f t="shared" ref="O11:O26" si="3">IF(H11=0,0,DATEDIF(H11,$F$7,"m"))</f>
        <v>0</v>
      </c>
      <c r="P11" s="200">
        <f t="shared" ref="P11:P26" si="4">IF(OR(H11=0,M11&lt;$B$7),0,IF(AND(H11&lt;$B$7,M11&gt;$D$7),VALUE(DATEDIF($B$7,$D$7,"m")+1),IF(AND(H11&lt;$B$7,M11&lt;=$D$7),VALUE(DATEDIF($B$7,M11,"m")+1),IF(AND(H11&gt;=$B$7,M11&gt;$D$7),VALUE(DATEDIF(H11,$D$7,"m")),IF(AND(H11&gt;=$B$7,M11&lt;=$D$7),VALUE(DATEDIF(H11,M11,"m")+1),)))))</f>
        <v>0</v>
      </c>
      <c r="Q11" s="200">
        <f t="shared" ref="Q11:Q26" si="5">P11-R11</f>
        <v>0</v>
      </c>
      <c r="R11" s="200">
        <f t="shared" ref="R11:R26" si="6">IF(H11=0,0,IF($F$7&lt;$B$7,P11,DATEDIF(MAX(H11,$F$7),MIN(M11,$D$7),"m")))</f>
        <v>0</v>
      </c>
      <c r="S11" s="200">
        <f t="shared" ref="S11:S26" si="7">IF(L11=0,0,ROUND(((1-J11)/L11)*E11,4))</f>
        <v>0</v>
      </c>
      <c r="T11" s="200">
        <f t="shared" ref="T11:T26" si="8">ROUND(S11*O11,2)</f>
        <v>0</v>
      </c>
      <c r="U11" s="200">
        <f t="shared" ref="U11:U26" si="9">IF((E11*(1-J11)-T11-G11)&gt;0,(E11*(1-J11)-T11-G11)/(L11-O11),0)</f>
        <v>0</v>
      </c>
      <c r="V11" s="200">
        <f t="shared" ref="V11:V26" si="10">ROUND(S11*Q11,2)+ROUND(U11*R11,2)</f>
        <v>0</v>
      </c>
      <c r="W11" s="200">
        <f t="shared" ref="W11:W26" si="11">ROUND(K11-U11,2)</f>
        <v>0</v>
      </c>
      <c r="X11" s="200">
        <f t="shared" ref="X11:X26" si="12">ROUND(S11*O11,2)+ROUND(U11*(N11-O11),2)</f>
        <v>0</v>
      </c>
      <c r="Y11" s="200">
        <f t="shared" ref="Y11:Y26" si="13">ROUND(F11-X11,2)</f>
        <v>0</v>
      </c>
    </row>
    <row r="12" hidden="1" customHeight="1" spans="1:28">
      <c r="A12" s="202"/>
      <c r="B12" s="198"/>
      <c r="C12" s="198"/>
      <c r="D12" s="198"/>
      <c r="E12" s="198"/>
      <c r="F12" s="198"/>
      <c r="G12" s="222"/>
      <c r="H12" s="223"/>
      <c r="I12" s="224"/>
      <c r="J12" s="225"/>
      <c r="K12" s="222"/>
      <c r="L12" s="226">
        <f t="shared" si="1"/>
        <v>0</v>
      </c>
      <c r="M12" s="227">
        <f t="shared" si="0"/>
        <v>0</v>
      </c>
      <c r="N12" s="200">
        <f t="shared" si="2"/>
        <v>0</v>
      </c>
      <c r="O12" s="200">
        <f t="shared" si="3"/>
        <v>0</v>
      </c>
      <c r="P12" s="200">
        <f t="shared" si="4"/>
        <v>0</v>
      </c>
      <c r="Q12" s="200">
        <f t="shared" si="5"/>
        <v>0</v>
      </c>
      <c r="R12" s="200">
        <f t="shared" si="6"/>
        <v>0</v>
      </c>
      <c r="S12" s="200">
        <f t="shared" si="7"/>
        <v>0</v>
      </c>
      <c r="T12" s="200">
        <f t="shared" si="8"/>
        <v>0</v>
      </c>
      <c r="U12" s="200">
        <f t="shared" si="9"/>
        <v>0</v>
      </c>
      <c r="V12" s="200">
        <f t="shared" si="10"/>
        <v>0</v>
      </c>
      <c r="W12" s="200">
        <f t="shared" si="11"/>
        <v>0</v>
      </c>
      <c r="X12" s="200">
        <f t="shared" si="12"/>
        <v>0</v>
      </c>
      <c r="Y12" s="200">
        <f t="shared" si="13"/>
        <v>0</v>
      </c>
    </row>
    <row r="13" hidden="1" customHeight="1" spans="1:28">
      <c r="A13" s="202"/>
      <c r="B13" s="198"/>
      <c r="C13" s="198"/>
      <c r="D13" s="198"/>
      <c r="E13" s="198"/>
      <c r="F13" s="198"/>
      <c r="G13" s="222"/>
      <c r="H13" s="223"/>
      <c r="I13" s="224"/>
      <c r="J13" s="225"/>
      <c r="K13" s="222"/>
      <c r="L13" s="226">
        <f t="shared" si="1"/>
        <v>0</v>
      </c>
      <c r="M13" s="227">
        <f t="shared" si="0"/>
        <v>0</v>
      </c>
      <c r="N13" s="200">
        <f t="shared" si="2"/>
        <v>0</v>
      </c>
      <c r="O13" s="200">
        <f t="shared" si="3"/>
        <v>0</v>
      </c>
      <c r="P13" s="200">
        <f t="shared" si="4"/>
        <v>0</v>
      </c>
      <c r="Q13" s="200">
        <f t="shared" si="5"/>
        <v>0</v>
      </c>
      <c r="R13" s="200">
        <f t="shared" si="6"/>
        <v>0</v>
      </c>
      <c r="S13" s="200">
        <f t="shared" si="7"/>
        <v>0</v>
      </c>
      <c r="T13" s="200">
        <f t="shared" si="8"/>
        <v>0</v>
      </c>
      <c r="U13" s="200">
        <f t="shared" si="9"/>
        <v>0</v>
      </c>
      <c r="V13" s="200">
        <f t="shared" si="10"/>
        <v>0</v>
      </c>
      <c r="W13" s="200">
        <f t="shared" si="11"/>
        <v>0</v>
      </c>
      <c r="X13" s="200">
        <f t="shared" si="12"/>
        <v>0</v>
      </c>
      <c r="Y13" s="200">
        <f t="shared" si="13"/>
        <v>0</v>
      </c>
    </row>
    <row r="14" hidden="1" customHeight="1" spans="1:28">
      <c r="A14" s="202"/>
      <c r="B14" s="198"/>
      <c r="C14" s="198"/>
      <c r="D14" s="198"/>
      <c r="E14" s="198"/>
      <c r="F14" s="198"/>
      <c r="G14" s="222"/>
      <c r="H14" s="223"/>
      <c r="I14" s="224"/>
      <c r="J14" s="225"/>
      <c r="K14" s="222"/>
      <c r="L14" s="226">
        <f t="shared" si="1"/>
        <v>0</v>
      </c>
      <c r="M14" s="227">
        <f t="shared" si="0"/>
        <v>0</v>
      </c>
      <c r="N14" s="200">
        <f t="shared" si="2"/>
        <v>0</v>
      </c>
      <c r="O14" s="200">
        <f t="shared" si="3"/>
        <v>0</v>
      </c>
      <c r="P14" s="200">
        <f t="shared" si="4"/>
        <v>0</v>
      </c>
      <c r="Q14" s="200">
        <f t="shared" si="5"/>
        <v>0</v>
      </c>
      <c r="R14" s="200">
        <f t="shared" si="6"/>
        <v>0</v>
      </c>
      <c r="S14" s="200">
        <f t="shared" si="7"/>
        <v>0</v>
      </c>
      <c r="T14" s="200">
        <f t="shared" si="8"/>
        <v>0</v>
      </c>
      <c r="U14" s="200">
        <f t="shared" si="9"/>
        <v>0</v>
      </c>
      <c r="V14" s="200">
        <f t="shared" si="10"/>
        <v>0</v>
      </c>
      <c r="W14" s="200">
        <f t="shared" si="11"/>
        <v>0</v>
      </c>
      <c r="X14" s="200">
        <f t="shared" si="12"/>
        <v>0</v>
      </c>
      <c r="Y14" s="200">
        <f t="shared" si="13"/>
        <v>0</v>
      </c>
    </row>
    <row r="15" hidden="1" customHeight="1" spans="1:28">
      <c r="A15" s="202"/>
      <c r="B15" s="198"/>
      <c r="C15" s="198"/>
      <c r="D15" s="198"/>
      <c r="E15" s="198"/>
      <c r="F15" s="198"/>
      <c r="G15" s="222"/>
      <c r="H15" s="223"/>
      <c r="I15" s="224"/>
      <c r="J15" s="225"/>
      <c r="K15" s="222"/>
      <c r="L15" s="226">
        <f t="shared" si="1"/>
        <v>0</v>
      </c>
      <c r="M15" s="227">
        <f t="shared" si="0"/>
        <v>0</v>
      </c>
      <c r="N15" s="200">
        <f t="shared" si="2"/>
        <v>0</v>
      </c>
      <c r="O15" s="200">
        <f t="shared" si="3"/>
        <v>0</v>
      </c>
      <c r="P15" s="200">
        <f t="shared" si="4"/>
        <v>0</v>
      </c>
      <c r="Q15" s="200">
        <f t="shared" si="5"/>
        <v>0</v>
      </c>
      <c r="R15" s="200">
        <f t="shared" si="6"/>
        <v>0</v>
      </c>
      <c r="S15" s="200">
        <f t="shared" si="7"/>
        <v>0</v>
      </c>
      <c r="T15" s="200">
        <f t="shared" si="8"/>
        <v>0</v>
      </c>
      <c r="U15" s="200">
        <f t="shared" si="9"/>
        <v>0</v>
      </c>
      <c r="V15" s="200">
        <f t="shared" si="10"/>
        <v>0</v>
      </c>
      <c r="W15" s="200">
        <f t="shared" si="11"/>
        <v>0</v>
      </c>
      <c r="X15" s="200">
        <f t="shared" si="12"/>
        <v>0</v>
      </c>
      <c r="Y15" s="200">
        <f t="shared" si="13"/>
        <v>0</v>
      </c>
    </row>
    <row r="16" hidden="1" customHeight="1" spans="1:28">
      <c r="A16" s="202"/>
      <c r="B16" s="198"/>
      <c r="C16" s="198"/>
      <c r="D16" s="198"/>
      <c r="E16" s="198"/>
      <c r="F16" s="198"/>
      <c r="G16" s="222"/>
      <c r="H16" s="223"/>
      <c r="I16" s="224"/>
      <c r="J16" s="225"/>
      <c r="K16" s="222"/>
      <c r="L16" s="226">
        <f t="shared" si="1"/>
        <v>0</v>
      </c>
      <c r="M16" s="227">
        <f t="shared" si="0"/>
        <v>0</v>
      </c>
      <c r="N16" s="200">
        <f t="shared" si="2"/>
        <v>0</v>
      </c>
      <c r="O16" s="200">
        <f t="shared" si="3"/>
        <v>0</v>
      </c>
      <c r="P16" s="200">
        <f t="shared" si="4"/>
        <v>0</v>
      </c>
      <c r="Q16" s="200">
        <f t="shared" si="5"/>
        <v>0</v>
      </c>
      <c r="R16" s="200">
        <f t="shared" si="6"/>
        <v>0</v>
      </c>
      <c r="S16" s="200">
        <f t="shared" si="7"/>
        <v>0</v>
      </c>
      <c r="T16" s="200">
        <f t="shared" si="8"/>
        <v>0</v>
      </c>
      <c r="U16" s="200">
        <f t="shared" si="9"/>
        <v>0</v>
      </c>
      <c r="V16" s="200">
        <f t="shared" si="10"/>
        <v>0</v>
      </c>
      <c r="W16" s="200">
        <f t="shared" si="11"/>
        <v>0</v>
      </c>
      <c r="X16" s="200">
        <f t="shared" si="12"/>
        <v>0</v>
      </c>
      <c r="Y16" s="200">
        <f t="shared" si="13"/>
        <v>0</v>
      </c>
    </row>
    <row r="17" hidden="1" customHeight="1" spans="1:25">
      <c r="A17" s="202"/>
      <c r="B17" s="198"/>
      <c r="C17" s="198"/>
      <c r="D17" s="198"/>
      <c r="E17" s="198"/>
      <c r="F17" s="198"/>
      <c r="G17" s="222"/>
      <c r="H17" s="223"/>
      <c r="I17" s="224"/>
      <c r="J17" s="225"/>
      <c r="K17" s="222"/>
      <c r="L17" s="226">
        <f t="shared" si="1"/>
        <v>0</v>
      </c>
      <c r="M17" s="227">
        <f t="shared" si="0"/>
        <v>0</v>
      </c>
      <c r="N17" s="200">
        <f t="shared" si="2"/>
        <v>0</v>
      </c>
      <c r="O17" s="200">
        <f t="shared" si="3"/>
        <v>0</v>
      </c>
      <c r="P17" s="200">
        <f t="shared" si="4"/>
        <v>0</v>
      </c>
      <c r="Q17" s="200">
        <f t="shared" si="5"/>
        <v>0</v>
      </c>
      <c r="R17" s="200">
        <f t="shared" si="6"/>
        <v>0</v>
      </c>
      <c r="S17" s="200">
        <f t="shared" si="7"/>
        <v>0</v>
      </c>
      <c r="T17" s="200">
        <f t="shared" si="8"/>
        <v>0</v>
      </c>
      <c r="U17" s="200">
        <f t="shared" si="9"/>
        <v>0</v>
      </c>
      <c r="V17" s="200">
        <f t="shared" si="10"/>
        <v>0</v>
      </c>
      <c r="W17" s="200">
        <f t="shared" si="11"/>
        <v>0</v>
      </c>
      <c r="X17" s="200">
        <f t="shared" si="12"/>
        <v>0</v>
      </c>
      <c r="Y17" s="200">
        <f t="shared" si="13"/>
        <v>0</v>
      </c>
    </row>
    <row r="18" hidden="1" customHeight="1" spans="1:25">
      <c r="A18" s="202"/>
      <c r="B18" s="198"/>
      <c r="C18" s="198"/>
      <c r="D18" s="198"/>
      <c r="E18" s="198"/>
      <c r="F18" s="198"/>
      <c r="G18" s="222"/>
      <c r="H18" s="223"/>
      <c r="I18" s="224"/>
      <c r="J18" s="225"/>
      <c r="K18" s="222"/>
      <c r="L18" s="226">
        <f t="shared" si="1"/>
        <v>0</v>
      </c>
      <c r="M18" s="227">
        <f t="shared" si="0"/>
        <v>0</v>
      </c>
      <c r="N18" s="200">
        <f t="shared" si="2"/>
        <v>0</v>
      </c>
      <c r="O18" s="200">
        <f t="shared" si="3"/>
        <v>0</v>
      </c>
      <c r="P18" s="200">
        <f t="shared" si="4"/>
        <v>0</v>
      </c>
      <c r="Q18" s="200">
        <f t="shared" si="5"/>
        <v>0</v>
      </c>
      <c r="R18" s="200">
        <f t="shared" si="6"/>
        <v>0</v>
      </c>
      <c r="S18" s="200">
        <f t="shared" si="7"/>
        <v>0</v>
      </c>
      <c r="T18" s="200">
        <f t="shared" si="8"/>
        <v>0</v>
      </c>
      <c r="U18" s="200">
        <f t="shared" si="9"/>
        <v>0</v>
      </c>
      <c r="V18" s="200">
        <f t="shared" si="10"/>
        <v>0</v>
      </c>
      <c r="W18" s="200">
        <f t="shared" si="11"/>
        <v>0</v>
      </c>
      <c r="X18" s="200">
        <f t="shared" si="12"/>
        <v>0</v>
      </c>
      <c r="Y18" s="200">
        <f t="shared" si="13"/>
        <v>0</v>
      </c>
    </row>
    <row r="19" hidden="1" customHeight="1" spans="1:25">
      <c r="A19" s="202"/>
      <c r="B19" s="198"/>
      <c r="C19" s="198"/>
      <c r="D19" s="198"/>
      <c r="E19" s="198"/>
      <c r="F19" s="198"/>
      <c r="G19" s="222"/>
      <c r="H19" s="223"/>
      <c r="I19" s="224"/>
      <c r="J19" s="225"/>
      <c r="K19" s="222"/>
      <c r="L19" s="226">
        <f t="shared" si="1"/>
        <v>0</v>
      </c>
      <c r="M19" s="227">
        <f t="shared" si="0"/>
        <v>0</v>
      </c>
      <c r="N19" s="200">
        <f t="shared" si="2"/>
        <v>0</v>
      </c>
      <c r="O19" s="200">
        <f t="shared" si="3"/>
        <v>0</v>
      </c>
      <c r="P19" s="200">
        <f t="shared" si="4"/>
        <v>0</v>
      </c>
      <c r="Q19" s="200">
        <f t="shared" si="5"/>
        <v>0</v>
      </c>
      <c r="R19" s="200">
        <f t="shared" si="6"/>
        <v>0</v>
      </c>
      <c r="S19" s="200">
        <f t="shared" si="7"/>
        <v>0</v>
      </c>
      <c r="T19" s="200">
        <f t="shared" si="8"/>
        <v>0</v>
      </c>
      <c r="U19" s="200">
        <f t="shared" si="9"/>
        <v>0</v>
      </c>
      <c r="V19" s="200">
        <f t="shared" si="10"/>
        <v>0</v>
      </c>
      <c r="W19" s="200">
        <f t="shared" si="11"/>
        <v>0</v>
      </c>
      <c r="X19" s="200">
        <f t="shared" si="12"/>
        <v>0</v>
      </c>
      <c r="Y19" s="200">
        <f t="shared" si="13"/>
        <v>0</v>
      </c>
    </row>
    <row r="20" hidden="1" customHeight="1" spans="1:25">
      <c r="A20" s="202"/>
      <c r="B20" s="198"/>
      <c r="C20" s="198"/>
      <c r="D20" s="198"/>
      <c r="E20" s="198"/>
      <c r="F20" s="198"/>
      <c r="G20" s="222"/>
      <c r="H20" s="223"/>
      <c r="I20" s="224"/>
      <c r="J20" s="225"/>
      <c r="K20" s="222"/>
      <c r="L20" s="226">
        <f t="shared" si="1"/>
        <v>0</v>
      </c>
      <c r="M20" s="227">
        <f t="shared" si="0"/>
        <v>0</v>
      </c>
      <c r="N20" s="200">
        <f t="shared" si="2"/>
        <v>0</v>
      </c>
      <c r="O20" s="200">
        <f t="shared" si="3"/>
        <v>0</v>
      </c>
      <c r="P20" s="200">
        <f t="shared" si="4"/>
        <v>0</v>
      </c>
      <c r="Q20" s="200">
        <f t="shared" si="5"/>
        <v>0</v>
      </c>
      <c r="R20" s="200">
        <f t="shared" si="6"/>
        <v>0</v>
      </c>
      <c r="S20" s="200">
        <f t="shared" si="7"/>
        <v>0</v>
      </c>
      <c r="T20" s="200">
        <f t="shared" si="8"/>
        <v>0</v>
      </c>
      <c r="U20" s="200">
        <f t="shared" si="9"/>
        <v>0</v>
      </c>
      <c r="V20" s="200">
        <f t="shared" si="10"/>
        <v>0</v>
      </c>
      <c r="W20" s="200">
        <f t="shared" si="11"/>
        <v>0</v>
      </c>
      <c r="X20" s="200">
        <f t="shared" si="12"/>
        <v>0</v>
      </c>
      <c r="Y20" s="200">
        <f t="shared" si="13"/>
        <v>0</v>
      </c>
    </row>
    <row r="21" hidden="1" customHeight="1" spans="1:25">
      <c r="A21" s="202"/>
      <c r="B21" s="198"/>
      <c r="C21" s="198"/>
      <c r="D21" s="198"/>
      <c r="E21" s="198"/>
      <c r="F21" s="198"/>
      <c r="G21" s="222"/>
      <c r="H21" s="223"/>
      <c r="I21" s="224"/>
      <c r="J21" s="225"/>
      <c r="K21" s="222"/>
      <c r="L21" s="226">
        <f t="shared" si="1"/>
        <v>0</v>
      </c>
      <c r="M21" s="227">
        <f t="shared" si="0"/>
        <v>0</v>
      </c>
      <c r="N21" s="200">
        <f t="shared" si="2"/>
        <v>0</v>
      </c>
      <c r="O21" s="200">
        <f t="shared" si="3"/>
        <v>0</v>
      </c>
      <c r="P21" s="200">
        <f t="shared" si="4"/>
        <v>0</v>
      </c>
      <c r="Q21" s="200">
        <f t="shared" si="5"/>
        <v>0</v>
      </c>
      <c r="R21" s="200">
        <f t="shared" si="6"/>
        <v>0</v>
      </c>
      <c r="S21" s="200">
        <f t="shared" si="7"/>
        <v>0</v>
      </c>
      <c r="T21" s="200">
        <f t="shared" si="8"/>
        <v>0</v>
      </c>
      <c r="U21" s="200">
        <f t="shared" si="9"/>
        <v>0</v>
      </c>
      <c r="V21" s="200">
        <f t="shared" si="10"/>
        <v>0</v>
      </c>
      <c r="W21" s="200">
        <f t="shared" si="11"/>
        <v>0</v>
      </c>
      <c r="X21" s="200">
        <f t="shared" si="12"/>
        <v>0</v>
      </c>
      <c r="Y21" s="200">
        <f t="shared" si="13"/>
        <v>0</v>
      </c>
    </row>
    <row r="22" hidden="1" customHeight="1" spans="1:25">
      <c r="A22" s="202"/>
      <c r="B22" s="198"/>
      <c r="C22" s="198"/>
      <c r="D22" s="198"/>
      <c r="E22" s="198"/>
      <c r="F22" s="198"/>
      <c r="G22" s="222"/>
      <c r="H22" s="223"/>
      <c r="I22" s="224"/>
      <c r="J22" s="225"/>
      <c r="K22" s="222"/>
      <c r="L22" s="226">
        <f t="shared" si="1"/>
        <v>0</v>
      </c>
      <c r="M22" s="227">
        <f t="shared" si="0"/>
        <v>0</v>
      </c>
      <c r="N22" s="200">
        <f t="shared" si="2"/>
        <v>0</v>
      </c>
      <c r="O22" s="200">
        <f t="shared" si="3"/>
        <v>0</v>
      </c>
      <c r="P22" s="200">
        <f t="shared" si="4"/>
        <v>0</v>
      </c>
      <c r="Q22" s="200">
        <f t="shared" si="5"/>
        <v>0</v>
      </c>
      <c r="R22" s="200">
        <f t="shared" si="6"/>
        <v>0</v>
      </c>
      <c r="S22" s="200">
        <f t="shared" si="7"/>
        <v>0</v>
      </c>
      <c r="T22" s="200">
        <f t="shared" si="8"/>
        <v>0</v>
      </c>
      <c r="U22" s="200">
        <f t="shared" si="9"/>
        <v>0</v>
      </c>
      <c r="V22" s="200">
        <f t="shared" si="10"/>
        <v>0</v>
      </c>
      <c r="W22" s="200">
        <f t="shared" si="11"/>
        <v>0</v>
      </c>
      <c r="X22" s="200">
        <f t="shared" si="12"/>
        <v>0</v>
      </c>
      <c r="Y22" s="200">
        <f t="shared" si="13"/>
        <v>0</v>
      </c>
    </row>
    <row r="23" hidden="1" customHeight="1" spans="1:25">
      <c r="A23" s="202"/>
      <c r="B23" s="198"/>
      <c r="C23" s="198"/>
      <c r="D23" s="198"/>
      <c r="E23" s="198"/>
      <c r="F23" s="198"/>
      <c r="G23" s="222"/>
      <c r="H23" s="223"/>
      <c r="I23" s="224"/>
      <c r="J23" s="225"/>
      <c r="K23" s="222"/>
      <c r="L23" s="226">
        <f t="shared" si="1"/>
        <v>0</v>
      </c>
      <c r="M23" s="227">
        <f t="shared" si="0"/>
        <v>0</v>
      </c>
      <c r="N23" s="200">
        <f t="shared" si="2"/>
        <v>0</v>
      </c>
      <c r="O23" s="200">
        <f t="shared" si="3"/>
        <v>0</v>
      </c>
      <c r="P23" s="200">
        <f t="shared" si="4"/>
        <v>0</v>
      </c>
      <c r="Q23" s="200">
        <f t="shared" si="5"/>
        <v>0</v>
      </c>
      <c r="R23" s="200">
        <f t="shared" si="6"/>
        <v>0</v>
      </c>
      <c r="S23" s="200">
        <f t="shared" si="7"/>
        <v>0</v>
      </c>
      <c r="T23" s="200">
        <f t="shared" si="8"/>
        <v>0</v>
      </c>
      <c r="U23" s="200">
        <f t="shared" si="9"/>
        <v>0</v>
      </c>
      <c r="V23" s="200">
        <f t="shared" si="10"/>
        <v>0</v>
      </c>
      <c r="W23" s="200">
        <f t="shared" si="11"/>
        <v>0</v>
      </c>
      <c r="X23" s="200">
        <f t="shared" si="12"/>
        <v>0</v>
      </c>
      <c r="Y23" s="200">
        <f t="shared" si="13"/>
        <v>0</v>
      </c>
    </row>
    <row r="24" hidden="1" customHeight="1" spans="1:25">
      <c r="A24" s="202"/>
      <c r="B24" s="198"/>
      <c r="C24" s="198"/>
      <c r="D24" s="198"/>
      <c r="E24" s="198"/>
      <c r="F24" s="198"/>
      <c r="G24" s="222"/>
      <c r="H24" s="223"/>
      <c r="I24" s="224"/>
      <c r="J24" s="225"/>
      <c r="K24" s="222"/>
      <c r="L24" s="226">
        <f t="shared" si="1"/>
        <v>0</v>
      </c>
      <c r="M24" s="227">
        <f t="shared" si="0"/>
        <v>0</v>
      </c>
      <c r="N24" s="200">
        <f t="shared" si="2"/>
        <v>0</v>
      </c>
      <c r="O24" s="200">
        <f t="shared" si="3"/>
        <v>0</v>
      </c>
      <c r="P24" s="200">
        <f t="shared" si="4"/>
        <v>0</v>
      </c>
      <c r="Q24" s="200">
        <f t="shared" si="5"/>
        <v>0</v>
      </c>
      <c r="R24" s="200">
        <f t="shared" si="6"/>
        <v>0</v>
      </c>
      <c r="S24" s="200">
        <f t="shared" si="7"/>
        <v>0</v>
      </c>
      <c r="T24" s="200">
        <f t="shared" si="8"/>
        <v>0</v>
      </c>
      <c r="U24" s="200">
        <f t="shared" si="9"/>
        <v>0</v>
      </c>
      <c r="V24" s="200">
        <f t="shared" si="10"/>
        <v>0</v>
      </c>
      <c r="W24" s="200">
        <f t="shared" si="11"/>
        <v>0</v>
      </c>
      <c r="X24" s="200">
        <f t="shared" si="12"/>
        <v>0</v>
      </c>
      <c r="Y24" s="200">
        <f t="shared" si="13"/>
        <v>0</v>
      </c>
    </row>
    <row r="25" customHeight="1" spans="1:25">
      <c r="A25" s="202"/>
      <c r="B25" s="198"/>
      <c r="C25" s="198"/>
      <c r="D25" s="198"/>
      <c r="E25" s="198"/>
      <c r="F25" s="198"/>
      <c r="G25" s="222"/>
      <c r="H25" s="223"/>
      <c r="I25" s="224"/>
      <c r="J25" s="225"/>
      <c r="K25" s="222"/>
      <c r="L25" s="226">
        <f t="shared" si="1"/>
        <v>0</v>
      </c>
      <c r="M25" s="227">
        <f t="shared" si="0"/>
        <v>0</v>
      </c>
      <c r="N25" s="200">
        <f t="shared" si="2"/>
        <v>0</v>
      </c>
      <c r="O25" s="200">
        <f t="shared" si="3"/>
        <v>0</v>
      </c>
      <c r="P25" s="200">
        <f t="shared" si="4"/>
        <v>0</v>
      </c>
      <c r="Q25" s="200">
        <f t="shared" si="5"/>
        <v>0</v>
      </c>
      <c r="R25" s="200">
        <f t="shared" si="6"/>
        <v>0</v>
      </c>
      <c r="S25" s="200">
        <f t="shared" si="7"/>
        <v>0</v>
      </c>
      <c r="T25" s="200">
        <f t="shared" si="8"/>
        <v>0</v>
      </c>
      <c r="U25" s="200">
        <f t="shared" si="9"/>
        <v>0</v>
      </c>
      <c r="V25" s="200">
        <f t="shared" si="10"/>
        <v>0</v>
      </c>
      <c r="W25" s="200">
        <f t="shared" si="11"/>
        <v>0</v>
      </c>
      <c r="X25" s="200">
        <f t="shared" si="12"/>
        <v>0</v>
      </c>
      <c r="Y25" s="200">
        <f t="shared" si="13"/>
        <v>0</v>
      </c>
    </row>
    <row r="26" customHeight="1" spans="1:25">
      <c r="A26" s="202"/>
      <c r="B26" s="198"/>
      <c r="C26" s="198"/>
      <c r="D26" s="198"/>
      <c r="E26" s="198"/>
      <c r="F26" s="198"/>
      <c r="G26" s="222"/>
      <c r="H26" s="223"/>
      <c r="I26" s="224"/>
      <c r="J26" s="225"/>
      <c r="K26" s="222"/>
      <c r="L26" s="226">
        <f t="shared" si="1"/>
        <v>0</v>
      </c>
      <c r="M26" s="228">
        <f t="shared" si="0"/>
        <v>0</v>
      </c>
      <c r="N26" s="200">
        <f t="shared" si="2"/>
        <v>0</v>
      </c>
      <c r="O26" s="200">
        <f t="shared" si="3"/>
        <v>0</v>
      </c>
      <c r="P26" s="200">
        <f t="shared" si="4"/>
        <v>0</v>
      </c>
      <c r="Q26" s="200">
        <f t="shared" si="5"/>
        <v>0</v>
      </c>
      <c r="R26" s="200">
        <f t="shared" si="6"/>
        <v>0</v>
      </c>
      <c r="S26" s="200">
        <f t="shared" si="7"/>
        <v>0</v>
      </c>
      <c r="T26" s="200">
        <f t="shared" si="8"/>
        <v>0</v>
      </c>
      <c r="U26" s="200">
        <f t="shared" si="9"/>
        <v>0</v>
      </c>
      <c r="V26" s="200">
        <f t="shared" si="10"/>
        <v>0</v>
      </c>
      <c r="W26" s="200">
        <f t="shared" si="11"/>
        <v>0</v>
      </c>
      <c r="X26" s="200">
        <f t="shared" si="12"/>
        <v>0</v>
      </c>
      <c r="Y26" s="200">
        <f t="shared" si="13"/>
        <v>0</v>
      </c>
    </row>
    <row r="27" s="133" customFormat="1" customHeight="1" spans="1:25">
      <c r="A27" s="120" t="s">
        <v>295</v>
      </c>
      <c r="B27" s="120"/>
      <c r="C27" s="120"/>
      <c r="D27" s="120"/>
      <c r="E27" s="229">
        <f>SUM(E9:E26)</f>
        <v>0</v>
      </c>
      <c r="F27" s="229">
        <f>SUM(F9:F26)</f>
        <v>0</v>
      </c>
      <c r="G27" s="230"/>
      <c r="H27" s="230"/>
      <c r="I27" s="230"/>
      <c r="J27" s="230"/>
      <c r="K27" s="230"/>
      <c r="L27" s="231"/>
      <c r="M27" s="230"/>
      <c r="N27" s="230"/>
      <c r="O27" s="230"/>
      <c r="P27" s="230"/>
      <c r="Q27" s="230"/>
      <c r="R27" s="230"/>
      <c r="S27" s="229">
        <f t="shared" ref="S27:Y27" si="14">SUM(S9:S26)</f>
        <v>0</v>
      </c>
      <c r="T27" s="229">
        <f t="shared" si="14"/>
        <v>0</v>
      </c>
      <c r="U27" s="229">
        <f t="shared" si="14"/>
        <v>0</v>
      </c>
      <c r="V27" s="229">
        <f t="shared" si="14"/>
        <v>0</v>
      </c>
      <c r="W27" s="229">
        <f t="shared" si="14"/>
        <v>0</v>
      </c>
      <c r="X27" s="229">
        <f t="shared" si="14"/>
        <v>0</v>
      </c>
      <c r="Y27" s="229">
        <f t="shared" si="14"/>
        <v>0</v>
      </c>
    </row>
    <row r="28" customHeight="1" spans="1:25">
      <c r="A28" s="39" t="s">
        <v>297</v>
      </c>
      <c r="B28" s="40"/>
      <c r="C28" s="40"/>
      <c r="D28" s="40"/>
      <c r="E28" s="40"/>
      <c r="F28" s="40"/>
      <c r="G28" s="40"/>
      <c r="H28" s="40"/>
      <c r="I28" s="40"/>
      <c r="J28" s="40"/>
      <c r="K28" s="40"/>
      <c r="L28" s="232"/>
      <c r="M28" s="40"/>
      <c r="N28" s="40"/>
      <c r="O28" s="40"/>
      <c r="P28" s="40"/>
      <c r="Q28" s="40"/>
      <c r="R28" s="40"/>
      <c r="S28" s="40"/>
      <c r="T28" s="40"/>
      <c r="U28" s="40"/>
      <c r="V28" s="40"/>
      <c r="W28" s="40"/>
      <c r="X28" s="40"/>
      <c r="Y28" s="40"/>
    </row>
    <row r="31" customHeight="1" spans="1:25">
      <c r="A31" s="5" t="s">
        <v>369</v>
      </c>
    </row>
    <row r="34" customHeight="1" spans="1:1">
      <c r="A34" s="130"/>
    </row>
    <row r="35" customHeight="1" spans="1:1">
      <c r="A35" s="233"/>
    </row>
    <row r="36" customHeight="1" spans="1:1">
      <c r="A36" s="131"/>
    </row>
    <row r="37" customHeight="1" spans="1:1">
      <c r="A37" s="131"/>
    </row>
    <row r="38" customHeight="1" spans="1:1">
      <c r="A38" s="131"/>
    </row>
  </sheetData>
  <mergeCells count="2">
    <mergeCell ref="A1:Y1"/>
    <mergeCell ref="A2:Y2"/>
  </mergeCells>
  <hyperlinks>
    <hyperlink ref="Y3" location="底稿目录!A1" display="H3-7"/>
  </hyperlinks>
  <printOptions horizontalCentered="1"/>
  <pageMargins left="0.708661417322835" right="0.708661417322835" top="0.748031496062992" bottom="0.748031496062992" header="0.31496062992126" footer="0.31496062992126"/>
  <pageSetup paperSize="9" scale="56" fitToHeight="10" orientation="landscape" blackAndWhite="1"/>
  <headerFooter>
    <oddFooter>&amp;C&amp;P/&amp;N</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pageSetUpPr fitToPage="1"/>
  </sheetPr>
  <dimension ref="A1:AD61"/>
  <sheetViews>
    <sheetView view="pageBreakPreview" zoomScaleNormal="90" topLeftCell="A3" workbookViewId="0">
      <selection activeCell="E35" sqref="A31:E35"/>
    </sheetView>
  </sheetViews>
  <sheetFormatPr defaultColWidth="9" defaultRowHeight="19.95" customHeight="1"/>
  <cols>
    <col min="1" max="1" width="17.5" style="6" customWidth="1"/>
    <col min="2" max="2" width="15.5" style="6" customWidth="1"/>
    <col min="3" max="3" width="12.1" style="6" customWidth="1"/>
    <col min="4" max="5" width="8.1" style="6" customWidth="1"/>
    <col min="6" max="6" width="11.5" style="6" customWidth="1"/>
    <col min="7" max="7" width="10.9" style="6" customWidth="1"/>
    <col min="8" max="8" width="14.1" style="6" customWidth="1"/>
    <col min="9" max="9" width="11" style="6" customWidth="1"/>
    <col min="10" max="10" width="10.1" style="6" customWidth="1"/>
    <col min="11" max="11" width="10" style="6" customWidth="1"/>
    <col min="12" max="12" width="12.9" style="6" customWidth="1"/>
    <col min="13" max="13" width="8.5" style="6" customWidth="1"/>
    <col min="14" max="14" width="9.6" style="6" customWidth="1"/>
    <col min="15" max="16384" width="9" style="6"/>
  </cols>
  <sheetData>
    <row r="1" s="1" customFormat="1" customHeight="1" spans="1:30">
      <c r="A1" s="7" t="s">
        <v>59</v>
      </c>
      <c r="B1" s="7"/>
      <c r="C1" s="7"/>
      <c r="D1" s="7"/>
      <c r="E1" s="7"/>
      <c r="F1" s="7"/>
      <c r="G1" s="7"/>
      <c r="H1" s="7"/>
      <c r="I1" s="7"/>
      <c r="J1" s="7"/>
      <c r="K1" s="8"/>
      <c r="L1" s="8"/>
      <c r="M1" s="8"/>
      <c r="N1" s="8"/>
    </row>
    <row r="2" s="2" customFormat="1" customHeight="1" spans="1:30">
      <c r="A2" s="9" t="s">
        <v>500</v>
      </c>
      <c r="B2" s="9"/>
      <c r="C2" s="9"/>
      <c r="D2" s="9"/>
      <c r="E2" s="9"/>
      <c r="F2" s="9"/>
      <c r="G2" s="9"/>
      <c r="H2" s="9"/>
      <c r="I2" s="9"/>
      <c r="J2" s="9"/>
      <c r="K2" s="10"/>
      <c r="L2" s="10"/>
      <c r="M2" s="10"/>
      <c r="N2" s="10"/>
    </row>
    <row r="3" customHeight="1" spans="1:30">
      <c r="A3" s="6" t="str">
        <f>底稿目录!A2</f>
        <v>被审计单位：</v>
      </c>
      <c r="D3" s="6" t="str">
        <f>底稿目录!A4</f>
        <v>编制人：</v>
      </c>
      <c r="H3" s="93"/>
      <c r="I3" s="6" t="str">
        <f>底稿目录!A6</f>
        <v>编制日期：</v>
      </c>
      <c r="J3" s="11"/>
      <c r="M3" s="12" t="s">
        <v>61</v>
      </c>
      <c r="N3" s="13" t="s">
        <v>44</v>
      </c>
    </row>
    <row r="4" customHeight="1" spans="1:30">
      <c r="A4" s="6" t="str">
        <f>底稿目录!A3</f>
        <v>截止日：202X年12月31日</v>
      </c>
      <c r="D4" s="6" t="str">
        <f>底稿目录!A5</f>
        <v>复核人：</v>
      </c>
      <c r="H4" s="93"/>
      <c r="I4" s="6" t="str">
        <f>底稿目录!A7</f>
        <v>复核日期：</v>
      </c>
      <c r="J4" s="11"/>
      <c r="M4" s="12" t="s">
        <v>62</v>
      </c>
      <c r="N4" s="14"/>
    </row>
    <row r="5" s="3" customFormat="1" customHeight="1" spans="1:30">
      <c r="A5" s="15" t="s">
        <v>471</v>
      </c>
      <c r="B5" s="16"/>
      <c r="H5" s="17"/>
      <c r="L5" s="18"/>
      <c r="M5" s="94"/>
      <c r="N5" s="94"/>
      <c r="X5" s="19"/>
      <c r="Y5" s="19"/>
      <c r="Z5" s="19"/>
      <c r="AA5" s="19"/>
      <c r="AB5" s="19"/>
      <c r="AC5" s="19"/>
      <c r="AD5" s="19"/>
    </row>
    <row r="6" customHeight="1" spans="1:30">
      <c r="A6" s="95" t="s">
        <v>274</v>
      </c>
      <c r="B6" s="196"/>
      <c r="I6" s="96"/>
      <c r="M6" s="97"/>
      <c r="N6" s="98"/>
      <c r="X6" s="99"/>
      <c r="Y6" s="99"/>
      <c r="Z6" s="99"/>
      <c r="AA6" s="99"/>
      <c r="AB6" s="99"/>
      <c r="AC6" s="99"/>
      <c r="AD6" s="99"/>
    </row>
    <row r="7" s="4" customFormat="1" customHeight="1" spans="1:30">
      <c r="A7" s="77" t="s">
        <v>275</v>
      </c>
      <c r="B7" s="77" t="s">
        <v>276</v>
      </c>
      <c r="C7" s="134" t="s">
        <v>501</v>
      </c>
      <c r="D7" s="135"/>
      <c r="E7" s="135"/>
      <c r="F7" s="136"/>
      <c r="G7" s="77" t="s">
        <v>502</v>
      </c>
      <c r="H7" s="77"/>
      <c r="I7" s="77"/>
      <c r="J7" s="77"/>
      <c r="K7" s="77"/>
      <c r="L7" s="77"/>
      <c r="M7" s="77" t="s">
        <v>7</v>
      </c>
      <c r="N7" s="77" t="s">
        <v>8</v>
      </c>
      <c r="O7" s="133"/>
    </row>
    <row r="8" s="4" customFormat="1" ht="23.4" customHeight="1" spans="1:30">
      <c r="A8" s="77"/>
      <c r="B8" s="77"/>
      <c r="C8" s="77" t="s">
        <v>503</v>
      </c>
      <c r="D8" s="77" t="s">
        <v>436</v>
      </c>
      <c r="E8" s="77" t="s">
        <v>504</v>
      </c>
      <c r="F8" s="77" t="s">
        <v>290</v>
      </c>
      <c r="G8" s="77" t="s">
        <v>437</v>
      </c>
      <c r="H8" s="77" t="s">
        <v>438</v>
      </c>
      <c r="I8" s="77" t="s">
        <v>435</v>
      </c>
      <c r="J8" s="77" t="s">
        <v>505</v>
      </c>
      <c r="K8" s="77" t="s">
        <v>506</v>
      </c>
      <c r="L8" s="77" t="s">
        <v>507</v>
      </c>
      <c r="M8" s="77"/>
      <c r="N8" s="77"/>
      <c r="O8" s="133"/>
    </row>
    <row r="9" s="4" customFormat="1" customHeight="1" spans="1:30">
      <c r="A9" s="77"/>
      <c r="B9" s="77"/>
      <c r="C9" s="77" t="s">
        <v>508</v>
      </c>
      <c r="D9" s="77" t="s">
        <v>509</v>
      </c>
      <c r="E9" s="77" t="s">
        <v>510</v>
      </c>
      <c r="F9" s="77" t="s">
        <v>511</v>
      </c>
      <c r="G9" s="77" t="s">
        <v>512</v>
      </c>
      <c r="H9" s="77" t="s">
        <v>513</v>
      </c>
      <c r="I9" s="77" t="s">
        <v>514</v>
      </c>
      <c r="J9" s="77" t="s">
        <v>515</v>
      </c>
      <c r="K9" s="77" t="s">
        <v>516</v>
      </c>
      <c r="L9" s="77" t="s">
        <v>517</v>
      </c>
      <c r="M9" s="77"/>
      <c r="N9" s="77"/>
    </row>
    <row r="10" customHeight="1" spans="1:30">
      <c r="A10" s="197"/>
      <c r="B10" s="197"/>
      <c r="C10" s="198"/>
      <c r="D10" s="198"/>
      <c r="E10" s="199" t="e">
        <f>F10/D10</f>
        <v>#DIV/0!</v>
      </c>
      <c r="F10" s="198"/>
      <c r="G10" s="198"/>
      <c r="H10" s="198"/>
      <c r="I10" s="200">
        <f t="shared" ref="I10:I27" si="0">D10*G10</f>
        <v>0</v>
      </c>
      <c r="J10" s="200">
        <f t="shared" ref="J10:J27" si="1">F10-I10</f>
        <v>0</v>
      </c>
      <c r="K10" s="198"/>
      <c r="L10" s="201"/>
      <c r="M10" s="202"/>
      <c r="N10" s="202"/>
    </row>
    <row r="11" customHeight="1" spans="1:30">
      <c r="A11" s="197"/>
      <c r="B11" s="197"/>
      <c r="C11" s="203"/>
      <c r="D11" s="198"/>
      <c r="E11" s="200" t="e">
        <f t="shared" ref="E11:E27" si="2">F11/D11</f>
        <v>#DIV/0!</v>
      </c>
      <c r="F11" s="203"/>
      <c r="G11" s="198"/>
      <c r="H11" s="198"/>
      <c r="I11" s="200">
        <f t="shared" si="0"/>
        <v>0</v>
      </c>
      <c r="J11" s="200">
        <f t="shared" si="1"/>
        <v>0</v>
      </c>
      <c r="K11" s="198"/>
      <c r="L11" s="201"/>
      <c r="M11" s="202"/>
      <c r="N11" s="202"/>
    </row>
    <row r="12" hidden="1" customHeight="1" spans="1:30">
      <c r="A12" s="197"/>
      <c r="B12" s="197"/>
      <c r="C12" s="203"/>
      <c r="D12" s="198"/>
      <c r="E12" s="200" t="e">
        <f t="shared" si="2"/>
        <v>#DIV/0!</v>
      </c>
      <c r="F12" s="203"/>
      <c r="G12" s="198"/>
      <c r="H12" s="198"/>
      <c r="I12" s="200">
        <f t="shared" si="0"/>
        <v>0</v>
      </c>
      <c r="J12" s="200">
        <f t="shared" si="1"/>
        <v>0</v>
      </c>
      <c r="K12" s="198"/>
      <c r="L12" s="201"/>
      <c r="M12" s="202"/>
      <c r="N12" s="202"/>
    </row>
    <row r="13" hidden="1" customHeight="1" spans="1:30">
      <c r="A13" s="197"/>
      <c r="B13" s="197"/>
      <c r="C13" s="203"/>
      <c r="D13" s="198"/>
      <c r="E13" s="200" t="e">
        <f t="shared" si="2"/>
        <v>#DIV/0!</v>
      </c>
      <c r="F13" s="203"/>
      <c r="G13" s="198"/>
      <c r="H13" s="198"/>
      <c r="I13" s="200">
        <f t="shared" si="0"/>
        <v>0</v>
      </c>
      <c r="J13" s="200">
        <f t="shared" si="1"/>
        <v>0</v>
      </c>
      <c r="K13" s="198"/>
      <c r="L13" s="201"/>
      <c r="M13" s="202"/>
      <c r="N13" s="202"/>
    </row>
    <row r="14" hidden="1" customHeight="1" spans="1:30">
      <c r="A14" s="197"/>
      <c r="B14" s="197"/>
      <c r="C14" s="203"/>
      <c r="D14" s="198"/>
      <c r="E14" s="200" t="e">
        <f t="shared" si="2"/>
        <v>#DIV/0!</v>
      </c>
      <c r="F14" s="203"/>
      <c r="G14" s="198"/>
      <c r="H14" s="198"/>
      <c r="I14" s="200">
        <f t="shared" si="0"/>
        <v>0</v>
      </c>
      <c r="J14" s="200">
        <f t="shared" si="1"/>
        <v>0</v>
      </c>
      <c r="K14" s="198"/>
      <c r="L14" s="201"/>
      <c r="M14" s="202"/>
      <c r="N14" s="202"/>
    </row>
    <row r="15" hidden="1" customHeight="1" spans="1:30">
      <c r="A15" s="197"/>
      <c r="B15" s="197"/>
      <c r="C15" s="203"/>
      <c r="D15" s="198"/>
      <c r="E15" s="200" t="e">
        <f t="shared" si="2"/>
        <v>#DIV/0!</v>
      </c>
      <c r="F15" s="203"/>
      <c r="G15" s="198"/>
      <c r="H15" s="198"/>
      <c r="I15" s="200">
        <f t="shared" si="0"/>
        <v>0</v>
      </c>
      <c r="J15" s="200">
        <f t="shared" si="1"/>
        <v>0</v>
      </c>
      <c r="K15" s="198"/>
      <c r="L15" s="201"/>
      <c r="M15" s="202"/>
      <c r="N15" s="202"/>
    </row>
    <row r="16" hidden="1" customHeight="1" spans="1:30">
      <c r="A16" s="197"/>
      <c r="B16" s="197"/>
      <c r="C16" s="198"/>
      <c r="D16" s="198"/>
      <c r="E16" s="200" t="e">
        <f t="shared" si="2"/>
        <v>#DIV/0!</v>
      </c>
      <c r="F16" s="198"/>
      <c r="G16" s="198"/>
      <c r="H16" s="198"/>
      <c r="I16" s="200">
        <f t="shared" si="0"/>
        <v>0</v>
      </c>
      <c r="J16" s="200">
        <f t="shared" si="1"/>
        <v>0</v>
      </c>
      <c r="K16" s="198"/>
      <c r="L16" s="201"/>
      <c r="M16" s="202"/>
      <c r="N16" s="202"/>
    </row>
    <row r="17" hidden="1" customHeight="1" spans="1:14">
      <c r="A17" s="197"/>
      <c r="B17" s="197"/>
      <c r="C17" s="203"/>
      <c r="D17" s="198"/>
      <c r="E17" s="200" t="e">
        <f t="shared" si="2"/>
        <v>#DIV/0!</v>
      </c>
      <c r="F17" s="203"/>
      <c r="G17" s="198"/>
      <c r="H17" s="198"/>
      <c r="I17" s="200">
        <f t="shared" si="0"/>
        <v>0</v>
      </c>
      <c r="J17" s="200">
        <f t="shared" si="1"/>
        <v>0</v>
      </c>
      <c r="K17" s="198"/>
      <c r="L17" s="201"/>
      <c r="M17" s="202"/>
      <c r="N17" s="202"/>
    </row>
    <row r="18" hidden="1" customHeight="1" spans="1:14">
      <c r="A18" s="197"/>
      <c r="B18" s="197"/>
      <c r="C18" s="203"/>
      <c r="D18" s="198"/>
      <c r="E18" s="200" t="e">
        <f t="shared" si="2"/>
        <v>#DIV/0!</v>
      </c>
      <c r="F18" s="203"/>
      <c r="G18" s="198"/>
      <c r="H18" s="198"/>
      <c r="I18" s="200">
        <f t="shared" si="0"/>
        <v>0</v>
      </c>
      <c r="J18" s="200">
        <f t="shared" si="1"/>
        <v>0</v>
      </c>
      <c r="K18" s="198"/>
      <c r="L18" s="201"/>
      <c r="M18" s="202"/>
      <c r="N18" s="202"/>
    </row>
    <row r="19" hidden="1" customHeight="1" spans="1:14">
      <c r="A19" s="197"/>
      <c r="B19" s="197"/>
      <c r="C19" s="203"/>
      <c r="D19" s="198"/>
      <c r="E19" s="200" t="e">
        <f t="shared" si="2"/>
        <v>#DIV/0!</v>
      </c>
      <c r="F19" s="203"/>
      <c r="G19" s="198"/>
      <c r="H19" s="198"/>
      <c r="I19" s="200">
        <f t="shared" si="0"/>
        <v>0</v>
      </c>
      <c r="J19" s="200">
        <f t="shared" si="1"/>
        <v>0</v>
      </c>
      <c r="K19" s="198"/>
      <c r="L19" s="201"/>
      <c r="M19" s="202"/>
      <c r="N19" s="202"/>
    </row>
    <row r="20" hidden="1" customHeight="1" spans="1:14">
      <c r="A20" s="197"/>
      <c r="B20" s="197"/>
      <c r="C20" s="203"/>
      <c r="D20" s="198"/>
      <c r="E20" s="200" t="e">
        <f t="shared" si="2"/>
        <v>#DIV/0!</v>
      </c>
      <c r="F20" s="203"/>
      <c r="G20" s="198"/>
      <c r="H20" s="198"/>
      <c r="I20" s="200">
        <f t="shared" si="0"/>
        <v>0</v>
      </c>
      <c r="J20" s="200">
        <f t="shared" si="1"/>
        <v>0</v>
      </c>
      <c r="K20" s="198"/>
      <c r="L20" s="201"/>
      <c r="M20" s="202"/>
      <c r="N20" s="202"/>
    </row>
    <row r="21" hidden="1" customHeight="1" spans="1:14">
      <c r="A21" s="197"/>
      <c r="B21" s="197"/>
      <c r="C21" s="203"/>
      <c r="D21" s="198"/>
      <c r="E21" s="200" t="e">
        <f t="shared" si="2"/>
        <v>#DIV/0!</v>
      </c>
      <c r="F21" s="203"/>
      <c r="G21" s="198"/>
      <c r="H21" s="198"/>
      <c r="I21" s="200">
        <f t="shared" si="0"/>
        <v>0</v>
      </c>
      <c r="J21" s="200">
        <f t="shared" si="1"/>
        <v>0</v>
      </c>
      <c r="K21" s="198"/>
      <c r="L21" s="201"/>
      <c r="M21" s="202"/>
      <c r="N21" s="202"/>
    </row>
    <row r="22" hidden="1" customHeight="1" spans="1:14">
      <c r="A22" s="197"/>
      <c r="B22" s="197"/>
      <c r="C22" s="198"/>
      <c r="D22" s="198"/>
      <c r="E22" s="200" t="e">
        <f t="shared" si="2"/>
        <v>#DIV/0!</v>
      </c>
      <c r="F22" s="198"/>
      <c r="G22" s="198"/>
      <c r="H22" s="198"/>
      <c r="I22" s="200">
        <f t="shared" si="0"/>
        <v>0</v>
      </c>
      <c r="J22" s="200">
        <f t="shared" si="1"/>
        <v>0</v>
      </c>
      <c r="K22" s="198"/>
      <c r="L22" s="201"/>
      <c r="M22" s="202"/>
      <c r="N22" s="202"/>
    </row>
    <row r="23" hidden="1" customHeight="1" spans="1:14">
      <c r="A23" s="197"/>
      <c r="B23" s="197"/>
      <c r="C23" s="203"/>
      <c r="D23" s="198"/>
      <c r="E23" s="200" t="e">
        <f t="shared" si="2"/>
        <v>#DIV/0!</v>
      </c>
      <c r="F23" s="203"/>
      <c r="G23" s="198"/>
      <c r="H23" s="198"/>
      <c r="I23" s="200">
        <f t="shared" si="0"/>
        <v>0</v>
      </c>
      <c r="J23" s="200">
        <f t="shared" si="1"/>
        <v>0</v>
      </c>
      <c r="K23" s="198"/>
      <c r="L23" s="201"/>
      <c r="M23" s="202"/>
      <c r="N23" s="202"/>
    </row>
    <row r="24" hidden="1" customHeight="1" spans="1:14">
      <c r="A24" s="197"/>
      <c r="B24" s="197"/>
      <c r="C24" s="203"/>
      <c r="D24" s="198"/>
      <c r="E24" s="200" t="e">
        <f t="shared" si="2"/>
        <v>#DIV/0!</v>
      </c>
      <c r="F24" s="203"/>
      <c r="G24" s="198"/>
      <c r="H24" s="198"/>
      <c r="I24" s="200">
        <f t="shared" si="0"/>
        <v>0</v>
      </c>
      <c r="J24" s="200">
        <f t="shared" si="1"/>
        <v>0</v>
      </c>
      <c r="K24" s="198"/>
      <c r="L24" s="201"/>
      <c r="M24" s="202"/>
      <c r="N24" s="202"/>
    </row>
    <row r="25" hidden="1" customHeight="1" spans="1:14">
      <c r="A25" s="197"/>
      <c r="B25" s="197"/>
      <c r="C25" s="203"/>
      <c r="D25" s="198"/>
      <c r="E25" s="200" t="e">
        <f t="shared" si="2"/>
        <v>#DIV/0!</v>
      </c>
      <c r="F25" s="203"/>
      <c r="G25" s="198"/>
      <c r="H25" s="198"/>
      <c r="I25" s="200">
        <f t="shared" si="0"/>
        <v>0</v>
      </c>
      <c r="J25" s="200">
        <f t="shared" si="1"/>
        <v>0</v>
      </c>
      <c r="K25" s="198"/>
      <c r="L25" s="201"/>
      <c r="M25" s="202"/>
      <c r="N25" s="202"/>
    </row>
    <row r="26" hidden="1" customHeight="1" spans="1:14">
      <c r="A26" s="197"/>
      <c r="B26" s="197"/>
      <c r="C26" s="203"/>
      <c r="D26" s="198"/>
      <c r="E26" s="200" t="e">
        <f t="shared" si="2"/>
        <v>#DIV/0!</v>
      </c>
      <c r="F26" s="203"/>
      <c r="G26" s="198"/>
      <c r="H26" s="198"/>
      <c r="I26" s="200">
        <f t="shared" si="0"/>
        <v>0</v>
      </c>
      <c r="J26" s="200">
        <f t="shared" si="1"/>
        <v>0</v>
      </c>
      <c r="K26" s="198"/>
      <c r="L26" s="201"/>
      <c r="M26" s="202"/>
      <c r="N26" s="202"/>
    </row>
    <row r="27" customHeight="1" spans="1:14">
      <c r="A27" s="197"/>
      <c r="B27" s="197"/>
      <c r="C27" s="203"/>
      <c r="D27" s="198"/>
      <c r="E27" s="200" t="e">
        <f t="shared" si="2"/>
        <v>#DIV/0!</v>
      </c>
      <c r="F27" s="33"/>
      <c r="G27" s="198"/>
      <c r="H27" s="198"/>
      <c r="I27" s="200">
        <f t="shared" si="0"/>
        <v>0</v>
      </c>
      <c r="J27" s="200">
        <f t="shared" si="1"/>
        <v>0</v>
      </c>
      <c r="K27" s="198"/>
      <c r="L27" s="201"/>
      <c r="M27" s="202"/>
      <c r="N27" s="202"/>
    </row>
    <row r="28" customHeight="1" spans="1:14">
      <c r="A28" s="77" t="s">
        <v>295</v>
      </c>
      <c r="B28" s="77"/>
      <c r="C28" s="200">
        <f>SUM(C10:C27)</f>
        <v>0</v>
      </c>
      <c r="D28" s="104"/>
      <c r="E28" s="104"/>
      <c r="F28" s="200">
        <f>SUM(F10:F27)</f>
        <v>0</v>
      </c>
      <c r="G28" s="200" t="s">
        <v>518</v>
      </c>
      <c r="H28" s="104"/>
      <c r="I28" s="200">
        <f>SUM(I10:I27)</f>
        <v>0</v>
      </c>
      <c r="J28" s="200">
        <f>SUM(J10:J27)</f>
        <v>0</v>
      </c>
      <c r="K28" s="200"/>
      <c r="L28" s="200"/>
      <c r="M28" s="200"/>
      <c r="N28" s="200"/>
    </row>
    <row r="29" customHeight="1" spans="1:14">
      <c r="A29" s="40" t="s">
        <v>519</v>
      </c>
      <c r="B29" s="40"/>
      <c r="C29" s="40"/>
      <c r="D29" s="40"/>
      <c r="E29" s="40"/>
      <c r="F29" s="40"/>
      <c r="G29" s="40"/>
      <c r="H29" s="40"/>
      <c r="I29" s="40"/>
      <c r="J29" s="40"/>
      <c r="K29" s="40"/>
      <c r="L29" s="40"/>
      <c r="M29" s="40"/>
      <c r="N29" s="40"/>
    </row>
    <row r="30" customHeight="1" spans="1:14">
      <c r="A30" s="5" t="s">
        <v>297</v>
      </c>
      <c r="B30" s="5"/>
    </row>
    <row r="34" customHeight="1" spans="1:2">
      <c r="A34" s="5" t="s">
        <v>369</v>
      </c>
      <c r="B34" s="5"/>
    </row>
    <row r="40" customHeight="1" spans="1:2">
      <c r="A40" s="193" t="s">
        <v>299</v>
      </c>
      <c r="B40" s="42"/>
    </row>
    <row r="41" customHeight="1" spans="1:2">
      <c r="A41" s="43" t="s">
        <v>520</v>
      </c>
      <c r="B41" s="43"/>
    </row>
    <row r="42" customHeight="1" spans="1:2">
      <c r="A42" s="43" t="s">
        <v>521</v>
      </c>
      <c r="B42" s="43"/>
    </row>
    <row r="43" customHeight="1" spans="1:2">
      <c r="A43" s="43"/>
      <c r="B43" s="43"/>
    </row>
    <row r="44" customHeight="1" spans="1:2">
      <c r="A44" s="43" t="s">
        <v>522</v>
      </c>
      <c r="B44" s="43"/>
    </row>
    <row r="45" customHeight="1" spans="1:2">
      <c r="A45" s="43" t="s">
        <v>464</v>
      </c>
      <c r="B45" s="43"/>
    </row>
    <row r="46" customHeight="1" spans="1:2">
      <c r="A46" s="43" t="s">
        <v>465</v>
      </c>
      <c r="B46" s="43"/>
    </row>
    <row r="47" customHeight="1" spans="1:2">
      <c r="A47" s="43"/>
      <c r="B47" s="43"/>
    </row>
    <row r="48" customHeight="1" spans="1:2">
      <c r="A48" s="43" t="s">
        <v>523</v>
      </c>
      <c r="B48" s="43"/>
    </row>
    <row r="49" customHeight="1" spans="1:2">
      <c r="A49" s="43" t="s">
        <v>467</v>
      </c>
      <c r="B49" s="43"/>
    </row>
    <row r="50" customHeight="1" spans="1:2">
      <c r="A50" s="43" t="s">
        <v>468</v>
      </c>
      <c r="B50" s="43"/>
    </row>
    <row r="52" customHeight="1" spans="1:2">
      <c r="A52" s="43" t="s">
        <v>524</v>
      </c>
      <c r="B52" s="43"/>
    </row>
    <row r="57" customHeight="1" spans="1:2">
      <c r="A57" s="130"/>
    </row>
    <row r="58" customHeight="1" spans="1:2">
      <c r="A58" s="204"/>
    </row>
    <row r="59" customHeight="1" spans="1:2">
      <c r="A59" s="204"/>
    </row>
    <row r="60" customHeight="1" spans="1:2">
      <c r="A60" s="204"/>
    </row>
    <row r="61" customHeight="1" spans="1:2">
      <c r="A61" s="204"/>
    </row>
  </sheetData>
  <mergeCells count="8">
    <mergeCell ref="A1:N1"/>
    <mergeCell ref="A2:N2"/>
    <mergeCell ref="C7:F7"/>
    <mergeCell ref="G7:L7"/>
    <mergeCell ref="A7:A9"/>
    <mergeCell ref="B7:B9"/>
    <mergeCell ref="M7:M9"/>
    <mergeCell ref="N7:N9"/>
  </mergeCells>
  <dataValidations count="1">
    <dataValidation type="list" allowBlank="1" showInputMessage="1" showErrorMessage="1" sqref="L10:L27">
      <formula1>"√,×"</formula1>
    </dataValidation>
  </dataValidations>
  <hyperlinks>
    <hyperlink ref="N3" location="底稿目录!A1" display="H3-8"/>
  </hyperlinks>
  <printOptions horizontalCentered="1"/>
  <pageMargins left="0.708661417322835" right="0.708661417322835" top="0.748031496062992" bottom="0.748031496062992" header="0.31496062992126" footer="0.31496062992126"/>
  <pageSetup paperSize="9" scale="77" orientation="landscape" blackAndWhite="1"/>
  <headerFooter>
    <oddFooter>&amp;C&amp;P/&amp;N</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M43"/>
  <sheetViews>
    <sheetView showZeros="0" view="pageBreakPreview" zoomScale="85" zoomScaleNormal="90" topLeftCell="A17" workbookViewId="0">
      <selection activeCell="O47" sqref="O47"/>
    </sheetView>
  </sheetViews>
  <sheetFormatPr defaultColWidth="9" defaultRowHeight="19.95" customHeight="1"/>
  <cols>
    <col min="1" max="1" width="11.3" style="148" customWidth="1"/>
    <col min="2" max="2" width="14.1" style="148" customWidth="1"/>
    <col min="3" max="3" width="9.5" style="148" customWidth="1"/>
    <col min="4" max="4" width="5" style="148" customWidth="1"/>
    <col min="5" max="5" width="8" style="148" customWidth="1"/>
    <col min="6" max="6" width="6.5" style="148" customWidth="1"/>
    <col min="7" max="7" width="11.1" style="148" customWidth="1"/>
    <col min="8" max="8" width="9.5" style="148" customWidth="1"/>
    <col min="9" max="9" width="9" style="148" customWidth="1"/>
    <col min="10" max="10" width="13.4" style="148" customWidth="1"/>
    <col min="11" max="11" width="10.5" style="148" customWidth="1"/>
    <col min="12" max="12" width="12.8" style="148" customWidth="1"/>
    <col min="13" max="13" width="25" style="148" customWidth="1"/>
    <col min="14" max="16384" width="9" style="148"/>
  </cols>
  <sheetData>
    <row r="1" s="144" customFormat="1" customHeight="1" spans="1:13">
      <c r="A1" s="149" t="s">
        <v>59</v>
      </c>
      <c r="B1" s="149"/>
      <c r="C1" s="149"/>
      <c r="D1" s="149"/>
      <c r="E1" s="149"/>
      <c r="F1" s="149"/>
      <c r="G1" s="149"/>
      <c r="H1" s="149"/>
      <c r="I1" s="149"/>
      <c r="J1" s="149"/>
      <c r="K1" s="150"/>
      <c r="L1" s="150"/>
      <c r="M1" s="150"/>
    </row>
    <row r="2" s="145" customFormat="1" customHeight="1" spans="1:13">
      <c r="A2" s="151" t="s">
        <v>525</v>
      </c>
      <c r="B2" s="152"/>
      <c r="C2" s="152"/>
      <c r="D2" s="152"/>
      <c r="E2" s="152"/>
      <c r="F2" s="152"/>
      <c r="G2" s="152"/>
      <c r="H2" s="152"/>
      <c r="I2" s="152"/>
      <c r="J2" s="152"/>
      <c r="K2" s="153"/>
      <c r="L2" s="153"/>
      <c r="M2" s="153"/>
    </row>
    <row r="3" customHeight="1" spans="1:13">
      <c r="A3" s="6" t="str">
        <f>底稿目录!A2</f>
        <v>被审计单位：</v>
      </c>
      <c r="B3" s="6"/>
      <c r="C3" s="6"/>
      <c r="D3" s="6" t="str">
        <f>底稿目录!A4</f>
        <v>编制人：</v>
      </c>
      <c r="E3" s="6"/>
      <c r="F3" s="93"/>
      <c r="G3" s="6"/>
      <c r="H3" s="6"/>
      <c r="I3" s="6"/>
      <c r="J3" s="6" t="str">
        <f>底稿目录!A6</f>
        <v>编制日期：</v>
      </c>
      <c r="K3" s="154"/>
      <c r="L3" s="12" t="s">
        <v>61</v>
      </c>
      <c r="M3" s="13" t="str">
        <f>底稿目录!F19</f>
        <v>H3-9</v>
      </c>
    </row>
    <row r="4" customHeight="1" spans="1:13">
      <c r="A4" s="6" t="str">
        <f>底稿目录!A3</f>
        <v>截止日：202X年12月31日</v>
      </c>
      <c r="B4" s="6"/>
      <c r="C4" s="6"/>
      <c r="D4" s="6" t="str">
        <f>底稿目录!A5</f>
        <v>复核人：</v>
      </c>
      <c r="E4" s="6"/>
      <c r="F4" s="93"/>
      <c r="G4" s="6"/>
      <c r="H4" s="6"/>
      <c r="I4" s="6"/>
      <c r="J4" s="6" t="str">
        <f>底稿目录!A7</f>
        <v>复核日期：</v>
      </c>
      <c r="K4" s="154"/>
      <c r="L4" s="12" t="s">
        <v>62</v>
      </c>
      <c r="M4" s="14"/>
    </row>
    <row r="5" s="146" customFormat="1" customHeight="1" spans="1:13">
      <c r="A5" s="73" t="s">
        <v>271</v>
      </c>
      <c r="B5" s="155"/>
      <c r="C5" s="155"/>
      <c r="D5" s="155"/>
      <c r="E5" s="155"/>
      <c r="F5" s="155"/>
      <c r="G5" s="155"/>
      <c r="H5" s="155"/>
      <c r="I5" s="155"/>
      <c r="J5" s="155"/>
      <c r="K5" s="155"/>
      <c r="L5" s="155"/>
      <c r="M5" s="155"/>
    </row>
    <row r="6" s="146" customFormat="1" customHeight="1" spans="1:13">
      <c r="A6" s="156" t="s">
        <v>526</v>
      </c>
      <c r="B6" s="157"/>
      <c r="C6" s="157"/>
      <c r="D6" s="157"/>
      <c r="E6" s="157"/>
      <c r="F6" s="157"/>
      <c r="G6" s="157"/>
      <c r="H6" s="157"/>
      <c r="I6" s="157"/>
      <c r="J6" s="157"/>
      <c r="K6" s="157"/>
      <c r="L6" s="157"/>
      <c r="M6" s="157"/>
    </row>
    <row r="7" s="146" customFormat="1" customHeight="1" spans="1:13">
      <c r="A7" s="156" t="s">
        <v>527</v>
      </c>
      <c r="B7" s="157"/>
      <c r="C7" s="157"/>
      <c r="D7" s="157"/>
      <c r="E7" s="157"/>
      <c r="F7" s="157"/>
      <c r="G7" s="157"/>
      <c r="H7" s="157"/>
      <c r="I7" s="157"/>
      <c r="J7" s="157"/>
      <c r="K7" s="157"/>
      <c r="L7" s="157"/>
      <c r="M7" s="157"/>
    </row>
    <row r="8" s="146" customFormat="1" customHeight="1" spans="1:13">
      <c r="A8" s="73" t="s">
        <v>375</v>
      </c>
      <c r="B8" s="73"/>
      <c r="C8" s="73"/>
      <c r="D8" s="73"/>
      <c r="E8" s="73"/>
      <c r="F8" s="73"/>
      <c r="G8" s="73"/>
      <c r="H8" s="73"/>
      <c r="I8" s="73"/>
      <c r="J8" s="73"/>
      <c r="K8" s="73"/>
      <c r="L8" s="73"/>
      <c r="M8" s="70"/>
    </row>
    <row r="9" s="146" customFormat="1" customHeight="1" spans="1:13">
      <c r="A9" s="158" t="s">
        <v>528</v>
      </c>
      <c r="B9" s="159" t="s">
        <v>529</v>
      </c>
      <c r="C9" s="46"/>
      <c r="D9" s="46"/>
      <c r="E9" s="46"/>
      <c r="F9" s="158"/>
      <c r="G9" s="158" t="s">
        <v>530</v>
      </c>
      <c r="H9" s="160" t="s">
        <v>531</v>
      </c>
      <c r="I9" s="46"/>
      <c r="J9" s="46"/>
      <c r="M9" s="46"/>
    </row>
    <row r="10" s="146" customFormat="1" customHeight="1" spans="1:13">
      <c r="A10" s="158" t="s">
        <v>532</v>
      </c>
      <c r="B10" s="160" t="s">
        <v>533</v>
      </c>
      <c r="C10" s="46"/>
      <c r="D10" s="46"/>
      <c r="E10" s="46"/>
      <c r="F10" s="158"/>
      <c r="G10" s="158" t="s">
        <v>534</v>
      </c>
      <c r="H10" s="160" t="s">
        <v>535</v>
      </c>
      <c r="I10" s="160" t="s">
        <v>536</v>
      </c>
      <c r="M10" s="46"/>
    </row>
    <row r="11" s="146" customFormat="1" customHeight="1" spans="1:13">
      <c r="A11" s="158" t="s">
        <v>537</v>
      </c>
      <c r="B11" s="161" t="s">
        <v>386</v>
      </c>
      <c r="C11" s="46"/>
      <c r="D11" s="46"/>
      <c r="E11" s="46"/>
      <c r="F11" s="158"/>
      <c r="G11" s="158" t="s">
        <v>538</v>
      </c>
      <c r="H11" s="160" t="s">
        <v>539</v>
      </c>
      <c r="I11" s="46"/>
      <c r="J11" s="46"/>
      <c r="M11" s="46"/>
    </row>
    <row r="12" s="146" customFormat="1" customHeight="1" spans="1:13">
      <c r="A12" s="73" t="s">
        <v>540</v>
      </c>
      <c r="B12" s="162"/>
      <c r="C12" s="162"/>
      <c r="D12" s="162"/>
      <c r="E12" s="163"/>
      <c r="F12" s="164"/>
      <c r="G12" s="70"/>
      <c r="H12" s="70"/>
      <c r="I12" s="70"/>
      <c r="J12" s="70"/>
      <c r="K12" s="70"/>
      <c r="L12" s="70"/>
      <c r="M12" s="70"/>
    </row>
    <row r="13" s="147" customFormat="1" customHeight="1" spans="1:13">
      <c r="A13" s="3" t="s">
        <v>541</v>
      </c>
      <c r="B13" s="165"/>
      <c r="C13" s="166" t="s">
        <v>542</v>
      </c>
      <c r="D13" s="167" t="s">
        <v>543</v>
      </c>
      <c r="G13" s="165"/>
      <c r="H13" s="165"/>
      <c r="I13" s="166" t="s">
        <v>544</v>
      </c>
      <c r="J13" s="167" t="s">
        <v>545</v>
      </c>
      <c r="L13" s="168" t="s">
        <v>546</v>
      </c>
    </row>
    <row r="14" s="133" customFormat="1" customHeight="1" spans="1:13">
      <c r="A14" s="78" t="s">
        <v>547</v>
      </c>
      <c r="B14" s="78" t="s">
        <v>548</v>
      </c>
      <c r="C14" s="78" t="s">
        <v>549</v>
      </c>
      <c r="D14" s="78" t="s">
        <v>550</v>
      </c>
      <c r="E14" s="78" t="s">
        <v>504</v>
      </c>
      <c r="F14" s="169" t="s">
        <v>551</v>
      </c>
      <c r="G14" s="170"/>
      <c r="H14" s="171" t="s">
        <v>552</v>
      </c>
      <c r="I14" s="171" t="s">
        <v>553</v>
      </c>
      <c r="J14" s="171" t="s">
        <v>554</v>
      </c>
      <c r="K14" s="171" t="s">
        <v>555</v>
      </c>
      <c r="L14" s="171" t="s">
        <v>556</v>
      </c>
      <c r="M14" s="171" t="s">
        <v>557</v>
      </c>
    </row>
    <row r="15" s="133" customFormat="1" customHeight="1" spans="1:13">
      <c r="A15" s="82"/>
      <c r="B15" s="82"/>
      <c r="C15" s="82"/>
      <c r="D15" s="82"/>
      <c r="E15" s="82"/>
      <c r="F15" s="172" t="s">
        <v>558</v>
      </c>
      <c r="G15" s="172" t="s">
        <v>559</v>
      </c>
      <c r="H15" s="173"/>
      <c r="I15" s="173"/>
      <c r="J15" s="173"/>
      <c r="K15" s="173"/>
      <c r="L15" s="173"/>
      <c r="M15" s="173"/>
    </row>
    <row r="16" s="6" customFormat="1" customHeight="1" spans="1:13">
      <c r="A16" s="174"/>
      <c r="B16" s="175"/>
      <c r="C16" s="176"/>
      <c r="D16" s="177"/>
      <c r="E16" s="178"/>
      <c r="F16" s="178"/>
      <c r="G16" s="178"/>
      <c r="H16" s="178"/>
      <c r="I16" s="178"/>
      <c r="J16" s="179">
        <f>I16-F16</f>
        <v>0</v>
      </c>
      <c r="K16" s="179">
        <f>I16-H16</f>
        <v>0</v>
      </c>
      <c r="L16" s="179">
        <f>H16-F16</f>
        <v>0</v>
      </c>
      <c r="M16" s="180"/>
    </row>
    <row r="17" s="6" customFormat="1" customHeight="1" spans="1:13">
      <c r="A17" s="174"/>
      <c r="B17" s="175"/>
      <c r="C17" s="176"/>
      <c r="D17" s="177"/>
      <c r="E17" s="178"/>
      <c r="F17" s="178"/>
      <c r="G17" s="178"/>
      <c r="H17" s="178"/>
      <c r="I17" s="178"/>
      <c r="J17" s="179">
        <f t="shared" ref="J17:J24" si="0">I17-F17</f>
        <v>0</v>
      </c>
      <c r="K17" s="179">
        <f t="shared" ref="K17:K24" si="1">I17-H17</f>
        <v>0</v>
      </c>
      <c r="L17" s="179">
        <f t="shared" ref="L17:L24" si="2">H17-F17</f>
        <v>0</v>
      </c>
      <c r="M17" s="180"/>
    </row>
    <row r="18" s="6" customFormat="1" hidden="1" customHeight="1" spans="1:13">
      <c r="A18" s="174"/>
      <c r="B18" s="175"/>
      <c r="C18" s="176"/>
      <c r="D18" s="177"/>
      <c r="E18" s="178"/>
      <c r="F18" s="178"/>
      <c r="G18" s="178"/>
      <c r="H18" s="178"/>
      <c r="I18" s="178"/>
      <c r="J18" s="179">
        <f t="shared" si="0"/>
        <v>0</v>
      </c>
      <c r="K18" s="179">
        <f t="shared" si="1"/>
        <v>0</v>
      </c>
      <c r="L18" s="179">
        <f t="shared" si="2"/>
        <v>0</v>
      </c>
      <c r="M18" s="180"/>
    </row>
    <row r="19" s="6" customFormat="1" hidden="1" customHeight="1" spans="1:13">
      <c r="A19" s="174"/>
      <c r="B19" s="175"/>
      <c r="C19" s="176"/>
      <c r="D19" s="177"/>
      <c r="E19" s="178"/>
      <c r="F19" s="178"/>
      <c r="G19" s="178"/>
      <c r="H19" s="178"/>
      <c r="I19" s="178"/>
      <c r="J19" s="179">
        <f t="shared" si="0"/>
        <v>0</v>
      </c>
      <c r="K19" s="179">
        <f t="shared" si="1"/>
        <v>0</v>
      </c>
      <c r="L19" s="179">
        <f t="shared" si="2"/>
        <v>0</v>
      </c>
      <c r="M19" s="180"/>
    </row>
    <row r="20" s="6" customFormat="1" hidden="1" customHeight="1" spans="1:13">
      <c r="A20" s="174"/>
      <c r="B20" s="175"/>
      <c r="C20" s="176"/>
      <c r="D20" s="177"/>
      <c r="E20" s="178"/>
      <c r="F20" s="178"/>
      <c r="G20" s="178"/>
      <c r="H20" s="178"/>
      <c r="I20" s="178"/>
      <c r="J20" s="179">
        <f t="shared" si="0"/>
        <v>0</v>
      </c>
      <c r="K20" s="179">
        <f t="shared" si="1"/>
        <v>0</v>
      </c>
      <c r="L20" s="179">
        <f t="shared" si="2"/>
        <v>0</v>
      </c>
      <c r="M20" s="180"/>
    </row>
    <row r="21" s="6" customFormat="1" hidden="1" customHeight="1" spans="1:13">
      <c r="A21" s="174"/>
      <c r="B21" s="175"/>
      <c r="C21" s="176"/>
      <c r="D21" s="177"/>
      <c r="E21" s="178"/>
      <c r="F21" s="178"/>
      <c r="G21" s="178"/>
      <c r="H21" s="178"/>
      <c r="I21" s="178"/>
      <c r="J21" s="179">
        <f t="shared" si="0"/>
        <v>0</v>
      </c>
      <c r="K21" s="179">
        <f t="shared" si="1"/>
        <v>0</v>
      </c>
      <c r="L21" s="179">
        <f t="shared" si="2"/>
        <v>0</v>
      </c>
      <c r="M21" s="180"/>
    </row>
    <row r="22" s="6" customFormat="1" hidden="1" customHeight="1" spans="1:13">
      <c r="A22" s="174"/>
      <c r="B22" s="175"/>
      <c r="C22" s="176"/>
      <c r="D22" s="177"/>
      <c r="E22" s="178"/>
      <c r="F22" s="178"/>
      <c r="G22" s="178"/>
      <c r="H22" s="178"/>
      <c r="I22" s="178"/>
      <c r="J22" s="179">
        <f t="shared" si="0"/>
        <v>0</v>
      </c>
      <c r="K22" s="179">
        <f t="shared" si="1"/>
        <v>0</v>
      </c>
      <c r="L22" s="179">
        <f t="shared" si="2"/>
        <v>0</v>
      </c>
      <c r="M22" s="180"/>
    </row>
    <row r="23" s="6" customFormat="1" hidden="1" customHeight="1" spans="1:13">
      <c r="A23" s="174"/>
      <c r="B23" s="175"/>
      <c r="C23" s="176"/>
      <c r="D23" s="177"/>
      <c r="E23" s="178"/>
      <c r="F23" s="178"/>
      <c r="G23" s="178"/>
      <c r="H23" s="178"/>
      <c r="I23" s="178"/>
      <c r="J23" s="179">
        <f t="shared" si="0"/>
        <v>0</v>
      </c>
      <c r="K23" s="179">
        <f t="shared" si="1"/>
        <v>0</v>
      </c>
      <c r="L23" s="179">
        <f t="shared" si="2"/>
        <v>0</v>
      </c>
      <c r="M23" s="180"/>
    </row>
    <row r="24" s="6" customFormat="1" customHeight="1" spans="1:13">
      <c r="A24" s="174"/>
      <c r="B24" s="175"/>
      <c r="C24" s="176"/>
      <c r="D24" s="177"/>
      <c r="E24" s="178"/>
      <c r="F24" s="178"/>
      <c r="G24" s="178"/>
      <c r="H24" s="178"/>
      <c r="I24" s="178"/>
      <c r="J24" s="179">
        <f t="shared" si="0"/>
        <v>0</v>
      </c>
      <c r="K24" s="179">
        <f t="shared" si="1"/>
        <v>0</v>
      </c>
      <c r="L24" s="179">
        <f t="shared" si="2"/>
        <v>0</v>
      </c>
      <c r="M24" s="180"/>
    </row>
    <row r="25" s="93" customFormat="1" customHeight="1" spans="1:13">
      <c r="A25" s="181" t="s">
        <v>295</v>
      </c>
      <c r="B25" s="181"/>
      <c r="C25" s="181"/>
      <c r="D25" s="182"/>
      <c r="E25" s="182"/>
      <c r="F25" s="28">
        <f t="shared" ref="F25:L25" si="3">SUM(F16:F24)</f>
        <v>0</v>
      </c>
      <c r="G25" s="28">
        <f t="shared" si="3"/>
        <v>0</v>
      </c>
      <c r="H25" s="28">
        <f t="shared" si="3"/>
        <v>0</v>
      </c>
      <c r="I25" s="28">
        <f t="shared" si="3"/>
        <v>0</v>
      </c>
      <c r="J25" s="28">
        <f t="shared" si="3"/>
        <v>0</v>
      </c>
      <c r="K25" s="28">
        <f t="shared" si="3"/>
        <v>0</v>
      </c>
      <c r="L25" s="28">
        <f t="shared" si="3"/>
        <v>0</v>
      </c>
      <c r="M25" s="183"/>
    </row>
    <row r="26" s="93" customFormat="1" customHeight="1" spans="1:13">
      <c r="A26" s="184" t="s">
        <v>560</v>
      </c>
      <c r="B26" s="185"/>
      <c r="C26" s="185"/>
      <c r="D26" s="185"/>
      <c r="E26" s="186"/>
      <c r="F26" s="140"/>
      <c r="G26" s="141"/>
      <c r="H26" s="140"/>
      <c r="I26" s="140"/>
      <c r="J26" s="140"/>
      <c r="K26" s="140"/>
      <c r="L26" s="140"/>
      <c r="M26" s="140"/>
    </row>
    <row r="27" s="93" customFormat="1" customHeight="1" spans="1:13">
      <c r="A27" s="184" t="s">
        <v>561</v>
      </c>
      <c r="B27" s="185"/>
      <c r="C27" s="185"/>
      <c r="D27" s="185"/>
      <c r="E27" s="186"/>
      <c r="F27" s="140"/>
      <c r="G27" s="187" t="e">
        <f>G25/G26</f>
        <v>#DIV/0!</v>
      </c>
      <c r="H27" s="140"/>
      <c r="I27" s="140"/>
      <c r="J27" s="140"/>
      <c r="K27" s="140"/>
      <c r="L27" s="140"/>
      <c r="M27" s="140"/>
    </row>
    <row r="28" s="6" customFormat="1" customHeight="1" spans="1:13">
      <c r="A28" s="188"/>
      <c r="B28" s="189"/>
      <c r="C28" s="189"/>
      <c r="D28" s="188"/>
      <c r="E28" s="190"/>
      <c r="F28" s="190"/>
      <c r="G28" s="190"/>
      <c r="H28" s="188"/>
      <c r="I28" s="188"/>
      <c r="J28" s="188"/>
      <c r="K28" s="188"/>
      <c r="L28" s="188"/>
      <c r="M28" s="188"/>
    </row>
    <row r="29" customHeight="1" spans="1:13">
      <c r="A29" s="191" t="s">
        <v>407</v>
      </c>
      <c r="B29" s="192"/>
      <c r="C29" s="192"/>
      <c r="D29" s="192"/>
      <c r="E29" s="192"/>
      <c r="F29" s="192"/>
      <c r="G29" s="192"/>
      <c r="H29" s="192"/>
      <c r="I29" s="192"/>
      <c r="J29" s="192"/>
      <c r="K29" s="192"/>
      <c r="L29" s="192"/>
      <c r="M29" s="192"/>
    </row>
    <row r="30" customHeight="1" spans="1:13">
      <c r="A30" s="192"/>
      <c r="B30" s="192"/>
      <c r="C30" s="192"/>
      <c r="D30" s="192"/>
      <c r="E30" s="192"/>
      <c r="F30" s="192"/>
      <c r="G30" s="192"/>
      <c r="H30" s="192"/>
      <c r="I30" s="192"/>
      <c r="J30" s="192"/>
      <c r="K30" s="192"/>
      <c r="L30" s="192"/>
      <c r="M30" s="192"/>
    </row>
    <row r="31" customHeight="1" spans="1:13">
      <c r="A31" s="6"/>
      <c r="B31" s="6"/>
      <c r="C31" s="6"/>
      <c r="D31" s="6"/>
      <c r="E31" s="6"/>
      <c r="F31" s="6"/>
      <c r="G31" s="6"/>
      <c r="H31" s="6"/>
      <c r="I31" s="6"/>
      <c r="J31" s="6"/>
      <c r="K31" s="6"/>
      <c r="L31" s="6"/>
      <c r="M31" s="6"/>
    </row>
    <row r="32" customHeight="1" spans="1:13">
      <c r="A32" s="5" t="s">
        <v>410</v>
      </c>
      <c r="B32" s="6"/>
      <c r="C32" s="6"/>
      <c r="D32" s="6"/>
      <c r="E32" s="6"/>
      <c r="F32" s="6"/>
      <c r="G32" s="6"/>
      <c r="H32" s="6"/>
      <c r="I32" s="6"/>
      <c r="J32" s="6"/>
      <c r="K32" s="6"/>
      <c r="L32" s="6"/>
      <c r="M32" s="6"/>
    </row>
    <row r="33" customHeight="1" spans="1:13">
      <c r="A33" s="6"/>
      <c r="B33" s="6"/>
      <c r="C33" s="6"/>
      <c r="D33" s="6"/>
      <c r="E33" s="6"/>
      <c r="F33" s="6"/>
      <c r="G33" s="6"/>
      <c r="H33" s="6"/>
      <c r="I33" s="6"/>
      <c r="J33" s="6"/>
      <c r="K33" s="6"/>
      <c r="L33" s="6"/>
      <c r="M33" s="6"/>
    </row>
    <row r="36" customHeight="1" spans="1:13">
      <c r="A36" s="193" t="s">
        <v>299</v>
      </c>
      <c r="B36" s="194"/>
      <c r="C36" s="194"/>
    </row>
    <row r="37" customHeight="1" spans="1:13">
      <c r="A37" s="195" t="s">
        <v>562</v>
      </c>
      <c r="B37" s="194"/>
      <c r="C37" s="194"/>
    </row>
    <row r="38" customHeight="1" spans="1:13">
      <c r="A38" s="43" t="s">
        <v>563</v>
      </c>
      <c r="B38" s="43"/>
      <c r="C38" s="43"/>
      <c r="D38" s="6"/>
      <c r="E38" s="6"/>
      <c r="F38" s="6"/>
      <c r="G38" s="6"/>
      <c r="H38" s="6"/>
      <c r="I38" s="6"/>
      <c r="J38" s="6"/>
      <c r="K38" s="6"/>
      <c r="L38" s="6"/>
      <c r="M38" s="6"/>
    </row>
    <row r="39" customHeight="1" spans="1:13">
      <c r="A39" s="43" t="s">
        <v>564</v>
      </c>
      <c r="B39" s="43"/>
      <c r="C39" s="43"/>
      <c r="D39" s="6"/>
      <c r="E39" s="6"/>
      <c r="F39" s="6"/>
      <c r="G39" s="6"/>
      <c r="H39" s="6"/>
      <c r="I39" s="6"/>
      <c r="J39" s="6"/>
      <c r="K39" s="6"/>
      <c r="L39" s="6"/>
      <c r="M39" s="6"/>
    </row>
    <row r="40" customHeight="1" spans="1:13">
      <c r="A40" s="43" t="s">
        <v>565</v>
      </c>
      <c r="B40" s="43"/>
      <c r="C40" s="43"/>
      <c r="D40" s="6"/>
      <c r="E40" s="6"/>
      <c r="F40" s="6"/>
      <c r="G40" s="6"/>
      <c r="H40" s="6"/>
      <c r="I40" s="6"/>
      <c r="J40" s="6"/>
      <c r="K40" s="6"/>
      <c r="L40" s="6"/>
      <c r="M40" s="6"/>
    </row>
    <row r="41" customHeight="1" spans="1:13">
      <c r="A41" s="43" t="s">
        <v>566</v>
      </c>
      <c r="B41" s="43"/>
      <c r="C41" s="43"/>
      <c r="D41" s="6"/>
      <c r="E41" s="6"/>
      <c r="F41" s="6"/>
      <c r="G41" s="6"/>
      <c r="H41" s="6"/>
      <c r="I41" s="6"/>
      <c r="J41" s="6"/>
      <c r="K41" s="6"/>
      <c r="L41" s="6"/>
      <c r="M41" s="6"/>
    </row>
    <row r="42" customHeight="1" spans="1:13">
      <c r="A42" s="43" t="s">
        <v>567</v>
      </c>
      <c r="B42" s="43"/>
      <c r="C42" s="43"/>
      <c r="D42" s="6"/>
      <c r="E42" s="6"/>
      <c r="F42" s="6"/>
      <c r="G42" s="6"/>
      <c r="H42" s="6"/>
      <c r="I42" s="6"/>
      <c r="J42" s="6"/>
      <c r="K42" s="6"/>
      <c r="L42" s="6"/>
      <c r="M42" s="6"/>
    </row>
    <row r="43" customHeight="1" spans="1:13">
      <c r="A43" s="43"/>
      <c r="B43" s="43"/>
      <c r="C43" s="43"/>
      <c r="D43" s="6"/>
      <c r="E43" s="6"/>
      <c r="F43" s="6"/>
      <c r="G43" s="6"/>
      <c r="H43" s="6"/>
      <c r="I43" s="6"/>
      <c r="J43" s="6"/>
      <c r="K43" s="6"/>
      <c r="L43" s="6"/>
      <c r="M43" s="6"/>
    </row>
  </sheetData>
  <mergeCells count="16">
    <mergeCell ref="A1:M1"/>
    <mergeCell ref="A2:M2"/>
    <mergeCell ref="F14:G14"/>
    <mergeCell ref="A26:E26"/>
    <mergeCell ref="A27:E27"/>
    <mergeCell ref="A14:A15"/>
    <mergeCell ref="B14:B15"/>
    <mergeCell ref="C14:C15"/>
    <mergeCell ref="D14:D15"/>
    <mergeCell ref="E14:E15"/>
    <mergeCell ref="H14:H15"/>
    <mergeCell ref="I14:I15"/>
    <mergeCell ref="J14:J15"/>
    <mergeCell ref="K14:K15"/>
    <mergeCell ref="L14:L15"/>
    <mergeCell ref="M14:M15"/>
  </mergeCells>
  <hyperlinks>
    <hyperlink ref="M3" location="底稿目录!A1" display="=底稿目录!F19"/>
  </hyperlinks>
  <printOptions horizontalCentered="1"/>
  <pageMargins left="0.708661417322835" right="0.708661417322835" top="0.748031496062992" bottom="0.748031496062992" header="0.31496062992126" footer="0.31496062992126"/>
  <pageSetup paperSize="9" scale="70" orientation="landscape" blackAndWhite="1"/>
  <headerFooter>
    <oddFooter>&amp;C&amp;P/&amp;N</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AF42"/>
  <sheetViews>
    <sheetView view="pageBreakPreview" zoomScale="85" zoomScaleNormal="90" topLeftCell="A12" workbookViewId="0">
      <selection activeCell="R16" sqref="R16"/>
    </sheetView>
  </sheetViews>
  <sheetFormatPr defaultColWidth="9" defaultRowHeight="19.95" customHeight="1"/>
  <cols>
    <col min="1" max="1" width="20.9" style="6" customWidth="1"/>
    <col min="2" max="2" width="8.1" style="6" customWidth="1"/>
    <col min="3" max="3" width="13.1" style="6" customWidth="1"/>
    <col min="4" max="5" width="13.6" style="6" customWidth="1"/>
    <col min="6" max="6" width="13.1" style="6" customWidth="1"/>
    <col min="7" max="7" width="14" style="6" customWidth="1"/>
    <col min="8" max="11" width="12.5" style="6" customWidth="1"/>
    <col min="12" max="12" width="12.6" style="6" customWidth="1"/>
    <col min="13" max="16384" width="9" style="6"/>
  </cols>
  <sheetData>
    <row r="1" s="1" customFormat="1" customHeight="1" spans="1:32">
      <c r="A1" s="7" t="s">
        <v>59</v>
      </c>
      <c r="B1" s="7"/>
      <c r="C1" s="7"/>
      <c r="D1" s="7"/>
      <c r="E1" s="7"/>
      <c r="F1" s="7"/>
      <c r="G1" s="7"/>
      <c r="H1" s="7"/>
      <c r="I1" s="7"/>
      <c r="J1" s="7"/>
      <c r="K1" s="8"/>
      <c r="L1" s="8"/>
    </row>
    <row r="2" s="2" customFormat="1" customHeight="1" spans="1:32">
      <c r="A2" s="9" t="s">
        <v>568</v>
      </c>
      <c r="B2" s="9"/>
      <c r="C2" s="9"/>
      <c r="D2" s="9"/>
      <c r="E2" s="9"/>
      <c r="F2" s="9"/>
      <c r="G2" s="9"/>
      <c r="H2" s="9"/>
      <c r="I2" s="9"/>
      <c r="J2" s="9"/>
      <c r="K2" s="10"/>
      <c r="L2" s="10"/>
    </row>
    <row r="3" customHeight="1" spans="1:32">
      <c r="A3" s="6" t="str">
        <f>底稿目录!A2</f>
        <v>被审计单位：</v>
      </c>
      <c r="E3" s="6" t="str">
        <f>底稿目录!A4</f>
        <v>编制人：</v>
      </c>
      <c r="G3" s="93"/>
      <c r="H3" s="6" t="str">
        <f>底稿目录!A6</f>
        <v>编制日期：</v>
      </c>
      <c r="I3" s="11"/>
      <c r="K3" s="12" t="s">
        <v>61</v>
      </c>
      <c r="L3" s="13" t="s">
        <v>49</v>
      </c>
    </row>
    <row r="4" customHeight="1" spans="1:32">
      <c r="A4" s="6" t="str">
        <f>底稿目录!A3</f>
        <v>截止日：202X年12月31日</v>
      </c>
      <c r="E4" s="6" t="str">
        <f>底稿目录!A5</f>
        <v>复核人：</v>
      </c>
      <c r="G4" s="93"/>
      <c r="H4" s="6" t="str">
        <f>底稿目录!A7</f>
        <v>复核日期：</v>
      </c>
      <c r="I4" s="11"/>
      <c r="K4" s="12" t="s">
        <v>62</v>
      </c>
      <c r="L4" s="14"/>
    </row>
    <row r="5" s="3" customFormat="1" customHeight="1" spans="1:32">
      <c r="A5" s="15" t="s">
        <v>569</v>
      </c>
      <c r="B5" s="16"/>
      <c r="C5" s="16"/>
      <c r="H5" s="17"/>
      <c r="I5" s="17"/>
      <c r="J5" s="17"/>
      <c r="K5" s="17"/>
      <c r="O5" s="18"/>
      <c r="P5" s="94"/>
      <c r="Z5" s="19"/>
      <c r="AA5" s="19"/>
      <c r="AB5" s="19"/>
      <c r="AC5" s="19"/>
      <c r="AD5" s="19"/>
      <c r="AE5" s="19"/>
      <c r="AF5" s="19"/>
    </row>
    <row r="6" customHeight="1" spans="1:32">
      <c r="A6" s="95" t="s">
        <v>274</v>
      </c>
      <c r="B6" s="93"/>
      <c r="C6" s="93"/>
      <c r="H6" s="96"/>
      <c r="I6" s="96"/>
      <c r="J6" s="96"/>
      <c r="K6" s="96"/>
      <c r="O6" s="97"/>
      <c r="P6" s="98"/>
      <c r="Z6" s="99"/>
      <c r="AA6" s="99"/>
      <c r="AB6" s="99"/>
      <c r="AC6" s="99"/>
      <c r="AD6" s="99"/>
      <c r="AE6" s="99"/>
      <c r="AF6" s="99"/>
    </row>
    <row r="7" s="132" customFormat="1" customHeight="1" spans="1:32">
      <c r="A7" s="77" t="s">
        <v>570</v>
      </c>
      <c r="B7" s="78" t="s">
        <v>571</v>
      </c>
      <c r="C7" s="78" t="s">
        <v>572</v>
      </c>
      <c r="D7" s="77" t="s">
        <v>434</v>
      </c>
      <c r="E7" s="134" t="s">
        <v>573</v>
      </c>
      <c r="F7" s="135"/>
      <c r="G7" s="136"/>
      <c r="H7" s="78" t="s">
        <v>574</v>
      </c>
      <c r="I7" s="78" t="s">
        <v>575</v>
      </c>
      <c r="J7" s="78" t="s">
        <v>576</v>
      </c>
      <c r="K7" s="78" t="s">
        <v>577</v>
      </c>
      <c r="L7" s="77" t="s">
        <v>8</v>
      </c>
      <c r="M7" s="133"/>
      <c r="N7" s="133"/>
    </row>
    <row r="8" s="133" customFormat="1" ht="26" spans="1:32">
      <c r="A8" s="77"/>
      <c r="B8" s="137"/>
      <c r="C8" s="82"/>
      <c r="D8" s="77"/>
      <c r="E8" s="77" t="s">
        <v>578</v>
      </c>
      <c r="F8" s="77" t="s">
        <v>579</v>
      </c>
      <c r="G8" s="77" t="s">
        <v>580</v>
      </c>
      <c r="H8" s="82"/>
      <c r="I8" s="82" t="s">
        <v>581</v>
      </c>
      <c r="J8" s="82"/>
      <c r="K8" s="137"/>
      <c r="L8" s="77"/>
    </row>
    <row r="9" s="133" customFormat="1" customHeight="1" spans="1:32">
      <c r="A9" s="77"/>
      <c r="B9" s="82"/>
      <c r="C9" s="77" t="s">
        <v>508</v>
      </c>
      <c r="D9" s="77" t="s">
        <v>509</v>
      </c>
      <c r="E9" s="77" t="s">
        <v>511</v>
      </c>
      <c r="F9" s="77" t="s">
        <v>512</v>
      </c>
      <c r="G9" s="77" t="s">
        <v>513</v>
      </c>
      <c r="H9" s="77" t="s">
        <v>582</v>
      </c>
      <c r="I9" s="77" t="s">
        <v>583</v>
      </c>
      <c r="J9" s="77" t="s">
        <v>584</v>
      </c>
      <c r="K9" s="82"/>
      <c r="L9" s="77"/>
    </row>
    <row r="10" s="4" customFormat="1" customHeight="1" spans="1:32">
      <c r="A10" s="25" t="s">
        <v>585</v>
      </c>
      <c r="B10" s="26"/>
      <c r="C10" s="26"/>
      <c r="D10" s="26">
        <f t="shared" ref="D10:J10" si="0">SUM(D11:D15)</f>
        <v>0</v>
      </c>
      <c r="E10" s="26">
        <f t="shared" si="0"/>
        <v>0</v>
      </c>
      <c r="F10" s="26">
        <f t="shared" si="0"/>
        <v>0</v>
      </c>
      <c r="G10" s="26">
        <f t="shared" si="0"/>
        <v>0</v>
      </c>
      <c r="H10" s="26">
        <f t="shared" si="0"/>
        <v>0</v>
      </c>
      <c r="I10" s="26">
        <f t="shared" si="0"/>
        <v>0</v>
      </c>
      <c r="J10" s="26">
        <f t="shared" si="0"/>
        <v>0</v>
      </c>
      <c r="K10" s="26"/>
      <c r="L10" s="26"/>
    </row>
    <row r="11" customHeight="1" spans="1:32">
      <c r="A11" s="138"/>
      <c r="B11" s="139"/>
      <c r="C11" s="33"/>
      <c r="D11" s="33"/>
      <c r="E11" s="103"/>
      <c r="F11" s="103"/>
      <c r="G11" s="140">
        <f>MAX(E11,F11)</f>
        <v>0</v>
      </c>
      <c r="H11" s="140">
        <f>IF(D11&gt;G11,D11-G11,0)</f>
        <v>0</v>
      </c>
      <c r="I11" s="141"/>
      <c r="J11" s="140">
        <f>H11-I11</f>
        <v>0</v>
      </c>
      <c r="K11" s="142"/>
      <c r="L11" s="30"/>
    </row>
    <row r="12" customHeight="1" spans="1:32">
      <c r="A12" s="138" t="s">
        <v>586</v>
      </c>
      <c r="B12" s="139"/>
      <c r="C12" s="33"/>
      <c r="D12" s="33"/>
      <c r="E12" s="103"/>
      <c r="F12" s="103"/>
      <c r="G12" s="140">
        <f>MAX(E12,F12)</f>
        <v>0</v>
      </c>
      <c r="H12" s="140">
        <f>IF(D12&gt;G12,D12-G12,0)</f>
        <v>0</v>
      </c>
      <c r="I12" s="141"/>
      <c r="J12" s="140">
        <f>H12-I12</f>
        <v>0</v>
      </c>
      <c r="K12" s="142"/>
      <c r="L12" s="30"/>
    </row>
    <row r="13" hidden="1" customHeight="1" spans="1:32">
      <c r="A13" s="138" t="s">
        <v>586</v>
      </c>
      <c r="B13" s="139"/>
      <c r="C13" s="33"/>
      <c r="D13" s="33"/>
      <c r="E13" s="103"/>
      <c r="F13" s="103"/>
      <c r="G13" s="140">
        <f>MAX(E13,F13)</f>
        <v>0</v>
      </c>
      <c r="H13" s="140">
        <f>IF(D13&gt;G13,D13-G13,0)</f>
        <v>0</v>
      </c>
      <c r="I13" s="141"/>
      <c r="J13" s="140">
        <f>H13-I13</f>
        <v>0</v>
      </c>
      <c r="K13" s="142"/>
      <c r="L13" s="30"/>
    </row>
    <row r="14" hidden="1" customHeight="1" spans="1:32">
      <c r="A14" s="138" t="s">
        <v>586</v>
      </c>
      <c r="B14" s="139"/>
      <c r="C14" s="33"/>
      <c r="D14" s="33"/>
      <c r="E14" s="103"/>
      <c r="F14" s="103"/>
      <c r="G14" s="140">
        <f>MAX(E14,F14)</f>
        <v>0</v>
      </c>
      <c r="H14" s="140">
        <f>IF(D14&gt;G14,D14-G14,0)</f>
        <v>0</v>
      </c>
      <c r="I14" s="141"/>
      <c r="J14" s="140">
        <f>H14-I14</f>
        <v>0</v>
      </c>
      <c r="K14" s="142"/>
      <c r="L14" s="30"/>
    </row>
    <row r="15" hidden="1" customHeight="1" spans="1:32">
      <c r="A15" s="138" t="s">
        <v>586</v>
      </c>
      <c r="B15" s="139"/>
      <c r="C15" s="33"/>
      <c r="D15" s="33"/>
      <c r="E15" s="103"/>
      <c r="F15" s="103"/>
      <c r="G15" s="140">
        <f>MAX(E15,F15)</f>
        <v>0</v>
      </c>
      <c r="H15" s="140">
        <f>IF(D15&gt;G15,D15-G15,0)</f>
        <v>0</v>
      </c>
      <c r="I15" s="141"/>
      <c r="J15" s="140">
        <f>H15-I15</f>
        <v>0</v>
      </c>
      <c r="K15" s="142"/>
      <c r="L15" s="30"/>
    </row>
    <row r="16" s="5" customFormat="1" customHeight="1" spans="1:32">
      <c r="A16" s="25" t="s">
        <v>587</v>
      </c>
      <c r="B16" s="26"/>
      <c r="C16" s="26"/>
      <c r="D16" s="26">
        <f t="shared" ref="D16:J16" si="1">SUM(D17:D21)</f>
        <v>0</v>
      </c>
      <c r="E16" s="26">
        <f t="shared" si="1"/>
        <v>0</v>
      </c>
      <c r="F16" s="26">
        <f t="shared" si="1"/>
        <v>0</v>
      </c>
      <c r="G16" s="26">
        <f t="shared" si="1"/>
        <v>0</v>
      </c>
      <c r="H16" s="26">
        <f t="shared" si="1"/>
        <v>0</v>
      </c>
      <c r="I16" s="26">
        <f t="shared" si="1"/>
        <v>0</v>
      </c>
      <c r="J16" s="26">
        <f t="shared" si="1"/>
        <v>0</v>
      </c>
      <c r="K16" s="26"/>
      <c r="L16" s="26"/>
    </row>
    <row r="17" customHeight="1" spans="1:12">
      <c r="A17" s="138"/>
      <c r="B17" s="139"/>
      <c r="C17" s="33"/>
      <c r="D17" s="33"/>
      <c r="E17" s="103"/>
      <c r="F17" s="103"/>
      <c r="G17" s="140">
        <f>MAX(E17,F17)</f>
        <v>0</v>
      </c>
      <c r="H17" s="140">
        <f>IF(D17&gt;G17,D17-G17,0)</f>
        <v>0</v>
      </c>
      <c r="I17" s="141"/>
      <c r="J17" s="140">
        <f>H17-I17</f>
        <v>0</v>
      </c>
      <c r="K17" s="142"/>
      <c r="L17" s="30"/>
    </row>
    <row r="18" customHeight="1" spans="1:12">
      <c r="A18" s="138" t="s">
        <v>586</v>
      </c>
      <c r="B18" s="139"/>
      <c r="C18" s="33"/>
      <c r="D18" s="33"/>
      <c r="E18" s="103"/>
      <c r="F18" s="103"/>
      <c r="G18" s="140">
        <f>MAX(E18,F18)</f>
        <v>0</v>
      </c>
      <c r="H18" s="140">
        <f>IF(D18&gt;G18,D18-G18,0)</f>
        <v>0</v>
      </c>
      <c r="I18" s="141"/>
      <c r="J18" s="140">
        <f>H18-I18</f>
        <v>0</v>
      </c>
      <c r="K18" s="142"/>
      <c r="L18" s="30"/>
    </row>
    <row r="19" hidden="1" customHeight="1" spans="1:12">
      <c r="A19" s="138" t="s">
        <v>586</v>
      </c>
      <c r="B19" s="139"/>
      <c r="C19" s="33"/>
      <c r="D19" s="33"/>
      <c r="E19" s="103"/>
      <c r="F19" s="103"/>
      <c r="G19" s="140">
        <f>MAX(E19,F19)</f>
        <v>0</v>
      </c>
      <c r="H19" s="140">
        <f>IF(D19&gt;G19,D19-G19,0)</f>
        <v>0</v>
      </c>
      <c r="I19" s="141"/>
      <c r="J19" s="140">
        <f>H19-I19</f>
        <v>0</v>
      </c>
      <c r="K19" s="142"/>
      <c r="L19" s="30"/>
    </row>
    <row r="20" hidden="1" customHeight="1" spans="1:12">
      <c r="A20" s="138" t="s">
        <v>586</v>
      </c>
      <c r="B20" s="139"/>
      <c r="C20" s="33"/>
      <c r="D20" s="33"/>
      <c r="E20" s="103"/>
      <c r="F20" s="103"/>
      <c r="G20" s="140">
        <f>MAX(E20,F20)</f>
        <v>0</v>
      </c>
      <c r="H20" s="140">
        <f>IF(D20&gt;G20,D20-G20,0)</f>
        <v>0</v>
      </c>
      <c r="I20" s="141"/>
      <c r="J20" s="140">
        <f>H20-I20</f>
        <v>0</v>
      </c>
      <c r="K20" s="142"/>
      <c r="L20" s="30"/>
    </row>
    <row r="21" hidden="1" customHeight="1" spans="1:12">
      <c r="A21" s="138" t="s">
        <v>586</v>
      </c>
      <c r="B21" s="139"/>
      <c r="C21" s="33"/>
      <c r="D21" s="33"/>
      <c r="E21" s="103"/>
      <c r="F21" s="103"/>
      <c r="G21" s="140">
        <f>MAX(E21,F21)</f>
        <v>0</v>
      </c>
      <c r="H21" s="140">
        <f>IF(D21&gt;G21,D21-G21,0)</f>
        <v>0</v>
      </c>
      <c r="I21" s="141"/>
      <c r="J21" s="140">
        <f>H21-I21</f>
        <v>0</v>
      </c>
      <c r="K21" s="142"/>
      <c r="L21" s="30"/>
    </row>
    <row r="22" s="5" customFormat="1" customHeight="1" spans="1:12">
      <c r="A22" s="25" t="s">
        <v>588</v>
      </c>
      <c r="B22" s="26"/>
      <c r="C22" s="26"/>
      <c r="D22" s="26">
        <f t="shared" ref="D22:J22" si="2">SUM(D23:D27)</f>
        <v>0</v>
      </c>
      <c r="E22" s="26">
        <f t="shared" si="2"/>
        <v>0</v>
      </c>
      <c r="F22" s="26">
        <f t="shared" si="2"/>
        <v>0</v>
      </c>
      <c r="G22" s="26">
        <f t="shared" si="2"/>
        <v>0</v>
      </c>
      <c r="H22" s="26">
        <f t="shared" si="2"/>
        <v>0</v>
      </c>
      <c r="I22" s="26">
        <f t="shared" si="2"/>
        <v>0</v>
      </c>
      <c r="J22" s="26">
        <f t="shared" si="2"/>
        <v>0</v>
      </c>
      <c r="K22" s="26"/>
      <c r="L22" s="26"/>
    </row>
    <row r="23" customHeight="1" spans="1:12">
      <c r="A23" s="138"/>
      <c r="B23" s="139"/>
      <c r="C23" s="33"/>
      <c r="D23" s="33"/>
      <c r="E23" s="103"/>
      <c r="F23" s="103"/>
      <c r="G23" s="140">
        <f>MAX(E23,F23)</f>
        <v>0</v>
      </c>
      <c r="H23" s="140">
        <f>IF(D23&gt;G23,D23-G23,0)</f>
        <v>0</v>
      </c>
      <c r="I23" s="141"/>
      <c r="J23" s="140">
        <f>H23-I23</f>
        <v>0</v>
      </c>
      <c r="K23" s="142"/>
      <c r="L23" s="30"/>
    </row>
    <row r="24" customHeight="1" spans="1:12">
      <c r="A24" s="138" t="s">
        <v>586</v>
      </c>
      <c r="B24" s="139"/>
      <c r="C24" s="33"/>
      <c r="D24" s="33"/>
      <c r="E24" s="103"/>
      <c r="F24" s="103"/>
      <c r="G24" s="140">
        <f>MAX(E24,F24)</f>
        <v>0</v>
      </c>
      <c r="H24" s="140">
        <f>IF(D24&gt;G24,D24-G24,0)</f>
        <v>0</v>
      </c>
      <c r="I24" s="141"/>
      <c r="J24" s="140">
        <f>H24-I24</f>
        <v>0</v>
      </c>
      <c r="K24" s="142"/>
      <c r="L24" s="30"/>
    </row>
    <row r="25" hidden="1" customHeight="1" spans="1:12">
      <c r="A25" s="138" t="s">
        <v>586</v>
      </c>
      <c r="B25" s="139"/>
      <c r="C25" s="33"/>
      <c r="D25" s="33"/>
      <c r="E25" s="103"/>
      <c r="F25" s="103"/>
      <c r="G25" s="140">
        <f>MAX(E25,F25)</f>
        <v>0</v>
      </c>
      <c r="H25" s="140">
        <f>IF(D25&gt;G25,D25-G25,0)</f>
        <v>0</v>
      </c>
      <c r="I25" s="141"/>
      <c r="J25" s="140">
        <f>H25-I25</f>
        <v>0</v>
      </c>
      <c r="K25" s="142"/>
      <c r="L25" s="30"/>
    </row>
    <row r="26" hidden="1" customHeight="1" spans="1:12">
      <c r="A26" s="138" t="s">
        <v>586</v>
      </c>
      <c r="B26" s="139"/>
      <c r="C26" s="33"/>
      <c r="D26" s="33"/>
      <c r="E26" s="103"/>
      <c r="F26" s="103"/>
      <c r="G26" s="140">
        <f>MAX(E26,F26)</f>
        <v>0</v>
      </c>
      <c r="H26" s="140">
        <f>IF(D26&gt;G26,D26-G26,0)</f>
        <v>0</v>
      </c>
      <c r="I26" s="141"/>
      <c r="J26" s="140">
        <f>H26-I26</f>
        <v>0</v>
      </c>
      <c r="K26" s="142"/>
      <c r="L26" s="30"/>
    </row>
    <row r="27" hidden="1" customHeight="1" spans="1:12">
      <c r="A27" s="138" t="s">
        <v>586</v>
      </c>
      <c r="B27" s="139"/>
      <c r="C27" s="33"/>
      <c r="D27" s="33"/>
      <c r="E27" s="103"/>
      <c r="F27" s="103"/>
      <c r="G27" s="140">
        <f>MAX(E27,F27)</f>
        <v>0</v>
      </c>
      <c r="H27" s="140">
        <f>IF(D27&gt;G27,D27-G27,0)</f>
        <v>0</v>
      </c>
      <c r="I27" s="141"/>
      <c r="J27" s="140">
        <f>H27-I27</f>
        <v>0</v>
      </c>
      <c r="K27" s="142"/>
      <c r="L27" s="30"/>
    </row>
    <row r="28" s="5" customFormat="1" customHeight="1" spans="1:12">
      <c r="A28" s="77" t="s">
        <v>295</v>
      </c>
      <c r="B28" s="26"/>
      <c r="C28" s="26"/>
      <c r="D28" s="26">
        <f>D10+D16+D22</f>
        <v>0</v>
      </c>
      <c r="E28" s="26">
        <f t="shared" ref="E28:J28" si="3">E10+E16+E22</f>
        <v>0</v>
      </c>
      <c r="F28" s="26">
        <f t="shared" si="3"/>
        <v>0</v>
      </c>
      <c r="G28" s="26">
        <f t="shared" si="3"/>
        <v>0</v>
      </c>
      <c r="H28" s="26">
        <f t="shared" si="3"/>
        <v>0</v>
      </c>
      <c r="I28" s="26">
        <f t="shared" si="3"/>
        <v>0</v>
      </c>
      <c r="J28" s="26">
        <f t="shared" si="3"/>
        <v>0</v>
      </c>
      <c r="K28" s="26"/>
      <c r="L28" s="26"/>
    </row>
    <row r="29" customHeight="1" spans="1:12">
      <c r="A29" s="40"/>
      <c r="B29" s="40"/>
      <c r="C29" s="40"/>
      <c r="D29" s="40"/>
      <c r="E29" s="40"/>
      <c r="F29" s="40"/>
      <c r="G29" s="40"/>
      <c r="H29" s="40"/>
      <c r="I29" s="40"/>
      <c r="J29" s="40"/>
      <c r="K29" s="40"/>
      <c r="L29" s="40"/>
    </row>
    <row r="30" customHeight="1" spans="1:12">
      <c r="A30" s="5" t="s">
        <v>297</v>
      </c>
    </row>
    <row r="33" customHeight="1" spans="1:1">
      <c r="A33" s="5" t="s">
        <v>369</v>
      </c>
    </row>
    <row r="36" customHeight="1" spans="1:1">
      <c r="A36" s="143" t="s">
        <v>299</v>
      </c>
    </row>
    <row r="37" customHeight="1" spans="1:1">
      <c r="A37" s="131" t="s">
        <v>589</v>
      </c>
    </row>
    <row r="38" customHeight="1" spans="1:1">
      <c r="A38" s="131" t="s">
        <v>590</v>
      </c>
    </row>
    <row r="39" customHeight="1" spans="1:1">
      <c r="A39" s="131" t="s">
        <v>591</v>
      </c>
    </row>
    <row r="40" customHeight="1" spans="1:1">
      <c r="A40" s="131" t="s">
        <v>592</v>
      </c>
    </row>
    <row r="41" customHeight="1" spans="1:1">
      <c r="A41" s="131" t="s">
        <v>593</v>
      </c>
    </row>
    <row r="42" customHeight="1" spans="1:1">
      <c r="A42" s="131" t="s">
        <v>594</v>
      </c>
    </row>
  </sheetData>
  <mergeCells count="12">
    <mergeCell ref="A1:L1"/>
    <mergeCell ref="A2:L2"/>
    <mergeCell ref="E7:G7"/>
    <mergeCell ref="A7:A9"/>
    <mergeCell ref="B7:B9"/>
    <mergeCell ref="C7:C8"/>
    <mergeCell ref="D7:D8"/>
    <mergeCell ref="H7:H8"/>
    <mergeCell ref="I7:I8"/>
    <mergeCell ref="J7:J8"/>
    <mergeCell ref="K7:K9"/>
    <mergeCell ref="L7:L9"/>
  </mergeCells>
  <dataValidations count="1">
    <dataValidation type="list" allowBlank="1" showInputMessage="1" showErrorMessage="1" sqref="B11:B15 B17:B21 B23:B27">
      <formula1>"√,×"</formula1>
    </dataValidation>
  </dataValidations>
  <hyperlinks>
    <hyperlink ref="L3" location="底稿目录!A1" display="H3-10"/>
  </hyperlinks>
  <printOptions horizontalCentered="1"/>
  <pageMargins left="0.708661417322835" right="0.708661417322835" top="0.748031496062992" bottom="0.748031496062992" header="0.31496062992126" footer="0.31496062992126"/>
  <pageSetup paperSize="9" scale="70" orientation="landscape" blackAndWhite="1"/>
  <headerFooter>
    <oddFooter>&amp;C&amp;P/&amp;N</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AB65"/>
  <sheetViews>
    <sheetView view="pageBreakPreview" zoomScale="70" zoomScaleNormal="90" topLeftCell="A30" workbookViewId="0">
      <selection activeCell="AB27" sqref="AB27"/>
    </sheetView>
  </sheetViews>
  <sheetFormatPr defaultColWidth="9" defaultRowHeight="19.95" customHeight="1"/>
  <cols>
    <col min="1" max="1" width="20.5" style="6" customWidth="1"/>
    <col min="2" max="2" width="8.9" style="6" customWidth="1"/>
    <col min="3" max="3" width="8.5" style="6" customWidth="1"/>
    <col min="4" max="4" width="8.9" style="6" customWidth="1"/>
    <col min="5" max="5" width="8" style="6" customWidth="1"/>
    <col min="6" max="6" width="7.9" style="6" customWidth="1"/>
    <col min="7" max="7" width="7.5" style="6" customWidth="1"/>
    <col min="8" max="8" width="8.9" style="6" customWidth="1"/>
    <col min="9" max="9" width="9.1" style="6" customWidth="1"/>
    <col min="10" max="10" width="6.5" style="6" customWidth="1"/>
    <col min="11" max="11" width="9.6" style="6" customWidth="1"/>
    <col min="12" max="12" width="8.5" style="6" customWidth="1"/>
    <col min="13" max="13" width="11.1" style="6" customWidth="1"/>
    <col min="14" max="14" width="9.6" style="6" customWidth="1"/>
    <col min="15" max="15" width="7.9" style="6" customWidth="1"/>
    <col min="16" max="16384" width="9" style="6"/>
  </cols>
  <sheetData>
    <row r="1" s="1" customFormat="1" customHeight="1" spans="1:28">
      <c r="A1" s="7" t="s">
        <v>59</v>
      </c>
      <c r="B1" s="7"/>
      <c r="C1" s="7"/>
      <c r="D1" s="7"/>
      <c r="E1" s="7"/>
      <c r="F1" s="7"/>
      <c r="G1" s="7"/>
      <c r="H1" s="7"/>
      <c r="I1" s="7"/>
      <c r="J1" s="7"/>
      <c r="K1" s="8"/>
      <c r="L1" s="8"/>
      <c r="M1" s="8"/>
      <c r="N1" s="8"/>
      <c r="O1" s="8"/>
    </row>
    <row r="2" s="2" customFormat="1" customHeight="1" spans="1:28">
      <c r="A2" s="9" t="s">
        <v>595</v>
      </c>
      <c r="B2" s="9"/>
      <c r="C2" s="9"/>
      <c r="D2" s="9"/>
      <c r="E2" s="9"/>
      <c r="F2" s="9"/>
      <c r="G2" s="9"/>
      <c r="H2" s="9"/>
      <c r="I2" s="9"/>
      <c r="J2" s="9"/>
      <c r="K2" s="10"/>
      <c r="L2" s="10"/>
      <c r="M2" s="10"/>
      <c r="N2" s="10"/>
      <c r="O2" s="10"/>
    </row>
    <row r="3" customHeight="1" spans="1:28">
      <c r="A3" s="6" t="str">
        <f>底稿目录!A2</f>
        <v>被审计单位：</v>
      </c>
      <c r="D3" s="6" t="str">
        <f>底稿目录!A4</f>
        <v>编制人：</v>
      </c>
      <c r="F3" s="93"/>
      <c r="J3" s="6" t="str">
        <f>底稿目录!A6</f>
        <v>编制日期：</v>
      </c>
      <c r="N3" s="12" t="s">
        <v>61</v>
      </c>
      <c r="O3" s="13" t="s">
        <v>51</v>
      </c>
    </row>
    <row r="4" customHeight="1" spans="1:28">
      <c r="A4" s="6" t="str">
        <f>底稿目录!A3</f>
        <v>截止日：202X年12月31日</v>
      </c>
      <c r="D4" s="6" t="str">
        <f>底稿目录!A5</f>
        <v>复核人：</v>
      </c>
      <c r="F4" s="93"/>
      <c r="J4" s="6" t="str">
        <f>底稿目录!A7</f>
        <v>复核日期：</v>
      </c>
      <c r="N4" s="12" t="s">
        <v>62</v>
      </c>
      <c r="O4" s="14"/>
    </row>
    <row r="5" s="3" customFormat="1" customHeight="1" spans="1:28">
      <c r="A5" s="15" t="s">
        <v>569</v>
      </c>
      <c r="B5" s="16"/>
      <c r="C5" s="16"/>
      <c r="H5" s="17"/>
      <c r="K5" s="18"/>
      <c r="L5" s="94"/>
      <c r="V5" s="19"/>
      <c r="W5" s="19"/>
      <c r="X5" s="19"/>
      <c r="Y5" s="19"/>
      <c r="Z5" s="19"/>
      <c r="AA5" s="19"/>
      <c r="AB5" s="19"/>
    </row>
    <row r="6" customHeight="1" spans="1:28">
      <c r="A6" s="95" t="s">
        <v>274</v>
      </c>
      <c r="B6" s="93"/>
      <c r="G6" s="96"/>
      <c r="K6" s="97"/>
      <c r="L6" s="98"/>
      <c r="V6" s="99"/>
      <c r="W6" s="99"/>
      <c r="X6" s="99"/>
      <c r="Y6" s="99"/>
      <c r="Z6" s="99"/>
      <c r="AA6" s="99"/>
      <c r="AB6" s="99"/>
    </row>
    <row r="7" customHeight="1" spans="1:28">
      <c r="A7" s="5" t="s">
        <v>596</v>
      </c>
      <c r="G7" s="96"/>
    </row>
    <row r="8" customHeight="1" spans="1:28">
      <c r="A8" s="77" t="s">
        <v>547</v>
      </c>
      <c r="B8" s="100" t="s">
        <v>435</v>
      </c>
      <c r="C8" s="100"/>
      <c r="D8" s="100"/>
      <c r="E8" s="100"/>
      <c r="F8" s="100"/>
      <c r="G8" s="101"/>
      <c r="H8" s="100" t="s">
        <v>597</v>
      </c>
      <c r="I8" s="100"/>
      <c r="J8" s="100"/>
      <c r="K8" s="100"/>
      <c r="L8" s="100"/>
      <c r="M8" s="100"/>
      <c r="N8" s="78" t="s">
        <v>598</v>
      </c>
      <c r="O8" s="78" t="s">
        <v>8</v>
      </c>
    </row>
    <row r="9" ht="25.8" customHeight="1" spans="1:28">
      <c r="A9" s="77"/>
      <c r="B9" s="77" t="s">
        <v>599</v>
      </c>
      <c r="C9" s="77" t="s">
        <v>600</v>
      </c>
      <c r="D9" s="77" t="s">
        <v>601</v>
      </c>
      <c r="E9" s="77" t="s">
        <v>600</v>
      </c>
      <c r="F9" s="77" t="s">
        <v>602</v>
      </c>
      <c r="G9" s="77" t="s">
        <v>600</v>
      </c>
      <c r="H9" s="77" t="s">
        <v>603</v>
      </c>
      <c r="I9" s="77" t="s">
        <v>604</v>
      </c>
      <c r="J9" s="77" t="s">
        <v>605</v>
      </c>
      <c r="K9" s="77" t="s">
        <v>606</v>
      </c>
      <c r="L9" s="77" t="s">
        <v>607</v>
      </c>
      <c r="M9" s="77" t="s">
        <v>608</v>
      </c>
      <c r="N9" s="82"/>
      <c r="O9" s="82"/>
    </row>
    <row r="10" customHeight="1" spans="1:28">
      <c r="A10" s="102"/>
      <c r="B10" s="33"/>
      <c r="C10" s="103"/>
      <c r="D10" s="33"/>
      <c r="E10" s="103"/>
      <c r="F10" s="33"/>
      <c r="G10" s="103"/>
      <c r="H10" s="33"/>
      <c r="I10" s="33"/>
      <c r="J10" s="33"/>
      <c r="K10" s="33"/>
      <c r="L10" s="33"/>
      <c r="M10" s="104">
        <f>SUM(H10:L10)</f>
        <v>0</v>
      </c>
      <c r="N10" s="104">
        <f>IF(B10&gt;0,B10,IF(D10&gt;0,D10,F10))-M10</f>
        <v>0</v>
      </c>
      <c r="O10" s="105"/>
    </row>
    <row r="11" customHeight="1" spans="1:28">
      <c r="A11" s="102"/>
      <c r="B11" s="33"/>
      <c r="C11" s="103"/>
      <c r="D11" s="33"/>
      <c r="E11" s="103"/>
      <c r="F11" s="33"/>
      <c r="G11" s="103"/>
      <c r="H11" s="33"/>
      <c r="I11" s="33"/>
      <c r="J11" s="33"/>
      <c r="K11" s="33"/>
      <c r="L11" s="33"/>
      <c r="M11" s="104">
        <f>SUM(H11:L11)</f>
        <v>0</v>
      </c>
      <c r="N11" s="104">
        <f>IF(B11&gt;0,B11,IF(D11&gt;0,D11,F11))-M11</f>
        <v>0</v>
      </c>
      <c r="O11" s="105"/>
    </row>
    <row r="12" customHeight="1" spans="1:28">
      <c r="A12" s="102"/>
      <c r="B12" s="33"/>
      <c r="C12" s="103"/>
      <c r="D12" s="33"/>
      <c r="E12" s="103"/>
      <c r="F12" s="33"/>
      <c r="G12" s="103"/>
      <c r="H12" s="33"/>
      <c r="I12" s="33"/>
      <c r="J12" s="33"/>
      <c r="K12" s="33"/>
      <c r="L12" s="33"/>
      <c r="M12" s="104">
        <f>SUM(H12:L12)</f>
        <v>0</v>
      </c>
      <c r="N12" s="104">
        <f>IF(B12&gt;0,B12,IF(D12&gt;0,D12,F12))-M12</f>
        <v>0</v>
      </c>
      <c r="O12" s="105"/>
    </row>
    <row r="13" customHeight="1" spans="1:28">
      <c r="A13" s="77" t="s">
        <v>295</v>
      </c>
      <c r="B13" s="26">
        <f>SUM(B10:B12)</f>
        <v>0</v>
      </c>
      <c r="C13" s="106"/>
      <c r="D13" s="26">
        <f>SUM(D10:D12)</f>
        <v>0</v>
      </c>
      <c r="E13" s="106"/>
      <c r="F13" s="26">
        <f>SUM(F10:F12)</f>
        <v>0</v>
      </c>
      <c r="G13" s="106"/>
      <c r="H13" s="26">
        <f t="shared" ref="H13:N13" si="0">SUM(H10:H12)</f>
        <v>0</v>
      </c>
      <c r="I13" s="26">
        <f t="shared" si="0"/>
        <v>0</v>
      </c>
      <c r="J13" s="26">
        <f t="shared" si="0"/>
        <v>0</v>
      </c>
      <c r="K13" s="26">
        <f t="shared" si="0"/>
        <v>0</v>
      </c>
      <c r="L13" s="26">
        <f t="shared" si="0"/>
        <v>0</v>
      </c>
      <c r="M13" s="26">
        <f t="shared" si="0"/>
        <v>0</v>
      </c>
      <c r="N13" s="26">
        <f t="shared" si="0"/>
        <v>0</v>
      </c>
      <c r="O13" s="107"/>
    </row>
    <row r="14" s="92" customFormat="1" customHeight="1" spans="1:28">
      <c r="A14" s="108" t="s">
        <v>609</v>
      </c>
      <c r="B14" s="109"/>
      <c r="C14" s="109"/>
      <c r="D14" s="109"/>
      <c r="E14" s="109"/>
      <c r="F14" s="109"/>
      <c r="G14" s="109"/>
      <c r="H14" s="109"/>
      <c r="I14" s="109"/>
      <c r="J14" s="109"/>
      <c r="K14" s="109"/>
      <c r="L14" s="109"/>
      <c r="M14" s="109"/>
      <c r="N14" s="109"/>
      <c r="O14" s="110"/>
    </row>
    <row r="15" customHeight="1" spans="1:28">
      <c r="A15" s="5" t="s">
        <v>610</v>
      </c>
      <c r="G15" s="96"/>
    </row>
    <row r="16" customHeight="1" spans="1:28">
      <c r="A16" s="77" t="s">
        <v>611</v>
      </c>
      <c r="B16" s="100" t="s">
        <v>612</v>
      </c>
      <c r="C16" s="100"/>
      <c r="D16" s="100"/>
      <c r="E16" s="100"/>
      <c r="F16" s="100"/>
      <c r="G16" s="100" t="s">
        <v>613</v>
      </c>
      <c r="H16" s="100"/>
      <c r="I16" s="107" t="s">
        <v>614</v>
      </c>
      <c r="J16" s="107" t="s">
        <v>615</v>
      </c>
      <c r="K16" s="107" t="s">
        <v>616</v>
      </c>
      <c r="L16" s="77" t="s">
        <v>617</v>
      </c>
      <c r="M16" s="77"/>
      <c r="N16" s="77" t="s">
        <v>618</v>
      </c>
      <c r="O16" s="77" t="s">
        <v>8</v>
      </c>
    </row>
    <row r="17" customHeight="1" spans="1:15">
      <c r="A17" s="77"/>
      <c r="B17" s="77" t="s">
        <v>619</v>
      </c>
      <c r="C17" s="77" t="s">
        <v>620</v>
      </c>
      <c r="D17" s="77" t="s">
        <v>621</v>
      </c>
      <c r="E17" s="77" t="s">
        <v>622</v>
      </c>
      <c r="F17" s="77" t="s">
        <v>623</v>
      </c>
      <c r="G17" s="77" t="s">
        <v>624</v>
      </c>
      <c r="H17" s="77" t="s">
        <v>625</v>
      </c>
      <c r="I17" s="107"/>
      <c r="J17" s="107"/>
      <c r="K17" s="107"/>
      <c r="L17" s="77"/>
      <c r="M17" s="77"/>
      <c r="N17" s="77"/>
      <c r="O17" s="77"/>
    </row>
    <row r="18" customHeight="1" spans="1:15">
      <c r="A18" s="105" t="s">
        <v>626</v>
      </c>
      <c r="B18" s="33"/>
      <c r="C18" s="33"/>
      <c r="D18" s="33"/>
      <c r="E18" s="33"/>
      <c r="F18" s="33"/>
      <c r="G18" s="111">
        <f>F18</f>
        <v>0</v>
      </c>
      <c r="H18" s="112"/>
      <c r="I18" s="112"/>
      <c r="J18" s="112"/>
      <c r="K18" s="112"/>
      <c r="L18" s="113"/>
      <c r="M18" s="114"/>
      <c r="N18" s="115"/>
      <c r="O18" s="116"/>
    </row>
    <row r="19" customHeight="1" spans="1:15">
      <c r="A19" s="105" t="s">
        <v>627</v>
      </c>
      <c r="B19" s="111" t="e">
        <f>1/(1+$K$23)^1</f>
        <v>#DIV/0!</v>
      </c>
      <c r="C19" s="111" t="e">
        <f>1/(1+$K$23)^2</f>
        <v>#DIV/0!</v>
      </c>
      <c r="D19" s="111" t="e">
        <f>1/(1+$K$23)^3</f>
        <v>#DIV/0!</v>
      </c>
      <c r="E19" s="111" t="e">
        <f>1/(1+$K$23)^4</f>
        <v>#DIV/0!</v>
      </c>
      <c r="F19" s="111" t="e">
        <f>1/(1+$K$23)^5</f>
        <v>#DIV/0!</v>
      </c>
      <c r="G19" s="111" t="e">
        <f>(1+H18)/((K23-H18)*(1+K23)^5)</f>
        <v>#DIV/0!</v>
      </c>
      <c r="H19" s="117" t="s">
        <v>628</v>
      </c>
      <c r="I19" s="33"/>
      <c r="J19" s="118"/>
      <c r="K19" s="119"/>
      <c r="L19" s="115"/>
      <c r="M19" s="119"/>
      <c r="N19" s="115"/>
      <c r="O19" s="116"/>
    </row>
    <row r="20" customHeight="1" spans="1:15">
      <c r="A20" s="105" t="s">
        <v>629</v>
      </c>
      <c r="B20" s="111" t="e">
        <f t="shared" ref="B20:G20" si="1">B18*B19</f>
        <v>#DIV/0!</v>
      </c>
      <c r="C20" s="111" t="e">
        <f t="shared" si="1"/>
        <v>#DIV/0!</v>
      </c>
      <c r="D20" s="111" t="e">
        <f t="shared" si="1"/>
        <v>#DIV/0!</v>
      </c>
      <c r="E20" s="111" t="e">
        <f t="shared" si="1"/>
        <v>#DIV/0!</v>
      </c>
      <c r="F20" s="111" t="e">
        <f t="shared" si="1"/>
        <v>#DIV/0!</v>
      </c>
      <c r="G20" s="111" t="e">
        <f t="shared" si="1"/>
        <v>#DIV/0!</v>
      </c>
      <c r="H20" s="117" t="s">
        <v>630</v>
      </c>
      <c r="I20" s="33"/>
      <c r="J20" s="118"/>
      <c r="K20" s="119"/>
      <c r="L20" s="115"/>
      <c r="M20" s="119"/>
      <c r="N20" s="111" t="e">
        <f>SUM(B20:G20)</f>
        <v>#DIV/0!</v>
      </c>
      <c r="O20" s="116"/>
    </row>
    <row r="21" customHeight="1" spans="1:15">
      <c r="A21" s="77" t="s">
        <v>631</v>
      </c>
      <c r="B21" s="77" t="s">
        <v>632</v>
      </c>
      <c r="C21" s="77" t="s">
        <v>633</v>
      </c>
      <c r="D21" s="77" t="s">
        <v>634</v>
      </c>
      <c r="E21" s="77" t="s">
        <v>635</v>
      </c>
      <c r="F21" s="77" t="s">
        <v>636</v>
      </c>
      <c r="G21" s="77" t="s">
        <v>637</v>
      </c>
      <c r="H21" s="77" t="s">
        <v>638</v>
      </c>
      <c r="I21" s="77" t="s">
        <v>639</v>
      </c>
      <c r="J21" s="77" t="s">
        <v>640</v>
      </c>
      <c r="K21" s="77" t="s">
        <v>641</v>
      </c>
      <c r="L21" s="23" t="s">
        <v>642</v>
      </c>
      <c r="M21" s="23"/>
      <c r="N21" s="77" t="s">
        <v>573</v>
      </c>
      <c r="O21" s="77" t="s">
        <v>8</v>
      </c>
    </row>
    <row r="22" customHeight="1" spans="1:15">
      <c r="A22" s="77"/>
      <c r="B22" s="77" t="s">
        <v>643</v>
      </c>
      <c r="C22" s="77"/>
      <c r="D22" s="77"/>
      <c r="E22" s="77"/>
      <c r="F22" s="77"/>
      <c r="G22" s="77"/>
      <c r="H22" s="77"/>
      <c r="I22" s="77"/>
      <c r="J22" s="77"/>
      <c r="K22" s="77"/>
      <c r="L22" s="77" t="s">
        <v>644</v>
      </c>
      <c r="M22" s="120" t="s">
        <v>645</v>
      </c>
      <c r="N22" s="77"/>
      <c r="O22" s="77"/>
    </row>
    <row r="23" customHeight="1" spans="1:15">
      <c r="A23" s="105" t="s">
        <v>646</v>
      </c>
      <c r="B23" s="121"/>
      <c r="C23" s="33"/>
      <c r="D23" s="33"/>
      <c r="E23" s="122"/>
      <c r="F23" s="122"/>
      <c r="G23" s="103"/>
      <c r="H23" s="122"/>
      <c r="I23" s="111">
        <f>F23+G23*(H23-F23)</f>
        <v>0</v>
      </c>
      <c r="J23" s="111" t="e">
        <f>((C23*E23*(1-B23)+D23*I23))/(C23+D23)</f>
        <v>#DIV/0!</v>
      </c>
      <c r="K23" s="111" t="e">
        <f>J23/(1-(B23+L23))</f>
        <v>#DIV/0!</v>
      </c>
      <c r="L23" s="122"/>
      <c r="M23" s="123"/>
      <c r="N23" s="111" t="e">
        <f>MAX(N13,N20)</f>
        <v>#DIV/0!</v>
      </c>
      <c r="O23" s="121"/>
    </row>
    <row r="24" s="92" customFormat="1" customHeight="1" spans="1:15">
      <c r="A24" s="108" t="s">
        <v>609</v>
      </c>
      <c r="B24" s="109"/>
      <c r="C24" s="109"/>
      <c r="D24" s="109"/>
      <c r="E24" s="109"/>
      <c r="F24" s="109"/>
      <c r="G24" s="109"/>
      <c r="H24" s="109"/>
      <c r="I24" s="109"/>
      <c r="J24" s="109"/>
      <c r="K24" s="109"/>
      <c r="L24" s="109"/>
      <c r="M24" s="109"/>
      <c r="N24" s="109"/>
      <c r="O24" s="110"/>
    </row>
    <row r="25" s="92" customFormat="1" customHeight="1" spans="1:15">
      <c r="A25" s="5" t="s">
        <v>647</v>
      </c>
    </row>
    <row r="26" s="92" customFormat="1" customHeight="1" spans="1:15">
      <c r="A26" s="124"/>
      <c r="B26" s="125" t="e">
        <f>N23</f>
        <v>#DIV/0!</v>
      </c>
      <c r="C26" s="92" t="s">
        <v>648</v>
      </c>
    </row>
    <row r="27" s="92" customFormat="1" customHeight="1" spans="1:15">
      <c r="A27" s="126" t="s">
        <v>297</v>
      </c>
      <c r="B27" s="127"/>
    </row>
    <row r="28" s="92" customFormat="1" customHeight="1" spans="1:15">
      <c r="A28" s="124"/>
      <c r="B28" s="127"/>
    </row>
    <row r="29" s="92" customFormat="1" customHeight="1" spans="1:15">
      <c r="A29" s="124"/>
      <c r="B29" s="127"/>
    </row>
    <row r="30" s="92" customFormat="1" customHeight="1" spans="1:15">
      <c r="A30" s="126" t="s">
        <v>326</v>
      </c>
      <c r="B30" s="127"/>
    </row>
    <row r="31" s="92" customFormat="1" customHeight="1"/>
    <row r="32" s="92" customFormat="1" customHeight="1"/>
    <row r="33" s="92" customFormat="1" customHeight="1" spans="1:1">
      <c r="A33" s="128" t="s">
        <v>299</v>
      </c>
    </row>
    <row r="34" s="92" customFormat="1" customHeight="1" spans="1:1">
      <c r="A34" s="129" t="s">
        <v>649</v>
      </c>
    </row>
    <row r="35" s="92" customFormat="1" customHeight="1" spans="1:1">
      <c r="A35" s="129" t="s">
        <v>650</v>
      </c>
    </row>
    <row r="36" s="92" customFormat="1" customHeight="1" spans="1:1">
      <c r="A36" s="129" t="s">
        <v>651</v>
      </c>
    </row>
    <row r="37" s="92" customFormat="1" customHeight="1" spans="1:1">
      <c r="A37" s="129" t="s">
        <v>652</v>
      </c>
    </row>
    <row r="38" s="92" customFormat="1" customHeight="1" spans="1:1">
      <c r="A38" s="129" t="s">
        <v>653</v>
      </c>
    </row>
    <row r="39" s="92" customFormat="1" customHeight="1" spans="1:1">
      <c r="A39" s="129" t="s">
        <v>654</v>
      </c>
    </row>
    <row r="40" s="92" customFormat="1" customHeight="1" spans="1:1">
      <c r="A40" s="129" t="s">
        <v>655</v>
      </c>
    </row>
    <row r="41" s="92" customFormat="1" customHeight="1" spans="1:1">
      <c r="A41" s="129" t="s">
        <v>656</v>
      </c>
    </row>
    <row r="42" s="92" customFormat="1" customHeight="1" spans="1:1">
      <c r="A42" s="129" t="s">
        <v>657</v>
      </c>
    </row>
    <row r="43" s="92" customFormat="1" customHeight="1" spans="1:1">
      <c r="A43" s="129" t="s">
        <v>658</v>
      </c>
    </row>
    <row r="44" s="92" customFormat="1" customHeight="1" spans="1:1">
      <c r="A44" s="129" t="s">
        <v>659</v>
      </c>
    </row>
    <row r="45" s="92" customFormat="1" customHeight="1" spans="1:1">
      <c r="A45" s="129" t="s">
        <v>660</v>
      </c>
    </row>
    <row r="46" s="92" customFormat="1" customHeight="1" spans="1:1">
      <c r="A46" s="129" t="s">
        <v>661</v>
      </c>
    </row>
    <row r="47" s="92" customFormat="1" customHeight="1" spans="1:1">
      <c r="A47" s="129" t="s">
        <v>662</v>
      </c>
    </row>
    <row r="48" s="92" customFormat="1" customHeight="1" spans="1:1">
      <c r="A48" s="129" t="s">
        <v>663</v>
      </c>
    </row>
    <row r="49" s="92" customFormat="1" customHeight="1" spans="1:5">
      <c r="A49" s="129" t="s">
        <v>664</v>
      </c>
    </row>
    <row r="50" s="92" customFormat="1" customHeight="1" spans="1:5">
      <c r="A50" s="129" t="s">
        <v>665</v>
      </c>
    </row>
    <row r="51" s="92" customFormat="1" customHeight="1" spans="1:5">
      <c r="E51" s="47"/>
    </row>
    <row r="52" s="92" customFormat="1" customHeight="1"/>
    <row r="53" s="92" customFormat="1" customHeight="1"/>
    <row r="54" s="92" customFormat="1" customHeight="1"/>
    <row r="55" s="92" customFormat="1" customHeight="1" spans="1:5">
      <c r="A55" s="129"/>
    </row>
    <row r="56" s="92" customFormat="1" customHeight="1"/>
    <row r="57" s="92" customFormat="1" customHeight="1"/>
    <row r="58" s="92" customFormat="1" customHeight="1"/>
    <row r="59" s="92" customFormat="1" customHeight="1"/>
    <row r="60" s="92" customFormat="1" customHeight="1" spans="1:5">
      <c r="A60" s="130" t="s">
        <v>666</v>
      </c>
    </row>
    <row r="61" s="92" customFormat="1" customHeight="1" spans="1:5">
      <c r="A61" s="131" t="s">
        <v>589</v>
      </c>
    </row>
    <row r="62" s="92" customFormat="1" customHeight="1" spans="1:5">
      <c r="A62" s="131" t="s">
        <v>590</v>
      </c>
    </row>
    <row r="63" customHeight="1" spans="1:5">
      <c r="A63" s="131" t="s">
        <v>591</v>
      </c>
    </row>
    <row r="64" customHeight="1" spans="1:5">
      <c r="A64" s="131" t="s">
        <v>667</v>
      </c>
    </row>
    <row r="65" customHeight="1" spans="1:1">
      <c r="A65" s="131" t="s">
        <v>593</v>
      </c>
    </row>
  </sheetData>
  <mergeCells count="26">
    <mergeCell ref="A1:O1"/>
    <mergeCell ref="A2:O2"/>
    <mergeCell ref="L21:M21"/>
    <mergeCell ref="A8:A9"/>
    <mergeCell ref="A16:A17"/>
    <mergeCell ref="A21:A22"/>
    <mergeCell ref="C21:C22"/>
    <mergeCell ref="D21:D22"/>
    <mergeCell ref="E21:E22"/>
    <mergeCell ref="F21:F22"/>
    <mergeCell ref="G21:G22"/>
    <mergeCell ref="H21:H22"/>
    <mergeCell ref="I16:I17"/>
    <mergeCell ref="I21:I22"/>
    <mergeCell ref="J16:J17"/>
    <mergeCell ref="J21:J22"/>
    <mergeCell ref="K16:K17"/>
    <mergeCell ref="K21:K22"/>
    <mergeCell ref="N8:N9"/>
    <mergeCell ref="N16:N17"/>
    <mergeCell ref="N21:N22"/>
    <mergeCell ref="O8:O9"/>
    <mergeCell ref="O16:O17"/>
    <mergeCell ref="O18:O20"/>
    <mergeCell ref="O21:O22"/>
    <mergeCell ref="L16:M17"/>
  </mergeCells>
  <dataValidations count="2">
    <dataValidation allowBlank="1" showInputMessage="1" showErrorMessage="1" prompt="可使用万德（Wind）的WACC计算器取数。" sqref="E23:F23 H23"/>
    <dataValidation allowBlank="1" showInputMessage="1" showErrorMessage="1" prompt="可使用万德（Wind）的BETA计算器计算β系数。" sqref="G23"/>
  </dataValidations>
  <hyperlinks>
    <hyperlink ref="O3" location="底稿目录!A1" display="H3-11"/>
  </hyperlinks>
  <printOptions horizontalCentered="1"/>
  <pageMargins left="0.708661417322835" right="0.708661417322835" top="0.748031496062992" bottom="0.748031496062992" header="0.31496062992126" footer="0.31496062992126"/>
  <pageSetup paperSize="9" scale="75" fitToHeight="2" orientation="landscape" blackAndWhite="1"/>
  <headerFooter>
    <oddFooter>&amp;C&amp;P/&amp;N</oddFooter>
  </headerFooter>
  <drawing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pageSetUpPr fitToPage="1"/>
  </sheetPr>
  <dimension ref="A1:P23"/>
  <sheetViews>
    <sheetView view="pageBreakPreview" zoomScaleNormal="90" workbookViewId="0">
      <selection activeCell="K15" sqref="K15"/>
    </sheetView>
  </sheetViews>
  <sheetFormatPr defaultColWidth="9" defaultRowHeight="19.95" customHeight="1"/>
  <cols>
    <col min="1" max="1" width="5.6" style="6" customWidth="1"/>
    <col min="2" max="2" width="14" style="6" customWidth="1"/>
    <col min="3" max="3" width="9.5" style="6" customWidth="1"/>
    <col min="4" max="4" width="16" style="6" customWidth="1"/>
    <col min="5" max="5" width="14.5" style="6" customWidth="1"/>
    <col min="6" max="6" width="9.3" style="6" customWidth="1"/>
    <col min="7" max="7" width="14.5" style="6" customWidth="1"/>
    <col min="8" max="8" width="13.3" style="6" customWidth="1"/>
    <col min="9" max="9" width="14.5" style="6" customWidth="1"/>
    <col min="10" max="10" width="10.2" style="6" customWidth="1"/>
    <col min="11" max="11" width="13.5" style="6" customWidth="1"/>
    <col min="12" max="12" width="9" style="6" customWidth="1"/>
    <col min="13" max="13" width="9.6" style="6" customWidth="1"/>
    <col min="14" max="14" width="10.6" style="6" customWidth="1"/>
    <col min="15" max="15" width="11.8" style="6" customWidth="1"/>
    <col min="16" max="16" width="10" style="6" customWidth="1"/>
    <col min="17" max="16384" width="9" style="6"/>
  </cols>
  <sheetData>
    <row r="1" s="1" customFormat="1" customHeight="1" spans="1:16">
      <c r="A1" s="7" t="s">
        <v>59</v>
      </c>
      <c r="B1" s="7"/>
      <c r="C1" s="7"/>
      <c r="D1" s="7"/>
      <c r="E1" s="7"/>
      <c r="F1" s="7"/>
      <c r="G1" s="7"/>
      <c r="H1" s="7"/>
      <c r="I1" s="7"/>
      <c r="J1" s="7"/>
      <c r="K1" s="8"/>
      <c r="L1" s="8"/>
      <c r="M1" s="8"/>
      <c r="N1" s="8"/>
      <c r="O1" s="8"/>
      <c r="P1" s="8"/>
    </row>
    <row r="2" s="2" customFormat="1" customHeight="1" spans="1:16">
      <c r="A2" s="9" t="s">
        <v>668</v>
      </c>
      <c r="B2" s="9"/>
      <c r="C2" s="9"/>
      <c r="D2" s="9"/>
      <c r="E2" s="9"/>
      <c r="F2" s="9"/>
      <c r="G2" s="9"/>
      <c r="H2" s="9"/>
      <c r="I2" s="9"/>
      <c r="J2" s="9"/>
      <c r="K2" s="10"/>
      <c r="L2" s="10"/>
      <c r="M2" s="10"/>
      <c r="N2" s="10"/>
      <c r="O2" s="10"/>
      <c r="P2" s="10"/>
    </row>
    <row r="3" customHeight="1" spans="1:16">
      <c r="A3" s="6" t="str">
        <f>底稿目录!A2</f>
        <v>被审计单位：</v>
      </c>
      <c r="F3" s="6" t="str">
        <f>底稿目录!A4</f>
        <v>编制人：</v>
      </c>
      <c r="J3" s="11"/>
      <c r="K3" s="6" t="str">
        <f>底稿目录!A6</f>
        <v>编制日期：</v>
      </c>
      <c r="O3" s="12" t="s">
        <v>61</v>
      </c>
      <c r="P3" s="13" t="str">
        <f>底稿目录!F22</f>
        <v>H3-12</v>
      </c>
    </row>
    <row r="4" customHeight="1" spans="1:16">
      <c r="A4" s="6" t="str">
        <f>底稿目录!A3</f>
        <v>截止日：202X年12月31日</v>
      </c>
      <c r="F4" s="6" t="str">
        <f>底稿目录!A5</f>
        <v>复核人：</v>
      </c>
      <c r="J4" s="11"/>
      <c r="K4" s="6" t="str">
        <f>底稿目录!A7</f>
        <v>复核日期：</v>
      </c>
      <c r="O4" s="12" t="s">
        <v>62</v>
      </c>
      <c r="P4" s="14"/>
    </row>
    <row r="5" s="70" customFormat="1" customHeight="1" spans="1:16">
      <c r="A5" s="15" t="s">
        <v>669</v>
      </c>
      <c r="B5" s="15"/>
      <c r="C5" s="72"/>
      <c r="D5" s="72"/>
      <c r="E5" s="73"/>
      <c r="F5" s="73"/>
      <c r="G5" s="73"/>
      <c r="H5" s="73"/>
      <c r="I5" s="73"/>
      <c r="J5" s="73"/>
      <c r="K5" s="73"/>
      <c r="L5" s="73"/>
      <c r="M5" s="73"/>
      <c r="N5" s="73"/>
      <c r="O5" s="73"/>
      <c r="P5" s="73"/>
    </row>
    <row r="6" s="71" customFormat="1" customHeight="1" spans="1:16">
      <c r="A6" s="74" t="s">
        <v>670</v>
      </c>
      <c r="B6" s="75"/>
      <c r="C6" s="75"/>
      <c r="D6" s="76" t="s">
        <v>671</v>
      </c>
      <c r="E6" s="75"/>
      <c r="F6" s="75"/>
      <c r="G6" s="75"/>
      <c r="H6" s="75"/>
      <c r="I6" s="75"/>
      <c r="J6" s="75"/>
      <c r="K6" s="75"/>
      <c r="L6" s="75"/>
      <c r="M6" s="75"/>
      <c r="N6" s="75"/>
      <c r="O6" s="75"/>
      <c r="P6" s="75"/>
    </row>
    <row r="7" s="5" customFormat="1" customHeight="1" spans="1:16">
      <c r="A7" s="77" t="s">
        <v>5</v>
      </c>
      <c r="B7" s="77" t="s">
        <v>672</v>
      </c>
      <c r="C7" s="77"/>
      <c r="D7" s="77"/>
      <c r="E7" s="77"/>
      <c r="F7" s="77"/>
      <c r="G7" s="77" t="s">
        <v>673</v>
      </c>
      <c r="H7" s="77"/>
      <c r="I7" s="77"/>
      <c r="J7" s="77"/>
      <c r="K7" s="78" t="s">
        <v>674</v>
      </c>
      <c r="L7" s="79" t="s">
        <v>675</v>
      </c>
      <c r="M7" s="80"/>
      <c r="N7" s="80"/>
      <c r="O7" s="80"/>
      <c r="P7" s="81"/>
    </row>
    <row r="8" s="5" customFormat="1" ht="26" spans="1:16">
      <c r="A8" s="77"/>
      <c r="B8" s="77" t="s">
        <v>676</v>
      </c>
      <c r="C8" s="77" t="s">
        <v>548</v>
      </c>
      <c r="D8" s="77" t="s">
        <v>677</v>
      </c>
      <c r="E8" s="77" t="s">
        <v>678</v>
      </c>
      <c r="F8" s="77" t="s">
        <v>436</v>
      </c>
      <c r="G8" s="77" t="s">
        <v>679</v>
      </c>
      <c r="H8" s="77" t="s">
        <v>680</v>
      </c>
      <c r="I8" s="77" t="s">
        <v>681</v>
      </c>
      <c r="J8" s="77" t="s">
        <v>682</v>
      </c>
      <c r="K8" s="82"/>
      <c r="L8" s="83" t="s">
        <v>283</v>
      </c>
      <c r="M8" s="84" t="s">
        <v>683</v>
      </c>
      <c r="N8" s="84" t="s">
        <v>684</v>
      </c>
      <c r="O8" s="84" t="s">
        <v>685</v>
      </c>
      <c r="P8" s="77" t="s">
        <v>7</v>
      </c>
    </row>
    <row r="9" customHeight="1" spans="1:16">
      <c r="A9" s="85">
        <v>1</v>
      </c>
      <c r="B9" s="86"/>
      <c r="C9" s="87"/>
      <c r="D9" s="86"/>
      <c r="E9" s="86"/>
      <c r="F9" s="88"/>
      <c r="G9" s="86"/>
      <c r="H9" s="87"/>
      <c r="I9" s="87"/>
      <c r="J9" s="86"/>
      <c r="K9" s="86"/>
      <c r="L9" s="86"/>
      <c r="M9" s="88"/>
      <c r="N9" s="88"/>
      <c r="O9" s="86"/>
      <c r="P9" s="87"/>
    </row>
    <row r="10" customHeight="1" spans="1:16">
      <c r="A10" s="85">
        <v>2</v>
      </c>
      <c r="B10" s="86"/>
      <c r="C10" s="87"/>
      <c r="D10" s="86"/>
      <c r="E10" s="86"/>
      <c r="F10" s="88"/>
      <c r="G10" s="86"/>
      <c r="H10" s="87"/>
      <c r="I10" s="87"/>
      <c r="J10" s="86"/>
      <c r="K10" s="86"/>
      <c r="L10" s="86"/>
      <c r="M10" s="88"/>
      <c r="N10" s="88"/>
      <c r="O10" s="86"/>
      <c r="P10" s="87"/>
    </row>
    <row r="11" customHeight="1" spans="1:16">
      <c r="A11" s="85">
        <v>3</v>
      </c>
      <c r="B11" s="86"/>
      <c r="C11" s="87"/>
      <c r="D11" s="86"/>
      <c r="E11" s="86"/>
      <c r="F11" s="88"/>
      <c r="G11" s="86"/>
      <c r="H11" s="87"/>
      <c r="I11" s="87"/>
      <c r="J11" s="86"/>
      <c r="K11" s="86"/>
      <c r="L11" s="86"/>
      <c r="M11" s="88"/>
      <c r="N11" s="88"/>
      <c r="O11" s="86"/>
      <c r="P11" s="87"/>
    </row>
    <row r="12" customHeight="1" spans="1:16">
      <c r="A12" s="85">
        <v>4</v>
      </c>
      <c r="B12" s="86"/>
      <c r="C12" s="87"/>
      <c r="D12" s="86"/>
      <c r="E12" s="86"/>
      <c r="F12" s="88"/>
      <c r="G12" s="86"/>
      <c r="H12" s="87"/>
      <c r="I12" s="87"/>
      <c r="J12" s="86"/>
      <c r="K12" s="86"/>
      <c r="L12" s="86"/>
      <c r="M12" s="88"/>
      <c r="N12" s="88"/>
      <c r="O12" s="86"/>
      <c r="P12" s="87"/>
    </row>
    <row r="13" customHeight="1" spans="1:16">
      <c r="A13" s="85" t="s">
        <v>586</v>
      </c>
      <c r="B13" s="86"/>
      <c r="C13" s="87"/>
      <c r="D13" s="86"/>
      <c r="E13" s="86"/>
      <c r="F13" s="88"/>
      <c r="G13" s="86"/>
      <c r="H13" s="87"/>
      <c r="I13" s="87"/>
      <c r="J13" s="86"/>
      <c r="K13" s="86"/>
      <c r="L13" s="86"/>
      <c r="M13" s="88"/>
      <c r="N13" s="88"/>
      <c r="O13" s="86"/>
      <c r="P13" s="87"/>
    </row>
    <row r="14" customHeight="1" spans="1:16">
      <c r="A14" s="5" t="s">
        <v>297</v>
      </c>
    </row>
    <row r="16" customHeight="1" spans="1:16">
      <c r="A16" s="5" t="s">
        <v>369</v>
      </c>
    </row>
    <row r="20" customHeight="1" spans="1:1">
      <c r="A20" s="89" t="s">
        <v>299</v>
      </c>
    </row>
    <row r="21" customHeight="1" spans="1:1">
      <c r="A21" s="90" t="s">
        <v>686</v>
      </c>
    </row>
    <row r="22" customHeight="1" spans="1:1">
      <c r="A22" s="91" t="s">
        <v>687</v>
      </c>
    </row>
    <row r="23" customHeight="1" spans="1:1">
      <c r="A23" s="91" t="s">
        <v>688</v>
      </c>
    </row>
  </sheetData>
  <mergeCells count="7">
    <mergeCell ref="A1:P1"/>
    <mergeCell ref="A2:P2"/>
    <mergeCell ref="B7:F7"/>
    <mergeCell ref="G7:J7"/>
    <mergeCell ref="L7:P7"/>
    <mergeCell ref="A7:A8"/>
    <mergeCell ref="K7:K8"/>
  </mergeCells>
  <dataValidations count="1">
    <dataValidation type="list" allowBlank="1" showInputMessage="1" showErrorMessage="1" sqref="J9:J13 L9:L13">
      <formula1>"√,×"</formula1>
    </dataValidation>
  </dataValidations>
  <hyperlinks>
    <hyperlink ref="P3" location="底稿目录!A1" display="=底稿目录!F22"/>
  </hyperlinks>
  <printOptions horizontalCentered="1"/>
  <pageMargins left="0.708661417322835" right="0.708661417322835" top="0.748031496062992" bottom="0.748031496062992" header="0.31496062992126" footer="0.31496062992126"/>
  <pageSetup paperSize="9" scale="66" orientation="landscape" blackAndWhite="1"/>
  <headerFooter>
    <oddFooter>&amp;C&amp;P/&amp;N</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36"/>
  <sheetViews>
    <sheetView view="pageBreakPreview" zoomScale="85" zoomScaleNormal="100" topLeftCell="A14" workbookViewId="0">
      <selection activeCell="B12" sqref="B12"/>
    </sheetView>
  </sheetViews>
  <sheetFormatPr defaultColWidth="9" defaultRowHeight="19.95" customHeight="1"/>
  <cols>
    <col min="1" max="1" width="20.3" style="47" customWidth="1"/>
    <col min="2" max="2" width="20" style="47" customWidth="1"/>
    <col min="3" max="3" width="16.9" style="47" customWidth="1"/>
    <col min="4" max="4" width="10.1" style="47" customWidth="1"/>
    <col min="5" max="5" width="12.6" style="47" customWidth="1"/>
    <col min="6" max="6" width="13.6" style="47" customWidth="1"/>
    <col min="7" max="7" width="12.6" style="47" customWidth="1"/>
    <col min="8" max="8" width="13.5" style="47" customWidth="1"/>
    <col min="9" max="9" width="8.8" style="47"/>
    <col min="10" max="10" width="15.5" style="47" customWidth="1"/>
    <col min="11" max="16384" width="8.8" style="47"/>
  </cols>
  <sheetData>
    <row r="1" s="44" customFormat="1" customHeight="1" spans="1:11">
      <c r="A1" s="48" t="s">
        <v>59</v>
      </c>
      <c r="B1" s="48"/>
      <c r="C1" s="48"/>
      <c r="D1" s="48"/>
      <c r="E1" s="48"/>
      <c r="F1" s="48"/>
      <c r="G1" s="48"/>
      <c r="H1" s="48"/>
      <c r="I1" s="48"/>
      <c r="J1" s="48"/>
    </row>
    <row r="2" s="45" customFormat="1" customHeight="1" spans="1:11">
      <c r="A2" s="49" t="s">
        <v>689</v>
      </c>
      <c r="B2" s="49"/>
      <c r="C2" s="49"/>
      <c r="D2" s="49"/>
      <c r="E2" s="49"/>
      <c r="F2" s="49"/>
      <c r="G2" s="49"/>
      <c r="H2" s="49"/>
      <c r="I2" s="49"/>
      <c r="J2" s="49"/>
    </row>
    <row r="3" customHeight="1" spans="1:11">
      <c r="A3" s="50" t="str">
        <f>底稿目录!A2</f>
        <v>被审计单位：</v>
      </c>
      <c r="B3" s="50"/>
      <c r="C3" s="50"/>
      <c r="D3" s="50" t="str">
        <f>底稿目录!A4</f>
        <v>编制人：</v>
      </c>
      <c r="E3" s="51"/>
      <c r="F3" s="50"/>
      <c r="G3" s="50" t="str">
        <f>底稿目录!A6</f>
        <v>编制日期：</v>
      </c>
      <c r="H3" s="50"/>
      <c r="I3" s="12" t="s">
        <v>61</v>
      </c>
      <c r="J3" s="13" t="str">
        <f>底稿目录!F23</f>
        <v>H3-13</v>
      </c>
    </row>
    <row r="4" customHeight="1" spans="1:11">
      <c r="A4" s="50" t="str">
        <f>底稿目录!A3</f>
        <v>截止日：202X年12月31日</v>
      </c>
      <c r="B4" s="50"/>
      <c r="C4" s="50"/>
      <c r="D4" s="50" t="str">
        <f>底稿目录!A5</f>
        <v>复核人：</v>
      </c>
      <c r="E4" s="51"/>
      <c r="F4" s="50"/>
      <c r="G4" s="50" t="str">
        <f>底稿目录!A7</f>
        <v>复核日期：</v>
      </c>
      <c r="H4" s="50"/>
      <c r="I4" s="12" t="s">
        <v>62</v>
      </c>
      <c r="J4" s="14"/>
    </row>
    <row r="5" customHeight="1" spans="1:11">
      <c r="A5" s="52" t="s">
        <v>307</v>
      </c>
      <c r="B5" s="52"/>
      <c r="C5" s="52"/>
      <c r="D5" s="53"/>
      <c r="E5" s="53"/>
      <c r="F5" s="53"/>
      <c r="G5" s="54"/>
      <c r="H5" s="54"/>
      <c r="I5" s="54"/>
      <c r="J5" s="55"/>
    </row>
    <row r="6" s="46" customFormat="1" ht="54" customHeight="1" spans="1:11">
      <c r="A6" s="56" t="s">
        <v>690</v>
      </c>
      <c r="B6" s="56"/>
      <c r="C6" s="56"/>
      <c r="D6" s="56"/>
      <c r="E6" s="56"/>
      <c r="F6" s="56"/>
      <c r="G6" s="56"/>
      <c r="H6" s="56"/>
      <c r="I6" s="56"/>
      <c r="J6" s="56"/>
    </row>
    <row r="7" customHeight="1" spans="1:11">
      <c r="A7" s="52" t="s">
        <v>670</v>
      </c>
      <c r="B7" s="54"/>
      <c r="C7" s="54"/>
      <c r="D7" s="57"/>
      <c r="E7" s="53"/>
      <c r="F7" s="53"/>
      <c r="G7" s="54"/>
      <c r="H7" s="54"/>
      <c r="I7" s="54"/>
      <c r="J7" s="54"/>
    </row>
    <row r="8" customHeight="1" spans="1:11">
      <c r="A8" s="54" t="s">
        <v>691</v>
      </c>
      <c r="B8" s="55"/>
      <c r="C8" s="58"/>
      <c r="D8" s="57"/>
      <c r="E8" s="53"/>
      <c r="F8" s="53"/>
      <c r="G8" s="54"/>
      <c r="H8" s="54"/>
      <c r="I8" s="54"/>
      <c r="J8" s="54"/>
      <c r="K8" s="59"/>
    </row>
    <row r="9" ht="26" spans="1:11">
      <c r="A9" s="60" t="s">
        <v>692</v>
      </c>
      <c r="B9" s="60" t="s">
        <v>693</v>
      </c>
      <c r="C9" s="60" t="s">
        <v>694</v>
      </c>
      <c r="D9" s="60" t="s">
        <v>695</v>
      </c>
      <c r="E9" s="60" t="s">
        <v>696</v>
      </c>
      <c r="F9" s="60" t="s">
        <v>697</v>
      </c>
      <c r="G9" s="61" t="s">
        <v>698</v>
      </c>
      <c r="H9" s="61" t="s">
        <v>699</v>
      </c>
      <c r="I9" s="61" t="s">
        <v>8</v>
      </c>
      <c r="J9" s="61" t="s">
        <v>7</v>
      </c>
    </row>
    <row r="10" customHeight="1" spans="1:11">
      <c r="A10" s="62"/>
      <c r="B10" s="63"/>
      <c r="C10" s="62"/>
      <c r="D10" s="62"/>
      <c r="E10" s="64"/>
      <c r="F10" s="36"/>
      <c r="G10" s="62"/>
      <c r="H10" s="65"/>
      <c r="I10" s="62"/>
      <c r="J10" s="66"/>
    </row>
    <row r="11" customHeight="1" spans="1:11">
      <c r="A11" s="62"/>
      <c r="B11" s="63"/>
      <c r="C11" s="62"/>
      <c r="D11" s="62"/>
      <c r="E11" s="64"/>
      <c r="F11" s="36"/>
      <c r="G11" s="62"/>
      <c r="H11" s="65"/>
      <c r="I11" s="62"/>
      <c r="J11" s="66"/>
    </row>
    <row r="12" customHeight="1" spans="1:11">
      <c r="A12" s="62"/>
      <c r="B12" s="63"/>
      <c r="C12" s="62"/>
      <c r="D12" s="62"/>
      <c r="E12" s="64"/>
      <c r="F12" s="36"/>
      <c r="G12" s="62"/>
      <c r="H12" s="65"/>
      <c r="I12" s="62"/>
      <c r="J12" s="66"/>
    </row>
    <row r="13" customHeight="1" spans="1:11">
      <c r="A13" s="62"/>
      <c r="B13" s="63"/>
      <c r="C13" s="62"/>
      <c r="D13" s="62"/>
      <c r="E13" s="64"/>
      <c r="F13" s="36"/>
      <c r="G13" s="62"/>
      <c r="H13" s="65"/>
      <c r="I13" s="62"/>
      <c r="J13" s="66"/>
    </row>
    <row r="14" customHeight="1" spans="1:11">
      <c r="A14" s="62"/>
      <c r="B14" s="63"/>
      <c r="C14" s="62"/>
      <c r="D14" s="62"/>
      <c r="E14" s="64"/>
      <c r="F14" s="36"/>
      <c r="G14" s="62"/>
      <c r="H14" s="65"/>
      <c r="I14" s="62"/>
      <c r="J14" s="66"/>
    </row>
    <row r="15" customHeight="1" spans="1:11">
      <c r="A15" s="62"/>
      <c r="B15" s="63"/>
      <c r="C15" s="62"/>
      <c r="D15" s="62"/>
      <c r="E15" s="64"/>
      <c r="F15" s="36"/>
      <c r="G15" s="62"/>
      <c r="H15" s="65"/>
      <c r="I15" s="62"/>
      <c r="J15" s="66"/>
    </row>
    <row r="16" customHeight="1" spans="1:11">
      <c r="A16" s="62"/>
      <c r="B16" s="63"/>
      <c r="C16" s="62"/>
      <c r="D16" s="62"/>
      <c r="E16" s="64"/>
      <c r="F16" s="36"/>
      <c r="G16" s="62"/>
      <c r="H16" s="65"/>
      <c r="I16" s="62"/>
      <c r="J16" s="66"/>
    </row>
    <row r="18" customHeight="1" spans="1:1">
      <c r="A18" s="52" t="s">
        <v>700</v>
      </c>
    </row>
    <row r="22" customHeight="1" spans="1:1">
      <c r="A22" s="52" t="s">
        <v>701</v>
      </c>
    </row>
    <row r="26" customHeight="1" spans="1:1">
      <c r="A26" s="67" t="s">
        <v>702</v>
      </c>
    </row>
    <row r="27" customHeight="1" spans="1:1">
      <c r="A27" s="67" t="s">
        <v>703</v>
      </c>
    </row>
    <row r="28" customHeight="1" spans="1:1">
      <c r="A28" s="68" t="s">
        <v>704</v>
      </c>
    </row>
    <row r="29" customHeight="1" spans="1:1">
      <c r="A29" s="68" t="s">
        <v>705</v>
      </c>
    </row>
    <row r="30" customHeight="1" spans="1:1">
      <c r="A30" s="68" t="s">
        <v>706</v>
      </c>
    </row>
    <row r="31" customHeight="1" spans="1:1">
      <c r="A31" s="68" t="s">
        <v>707</v>
      </c>
    </row>
    <row r="32" customHeight="1" spans="1:1">
      <c r="A32" s="68" t="s">
        <v>708</v>
      </c>
    </row>
    <row r="33" customHeight="1" spans="1:1">
      <c r="A33" s="68" t="s">
        <v>709</v>
      </c>
    </row>
    <row r="34" customHeight="1" spans="1:1">
      <c r="A34" s="68" t="s">
        <v>710</v>
      </c>
    </row>
    <row r="35" customHeight="1" spans="1:1">
      <c r="A35" s="68" t="s">
        <v>711</v>
      </c>
    </row>
    <row r="36" customHeight="1" spans="1:1">
      <c r="A36" s="69"/>
    </row>
  </sheetData>
  <mergeCells count="3">
    <mergeCell ref="A1:J1"/>
    <mergeCell ref="A2:J2"/>
    <mergeCell ref="A6:J6"/>
  </mergeCells>
  <dataValidations count="1">
    <dataValidation type="list" allowBlank="1" showInputMessage="1" showErrorMessage="1" sqref="B10:B16">
      <formula1>$A$28:$A$35</formula1>
    </dataValidation>
  </dataValidations>
  <hyperlinks>
    <hyperlink ref="J3" location="底稿目录!A1" display="=底稿目录!F23"/>
  </hyperlinks>
  <printOptions horizontalCentered="1"/>
  <pageMargins left="0.708661417322835" right="0.708661417322835" top="0.748031496062992" bottom="0.748031496062992" header="0.31496062992126" footer="0.31496062992126"/>
  <pageSetup paperSize="9" scale="85" orientation="landscape" blackAndWhite="1"/>
  <headerFooter>
    <oddFooter>&amp;C&amp;P/&amp;N</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5">
    <pageSetUpPr fitToPage="1"/>
  </sheetPr>
  <dimension ref="A1:AA39"/>
  <sheetViews>
    <sheetView view="pageBreakPreview" zoomScaleNormal="90" workbookViewId="0">
      <selection activeCell="Y12" sqref="Y12"/>
    </sheetView>
  </sheetViews>
  <sheetFormatPr defaultColWidth="9" defaultRowHeight="19.95" customHeight="1"/>
  <cols>
    <col min="1" max="1" width="17.5" style="6" customWidth="1"/>
    <col min="2" max="2" width="11.1" style="6" customWidth="1"/>
    <col min="3" max="3" width="8.1" style="6" customWidth="1"/>
    <col min="4" max="4" width="10.1" style="6" customWidth="1"/>
    <col min="5" max="5" width="11.5" style="6" customWidth="1"/>
    <col min="6" max="6" width="10.9" style="6" customWidth="1"/>
    <col min="7" max="7" width="10.1" style="6" customWidth="1"/>
    <col min="8" max="8" width="12.3" style="6" customWidth="1"/>
    <col min="9" max="9" width="12.4" style="6" customWidth="1"/>
    <col min="10" max="10" width="10" style="6" customWidth="1"/>
    <col min="11" max="11" width="9.1" style="6" customWidth="1"/>
    <col min="12" max="12" width="9.8" style="6" customWidth="1"/>
    <col min="13" max="16384" width="9" style="6"/>
  </cols>
  <sheetData>
    <row r="1" s="1" customFormat="1" customHeight="1" spans="1:27">
      <c r="A1" s="7" t="s">
        <v>59</v>
      </c>
      <c r="B1" s="7"/>
      <c r="C1" s="7"/>
      <c r="D1" s="7"/>
      <c r="E1" s="7"/>
      <c r="F1" s="7"/>
      <c r="G1" s="7"/>
      <c r="H1" s="7"/>
      <c r="I1" s="7"/>
      <c r="J1" s="7"/>
      <c r="K1" s="8"/>
      <c r="L1" s="8"/>
      <c r="M1" s="8"/>
      <c r="N1" s="8"/>
      <c r="O1" s="8"/>
      <c r="P1" s="8"/>
      <c r="Q1" s="8"/>
      <c r="R1" s="8"/>
      <c r="S1" s="8"/>
      <c r="T1" s="8"/>
      <c r="U1" s="8"/>
    </row>
    <row r="2" s="2" customFormat="1" customHeight="1" spans="1:27">
      <c r="A2" s="9" t="s">
        <v>712</v>
      </c>
      <c r="B2" s="9"/>
      <c r="C2" s="9"/>
      <c r="D2" s="9"/>
      <c r="E2" s="9"/>
      <c r="F2" s="9"/>
      <c r="G2" s="9"/>
      <c r="H2" s="9"/>
      <c r="I2" s="9"/>
      <c r="J2" s="9"/>
      <c r="K2" s="10"/>
      <c r="L2" s="10"/>
      <c r="M2" s="10"/>
      <c r="N2" s="10"/>
      <c r="O2" s="10"/>
      <c r="P2" s="10"/>
      <c r="Q2" s="10"/>
      <c r="R2" s="10"/>
      <c r="S2" s="10"/>
      <c r="T2" s="10"/>
      <c r="U2" s="10"/>
    </row>
    <row r="3" customHeight="1" spans="1:27">
      <c r="A3" s="6" t="str">
        <f>底稿目录!A2</f>
        <v>被审计单位：</v>
      </c>
      <c r="G3" s="6" t="str">
        <f>底稿目录!A4</f>
        <v>编制人：</v>
      </c>
      <c r="I3" s="11"/>
      <c r="L3" s="6" t="str">
        <f>底稿目录!A6</f>
        <v>编制日期：</v>
      </c>
      <c r="T3" s="12" t="s">
        <v>61</v>
      </c>
      <c r="U3" s="13" t="s">
        <v>58</v>
      </c>
    </row>
    <row r="4" customHeight="1" spans="1:27">
      <c r="A4" s="6" t="str">
        <f>底稿目录!A3</f>
        <v>截止日：202X年12月31日</v>
      </c>
      <c r="G4" s="6" t="str">
        <f>底稿目录!A5</f>
        <v>复核人：</v>
      </c>
      <c r="I4" s="11"/>
      <c r="L4" s="6" t="str">
        <f>底稿目录!A7</f>
        <v>复核日期：</v>
      </c>
      <c r="T4" s="12" t="s">
        <v>62</v>
      </c>
      <c r="U4" s="14"/>
    </row>
    <row r="5" s="3" customFormat="1" customHeight="1" spans="1:27">
      <c r="A5" s="15" t="s">
        <v>471</v>
      </c>
      <c r="B5" s="16"/>
      <c r="H5" s="17"/>
      <c r="L5" s="18"/>
      <c r="V5" s="19"/>
      <c r="W5" s="19"/>
      <c r="X5" s="19"/>
      <c r="Y5" s="19"/>
      <c r="Z5" s="19"/>
      <c r="AA5" s="19"/>
    </row>
    <row r="6" s="3" customFormat="1" customHeight="1" spans="1:27">
      <c r="A6" s="20" t="s">
        <v>713</v>
      </c>
      <c r="B6" s="21"/>
      <c r="H6" s="17"/>
      <c r="L6" s="18"/>
      <c r="V6" s="19"/>
      <c r="W6" s="19"/>
      <c r="X6" s="19"/>
      <c r="Y6" s="19"/>
      <c r="Z6" s="19"/>
      <c r="AA6" s="19"/>
    </row>
    <row r="7" s="4" customFormat="1" customHeight="1" spans="1:27">
      <c r="A7" s="22" t="s">
        <v>570</v>
      </c>
      <c r="B7" s="22" t="s">
        <v>714</v>
      </c>
      <c r="C7" s="22" t="s">
        <v>715</v>
      </c>
      <c r="D7" s="22" t="s">
        <v>716</v>
      </c>
      <c r="E7" s="22" t="s">
        <v>717</v>
      </c>
      <c r="F7" s="22" t="s">
        <v>718</v>
      </c>
      <c r="G7" s="22" t="s">
        <v>719</v>
      </c>
      <c r="H7" s="22" t="s">
        <v>720</v>
      </c>
      <c r="I7" s="22" t="s">
        <v>721</v>
      </c>
      <c r="J7" s="22" t="s">
        <v>722</v>
      </c>
      <c r="K7" s="22" t="s">
        <v>506</v>
      </c>
      <c r="L7" s="22" t="s">
        <v>723</v>
      </c>
      <c r="M7" s="23" t="s">
        <v>724</v>
      </c>
      <c r="N7" s="23"/>
      <c r="O7" s="23"/>
      <c r="P7" s="23"/>
      <c r="Q7" s="23"/>
      <c r="R7" s="23"/>
      <c r="S7" s="23"/>
      <c r="T7" s="23"/>
      <c r="U7" s="23"/>
    </row>
    <row r="8" s="4" customFormat="1" customHeight="1" spans="1:27">
      <c r="A8" s="24"/>
      <c r="B8" s="24"/>
      <c r="C8" s="24"/>
      <c r="D8" s="24"/>
      <c r="E8" s="24"/>
      <c r="F8" s="24"/>
      <c r="G8" s="24"/>
      <c r="H8" s="24"/>
      <c r="I8" s="24"/>
      <c r="J8" s="24"/>
      <c r="K8" s="24"/>
      <c r="L8" s="24"/>
      <c r="M8" s="23" t="s">
        <v>725</v>
      </c>
      <c r="N8" s="23" t="s">
        <v>726</v>
      </c>
      <c r="O8" s="23" t="s">
        <v>727</v>
      </c>
      <c r="P8" s="23" t="s">
        <v>728</v>
      </c>
      <c r="Q8" s="23" t="s">
        <v>729</v>
      </c>
      <c r="R8" s="23" t="s">
        <v>30</v>
      </c>
      <c r="S8" s="23" t="s">
        <v>30</v>
      </c>
      <c r="T8" s="23" t="s">
        <v>30</v>
      </c>
      <c r="U8" s="23" t="s">
        <v>295</v>
      </c>
    </row>
    <row r="9" s="4" customFormat="1" customHeight="1" spans="1:27">
      <c r="A9" s="25" t="s">
        <v>453</v>
      </c>
      <c r="B9" s="26"/>
      <c r="C9" s="26"/>
      <c r="D9" s="27"/>
      <c r="E9" s="27"/>
      <c r="F9" s="26"/>
      <c r="G9" s="27"/>
      <c r="H9" s="26">
        <f>SUM(H10:H13)</f>
        <v>0</v>
      </c>
      <c r="I9" s="26">
        <f>SUM(I10:I13)</f>
        <v>0</v>
      </c>
      <c r="J9" s="26">
        <f>SUM(J10:J13)</f>
        <v>0</v>
      </c>
      <c r="K9" s="26"/>
      <c r="L9" s="25"/>
      <c r="M9" s="28">
        <f>SUM(M10:M13)</f>
        <v>0</v>
      </c>
      <c r="N9" s="28">
        <f t="shared" ref="N9:T9" si="0">SUM(N10:N13)</f>
        <v>0</v>
      </c>
      <c r="O9" s="28">
        <f t="shared" si="0"/>
        <v>0</v>
      </c>
      <c r="P9" s="28">
        <f t="shared" si="0"/>
        <v>0</v>
      </c>
      <c r="Q9" s="28">
        <f t="shared" si="0"/>
        <v>0</v>
      </c>
      <c r="R9" s="28">
        <f t="shared" si="0"/>
        <v>0</v>
      </c>
      <c r="S9" s="28">
        <f t="shared" si="0"/>
        <v>0</v>
      </c>
      <c r="T9" s="28">
        <f t="shared" si="0"/>
        <v>0</v>
      </c>
      <c r="U9" s="29">
        <f>SUM(M9:T9)</f>
        <v>0</v>
      </c>
    </row>
    <row r="10" customHeight="1" spans="1:27">
      <c r="A10" s="30"/>
      <c r="B10" s="30"/>
      <c r="C10" s="31"/>
      <c r="D10" s="32"/>
      <c r="E10" s="32"/>
      <c r="F10" s="33"/>
      <c r="G10" s="32"/>
      <c r="H10" s="34">
        <f>F10*G10</f>
        <v>0</v>
      </c>
      <c r="I10" s="32"/>
      <c r="J10" s="34">
        <f>H10-I10</f>
        <v>0</v>
      </c>
      <c r="K10" s="30"/>
      <c r="L10" s="35"/>
      <c r="M10" s="36"/>
      <c r="N10" s="36"/>
      <c r="O10" s="36"/>
      <c r="P10" s="36"/>
      <c r="Q10" s="36"/>
      <c r="R10" s="36"/>
      <c r="S10" s="36"/>
      <c r="T10" s="36"/>
      <c r="U10" s="37">
        <f t="shared" ref="U10:U18" si="1">SUM(M10:T10)</f>
        <v>0</v>
      </c>
    </row>
    <row r="11" customHeight="1" spans="1:27">
      <c r="A11" s="30"/>
      <c r="B11" s="30"/>
      <c r="C11" s="31"/>
      <c r="D11" s="32"/>
      <c r="E11" s="32"/>
      <c r="F11" s="33"/>
      <c r="G11" s="32"/>
      <c r="H11" s="34">
        <f>F11*G11</f>
        <v>0</v>
      </c>
      <c r="I11" s="32"/>
      <c r="J11" s="34">
        <f>H11-I11</f>
        <v>0</v>
      </c>
      <c r="K11" s="30"/>
      <c r="L11" s="35"/>
      <c r="M11" s="36"/>
      <c r="N11" s="36"/>
      <c r="O11" s="36"/>
      <c r="P11" s="36"/>
      <c r="Q11" s="36"/>
      <c r="R11" s="36"/>
      <c r="S11" s="36"/>
      <c r="T11" s="36"/>
      <c r="U11" s="37">
        <f t="shared" si="1"/>
        <v>0</v>
      </c>
    </row>
    <row r="12" customHeight="1" spans="1:27">
      <c r="A12" s="30"/>
      <c r="B12" s="30"/>
      <c r="C12" s="31"/>
      <c r="D12" s="32"/>
      <c r="E12" s="32"/>
      <c r="F12" s="33"/>
      <c r="G12" s="32"/>
      <c r="H12" s="34">
        <f>F12*G12</f>
        <v>0</v>
      </c>
      <c r="I12" s="32"/>
      <c r="J12" s="34">
        <f>H12-I12</f>
        <v>0</v>
      </c>
      <c r="K12" s="30"/>
      <c r="L12" s="35"/>
      <c r="M12" s="36"/>
      <c r="N12" s="36"/>
      <c r="O12" s="36"/>
      <c r="P12" s="36"/>
      <c r="Q12" s="36"/>
      <c r="R12" s="36"/>
      <c r="S12" s="36"/>
      <c r="T12" s="36"/>
      <c r="U12" s="37">
        <f t="shared" si="1"/>
        <v>0</v>
      </c>
    </row>
    <row r="13" s="5" customFormat="1" customHeight="1" spans="1:27">
      <c r="A13" s="30"/>
      <c r="B13" s="30"/>
      <c r="C13" s="31"/>
      <c r="D13" s="32"/>
      <c r="E13" s="32"/>
      <c r="F13" s="33"/>
      <c r="G13" s="32"/>
      <c r="H13" s="34">
        <f>F13*G13</f>
        <v>0</v>
      </c>
      <c r="I13" s="32"/>
      <c r="J13" s="34">
        <f>H13-I13</f>
        <v>0</v>
      </c>
      <c r="K13" s="30"/>
      <c r="L13" s="35"/>
      <c r="M13" s="36"/>
      <c r="N13" s="36"/>
      <c r="O13" s="36"/>
      <c r="P13" s="36"/>
      <c r="Q13" s="36"/>
      <c r="R13" s="36"/>
      <c r="S13" s="36"/>
      <c r="T13" s="36"/>
      <c r="U13" s="37">
        <f t="shared" si="1"/>
        <v>0</v>
      </c>
    </row>
    <row r="14" s="5" customFormat="1" customHeight="1" spans="1:27">
      <c r="A14" s="25" t="s">
        <v>454</v>
      </c>
      <c r="B14" s="38"/>
      <c r="C14" s="38"/>
      <c r="D14" s="29"/>
      <c r="E14" s="29"/>
      <c r="F14" s="38"/>
      <c r="G14" s="29"/>
      <c r="H14" s="27">
        <f>SUM(H15:H18)</f>
        <v>0</v>
      </c>
      <c r="I14" s="27">
        <f>SUM(I15:I18)</f>
        <v>0</v>
      </c>
      <c r="J14" s="27">
        <f>SUM(J15:J18)</f>
        <v>0</v>
      </c>
      <c r="K14" s="26"/>
      <c r="L14" s="25"/>
      <c r="M14" s="29">
        <f>SUM(M15:M18)</f>
        <v>0</v>
      </c>
      <c r="N14" s="29">
        <f t="shared" ref="N14:T14" si="2">SUM(N15:N18)</f>
        <v>0</v>
      </c>
      <c r="O14" s="29">
        <f t="shared" si="2"/>
        <v>0</v>
      </c>
      <c r="P14" s="29">
        <f t="shared" si="2"/>
        <v>0</v>
      </c>
      <c r="Q14" s="29">
        <f t="shared" si="2"/>
        <v>0</v>
      </c>
      <c r="R14" s="29">
        <f t="shared" si="2"/>
        <v>0</v>
      </c>
      <c r="S14" s="29">
        <f t="shared" si="2"/>
        <v>0</v>
      </c>
      <c r="T14" s="29">
        <f t="shared" si="2"/>
        <v>0</v>
      </c>
      <c r="U14" s="29">
        <f t="shared" si="1"/>
        <v>0</v>
      </c>
    </row>
    <row r="15" customHeight="1" spans="1:27">
      <c r="A15" s="30"/>
      <c r="B15" s="30"/>
      <c r="C15" s="31"/>
      <c r="D15" s="32"/>
      <c r="E15" s="32"/>
      <c r="F15" s="33"/>
      <c r="G15" s="32"/>
      <c r="H15" s="34">
        <f>F15*G15</f>
        <v>0</v>
      </c>
      <c r="I15" s="32"/>
      <c r="J15" s="34">
        <f>H15-I15</f>
        <v>0</v>
      </c>
      <c r="K15" s="30"/>
      <c r="L15" s="35"/>
      <c r="M15" s="36"/>
      <c r="N15" s="36"/>
      <c r="O15" s="36"/>
      <c r="P15" s="36"/>
      <c r="Q15" s="36"/>
      <c r="R15" s="36"/>
      <c r="S15" s="36"/>
      <c r="T15" s="36"/>
      <c r="U15" s="37">
        <f t="shared" si="1"/>
        <v>0</v>
      </c>
    </row>
    <row r="16" customHeight="1" spans="1:27">
      <c r="A16" s="30"/>
      <c r="B16" s="30"/>
      <c r="C16" s="31"/>
      <c r="D16" s="32"/>
      <c r="E16" s="32"/>
      <c r="F16" s="33"/>
      <c r="G16" s="32"/>
      <c r="H16" s="34">
        <f>F16*G16</f>
        <v>0</v>
      </c>
      <c r="I16" s="32"/>
      <c r="J16" s="34">
        <f>H16-I16</f>
        <v>0</v>
      </c>
      <c r="K16" s="30"/>
      <c r="L16" s="35"/>
      <c r="M16" s="36"/>
      <c r="N16" s="36"/>
      <c r="O16" s="36"/>
      <c r="P16" s="36"/>
      <c r="Q16" s="36"/>
      <c r="R16" s="36"/>
      <c r="S16" s="36"/>
      <c r="T16" s="36"/>
      <c r="U16" s="37">
        <f t="shared" si="1"/>
        <v>0</v>
      </c>
    </row>
    <row r="17" customHeight="1" spans="1:21">
      <c r="A17" s="30"/>
      <c r="B17" s="30"/>
      <c r="C17" s="31"/>
      <c r="D17" s="32"/>
      <c r="E17" s="32"/>
      <c r="F17" s="33"/>
      <c r="G17" s="32"/>
      <c r="H17" s="34">
        <f>F17*G17</f>
        <v>0</v>
      </c>
      <c r="I17" s="32"/>
      <c r="J17" s="34">
        <f>H17-I17</f>
        <v>0</v>
      </c>
      <c r="K17" s="30"/>
      <c r="L17" s="35"/>
      <c r="M17" s="36"/>
      <c r="N17" s="36"/>
      <c r="O17" s="36"/>
      <c r="P17" s="36"/>
      <c r="Q17" s="36"/>
      <c r="R17" s="36"/>
      <c r="S17" s="36"/>
      <c r="T17" s="36"/>
      <c r="U17" s="37">
        <f t="shared" si="1"/>
        <v>0</v>
      </c>
    </row>
    <row r="18" customHeight="1" spans="1:21">
      <c r="A18" s="30"/>
      <c r="B18" s="30"/>
      <c r="C18" s="31"/>
      <c r="D18" s="32"/>
      <c r="E18" s="32"/>
      <c r="F18" s="33"/>
      <c r="G18" s="32"/>
      <c r="H18" s="34">
        <f>F18*G18</f>
        <v>0</v>
      </c>
      <c r="I18" s="32"/>
      <c r="J18" s="34">
        <f>H18-I18</f>
        <v>0</v>
      </c>
      <c r="K18" s="30"/>
      <c r="L18" s="35"/>
      <c r="M18" s="36"/>
      <c r="N18" s="36"/>
      <c r="O18" s="36"/>
      <c r="P18" s="36"/>
      <c r="Q18" s="36"/>
      <c r="R18" s="36"/>
      <c r="S18" s="36"/>
      <c r="T18" s="36"/>
      <c r="U18" s="37">
        <f t="shared" si="1"/>
        <v>0</v>
      </c>
    </row>
    <row r="19" s="5" customFormat="1" customHeight="1" spans="1:21">
      <c r="A19" s="38" t="s">
        <v>295</v>
      </c>
      <c r="B19" s="38"/>
      <c r="C19" s="38"/>
      <c r="D19" s="29">
        <f>SUM(D9:D18)</f>
        <v>0</v>
      </c>
      <c r="E19" s="38"/>
      <c r="F19" s="38"/>
      <c r="G19" s="29">
        <f>SUM(G9:G18)</f>
        <v>0</v>
      </c>
      <c r="H19" s="27">
        <f>H14+H9</f>
        <v>0</v>
      </c>
      <c r="I19" s="27">
        <f>I14+I9</f>
        <v>0</v>
      </c>
      <c r="J19" s="27">
        <f>J14+J9</f>
        <v>0</v>
      </c>
      <c r="K19" s="38"/>
      <c r="L19" s="38"/>
      <c r="M19" s="29">
        <f>M14+M9</f>
        <v>0</v>
      </c>
      <c r="N19" s="29">
        <f t="shared" ref="N19:U19" si="3">N14+N9</f>
        <v>0</v>
      </c>
      <c r="O19" s="29">
        <f t="shared" si="3"/>
        <v>0</v>
      </c>
      <c r="P19" s="29">
        <f t="shared" si="3"/>
        <v>0</v>
      </c>
      <c r="Q19" s="29">
        <f t="shared" si="3"/>
        <v>0</v>
      </c>
      <c r="R19" s="29">
        <f t="shared" si="3"/>
        <v>0</v>
      </c>
      <c r="S19" s="29">
        <f t="shared" si="3"/>
        <v>0</v>
      </c>
      <c r="T19" s="29">
        <f t="shared" si="3"/>
        <v>0</v>
      </c>
      <c r="U19" s="29">
        <f t="shared" si="3"/>
        <v>0</v>
      </c>
    </row>
    <row r="20" customHeight="1" spans="1:21">
      <c r="A20" s="39" t="s">
        <v>297</v>
      </c>
      <c r="B20" s="40"/>
      <c r="C20" s="40"/>
      <c r="D20" s="40"/>
      <c r="E20" s="40"/>
      <c r="F20" s="40"/>
      <c r="G20" s="40"/>
      <c r="H20" s="40"/>
      <c r="I20" s="40"/>
      <c r="J20" s="40"/>
      <c r="K20" s="40"/>
      <c r="L20" s="40"/>
    </row>
    <row r="21" customHeight="1" spans="1:21">
      <c r="A21" s="41" t="s">
        <v>730</v>
      </c>
    </row>
    <row r="23" customHeight="1" spans="1:21">
      <c r="A23" s="5" t="s">
        <v>369</v>
      </c>
    </row>
    <row r="27" customHeight="1" spans="1:21">
      <c r="A27" s="42"/>
    </row>
    <row r="28" customHeight="1" spans="1:21">
      <c r="A28" s="43"/>
    </row>
    <row r="29" customHeight="1" spans="1:21">
      <c r="A29" s="43"/>
    </row>
    <row r="30" customHeight="1" spans="1:21">
      <c r="A30" s="43"/>
    </row>
    <row r="31" customHeight="1" spans="1:21">
      <c r="A31" s="43"/>
    </row>
    <row r="32" customHeight="1" spans="1:21">
      <c r="A32" s="43"/>
    </row>
    <row r="33" customHeight="1" spans="1:1">
      <c r="A33" s="43"/>
    </row>
    <row r="34" customHeight="1" spans="1:1">
      <c r="A34" s="43"/>
    </row>
    <row r="35" customHeight="1" spans="1:1">
      <c r="A35" s="43"/>
    </row>
    <row r="36" customHeight="1" spans="1:1">
      <c r="A36" s="43"/>
    </row>
    <row r="37" customHeight="1" spans="1:1">
      <c r="A37" s="43"/>
    </row>
    <row r="39" customHeight="1" spans="1:1">
      <c r="A39" s="43"/>
    </row>
  </sheetData>
  <mergeCells count="15">
    <mergeCell ref="A1:U1"/>
    <mergeCell ref="A2:U2"/>
    <mergeCell ref="M7:U7"/>
    <mergeCell ref="A7:A8"/>
    <mergeCell ref="B7:B8"/>
    <mergeCell ref="C7:C8"/>
    <mergeCell ref="D7:D8"/>
    <mergeCell ref="E7:E8"/>
    <mergeCell ref="F7:F8"/>
    <mergeCell ref="G7:G8"/>
    <mergeCell ref="H7:H8"/>
    <mergeCell ref="I7:I8"/>
    <mergeCell ref="J7:J8"/>
    <mergeCell ref="K7:K8"/>
    <mergeCell ref="L7:L8"/>
  </mergeCells>
  <hyperlinks>
    <hyperlink ref="U3" location="底稿目录!A1" display="H3-14"/>
  </hyperlinks>
  <printOptions horizontalCentered="1"/>
  <pageMargins left="0.708661417322835" right="0.708661417322835" top="0.748031496062992" bottom="0.748031496062992" header="0.31496062992126" footer="0.31496062992126"/>
  <pageSetup paperSize="9" scale="57" orientation="landscape" blackAndWhite="1"/>
  <headerFooter>
    <oddFooter>&amp;C&amp;P/&amp;N</oddFooter>
  </headerFooter>
</worksheet>
</file>

<file path=docProps/app.xml><?xml version="1.0" encoding="utf-8"?>
<Properties xmlns="http://schemas.openxmlformats.org/officeDocument/2006/extended-properties" xmlns:vt="http://schemas.openxmlformats.org/officeDocument/2006/docPropsVTypes">
  <Company>Grant Thornton International</Company>
  <Application>Microsoft Excel</Application>
  <HeadingPairs>
    <vt:vector size="2" baseType="variant">
      <vt:variant>
        <vt:lpstr>工作表</vt:lpstr>
      </vt:variant>
      <vt:variant>
        <vt:i4>22</vt:i4>
      </vt:variant>
    </vt:vector>
  </HeadingPairs>
  <TitlesOfParts>
    <vt:vector size="22" baseType="lpstr">
      <vt:lpstr>底稿目录</vt:lpstr>
      <vt:lpstr>投资性房地产实质性程序表H3A</vt:lpstr>
      <vt:lpstr>审定表（成本模式）H3-1</vt:lpstr>
      <vt:lpstr>审定表（公允价值模式）H3-1</vt:lpstr>
      <vt:lpstr>附注披露信息（上市公司）</vt:lpstr>
      <vt:lpstr>附注披露信息（国有企业）</vt:lpstr>
      <vt:lpstr>明细表（成本模式）H3-2</vt:lpstr>
      <vt:lpstr>明细表（公允价值模式）H3-2</vt:lpstr>
      <vt:lpstr>调整分录汇总H3-3</vt:lpstr>
      <vt:lpstr>会计政策会计估计检查表H3-4</vt:lpstr>
      <vt:lpstr>增减检查表（成本模式）H3-5</vt:lpstr>
      <vt:lpstr>增减检查表（公允价值模式）H3-5</vt:lpstr>
      <vt:lpstr>互转审核表H3-6</vt:lpstr>
      <vt:lpstr>折旧测算表（成本模式不含减值）H3-7</vt:lpstr>
      <vt:lpstr>折旧测算表（成本模式含减值）H3-7</vt:lpstr>
      <vt:lpstr>公允价值复核表H3-8</vt:lpstr>
      <vt:lpstr>盘点检查表H3-9</vt:lpstr>
      <vt:lpstr>减值测算表H3-10</vt:lpstr>
      <vt:lpstr>可收回金额测试表H3-11</vt:lpstr>
      <vt:lpstr>产权核对表H3-12</vt:lpstr>
      <vt:lpstr>关联交易检查表H3-13</vt:lpstr>
      <vt:lpstr>租金收入测算表H3-14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Birdie Bai 白璐</dc:creator>
  <cp:lastModifiedBy>杨志</cp:lastModifiedBy>
  <dcterms:created xsi:type="dcterms:W3CDTF">2013-12-07T07:41:00Z</dcterms:created>
  <cp:lastPrinted>2025-10-21T01:54:00Z</cp:lastPrinted>
  <dcterms:modified xsi:type="dcterms:W3CDTF">2026-07-21T09:10:17Z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AE496CAB14E04EA5AB785AFCF6D1B508_12</vt:lpwstr>
  </property>
  <property fmtid="{D5CDD505-2E9C-101B-9397-08002B2CF9AE}" pid="3" name="KSOProductBuildVer">
    <vt:lpwstr>2052-12.1.0.26895</vt:lpwstr>
  </property>
  <property fmtid="{D5CDD505-2E9C-101B-9397-08002B2CF9AE}" pid="4" name="CalculationRule">
    <vt:i4>0</vt:i4>
  </property>
</Properties>
</file>