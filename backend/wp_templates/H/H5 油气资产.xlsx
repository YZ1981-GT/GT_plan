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53"/>
  </bookViews>
  <sheets>
    <sheet name="底稿目录" sheetId="18" r:id="rId1"/>
    <sheet name="油气资产实质性程序表H5A" sheetId="32" r:id="rId2"/>
    <sheet name="审定表H5-1" sheetId="1" r:id="rId3"/>
    <sheet name="附注披露信息（上市公司）" sheetId="2" r:id="rId4"/>
    <sheet name="附注披露信息（国有企业）" sheetId="3" r:id="rId5"/>
    <sheet name="明细表H5-2" sheetId="4" r:id="rId6"/>
    <sheet name="调整分录汇总H5-3" sheetId="30" r:id="rId7"/>
    <sheet name="闲置检查表H5-4" sheetId="6" r:id="rId8"/>
    <sheet name="会计政策会计估计检查表H5-5" sheetId="24" r:id="rId9"/>
    <sheet name="分析表H5-6" sheetId="8" r:id="rId10"/>
    <sheet name="增加检查表H5-7" sheetId="9" r:id="rId11"/>
    <sheet name="减少检查表H5-8" sheetId="10" r:id="rId12"/>
    <sheet name="监盘计划H5-9" sheetId="25" r:id="rId13"/>
    <sheet name="盘点检查表H5-10" sheetId="15" r:id="rId14"/>
    <sheet name="监盘小结H5-11" sheetId="16" r:id="rId15"/>
    <sheet name="折耗测算表（不含减值）H5-12" sheetId="11" r:id="rId16"/>
    <sheet name="折耗测算表（含减值）H5-12" sheetId="12" r:id="rId17"/>
    <sheet name="折耗分配分析表H5-13" sheetId="22" r:id="rId18"/>
    <sheet name="减值测算表H5-14" sheetId="19" r:id="rId19"/>
    <sheet name="可收回金额测试表H5-15" sheetId="13" r:id="rId20"/>
    <sheet name="权属检查表H5-16" sheetId="23" r:id="rId21"/>
    <sheet name="关联交易检查表H5-17" sheetId="28" r:id="rId22"/>
    <sheet name="经营租出油气资产检查表H5-18" sheetId="20" r:id="rId23"/>
    <sheet name="融资租出油气资产检查表H5-19" sheetId="27" r:id="rId24"/>
  </sheets>
  <definedNames>
    <definedName name="_xlnm._FilterDatabase" localSheetId="1" hidden="1">油气资产实质性程序表H5A!$A$16:$L$35</definedName>
    <definedName name="_xlnm.Print_Area" localSheetId="6">'调整分录汇总H5-3'!$A$1:$J$22</definedName>
    <definedName name="_xlnm.Print_Area" localSheetId="9">'分析表H5-6'!$A$1:$H$20</definedName>
    <definedName name="_xlnm.Print_Area" localSheetId="4">'附注披露信息（国有企业）'!$A$1:$E$24</definedName>
    <definedName name="_xlnm.Print_Area" localSheetId="3">'附注披露信息（上市公司）'!$A$1:$G$38</definedName>
    <definedName name="_xlnm.Print_Area" localSheetId="21">'关联交易检查表H5-17'!$A$1:$O$30</definedName>
    <definedName name="_xlnm.Print_Area" localSheetId="8">'会计政策会计估计检查表H5-5'!$A$1:$K$35</definedName>
    <definedName name="_xlnm.Print_Area" localSheetId="12">'监盘计划H5-9'!$A$1:$I$59</definedName>
    <definedName name="_xlnm.Print_Area" localSheetId="11">'减少检查表H5-8'!$A$1:$W$39</definedName>
    <definedName name="_xlnm.Print_Area" localSheetId="18">'减值测算表H5-14'!$A$1:$L$26</definedName>
    <definedName name="_xlnm.Print_Area" localSheetId="22">'经营租出油气资产检查表H5-18'!$A$1:$N$25</definedName>
    <definedName name="_xlnm.Print_Area" localSheetId="19">'可收回金额测试表H5-15'!$A$1:$O$30</definedName>
    <definedName name="_xlnm.Print_Area" localSheetId="5">'明细表H5-2'!$A$1:$BB$44</definedName>
    <definedName name="_xlnm.Print_Area" localSheetId="13">'盘点检查表H5-10'!$A$1:$M$51</definedName>
    <definedName name="_xlnm.Print_Area" localSheetId="20">'权属检查表H5-16'!$A$1:$U$22</definedName>
    <definedName name="_xlnm.Print_Area" localSheetId="23">'融资租出油气资产检查表H5-19'!$A$1:$L$55</definedName>
    <definedName name="_xlnm.Print_Area" localSheetId="2">'审定表H5-1'!$A$1:$I$56</definedName>
    <definedName name="_xlnm.Print_Area" localSheetId="7">'闲置检查表H5-4'!$A$1:$H$31</definedName>
    <definedName name="_xlnm.Print_Area" localSheetId="1">油气资产实质性程序表H5A!$A$1:$I$35</definedName>
    <definedName name="_xlnm.Print_Area" localSheetId="10">'增加检查表H5-7'!$A$1:$W$37</definedName>
    <definedName name="_xlnm.Print_Area" localSheetId="15">'折耗测算表（不含减值）H5-12'!$A$1:$S$37</definedName>
    <definedName name="_xlnm.Print_Area" localSheetId="16">'折耗测算表（含减值）H5-12'!$A$1:$Y$40</definedName>
    <definedName name="_xlnm.Print_Area" localSheetId="17">'折耗分配分析表H5-13'!$A$1:$J$20</definedName>
    <definedName name="_xlnm.Print_Titles" localSheetId="5">'明细表H5-2'!$A:$C,'明细表H5-2'!$1:$4</definedName>
    <definedName name="_xlnm.Print_Titles" localSheetId="1">油气资产实质性程序表H5A!$15:$16</definedName>
    <definedName name="_xlnm.Print_Titles" localSheetId="15">'折耗测算表（不含减值）H5-12'!$7:$8</definedName>
    <definedName name="_xlnm.Print_Titles" localSheetId="16">'折耗测算表（含减值）H5-12'!$7:$8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 i="10" l="1"/>
  <c r="O21" i="10"/>
  <c r="L22" i="10"/>
  <c r="O22" i="10"/>
  <c r="L23" i="10"/>
  <c r="O23" i="10" s="1"/>
  <c r="L24" i="10"/>
  <c r="O24" i="10"/>
  <c r="L25" i="10"/>
  <c r="O25" i="10"/>
  <c r="L26" i="10"/>
  <c r="O26" i="10"/>
  <c r="L27" i="10"/>
  <c r="O27" i="10" s="1"/>
  <c r="L28" i="10"/>
  <c r="O28" i="10"/>
  <c r="L20" i="9"/>
  <c r="L21" i="9"/>
  <c r="L22" i="9"/>
  <c r="L23" i="9"/>
  <c r="L24" i="9"/>
  <c r="L25" i="9"/>
  <c r="L26" i="9"/>
  <c r="L27" i="9"/>
  <c r="D5" i="18"/>
  <c r="I33" i="10" l="1"/>
  <c r="B13" i="13" l="1"/>
  <c r="L26" i="12" l="1"/>
  <c r="M26" i="12"/>
  <c r="L27" i="12"/>
  <c r="M27" i="12"/>
  <c r="L28" i="12"/>
  <c r="M28" i="12" s="1"/>
  <c r="L29" i="12"/>
  <c r="M29" i="12"/>
  <c r="L30" i="12"/>
  <c r="M30" i="12"/>
  <c r="L31" i="12"/>
  <c r="M31" i="12"/>
  <c r="L32" i="12"/>
  <c r="M32" i="12" s="1"/>
  <c r="L33" i="12"/>
  <c r="M33" i="12" s="1"/>
  <c r="R9" i="12"/>
  <c r="J34" i="15" l="1"/>
  <c r="K34" i="15"/>
  <c r="L34" i="15"/>
  <c r="J35" i="15"/>
  <c r="K35" i="15"/>
  <c r="L35" i="15"/>
  <c r="J36" i="15"/>
  <c r="K36" i="15"/>
  <c r="L36" i="15"/>
  <c r="J37" i="15"/>
  <c r="K37" i="15"/>
  <c r="L37" i="15"/>
  <c r="J38" i="15"/>
  <c r="K38" i="15"/>
  <c r="L38" i="15"/>
  <c r="J39" i="15"/>
  <c r="K39" i="15"/>
  <c r="L39" i="15"/>
  <c r="J40" i="15"/>
  <c r="K40" i="15"/>
  <c r="L40" i="15"/>
  <c r="J41" i="15"/>
  <c r="K41" i="15"/>
  <c r="L41" i="15"/>
  <c r="J42" i="15"/>
  <c r="K42" i="15"/>
  <c r="L42" i="15"/>
  <c r="J43" i="15"/>
  <c r="K43" i="15"/>
  <c r="L43" i="15"/>
  <c r="L33" i="15"/>
  <c r="K33" i="15"/>
  <c r="J33" i="15"/>
  <c r="L17" i="15"/>
  <c r="L18" i="15"/>
  <c r="L19" i="15"/>
  <c r="L20" i="15"/>
  <c r="L21" i="15"/>
  <c r="L22" i="15"/>
  <c r="L23" i="15"/>
  <c r="L24" i="15"/>
  <c r="L25" i="15"/>
  <c r="L26" i="15"/>
  <c r="L16" i="15"/>
  <c r="K17" i="15"/>
  <c r="K18" i="15"/>
  <c r="K19" i="15"/>
  <c r="K20" i="15"/>
  <c r="K21" i="15"/>
  <c r="K22" i="15"/>
  <c r="K23" i="15"/>
  <c r="K24" i="15"/>
  <c r="K25" i="15"/>
  <c r="K26" i="15"/>
  <c r="K16" i="15"/>
  <c r="J17" i="15"/>
  <c r="J18" i="15"/>
  <c r="J19" i="15"/>
  <c r="J20" i="15"/>
  <c r="J21" i="15"/>
  <c r="J22" i="15"/>
  <c r="J23" i="15"/>
  <c r="J24" i="15"/>
  <c r="J25" i="15"/>
  <c r="J26" i="15"/>
  <c r="J16" i="15"/>
  <c r="E11" i="8"/>
  <c r="E12" i="8"/>
  <c r="E13" i="8"/>
  <c r="E14" i="8"/>
  <c r="E15" i="8"/>
  <c r="E16" i="8"/>
  <c r="E10" i="8"/>
  <c r="E27" i="6"/>
  <c r="F27" i="6"/>
  <c r="AN33" i="4"/>
  <c r="AO33" i="4"/>
  <c r="Y33" i="4"/>
  <c r="Z33" i="4"/>
  <c r="M44" i="15" l="1"/>
  <c r="L44" i="15"/>
  <c r="K44" i="15"/>
  <c r="J44" i="15"/>
  <c r="H44" i="15"/>
  <c r="G44" i="15"/>
  <c r="G46" i="15" s="1"/>
  <c r="F44" i="15"/>
  <c r="I44" i="15" l="1"/>
  <c r="H20" i="28" l="1"/>
  <c r="H25" i="28"/>
  <c r="H24" i="28"/>
  <c r="H23" i="28"/>
  <c r="H22" i="28"/>
  <c r="H21" i="28"/>
  <c r="E4" i="32" l="1"/>
  <c r="C4" i="32"/>
  <c r="A4" i="32"/>
  <c r="E3" i="32"/>
  <c r="C3" i="32"/>
  <c r="A3" i="32"/>
  <c r="B29" i="27" l="1"/>
  <c r="B33" i="27"/>
  <c r="I22" i="27"/>
  <c r="B22" i="27"/>
  <c r="L10" i="20"/>
  <c r="K10" i="20"/>
  <c r="Q9" i="23" l="1"/>
  <c r="I23" i="13"/>
  <c r="J23" i="13" s="1"/>
  <c r="K23" i="13" s="1"/>
  <c r="G10" i="19"/>
  <c r="H10" i="19" s="1"/>
  <c r="J10" i="19" s="1"/>
  <c r="D20" i="19"/>
  <c r="F34" i="12"/>
  <c r="G34" i="12"/>
  <c r="K34" i="12"/>
  <c r="E34" i="12"/>
  <c r="L28" i="11" l="1"/>
  <c r="K25" i="11"/>
  <c r="L25" i="11" s="1"/>
  <c r="K26" i="11"/>
  <c r="L26" i="11" s="1"/>
  <c r="K27" i="11"/>
  <c r="L27" i="11" s="1"/>
  <c r="K28" i="11"/>
  <c r="K29" i="11"/>
  <c r="L29" i="11" s="1"/>
  <c r="K30" i="11"/>
  <c r="L30" i="11" s="1"/>
  <c r="K31" i="11"/>
  <c r="L31" i="11" s="1"/>
  <c r="K32" i="11"/>
  <c r="L32" i="11" s="1"/>
  <c r="K33" i="11"/>
  <c r="L33" i="11" s="1"/>
  <c r="K9" i="11"/>
  <c r="O9" i="11" s="1"/>
  <c r="J34" i="11"/>
  <c r="F34" i="11"/>
  <c r="E34" i="11"/>
  <c r="L15" i="10"/>
  <c r="O15" i="10" s="1"/>
  <c r="K30" i="9"/>
  <c r="I30" i="9"/>
  <c r="L14" i="9"/>
  <c r="Q9" i="11" l="1"/>
  <c r="AP35" i="4"/>
  <c r="AM35" i="4"/>
  <c r="AN35" i="4"/>
  <c r="AO35" i="4"/>
  <c r="AN36" i="4"/>
  <c r="AO36" i="4"/>
  <c r="AN37" i="4"/>
  <c r="AO37" i="4"/>
  <c r="AN38" i="4"/>
  <c r="AO38" i="4"/>
  <c r="AN39" i="4"/>
  <c r="AO39" i="4"/>
  <c r="AL39" i="4"/>
  <c r="AL35" i="4"/>
  <c r="AJ35" i="4"/>
  <c r="AI35" i="4"/>
  <c r="AH39" i="4"/>
  <c r="AH35" i="4"/>
  <c r="AG35" i="4"/>
  <c r="AF35" i="4"/>
  <c r="B22" i="1" s="1"/>
  <c r="AA35" i="4"/>
  <c r="Z35" i="4"/>
  <c r="Y35" i="4"/>
  <c r="Y36" i="4"/>
  <c r="Z36" i="4"/>
  <c r="Y37" i="4"/>
  <c r="Z37" i="4"/>
  <c r="Y38" i="4"/>
  <c r="Z38" i="4"/>
  <c r="Y39" i="4"/>
  <c r="Z39" i="4"/>
  <c r="X35" i="4"/>
  <c r="W35" i="4"/>
  <c r="U35" i="4"/>
  <c r="T35" i="4"/>
  <c r="S35" i="4"/>
  <c r="R35" i="4"/>
  <c r="Q35" i="4"/>
  <c r="L35" i="4"/>
  <c r="K35" i="4"/>
  <c r="J35" i="4"/>
  <c r="G35" i="4"/>
  <c r="D39" i="4"/>
  <c r="D35" i="4"/>
  <c r="AU13" i="4"/>
  <c r="AS13" i="4"/>
  <c r="AR13" i="4"/>
  <c r="AQ13" i="4"/>
  <c r="AK13" i="4"/>
  <c r="AD13" i="4"/>
  <c r="AC13" i="4"/>
  <c r="AB13" i="4"/>
  <c r="V13" i="4"/>
  <c r="O13" i="4"/>
  <c r="F15" i="1" l="1"/>
  <c r="F22" i="1"/>
  <c r="AT13" i="4"/>
  <c r="AE13" i="4"/>
  <c r="O17" i="4"/>
  <c r="N13" i="4"/>
  <c r="M13" i="4"/>
  <c r="I13" i="4"/>
  <c r="AW13" i="4" l="1"/>
  <c r="P13" i="4"/>
  <c r="AV13" i="4"/>
  <c r="E4" i="27"/>
  <c r="J4" i="27"/>
  <c r="E4" i="20"/>
  <c r="J4" i="20"/>
  <c r="I4" i="28"/>
  <c r="F4" i="28"/>
  <c r="L4" i="23"/>
  <c r="G4" i="23"/>
  <c r="J4" i="13"/>
  <c r="E4" i="13"/>
  <c r="G4" i="19"/>
  <c r="D4" i="19"/>
  <c r="G4" i="22"/>
  <c r="D4" i="22"/>
  <c r="F4" i="12"/>
  <c r="Q4" i="12"/>
  <c r="N4" i="11"/>
  <c r="F4" i="11"/>
  <c r="F4" i="16"/>
  <c r="D4" i="16"/>
  <c r="J4" i="15"/>
  <c r="E4" i="15"/>
  <c r="F4" i="25"/>
  <c r="D4" i="25"/>
  <c r="L4" i="10"/>
  <c r="G4" i="10"/>
  <c r="J4" i="9"/>
  <c r="E4" i="9"/>
  <c r="H4" i="24"/>
  <c r="D4" i="24"/>
  <c r="E4" i="8"/>
  <c r="C4" i="8"/>
  <c r="G4" i="30"/>
  <c r="G3" i="30"/>
  <c r="D4" i="30"/>
  <c r="D3" i="30"/>
  <c r="A4" i="30"/>
  <c r="A3" i="30"/>
  <c r="AT4" i="4"/>
  <c r="AT3" i="4"/>
  <c r="AL4" i="4"/>
  <c r="AL3" i="4"/>
  <c r="AF4" i="4"/>
  <c r="AF3" i="4"/>
  <c r="AA4" i="4"/>
  <c r="AA3" i="4"/>
  <c r="V4" i="4"/>
  <c r="V3" i="4"/>
  <c r="Q4" i="4"/>
  <c r="Q3" i="4"/>
  <c r="K4" i="4"/>
  <c r="F4" i="4"/>
  <c r="F4" i="6"/>
  <c r="D4" i="6"/>
  <c r="D4" i="3"/>
  <c r="B4" i="3"/>
  <c r="E4" i="2"/>
  <c r="C4" i="2"/>
  <c r="F4" i="1"/>
  <c r="D4" i="1"/>
  <c r="AX13" i="4" l="1"/>
  <c r="A4" i="3"/>
  <c r="D3" i="3"/>
  <c r="B3" i="3"/>
  <c r="A3" i="3"/>
  <c r="A4" i="2"/>
  <c r="E3" i="2"/>
  <c r="C3" i="2"/>
  <c r="A3" i="2"/>
  <c r="AB14" i="4" l="1"/>
  <c r="AC14" i="4"/>
  <c r="AD14" i="4"/>
  <c r="AK14" i="4"/>
  <c r="AQ14" i="4"/>
  <c r="AR14" i="4"/>
  <c r="AS14" i="4"/>
  <c r="AB15" i="4"/>
  <c r="AC15" i="4"/>
  <c r="AD15" i="4"/>
  <c r="AK15" i="4"/>
  <c r="AQ15" i="4"/>
  <c r="AR15" i="4"/>
  <c r="AS15" i="4"/>
  <c r="AB16" i="4"/>
  <c r="AC16" i="4"/>
  <c r="AD16" i="4"/>
  <c r="AK16" i="4"/>
  <c r="AQ16" i="4"/>
  <c r="AR16" i="4"/>
  <c r="AS16" i="4"/>
  <c r="AB17" i="4"/>
  <c r="AC17" i="4"/>
  <c r="AD17" i="4"/>
  <c r="AK17" i="4"/>
  <c r="AQ17" i="4"/>
  <c r="AR17" i="4"/>
  <c r="AS17" i="4"/>
  <c r="AB18" i="4"/>
  <c r="AC18" i="4"/>
  <c r="AD18" i="4"/>
  <c r="AK18" i="4"/>
  <c r="AQ18" i="4"/>
  <c r="AR18" i="4"/>
  <c r="AS18" i="4"/>
  <c r="AB19" i="4"/>
  <c r="AC19" i="4"/>
  <c r="AD19" i="4"/>
  <c r="AK19" i="4"/>
  <c r="AQ19" i="4"/>
  <c r="AR19" i="4"/>
  <c r="AS19" i="4"/>
  <c r="AB20" i="4"/>
  <c r="AC20" i="4"/>
  <c r="AD20" i="4"/>
  <c r="AK20" i="4"/>
  <c r="AQ20" i="4"/>
  <c r="AR20" i="4"/>
  <c r="AS20" i="4"/>
  <c r="AB21" i="4"/>
  <c r="AC21" i="4"/>
  <c r="AD21" i="4"/>
  <c r="AK21" i="4"/>
  <c r="AQ21" i="4"/>
  <c r="AR21" i="4"/>
  <c r="AS21" i="4"/>
  <c r="AB22" i="4"/>
  <c r="AC22" i="4"/>
  <c r="AD22" i="4"/>
  <c r="AK22" i="4"/>
  <c r="AQ22" i="4"/>
  <c r="AR22" i="4"/>
  <c r="AS22" i="4"/>
  <c r="AB23" i="4"/>
  <c r="AC23" i="4"/>
  <c r="AD23" i="4"/>
  <c r="AK23" i="4"/>
  <c r="AQ23" i="4"/>
  <c r="AR23" i="4"/>
  <c r="AS23" i="4"/>
  <c r="AB24" i="4"/>
  <c r="AC24" i="4"/>
  <c r="AD24" i="4"/>
  <c r="AK24" i="4"/>
  <c r="AQ24" i="4"/>
  <c r="AR24" i="4"/>
  <c r="AS24" i="4"/>
  <c r="AB25" i="4"/>
  <c r="AC25" i="4"/>
  <c r="AD25" i="4"/>
  <c r="AK25" i="4"/>
  <c r="AQ25" i="4"/>
  <c r="AR25" i="4"/>
  <c r="AS25" i="4"/>
  <c r="AB26" i="4"/>
  <c r="AC26" i="4"/>
  <c r="AD26" i="4"/>
  <c r="AK26" i="4"/>
  <c r="AQ26" i="4"/>
  <c r="AR26" i="4"/>
  <c r="AS26" i="4"/>
  <c r="AB27" i="4"/>
  <c r="AC27" i="4"/>
  <c r="AD27" i="4"/>
  <c r="AK27" i="4"/>
  <c r="AQ27" i="4"/>
  <c r="AR27" i="4"/>
  <c r="AS27" i="4"/>
  <c r="AB28" i="4"/>
  <c r="AC28" i="4"/>
  <c r="AD28" i="4"/>
  <c r="AK28" i="4"/>
  <c r="AQ28" i="4"/>
  <c r="AR28" i="4"/>
  <c r="AS28" i="4"/>
  <c r="AB29" i="4"/>
  <c r="AC29" i="4"/>
  <c r="AD29" i="4"/>
  <c r="AK29" i="4"/>
  <c r="AQ29" i="4"/>
  <c r="AR29" i="4"/>
  <c r="AS29" i="4"/>
  <c r="AB30" i="4"/>
  <c r="AC30" i="4"/>
  <c r="AD30" i="4"/>
  <c r="AK30" i="4"/>
  <c r="AQ30" i="4"/>
  <c r="AR30" i="4"/>
  <c r="AS30" i="4"/>
  <c r="AB31" i="4"/>
  <c r="AC31" i="4"/>
  <c r="AD31" i="4"/>
  <c r="AK31" i="4"/>
  <c r="AQ31" i="4"/>
  <c r="AR31" i="4"/>
  <c r="AS31" i="4"/>
  <c r="AB32" i="4"/>
  <c r="AC32" i="4"/>
  <c r="AD32" i="4"/>
  <c r="AK32" i="4"/>
  <c r="AQ32" i="4"/>
  <c r="AR32" i="4"/>
  <c r="AS32" i="4"/>
  <c r="AT28" i="4" l="1"/>
  <c r="AE32" i="4"/>
  <c r="AE24" i="4"/>
  <c r="AQ35" i="4"/>
  <c r="AS35" i="4"/>
  <c r="AR35" i="4"/>
  <c r="AK35" i="4"/>
  <c r="AE20" i="4"/>
  <c r="AD35" i="4"/>
  <c r="AC35" i="4"/>
  <c r="AB35" i="4"/>
  <c r="AT19" i="4"/>
  <c r="AE25" i="4"/>
  <c r="AT15" i="4"/>
  <c r="AT30" i="4"/>
  <c r="AT27" i="4"/>
  <c r="AT22" i="4"/>
  <c r="AE18" i="4"/>
  <c r="AE16" i="4"/>
  <c r="AT31" i="4"/>
  <c r="AE28" i="4"/>
  <c r="AT23" i="4"/>
  <c r="AE17" i="4"/>
  <c r="AE27" i="4"/>
  <c r="AT20" i="4"/>
  <c r="AE19" i="4"/>
  <c r="AT14" i="4"/>
  <c r="AT29" i="4"/>
  <c r="AT25" i="4"/>
  <c r="AT24" i="4"/>
  <c r="AE21" i="4"/>
  <c r="AT17" i="4"/>
  <c r="AT16" i="4"/>
  <c r="AE14" i="4"/>
  <c r="AT21" i="4"/>
  <c r="AT32" i="4"/>
  <c r="AE29" i="4"/>
  <c r="AE26" i="4"/>
  <c r="AE31" i="4"/>
  <c r="AE30" i="4"/>
  <c r="AT26" i="4"/>
  <c r="AE23" i="4"/>
  <c r="AE22" i="4"/>
  <c r="AT18" i="4"/>
  <c r="AE15" i="4"/>
  <c r="E33" i="4"/>
  <c r="G33" i="4"/>
  <c r="J33" i="4"/>
  <c r="K33" i="4"/>
  <c r="L33" i="4"/>
  <c r="Q33" i="4"/>
  <c r="R33" i="4"/>
  <c r="S33" i="4"/>
  <c r="T33" i="4"/>
  <c r="U33" i="4"/>
  <c r="W33" i="4"/>
  <c r="X33" i="4"/>
  <c r="AA33" i="4"/>
  <c r="AC33" i="4"/>
  <c r="AD33" i="4"/>
  <c r="AF33" i="4"/>
  <c r="AG33" i="4"/>
  <c r="AH33" i="4"/>
  <c r="AI33" i="4"/>
  <c r="AJ33" i="4"/>
  <c r="AL33" i="4"/>
  <c r="AM33" i="4"/>
  <c r="AP33" i="4"/>
  <c r="AR33" i="4"/>
  <c r="AS33" i="4"/>
  <c r="D33" i="4"/>
  <c r="E35" i="4"/>
  <c r="B15" i="1"/>
  <c r="E36" i="4"/>
  <c r="G36" i="4"/>
  <c r="J36" i="4"/>
  <c r="K36" i="4"/>
  <c r="L36" i="4"/>
  <c r="Q36" i="4"/>
  <c r="B16" i="1" s="1"/>
  <c r="R36" i="4"/>
  <c r="S36" i="4"/>
  <c r="T36" i="4"/>
  <c r="U36" i="4"/>
  <c r="W36" i="4"/>
  <c r="X36" i="4"/>
  <c r="AA36" i="4"/>
  <c r="AC36" i="4"/>
  <c r="AD36" i="4"/>
  <c r="AF36" i="4"/>
  <c r="B23" i="1" s="1"/>
  <c r="AG36" i="4"/>
  <c r="AH36" i="4"/>
  <c r="AI36" i="4"/>
  <c r="AJ36" i="4"/>
  <c r="AL36" i="4"/>
  <c r="AM36" i="4"/>
  <c r="AP36" i="4"/>
  <c r="AR36" i="4"/>
  <c r="AS36" i="4"/>
  <c r="E37" i="4"/>
  <c r="G37" i="4"/>
  <c r="J37" i="4"/>
  <c r="K37" i="4"/>
  <c r="L37" i="4"/>
  <c r="Q37" i="4"/>
  <c r="B17" i="1" s="1"/>
  <c r="R37" i="4"/>
  <c r="S37" i="4"/>
  <c r="T37" i="4"/>
  <c r="U37" i="4"/>
  <c r="W37" i="4"/>
  <c r="X37" i="4"/>
  <c r="AA37" i="4"/>
  <c r="AC37" i="4"/>
  <c r="AD37" i="4"/>
  <c r="AF37" i="4"/>
  <c r="B24" i="1" s="1"/>
  <c r="AG37" i="4"/>
  <c r="AH37" i="4"/>
  <c r="AI37" i="4"/>
  <c r="AJ37" i="4"/>
  <c r="AL37" i="4"/>
  <c r="AM37" i="4"/>
  <c r="AP37" i="4"/>
  <c r="AR37" i="4"/>
  <c r="AS37" i="4"/>
  <c r="E38" i="4"/>
  <c r="G38" i="4"/>
  <c r="J38" i="4"/>
  <c r="K38" i="4"/>
  <c r="L38" i="4"/>
  <c r="Q38" i="4"/>
  <c r="B18" i="1" s="1"/>
  <c r="R38" i="4"/>
  <c r="S38" i="4"/>
  <c r="T38" i="4"/>
  <c r="U38" i="4"/>
  <c r="W38" i="4"/>
  <c r="X38" i="4"/>
  <c r="AA38" i="4"/>
  <c r="AC38" i="4"/>
  <c r="AD38" i="4"/>
  <c r="AF38" i="4"/>
  <c r="B25" i="1" s="1"/>
  <c r="AG38" i="4"/>
  <c r="AH38" i="4"/>
  <c r="AI38" i="4"/>
  <c r="AJ38" i="4"/>
  <c r="AL38" i="4"/>
  <c r="AM38" i="4"/>
  <c r="AP38" i="4"/>
  <c r="AR38" i="4"/>
  <c r="AS38" i="4"/>
  <c r="E39" i="4"/>
  <c r="G39" i="4"/>
  <c r="J39" i="4"/>
  <c r="K39" i="4"/>
  <c r="L39" i="4"/>
  <c r="Q39" i="4"/>
  <c r="B19" i="1" s="1"/>
  <c r="R39" i="4"/>
  <c r="S39" i="4"/>
  <c r="T39" i="4"/>
  <c r="U39" i="4"/>
  <c r="W39" i="4"/>
  <c r="X39" i="4"/>
  <c r="AA39" i="4"/>
  <c r="AC39" i="4"/>
  <c r="AD39" i="4"/>
  <c r="AF39" i="4"/>
  <c r="B26" i="1" s="1"/>
  <c r="AG39" i="4"/>
  <c r="AI39" i="4"/>
  <c r="AJ39" i="4"/>
  <c r="AM39" i="4"/>
  <c r="AP39" i="4"/>
  <c r="AR39" i="4"/>
  <c r="AS39" i="4"/>
  <c r="D36" i="4"/>
  <c r="B9" i="1" s="1"/>
  <c r="D37" i="4"/>
  <c r="B10" i="1" s="1"/>
  <c r="D38" i="4"/>
  <c r="B11" i="1" s="1"/>
  <c r="B12" i="1"/>
  <c r="B8" i="1"/>
  <c r="A9" i="1"/>
  <c r="A10" i="1"/>
  <c r="A11" i="1"/>
  <c r="A12" i="1"/>
  <c r="A8" i="1"/>
  <c r="AE39" i="4" l="1"/>
  <c r="F25" i="1"/>
  <c r="AT35" i="4"/>
  <c r="C19" i="1"/>
  <c r="F19" i="1"/>
  <c r="F24" i="1"/>
  <c r="B32" i="1"/>
  <c r="C18" i="1"/>
  <c r="F18" i="1"/>
  <c r="F23" i="1"/>
  <c r="F17" i="1"/>
  <c r="F26" i="1"/>
  <c r="F16" i="1"/>
  <c r="B13" i="1"/>
  <c r="B29" i="1"/>
  <c r="F11" i="1"/>
  <c r="F10" i="1"/>
  <c r="F8" i="1"/>
  <c r="F9" i="1"/>
  <c r="F12" i="1"/>
  <c r="C17" i="1"/>
  <c r="C8" i="1"/>
  <c r="D8" i="1" s="1"/>
  <c r="C16" i="1"/>
  <c r="C22" i="1"/>
  <c r="C12" i="1"/>
  <c r="C26" i="1"/>
  <c r="C11" i="1"/>
  <c r="C25" i="1"/>
  <c r="C10" i="1"/>
  <c r="C24" i="1"/>
  <c r="C9" i="1"/>
  <c r="C15" i="1"/>
  <c r="C23" i="1"/>
  <c r="O32" i="4" l="1"/>
  <c r="N32" i="4"/>
  <c r="M32" i="4"/>
  <c r="O31" i="4"/>
  <c r="N31" i="4"/>
  <c r="M31" i="4"/>
  <c r="O30" i="4"/>
  <c r="N30" i="4"/>
  <c r="M30" i="4"/>
  <c r="O29" i="4"/>
  <c r="N29" i="4"/>
  <c r="M29" i="4"/>
  <c r="O28" i="4"/>
  <c r="N28" i="4"/>
  <c r="M28" i="4"/>
  <c r="O27" i="4"/>
  <c r="N27" i="4"/>
  <c r="M27" i="4"/>
  <c r="O26" i="4"/>
  <c r="N26" i="4"/>
  <c r="M26" i="4"/>
  <c r="O25" i="4"/>
  <c r="N25" i="4"/>
  <c r="M25" i="4"/>
  <c r="O24" i="4"/>
  <c r="N24" i="4"/>
  <c r="M24" i="4"/>
  <c r="O23" i="4"/>
  <c r="N23" i="4"/>
  <c r="M23" i="4"/>
  <c r="O22" i="4"/>
  <c r="N22" i="4"/>
  <c r="M22" i="4"/>
  <c r="O21" i="4"/>
  <c r="N21" i="4"/>
  <c r="M21" i="4"/>
  <c r="O20" i="4"/>
  <c r="N20" i="4"/>
  <c r="M20" i="4"/>
  <c r="O19" i="4"/>
  <c r="N19" i="4"/>
  <c r="M19" i="4"/>
  <c r="O18" i="4"/>
  <c r="N18" i="4"/>
  <c r="M18" i="4"/>
  <c r="N17" i="4"/>
  <c r="M17" i="4"/>
  <c r="M14" i="4"/>
  <c r="M35" i="4" s="1"/>
  <c r="N14" i="4"/>
  <c r="O14" i="4"/>
  <c r="M15" i="4"/>
  <c r="N15" i="4"/>
  <c r="O15" i="4"/>
  <c r="M16" i="4"/>
  <c r="N16" i="4"/>
  <c r="O16" i="4"/>
  <c r="O35" i="4" l="1"/>
  <c r="N35" i="4"/>
  <c r="AQ36" i="4"/>
  <c r="AQ33" i="4"/>
  <c r="AQ37" i="4"/>
  <c r="AQ38" i="4"/>
  <c r="AQ39" i="4"/>
  <c r="AB36" i="4"/>
  <c r="AB33" i="4"/>
  <c r="AB37" i="4"/>
  <c r="AB38" i="4"/>
  <c r="AB39" i="4"/>
  <c r="O38" i="4"/>
  <c r="O39" i="4"/>
  <c r="O36" i="4"/>
  <c r="O33" i="4"/>
  <c r="O37" i="4"/>
  <c r="N39" i="4"/>
  <c r="N36" i="4"/>
  <c r="N37" i="4"/>
  <c r="N33" i="4"/>
  <c r="N38" i="4"/>
  <c r="M36" i="4"/>
  <c r="M37" i="4"/>
  <c r="M33" i="4"/>
  <c r="M38" i="4"/>
  <c r="M39" i="4"/>
  <c r="V32" i="4" l="1"/>
  <c r="V31" i="4"/>
  <c r="V30" i="4"/>
  <c r="V29" i="4"/>
  <c r="V28" i="4"/>
  <c r="V27" i="4"/>
  <c r="V26" i="4"/>
  <c r="V25" i="4"/>
  <c r="V24" i="4"/>
  <c r="V23" i="4"/>
  <c r="V22" i="4"/>
  <c r="V21" i="4"/>
  <c r="V20" i="4"/>
  <c r="V19" i="4"/>
  <c r="V18" i="4"/>
  <c r="V17" i="4"/>
  <c r="V14" i="4"/>
  <c r="V15" i="4"/>
  <c r="V16" i="4"/>
  <c r="V35" i="4" l="1"/>
  <c r="E15" i="1" s="1"/>
  <c r="V36" i="4"/>
  <c r="E16" i="1" s="1"/>
  <c r="V33" i="4"/>
  <c r="V37" i="4"/>
  <c r="E17" i="1" s="1"/>
  <c r="V38" i="4"/>
  <c r="E18" i="1" s="1"/>
  <c r="V39" i="4"/>
  <c r="E19" i="1" s="1"/>
  <c r="AK36" i="4"/>
  <c r="E23" i="1" s="1"/>
  <c r="AK33" i="4"/>
  <c r="AK37" i="4"/>
  <c r="E24" i="1" s="1"/>
  <c r="AK38" i="4"/>
  <c r="E25" i="1" s="1"/>
  <c r="E22" i="1"/>
  <c r="AK39" i="4"/>
  <c r="E26" i="1" s="1"/>
  <c r="J3" i="27"/>
  <c r="E3" i="27"/>
  <c r="A4" i="27"/>
  <c r="A3" i="27"/>
  <c r="J3" i="20"/>
  <c r="E3" i="20"/>
  <c r="A4" i="20"/>
  <c r="A3" i="20"/>
  <c r="I3" i="28"/>
  <c r="F3" i="28"/>
  <c r="A4" i="28"/>
  <c r="A3" i="28"/>
  <c r="L3" i="23"/>
  <c r="G3" i="23"/>
  <c r="A4" i="23"/>
  <c r="A3" i="23"/>
  <c r="G3" i="19"/>
  <c r="D3" i="19"/>
  <c r="A4" i="19"/>
  <c r="A3" i="19"/>
  <c r="G3" i="22"/>
  <c r="D3" i="22"/>
  <c r="A4" i="22"/>
  <c r="A3" i="22"/>
  <c r="F3" i="16"/>
  <c r="D3" i="16"/>
  <c r="A4" i="16"/>
  <c r="A3" i="16"/>
  <c r="F3" i="25"/>
  <c r="D3" i="25"/>
  <c r="A4" i="25"/>
  <c r="A3" i="25"/>
  <c r="B45" i="27" l="1"/>
  <c r="B44" i="27"/>
  <c r="B43" i="27"/>
  <c r="B42" i="27"/>
  <c r="B41" i="27"/>
  <c r="E40" i="27"/>
  <c r="C41" i="27" s="1"/>
  <c r="B34" i="27"/>
  <c r="I25" i="27"/>
  <c r="H25" i="27"/>
  <c r="G25" i="27"/>
  <c r="F25" i="27"/>
  <c r="E25" i="27"/>
  <c r="D25" i="27"/>
  <c r="C25" i="27"/>
  <c r="B25" i="27"/>
  <c r="H22" i="27"/>
  <c r="G22" i="27"/>
  <c r="F22" i="27"/>
  <c r="E22" i="27"/>
  <c r="D22" i="27"/>
  <c r="C22" i="27"/>
  <c r="H3" i="24"/>
  <c r="D3" i="24"/>
  <c r="A4" i="24"/>
  <c r="A3" i="24"/>
  <c r="D6" i="18"/>
  <c r="D7" i="18" s="1"/>
  <c r="D8" i="18" s="1"/>
  <c r="D9" i="18" s="1"/>
  <c r="D10" i="18" s="1"/>
  <c r="D11" i="18" s="1"/>
  <c r="D12" i="18" s="1"/>
  <c r="D13" i="18" s="1"/>
  <c r="D14" i="18" s="1"/>
  <c r="D15" i="18" s="1"/>
  <c r="D16" i="18" s="1"/>
  <c r="D17" i="18" s="1"/>
  <c r="D18" i="18" s="1"/>
  <c r="D19" i="18" s="1"/>
  <c r="D20" i="18" s="1"/>
  <c r="D21" i="18" s="1"/>
  <c r="D22" i="18" s="1"/>
  <c r="D23" i="18" s="1"/>
  <c r="D24" i="18" s="1"/>
  <c r="B23" i="27" l="1"/>
  <c r="B35" i="27"/>
  <c r="B36" i="27" s="1"/>
  <c r="B26" i="27"/>
  <c r="B47" i="27"/>
  <c r="D41" i="27"/>
  <c r="E41" i="27" s="1"/>
  <c r="C42" i="27" l="1"/>
  <c r="D42" i="27" s="1"/>
  <c r="E42" i="27" s="1"/>
  <c r="C43" i="27" l="1"/>
  <c r="D43" i="27" s="1"/>
  <c r="E43" i="27" s="1"/>
  <c r="C44" i="27" l="1"/>
  <c r="D44" i="27" s="1"/>
  <c r="E44" i="27" s="1"/>
  <c r="C45" i="27" l="1"/>
  <c r="D45" i="27" s="1"/>
  <c r="E45" i="27" s="1"/>
  <c r="D46" i="27" l="1"/>
  <c r="C46" i="27" s="1"/>
  <c r="E46" i="27" l="1"/>
  <c r="P17" i="23" l="1"/>
  <c r="O17" i="23"/>
  <c r="N17" i="23"/>
  <c r="L17" i="23"/>
  <c r="Q16" i="23"/>
  <c r="Q15" i="23"/>
  <c r="Q14" i="23"/>
  <c r="Q13" i="23"/>
  <c r="Q12" i="23"/>
  <c r="Q11" i="23"/>
  <c r="Q10" i="23"/>
  <c r="L27" i="15"/>
  <c r="K27" i="15"/>
  <c r="J27" i="15"/>
  <c r="H27" i="15"/>
  <c r="G27" i="15"/>
  <c r="G29" i="15" s="1"/>
  <c r="F27" i="15"/>
  <c r="E20" i="19"/>
  <c r="F20" i="19"/>
  <c r="I20" i="19"/>
  <c r="G11" i="19"/>
  <c r="H11" i="19" s="1"/>
  <c r="J11" i="19" s="1"/>
  <c r="G12" i="19"/>
  <c r="H12" i="19" s="1"/>
  <c r="J12" i="19" s="1"/>
  <c r="G13" i="19"/>
  <c r="H13" i="19" s="1"/>
  <c r="J13" i="19" s="1"/>
  <c r="G14" i="19"/>
  <c r="H14" i="19" s="1"/>
  <c r="J14" i="19" s="1"/>
  <c r="G15" i="19"/>
  <c r="H15" i="19" s="1"/>
  <c r="J15" i="19" s="1"/>
  <c r="G16" i="19"/>
  <c r="H16" i="19" s="1"/>
  <c r="J16" i="19" s="1"/>
  <c r="G17" i="19"/>
  <c r="H17" i="19" s="1"/>
  <c r="J17" i="19" s="1"/>
  <c r="G18" i="19"/>
  <c r="H18" i="19" s="1"/>
  <c r="J18" i="19" s="1"/>
  <c r="G19" i="19"/>
  <c r="H19" i="19" s="1"/>
  <c r="J19" i="19" s="1"/>
  <c r="N26" i="12"/>
  <c r="O26" i="12"/>
  <c r="P26" i="12"/>
  <c r="R26" i="12"/>
  <c r="S26" i="12"/>
  <c r="N27" i="12"/>
  <c r="O27" i="12"/>
  <c r="P27" i="12"/>
  <c r="R27" i="12"/>
  <c r="S27" i="12"/>
  <c r="N28" i="12"/>
  <c r="O28" i="12"/>
  <c r="P28" i="12"/>
  <c r="R28" i="12"/>
  <c r="S28" i="12"/>
  <c r="N29" i="12"/>
  <c r="O29" i="12"/>
  <c r="P29" i="12"/>
  <c r="R29" i="12"/>
  <c r="S29" i="12"/>
  <c r="N30" i="12"/>
  <c r="O30" i="12"/>
  <c r="P30" i="12"/>
  <c r="R30" i="12"/>
  <c r="S30" i="12"/>
  <c r="N31" i="12"/>
  <c r="O31" i="12"/>
  <c r="P31" i="12"/>
  <c r="R31" i="12"/>
  <c r="S31" i="12"/>
  <c r="N32" i="12"/>
  <c r="O32" i="12"/>
  <c r="P32" i="12"/>
  <c r="R32" i="12"/>
  <c r="S32" i="12"/>
  <c r="N33" i="12"/>
  <c r="O33" i="12"/>
  <c r="P33" i="12"/>
  <c r="R33" i="12"/>
  <c r="S33" i="12"/>
  <c r="M25" i="11"/>
  <c r="N25" i="11"/>
  <c r="O25" i="11"/>
  <c r="Q25" i="11" s="1"/>
  <c r="M26" i="11"/>
  <c r="N26" i="11"/>
  <c r="O26" i="11"/>
  <c r="Q26" i="11" s="1"/>
  <c r="M27" i="11"/>
  <c r="N27" i="11"/>
  <c r="O27" i="11"/>
  <c r="M28" i="11"/>
  <c r="N28" i="11"/>
  <c r="O28" i="11"/>
  <c r="Q28" i="11" s="1"/>
  <c r="M29" i="11"/>
  <c r="N29" i="11"/>
  <c r="O29" i="11"/>
  <c r="M30" i="11"/>
  <c r="N30" i="11"/>
  <c r="O30" i="11"/>
  <c r="M31" i="11"/>
  <c r="N31" i="11"/>
  <c r="O31" i="11"/>
  <c r="M32" i="11"/>
  <c r="N32" i="11"/>
  <c r="O32" i="11"/>
  <c r="M33" i="11"/>
  <c r="N33" i="11"/>
  <c r="O33" i="11"/>
  <c r="Q33" i="11" s="1"/>
  <c r="J31" i="10"/>
  <c r="K31" i="10"/>
  <c r="M31" i="10"/>
  <c r="N31" i="10"/>
  <c r="I31" i="10"/>
  <c r="L18" i="10"/>
  <c r="O18" i="10" s="1"/>
  <c r="L19" i="10"/>
  <c r="O19" i="10" s="1"/>
  <c r="L20" i="10"/>
  <c r="O20" i="10" s="1"/>
  <c r="L29" i="10"/>
  <c r="O29" i="10" s="1"/>
  <c r="L30" i="10"/>
  <c r="O30" i="10" s="1"/>
  <c r="L17" i="10"/>
  <c r="O17" i="10" s="1"/>
  <c r="L16" i="10"/>
  <c r="O16" i="10" s="1"/>
  <c r="J30" i="9"/>
  <c r="L15" i="9"/>
  <c r="L16" i="9"/>
  <c r="L17" i="9"/>
  <c r="L18" i="9"/>
  <c r="L19" i="9"/>
  <c r="L28" i="9"/>
  <c r="L29" i="9"/>
  <c r="I8" i="22"/>
  <c r="C13" i="22"/>
  <c r="H13" i="22"/>
  <c r="G13" i="22"/>
  <c r="F13" i="22"/>
  <c r="E13" i="22"/>
  <c r="D13" i="22"/>
  <c r="I12" i="22"/>
  <c r="I11" i="22"/>
  <c r="I10" i="22"/>
  <c r="I9" i="22"/>
  <c r="AU32" i="4"/>
  <c r="I32" i="4"/>
  <c r="AW32" i="4" s="1"/>
  <c r="AU31" i="4"/>
  <c r="I31" i="4"/>
  <c r="AW31" i="4" s="1"/>
  <c r="AU30" i="4"/>
  <c r="I30" i="4"/>
  <c r="AW30" i="4" s="1"/>
  <c r="AU29" i="4"/>
  <c r="I29" i="4"/>
  <c r="AW29" i="4" s="1"/>
  <c r="AU28" i="4"/>
  <c r="I28" i="4"/>
  <c r="AW28" i="4" s="1"/>
  <c r="AU27" i="4"/>
  <c r="I27" i="4"/>
  <c r="AW27" i="4" s="1"/>
  <c r="AU26" i="4"/>
  <c r="I26" i="4"/>
  <c r="AW26" i="4" s="1"/>
  <c r="AU25" i="4"/>
  <c r="I25" i="4"/>
  <c r="AW25" i="4" s="1"/>
  <c r="AU24" i="4"/>
  <c r="I24" i="4"/>
  <c r="AW24" i="4" s="1"/>
  <c r="AU23" i="4"/>
  <c r="I23" i="4"/>
  <c r="AW23" i="4" s="1"/>
  <c r="AU22" i="4"/>
  <c r="I22" i="4"/>
  <c r="AW22" i="4" s="1"/>
  <c r="AU21" i="4"/>
  <c r="I21" i="4"/>
  <c r="AU20" i="4"/>
  <c r="I20" i="4"/>
  <c r="AW20" i="4" s="1"/>
  <c r="AU19" i="4"/>
  <c r="I19" i="4"/>
  <c r="AW19" i="4" s="1"/>
  <c r="AU18" i="4"/>
  <c r="I18" i="4"/>
  <c r="AW18" i="4" s="1"/>
  <c r="AU17" i="4"/>
  <c r="I17" i="4"/>
  <c r="AW17" i="4" s="1"/>
  <c r="AU16" i="4"/>
  <c r="I16" i="4"/>
  <c r="AW16" i="4" s="1"/>
  <c r="AU15" i="4"/>
  <c r="I15" i="4"/>
  <c r="AW15" i="4" s="1"/>
  <c r="AU14" i="4"/>
  <c r="I14" i="4"/>
  <c r="A19" i="1"/>
  <c r="A26" i="1" s="1"/>
  <c r="A33" i="1" s="1"/>
  <c r="A18" i="1"/>
  <c r="A25" i="1" s="1"/>
  <c r="A32" i="1" s="1"/>
  <c r="A17" i="1"/>
  <c r="A24" i="1" s="1"/>
  <c r="A31" i="1" s="1"/>
  <c r="A16" i="1"/>
  <c r="A23" i="1" s="1"/>
  <c r="A30" i="1" s="1"/>
  <c r="A15" i="1"/>
  <c r="A22" i="1" s="1"/>
  <c r="A29" i="1" s="1"/>
  <c r="L17" i="20"/>
  <c r="K17" i="20"/>
  <c r="L16" i="20"/>
  <c r="K16" i="20"/>
  <c r="L15" i="20"/>
  <c r="K15" i="20"/>
  <c r="L14" i="20"/>
  <c r="K14" i="20"/>
  <c r="L13" i="20"/>
  <c r="K13" i="20"/>
  <c r="L12" i="20"/>
  <c r="K12" i="20"/>
  <c r="L11" i="20"/>
  <c r="K11" i="20"/>
  <c r="A4" i="15"/>
  <c r="J3" i="15"/>
  <c r="E3" i="15"/>
  <c r="A3" i="15"/>
  <c r="A4" i="13"/>
  <c r="J3" i="13"/>
  <c r="E3" i="13"/>
  <c r="A3" i="13"/>
  <c r="A4" i="12"/>
  <c r="Q3" i="12"/>
  <c r="F3" i="12"/>
  <c r="A3" i="12"/>
  <c r="A4" i="11"/>
  <c r="N3" i="11"/>
  <c r="F3" i="11"/>
  <c r="A3" i="11"/>
  <c r="A4" i="10"/>
  <c r="L3" i="10"/>
  <c r="G3" i="10"/>
  <c r="A3" i="10"/>
  <c r="A4" i="9"/>
  <c r="J3" i="9"/>
  <c r="E3" i="9"/>
  <c r="A3" i="9"/>
  <c r="A4" i="8"/>
  <c r="E3" i="8"/>
  <c r="C3" i="8"/>
  <c r="A3" i="8"/>
  <c r="A4" i="6"/>
  <c r="F3" i="6"/>
  <c r="D3" i="6"/>
  <c r="A3" i="6"/>
  <c r="A4" i="4"/>
  <c r="K3" i="4"/>
  <c r="F3" i="4"/>
  <c r="A3" i="4"/>
  <c r="F3" i="1"/>
  <c r="D3" i="1"/>
  <c r="A4" i="1"/>
  <c r="A3" i="1"/>
  <c r="G18" i="13"/>
  <c r="L13" i="13"/>
  <c r="K13" i="13"/>
  <c r="J13" i="13"/>
  <c r="I13" i="13"/>
  <c r="H13" i="13"/>
  <c r="F13" i="13"/>
  <c r="D13" i="13"/>
  <c r="M12" i="13"/>
  <c r="N12" i="13" s="1"/>
  <c r="M11" i="13"/>
  <c r="N11" i="13" s="1"/>
  <c r="M10" i="13"/>
  <c r="N10" i="13" s="1"/>
  <c r="O25" i="12"/>
  <c r="L25" i="12"/>
  <c r="S25" i="12" s="1"/>
  <c r="O24" i="12"/>
  <c r="L24" i="12"/>
  <c r="S24" i="12" s="1"/>
  <c r="O23" i="12"/>
  <c r="L23" i="12"/>
  <c r="S23" i="12" s="1"/>
  <c r="O22" i="12"/>
  <c r="L22" i="12"/>
  <c r="S22" i="12" s="1"/>
  <c r="O21" i="12"/>
  <c r="L21" i="12"/>
  <c r="S21" i="12" s="1"/>
  <c r="R20" i="12"/>
  <c r="O20" i="12"/>
  <c r="M20" i="12"/>
  <c r="P20" i="12" s="1"/>
  <c r="L20" i="12"/>
  <c r="S20" i="12" s="1"/>
  <c r="R19" i="12"/>
  <c r="O19" i="12"/>
  <c r="M19" i="12"/>
  <c r="P19" i="12" s="1"/>
  <c r="L19" i="12"/>
  <c r="S19" i="12" s="1"/>
  <c r="M18" i="12"/>
  <c r="P18" i="12" s="1"/>
  <c r="O18" i="12"/>
  <c r="N18" i="12"/>
  <c r="L18" i="12"/>
  <c r="S18" i="12" s="1"/>
  <c r="O17" i="12"/>
  <c r="L17" i="12"/>
  <c r="S17" i="12" s="1"/>
  <c r="M16" i="12"/>
  <c r="P16" i="12" s="1"/>
  <c r="O16" i="12"/>
  <c r="L16" i="12"/>
  <c r="S16" i="12" s="1"/>
  <c r="O15" i="12"/>
  <c r="L15" i="12"/>
  <c r="S15" i="12" s="1"/>
  <c r="O14" i="12"/>
  <c r="L14" i="12"/>
  <c r="S14" i="12" s="1"/>
  <c r="O13" i="12"/>
  <c r="L13" i="12"/>
  <c r="S13" i="12" s="1"/>
  <c r="R12" i="12"/>
  <c r="O12" i="12"/>
  <c r="M12" i="12"/>
  <c r="P12" i="12" s="1"/>
  <c r="L12" i="12"/>
  <c r="S12" i="12" s="1"/>
  <c r="R11" i="12"/>
  <c r="O11" i="12"/>
  <c r="M11" i="12"/>
  <c r="P11" i="12" s="1"/>
  <c r="L11" i="12"/>
  <c r="S11" i="12" s="1"/>
  <c r="M10" i="12"/>
  <c r="P10" i="12" s="1"/>
  <c r="O10" i="12"/>
  <c r="N10" i="12"/>
  <c r="L10" i="12"/>
  <c r="S10" i="12" s="1"/>
  <c r="O9" i="12"/>
  <c r="L9" i="12"/>
  <c r="M9" i="12" s="1"/>
  <c r="K24" i="11"/>
  <c r="O24" i="11" s="1"/>
  <c r="K23" i="11"/>
  <c r="O23" i="11" s="1"/>
  <c r="K22" i="11"/>
  <c r="O22" i="11" s="1"/>
  <c r="Q22" i="11" s="1"/>
  <c r="L21" i="11"/>
  <c r="N21" i="11" s="1"/>
  <c r="K21" i="11"/>
  <c r="O21" i="11" s="1"/>
  <c r="Q21" i="11" s="1"/>
  <c r="L20" i="11"/>
  <c r="N20" i="11" s="1"/>
  <c r="K20" i="11"/>
  <c r="O20" i="11" s="1"/>
  <c r="L19" i="11"/>
  <c r="N19" i="11" s="1"/>
  <c r="K19" i="11"/>
  <c r="O19" i="11" s="1"/>
  <c r="L18" i="11"/>
  <c r="N18" i="11" s="1"/>
  <c r="K18" i="11"/>
  <c r="O18" i="11" s="1"/>
  <c r="L17" i="11"/>
  <c r="N17" i="11" s="1"/>
  <c r="K17" i="11"/>
  <c r="O17" i="11" s="1"/>
  <c r="K16" i="11"/>
  <c r="O16" i="11" s="1"/>
  <c r="K15" i="11"/>
  <c r="O15" i="11" s="1"/>
  <c r="K14" i="11"/>
  <c r="O14" i="11" s="1"/>
  <c r="L13" i="11"/>
  <c r="N13" i="11" s="1"/>
  <c r="K13" i="11"/>
  <c r="O13" i="11" s="1"/>
  <c r="L12" i="11"/>
  <c r="N12" i="11" s="1"/>
  <c r="K12" i="11"/>
  <c r="O12" i="11" s="1"/>
  <c r="L11" i="11"/>
  <c r="N11" i="11" s="1"/>
  <c r="K11" i="11"/>
  <c r="O11" i="11" s="1"/>
  <c r="Q11" i="11" s="1"/>
  <c r="L10" i="11"/>
  <c r="N10" i="11" s="1"/>
  <c r="K10" i="11"/>
  <c r="O10" i="11" s="1"/>
  <c r="L9" i="11"/>
  <c r="N9" i="11" s="1"/>
  <c r="P9" i="11" s="1"/>
  <c r="D27" i="6"/>
  <c r="C27" i="6"/>
  <c r="D20" i="6"/>
  <c r="C20" i="6"/>
  <c r="D13" i="6"/>
  <c r="C13" i="6"/>
  <c r="AU35" i="4" l="1"/>
  <c r="Q17" i="23"/>
  <c r="M15" i="12"/>
  <c r="R16" i="12"/>
  <c r="M23" i="12"/>
  <c r="R10" i="12"/>
  <c r="N12" i="12"/>
  <c r="M17" i="12"/>
  <c r="R18" i="12"/>
  <c r="Q18" i="12" s="1"/>
  <c r="N20" i="12"/>
  <c r="M25" i="12"/>
  <c r="M14" i="12"/>
  <c r="M22" i="12"/>
  <c r="N11" i="12"/>
  <c r="N16" i="12"/>
  <c r="N19" i="12"/>
  <c r="M24" i="12"/>
  <c r="M13" i="12"/>
  <c r="M21" i="12"/>
  <c r="N9" i="12"/>
  <c r="M13" i="11"/>
  <c r="L16" i="11"/>
  <c r="M21" i="11"/>
  <c r="R21" i="11" s="1"/>
  <c r="S21" i="11" s="1"/>
  <c r="L24" i="11"/>
  <c r="M11" i="11"/>
  <c r="R11" i="11" s="1"/>
  <c r="S11" i="11" s="1"/>
  <c r="L14" i="11"/>
  <c r="M19" i="11"/>
  <c r="R19" i="11" s="1"/>
  <c r="L22" i="11"/>
  <c r="M17" i="11"/>
  <c r="M12" i="11"/>
  <c r="R12" i="11" s="1"/>
  <c r="S12" i="11" s="1"/>
  <c r="L15" i="11"/>
  <c r="M20" i="11"/>
  <c r="R20" i="11" s="1"/>
  <c r="S20" i="11" s="1"/>
  <c r="L23" i="11"/>
  <c r="M10" i="11"/>
  <c r="R10" i="11" s="1"/>
  <c r="S10" i="11" s="1"/>
  <c r="M18" i="11"/>
  <c r="R18" i="11" s="1"/>
  <c r="S18" i="11" s="1"/>
  <c r="M9" i="11"/>
  <c r="R9" i="11" s="1"/>
  <c r="S9" i="11" s="1"/>
  <c r="S9" i="12"/>
  <c r="S34" i="12" s="1"/>
  <c r="AW14" i="4"/>
  <c r="I35" i="4"/>
  <c r="E8" i="1" s="1"/>
  <c r="G8" i="1" s="1"/>
  <c r="H8" i="1" s="1"/>
  <c r="I8" i="1" s="1"/>
  <c r="L30" i="9"/>
  <c r="I38" i="4"/>
  <c r="E11" i="1" s="1"/>
  <c r="I39" i="4"/>
  <c r="E12" i="1" s="1"/>
  <c r="I36" i="4"/>
  <c r="E9" i="1" s="1"/>
  <c r="I33" i="4"/>
  <c r="I37" i="4"/>
  <c r="E10" i="1" s="1"/>
  <c r="AU36" i="4"/>
  <c r="AU37" i="4"/>
  <c r="AU33" i="4"/>
  <c r="AU39" i="4"/>
  <c r="AU38" i="4"/>
  <c r="T19" i="12"/>
  <c r="D11" i="1"/>
  <c r="D16" i="1"/>
  <c r="D19" i="1"/>
  <c r="D23" i="1"/>
  <c r="D9" i="1"/>
  <c r="P18" i="4"/>
  <c r="P32" i="4"/>
  <c r="T13" i="12"/>
  <c r="Q19" i="12"/>
  <c r="T33" i="12"/>
  <c r="T29" i="12"/>
  <c r="T10" i="12"/>
  <c r="T21" i="12"/>
  <c r="Q30" i="12"/>
  <c r="Q26" i="12"/>
  <c r="Q16" i="12"/>
  <c r="T31" i="12"/>
  <c r="T27" i="12"/>
  <c r="AV31" i="4"/>
  <c r="T11" i="12"/>
  <c r="T22" i="12"/>
  <c r="T12" i="12"/>
  <c r="T16" i="12"/>
  <c r="T23" i="12"/>
  <c r="G24" i="1"/>
  <c r="P28" i="4"/>
  <c r="AV20" i="4"/>
  <c r="AV22" i="4"/>
  <c r="I13" i="22"/>
  <c r="Q10" i="12"/>
  <c r="T20" i="12"/>
  <c r="Q11" i="12"/>
  <c r="T17" i="12"/>
  <c r="P31" i="11"/>
  <c r="P27" i="11"/>
  <c r="R31" i="11"/>
  <c r="S31" i="11" s="1"/>
  <c r="P30" i="11"/>
  <c r="AV18" i="4"/>
  <c r="AV16" i="4"/>
  <c r="AV28" i="4"/>
  <c r="P17" i="4"/>
  <c r="P26" i="4"/>
  <c r="AV27" i="4"/>
  <c r="AV29" i="4"/>
  <c r="P15" i="4"/>
  <c r="P16" i="4"/>
  <c r="AV23" i="4"/>
  <c r="P25" i="4"/>
  <c r="T25" i="12"/>
  <c r="Q33" i="12"/>
  <c r="T18" i="12"/>
  <c r="Q20" i="12"/>
  <c r="Q32" i="12"/>
  <c r="Q31" i="12"/>
  <c r="T30" i="12"/>
  <c r="Q28" i="12"/>
  <c r="Q27" i="12"/>
  <c r="T26" i="12"/>
  <c r="Q29" i="12"/>
  <c r="Q12" i="12"/>
  <c r="P12" i="11"/>
  <c r="L31" i="10"/>
  <c r="AV32" i="4"/>
  <c r="P29" i="4"/>
  <c r="AV24" i="4"/>
  <c r="P24" i="4"/>
  <c r="P21" i="4"/>
  <c r="P20" i="4"/>
  <c r="P23" i="4"/>
  <c r="P27" i="4"/>
  <c r="AV26" i="4"/>
  <c r="P9" i="12"/>
  <c r="Q9" i="12" s="1"/>
  <c r="P17" i="11"/>
  <c r="P18" i="11"/>
  <c r="D17" i="1"/>
  <c r="R13" i="11"/>
  <c r="S13" i="11" s="1"/>
  <c r="P14" i="4"/>
  <c r="AV14" i="4"/>
  <c r="P19" i="11"/>
  <c r="P10" i="11"/>
  <c r="I27" i="15"/>
  <c r="AV17" i="4"/>
  <c r="P19" i="4"/>
  <c r="AV19" i="4"/>
  <c r="AW21" i="4"/>
  <c r="AW36" i="4" s="1"/>
  <c r="AV21" i="4"/>
  <c r="AV30" i="4"/>
  <c r="D10" i="1"/>
  <c r="AV25" i="4"/>
  <c r="P30" i="4"/>
  <c r="AV15" i="4"/>
  <c r="P22" i="4"/>
  <c r="D25" i="1"/>
  <c r="G25" i="1"/>
  <c r="G26" i="1"/>
  <c r="D26" i="1"/>
  <c r="P31" i="4"/>
  <c r="O31" i="10"/>
  <c r="D12" i="1"/>
  <c r="D24" i="1"/>
  <c r="G19" i="1"/>
  <c r="R32" i="11"/>
  <c r="S32" i="11" s="1"/>
  <c r="P29" i="11"/>
  <c r="G19" i="13"/>
  <c r="G20" i="13" s="1"/>
  <c r="D19" i="13"/>
  <c r="D20" i="13" s="1"/>
  <c r="B19" i="13"/>
  <c r="B20" i="13" s="1"/>
  <c r="E19" i="13"/>
  <c r="E20" i="13" s="1"/>
  <c r="C19" i="13"/>
  <c r="C20" i="13" s="1"/>
  <c r="F19" i="13"/>
  <c r="F20" i="13" s="1"/>
  <c r="N13" i="13"/>
  <c r="M13" i="13"/>
  <c r="J20" i="19"/>
  <c r="H20" i="19"/>
  <c r="G20" i="19"/>
  <c r="B30" i="1"/>
  <c r="R25" i="11"/>
  <c r="S25" i="11" s="1"/>
  <c r="Q12" i="11"/>
  <c r="R17" i="11"/>
  <c r="S17" i="11" s="1"/>
  <c r="Q24" i="11"/>
  <c r="R29" i="11"/>
  <c r="B31" i="1"/>
  <c r="R30" i="11"/>
  <c r="S30" i="11" s="1"/>
  <c r="Q32" i="11"/>
  <c r="P21" i="11"/>
  <c r="Q10" i="11"/>
  <c r="Q13" i="11"/>
  <c r="Q16" i="11"/>
  <c r="B33" i="1"/>
  <c r="Q30" i="11"/>
  <c r="P32" i="11"/>
  <c r="Q31" i="11"/>
  <c r="Q29" i="11"/>
  <c r="P11" i="11"/>
  <c r="Q19" i="11"/>
  <c r="Q18" i="11"/>
  <c r="P13" i="11"/>
  <c r="P25" i="11"/>
  <c r="Q15" i="11"/>
  <c r="Q14" i="11"/>
  <c r="P20" i="11"/>
  <c r="Q20" i="11"/>
  <c r="Q23" i="11"/>
  <c r="Q17" i="11"/>
  <c r="T24" i="12"/>
  <c r="T14" i="12"/>
  <c r="T15" i="12"/>
  <c r="R27" i="11"/>
  <c r="S27" i="11" s="1"/>
  <c r="R26" i="11"/>
  <c r="S26" i="11" s="1"/>
  <c r="T32" i="12"/>
  <c r="Q27" i="11"/>
  <c r="P26" i="11"/>
  <c r="R33" i="11"/>
  <c r="S33" i="11" s="1"/>
  <c r="P33" i="11"/>
  <c r="R28" i="11"/>
  <c r="S28" i="11" s="1"/>
  <c r="P28" i="11"/>
  <c r="T28" i="12"/>
  <c r="N20" i="13" l="1"/>
  <c r="P17" i="12"/>
  <c r="R17" i="12"/>
  <c r="N17" i="12"/>
  <c r="P13" i="12"/>
  <c r="N13" i="12"/>
  <c r="R13" i="12"/>
  <c r="P22" i="12"/>
  <c r="R22" i="12"/>
  <c r="N22" i="12"/>
  <c r="P23" i="12"/>
  <c r="R23" i="12"/>
  <c r="N23" i="12"/>
  <c r="P24" i="12"/>
  <c r="N24" i="12"/>
  <c r="R24" i="12"/>
  <c r="P14" i="12"/>
  <c r="R14" i="12"/>
  <c r="N14" i="12"/>
  <c r="P21" i="12"/>
  <c r="R21" i="12"/>
  <c r="N21" i="12"/>
  <c r="P25" i="12"/>
  <c r="R25" i="12"/>
  <c r="N25" i="12"/>
  <c r="P15" i="12"/>
  <c r="R15" i="12"/>
  <c r="N15" i="12"/>
  <c r="N22" i="11"/>
  <c r="P22" i="11" s="1"/>
  <c r="M22" i="11"/>
  <c r="R22" i="11" s="1"/>
  <c r="S22" i="11" s="1"/>
  <c r="N14" i="11"/>
  <c r="P14" i="11" s="1"/>
  <c r="M14" i="11"/>
  <c r="R14" i="11" s="1"/>
  <c r="S14" i="11" s="1"/>
  <c r="N23" i="11"/>
  <c r="P23" i="11" s="1"/>
  <c r="M23" i="11"/>
  <c r="R23" i="11" s="1"/>
  <c r="S23" i="11" s="1"/>
  <c r="N24" i="11"/>
  <c r="P24" i="11" s="1"/>
  <c r="M24" i="11"/>
  <c r="R24" i="11" s="1"/>
  <c r="S24" i="11" s="1"/>
  <c r="N15" i="11"/>
  <c r="P15" i="11" s="1"/>
  <c r="M15" i="11"/>
  <c r="R15" i="11" s="1"/>
  <c r="S15" i="11" s="1"/>
  <c r="N16" i="11"/>
  <c r="P16" i="11" s="1"/>
  <c r="M16" i="11"/>
  <c r="R16" i="11" s="1"/>
  <c r="S16" i="11" s="1"/>
  <c r="N23" i="13"/>
  <c r="B26" i="13" s="1"/>
  <c r="T9" i="12"/>
  <c r="T34" i="12" s="1"/>
  <c r="P35" i="4"/>
  <c r="AV35" i="4"/>
  <c r="AW35" i="4"/>
  <c r="U30" i="12"/>
  <c r="V30" i="12" s="1"/>
  <c r="O34" i="11"/>
  <c r="AW38" i="4"/>
  <c r="AW37" i="4"/>
  <c r="AW39" i="4"/>
  <c r="AW33" i="4"/>
  <c r="AT37" i="4"/>
  <c r="AT33" i="4"/>
  <c r="AT38" i="4"/>
  <c r="AT36" i="4"/>
  <c r="AT39" i="4"/>
  <c r="AE36" i="4"/>
  <c r="AE38" i="4"/>
  <c r="AE35" i="4"/>
  <c r="AE33" i="4"/>
  <c r="AE37" i="4"/>
  <c r="P38" i="4"/>
  <c r="P39" i="4"/>
  <c r="P36" i="4"/>
  <c r="P37" i="4"/>
  <c r="P33" i="4"/>
  <c r="AV36" i="4"/>
  <c r="AV37" i="4"/>
  <c r="AV33" i="4"/>
  <c r="AV38" i="4"/>
  <c r="AV39" i="4"/>
  <c r="G22" i="1"/>
  <c r="U27" i="12"/>
  <c r="X27" i="12" s="1"/>
  <c r="Y27" i="12" s="1"/>
  <c r="U26" i="12"/>
  <c r="W26" i="12" s="1"/>
  <c r="U33" i="12"/>
  <c r="X33" i="12" s="1"/>
  <c r="Y33" i="12" s="1"/>
  <c r="AX18" i="4"/>
  <c r="C30" i="1"/>
  <c r="G16" i="1"/>
  <c r="H16" i="1" s="1"/>
  <c r="I16" i="1" s="1"/>
  <c r="D15" i="1"/>
  <c r="AX24" i="4"/>
  <c r="AX25" i="4"/>
  <c r="U22" i="12"/>
  <c r="W22" i="12" s="1"/>
  <c r="U16" i="12"/>
  <c r="V16" i="12" s="1"/>
  <c r="G18" i="1"/>
  <c r="G17" i="1"/>
  <c r="H17" i="1" s="1"/>
  <c r="I17" i="1" s="1"/>
  <c r="G23" i="1"/>
  <c r="H23" i="1" s="1"/>
  <c r="I23" i="1" s="1"/>
  <c r="G15" i="1"/>
  <c r="D18" i="1"/>
  <c r="B27" i="1"/>
  <c r="D22" i="1"/>
  <c r="G11" i="1"/>
  <c r="H11" i="1" s="1"/>
  <c r="I11" i="1" s="1"/>
  <c r="G10" i="1"/>
  <c r="U13" i="12"/>
  <c r="U23" i="12"/>
  <c r="Q34" i="11"/>
  <c r="U20" i="12"/>
  <c r="W20" i="12" s="1"/>
  <c r="AX23" i="4"/>
  <c r="H24" i="1"/>
  <c r="I24" i="1" s="1"/>
  <c r="U15" i="12"/>
  <c r="U18" i="12"/>
  <c r="V18" i="12" s="1"/>
  <c r="AX32" i="4"/>
  <c r="AX17" i="4"/>
  <c r="U24" i="12"/>
  <c r="W24" i="12" s="1"/>
  <c r="F29" i="1"/>
  <c r="U12" i="12"/>
  <c r="V12" i="12" s="1"/>
  <c r="U25" i="12"/>
  <c r="AX16" i="4"/>
  <c r="F31" i="1"/>
  <c r="E31" i="1"/>
  <c r="B34" i="1"/>
  <c r="U28" i="12"/>
  <c r="W28" i="12" s="1"/>
  <c r="AX27" i="4"/>
  <c r="AX15" i="4"/>
  <c r="B20" i="1"/>
  <c r="F33" i="1"/>
  <c r="H19" i="1"/>
  <c r="I19" i="1" s="1"/>
  <c r="U29" i="12"/>
  <c r="V29" i="12" s="1"/>
  <c r="AX21" i="4"/>
  <c r="F32" i="1"/>
  <c r="C13" i="1"/>
  <c r="F13" i="1"/>
  <c r="F27" i="1"/>
  <c r="C27" i="1"/>
  <c r="C33" i="1"/>
  <c r="AX26" i="4"/>
  <c r="C32" i="1"/>
  <c r="AX20" i="4"/>
  <c r="E20" i="1"/>
  <c r="F30" i="1"/>
  <c r="C20" i="1"/>
  <c r="E32" i="1"/>
  <c r="F20" i="1"/>
  <c r="D31" i="1"/>
  <c r="D30" i="1"/>
  <c r="C29" i="1"/>
  <c r="C31" i="1"/>
  <c r="U32" i="12"/>
  <c r="AX31" i="4"/>
  <c r="U21" i="12"/>
  <c r="W21" i="12" s="1"/>
  <c r="AX22" i="4"/>
  <c r="G9" i="1"/>
  <c r="G12" i="1"/>
  <c r="I31" i="9"/>
  <c r="I32" i="9" s="1"/>
  <c r="U11" i="12"/>
  <c r="AX14" i="4"/>
  <c r="U10" i="12"/>
  <c r="W10" i="12" s="1"/>
  <c r="I32" i="10"/>
  <c r="S29" i="11"/>
  <c r="E29" i="1"/>
  <c r="U31" i="12"/>
  <c r="V31" i="12" s="1"/>
  <c r="AX30" i="4"/>
  <c r="AX28" i="4"/>
  <c r="U17" i="12"/>
  <c r="AX19" i="4"/>
  <c r="AX29" i="4"/>
  <c r="E27" i="1"/>
  <c r="S19" i="11"/>
  <c r="Q25" i="12" l="1"/>
  <c r="R34" i="12"/>
  <c r="X23" i="12"/>
  <c r="Y23" i="12" s="1"/>
  <c r="P34" i="11"/>
  <c r="Q22" i="12"/>
  <c r="P34" i="12"/>
  <c r="Q21" i="12"/>
  <c r="X25" i="12"/>
  <c r="Y25" i="12" s="1"/>
  <c r="Q15" i="12"/>
  <c r="V15" i="12" s="1"/>
  <c r="X30" i="12"/>
  <c r="Y30" i="12" s="1"/>
  <c r="Q24" i="12"/>
  <c r="V24" i="12" s="1"/>
  <c r="W30" i="12"/>
  <c r="Q13" i="12"/>
  <c r="Q23" i="12"/>
  <c r="V23" i="12" s="1"/>
  <c r="Q14" i="12"/>
  <c r="Q17" i="12"/>
  <c r="V17" i="12" s="1"/>
  <c r="R34" i="11"/>
  <c r="AX35" i="4"/>
  <c r="D29" i="1"/>
  <c r="S34" i="11"/>
  <c r="V27" i="12"/>
  <c r="W27" i="12"/>
  <c r="AX39" i="4"/>
  <c r="AX36" i="4"/>
  <c r="AX37" i="4"/>
  <c r="AX33" i="4"/>
  <c r="AX38" i="4"/>
  <c r="X16" i="12"/>
  <c r="Y16" i="12" s="1"/>
  <c r="X22" i="12"/>
  <c r="Y22" i="12" s="1"/>
  <c r="V33" i="12"/>
  <c r="W33" i="12"/>
  <c r="W16" i="12"/>
  <c r="W23" i="12"/>
  <c r="V20" i="12"/>
  <c r="V22" i="12"/>
  <c r="X26" i="12"/>
  <c r="Y26" i="12" s="1"/>
  <c r="W25" i="12"/>
  <c r="X20" i="12"/>
  <c r="Y20" i="12" s="1"/>
  <c r="W18" i="12"/>
  <c r="W13" i="12"/>
  <c r="W15" i="12"/>
  <c r="X13" i="12"/>
  <c r="Y13" i="12" s="1"/>
  <c r="H22" i="1"/>
  <c r="I22" i="1" s="1"/>
  <c r="D27" i="1"/>
  <c r="V26" i="12"/>
  <c r="V25" i="12"/>
  <c r="X15" i="12"/>
  <c r="Y15" i="12" s="1"/>
  <c r="W12" i="12"/>
  <c r="X12" i="12"/>
  <c r="Y12" i="12" s="1"/>
  <c r="X29" i="12"/>
  <c r="Y29" i="12" s="1"/>
  <c r="X18" i="12"/>
  <c r="Y18" i="12" s="1"/>
  <c r="H15" i="1"/>
  <c r="I15" i="1" s="1"/>
  <c r="G31" i="1"/>
  <c r="H31" i="1" s="1"/>
  <c r="I31" i="1" s="1"/>
  <c r="D20" i="1"/>
  <c r="H25" i="1"/>
  <c r="I25" i="1" s="1"/>
  <c r="D13" i="1"/>
  <c r="F34" i="1"/>
  <c r="V28" i="12"/>
  <c r="X28" i="12"/>
  <c r="Y28" i="12" s="1"/>
  <c r="X10" i="12"/>
  <c r="Y10" i="12" s="1"/>
  <c r="H26" i="1"/>
  <c r="I26" i="1" s="1"/>
  <c r="G32" i="1"/>
  <c r="H18" i="1"/>
  <c r="I18" i="1" s="1"/>
  <c r="D32" i="1"/>
  <c r="C34" i="1"/>
  <c r="W29" i="12"/>
  <c r="X31" i="12"/>
  <c r="Y31" i="12" s="1"/>
  <c r="W31" i="12"/>
  <c r="G20" i="1"/>
  <c r="G27" i="1"/>
  <c r="D33" i="1"/>
  <c r="H10" i="1"/>
  <c r="I10" i="1" s="1"/>
  <c r="G29" i="1"/>
  <c r="V32" i="12"/>
  <c r="W32" i="12"/>
  <c r="X32" i="12"/>
  <c r="Y32" i="12" s="1"/>
  <c r="X24" i="12"/>
  <c r="Y24" i="12" s="1"/>
  <c r="V10" i="12"/>
  <c r="U19" i="12"/>
  <c r="V21" i="12"/>
  <c r="X21" i="12"/>
  <c r="Y21" i="12" s="1"/>
  <c r="W17" i="12"/>
  <c r="X17" i="12"/>
  <c r="Y17" i="12" s="1"/>
  <c r="X11" i="12"/>
  <c r="Y11" i="12" s="1"/>
  <c r="W11" i="12"/>
  <c r="V11" i="12"/>
  <c r="E30" i="1"/>
  <c r="E13" i="1"/>
  <c r="E33" i="1"/>
  <c r="U14" i="12"/>
  <c r="V13" i="12" l="1"/>
  <c r="Q34" i="12"/>
  <c r="H29" i="1"/>
  <c r="I29" i="1" s="1"/>
  <c r="H27" i="1"/>
  <c r="I27" i="1" s="1"/>
  <c r="D34" i="1"/>
  <c r="C50" i="1" s="1"/>
  <c r="C52" i="1" s="1"/>
  <c r="H20" i="1"/>
  <c r="I20" i="1" s="1"/>
  <c r="H32" i="1"/>
  <c r="I32" i="1" s="1"/>
  <c r="G13" i="1"/>
  <c r="H13" i="1" s="1"/>
  <c r="I13" i="1" s="1"/>
  <c r="E34" i="1"/>
  <c r="W19" i="12"/>
  <c r="V19" i="12"/>
  <c r="X19" i="12"/>
  <c r="Y19" i="12" s="1"/>
  <c r="V14" i="12"/>
  <c r="X14" i="12"/>
  <c r="Y14" i="12" s="1"/>
  <c r="W14" i="12"/>
  <c r="H12" i="1"/>
  <c r="I12" i="1" s="1"/>
  <c r="G33" i="1"/>
  <c r="H33" i="1" s="1"/>
  <c r="I33" i="1" s="1"/>
  <c r="H9" i="1"/>
  <c r="I9" i="1" s="1"/>
  <c r="G30" i="1"/>
  <c r="U9" i="12"/>
  <c r="U34" i="12" s="1"/>
  <c r="W9" i="12" l="1"/>
  <c r="W34" i="12" s="1"/>
  <c r="V9" i="12"/>
  <c r="V34" i="12" s="1"/>
  <c r="X9" i="12"/>
  <c r="X34" i="12" s="1"/>
  <c r="G34" i="1"/>
  <c r="H30" i="1"/>
  <c r="I30" i="1" s="1"/>
  <c r="H34" i="1" l="1"/>
  <c r="I34" i="1" s="1"/>
  <c r="B50" i="1"/>
  <c r="B52" i="1" s="1"/>
  <c r="Y9" i="12"/>
  <c r="Y34" i="12"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<sst xmlns="http://schemas.openxmlformats.org/spreadsheetml/2006/main" count="1418" uniqueCount="1088">
  <si>
    <t>致同会计师事务所</t>
  </si>
  <si>
    <t>项目</t>
  </si>
  <si>
    <t>合计</t>
  </si>
  <si>
    <t>期末余额</t>
  </si>
  <si>
    <t>…</t>
  </si>
  <si>
    <t>一、账面原值</t>
  </si>
  <si>
    <t>2.本期增加金额</t>
  </si>
  <si>
    <t>(1)外购</t>
  </si>
  <si>
    <t>3.本期减少金额</t>
  </si>
  <si>
    <t>(1)处置</t>
  </si>
  <si>
    <t>4.期末余额</t>
  </si>
  <si>
    <t>二、累计折旧</t>
  </si>
  <si>
    <t>（1）计提</t>
  </si>
  <si>
    <t>三、减值准备</t>
  </si>
  <si>
    <t>四、账面价值</t>
  </si>
  <si>
    <t xml:space="preserve">    1.期末账面价值</t>
  </si>
  <si>
    <t>一、原价合计</t>
  </si>
  <si>
    <t>二、累计折耗合计</t>
  </si>
  <si>
    <t>三、油气资产减值准备累计金额合计</t>
  </si>
  <si>
    <t>四、油气资产账面价值合计</t>
  </si>
  <si>
    <t>…</t>
    <phoneticPr fontId="9" type="noConversion"/>
  </si>
  <si>
    <r>
      <rPr>
        <b/>
        <sz val="10"/>
        <color indexed="8"/>
        <rFont val="宋体"/>
        <family val="3"/>
        <charset val="134"/>
      </rPr>
      <t>项目</t>
    </r>
  </si>
  <si>
    <t>…</t>
    <phoneticPr fontId="9" type="noConversion"/>
  </si>
  <si>
    <r>
      <rPr>
        <b/>
        <sz val="10"/>
        <color indexed="8"/>
        <rFont val="宋体"/>
        <family val="3"/>
        <charset val="134"/>
      </rPr>
      <t>本期增加</t>
    </r>
  </si>
  <si>
    <r>
      <rPr>
        <b/>
        <sz val="10"/>
        <color indexed="8"/>
        <rFont val="宋体"/>
        <family val="3"/>
        <charset val="134"/>
      </rPr>
      <t>其他增加</t>
    </r>
  </si>
  <si>
    <t>油气资产名称</t>
  </si>
  <si>
    <t>未探明矿区权益</t>
    <phoneticPr fontId="9" type="noConversion"/>
  </si>
  <si>
    <t>井及相关设施</t>
    <phoneticPr fontId="4" type="noConversion"/>
  </si>
  <si>
    <t>2</t>
    <phoneticPr fontId="9" type="noConversion"/>
  </si>
  <si>
    <t>附注披露信息（上市公司）</t>
    <phoneticPr fontId="9" type="noConversion"/>
  </si>
  <si>
    <t>附注披露信息（国有企业）</t>
    <phoneticPr fontId="9" type="noConversion"/>
  </si>
  <si>
    <t>3</t>
  </si>
  <si>
    <t>4</t>
  </si>
  <si>
    <r>
      <rPr>
        <b/>
        <sz val="10"/>
        <rFont val="宋体"/>
        <family val="3"/>
        <charset val="134"/>
      </rPr>
      <t>一、资产负债表日：</t>
    </r>
    <r>
      <rPr>
        <b/>
        <u/>
        <sz val="10"/>
        <rFont val="Arial Narrow"/>
        <family val="2"/>
      </rPr>
      <t xml:space="preserve">                            </t>
    </r>
  </si>
  <si>
    <r>
      <rPr>
        <b/>
        <sz val="10"/>
        <rFont val="宋体"/>
        <family val="3"/>
        <charset val="134"/>
      </rPr>
      <t>三、了解资产管理情况</t>
    </r>
  </si>
  <si>
    <r>
      <rPr>
        <b/>
        <sz val="10"/>
        <rFont val="宋体"/>
        <family val="3"/>
        <charset val="134"/>
      </rPr>
      <t>三、参与盘点人员：</t>
    </r>
  </si>
  <si>
    <r>
      <t>2</t>
    </r>
    <r>
      <rPr>
        <b/>
        <sz val="10"/>
        <rFont val="宋体"/>
        <family val="3"/>
        <charset val="134"/>
      </rPr>
      <t>．</t>
    </r>
    <r>
      <rPr>
        <b/>
        <sz val="10"/>
        <rFont val="Arial Narrow"/>
        <family val="2"/>
      </rPr>
      <t xml:space="preserve"> </t>
    </r>
    <r>
      <rPr>
        <b/>
        <sz val="10"/>
        <rFont val="宋体"/>
        <family val="3"/>
        <charset val="134"/>
      </rPr>
      <t>审计人员：</t>
    </r>
    <r>
      <rPr>
        <b/>
        <u/>
        <sz val="10"/>
        <rFont val="Arial Narrow"/>
        <family val="2"/>
      </rPr>
      <t xml:space="preserve">                                                           </t>
    </r>
  </si>
  <si>
    <r>
      <rPr>
        <b/>
        <sz val="10"/>
        <rFont val="宋体"/>
        <family val="3"/>
        <charset val="134"/>
      </rPr>
      <t>四、实际盘点前的检查程序：</t>
    </r>
  </si>
  <si>
    <r>
      <t>1</t>
    </r>
    <r>
      <rPr>
        <sz val="10"/>
        <rFont val="宋体"/>
        <family val="3"/>
        <charset val="134"/>
      </rPr>
      <t>．资产现场观察说明：</t>
    </r>
    <r>
      <rPr>
        <u/>
        <sz val="10"/>
        <rFont val="Arial Narrow"/>
        <family val="2"/>
      </rPr>
      <t xml:space="preserve">                                                   </t>
    </r>
  </si>
  <si>
    <r>
      <t>2</t>
    </r>
    <r>
      <rPr>
        <sz val="10"/>
        <rFont val="宋体"/>
        <family val="3"/>
        <charset val="134"/>
      </rPr>
      <t>．盘点前检查程序：</t>
    </r>
  </si>
  <si>
    <r>
      <t xml:space="preserve"> </t>
    </r>
    <r>
      <rPr>
        <b/>
        <sz val="10"/>
        <rFont val="宋体"/>
        <family val="3"/>
        <charset val="134"/>
      </rPr>
      <t>五、实际盘点时间：</t>
    </r>
  </si>
  <si>
    <r>
      <t xml:space="preserve"> </t>
    </r>
    <r>
      <rPr>
        <b/>
        <sz val="10"/>
        <rFont val="宋体"/>
        <family val="3"/>
        <charset val="134"/>
      </rPr>
      <t>六、企业实际盘点情况说明</t>
    </r>
  </si>
  <si>
    <r>
      <rPr>
        <sz val="10"/>
        <rFont val="宋体"/>
        <family val="3"/>
        <charset val="134"/>
      </rPr>
      <t>（一）企业实际盘点人员</t>
    </r>
  </si>
  <si>
    <r>
      <rPr>
        <sz val="10"/>
        <rFont val="宋体"/>
        <family val="3"/>
        <charset val="134"/>
      </rPr>
      <t>岗位：</t>
    </r>
    <r>
      <rPr>
        <sz val="10"/>
        <rFont val="Arial Narrow"/>
        <family val="2"/>
      </rPr>
      <t xml:space="preserve">               </t>
    </r>
  </si>
  <si>
    <r>
      <rPr>
        <sz val="10"/>
        <rFont val="宋体"/>
        <family val="3"/>
        <charset val="134"/>
      </rPr>
      <t>组，其中：</t>
    </r>
  </si>
  <si>
    <r>
      <t xml:space="preserve"> </t>
    </r>
    <r>
      <rPr>
        <sz val="10"/>
        <rFont val="宋体"/>
        <family val="3"/>
        <charset val="134"/>
      </rPr>
      <t>记录</t>
    </r>
  </si>
  <si>
    <r>
      <rPr>
        <sz val="10"/>
        <rFont val="宋体"/>
        <family val="3"/>
        <charset val="134"/>
      </rPr>
      <t>（二）特殊情况说明：</t>
    </r>
  </si>
  <si>
    <r>
      <rPr>
        <b/>
        <sz val="10"/>
        <rFont val="宋体"/>
        <family val="3"/>
        <charset val="134"/>
      </rPr>
      <t>七、审计人员复盘记录：</t>
    </r>
  </si>
  <si>
    <r>
      <rPr>
        <sz val="10"/>
        <rFont val="宋体"/>
        <family val="3"/>
        <charset val="134"/>
      </rPr>
      <t>（一）抽盘样本确定方法</t>
    </r>
  </si>
  <si>
    <r>
      <t>1</t>
    </r>
    <r>
      <rPr>
        <sz val="10"/>
        <rFont val="宋体"/>
        <family val="3"/>
        <charset val="134"/>
      </rPr>
      <t>．从会计明细账中抽取的方法</t>
    </r>
  </si>
  <si>
    <r>
      <t>2</t>
    </r>
    <r>
      <rPr>
        <sz val="10"/>
        <rFont val="宋体"/>
        <family val="3"/>
        <charset val="134"/>
      </rPr>
      <t>．从实物资产中抽取样本的方法</t>
    </r>
  </si>
  <si>
    <r>
      <rPr>
        <sz val="10"/>
        <rFont val="宋体"/>
        <family val="3"/>
        <charset val="134"/>
      </rPr>
      <t>（二）盘点方法：</t>
    </r>
  </si>
  <si>
    <r>
      <rPr>
        <sz val="10"/>
        <rFont val="宋体"/>
        <family val="3"/>
        <charset val="134"/>
      </rPr>
      <t>记录</t>
    </r>
  </si>
  <si>
    <r>
      <rPr>
        <sz val="10"/>
        <rFont val="宋体"/>
        <family val="3"/>
        <charset val="134"/>
      </rPr>
      <t>外，自始至终未离开现场</t>
    </r>
    <r>
      <rPr>
        <sz val="10"/>
        <rFont val="Arial Narrow"/>
        <family val="2"/>
      </rPr>
      <t xml:space="preserve">  </t>
    </r>
    <r>
      <rPr>
        <sz val="10"/>
        <rFont val="宋体"/>
        <family val="3"/>
        <charset val="134"/>
      </rPr>
      <t>是（</t>
    </r>
    <r>
      <rPr>
        <sz val="10"/>
        <rFont val="Arial Narrow"/>
        <family val="2"/>
      </rPr>
      <t xml:space="preserve">   </t>
    </r>
    <r>
      <rPr>
        <sz val="10"/>
        <rFont val="宋体"/>
        <family val="3"/>
        <charset val="134"/>
      </rPr>
      <t>）</t>
    </r>
    <r>
      <rPr>
        <sz val="10"/>
        <rFont val="Arial Narrow"/>
        <family val="2"/>
      </rPr>
      <t xml:space="preserve"> </t>
    </r>
    <r>
      <rPr>
        <sz val="10"/>
        <rFont val="宋体"/>
        <family val="3"/>
        <charset val="134"/>
      </rPr>
      <t>否（</t>
    </r>
    <r>
      <rPr>
        <sz val="10"/>
        <rFont val="Arial Narrow"/>
        <family val="2"/>
      </rPr>
      <t xml:space="preserve">   </t>
    </r>
    <r>
      <rPr>
        <sz val="10"/>
        <rFont val="宋体"/>
        <family val="3"/>
        <charset val="134"/>
      </rPr>
      <t>）。</t>
    </r>
  </si>
  <si>
    <r>
      <rPr>
        <b/>
        <sz val="10"/>
        <rFont val="宋体"/>
        <family val="3"/>
        <charset val="134"/>
      </rPr>
      <t>八、盘点中异常情况说明：</t>
    </r>
  </si>
  <si>
    <r>
      <rPr>
        <b/>
        <sz val="10"/>
        <rFont val="宋体"/>
        <family val="3"/>
        <charset val="134"/>
      </rPr>
      <t>九、复盘记录：</t>
    </r>
    <r>
      <rPr>
        <b/>
        <sz val="10"/>
        <color indexed="12"/>
        <rFont val="宋体"/>
        <family val="3"/>
        <charset val="134"/>
      </rPr>
      <t>（提示：应按照审计准则规定确定复盘的样本）</t>
    </r>
  </si>
  <si>
    <r>
      <t>2</t>
    </r>
    <r>
      <rPr>
        <sz val="10"/>
        <rFont val="宋体"/>
        <family val="3"/>
        <charset val="134"/>
      </rPr>
      <t>、复盘统计：</t>
    </r>
  </si>
  <si>
    <t xml:space="preserve"> %</t>
  </si>
  <si>
    <r>
      <t>3</t>
    </r>
    <r>
      <rPr>
        <sz val="10"/>
        <rFont val="宋体"/>
        <family val="3"/>
        <charset val="134"/>
      </rPr>
      <t>、计算复盘正确率：</t>
    </r>
  </si>
  <si>
    <r>
      <rPr>
        <b/>
        <sz val="10"/>
        <rFont val="宋体"/>
        <family val="3"/>
        <charset val="134"/>
      </rPr>
      <t>十、盘点结束工作说明：</t>
    </r>
  </si>
  <si>
    <r>
      <rPr>
        <sz val="10"/>
        <rFont val="宋体"/>
        <family val="3"/>
        <charset val="134"/>
      </rPr>
      <t>盘点结束后的工作记录</t>
    </r>
  </si>
  <si>
    <r>
      <t xml:space="preserve"> 1</t>
    </r>
    <r>
      <rPr>
        <sz val="10"/>
        <rFont val="宋体"/>
        <family val="3"/>
        <charset val="134"/>
      </rPr>
      <t>、对盘点工作的评价：</t>
    </r>
  </si>
  <si>
    <r>
      <t xml:space="preserve">    </t>
    </r>
    <r>
      <rPr>
        <sz val="10"/>
        <rFont val="宋体"/>
        <family val="3"/>
        <charset val="134"/>
      </rPr>
      <t>设备管理人员对设备保管业务的熟悉程度：</t>
    </r>
    <r>
      <rPr>
        <u/>
        <sz val="10"/>
        <rFont val="Arial Narrow"/>
        <family val="2"/>
      </rPr>
      <t xml:space="preserve">                           </t>
    </r>
  </si>
  <si>
    <r>
      <t xml:space="preserve">    </t>
    </r>
    <r>
      <rPr>
        <sz val="10"/>
        <rFont val="宋体"/>
        <family val="3"/>
        <charset val="134"/>
      </rPr>
      <t>设备管理人员对盘点工作与复盘工作的负责态度：</t>
    </r>
    <r>
      <rPr>
        <u/>
        <sz val="10"/>
        <rFont val="Arial Narrow"/>
        <family val="2"/>
      </rPr>
      <t xml:space="preserve">                     </t>
    </r>
  </si>
  <si>
    <r>
      <t xml:space="preserve">    </t>
    </r>
    <r>
      <rPr>
        <sz val="10"/>
        <rFont val="宋体"/>
        <family val="3"/>
        <charset val="134"/>
      </rPr>
      <t>对审计人员索取的资料配合程度：</t>
    </r>
    <r>
      <rPr>
        <u/>
        <sz val="10"/>
        <rFont val="Arial Narrow"/>
        <family val="2"/>
      </rPr>
      <t xml:space="preserve">                                   </t>
    </r>
  </si>
  <si>
    <r>
      <t xml:space="preserve"> 2</t>
    </r>
    <r>
      <rPr>
        <sz val="10"/>
        <rFont val="宋体"/>
        <family val="3"/>
        <charset val="134"/>
      </rPr>
      <t>、索取由设备人员编制的〈盘点差异说明〉，并请其加盖公章：</t>
    </r>
    <r>
      <rPr>
        <u/>
        <sz val="10"/>
        <rFont val="Arial Narrow"/>
        <family val="2"/>
      </rPr>
      <t xml:space="preserve">            </t>
    </r>
  </si>
  <si>
    <r>
      <t xml:space="preserve"> 3</t>
    </r>
    <r>
      <rPr>
        <sz val="10"/>
        <rFont val="宋体"/>
        <family val="3"/>
        <charset val="134"/>
      </rPr>
      <t>、请被审计单位的人员在〈设备复盘抽查情况表〉上签字：</t>
    </r>
    <r>
      <rPr>
        <u/>
        <sz val="10"/>
        <rFont val="Arial Narrow"/>
        <family val="2"/>
      </rPr>
      <t xml:space="preserve">               </t>
    </r>
  </si>
  <si>
    <r>
      <t>3</t>
    </r>
    <r>
      <rPr>
        <sz val="10"/>
        <rFont val="宋体"/>
        <family val="3"/>
        <charset val="134"/>
      </rPr>
      <t>．井及相关设施盘点说明：</t>
    </r>
    <phoneticPr fontId="9" type="noConversion"/>
  </si>
  <si>
    <t>(2)自行建造</t>
    <phoneticPr fontId="9" type="noConversion"/>
  </si>
  <si>
    <t>(3)其他增加</t>
    <phoneticPr fontId="9" type="noConversion"/>
  </si>
  <si>
    <t>(2)其他减少</t>
    <phoneticPr fontId="9" type="noConversion"/>
  </si>
  <si>
    <t>(2)其他增加</t>
    <phoneticPr fontId="9" type="noConversion"/>
  </si>
  <si>
    <r>
      <rPr>
        <b/>
        <sz val="10"/>
        <rFont val="宋体"/>
        <family val="3"/>
        <charset val="134"/>
      </rPr>
      <t>备注</t>
    </r>
    <phoneticPr fontId="9" type="noConversion"/>
  </si>
  <si>
    <r>
      <rPr>
        <b/>
        <sz val="10"/>
        <rFont val="宋体"/>
        <family val="3"/>
        <charset val="134"/>
      </rPr>
      <t>估计价格</t>
    </r>
    <phoneticPr fontId="9" type="noConversion"/>
  </si>
  <si>
    <r>
      <rPr>
        <b/>
        <sz val="10"/>
        <rFont val="宋体"/>
        <family val="3"/>
        <charset val="134"/>
      </rPr>
      <t>相关税费</t>
    </r>
    <phoneticPr fontId="9" type="noConversion"/>
  </si>
  <si>
    <r>
      <rPr>
        <b/>
        <sz val="10"/>
        <rFont val="宋体"/>
        <family val="3"/>
        <charset val="134"/>
      </rPr>
      <t>其他费用</t>
    </r>
    <phoneticPr fontId="9" type="noConversion"/>
  </si>
  <si>
    <r>
      <rPr>
        <b/>
        <sz val="10"/>
        <rFont val="宋体"/>
        <family val="3"/>
        <charset val="134"/>
      </rPr>
      <t>处置费用合计</t>
    </r>
    <phoneticPr fontId="9" type="noConversion"/>
  </si>
  <si>
    <r>
      <rPr>
        <b/>
        <sz val="10"/>
        <rFont val="宋体"/>
        <family val="3"/>
        <charset val="134"/>
      </rPr>
      <t>合计</t>
    </r>
  </si>
  <si>
    <r>
      <rPr>
        <b/>
        <sz val="10"/>
        <rFont val="宋体"/>
        <family val="3"/>
        <charset val="134"/>
      </rPr>
      <t>审计说明：</t>
    </r>
    <phoneticPr fontId="9" type="noConversion"/>
  </si>
  <si>
    <r>
      <rPr>
        <b/>
        <sz val="10"/>
        <rFont val="宋体"/>
        <family val="3"/>
        <charset val="134"/>
      </rPr>
      <t>预计未来现金流量</t>
    </r>
    <phoneticPr fontId="9" type="noConversion"/>
  </si>
  <si>
    <r>
      <rPr>
        <b/>
        <sz val="10"/>
        <rFont val="宋体"/>
        <family val="3"/>
        <charset val="134"/>
      </rPr>
      <t>增长率确定依据</t>
    </r>
    <phoneticPr fontId="9" type="noConversion"/>
  </si>
  <si>
    <r>
      <rPr>
        <b/>
        <sz val="10"/>
        <rFont val="宋体"/>
        <family val="3"/>
        <charset val="134"/>
      </rPr>
      <t>预计未来现金流量的现值</t>
    </r>
    <phoneticPr fontId="9" type="noConversion"/>
  </si>
  <si>
    <r>
      <rPr>
        <b/>
        <sz val="10"/>
        <rFont val="宋体"/>
        <family val="3"/>
        <charset val="134"/>
      </rPr>
      <t>第二年</t>
    </r>
    <phoneticPr fontId="9" type="noConversion"/>
  </si>
  <si>
    <r>
      <rPr>
        <b/>
        <sz val="10"/>
        <rFont val="宋体"/>
        <family val="3"/>
        <charset val="134"/>
      </rPr>
      <t>基数</t>
    </r>
    <phoneticPr fontId="9" type="noConversion"/>
  </si>
  <si>
    <r>
      <rPr>
        <sz val="10"/>
        <rFont val="宋体"/>
        <family val="3"/>
        <charset val="134"/>
      </rPr>
      <t>预计未来现金净流量</t>
    </r>
    <phoneticPr fontId="9" type="noConversion"/>
  </si>
  <si>
    <r>
      <rPr>
        <sz val="10"/>
        <rFont val="宋体"/>
        <family val="3"/>
        <charset val="134"/>
      </rPr>
      <t>现值</t>
    </r>
    <phoneticPr fontId="9" type="noConversion"/>
  </si>
  <si>
    <r>
      <rPr>
        <sz val="10"/>
        <color indexed="12"/>
        <rFont val="宋体"/>
        <family val="3"/>
        <charset val="134"/>
      </rPr>
      <t>（建立在预算或者预测基础上的预计现金流量最多涵盖</t>
    </r>
    <r>
      <rPr>
        <sz val="10"/>
        <color indexed="12"/>
        <rFont val="Arial Narrow"/>
        <family val="2"/>
      </rPr>
      <t>5</t>
    </r>
    <r>
      <rPr>
        <sz val="10"/>
        <color indexed="12"/>
        <rFont val="宋体"/>
        <family val="3"/>
        <charset val="134"/>
      </rPr>
      <t>年。）</t>
    </r>
    <phoneticPr fontId="9" type="noConversion"/>
  </si>
  <si>
    <r>
      <rPr>
        <b/>
        <sz val="10"/>
        <rFont val="宋体"/>
        <family val="3"/>
        <charset val="134"/>
      </rPr>
      <t>折现率</t>
    </r>
    <phoneticPr fontId="9" type="noConversion"/>
  </si>
  <si>
    <r>
      <rPr>
        <b/>
        <sz val="10"/>
        <rFont val="宋体"/>
        <family val="3"/>
        <charset val="134"/>
      </rPr>
      <t>所得税率</t>
    </r>
    <phoneticPr fontId="9" type="noConversion"/>
  </si>
  <si>
    <r>
      <rPr>
        <b/>
        <sz val="10"/>
        <rFont val="宋体"/>
        <family val="3"/>
        <charset val="134"/>
      </rPr>
      <t>债务总额</t>
    </r>
    <phoneticPr fontId="9" type="noConversion"/>
  </si>
  <si>
    <r>
      <rPr>
        <b/>
        <sz val="10"/>
        <rFont val="宋体"/>
        <family val="3"/>
        <charset val="134"/>
      </rPr>
      <t>资本总额</t>
    </r>
    <phoneticPr fontId="9" type="noConversion"/>
  </si>
  <si>
    <r>
      <rPr>
        <b/>
        <sz val="10"/>
        <rFont val="宋体"/>
        <family val="3"/>
        <charset val="134"/>
      </rPr>
      <t>债务成本</t>
    </r>
    <r>
      <rPr>
        <b/>
        <sz val="10"/>
        <rFont val="Arial Narrow"/>
        <family val="2"/>
      </rPr>
      <t>Kd</t>
    </r>
    <phoneticPr fontId="9" type="noConversion"/>
  </si>
  <si>
    <r>
      <rPr>
        <b/>
        <sz val="10"/>
        <rFont val="宋体"/>
        <family val="3"/>
        <charset val="134"/>
      </rPr>
      <t>无风险报酬率</t>
    </r>
    <r>
      <rPr>
        <b/>
        <sz val="10"/>
        <rFont val="Arial Narrow"/>
        <family val="2"/>
      </rPr>
      <t>Rf</t>
    </r>
    <phoneticPr fontId="9" type="noConversion"/>
  </si>
  <si>
    <r>
      <rPr>
        <sz val="10"/>
        <color indexed="12"/>
        <rFont val="宋体"/>
        <family val="3"/>
        <charset val="134"/>
      </rPr>
      <t>加权平均资金成本（税后）</t>
    </r>
    <r>
      <rPr>
        <sz val="10"/>
        <color indexed="12"/>
        <rFont val="Arial Narrow"/>
        <family val="2"/>
      </rPr>
      <t>:</t>
    </r>
    <phoneticPr fontId="9" type="noConversion"/>
  </si>
  <si>
    <r>
      <rPr>
        <sz val="10"/>
        <color theme="1"/>
        <rFont val="宋体"/>
        <family val="3"/>
        <charset val="134"/>
      </rPr>
      <t>常规★</t>
    </r>
  </si>
  <si>
    <r>
      <rPr>
        <sz val="10"/>
        <rFont val="宋体"/>
        <family val="3"/>
        <charset val="134"/>
      </rPr>
      <t>备选</t>
    </r>
  </si>
  <si>
    <t>6</t>
  </si>
  <si>
    <t>5</t>
  </si>
  <si>
    <t>2</t>
  </si>
  <si>
    <r>
      <rPr>
        <sz val="10"/>
        <color theme="1"/>
        <rFont val="宋体"/>
        <family val="3"/>
        <charset val="134"/>
      </rPr>
      <t>备选</t>
    </r>
  </si>
  <si>
    <r>
      <rPr>
        <sz val="10"/>
        <rFont val="宋体"/>
        <family val="3"/>
        <charset val="134"/>
      </rPr>
      <t>常规★</t>
    </r>
  </si>
  <si>
    <t>7</t>
  </si>
  <si>
    <r>
      <rPr>
        <b/>
        <sz val="10"/>
        <rFont val="宋体"/>
        <family val="3"/>
        <charset val="134"/>
      </rPr>
      <t>②</t>
    </r>
    <phoneticPr fontId="9" type="noConversion"/>
  </si>
  <si>
    <r>
      <rPr>
        <b/>
        <sz val="10"/>
        <rFont val="宋体"/>
        <family val="3"/>
        <charset val="134"/>
      </rPr>
      <t>①</t>
    </r>
    <phoneticPr fontId="9" type="noConversion"/>
  </si>
  <si>
    <r>
      <rPr>
        <sz val="10"/>
        <rFont val="宋体"/>
        <family val="3"/>
        <charset val="134"/>
      </rPr>
      <t>√</t>
    </r>
    <phoneticPr fontId="9" type="noConversion"/>
  </si>
  <si>
    <r>
      <rPr>
        <sz val="10"/>
        <rFont val="宋体"/>
        <family val="3"/>
        <charset val="134"/>
      </rPr>
      <t>油气资产、减值准备</t>
    </r>
  </si>
  <si>
    <r>
      <rPr>
        <b/>
        <sz val="10"/>
        <rFont val="宋体"/>
        <family val="3"/>
        <charset val="134"/>
      </rPr>
      <t>一、本账户涉及的科目</t>
    </r>
    <phoneticPr fontId="9" type="noConversion"/>
  </si>
  <si>
    <t>……</t>
    <phoneticPr fontId="9" type="noConversion"/>
  </si>
  <si>
    <t>…</t>
    <phoneticPr fontId="9" type="noConversion"/>
  </si>
  <si>
    <t xml:space="preserve">    1.期初余额</t>
    <phoneticPr fontId="9" type="noConversion"/>
  </si>
  <si>
    <t>1.期初余额</t>
    <phoneticPr fontId="9" type="noConversion"/>
  </si>
  <si>
    <t xml:space="preserve">    2.期初账面价值</t>
    <phoneticPr fontId="9" type="noConversion"/>
  </si>
  <si>
    <t>H5-9</t>
  </si>
  <si>
    <t>H5-8</t>
  </si>
  <si>
    <t>H5-4</t>
  </si>
  <si>
    <t>H5-3</t>
  </si>
  <si>
    <t>H5-5</t>
  </si>
  <si>
    <t>H5-6</t>
  </si>
  <si>
    <t>H5-7</t>
  </si>
  <si>
    <t>H5-10</t>
  </si>
  <si>
    <t>H5-11</t>
  </si>
  <si>
    <t>H5-12</t>
  </si>
  <si>
    <t>H5-13</t>
  </si>
  <si>
    <t>探明矿区权益</t>
    <phoneticPr fontId="4" type="noConversion"/>
  </si>
  <si>
    <r>
      <t>25</t>
    </r>
    <r>
      <rPr>
        <sz val="12"/>
        <rFont val="宋体"/>
        <family val="3"/>
        <charset val="134"/>
      </rPr>
      <t>、</t>
    </r>
    <r>
      <rPr>
        <sz val="12"/>
        <rFont val="仿宋_GB2312"/>
        <family val="3"/>
        <charset val="134"/>
      </rPr>
      <t>油气资产</t>
    </r>
    <phoneticPr fontId="9" type="noConversion"/>
  </si>
  <si>
    <r>
      <t>（1）</t>
    </r>
    <r>
      <rPr>
        <sz val="12"/>
        <rFont val="仿宋_GB2312"/>
        <family val="3"/>
        <charset val="134"/>
      </rPr>
      <t>当期在国内和国外发生的取得矿区权益、油气勘探和油气开发各项支出的总额。</t>
    </r>
  </si>
  <si>
    <r>
      <rPr>
        <sz val="12"/>
        <rFont val="宋体"/>
        <family val="3"/>
        <charset val="134"/>
      </rPr>
      <t>（</t>
    </r>
    <r>
      <rPr>
        <sz val="12"/>
        <rFont val="Arial Narrow"/>
        <family val="2"/>
      </rPr>
      <t>2</t>
    </r>
    <r>
      <rPr>
        <sz val="12"/>
        <rFont val="宋体"/>
        <family val="3"/>
        <charset val="134"/>
      </rPr>
      <t>）</t>
    </r>
    <r>
      <rPr>
        <sz val="12"/>
        <rFont val="仿宋_GB2312"/>
        <family val="3"/>
        <charset val="134"/>
      </rPr>
      <t>油气资产分类</t>
    </r>
    <phoneticPr fontId="9" type="noConversion"/>
  </si>
  <si>
    <r>
      <t>项</t>
    </r>
    <r>
      <rPr>
        <b/>
        <sz val="10.5"/>
        <rFont val="Arial Narrow"/>
        <family val="2"/>
      </rPr>
      <t xml:space="preserve">  </t>
    </r>
    <r>
      <rPr>
        <b/>
        <sz val="10.5"/>
        <rFont val="仿宋_GB2312"/>
        <family val="3"/>
        <charset val="134"/>
      </rPr>
      <t>目</t>
    </r>
  </si>
  <si>
    <t>期初余额</t>
  </si>
  <si>
    <t>本期增加额</t>
  </si>
  <si>
    <t>本期减少额</t>
  </si>
  <si>
    <r>
      <t>其中：</t>
    </r>
    <r>
      <rPr>
        <sz val="10.5"/>
        <rFont val="Arial Narrow"/>
        <family val="2"/>
      </rPr>
      <t>1</t>
    </r>
    <r>
      <rPr>
        <sz val="10.5"/>
        <rFont val="仿宋_GB2312"/>
        <family val="3"/>
        <charset val="134"/>
      </rPr>
      <t>．探明矿区权益</t>
    </r>
  </si>
  <si>
    <r>
      <t xml:space="preserve">      2</t>
    </r>
    <r>
      <rPr>
        <sz val="10.5"/>
        <rFont val="仿宋_GB2312"/>
        <family val="3"/>
        <charset val="134"/>
      </rPr>
      <t>．未探明矿区权益</t>
    </r>
  </si>
  <si>
    <r>
      <t xml:space="preserve">      3</t>
    </r>
    <r>
      <rPr>
        <sz val="10.5"/>
        <rFont val="仿宋_GB2312"/>
        <family val="3"/>
        <charset val="134"/>
      </rPr>
      <t>．井及相关设施</t>
    </r>
  </si>
  <si>
    <r>
      <t xml:space="preserve">      2</t>
    </r>
    <r>
      <rPr>
        <sz val="10.5"/>
        <rFont val="仿宋_GB2312"/>
        <family val="3"/>
        <charset val="134"/>
      </rPr>
      <t>．井及相关设施</t>
    </r>
  </si>
  <si>
    <t>--</t>
  </si>
  <si>
    <r>
      <t>2025</t>
    </r>
    <r>
      <rPr>
        <b/>
        <sz val="10"/>
        <rFont val="宋体"/>
        <family val="3"/>
        <charset val="134"/>
      </rPr>
      <t>年</t>
    </r>
    <phoneticPr fontId="9" type="noConversion"/>
  </si>
  <si>
    <r>
      <rPr>
        <b/>
        <sz val="10"/>
        <rFont val="宋体"/>
        <family val="3"/>
        <charset val="134"/>
      </rPr>
      <t>行业的长期平均增长率</t>
    </r>
    <phoneticPr fontId="9" type="noConversion"/>
  </si>
  <si>
    <r>
      <rPr>
        <b/>
        <sz val="10"/>
        <rFont val="宋体"/>
        <family val="3"/>
        <charset val="134"/>
      </rPr>
      <t>市场长期平均增长率</t>
    </r>
    <phoneticPr fontId="9" type="noConversion"/>
  </si>
  <si>
    <r>
      <rPr>
        <b/>
        <sz val="10"/>
        <rFont val="宋体"/>
        <family val="3"/>
        <charset val="134"/>
      </rPr>
      <t>所在国家或地区的长期平均增长率</t>
    </r>
    <phoneticPr fontId="9" type="noConversion"/>
  </si>
  <si>
    <r>
      <rPr>
        <b/>
        <sz val="10"/>
        <rFont val="宋体"/>
        <family val="3"/>
        <charset val="134"/>
      </rPr>
      <t>四、审计结论</t>
    </r>
    <phoneticPr fontId="9" type="noConversion"/>
  </si>
  <si>
    <t>……</t>
    <phoneticPr fontId="9" type="noConversion"/>
  </si>
  <si>
    <r>
      <rPr>
        <b/>
        <sz val="10"/>
        <rFont val="宋体"/>
        <family val="3"/>
        <charset val="134"/>
      </rPr>
      <t>底稿索引号</t>
    </r>
    <phoneticPr fontId="9" type="noConversion"/>
  </si>
  <si>
    <r>
      <rPr>
        <b/>
        <sz val="10"/>
        <rFont val="宋体"/>
        <family val="3"/>
        <charset val="134"/>
      </rPr>
      <t>权利和
义务</t>
    </r>
    <phoneticPr fontId="9" type="noConversion"/>
  </si>
  <si>
    <r>
      <rPr>
        <b/>
        <sz val="10"/>
        <rFont val="宋体"/>
        <family val="3"/>
        <charset val="134"/>
      </rPr>
      <t>√</t>
    </r>
    <phoneticPr fontId="9" type="noConversion"/>
  </si>
  <si>
    <r>
      <rPr>
        <sz val="10"/>
        <color rgb="FF0000FF"/>
        <rFont val="宋体"/>
        <family val="3"/>
        <charset val="134"/>
      </rPr>
      <t>持有</t>
    </r>
    <r>
      <rPr>
        <sz val="10"/>
        <color rgb="FF0000FF"/>
        <rFont val="Arial Narrow"/>
        <family val="2"/>
      </rPr>
      <t>5%</t>
    </r>
    <r>
      <rPr>
        <sz val="10"/>
        <color rgb="FF0000FF"/>
        <rFont val="宋体"/>
        <family val="3"/>
        <charset val="134"/>
      </rPr>
      <t>以上股份的法人或其他组织</t>
    </r>
    <phoneticPr fontId="9" type="noConversion"/>
  </si>
  <si>
    <r>
      <rPr>
        <b/>
        <sz val="10"/>
        <rFont val="宋体"/>
        <family val="3"/>
        <charset val="134"/>
      </rPr>
      <t>序号</t>
    </r>
    <phoneticPr fontId="9" type="noConversion"/>
  </si>
  <si>
    <r>
      <rPr>
        <b/>
        <sz val="10"/>
        <rFont val="宋体"/>
        <family val="3"/>
        <charset val="134"/>
      </rPr>
      <t>内容</t>
    </r>
  </si>
  <si>
    <r>
      <rPr>
        <b/>
        <sz val="10"/>
        <rFont val="宋体"/>
        <family val="3"/>
        <charset val="134"/>
      </rPr>
      <t>备注</t>
    </r>
    <phoneticPr fontId="9" type="noConversion"/>
  </si>
  <si>
    <r>
      <rPr>
        <sz val="10"/>
        <rFont val="宋体"/>
        <family val="3"/>
        <charset val="134"/>
      </rPr>
      <t>编制日期：</t>
    </r>
    <phoneticPr fontId="9" type="noConversion"/>
  </si>
  <si>
    <r>
      <rPr>
        <sz val="10"/>
        <color rgb="FF000000"/>
        <rFont val="宋体"/>
        <family val="3"/>
        <charset val="134"/>
      </rPr>
      <t>探明矿区权益</t>
    </r>
  </si>
  <si>
    <r>
      <rPr>
        <sz val="10"/>
        <color rgb="FF000000"/>
        <rFont val="宋体"/>
        <family val="3"/>
        <charset val="134"/>
      </rPr>
      <t>未探明矿区权益</t>
    </r>
  </si>
  <si>
    <r>
      <rPr>
        <sz val="10"/>
        <color rgb="FF000000"/>
        <rFont val="宋体"/>
        <family val="3"/>
        <charset val="134"/>
      </rPr>
      <t>井及相关设施</t>
    </r>
  </si>
  <si>
    <r>
      <rPr>
        <sz val="10"/>
        <rFont val="宋体"/>
        <family val="3"/>
        <charset val="134"/>
      </rPr>
      <t>被审计单位：</t>
    </r>
    <phoneticPr fontId="9" type="noConversion"/>
  </si>
  <si>
    <r>
      <rPr>
        <b/>
        <sz val="10"/>
        <rFont val="宋体"/>
        <family val="3"/>
        <charset val="134"/>
      </rPr>
      <t>序号</t>
    </r>
    <phoneticPr fontId="9" type="noConversion"/>
  </si>
  <si>
    <r>
      <rPr>
        <sz val="10"/>
        <rFont val="宋体"/>
        <family val="3"/>
        <charset val="134"/>
      </rPr>
      <t>复核日期：</t>
    </r>
    <phoneticPr fontId="9" type="noConversion"/>
  </si>
  <si>
    <r>
      <rPr>
        <b/>
        <sz val="10"/>
        <rFont val="宋体"/>
        <family val="3"/>
        <charset val="134"/>
      </rPr>
      <t>底稿开列时，可先在以下单元格填写有关内容，以便其他底稿引用有关数据：</t>
    </r>
    <phoneticPr fontId="9" type="noConversion"/>
  </si>
  <si>
    <t>H5A</t>
    <phoneticPr fontId="9" type="noConversion"/>
  </si>
  <si>
    <t>H5-1</t>
    <phoneticPr fontId="9" type="noConversion"/>
  </si>
  <si>
    <t>H5-2</t>
    <phoneticPr fontId="9" type="noConversion"/>
  </si>
  <si>
    <t>H5-3</t>
    <phoneticPr fontId="9" type="noConversion"/>
  </si>
  <si>
    <t>H5-4</t>
    <phoneticPr fontId="9" type="noConversion"/>
  </si>
  <si>
    <t>H5-5</t>
    <phoneticPr fontId="9" type="noConversion"/>
  </si>
  <si>
    <t>H5-6</t>
    <phoneticPr fontId="9" type="noConversion"/>
  </si>
  <si>
    <t>H5-7</t>
    <phoneticPr fontId="9" type="noConversion"/>
  </si>
  <si>
    <t>H5-8</t>
    <phoneticPr fontId="9" type="noConversion"/>
  </si>
  <si>
    <t>H5-9</t>
    <phoneticPr fontId="9" type="noConversion"/>
  </si>
  <si>
    <t>H5-10</t>
    <phoneticPr fontId="9" type="noConversion"/>
  </si>
  <si>
    <t>H5-11</t>
    <phoneticPr fontId="9" type="noConversion"/>
  </si>
  <si>
    <t>H5-12</t>
    <phoneticPr fontId="9" type="noConversion"/>
  </si>
  <si>
    <t>H5-13</t>
    <phoneticPr fontId="9" type="noConversion"/>
  </si>
  <si>
    <t>H5-14</t>
  </si>
  <si>
    <t>H5-14</t>
    <phoneticPr fontId="9" type="noConversion"/>
  </si>
  <si>
    <t>H5-15</t>
  </si>
  <si>
    <t>H5-15</t>
    <phoneticPr fontId="9" type="noConversion"/>
  </si>
  <si>
    <t>H5-16</t>
  </si>
  <si>
    <t>H5-16</t>
    <phoneticPr fontId="9" type="noConversion"/>
  </si>
  <si>
    <t>H5-17</t>
  </si>
  <si>
    <t>H5-17</t>
    <phoneticPr fontId="9" type="noConversion"/>
  </si>
  <si>
    <t>H5-18</t>
    <phoneticPr fontId="9" type="noConversion"/>
  </si>
  <si>
    <t>H5-19</t>
    <phoneticPr fontId="9" type="noConversion"/>
  </si>
  <si>
    <t>H5-5</t>
    <phoneticPr fontId="9" type="noConversion"/>
  </si>
  <si>
    <t>H5-7</t>
    <phoneticPr fontId="9" type="noConversion"/>
  </si>
  <si>
    <t>H5-8</t>
    <phoneticPr fontId="9" type="noConversion"/>
  </si>
  <si>
    <t>H5-16</t>
    <phoneticPr fontId="9" type="noConversion"/>
  </si>
  <si>
    <t>H5-17</t>
    <phoneticPr fontId="9" type="noConversion"/>
  </si>
  <si>
    <t>H5-18</t>
    <phoneticPr fontId="9" type="noConversion"/>
  </si>
  <si>
    <t>H5-19</t>
    <phoneticPr fontId="9" type="noConversion"/>
  </si>
  <si>
    <t>返回目录</t>
    <phoneticPr fontId="9" type="noConversion"/>
  </si>
  <si>
    <r>
      <rPr>
        <b/>
        <sz val="10"/>
        <rFont val="宋体"/>
        <family val="3"/>
        <charset val="134"/>
      </rPr>
      <t>盘点前财务账面记录</t>
    </r>
  </si>
  <si>
    <r>
      <rPr>
        <b/>
        <sz val="10"/>
        <rFont val="宋体"/>
        <family val="3"/>
        <charset val="134"/>
      </rPr>
      <t>数量</t>
    </r>
  </si>
  <si>
    <r>
      <rPr>
        <b/>
        <sz val="10"/>
        <rFont val="宋体"/>
        <family val="3"/>
        <charset val="134"/>
      </rPr>
      <t>金额</t>
    </r>
  </si>
  <si>
    <r>
      <rPr>
        <sz val="10"/>
        <color theme="10"/>
        <rFont val="宋体"/>
        <family val="3"/>
        <charset val="134"/>
      </rPr>
      <t>附注披露信息（上市公司）</t>
    </r>
  </si>
  <si>
    <r>
      <rPr>
        <sz val="10"/>
        <color theme="10"/>
        <rFont val="宋体"/>
        <family val="3"/>
        <charset val="134"/>
      </rPr>
      <t>附注披露信息（国有企业）</t>
    </r>
  </si>
  <si>
    <t>H5A</t>
    <phoneticPr fontId="9" type="noConversion"/>
  </si>
  <si>
    <t>H5-1</t>
    <phoneticPr fontId="9" type="noConversion"/>
  </si>
  <si>
    <r>
      <rPr>
        <sz val="10"/>
        <color theme="10"/>
        <rFont val="宋体"/>
        <family val="3"/>
        <charset val="134"/>
      </rPr>
      <t>增加检查表</t>
    </r>
    <phoneticPr fontId="9" type="noConversion"/>
  </si>
  <si>
    <r>
      <rPr>
        <sz val="10"/>
        <color theme="10"/>
        <rFont val="宋体"/>
        <family val="3"/>
        <charset val="134"/>
      </rPr>
      <t>盘点检查表</t>
    </r>
    <phoneticPr fontId="9" type="noConversion"/>
  </si>
  <si>
    <r>
      <rPr>
        <sz val="10"/>
        <color theme="10"/>
        <rFont val="宋体"/>
        <family val="3"/>
        <charset val="134"/>
      </rPr>
      <t>折耗分配分析表</t>
    </r>
    <phoneticPr fontId="9" type="noConversion"/>
  </si>
  <si>
    <r>
      <rPr>
        <sz val="10"/>
        <color theme="10"/>
        <rFont val="宋体"/>
        <family val="3"/>
        <charset val="134"/>
      </rPr>
      <t>明细表</t>
    </r>
    <phoneticPr fontId="9" type="noConversion"/>
  </si>
  <si>
    <r>
      <rPr>
        <sz val="10"/>
        <color theme="10"/>
        <rFont val="宋体"/>
        <family val="3"/>
        <charset val="134"/>
      </rPr>
      <t>调整分录汇总</t>
    </r>
    <phoneticPr fontId="9" type="noConversion"/>
  </si>
  <si>
    <r>
      <rPr>
        <sz val="10"/>
        <color theme="10"/>
        <rFont val="宋体"/>
        <family val="3"/>
        <charset val="134"/>
      </rPr>
      <t>分析表</t>
    </r>
    <phoneticPr fontId="9" type="noConversion"/>
  </si>
  <si>
    <r>
      <rPr>
        <sz val="10"/>
        <color theme="10"/>
        <rFont val="宋体"/>
        <family val="3"/>
        <charset val="134"/>
      </rPr>
      <t>监盘计划</t>
    </r>
    <phoneticPr fontId="9" type="noConversion"/>
  </si>
  <si>
    <r>
      <rPr>
        <sz val="10"/>
        <color theme="10"/>
        <rFont val="宋体"/>
        <family val="3"/>
        <charset val="134"/>
      </rPr>
      <t>折耗测算表（不含减值）</t>
    </r>
    <phoneticPr fontId="9" type="noConversion"/>
  </si>
  <si>
    <r>
      <rPr>
        <sz val="10"/>
        <color theme="10"/>
        <rFont val="宋体"/>
        <family val="3"/>
        <charset val="134"/>
      </rPr>
      <t>折耗测算表（含减值）</t>
    </r>
    <phoneticPr fontId="9" type="noConversion"/>
  </si>
  <si>
    <r>
      <rPr>
        <sz val="10"/>
        <color theme="10"/>
        <rFont val="宋体"/>
        <family val="3"/>
        <charset val="134"/>
      </rPr>
      <t>权属检查表</t>
    </r>
    <phoneticPr fontId="9" type="noConversion"/>
  </si>
  <si>
    <r>
      <rPr>
        <sz val="10"/>
        <color theme="10"/>
        <rFont val="宋体"/>
        <family val="3"/>
        <charset val="134"/>
      </rPr>
      <t>可收回金额测试表</t>
    </r>
    <phoneticPr fontId="9" type="noConversion"/>
  </si>
  <si>
    <r>
      <rPr>
        <sz val="10"/>
        <color theme="10"/>
        <rFont val="宋体"/>
        <family val="3"/>
        <charset val="134"/>
      </rPr>
      <t>减值测算表</t>
    </r>
    <phoneticPr fontId="9" type="noConversion"/>
  </si>
  <si>
    <r>
      <rPr>
        <sz val="10"/>
        <rFont val="宋体"/>
        <family val="3"/>
        <charset val="134"/>
      </rPr>
      <t>编制人：</t>
    </r>
    <phoneticPr fontId="9" type="noConversion"/>
  </si>
  <si>
    <r>
      <rPr>
        <b/>
        <sz val="10"/>
        <color rgb="FF000000"/>
        <rFont val="宋体"/>
        <family val="3"/>
        <charset val="134"/>
      </rPr>
      <t>固定资产类别设置（以下内容请根据实际情况修改）：</t>
    </r>
    <phoneticPr fontId="9" type="noConversion"/>
  </si>
  <si>
    <r>
      <rPr>
        <sz val="10"/>
        <color theme="10"/>
        <rFont val="宋体"/>
        <family val="3"/>
        <charset val="134"/>
      </rPr>
      <t>会计政策会计估计检查表</t>
    </r>
    <phoneticPr fontId="9" type="noConversion"/>
  </si>
  <si>
    <r>
      <rPr>
        <sz val="10"/>
        <color theme="10"/>
        <rFont val="宋体"/>
        <family val="3"/>
        <charset val="134"/>
      </rPr>
      <t>油气资产实质性程序表</t>
    </r>
    <phoneticPr fontId="9" type="noConversion"/>
  </si>
  <si>
    <r>
      <rPr>
        <sz val="10"/>
        <rFont val="宋体"/>
        <family val="3"/>
        <charset val="134"/>
      </rPr>
      <t>复核人：</t>
    </r>
    <phoneticPr fontId="9" type="noConversion"/>
  </si>
  <si>
    <r>
      <rPr>
        <sz val="10"/>
        <color theme="10"/>
        <rFont val="宋体"/>
        <family val="3"/>
        <charset val="134"/>
      </rPr>
      <t>审定表</t>
    </r>
    <phoneticPr fontId="9" type="noConversion"/>
  </si>
  <si>
    <r>
      <rPr>
        <sz val="10"/>
        <rFont val="宋体"/>
        <family val="3"/>
        <charset val="134"/>
      </rPr>
      <t>无需打印</t>
    </r>
    <phoneticPr fontId="9" type="noConversion"/>
  </si>
  <si>
    <r>
      <rPr>
        <sz val="10"/>
        <color theme="10"/>
        <rFont val="宋体"/>
        <family val="3"/>
        <charset val="134"/>
      </rPr>
      <t>闲置检查表</t>
    </r>
    <phoneticPr fontId="9" type="noConversion"/>
  </si>
  <si>
    <r>
      <rPr>
        <sz val="10"/>
        <color theme="10"/>
        <rFont val="宋体"/>
        <family val="3"/>
        <charset val="134"/>
      </rPr>
      <t>减少检查表</t>
    </r>
    <phoneticPr fontId="9" type="noConversion"/>
  </si>
  <si>
    <r>
      <rPr>
        <sz val="10"/>
        <color theme="10"/>
        <rFont val="宋体"/>
        <family val="3"/>
        <charset val="134"/>
      </rPr>
      <t>监盘小结</t>
    </r>
    <phoneticPr fontId="9" type="noConversion"/>
  </si>
  <si>
    <r>
      <rPr>
        <sz val="10"/>
        <color theme="10"/>
        <rFont val="宋体"/>
        <family val="3"/>
        <charset val="134"/>
      </rPr>
      <t>关联交易检查表</t>
    </r>
    <phoneticPr fontId="9" type="noConversion"/>
  </si>
  <si>
    <r>
      <rPr>
        <b/>
        <sz val="10"/>
        <rFont val="宋体"/>
        <family val="3"/>
        <charset val="134"/>
      </rPr>
      <t>程序分类</t>
    </r>
    <phoneticPr fontId="9" type="noConversion"/>
  </si>
  <si>
    <r>
      <rPr>
        <b/>
        <sz val="10"/>
        <rFont val="宋体"/>
        <family val="3"/>
        <charset val="134"/>
      </rPr>
      <t>财务报表的认定</t>
    </r>
    <phoneticPr fontId="9" type="noConversion"/>
  </si>
  <si>
    <r>
      <rPr>
        <b/>
        <sz val="10"/>
        <rFont val="宋体"/>
        <family val="3"/>
        <charset val="134"/>
      </rPr>
      <t>存在</t>
    </r>
    <phoneticPr fontId="9" type="noConversion"/>
  </si>
  <si>
    <r>
      <rPr>
        <b/>
        <sz val="10"/>
        <rFont val="宋体"/>
        <family val="3"/>
        <charset val="134"/>
      </rPr>
      <t>完整性</t>
    </r>
    <phoneticPr fontId="9" type="noConversion"/>
  </si>
  <si>
    <r>
      <rPr>
        <b/>
        <sz val="10"/>
        <rFont val="宋体"/>
        <family val="3"/>
        <charset val="134"/>
      </rPr>
      <t>准确性、计价和分摊</t>
    </r>
    <phoneticPr fontId="9" type="noConversion"/>
  </si>
  <si>
    <r>
      <rPr>
        <b/>
        <sz val="10"/>
        <rFont val="宋体"/>
        <family val="3"/>
        <charset val="134"/>
      </rPr>
      <t>列报</t>
    </r>
    <phoneticPr fontId="9" type="noConversion"/>
  </si>
  <si>
    <r>
      <rPr>
        <sz val="10"/>
        <color theme="1"/>
        <rFont val="宋体"/>
        <family val="3"/>
        <charset val="134"/>
      </rPr>
      <t>常规★</t>
    </r>
    <phoneticPr fontId="4" type="noConversion"/>
  </si>
  <si>
    <r>
      <rPr>
        <sz val="10"/>
        <color theme="1"/>
        <rFont val="宋体"/>
        <family val="3"/>
        <charset val="134"/>
      </rPr>
      <t>常规★</t>
    </r>
    <phoneticPr fontId="4" type="noConversion"/>
  </si>
  <si>
    <r>
      <rPr>
        <sz val="10"/>
        <rFont val="宋体"/>
        <family val="3"/>
        <charset val="134"/>
      </rPr>
      <t>以其他方式增加或减少的油气资产
（</t>
    </r>
    <r>
      <rPr>
        <sz val="10"/>
        <rFont val="Arial Narrow"/>
        <family val="2"/>
      </rPr>
      <t>1</t>
    </r>
    <r>
      <rPr>
        <sz val="10"/>
        <rFont val="宋体"/>
        <family val="3"/>
        <charset val="134"/>
      </rPr>
      <t>）对于非货币性资产交换、债务重组、企业合并、投资者投入等交易方式取得或减少的有关长期资产，检查相关合同</t>
    </r>
    <r>
      <rPr>
        <sz val="10"/>
        <rFont val="Arial Narrow"/>
        <family val="2"/>
      </rPr>
      <t>/</t>
    </r>
    <r>
      <rPr>
        <sz val="10"/>
        <rFont val="宋体"/>
        <family val="3"/>
        <charset val="134"/>
      </rPr>
      <t>协议，关注计价是否正确、移交手续是否办理以及会计处理是否正确。
（</t>
    </r>
    <r>
      <rPr>
        <sz val="10"/>
        <rFont val="Arial Narrow"/>
        <family val="2"/>
      </rPr>
      <t>2</t>
    </r>
    <r>
      <rPr>
        <sz val="10"/>
        <rFont val="宋体"/>
        <family val="3"/>
        <charset val="134"/>
      </rPr>
      <t>）对于因清产核资、资产评估调增或调减有关长期资产价值的，检查有关清产核资报告、资产评估报告、国有资产管理等部门的确认文件、验资报告等，检查会计处理是否正确。</t>
    </r>
    <phoneticPr fontId="9" type="noConversion"/>
  </si>
  <si>
    <r>
      <rPr>
        <sz val="10"/>
        <color theme="1"/>
        <rFont val="宋体"/>
        <family val="3"/>
        <charset val="134"/>
      </rPr>
      <t>备选</t>
    </r>
    <phoneticPr fontId="9" type="noConversion"/>
  </si>
  <si>
    <r>
      <rPr>
        <sz val="10"/>
        <rFont val="宋体"/>
        <family val="3"/>
        <charset val="134"/>
      </rPr>
      <t>存放其他地方的资产（如有），考虑实地观察或函证由其他人保管或保管在盘点地之外的资产。</t>
    </r>
    <r>
      <rPr>
        <sz val="10"/>
        <rFont val="Arial Narrow"/>
        <family val="2"/>
      </rPr>
      <t xml:space="preserve"> </t>
    </r>
    <phoneticPr fontId="9" type="noConversion"/>
  </si>
  <si>
    <r>
      <rPr>
        <sz val="10"/>
        <rFont val="宋体"/>
        <family val="3"/>
        <charset val="134"/>
      </rPr>
      <t>检查油气资产折耗，考虑执行下列程序：
（</t>
    </r>
    <r>
      <rPr>
        <sz val="10"/>
        <rFont val="Arial Narrow"/>
        <family val="2"/>
      </rPr>
      <t>1</t>
    </r>
    <r>
      <rPr>
        <sz val="10"/>
        <rFont val="宋体"/>
        <family val="3"/>
        <charset val="134"/>
      </rPr>
      <t>）获取或编制折耗分类汇总表，复核加计正确，并与总账数和明细账合计数核对。
（</t>
    </r>
    <r>
      <rPr>
        <sz val="10"/>
        <rFont val="Arial Narrow"/>
        <family val="2"/>
      </rPr>
      <t>2</t>
    </r>
    <r>
      <rPr>
        <sz val="10"/>
        <rFont val="宋体"/>
        <family val="3"/>
        <charset val="134"/>
      </rPr>
      <t>）重新计算折耗</t>
    </r>
    <r>
      <rPr>
        <sz val="10"/>
        <rFont val="Arial Narrow"/>
        <family val="2"/>
      </rPr>
      <t xml:space="preserve"> </t>
    </r>
    <r>
      <rPr>
        <sz val="10"/>
        <rFont val="宋体"/>
        <family val="3"/>
        <charset val="134"/>
      </rPr>
      <t>。
（</t>
    </r>
    <r>
      <rPr>
        <sz val="10"/>
        <rFont val="Arial Narrow"/>
        <family val="2"/>
      </rPr>
      <t>3</t>
    </r>
    <r>
      <rPr>
        <sz val="10"/>
        <rFont val="宋体"/>
        <family val="3"/>
        <charset val="134"/>
      </rPr>
      <t>）获取暂时闲置、已提足折旧仍继续使用和前期已计提减值准备的油气资产的相关证明文件，并观察其实际状况，检查是否已按规定计提折耗；</t>
    </r>
    <r>
      <rPr>
        <sz val="10"/>
        <rFont val="Arial Narrow"/>
        <family val="2"/>
      </rPr>
      <t xml:space="preserve"> 
</t>
    </r>
    <r>
      <rPr>
        <sz val="10"/>
        <rFont val="宋体"/>
        <family val="3"/>
        <charset val="134"/>
      </rPr>
      <t>（</t>
    </r>
    <r>
      <rPr>
        <sz val="10"/>
        <rFont val="Arial Narrow"/>
        <family val="2"/>
      </rPr>
      <t>4</t>
    </r>
    <r>
      <rPr>
        <sz val="10"/>
        <rFont val="宋体"/>
        <family val="3"/>
        <charset val="134"/>
      </rPr>
      <t>）检查折耗分配到各种费用的情况，将</t>
    </r>
    <r>
      <rPr>
        <sz val="10"/>
        <rFont val="Arial Narrow"/>
        <family val="2"/>
      </rPr>
      <t>“</t>
    </r>
    <r>
      <rPr>
        <sz val="10"/>
        <rFont val="宋体"/>
        <family val="3"/>
        <charset val="134"/>
      </rPr>
      <t>累计折耗</t>
    </r>
    <r>
      <rPr>
        <sz val="10"/>
        <rFont val="Arial Narrow"/>
        <family val="2"/>
      </rPr>
      <t>”</t>
    </r>
    <r>
      <rPr>
        <sz val="10"/>
        <rFont val="宋体"/>
        <family val="3"/>
        <charset val="134"/>
      </rPr>
      <t>账户贷方的本期计提折旧额与相应成本费用中的折耗费用明细账户的借方相比较，以查明所计提折耗金额是否已全部摊入本期产品成本或费用；分配是否合理，与上期分配方法是否一致。</t>
    </r>
    <phoneticPr fontId="9" type="noConversion"/>
  </si>
  <si>
    <r>
      <rPr>
        <sz val="10"/>
        <rFont val="宋体"/>
        <family val="3"/>
        <charset val="134"/>
      </rPr>
      <t>检查油气资产的所有权或控制权
（</t>
    </r>
    <r>
      <rPr>
        <sz val="10"/>
        <rFont val="Arial Narrow"/>
        <family val="2"/>
      </rPr>
      <t>1</t>
    </r>
    <r>
      <rPr>
        <sz val="10"/>
        <rFont val="宋体"/>
        <family val="3"/>
        <charset val="134"/>
      </rPr>
      <t>）检查资产权属证明原件，结合银行借款等项目的检查，了解是否设定对外抵押，并取得复印件作为工作底稿；
（</t>
    </r>
    <r>
      <rPr>
        <sz val="10"/>
        <rFont val="Arial Narrow"/>
        <family val="2"/>
      </rPr>
      <t>2</t>
    </r>
    <r>
      <rPr>
        <sz val="10"/>
        <rFont val="宋体"/>
        <family val="3"/>
        <charset val="134"/>
      </rPr>
      <t>）对于正在办理权属证明的大额资产，了解权属证明办理情况，确认是否存在权属纠纷或实质性障碍。</t>
    </r>
    <phoneticPr fontId="9" type="noConversion"/>
  </si>
  <si>
    <r>
      <rPr>
        <sz val="10"/>
        <rFont val="宋体"/>
        <family val="3"/>
        <charset val="134"/>
      </rPr>
      <t>检查关联交易情况，检查关联交易的真实性、合理性及合规性；检查关联交易会计处理是否正确，考虑是否存在未识别的关联方，检查关联交易和余额披露是否正确。</t>
    </r>
    <phoneticPr fontId="9" type="noConversion"/>
  </si>
  <si>
    <r>
      <rPr>
        <sz val="10"/>
        <rFont val="宋体"/>
        <family val="3"/>
        <charset val="134"/>
      </rPr>
      <t>针对长期资产租赁（经营租出油气资产），考虑执行下列程序：
（</t>
    </r>
    <r>
      <rPr>
        <sz val="10"/>
        <rFont val="Arial Narrow"/>
        <family val="2"/>
      </rPr>
      <t>1</t>
    </r>
    <r>
      <rPr>
        <sz val="10"/>
        <rFont val="宋体"/>
        <family val="3"/>
        <charset val="134"/>
      </rPr>
      <t>）获取或编制资产租赁明细表，获取租赁合同</t>
    </r>
    <r>
      <rPr>
        <sz val="10"/>
        <rFont val="Arial Narrow"/>
        <family val="2"/>
      </rPr>
      <t>/</t>
    </r>
    <r>
      <rPr>
        <sz val="10"/>
        <rFont val="宋体"/>
        <family val="3"/>
        <charset val="134"/>
      </rPr>
      <t>协议，核对重要条款，检查租赁分类是否正确。
（</t>
    </r>
    <r>
      <rPr>
        <sz val="10"/>
        <rFont val="Arial Narrow"/>
        <family val="2"/>
      </rPr>
      <t>2</t>
    </r>
    <r>
      <rPr>
        <sz val="10"/>
        <rFont val="宋体"/>
        <family val="3"/>
        <charset val="134"/>
      </rPr>
      <t>）根据租赁合同</t>
    </r>
    <r>
      <rPr>
        <sz val="10"/>
        <rFont val="Arial Narrow"/>
        <family val="2"/>
      </rPr>
      <t>/</t>
    </r>
    <r>
      <rPr>
        <sz val="10"/>
        <rFont val="宋体"/>
        <family val="3"/>
        <charset val="134"/>
      </rPr>
      <t>协议等文件，检查初始直接费用、或有租金确认是否合理，会计处理是否正确，重新计算租金收入并与利润表其他业务收入进行核对。</t>
    </r>
    <phoneticPr fontId="9" type="noConversion"/>
  </si>
  <si>
    <r>
      <rPr>
        <sz val="10"/>
        <rFont val="宋体"/>
        <family val="3"/>
        <charset val="134"/>
      </rPr>
      <t>针对长期资产租赁（融资租出油气资产），考虑执行下列程序：
（</t>
    </r>
    <r>
      <rPr>
        <sz val="10"/>
        <rFont val="Arial Narrow"/>
        <family val="2"/>
      </rPr>
      <t>1</t>
    </r>
    <r>
      <rPr>
        <sz val="10"/>
        <rFont val="宋体"/>
        <family val="3"/>
        <charset val="134"/>
      </rPr>
      <t>）获取或编制资产租赁明细表，获取租赁合同</t>
    </r>
    <r>
      <rPr>
        <sz val="10"/>
        <rFont val="Arial Narrow"/>
        <family val="2"/>
      </rPr>
      <t>/</t>
    </r>
    <r>
      <rPr>
        <sz val="10"/>
        <rFont val="宋体"/>
        <family val="3"/>
        <charset val="134"/>
      </rPr>
      <t>协议，核对重要条款，检查租赁分类是否正确，与油气资产增减变动明细表核对一致；
（</t>
    </r>
    <r>
      <rPr>
        <sz val="10"/>
        <rFont val="Arial Narrow"/>
        <family val="2"/>
      </rPr>
      <t>2</t>
    </r>
    <r>
      <rPr>
        <sz val="10"/>
        <rFont val="宋体"/>
        <family val="3"/>
        <charset val="134"/>
      </rPr>
      <t>）检查长期应收款、未确认融资收益的计算是否正确，实际利率、初始直接费用及或有租金的确认是否合理；
（</t>
    </r>
    <r>
      <rPr>
        <sz val="10"/>
        <rFont val="Arial Narrow"/>
        <family val="2"/>
      </rPr>
      <t>3</t>
    </r>
    <r>
      <rPr>
        <sz val="10"/>
        <rFont val="宋体"/>
        <family val="3"/>
        <charset val="134"/>
      </rPr>
      <t>）未担保余值发生变动的，分析变动原因，检查会计处理是否正确。
（</t>
    </r>
    <r>
      <rPr>
        <sz val="10"/>
        <rFont val="Arial Narrow"/>
        <family val="2"/>
      </rPr>
      <t>4</t>
    </r>
    <r>
      <rPr>
        <sz val="10"/>
        <rFont val="宋体"/>
        <family val="3"/>
        <charset val="134"/>
      </rPr>
      <t>）本期租赁期届满的，分析处理方式（收回、优惠续租和出售），检查会计处理是否正确。</t>
    </r>
    <phoneticPr fontId="9" type="noConversion"/>
  </si>
  <si>
    <r>
      <rPr>
        <sz val="10"/>
        <rFont val="宋体"/>
        <family val="3"/>
        <charset val="134"/>
      </rPr>
      <t>根据评估的舞弊风险等因素增加的审计程序。</t>
    </r>
  </si>
  <si>
    <r>
      <t>A 1-1/</t>
    </r>
    <r>
      <rPr>
        <sz val="10"/>
        <color rgb="FFFF0000"/>
        <rFont val="Arial Narrow"/>
        <family val="2"/>
      </rPr>
      <t>A1-15 /A1-16</t>
    </r>
    <phoneticPr fontId="9" type="noConversion"/>
  </si>
  <si>
    <r>
      <rPr>
        <b/>
        <sz val="10"/>
        <rFont val="宋体"/>
        <family val="3"/>
        <charset val="134"/>
      </rPr>
      <t>期初数</t>
    </r>
    <phoneticPr fontId="9" type="noConversion"/>
  </si>
  <si>
    <r>
      <rPr>
        <b/>
        <sz val="10"/>
        <rFont val="宋体"/>
        <family val="3"/>
        <charset val="134"/>
      </rPr>
      <t>期末数</t>
    </r>
    <phoneticPr fontId="9" type="noConversion"/>
  </si>
  <si>
    <r>
      <rPr>
        <b/>
        <sz val="10"/>
        <color indexed="8"/>
        <rFont val="宋体"/>
        <family val="3"/>
        <charset val="134"/>
      </rPr>
      <t>本期审定数与上期
审定数的比较</t>
    </r>
    <phoneticPr fontId="9" type="noConversion"/>
  </si>
  <si>
    <r>
      <rPr>
        <b/>
        <sz val="10"/>
        <rFont val="宋体"/>
        <family val="3"/>
        <charset val="134"/>
      </rPr>
      <t>未审数</t>
    </r>
    <phoneticPr fontId="9" type="noConversion"/>
  </si>
  <si>
    <r>
      <rPr>
        <b/>
        <sz val="10"/>
        <rFont val="宋体"/>
        <family val="3"/>
        <charset val="134"/>
      </rPr>
      <t>账项调整</t>
    </r>
    <phoneticPr fontId="9" type="noConversion"/>
  </si>
  <si>
    <r>
      <rPr>
        <b/>
        <sz val="10"/>
        <rFont val="宋体"/>
        <family val="3"/>
        <charset val="134"/>
      </rPr>
      <t>审定数</t>
    </r>
    <phoneticPr fontId="9" type="noConversion"/>
  </si>
  <si>
    <r>
      <rPr>
        <b/>
        <sz val="10"/>
        <rFont val="宋体"/>
        <family val="3"/>
        <charset val="134"/>
      </rPr>
      <t>变动额</t>
    </r>
    <phoneticPr fontId="9" type="noConversion"/>
  </si>
  <si>
    <r>
      <rPr>
        <b/>
        <sz val="10"/>
        <color indexed="8"/>
        <rFont val="宋体"/>
        <family val="3"/>
        <charset val="134"/>
      </rPr>
      <t>变动率</t>
    </r>
    <phoneticPr fontId="9" type="noConversion"/>
  </si>
  <si>
    <r>
      <rPr>
        <b/>
        <sz val="10"/>
        <color indexed="8"/>
        <rFont val="宋体"/>
        <family val="3"/>
        <charset val="134"/>
      </rPr>
      <t>一、油气资产原值</t>
    </r>
    <phoneticPr fontId="9" type="noConversion"/>
  </si>
  <si>
    <r>
      <rPr>
        <b/>
        <sz val="10"/>
        <color indexed="8"/>
        <rFont val="宋体"/>
        <family val="3"/>
        <charset val="134"/>
      </rPr>
      <t>合计</t>
    </r>
    <phoneticPr fontId="9" type="noConversion"/>
  </si>
  <si>
    <r>
      <rPr>
        <b/>
        <sz val="10"/>
        <color indexed="8"/>
        <rFont val="宋体"/>
        <family val="3"/>
        <charset val="134"/>
      </rPr>
      <t>二、累计折耗</t>
    </r>
    <phoneticPr fontId="9" type="noConversion"/>
  </si>
  <si>
    <r>
      <rPr>
        <b/>
        <sz val="10"/>
        <color indexed="8"/>
        <rFont val="宋体"/>
        <family val="3"/>
        <charset val="134"/>
      </rPr>
      <t>三、减值准备</t>
    </r>
    <phoneticPr fontId="9" type="noConversion"/>
  </si>
  <si>
    <r>
      <rPr>
        <b/>
        <sz val="10"/>
        <color indexed="8"/>
        <rFont val="宋体"/>
        <family val="3"/>
        <charset val="134"/>
      </rPr>
      <t>四、净值</t>
    </r>
    <phoneticPr fontId="9" type="noConversion"/>
  </si>
  <si>
    <r>
      <t>1</t>
    </r>
    <r>
      <rPr>
        <b/>
        <sz val="10"/>
        <rFont val="宋体"/>
        <family val="3"/>
        <charset val="134"/>
      </rPr>
      <t>、审计说明：</t>
    </r>
    <phoneticPr fontId="9" type="noConversion"/>
  </si>
  <si>
    <r>
      <rPr>
        <sz val="10"/>
        <rFont val="宋体"/>
        <family val="3"/>
        <charset val="134"/>
      </rPr>
      <t>（</t>
    </r>
    <r>
      <rPr>
        <sz val="10"/>
        <rFont val="Arial Narrow"/>
        <family val="2"/>
      </rPr>
      <t>1</t>
    </r>
    <r>
      <rPr>
        <sz val="10"/>
        <rFont val="宋体"/>
        <family val="3"/>
        <charset val="134"/>
      </rPr>
      <t>）油气资产期末净值较期初净值增加（负数为减少）：</t>
    </r>
    <phoneticPr fontId="9"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</si>
  <si>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9" type="noConversion"/>
  </si>
  <si>
    <r>
      <rPr>
        <sz val="10"/>
        <rFont val="宋体"/>
        <family val="3"/>
        <charset val="134"/>
      </rPr>
      <t>期末数</t>
    </r>
    <phoneticPr fontId="13" type="noConversion"/>
  </si>
  <si>
    <r>
      <rPr>
        <sz val="10"/>
        <rFont val="宋体"/>
        <family val="3"/>
        <charset val="134"/>
      </rPr>
      <t>期初数</t>
    </r>
    <phoneticPr fontId="13" type="noConversion"/>
  </si>
  <si>
    <r>
      <rPr>
        <sz val="10"/>
        <rFont val="宋体"/>
        <family val="3"/>
        <charset val="134"/>
      </rPr>
      <t>油气资产净值审定数</t>
    </r>
  </si>
  <si>
    <r>
      <rPr>
        <sz val="10"/>
        <rFont val="宋体"/>
        <family val="3"/>
        <charset val="134"/>
      </rPr>
      <t>试算平衡表</t>
    </r>
    <phoneticPr fontId="13" type="noConversion"/>
  </si>
  <si>
    <r>
      <rPr>
        <sz val="10"/>
        <rFont val="宋体"/>
        <family val="3"/>
        <charset val="134"/>
      </rPr>
      <t>差异</t>
    </r>
    <phoneticPr fontId="13" type="noConversion"/>
  </si>
  <si>
    <r>
      <t>2</t>
    </r>
    <r>
      <rPr>
        <b/>
        <sz val="10"/>
        <rFont val="宋体"/>
        <family val="3"/>
        <charset val="134"/>
      </rPr>
      <t>、审计结论：</t>
    </r>
    <phoneticPr fontId="9" type="noConversion"/>
  </si>
  <si>
    <r>
      <t>1</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9" type="noConversion"/>
  </si>
  <si>
    <r>
      <rPr>
        <sz val="10"/>
        <color indexed="12"/>
        <rFont val="宋体"/>
        <family val="3"/>
        <charset val="134"/>
      </rPr>
      <t>以及可能对审计报告的影响。</t>
    </r>
    <phoneticPr fontId="9"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</si>
  <si>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9" type="noConversion"/>
  </si>
  <si>
    <r>
      <t>(</t>
    </r>
    <r>
      <rPr>
        <sz val="10"/>
        <color indexed="12"/>
        <rFont val="宋体"/>
        <family val="3"/>
        <charset val="134"/>
      </rPr>
      <t>识别和实际评估的重大错报风险、尤其识特别风险，以及对内控了解和控制测试情况〔采用综合方案时〕）；</t>
    </r>
    <phoneticPr fontId="9" type="noConversion"/>
  </si>
  <si>
    <r>
      <rPr>
        <sz val="10"/>
        <color indexed="12"/>
        <rFont val="宋体"/>
        <family val="3"/>
        <charset val="134"/>
      </rPr>
      <t>提示：</t>
    </r>
    <r>
      <rPr>
        <sz val="10"/>
        <color indexed="12"/>
        <rFont val="Arial Narrow"/>
        <family val="2"/>
      </rPr>
      <t>a</t>
    </r>
    <r>
      <rPr>
        <sz val="10"/>
        <color indexed="12"/>
        <rFont val="宋体"/>
        <family val="3"/>
        <charset val="134"/>
      </rPr>
      <t>、收入科目应当假定存在舞弊的特别风险，如不存在，应说明理由；</t>
    </r>
    <phoneticPr fontId="9" type="noConversion"/>
  </si>
  <si>
    <r>
      <t>b</t>
    </r>
    <r>
      <rPr>
        <sz val="10"/>
        <color indexed="12"/>
        <rFont val="宋体"/>
        <family val="3"/>
        <charset val="134"/>
      </rPr>
      <t>、涉及特别风险时，应当重点说明有关事项、应当措施、结果〔可索引有关底稿〕。</t>
    </r>
  </si>
  <si>
    <r>
      <rPr>
        <b/>
        <sz val="10"/>
        <color indexed="12"/>
        <rFont val="宋体"/>
        <family val="3"/>
        <charset val="134"/>
      </rPr>
      <t>特别风险涉及的事项包括但不限于：</t>
    </r>
    <r>
      <rPr>
        <sz val="10"/>
        <color indexed="12"/>
        <rFont val="Arial Narrow"/>
        <family val="2"/>
      </rPr>
      <t/>
    </r>
    <phoneticPr fontId="9" type="noConversion"/>
  </si>
  <si>
    <r>
      <rPr>
        <sz val="10"/>
        <color indexed="12"/>
        <rFont val="宋体"/>
        <family val="3"/>
        <charset val="134"/>
      </rPr>
      <t>（</t>
    </r>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9"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</si>
  <si>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</si>
  <si>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</si>
  <si>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9" type="noConversion"/>
  </si>
  <si>
    <r>
      <t>B</t>
    </r>
    <r>
      <rPr>
        <sz val="10"/>
        <color indexed="12"/>
        <rFont val="宋体"/>
        <family val="3"/>
        <charset val="134"/>
      </rPr>
      <t>、发现的重大不符事项（如适用）</t>
    </r>
    <phoneticPr fontId="9" type="noConversion"/>
  </si>
  <si>
    <r>
      <rPr>
        <sz val="10"/>
        <color indexed="12"/>
        <rFont val="宋体"/>
        <family val="3"/>
        <charset val="134"/>
      </rPr>
      <t>按调整事项，逐笔概述调整原因及对本科目的调整金额，并说明相关底稿的索引号。</t>
    </r>
    <phoneticPr fontId="9" type="noConversion"/>
  </si>
  <si>
    <r>
      <rPr>
        <sz val="10"/>
        <color indexed="12"/>
        <rFont val="宋体"/>
        <family val="3"/>
        <charset val="134"/>
      </rPr>
      <t>〔即具体事项内容和调整分录，见经索引的本科目或相关科目的检查表或测算表〕</t>
    </r>
    <phoneticPr fontId="9" type="noConversion"/>
  </si>
  <si>
    <r>
      <t>2</t>
    </r>
    <r>
      <rPr>
        <sz val="10"/>
        <color indexed="12"/>
        <rFont val="宋体"/>
        <family val="3"/>
        <charset val="134"/>
      </rPr>
      <t>、说明基于获取的审计证据，在有关认定方面，是否发现重大错报或存在重大异常。</t>
    </r>
    <phoneticPr fontId="9" type="noConversion"/>
  </si>
  <si>
    <r>
      <rPr>
        <b/>
        <sz val="10"/>
        <color indexed="8"/>
        <rFont val="宋体"/>
        <family val="3"/>
        <charset val="134"/>
      </rPr>
      <t>一、审计目标</t>
    </r>
    <r>
      <rPr>
        <b/>
        <sz val="10"/>
        <color indexed="8"/>
        <rFont val="Arial Narrow"/>
        <family val="2"/>
      </rPr>
      <t>:</t>
    </r>
    <phoneticPr fontId="13" type="noConversion"/>
  </si>
  <si>
    <r>
      <t>1.</t>
    </r>
    <r>
      <rPr>
        <sz val="10"/>
        <rFont val="宋体"/>
        <family val="3"/>
        <charset val="134"/>
      </rPr>
      <t>资产负债表中记录的油气资产是存在的，且已记录于恰当的账户；</t>
    </r>
    <r>
      <rPr>
        <sz val="10"/>
        <rFont val="Arial Narrow"/>
        <family val="2"/>
      </rPr>
      <t>2.</t>
    </r>
    <r>
      <rPr>
        <sz val="10"/>
        <rFont val="宋体"/>
        <family val="3"/>
        <charset val="134"/>
      </rPr>
      <t>所有应记录的油气资产均已记录，所有应当包括在财务报表中的相关披露均已包括；</t>
    </r>
    <phoneticPr fontId="9" type="noConversion"/>
  </si>
  <si>
    <r>
      <t>3.</t>
    </r>
    <r>
      <rPr>
        <sz val="10"/>
        <rFont val="宋体"/>
        <family val="3"/>
        <charset val="134"/>
      </rPr>
      <t>油气资产以恰当的金额包括在财务报表中，与之相关的计价或分摊调整已恰当记录，相关披露已得到恰当计量和描述</t>
    </r>
    <r>
      <rPr>
        <sz val="10"/>
        <rFont val="Arial Narrow"/>
        <family val="2"/>
      </rPr>
      <t xml:space="preserve"> </t>
    </r>
    <phoneticPr fontId="9" type="noConversion"/>
  </si>
  <si>
    <r>
      <rPr>
        <b/>
        <sz val="10"/>
        <rFont val="宋体"/>
        <family val="3"/>
        <charset val="134"/>
      </rPr>
      <t>二、审计过程：</t>
    </r>
    <phoneticPr fontId="9" type="noConversion"/>
  </si>
  <si>
    <r>
      <rPr>
        <b/>
        <sz val="10"/>
        <rFont val="宋体"/>
        <family val="3"/>
        <charset val="134"/>
      </rPr>
      <t>油气资产类别</t>
    </r>
  </si>
  <si>
    <r>
      <rPr>
        <b/>
        <sz val="10"/>
        <rFont val="宋体"/>
        <family val="3"/>
        <charset val="134"/>
      </rPr>
      <t>油气资产编号</t>
    </r>
  </si>
  <si>
    <r>
      <rPr>
        <b/>
        <sz val="10"/>
        <rFont val="宋体"/>
        <family val="3"/>
        <charset val="134"/>
      </rPr>
      <t>油气资产名称</t>
    </r>
  </si>
  <si>
    <r>
      <rPr>
        <b/>
        <sz val="10"/>
        <color indexed="8"/>
        <rFont val="宋体"/>
        <family val="3"/>
        <charset val="134"/>
      </rPr>
      <t>油气资产原值</t>
    </r>
  </si>
  <si>
    <r>
      <rPr>
        <b/>
        <sz val="10"/>
        <color indexed="8"/>
        <rFont val="宋体"/>
        <family val="3"/>
        <charset val="134"/>
      </rPr>
      <t>累计折耗</t>
    </r>
    <phoneticPr fontId="47" type="noConversion"/>
  </si>
  <si>
    <r>
      <rPr>
        <b/>
        <sz val="10"/>
        <color indexed="8"/>
        <rFont val="宋体"/>
        <family val="3"/>
        <charset val="134"/>
      </rPr>
      <t>减值准备</t>
    </r>
    <phoneticPr fontId="47" type="noConversion"/>
  </si>
  <si>
    <r>
      <rPr>
        <b/>
        <sz val="10"/>
        <color indexed="8"/>
        <rFont val="宋体"/>
        <family val="3"/>
        <charset val="134"/>
      </rPr>
      <t>期初净值</t>
    </r>
    <phoneticPr fontId="47" type="noConversion"/>
  </si>
  <si>
    <r>
      <rPr>
        <b/>
        <sz val="10"/>
        <color indexed="8"/>
        <rFont val="宋体"/>
        <family val="3"/>
        <charset val="134"/>
      </rPr>
      <t>期末净值</t>
    </r>
    <phoneticPr fontId="47" type="noConversion"/>
  </si>
  <si>
    <r>
      <rPr>
        <b/>
        <sz val="10"/>
        <color indexed="8"/>
        <rFont val="宋体"/>
        <family val="3"/>
        <charset val="134"/>
      </rPr>
      <t>未审数</t>
    </r>
    <phoneticPr fontId="47" type="noConversion"/>
  </si>
  <si>
    <r>
      <rPr>
        <b/>
        <sz val="10"/>
        <color indexed="8"/>
        <rFont val="宋体"/>
        <family val="3"/>
        <charset val="134"/>
      </rPr>
      <t>期初调整</t>
    </r>
    <phoneticPr fontId="47" type="noConversion"/>
  </si>
  <si>
    <r>
      <rPr>
        <b/>
        <sz val="10"/>
        <color indexed="8"/>
        <rFont val="宋体"/>
        <family val="3"/>
        <charset val="134"/>
      </rPr>
      <t>账项调整</t>
    </r>
    <phoneticPr fontId="47" type="noConversion"/>
  </si>
  <si>
    <r>
      <rPr>
        <b/>
        <sz val="10"/>
        <color indexed="8"/>
        <rFont val="宋体"/>
        <family val="3"/>
        <charset val="134"/>
      </rPr>
      <t>审定数</t>
    </r>
    <phoneticPr fontId="47" type="noConversion"/>
  </si>
  <si>
    <r>
      <rPr>
        <b/>
        <sz val="10"/>
        <color indexed="8"/>
        <rFont val="宋体"/>
        <family val="3"/>
        <charset val="134"/>
      </rPr>
      <t>未审数</t>
    </r>
    <phoneticPr fontId="47" type="noConversion"/>
  </si>
  <si>
    <r>
      <rPr>
        <b/>
        <sz val="10"/>
        <color indexed="8"/>
        <rFont val="宋体"/>
        <family val="3"/>
        <charset val="134"/>
      </rPr>
      <t>期初调整</t>
    </r>
    <phoneticPr fontId="47" type="noConversion"/>
  </si>
  <si>
    <r>
      <rPr>
        <b/>
        <sz val="10"/>
        <color indexed="8"/>
        <rFont val="宋体"/>
        <family val="3"/>
        <charset val="134"/>
      </rPr>
      <t>账项调整</t>
    </r>
    <phoneticPr fontId="47" type="noConversion"/>
  </si>
  <si>
    <r>
      <rPr>
        <b/>
        <sz val="10"/>
        <color indexed="8"/>
        <rFont val="宋体"/>
        <family val="3"/>
        <charset val="134"/>
      </rPr>
      <t>审定数</t>
    </r>
    <phoneticPr fontId="47" type="noConversion"/>
  </si>
  <si>
    <r>
      <rPr>
        <b/>
        <sz val="10"/>
        <color indexed="8"/>
        <rFont val="宋体"/>
        <family val="3"/>
        <charset val="134"/>
      </rPr>
      <t>期初调整</t>
    </r>
    <phoneticPr fontId="47" type="noConversion"/>
  </si>
  <si>
    <r>
      <rPr>
        <b/>
        <sz val="10"/>
        <color indexed="8"/>
        <rFont val="宋体"/>
        <family val="3"/>
        <charset val="134"/>
      </rPr>
      <t>期初数</t>
    </r>
    <phoneticPr fontId="9" type="noConversion"/>
  </si>
  <si>
    <r>
      <rPr>
        <b/>
        <sz val="10"/>
        <color indexed="8"/>
        <rFont val="宋体"/>
        <family val="3"/>
        <charset val="134"/>
      </rPr>
      <t>本期增加</t>
    </r>
    <phoneticPr fontId="9" type="noConversion"/>
  </si>
  <si>
    <r>
      <rPr>
        <b/>
        <sz val="10"/>
        <color indexed="8"/>
        <rFont val="宋体"/>
        <family val="3"/>
        <charset val="134"/>
      </rPr>
      <t>本期减少</t>
    </r>
    <phoneticPr fontId="47" type="noConversion"/>
  </si>
  <si>
    <r>
      <rPr>
        <b/>
        <sz val="10"/>
        <color indexed="8"/>
        <rFont val="宋体"/>
        <family val="3"/>
        <charset val="134"/>
      </rPr>
      <t>期末数</t>
    </r>
    <phoneticPr fontId="47" type="noConversion"/>
  </si>
  <si>
    <r>
      <rPr>
        <b/>
        <sz val="10"/>
        <color indexed="8"/>
        <rFont val="宋体"/>
        <family val="3"/>
        <charset val="134"/>
      </rPr>
      <t>本期增加</t>
    </r>
    <phoneticPr fontId="9" type="noConversion"/>
  </si>
  <si>
    <r>
      <rPr>
        <b/>
        <sz val="10"/>
        <color indexed="8"/>
        <rFont val="宋体"/>
        <family val="3"/>
        <charset val="134"/>
      </rPr>
      <t>本期减少</t>
    </r>
    <phoneticPr fontId="9" type="noConversion"/>
  </si>
  <si>
    <r>
      <rPr>
        <b/>
        <sz val="10"/>
        <color indexed="8"/>
        <rFont val="宋体"/>
        <family val="3"/>
        <charset val="134"/>
      </rPr>
      <t>本期减少</t>
    </r>
    <phoneticPr fontId="9" type="noConversion"/>
  </si>
  <si>
    <r>
      <rPr>
        <b/>
        <sz val="10"/>
        <color indexed="8"/>
        <rFont val="宋体"/>
        <family val="3"/>
        <charset val="134"/>
      </rPr>
      <t>期末数</t>
    </r>
    <phoneticPr fontId="9" type="noConversion"/>
  </si>
  <si>
    <r>
      <rPr>
        <b/>
        <sz val="10"/>
        <color indexed="8"/>
        <rFont val="宋体"/>
        <family val="3"/>
        <charset val="134"/>
      </rPr>
      <t>期初数</t>
    </r>
    <phoneticPr fontId="9" type="noConversion"/>
  </si>
  <si>
    <r>
      <rPr>
        <b/>
        <sz val="10"/>
        <color indexed="8"/>
        <rFont val="宋体"/>
        <family val="3"/>
        <charset val="134"/>
      </rPr>
      <t>本期减少</t>
    </r>
    <phoneticPr fontId="47" type="noConversion"/>
  </si>
  <si>
    <r>
      <rPr>
        <b/>
        <sz val="10"/>
        <color indexed="8"/>
        <rFont val="宋体"/>
        <family val="3"/>
        <charset val="134"/>
      </rPr>
      <t>期末数</t>
    </r>
    <phoneticPr fontId="9" type="noConversion"/>
  </si>
  <si>
    <r>
      <rPr>
        <b/>
        <sz val="10"/>
        <color indexed="8"/>
        <rFont val="宋体"/>
        <family val="3"/>
        <charset val="134"/>
      </rPr>
      <t>期初数</t>
    </r>
    <phoneticPr fontId="9" type="noConversion"/>
  </si>
  <si>
    <r>
      <rPr>
        <b/>
        <sz val="10"/>
        <color indexed="8"/>
        <rFont val="宋体"/>
        <family val="3"/>
        <charset val="134"/>
      </rPr>
      <t>本期减少</t>
    </r>
    <phoneticPr fontId="47" type="noConversion"/>
  </si>
  <si>
    <r>
      <rPr>
        <b/>
        <sz val="10"/>
        <color indexed="8"/>
        <rFont val="宋体"/>
        <family val="3"/>
        <charset val="134"/>
      </rPr>
      <t>期末数</t>
    </r>
    <phoneticPr fontId="9" type="noConversion"/>
  </si>
  <si>
    <r>
      <rPr>
        <b/>
        <sz val="10"/>
        <color indexed="8"/>
        <rFont val="宋体"/>
        <family val="3"/>
        <charset val="134"/>
      </rPr>
      <t>期初数</t>
    </r>
    <phoneticPr fontId="9" type="noConversion"/>
  </si>
  <si>
    <r>
      <rPr>
        <b/>
        <sz val="10"/>
        <color indexed="8"/>
        <rFont val="宋体"/>
        <family val="3"/>
        <charset val="134"/>
      </rPr>
      <t>本期减少</t>
    </r>
    <phoneticPr fontId="9" type="noConversion"/>
  </si>
  <si>
    <r>
      <rPr>
        <b/>
        <sz val="10"/>
        <color indexed="8"/>
        <rFont val="宋体"/>
        <family val="3"/>
        <charset val="134"/>
      </rPr>
      <t>未审净值</t>
    </r>
    <phoneticPr fontId="47" type="noConversion"/>
  </si>
  <si>
    <r>
      <rPr>
        <b/>
        <sz val="10"/>
        <color indexed="8"/>
        <rFont val="宋体"/>
        <family val="3"/>
        <charset val="134"/>
      </rPr>
      <t>审定净值</t>
    </r>
    <phoneticPr fontId="47" type="noConversion"/>
  </si>
  <si>
    <r>
      <rPr>
        <b/>
        <sz val="10"/>
        <color indexed="8"/>
        <rFont val="宋体"/>
        <family val="3"/>
        <charset val="134"/>
      </rPr>
      <t>金额</t>
    </r>
    <phoneticPr fontId="9" type="noConversion"/>
  </si>
  <si>
    <r>
      <rPr>
        <b/>
        <sz val="10"/>
        <color rgb="FFFF0000"/>
        <rFont val="宋体"/>
        <family val="3"/>
        <charset val="134"/>
      </rPr>
      <t>增加方式</t>
    </r>
    <phoneticPr fontId="9" type="noConversion"/>
  </si>
  <si>
    <r>
      <rPr>
        <b/>
        <sz val="10"/>
        <color indexed="8"/>
        <rFont val="宋体"/>
        <family val="3"/>
        <charset val="134"/>
      </rPr>
      <t>金额</t>
    </r>
    <phoneticPr fontId="9" type="noConversion"/>
  </si>
  <si>
    <r>
      <rPr>
        <b/>
        <sz val="10"/>
        <color rgb="FFFF0000"/>
        <rFont val="宋体"/>
        <family val="3"/>
        <charset val="134"/>
      </rPr>
      <t>减少方式</t>
    </r>
    <phoneticPr fontId="9" type="noConversion"/>
  </si>
  <si>
    <r>
      <rPr>
        <b/>
        <sz val="10"/>
        <color indexed="8"/>
        <rFont val="宋体"/>
        <family val="3"/>
        <charset val="134"/>
      </rPr>
      <t>本期计提</t>
    </r>
    <phoneticPr fontId="9" type="noConversion"/>
  </si>
  <si>
    <r>
      <rPr>
        <b/>
        <sz val="10"/>
        <color indexed="8"/>
        <rFont val="宋体"/>
        <family val="3"/>
        <charset val="134"/>
      </rPr>
      <t>处置</t>
    </r>
    <phoneticPr fontId="47" type="noConversion"/>
  </si>
  <si>
    <r>
      <rPr>
        <b/>
        <sz val="10"/>
        <color indexed="8"/>
        <rFont val="宋体"/>
        <family val="3"/>
        <charset val="134"/>
      </rPr>
      <t>其他减少</t>
    </r>
    <phoneticPr fontId="47" type="noConversion"/>
  </si>
  <si>
    <r>
      <rPr>
        <b/>
        <sz val="10"/>
        <color indexed="8"/>
        <rFont val="宋体"/>
        <family val="3"/>
        <charset val="134"/>
      </rPr>
      <t>本期计提</t>
    </r>
    <phoneticPr fontId="47" type="noConversion"/>
  </si>
  <si>
    <r>
      <rPr>
        <sz val="10"/>
        <rFont val="宋体"/>
        <family val="3"/>
        <charset val="134"/>
      </rPr>
      <t>其中：</t>
    </r>
    <phoneticPr fontId="9" type="noConversion"/>
  </si>
  <si>
    <r>
      <rPr>
        <b/>
        <sz val="10"/>
        <rFont val="宋体"/>
        <family val="3"/>
        <charset val="134"/>
      </rPr>
      <t>三、审计说明：</t>
    </r>
    <phoneticPr fontId="9" type="noConversion"/>
  </si>
  <si>
    <r>
      <rPr>
        <b/>
        <sz val="10"/>
        <rFont val="宋体"/>
        <family val="3"/>
        <charset val="134"/>
      </rPr>
      <t>备注</t>
    </r>
    <phoneticPr fontId="9" type="noConversion"/>
  </si>
  <si>
    <r>
      <rPr>
        <b/>
        <sz val="10"/>
        <color indexed="8"/>
        <rFont val="宋体"/>
        <family val="3"/>
        <charset val="134"/>
      </rPr>
      <t>调整事项说明</t>
    </r>
    <phoneticPr fontId="9"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</si>
  <si>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9" type="noConversion"/>
  </si>
  <si>
    <r>
      <rPr>
        <b/>
        <sz val="10"/>
        <color indexed="8"/>
        <rFont val="宋体"/>
        <family val="3"/>
        <charset val="134"/>
      </rPr>
      <t>报表项目</t>
    </r>
    <phoneticPr fontId="9" type="noConversion"/>
  </si>
  <si>
    <r>
      <rPr>
        <b/>
        <sz val="10"/>
        <rFont val="宋体"/>
        <family val="3"/>
        <charset val="134"/>
      </rPr>
      <t>科目名称</t>
    </r>
    <phoneticPr fontId="9" type="noConversion"/>
  </si>
  <si>
    <r>
      <rPr>
        <b/>
        <sz val="10"/>
        <rFont val="宋体"/>
        <family val="3"/>
        <charset val="134"/>
      </rPr>
      <t>附注项目</t>
    </r>
    <phoneticPr fontId="9" type="noConversion"/>
  </si>
  <si>
    <r>
      <rPr>
        <b/>
        <sz val="10"/>
        <rFont val="宋体"/>
        <family val="3"/>
        <charset val="134"/>
      </rPr>
      <t>借方调整金额</t>
    </r>
    <phoneticPr fontId="9" type="noConversion"/>
  </si>
  <si>
    <r>
      <rPr>
        <b/>
        <sz val="10"/>
        <rFont val="宋体"/>
        <family val="3"/>
        <charset val="134"/>
      </rPr>
      <t>贷方调整金额</t>
    </r>
    <phoneticPr fontId="9" type="noConversion"/>
  </si>
  <si>
    <r>
      <rPr>
        <b/>
        <sz val="10"/>
        <rFont val="宋体"/>
        <family val="3"/>
        <charset val="134"/>
      </rPr>
      <t>索引</t>
    </r>
    <phoneticPr fontId="9" type="noConversion"/>
  </si>
  <si>
    <r>
      <rPr>
        <b/>
        <sz val="10"/>
        <color indexed="8"/>
        <rFont val="宋体"/>
        <family val="3"/>
        <charset val="134"/>
      </rPr>
      <t>预计处置时间</t>
    </r>
    <phoneticPr fontId="9" type="noConversion"/>
  </si>
  <si>
    <r>
      <rPr>
        <b/>
        <sz val="10"/>
        <rFont val="宋体"/>
        <family val="3"/>
        <charset val="134"/>
      </rPr>
      <t>一、审计目标：</t>
    </r>
    <r>
      <rPr>
        <sz val="10"/>
        <rFont val="Arial Narrow"/>
        <family val="2"/>
      </rPr>
      <t>1.</t>
    </r>
    <r>
      <rPr>
        <sz val="10"/>
        <rFont val="宋体"/>
        <family val="3"/>
        <charset val="134"/>
      </rPr>
      <t>资产负债表中记录的油气资产是存在的，且已记录于恰当的账户；</t>
    </r>
    <r>
      <rPr>
        <sz val="10"/>
        <rFont val="Arial Narrow"/>
        <family val="2"/>
      </rPr>
      <t>2.</t>
    </r>
    <r>
      <rPr>
        <sz val="10"/>
        <rFont val="宋体"/>
        <family val="3"/>
        <charset val="134"/>
      </rPr>
      <t>油气资产以恰当的金额包括在财务报表中，与之相关的计价或分摊调整已恰当记录，相关披露已得到恰当计量和描述</t>
    </r>
    <r>
      <rPr>
        <sz val="10"/>
        <rFont val="Arial Narrow"/>
        <family val="2"/>
      </rPr>
      <t xml:space="preserve"> </t>
    </r>
    <phoneticPr fontId="9" type="noConversion"/>
  </si>
  <si>
    <r>
      <rPr>
        <b/>
        <sz val="10"/>
        <rFont val="宋体"/>
        <family val="3"/>
        <charset val="134"/>
      </rPr>
      <t>二、审计过程：</t>
    </r>
    <phoneticPr fontId="9" type="noConversion"/>
  </si>
  <si>
    <r>
      <rPr>
        <b/>
        <sz val="10"/>
        <rFont val="宋体"/>
        <family val="3"/>
        <charset val="134"/>
      </rPr>
      <t>①未使用油气资产：</t>
    </r>
    <phoneticPr fontId="9" type="noConversion"/>
  </si>
  <si>
    <r>
      <rPr>
        <b/>
        <sz val="10"/>
        <rFont val="宋体"/>
        <family val="3"/>
        <charset val="134"/>
      </rPr>
      <t>序号</t>
    </r>
  </si>
  <si>
    <r>
      <rPr>
        <b/>
        <sz val="10"/>
        <rFont val="宋体"/>
        <family val="3"/>
        <charset val="134"/>
      </rPr>
      <t>油气资产类别</t>
    </r>
    <r>
      <rPr>
        <b/>
        <sz val="10"/>
        <rFont val="Arial Narrow"/>
        <family val="2"/>
      </rPr>
      <t>/</t>
    </r>
    <r>
      <rPr>
        <b/>
        <sz val="10"/>
        <rFont val="宋体"/>
        <family val="3"/>
        <charset val="134"/>
      </rPr>
      <t>名称</t>
    </r>
  </si>
  <si>
    <r>
      <rPr>
        <b/>
        <sz val="10"/>
        <rFont val="宋体"/>
        <family val="3"/>
        <charset val="134"/>
      </rPr>
      <t>油气资产原值</t>
    </r>
  </si>
  <si>
    <r>
      <rPr>
        <b/>
        <sz val="10"/>
        <rFont val="宋体"/>
        <family val="3"/>
        <charset val="134"/>
      </rPr>
      <t>油气资产净值</t>
    </r>
  </si>
  <si>
    <r>
      <rPr>
        <b/>
        <sz val="10"/>
        <rFont val="宋体"/>
        <family val="3"/>
        <charset val="134"/>
      </rPr>
      <t>起止时间</t>
    </r>
  </si>
  <si>
    <r>
      <rPr>
        <b/>
        <sz val="10"/>
        <rFont val="宋体"/>
        <family val="3"/>
        <charset val="134"/>
      </rPr>
      <t>状况</t>
    </r>
  </si>
  <si>
    <r>
      <rPr>
        <b/>
        <sz val="10"/>
        <rFont val="宋体"/>
        <family val="3"/>
        <charset val="134"/>
      </rPr>
      <t>备注</t>
    </r>
  </si>
  <si>
    <r>
      <rPr>
        <b/>
        <sz val="10"/>
        <rFont val="宋体"/>
        <family val="3"/>
        <charset val="134"/>
      </rPr>
      <t>合计</t>
    </r>
    <phoneticPr fontId="9" type="noConversion"/>
  </si>
  <si>
    <r>
      <rPr>
        <b/>
        <sz val="10"/>
        <rFont val="宋体"/>
        <family val="3"/>
        <charset val="134"/>
      </rPr>
      <t>②不需用油气资产：</t>
    </r>
    <phoneticPr fontId="9" type="noConversion"/>
  </si>
  <si>
    <r>
      <rPr>
        <b/>
        <sz val="10"/>
        <rFont val="宋体"/>
        <family val="3"/>
        <charset val="134"/>
      </rPr>
      <t>合计</t>
    </r>
    <phoneticPr fontId="9" type="noConversion"/>
  </si>
  <si>
    <r>
      <rPr>
        <b/>
        <sz val="10"/>
        <rFont val="宋体"/>
        <family val="3"/>
        <charset val="134"/>
      </rPr>
      <t>③持有待售油气资产：</t>
    </r>
    <phoneticPr fontId="9" type="noConversion"/>
  </si>
  <si>
    <r>
      <rPr>
        <b/>
        <sz val="10"/>
        <color indexed="8"/>
        <rFont val="宋体"/>
        <family val="3"/>
        <charset val="134"/>
      </rPr>
      <t>公允价值</t>
    </r>
    <phoneticPr fontId="9" type="noConversion"/>
  </si>
  <si>
    <r>
      <rPr>
        <b/>
        <sz val="10"/>
        <color indexed="8"/>
        <rFont val="宋体"/>
        <family val="3"/>
        <charset val="134"/>
      </rPr>
      <t>预计处置费用</t>
    </r>
    <phoneticPr fontId="9" type="noConversion"/>
  </si>
  <si>
    <r>
      <rPr>
        <b/>
        <sz val="10"/>
        <color indexed="8"/>
        <rFont val="宋体"/>
        <family val="3"/>
        <charset val="134"/>
      </rPr>
      <t>备注</t>
    </r>
    <phoneticPr fontId="9" type="noConversion"/>
  </si>
  <si>
    <r>
      <rPr>
        <b/>
        <sz val="10"/>
        <rFont val="宋体"/>
        <family val="3"/>
        <charset val="134"/>
      </rPr>
      <t>三、审计说明：</t>
    </r>
    <phoneticPr fontId="9" type="noConversion"/>
  </si>
  <si>
    <r>
      <rPr>
        <b/>
        <sz val="10"/>
        <rFont val="宋体"/>
        <family val="3"/>
        <charset val="134"/>
      </rPr>
      <t>四、审计结论：</t>
    </r>
    <phoneticPr fontId="9" type="noConversion"/>
  </si>
  <si>
    <r>
      <t>1.</t>
    </r>
    <r>
      <rPr>
        <sz val="10"/>
        <color rgb="FF0000FF"/>
        <rFont val="宋体"/>
        <family val="3"/>
        <charset val="134"/>
      </rPr>
      <t>获取暂时闲置油气资产的相关证明文件，并观察其实际状况，是否已按规定计提折旧，相关的会计处理是否正确。</t>
    </r>
  </si>
  <si>
    <r>
      <t>2.</t>
    </r>
    <r>
      <rPr>
        <sz val="10"/>
        <color rgb="FF0000FF"/>
        <rFont val="宋体"/>
        <family val="3"/>
        <charset val="134"/>
      </rPr>
      <t>获取持有待售油气资产的相关证明文件，并作相应记录，检查对其预计净残值调整是否正确、会计处理是否正确。</t>
    </r>
  </si>
  <si>
    <r>
      <rPr>
        <b/>
        <sz val="10"/>
        <color indexed="8"/>
        <rFont val="宋体"/>
        <family val="3"/>
        <charset val="134"/>
      </rPr>
      <t>类别</t>
    </r>
  </si>
  <si>
    <r>
      <rPr>
        <b/>
        <sz val="10"/>
        <color indexed="8"/>
        <rFont val="宋体"/>
        <family val="3"/>
        <charset val="134"/>
      </rPr>
      <t>一、审计目标：</t>
    </r>
    <phoneticPr fontId="13" type="noConversion"/>
  </si>
  <si>
    <r>
      <rPr>
        <b/>
        <sz val="10"/>
        <rFont val="宋体"/>
        <family val="3"/>
        <charset val="134"/>
      </rPr>
      <t>被审计单位的油气资产折耗政策：</t>
    </r>
  </si>
  <si>
    <r>
      <rPr>
        <b/>
        <sz val="10"/>
        <color indexed="8"/>
        <rFont val="宋体"/>
        <family val="3"/>
        <charset val="134"/>
      </rPr>
      <t>折耗年限</t>
    </r>
  </si>
  <si>
    <r>
      <rPr>
        <b/>
        <sz val="10"/>
        <color indexed="8"/>
        <rFont val="宋体"/>
        <family val="3"/>
        <charset val="134"/>
      </rPr>
      <t>折耗方法</t>
    </r>
  </si>
  <si>
    <r>
      <rPr>
        <b/>
        <sz val="10"/>
        <color indexed="8"/>
        <rFont val="宋体"/>
        <family val="3"/>
        <charset val="134"/>
      </rPr>
      <t>残值率</t>
    </r>
    <phoneticPr fontId="9" type="noConversion"/>
  </si>
  <si>
    <r>
      <rPr>
        <b/>
        <sz val="10"/>
        <color indexed="8"/>
        <rFont val="宋体"/>
        <family val="3"/>
        <charset val="134"/>
      </rPr>
      <t>是否与相关资产所包含的经济利益预期实现方式相一致</t>
    </r>
  </si>
  <si>
    <r>
      <rPr>
        <b/>
        <sz val="10"/>
        <color indexed="8"/>
        <rFont val="宋体"/>
        <family val="3"/>
        <charset val="134"/>
      </rPr>
      <t>与同行业公司相比，会计政策是否合理</t>
    </r>
    <phoneticPr fontId="9" type="noConversion"/>
  </si>
  <si>
    <r>
      <rPr>
        <b/>
        <sz val="10"/>
        <rFont val="宋体"/>
        <family val="3"/>
        <charset val="134"/>
      </rPr>
      <t>同行业其他公司的油气资产折耗政策</t>
    </r>
  </si>
  <si>
    <r>
      <rPr>
        <b/>
        <sz val="10"/>
        <color indexed="8"/>
        <rFont val="宋体"/>
        <family val="3"/>
        <charset val="134"/>
      </rPr>
      <t>序号</t>
    </r>
    <phoneticPr fontId="9" type="noConversion"/>
  </si>
  <si>
    <r>
      <rPr>
        <b/>
        <sz val="10"/>
        <color indexed="8"/>
        <rFont val="宋体"/>
        <family val="3"/>
        <charset val="134"/>
      </rPr>
      <t>残值率</t>
    </r>
    <phoneticPr fontId="9" type="noConversion"/>
  </si>
  <si>
    <r>
      <rPr>
        <b/>
        <sz val="10"/>
        <rFont val="宋体"/>
        <family val="3"/>
        <charset val="134"/>
      </rPr>
      <t>如本期存在会计估计变更，原会计估计如下：</t>
    </r>
    <phoneticPr fontId="9" type="noConversion"/>
  </si>
  <si>
    <r>
      <rPr>
        <b/>
        <sz val="10"/>
        <color indexed="8"/>
        <rFont val="宋体"/>
        <family val="3"/>
        <charset val="134"/>
      </rPr>
      <t>使用寿命</t>
    </r>
  </si>
  <si>
    <r>
      <rPr>
        <b/>
        <sz val="10"/>
        <color indexed="8"/>
        <rFont val="宋体"/>
        <family val="3"/>
        <charset val="134"/>
      </rPr>
      <t>摊销方法</t>
    </r>
  </si>
  <si>
    <r>
      <rPr>
        <b/>
        <sz val="10"/>
        <rFont val="宋体"/>
        <family val="3"/>
        <charset val="134"/>
      </rPr>
      <t>三、审计说明：</t>
    </r>
    <phoneticPr fontId="9" type="noConversion"/>
  </si>
  <si>
    <r>
      <rPr>
        <b/>
        <sz val="10"/>
        <rFont val="宋体"/>
        <family val="3"/>
        <charset val="134"/>
      </rPr>
      <t>二、审计过程：</t>
    </r>
    <phoneticPr fontId="9" type="noConversion"/>
  </si>
  <si>
    <r>
      <rPr>
        <b/>
        <sz val="10"/>
        <color indexed="8"/>
        <rFont val="宋体"/>
        <family val="3"/>
        <charset val="134"/>
      </rPr>
      <t>是否存在会计政策</t>
    </r>
    <r>
      <rPr>
        <b/>
        <sz val="10"/>
        <color indexed="8"/>
        <rFont val="Arial Narrow"/>
        <family val="2"/>
      </rPr>
      <t>/</t>
    </r>
    <r>
      <rPr>
        <b/>
        <sz val="10"/>
        <color indexed="8"/>
        <rFont val="宋体"/>
        <family val="3"/>
        <charset val="134"/>
      </rPr>
      <t>会计估计变更</t>
    </r>
    <phoneticPr fontId="9" type="noConversion"/>
  </si>
  <si>
    <r>
      <rPr>
        <b/>
        <sz val="10"/>
        <color indexed="8"/>
        <rFont val="宋体"/>
        <family val="3"/>
        <charset val="134"/>
      </rPr>
      <t>会计政策</t>
    </r>
    <r>
      <rPr>
        <b/>
        <sz val="10"/>
        <color indexed="8"/>
        <rFont val="Arial Narrow"/>
        <family val="2"/>
      </rPr>
      <t>/</t>
    </r>
    <r>
      <rPr>
        <b/>
        <sz val="10"/>
        <color indexed="8"/>
        <rFont val="宋体"/>
        <family val="3"/>
        <charset val="134"/>
      </rPr>
      <t>会计估计变更是否合理</t>
    </r>
    <phoneticPr fontId="9" type="noConversion"/>
  </si>
  <si>
    <r>
      <rPr>
        <b/>
        <sz val="10"/>
        <color indexed="8"/>
        <rFont val="宋体"/>
        <family val="3"/>
        <charset val="134"/>
      </rPr>
      <t>一、审计目标：</t>
    </r>
    <phoneticPr fontId="13" type="noConversion"/>
  </si>
  <si>
    <r>
      <rPr>
        <b/>
        <sz val="10"/>
        <color indexed="8"/>
        <rFont val="宋体"/>
        <family val="3"/>
        <charset val="134"/>
      </rPr>
      <t>序号</t>
    </r>
    <phoneticPr fontId="9" type="noConversion"/>
  </si>
  <si>
    <r>
      <rPr>
        <b/>
        <sz val="10"/>
        <color indexed="8"/>
        <rFont val="宋体"/>
        <family val="3"/>
        <charset val="134"/>
      </rPr>
      <t>残值率</t>
    </r>
    <phoneticPr fontId="9" type="noConversion"/>
  </si>
  <si>
    <r>
      <rPr>
        <b/>
        <sz val="10"/>
        <color indexed="8"/>
        <rFont val="宋体"/>
        <family val="3"/>
        <charset val="134"/>
      </rPr>
      <t>是否符合实际经营情况和会计准则的要求</t>
    </r>
    <phoneticPr fontId="9" type="noConversion"/>
  </si>
  <si>
    <r>
      <rPr>
        <b/>
        <sz val="10"/>
        <color indexed="8"/>
        <rFont val="宋体"/>
        <family val="3"/>
        <charset val="134"/>
      </rPr>
      <t>同行业公司</t>
    </r>
    <r>
      <rPr>
        <b/>
        <sz val="10"/>
        <color indexed="8"/>
        <rFont val="Arial Narrow"/>
        <family val="2"/>
      </rPr>
      <t>1</t>
    </r>
    <phoneticPr fontId="9" type="noConversion"/>
  </si>
  <si>
    <r>
      <rPr>
        <b/>
        <sz val="10"/>
        <color indexed="8"/>
        <rFont val="宋体"/>
        <family val="3"/>
        <charset val="134"/>
      </rPr>
      <t>同行业公司</t>
    </r>
    <r>
      <rPr>
        <b/>
        <sz val="10"/>
        <color indexed="8"/>
        <rFont val="Arial Narrow"/>
        <family val="2"/>
      </rPr>
      <t>2</t>
    </r>
    <phoneticPr fontId="9" type="noConversion"/>
  </si>
  <si>
    <r>
      <rPr>
        <b/>
        <sz val="10"/>
        <color indexed="8"/>
        <rFont val="宋体"/>
        <family val="3"/>
        <charset val="134"/>
      </rPr>
      <t>同行业公司</t>
    </r>
    <r>
      <rPr>
        <b/>
        <sz val="10"/>
        <color indexed="8"/>
        <rFont val="Arial Narrow"/>
        <family val="2"/>
      </rPr>
      <t>3</t>
    </r>
    <phoneticPr fontId="9" type="noConversion"/>
  </si>
  <si>
    <r>
      <rPr>
        <b/>
        <sz val="10"/>
        <color indexed="8"/>
        <rFont val="宋体"/>
        <family val="3"/>
        <charset val="134"/>
      </rPr>
      <t>序号</t>
    </r>
    <phoneticPr fontId="9" type="noConversion"/>
  </si>
  <si>
    <r>
      <rPr>
        <b/>
        <sz val="10"/>
        <color indexed="8"/>
        <rFont val="宋体"/>
        <family val="3"/>
        <charset val="134"/>
      </rPr>
      <t>残值率</t>
    </r>
    <phoneticPr fontId="9" type="noConversion"/>
  </si>
  <si>
    <r>
      <rPr>
        <b/>
        <sz val="10"/>
        <rFont val="宋体"/>
        <family val="3"/>
        <charset val="134"/>
      </rPr>
      <t>四、审计结论：</t>
    </r>
    <phoneticPr fontId="9" type="noConversion"/>
  </si>
  <si>
    <r>
      <rPr>
        <b/>
        <sz val="10"/>
        <color indexed="8"/>
        <rFont val="宋体"/>
        <family val="3"/>
        <charset val="134"/>
      </rPr>
      <t>一、审计目标：</t>
    </r>
    <r>
      <rPr>
        <sz val="10"/>
        <color indexed="8"/>
        <rFont val="Arial Narrow"/>
        <family val="2"/>
      </rPr>
      <t/>
    </r>
    <phoneticPr fontId="13" type="noConversion"/>
  </si>
  <si>
    <r>
      <t>1.</t>
    </r>
    <r>
      <rPr>
        <sz val="10"/>
        <color indexed="8"/>
        <rFont val="宋体"/>
        <family val="3"/>
        <charset val="134"/>
      </rPr>
      <t>资产负债表中记录的油气资产是存在的，且已记录于恰当的账户；</t>
    </r>
    <r>
      <rPr>
        <sz val="10"/>
        <color indexed="8"/>
        <rFont val="Arial Narrow"/>
        <family val="2"/>
      </rPr>
      <t>2.</t>
    </r>
    <r>
      <rPr>
        <sz val="10"/>
        <color indexed="8"/>
        <rFont val="宋体"/>
        <family val="3"/>
        <charset val="134"/>
      </rPr>
      <t>所有应记录的油气资产均已记录，所有应当包括在财务报表中的相关披露均已包括；</t>
    </r>
    <phoneticPr fontId="9" type="noConversion"/>
  </si>
  <si>
    <r>
      <t>3.</t>
    </r>
    <r>
      <rPr>
        <sz val="10"/>
        <color indexed="8"/>
        <rFont val="宋体"/>
        <family val="3"/>
        <charset val="134"/>
      </rPr>
      <t>油气资产以恰当的金额包括在财务报表中，与之相关的计价或分摊调整已恰当记录，相关披露已得到恰当计量和描述</t>
    </r>
    <r>
      <rPr>
        <sz val="10"/>
        <color indexed="8"/>
        <rFont val="Arial Narrow"/>
        <family val="2"/>
      </rPr>
      <t xml:space="preserve"> </t>
    </r>
    <r>
      <rPr>
        <sz val="10"/>
        <color indexed="8"/>
        <rFont val="宋体"/>
        <family val="3"/>
        <charset val="134"/>
      </rPr>
      <t>。</t>
    </r>
    <phoneticPr fontId="9" type="noConversion"/>
  </si>
  <si>
    <r>
      <rPr>
        <b/>
        <sz val="10"/>
        <color indexed="8"/>
        <rFont val="宋体"/>
        <family val="3"/>
        <charset val="134"/>
      </rPr>
      <t>二、审计过程：</t>
    </r>
    <phoneticPr fontId="13" type="noConversion"/>
  </si>
  <si>
    <r>
      <rPr>
        <b/>
        <sz val="10"/>
        <rFont val="宋体"/>
        <family val="3"/>
        <charset val="134"/>
      </rPr>
      <t>比例</t>
    </r>
  </si>
  <si>
    <r>
      <t>2024</t>
    </r>
    <r>
      <rPr>
        <b/>
        <sz val="10"/>
        <rFont val="宋体"/>
        <family val="3"/>
        <charset val="134"/>
      </rPr>
      <t>年</t>
    </r>
    <phoneticPr fontId="9" type="noConversion"/>
  </si>
  <si>
    <r>
      <rPr>
        <b/>
        <sz val="10"/>
        <rFont val="宋体"/>
        <family val="3"/>
        <charset val="134"/>
      </rPr>
      <t>变动</t>
    </r>
    <phoneticPr fontId="9" type="noConversion"/>
  </si>
  <si>
    <r>
      <rPr>
        <b/>
        <sz val="10"/>
        <rFont val="宋体"/>
        <family val="3"/>
        <charset val="134"/>
      </rPr>
      <t>变动原因及合理性解释</t>
    </r>
    <phoneticPr fontId="9" type="noConversion"/>
  </si>
  <si>
    <r>
      <rPr>
        <sz val="10"/>
        <rFont val="宋体"/>
        <family val="3"/>
        <charset val="134"/>
      </rPr>
      <t>油气资产净值</t>
    </r>
    <r>
      <rPr>
        <sz val="10"/>
        <rFont val="Arial Narrow"/>
        <family val="2"/>
      </rPr>
      <t>÷</t>
    </r>
    <r>
      <rPr>
        <sz val="10"/>
        <rFont val="宋体"/>
        <family val="3"/>
        <charset val="134"/>
      </rPr>
      <t>资产总额</t>
    </r>
    <phoneticPr fontId="13" type="noConversion"/>
  </si>
  <si>
    <r>
      <rPr>
        <sz val="10"/>
        <rFont val="宋体"/>
        <family val="3"/>
        <charset val="134"/>
      </rPr>
      <t>本期计提折耗额</t>
    </r>
    <r>
      <rPr>
        <sz val="10"/>
        <rFont val="Arial Narrow"/>
        <family val="2"/>
      </rPr>
      <t>÷</t>
    </r>
    <r>
      <rPr>
        <sz val="10"/>
        <rFont val="宋体"/>
        <family val="3"/>
        <charset val="134"/>
      </rPr>
      <t>油气资产原值</t>
    </r>
    <phoneticPr fontId="13" type="noConversion"/>
  </si>
  <si>
    <r>
      <rPr>
        <sz val="10"/>
        <rFont val="宋体"/>
        <family val="3"/>
        <charset val="134"/>
      </rPr>
      <t>累计计提折耗额</t>
    </r>
    <r>
      <rPr>
        <sz val="10"/>
        <rFont val="Arial Narrow"/>
        <family val="2"/>
      </rPr>
      <t>÷</t>
    </r>
    <r>
      <rPr>
        <sz val="10"/>
        <rFont val="宋体"/>
        <family val="3"/>
        <charset val="134"/>
      </rPr>
      <t>油气资产原值</t>
    </r>
    <phoneticPr fontId="13" type="noConversion"/>
  </si>
  <si>
    <r>
      <rPr>
        <sz val="10"/>
        <rFont val="宋体"/>
        <family val="3"/>
        <charset val="134"/>
      </rPr>
      <t>油气资产减值准备余额</t>
    </r>
    <r>
      <rPr>
        <sz val="10"/>
        <rFont val="Arial Narrow"/>
        <family val="2"/>
      </rPr>
      <t>÷</t>
    </r>
    <r>
      <rPr>
        <sz val="10"/>
        <rFont val="宋体"/>
        <family val="3"/>
        <charset val="134"/>
      </rPr>
      <t>油气资产原值</t>
    </r>
    <phoneticPr fontId="13" type="noConversion"/>
  </si>
  <si>
    <r>
      <rPr>
        <sz val="10"/>
        <rFont val="宋体"/>
        <family val="3"/>
        <charset val="134"/>
      </rPr>
      <t>油气资产原值</t>
    </r>
    <r>
      <rPr>
        <sz val="10"/>
        <rFont val="Arial Narrow"/>
        <family val="2"/>
      </rPr>
      <t>÷</t>
    </r>
    <r>
      <rPr>
        <sz val="10"/>
        <rFont val="宋体"/>
        <family val="3"/>
        <charset val="134"/>
      </rPr>
      <t>本期产品产量</t>
    </r>
    <phoneticPr fontId="13" type="noConversion"/>
  </si>
  <si>
    <r>
      <rPr>
        <sz val="10"/>
        <rFont val="宋体"/>
        <family val="3"/>
        <charset val="134"/>
      </rPr>
      <t>出租租金收入</t>
    </r>
    <r>
      <rPr>
        <sz val="10"/>
        <rFont val="Arial Narrow"/>
        <family val="2"/>
      </rPr>
      <t>÷</t>
    </r>
    <r>
      <rPr>
        <sz val="10"/>
        <rFont val="宋体"/>
        <family val="3"/>
        <charset val="134"/>
      </rPr>
      <t>油气资产原值</t>
    </r>
    <phoneticPr fontId="13" type="noConversion"/>
  </si>
  <si>
    <r>
      <rPr>
        <sz val="10"/>
        <rFont val="宋体"/>
        <family val="3"/>
        <charset val="134"/>
      </rPr>
      <t>维修费用</t>
    </r>
    <r>
      <rPr>
        <sz val="10"/>
        <rFont val="Arial Narrow"/>
        <family val="2"/>
      </rPr>
      <t>÷</t>
    </r>
    <r>
      <rPr>
        <sz val="10"/>
        <rFont val="宋体"/>
        <family val="3"/>
        <charset val="134"/>
      </rPr>
      <t>油气资产原值</t>
    </r>
    <phoneticPr fontId="13" type="noConversion"/>
  </si>
  <si>
    <r>
      <t>1</t>
    </r>
    <r>
      <rPr>
        <sz val="10"/>
        <color indexed="12"/>
        <rFont val="宋体"/>
        <family val="3"/>
        <charset val="134"/>
      </rPr>
      <t>、分析油气资产的构成及其增减变动情况、增减变动原因，与在建工程、现金流量表、生产能力等相关信息交叉复核，检查油气资产相关金额的合理性和准确性；</t>
    </r>
  </si>
  <si>
    <r>
      <t>2</t>
    </r>
    <r>
      <rPr>
        <sz val="10"/>
        <color indexed="12"/>
        <rFont val="宋体"/>
        <family val="3"/>
        <charset val="134"/>
      </rPr>
      <t>、分析本期末油气资产减值准备数额占期末油气资产原价的比率，并与期初数比较。</t>
    </r>
  </si>
  <si>
    <r>
      <rPr>
        <b/>
        <sz val="10"/>
        <rFont val="宋体"/>
        <family val="3"/>
        <charset val="134"/>
      </rPr>
      <t>一、审计目标：</t>
    </r>
    <r>
      <rPr>
        <sz val="10"/>
        <rFont val="Arial Narrow"/>
        <family val="2"/>
      </rPr>
      <t>1.</t>
    </r>
    <r>
      <rPr>
        <sz val="10"/>
        <rFont val="宋体"/>
        <family val="3"/>
        <charset val="134"/>
      </rPr>
      <t>资产负债表中记录的油气资产是存在的，且已记录于恰当的账户；</t>
    </r>
    <r>
      <rPr>
        <sz val="10"/>
        <rFont val="Arial Narrow"/>
        <family val="2"/>
      </rPr>
      <t>2.</t>
    </r>
    <r>
      <rPr>
        <sz val="10"/>
        <rFont val="宋体"/>
        <family val="3"/>
        <charset val="134"/>
      </rPr>
      <t>所有应记录的油气资产均已记录，所有应当包括在财务报表中的相关披露均已包括；</t>
    </r>
    <r>
      <rPr>
        <sz val="10"/>
        <rFont val="Arial Narrow"/>
        <family val="2"/>
      </rPr>
      <t>3.</t>
    </r>
    <r>
      <rPr>
        <sz val="10"/>
        <rFont val="宋体"/>
        <family val="3"/>
        <charset val="134"/>
      </rPr>
      <t>记录的油气资产由被审计单位拥有或控制；</t>
    </r>
    <r>
      <rPr>
        <sz val="10"/>
        <rFont val="Arial Narrow"/>
        <family val="2"/>
      </rPr>
      <t>4.</t>
    </r>
    <r>
      <rPr>
        <sz val="10"/>
        <rFont val="宋体"/>
        <family val="3"/>
        <charset val="134"/>
      </rPr>
      <t>油气资产以恰当的金额包括在财务报表中，与之相关的计价或分摊调整已恰当记录，相关披露已得到恰当计量和描述。</t>
    </r>
    <phoneticPr fontId="36" type="noConversion"/>
  </si>
  <si>
    <r>
      <rPr>
        <b/>
        <sz val="10"/>
        <rFont val="宋体"/>
        <family val="3"/>
        <charset val="134"/>
      </rPr>
      <t>二、样本选取标准与规模：</t>
    </r>
    <phoneticPr fontId="36" type="noConversion"/>
  </si>
  <si>
    <r>
      <rPr>
        <sz val="10"/>
        <rFont val="宋体"/>
        <family val="3"/>
        <charset val="134"/>
      </rPr>
      <t>测试总体：</t>
    </r>
    <phoneticPr fontId="9" type="noConversion"/>
  </si>
  <si>
    <r>
      <rPr>
        <sz val="10"/>
        <rFont val="宋体"/>
        <family val="3"/>
        <charset val="134"/>
      </rPr>
      <t>特定样本：</t>
    </r>
    <phoneticPr fontId="9"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</si>
  <si>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9" type="noConversion"/>
  </si>
  <si>
    <r>
      <rPr>
        <sz val="10"/>
        <rFont val="宋体"/>
        <family val="3"/>
        <charset val="134"/>
      </rPr>
      <t>抽样总体：</t>
    </r>
    <phoneticPr fontId="9"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</si>
  <si>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9" type="noConversion"/>
  </si>
  <si>
    <r>
      <rPr>
        <sz val="10"/>
        <rFont val="宋体"/>
        <family val="3"/>
        <charset val="134"/>
      </rPr>
      <t>确定的抽样样本量：</t>
    </r>
    <phoneticPr fontId="9" type="noConversion"/>
  </si>
  <si>
    <r>
      <rPr>
        <sz val="10"/>
        <rFont val="宋体"/>
        <family val="3"/>
        <charset val="134"/>
      </rPr>
      <t>抽样方法：</t>
    </r>
    <phoneticPr fontId="9" type="noConversion"/>
  </si>
  <si>
    <r>
      <rPr>
        <sz val="10"/>
        <rFont val="宋体"/>
        <family val="3"/>
        <charset val="134"/>
      </rPr>
      <t>抽样过程：</t>
    </r>
    <phoneticPr fontId="9"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</si>
  <si>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9" type="noConversion"/>
  </si>
  <si>
    <r>
      <rPr>
        <b/>
        <sz val="10"/>
        <rFont val="宋体"/>
        <family val="3"/>
        <charset val="134"/>
      </rPr>
      <t>三、测试：</t>
    </r>
    <phoneticPr fontId="36" type="noConversion"/>
  </si>
  <si>
    <r>
      <rPr>
        <b/>
        <sz val="10"/>
        <rFont val="宋体"/>
        <family val="3"/>
        <charset val="134"/>
      </rPr>
      <t>序号</t>
    </r>
    <phoneticPr fontId="9" type="noConversion"/>
  </si>
  <si>
    <r>
      <rPr>
        <b/>
        <sz val="10"/>
        <rFont val="宋体"/>
        <family val="3"/>
        <charset val="134"/>
      </rPr>
      <t>增加日期</t>
    </r>
    <phoneticPr fontId="9" type="noConversion"/>
  </si>
  <si>
    <r>
      <rPr>
        <b/>
        <sz val="10"/>
        <rFont val="宋体"/>
        <family val="3"/>
        <charset val="134"/>
      </rPr>
      <t>增加方式</t>
    </r>
    <phoneticPr fontId="9" type="noConversion"/>
  </si>
  <si>
    <r>
      <rPr>
        <b/>
        <sz val="10"/>
        <rFont val="宋体"/>
        <family val="3"/>
        <charset val="134"/>
      </rPr>
      <t>入账凭证号</t>
    </r>
    <phoneticPr fontId="9" type="noConversion"/>
  </si>
  <si>
    <r>
      <rPr>
        <b/>
        <sz val="10"/>
        <rFont val="宋体"/>
        <family val="3"/>
        <charset val="134"/>
      </rPr>
      <t>对方科目</t>
    </r>
    <phoneticPr fontId="9" type="noConversion"/>
  </si>
  <si>
    <r>
      <rPr>
        <b/>
        <sz val="10"/>
        <rFont val="宋体"/>
        <family val="3"/>
        <charset val="134"/>
      </rPr>
      <t>增加情况</t>
    </r>
    <phoneticPr fontId="9" type="noConversion"/>
  </si>
  <si>
    <r>
      <rPr>
        <b/>
        <sz val="10"/>
        <rFont val="宋体"/>
        <family val="3"/>
        <charset val="134"/>
      </rPr>
      <t>索引号</t>
    </r>
    <phoneticPr fontId="9" type="noConversion"/>
  </si>
  <si>
    <r>
      <rPr>
        <b/>
        <sz val="10"/>
        <rFont val="宋体"/>
        <family val="3"/>
        <charset val="134"/>
      </rPr>
      <t>是否异常</t>
    </r>
    <phoneticPr fontId="9" type="noConversion"/>
  </si>
  <si>
    <r>
      <rPr>
        <sz val="10"/>
        <color rgb="FF0000FF"/>
        <rFont val="宋体"/>
        <family val="3"/>
        <charset val="134"/>
      </rPr>
      <t>检查的关键证据和要素根据被审计单位具体情况修改</t>
    </r>
    <phoneticPr fontId="9" type="noConversion"/>
  </si>
  <si>
    <r>
      <rPr>
        <b/>
        <sz val="10"/>
        <rFont val="宋体"/>
        <family val="3"/>
        <charset val="134"/>
      </rPr>
      <t>原值</t>
    </r>
    <phoneticPr fontId="9" type="noConversion"/>
  </si>
  <si>
    <r>
      <rPr>
        <b/>
        <sz val="10"/>
        <rFont val="宋体"/>
        <family val="3"/>
        <charset val="134"/>
      </rPr>
      <t>累计折耗</t>
    </r>
    <phoneticPr fontId="9" type="noConversion"/>
  </si>
  <si>
    <r>
      <rPr>
        <b/>
        <sz val="10"/>
        <rFont val="宋体"/>
        <family val="3"/>
        <charset val="134"/>
      </rPr>
      <t>减值准备</t>
    </r>
    <phoneticPr fontId="9" type="noConversion"/>
  </si>
  <si>
    <r>
      <rPr>
        <b/>
        <sz val="10"/>
        <rFont val="宋体"/>
        <family val="3"/>
        <charset val="134"/>
      </rPr>
      <t>净值</t>
    </r>
    <phoneticPr fontId="9" type="noConversion"/>
  </si>
  <si>
    <r>
      <rPr>
        <b/>
        <sz val="10"/>
        <rFont val="宋体"/>
        <family val="3"/>
        <charset val="134"/>
      </rPr>
      <t>本期新增油气资产合计</t>
    </r>
    <phoneticPr fontId="9" type="noConversion"/>
  </si>
  <si>
    <r>
      <rPr>
        <b/>
        <sz val="10"/>
        <rFont val="宋体"/>
        <family val="3"/>
        <charset val="134"/>
      </rPr>
      <t>四、审计说明：</t>
    </r>
    <phoneticPr fontId="36" type="noConversion"/>
  </si>
  <si>
    <r>
      <rPr>
        <b/>
        <sz val="10"/>
        <rFont val="宋体"/>
        <family val="3"/>
        <charset val="134"/>
      </rPr>
      <t>五、审计结论：</t>
    </r>
    <phoneticPr fontId="9" type="noConversion"/>
  </si>
  <si>
    <r>
      <rPr>
        <b/>
        <sz val="10"/>
        <rFont val="宋体"/>
        <family val="3"/>
        <charset val="134"/>
      </rPr>
      <t>一、审计目标：</t>
    </r>
    <r>
      <rPr>
        <sz val="10"/>
        <rFont val="Arial Narrow"/>
        <family val="2"/>
      </rPr>
      <t>1.</t>
    </r>
    <r>
      <rPr>
        <sz val="10"/>
        <rFont val="宋体"/>
        <family val="3"/>
        <charset val="134"/>
      </rPr>
      <t>资产负债表中记录的油气资产是存在的，且已记录于恰当的账户；</t>
    </r>
    <r>
      <rPr>
        <sz val="10"/>
        <rFont val="Arial Narrow"/>
        <family val="2"/>
      </rPr>
      <t>2.</t>
    </r>
    <r>
      <rPr>
        <sz val="10"/>
        <rFont val="宋体"/>
        <family val="3"/>
        <charset val="134"/>
      </rPr>
      <t>所有应记录的油气资产均已记录，所有应当包括在财务报表中的相关披露均已包括；</t>
    </r>
    <r>
      <rPr>
        <sz val="10"/>
        <rFont val="Arial Narrow"/>
        <family val="2"/>
      </rPr>
      <t>3.</t>
    </r>
    <r>
      <rPr>
        <sz val="10"/>
        <rFont val="宋体"/>
        <family val="3"/>
        <charset val="134"/>
      </rPr>
      <t>油气资产以恰当的金额包括在财务报表中，与之相关的计价或分摊调整已恰当记录，相关披露已得到恰当计量和描述。</t>
    </r>
    <phoneticPr fontId="36" type="noConversion"/>
  </si>
  <si>
    <r>
      <rPr>
        <sz val="10"/>
        <rFont val="宋体"/>
        <family val="3"/>
        <charset val="134"/>
      </rPr>
      <t>确定的抽样样本量：</t>
    </r>
    <phoneticPr fontId="9" type="noConversion"/>
  </si>
  <si>
    <r>
      <rPr>
        <b/>
        <sz val="10"/>
        <rFont val="宋体"/>
        <family val="3"/>
        <charset val="134"/>
      </rPr>
      <t>减少方式</t>
    </r>
    <phoneticPr fontId="9" type="noConversion"/>
  </si>
  <si>
    <r>
      <rPr>
        <b/>
        <sz val="10"/>
        <rFont val="宋体"/>
        <family val="3"/>
        <charset val="134"/>
      </rPr>
      <t>减少日期</t>
    </r>
    <phoneticPr fontId="9" type="noConversion"/>
  </si>
  <si>
    <r>
      <rPr>
        <b/>
        <sz val="10"/>
        <rFont val="宋体"/>
        <family val="3"/>
        <charset val="134"/>
      </rPr>
      <t>对方科目</t>
    </r>
    <phoneticPr fontId="9" type="noConversion"/>
  </si>
  <si>
    <r>
      <rPr>
        <b/>
        <sz val="10"/>
        <rFont val="宋体"/>
        <family val="3"/>
        <charset val="134"/>
      </rPr>
      <t>转入清理的油气资产</t>
    </r>
  </si>
  <si>
    <r>
      <rPr>
        <b/>
        <sz val="10"/>
        <rFont val="宋体"/>
        <family val="3"/>
        <charset val="134"/>
      </rPr>
      <t>原值</t>
    </r>
    <phoneticPr fontId="9" type="noConversion"/>
  </si>
  <si>
    <r>
      <rPr>
        <sz val="10"/>
        <color rgb="FF0000FF"/>
        <rFont val="宋体"/>
        <family val="3"/>
        <charset val="134"/>
      </rPr>
      <t>检查的关键证据和要素根据被审计单位具体情况修改</t>
    </r>
    <phoneticPr fontId="9" type="noConversion"/>
  </si>
  <si>
    <r>
      <rPr>
        <b/>
        <sz val="10"/>
        <rFont val="宋体"/>
        <family val="3"/>
        <charset val="134"/>
      </rPr>
      <t>本期减少油气资产合计</t>
    </r>
  </si>
  <si>
    <r>
      <rPr>
        <b/>
        <sz val="10"/>
        <rFont val="宋体"/>
        <family val="3"/>
        <charset val="134"/>
      </rPr>
      <t>二、样本选取标准与规模：</t>
    </r>
    <phoneticPr fontId="36" type="noConversion"/>
  </si>
  <si>
    <r>
      <rPr>
        <sz val="10"/>
        <rFont val="宋体"/>
        <family val="3"/>
        <charset val="134"/>
      </rPr>
      <t>测试总体：</t>
    </r>
    <phoneticPr fontId="9" type="noConversion"/>
  </si>
  <si>
    <r>
      <rPr>
        <sz val="10"/>
        <rFont val="宋体"/>
        <family val="3"/>
        <charset val="134"/>
      </rPr>
      <t>特定样本：</t>
    </r>
    <phoneticPr fontId="9"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</si>
  <si>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9" type="noConversion"/>
  </si>
  <si>
    <r>
      <rPr>
        <sz val="10"/>
        <rFont val="宋体"/>
        <family val="3"/>
        <charset val="134"/>
      </rPr>
      <t>抽样总体：</t>
    </r>
    <phoneticPr fontId="9"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</si>
  <si>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9" type="noConversion"/>
  </si>
  <si>
    <r>
      <rPr>
        <sz val="10"/>
        <rFont val="宋体"/>
        <family val="3"/>
        <charset val="134"/>
      </rPr>
      <t>抽样方法：</t>
    </r>
    <phoneticPr fontId="9" type="noConversion"/>
  </si>
  <si>
    <r>
      <rPr>
        <sz val="10"/>
        <rFont val="宋体"/>
        <family val="3"/>
        <charset val="134"/>
      </rPr>
      <t>抽样过程：</t>
    </r>
    <phoneticPr fontId="9"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</si>
  <si>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9" type="noConversion"/>
  </si>
  <si>
    <r>
      <rPr>
        <b/>
        <sz val="10"/>
        <rFont val="宋体"/>
        <family val="3"/>
        <charset val="134"/>
      </rPr>
      <t>三、测试：</t>
    </r>
    <phoneticPr fontId="36" type="noConversion"/>
  </si>
  <si>
    <r>
      <rPr>
        <b/>
        <sz val="10"/>
        <rFont val="宋体"/>
        <family val="3"/>
        <charset val="134"/>
      </rPr>
      <t>序号</t>
    </r>
    <phoneticPr fontId="9" type="noConversion"/>
  </si>
  <si>
    <r>
      <rPr>
        <b/>
        <sz val="10"/>
        <rFont val="宋体"/>
        <family val="3"/>
        <charset val="134"/>
      </rPr>
      <t>凭证号</t>
    </r>
    <phoneticPr fontId="9" type="noConversion"/>
  </si>
  <si>
    <r>
      <rPr>
        <b/>
        <sz val="10"/>
        <rFont val="宋体"/>
        <family val="3"/>
        <charset val="134"/>
      </rPr>
      <t>减少情况</t>
    </r>
    <phoneticPr fontId="9" type="noConversion"/>
  </si>
  <si>
    <r>
      <rPr>
        <b/>
        <sz val="10"/>
        <rFont val="宋体"/>
        <family val="3"/>
        <charset val="134"/>
      </rPr>
      <t>索引号</t>
    </r>
    <phoneticPr fontId="9" type="noConversion"/>
  </si>
  <si>
    <r>
      <rPr>
        <b/>
        <sz val="10"/>
        <rFont val="宋体"/>
        <family val="3"/>
        <charset val="134"/>
      </rPr>
      <t>是否异常</t>
    </r>
    <phoneticPr fontId="9" type="noConversion"/>
  </si>
  <si>
    <r>
      <rPr>
        <b/>
        <sz val="10"/>
        <rFont val="宋体"/>
        <family val="3"/>
        <charset val="134"/>
      </rPr>
      <t>清理净收入</t>
    </r>
    <phoneticPr fontId="9" type="noConversion"/>
  </si>
  <si>
    <r>
      <rPr>
        <b/>
        <sz val="10"/>
        <rFont val="宋体"/>
        <family val="3"/>
        <charset val="134"/>
      </rPr>
      <t>清理净损益</t>
    </r>
    <phoneticPr fontId="9" type="noConversion"/>
  </si>
  <si>
    <r>
      <rPr>
        <b/>
        <sz val="10"/>
        <rFont val="宋体"/>
        <family val="3"/>
        <charset val="134"/>
      </rPr>
      <t>累计折耗</t>
    </r>
    <phoneticPr fontId="9" type="noConversion"/>
  </si>
  <si>
    <r>
      <rPr>
        <b/>
        <sz val="10"/>
        <rFont val="宋体"/>
        <family val="3"/>
        <charset val="134"/>
      </rPr>
      <t>减值准备</t>
    </r>
    <phoneticPr fontId="9" type="noConversion"/>
  </si>
  <si>
    <r>
      <rPr>
        <b/>
        <sz val="10"/>
        <rFont val="宋体"/>
        <family val="3"/>
        <charset val="134"/>
      </rPr>
      <t>净值</t>
    </r>
    <phoneticPr fontId="9" type="noConversion"/>
  </si>
  <si>
    <r>
      <rPr>
        <b/>
        <sz val="10"/>
        <rFont val="宋体"/>
        <family val="3"/>
        <charset val="134"/>
      </rPr>
      <t>清理费用</t>
    </r>
    <phoneticPr fontId="9" type="noConversion"/>
  </si>
  <si>
    <r>
      <rPr>
        <b/>
        <sz val="10"/>
        <rFont val="宋体"/>
        <family val="3"/>
        <charset val="134"/>
      </rPr>
      <t>清理收入</t>
    </r>
    <phoneticPr fontId="9" type="noConversion"/>
  </si>
  <si>
    <r>
      <rPr>
        <b/>
        <sz val="10"/>
        <rFont val="宋体"/>
        <family val="3"/>
        <charset val="134"/>
      </rPr>
      <t>四、审计说明：</t>
    </r>
    <phoneticPr fontId="36" type="noConversion"/>
  </si>
  <si>
    <r>
      <rPr>
        <b/>
        <sz val="10"/>
        <rFont val="宋体"/>
        <family val="3"/>
        <charset val="134"/>
      </rPr>
      <t>五、审计结论：</t>
    </r>
    <phoneticPr fontId="9" type="noConversion"/>
  </si>
  <si>
    <r>
      <rPr>
        <b/>
        <sz val="10"/>
        <rFont val="宋体"/>
        <family val="3"/>
        <charset val="134"/>
      </rPr>
      <t>一、确定的油气资产存在性认定可能存在重大错报的风险程度：</t>
    </r>
  </si>
  <si>
    <r>
      <rPr>
        <b/>
        <sz val="10"/>
        <rFont val="宋体"/>
        <family val="3"/>
        <charset val="134"/>
      </rPr>
      <t>二、了解被审计单位油气资产期末状况与管理规定：</t>
    </r>
  </si>
  <si>
    <r>
      <rPr>
        <b/>
        <sz val="10"/>
        <rFont val="宋体"/>
        <family val="3"/>
        <charset val="134"/>
      </rPr>
      <t>（一）油气资产的期末状况：</t>
    </r>
  </si>
  <si>
    <r>
      <t xml:space="preserve">  2</t>
    </r>
    <r>
      <rPr>
        <sz val="10"/>
        <rFont val="宋体"/>
        <family val="3"/>
        <charset val="134"/>
      </rPr>
      <t>．大类油气资产金额情况：</t>
    </r>
  </si>
  <si>
    <r>
      <rPr>
        <b/>
        <sz val="10"/>
        <rFont val="宋体"/>
        <family val="3"/>
        <charset val="134"/>
      </rPr>
      <t>期末余额</t>
    </r>
  </si>
  <si>
    <r>
      <rPr>
        <b/>
        <sz val="10"/>
        <rFont val="宋体"/>
        <family val="3"/>
        <charset val="134"/>
      </rPr>
      <t>减值准备</t>
    </r>
    <phoneticPr fontId="9" type="noConversion"/>
  </si>
  <si>
    <r>
      <rPr>
        <b/>
        <sz val="10"/>
        <rFont val="宋体"/>
        <family val="3"/>
        <charset val="134"/>
      </rPr>
      <t>账面净值</t>
    </r>
  </si>
  <si>
    <r>
      <rPr>
        <b/>
        <sz val="10"/>
        <rFont val="宋体"/>
        <family val="3"/>
        <charset val="134"/>
      </rPr>
      <t>类</t>
    </r>
    <r>
      <rPr>
        <b/>
        <sz val="10"/>
        <rFont val="Arial Narrow"/>
        <family val="2"/>
      </rPr>
      <t xml:space="preserve">   </t>
    </r>
    <r>
      <rPr>
        <b/>
        <sz val="10"/>
        <rFont val="宋体"/>
        <family val="3"/>
        <charset val="134"/>
      </rPr>
      <t>别</t>
    </r>
    <phoneticPr fontId="9" type="noConversion"/>
  </si>
  <si>
    <r>
      <rPr>
        <b/>
        <sz val="10"/>
        <rFont val="宋体"/>
        <family val="3"/>
        <charset val="134"/>
      </rPr>
      <t>计量单位</t>
    </r>
  </si>
  <si>
    <r>
      <rPr>
        <b/>
        <sz val="10"/>
        <rFont val="宋体"/>
        <family val="3"/>
        <charset val="134"/>
      </rPr>
      <t>说明</t>
    </r>
    <phoneticPr fontId="9" type="noConversion"/>
  </si>
  <si>
    <r>
      <rPr>
        <b/>
        <sz val="10"/>
        <rFont val="宋体"/>
        <family val="3"/>
        <charset val="134"/>
      </rPr>
      <t>仓库（或场所）</t>
    </r>
  </si>
  <si>
    <r>
      <rPr>
        <b/>
        <sz val="10"/>
        <rFont val="宋体"/>
        <family val="3"/>
        <charset val="134"/>
      </rPr>
      <t>（二）企业定期盘点内部控制制度与执行情况：</t>
    </r>
  </si>
  <si>
    <r>
      <rPr>
        <sz val="10"/>
        <rFont val="宋体"/>
        <family val="3"/>
        <charset val="134"/>
      </rPr>
      <t>负责人：</t>
    </r>
    <r>
      <rPr>
        <sz val="10"/>
        <rFont val="Arial Narrow"/>
        <family val="2"/>
      </rPr>
      <t xml:space="preserve">               </t>
    </r>
  </si>
  <si>
    <r>
      <t>2</t>
    </r>
    <r>
      <rPr>
        <sz val="10"/>
        <rFont val="宋体"/>
        <family val="3"/>
        <charset val="134"/>
      </rPr>
      <t>．企业实际盘点情况：</t>
    </r>
  </si>
  <si>
    <r>
      <rPr>
        <sz val="10"/>
        <rFont val="宋体"/>
        <family val="3"/>
        <charset val="134"/>
      </rPr>
      <t>（</t>
    </r>
    <r>
      <rPr>
        <sz val="10"/>
        <rFont val="Arial Narrow"/>
        <family val="2"/>
      </rPr>
      <t>1</t>
    </r>
    <r>
      <rPr>
        <sz val="10"/>
        <rFont val="宋体"/>
        <family val="3"/>
        <charset val="134"/>
      </rPr>
      <t>）盘点计划安排：</t>
    </r>
    <r>
      <rPr>
        <u/>
        <sz val="10"/>
        <rFont val="Arial Narrow"/>
        <family val="2"/>
      </rPr>
      <t xml:space="preserve">                                                      </t>
    </r>
  </si>
  <si>
    <r>
      <rPr>
        <sz val="10"/>
        <rFont val="宋体"/>
        <family val="3"/>
        <charset val="134"/>
      </rPr>
      <t>（</t>
    </r>
    <r>
      <rPr>
        <sz val="10"/>
        <rFont val="Arial Narrow"/>
        <family val="2"/>
      </rPr>
      <t>2</t>
    </r>
    <r>
      <rPr>
        <sz val="10"/>
        <rFont val="宋体"/>
        <family val="3"/>
        <charset val="134"/>
      </rPr>
      <t>）盘点会议情况：</t>
    </r>
    <r>
      <rPr>
        <u/>
        <sz val="10"/>
        <rFont val="Arial Narrow"/>
        <family val="2"/>
      </rPr>
      <t xml:space="preserve">                                                      </t>
    </r>
  </si>
  <si>
    <r>
      <rPr>
        <sz val="10"/>
        <rFont val="宋体"/>
        <family val="3"/>
        <charset val="134"/>
      </rPr>
      <t>（</t>
    </r>
    <r>
      <rPr>
        <sz val="10"/>
        <rFont val="Arial Narrow"/>
        <family val="2"/>
      </rPr>
      <t>4</t>
    </r>
    <r>
      <rPr>
        <sz val="10"/>
        <rFont val="宋体"/>
        <family val="3"/>
        <charset val="134"/>
      </rPr>
      <t>）对企业盘点计划的评价：</t>
    </r>
  </si>
  <si>
    <r>
      <rPr>
        <b/>
        <sz val="10"/>
        <rFont val="宋体"/>
        <family val="3"/>
        <charset val="134"/>
      </rPr>
      <t>（三）查阅以前年度工作底稿记录：</t>
    </r>
  </si>
  <si>
    <r>
      <rPr>
        <sz val="10"/>
        <rFont val="宋体"/>
        <family val="3"/>
        <charset val="134"/>
      </rPr>
      <t>实施监盘的人员：</t>
    </r>
    <r>
      <rPr>
        <sz val="10"/>
        <rFont val="Arial Narrow"/>
        <family val="2"/>
      </rPr>
      <t xml:space="preserve">                </t>
    </r>
  </si>
  <si>
    <r>
      <t xml:space="preserve"> 2</t>
    </r>
    <r>
      <rPr>
        <sz val="10"/>
        <rFont val="宋体"/>
        <family val="3"/>
        <charset val="134"/>
      </rPr>
      <t>．抽盘的油气资产范围：</t>
    </r>
    <r>
      <rPr>
        <sz val="10"/>
        <rFont val="Arial Narrow"/>
        <family val="2"/>
      </rPr>
      <t xml:space="preserve">                                  </t>
    </r>
  </si>
  <si>
    <r>
      <rPr>
        <sz val="10"/>
        <rFont val="宋体"/>
        <family val="3"/>
        <charset val="134"/>
      </rPr>
      <t>抽盘比例：</t>
    </r>
    <r>
      <rPr>
        <sz val="10"/>
        <rFont val="Arial Narrow"/>
        <family val="2"/>
      </rPr>
      <t xml:space="preserve">         </t>
    </r>
  </si>
  <si>
    <r>
      <t xml:space="preserve"> 3</t>
    </r>
    <r>
      <rPr>
        <sz val="10"/>
        <rFont val="宋体"/>
        <family val="3"/>
        <charset val="134"/>
      </rPr>
      <t>．实施监盘中发现的问题与存在的不足：</t>
    </r>
    <r>
      <rPr>
        <u/>
        <sz val="10"/>
        <rFont val="Arial Narrow"/>
        <family val="2"/>
      </rPr>
      <t xml:space="preserve">                                   </t>
    </r>
  </si>
  <si>
    <r>
      <rPr>
        <sz val="10"/>
        <rFont val="宋体"/>
        <family val="3"/>
        <charset val="134"/>
      </rPr>
      <t>（一）预计监盘时间：</t>
    </r>
    <r>
      <rPr>
        <u/>
        <sz val="10"/>
        <rFont val="Arial Narrow"/>
        <family val="2"/>
      </rPr>
      <t xml:space="preserve">                    </t>
    </r>
  </si>
  <si>
    <r>
      <rPr>
        <sz val="10"/>
        <rFont val="宋体"/>
        <family val="3"/>
        <charset val="134"/>
      </rPr>
      <t>监盘程序负责人：</t>
    </r>
    <r>
      <rPr>
        <sz val="10"/>
        <rFont val="Arial Narrow"/>
        <family val="2"/>
      </rPr>
      <t xml:space="preserve">          </t>
    </r>
  </si>
  <si>
    <r>
      <rPr>
        <sz val="10"/>
        <rFont val="宋体"/>
        <family val="3"/>
        <charset val="134"/>
      </rPr>
      <t>（三）预计监盘的油气资产范围：</t>
    </r>
  </si>
  <si>
    <r>
      <t xml:space="preserve">  1</t>
    </r>
    <r>
      <rPr>
        <sz val="10"/>
        <rFont val="宋体"/>
        <family val="3"/>
        <charset val="134"/>
      </rPr>
      <t>．类别范围：</t>
    </r>
    <r>
      <rPr>
        <u/>
        <sz val="10"/>
        <rFont val="Arial Narrow"/>
        <family val="2"/>
      </rPr>
      <t xml:space="preserve">                                                           </t>
    </r>
  </si>
  <si>
    <r>
      <t xml:space="preserve">  2</t>
    </r>
    <r>
      <rPr>
        <sz val="10"/>
        <rFont val="宋体"/>
        <family val="3"/>
        <charset val="134"/>
      </rPr>
      <t>．地点范围：</t>
    </r>
    <r>
      <rPr>
        <u/>
        <sz val="10"/>
        <rFont val="Arial Narrow"/>
        <family val="2"/>
      </rPr>
      <t xml:space="preserve">                                                           </t>
    </r>
  </si>
  <si>
    <r>
      <rPr>
        <sz val="10"/>
        <rFont val="宋体"/>
        <family val="3"/>
        <charset val="134"/>
      </rPr>
      <t>（四）拟实施的盘点方法：</t>
    </r>
  </si>
  <si>
    <r>
      <rPr>
        <sz val="10"/>
        <rFont val="宋体"/>
        <family val="3"/>
        <charset val="134"/>
      </rPr>
      <t>（五）就监盘计划与管理层沟通事项</t>
    </r>
  </si>
  <si>
    <r>
      <t xml:space="preserve">  1</t>
    </r>
    <r>
      <rPr>
        <sz val="10"/>
        <rFont val="宋体"/>
        <family val="3"/>
        <charset val="134"/>
      </rPr>
      <t>．时间：</t>
    </r>
    <r>
      <rPr>
        <u/>
        <sz val="10"/>
        <rFont val="Arial Narrow"/>
        <family val="2"/>
      </rPr>
      <t xml:space="preserve">                 </t>
    </r>
    <r>
      <rPr>
        <sz val="10"/>
        <rFont val="Arial Narrow"/>
        <family val="2"/>
      </rPr>
      <t xml:space="preserve">       </t>
    </r>
    <phoneticPr fontId="9" type="noConversion"/>
  </si>
  <si>
    <r>
      <t xml:space="preserve">  3</t>
    </r>
    <r>
      <rPr>
        <sz val="10"/>
        <rFont val="宋体"/>
        <family val="3"/>
        <charset val="134"/>
      </rPr>
      <t>．审计小组参与人员：</t>
    </r>
    <r>
      <rPr>
        <u/>
        <sz val="10"/>
        <rFont val="Arial Narrow"/>
        <family val="2"/>
      </rPr>
      <t xml:space="preserve">                                                   </t>
    </r>
  </si>
  <si>
    <r>
      <rPr>
        <sz val="10"/>
        <rFont val="宋体"/>
        <family val="3"/>
        <charset val="134"/>
      </rPr>
      <t>（六）针对被审计单位具体情况，需要向管理层提出的监盘的特殊要求：</t>
    </r>
  </si>
  <si>
    <r>
      <rPr>
        <sz val="10"/>
        <rFont val="宋体"/>
        <family val="3"/>
        <charset val="134"/>
      </rPr>
      <t>（七）预计监盘中抽取样本的方法与数量</t>
    </r>
  </si>
  <si>
    <r>
      <t xml:space="preserve">  1</t>
    </r>
    <r>
      <rPr>
        <sz val="10"/>
        <rFont val="宋体"/>
        <family val="3"/>
        <charset val="134"/>
      </rPr>
      <t>．从会计明细账簿中选取样本的方法：</t>
    </r>
    <r>
      <rPr>
        <u/>
        <sz val="10"/>
        <rFont val="Arial Narrow"/>
        <family val="2"/>
      </rPr>
      <t xml:space="preserve">          </t>
    </r>
    <r>
      <rPr>
        <sz val="10.5"/>
        <rFont val="仿宋_GB2312"/>
        <family val="3"/>
        <charset val="134"/>
      </rPr>
      <t/>
    </r>
    <phoneticPr fontId="9" type="noConversion"/>
  </si>
  <si>
    <r>
      <rPr>
        <sz val="10"/>
        <rFont val="宋体"/>
        <family val="3"/>
        <charset val="134"/>
      </rPr>
      <t>预计选取数量：</t>
    </r>
    <r>
      <rPr>
        <sz val="10"/>
        <rFont val="Arial Narrow"/>
        <family val="2"/>
      </rPr>
      <t xml:space="preserve">            </t>
    </r>
  </si>
  <si>
    <r>
      <t xml:space="preserve">  2</t>
    </r>
    <r>
      <rPr>
        <sz val="10"/>
        <rFont val="宋体"/>
        <family val="3"/>
        <charset val="134"/>
      </rPr>
      <t>．从实际油气资产中选取样本的方法：</t>
    </r>
    <r>
      <rPr>
        <sz val="10"/>
        <rFont val="Arial Narrow"/>
        <family val="2"/>
      </rPr>
      <t xml:space="preserve">          </t>
    </r>
  </si>
  <si>
    <r>
      <rPr>
        <sz val="10"/>
        <rFont val="宋体"/>
        <family val="3"/>
        <charset val="134"/>
      </rPr>
      <t>（八）实际监盘时点至资产负债表日的推算方法：</t>
    </r>
  </si>
  <si>
    <r>
      <t xml:space="preserve">  1</t>
    </r>
    <r>
      <rPr>
        <sz val="10"/>
        <rFont val="宋体"/>
        <family val="3"/>
        <charset val="134"/>
      </rPr>
      <t>．推断方法说明：</t>
    </r>
    <r>
      <rPr>
        <sz val="10"/>
        <rFont val="Arial Narrow"/>
        <family val="2"/>
      </rPr>
      <t xml:space="preserve">                                                      </t>
    </r>
  </si>
  <si>
    <r>
      <t xml:space="preserve">  2</t>
    </r>
    <r>
      <rPr>
        <sz val="10"/>
        <rFont val="宋体"/>
        <family val="3"/>
        <charset val="134"/>
      </rPr>
      <t>．预计拟要求的盘点复盘比例：</t>
    </r>
    <r>
      <rPr>
        <sz val="10"/>
        <rFont val="Arial Narrow"/>
        <family val="2"/>
      </rPr>
      <t xml:space="preserve">               </t>
    </r>
  </si>
  <si>
    <r>
      <rPr>
        <b/>
        <sz val="10"/>
        <rFont val="宋体"/>
        <family val="3"/>
        <charset val="134"/>
      </rPr>
      <t>被审计单位名称：</t>
    </r>
    <r>
      <rPr>
        <b/>
        <u/>
        <sz val="10"/>
        <rFont val="Arial Narrow"/>
        <family val="2"/>
      </rPr>
      <t xml:space="preserve">                         </t>
    </r>
    <r>
      <rPr>
        <b/>
        <sz val="10"/>
        <rFont val="Arial Narrow"/>
        <family val="2"/>
      </rPr>
      <t xml:space="preserve">   </t>
    </r>
    <phoneticPr fontId="9" type="noConversion"/>
  </si>
  <si>
    <r>
      <rPr>
        <b/>
        <sz val="10"/>
        <rFont val="宋体"/>
        <family val="3"/>
        <charset val="134"/>
      </rPr>
      <t>审计目标：</t>
    </r>
    <r>
      <rPr>
        <b/>
        <sz val="10"/>
        <rFont val="Arial Narrow"/>
        <family val="2"/>
      </rPr>
      <t xml:space="preserve">                       </t>
    </r>
    <phoneticPr fontId="9" type="noConversion"/>
  </si>
  <si>
    <r>
      <t xml:space="preserve">  1</t>
    </r>
    <r>
      <rPr>
        <sz val="10"/>
        <rFont val="宋体"/>
        <family val="3"/>
        <charset val="134"/>
      </rPr>
      <t>．期末余额：</t>
    </r>
    <r>
      <rPr>
        <u/>
        <sz val="10"/>
        <rFont val="Arial Narrow"/>
        <family val="2"/>
      </rPr>
      <t xml:space="preserve">                 </t>
    </r>
    <r>
      <rPr>
        <sz val="10"/>
        <rFont val="Arial Narrow"/>
        <family val="2"/>
      </rPr>
      <t xml:space="preserve"> </t>
    </r>
    <phoneticPr fontId="9" type="noConversion"/>
  </si>
  <si>
    <r>
      <rPr>
        <sz val="10"/>
        <rFont val="宋体"/>
        <family val="3"/>
        <charset val="134"/>
      </rPr>
      <t>提取的减值准备金额：</t>
    </r>
    <r>
      <rPr>
        <sz val="10"/>
        <rFont val="Arial Narrow"/>
        <family val="2"/>
      </rPr>
      <t xml:space="preserve">              </t>
    </r>
    <phoneticPr fontId="9" type="noConversion"/>
  </si>
  <si>
    <r>
      <rPr>
        <b/>
        <sz val="10"/>
        <rFont val="宋体"/>
        <family val="3"/>
        <charset val="134"/>
      </rPr>
      <t>类别</t>
    </r>
    <phoneticPr fontId="9" type="noConversion"/>
  </si>
  <si>
    <r>
      <t xml:space="preserve">  3</t>
    </r>
    <r>
      <rPr>
        <sz val="10"/>
        <rFont val="宋体"/>
        <family val="3"/>
        <charset val="134"/>
      </rPr>
      <t>．期末资产数量：</t>
    </r>
    <phoneticPr fontId="9" type="noConversion"/>
  </si>
  <si>
    <r>
      <rPr>
        <b/>
        <sz val="10"/>
        <rFont val="宋体"/>
        <family val="3"/>
        <charset val="134"/>
      </rPr>
      <t>数量</t>
    </r>
    <phoneticPr fontId="9" type="noConversion"/>
  </si>
  <si>
    <r>
      <rPr>
        <b/>
        <sz val="10"/>
        <rFont val="宋体"/>
        <family val="3"/>
        <charset val="134"/>
      </rPr>
      <t>说明</t>
    </r>
    <phoneticPr fontId="9" type="noConversion"/>
  </si>
  <si>
    <r>
      <t xml:space="preserve">  4</t>
    </r>
    <r>
      <rPr>
        <sz val="10"/>
        <rFont val="宋体"/>
        <family val="3"/>
        <charset val="134"/>
      </rPr>
      <t>．资产存放地点：</t>
    </r>
    <phoneticPr fontId="9" type="noConversion"/>
  </si>
  <si>
    <r>
      <rPr>
        <b/>
        <sz val="10"/>
        <rFont val="宋体"/>
        <family val="3"/>
        <charset val="134"/>
      </rPr>
      <t>类</t>
    </r>
    <r>
      <rPr>
        <b/>
        <sz val="10"/>
        <rFont val="Arial Narrow"/>
        <family val="2"/>
      </rPr>
      <t xml:space="preserve">   </t>
    </r>
    <r>
      <rPr>
        <b/>
        <sz val="10"/>
        <rFont val="宋体"/>
        <family val="3"/>
        <charset val="134"/>
      </rPr>
      <t>别</t>
    </r>
    <phoneticPr fontId="9" type="noConversion"/>
  </si>
  <si>
    <r>
      <rPr>
        <b/>
        <sz val="10"/>
        <rFont val="宋体"/>
        <family val="3"/>
        <charset val="134"/>
      </rPr>
      <t>地点</t>
    </r>
    <phoneticPr fontId="9" type="noConversion"/>
  </si>
  <si>
    <r>
      <rPr>
        <b/>
        <sz val="10"/>
        <rFont val="宋体"/>
        <family val="3"/>
        <charset val="134"/>
      </rPr>
      <t>说明</t>
    </r>
    <phoneticPr fontId="9" type="noConversion"/>
  </si>
  <si>
    <r>
      <t>1</t>
    </r>
    <r>
      <rPr>
        <sz val="10"/>
        <rFont val="宋体"/>
        <family val="3"/>
        <charset val="134"/>
      </rPr>
      <t>．制度名称：</t>
    </r>
    <r>
      <rPr>
        <b/>
        <sz val="10"/>
        <color indexed="12"/>
        <rFont val="宋体"/>
        <family val="3"/>
        <charset val="134"/>
      </rPr>
      <t>（提示：按企业内部控制制度名称填写</t>
    </r>
    <r>
      <rPr>
        <b/>
        <sz val="10"/>
        <rFont val="宋体"/>
        <family val="3"/>
        <charset val="134"/>
      </rPr>
      <t>）</t>
    </r>
    <r>
      <rPr>
        <b/>
        <sz val="10"/>
        <rFont val="Arial Narrow"/>
        <family val="2"/>
      </rPr>
      <t xml:space="preserve">   </t>
    </r>
    <r>
      <rPr>
        <sz val="10"/>
        <rFont val="宋体"/>
        <family val="3"/>
        <charset val="134"/>
      </rPr>
      <t>索引号：（</t>
    </r>
    <r>
      <rPr>
        <sz val="10"/>
        <rFont val="Arial Narrow"/>
        <family val="2"/>
      </rPr>
      <t xml:space="preserve">                </t>
    </r>
    <r>
      <rPr>
        <sz val="10"/>
        <rFont val="宋体"/>
        <family val="3"/>
        <charset val="134"/>
      </rPr>
      <t>）</t>
    </r>
    <phoneticPr fontId="9" type="noConversion"/>
  </si>
  <si>
    <r>
      <rPr>
        <sz val="10"/>
        <rFont val="宋体"/>
        <family val="3"/>
        <charset val="134"/>
      </rPr>
      <t>（</t>
    </r>
    <r>
      <rPr>
        <sz val="10"/>
        <rFont val="Arial Narrow"/>
        <family val="2"/>
      </rPr>
      <t>1</t>
    </r>
    <r>
      <rPr>
        <sz val="10"/>
        <rFont val="宋体"/>
        <family val="3"/>
        <charset val="134"/>
      </rPr>
      <t>）规定盘点的时间与次数：</t>
    </r>
    <r>
      <rPr>
        <u/>
        <sz val="10"/>
        <rFont val="Arial Narrow"/>
        <family val="2"/>
      </rPr>
      <t xml:space="preserve">                                   </t>
    </r>
    <phoneticPr fontId="9" type="noConversion"/>
  </si>
  <si>
    <r>
      <rPr>
        <sz val="10"/>
        <rFont val="宋体"/>
        <family val="3"/>
        <charset val="134"/>
      </rPr>
      <t>（</t>
    </r>
    <r>
      <rPr>
        <sz val="10"/>
        <rFont val="Arial Narrow"/>
        <family val="2"/>
      </rPr>
      <t>2</t>
    </r>
    <r>
      <rPr>
        <sz val="10"/>
        <rFont val="宋体"/>
        <family val="3"/>
        <charset val="134"/>
      </rPr>
      <t>）负责盘点的部门：</t>
    </r>
    <r>
      <rPr>
        <u/>
        <sz val="10"/>
        <rFont val="Arial Narrow"/>
        <family val="2"/>
      </rPr>
      <t xml:space="preserve">                 </t>
    </r>
    <r>
      <rPr>
        <sz val="10"/>
        <rFont val="Arial Narrow"/>
        <family val="2"/>
      </rPr>
      <t xml:space="preserve"> </t>
    </r>
    <phoneticPr fontId="9" type="noConversion"/>
  </si>
  <si>
    <r>
      <rPr>
        <sz val="10"/>
        <color indexed="12"/>
        <rFont val="宋体"/>
        <family val="3"/>
        <charset val="134"/>
      </rPr>
      <t>（提示：如制度规定与实际执行不一致的，应按制度规定与实际负责的部门分别填写）</t>
    </r>
    <phoneticPr fontId="9" type="noConversion"/>
  </si>
  <si>
    <r>
      <rPr>
        <sz val="10"/>
        <rFont val="宋体"/>
        <family val="3"/>
        <charset val="134"/>
      </rPr>
      <t>（</t>
    </r>
    <r>
      <rPr>
        <sz val="10"/>
        <rFont val="Arial Narrow"/>
        <family val="2"/>
      </rPr>
      <t>3</t>
    </r>
    <r>
      <rPr>
        <sz val="10"/>
        <rFont val="宋体"/>
        <family val="3"/>
        <charset val="134"/>
      </rPr>
      <t>）预计安排的盘点人员数量：</t>
    </r>
    <r>
      <rPr>
        <u/>
        <sz val="10"/>
        <rFont val="Arial Narrow"/>
        <family val="2"/>
      </rPr>
      <t xml:space="preserve">                      </t>
    </r>
    <r>
      <rPr>
        <sz val="10"/>
        <rFont val="Arial Narrow"/>
        <family val="2"/>
      </rPr>
      <t xml:space="preserve">   </t>
    </r>
    <phoneticPr fontId="9" type="noConversion"/>
  </si>
  <si>
    <r>
      <t xml:space="preserve"> 1</t>
    </r>
    <r>
      <rPr>
        <sz val="10"/>
        <rFont val="宋体"/>
        <family val="3"/>
        <charset val="134"/>
      </rPr>
      <t>．上一年度监盘时间：</t>
    </r>
    <r>
      <rPr>
        <u/>
        <sz val="10"/>
        <rFont val="Arial Narrow"/>
        <family val="2"/>
      </rPr>
      <t xml:space="preserve">                  </t>
    </r>
    <r>
      <rPr>
        <sz val="10"/>
        <rFont val="Arial Narrow"/>
        <family val="2"/>
      </rPr>
      <t xml:space="preserve"> </t>
    </r>
    <phoneticPr fontId="9" type="noConversion"/>
  </si>
  <si>
    <r>
      <rPr>
        <sz val="10"/>
        <color indexed="12"/>
        <rFont val="宋体"/>
        <family val="3"/>
        <charset val="134"/>
      </rPr>
      <t>（提示：上年度如是本所实施监盘的，应当查阅上一年度工作底稿；如不是本所实施审计的，应当在与前任会计师实施沟通程序中安排本项沟通内容。）</t>
    </r>
    <phoneticPr fontId="9" type="noConversion"/>
  </si>
  <si>
    <r>
      <rPr>
        <b/>
        <sz val="10"/>
        <rFont val="宋体"/>
        <family val="3"/>
        <charset val="134"/>
      </rPr>
      <t>三、评估审计人员的专业胜任能力：</t>
    </r>
    <phoneticPr fontId="9" type="noConversion"/>
  </si>
  <si>
    <r>
      <rPr>
        <sz val="10"/>
        <color indexed="12"/>
        <rFont val="宋体"/>
        <family val="3"/>
        <charset val="134"/>
      </rPr>
      <t>提示：针对特殊类型的存货，应当评估审计人员是否具备专业胜任能力</t>
    </r>
    <phoneticPr fontId="9" type="noConversion"/>
  </si>
  <si>
    <r>
      <rPr>
        <b/>
        <sz val="10"/>
        <rFont val="宋体"/>
        <family val="3"/>
        <charset val="134"/>
      </rPr>
      <t>四、盘点计划安排：</t>
    </r>
    <phoneticPr fontId="9" type="noConversion"/>
  </si>
  <si>
    <r>
      <rPr>
        <sz val="10"/>
        <rFont val="宋体"/>
        <family val="3"/>
        <charset val="134"/>
      </rPr>
      <t>（二）预计安排监盘人员数量：</t>
    </r>
    <r>
      <rPr>
        <u/>
        <sz val="10"/>
        <rFont val="Arial Narrow"/>
        <family val="2"/>
      </rPr>
      <t xml:space="preserve">              </t>
    </r>
    <r>
      <rPr>
        <sz val="10"/>
        <rFont val="Arial Narrow"/>
        <family val="2"/>
      </rPr>
      <t xml:space="preserve">    </t>
    </r>
    <phoneticPr fontId="9" type="noConversion"/>
  </si>
  <si>
    <r>
      <t xml:space="preserve"> 2.</t>
    </r>
    <r>
      <rPr>
        <sz val="10"/>
        <rFont val="宋体"/>
        <family val="3"/>
        <charset val="134"/>
      </rPr>
      <t>管理层人员：</t>
    </r>
    <r>
      <rPr>
        <sz val="10"/>
        <rFont val="Arial Narrow"/>
        <family val="2"/>
      </rPr>
      <t xml:space="preserve">                       </t>
    </r>
    <phoneticPr fontId="9" type="noConversion"/>
  </si>
  <si>
    <r>
      <rPr>
        <sz val="10"/>
        <rFont val="宋体"/>
        <family val="3"/>
        <charset val="134"/>
      </rPr>
      <t>抽样总体：</t>
    </r>
    <phoneticPr fontId="9" type="noConversion"/>
  </si>
  <si>
    <r>
      <rPr>
        <b/>
        <sz val="10"/>
        <rFont val="宋体"/>
        <family val="3"/>
        <charset val="134"/>
      </rPr>
      <t>企业盘点记录数量</t>
    </r>
    <phoneticPr fontId="9" type="noConversion"/>
  </si>
  <si>
    <r>
      <rPr>
        <b/>
        <sz val="10"/>
        <rFont val="宋体"/>
        <family val="3"/>
        <charset val="134"/>
      </rPr>
      <t>期末油气资产原值合计：</t>
    </r>
  </si>
  <si>
    <r>
      <rPr>
        <b/>
        <sz val="10"/>
        <rFont val="宋体"/>
        <family val="3"/>
        <charset val="134"/>
      </rPr>
      <t>（二）从油气资产实物中选取项目追查至油气资产盘点记录</t>
    </r>
    <phoneticPr fontId="9" type="noConversion"/>
  </si>
  <si>
    <r>
      <rPr>
        <b/>
        <sz val="10"/>
        <rFont val="宋体"/>
        <family val="3"/>
        <charset val="134"/>
      </rPr>
      <t>规格</t>
    </r>
    <phoneticPr fontId="9" type="noConversion"/>
  </si>
  <si>
    <r>
      <rPr>
        <b/>
        <sz val="10"/>
        <rFont val="宋体"/>
        <family val="3"/>
        <charset val="134"/>
      </rPr>
      <t>单位</t>
    </r>
    <phoneticPr fontId="9" type="noConversion"/>
  </si>
  <si>
    <r>
      <rPr>
        <b/>
        <sz val="10"/>
        <rFont val="宋体"/>
        <family val="3"/>
        <charset val="134"/>
      </rPr>
      <t>四、审计说明：</t>
    </r>
    <phoneticPr fontId="9" type="noConversion"/>
  </si>
  <si>
    <r>
      <t>1</t>
    </r>
    <r>
      <rPr>
        <sz val="10"/>
        <color indexed="12"/>
        <rFont val="宋体"/>
        <family val="3"/>
        <charset val="134"/>
      </rPr>
      <t>、本表可作为油气资产盘点汇总表或盘点明细表或油气资产抽盘表。</t>
    </r>
  </si>
  <si>
    <r>
      <t>2</t>
    </r>
    <r>
      <rPr>
        <sz val="10"/>
        <color indexed="12"/>
        <rFont val="宋体"/>
        <family val="3"/>
        <charset val="134"/>
      </rPr>
      <t>、财务账面记录与资产管理管理部门账面记录应一致，若存在差异应调整一致。</t>
    </r>
    <phoneticPr fontId="9" type="noConversion"/>
  </si>
  <si>
    <r>
      <rPr>
        <b/>
        <sz val="10"/>
        <rFont val="宋体"/>
        <family val="3"/>
        <charset val="134"/>
      </rPr>
      <t>二、样本选取标准与规模：</t>
    </r>
    <phoneticPr fontId="36" type="noConversion"/>
  </si>
  <si>
    <r>
      <rPr>
        <b/>
        <sz val="10"/>
        <rFont val="宋体"/>
        <family val="3"/>
        <charset val="134"/>
      </rPr>
      <t>资产编号</t>
    </r>
    <phoneticPr fontId="9" type="noConversion"/>
  </si>
  <si>
    <r>
      <rPr>
        <b/>
        <sz val="10"/>
        <rFont val="宋体"/>
        <family val="3"/>
        <charset val="134"/>
      </rPr>
      <t>抽盘数量</t>
    </r>
    <phoneticPr fontId="9" type="noConversion"/>
  </si>
  <si>
    <r>
      <t>5</t>
    </r>
    <r>
      <rPr>
        <sz val="10"/>
        <color indexed="12"/>
        <rFont val="宋体"/>
        <family val="3"/>
        <charset val="134"/>
      </rPr>
      <t>、盘点时应关注资产的品质状况（影响减值准备的计提）。</t>
    </r>
    <phoneticPr fontId="9" type="noConversion"/>
  </si>
  <si>
    <r>
      <rPr>
        <b/>
        <sz val="10"/>
        <rFont val="宋体"/>
        <family val="3"/>
        <charset val="134"/>
      </rPr>
      <t>一、审计目标：</t>
    </r>
    <phoneticPr fontId="36" type="noConversion"/>
  </si>
  <si>
    <r>
      <rPr>
        <b/>
        <sz val="10"/>
        <rFont val="宋体"/>
        <family val="3"/>
        <charset val="134"/>
      </rPr>
      <t>抽盘与账面差异（</t>
    </r>
    <r>
      <rPr>
        <b/>
        <sz val="10"/>
        <rFont val="Arial Narrow"/>
        <family val="2"/>
      </rPr>
      <t>+</t>
    </r>
    <r>
      <rPr>
        <b/>
        <sz val="10"/>
        <rFont val="宋体"/>
        <family val="3"/>
        <charset val="134"/>
      </rPr>
      <t>盈</t>
    </r>
    <r>
      <rPr>
        <b/>
        <sz val="10"/>
        <rFont val="Arial Narrow"/>
        <family val="2"/>
      </rPr>
      <t>-</t>
    </r>
    <r>
      <rPr>
        <b/>
        <sz val="10"/>
        <rFont val="宋体"/>
        <family val="3"/>
        <charset val="134"/>
      </rPr>
      <t>亏）</t>
    </r>
    <phoneticPr fontId="9" type="noConversion"/>
  </si>
  <si>
    <r>
      <rPr>
        <b/>
        <sz val="10"/>
        <rFont val="宋体"/>
        <family val="3"/>
        <charset val="134"/>
      </rPr>
      <t>品质状况（正常</t>
    </r>
    <r>
      <rPr>
        <b/>
        <sz val="10"/>
        <rFont val="Arial Narrow"/>
        <family val="2"/>
      </rPr>
      <t>/</t>
    </r>
    <r>
      <rPr>
        <b/>
        <sz val="10"/>
        <rFont val="宋体"/>
        <family val="3"/>
        <charset val="134"/>
      </rPr>
      <t>残次</t>
    </r>
    <r>
      <rPr>
        <b/>
        <sz val="10"/>
        <rFont val="Arial Narrow"/>
        <family val="2"/>
      </rPr>
      <t>/</t>
    </r>
    <r>
      <rPr>
        <b/>
        <sz val="10"/>
        <rFont val="宋体"/>
        <family val="3"/>
        <charset val="134"/>
      </rPr>
      <t>毁损</t>
    </r>
    <r>
      <rPr>
        <b/>
        <sz val="10"/>
        <rFont val="Arial Narrow"/>
        <family val="2"/>
      </rPr>
      <t>/</t>
    </r>
    <r>
      <rPr>
        <b/>
        <sz val="10"/>
        <rFont val="宋体"/>
        <family val="3"/>
        <charset val="134"/>
      </rPr>
      <t>滞销等）</t>
    </r>
    <phoneticPr fontId="9" type="noConversion"/>
  </si>
  <si>
    <r>
      <rPr>
        <b/>
        <sz val="10"/>
        <rFont val="宋体"/>
        <family val="3"/>
        <charset val="134"/>
      </rPr>
      <t>抽取样本占期末原值合计的比例：（</t>
    </r>
    <r>
      <rPr>
        <b/>
        <sz val="10"/>
        <rFont val="Arial Narrow"/>
        <family val="2"/>
      </rPr>
      <t>%</t>
    </r>
    <r>
      <rPr>
        <b/>
        <sz val="10"/>
        <rFont val="宋体"/>
        <family val="3"/>
        <charset val="134"/>
      </rPr>
      <t>）</t>
    </r>
    <phoneticPr fontId="9" type="noConversion"/>
  </si>
  <si>
    <r>
      <rPr>
        <b/>
        <sz val="10"/>
        <rFont val="宋体"/>
        <family val="3"/>
        <charset val="134"/>
      </rPr>
      <t>油气资产名称</t>
    </r>
    <r>
      <rPr>
        <b/>
        <sz val="10"/>
        <rFont val="Arial Narrow"/>
        <family val="2"/>
      </rPr>
      <t>/</t>
    </r>
    <r>
      <rPr>
        <b/>
        <sz val="10"/>
        <rFont val="宋体"/>
        <family val="3"/>
        <charset val="134"/>
      </rPr>
      <t>类别</t>
    </r>
    <phoneticPr fontId="9" type="noConversion"/>
  </si>
  <si>
    <r>
      <rPr>
        <sz val="10"/>
        <rFont val="宋体"/>
        <family val="3"/>
        <charset val="134"/>
      </rPr>
      <t>（</t>
    </r>
    <r>
      <rPr>
        <sz val="10"/>
        <rFont val="Arial Narrow"/>
        <family val="2"/>
      </rPr>
      <t>1</t>
    </r>
    <r>
      <rPr>
        <sz val="10"/>
        <rFont val="宋体"/>
        <family val="3"/>
        <charset val="134"/>
      </rPr>
      <t>）备忘录详见</t>
    </r>
    <r>
      <rPr>
        <sz val="10"/>
        <rFont val="Arial Narrow"/>
        <family val="2"/>
      </rPr>
      <t>“</t>
    </r>
    <r>
      <rPr>
        <sz val="10"/>
        <rFont val="宋体"/>
        <family val="3"/>
        <charset val="134"/>
      </rPr>
      <t>油气资产盘点实地监盘备忘录</t>
    </r>
    <r>
      <rPr>
        <sz val="10"/>
        <rFont val="Arial Narrow"/>
        <family val="2"/>
      </rPr>
      <t>”</t>
    </r>
    <r>
      <rPr>
        <sz val="10"/>
        <rFont val="宋体"/>
        <family val="3"/>
        <charset val="134"/>
      </rPr>
      <t>。</t>
    </r>
  </si>
  <si>
    <r>
      <t>3</t>
    </r>
    <r>
      <rPr>
        <sz val="10"/>
        <color indexed="12"/>
        <rFont val="宋体"/>
        <family val="3"/>
        <charset val="134"/>
      </rPr>
      <t>、财务账面记录与实际盘点记录的差异构成盘盈</t>
    </r>
    <r>
      <rPr>
        <sz val="10"/>
        <color indexed="12"/>
        <rFont val="Arial Narrow"/>
        <family val="2"/>
      </rPr>
      <t>/</t>
    </r>
    <r>
      <rPr>
        <sz val="10"/>
        <color indexed="12"/>
        <rFont val="宋体"/>
        <family val="3"/>
        <charset val="134"/>
      </rPr>
      <t>盘亏，应根据具体原因分析处理。应说明企业的处理结果。</t>
    </r>
  </si>
  <si>
    <r>
      <t>4</t>
    </r>
    <r>
      <rPr>
        <sz val="10"/>
        <color indexed="12"/>
        <rFont val="宋体"/>
        <family val="3"/>
        <charset val="134"/>
      </rPr>
      <t>、盘点时，应关注易移动的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及可能发生减值的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t>
    </r>
    <phoneticPr fontId="9" type="noConversion"/>
  </si>
  <si>
    <r>
      <t>1.</t>
    </r>
    <r>
      <rPr>
        <sz val="10"/>
        <rFont val="宋体"/>
        <family val="3"/>
        <charset val="134"/>
      </rPr>
      <t>资产负债表中记录的油气资产是存在的，且已记录于恰当的账户；</t>
    </r>
    <r>
      <rPr>
        <sz val="10"/>
        <rFont val="Arial Narrow"/>
        <family val="2"/>
      </rPr>
      <t>2.</t>
    </r>
    <r>
      <rPr>
        <sz val="10"/>
        <rFont val="宋体"/>
        <family val="3"/>
        <charset val="134"/>
      </rPr>
      <t>油气资产以恰当的金额包括在财务报表中，与之相关的计价或分摊调整已恰当记录，相关披露已得到恰当计量和描述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9" type="noConversion"/>
  </si>
  <si>
    <r>
      <rPr>
        <sz val="10"/>
        <rFont val="宋体"/>
        <family val="3"/>
        <charset val="134"/>
      </rPr>
      <t>测试总体：</t>
    </r>
    <phoneticPr fontId="9"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</si>
  <si>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9" type="noConversion"/>
  </si>
  <si>
    <r>
      <rPr>
        <sz val="10"/>
        <rFont val="宋体"/>
        <family val="3"/>
        <charset val="134"/>
      </rPr>
      <t>抽样方法：</t>
    </r>
    <phoneticPr fontId="9" type="noConversion"/>
  </si>
  <si>
    <r>
      <rPr>
        <sz val="10"/>
        <rFont val="宋体"/>
        <family val="3"/>
        <charset val="134"/>
      </rPr>
      <t>抽样过程：</t>
    </r>
    <phoneticPr fontId="9" type="noConversion"/>
  </si>
  <si>
    <r>
      <rPr>
        <b/>
        <sz val="10"/>
        <rFont val="宋体"/>
        <family val="3"/>
        <charset val="134"/>
      </rPr>
      <t>三、审计过程：</t>
    </r>
    <phoneticPr fontId="36" type="noConversion"/>
  </si>
  <si>
    <r>
      <rPr>
        <b/>
        <sz val="10"/>
        <rFont val="宋体"/>
        <family val="3"/>
        <charset val="134"/>
      </rPr>
      <t>（一）从油气资产盘点记录中选取项目追查至油气资产实物</t>
    </r>
    <phoneticPr fontId="9" type="noConversion"/>
  </si>
  <si>
    <r>
      <rPr>
        <b/>
        <sz val="10"/>
        <rFont val="宋体"/>
        <family val="3"/>
        <charset val="134"/>
      </rPr>
      <t>资产编号</t>
    </r>
    <phoneticPr fontId="9" type="noConversion"/>
  </si>
  <si>
    <r>
      <rPr>
        <b/>
        <sz val="10"/>
        <rFont val="宋体"/>
        <family val="3"/>
        <charset val="134"/>
      </rPr>
      <t>单价</t>
    </r>
    <phoneticPr fontId="9" type="noConversion"/>
  </si>
  <si>
    <r>
      <rPr>
        <b/>
        <sz val="10"/>
        <rFont val="宋体"/>
        <family val="3"/>
        <charset val="134"/>
      </rPr>
      <t>抽盘数量</t>
    </r>
    <phoneticPr fontId="9" type="noConversion"/>
  </si>
  <si>
    <r>
      <rPr>
        <b/>
        <sz val="10"/>
        <rFont val="宋体"/>
        <family val="3"/>
        <charset val="134"/>
      </rPr>
      <t>抽盘与账面差异（</t>
    </r>
    <r>
      <rPr>
        <b/>
        <sz val="10"/>
        <rFont val="Arial Narrow"/>
        <family val="2"/>
      </rPr>
      <t>+</t>
    </r>
    <r>
      <rPr>
        <b/>
        <sz val="10"/>
        <rFont val="宋体"/>
        <family val="3"/>
        <charset val="134"/>
      </rPr>
      <t>盈</t>
    </r>
    <r>
      <rPr>
        <b/>
        <sz val="10"/>
        <rFont val="Arial Narrow"/>
        <family val="2"/>
      </rPr>
      <t>-</t>
    </r>
    <r>
      <rPr>
        <b/>
        <sz val="10"/>
        <rFont val="宋体"/>
        <family val="3"/>
        <charset val="134"/>
      </rPr>
      <t>亏）</t>
    </r>
    <phoneticPr fontId="9" type="noConversion"/>
  </si>
  <si>
    <r>
      <rPr>
        <b/>
        <sz val="10"/>
        <rFont val="宋体"/>
        <family val="3"/>
        <charset val="134"/>
      </rPr>
      <t>抽盘与企业盘点差异</t>
    </r>
    <phoneticPr fontId="9" type="noConversion"/>
  </si>
  <si>
    <r>
      <rPr>
        <b/>
        <sz val="10"/>
        <rFont val="宋体"/>
        <family val="3"/>
        <charset val="134"/>
      </rPr>
      <t>企业盘点与账面差异</t>
    </r>
    <phoneticPr fontId="9" type="noConversion"/>
  </si>
  <si>
    <r>
      <rPr>
        <b/>
        <sz val="10"/>
        <rFont val="宋体"/>
        <family val="3"/>
        <charset val="134"/>
      </rPr>
      <t>规格</t>
    </r>
    <phoneticPr fontId="9" type="noConversion"/>
  </si>
  <si>
    <r>
      <rPr>
        <b/>
        <sz val="10"/>
        <rFont val="宋体"/>
        <family val="3"/>
        <charset val="134"/>
      </rPr>
      <t>单位</t>
    </r>
    <phoneticPr fontId="9" type="noConversion"/>
  </si>
  <si>
    <r>
      <rPr>
        <b/>
        <sz val="10"/>
        <rFont val="宋体"/>
        <family val="3"/>
        <charset val="134"/>
      </rPr>
      <t>单价</t>
    </r>
    <phoneticPr fontId="9" type="noConversion"/>
  </si>
  <si>
    <r>
      <rPr>
        <b/>
        <sz val="10"/>
        <rFont val="宋体"/>
        <family val="3"/>
        <charset val="134"/>
      </rPr>
      <t>五、审计结论：</t>
    </r>
    <phoneticPr fontId="9" type="noConversion"/>
  </si>
  <si>
    <r>
      <rPr>
        <b/>
        <sz val="10"/>
        <rFont val="宋体"/>
        <family val="3"/>
        <charset val="134"/>
      </rPr>
      <t>二、主要资产存放情况：</t>
    </r>
    <phoneticPr fontId="9" type="noConversion"/>
  </si>
  <si>
    <r>
      <rPr>
        <b/>
        <sz val="10"/>
        <rFont val="宋体"/>
        <family val="3"/>
        <charset val="134"/>
      </rPr>
      <t>资产类别</t>
    </r>
    <phoneticPr fontId="9" type="noConversion"/>
  </si>
  <si>
    <r>
      <rPr>
        <b/>
        <sz val="10"/>
        <rFont val="宋体"/>
        <family val="3"/>
        <charset val="134"/>
      </rPr>
      <t>资产名称</t>
    </r>
    <phoneticPr fontId="9" type="noConversion"/>
  </si>
  <si>
    <r>
      <rPr>
        <b/>
        <sz val="10"/>
        <rFont val="宋体"/>
        <family val="3"/>
        <charset val="134"/>
      </rPr>
      <t>存放地点</t>
    </r>
    <phoneticPr fontId="9" type="noConversion"/>
  </si>
  <si>
    <r>
      <rPr>
        <b/>
        <sz val="10"/>
        <rFont val="宋体"/>
        <family val="3"/>
        <charset val="134"/>
      </rPr>
      <t>项目</t>
    </r>
    <phoneticPr fontId="9" type="noConversion"/>
  </si>
  <si>
    <r>
      <rPr>
        <sz val="10"/>
        <rFont val="宋体"/>
        <family val="3"/>
        <charset val="134"/>
      </rPr>
      <t>资产管理部门：</t>
    </r>
    <phoneticPr fontId="9" type="noConversion"/>
  </si>
  <si>
    <r>
      <rPr>
        <sz val="10"/>
        <rFont val="宋体"/>
        <family val="3"/>
        <charset val="134"/>
      </rPr>
      <t>管理人员：</t>
    </r>
    <phoneticPr fontId="9" type="noConversion"/>
  </si>
  <si>
    <r>
      <rPr>
        <sz val="10"/>
        <rFont val="宋体"/>
        <family val="3"/>
        <charset val="134"/>
      </rPr>
      <t>资产是否具有管理标识：</t>
    </r>
    <phoneticPr fontId="9" type="noConversion"/>
  </si>
  <si>
    <r>
      <rPr>
        <sz val="10"/>
        <rFont val="宋体"/>
        <family val="3"/>
        <charset val="134"/>
      </rPr>
      <t>资产是否具有定期保养制度：</t>
    </r>
    <phoneticPr fontId="9" type="noConversion"/>
  </si>
  <si>
    <r>
      <rPr>
        <sz val="10"/>
        <rFont val="宋体"/>
        <family val="3"/>
        <charset val="134"/>
      </rPr>
      <t>大修理周期时间：</t>
    </r>
    <phoneticPr fontId="9" type="noConversion"/>
  </si>
  <si>
    <r>
      <rPr>
        <sz val="10"/>
        <rFont val="宋体"/>
        <family val="3"/>
        <charset val="134"/>
      </rPr>
      <t>资产明细账（卡）是否完整：</t>
    </r>
    <phoneticPr fontId="9" type="noConversion"/>
  </si>
  <si>
    <r>
      <rPr>
        <sz val="10"/>
        <rFont val="宋体"/>
        <family val="3"/>
        <charset val="134"/>
      </rPr>
      <t>资产明细账（卡）的各项记录是否完整：</t>
    </r>
    <phoneticPr fontId="9" type="noConversion"/>
  </si>
  <si>
    <r>
      <t>1</t>
    </r>
    <r>
      <rPr>
        <b/>
        <sz val="10"/>
        <rFont val="宋体"/>
        <family val="3"/>
        <charset val="134"/>
      </rPr>
      <t>．</t>
    </r>
    <r>
      <rPr>
        <b/>
        <sz val="10"/>
        <rFont val="Arial Narrow"/>
        <family val="2"/>
      </rPr>
      <t xml:space="preserve"> </t>
    </r>
    <r>
      <rPr>
        <b/>
        <sz val="10"/>
        <rFont val="宋体"/>
        <family val="3"/>
        <charset val="134"/>
      </rPr>
      <t>被审计单位的人员：</t>
    </r>
    <r>
      <rPr>
        <b/>
        <sz val="10"/>
        <rFont val="Arial Narrow"/>
        <family val="2"/>
      </rPr>
      <t xml:space="preserve">      </t>
    </r>
    <phoneticPr fontId="9" type="noConversion"/>
  </si>
  <si>
    <r>
      <rPr>
        <b/>
        <sz val="10"/>
        <rFont val="宋体"/>
        <family val="3"/>
        <charset val="134"/>
      </rPr>
      <t>盘点人员所属部门</t>
    </r>
    <phoneticPr fontId="9" type="noConversion"/>
  </si>
  <si>
    <r>
      <rPr>
        <b/>
        <sz val="10"/>
        <rFont val="宋体"/>
        <family val="3"/>
        <charset val="134"/>
      </rPr>
      <t>人员数量</t>
    </r>
    <phoneticPr fontId="9" type="noConversion"/>
  </si>
  <si>
    <r>
      <rPr>
        <b/>
        <sz val="10"/>
        <rFont val="宋体"/>
        <family val="3"/>
        <charset val="134"/>
      </rPr>
      <t>人员名称</t>
    </r>
    <phoneticPr fontId="9" type="noConversion"/>
  </si>
  <si>
    <r>
      <rPr>
        <b/>
        <sz val="10"/>
        <rFont val="宋体"/>
        <family val="3"/>
        <charset val="134"/>
      </rPr>
      <t>所负责的部分</t>
    </r>
    <phoneticPr fontId="9" type="noConversion"/>
  </si>
  <si>
    <r>
      <rPr>
        <b/>
        <sz val="10"/>
        <rFont val="宋体"/>
        <family val="3"/>
        <charset val="134"/>
      </rPr>
      <t>人员名称</t>
    </r>
    <phoneticPr fontId="9" type="noConversion"/>
  </si>
  <si>
    <r>
      <rPr>
        <b/>
        <sz val="10"/>
        <rFont val="宋体"/>
        <family val="3"/>
        <charset val="134"/>
      </rPr>
      <t>负责的部分</t>
    </r>
    <phoneticPr fontId="9" type="noConversion"/>
  </si>
  <si>
    <r>
      <rPr>
        <sz val="10"/>
        <rFont val="宋体"/>
        <family val="3"/>
        <charset val="134"/>
      </rPr>
      <t>（</t>
    </r>
    <r>
      <rPr>
        <sz val="10"/>
        <rFont val="Arial Narrow"/>
        <family val="2"/>
      </rPr>
      <t>1</t>
    </r>
    <r>
      <rPr>
        <sz val="10"/>
        <rFont val="宋体"/>
        <family val="3"/>
        <charset val="134"/>
      </rPr>
      <t>）资产明细账（卡）</t>
    </r>
    <r>
      <rPr>
        <sz val="10"/>
        <rFont val="Arial Narrow"/>
        <family val="2"/>
      </rPr>
      <t xml:space="preserve"> </t>
    </r>
    <r>
      <rPr>
        <sz val="10"/>
        <rFont val="宋体"/>
        <family val="3"/>
        <charset val="134"/>
      </rPr>
      <t>是否获取：</t>
    </r>
    <r>
      <rPr>
        <sz val="10"/>
        <rFont val="Arial Narrow"/>
        <family val="2"/>
      </rPr>
      <t xml:space="preserve">   </t>
    </r>
    <r>
      <rPr>
        <u/>
        <sz val="10"/>
        <rFont val="Arial Narrow"/>
        <family val="2"/>
      </rPr>
      <t xml:space="preserve">            </t>
    </r>
    <r>
      <rPr>
        <sz val="10"/>
        <rFont val="宋体"/>
        <family val="3"/>
        <charset val="134"/>
      </rPr>
      <t/>
    </r>
    <phoneticPr fontId="9" type="noConversion"/>
  </si>
  <si>
    <r>
      <t xml:space="preserve"> </t>
    </r>
    <r>
      <rPr>
        <sz val="10"/>
        <rFont val="宋体"/>
        <family val="3"/>
        <charset val="134"/>
      </rPr>
      <t>索引：</t>
    </r>
    <phoneticPr fontId="9" type="noConversion"/>
  </si>
  <si>
    <r>
      <rPr>
        <sz val="10"/>
        <rFont val="宋体"/>
        <family val="3"/>
        <charset val="134"/>
      </rPr>
      <t>（</t>
    </r>
    <r>
      <rPr>
        <sz val="10"/>
        <rFont val="Arial Narrow"/>
        <family val="2"/>
      </rPr>
      <t>2</t>
    </r>
    <r>
      <rPr>
        <sz val="10"/>
        <rFont val="宋体"/>
        <family val="3"/>
        <charset val="134"/>
      </rPr>
      <t>）油气资产管理制度</t>
    </r>
    <r>
      <rPr>
        <sz val="10"/>
        <rFont val="Arial Narrow"/>
        <family val="2"/>
      </rPr>
      <t xml:space="preserve"> </t>
    </r>
    <r>
      <rPr>
        <sz val="10"/>
        <rFont val="宋体"/>
        <family val="3"/>
        <charset val="134"/>
      </rPr>
      <t>是否获取：</t>
    </r>
  </si>
  <si>
    <r>
      <t xml:space="preserve"> </t>
    </r>
    <r>
      <rPr>
        <sz val="10"/>
        <rFont val="宋体"/>
        <family val="3"/>
        <charset val="134"/>
      </rPr>
      <t>索引：</t>
    </r>
    <phoneticPr fontId="9" type="noConversion"/>
  </si>
  <si>
    <r>
      <rPr>
        <sz val="10"/>
        <rFont val="宋体"/>
        <family val="3"/>
        <charset val="134"/>
      </rPr>
      <t>（</t>
    </r>
    <r>
      <rPr>
        <sz val="10"/>
        <rFont val="Arial Narrow"/>
        <family val="2"/>
      </rPr>
      <t>3</t>
    </r>
    <r>
      <rPr>
        <sz val="10"/>
        <rFont val="宋体"/>
        <family val="3"/>
        <charset val="134"/>
      </rPr>
      <t>）油气资产维修制度是否获取：</t>
    </r>
  </si>
  <si>
    <r>
      <rPr>
        <sz val="10"/>
        <rFont val="宋体"/>
        <family val="3"/>
        <charset val="134"/>
      </rPr>
      <t>（</t>
    </r>
    <r>
      <rPr>
        <sz val="10"/>
        <rFont val="Arial Narrow"/>
        <family val="2"/>
      </rPr>
      <t>4</t>
    </r>
    <r>
      <rPr>
        <sz val="10"/>
        <rFont val="宋体"/>
        <family val="3"/>
        <charset val="134"/>
      </rPr>
      <t>）获取或编制资产位置简图：</t>
    </r>
    <r>
      <rPr>
        <u/>
        <sz val="10"/>
        <rFont val="宋体"/>
        <family val="3"/>
        <charset val="134"/>
      </rPr>
      <t/>
    </r>
    <phoneticPr fontId="9" type="noConversion"/>
  </si>
  <si>
    <r>
      <rPr>
        <sz val="10"/>
        <rFont val="宋体"/>
        <family val="3"/>
        <charset val="134"/>
      </rPr>
      <t>实际监盘（盘点）日：</t>
    </r>
    <r>
      <rPr>
        <u/>
        <sz val="10"/>
        <rFont val="宋体"/>
        <family val="3"/>
        <charset val="134"/>
      </rPr>
      <t/>
    </r>
    <phoneticPr fontId="9" type="noConversion"/>
  </si>
  <si>
    <r>
      <rPr>
        <sz val="10"/>
        <rFont val="宋体"/>
        <family val="3"/>
        <charset val="134"/>
      </rPr>
      <t>开始时间：</t>
    </r>
    <phoneticPr fontId="9" type="noConversion"/>
  </si>
  <si>
    <r>
      <rPr>
        <sz val="10"/>
        <rFont val="宋体"/>
        <family val="3"/>
        <charset val="134"/>
      </rPr>
      <t>结束时间：</t>
    </r>
    <r>
      <rPr>
        <sz val="10"/>
        <rFont val="Arial Narrow"/>
        <family val="2"/>
      </rPr>
      <t xml:space="preserve"> </t>
    </r>
    <phoneticPr fontId="9" type="noConversion"/>
  </si>
  <si>
    <r>
      <rPr>
        <sz val="10"/>
        <rFont val="宋体"/>
        <family val="3"/>
        <charset val="134"/>
      </rPr>
      <t>部门：</t>
    </r>
    <r>
      <rPr>
        <sz val="10"/>
        <rFont val="Arial Narrow"/>
        <family val="2"/>
      </rPr>
      <t xml:space="preserve"> </t>
    </r>
    <r>
      <rPr>
        <u/>
        <sz val="10"/>
        <rFont val="Arial Narrow"/>
        <family val="2"/>
      </rPr>
      <t xml:space="preserve">          </t>
    </r>
    <r>
      <rPr>
        <sz val="10"/>
        <rFont val="Arial Narrow"/>
        <family val="2"/>
      </rPr>
      <t xml:space="preserve">   </t>
    </r>
    <phoneticPr fontId="9" type="noConversion"/>
  </si>
  <si>
    <r>
      <rPr>
        <sz val="10"/>
        <rFont val="宋体"/>
        <family val="3"/>
        <charset val="134"/>
      </rPr>
      <t>姓名：</t>
    </r>
    <r>
      <rPr>
        <sz val="10"/>
        <rFont val="Arial Narrow"/>
        <family val="2"/>
      </rPr>
      <t xml:space="preserve">            </t>
    </r>
    <phoneticPr fontId="9" type="noConversion"/>
  </si>
  <si>
    <r>
      <rPr>
        <sz val="10"/>
        <rFont val="宋体"/>
        <family val="3"/>
        <charset val="134"/>
      </rPr>
      <t>姓名：</t>
    </r>
    <r>
      <rPr>
        <sz val="10"/>
        <rFont val="Arial Narrow"/>
        <family val="2"/>
      </rPr>
      <t xml:space="preserve">            </t>
    </r>
    <phoneticPr fontId="9" type="noConversion"/>
  </si>
  <si>
    <r>
      <rPr>
        <sz val="10"/>
        <rFont val="宋体"/>
        <family val="3"/>
        <charset val="134"/>
      </rPr>
      <t>部门：</t>
    </r>
    <r>
      <rPr>
        <sz val="10"/>
        <rFont val="Arial Narrow"/>
        <family val="2"/>
      </rPr>
      <t xml:space="preserve"> </t>
    </r>
    <r>
      <rPr>
        <u/>
        <sz val="10"/>
        <rFont val="Arial Narrow"/>
        <family val="2"/>
      </rPr>
      <t xml:space="preserve">          </t>
    </r>
    <r>
      <rPr>
        <sz val="10"/>
        <rFont val="Arial Narrow"/>
        <family val="2"/>
      </rPr>
      <t xml:space="preserve">   </t>
    </r>
    <phoneticPr fontId="9" type="noConversion"/>
  </si>
  <si>
    <r>
      <t xml:space="preserve"> </t>
    </r>
    <r>
      <rPr>
        <sz val="10"/>
        <rFont val="宋体"/>
        <family val="3"/>
        <charset val="134"/>
      </rPr>
      <t>盘点人员共分</t>
    </r>
    <r>
      <rPr>
        <sz val="10"/>
        <rFont val="Arial Narrow"/>
        <family val="2"/>
      </rPr>
      <t xml:space="preserve"> </t>
    </r>
    <r>
      <rPr>
        <u/>
        <sz val="10"/>
        <rFont val="Arial Narrow"/>
        <family val="2"/>
      </rPr>
      <t xml:space="preserve">          </t>
    </r>
    <phoneticPr fontId="9" type="noConversion"/>
  </si>
  <si>
    <r>
      <rPr>
        <sz val="10"/>
        <rFont val="宋体"/>
        <family val="3"/>
        <charset val="134"/>
      </rPr>
      <t>第一组：</t>
    </r>
    <r>
      <rPr>
        <u/>
        <sz val="10"/>
        <rFont val="Arial Narrow"/>
        <family val="2"/>
      </rPr>
      <t xml:space="preserve">             </t>
    </r>
    <r>
      <rPr>
        <sz val="10"/>
        <rFont val="宋体"/>
        <family val="3"/>
        <charset val="134"/>
      </rPr>
      <t/>
    </r>
    <phoneticPr fontId="9" type="noConversion"/>
  </si>
  <si>
    <r>
      <rPr>
        <sz val="10"/>
        <rFont val="宋体"/>
        <family val="3"/>
        <charset val="134"/>
      </rPr>
      <t>点数并报出型号、规格，</t>
    </r>
    <r>
      <rPr>
        <sz val="10"/>
        <rFont val="Arial Narrow"/>
        <family val="2"/>
      </rPr>
      <t xml:space="preserve">                 </t>
    </r>
    <phoneticPr fontId="9" type="noConversion"/>
  </si>
  <si>
    <r>
      <rPr>
        <sz val="10"/>
        <rFont val="宋体"/>
        <family val="3"/>
        <charset val="134"/>
      </rPr>
      <t>第二组：</t>
    </r>
    <r>
      <rPr>
        <u/>
        <sz val="10"/>
        <rFont val="宋体"/>
        <family val="3"/>
        <charset val="134"/>
      </rPr>
      <t/>
    </r>
    <phoneticPr fontId="9" type="noConversion"/>
  </si>
  <si>
    <r>
      <rPr>
        <sz val="10"/>
        <rFont val="宋体"/>
        <family val="3"/>
        <charset val="134"/>
      </rPr>
      <t>点数并报出型号、规格，</t>
    </r>
    <r>
      <rPr>
        <sz val="10"/>
        <rFont val="Arial Narrow"/>
        <family val="2"/>
      </rPr>
      <t xml:space="preserve">                 </t>
    </r>
    <phoneticPr fontId="9" type="noConversion"/>
  </si>
  <si>
    <r>
      <rPr>
        <sz val="10"/>
        <rFont val="宋体"/>
        <family val="3"/>
        <charset val="134"/>
      </rPr>
      <t>第三组：</t>
    </r>
    <r>
      <rPr>
        <u/>
        <sz val="10"/>
        <rFont val="宋体"/>
        <family val="3"/>
        <charset val="134"/>
      </rPr>
      <t/>
    </r>
    <phoneticPr fontId="9" type="noConversion"/>
  </si>
  <si>
    <r>
      <t>1</t>
    </r>
    <r>
      <rPr>
        <sz val="10"/>
        <rFont val="宋体"/>
        <family val="3"/>
        <charset val="134"/>
      </rPr>
      <t>．盘点人员共分</t>
    </r>
    <r>
      <rPr>
        <sz val="10"/>
        <rFont val="Arial Narrow"/>
        <family val="2"/>
      </rPr>
      <t xml:space="preserve"> </t>
    </r>
    <r>
      <rPr>
        <u/>
        <sz val="10"/>
        <rFont val="Arial Narrow"/>
        <family val="2"/>
      </rPr>
      <t xml:space="preserve">          </t>
    </r>
    <phoneticPr fontId="9" type="noConversion"/>
  </si>
  <si>
    <r>
      <t>2</t>
    </r>
    <r>
      <rPr>
        <sz val="10"/>
        <rFont val="宋体"/>
        <family val="3"/>
        <charset val="134"/>
      </rPr>
      <t>．第一组：</t>
    </r>
    <r>
      <rPr>
        <u/>
        <sz val="10"/>
        <rFont val="Arial Narrow"/>
        <family val="2"/>
      </rPr>
      <t xml:space="preserve">               </t>
    </r>
    <r>
      <rPr>
        <sz val="10"/>
        <rFont val="Arial Narrow"/>
        <family val="2"/>
      </rPr>
      <t xml:space="preserve">  </t>
    </r>
    <r>
      <rPr>
        <u/>
        <sz val="10"/>
        <rFont val="Arial Narrow"/>
        <family val="2"/>
      </rPr>
      <t xml:space="preserve">                 </t>
    </r>
    <phoneticPr fontId="9" type="noConversion"/>
  </si>
  <si>
    <r>
      <rPr>
        <sz val="10"/>
        <rFont val="宋体"/>
        <family val="3"/>
        <charset val="134"/>
      </rPr>
      <t>负责监盘的油气资产类别：</t>
    </r>
  </si>
  <si>
    <r>
      <rPr>
        <sz val="10"/>
        <rFont val="宋体"/>
        <family val="3"/>
        <charset val="134"/>
      </rPr>
      <t>点数并报出型号、规格，</t>
    </r>
    <r>
      <rPr>
        <sz val="10"/>
        <rFont val="Arial Narrow"/>
        <family val="2"/>
      </rPr>
      <t xml:space="preserve">   </t>
    </r>
    <r>
      <rPr>
        <u/>
        <sz val="10"/>
        <rFont val="Arial Narrow"/>
        <family val="2"/>
      </rPr>
      <t xml:space="preserve">              </t>
    </r>
    <r>
      <rPr>
        <sz val="10"/>
        <rFont val="Arial Narrow"/>
        <family val="2"/>
      </rPr>
      <t xml:space="preserve"> </t>
    </r>
    <phoneticPr fontId="9" type="noConversion"/>
  </si>
  <si>
    <r>
      <t xml:space="preserve">   </t>
    </r>
    <r>
      <rPr>
        <sz val="10"/>
        <rFont val="宋体"/>
        <family val="3"/>
        <charset val="134"/>
      </rPr>
      <t>第二组：</t>
    </r>
    <r>
      <rPr>
        <u/>
        <sz val="10"/>
        <rFont val="Arial Narrow"/>
        <family val="2"/>
      </rPr>
      <t xml:space="preserve">               </t>
    </r>
    <r>
      <rPr>
        <sz val="10"/>
        <rFont val="Arial Narrow"/>
        <family val="2"/>
      </rPr>
      <t xml:space="preserve">  </t>
    </r>
    <phoneticPr fontId="9" type="noConversion"/>
  </si>
  <si>
    <r>
      <rPr>
        <sz val="10"/>
        <rFont val="宋体"/>
        <family val="3"/>
        <charset val="134"/>
      </rPr>
      <t>点数并报出型号、规格，</t>
    </r>
    <r>
      <rPr>
        <sz val="10"/>
        <rFont val="Arial Narrow"/>
        <family val="2"/>
      </rPr>
      <t xml:space="preserve">   </t>
    </r>
    <r>
      <rPr>
        <u/>
        <sz val="10"/>
        <rFont val="Arial Narrow"/>
        <family val="2"/>
      </rPr>
      <t xml:space="preserve">              </t>
    </r>
    <r>
      <rPr>
        <sz val="10"/>
        <rFont val="Arial Narrow"/>
        <family val="2"/>
      </rPr>
      <t xml:space="preserve"> </t>
    </r>
    <phoneticPr fontId="9" type="noConversion"/>
  </si>
  <si>
    <r>
      <t xml:space="preserve">   </t>
    </r>
    <r>
      <rPr>
        <sz val="10"/>
        <rFont val="宋体"/>
        <family val="3"/>
        <charset val="134"/>
      </rPr>
      <t>第三组：</t>
    </r>
    <r>
      <rPr>
        <u/>
        <sz val="10"/>
        <rFont val="Arial Narrow"/>
        <family val="2"/>
      </rPr>
      <t xml:space="preserve">               </t>
    </r>
    <r>
      <rPr>
        <sz val="10"/>
        <rFont val="Arial Narrow"/>
        <family val="2"/>
      </rPr>
      <t xml:space="preserve">  </t>
    </r>
    <phoneticPr fontId="9" type="noConversion"/>
  </si>
  <si>
    <r>
      <t>3</t>
    </r>
    <r>
      <rPr>
        <sz val="10"/>
        <rFont val="宋体"/>
        <family val="3"/>
        <charset val="134"/>
      </rPr>
      <t>．监盘中特殊情况说明：</t>
    </r>
    <phoneticPr fontId="9" type="noConversion"/>
  </si>
  <si>
    <r>
      <rPr>
        <sz val="10"/>
        <rFont val="宋体"/>
        <family val="3"/>
        <charset val="134"/>
      </rPr>
      <t>上述人员在盘点过程中，除</t>
    </r>
    <r>
      <rPr>
        <u/>
        <sz val="10"/>
        <rFont val="Arial Narrow"/>
        <family val="2"/>
      </rPr>
      <t xml:space="preserve">        </t>
    </r>
    <phoneticPr fontId="9" type="noConversion"/>
  </si>
  <si>
    <r>
      <rPr>
        <sz val="10"/>
        <rFont val="宋体"/>
        <family val="3"/>
        <charset val="134"/>
      </rPr>
      <t>（三）审计人员实际抽盘情况</t>
    </r>
    <r>
      <rPr>
        <sz val="10"/>
        <rFont val="Arial Narrow"/>
        <family val="2"/>
      </rPr>
      <t xml:space="preserve">                              </t>
    </r>
    <r>
      <rPr>
        <u/>
        <sz val="10"/>
        <rFont val="Arial Narrow"/>
        <family val="2"/>
      </rPr>
      <t xml:space="preserve">         </t>
    </r>
    <phoneticPr fontId="9" type="noConversion"/>
  </si>
  <si>
    <r>
      <rPr>
        <sz val="10"/>
        <rFont val="宋体"/>
        <family val="3"/>
        <charset val="134"/>
      </rPr>
      <t>底稿索引：</t>
    </r>
    <phoneticPr fontId="9" type="noConversion"/>
  </si>
  <si>
    <r>
      <t>1</t>
    </r>
    <r>
      <rPr>
        <sz val="10"/>
        <rFont val="宋体"/>
        <family val="3"/>
        <charset val="134"/>
      </rPr>
      <t>．探明矿区权益盘点说明：</t>
    </r>
    <phoneticPr fontId="9" type="noConversion"/>
  </si>
  <si>
    <r>
      <t>2</t>
    </r>
    <r>
      <rPr>
        <sz val="10"/>
        <rFont val="宋体"/>
        <family val="3"/>
        <charset val="134"/>
      </rPr>
      <t>．未探明矿区权益盘点说明：</t>
    </r>
    <phoneticPr fontId="9" type="noConversion"/>
  </si>
  <si>
    <r>
      <t>1</t>
    </r>
    <r>
      <rPr>
        <sz val="10"/>
        <rFont val="宋体"/>
        <family val="3"/>
        <charset val="134"/>
      </rPr>
      <t>、复盘人员：</t>
    </r>
    <r>
      <rPr>
        <u/>
        <sz val="10"/>
        <rFont val="Arial Narrow"/>
        <family val="2"/>
      </rPr>
      <t xml:space="preserve">                        </t>
    </r>
    <r>
      <rPr>
        <sz val="10"/>
        <rFont val="Arial Narrow"/>
        <family val="2"/>
      </rPr>
      <t xml:space="preserve">   </t>
    </r>
    <phoneticPr fontId="9" type="noConversion"/>
  </si>
  <si>
    <r>
      <rPr>
        <sz val="10"/>
        <rFont val="宋体"/>
        <family val="3"/>
        <charset val="134"/>
      </rPr>
      <t>复盘底稿记录索引：</t>
    </r>
    <phoneticPr fontId="9" type="noConversion"/>
  </si>
  <si>
    <r>
      <rPr>
        <sz val="10"/>
        <rFont val="宋体"/>
        <family val="3"/>
        <charset val="134"/>
      </rPr>
      <t>设备共有</t>
    </r>
    <r>
      <rPr>
        <u/>
        <sz val="10"/>
        <rFont val="Arial Narrow"/>
        <family val="2"/>
      </rPr>
      <t xml:space="preserve">      </t>
    </r>
    <r>
      <rPr>
        <sz val="10"/>
        <rFont val="宋体"/>
        <family val="3"/>
        <charset val="134"/>
      </rPr>
      <t/>
    </r>
    <phoneticPr fontId="9" type="noConversion"/>
  </si>
  <si>
    <r>
      <rPr>
        <sz val="10"/>
        <rFont val="宋体"/>
        <family val="3"/>
        <charset val="134"/>
      </rPr>
      <t>台（套），实施复盘共：</t>
    </r>
    <r>
      <rPr>
        <sz val="10"/>
        <rFont val="Arial Narrow"/>
        <family val="2"/>
      </rPr>
      <t xml:space="preserve">        </t>
    </r>
    <phoneticPr fontId="9" type="noConversion"/>
  </si>
  <si>
    <r>
      <rPr>
        <sz val="10"/>
        <rFont val="宋体"/>
        <family val="3"/>
        <charset val="134"/>
      </rPr>
      <t>台（套），占</t>
    </r>
    <phoneticPr fontId="9" type="noConversion"/>
  </si>
  <si>
    <r>
      <t xml:space="preserve">     </t>
    </r>
    <r>
      <rPr>
        <sz val="10"/>
        <rFont val="宋体"/>
        <family val="3"/>
        <charset val="134"/>
      </rPr>
      <t>油气资产账面余额：</t>
    </r>
    <r>
      <rPr>
        <sz val="10"/>
        <rFont val="Arial Narrow"/>
        <family val="2"/>
      </rPr>
      <t xml:space="preserve">            </t>
    </r>
  </si>
  <si>
    <r>
      <rPr>
        <sz val="10"/>
        <rFont val="宋体"/>
        <family val="3"/>
        <charset val="134"/>
      </rPr>
      <t>元，实施复盘：</t>
    </r>
    <r>
      <rPr>
        <sz val="10"/>
        <rFont val="Arial Narrow"/>
        <family val="2"/>
      </rPr>
      <t xml:space="preserve">          </t>
    </r>
    <phoneticPr fontId="9" type="noConversion"/>
  </si>
  <si>
    <r>
      <rPr>
        <sz val="10"/>
        <rFont val="宋体"/>
        <family val="3"/>
        <charset val="134"/>
      </rPr>
      <t>元，占</t>
    </r>
    <r>
      <rPr>
        <sz val="10"/>
        <rFont val="Arial Narrow"/>
        <family val="2"/>
      </rPr>
      <t xml:space="preserve">       </t>
    </r>
    <phoneticPr fontId="9" type="noConversion"/>
  </si>
  <si>
    <r>
      <t xml:space="preserve">    </t>
    </r>
    <r>
      <rPr>
        <sz val="10"/>
        <rFont val="宋体"/>
        <family val="3"/>
        <charset val="134"/>
      </rPr>
      <t>倒退至资产负债表日是否存在尚未购入且未入账的资产：</t>
    </r>
    <r>
      <rPr>
        <u/>
        <sz val="10"/>
        <rFont val="Arial Narrow"/>
        <family val="2"/>
      </rPr>
      <t xml:space="preserve">                </t>
    </r>
  </si>
  <si>
    <r>
      <t xml:space="preserve">    </t>
    </r>
    <r>
      <rPr>
        <sz val="10"/>
        <rFont val="宋体"/>
        <family val="3"/>
        <charset val="134"/>
      </rPr>
      <t>倒退至资产负债表日分析是否存在已报废与处置的资产：</t>
    </r>
    <r>
      <rPr>
        <u/>
        <sz val="10"/>
        <rFont val="Arial Narrow"/>
        <family val="2"/>
      </rPr>
      <t xml:space="preserve">               </t>
    </r>
  </si>
  <si>
    <r>
      <t xml:space="preserve">    </t>
    </r>
    <r>
      <rPr>
        <sz val="10"/>
        <rFont val="宋体"/>
        <family val="3"/>
        <charset val="134"/>
      </rPr>
      <t>本次复盘的资产余额合计占资产负债表日的油气资产余额</t>
    </r>
    <r>
      <rPr>
        <sz val="10"/>
        <rFont val="Arial Narrow"/>
        <family val="2"/>
      </rPr>
      <t xml:space="preserve">         </t>
    </r>
  </si>
  <si>
    <r>
      <t xml:space="preserve">     </t>
    </r>
    <r>
      <rPr>
        <sz val="10"/>
        <rFont val="宋体"/>
        <family val="3"/>
        <charset val="134"/>
      </rPr>
      <t>复盘</t>
    </r>
    <r>
      <rPr>
        <sz val="10"/>
        <rFont val="Arial Narrow"/>
        <family val="2"/>
      </rPr>
      <t xml:space="preserve"> </t>
    </r>
    <r>
      <rPr>
        <u/>
        <sz val="10"/>
        <rFont val="Arial Narrow"/>
        <family val="2"/>
      </rPr>
      <t xml:space="preserve">        </t>
    </r>
    <r>
      <rPr>
        <sz val="10"/>
        <rFont val="宋体"/>
        <family val="3"/>
        <charset val="134"/>
      </rPr>
      <t/>
    </r>
    <phoneticPr fontId="9" type="noConversion"/>
  </si>
  <si>
    <r>
      <rPr>
        <sz val="10"/>
        <rFont val="宋体"/>
        <family val="3"/>
        <charset val="134"/>
      </rPr>
      <t>台（套），</t>
    </r>
    <r>
      <rPr>
        <sz val="10"/>
        <rFont val="Arial Narrow"/>
        <family val="2"/>
      </rPr>
      <t xml:space="preserve"> </t>
    </r>
    <r>
      <rPr>
        <sz val="10"/>
        <rFont val="宋体"/>
        <family val="3"/>
        <charset val="134"/>
      </rPr>
      <t>其中复盘正确的共</t>
    </r>
    <r>
      <rPr>
        <sz val="10"/>
        <rFont val="Arial Narrow"/>
        <family val="2"/>
      </rPr>
      <t xml:space="preserve">           </t>
    </r>
    <phoneticPr fontId="9" type="noConversion"/>
  </si>
  <si>
    <r>
      <t xml:space="preserve"> </t>
    </r>
    <r>
      <rPr>
        <sz val="10"/>
        <rFont val="宋体"/>
        <family val="3"/>
        <charset val="134"/>
      </rPr>
      <t>种，占</t>
    </r>
    <r>
      <rPr>
        <sz val="10"/>
        <rFont val="Arial Narrow"/>
        <family val="2"/>
      </rPr>
      <t xml:space="preserve">       </t>
    </r>
    <phoneticPr fontId="9" type="noConversion"/>
  </si>
  <si>
    <r>
      <t xml:space="preserve">     </t>
    </r>
    <r>
      <rPr>
        <sz val="10"/>
        <rFont val="宋体"/>
        <family val="3"/>
        <charset val="134"/>
      </rPr>
      <t>复盘金额</t>
    </r>
    <r>
      <rPr>
        <u/>
        <sz val="10"/>
        <rFont val="Arial Narrow"/>
        <family val="2"/>
      </rPr>
      <t xml:space="preserve">        </t>
    </r>
    <r>
      <rPr>
        <sz val="10"/>
        <rFont val="宋体"/>
        <family val="3"/>
        <charset val="134"/>
      </rPr>
      <t/>
    </r>
    <phoneticPr fontId="9" type="noConversion"/>
  </si>
  <si>
    <r>
      <rPr>
        <sz val="10"/>
        <rFont val="宋体"/>
        <family val="3"/>
        <charset val="134"/>
      </rPr>
      <t>元，</t>
    </r>
    <r>
      <rPr>
        <sz val="10"/>
        <rFont val="Arial Narrow"/>
        <family val="2"/>
      </rPr>
      <t xml:space="preserve"> </t>
    </r>
    <r>
      <rPr>
        <sz val="10"/>
        <rFont val="宋体"/>
        <family val="3"/>
        <charset val="134"/>
      </rPr>
      <t>其中复盘正确的共</t>
    </r>
    <r>
      <rPr>
        <sz val="10"/>
        <rFont val="Arial Narrow"/>
        <family val="2"/>
      </rPr>
      <t xml:space="preserve">            </t>
    </r>
    <phoneticPr fontId="9" type="noConversion"/>
  </si>
  <si>
    <r>
      <rPr>
        <sz val="10"/>
        <rFont val="宋体"/>
        <family val="3"/>
        <charset val="134"/>
      </rPr>
      <t>元，占</t>
    </r>
    <r>
      <rPr>
        <sz val="10"/>
        <rFont val="Arial Narrow"/>
        <family val="2"/>
      </rPr>
      <t xml:space="preserve">        </t>
    </r>
    <phoneticPr fontId="9" type="noConversion"/>
  </si>
  <si>
    <r>
      <rPr>
        <sz val="10"/>
        <rFont val="宋体"/>
        <family val="3"/>
        <charset val="134"/>
      </rPr>
      <t>监盘人员签字：</t>
    </r>
    <r>
      <rPr>
        <sz val="10"/>
        <rFont val="Arial Narrow"/>
        <family val="2"/>
      </rPr>
      <t xml:space="preserve"> </t>
    </r>
    <r>
      <rPr>
        <u/>
        <sz val="10"/>
        <rFont val="Arial Narrow"/>
        <family val="2"/>
      </rPr>
      <t xml:space="preserve">                     </t>
    </r>
    <phoneticPr fontId="9" type="noConversion"/>
  </si>
  <si>
    <r>
      <rPr>
        <sz val="10"/>
        <rFont val="宋体"/>
        <family val="3"/>
        <charset val="134"/>
      </rPr>
      <t>复核人员签字：</t>
    </r>
    <r>
      <rPr>
        <sz val="10"/>
        <rFont val="Arial Narrow"/>
        <family val="2"/>
      </rPr>
      <t xml:space="preserve"> </t>
    </r>
    <r>
      <rPr>
        <u/>
        <sz val="10"/>
        <rFont val="Arial Narrow"/>
        <family val="2"/>
      </rPr>
      <t xml:space="preserve">                     </t>
    </r>
    <phoneticPr fontId="9" type="noConversion"/>
  </si>
  <si>
    <r>
      <rPr>
        <b/>
        <sz val="10"/>
        <color indexed="8"/>
        <rFont val="宋体"/>
        <family val="3"/>
        <charset val="134"/>
      </rPr>
      <t>一、审计目标：</t>
    </r>
    <r>
      <rPr>
        <sz val="10"/>
        <color indexed="8"/>
        <rFont val="宋体"/>
        <family val="3"/>
        <charset val="134"/>
      </rPr>
      <t>油气资产以恰当的金额包括在财务报表中，与之相关的计价或分摊调整已恰当记录，相关披露已得到恰当计量和描述。</t>
    </r>
    <phoneticPr fontId="13" type="noConversion"/>
  </si>
  <si>
    <r>
      <rPr>
        <b/>
        <sz val="10"/>
        <rFont val="宋体"/>
        <family val="3"/>
        <charset val="134"/>
      </rPr>
      <t>二、审计过程：</t>
    </r>
    <phoneticPr fontId="9" type="noConversion"/>
  </si>
  <si>
    <r>
      <rPr>
        <sz val="10"/>
        <rFont val="宋体"/>
        <family val="3"/>
        <charset val="134"/>
      </rPr>
      <t>折耗期初：</t>
    </r>
  </si>
  <si>
    <r>
      <rPr>
        <sz val="10"/>
        <rFont val="宋体"/>
        <family val="3"/>
        <charset val="134"/>
      </rPr>
      <t>折耗期末：</t>
    </r>
  </si>
  <si>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9" type="noConversion"/>
  </si>
  <si>
    <r>
      <rPr>
        <b/>
        <sz val="10"/>
        <rFont val="宋体"/>
        <family val="3"/>
        <charset val="134"/>
      </rPr>
      <t>四、审计结论：</t>
    </r>
    <phoneticPr fontId="9" type="noConversion"/>
  </si>
  <si>
    <r>
      <rPr>
        <sz val="10"/>
        <color rgb="FF0000FF"/>
        <rFont val="宋体"/>
        <family val="3"/>
        <charset val="134"/>
      </rPr>
      <t>审计过程提示：</t>
    </r>
    <phoneticPr fontId="9" type="noConversion"/>
  </si>
  <si>
    <r>
      <rPr>
        <b/>
        <sz val="10"/>
        <color indexed="8"/>
        <rFont val="宋体"/>
        <family val="3"/>
        <charset val="134"/>
      </rPr>
      <t>一、审计目标：</t>
    </r>
    <r>
      <rPr>
        <sz val="10"/>
        <color indexed="8"/>
        <rFont val="宋体"/>
        <family val="3"/>
        <charset val="134"/>
      </rPr>
      <t>油气资产以恰当的金额包括在财务报表中，与之相关的计价或分摊调整已恰当记录，相关披露已得到恰当计量和描述。</t>
    </r>
    <phoneticPr fontId="13" type="noConversion"/>
  </si>
  <si>
    <r>
      <rPr>
        <sz val="10"/>
        <rFont val="宋体"/>
        <family val="3"/>
        <charset val="134"/>
      </rPr>
      <t>计提减值准备日期：</t>
    </r>
    <phoneticPr fontId="9" type="noConversion"/>
  </si>
  <si>
    <r>
      <rPr>
        <b/>
        <sz val="10"/>
        <rFont val="宋体"/>
        <family val="3"/>
        <charset val="134"/>
      </rPr>
      <t>制造费用</t>
    </r>
  </si>
  <si>
    <r>
      <rPr>
        <b/>
        <sz val="10"/>
        <rFont val="宋体"/>
        <family val="3"/>
        <charset val="134"/>
      </rPr>
      <t>管理费用</t>
    </r>
  </si>
  <si>
    <r>
      <rPr>
        <b/>
        <sz val="10"/>
        <rFont val="宋体"/>
        <family val="3"/>
        <charset val="134"/>
      </rPr>
      <t>研发费用</t>
    </r>
    <phoneticPr fontId="9" type="noConversion"/>
  </si>
  <si>
    <r>
      <rPr>
        <b/>
        <sz val="10"/>
        <rFont val="宋体"/>
        <family val="3"/>
        <charset val="134"/>
      </rPr>
      <t>合计</t>
    </r>
    <phoneticPr fontId="9" type="noConversion"/>
  </si>
  <si>
    <r>
      <rPr>
        <b/>
        <sz val="10"/>
        <rFont val="宋体"/>
        <family val="3"/>
        <charset val="134"/>
      </rPr>
      <t>油气资产类别</t>
    </r>
    <phoneticPr fontId="9" type="noConversion"/>
  </si>
  <si>
    <r>
      <rPr>
        <b/>
        <sz val="10"/>
        <rFont val="宋体"/>
        <family val="3"/>
        <charset val="134"/>
      </rPr>
      <t>销售费用</t>
    </r>
    <phoneticPr fontId="9" type="noConversion"/>
  </si>
  <si>
    <r>
      <rPr>
        <b/>
        <sz val="10"/>
        <rFont val="宋体"/>
        <family val="3"/>
        <charset val="134"/>
      </rPr>
      <t>序号</t>
    </r>
    <phoneticPr fontId="9" type="noConversion"/>
  </si>
  <si>
    <r>
      <rPr>
        <b/>
        <sz val="10"/>
        <rFont val="宋体"/>
        <family val="3"/>
        <charset val="134"/>
      </rPr>
      <t>生产成本</t>
    </r>
  </si>
  <si>
    <r>
      <rPr>
        <sz val="10"/>
        <color rgb="FFFF0000"/>
        <rFont val="宋体"/>
        <family val="3"/>
        <charset val="134"/>
      </rPr>
      <t>探明矿区权益</t>
    </r>
  </si>
  <si>
    <r>
      <rPr>
        <sz val="10"/>
        <color rgb="FFFF0000"/>
        <rFont val="宋体"/>
        <family val="3"/>
        <charset val="134"/>
      </rPr>
      <t>未探明矿区权益</t>
    </r>
  </si>
  <si>
    <r>
      <rPr>
        <sz val="10"/>
        <color rgb="FFFF0000"/>
        <rFont val="宋体"/>
        <family val="3"/>
        <charset val="134"/>
      </rPr>
      <t>井及相关设施</t>
    </r>
  </si>
  <si>
    <r>
      <rPr>
        <b/>
        <sz val="10"/>
        <rFont val="宋体"/>
        <family val="3"/>
        <charset val="134"/>
      </rPr>
      <t>四、审计结论：</t>
    </r>
    <phoneticPr fontId="9" type="noConversion"/>
  </si>
  <si>
    <r>
      <rPr>
        <b/>
        <sz val="10"/>
        <color indexed="8"/>
        <rFont val="宋体"/>
        <family val="3"/>
        <charset val="134"/>
      </rPr>
      <t>一、审计目标：</t>
    </r>
    <r>
      <rPr>
        <sz val="10"/>
        <color indexed="8"/>
        <rFont val="宋体"/>
        <family val="3"/>
        <charset val="134"/>
      </rPr>
      <t>油气资产以恰当的金额包括在财务报表中，与之相关的计价或分摊调整已恰当记录，相关披露已得到恰当计量和描述。</t>
    </r>
    <phoneticPr fontId="13" type="noConversion"/>
  </si>
  <si>
    <r>
      <rPr>
        <b/>
        <sz val="10"/>
        <rFont val="宋体"/>
        <family val="3"/>
        <charset val="134"/>
      </rPr>
      <t>二、审计过程：</t>
    </r>
    <phoneticPr fontId="9" type="noConversion"/>
  </si>
  <si>
    <r>
      <rPr>
        <b/>
        <sz val="10"/>
        <rFont val="宋体"/>
        <family val="3"/>
        <charset val="134"/>
      </rPr>
      <t>项目名称</t>
    </r>
  </si>
  <si>
    <r>
      <rPr>
        <b/>
        <sz val="10"/>
        <rFont val="宋体"/>
        <family val="3"/>
        <charset val="134"/>
      </rPr>
      <t>是否存在减值迹象</t>
    </r>
    <phoneticPr fontId="9" type="noConversion"/>
  </si>
  <si>
    <r>
      <rPr>
        <b/>
        <sz val="10"/>
        <rFont val="宋体"/>
        <family val="3"/>
        <charset val="134"/>
      </rPr>
      <t>减值迹象描述</t>
    </r>
    <phoneticPr fontId="9" type="noConversion"/>
  </si>
  <si>
    <r>
      <rPr>
        <b/>
        <sz val="10"/>
        <rFont val="宋体"/>
        <family val="3"/>
        <charset val="134"/>
      </rPr>
      <t>账面价值</t>
    </r>
    <phoneticPr fontId="9" type="noConversion"/>
  </si>
  <si>
    <r>
      <rPr>
        <b/>
        <sz val="10"/>
        <rFont val="宋体"/>
        <family val="3"/>
        <charset val="134"/>
      </rPr>
      <t>可收回金额</t>
    </r>
    <phoneticPr fontId="9" type="noConversion"/>
  </si>
  <si>
    <r>
      <rPr>
        <b/>
        <sz val="10"/>
        <rFont val="宋体"/>
        <family val="3"/>
        <charset val="134"/>
      </rPr>
      <t>期末应计提的减值金额（当⑤＜②）</t>
    </r>
    <phoneticPr fontId="9" type="noConversion"/>
  </si>
  <si>
    <r>
      <rPr>
        <b/>
        <sz val="10"/>
        <rFont val="宋体"/>
        <family val="3"/>
        <charset val="134"/>
      </rPr>
      <t>期末账面已计提的减值准备</t>
    </r>
    <phoneticPr fontId="9" type="noConversion"/>
  </si>
  <si>
    <r>
      <rPr>
        <b/>
        <sz val="10"/>
        <rFont val="宋体"/>
        <family val="3"/>
        <charset val="134"/>
      </rPr>
      <t>本期应补提
或冲回的减值准备</t>
    </r>
    <phoneticPr fontId="9" type="noConversion"/>
  </si>
  <si>
    <r>
      <rPr>
        <b/>
        <sz val="10"/>
        <rFont val="宋体"/>
        <family val="3"/>
        <charset val="134"/>
      </rPr>
      <t>工作底稿索引号</t>
    </r>
    <phoneticPr fontId="9" type="noConversion"/>
  </si>
  <si>
    <r>
      <rPr>
        <b/>
        <sz val="10"/>
        <rFont val="宋体"/>
        <family val="3"/>
        <charset val="134"/>
      </rPr>
      <t>公允价值减处置费用的净额</t>
    </r>
    <phoneticPr fontId="9" type="noConversion"/>
  </si>
  <si>
    <r>
      <rPr>
        <b/>
        <sz val="10"/>
        <rFont val="宋体"/>
        <family val="3"/>
        <charset val="134"/>
      </rPr>
      <t>预计未来现金流量现值</t>
    </r>
    <phoneticPr fontId="9" type="noConversion"/>
  </si>
  <si>
    <r>
      <rPr>
        <b/>
        <sz val="10"/>
        <rFont val="宋体"/>
        <family val="3"/>
        <charset val="134"/>
      </rPr>
      <t>可收回金额（③、④较高者）</t>
    </r>
    <phoneticPr fontId="9" type="noConversion"/>
  </si>
  <si>
    <r>
      <rPr>
        <b/>
        <sz val="10"/>
        <rFont val="宋体"/>
        <family val="3"/>
        <charset val="134"/>
      </rPr>
      <t>期末已计提
减值准备</t>
    </r>
    <phoneticPr fontId="9" type="noConversion"/>
  </si>
  <si>
    <r>
      <rPr>
        <b/>
        <sz val="10"/>
        <rFont val="宋体"/>
        <family val="3"/>
        <charset val="134"/>
      </rPr>
      <t>①</t>
    </r>
    <phoneticPr fontId="9" type="noConversion"/>
  </si>
  <si>
    <r>
      <rPr>
        <b/>
        <sz val="10"/>
        <rFont val="宋体"/>
        <family val="3"/>
        <charset val="134"/>
      </rPr>
      <t>③</t>
    </r>
    <phoneticPr fontId="9" type="noConversion"/>
  </si>
  <si>
    <r>
      <rPr>
        <b/>
        <sz val="10"/>
        <rFont val="宋体"/>
        <family val="3"/>
        <charset val="134"/>
      </rPr>
      <t>④</t>
    </r>
    <phoneticPr fontId="9" type="noConversion"/>
  </si>
  <si>
    <r>
      <rPr>
        <b/>
        <sz val="10"/>
        <rFont val="宋体"/>
        <family val="3"/>
        <charset val="134"/>
      </rPr>
      <t>⑤</t>
    </r>
    <phoneticPr fontId="9" type="noConversion"/>
  </si>
  <si>
    <r>
      <rPr>
        <b/>
        <sz val="10"/>
        <rFont val="宋体"/>
        <family val="3"/>
        <charset val="134"/>
      </rPr>
      <t>⑥＝⑤－②</t>
    </r>
    <phoneticPr fontId="9" type="noConversion"/>
  </si>
  <si>
    <r>
      <rPr>
        <b/>
        <sz val="10"/>
        <rFont val="宋体"/>
        <family val="3"/>
        <charset val="134"/>
      </rPr>
      <t>⑦</t>
    </r>
    <phoneticPr fontId="9" type="noConversion"/>
  </si>
  <si>
    <r>
      <rPr>
        <b/>
        <sz val="10"/>
        <rFont val="宋体"/>
        <family val="3"/>
        <charset val="134"/>
      </rPr>
      <t>⑧</t>
    </r>
    <r>
      <rPr>
        <b/>
        <sz val="10"/>
        <rFont val="Arial Narrow"/>
        <family val="2"/>
      </rPr>
      <t>=</t>
    </r>
    <r>
      <rPr>
        <b/>
        <sz val="10"/>
        <rFont val="宋体"/>
        <family val="3"/>
        <charset val="134"/>
      </rPr>
      <t>⑥</t>
    </r>
    <r>
      <rPr>
        <b/>
        <sz val="10"/>
        <rFont val="Arial Narrow"/>
        <family val="2"/>
      </rPr>
      <t>-</t>
    </r>
    <r>
      <rPr>
        <b/>
        <sz val="10"/>
        <rFont val="宋体"/>
        <family val="3"/>
        <charset val="134"/>
      </rPr>
      <t>⑦</t>
    </r>
    <phoneticPr fontId="9" type="noConversion"/>
  </si>
  <si>
    <r>
      <rPr>
        <b/>
        <sz val="10"/>
        <rFont val="宋体"/>
        <family val="3"/>
        <charset val="134"/>
      </rPr>
      <t>四、审计结论：</t>
    </r>
    <phoneticPr fontId="9" type="noConversion"/>
  </si>
  <si>
    <r>
      <t>1.</t>
    </r>
    <r>
      <rPr>
        <sz val="10"/>
        <color rgb="FF0000FF"/>
        <rFont val="宋体"/>
        <family val="3"/>
        <charset val="134"/>
      </rPr>
      <t>获取或编制油气资产减值准备明细表，复核加计正确，并与总账数和明细账合计数核对相符；</t>
    </r>
  </si>
  <si>
    <r>
      <t>2.</t>
    </r>
    <r>
      <rPr>
        <sz val="10"/>
        <color rgb="FF0000FF"/>
        <rFont val="宋体"/>
        <family val="3"/>
        <charset val="134"/>
      </rPr>
      <t>检查油气资产减值准备计提和转销的批准程序，取得书面报告等证明文件；检查被审计单位计提油气资产减值准备的依据是否充分，会计处理是否正确；</t>
    </r>
  </si>
  <si>
    <r>
      <t>3.</t>
    </r>
    <r>
      <rPr>
        <sz val="10"/>
        <color rgb="FF0000FF"/>
        <rFont val="宋体"/>
        <family val="3"/>
        <charset val="134"/>
      </rPr>
      <t>检查油气资产转让时，相应的减值准备是否一并结转，会计处理是否正确；</t>
    </r>
  </si>
  <si>
    <r>
      <t>4.</t>
    </r>
    <r>
      <rPr>
        <sz val="10"/>
        <color rgb="FF0000FF"/>
        <rFont val="宋体"/>
        <family val="3"/>
        <charset val="134"/>
      </rPr>
      <t>重新测试被审计单位计提的减值准备是否合理；比较我们预期所估计减值准备和已记录的金额，调查所有重大差异；</t>
    </r>
  </si>
  <si>
    <r>
      <t>5.</t>
    </r>
    <r>
      <rPr>
        <sz val="10"/>
        <color rgb="FF0000FF"/>
        <rFont val="宋体"/>
        <family val="3"/>
        <charset val="134"/>
      </rPr>
      <t>上期确认的油气资产减值准备在本期的变动是否适当。</t>
    </r>
  </si>
  <si>
    <r>
      <rPr>
        <b/>
        <sz val="10"/>
        <color indexed="8"/>
        <rFont val="宋体"/>
        <family val="3"/>
        <charset val="134"/>
      </rPr>
      <t>一、审计目标：</t>
    </r>
    <r>
      <rPr>
        <sz val="10"/>
        <color indexed="8"/>
        <rFont val="宋体"/>
        <family val="3"/>
        <charset val="134"/>
      </rPr>
      <t>油气资产以恰当的金额包括在财务报表中，与之相关的计价或分摊调整已恰当记录，相关披露已得到恰当计量和描述。</t>
    </r>
    <phoneticPr fontId="13" type="noConversion"/>
  </si>
  <si>
    <r>
      <rPr>
        <b/>
        <sz val="10"/>
        <rFont val="宋体"/>
        <family val="3"/>
        <charset val="134"/>
      </rPr>
      <t>（一）资产的公允价值减去处置费用后的净额</t>
    </r>
    <phoneticPr fontId="9" type="noConversion"/>
  </si>
  <si>
    <r>
      <rPr>
        <b/>
        <sz val="10"/>
        <rFont val="宋体"/>
        <family val="3"/>
        <charset val="134"/>
      </rPr>
      <t>公允价值</t>
    </r>
    <phoneticPr fontId="9" type="noConversion"/>
  </si>
  <si>
    <r>
      <rPr>
        <b/>
        <sz val="10"/>
        <rFont val="宋体"/>
        <family val="3"/>
        <charset val="134"/>
      </rPr>
      <t>处置费用（资产处置的直接归属费用）</t>
    </r>
    <phoneticPr fontId="9" type="noConversion"/>
  </si>
  <si>
    <r>
      <rPr>
        <b/>
        <sz val="10"/>
        <rFont val="宋体"/>
        <family val="3"/>
        <charset val="134"/>
      </rPr>
      <t>公允价值</t>
    </r>
    <r>
      <rPr>
        <b/>
        <sz val="10"/>
        <rFont val="Arial Narrow"/>
        <family val="2"/>
      </rPr>
      <t>-</t>
    </r>
    <r>
      <rPr>
        <b/>
        <sz val="10"/>
        <rFont val="宋体"/>
        <family val="3"/>
        <charset val="134"/>
      </rPr>
      <t>处置费用</t>
    </r>
    <phoneticPr fontId="9" type="noConversion"/>
  </si>
  <si>
    <r>
      <rPr>
        <b/>
        <sz val="10"/>
        <rFont val="宋体"/>
        <family val="3"/>
        <charset val="134"/>
      </rPr>
      <t>备注</t>
    </r>
    <phoneticPr fontId="9" type="noConversion"/>
  </si>
  <si>
    <r>
      <rPr>
        <b/>
        <sz val="10"/>
        <rFont val="宋体"/>
        <family val="3"/>
        <charset val="134"/>
      </rPr>
      <t>销售协议价格</t>
    </r>
    <phoneticPr fontId="9" type="noConversion"/>
  </si>
  <si>
    <r>
      <rPr>
        <b/>
        <sz val="10"/>
        <rFont val="宋体"/>
        <family val="3"/>
        <charset val="134"/>
      </rPr>
      <t>资产活跃市场价格</t>
    </r>
    <phoneticPr fontId="9" type="noConversion"/>
  </si>
  <si>
    <r>
      <rPr>
        <b/>
        <sz val="10"/>
        <rFont val="宋体"/>
        <family val="3"/>
        <charset val="134"/>
      </rPr>
      <t>法律费用</t>
    </r>
    <phoneticPr fontId="9" type="noConversion"/>
  </si>
  <si>
    <r>
      <rPr>
        <b/>
        <sz val="10"/>
        <rFont val="宋体"/>
        <family val="3"/>
        <charset val="134"/>
      </rPr>
      <t>搬运费</t>
    </r>
    <phoneticPr fontId="9" type="noConversion"/>
  </si>
  <si>
    <r>
      <rPr>
        <b/>
        <sz val="10"/>
        <rFont val="宋体"/>
        <family val="3"/>
        <charset val="134"/>
      </rPr>
      <t>直接费用</t>
    </r>
    <phoneticPr fontId="9" type="noConversion"/>
  </si>
  <si>
    <r>
      <rPr>
        <b/>
        <sz val="10"/>
        <rFont val="宋体"/>
        <family val="3"/>
        <charset val="134"/>
      </rPr>
      <t>（二）资产预计未来现金流量的现值</t>
    </r>
    <phoneticPr fontId="9" type="noConversion"/>
  </si>
  <si>
    <r>
      <rPr>
        <b/>
        <sz val="10"/>
        <rFont val="宋体"/>
        <family val="3"/>
        <charset val="134"/>
      </rPr>
      <t>预算或者预测期</t>
    </r>
    <phoneticPr fontId="9" type="noConversion"/>
  </si>
  <si>
    <r>
      <rPr>
        <b/>
        <sz val="10"/>
        <rFont val="宋体"/>
        <family val="3"/>
        <charset val="134"/>
      </rPr>
      <t>以后年度</t>
    </r>
    <phoneticPr fontId="9" type="noConversion"/>
  </si>
  <si>
    <r>
      <rPr>
        <b/>
        <sz val="10"/>
        <rFont val="宋体"/>
        <family val="3"/>
        <charset val="134"/>
      </rPr>
      <t>第一年</t>
    </r>
    <phoneticPr fontId="9" type="noConversion"/>
  </si>
  <si>
    <r>
      <rPr>
        <b/>
        <sz val="10"/>
        <rFont val="宋体"/>
        <family val="3"/>
        <charset val="134"/>
      </rPr>
      <t>第三年</t>
    </r>
    <phoneticPr fontId="9" type="noConversion"/>
  </si>
  <si>
    <r>
      <rPr>
        <b/>
        <sz val="10"/>
        <rFont val="宋体"/>
        <family val="3"/>
        <charset val="134"/>
      </rPr>
      <t>第四年</t>
    </r>
    <phoneticPr fontId="9" type="noConversion"/>
  </si>
  <si>
    <r>
      <rPr>
        <b/>
        <sz val="10"/>
        <rFont val="宋体"/>
        <family val="3"/>
        <charset val="134"/>
      </rPr>
      <t>第五年</t>
    </r>
    <phoneticPr fontId="9" type="noConversion"/>
  </si>
  <si>
    <r>
      <rPr>
        <b/>
        <sz val="10"/>
        <rFont val="宋体"/>
        <family val="3"/>
        <charset val="134"/>
      </rPr>
      <t>增长率</t>
    </r>
    <phoneticPr fontId="9" type="noConversion"/>
  </si>
  <si>
    <r>
      <rPr>
        <sz val="10"/>
        <rFont val="宋体"/>
        <family val="3"/>
        <charset val="134"/>
      </rPr>
      <t>折现系数</t>
    </r>
    <phoneticPr fontId="9" type="noConversion"/>
  </si>
  <si>
    <r>
      <rPr>
        <sz val="10"/>
        <color indexed="12"/>
        <rFont val="宋体"/>
        <family val="3"/>
        <charset val="134"/>
      </rPr>
      <t>（企业管理层如能证明递增的增长率是合理的，可以以递增的增长率为基础。）</t>
    </r>
    <phoneticPr fontId="9" type="noConversion"/>
  </si>
  <si>
    <r>
      <t>β</t>
    </r>
    <r>
      <rPr>
        <b/>
        <sz val="10"/>
        <rFont val="宋体"/>
        <family val="3"/>
        <charset val="134"/>
      </rPr>
      <t>系数</t>
    </r>
    <phoneticPr fontId="9" type="noConversion"/>
  </si>
  <si>
    <r>
      <rPr>
        <b/>
        <sz val="10"/>
        <rFont val="宋体"/>
        <family val="3"/>
        <charset val="134"/>
      </rPr>
      <t>平均风险股票必要报酬率</t>
    </r>
    <r>
      <rPr>
        <b/>
        <sz val="10"/>
        <rFont val="Arial Narrow"/>
        <family val="2"/>
      </rPr>
      <t>Rm</t>
    </r>
    <phoneticPr fontId="9" type="noConversion"/>
  </si>
  <si>
    <r>
      <rPr>
        <b/>
        <sz val="10"/>
        <rFont val="宋体"/>
        <family val="3"/>
        <charset val="134"/>
      </rPr>
      <t>资本成本</t>
    </r>
    <r>
      <rPr>
        <b/>
        <sz val="10"/>
        <rFont val="Arial Narrow"/>
        <family val="2"/>
      </rPr>
      <t>Ke</t>
    </r>
    <phoneticPr fontId="9" type="noConversion"/>
  </si>
  <si>
    <r>
      <rPr>
        <b/>
        <sz val="10"/>
        <rFont val="宋体"/>
        <family val="3"/>
        <charset val="134"/>
      </rPr>
      <t>折现率</t>
    </r>
    <r>
      <rPr>
        <b/>
        <sz val="10"/>
        <rFont val="Arial Narrow"/>
        <family val="2"/>
      </rPr>
      <t>(</t>
    </r>
    <r>
      <rPr>
        <b/>
        <sz val="10"/>
        <rFont val="宋体"/>
        <family val="3"/>
        <charset val="134"/>
      </rPr>
      <t>税后</t>
    </r>
    <r>
      <rPr>
        <b/>
        <sz val="10"/>
        <rFont val="Arial Narrow"/>
        <family val="2"/>
      </rPr>
      <t>)</t>
    </r>
    <phoneticPr fontId="9" type="noConversion"/>
  </si>
  <si>
    <r>
      <rPr>
        <b/>
        <sz val="10"/>
        <rFont val="宋体"/>
        <family val="3"/>
        <charset val="134"/>
      </rPr>
      <t>折现率</t>
    </r>
    <r>
      <rPr>
        <b/>
        <sz val="10"/>
        <rFont val="Arial Narrow"/>
        <family val="2"/>
      </rPr>
      <t>(</t>
    </r>
    <r>
      <rPr>
        <b/>
        <sz val="10"/>
        <rFont val="宋体"/>
        <family val="3"/>
        <charset val="134"/>
      </rPr>
      <t>税前</t>
    </r>
    <r>
      <rPr>
        <b/>
        <sz val="10"/>
        <rFont val="Arial Narrow"/>
        <family val="2"/>
      </rPr>
      <t>)</t>
    </r>
    <phoneticPr fontId="9" type="noConversion"/>
  </si>
  <si>
    <r>
      <rPr>
        <b/>
        <sz val="10"/>
        <rFont val="宋体"/>
        <family val="3"/>
        <charset val="134"/>
      </rPr>
      <t>税后折税前调整说明</t>
    </r>
    <phoneticPr fontId="9" type="noConversion"/>
  </si>
  <si>
    <r>
      <rPr>
        <b/>
        <sz val="10"/>
        <rFont val="宋体"/>
        <family val="3"/>
        <charset val="134"/>
      </rPr>
      <t>可收回金额</t>
    </r>
    <phoneticPr fontId="9" type="noConversion"/>
  </si>
  <si>
    <r>
      <rPr>
        <b/>
        <sz val="10"/>
        <rFont val="宋体"/>
        <family val="3"/>
        <charset val="134"/>
      </rPr>
      <t>适用税率</t>
    </r>
    <phoneticPr fontId="9" type="noConversion"/>
  </si>
  <si>
    <r>
      <rPr>
        <b/>
        <sz val="10"/>
        <rFont val="宋体"/>
        <family val="3"/>
        <charset val="134"/>
      </rPr>
      <t>税率调整</t>
    </r>
    <phoneticPr fontId="9" type="noConversion"/>
  </si>
  <si>
    <r>
      <rPr>
        <b/>
        <sz val="10"/>
        <rFont val="宋体"/>
        <family val="3"/>
        <charset val="134"/>
      </rPr>
      <t>调整说明</t>
    </r>
    <phoneticPr fontId="9" type="noConversion"/>
  </si>
  <si>
    <r>
      <rPr>
        <sz val="10"/>
        <rFont val="宋体"/>
        <family val="3"/>
        <charset val="134"/>
      </rPr>
      <t>加权平均资金成本</t>
    </r>
    <phoneticPr fontId="9" type="noConversion"/>
  </si>
  <si>
    <r>
      <rPr>
        <b/>
        <sz val="10"/>
        <rFont val="宋体"/>
        <family val="3"/>
        <charset val="134"/>
      </rPr>
      <t>（三）可收回金额</t>
    </r>
    <phoneticPr fontId="9" type="noConversion"/>
  </si>
  <si>
    <r>
      <rPr>
        <sz val="10"/>
        <rFont val="宋体"/>
        <family val="3"/>
        <charset val="134"/>
      </rPr>
      <t>资产的公允价值减去处置费用后的净额与资产预计未来现金流量的现值两者之间较高者</t>
    </r>
    <phoneticPr fontId="9" type="noConversion"/>
  </si>
  <si>
    <r>
      <t>1</t>
    </r>
    <r>
      <rPr>
        <sz val="10"/>
        <color indexed="12"/>
        <rFont val="宋体"/>
        <family val="3"/>
        <charset val="134"/>
      </rPr>
      <t>、可收回金额应当根据资产的公允价值减去处置费用后的净额与资产预计未来现金流量的现值两者之间较高者确定。</t>
    </r>
    <phoneticPr fontId="9" type="noConversion"/>
  </si>
  <si>
    <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phoneticPr fontId="9" type="noConversion"/>
  </si>
  <si>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phoneticPr fontId="9" type="noConversion"/>
  </si>
  <si>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phoneticPr fontId="9" type="noConversion"/>
  </si>
  <si>
    <r>
      <rPr>
        <sz val="10"/>
        <color indexed="12"/>
        <rFont val="宋体"/>
        <family val="3"/>
        <charset val="134"/>
      </rPr>
      <t>仍然无法可靠估计资产的公允价值减去处置费用后的净额的，应当以该资产预计未来现金流量的现值作为其可收回金额。</t>
    </r>
    <phoneticPr fontId="9" type="noConversion"/>
  </si>
  <si>
    <r>
      <t>3</t>
    </r>
    <r>
      <rPr>
        <sz val="10"/>
        <color indexed="12"/>
        <rFont val="宋体"/>
        <family val="3"/>
        <charset val="134"/>
      </rPr>
      <t>、处置费用包括与资产处置有关的法律费用、相关税费、搬运费以及为使资产达到可销售状态所发生的直接费用等。</t>
    </r>
    <phoneticPr fontId="9" type="noConversion"/>
  </si>
  <si>
    <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phoneticPr fontId="9" type="noConversion"/>
  </si>
  <si>
    <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phoneticPr fontId="9" type="noConversion"/>
  </si>
  <si>
    <r>
      <rPr>
        <sz val="10"/>
        <color indexed="12"/>
        <rFont val="宋体"/>
        <family val="3"/>
        <charset val="134"/>
      </rPr>
      <t>预计的资产未来现金流量应当包括下列各项：</t>
    </r>
    <phoneticPr fontId="9" type="noConversion"/>
  </si>
  <si>
    <r>
      <rPr>
        <sz val="10"/>
        <color indexed="12"/>
        <rFont val="宋体"/>
        <family val="3"/>
        <charset val="134"/>
      </rPr>
      <t>　　（一）资产持续使用过程中预计产生的现金流入。</t>
    </r>
    <phoneticPr fontId="9" type="noConversion"/>
  </si>
  <si>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phoneticPr fontId="9" type="noConversion"/>
  </si>
  <si>
    <r>
      <rPr>
        <sz val="10"/>
        <color indexed="12"/>
        <rFont val="宋体"/>
        <family val="3"/>
        <charset val="134"/>
      </rPr>
      <t>于或者可通过合理和一致的基础分配到资产中的现金流出。</t>
    </r>
    <phoneticPr fontId="9" type="noConversion"/>
  </si>
  <si>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phoneticPr fontId="9" type="noConversion"/>
  </si>
  <si>
    <r>
      <rPr>
        <sz val="10"/>
        <color indexed="12"/>
        <rFont val="宋体"/>
        <family val="3"/>
        <charset val="134"/>
      </rPr>
      <t>处置中获取或者支付的、减去预计处置费用后的金额。</t>
    </r>
    <phoneticPr fontId="9" type="noConversion"/>
  </si>
  <si>
    <r>
      <t>6</t>
    </r>
    <r>
      <rPr>
        <sz val="10"/>
        <color indexed="12"/>
        <rFont val="宋体"/>
        <family val="3"/>
        <charset val="134"/>
      </rPr>
      <t>、折现率是反映当前市场货币时间价值和资产特定风险的税前利率。该折现率是企业在购置或者投资资产时所要求的必要报酬率。</t>
    </r>
    <phoneticPr fontId="9" type="noConversion"/>
  </si>
  <si>
    <r>
      <rPr>
        <sz val="10"/>
        <color indexed="12"/>
        <rFont val="宋体"/>
        <family val="3"/>
        <charset val="134"/>
      </rPr>
      <t>折现率的确定通常应当以该资产的市场利率为依据。无法从市场获得的，可以使用替代利率估计折现率。</t>
    </r>
    <phoneticPr fontId="9" type="noConversion"/>
  </si>
  <si>
    <r>
      <rPr>
        <b/>
        <sz val="10"/>
        <color indexed="8"/>
        <rFont val="宋体"/>
        <family val="3"/>
        <charset val="134"/>
      </rPr>
      <t>一、审计目标：</t>
    </r>
    <r>
      <rPr>
        <sz val="10"/>
        <color indexed="8"/>
        <rFont val="宋体"/>
        <family val="3"/>
        <charset val="134"/>
      </rPr>
      <t>记录的油气资产由被审计单位拥有或控制。</t>
    </r>
    <phoneticPr fontId="13" type="noConversion"/>
  </si>
  <si>
    <r>
      <rPr>
        <sz val="10"/>
        <color rgb="FF0000FF"/>
        <rFont val="宋体"/>
        <family val="3"/>
        <charset val="134"/>
      </rPr>
      <t>（提示：每次审计需要重新取得原件，进行原件和复印件的核对并记录）检查资产的权属证明，验证其属于被审计单位所有。</t>
    </r>
    <phoneticPr fontId="9" type="noConversion"/>
  </si>
  <si>
    <r>
      <rPr>
        <b/>
        <sz val="10"/>
        <color indexed="8"/>
        <rFont val="宋体"/>
        <family val="3"/>
        <charset val="134"/>
      </rPr>
      <t>二、审计过程：</t>
    </r>
    <phoneticPr fontId="13" type="noConversion"/>
  </si>
  <si>
    <r>
      <rPr>
        <b/>
        <sz val="10"/>
        <rFont val="宋体"/>
        <family val="3"/>
        <charset val="134"/>
      </rPr>
      <t>资产编号</t>
    </r>
    <phoneticPr fontId="9" type="noConversion"/>
  </si>
  <si>
    <r>
      <rPr>
        <b/>
        <sz val="10"/>
        <rFont val="宋体"/>
        <family val="3"/>
        <charset val="134"/>
      </rPr>
      <t>资产名称</t>
    </r>
    <phoneticPr fontId="9" type="noConversion"/>
  </si>
  <si>
    <r>
      <rPr>
        <b/>
        <sz val="10"/>
        <rFont val="宋体"/>
        <family val="3"/>
        <charset val="134"/>
      </rPr>
      <t>权属证明记载</t>
    </r>
    <phoneticPr fontId="9" type="noConversion"/>
  </si>
  <si>
    <r>
      <rPr>
        <b/>
        <sz val="10"/>
        <rFont val="宋体"/>
        <family val="3"/>
        <charset val="134"/>
      </rPr>
      <t>财务账面记载</t>
    </r>
    <phoneticPr fontId="9" type="noConversion"/>
  </si>
  <si>
    <r>
      <rPr>
        <b/>
        <sz val="10"/>
        <rFont val="宋体"/>
        <family val="3"/>
        <charset val="134"/>
      </rPr>
      <t>抵押情况</t>
    </r>
    <phoneticPr fontId="9" type="noConversion"/>
  </si>
  <si>
    <r>
      <rPr>
        <b/>
        <sz val="10"/>
        <rFont val="宋体"/>
        <family val="3"/>
        <charset val="134"/>
      </rPr>
      <t>探矿权人</t>
    </r>
    <phoneticPr fontId="9" type="noConversion"/>
  </si>
  <si>
    <r>
      <rPr>
        <b/>
        <sz val="10"/>
        <rFont val="宋体"/>
        <family val="3"/>
        <charset val="134"/>
      </rPr>
      <t>探矿权人地址</t>
    </r>
    <phoneticPr fontId="9" type="noConversion"/>
  </si>
  <si>
    <r>
      <rPr>
        <b/>
        <sz val="10"/>
        <rFont val="宋体"/>
        <family val="3"/>
        <charset val="134"/>
      </rPr>
      <t>勘察项目名称</t>
    </r>
    <phoneticPr fontId="9" type="noConversion"/>
  </si>
  <si>
    <r>
      <rPr>
        <b/>
        <sz val="10"/>
        <rFont val="宋体"/>
        <family val="3"/>
        <charset val="134"/>
      </rPr>
      <t>地理位置</t>
    </r>
    <phoneticPr fontId="9" type="noConversion"/>
  </si>
  <si>
    <r>
      <rPr>
        <b/>
        <sz val="10"/>
        <rFont val="宋体"/>
        <family val="3"/>
        <charset val="134"/>
      </rPr>
      <t>勘察面积</t>
    </r>
    <phoneticPr fontId="9" type="noConversion"/>
  </si>
  <si>
    <r>
      <rPr>
        <b/>
        <sz val="10"/>
        <rFont val="宋体"/>
        <family val="3"/>
        <charset val="134"/>
      </rPr>
      <t>有效期限</t>
    </r>
    <phoneticPr fontId="9" type="noConversion"/>
  </si>
  <si>
    <r>
      <rPr>
        <b/>
        <sz val="10"/>
        <rFont val="宋体"/>
        <family val="3"/>
        <charset val="134"/>
      </rPr>
      <t>勘察单位</t>
    </r>
    <phoneticPr fontId="9" type="noConversion"/>
  </si>
  <si>
    <r>
      <rPr>
        <b/>
        <sz val="10"/>
        <rFont val="宋体"/>
        <family val="3"/>
        <charset val="134"/>
      </rPr>
      <t>勘察单位地址</t>
    </r>
    <phoneticPr fontId="9" type="noConversion"/>
  </si>
  <si>
    <r>
      <rPr>
        <b/>
        <sz val="10"/>
        <rFont val="宋体"/>
        <family val="3"/>
        <charset val="134"/>
      </rPr>
      <t>权证复印件索引</t>
    </r>
    <phoneticPr fontId="9" type="noConversion"/>
  </si>
  <si>
    <r>
      <rPr>
        <b/>
        <sz val="10"/>
        <rFont val="宋体"/>
        <family val="3"/>
        <charset val="134"/>
      </rPr>
      <t>勘察项目名称</t>
    </r>
    <phoneticPr fontId="9" type="noConversion"/>
  </si>
  <si>
    <r>
      <rPr>
        <b/>
        <sz val="10"/>
        <rFont val="宋体"/>
        <family val="3"/>
        <charset val="134"/>
      </rPr>
      <t>原值</t>
    </r>
    <phoneticPr fontId="9" type="noConversion"/>
  </si>
  <si>
    <r>
      <rPr>
        <b/>
        <sz val="10"/>
        <rFont val="宋体"/>
        <family val="3"/>
        <charset val="134"/>
      </rPr>
      <t>累计折耗</t>
    </r>
    <phoneticPr fontId="9" type="noConversion"/>
  </si>
  <si>
    <r>
      <rPr>
        <b/>
        <sz val="10"/>
        <rFont val="宋体"/>
        <family val="3"/>
        <charset val="134"/>
      </rPr>
      <t>减值准备</t>
    </r>
    <phoneticPr fontId="9" type="noConversion"/>
  </si>
  <si>
    <r>
      <rPr>
        <b/>
        <sz val="10"/>
        <rFont val="宋体"/>
        <family val="3"/>
        <charset val="134"/>
      </rPr>
      <t>净值</t>
    </r>
    <phoneticPr fontId="9" type="noConversion"/>
  </si>
  <si>
    <r>
      <rPr>
        <b/>
        <sz val="10"/>
        <rFont val="宋体"/>
        <family val="3"/>
        <charset val="134"/>
      </rPr>
      <t>是否抵押受限</t>
    </r>
    <phoneticPr fontId="9" type="noConversion"/>
  </si>
  <si>
    <r>
      <rPr>
        <b/>
        <sz val="10"/>
        <rFont val="宋体"/>
        <family val="3"/>
        <charset val="134"/>
      </rPr>
      <t>抵押面积</t>
    </r>
    <phoneticPr fontId="9" type="noConversion"/>
  </si>
  <si>
    <r>
      <rPr>
        <b/>
        <sz val="10"/>
        <rFont val="宋体"/>
        <family val="3"/>
        <charset val="134"/>
      </rPr>
      <t>抵押价值</t>
    </r>
    <phoneticPr fontId="9" type="noConversion"/>
  </si>
  <si>
    <r>
      <rPr>
        <b/>
        <sz val="10"/>
        <rFont val="宋体"/>
        <family val="3"/>
        <charset val="134"/>
      </rPr>
      <t>抵押性质</t>
    </r>
    <phoneticPr fontId="9" type="noConversion"/>
  </si>
  <si>
    <r>
      <rPr>
        <b/>
        <sz val="10"/>
        <color indexed="8"/>
        <rFont val="宋体"/>
        <family val="3"/>
        <charset val="134"/>
      </rPr>
      <t>三、审计说明：</t>
    </r>
    <phoneticPr fontId="13" type="noConversion"/>
  </si>
  <si>
    <r>
      <rPr>
        <sz val="10"/>
        <rFont val="宋体"/>
        <family val="3"/>
        <charset val="134"/>
      </rPr>
      <t>权证是否齐全；是否归属公司所有</t>
    </r>
    <phoneticPr fontId="9" type="noConversion"/>
  </si>
  <si>
    <r>
      <rPr>
        <sz val="10"/>
        <rFont val="宋体"/>
        <family val="3"/>
        <charset val="134"/>
      </rPr>
      <t>油气资产抵押情况描述</t>
    </r>
    <phoneticPr fontId="9" type="noConversion"/>
  </si>
  <si>
    <r>
      <rPr>
        <b/>
        <sz val="10"/>
        <color indexed="8"/>
        <rFont val="宋体"/>
        <family val="3"/>
        <charset val="134"/>
      </rPr>
      <t>四、审计结论：</t>
    </r>
    <phoneticPr fontId="13" type="noConversion"/>
  </si>
  <si>
    <r>
      <t>1.</t>
    </r>
    <r>
      <rPr>
        <sz val="10"/>
        <color rgb="FF0000FF"/>
        <rFont val="宋体"/>
        <family val="3"/>
        <charset val="134"/>
      </rPr>
      <t>实地查看探矿权等油气资产，并同时查看资产权属证明原件（复印并加盖公司公章（已和原件核对一致）），结合银行借款等项目的检查，了解是否设定对外抵押，并取得复印件作为工作底稿；</t>
    </r>
  </si>
  <si>
    <r>
      <t>2.</t>
    </r>
    <r>
      <rPr>
        <sz val="10"/>
        <color rgb="FF0000FF"/>
        <rFont val="宋体"/>
        <family val="3"/>
        <charset val="134"/>
      </rPr>
      <t>对于正在办理权属证明的大额资产，应了解权属证明办理情况，确认是否存在权属纠纷或实质性障碍。</t>
    </r>
  </si>
  <si>
    <r>
      <t>3.</t>
    </r>
    <r>
      <rPr>
        <sz val="10"/>
        <color rgb="FF0000FF"/>
        <rFont val="宋体"/>
        <family val="3"/>
        <charset val="134"/>
      </rPr>
      <t>详细记录抵押、担保等事项，并提请被审计单位进行充分披露。</t>
    </r>
    <r>
      <rPr>
        <sz val="10"/>
        <color rgb="FF0000FF"/>
        <rFont val="Arial Narrow"/>
        <family val="2"/>
      </rPr>
      <t>&lt;CSRC14-7&gt;</t>
    </r>
  </si>
  <si>
    <r>
      <rPr>
        <b/>
        <sz val="10"/>
        <color indexed="8"/>
        <rFont val="宋体"/>
        <family val="3"/>
        <charset val="134"/>
      </rPr>
      <t>二、审计过程：</t>
    </r>
    <phoneticPr fontId="13" type="noConversion"/>
  </si>
  <si>
    <r>
      <rPr>
        <b/>
        <sz val="10"/>
        <rFont val="宋体"/>
        <family val="3"/>
        <charset val="134"/>
      </rPr>
      <t>关联单位名称</t>
    </r>
    <phoneticPr fontId="9" type="noConversion"/>
  </si>
  <si>
    <r>
      <rPr>
        <b/>
        <sz val="10"/>
        <rFont val="宋体"/>
        <family val="3"/>
        <charset val="134"/>
      </rPr>
      <t>关联方关系</t>
    </r>
    <phoneticPr fontId="9" type="noConversion"/>
  </si>
  <si>
    <r>
      <rPr>
        <b/>
        <sz val="10"/>
        <rFont val="宋体"/>
        <family val="3"/>
        <charset val="134"/>
      </rPr>
      <t>资产类别</t>
    </r>
    <phoneticPr fontId="9" type="noConversion"/>
  </si>
  <si>
    <r>
      <rPr>
        <b/>
        <sz val="10"/>
        <rFont val="宋体"/>
        <family val="3"/>
        <charset val="134"/>
      </rPr>
      <t>占同类交易金额的比例％</t>
    </r>
    <phoneticPr fontId="9" type="noConversion"/>
  </si>
  <si>
    <r>
      <rPr>
        <b/>
        <sz val="10"/>
        <rFont val="宋体"/>
        <family val="3"/>
        <charset val="134"/>
      </rPr>
      <t>定价政策</t>
    </r>
    <phoneticPr fontId="9" type="noConversion"/>
  </si>
  <si>
    <r>
      <rPr>
        <b/>
        <sz val="10"/>
        <rFont val="宋体"/>
        <family val="3"/>
        <charset val="134"/>
      </rPr>
      <t>出售油气资产名称</t>
    </r>
    <phoneticPr fontId="9" type="noConversion"/>
  </si>
  <si>
    <r>
      <rPr>
        <b/>
        <sz val="10"/>
        <rFont val="宋体"/>
        <family val="3"/>
        <charset val="134"/>
      </rPr>
      <t>出售时油气资产原值</t>
    </r>
    <phoneticPr fontId="9" type="noConversion"/>
  </si>
  <si>
    <r>
      <rPr>
        <b/>
        <sz val="10"/>
        <rFont val="宋体"/>
        <family val="3"/>
        <charset val="134"/>
      </rPr>
      <t>出售时累计折旧</t>
    </r>
    <phoneticPr fontId="9" type="noConversion"/>
  </si>
  <si>
    <r>
      <rPr>
        <b/>
        <sz val="10"/>
        <rFont val="宋体"/>
        <family val="3"/>
        <charset val="134"/>
      </rPr>
      <t>出售时减值准备</t>
    </r>
    <phoneticPr fontId="9" type="noConversion"/>
  </si>
  <si>
    <r>
      <rPr>
        <b/>
        <sz val="10"/>
        <rFont val="宋体"/>
        <family val="3"/>
        <charset val="134"/>
      </rPr>
      <t>销售价格
（不含税）</t>
    </r>
    <phoneticPr fontId="9" type="noConversion"/>
  </si>
  <si>
    <r>
      <rPr>
        <b/>
        <sz val="10"/>
        <rFont val="宋体"/>
        <family val="3"/>
        <charset val="134"/>
      </rPr>
      <t>出售时间</t>
    </r>
    <phoneticPr fontId="9" type="noConversion"/>
  </si>
  <si>
    <r>
      <rPr>
        <b/>
        <sz val="10"/>
        <rFont val="宋体"/>
        <family val="3"/>
        <charset val="134"/>
      </rPr>
      <t>关联交易是否存在异常</t>
    </r>
    <phoneticPr fontId="9" type="noConversion"/>
  </si>
  <si>
    <r>
      <rPr>
        <b/>
        <sz val="10"/>
        <color indexed="8"/>
        <rFont val="宋体"/>
        <family val="3"/>
        <charset val="134"/>
      </rPr>
      <t>三、审计说明：</t>
    </r>
    <phoneticPr fontId="13" type="noConversion"/>
  </si>
  <si>
    <r>
      <rPr>
        <b/>
        <sz val="10"/>
        <color indexed="8"/>
        <rFont val="宋体"/>
        <family val="3"/>
        <charset val="134"/>
      </rPr>
      <t>四、审计结论：</t>
    </r>
    <phoneticPr fontId="13" type="noConversion"/>
  </si>
  <si>
    <r>
      <rPr>
        <sz val="10"/>
        <color rgb="FF0000FF"/>
        <rFont val="宋体"/>
        <family val="3"/>
        <charset val="134"/>
      </rPr>
      <t>勿删</t>
    </r>
    <phoneticPr fontId="9" type="noConversion"/>
  </si>
  <si>
    <r>
      <rPr>
        <sz val="10"/>
        <color rgb="FF0000FF"/>
        <rFont val="宋体"/>
        <family val="3"/>
        <charset val="134"/>
      </rPr>
      <t>实际控制人</t>
    </r>
    <phoneticPr fontId="9" type="noConversion"/>
  </si>
  <si>
    <r>
      <rPr>
        <sz val="10"/>
        <color rgb="FF0000FF"/>
        <rFont val="宋体"/>
        <family val="3"/>
        <charset val="134"/>
      </rPr>
      <t>控股股东</t>
    </r>
    <phoneticPr fontId="9" type="noConversion"/>
  </si>
  <si>
    <r>
      <rPr>
        <sz val="10"/>
        <color rgb="FF0000FF"/>
        <rFont val="宋体"/>
        <family val="3"/>
        <charset val="134"/>
      </rPr>
      <t>控股股东、实际控制人的附属企业</t>
    </r>
    <phoneticPr fontId="9" type="noConversion"/>
  </si>
  <si>
    <r>
      <rPr>
        <sz val="10"/>
        <color rgb="FF0000FF"/>
        <rFont val="宋体"/>
        <family val="3"/>
        <charset val="134"/>
      </rPr>
      <t>联营企业</t>
    </r>
    <phoneticPr fontId="9" type="noConversion"/>
  </si>
  <si>
    <r>
      <rPr>
        <sz val="10"/>
        <color rgb="FF0000FF"/>
        <rFont val="宋体"/>
        <family val="3"/>
        <charset val="134"/>
      </rPr>
      <t>合营企业</t>
    </r>
    <phoneticPr fontId="9" type="noConversion"/>
  </si>
  <si>
    <r>
      <rPr>
        <sz val="10"/>
        <color rgb="FF0000FF"/>
        <rFont val="宋体"/>
        <family val="3"/>
        <charset val="134"/>
      </rPr>
      <t>董高监等关键管理人员</t>
    </r>
    <phoneticPr fontId="9" type="noConversion"/>
  </si>
  <si>
    <r>
      <rPr>
        <sz val="10"/>
        <color rgb="FF0000FF"/>
        <rFont val="宋体"/>
        <family val="3"/>
        <charset val="134"/>
      </rPr>
      <t>其他关联方</t>
    </r>
    <phoneticPr fontId="9" type="noConversion"/>
  </si>
  <si>
    <r>
      <rPr>
        <b/>
        <sz val="10"/>
        <color indexed="8"/>
        <rFont val="宋体"/>
        <family val="3"/>
        <charset val="134"/>
      </rPr>
      <t>一、审计目标</t>
    </r>
    <r>
      <rPr>
        <b/>
        <sz val="10"/>
        <color indexed="8"/>
        <rFont val="Arial Narrow"/>
        <family val="2"/>
      </rPr>
      <t>:</t>
    </r>
    <phoneticPr fontId="13" type="noConversion"/>
  </si>
  <si>
    <r>
      <t>1.</t>
    </r>
    <r>
      <rPr>
        <sz val="10"/>
        <rFont val="宋体"/>
        <family val="3"/>
        <charset val="134"/>
      </rPr>
      <t>资产负债表中记录的固定资产是存在的，且已记录于恰当的账户；</t>
    </r>
    <r>
      <rPr>
        <sz val="10"/>
        <rFont val="Arial Narrow"/>
        <family val="2"/>
      </rPr>
      <t>2.</t>
    </r>
    <r>
      <rPr>
        <sz val="10"/>
        <rFont val="宋体"/>
        <family val="3"/>
        <charset val="134"/>
      </rPr>
      <t>所有应记录的固定资产均已记录，所有应当包括在财务报表中的相关披露均已包括；</t>
    </r>
    <r>
      <rPr>
        <sz val="10"/>
        <rFont val="Arial Narrow"/>
        <family val="2"/>
      </rPr>
      <t>3.</t>
    </r>
    <r>
      <rPr>
        <sz val="10"/>
        <rFont val="宋体"/>
        <family val="3"/>
        <charset val="134"/>
      </rPr>
      <t>记录的固定资产由被审计单位拥有或控制。</t>
    </r>
    <phoneticPr fontId="9" type="noConversion"/>
  </si>
  <si>
    <r>
      <t>4.</t>
    </r>
    <r>
      <rPr>
        <sz val="10"/>
        <rFont val="宋体"/>
        <family val="3"/>
        <charset val="134"/>
      </rPr>
      <t>固定资产以恰当的金额包括在财务报表中，与之相关的计价或分摊调整已恰当记录，相关披露已得到恰当计量和描述；</t>
    </r>
    <r>
      <rPr>
        <sz val="10"/>
        <rFont val="Arial Narrow"/>
        <family val="2"/>
      </rPr>
      <t>5.</t>
    </r>
    <r>
      <rPr>
        <sz val="10"/>
        <rFont val="宋体"/>
        <family val="3"/>
        <charset val="134"/>
      </rPr>
      <t>固定资产已被恰当地汇总或分解且表述清楚，相关披露在按照企业会计准则的编制基础下是相关的、可理解的。</t>
    </r>
    <phoneticPr fontId="9" type="noConversion"/>
  </si>
  <si>
    <r>
      <rPr>
        <b/>
        <sz val="10"/>
        <color indexed="8"/>
        <rFont val="宋体"/>
        <family val="3"/>
        <charset val="134"/>
      </rPr>
      <t>二、审计过程：</t>
    </r>
    <phoneticPr fontId="13" type="noConversion"/>
  </si>
  <si>
    <r>
      <rPr>
        <b/>
        <sz val="10"/>
        <rFont val="宋体"/>
        <family val="3"/>
        <charset val="134"/>
      </rPr>
      <t>关联单位名称</t>
    </r>
    <phoneticPr fontId="9" type="noConversion"/>
  </si>
  <si>
    <r>
      <rPr>
        <b/>
        <sz val="10"/>
        <rFont val="宋体"/>
        <family val="3"/>
        <charset val="134"/>
      </rPr>
      <t>关联方关系</t>
    </r>
    <phoneticPr fontId="9" type="noConversion"/>
  </si>
  <si>
    <r>
      <rPr>
        <b/>
        <sz val="10"/>
        <rFont val="宋体"/>
        <family val="3"/>
        <charset val="134"/>
      </rPr>
      <t>资产类别</t>
    </r>
    <phoneticPr fontId="9" type="noConversion"/>
  </si>
  <si>
    <r>
      <rPr>
        <b/>
        <sz val="10"/>
        <rFont val="宋体"/>
        <family val="3"/>
        <charset val="134"/>
      </rPr>
      <t>购买油气资产名称</t>
    </r>
    <phoneticPr fontId="9" type="noConversion"/>
  </si>
  <si>
    <r>
      <rPr>
        <b/>
        <sz val="10"/>
        <rFont val="宋体"/>
        <family val="3"/>
        <charset val="134"/>
      </rPr>
      <t>购买价款</t>
    </r>
    <phoneticPr fontId="9" type="noConversion"/>
  </si>
  <si>
    <r>
      <rPr>
        <b/>
        <sz val="10"/>
        <rFont val="宋体"/>
        <family val="3"/>
        <charset val="134"/>
      </rPr>
      <t>油气资产入账价值</t>
    </r>
    <phoneticPr fontId="9" type="noConversion"/>
  </si>
  <si>
    <r>
      <rPr>
        <b/>
        <sz val="10"/>
        <rFont val="宋体"/>
        <family val="3"/>
        <charset val="134"/>
      </rPr>
      <t>占同类交易金额的比例％</t>
    </r>
    <phoneticPr fontId="9" type="noConversion"/>
  </si>
  <si>
    <r>
      <rPr>
        <b/>
        <sz val="10"/>
        <rFont val="宋体"/>
        <family val="3"/>
        <charset val="134"/>
      </rPr>
      <t>购入时间</t>
    </r>
    <phoneticPr fontId="9" type="noConversion"/>
  </si>
  <si>
    <r>
      <rPr>
        <b/>
        <sz val="10"/>
        <rFont val="宋体"/>
        <family val="3"/>
        <charset val="134"/>
      </rPr>
      <t>折旧年限</t>
    </r>
    <phoneticPr fontId="9" type="noConversion"/>
  </si>
  <si>
    <r>
      <rPr>
        <b/>
        <sz val="10"/>
        <rFont val="宋体"/>
        <family val="3"/>
        <charset val="134"/>
      </rPr>
      <t>定价政策</t>
    </r>
    <phoneticPr fontId="9" type="noConversion"/>
  </si>
  <si>
    <r>
      <rPr>
        <b/>
        <sz val="10"/>
        <rFont val="宋体"/>
        <family val="3"/>
        <charset val="134"/>
      </rPr>
      <t>关联交易是否存在异常</t>
    </r>
    <phoneticPr fontId="9" type="noConversion"/>
  </si>
  <si>
    <r>
      <rPr>
        <b/>
        <sz val="10"/>
        <rFont val="宋体"/>
        <family val="3"/>
        <charset val="134"/>
      </rPr>
      <t>备注</t>
    </r>
    <phoneticPr fontId="9" type="noConversion"/>
  </si>
  <si>
    <r>
      <rPr>
        <b/>
        <sz val="10"/>
        <rFont val="宋体"/>
        <family val="3"/>
        <charset val="134"/>
      </rPr>
      <t>索引号</t>
    </r>
    <phoneticPr fontId="9" type="noConversion"/>
  </si>
  <si>
    <r>
      <rPr>
        <b/>
        <sz val="10"/>
        <rFont val="宋体"/>
        <family val="3"/>
        <charset val="134"/>
      </rPr>
      <t>出售时净值</t>
    </r>
    <phoneticPr fontId="9" type="noConversion"/>
  </si>
  <si>
    <r>
      <rPr>
        <b/>
        <sz val="10"/>
        <rFont val="宋体"/>
        <family val="3"/>
        <charset val="134"/>
      </rPr>
      <t>索引号</t>
    </r>
    <phoneticPr fontId="9" type="noConversion"/>
  </si>
  <si>
    <r>
      <rPr>
        <sz val="10"/>
        <color rgb="FF0000FF"/>
        <rFont val="宋体"/>
        <family val="3"/>
        <charset val="134"/>
      </rPr>
      <t>关联关系</t>
    </r>
    <phoneticPr fontId="9" type="noConversion"/>
  </si>
  <si>
    <r>
      <t>1.</t>
    </r>
    <r>
      <rPr>
        <sz val="10"/>
        <color indexed="8"/>
        <rFont val="宋体"/>
        <family val="3"/>
        <charset val="134"/>
      </rPr>
      <t>资产负债表中记录的油气资产是存在的，且已记录于恰当的账户；</t>
    </r>
    <r>
      <rPr>
        <sz val="10"/>
        <color indexed="8"/>
        <rFont val="Arial Narrow"/>
        <family val="2"/>
      </rPr>
      <t>2.</t>
    </r>
    <r>
      <rPr>
        <sz val="10"/>
        <color indexed="8"/>
        <rFont val="宋体"/>
        <family val="3"/>
        <charset val="134"/>
      </rPr>
      <t>记录的油气资产由被审计单位拥有或控制；</t>
    </r>
    <phoneticPr fontId="9" type="noConversion"/>
  </si>
  <si>
    <r>
      <t>3.</t>
    </r>
    <r>
      <rPr>
        <sz val="10"/>
        <color indexed="8"/>
        <rFont val="宋体"/>
        <family val="3"/>
        <charset val="134"/>
      </rPr>
      <t>油气资产以恰当的金额包括在财务报表中，与之相关的计价或分摊调整已恰当记录，相关披露已得到恰当计量和描述</t>
    </r>
    <r>
      <rPr>
        <sz val="10"/>
        <color indexed="8"/>
        <rFont val="Arial Narrow"/>
        <family val="2"/>
      </rPr>
      <t xml:space="preserve"> </t>
    </r>
    <phoneticPr fontId="9" type="noConversion"/>
  </si>
  <si>
    <r>
      <rPr>
        <b/>
        <sz val="10"/>
        <rFont val="宋体"/>
        <family val="3"/>
        <charset val="134"/>
      </rPr>
      <t>油气资产名称</t>
    </r>
    <phoneticPr fontId="9" type="noConversion"/>
  </si>
  <si>
    <r>
      <rPr>
        <b/>
        <sz val="10"/>
        <rFont val="宋体"/>
        <family val="3"/>
        <charset val="134"/>
      </rPr>
      <t>承租单位名称</t>
    </r>
    <phoneticPr fontId="9" type="noConversion"/>
  </si>
  <si>
    <r>
      <rPr>
        <b/>
        <sz val="10"/>
        <rFont val="宋体"/>
        <family val="3"/>
        <charset val="134"/>
      </rPr>
      <t>油气资产原价</t>
    </r>
    <phoneticPr fontId="9" type="noConversion"/>
  </si>
  <si>
    <r>
      <rPr>
        <b/>
        <sz val="10"/>
        <rFont val="宋体"/>
        <family val="3"/>
        <charset val="134"/>
      </rPr>
      <t>租赁开始日</t>
    </r>
    <phoneticPr fontId="9" type="noConversion"/>
  </si>
  <si>
    <r>
      <rPr>
        <b/>
        <sz val="10"/>
        <rFont val="宋体"/>
        <family val="3"/>
        <charset val="134"/>
      </rPr>
      <t>租赁到期日</t>
    </r>
    <phoneticPr fontId="9" type="noConversion"/>
  </si>
  <si>
    <r>
      <rPr>
        <b/>
        <sz val="10"/>
        <rFont val="宋体"/>
        <family val="3"/>
        <charset val="134"/>
      </rPr>
      <t>本年应计租金月份数</t>
    </r>
    <phoneticPr fontId="9" type="noConversion"/>
  </si>
  <si>
    <r>
      <rPr>
        <b/>
        <sz val="10"/>
        <rFont val="宋体"/>
        <family val="3"/>
        <charset val="134"/>
      </rPr>
      <t>月折耗额</t>
    </r>
    <phoneticPr fontId="9" type="noConversion"/>
  </si>
  <si>
    <r>
      <rPr>
        <b/>
        <sz val="10"/>
        <rFont val="宋体"/>
        <family val="3"/>
        <charset val="134"/>
      </rPr>
      <t>月租金收入</t>
    </r>
    <phoneticPr fontId="9" type="noConversion"/>
  </si>
  <si>
    <r>
      <rPr>
        <b/>
        <sz val="10"/>
        <rFont val="宋体"/>
        <family val="3"/>
        <charset val="134"/>
      </rPr>
      <t>本期应计入其他业务支出的折旧额</t>
    </r>
    <phoneticPr fontId="9" type="noConversion"/>
  </si>
  <si>
    <r>
      <rPr>
        <b/>
        <sz val="10"/>
        <rFont val="宋体"/>
        <family val="3"/>
        <charset val="134"/>
      </rPr>
      <t>本期应计租金收入</t>
    </r>
    <phoneticPr fontId="9" type="noConversion"/>
  </si>
  <si>
    <r>
      <rPr>
        <b/>
        <sz val="10"/>
        <rFont val="宋体"/>
        <family val="3"/>
        <charset val="134"/>
      </rPr>
      <t>与其他业务收支科目是否勾稽</t>
    </r>
    <phoneticPr fontId="9" type="noConversion"/>
  </si>
  <si>
    <r>
      <rPr>
        <b/>
        <sz val="10"/>
        <rFont val="宋体"/>
        <family val="3"/>
        <charset val="134"/>
      </rPr>
      <t>租赁合同
索引号</t>
    </r>
    <phoneticPr fontId="9" type="noConversion"/>
  </si>
  <si>
    <r>
      <rPr>
        <b/>
        <sz val="10"/>
        <color indexed="8"/>
        <rFont val="宋体"/>
        <family val="3"/>
        <charset val="134"/>
      </rPr>
      <t>一、审计目标：</t>
    </r>
    <r>
      <rPr>
        <sz val="10"/>
        <color indexed="8"/>
        <rFont val="Arial Narrow"/>
        <family val="2"/>
      </rPr>
      <t>1.</t>
    </r>
    <r>
      <rPr>
        <sz val="10"/>
        <color indexed="8"/>
        <rFont val="宋体"/>
        <family val="3"/>
        <charset val="134"/>
      </rPr>
      <t>资产负债表中记录的油气资产是存在的，且已记录于恰当的账户；</t>
    </r>
    <r>
      <rPr>
        <sz val="10"/>
        <color indexed="8"/>
        <rFont val="Arial Narrow"/>
        <family val="2"/>
      </rPr>
      <t>2.</t>
    </r>
    <r>
      <rPr>
        <sz val="10"/>
        <color indexed="8"/>
        <rFont val="宋体"/>
        <family val="3"/>
        <charset val="134"/>
      </rPr>
      <t>记录的油气资产由被审计单位拥有或控制；</t>
    </r>
    <r>
      <rPr>
        <sz val="10"/>
        <color indexed="8"/>
        <rFont val="Arial Narrow"/>
        <family val="2"/>
      </rPr>
      <t>3.</t>
    </r>
    <r>
      <rPr>
        <sz val="10"/>
        <color indexed="8"/>
        <rFont val="宋体"/>
        <family val="3"/>
        <charset val="134"/>
      </rPr>
      <t>油气资产以恰当的金额包括在财务报表中，与之相关的计价或分摊调整已恰当记录，相关披露已得到恰当计量和描述</t>
    </r>
    <r>
      <rPr>
        <sz val="10"/>
        <color indexed="8"/>
        <rFont val="Arial Narrow"/>
        <family val="2"/>
      </rPr>
      <t xml:space="preserve"> </t>
    </r>
    <phoneticPr fontId="13" type="noConversion"/>
  </si>
  <si>
    <r>
      <rPr>
        <b/>
        <sz val="10"/>
        <rFont val="宋体"/>
        <family val="3"/>
        <charset val="134"/>
      </rPr>
      <t>序号</t>
    </r>
    <phoneticPr fontId="9" type="noConversion"/>
  </si>
  <si>
    <r>
      <rPr>
        <b/>
        <sz val="10"/>
        <rFont val="宋体"/>
        <family val="3"/>
        <charset val="134"/>
      </rPr>
      <t>融资租出油气资产编号</t>
    </r>
  </si>
  <si>
    <r>
      <rPr>
        <b/>
        <sz val="10"/>
        <rFont val="宋体"/>
        <family val="3"/>
        <charset val="134"/>
      </rPr>
      <t>融资租出油气资产名称</t>
    </r>
  </si>
  <si>
    <r>
      <rPr>
        <b/>
        <sz val="10"/>
        <rFont val="宋体"/>
        <family val="3"/>
        <charset val="134"/>
      </rPr>
      <t>承租单位名称</t>
    </r>
    <phoneticPr fontId="9" type="noConversion"/>
  </si>
  <si>
    <r>
      <rPr>
        <b/>
        <sz val="10"/>
        <rFont val="宋体"/>
        <family val="3"/>
        <charset val="134"/>
      </rPr>
      <t>租赁开始日</t>
    </r>
    <phoneticPr fontId="9" type="noConversion"/>
  </si>
  <si>
    <r>
      <rPr>
        <b/>
        <sz val="10"/>
        <rFont val="宋体"/>
        <family val="3"/>
        <charset val="134"/>
      </rPr>
      <t>租赁合同索引号</t>
    </r>
    <phoneticPr fontId="9" type="noConversion"/>
  </si>
  <si>
    <r>
      <rPr>
        <b/>
        <sz val="10"/>
        <rFont val="宋体"/>
        <family val="3"/>
        <charset val="134"/>
      </rPr>
      <t>是否满足融资租赁的定义</t>
    </r>
    <phoneticPr fontId="9" type="noConversion"/>
  </si>
  <si>
    <r>
      <rPr>
        <b/>
        <sz val="10"/>
        <rFont val="宋体"/>
        <family val="3"/>
        <charset val="134"/>
      </rPr>
      <t>在租赁期届满时，租赁资产的所有权转移给承租人；</t>
    </r>
  </si>
  <si>
    <r>
      <rPr>
        <b/>
        <sz val="10"/>
        <rFont val="宋体"/>
        <family val="3"/>
        <charset val="134"/>
      </rPr>
      <t>租赁期占租赁资产使用寿命的大部分</t>
    </r>
    <r>
      <rPr>
        <b/>
        <sz val="10"/>
        <color rgb="FFFF0000"/>
        <rFont val="宋体"/>
        <family val="3"/>
        <charset val="134"/>
      </rPr>
      <t>（</t>
    </r>
    <r>
      <rPr>
        <b/>
        <sz val="10"/>
        <color rgb="FFFF0000"/>
        <rFont val="Arial Narrow"/>
        <family val="2"/>
      </rPr>
      <t>&gt;=75%</t>
    </r>
    <r>
      <rPr>
        <b/>
        <sz val="10"/>
        <color rgb="FFFF0000"/>
        <rFont val="宋体"/>
        <family val="3"/>
        <charset val="134"/>
      </rPr>
      <t>）</t>
    </r>
    <r>
      <rPr>
        <b/>
        <sz val="10"/>
        <rFont val="宋体"/>
        <family val="3"/>
        <charset val="134"/>
      </rPr>
      <t>；</t>
    </r>
    <phoneticPr fontId="9" type="noConversion"/>
  </si>
  <si>
    <r>
      <rPr>
        <b/>
        <sz val="10"/>
        <rFont val="宋体"/>
        <family val="3"/>
        <charset val="134"/>
      </rPr>
      <t>承租人有购买租赁资产的选择权，在租赁开始日可合理确定承租人将行使该权利</t>
    </r>
    <phoneticPr fontId="9" type="noConversion"/>
  </si>
  <si>
    <r>
      <rPr>
        <b/>
        <sz val="10"/>
        <rFont val="宋体"/>
        <family val="3"/>
        <charset val="134"/>
      </rPr>
      <t>承租人租赁开始日的最低租赁付款额的现值，几乎相当于租赁开始日租赁资产公允价值</t>
    </r>
    <r>
      <rPr>
        <b/>
        <sz val="10"/>
        <color rgb="FFFF0000"/>
        <rFont val="宋体"/>
        <family val="3"/>
        <charset val="134"/>
      </rPr>
      <t>（</t>
    </r>
    <r>
      <rPr>
        <b/>
        <sz val="10"/>
        <color rgb="FFFF0000"/>
        <rFont val="Arial Narrow"/>
        <family val="2"/>
      </rPr>
      <t>&gt;=90%</t>
    </r>
    <r>
      <rPr>
        <b/>
        <sz val="10"/>
        <color rgb="FFFF0000"/>
        <rFont val="宋体"/>
        <family val="3"/>
        <charset val="134"/>
      </rPr>
      <t>）</t>
    </r>
    <phoneticPr fontId="9" type="noConversion"/>
  </si>
  <si>
    <r>
      <rPr>
        <b/>
        <sz val="10"/>
        <rFont val="宋体"/>
        <family val="3"/>
        <charset val="134"/>
      </rPr>
      <t>出租人租赁开始日的最低租赁收款额的现值，几乎相当于租赁开始日租赁资产公允价值</t>
    </r>
    <r>
      <rPr>
        <b/>
        <sz val="10"/>
        <color rgb="FFFF0000"/>
        <rFont val="宋体"/>
        <family val="3"/>
        <charset val="134"/>
      </rPr>
      <t>（</t>
    </r>
    <r>
      <rPr>
        <b/>
        <sz val="10"/>
        <color rgb="FFFF0000"/>
        <rFont val="Arial Narrow"/>
        <family val="2"/>
      </rPr>
      <t>&gt;=90%</t>
    </r>
    <r>
      <rPr>
        <b/>
        <sz val="10"/>
        <color rgb="FFFF0000"/>
        <rFont val="宋体"/>
        <family val="3"/>
        <charset val="134"/>
      </rPr>
      <t>）</t>
    </r>
    <phoneticPr fontId="9" type="noConversion"/>
  </si>
  <si>
    <r>
      <rPr>
        <b/>
        <sz val="10"/>
        <rFont val="宋体"/>
        <family val="3"/>
        <charset val="134"/>
      </rPr>
      <t>租赁资产性质特殊，如不作较大改造，只有承租人才能使用</t>
    </r>
  </si>
  <si>
    <r>
      <rPr>
        <b/>
        <sz val="10"/>
        <rFont val="宋体"/>
        <family val="3"/>
        <charset val="134"/>
      </rPr>
      <t>项目</t>
    </r>
    <phoneticPr fontId="9" type="noConversion"/>
  </si>
  <si>
    <r>
      <rPr>
        <b/>
        <sz val="10"/>
        <rFont val="宋体"/>
        <family val="3"/>
        <charset val="134"/>
      </rPr>
      <t>各期租金之和</t>
    </r>
    <phoneticPr fontId="9" type="noConversion"/>
  </si>
  <si>
    <r>
      <rPr>
        <b/>
        <sz val="10"/>
        <rFont val="宋体"/>
        <family val="3"/>
        <charset val="134"/>
      </rPr>
      <t>行使优惠购买选择权支付的金额</t>
    </r>
    <phoneticPr fontId="9" type="noConversion"/>
  </si>
  <si>
    <r>
      <t>2014</t>
    </r>
    <r>
      <rPr>
        <b/>
        <sz val="10"/>
        <rFont val="宋体"/>
        <family val="3"/>
        <charset val="134"/>
      </rPr>
      <t>年</t>
    </r>
    <phoneticPr fontId="9" type="noConversion"/>
  </si>
  <si>
    <r>
      <t>2015</t>
    </r>
    <r>
      <rPr>
        <b/>
        <sz val="10"/>
        <rFont val="宋体"/>
        <family val="3"/>
        <charset val="134"/>
      </rPr>
      <t>年</t>
    </r>
    <phoneticPr fontId="9" type="noConversion"/>
  </si>
  <si>
    <r>
      <t>2016</t>
    </r>
    <r>
      <rPr>
        <b/>
        <sz val="10"/>
        <rFont val="宋体"/>
        <family val="3"/>
        <charset val="134"/>
      </rPr>
      <t>年</t>
    </r>
    <r>
      <rPr>
        <b/>
        <sz val="9"/>
        <rFont val="宋体"/>
        <family val="3"/>
        <charset val="134"/>
      </rPr>
      <t/>
    </r>
  </si>
  <si>
    <r>
      <t>2017</t>
    </r>
    <r>
      <rPr>
        <b/>
        <sz val="10"/>
        <rFont val="宋体"/>
        <family val="3"/>
        <charset val="134"/>
      </rPr>
      <t>年</t>
    </r>
    <r>
      <rPr>
        <b/>
        <sz val="9"/>
        <rFont val="宋体"/>
        <family val="3"/>
        <charset val="134"/>
      </rPr>
      <t/>
    </r>
  </si>
  <si>
    <r>
      <t>2018</t>
    </r>
    <r>
      <rPr>
        <b/>
        <sz val="10"/>
        <rFont val="宋体"/>
        <family val="3"/>
        <charset val="134"/>
      </rPr>
      <t>年</t>
    </r>
    <r>
      <rPr>
        <b/>
        <sz val="9"/>
        <rFont val="宋体"/>
        <family val="3"/>
        <charset val="134"/>
      </rPr>
      <t/>
    </r>
  </si>
  <si>
    <r>
      <t>2019</t>
    </r>
    <r>
      <rPr>
        <b/>
        <sz val="10"/>
        <rFont val="宋体"/>
        <family val="3"/>
        <charset val="134"/>
      </rPr>
      <t>年</t>
    </r>
    <r>
      <rPr>
        <b/>
        <sz val="9"/>
        <rFont val="宋体"/>
        <family val="3"/>
        <charset val="134"/>
      </rPr>
      <t/>
    </r>
  </si>
  <si>
    <r>
      <rPr>
        <b/>
        <sz val="10"/>
        <rFont val="宋体"/>
        <family val="3"/>
        <charset val="134"/>
      </rPr>
      <t>最低租赁收款额</t>
    </r>
    <phoneticPr fontId="9" type="noConversion"/>
  </si>
  <si>
    <r>
      <rPr>
        <b/>
        <sz val="10"/>
        <rFont val="宋体"/>
        <family val="3"/>
        <charset val="134"/>
      </rPr>
      <t>折现率</t>
    </r>
    <r>
      <rPr>
        <b/>
        <sz val="10"/>
        <rFont val="Arial Narrow"/>
        <family val="2"/>
      </rPr>
      <t>1</t>
    </r>
    <phoneticPr fontId="9" type="noConversion"/>
  </si>
  <si>
    <r>
      <rPr>
        <b/>
        <sz val="10"/>
        <rFont val="宋体"/>
        <family val="3"/>
        <charset val="134"/>
      </rPr>
      <t>折现值</t>
    </r>
    <r>
      <rPr>
        <b/>
        <sz val="10"/>
        <rFont val="Arial Narrow"/>
        <family val="2"/>
      </rPr>
      <t>1</t>
    </r>
    <phoneticPr fontId="9" type="noConversion"/>
  </si>
  <si>
    <r>
      <rPr>
        <b/>
        <sz val="10"/>
        <rFont val="宋体"/>
        <family val="3"/>
        <charset val="134"/>
      </rPr>
      <t>最低租赁收款额现值</t>
    </r>
    <r>
      <rPr>
        <b/>
        <sz val="10"/>
        <rFont val="Arial Narrow"/>
        <family val="2"/>
      </rPr>
      <t>1</t>
    </r>
    <phoneticPr fontId="9" type="noConversion"/>
  </si>
  <si>
    <r>
      <rPr>
        <b/>
        <sz val="10"/>
        <rFont val="宋体"/>
        <family val="3"/>
        <charset val="134"/>
      </rPr>
      <t>折现率</t>
    </r>
    <r>
      <rPr>
        <b/>
        <sz val="10"/>
        <rFont val="Arial Narrow"/>
        <family val="2"/>
      </rPr>
      <t>2</t>
    </r>
  </si>
  <si>
    <r>
      <rPr>
        <b/>
        <sz val="10"/>
        <rFont val="宋体"/>
        <family val="3"/>
        <charset val="134"/>
      </rPr>
      <t>折现值</t>
    </r>
    <r>
      <rPr>
        <b/>
        <sz val="10"/>
        <rFont val="Arial Narrow"/>
        <family val="2"/>
      </rPr>
      <t>2</t>
    </r>
  </si>
  <si>
    <r>
      <rPr>
        <b/>
        <sz val="10"/>
        <rFont val="宋体"/>
        <family val="3"/>
        <charset val="134"/>
      </rPr>
      <t>最低租赁收款额现值</t>
    </r>
    <r>
      <rPr>
        <b/>
        <sz val="10"/>
        <rFont val="Arial Narrow"/>
        <family val="2"/>
      </rPr>
      <t>2</t>
    </r>
    <phoneticPr fontId="9" type="noConversion"/>
  </si>
  <si>
    <r>
      <rPr>
        <b/>
        <sz val="10"/>
        <rFont val="宋体"/>
        <family val="3"/>
        <charset val="134"/>
      </rPr>
      <t>租赁开始日，租赁资产的公允价值</t>
    </r>
    <phoneticPr fontId="9" type="noConversion"/>
  </si>
  <si>
    <r>
      <rPr>
        <b/>
        <sz val="10"/>
        <rFont val="宋体"/>
        <family val="3"/>
        <charset val="134"/>
      </rPr>
      <t>初始直接费用</t>
    </r>
    <phoneticPr fontId="9" type="noConversion"/>
  </si>
  <si>
    <r>
      <rPr>
        <b/>
        <sz val="10"/>
        <rFont val="宋体"/>
        <family val="3"/>
        <charset val="134"/>
      </rPr>
      <t>两者的合计</t>
    </r>
    <phoneticPr fontId="9" type="noConversion"/>
  </si>
  <si>
    <r>
      <rPr>
        <b/>
        <sz val="10"/>
        <rFont val="宋体"/>
        <family val="3"/>
        <charset val="134"/>
      </rPr>
      <t>租赁内含利率</t>
    </r>
    <phoneticPr fontId="9" type="noConversion"/>
  </si>
  <si>
    <r>
      <rPr>
        <b/>
        <sz val="10"/>
        <rFont val="宋体"/>
        <family val="3"/>
        <charset val="134"/>
      </rPr>
      <t>序号</t>
    </r>
    <phoneticPr fontId="9" type="noConversion"/>
  </si>
  <si>
    <r>
      <rPr>
        <b/>
        <sz val="10"/>
        <rFont val="宋体"/>
        <family val="3"/>
        <charset val="134"/>
      </rPr>
      <t>金额</t>
    </r>
    <phoneticPr fontId="9" type="noConversion"/>
  </si>
  <si>
    <r>
      <rPr>
        <b/>
        <sz val="10"/>
        <rFont val="宋体"/>
        <family val="3"/>
        <charset val="134"/>
      </rPr>
      <t>应收融资租赁款</t>
    </r>
    <phoneticPr fontId="9" type="noConversion"/>
  </si>
  <si>
    <r>
      <rPr>
        <b/>
        <sz val="10"/>
        <rFont val="宋体"/>
        <family val="3"/>
        <charset val="134"/>
      </rPr>
      <t>未实现融资收益</t>
    </r>
    <phoneticPr fontId="9" type="noConversion"/>
  </si>
  <si>
    <r>
      <rPr>
        <b/>
        <sz val="10"/>
        <rFont val="宋体"/>
        <family val="3"/>
        <charset val="134"/>
      </rPr>
      <t>日期</t>
    </r>
    <phoneticPr fontId="9" type="noConversion"/>
  </si>
  <si>
    <r>
      <rPr>
        <b/>
        <sz val="10"/>
        <rFont val="宋体"/>
        <family val="3"/>
        <charset val="134"/>
      </rPr>
      <t>租金</t>
    </r>
    <phoneticPr fontId="9" type="noConversion"/>
  </si>
  <si>
    <r>
      <rPr>
        <b/>
        <sz val="10"/>
        <rFont val="宋体"/>
        <family val="3"/>
        <charset val="134"/>
      </rPr>
      <t>确认的融资收入</t>
    </r>
    <phoneticPr fontId="9" type="noConversion"/>
  </si>
  <si>
    <r>
      <rPr>
        <b/>
        <sz val="10"/>
        <rFont val="宋体"/>
        <family val="3"/>
        <charset val="134"/>
      </rPr>
      <t>租赁投资净额减少额</t>
    </r>
    <phoneticPr fontId="9" type="noConversion"/>
  </si>
  <si>
    <r>
      <rPr>
        <b/>
        <sz val="10"/>
        <rFont val="宋体"/>
        <family val="3"/>
        <charset val="134"/>
      </rPr>
      <t>租赁投资净额余额</t>
    </r>
    <phoneticPr fontId="9" type="noConversion"/>
  </si>
  <si>
    <r>
      <rPr>
        <b/>
        <sz val="10"/>
        <rFont val="宋体"/>
        <family val="3"/>
        <charset val="134"/>
      </rPr>
      <t>②</t>
    </r>
    <phoneticPr fontId="9" type="noConversion"/>
  </si>
  <si>
    <r>
      <rPr>
        <b/>
        <sz val="10"/>
        <rFont val="宋体"/>
        <family val="3"/>
        <charset val="134"/>
      </rPr>
      <t>③</t>
    </r>
    <r>
      <rPr>
        <b/>
        <sz val="10"/>
        <rFont val="Arial Narrow"/>
        <family val="2"/>
      </rPr>
      <t>=</t>
    </r>
    <r>
      <rPr>
        <b/>
        <sz val="10"/>
        <rFont val="宋体"/>
        <family val="3"/>
        <charset val="134"/>
      </rPr>
      <t>期初⑤</t>
    </r>
    <r>
      <rPr>
        <b/>
        <sz val="10"/>
        <rFont val="Arial Narrow"/>
        <family val="2"/>
      </rPr>
      <t>X</t>
    </r>
    <r>
      <rPr>
        <b/>
        <sz val="10"/>
        <rFont val="宋体"/>
        <family val="3"/>
        <charset val="134"/>
      </rPr>
      <t>租赁内含利率</t>
    </r>
    <phoneticPr fontId="9" type="noConversion"/>
  </si>
  <si>
    <r>
      <rPr>
        <b/>
        <sz val="10"/>
        <rFont val="宋体"/>
        <family val="3"/>
        <charset val="134"/>
      </rPr>
      <t>④</t>
    </r>
    <r>
      <rPr>
        <b/>
        <sz val="10"/>
        <rFont val="Arial Narrow"/>
        <family val="2"/>
      </rPr>
      <t>=</t>
    </r>
    <r>
      <rPr>
        <b/>
        <sz val="10"/>
        <rFont val="宋体"/>
        <family val="3"/>
        <charset val="134"/>
      </rPr>
      <t>②</t>
    </r>
    <r>
      <rPr>
        <b/>
        <sz val="10"/>
        <rFont val="Arial Narrow"/>
        <family val="2"/>
      </rPr>
      <t>-</t>
    </r>
    <r>
      <rPr>
        <b/>
        <sz val="10"/>
        <rFont val="宋体"/>
        <family val="3"/>
        <charset val="134"/>
      </rPr>
      <t>③</t>
    </r>
    <phoneticPr fontId="9" type="noConversion"/>
  </si>
  <si>
    <r>
      <rPr>
        <b/>
        <sz val="10"/>
        <rFont val="宋体"/>
        <family val="3"/>
        <charset val="134"/>
      </rPr>
      <t>期末⑤</t>
    </r>
    <r>
      <rPr>
        <b/>
        <sz val="10"/>
        <rFont val="Arial Narrow"/>
        <family val="2"/>
      </rPr>
      <t>=</t>
    </r>
    <r>
      <rPr>
        <b/>
        <sz val="10"/>
        <rFont val="宋体"/>
        <family val="3"/>
        <charset val="134"/>
      </rPr>
      <t>期初⑤</t>
    </r>
    <r>
      <rPr>
        <b/>
        <sz val="10"/>
        <rFont val="Arial Narrow"/>
        <family val="2"/>
      </rPr>
      <t>-</t>
    </r>
    <r>
      <rPr>
        <b/>
        <sz val="10"/>
        <rFont val="宋体"/>
        <family val="3"/>
        <charset val="134"/>
      </rPr>
      <t>④</t>
    </r>
    <phoneticPr fontId="9" type="noConversion"/>
  </si>
  <si>
    <r>
      <rPr>
        <sz val="10"/>
        <rFont val="宋体"/>
        <family val="3"/>
        <charset val="134"/>
      </rPr>
      <t>融资租出油气资产的条件是否满足</t>
    </r>
  </si>
  <si>
    <r>
      <rPr>
        <sz val="10"/>
        <rFont val="宋体"/>
        <family val="3"/>
        <charset val="134"/>
      </rPr>
      <t>长期应收款、融资租赁资产、未确认融资收益的入账价值是否正确</t>
    </r>
    <phoneticPr fontId="9" type="noConversion"/>
  </si>
  <si>
    <r>
      <rPr>
        <sz val="10"/>
        <rFont val="宋体"/>
        <family val="3"/>
        <charset val="134"/>
      </rPr>
      <t>所采用的租赁内含利率是否正确</t>
    </r>
    <phoneticPr fontId="9" type="noConversion"/>
  </si>
  <si>
    <r>
      <rPr>
        <sz val="10"/>
        <rFont val="宋体"/>
        <family val="3"/>
        <charset val="134"/>
      </rPr>
      <t>未确认融资收益的分配是否恰当</t>
    </r>
    <phoneticPr fontId="9" type="noConversion"/>
  </si>
  <si>
    <r>
      <rPr>
        <b/>
        <sz val="10"/>
        <color indexed="8"/>
        <rFont val="宋体"/>
        <family val="3"/>
        <charset val="134"/>
      </rPr>
      <t>四、审计结论：</t>
    </r>
    <phoneticPr fontId="13" type="noConversion"/>
  </si>
  <si>
    <r>
      <t>1.</t>
    </r>
    <r>
      <rPr>
        <sz val="10"/>
        <color rgb="FF0000FF"/>
        <rFont val="宋体"/>
        <family val="3"/>
        <charset val="134"/>
      </rPr>
      <t>检查是否将最低租赁收款额挂账长期应收款，是否将租赁租赁收款额、未担保余值之和与其现值的差额作为未确认融资收益。</t>
    </r>
  </si>
  <si>
    <r>
      <t>2.</t>
    </r>
    <r>
      <rPr>
        <sz val="10"/>
        <color rgb="FF0000FF"/>
        <rFont val="宋体"/>
        <family val="3"/>
        <charset val="134"/>
      </rPr>
      <t>确定分配未确认融资收益的实际利率是否合理，按实际利率法测算未确认融资收益分配，检查会计处理是否正确。</t>
    </r>
  </si>
  <si>
    <r>
      <t>3.</t>
    </r>
    <r>
      <rPr>
        <sz val="10"/>
        <color rgb="FF0000FF"/>
        <rFont val="宋体"/>
        <family val="3"/>
        <charset val="134"/>
      </rPr>
      <t>未担保余值发生变动的，分析变动原因，检查会计处理是否正确。</t>
    </r>
  </si>
  <si>
    <r>
      <t>4.</t>
    </r>
    <r>
      <rPr>
        <sz val="10"/>
        <color rgb="FF0000FF"/>
        <rFont val="宋体"/>
        <family val="3"/>
        <charset val="134"/>
      </rPr>
      <t>检查初始直接费用、或有租金确认是否合理，会计处理是否正确。</t>
    </r>
  </si>
  <si>
    <r>
      <t>5.</t>
    </r>
    <r>
      <rPr>
        <sz val="10"/>
        <color rgb="FF0000FF"/>
        <rFont val="宋体"/>
        <family val="3"/>
        <charset val="134"/>
      </rPr>
      <t>本期租出油气资产的，与油气资产增减变动明细表核对一致。</t>
    </r>
  </si>
  <si>
    <r>
      <t>6.</t>
    </r>
    <r>
      <rPr>
        <sz val="10"/>
        <color rgb="FF0000FF"/>
        <rFont val="宋体"/>
        <family val="3"/>
        <charset val="134"/>
      </rPr>
      <t>本期租赁期届满的，分析处理方式（收回、优惠续租和出售），检查会计处理是否正确。</t>
    </r>
  </si>
  <si>
    <r>
      <rPr>
        <b/>
        <sz val="12"/>
        <rFont val="宋体"/>
        <family val="3"/>
        <charset val="134"/>
      </rPr>
      <t>致同会计师事务所</t>
    </r>
    <phoneticPr fontId="4" type="noConversion"/>
  </si>
  <si>
    <r>
      <rPr>
        <b/>
        <sz val="12"/>
        <rFont val="宋体"/>
        <family val="3"/>
        <charset val="134"/>
      </rPr>
      <t>致同会计师事务所</t>
    </r>
  </si>
  <si>
    <r>
      <rPr>
        <b/>
        <sz val="12"/>
        <color indexed="8"/>
        <rFont val="宋体"/>
        <family val="3"/>
        <charset val="134"/>
      </rPr>
      <t>致同会计师事务所</t>
    </r>
  </si>
  <si>
    <r>
      <rPr>
        <b/>
        <sz val="14"/>
        <rFont val="宋体"/>
        <family val="3"/>
        <charset val="134"/>
      </rPr>
      <t>融资租出油气资产检查表</t>
    </r>
    <phoneticPr fontId="9" type="noConversion"/>
  </si>
  <si>
    <r>
      <rPr>
        <b/>
        <sz val="14"/>
        <rFont val="宋体"/>
        <family val="3"/>
        <charset val="134"/>
      </rPr>
      <t>经营租出油气资产检查表</t>
    </r>
    <phoneticPr fontId="9" type="noConversion"/>
  </si>
  <si>
    <r>
      <rPr>
        <b/>
        <sz val="14"/>
        <rFont val="宋体"/>
        <family val="3"/>
        <charset val="134"/>
      </rPr>
      <t>关联交易检查表</t>
    </r>
    <phoneticPr fontId="9" type="noConversion"/>
  </si>
  <si>
    <r>
      <rPr>
        <b/>
        <sz val="14"/>
        <rFont val="宋体"/>
        <family val="3"/>
        <charset val="134"/>
      </rPr>
      <t>油气资产权属检查表</t>
    </r>
    <phoneticPr fontId="9" type="noConversion"/>
  </si>
  <si>
    <r>
      <rPr>
        <b/>
        <sz val="14"/>
        <rFont val="宋体"/>
        <family val="3"/>
        <charset val="134"/>
      </rPr>
      <t>油气资产减值准备测试表</t>
    </r>
    <r>
      <rPr>
        <b/>
        <sz val="14"/>
        <rFont val="Arial Narrow"/>
        <family val="2"/>
      </rPr>
      <t>-</t>
    </r>
    <r>
      <rPr>
        <b/>
        <sz val="14"/>
        <rFont val="宋体"/>
        <family val="3"/>
        <charset val="134"/>
      </rPr>
      <t>可收回金额</t>
    </r>
  </si>
  <si>
    <r>
      <rPr>
        <b/>
        <sz val="14"/>
        <rFont val="宋体"/>
        <family val="3"/>
        <charset val="134"/>
      </rPr>
      <t>油气资产减值测算表</t>
    </r>
    <phoneticPr fontId="9" type="noConversion"/>
  </si>
  <si>
    <r>
      <rPr>
        <b/>
        <sz val="14"/>
        <color indexed="8"/>
        <rFont val="宋体"/>
        <family val="3"/>
        <charset val="134"/>
      </rPr>
      <t>油气资产折耗分配分析表</t>
    </r>
    <phoneticPr fontId="9" type="noConversion"/>
  </si>
  <si>
    <r>
      <rPr>
        <b/>
        <sz val="14"/>
        <rFont val="宋体"/>
        <family val="3"/>
        <charset val="134"/>
      </rPr>
      <t>油气资产折耗测算表</t>
    </r>
  </si>
  <si>
    <r>
      <rPr>
        <b/>
        <sz val="14"/>
        <rFont val="宋体"/>
        <family val="3"/>
        <charset val="134"/>
      </rPr>
      <t>油气资产监盘小结</t>
    </r>
    <phoneticPr fontId="9" type="noConversion"/>
  </si>
  <si>
    <r>
      <rPr>
        <b/>
        <sz val="14"/>
        <rFont val="宋体"/>
        <family val="3"/>
        <charset val="134"/>
      </rPr>
      <t>油气资产盘点检查表</t>
    </r>
    <phoneticPr fontId="9" type="noConversion"/>
  </si>
  <si>
    <r>
      <rPr>
        <b/>
        <sz val="14"/>
        <rFont val="宋体"/>
        <family val="3"/>
        <charset val="134"/>
      </rPr>
      <t>油气资产监盘计划</t>
    </r>
    <phoneticPr fontId="9" type="noConversion"/>
  </si>
  <si>
    <r>
      <rPr>
        <b/>
        <sz val="14"/>
        <rFont val="宋体"/>
        <family val="3"/>
        <charset val="134"/>
      </rPr>
      <t>油气资产减少检查表</t>
    </r>
  </si>
  <si>
    <r>
      <rPr>
        <b/>
        <sz val="14"/>
        <rFont val="宋体"/>
        <family val="3"/>
        <charset val="134"/>
      </rPr>
      <t>油气资产增加检查表</t>
    </r>
  </si>
  <si>
    <r>
      <rPr>
        <b/>
        <sz val="14"/>
        <rFont val="宋体"/>
        <family val="3"/>
        <charset val="134"/>
      </rPr>
      <t>油气资产分析表</t>
    </r>
  </si>
  <si>
    <r>
      <rPr>
        <b/>
        <sz val="14"/>
        <color indexed="8"/>
        <rFont val="宋体"/>
        <family val="3"/>
        <charset val="134"/>
      </rPr>
      <t>油气资产相关会计政策</t>
    </r>
    <r>
      <rPr>
        <b/>
        <sz val="14"/>
        <color indexed="8"/>
        <rFont val="Arial Narrow"/>
        <family val="2"/>
      </rPr>
      <t>/</t>
    </r>
    <r>
      <rPr>
        <b/>
        <sz val="14"/>
        <color indexed="8"/>
        <rFont val="宋体"/>
        <family val="3"/>
        <charset val="134"/>
      </rPr>
      <t>估计检查表</t>
    </r>
  </si>
  <si>
    <r>
      <rPr>
        <b/>
        <sz val="14"/>
        <rFont val="宋体"/>
        <family val="3"/>
        <charset val="134"/>
      </rPr>
      <t>闲置油气资产检查表</t>
    </r>
    <phoneticPr fontId="9" type="noConversion"/>
  </si>
  <si>
    <r>
      <rPr>
        <b/>
        <sz val="14"/>
        <rFont val="宋体"/>
        <family val="3"/>
        <charset val="134"/>
      </rPr>
      <t>油气资产调整分录汇总表</t>
    </r>
    <phoneticPr fontId="9" type="noConversion"/>
  </si>
  <si>
    <r>
      <rPr>
        <b/>
        <sz val="14"/>
        <rFont val="宋体"/>
        <family val="3"/>
        <charset val="134"/>
      </rPr>
      <t>油气资产、累计折耗及减值准备明细表</t>
    </r>
  </si>
  <si>
    <r>
      <rPr>
        <b/>
        <sz val="14"/>
        <rFont val="宋体"/>
        <family val="3"/>
        <charset val="134"/>
      </rPr>
      <t>油气资产、累计折耗、减值准备审定表</t>
    </r>
    <phoneticPr fontId="9" type="noConversion"/>
  </si>
  <si>
    <r>
      <rPr>
        <b/>
        <sz val="10"/>
        <rFont val="宋体"/>
        <family val="3"/>
        <charset val="134"/>
      </rPr>
      <t>探明矿区权益</t>
    </r>
    <phoneticPr fontId="9" type="noConversion"/>
  </si>
  <si>
    <r>
      <rPr>
        <b/>
        <sz val="10"/>
        <rFont val="宋体"/>
        <family val="3"/>
        <charset val="134"/>
      </rPr>
      <t>未探明矿区权益</t>
    </r>
    <phoneticPr fontId="9" type="noConversion"/>
  </si>
  <si>
    <r>
      <rPr>
        <b/>
        <sz val="10"/>
        <rFont val="宋体"/>
        <family val="3"/>
        <charset val="134"/>
      </rPr>
      <t>井及相关设施</t>
    </r>
    <phoneticPr fontId="9" type="noConversion"/>
  </si>
  <si>
    <r>
      <rPr>
        <b/>
        <sz val="10"/>
        <rFont val="宋体"/>
        <family val="3"/>
        <charset val="134"/>
      </rPr>
      <t>合计</t>
    </r>
    <phoneticPr fontId="9" type="noConversion"/>
  </si>
  <si>
    <r>
      <t>2014</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</si>
  <si>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2015</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</si>
  <si>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2016</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</si>
  <si>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2017</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</si>
  <si>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2018</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</si>
  <si>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t>2019</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</si>
  <si>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rPr>
        <b/>
        <sz val="10"/>
        <color indexed="8"/>
        <rFont val="宋体"/>
        <family val="3"/>
        <charset val="134"/>
      </rPr>
      <t>合计</t>
    </r>
    <phoneticPr fontId="9" type="noConversion"/>
  </si>
  <si>
    <r>
      <rPr>
        <b/>
        <sz val="10"/>
        <rFont val="宋体"/>
        <family val="3"/>
        <charset val="134"/>
      </rPr>
      <t>序号</t>
    </r>
    <phoneticPr fontId="9" type="noConversion"/>
  </si>
  <si>
    <r>
      <rPr>
        <b/>
        <sz val="10"/>
        <rFont val="宋体"/>
        <family val="3"/>
        <charset val="134"/>
      </rPr>
      <t>索引号</t>
    </r>
    <phoneticPr fontId="9" type="noConversion"/>
  </si>
  <si>
    <r>
      <rPr>
        <b/>
        <sz val="10"/>
        <rFont val="宋体"/>
        <family val="3"/>
        <charset val="134"/>
      </rPr>
      <t>备注</t>
    </r>
    <phoneticPr fontId="9" type="noConversion"/>
  </si>
  <si>
    <t>索引号：</t>
    <phoneticPr fontId="9" type="noConversion"/>
  </si>
  <si>
    <t>页  次：</t>
    <phoneticPr fontId="9" type="noConversion"/>
  </si>
  <si>
    <t>索引号：</t>
    <phoneticPr fontId="9" type="noConversion"/>
  </si>
  <si>
    <t>页  次：</t>
    <phoneticPr fontId="9" type="noConversion"/>
  </si>
  <si>
    <t>索引号：</t>
    <phoneticPr fontId="9" type="noConversion"/>
  </si>
  <si>
    <t>页  次：</t>
    <phoneticPr fontId="9" type="noConversion"/>
  </si>
  <si>
    <t>H0</t>
    <phoneticPr fontId="9" type="noConversion"/>
  </si>
  <si>
    <t>1.审计说明可以概述:(1)程序的测试情况、结果;(2)拟调整事项及其调整分录、未调整事项及其影响，审计范围受到限制情况及其影响。</t>
    <phoneticPr fontId="9" type="noConversion"/>
  </si>
  <si>
    <t>2.审计结论可参考：A、未见异常。 B、除上述重大不符事项应当作为调整事项予以调整外，其余未见异常。
C、由于存在以下重大未调整事项(或审计范围受到限制无法获取充分、适当证据)，不可确认。</t>
    <phoneticPr fontId="9" type="noConversion"/>
  </si>
  <si>
    <t>1</t>
    <phoneticPr fontId="9" type="noConversion"/>
  </si>
  <si>
    <t>8</t>
  </si>
  <si>
    <t>9</t>
  </si>
  <si>
    <t>10</t>
  </si>
  <si>
    <t>11</t>
  </si>
  <si>
    <t>12</t>
  </si>
  <si>
    <t>13</t>
  </si>
  <si>
    <t>14</t>
  </si>
  <si>
    <t>15</t>
  </si>
  <si>
    <t>16</t>
  </si>
  <si>
    <t>17</t>
  </si>
  <si>
    <t>18</t>
  </si>
  <si>
    <t>19</t>
  </si>
  <si>
    <r>
      <rPr>
        <b/>
        <sz val="10"/>
        <rFont val="宋体"/>
        <family val="3"/>
        <charset val="134"/>
      </rPr>
      <t>（</t>
    </r>
    <r>
      <rPr>
        <b/>
        <sz val="10"/>
        <rFont val="Arial Narrow"/>
        <family val="2"/>
      </rPr>
      <t>1</t>
    </r>
    <r>
      <rPr>
        <b/>
        <sz val="10"/>
        <rFont val="宋体"/>
        <family val="3"/>
        <charset val="134"/>
      </rPr>
      <t>）向合并范围外关联方采购油气资产</t>
    </r>
    <phoneticPr fontId="9" type="noConversion"/>
  </si>
  <si>
    <r>
      <rPr>
        <b/>
        <sz val="10"/>
        <rFont val="宋体"/>
        <family val="3"/>
        <charset val="134"/>
      </rPr>
      <t>（</t>
    </r>
    <r>
      <rPr>
        <b/>
        <sz val="10"/>
        <rFont val="Arial Narrow"/>
        <family val="2"/>
      </rPr>
      <t>2</t>
    </r>
    <r>
      <rPr>
        <b/>
        <sz val="10"/>
        <rFont val="宋体"/>
        <family val="3"/>
        <charset val="134"/>
      </rPr>
      <t>）向合并范围外关联方出售固定资产</t>
    </r>
    <phoneticPr fontId="9" type="noConversion"/>
  </si>
  <si>
    <t>勾稽关系情况</t>
    <phoneticPr fontId="9" type="noConversion"/>
  </si>
  <si>
    <t>勾稽一致，详见xx-XX</t>
    <phoneticPr fontId="9"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</si>
  <si>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9"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</si>
  <si>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9" type="noConversion"/>
  </si>
  <si>
    <t>对手方名称</t>
    <phoneticPr fontId="9" type="noConversion"/>
  </si>
  <si>
    <t>提示：本底稿适用于调整分录较多、较复杂的项目，且仅列示与本报表项目相关的审计调整。项目组可根据项目实际情况选择是否使用该底稿。</t>
    <phoneticPr fontId="9" type="noConversion"/>
  </si>
  <si>
    <r>
      <t>1.</t>
    </r>
    <r>
      <rPr>
        <sz val="10"/>
        <color indexed="8"/>
        <rFont val="宋体"/>
        <family val="3"/>
        <charset val="134"/>
      </rPr>
      <t>所有应记录的油气资产均已记录，所有应当包括在财务报表中的相关披露均已包括；</t>
    </r>
    <phoneticPr fontId="9" type="noConversion"/>
  </si>
  <si>
    <r>
      <t>2.</t>
    </r>
    <r>
      <rPr>
        <sz val="10"/>
        <color indexed="8"/>
        <rFont val="宋体"/>
        <family val="3"/>
        <charset val="134"/>
      </rPr>
      <t>油气</t>
    </r>
    <r>
      <rPr>
        <sz val="10"/>
        <rFont val="宋体"/>
        <family val="3"/>
        <charset val="134"/>
      </rPr>
      <t>资产以恰当的金额包括在财务报表中，与之相关的计价或分摊调整已恰当记录，相关披露已得到恰当计量和描述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9" type="noConversion"/>
  </si>
  <si>
    <t>结合油气资产清单和盘点程序，了解油气资产的状态。针对存在减值迹象的油气资产，考虑执行下列程序：
获取被审计单位在资产负债表日就油气资产是否可能发生减值迹象的判断的说明，判断其合理性。对于已计提减值准备的油气资产，检查减值测试相关参数是否合理，减值准备计提是否正确。对于管理层聘请评估专家出具的评估报告，复核评估报告。</t>
    <phoneticPr fontId="9" type="noConversion"/>
  </si>
  <si>
    <t>提示：</t>
    <phoneticPr fontId="9" type="noConversion"/>
  </si>
  <si>
    <t>提示</t>
    <phoneticPr fontId="9" type="noConversion"/>
  </si>
  <si>
    <t>提示：</t>
    <phoneticPr fontId="9" type="noConversion"/>
  </si>
  <si>
    <t>提示：</t>
    <phoneticPr fontId="9" type="noConversion"/>
  </si>
  <si>
    <t>提示：</t>
    <phoneticPr fontId="9" type="noConversion"/>
  </si>
  <si>
    <r>
      <rPr>
        <b/>
        <sz val="10"/>
        <rFont val="宋体"/>
        <family val="3"/>
        <charset val="134"/>
      </rPr>
      <t>财务报表的认定</t>
    </r>
    <phoneticPr fontId="9" type="noConversion"/>
  </si>
  <si>
    <r>
      <rPr>
        <sz val="10"/>
        <rFont val="宋体"/>
        <family val="3"/>
        <charset val="134"/>
      </rPr>
      <t>存在</t>
    </r>
    <phoneticPr fontId="9" type="noConversion"/>
  </si>
  <si>
    <t>油气资产及减值准备实质性程序表</t>
    <phoneticPr fontId="4" type="noConversion"/>
  </si>
  <si>
    <r>
      <t xml:space="preserve">A. </t>
    </r>
    <r>
      <rPr>
        <sz val="10"/>
        <rFont val="宋体"/>
        <family val="3"/>
        <charset val="134"/>
      </rPr>
      <t>资产负债表中记录的油气资产是存在的，且已记录于恰当的账户</t>
    </r>
    <phoneticPr fontId="9" type="noConversion"/>
  </si>
  <si>
    <r>
      <rPr>
        <sz val="10"/>
        <color theme="1"/>
        <rFont val="宋体"/>
        <family val="3"/>
        <charset val="134"/>
      </rPr>
      <t>√</t>
    </r>
    <phoneticPr fontId="9" type="noConversion"/>
  </si>
  <si>
    <r>
      <rPr>
        <b/>
        <sz val="10"/>
        <color theme="1"/>
        <rFont val="宋体"/>
        <family val="3"/>
        <charset val="134"/>
      </rPr>
      <t>√</t>
    </r>
    <phoneticPr fontId="9"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</si>
  <si>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4"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</si>
  <si>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4" type="noConversion"/>
  </si>
  <si>
    <r>
      <rPr>
        <sz val="10"/>
        <rFont val="宋体"/>
        <family val="3"/>
        <charset val="134"/>
      </rPr>
      <t>获取或编制油气资产的明细表，完成以下工作，并编制审定表
（</t>
    </r>
    <r>
      <rPr>
        <sz val="10"/>
        <rFont val="Arial Narrow"/>
        <family val="2"/>
      </rPr>
      <t>1</t>
    </r>
    <r>
      <rPr>
        <sz val="10"/>
        <rFont val="宋体"/>
        <family val="3"/>
        <charset val="134"/>
      </rPr>
      <t>）复核加计是否正确，并与总账数和明细账合计数核对是否相符，期初余额与上期审定期末余额是否相符；
（</t>
    </r>
    <r>
      <rPr>
        <sz val="10"/>
        <rFont val="Arial Narrow"/>
        <family val="2"/>
      </rPr>
      <t>2</t>
    </r>
    <r>
      <rPr>
        <sz val="10"/>
        <rFont val="宋体"/>
        <family val="3"/>
        <charset val="134"/>
      </rPr>
      <t>）结合油气资产减值准备科目和报表数核对是否相符
（</t>
    </r>
    <r>
      <rPr>
        <sz val="10"/>
        <rFont val="Arial Narrow"/>
        <family val="2"/>
      </rPr>
      <t>3</t>
    </r>
    <r>
      <rPr>
        <sz val="10"/>
        <rFont val="宋体"/>
        <family val="3"/>
        <charset val="134"/>
      </rPr>
      <t>）询问闲置资产或未入账资产处置情况（如有）。</t>
    </r>
    <r>
      <rPr>
        <sz val="10"/>
        <rFont val="Arial Narrow"/>
        <family val="2"/>
      </rPr>
      <t xml:space="preserve"> </t>
    </r>
    <phoneticPr fontId="9"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</si>
  <si>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9" type="noConversion"/>
  </si>
  <si>
    <r>
      <rPr>
        <b/>
        <sz val="10"/>
        <rFont val="宋体"/>
        <family val="3"/>
        <charset val="134"/>
      </rPr>
      <t>√</t>
    </r>
    <phoneticPr fontId="9" type="noConversion"/>
  </si>
  <si>
    <r>
      <rPr>
        <sz val="10"/>
        <rFont val="宋体"/>
        <family val="3"/>
        <charset val="134"/>
      </rPr>
      <t>√</t>
    </r>
    <phoneticPr fontId="9" type="noConversion"/>
  </si>
  <si>
    <r>
      <rPr>
        <b/>
        <sz val="10"/>
        <rFont val="宋体"/>
        <family val="3"/>
        <charset val="134"/>
      </rPr>
      <t>√</t>
    </r>
    <phoneticPr fontId="9" type="noConversion"/>
  </si>
  <si>
    <r>
      <rPr>
        <sz val="10"/>
        <rFont val="宋体"/>
        <family val="3"/>
        <charset val="134"/>
      </rPr>
      <t>√</t>
    </r>
    <phoneticPr fontId="9" type="noConversion"/>
  </si>
  <si>
    <r>
      <rPr>
        <sz val="10"/>
        <rFont val="宋体"/>
        <family val="3"/>
        <charset val="134"/>
      </rPr>
      <t>√</t>
    </r>
    <phoneticPr fontId="9" type="noConversion"/>
  </si>
  <si>
    <r>
      <rPr>
        <b/>
        <sz val="10"/>
        <rFont val="宋体"/>
        <family val="3"/>
        <charset val="134"/>
      </rPr>
      <t>√</t>
    </r>
    <phoneticPr fontId="9" type="noConversion"/>
  </si>
  <si>
    <r>
      <rPr>
        <sz val="10"/>
        <rFont val="宋体"/>
        <family val="3"/>
        <charset val="134"/>
      </rPr>
      <t>关注会计政策、会计估计合理性、一贯性，关注其是否利用会计政策和会计估计及其变更操纵利润。必要时与同行业其他公司会计政策、会计估计进行对比，主要会计政策和估计包括：
（</t>
    </r>
    <r>
      <rPr>
        <sz val="10"/>
        <rFont val="Arial Narrow"/>
        <family val="2"/>
      </rPr>
      <t>1</t>
    </r>
    <r>
      <rPr>
        <sz val="10"/>
        <rFont val="宋体"/>
        <family val="3"/>
        <charset val="134"/>
      </rPr>
      <t>）油气资产的初始计量；
（</t>
    </r>
    <r>
      <rPr>
        <sz val="10"/>
        <rFont val="Arial Narrow"/>
        <family val="2"/>
      </rPr>
      <t>2</t>
    </r>
    <r>
      <rPr>
        <sz val="10"/>
        <rFont val="宋体"/>
        <family val="3"/>
        <charset val="134"/>
      </rPr>
      <t>）油气资产折耗</t>
    </r>
    <r>
      <rPr>
        <sz val="10"/>
        <rFont val="Arial Narrow"/>
        <family val="2"/>
      </rPr>
      <t>/</t>
    </r>
    <r>
      <rPr>
        <sz val="10"/>
        <rFont val="宋体"/>
        <family val="3"/>
        <charset val="134"/>
      </rPr>
      <t>减值的政策和方法；
（</t>
    </r>
    <r>
      <rPr>
        <sz val="10"/>
        <rFont val="Arial Narrow"/>
        <family val="2"/>
      </rPr>
      <t>3</t>
    </r>
    <r>
      <rPr>
        <sz val="10"/>
        <rFont val="宋体"/>
        <family val="3"/>
        <charset val="134"/>
      </rPr>
      <t>）油气资产的后续支出（包括支出费用化和资本化）及终止确认。</t>
    </r>
    <phoneticPr fontId="9" type="noConversion"/>
  </si>
  <si>
    <r>
      <rPr>
        <sz val="10"/>
        <rFont val="宋体"/>
        <family val="3"/>
        <charset val="134"/>
      </rPr>
      <t>对期初余额的审计，取得上期油气资产明细表的明细表复核加计是否正确，与总账、明细账合计数是否相符；</t>
    </r>
    <r>
      <rPr>
        <sz val="10"/>
        <rFont val="Arial Narrow"/>
        <family val="2"/>
      </rPr>
      <t xml:space="preserve"> </t>
    </r>
    <r>
      <rPr>
        <sz val="10"/>
        <rFont val="宋体"/>
        <family val="3"/>
        <charset val="134"/>
      </rPr>
      <t>重新测算期初累计折耗余额准确性；对单项金额重大资产，进行实地查看资产或检查支持性文件，其他必要追加的审计程序。</t>
    </r>
    <r>
      <rPr>
        <sz val="10"/>
        <color rgb="FFFF0000"/>
        <rFont val="宋体"/>
        <family val="3"/>
        <charset val="134"/>
      </rPr>
      <t>（适用于首次承接）</t>
    </r>
    <phoneticPr fontId="9" type="noConversion"/>
  </si>
  <si>
    <r>
      <rPr>
        <sz val="10"/>
        <rFont val="宋体"/>
        <family val="3"/>
        <charset val="134"/>
      </rPr>
      <t>√</t>
    </r>
    <phoneticPr fontId="9" type="noConversion"/>
  </si>
  <si>
    <r>
      <rPr>
        <b/>
        <sz val="10"/>
        <rFont val="宋体"/>
        <family val="3"/>
        <charset val="134"/>
      </rPr>
      <t>√</t>
    </r>
    <phoneticPr fontId="9" type="noConversion"/>
  </si>
  <si>
    <t>执行分析性程序，考虑识别需要执行额外程序的领域：
（1）分析本期和上期油气资产净值占资产总额比例、当期计提折耗额、累计折耗及减值准备余额分别占油气资产原值比例是否异常；
（2）分析油气资产原值与本期产品产量的比率（油气资产的规模及其变化是否与产能匹配）、并与以前年度对比；
（3）分析租赁资产占相应资产的比例及本期与以前年度租赁收入情况（判断被审计单位对资产租赁收益的依赖程度及盈利能力的稳定性）；
（4）分析维修费用与油气资产原值的比例等，并与以前年度对比。</t>
    <phoneticPr fontId="9" type="noConversion"/>
  </si>
  <si>
    <r>
      <rPr>
        <sz val="10"/>
        <rFont val="宋体"/>
        <family val="3"/>
        <charset val="134"/>
      </rPr>
      <t>检查本期新增的油气资产：
（</t>
    </r>
    <r>
      <rPr>
        <sz val="10"/>
        <rFont val="Arial Narrow"/>
        <family val="2"/>
      </rPr>
      <t>1</t>
    </r>
    <r>
      <rPr>
        <sz val="10"/>
        <rFont val="宋体"/>
        <family val="3"/>
        <charset val="134"/>
      </rPr>
      <t>）对于油气开采活动支出，包括矿区取得支出、油气勘探支出、油气开发支出和油气生产成本，检查购置</t>
    </r>
    <r>
      <rPr>
        <sz val="10"/>
        <rFont val="Arial Narrow"/>
        <family val="2"/>
      </rPr>
      <t>/</t>
    </r>
    <r>
      <rPr>
        <sz val="10"/>
        <rFont val="宋体"/>
        <family val="3"/>
        <charset val="134"/>
      </rPr>
      <t>租赁合同、发票等文件，抽查测试其计价是否正确，会计处理是否正确；如果超过正常信用条件延期支付购买价款，检查实质上是否具有融资性质，油气资产的成本是否以购买价款的现值为基础确定。
（</t>
    </r>
    <r>
      <rPr>
        <sz val="10"/>
        <rFont val="Arial Narrow"/>
        <family val="2"/>
      </rPr>
      <t>2</t>
    </r>
    <r>
      <rPr>
        <sz val="10"/>
        <rFont val="宋体"/>
        <family val="3"/>
        <charset val="134"/>
      </rPr>
      <t>）对于在建工程转入的油气资产，结合油气资产盘点程序，检查竣工决算、验收和移交报告是否正确，与在建工程相关的记录是否核对相符，借款费用资本化金额是否恰当；对已经在用或已经达到预定可使用状态但尚未办理竣工决算的油气资产，检查其是否已经暂估入账，并按规定计提折耗；检查资本性支出与收益性支出的划分是否恰当；竣工决算完成后，是否及时调整。</t>
    </r>
    <phoneticPr fontId="9" type="noConversion"/>
  </si>
  <si>
    <r>
      <rPr>
        <sz val="10"/>
        <rFont val="宋体"/>
        <family val="3"/>
        <charset val="134"/>
      </rPr>
      <t>√</t>
    </r>
    <phoneticPr fontId="9" type="noConversion"/>
  </si>
  <si>
    <t>检查本期油气资产的处置：
检查处置、报废等相关的合同、发票及其他文件，确认已经办理审批手续，相关收益或损失已正确计算，并进行正确的会计处理。</t>
    <phoneticPr fontId="9" type="noConversion"/>
  </si>
  <si>
    <r>
      <rPr>
        <sz val="10"/>
        <rFont val="宋体"/>
        <family val="3"/>
        <charset val="134"/>
      </rPr>
      <t>监盘油气资产：
（</t>
    </r>
    <r>
      <rPr>
        <sz val="10"/>
        <rFont val="Arial Narrow"/>
        <family val="2"/>
      </rPr>
      <t>1</t>
    </r>
    <r>
      <rPr>
        <sz val="10"/>
        <rFont val="宋体"/>
        <family val="3"/>
        <charset val="134"/>
      </rPr>
      <t>）取得公司油气资产清单，盘点范围考虑包括本期新增、容易侵占、重要、数量巨大、已损坏项目、存放在第三方及其他异常等。关注是否存在已报废但仍未核销的油气资产
（</t>
    </r>
    <r>
      <rPr>
        <sz val="10"/>
        <rFont val="Arial Narrow"/>
        <family val="2"/>
      </rPr>
      <t>2</t>
    </r>
    <r>
      <rPr>
        <sz val="10"/>
        <rFont val="宋体"/>
        <family val="3"/>
        <charset val="134"/>
      </rPr>
      <t>）获取被审计单位对于油气资产的盘点计划，制定和实施监盘计划（如有）及盘点控制文件的复印件（如：盘点清单，标签控制清单）；
（</t>
    </r>
    <r>
      <rPr>
        <sz val="10"/>
        <rFont val="Arial Narrow"/>
        <family val="2"/>
      </rPr>
      <t>3</t>
    </r>
    <r>
      <rPr>
        <sz val="10"/>
        <rFont val="宋体"/>
        <family val="3"/>
        <charset val="134"/>
      </rPr>
      <t>）取得油气资产存放地点清单，初步确定监盘方式、时间、监盘计划；
（</t>
    </r>
    <r>
      <rPr>
        <sz val="10"/>
        <rFont val="Arial Narrow"/>
        <family val="2"/>
      </rPr>
      <t>4</t>
    </r>
    <r>
      <rPr>
        <sz val="10"/>
        <rFont val="宋体"/>
        <family val="3"/>
        <charset val="134"/>
      </rPr>
      <t>）观察被审计单位制定的盘点程序的执行情况
（</t>
    </r>
    <r>
      <rPr>
        <sz val="10"/>
        <rFont val="Arial Narrow"/>
        <family val="2"/>
      </rPr>
      <t>5</t>
    </r>
    <r>
      <rPr>
        <sz val="10"/>
        <rFont val="宋体"/>
        <family val="3"/>
        <charset val="134"/>
      </rPr>
      <t>）检查油气资产的状态（在用、闲置、毁损或陈旧等）；
（</t>
    </r>
    <r>
      <rPr>
        <sz val="10"/>
        <rFont val="Arial Narrow"/>
        <family val="2"/>
      </rPr>
      <t>6</t>
    </r>
    <r>
      <rPr>
        <sz val="10"/>
        <rFont val="宋体"/>
        <family val="3"/>
        <charset val="134"/>
      </rPr>
      <t>）执行抽盘，注册会计师从油气资产盘点记录追查至油气资产实物，以及从油气资产实物中选取项目追查至油气资产清单，将抽盘结果与账面核对；
（</t>
    </r>
    <r>
      <rPr>
        <sz val="10"/>
        <rFont val="Arial Narrow"/>
        <family val="2"/>
      </rPr>
      <t>7</t>
    </r>
    <r>
      <rPr>
        <sz val="10"/>
        <rFont val="宋体"/>
        <family val="3"/>
        <charset val="134"/>
      </rPr>
      <t>）评价油气资产盘点结果，完成监盘小结。</t>
    </r>
    <phoneticPr fontId="9" type="noConversion"/>
  </si>
  <si>
    <r>
      <rPr>
        <sz val="10"/>
        <rFont val="宋体"/>
        <family val="3"/>
        <charset val="134"/>
      </rPr>
      <t>√</t>
    </r>
    <phoneticPr fontId="9" type="noConversion"/>
  </si>
  <si>
    <r>
      <rPr>
        <b/>
        <sz val="10"/>
        <rFont val="宋体"/>
        <family val="3"/>
        <charset val="134"/>
      </rPr>
      <t>√</t>
    </r>
    <phoneticPr fontId="9" type="noConversion"/>
  </si>
  <si>
    <r>
      <rPr>
        <b/>
        <sz val="10"/>
        <rFont val="宋体"/>
        <family val="3"/>
        <charset val="134"/>
      </rPr>
      <t>√</t>
    </r>
    <phoneticPr fontId="9" type="noConversion"/>
  </si>
  <si>
    <r>
      <rPr>
        <sz val="10"/>
        <rFont val="宋体"/>
        <family val="3"/>
        <charset val="134"/>
      </rPr>
      <t>√</t>
    </r>
    <phoneticPr fontId="9" type="noConversion"/>
  </si>
  <si>
    <t>IPO/上市/新三板/重组/舞弊应对</t>
    <phoneticPr fontId="4" type="noConversion"/>
  </si>
  <si>
    <t>存在弃置义务的油气资产结合预计负债底稿检查会计处理是否正确。</t>
    <phoneticPr fontId="9" type="noConversion"/>
  </si>
  <si>
    <t>检查油气资产、抵押和担保情况等是否已按企业会计准则或其他适用的规定在财务报表中做出恰当列报和披露</t>
    <phoneticPr fontId="4" type="noConversion"/>
  </si>
  <si>
    <t>T1
/</t>
    <phoneticPr fontId="9" type="noConversion"/>
  </si>
  <si>
    <t>（3）抵押、担保情况说明：</t>
    <phoneticPr fontId="9" type="noConversion"/>
  </si>
  <si>
    <t>（4）出售、置换情况说明：</t>
    <phoneticPr fontId="9" type="noConversion"/>
  </si>
  <si>
    <t>（5）租赁情况说明：（通过融资租赁租入的油气资产应披露每类租入资产的账面原值、累计折耗、账面净值；</t>
  </si>
  <si>
    <t>通过经营租赁租出的油气资产应披露每类租出资产的账面价值。）</t>
  </si>
  <si>
    <t>（2）本期由在建工程转入：</t>
    <phoneticPr fontId="9" type="noConversion"/>
  </si>
  <si>
    <t>（6）与试算平衡表的核对：</t>
    <phoneticPr fontId="4" type="noConversion"/>
  </si>
  <si>
    <r>
      <rPr>
        <sz val="10"/>
        <color rgb="FF0000FF"/>
        <rFont val="宋体"/>
        <family val="3"/>
        <charset val="134"/>
      </rPr>
      <t>如油气资产借方发生额所有凭证共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9" type="noConversion"/>
  </si>
  <si>
    <t>抽取XX笔</t>
    <phoneticPr fontId="9" type="noConversion"/>
  </si>
  <si>
    <t>（如果使用了样本计算器计算样本量，样本量计算过程见&lt;XX&gt;底稿）</t>
    <phoneticPr fontId="9" type="noConversion"/>
  </si>
  <si>
    <t>是否经过恰当审批</t>
    <phoneticPr fontId="9" type="noConversion"/>
  </si>
  <si>
    <r>
      <rPr>
        <sz val="10"/>
        <color rgb="FF0000FF"/>
        <rFont val="宋体"/>
        <family val="3"/>
        <charset val="134"/>
      </rPr>
      <t>如油气资产借方发生额所有凭证共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9" type="noConversion"/>
  </si>
  <si>
    <r>
      <rPr>
        <sz val="10"/>
        <color rgb="FF0000FF"/>
        <rFont val="宋体"/>
        <family val="3"/>
        <charset val="134"/>
      </rPr>
      <t>如期末油气资产数量</t>
    </r>
    <r>
      <rPr>
        <sz val="10"/>
        <color rgb="FF0000FF"/>
        <rFont val="Arial Narrow"/>
        <family val="2"/>
      </rPr>
      <t>XX</t>
    </r>
    <r>
      <rPr>
        <sz val="10"/>
        <color rgb="FF0000FF"/>
        <rFont val="宋体"/>
        <family val="3"/>
        <charset val="134"/>
      </rPr>
      <t>、金额</t>
    </r>
    <r>
      <rPr>
        <sz val="10"/>
        <color rgb="FF0000FF"/>
        <rFont val="Arial Narrow"/>
        <family val="2"/>
      </rPr>
      <t>XX</t>
    </r>
    <r>
      <rPr>
        <sz val="10"/>
        <color rgb="FF0000FF"/>
        <rFont val="宋体"/>
        <family val="3"/>
        <charset val="134"/>
      </rPr>
      <t/>
    </r>
    <phoneticPr fontId="9"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</si>
  <si>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9"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</si>
  <si>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9" type="noConversion"/>
  </si>
  <si>
    <r>
      <rPr>
        <sz val="10"/>
        <color rgb="FF0000FF"/>
        <rFont val="宋体"/>
        <family val="3"/>
        <charset val="134"/>
      </rPr>
      <t>测试总体扣除特定样本以外的样本，数量</t>
    </r>
    <r>
      <rPr>
        <sz val="10"/>
        <color rgb="FF0000FF"/>
        <rFont val="Arial Narrow"/>
        <family val="2"/>
      </rPr>
      <t>XX</t>
    </r>
    <r>
      <rPr>
        <sz val="10"/>
        <color rgb="FF0000FF"/>
        <rFont val="宋体"/>
        <family val="3"/>
        <charset val="134"/>
      </rPr>
      <t>、金额</t>
    </r>
    <r>
      <rPr>
        <sz val="10"/>
        <color rgb="FF0000FF"/>
        <rFont val="Arial Narrow"/>
        <family val="2"/>
      </rPr>
      <t>XX</t>
    </r>
    <phoneticPr fontId="9" type="noConversion"/>
  </si>
  <si>
    <r>
      <rPr>
        <sz val="10"/>
        <rFont val="宋体"/>
        <family val="3"/>
        <charset val="134"/>
      </rPr>
      <t>抽盘地点：</t>
    </r>
    <r>
      <rPr>
        <sz val="10"/>
        <rFont val="Arial Narrow"/>
        <family val="2"/>
      </rPr>
      <t>______________</t>
    </r>
    <phoneticPr fontId="9" type="noConversion"/>
  </si>
  <si>
    <t>盘点人员：</t>
    <phoneticPr fontId="9" type="noConversion"/>
  </si>
  <si>
    <t>被审计单位仓库盘点人和财务监盘人签字</t>
    <phoneticPr fontId="9" type="noConversion"/>
  </si>
  <si>
    <t>监盘人员：</t>
    <phoneticPr fontId="9" type="noConversion"/>
  </si>
  <si>
    <t>（审计人员签字）</t>
    <phoneticPr fontId="9" type="noConversion"/>
  </si>
  <si>
    <r>
      <rPr>
        <sz val="10"/>
        <rFont val="宋体"/>
        <family val="3"/>
        <charset val="134"/>
      </rPr>
      <t>盘点时间：</t>
    </r>
    <r>
      <rPr>
        <sz val="10"/>
        <rFont val="Arial Narrow"/>
        <family val="2"/>
      </rPr>
      <t>__________________</t>
    </r>
    <phoneticPr fontId="9" type="noConversion"/>
  </si>
  <si>
    <t>油气资产类别</t>
  </si>
  <si>
    <t>油气资产编号</t>
  </si>
  <si>
    <t>管理部门</t>
  </si>
  <si>
    <t>原值</t>
  </si>
  <si>
    <t>累计折耗</t>
  </si>
  <si>
    <t>开始使用日期</t>
  </si>
  <si>
    <t>使用年限</t>
  </si>
  <si>
    <t>账面月折耗额</t>
  </si>
  <si>
    <t>测算到期日</t>
    <phoneticPr fontId="9" type="noConversion"/>
  </si>
  <si>
    <t>已提折耗月份</t>
  </si>
  <si>
    <t>本期折耗月份</t>
  </si>
  <si>
    <t>测算月折耗</t>
  </si>
  <si>
    <t>当期折耗费用</t>
  </si>
  <si>
    <t>月折耗额差异</t>
  </si>
  <si>
    <t>累计折耗费用</t>
  </si>
  <si>
    <t>累计折耗额差异</t>
  </si>
  <si>
    <t>使用月限</t>
    <phoneticPr fontId="9" type="noConversion"/>
  </si>
  <si>
    <t>残值率</t>
    <phoneticPr fontId="9" type="noConversion"/>
  </si>
  <si>
    <t>减值准备</t>
    <phoneticPr fontId="9" type="noConversion"/>
  </si>
  <si>
    <t>残值率</t>
    <phoneticPr fontId="9" type="noConversion"/>
  </si>
  <si>
    <t>本期折耗月份（减值前）</t>
  </si>
  <si>
    <t>本期折耗月份（减值后）</t>
  </si>
  <si>
    <t>计提减值准备前月折耗</t>
  </si>
  <si>
    <t>计提减值准备前累计折耗</t>
  </si>
  <si>
    <t>计提减值准备后月折耗</t>
  </si>
  <si>
    <t>原值</t>
    <phoneticPr fontId="9" type="noConversion"/>
  </si>
  <si>
    <t>使用月限</t>
    <phoneticPr fontId="9" type="noConversion"/>
  </si>
  <si>
    <t>测算到期日</t>
    <phoneticPr fontId="9" type="noConversion"/>
  </si>
  <si>
    <t>截止计提减值准备日计提月份</t>
    <phoneticPr fontId="9" type="noConversion"/>
  </si>
  <si>
    <t>1.确定租赁内含利率</t>
    <phoneticPr fontId="9" type="noConversion"/>
  </si>
  <si>
    <r>
      <t>2.</t>
    </r>
    <r>
      <rPr>
        <b/>
        <sz val="10"/>
        <rFont val="宋体"/>
        <family val="3"/>
        <charset val="134"/>
      </rPr>
      <t>确定应收融资租赁款和未实现融资收益</t>
    </r>
    <phoneticPr fontId="9" type="noConversion"/>
  </si>
  <si>
    <t>3.未确认融资收益分配表（如适用）</t>
    <phoneticPr fontId="9" type="noConversion"/>
  </si>
  <si>
    <t>H5-1
/H5-2
/H5-4</t>
    <phoneticPr fontId="9" type="noConversion"/>
  </si>
  <si>
    <t>H5-7
/H5-8</t>
    <phoneticPr fontId="9" type="noConversion"/>
  </si>
  <si>
    <t>H5-9
/H5-10
/H5-11</t>
    <phoneticPr fontId="9" type="noConversion"/>
  </si>
  <si>
    <t>H5-12
/H5-13</t>
    <phoneticPr fontId="9" type="noConversion"/>
  </si>
  <si>
    <t>H5-14
/H5-15</t>
    <phoneticPr fontId="9" type="noConversion"/>
  </si>
  <si>
    <t>二、审计目标与认定的对应关系</t>
    <phoneticPr fontId="9" type="noConversion"/>
  </si>
  <si>
    <t>三、计划实施的实质性程序</t>
    <phoneticPr fontId="9" type="noConversion"/>
  </si>
  <si>
    <r>
      <rPr>
        <b/>
        <sz val="10"/>
        <rFont val="宋体"/>
        <family val="3"/>
        <charset val="134"/>
      </rPr>
      <t>是否提足折耗</t>
    </r>
  </si>
  <si>
    <r>
      <rPr>
        <b/>
        <sz val="10"/>
        <rFont val="宋体"/>
        <family val="3"/>
        <charset val="134"/>
      </rPr>
      <t>是否闲置</t>
    </r>
    <phoneticPr fontId="9" type="noConversion"/>
  </si>
  <si>
    <r>
      <rPr>
        <b/>
        <sz val="10"/>
        <rFont val="宋体"/>
        <family val="3"/>
        <charset val="134"/>
      </rPr>
      <t>是否有权属证明</t>
    </r>
    <phoneticPr fontId="9" type="noConversion"/>
  </si>
  <si>
    <r>
      <rPr>
        <b/>
        <sz val="10"/>
        <rFont val="宋体"/>
        <family val="3"/>
        <charset val="134"/>
      </rPr>
      <t>是否抵押受限</t>
    </r>
    <phoneticPr fontId="9" type="noConversion"/>
  </si>
  <si>
    <r>
      <rPr>
        <b/>
        <sz val="10"/>
        <color rgb="FFFF0000"/>
        <rFont val="宋体"/>
        <family val="3"/>
        <charset val="134"/>
      </rPr>
      <t>验收单</t>
    </r>
    <phoneticPr fontId="9"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</si>
  <si>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</si>
  <si>
    <r>
      <rPr>
        <b/>
        <sz val="10"/>
        <color rgb="FFFF0000"/>
        <rFont val="宋体"/>
        <family val="3"/>
        <charset val="134"/>
      </rPr>
      <t>金额</t>
    </r>
  </si>
  <si>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9" type="noConversion"/>
  </si>
  <si>
    <r>
      <rPr>
        <b/>
        <sz val="10"/>
        <color rgb="FFFF0000"/>
        <rFont val="宋体"/>
        <family val="3"/>
        <charset val="134"/>
      </rPr>
      <t>金额</t>
    </r>
    <phoneticPr fontId="9" type="noConversion"/>
  </si>
  <si>
    <r>
      <rPr>
        <b/>
        <sz val="10"/>
        <color rgb="FFFF0000"/>
        <rFont val="宋体"/>
        <family val="3"/>
        <charset val="134"/>
      </rPr>
      <t>合同</t>
    </r>
    <r>
      <rPr>
        <b/>
        <sz val="10"/>
        <color rgb="FFFF0000"/>
        <rFont val="Arial Narrow"/>
        <family val="2"/>
      </rPr>
      <t>/</t>
    </r>
    <r>
      <rPr>
        <b/>
        <sz val="10"/>
        <color rgb="FFFF0000"/>
        <rFont val="宋体"/>
        <family val="3"/>
        <charset val="134"/>
      </rPr>
      <t>协议</t>
    </r>
    <r>
      <rPr>
        <b/>
        <sz val="10"/>
        <color rgb="FFFF0000"/>
        <rFont val="Arial Narrow"/>
        <family val="2"/>
      </rPr>
      <t>/</t>
    </r>
    <r>
      <rPr>
        <b/>
        <sz val="10"/>
        <color rgb="FFFF0000"/>
        <rFont val="宋体"/>
        <family val="3"/>
        <charset val="134"/>
      </rPr>
      <t>订单</t>
    </r>
    <phoneticPr fontId="9" type="noConversion"/>
  </si>
  <si>
    <r>
      <rPr>
        <b/>
        <sz val="10"/>
        <color rgb="FFFF0000"/>
        <rFont val="宋体"/>
        <family val="3"/>
        <charset val="134"/>
      </rPr>
      <t>采购发票</t>
    </r>
    <phoneticPr fontId="9" type="noConversion"/>
  </si>
  <si>
    <r>
      <rPr>
        <b/>
        <sz val="10"/>
        <color rgb="FFFF0000"/>
        <rFont val="宋体"/>
        <family val="3"/>
        <charset val="134"/>
      </rPr>
      <t>单据编号</t>
    </r>
    <phoneticPr fontId="9" type="noConversion"/>
  </si>
  <si>
    <r>
      <rPr>
        <b/>
        <sz val="10"/>
        <color rgb="FFFF0000"/>
        <rFont val="宋体"/>
        <family val="3"/>
        <charset val="134"/>
      </rPr>
      <t>验收日期</t>
    </r>
    <phoneticPr fontId="9" type="noConversion"/>
  </si>
  <si>
    <r>
      <rPr>
        <b/>
        <sz val="10"/>
        <color rgb="FFFF0000"/>
        <rFont val="宋体"/>
        <family val="3"/>
        <charset val="134"/>
      </rPr>
      <t>对手方名称</t>
    </r>
    <phoneticPr fontId="9" type="noConversion"/>
  </si>
  <si>
    <r>
      <rPr>
        <b/>
        <sz val="10"/>
        <color rgb="FFFF0000"/>
        <rFont val="宋体"/>
        <family val="3"/>
        <charset val="134"/>
      </rPr>
      <t>审批单</t>
    </r>
    <phoneticPr fontId="9" type="noConversion"/>
  </si>
  <si>
    <r>
      <rPr>
        <b/>
        <sz val="10"/>
        <color rgb="FFFF0000"/>
        <rFont val="宋体"/>
        <family val="3"/>
        <charset val="134"/>
      </rPr>
      <t>合同</t>
    </r>
    <r>
      <rPr>
        <b/>
        <sz val="10"/>
        <color rgb="FFFF0000"/>
        <rFont val="Arial Narrow"/>
        <family val="2"/>
      </rPr>
      <t>/</t>
    </r>
    <r>
      <rPr>
        <b/>
        <sz val="10"/>
        <color rgb="FFFF0000"/>
        <rFont val="宋体"/>
        <family val="3"/>
        <charset val="134"/>
      </rPr>
      <t>协议</t>
    </r>
    <r>
      <rPr>
        <b/>
        <sz val="10"/>
        <color rgb="FFFF0000"/>
        <rFont val="Arial Narrow"/>
        <family val="2"/>
      </rPr>
      <t>/</t>
    </r>
    <r>
      <rPr>
        <b/>
        <sz val="10"/>
        <color rgb="FFFF0000"/>
        <rFont val="宋体"/>
        <family val="3"/>
        <charset val="134"/>
      </rPr>
      <t>订单</t>
    </r>
    <phoneticPr fontId="9"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</si>
  <si>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phoneticPr fontId="9" type="noConversion"/>
  </si>
  <si>
    <r>
      <rPr>
        <b/>
        <sz val="10"/>
        <color rgb="FFFF0000"/>
        <rFont val="宋体"/>
        <family val="3"/>
        <charset val="134"/>
      </rPr>
      <t>金额</t>
    </r>
    <phoneticPr fontId="9" type="noConversion"/>
  </si>
  <si>
    <t>审计目标</t>
    <phoneticPr fontId="9" type="noConversion"/>
  </si>
  <si>
    <r>
      <rPr>
        <sz val="10"/>
        <rFont val="宋体"/>
        <family val="3"/>
        <charset val="134"/>
      </rPr>
      <t>完整性</t>
    </r>
    <phoneticPr fontId="9" type="noConversion"/>
  </si>
  <si>
    <r>
      <rPr>
        <sz val="10"/>
        <rFont val="宋体"/>
        <family val="3"/>
        <charset val="134"/>
      </rPr>
      <t>权利和义务</t>
    </r>
    <phoneticPr fontId="9" type="noConversion"/>
  </si>
  <si>
    <r>
      <rPr>
        <sz val="10"/>
        <rFont val="宋体"/>
        <family val="3"/>
        <charset val="134"/>
      </rPr>
      <t>准确性、计价和分摊</t>
    </r>
    <phoneticPr fontId="9" type="noConversion"/>
  </si>
  <si>
    <r>
      <rPr>
        <sz val="10"/>
        <rFont val="宋体"/>
        <family val="3"/>
        <charset val="134"/>
      </rPr>
      <t>列报</t>
    </r>
    <phoneticPr fontId="9" type="noConversion"/>
  </si>
  <si>
    <r>
      <t xml:space="preserve">B. </t>
    </r>
    <r>
      <rPr>
        <sz val="10"/>
        <rFont val="宋体"/>
        <family val="3"/>
        <charset val="134"/>
      </rPr>
      <t>所有应记录的油气资产均已记录，所有应当包括在财务报表中的相关披露均已包括</t>
    </r>
    <phoneticPr fontId="9" type="noConversion"/>
  </si>
  <si>
    <r>
      <t xml:space="preserve">C. </t>
    </r>
    <r>
      <rPr>
        <sz val="10"/>
        <rFont val="宋体"/>
        <family val="3"/>
        <charset val="134"/>
      </rPr>
      <t>记录的油气资产由被审计单位拥有或控制；</t>
    </r>
    <phoneticPr fontId="9" type="noConversion"/>
  </si>
  <si>
    <r>
      <t xml:space="preserve">D. </t>
    </r>
    <r>
      <rPr>
        <sz val="10"/>
        <rFont val="宋体"/>
        <family val="3"/>
        <charset val="134"/>
      </rPr>
      <t>油气资产以恰当的金额包括在财务报表中，与之相关的计价或分摊调整已恰当记录，相关披露已得到恰当计量和描述</t>
    </r>
    <r>
      <rPr>
        <sz val="10"/>
        <rFont val="Arial Narrow"/>
        <family val="2"/>
      </rPr>
      <t xml:space="preserve"> </t>
    </r>
    <phoneticPr fontId="9" type="noConversion"/>
  </si>
  <si>
    <r>
      <t xml:space="preserve">E. </t>
    </r>
    <r>
      <rPr>
        <sz val="10"/>
        <rFont val="宋体"/>
        <family val="3"/>
        <charset val="134"/>
      </rPr>
      <t>油气资产已被恰当地汇总或分解且表述清楚，相关披露在按照企业会计准则的编制基础下是相关的、可理解的</t>
    </r>
    <phoneticPr fontId="9" type="noConversion"/>
  </si>
  <si>
    <t>关于工作底稿与审计程序索引号对应的说明</t>
    <phoneticPr fontId="9"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</si>
  <si>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9"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</si>
  <si>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9"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</si>
  <si>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9"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</si>
  <si>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</si>
  <si>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根据被审计单位实际情况和风险评估情况裁剪、修改或增加审计程序</t>
    <phoneticPr fontId="9" type="noConversion"/>
  </si>
  <si>
    <t>审计程序</t>
    <phoneticPr fontId="4" type="noConversion"/>
  </si>
  <si>
    <t>随机选样/系统选样/货币单元抽样/随意选样（非统计抽样适用）</t>
    <phoneticPr fontId="9" type="noConversion"/>
  </si>
  <si>
    <t>……</t>
    <phoneticPr fontId="9" type="noConversion"/>
  </si>
  <si>
    <t>……</t>
    <phoneticPr fontId="9" type="noConversion"/>
  </si>
  <si>
    <t>检查比例</t>
    <phoneticPr fontId="9" type="noConversion"/>
  </si>
  <si>
    <r>
      <t>1.</t>
    </r>
    <r>
      <rPr>
        <sz val="10"/>
        <color rgb="FFFF0000"/>
        <rFont val="宋体"/>
        <family val="3"/>
        <charset val="134"/>
      </rPr>
      <t>如果检查比例较低应扩大检查样本量或说明原因</t>
    </r>
    <phoneticPr fontId="9" type="noConversion"/>
  </si>
  <si>
    <t>2.……</t>
    <phoneticPr fontId="9" type="noConversion"/>
  </si>
  <si>
    <t>检查比例</t>
    <phoneticPr fontId="9" type="noConversion"/>
  </si>
  <si>
    <r>
      <t>1.</t>
    </r>
    <r>
      <rPr>
        <sz val="10"/>
        <color rgb="FFFF0000"/>
        <rFont val="宋体"/>
        <family val="3"/>
        <charset val="134"/>
      </rPr>
      <t>如果检查比例较低应扩大检查样本量或说明原因</t>
    </r>
    <phoneticPr fontId="9" type="noConversion"/>
  </si>
  <si>
    <t>2.……</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</si>
</sst>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0000%"/>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quot;$&quot;#,##0_);\(&quot;$&quot;#,##0\)"/>
    <numFmt numFmtId="187" formatCode="_-* #,##0_-;\-* #,##0_-;_-* &quot;-&quot;_-;_-@_-"/>
    <numFmt numFmtId="188" formatCode="_-* #,##0.00_-;\-* #,##0.00_-;_-* &quot;-&quot;??_-;_-@_-"/>
    <numFmt numFmtId="189" formatCode="_-&quot;$&quot;* #,##0_-;\-&quot;$&quot;* #,##0_-;_-&quot;$&quot;* &quot;-&quot;_-;_-@_-"/>
    <numFmt numFmtId="190" formatCode="_-&quot;$&quot;* #,##0.00_-;\-&quot;$&quot;* #,##0.00_-;_-&quot;$&quot;* &quot;-&quot;??_-;_-@_-"/>
    <numFmt numFmtId="191" formatCode="_([$€-2]* #,##0.00_);_([$€-2]* \(#,##0.00\);_([$€-2]* &quot;-&quot;??_)"/>
    <numFmt numFmtId="192" formatCode="&quot;\&quot;#,##0;[Red]&quot;\&quot;&quot;\&quot;\-#,##0"/>
    <numFmt numFmtId="193" formatCode="&quot;\&quot;#,##0.00;[Red]&quot;\&quot;&quot;\&quot;\-#,##0.00"/>
    <numFmt numFmtId="194" formatCode="&quot;\&quot;#,##0;&quot;\&quot;&quot;\&quot;\-#,##0"/>
    <numFmt numFmtId="195" formatCode="_(* #,##0_);_(* \(#,##0\);_(* &quot;-&quot;_);_(@_)"/>
    <numFmt numFmtId="196" formatCode="_(* #,##0.00_);_(* \(#,##0.00\);_(* &quot;-&quot;??_);_(@_)"/>
    <numFmt numFmtId="197" formatCode="#,##0.00_ "/>
    <numFmt numFmtId="198" formatCode="_ * #,##0_ ;_ * \-#,##0_ ;_ * &quot;-&quot;??_ ;_ @_ "/>
    <numFmt numFmtId="199" formatCode="0_);[Red]\(0\)"/>
    <numFmt numFmtId="200" formatCode="_ * #,##0.0000_ ;_ * \-#,##0.0000_ ;_ * &quot;-&quot;??_ ;_ @_ "/>
    <numFmt numFmtId="201" formatCode="#,##0.00_);[Red]\(#,##0.00\)"/>
  </numFmts>
  <fonts count="99">
    <font>
      <sz val="12"/>
      <name val="宋体"/>
      <family val="3"/>
      <charset val="134"/>
    </font>
    <font>
      <sz val="11"/>
      <color theme="1"/>
      <name val="宋体"/>
      <family val="2"/>
      <charset val="134"/>
      <scheme val="minor"/>
    </font>
    <font>
      <sz val="12"/>
      <name val="Times New Roman"/>
      <family val="1"/>
    </font>
    <font>
      <b/>
      <sz val="10"/>
      <name val="宋体"/>
      <family val="3"/>
      <charset val="134"/>
    </font>
    <font>
      <sz val="9"/>
      <name val="宋体"/>
      <family val="2"/>
      <charset val="134"/>
      <scheme val="minor"/>
    </font>
    <font>
      <b/>
      <sz val="10"/>
      <name val="Arial Narrow"/>
      <family val="2"/>
    </font>
    <font>
      <sz val="12"/>
      <name val="宋体"/>
      <family val="3"/>
      <charset val="134"/>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sz val="10"/>
      <color indexed="12"/>
      <name val="宋体"/>
      <family val="3"/>
      <charset val="134"/>
    </font>
    <font>
      <b/>
      <sz val="10"/>
      <color indexed="12"/>
      <name val="宋体"/>
      <family val="3"/>
      <charset val="134"/>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Arial Narrow"/>
      <family val="2"/>
    </font>
    <font>
      <sz val="10"/>
      <color indexed="8"/>
      <name val="Arial Narrow"/>
      <family val="2"/>
    </font>
    <font>
      <b/>
      <sz val="10"/>
      <color indexed="8"/>
      <name val="宋体"/>
      <family val="3"/>
      <charset val="134"/>
    </font>
    <font>
      <sz val="18"/>
      <color indexed="48"/>
      <name val="魏碑"/>
      <family val="3"/>
      <charset val="134"/>
    </font>
    <font>
      <sz val="10"/>
      <color indexed="53"/>
      <name val="宋体"/>
      <family val="3"/>
      <charset val="134"/>
    </font>
    <font>
      <u/>
      <sz val="10"/>
      <name val="宋体"/>
      <family val="3"/>
      <charset val="134"/>
    </font>
    <font>
      <u/>
      <sz val="12"/>
      <color theme="10"/>
      <name val="宋体"/>
      <family val="3"/>
      <charset val="134"/>
    </font>
    <font>
      <u/>
      <sz val="12"/>
      <color indexed="12"/>
      <name val="宋体"/>
      <family val="3"/>
      <charset val="134"/>
    </font>
    <font>
      <b/>
      <u/>
      <sz val="10"/>
      <color indexed="10"/>
      <name val="Arial Narrow"/>
      <family val="2"/>
    </font>
    <font>
      <b/>
      <sz val="10"/>
      <color rgb="FFFF0000"/>
      <name val="宋体"/>
      <family val="3"/>
      <charset val="134"/>
    </font>
    <font>
      <b/>
      <sz val="10"/>
      <color rgb="FFFF0000"/>
      <name val="Arial Narrow"/>
      <family val="2"/>
    </font>
    <font>
      <sz val="10"/>
      <color indexed="48"/>
      <name val="Arial Narrow"/>
      <family val="2"/>
    </font>
    <font>
      <b/>
      <sz val="9"/>
      <name val="宋体"/>
      <family val="3"/>
      <charset val="134"/>
    </font>
    <font>
      <sz val="10"/>
      <color indexed="8"/>
      <name val="宋体"/>
      <family val="3"/>
      <charset val="134"/>
    </font>
    <font>
      <sz val="9"/>
      <name val="宋体"/>
      <family val="3"/>
      <charset val="134"/>
      <scheme val="minor"/>
    </font>
    <font>
      <sz val="10"/>
      <color rgb="FFFF0000"/>
      <name val="宋体"/>
      <family val="3"/>
      <charset val="134"/>
    </font>
    <font>
      <sz val="10"/>
      <name val="宋体"/>
      <family val="3"/>
      <charset val="134"/>
      <scheme val="minor"/>
    </font>
    <font>
      <b/>
      <sz val="12"/>
      <color indexed="8"/>
      <name val="宋体"/>
      <family val="3"/>
      <charset val="134"/>
    </font>
    <font>
      <b/>
      <sz val="12"/>
      <color indexed="8"/>
      <name val="Arial Narrow"/>
      <family val="2"/>
    </font>
    <font>
      <b/>
      <sz val="10"/>
      <color indexed="10"/>
      <name val="Arial Narrow"/>
      <family val="2"/>
    </font>
    <font>
      <sz val="10"/>
      <color rgb="FFFF0000"/>
      <name val="Arial Narrow"/>
      <family val="2"/>
    </font>
    <font>
      <b/>
      <sz val="10"/>
      <color theme="1"/>
      <name val="Arial Narrow"/>
      <family val="2"/>
    </font>
    <font>
      <sz val="10"/>
      <color rgb="FF0070C0"/>
      <name val="Arial Narrow"/>
      <family val="2"/>
    </font>
    <font>
      <sz val="10.5"/>
      <name val="仿宋_GB2312"/>
      <family val="3"/>
      <charset val="134"/>
    </font>
    <font>
      <b/>
      <u/>
      <sz val="10"/>
      <name val="Arial Narrow"/>
      <family val="2"/>
    </font>
    <font>
      <b/>
      <sz val="12"/>
      <color theme="1"/>
      <name val="仿宋_GB2312"/>
      <family val="3"/>
      <charset val="134"/>
    </font>
    <font>
      <sz val="10"/>
      <color theme="1"/>
      <name val="宋体"/>
      <family val="3"/>
      <charset val="134"/>
    </font>
    <font>
      <b/>
      <sz val="10"/>
      <color theme="1"/>
      <name val="宋体"/>
      <family val="3"/>
      <charset val="134"/>
    </font>
    <font>
      <b/>
      <sz val="10"/>
      <color rgb="FFE92841"/>
      <name val="Arial Narrow"/>
      <family val="2"/>
    </font>
    <font>
      <i/>
      <u/>
      <sz val="10"/>
      <color indexed="12"/>
      <name val="Arial Narrow"/>
      <family val="2"/>
    </font>
    <font>
      <b/>
      <sz val="10"/>
      <color rgb="FF000000"/>
      <name val="宋体"/>
      <family val="3"/>
      <charset val="134"/>
    </font>
    <font>
      <b/>
      <sz val="10"/>
      <color theme="1"/>
      <name val="宋体"/>
      <family val="3"/>
      <charset val="134"/>
      <scheme val="minor"/>
    </font>
    <font>
      <b/>
      <sz val="10"/>
      <color rgb="FF000000"/>
      <name val="宋体"/>
      <family val="3"/>
      <charset val="134"/>
      <scheme val="minor"/>
    </font>
    <font>
      <b/>
      <sz val="10"/>
      <color rgb="FFFF0000"/>
      <name val="宋体"/>
      <family val="3"/>
      <charset val="134"/>
      <scheme val="minor"/>
    </font>
    <font>
      <sz val="10"/>
      <color theme="1"/>
      <name val="宋体"/>
      <family val="3"/>
      <charset val="134"/>
      <scheme val="minor"/>
    </font>
    <font>
      <b/>
      <sz val="12"/>
      <color rgb="FFFF0000"/>
      <name val="仿宋_GB2312"/>
      <family val="3"/>
      <charset val="134"/>
    </font>
    <font>
      <sz val="12"/>
      <name val="仿宋_GB2312"/>
      <family val="3"/>
      <charset val="134"/>
    </font>
    <font>
      <b/>
      <sz val="10.5"/>
      <name val="仿宋_GB2312"/>
      <family val="3"/>
      <charset val="134"/>
    </font>
    <font>
      <b/>
      <sz val="10.5"/>
      <name val="Arial Narrow"/>
      <family val="2"/>
    </font>
    <font>
      <b/>
      <sz val="10.5"/>
      <color rgb="FF000000"/>
      <name val="仿宋_GB2312"/>
      <family val="3"/>
      <charset val="134"/>
    </font>
    <font>
      <sz val="10.5"/>
      <name val="Arial Narrow"/>
      <family val="2"/>
    </font>
    <font>
      <sz val="10"/>
      <color theme="1"/>
      <name val="Arial Narrow"/>
      <family val="2"/>
    </font>
    <font>
      <sz val="10"/>
      <color rgb="FF0000FF"/>
      <name val="宋体"/>
      <family val="3"/>
      <charset val="134"/>
    </font>
    <font>
      <sz val="10"/>
      <color rgb="FF0000FF"/>
      <name val="Arial Narrow"/>
      <family val="2"/>
    </font>
    <font>
      <sz val="10"/>
      <color rgb="FF000000"/>
      <name val="宋体"/>
      <family val="3"/>
      <charset val="134"/>
    </font>
    <font>
      <b/>
      <sz val="10"/>
      <color rgb="FF000000"/>
      <name val="Arial Narrow"/>
      <family val="2"/>
    </font>
    <font>
      <sz val="10"/>
      <color rgb="FF000000"/>
      <name val="Arial Narrow"/>
      <family val="2"/>
    </font>
    <font>
      <sz val="10"/>
      <color theme="10"/>
      <name val="Arial Narrow"/>
      <family val="2"/>
    </font>
    <font>
      <sz val="10"/>
      <color theme="10"/>
      <name val="宋体"/>
      <family val="3"/>
      <charset val="134"/>
    </font>
    <font>
      <sz val="10"/>
      <color indexed="10"/>
      <name val="Arial Narrow"/>
      <family val="2"/>
    </font>
    <font>
      <b/>
      <sz val="10"/>
      <color indexed="12"/>
      <name val="Arial Narrow"/>
      <family val="2"/>
    </font>
    <font>
      <i/>
      <sz val="10"/>
      <color rgb="FF0070C0"/>
      <name val="Arial Narrow"/>
      <family val="2"/>
    </font>
    <font>
      <sz val="10"/>
      <color indexed="53"/>
      <name val="Arial Narrow"/>
      <family val="2"/>
    </font>
    <font>
      <b/>
      <sz val="14"/>
      <name val="Arial Narrow"/>
      <family val="2"/>
    </font>
    <font>
      <b/>
      <sz val="14"/>
      <name val="宋体"/>
      <family val="3"/>
      <charset val="134"/>
    </font>
    <font>
      <sz val="14"/>
      <name val="Arial Narrow"/>
      <family val="2"/>
    </font>
    <font>
      <b/>
      <sz val="14"/>
      <color indexed="8"/>
      <name val="Arial Narrow"/>
      <family val="2"/>
    </font>
    <font>
      <b/>
      <sz val="14"/>
      <color indexed="8"/>
      <name val="宋体"/>
      <family val="3"/>
      <charset val="134"/>
    </font>
    <font>
      <sz val="14"/>
      <name val="宋体"/>
      <family val="3"/>
      <charset val="134"/>
    </font>
    <font>
      <sz val="10"/>
      <color rgb="FF0000FF"/>
      <name val="宋体"/>
      <family val="3"/>
      <charset val="134"/>
      <scheme val="major"/>
    </font>
    <font>
      <sz val="9"/>
      <color rgb="FF0000FF"/>
      <name val="Arial Narrow"/>
      <family val="2"/>
    </font>
    <font>
      <sz val="9"/>
      <color rgb="FF0000FF"/>
      <name val="宋体"/>
      <family val="3"/>
      <charset val="134"/>
    </font>
    <font>
      <u val="singleAccounting"/>
      <sz val="10"/>
      <color rgb="FF0000FF"/>
      <name val="宋体"/>
      <family val="3"/>
      <charset val="134"/>
    </font>
    <font>
      <u val="singleAccounting"/>
      <sz val="10"/>
      <name val="Arial Narrow"/>
      <family val="2"/>
    </font>
    <font>
      <b/>
      <sz val="9"/>
      <color indexed="81"/>
      <name val="宋体"/>
      <family val="3"/>
      <charset val="134"/>
    </font>
    <font>
      <sz val="9"/>
      <color indexed="81"/>
      <name val="宋体"/>
      <family val="3"/>
      <charset val="134"/>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E4DFEC"/>
        <bgColor indexed="64"/>
      </patternFill>
    </fill>
    <fill>
      <patternFill patternType="solid">
        <fgColor theme="0" tint="-0.14999847407452621"/>
        <bgColor indexed="64"/>
      </patternFill>
    </fill>
    <fill>
      <patternFill patternType="solid">
        <fgColor theme="0"/>
        <bgColor indexed="64"/>
      </patternFill>
    </fill>
    <fill>
      <patternFill patternType="solid">
        <fgColor theme="7" tint="0.79998168889431442"/>
        <bgColor rgb="FFB7DEE8"/>
      </patternFill>
    </fill>
  </fills>
  <borders count="18">
    <border>
      <left/>
      <right/>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style="hair">
        <color indexed="64"/>
      </left>
      <right/>
      <top/>
      <bottom/>
      <diagonal/>
    </border>
  </borders>
  <cellStyleXfs count="62">
    <xf numFmtId="0" fontId="0" fillId="0" borderId="0">
      <protection locked="0"/>
    </xf>
    <xf numFmtId="43" fontId="6" fillId="0" borderId="0" applyFont="0" applyFill="0" applyBorder="0" applyAlignment="0" applyProtection="0"/>
    <xf numFmtId="9" fontId="6" fillId="0" borderId="0" applyFont="0" applyFill="0" applyBorder="0" applyAlignment="0" applyProtection="0"/>
    <xf numFmtId="0" fontId="2" fillId="0" borderId="0"/>
    <xf numFmtId="0" fontId="6" fillId="0" borderId="0" applyFill="0" applyBorder="0"/>
    <xf numFmtId="49" fontId="13" fillId="0" borderId="0" applyProtection="0">
      <alignment horizontal="left"/>
    </xf>
    <xf numFmtId="177" fontId="13" fillId="0" borderId="0" applyFill="0" applyBorder="0" applyProtection="0">
      <alignment horizontal="right"/>
    </xf>
    <xf numFmtId="178" fontId="13" fillId="0" borderId="0" applyFill="0" applyBorder="0" applyProtection="0">
      <alignment horizontal="right"/>
    </xf>
    <xf numFmtId="179" fontId="20" fillId="0" borderId="0" applyFill="0" applyBorder="0" applyProtection="0">
      <alignment horizontal="center"/>
    </xf>
    <xf numFmtId="180" fontId="20" fillId="0" borderId="0" applyFill="0" applyBorder="0" applyProtection="0">
      <alignment horizontal="center"/>
    </xf>
    <xf numFmtId="181" fontId="21" fillId="0" borderId="0" applyFill="0" applyBorder="0" applyProtection="0">
      <alignment horizontal="right"/>
    </xf>
    <xf numFmtId="182" fontId="13" fillId="0" borderId="0" applyFill="0" applyBorder="0" applyProtection="0">
      <alignment horizontal="right"/>
    </xf>
    <xf numFmtId="183" fontId="13" fillId="0" borderId="0" applyFill="0" applyBorder="0" applyProtection="0">
      <alignment horizontal="right"/>
    </xf>
    <xf numFmtId="184" fontId="13" fillId="0" borderId="0" applyFill="0" applyBorder="0" applyProtection="0">
      <alignment horizontal="right"/>
    </xf>
    <xf numFmtId="185" fontId="13" fillId="0" borderId="0" applyFill="0" applyBorder="0" applyProtection="0">
      <alignment horizontal="right"/>
    </xf>
    <xf numFmtId="3" fontId="22" fillId="0" borderId="0"/>
    <xf numFmtId="186" fontId="23" fillId="0" borderId="4" applyAlignment="0" applyProtection="0"/>
    <xf numFmtId="187" fontId="24" fillId="0" borderId="0" applyFont="0" applyFill="0" applyBorder="0" applyAlignment="0" applyProtection="0"/>
    <xf numFmtId="188" fontId="24" fillId="0" borderId="0" applyFont="0" applyFill="0" applyBorder="0" applyAlignment="0" applyProtection="0"/>
    <xf numFmtId="189" fontId="24" fillId="0" borderId="0" applyFont="0" applyFill="0" applyBorder="0" applyAlignment="0" applyProtection="0"/>
    <xf numFmtId="190" fontId="24" fillId="0" borderId="0" applyFont="0" applyFill="0" applyBorder="0" applyAlignment="0" applyProtection="0"/>
    <xf numFmtId="41" fontId="24" fillId="0" borderId="0" applyFont="0" applyFill="0" applyBorder="0" applyAlignment="0" applyProtection="0"/>
    <xf numFmtId="43" fontId="24" fillId="0" borderId="0" applyFont="0" applyFill="0" applyBorder="0" applyAlignment="0" applyProtection="0"/>
    <xf numFmtId="191" fontId="13" fillId="0" borderId="0" applyFont="0" applyFill="0" applyBorder="0" applyAlignment="0" applyProtection="0"/>
    <xf numFmtId="0" fontId="25" fillId="0" borderId="0" applyNumberFormat="0" applyFill="0" applyBorder="0" applyAlignment="0" applyProtection="0">
      <alignment vertical="top"/>
      <protection locked="0"/>
    </xf>
    <xf numFmtId="38" fontId="26" fillId="2" borderId="0" applyNumberFormat="0" applyBorder="0" applyAlignment="0" applyProtection="0"/>
    <xf numFmtId="0" fontId="27" fillId="0" borderId="0" applyNumberFormat="0" applyFill="0" applyBorder="0" applyAlignment="0" applyProtection="0">
      <alignment vertical="top"/>
      <protection locked="0"/>
    </xf>
    <xf numFmtId="10" fontId="26" fillId="3" borderId="5" applyNumberFormat="0" applyBorder="0" applyAlignment="0" applyProtection="0"/>
    <xf numFmtId="192" fontId="6" fillId="0" borderId="0" applyFont="0" applyFill="0" applyBorder="0" applyAlignment="0" applyProtection="0"/>
    <xf numFmtId="193" fontId="6" fillId="0" borderId="0" applyFont="0" applyFill="0" applyBorder="0" applyAlignment="0" applyProtection="0"/>
    <xf numFmtId="0" fontId="28" fillId="0" borderId="0"/>
    <xf numFmtId="194" fontId="6" fillId="0" borderId="0"/>
    <xf numFmtId="0" fontId="29" fillId="0" borderId="0"/>
    <xf numFmtId="10" fontId="24" fillId="0" borderId="0" applyFont="0" applyFill="0" applyBorder="0" applyAlignment="0" applyProtection="0"/>
    <xf numFmtId="3" fontId="30" fillId="0" borderId="0"/>
    <xf numFmtId="0" fontId="6" fillId="0" borderId="0">
      <protection locked="0"/>
    </xf>
    <xf numFmtId="0" fontId="6" fillId="0" borderId="0">
      <protection locked="0"/>
    </xf>
    <xf numFmtId="0" fontId="31" fillId="0" borderId="0"/>
    <xf numFmtId="195" fontId="6" fillId="0" borderId="0" applyFont="0" applyFill="0" applyBorder="0" applyAlignment="0" applyProtection="0"/>
    <xf numFmtId="196" fontId="6" fillId="0" borderId="0" applyFont="0" applyFill="0" applyBorder="0" applyAlignment="0" applyProtection="0"/>
    <xf numFmtId="41" fontId="32" fillId="0" borderId="0" applyFont="0" applyFill="0" applyBorder="0" applyAlignment="0" applyProtection="0"/>
    <xf numFmtId="43" fontId="32" fillId="0" borderId="0" applyFont="0" applyFill="0" applyBorder="0" applyAlignment="0" applyProtection="0"/>
    <xf numFmtId="0" fontId="6" fillId="0" borderId="0">
      <alignment vertical="center"/>
    </xf>
    <xf numFmtId="0" fontId="6" fillId="0" borderId="0">
      <alignment vertical="center"/>
    </xf>
    <xf numFmtId="0" fontId="6" fillId="0" borderId="0"/>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191" fontId="6" fillId="0" borderId="0"/>
    <xf numFmtId="191" fontId="6" fillId="0" borderId="0"/>
    <xf numFmtId="0" fontId="6" fillId="0" borderId="0">
      <alignment vertical="center"/>
    </xf>
    <xf numFmtId="0" fontId="12" fillId="0" borderId="0"/>
    <xf numFmtId="191" fontId="6" fillId="0" borderId="0">
      <alignment vertical="center"/>
    </xf>
    <xf numFmtId="191" fontId="6" fillId="0" borderId="0">
      <alignment vertical="center"/>
      <protection locked="0"/>
    </xf>
    <xf numFmtId="191" fontId="6" fillId="0" borderId="0">
      <alignment vertical="center"/>
    </xf>
    <xf numFmtId="0" fontId="6" fillId="0" borderId="0" applyFill="0" applyBorder="0"/>
    <xf numFmtId="0" fontId="6" fillId="0" borderId="0">
      <protection locked="0"/>
    </xf>
    <xf numFmtId="0" fontId="2" fillId="0" borderId="0"/>
    <xf numFmtId="0" fontId="6" fillId="0" borderId="0">
      <protection locked="0"/>
    </xf>
    <xf numFmtId="191" fontId="6" fillId="0" borderId="0">
      <protection locked="0"/>
    </xf>
    <xf numFmtId="191" fontId="6" fillId="0" borderId="0"/>
    <xf numFmtId="0" fontId="6" fillId="0" borderId="0">
      <protection locked="0"/>
    </xf>
    <xf numFmtId="191" fontId="1" fillId="0" borderId="0">
      <alignment vertical="center"/>
    </xf>
  </cellStyleXfs>
  <cellXfs count="605">
    <xf numFmtId="0" fontId="0" fillId="0" borderId="0" xfId="0">
      <protection locked="0"/>
    </xf>
    <xf numFmtId="43" fontId="7" fillId="0" borderId="0" xfId="4" applyNumberFormat="1" applyFont="1" applyBorder="1" applyAlignment="1">
      <alignment vertical="center"/>
    </xf>
    <xf numFmtId="0" fontId="7" fillId="0" borderId="0" xfId="0" applyFont="1" applyAlignment="1">
      <alignment vertical="center"/>
      <protection locked="0"/>
    </xf>
    <xf numFmtId="0" fontId="12" fillId="0" borderId="0" xfId="0" applyFont="1" applyAlignment="1">
      <alignment vertical="center"/>
      <protection locked="0"/>
    </xf>
    <xf numFmtId="43" fontId="5" fillId="0" borderId="0" xfId="4" applyNumberFormat="1" applyFont="1" applyBorder="1" applyAlignment="1">
      <alignment vertical="center"/>
    </xf>
    <xf numFmtId="43" fontId="17" fillId="0" borderId="0" xfId="4" applyNumberFormat="1" applyFont="1" applyBorder="1" applyAlignment="1">
      <alignment vertical="center"/>
    </xf>
    <xf numFmtId="0" fontId="7" fillId="0" borderId="0" xfId="43" applyFont="1">
      <alignment vertical="center"/>
    </xf>
    <xf numFmtId="0" fontId="7" fillId="0" borderId="0" xfId="0" applyFont="1" applyAlignment="1">
      <alignment horizontal="center" vertical="center" wrapText="1"/>
      <protection locked="0"/>
    </xf>
    <xf numFmtId="0" fontId="7" fillId="0" borderId="8" xfId="0" applyFont="1" applyBorder="1" applyAlignment="1">
      <alignment horizontal="center" vertical="center" wrapText="1"/>
      <protection locked="0"/>
    </xf>
    <xf numFmtId="0" fontId="7" fillId="0" borderId="8" xfId="0" applyFont="1" applyBorder="1" applyAlignment="1">
      <alignment horizontal="center" vertical="center"/>
      <protection locked="0"/>
    </xf>
    <xf numFmtId="0" fontId="7" fillId="0" borderId="9" xfId="0" applyFont="1" applyBorder="1" applyAlignment="1">
      <alignment vertical="center"/>
      <protection locked="0"/>
    </xf>
    <xf numFmtId="0" fontId="17" fillId="0" borderId="0" xfId="0" applyFont="1" applyAlignment="1">
      <alignment vertical="center"/>
      <protection locked="0"/>
    </xf>
    <xf numFmtId="0" fontId="7" fillId="0" borderId="0" xfId="0" applyFont="1" applyAlignment="1">
      <alignment horizontal="center" vertical="center"/>
      <protection locked="0"/>
    </xf>
    <xf numFmtId="0" fontId="17" fillId="0" borderId="0" xfId="0" applyFont="1">
      <protection locked="0"/>
    </xf>
    <xf numFmtId="0" fontId="7" fillId="0" borderId="0" xfId="0" applyFont="1" applyAlignment="1">
      <alignment vertical="center" wrapText="1"/>
      <protection locked="0"/>
    </xf>
    <xf numFmtId="0" fontId="17" fillId="0" borderId="0" xfId="44" applyFont="1" applyAlignment="1" applyProtection="1">
      <alignment horizontal="center" vertical="center"/>
      <protection hidden="1"/>
    </xf>
    <xf numFmtId="0" fontId="7" fillId="0" borderId="0" xfId="44" applyFont="1" applyAlignment="1" applyProtection="1">
      <alignment horizontal="left" vertical="center"/>
      <protection hidden="1"/>
    </xf>
    <xf numFmtId="0" fontId="17" fillId="0" borderId="0" xfId="44" applyFont="1" applyAlignment="1" applyProtection="1">
      <alignment horizontal="left" vertical="center"/>
      <protection locked="0"/>
    </xf>
    <xf numFmtId="0" fontId="7" fillId="0" borderId="0" xfId="44" applyFont="1" applyAlignment="1" applyProtection="1">
      <alignment vertical="center"/>
      <protection locked="0"/>
    </xf>
    <xf numFmtId="0" fontId="5" fillId="0" borderId="0" xfId="0" applyFont="1" applyAlignment="1">
      <alignment vertical="center" wrapText="1"/>
      <protection locked="0"/>
    </xf>
    <xf numFmtId="0" fontId="7" fillId="0" borderId="0" xfId="0" applyFont="1" applyAlignment="1">
      <alignment horizontal="justify" vertical="center" wrapText="1"/>
      <protection locked="0"/>
    </xf>
    <xf numFmtId="0" fontId="5" fillId="0" borderId="0" xfId="0" applyFont="1" applyAlignment="1">
      <alignment vertical="center"/>
      <protection locked="0"/>
    </xf>
    <xf numFmtId="0" fontId="7" fillId="0" borderId="0" xfId="0" applyFont="1" applyAlignment="1">
      <alignment horizontal="left" vertical="center"/>
      <protection locked="0"/>
    </xf>
    <xf numFmtId="0" fontId="7" fillId="0" borderId="8" xfId="0" applyFont="1" applyBorder="1" applyAlignment="1">
      <alignment vertical="center"/>
      <protection locked="0"/>
    </xf>
    <xf numFmtId="0" fontId="7" fillId="0" borderId="8" xfId="0" applyFont="1" applyBorder="1" applyAlignment="1">
      <alignment horizontal="left" vertical="center"/>
      <protection locked="0"/>
    </xf>
    <xf numFmtId="0" fontId="7" fillId="0" borderId="0" xfId="0" applyFont="1" applyAlignment="1">
      <alignment horizontal="center"/>
      <protection locked="0"/>
    </xf>
    <xf numFmtId="10" fontId="7" fillId="0" borderId="8" xfId="2" applyNumberFormat="1" applyFont="1" applyBorder="1" applyAlignment="1" applyProtection="1">
      <alignment horizontal="center" vertical="center" wrapText="1"/>
      <protection locked="0"/>
    </xf>
    <xf numFmtId="0" fontId="7" fillId="0" borderId="8" xfId="0" applyFont="1" applyBorder="1" applyAlignment="1">
      <alignment horizontal="justify" vertical="center" wrapText="1"/>
      <protection locked="0"/>
    </xf>
    <xf numFmtId="0" fontId="7" fillId="0" borderId="0" xfId="0" applyFont="1">
      <protection locked="0"/>
    </xf>
    <xf numFmtId="0" fontId="7" fillId="0" borderId="9" xfId="0" applyFont="1" applyBorder="1">
      <protection locked="0"/>
    </xf>
    <xf numFmtId="0" fontId="5" fillId="0" borderId="0" xfId="44" applyFont="1" applyAlignment="1">
      <alignment horizontal="left" vertical="center"/>
    </xf>
    <xf numFmtId="0" fontId="7" fillId="0" borderId="8" xfId="0" applyFont="1" applyBorder="1" applyAlignment="1">
      <alignment vertical="center" wrapText="1"/>
      <protection locked="0"/>
    </xf>
    <xf numFmtId="0" fontId="7" fillId="0" borderId="9" xfId="0" applyFont="1" applyBorder="1" applyAlignment="1">
      <alignment horizontal="center" vertical="center"/>
      <protection locked="0"/>
    </xf>
    <xf numFmtId="0" fontId="5" fillId="0" borderId="0" xfId="0" applyFont="1" applyAlignment="1">
      <alignment horizontal="left" vertical="center"/>
      <protection locked="0"/>
    </xf>
    <xf numFmtId="0" fontId="7" fillId="0" borderId="0" xfId="1" applyNumberFormat="1" applyFont="1" applyAlignment="1">
      <alignment vertical="center"/>
    </xf>
    <xf numFmtId="9" fontId="7" fillId="0" borderId="0" xfId="2" applyFont="1" applyAlignment="1">
      <alignment vertical="center"/>
    </xf>
    <xf numFmtId="43" fontId="7" fillId="0" borderId="0" xfId="1" applyFont="1" applyAlignment="1">
      <alignment vertical="center"/>
    </xf>
    <xf numFmtId="43" fontId="7" fillId="0" borderId="8" xfId="0" applyNumberFormat="1" applyFont="1" applyBorder="1" applyAlignment="1">
      <alignment horizontal="justify" vertical="center" wrapText="1"/>
      <protection locked="0"/>
    </xf>
    <xf numFmtId="43" fontId="7" fillId="0" borderId="8" xfId="0" applyNumberFormat="1" applyFont="1" applyBorder="1" applyAlignment="1">
      <alignment horizontal="center" vertical="center" wrapText="1"/>
      <protection locked="0"/>
    </xf>
    <xf numFmtId="9" fontId="7" fillId="0" borderId="8" xfId="2" applyFont="1" applyBorder="1" applyAlignment="1" applyProtection="1">
      <alignment horizontal="center" vertical="center" wrapText="1"/>
      <protection locked="0"/>
    </xf>
    <xf numFmtId="0" fontId="7" fillId="0" borderId="12" xfId="0" applyFont="1" applyBorder="1" applyAlignment="1">
      <alignment vertical="center"/>
      <protection locked="0"/>
    </xf>
    <xf numFmtId="10" fontId="7" fillId="0" borderId="13" xfId="2" applyNumberFormat="1" applyFont="1" applyBorder="1" applyAlignment="1" applyProtection="1">
      <alignment vertical="center"/>
      <protection locked="0"/>
    </xf>
    <xf numFmtId="9" fontId="7" fillId="0" borderId="8" xfId="0" applyNumberFormat="1" applyFont="1" applyBorder="1" applyAlignment="1">
      <alignment horizontal="center" vertical="center" wrapText="1"/>
      <protection locked="0"/>
    </xf>
    <xf numFmtId="0" fontId="7" fillId="0" borderId="13" xfId="0" applyFont="1" applyBorder="1" applyAlignment="1">
      <alignment horizontal="center" vertical="center"/>
      <protection locked="0"/>
    </xf>
    <xf numFmtId="0" fontId="5" fillId="0" borderId="0" xfId="44" applyFont="1" applyAlignment="1">
      <alignment vertical="center"/>
    </xf>
    <xf numFmtId="0" fontId="7" fillId="0" borderId="0" xfId="44" applyFont="1" applyAlignment="1" applyProtection="1">
      <alignment vertical="center" wrapText="1"/>
      <protection locked="0"/>
    </xf>
    <xf numFmtId="197" fontId="7" fillId="0" borderId="8" xfId="0" applyNumberFormat="1" applyFont="1" applyBorder="1" applyAlignment="1">
      <alignment vertical="center"/>
      <protection locked="0"/>
    </xf>
    <xf numFmtId="0" fontId="17" fillId="0" borderId="0" xfId="0" applyFont="1" applyAlignment="1">
      <alignment vertical="center" wrapText="1"/>
      <protection locked="0"/>
    </xf>
    <xf numFmtId="0" fontId="33" fillId="0" borderId="0" xfId="35" applyFont="1" applyAlignment="1" applyProtection="1">
      <alignment vertical="center"/>
    </xf>
    <xf numFmtId="0" fontId="41" fillId="0" borderId="0" xfId="35" applyFont="1" applyAlignment="1" applyProtection="1">
      <alignment horizontal="center"/>
    </xf>
    <xf numFmtId="49" fontId="5" fillId="0" borderId="0" xfId="1" applyNumberFormat="1" applyFont="1" applyFill="1" applyAlignment="1" applyProtection="1">
      <alignment horizontal="right" vertical="center" shrinkToFit="1"/>
    </xf>
    <xf numFmtId="0" fontId="5" fillId="0" borderId="0" xfId="35" applyFont="1" applyAlignment="1" applyProtection="1">
      <alignment horizontal="left" vertical="center"/>
    </xf>
    <xf numFmtId="0" fontId="7" fillId="0" borderId="0" xfId="35" applyFont="1" applyAlignment="1">
      <alignment vertical="center"/>
      <protection locked="0"/>
    </xf>
    <xf numFmtId="0" fontId="7" fillId="0" borderId="9" xfId="0" applyFont="1" applyBorder="1" applyAlignment="1">
      <alignment horizontal="left" vertical="center"/>
      <protection locked="0"/>
    </xf>
    <xf numFmtId="43" fontId="5" fillId="0" borderId="0" xfId="0" applyNumberFormat="1" applyFont="1" applyAlignment="1">
      <alignment horizontal="left" vertical="center"/>
      <protection locked="0"/>
    </xf>
    <xf numFmtId="0" fontId="11" fillId="0" borderId="0" xfId="0" applyFont="1" applyAlignment="1">
      <alignment vertical="center"/>
      <protection locked="0"/>
    </xf>
    <xf numFmtId="43" fontId="7" fillId="0" borderId="9" xfId="4" applyNumberFormat="1" applyFont="1" applyBorder="1" applyAlignment="1">
      <alignment vertical="center"/>
    </xf>
    <xf numFmtId="176" fontId="14" fillId="0" borderId="0" xfId="2" applyNumberFormat="1" applyFont="1" applyBorder="1" applyAlignment="1">
      <alignment horizontal="left" vertical="center"/>
    </xf>
    <xf numFmtId="0" fontId="7" fillId="0" borderId="0" xfId="35" applyFont="1" applyAlignment="1">
      <alignment horizontal="right" vertical="center"/>
      <protection locked="0"/>
    </xf>
    <xf numFmtId="0" fontId="7" fillId="0" borderId="0" xfId="35" applyFont="1" applyAlignment="1">
      <alignment horizontal="justify" vertical="center" wrapText="1"/>
      <protection locked="0"/>
    </xf>
    <xf numFmtId="43" fontId="34" fillId="0" borderId="8" xfId="1" applyFont="1" applyFill="1" applyBorder="1" applyAlignment="1">
      <alignment vertical="center"/>
    </xf>
    <xf numFmtId="0" fontId="7" fillId="5" borderId="0" xfId="0" applyFont="1" applyFill="1" applyAlignment="1">
      <alignment vertical="center"/>
      <protection locked="0"/>
    </xf>
    <xf numFmtId="0" fontId="5" fillId="5" borderId="8" xfId="0" applyFont="1" applyFill="1" applyBorder="1" applyAlignment="1">
      <alignment horizontal="center"/>
      <protection locked="0"/>
    </xf>
    <xf numFmtId="0" fontId="34" fillId="0" borderId="0" xfId="0" applyFont="1" applyAlignment="1" applyProtection="1">
      <alignment vertical="center"/>
    </xf>
    <xf numFmtId="43" fontId="7" fillId="0" borderId="8" xfId="0" applyNumberFormat="1" applyFont="1" applyBorder="1" applyAlignment="1">
      <alignment horizontal="right" vertical="center" wrapText="1"/>
      <protection locked="0"/>
    </xf>
    <xf numFmtId="0" fontId="5" fillId="5" borderId="8" xfId="0" applyFont="1" applyFill="1" applyBorder="1" applyAlignment="1">
      <alignment horizontal="centerContinuous" vertical="center"/>
      <protection locked="0"/>
    </xf>
    <xf numFmtId="0" fontId="5" fillId="5" borderId="8" xfId="0" applyFont="1" applyFill="1" applyBorder="1" applyAlignment="1">
      <alignment horizontal="centerContinuous" vertical="center" wrapText="1"/>
      <protection locked="0"/>
    </xf>
    <xf numFmtId="0" fontId="7" fillId="5" borderId="8" xfId="0" applyFont="1" applyFill="1" applyBorder="1" applyAlignment="1">
      <alignment horizontal="centerContinuous" vertical="center"/>
      <protection locked="0"/>
    </xf>
    <xf numFmtId="0" fontId="5" fillId="0" borderId="0" xfId="0" applyFont="1" applyAlignment="1">
      <alignment horizontal="right" vertical="center"/>
      <protection locked="0"/>
    </xf>
    <xf numFmtId="0" fontId="33" fillId="0" borderId="0" xfId="0" applyFont="1" applyAlignment="1" applyProtection="1">
      <alignment vertical="center"/>
    </xf>
    <xf numFmtId="49" fontId="34" fillId="0" borderId="0" xfId="0" applyNumberFormat="1" applyFont="1" applyAlignment="1" applyProtection="1">
      <alignment vertical="center"/>
    </xf>
    <xf numFmtId="49" fontId="5" fillId="0" borderId="0" xfId="35" applyNumberFormat="1" applyFont="1" applyAlignment="1" applyProtection="1">
      <alignment horizontal="left" vertical="center"/>
    </xf>
    <xf numFmtId="49" fontId="7" fillId="0" borderId="0" xfId="35" applyNumberFormat="1" applyFont="1" applyAlignment="1">
      <alignment vertical="center"/>
      <protection locked="0"/>
    </xf>
    <xf numFmtId="0" fontId="55" fillId="0" borderId="0" xfId="0" applyFont="1" applyAlignment="1" applyProtection="1">
      <alignment vertical="center"/>
    </xf>
    <xf numFmtId="49" fontId="7" fillId="0" borderId="0" xfId="0" applyNumberFormat="1" applyFont="1" applyAlignment="1">
      <alignment vertical="center"/>
      <protection locked="0"/>
    </xf>
    <xf numFmtId="0" fontId="5" fillId="0" borderId="0" xfId="0" applyFont="1" applyAlignment="1" applyProtection="1">
      <alignment vertical="center"/>
    </xf>
    <xf numFmtId="0" fontId="7" fillId="0" borderId="0" xfId="0" applyFont="1" applyAlignment="1" applyProtection="1">
      <alignment vertical="center"/>
    </xf>
    <xf numFmtId="0" fontId="7" fillId="0" borderId="0" xfId="0" applyFont="1" applyAlignment="1" applyProtection="1">
      <alignment horizontal="center" vertical="center"/>
    </xf>
    <xf numFmtId="49" fontId="5" fillId="0" borderId="0" xfId="0" applyNumberFormat="1" applyFont="1" applyAlignment="1" applyProtection="1">
      <alignment horizontal="center" vertical="center"/>
    </xf>
    <xf numFmtId="14" fontId="7" fillId="0" borderId="0" xfId="0" applyNumberFormat="1" applyFont="1" applyAlignment="1">
      <alignment vertical="center"/>
      <protection locked="0"/>
    </xf>
    <xf numFmtId="0" fontId="34" fillId="0" borderId="8" xfId="0" applyFont="1" applyBorder="1" applyAlignment="1" applyProtection="1">
      <alignment vertical="center"/>
    </xf>
    <xf numFmtId="0" fontId="7" fillId="0" borderId="8" xfId="0" applyFont="1" applyBorder="1" applyAlignment="1">
      <alignment horizontal="justify" vertical="center"/>
      <protection locked="0"/>
    </xf>
    <xf numFmtId="14" fontId="34" fillId="0" borderId="0" xfId="0" applyNumberFormat="1" applyFont="1" applyAlignment="1" applyProtection="1">
      <alignment vertical="center"/>
    </xf>
    <xf numFmtId="49" fontId="54" fillId="0" borderId="8" xfId="0" applyNumberFormat="1" applyFont="1" applyBorder="1" applyAlignment="1" applyProtection="1">
      <alignment horizontal="center" vertical="center"/>
    </xf>
    <xf numFmtId="49" fontId="7" fillId="0" borderId="8" xfId="0" applyNumberFormat="1" applyFont="1" applyBorder="1" applyAlignment="1">
      <alignment horizontal="center" vertical="center"/>
      <protection locked="0"/>
    </xf>
    <xf numFmtId="14" fontId="7" fillId="0" borderId="0" xfId="0" applyNumberFormat="1" applyFont="1" applyAlignment="1">
      <alignment vertical="center" wrapText="1"/>
      <protection locked="0"/>
    </xf>
    <xf numFmtId="0" fontId="7" fillId="0" borderId="8" xfId="0" applyFont="1" applyBorder="1" applyAlignment="1">
      <alignment vertical="center" shrinkToFit="1"/>
      <protection locked="0"/>
    </xf>
    <xf numFmtId="0" fontId="7" fillId="0" borderId="8" xfId="0" applyFont="1" applyBorder="1" applyAlignment="1">
      <alignment horizontal="center" vertical="center" shrinkToFit="1"/>
      <protection locked="0"/>
    </xf>
    <xf numFmtId="49" fontId="5" fillId="0" borderId="8" xfId="0" applyNumberFormat="1" applyFont="1" applyBorder="1" applyAlignment="1" applyProtection="1">
      <alignment horizontal="center" vertical="center"/>
    </xf>
    <xf numFmtId="0" fontId="5" fillId="0" borderId="8" xfId="0" applyFont="1" applyBorder="1" applyAlignment="1" applyProtection="1">
      <alignment vertical="center"/>
    </xf>
    <xf numFmtId="0" fontId="5" fillId="5" borderId="8" xfId="0" applyFont="1" applyFill="1" applyBorder="1" applyAlignment="1" applyProtection="1">
      <alignment horizontal="center" vertical="center"/>
    </xf>
    <xf numFmtId="49" fontId="5" fillId="5" borderId="8" xfId="0" applyNumberFormat="1" applyFont="1" applyFill="1" applyBorder="1" applyAlignment="1" applyProtection="1">
      <alignment horizontal="center" vertical="center"/>
    </xf>
    <xf numFmtId="0" fontId="5" fillId="5" borderId="8" xfId="0" applyFont="1" applyFill="1" applyBorder="1" applyAlignment="1" applyProtection="1">
      <alignment vertical="center"/>
    </xf>
    <xf numFmtId="49" fontId="5" fillId="0" borderId="12" xfId="1" applyNumberFormat="1" applyFont="1" applyFill="1" applyBorder="1" applyAlignment="1" applyProtection="1">
      <alignment horizontal="center" vertical="center" shrinkToFit="1"/>
    </xf>
    <xf numFmtId="0" fontId="7" fillId="0" borderId="14" xfId="0" applyFont="1" applyBorder="1" applyAlignment="1">
      <alignment horizontal="left" vertical="center"/>
      <protection locked="0"/>
    </xf>
    <xf numFmtId="0" fontId="7" fillId="0" borderId="13" xfId="0" applyFont="1" applyBorder="1" applyAlignment="1">
      <alignment horizontal="left" vertical="center"/>
      <protection locked="0"/>
    </xf>
    <xf numFmtId="0" fontId="5" fillId="0" borderId="12" xfId="0" applyFont="1" applyBorder="1" applyAlignment="1">
      <alignment horizontal="left" vertical="center"/>
      <protection locked="0"/>
    </xf>
    <xf numFmtId="49" fontId="5" fillId="0" borderId="8" xfId="47" applyNumberFormat="1" applyFont="1" applyBorder="1" applyAlignment="1" applyProtection="1">
      <alignment horizontal="center" vertical="center"/>
      <protection locked="0"/>
    </xf>
    <xf numFmtId="49" fontId="5" fillId="0" borderId="8" xfId="47" applyNumberFormat="1" applyFont="1" applyBorder="1" applyAlignment="1" applyProtection="1">
      <alignment horizontal="center" vertical="center" wrapText="1"/>
      <protection locked="0"/>
    </xf>
    <xf numFmtId="0" fontId="7" fillId="5" borderId="8" xfId="2" applyNumberFormat="1" applyFont="1" applyFill="1" applyBorder="1" applyAlignment="1">
      <alignment horizontal="right" vertical="center" wrapText="1"/>
    </xf>
    <xf numFmtId="0" fontId="12" fillId="0" borderId="0" xfId="36" applyFont="1">
      <protection locked="0"/>
    </xf>
    <xf numFmtId="14" fontId="12" fillId="0" borderId="0" xfId="36" applyNumberFormat="1" applyFont="1">
      <protection locked="0"/>
    </xf>
    <xf numFmtId="0" fontId="12" fillId="0" borderId="0" xfId="36" applyFont="1" applyAlignment="1">
      <alignment horizontal="left" vertical="center"/>
      <protection locked="0"/>
    </xf>
    <xf numFmtId="0" fontId="7" fillId="0" borderId="0" xfId="36" applyFont="1">
      <protection locked="0"/>
    </xf>
    <xf numFmtId="43" fontId="7" fillId="0" borderId="8" xfId="1" applyFont="1" applyFill="1" applyBorder="1" applyAlignment="1">
      <alignment horizontal="right" vertical="center" wrapText="1"/>
    </xf>
    <xf numFmtId="198" fontId="7" fillId="0" borderId="8" xfId="1" applyNumberFormat="1" applyFont="1" applyFill="1" applyBorder="1" applyAlignment="1">
      <alignment vertical="center"/>
    </xf>
    <xf numFmtId="10" fontId="7" fillId="0" borderId="8" xfId="2" applyNumberFormat="1" applyFont="1" applyFill="1" applyBorder="1" applyAlignment="1" applyProtection="1">
      <alignment horizontal="center" vertical="center" wrapText="1"/>
      <protection locked="0"/>
    </xf>
    <xf numFmtId="10" fontId="7" fillId="0" borderId="12" xfId="2" applyNumberFormat="1" applyFont="1" applyFill="1" applyBorder="1" applyAlignment="1" applyProtection="1">
      <alignment vertical="center"/>
      <protection locked="0"/>
    </xf>
    <xf numFmtId="43" fontId="7" fillId="0" borderId="14" xfId="0" applyNumberFormat="1" applyFont="1" applyBorder="1" applyAlignment="1">
      <alignment vertical="center"/>
      <protection locked="0"/>
    </xf>
    <xf numFmtId="10" fontId="7" fillId="0" borderId="13" xfId="2" applyNumberFormat="1" applyFont="1" applyFill="1" applyBorder="1" applyAlignment="1" applyProtection="1">
      <alignment vertical="center"/>
      <protection locked="0"/>
    </xf>
    <xf numFmtId="0" fontId="7" fillId="0" borderId="0" xfId="0" applyFont="1" applyAlignment="1">
      <alignment horizontal="right" vertical="center"/>
      <protection locked="0"/>
    </xf>
    <xf numFmtId="0" fontId="17" fillId="0" borderId="8" xfId="0" applyFont="1" applyBorder="1" applyAlignment="1">
      <alignment vertical="center"/>
      <protection locked="0"/>
    </xf>
    <xf numFmtId="0" fontId="5" fillId="5" borderId="11" xfId="0" applyFont="1" applyFill="1" applyBorder="1" applyAlignment="1">
      <alignment horizontal="centerContinuous" vertical="center"/>
      <protection locked="0"/>
    </xf>
    <xf numFmtId="0" fontId="17" fillId="0" borderId="0" xfId="0" applyFont="1" applyAlignment="1">
      <alignment horizontal="left" vertical="center"/>
      <protection locked="0"/>
    </xf>
    <xf numFmtId="43" fontId="7" fillId="0" borderId="0" xfId="54" applyNumberFormat="1" applyFont="1" applyBorder="1" applyAlignment="1">
      <alignment vertical="center"/>
    </xf>
    <xf numFmtId="43" fontId="7" fillId="0" borderId="0" xfId="54" applyNumberFormat="1" applyFont="1" applyBorder="1" applyAlignment="1">
      <alignment horizontal="left" vertical="center"/>
    </xf>
    <xf numFmtId="191" fontId="61" fillId="5" borderId="8" xfId="47" applyFont="1" applyFill="1" applyBorder="1" applyAlignment="1" applyProtection="1">
      <alignment horizontal="center" vertical="center" wrapText="1"/>
      <protection locked="0"/>
    </xf>
    <xf numFmtId="43" fontId="5" fillId="0" borderId="9" xfId="54" applyNumberFormat="1" applyFont="1" applyBorder="1" applyAlignment="1">
      <alignment horizontal="left" vertical="center"/>
    </xf>
    <xf numFmtId="43" fontId="7" fillId="0" borderId="9" xfId="54" applyNumberFormat="1" applyFont="1" applyBorder="1" applyAlignment="1">
      <alignment horizontal="left" vertical="center"/>
    </xf>
    <xf numFmtId="43" fontId="62" fillId="0" borderId="9" xfId="46" applyNumberFormat="1" applyFont="1" applyBorder="1" applyAlignment="1" applyProtection="1">
      <alignment horizontal="center" vertical="center"/>
    </xf>
    <xf numFmtId="0" fontId="5" fillId="0" borderId="0" xfId="56" applyFont="1" applyAlignment="1">
      <alignment vertical="center"/>
    </xf>
    <xf numFmtId="43" fontId="7" fillId="0" borderId="0" xfId="1" applyFont="1" applyFill="1" applyBorder="1" applyAlignment="1">
      <alignment horizontal="right" vertical="center" wrapText="1"/>
    </xf>
    <xf numFmtId="43" fontId="34" fillId="0" borderId="0" xfId="1" applyFont="1" applyFill="1" applyBorder="1" applyAlignment="1">
      <alignment vertical="center"/>
    </xf>
    <xf numFmtId="0" fontId="58" fillId="0" borderId="0" xfId="0" applyFont="1" applyAlignment="1" applyProtection="1">
      <alignment vertical="center"/>
    </xf>
    <xf numFmtId="0" fontId="64" fillId="0" borderId="6" xfId="0" applyFont="1" applyBorder="1" applyAlignment="1" applyProtection="1">
      <alignment horizontal="center" vertical="top"/>
    </xf>
    <xf numFmtId="0" fontId="65" fillId="0" borderId="6" xfId="0" applyFont="1" applyBorder="1" applyAlignment="1" applyProtection="1">
      <alignment horizontal="center" vertical="center"/>
    </xf>
    <xf numFmtId="0" fontId="64" fillId="0" borderId="6" xfId="0" applyFont="1" applyBorder="1" applyAlignment="1" applyProtection="1">
      <alignment horizontal="center" vertical="center"/>
    </xf>
    <xf numFmtId="0" fontId="66" fillId="0" borderId="6" xfId="0" applyFont="1" applyBorder="1" applyAlignment="1" applyProtection="1">
      <alignment horizontal="center" vertical="center"/>
    </xf>
    <xf numFmtId="0" fontId="67" fillId="0" borderId="0" xfId="0" applyFont="1" applyAlignment="1" applyProtection="1">
      <alignment vertical="center" wrapText="1"/>
    </xf>
    <xf numFmtId="0" fontId="67" fillId="0" borderId="0" xfId="0" applyFont="1" applyAlignment="1" applyProtection="1">
      <alignment horizontal="justify" vertical="top" wrapText="1"/>
    </xf>
    <xf numFmtId="43" fontId="49" fillId="0" borderId="0" xfId="1" applyFont="1" applyFill="1" applyBorder="1" applyAlignment="1">
      <alignment horizontal="right" vertical="center" wrapText="1"/>
    </xf>
    <xf numFmtId="0" fontId="67" fillId="0" borderId="0" xfId="0" applyFont="1" applyAlignment="1" applyProtection="1">
      <alignment horizontal="left" vertical="center" wrapText="1" indent="2"/>
    </xf>
    <xf numFmtId="0" fontId="67" fillId="0" borderId="0" xfId="0" applyFont="1" applyAlignment="1" applyProtection="1">
      <alignment horizontal="left" vertical="center" wrapText="1" indent="3"/>
    </xf>
    <xf numFmtId="0" fontId="67" fillId="0" borderId="0" xfId="0" applyFont="1" applyAlignment="1" applyProtection="1">
      <alignment horizontal="right" vertical="top" wrapText="1"/>
    </xf>
    <xf numFmtId="0" fontId="67" fillId="0" borderId="7" xfId="0" applyFont="1" applyBorder="1" applyAlignment="1" applyProtection="1">
      <alignment vertical="center" wrapText="1"/>
    </xf>
    <xf numFmtId="43" fontId="49" fillId="0" borderId="7" xfId="1" applyFont="1" applyFill="1" applyBorder="1" applyAlignment="1">
      <alignment horizontal="right" vertical="center" wrapText="1"/>
    </xf>
    <xf numFmtId="0" fontId="68" fillId="0" borderId="0" xfId="0" applyFont="1" applyAlignment="1" applyProtection="1">
      <alignment vertical="center"/>
    </xf>
    <xf numFmtId="0" fontId="11" fillId="0" borderId="0" xfId="0" applyFont="1" applyAlignment="1">
      <alignment horizontal="justify" vertical="center"/>
      <protection locked="0"/>
    </xf>
    <xf numFmtId="0" fontId="11" fillId="0" borderId="0" xfId="0" applyFont="1" applyAlignment="1">
      <alignment horizontal="left" vertical="center"/>
      <protection locked="0"/>
    </xf>
    <xf numFmtId="0" fontId="70" fillId="0" borderId="6" xfId="0" applyFont="1" applyBorder="1" applyAlignment="1">
      <alignment horizontal="justify" vertical="center" wrapText="1"/>
      <protection locked="0"/>
    </xf>
    <xf numFmtId="0" fontId="72" fillId="0" borderId="6" xfId="0" applyFont="1" applyBorder="1" applyAlignment="1">
      <alignment horizontal="right" vertical="center" wrapText="1"/>
      <protection locked="0"/>
    </xf>
    <xf numFmtId="0" fontId="70" fillId="0" borderId="6" xfId="0" applyFont="1" applyBorder="1" applyAlignment="1">
      <alignment horizontal="right" vertical="center" wrapText="1"/>
      <protection locked="0"/>
    </xf>
    <xf numFmtId="0" fontId="56" fillId="0" borderId="0" xfId="0" applyFont="1" applyAlignment="1">
      <alignment horizontal="justify" vertical="center" wrapText="1"/>
      <protection locked="0"/>
    </xf>
    <xf numFmtId="0" fontId="73" fillId="0" borderId="0" xfId="0" applyFont="1" applyAlignment="1">
      <alignment horizontal="right" vertical="center" wrapText="1"/>
      <protection locked="0"/>
    </xf>
    <xf numFmtId="0" fontId="73" fillId="0" borderId="0" xfId="0" applyFont="1" applyAlignment="1">
      <alignment horizontal="justify" vertical="center" wrapText="1"/>
      <protection locked="0"/>
    </xf>
    <xf numFmtId="0" fontId="73" fillId="0" borderId="7" xfId="0" applyFont="1" applyBorder="1" applyAlignment="1">
      <alignment horizontal="justify" vertical="center" wrapText="1"/>
      <protection locked="0"/>
    </xf>
    <xf numFmtId="0" fontId="73" fillId="0" borderId="7" xfId="0" applyFont="1" applyBorder="1" applyAlignment="1">
      <alignment horizontal="right" vertical="center" wrapText="1"/>
      <protection locked="0"/>
    </xf>
    <xf numFmtId="43" fontId="5" fillId="5" borderId="8" xfId="1" applyFont="1" applyFill="1" applyBorder="1" applyAlignment="1">
      <alignment horizontal="right" vertical="center" wrapText="1"/>
    </xf>
    <xf numFmtId="0" fontId="7" fillId="0" borderId="0" xfId="0" applyFont="1" applyBorder="1" applyAlignment="1">
      <alignment vertical="center"/>
      <protection locked="0"/>
    </xf>
    <xf numFmtId="43" fontId="7" fillId="5" borderId="8" xfId="1" applyFont="1" applyFill="1" applyBorder="1" applyAlignment="1">
      <alignment horizontal="right" vertical="center" wrapText="1"/>
    </xf>
    <xf numFmtId="10" fontId="5" fillId="5" borderId="8" xfId="2" applyNumberFormat="1" applyFont="1" applyFill="1" applyBorder="1" applyAlignment="1">
      <alignment horizontal="right" vertical="center" wrapText="1"/>
    </xf>
    <xf numFmtId="198" fontId="7" fillId="5" borderId="8" xfId="1" applyNumberFormat="1" applyFont="1" applyFill="1" applyBorder="1" applyAlignment="1">
      <alignment vertical="center"/>
    </xf>
    <xf numFmtId="0" fontId="7" fillId="5" borderId="8" xfId="1" applyNumberFormat="1" applyFont="1" applyFill="1" applyBorder="1" applyAlignment="1">
      <alignment horizontal="center" vertical="center"/>
    </xf>
    <xf numFmtId="14" fontId="7" fillId="5" borderId="8" xfId="1" applyNumberFormat="1" applyFont="1" applyFill="1" applyBorder="1" applyAlignment="1">
      <alignment vertical="center"/>
    </xf>
    <xf numFmtId="43" fontId="7" fillId="5" borderId="8" xfId="1" applyFont="1" applyFill="1" applyBorder="1" applyAlignment="1">
      <alignment vertical="center"/>
    </xf>
    <xf numFmtId="43" fontId="7" fillId="5" borderId="0" xfId="0" applyNumberFormat="1" applyFont="1" applyFill="1" applyAlignment="1">
      <alignment vertical="center"/>
      <protection locked="0"/>
    </xf>
    <xf numFmtId="43" fontId="7" fillId="5" borderId="0" xfId="0" applyNumberFormat="1" applyFont="1" applyFill="1" applyAlignment="1">
      <alignment horizontal="right" vertical="center"/>
      <protection locked="0"/>
    </xf>
    <xf numFmtId="43" fontId="5" fillId="0" borderId="0" xfId="1" applyFont="1" applyAlignment="1" applyProtection="1">
      <alignment horizontal="right" vertical="center"/>
      <protection locked="0"/>
    </xf>
    <xf numFmtId="43" fontId="7" fillId="5" borderId="8" xfId="1" applyFont="1" applyFill="1" applyBorder="1" applyAlignment="1" applyProtection="1">
      <alignment vertical="center" shrinkToFit="1"/>
      <protection locked="0"/>
    </xf>
    <xf numFmtId="43" fontId="34" fillId="5" borderId="8" xfId="1" applyFont="1" applyFill="1" applyBorder="1" applyAlignment="1">
      <alignment horizontal="right" vertical="center"/>
    </xf>
    <xf numFmtId="10" fontId="7" fillId="5" borderId="8" xfId="2" applyNumberFormat="1" applyFont="1" applyFill="1" applyBorder="1" applyAlignment="1">
      <alignment horizontal="right" vertical="center" wrapText="1"/>
    </xf>
    <xf numFmtId="0" fontId="7" fillId="0" borderId="9" xfId="0" applyFont="1" applyBorder="1" applyAlignment="1">
      <alignment horizontal="center" vertical="center" wrapText="1"/>
      <protection locked="0"/>
    </xf>
    <xf numFmtId="0" fontId="7" fillId="0" borderId="0" xfId="0" applyFont="1" applyAlignment="1">
      <alignment horizontal="left" vertical="center" wrapText="1"/>
      <protection locked="0"/>
    </xf>
    <xf numFmtId="43" fontId="7" fillId="0" borderId="0" xfId="1" applyFont="1" applyAlignment="1" applyProtection="1">
      <alignment vertical="center"/>
      <protection locked="0"/>
    </xf>
    <xf numFmtId="43" fontId="7" fillId="0" borderId="8" xfId="1" applyFont="1" applyBorder="1" applyAlignment="1" applyProtection="1">
      <alignment horizontal="center" vertical="center" wrapText="1"/>
      <protection locked="0"/>
    </xf>
    <xf numFmtId="0" fontId="5" fillId="8" borderId="8" xfId="1" applyNumberFormat="1" applyFont="1" applyFill="1" applyBorder="1" applyAlignment="1" applyProtection="1">
      <alignment horizontal="center" vertical="center" wrapText="1"/>
      <protection locked="0"/>
    </xf>
    <xf numFmtId="0" fontId="76" fillId="0" borderId="0" xfId="49" applyFont="1">
      <alignment vertical="center"/>
    </xf>
    <xf numFmtId="0" fontId="33" fillId="0" borderId="0" xfId="35" applyFont="1" applyFill="1" applyAlignment="1" applyProtection="1">
      <alignment horizontal="left" vertical="center"/>
    </xf>
    <xf numFmtId="0" fontId="76" fillId="0" borderId="0" xfId="0" applyFont="1" applyBorder="1" applyAlignment="1">
      <alignment vertical="center" wrapText="1"/>
      <protection locked="0"/>
    </xf>
    <xf numFmtId="0" fontId="5" fillId="8" borderId="8" xfId="1" applyNumberFormat="1" applyFont="1" applyFill="1" applyBorder="1" applyAlignment="1" applyProtection="1">
      <alignment horizontal="center" vertical="center"/>
      <protection locked="0"/>
    </xf>
    <xf numFmtId="43" fontId="5" fillId="0" borderId="0" xfId="1" applyFont="1" applyAlignment="1" applyProtection="1">
      <alignment horizontal="left" vertical="center"/>
      <protection locked="0"/>
    </xf>
    <xf numFmtId="0" fontId="33" fillId="5" borderId="8" xfId="0" applyFont="1" applyFill="1" applyBorder="1" applyAlignment="1" applyProtection="1">
      <alignment horizontal="center" vertical="center"/>
    </xf>
    <xf numFmtId="0" fontId="33" fillId="5" borderId="8" xfId="0" applyFont="1" applyFill="1" applyBorder="1" applyAlignment="1" applyProtection="1">
      <alignment vertical="center"/>
    </xf>
    <xf numFmtId="0" fontId="5" fillId="5" borderId="8" xfId="0" applyFont="1" applyFill="1" applyBorder="1" applyAlignment="1">
      <alignment horizontal="center" vertical="center"/>
      <protection locked="0"/>
    </xf>
    <xf numFmtId="0" fontId="5" fillId="5" borderId="8" xfId="0" applyFont="1" applyFill="1" applyBorder="1" applyAlignment="1">
      <alignment horizontal="center" vertical="center" wrapText="1"/>
      <protection locked="0"/>
    </xf>
    <xf numFmtId="0" fontId="7" fillId="4" borderId="0" xfId="0" applyFont="1" applyFill="1" applyAlignment="1">
      <alignment horizontal="justify" vertical="center" wrapText="1"/>
      <protection locked="0"/>
    </xf>
    <xf numFmtId="0" fontId="5" fillId="0" borderId="5" xfId="0" applyFont="1" applyBorder="1" applyAlignment="1">
      <alignment horizontal="center" vertical="center"/>
      <protection locked="0"/>
    </xf>
    <xf numFmtId="0" fontId="7" fillId="0" borderId="5" xfId="0" applyFont="1" applyBorder="1" applyAlignment="1">
      <alignment vertical="center"/>
      <protection locked="0"/>
    </xf>
    <xf numFmtId="199" fontId="7" fillId="0" borderId="5" xfId="0" applyNumberFormat="1" applyFont="1" applyBorder="1" applyAlignment="1">
      <alignment horizontal="center" vertical="center" wrapText="1"/>
      <protection locked="0"/>
    </xf>
    <xf numFmtId="199" fontId="7" fillId="0" borderId="5" xfId="0" applyNumberFormat="1" applyFont="1" applyBorder="1" applyAlignment="1">
      <alignment horizontal="center" vertical="center"/>
      <protection locked="0"/>
    </xf>
    <xf numFmtId="0" fontId="78" fillId="6" borderId="0" xfId="0" applyFont="1" applyFill="1" applyAlignment="1" applyProtection="1">
      <alignment vertical="center"/>
    </xf>
    <xf numFmtId="0" fontId="79" fillId="7" borderId="0" xfId="0" applyFont="1" applyFill="1" applyAlignment="1" applyProtection="1">
      <alignment vertical="center"/>
    </xf>
    <xf numFmtId="0" fontId="53" fillId="0" borderId="0" xfId="44" applyFont="1" applyAlignment="1" applyProtection="1">
      <alignment vertical="center"/>
      <protection locked="0"/>
    </xf>
    <xf numFmtId="43" fontId="5" fillId="5" borderId="8" xfId="1" applyFont="1" applyFill="1" applyBorder="1" applyAlignment="1" applyProtection="1">
      <alignment horizontal="center" vertical="center" wrapText="1"/>
      <protection locked="0"/>
    </xf>
    <xf numFmtId="0" fontId="39" fillId="0" borderId="0" xfId="45" applyAlignment="1">
      <alignment horizontal="left" vertical="center"/>
      <protection locked="0"/>
    </xf>
    <xf numFmtId="0" fontId="76" fillId="0" borderId="0" xfId="0" applyFont="1" applyAlignment="1">
      <alignment vertical="center"/>
      <protection locked="0"/>
    </xf>
    <xf numFmtId="49" fontId="76" fillId="0" borderId="0" xfId="0" applyNumberFormat="1" applyFont="1" applyAlignment="1" applyProtection="1">
      <alignment vertical="center"/>
    </xf>
    <xf numFmtId="0" fontId="7" fillId="0" borderId="0" xfId="0" applyFont="1" applyFill="1" applyAlignment="1">
      <alignment vertical="center"/>
      <protection locked="0"/>
    </xf>
    <xf numFmtId="0" fontId="76" fillId="0" borderId="0" xfId="0" applyFont="1" applyAlignment="1">
      <alignment horizontal="left" vertical="center"/>
      <protection locked="0"/>
    </xf>
    <xf numFmtId="0" fontId="10" fillId="0" borderId="0" xfId="0" applyNumberFormat="1" applyFont="1" applyAlignment="1">
      <alignment vertical="center"/>
      <protection locked="0"/>
    </xf>
    <xf numFmtId="0" fontId="11" fillId="0" borderId="0" xfId="42" applyNumberFormat="1" applyFont="1">
      <alignment vertical="center"/>
    </xf>
    <xf numFmtId="0" fontId="11" fillId="0" borderId="0" xfId="42" applyNumberFormat="1" applyFont="1" applyAlignment="1">
      <alignment vertical="center" wrapText="1"/>
    </xf>
    <xf numFmtId="0" fontId="10" fillId="0" borderId="0" xfId="42" applyNumberFormat="1" applyFont="1" applyAlignment="1">
      <alignment vertical="center" wrapText="1"/>
    </xf>
    <xf numFmtId="0" fontId="51" fillId="0" borderId="0" xfId="0" applyNumberFormat="1" applyFont="1" applyAlignment="1" applyProtection="1">
      <alignment vertical="center"/>
    </xf>
    <xf numFmtId="0" fontId="11" fillId="0" borderId="0" xfId="4" applyNumberFormat="1" applyFont="1" applyBorder="1" applyAlignment="1">
      <alignment vertical="center"/>
    </xf>
    <xf numFmtId="0" fontId="5" fillId="0" borderId="0" xfId="0" applyFont="1" applyAlignment="1">
      <alignment horizontal="justify" vertical="center"/>
      <protection locked="0"/>
    </xf>
    <xf numFmtId="0" fontId="80" fillId="0" borderId="5" xfId="45" applyFont="1" applyBorder="1" applyAlignment="1">
      <alignment vertical="center"/>
      <protection locked="0"/>
    </xf>
    <xf numFmtId="43" fontId="80" fillId="0" borderId="0" xfId="45" applyNumberFormat="1" applyFont="1" applyAlignment="1" applyProtection="1">
      <alignment horizontal="left" vertical="center"/>
      <protection locked="0"/>
    </xf>
    <xf numFmtId="191" fontId="5" fillId="5" borderId="8" xfId="47" applyFont="1" applyFill="1" applyBorder="1" applyAlignment="1" applyProtection="1">
      <alignment horizontal="center" vertical="center" wrapText="1"/>
      <protection locked="0"/>
    </xf>
    <xf numFmtId="191" fontId="5" fillId="5" borderId="8" xfId="36" applyNumberFormat="1" applyFont="1" applyFill="1" applyBorder="1" applyAlignment="1">
      <alignment horizontal="center" vertical="center"/>
      <protection locked="0"/>
    </xf>
    <xf numFmtId="191" fontId="33" fillId="5" borderId="8" xfId="36" applyNumberFormat="1" applyFont="1" applyFill="1" applyBorder="1" applyAlignment="1">
      <alignment horizontal="center" vertical="center" wrapText="1"/>
      <protection locked="0"/>
    </xf>
    <xf numFmtId="43" fontId="5" fillId="0" borderId="9" xfId="4" applyNumberFormat="1" applyFont="1" applyBorder="1" applyAlignment="1">
      <alignment vertical="center"/>
    </xf>
    <xf numFmtId="0" fontId="7" fillId="0" borderId="0" xfId="3" applyFont="1" applyAlignment="1">
      <alignment vertical="center"/>
    </xf>
    <xf numFmtId="43" fontId="83" fillId="0" borderId="0" xfId="4" applyNumberFormat="1" applyFont="1" applyBorder="1" applyAlignment="1">
      <alignment vertical="center"/>
    </xf>
    <xf numFmtId="0" fontId="43" fillId="5" borderId="8" xfId="0" applyFont="1" applyFill="1" applyBorder="1" applyAlignment="1" applyProtection="1">
      <alignment horizontal="center" vertical="center"/>
    </xf>
    <xf numFmtId="0" fontId="5" fillId="0" borderId="0" xfId="0" applyFont="1" applyBorder="1" applyAlignment="1">
      <alignment vertical="center"/>
      <protection locked="0"/>
    </xf>
    <xf numFmtId="0" fontId="7" fillId="0" borderId="0" xfId="55" applyFont="1">
      <protection locked="0"/>
    </xf>
    <xf numFmtId="0" fontId="33" fillId="5" borderId="8" xfId="55" applyFont="1" applyFill="1" applyBorder="1" applyAlignment="1" applyProtection="1">
      <alignment horizontal="center" vertical="center" wrapText="1"/>
    </xf>
    <xf numFmtId="0" fontId="7" fillId="0" borderId="0" xfId="55" applyFont="1" applyAlignment="1">
      <alignment horizontal="center" wrapText="1"/>
      <protection locked="0"/>
    </xf>
    <xf numFmtId="0" fontId="34" fillId="0" borderId="8" xfId="55" applyFont="1" applyBorder="1" applyAlignment="1" applyProtection="1">
      <alignment vertical="center"/>
    </xf>
    <xf numFmtId="0" fontId="33" fillId="5" borderId="8" xfId="0" applyFont="1" applyFill="1" applyBorder="1" applyAlignment="1">
      <alignment horizontal="center" vertical="center" wrapText="1"/>
      <protection locked="0"/>
    </xf>
    <xf numFmtId="0" fontId="5" fillId="0" borderId="9" xfId="0" applyFont="1" applyBorder="1" applyAlignment="1">
      <alignment vertical="center"/>
      <protection locked="0"/>
    </xf>
    <xf numFmtId="49" fontId="5" fillId="0" borderId="0" xfId="0" applyNumberFormat="1" applyFont="1" applyAlignment="1">
      <alignment vertical="center"/>
      <protection locked="0"/>
    </xf>
    <xf numFmtId="49" fontId="33" fillId="5" borderId="8" xfId="0" applyNumberFormat="1" applyFont="1" applyFill="1" applyBorder="1" applyAlignment="1" applyProtection="1">
      <alignment horizontal="center" vertical="center"/>
    </xf>
    <xf numFmtId="0" fontId="33" fillId="5" borderId="8" xfId="0" applyFont="1" applyFill="1" applyBorder="1" applyAlignment="1" applyProtection="1">
      <alignment horizontal="center" vertical="center" wrapText="1"/>
    </xf>
    <xf numFmtId="49" fontId="84" fillId="0" borderId="0" xfId="35" applyNumberFormat="1" applyFont="1" applyAlignment="1" applyProtection="1">
      <alignment vertical="center"/>
    </xf>
    <xf numFmtId="191" fontId="7" fillId="0" borderId="0" xfId="47" applyFont="1" applyAlignment="1">
      <alignment horizontal="left" vertical="center" wrapText="1"/>
    </xf>
    <xf numFmtId="191" fontId="7" fillId="0" borderId="0" xfId="47" applyFont="1" applyAlignment="1">
      <alignment horizontal="left" vertical="center"/>
    </xf>
    <xf numFmtId="0" fontId="33" fillId="0" borderId="0" xfId="35" applyFont="1" applyFill="1" applyAlignment="1" applyProtection="1">
      <alignment vertical="center"/>
    </xf>
    <xf numFmtId="191" fontId="7" fillId="0" borderId="0" xfId="47" applyFont="1" applyFill="1" applyAlignment="1">
      <alignment horizontal="left" vertical="center"/>
    </xf>
    <xf numFmtId="0" fontId="7" fillId="0" borderId="8" xfId="35" applyFont="1" applyBorder="1" applyAlignment="1">
      <alignment horizontal="justify" vertical="center" wrapText="1"/>
      <protection locked="0"/>
    </xf>
    <xf numFmtId="0" fontId="76" fillId="0" borderId="0" xfId="35" applyFont="1" applyAlignment="1" applyProtection="1">
      <alignment vertical="center"/>
    </xf>
    <xf numFmtId="0" fontId="76" fillId="0" borderId="0" xfId="0" applyFont="1" applyAlignment="1">
      <alignment horizontal="left"/>
      <protection locked="0"/>
    </xf>
    <xf numFmtId="0" fontId="5" fillId="0" borderId="9" xfId="44" applyFont="1" applyBorder="1" applyAlignment="1">
      <alignment vertical="center"/>
    </xf>
    <xf numFmtId="0" fontId="52" fillId="0" borderId="0" xfId="0" applyFont="1" applyAlignment="1">
      <alignment vertical="center"/>
      <protection locked="0"/>
    </xf>
    <xf numFmtId="0" fontId="5" fillId="5" borderId="12" xfId="0" applyFont="1" applyFill="1" applyBorder="1" applyAlignment="1">
      <alignment horizontal="center" vertical="center" wrapText="1"/>
      <protection locked="0"/>
    </xf>
    <xf numFmtId="0" fontId="7" fillId="0" borderId="8" xfId="0" applyFont="1" applyBorder="1" applyAlignment="1" applyProtection="1">
      <alignment vertical="center"/>
    </xf>
    <xf numFmtId="0" fontId="7" fillId="0" borderId="0" xfId="0" applyFont="1" applyAlignment="1" applyProtection="1">
      <alignment horizontal="left" vertical="center"/>
    </xf>
    <xf numFmtId="0" fontId="7" fillId="5" borderId="5" xfId="1" applyNumberFormat="1" applyFont="1" applyFill="1" applyBorder="1" applyAlignment="1">
      <alignment horizontal="center" vertical="center"/>
    </xf>
    <xf numFmtId="0" fontId="17" fillId="0" borderId="0" xfId="1" applyNumberFormat="1" applyFont="1" applyAlignment="1">
      <alignment vertical="center"/>
    </xf>
    <xf numFmtId="0" fontId="7" fillId="5" borderId="5" xfId="1" applyNumberFormat="1" applyFont="1" applyFill="1" applyBorder="1" applyAlignment="1">
      <alignment horizontal="center" vertical="center" shrinkToFit="1"/>
    </xf>
    <xf numFmtId="0" fontId="53" fillId="0" borderId="8" xfId="0" applyFont="1" applyBorder="1" applyAlignment="1">
      <alignment horizontal="justify" vertical="center" wrapText="1"/>
      <protection locked="0"/>
    </xf>
    <xf numFmtId="0" fontId="76" fillId="0" borderId="0" xfId="0" applyFont="1" applyAlignment="1" applyProtection="1">
      <alignment vertical="center"/>
    </xf>
    <xf numFmtId="191" fontId="5" fillId="5" borderId="8" xfId="47" applyFont="1" applyFill="1" applyBorder="1" applyAlignment="1" applyProtection="1">
      <alignment horizontal="center" vertical="center"/>
      <protection locked="0"/>
    </xf>
    <xf numFmtId="191" fontId="5" fillId="5" borderId="0" xfId="47" applyFont="1" applyFill="1" applyAlignment="1" applyProtection="1">
      <alignment horizontal="center" vertical="center"/>
      <protection locked="0"/>
    </xf>
    <xf numFmtId="43" fontId="5" fillId="0" borderId="8" xfId="47" applyNumberFormat="1" applyFont="1" applyBorder="1" applyAlignment="1" applyProtection="1">
      <alignment horizontal="right" vertical="center" shrinkToFit="1"/>
      <protection locked="0"/>
    </xf>
    <xf numFmtId="191" fontId="7" fillId="0" borderId="0" xfId="47" applyFont="1" applyAlignment="1" applyProtection="1">
      <alignment vertical="center"/>
      <protection locked="0"/>
    </xf>
    <xf numFmtId="191" fontId="7" fillId="0" borderId="0" xfId="47" applyFont="1" applyAlignment="1" applyProtection="1">
      <alignment horizontal="left" vertical="center"/>
      <protection locked="0"/>
    </xf>
    <xf numFmtId="191" fontId="7" fillId="0" borderId="0" xfId="47" applyFont="1" applyAlignment="1" applyProtection="1">
      <alignment horizontal="centerContinuous" vertical="center"/>
      <protection locked="0"/>
    </xf>
    <xf numFmtId="191" fontId="5" fillId="0" borderId="0" xfId="47" applyFont="1" applyAlignment="1" applyProtection="1">
      <alignment horizontal="left" vertical="center"/>
      <protection locked="0"/>
    </xf>
    <xf numFmtId="191" fontId="76" fillId="0" borderId="0" xfId="47" applyFont="1" applyAlignment="1" applyProtection="1">
      <alignment vertical="center"/>
      <protection locked="0"/>
    </xf>
    <xf numFmtId="0" fontId="5" fillId="0" borderId="0" xfId="47" applyNumberFormat="1" applyFont="1" applyAlignment="1">
      <alignment horizontal="left" vertical="center"/>
    </xf>
    <xf numFmtId="0" fontId="5" fillId="5" borderId="8" xfId="0" applyNumberFormat="1" applyFont="1" applyFill="1" applyBorder="1" applyAlignment="1" applyProtection="1">
      <alignment horizontal="center" vertical="center" wrapText="1"/>
    </xf>
    <xf numFmtId="0" fontId="5" fillId="5" borderId="8" xfId="50" applyNumberFormat="1" applyFont="1" applyFill="1" applyBorder="1" applyAlignment="1">
      <alignment horizontal="center" vertical="center" wrapText="1"/>
    </xf>
    <xf numFmtId="0" fontId="7" fillId="0" borderId="8" xfId="47" applyNumberFormat="1" applyFont="1" applyBorder="1" applyAlignment="1" applyProtection="1">
      <alignment vertical="center"/>
      <protection locked="0"/>
    </xf>
    <xf numFmtId="43" fontId="7" fillId="5" borderId="8" xfId="1" applyFont="1" applyFill="1" applyBorder="1" applyAlignment="1">
      <alignment horizontal="left" vertical="center" wrapText="1"/>
    </xf>
    <xf numFmtId="191" fontId="7" fillId="0" borderId="0" xfId="47" applyFont="1" applyAlignment="1" applyProtection="1">
      <alignment vertical="center" wrapText="1"/>
      <protection locked="0"/>
    </xf>
    <xf numFmtId="191" fontId="7" fillId="0" borderId="0" xfId="47" applyFont="1" applyAlignment="1" applyProtection="1">
      <alignment horizontal="centerContinuous" vertical="center" wrapText="1"/>
      <protection locked="0"/>
    </xf>
    <xf numFmtId="191" fontId="5" fillId="0" borderId="0" xfId="47" applyFont="1" applyAlignment="1" applyProtection="1">
      <alignment horizontal="left" vertical="center" wrapText="1"/>
      <protection locked="0"/>
    </xf>
    <xf numFmtId="191" fontId="7" fillId="0" borderId="0" xfId="47" applyFont="1" applyAlignment="1" applyProtection="1">
      <alignment wrapText="1"/>
      <protection locked="0"/>
    </xf>
    <xf numFmtId="191" fontId="7" fillId="0" borderId="0" xfId="47" applyFont="1" applyProtection="1">
      <protection locked="0"/>
    </xf>
    <xf numFmtId="191" fontId="76" fillId="0" borderId="0" xfId="47" applyFont="1" applyProtection="1">
      <protection locked="0"/>
    </xf>
    <xf numFmtId="0" fontId="76" fillId="0" borderId="0" xfId="47" applyNumberFormat="1" applyFont="1" applyProtection="1">
      <protection locked="0"/>
    </xf>
    <xf numFmtId="0" fontId="76" fillId="0" borderId="0" xfId="0" applyFont="1" applyBorder="1" applyAlignment="1">
      <alignment vertical="center"/>
      <protection locked="0"/>
    </xf>
    <xf numFmtId="191" fontId="7" fillId="0" borderId="0" xfId="47" applyFont="1" applyAlignment="1">
      <alignment horizontal="center" vertical="center"/>
    </xf>
    <xf numFmtId="191" fontId="5" fillId="5" borderId="8" xfId="48" applyFont="1" applyFill="1" applyBorder="1" applyAlignment="1" applyProtection="1">
      <alignment horizontal="center" vertical="center" wrapText="1"/>
      <protection locked="0"/>
    </xf>
    <xf numFmtId="191" fontId="7" fillId="0" borderId="8" xfId="47" applyFont="1" applyBorder="1" applyAlignment="1" applyProtection="1">
      <alignment vertical="center"/>
      <protection locked="0"/>
    </xf>
    <xf numFmtId="191" fontId="7" fillId="0" borderId="8" xfId="47" applyFont="1" applyBorder="1" applyAlignment="1" applyProtection="1">
      <alignment horizontal="left" vertical="center"/>
      <protection locked="0"/>
    </xf>
    <xf numFmtId="43" fontId="5" fillId="0" borderId="0" xfId="47" applyNumberFormat="1" applyFont="1" applyAlignment="1" applyProtection="1">
      <alignment horizontal="right" vertical="center" shrinkToFit="1"/>
      <protection locked="0"/>
    </xf>
    <xf numFmtId="191" fontId="7" fillId="0" borderId="8" xfId="47" applyFont="1" applyBorder="1" applyAlignment="1" applyProtection="1">
      <alignment horizontal="center" vertical="center"/>
      <protection locked="0"/>
    </xf>
    <xf numFmtId="191" fontId="5" fillId="5" borderId="8" xfId="48" applyFont="1" applyFill="1" applyBorder="1" applyAlignment="1" applyProtection="1">
      <alignment horizontal="center" vertical="center"/>
      <protection locked="0"/>
    </xf>
    <xf numFmtId="191" fontId="5" fillId="5" borderId="2" xfId="48" applyFont="1" applyFill="1" applyBorder="1" applyAlignment="1" applyProtection="1">
      <alignment horizontal="center" vertical="center"/>
      <protection locked="0"/>
    </xf>
    <xf numFmtId="191" fontId="5" fillId="5" borderId="15" xfId="48" applyFont="1" applyFill="1" applyBorder="1" applyAlignment="1" applyProtection="1">
      <alignment horizontal="center" vertical="center"/>
      <protection locked="0"/>
    </xf>
    <xf numFmtId="49" fontId="5" fillId="5" borderId="8" xfId="47" applyNumberFormat="1" applyFont="1" applyFill="1" applyBorder="1" applyAlignment="1" applyProtection="1">
      <alignment horizontal="center" vertical="center" wrapText="1"/>
      <protection locked="0"/>
    </xf>
    <xf numFmtId="0" fontId="11" fillId="0" borderId="0" xfId="0" applyNumberFormat="1" applyFont="1">
      <protection locked="0"/>
    </xf>
    <xf numFmtId="0" fontId="11" fillId="0" borderId="0" xfId="36" applyNumberFormat="1" applyFont="1">
      <protection locked="0"/>
    </xf>
    <xf numFmtId="0" fontId="6" fillId="0" borderId="0" xfId="36" applyNumberFormat="1" applyFont="1" applyAlignment="1">
      <alignment horizontal="left" vertical="center"/>
      <protection locked="0"/>
    </xf>
    <xf numFmtId="0" fontId="88" fillId="0" borderId="0" xfId="53" applyNumberFormat="1" applyFont="1">
      <alignment vertical="center"/>
    </xf>
    <xf numFmtId="0" fontId="86" fillId="0" borderId="0" xfId="0" applyNumberFormat="1" applyFont="1" applyAlignment="1">
      <alignment vertical="center"/>
      <protection locked="0"/>
    </xf>
    <xf numFmtId="0" fontId="88" fillId="0" borderId="0" xfId="42" applyNumberFormat="1" applyFont="1">
      <alignment vertical="center"/>
    </xf>
    <xf numFmtId="0" fontId="88" fillId="0" borderId="0" xfId="0" applyNumberFormat="1" applyFont="1" applyAlignment="1" applyProtection="1">
      <alignment vertical="center"/>
    </xf>
    <xf numFmtId="0" fontId="86" fillId="0" borderId="0" xfId="42" applyNumberFormat="1" applyFont="1" applyAlignment="1">
      <alignment horizontal="centerContinuous" vertical="center"/>
    </xf>
    <xf numFmtId="0" fontId="88" fillId="0" borderId="0" xfId="42" applyNumberFormat="1" applyFont="1" applyAlignment="1">
      <alignment horizontal="centerContinuous" vertical="center"/>
    </xf>
    <xf numFmtId="0" fontId="88" fillId="0" borderId="0" xfId="0" applyNumberFormat="1" applyFont="1">
      <protection locked="0"/>
    </xf>
    <xf numFmtId="0" fontId="88" fillId="0" borderId="0" xfId="42" applyNumberFormat="1" applyFont="1" applyAlignment="1">
      <alignment vertical="center" wrapText="1"/>
    </xf>
    <xf numFmtId="0" fontId="86" fillId="0" borderId="0" xfId="42" applyNumberFormat="1" applyFont="1" applyAlignment="1">
      <alignment vertical="center" wrapText="1"/>
    </xf>
    <xf numFmtId="0" fontId="89" fillId="0" borderId="0" xfId="0" applyNumberFormat="1" applyFont="1" applyAlignment="1" applyProtection="1">
      <alignment vertical="center"/>
    </xf>
    <xf numFmtId="0" fontId="88" fillId="0" borderId="0" xfId="55" applyNumberFormat="1" applyFont="1">
      <protection locked="0"/>
    </xf>
    <xf numFmtId="0" fontId="88" fillId="0" borderId="0" xfId="36" applyNumberFormat="1" applyFont="1">
      <protection locked="0"/>
    </xf>
    <xf numFmtId="0" fontId="91" fillId="0" borderId="0" xfId="36" applyNumberFormat="1" applyFont="1">
      <protection locked="0"/>
    </xf>
    <xf numFmtId="0" fontId="91" fillId="0" borderId="0" xfId="36" applyNumberFormat="1" applyFont="1" applyAlignment="1">
      <alignment horizontal="left" vertical="center"/>
      <protection locked="0"/>
    </xf>
    <xf numFmtId="0" fontId="88" fillId="0" borderId="0" xfId="4" applyNumberFormat="1" applyFont="1" applyBorder="1" applyAlignment="1">
      <alignment vertical="center"/>
    </xf>
    <xf numFmtId="0" fontId="11" fillId="0" borderId="0" xfId="53" applyNumberFormat="1" applyFont="1">
      <alignment vertical="center"/>
    </xf>
    <xf numFmtId="0" fontId="11" fillId="0" borderId="0" xfId="0" applyNumberFormat="1" applyFont="1" applyAlignment="1" applyProtection="1">
      <alignment vertical="center"/>
    </xf>
    <xf numFmtId="0" fontId="11" fillId="0" borderId="0" xfId="55" applyNumberFormat="1" applyFont="1">
      <protection locked="0"/>
    </xf>
    <xf numFmtId="0" fontId="6" fillId="0" borderId="0" xfId="36" applyNumberFormat="1" applyFont="1">
      <protection locked="0"/>
    </xf>
    <xf numFmtId="49" fontId="7" fillId="0" borderId="8" xfId="0" applyNumberFormat="1" applyFont="1" applyBorder="1" applyAlignment="1">
      <alignment horizontal="left" vertical="center"/>
      <protection locked="0"/>
    </xf>
    <xf numFmtId="43" fontId="53" fillId="0" borderId="8" xfId="1" applyFont="1" applyFill="1" applyBorder="1" applyAlignment="1">
      <alignment vertical="center"/>
    </xf>
    <xf numFmtId="43" fontId="34" fillId="0" borderId="8" xfId="1" applyFont="1" applyFill="1" applyBorder="1" applyAlignment="1">
      <alignment horizontal="center" vertical="center"/>
    </xf>
    <xf numFmtId="0" fontId="5" fillId="5" borderId="0" xfId="0" applyFont="1" applyFill="1" applyAlignment="1">
      <alignment vertical="center"/>
      <protection locked="0"/>
    </xf>
    <xf numFmtId="43" fontId="34" fillId="0" borderId="8" xfId="1" applyFont="1" applyBorder="1" applyAlignment="1" applyProtection="1">
      <alignment vertical="center"/>
    </xf>
    <xf numFmtId="49" fontId="34" fillId="0" borderId="8" xfId="55" applyNumberFormat="1" applyFont="1" applyBorder="1" applyAlignment="1" applyProtection="1">
      <alignment horizontal="center" vertical="center"/>
    </xf>
    <xf numFmtId="43" fontId="5" fillId="5" borderId="8" xfId="1" applyFont="1" applyFill="1" applyBorder="1" applyAlignment="1" applyProtection="1">
      <alignment horizontal="left" vertical="center"/>
      <protection locked="0"/>
    </xf>
    <xf numFmtId="43" fontId="7" fillId="0" borderId="8" xfId="1" applyFont="1" applyBorder="1" applyAlignment="1" applyProtection="1">
      <alignment horizontal="left" vertical="center"/>
      <protection locked="0"/>
    </xf>
    <xf numFmtId="14" fontId="7" fillId="0" borderId="8" xfId="0" applyNumberFormat="1" applyFont="1" applyBorder="1" applyAlignment="1">
      <alignment horizontal="center" vertical="center" wrapText="1"/>
      <protection locked="0"/>
    </xf>
    <xf numFmtId="43" fontId="7" fillId="0" borderId="8" xfId="1" applyFont="1" applyBorder="1" applyAlignment="1" applyProtection="1">
      <alignment vertical="center"/>
    </xf>
    <xf numFmtId="0" fontId="7" fillId="0" borderId="8" xfId="0" applyFont="1" applyBorder="1" applyAlignment="1" applyProtection="1">
      <alignment horizontal="center" vertical="center"/>
    </xf>
    <xf numFmtId="9" fontId="7" fillId="0" borderId="8" xfId="0" applyNumberFormat="1" applyFont="1" applyBorder="1" applyAlignment="1" applyProtection="1">
      <alignment horizontal="center" vertical="center"/>
    </xf>
    <xf numFmtId="43" fontId="7" fillId="0" borderId="8" xfId="1" applyFont="1" applyBorder="1" applyAlignment="1" applyProtection="1">
      <alignment horizontal="right" vertical="center" wrapText="1" shrinkToFit="1"/>
      <protection locked="0"/>
    </xf>
    <xf numFmtId="49" fontId="7" fillId="0" borderId="8" xfId="0" applyNumberFormat="1" applyFont="1" applyBorder="1" applyAlignment="1">
      <alignment vertical="center" wrapText="1"/>
      <protection locked="0"/>
    </xf>
    <xf numFmtId="14" fontId="7" fillId="0" borderId="8" xfId="0" applyNumberFormat="1" applyFont="1" applyBorder="1" applyAlignment="1">
      <alignment vertical="center" wrapText="1"/>
      <protection locked="0"/>
    </xf>
    <xf numFmtId="43" fontId="43" fillId="5" borderId="8" xfId="1" applyFont="1" applyFill="1" applyBorder="1" applyAlignment="1">
      <alignment horizontal="right" vertical="center" wrapText="1"/>
    </xf>
    <xf numFmtId="10" fontId="43" fillId="5" borderId="8" xfId="2" applyNumberFormat="1" applyFont="1" applyFill="1" applyBorder="1" applyAlignment="1">
      <alignment horizontal="right" vertical="center" wrapText="1"/>
    </xf>
    <xf numFmtId="0" fontId="7" fillId="0" borderId="8" xfId="0" applyNumberFormat="1" applyFont="1" applyBorder="1" applyAlignment="1">
      <alignment horizontal="center" vertical="center" wrapText="1"/>
      <protection locked="0"/>
    </xf>
    <xf numFmtId="14" fontId="7" fillId="5" borderId="8" xfId="0" applyNumberFormat="1" applyFont="1" applyFill="1" applyBorder="1" applyAlignment="1">
      <alignment vertical="center" wrapText="1"/>
      <protection locked="0"/>
    </xf>
    <xf numFmtId="49" fontId="7" fillId="5" borderId="8" xfId="0" applyNumberFormat="1" applyFont="1" applyFill="1" applyBorder="1" applyAlignment="1">
      <alignment horizontal="justify" vertical="center"/>
      <protection locked="0"/>
    </xf>
    <xf numFmtId="49" fontId="7" fillId="5" borderId="8" xfId="0" applyNumberFormat="1" applyFont="1" applyFill="1" applyBorder="1" applyAlignment="1">
      <alignment horizontal="justify" vertical="center" wrapText="1"/>
      <protection locked="0"/>
    </xf>
    <xf numFmtId="49" fontId="7" fillId="0" borderId="8" xfId="1" applyNumberFormat="1" applyFont="1" applyBorder="1" applyAlignment="1" applyProtection="1">
      <alignment horizontal="center" vertical="center"/>
      <protection locked="0"/>
    </xf>
    <xf numFmtId="49" fontId="7" fillId="0" borderId="8" xfId="0" applyNumberFormat="1" applyFont="1" applyBorder="1" applyAlignment="1">
      <alignment horizontal="center" vertical="center" shrinkToFit="1"/>
      <protection locked="0"/>
    </xf>
    <xf numFmtId="198" fontId="5" fillId="5" borderId="8" xfId="1" applyNumberFormat="1" applyFont="1" applyFill="1" applyBorder="1" applyAlignment="1">
      <alignment vertical="center"/>
    </xf>
    <xf numFmtId="43" fontId="5" fillId="5" borderId="8" xfId="1" applyFont="1" applyFill="1" applyBorder="1" applyAlignment="1">
      <alignment vertical="center"/>
    </xf>
    <xf numFmtId="197" fontId="7" fillId="5" borderId="8" xfId="0" applyNumberFormat="1" applyFont="1" applyFill="1" applyBorder="1" applyAlignment="1">
      <alignment vertical="center"/>
      <protection locked="0"/>
    </xf>
    <xf numFmtId="49" fontId="7" fillId="0" borderId="8" xfId="47" applyNumberFormat="1" applyFont="1" applyBorder="1" applyAlignment="1" applyProtection="1">
      <alignment horizontal="center" vertical="center"/>
      <protection locked="0"/>
    </xf>
    <xf numFmtId="49" fontId="7" fillId="0" borderId="0" xfId="1" applyNumberFormat="1" applyFont="1" applyFill="1" applyAlignment="1" applyProtection="1">
      <alignment horizontal="right" vertical="center" shrinkToFit="1"/>
    </xf>
    <xf numFmtId="43" fontId="33" fillId="5" borderId="8" xfId="1" applyFont="1" applyFill="1" applyBorder="1" applyAlignment="1">
      <alignment horizontal="right" vertical="center"/>
    </xf>
    <xf numFmtId="43" fontId="7" fillId="0" borderId="8" xfId="1" applyFont="1" applyFill="1" applyBorder="1" applyAlignment="1">
      <alignment vertical="center"/>
    </xf>
    <xf numFmtId="43" fontId="5" fillId="0" borderId="0" xfId="1" applyFont="1" applyAlignment="1" applyProtection="1">
      <alignment vertical="center"/>
      <protection locked="0"/>
    </xf>
    <xf numFmtId="49" fontId="7" fillId="0" borderId="8" xfId="0" applyNumberFormat="1" applyFont="1" applyBorder="1" applyAlignment="1">
      <alignment horizontal="center" vertical="center" wrapText="1"/>
      <protection locked="0"/>
    </xf>
    <xf numFmtId="10" fontId="7" fillId="5" borderId="8" xfId="2" applyNumberFormat="1" applyFont="1" applyFill="1" applyBorder="1" applyAlignment="1">
      <alignment vertical="center"/>
    </xf>
    <xf numFmtId="200" fontId="7" fillId="5" borderId="8" xfId="1" applyNumberFormat="1" applyFont="1" applyFill="1" applyBorder="1" applyAlignment="1">
      <alignment vertical="center"/>
    </xf>
    <xf numFmtId="43" fontId="7" fillId="5" borderId="8" xfId="1" applyNumberFormat="1" applyFont="1" applyFill="1" applyBorder="1" applyAlignment="1">
      <alignment vertical="center"/>
    </xf>
    <xf numFmtId="43" fontId="7" fillId="0" borderId="8" xfId="1" applyFont="1" applyBorder="1" applyAlignment="1" applyProtection="1">
      <alignment horizontal="center" vertical="center"/>
      <protection locked="0"/>
    </xf>
    <xf numFmtId="14" fontId="7" fillId="0" borderId="8" xfId="47" applyNumberFormat="1" applyFont="1" applyBorder="1" applyAlignment="1" applyProtection="1">
      <alignment horizontal="center" vertical="center" shrinkToFit="1"/>
      <protection locked="0"/>
    </xf>
    <xf numFmtId="43" fontId="5" fillId="5" borderId="8" xfId="1" applyFont="1" applyFill="1" applyBorder="1" applyAlignment="1">
      <alignment horizontal="right" vertical="center"/>
    </xf>
    <xf numFmtId="43" fontId="5" fillId="0" borderId="8" xfId="47" applyNumberFormat="1" applyFont="1" applyBorder="1" applyAlignment="1" applyProtection="1">
      <alignment horizontal="center" vertical="center" shrinkToFit="1"/>
      <protection locked="0"/>
    </xf>
    <xf numFmtId="43" fontId="7" fillId="0" borderId="8" xfId="1" applyFont="1" applyBorder="1" applyAlignment="1" applyProtection="1">
      <alignment horizontal="right" vertical="center" shrinkToFit="1"/>
      <protection locked="0"/>
    </xf>
    <xf numFmtId="0" fontId="7" fillId="0" borderId="8" xfId="47" applyNumberFormat="1" applyFont="1" applyBorder="1" applyAlignment="1" applyProtection="1">
      <alignment horizontal="left" vertical="center" shrinkToFit="1"/>
      <protection locked="0"/>
    </xf>
    <xf numFmtId="43" fontId="7" fillId="0" borderId="8" xfId="1" applyFont="1" applyBorder="1" applyAlignment="1" applyProtection="1">
      <alignment vertical="center"/>
      <protection locked="0"/>
    </xf>
    <xf numFmtId="10" fontId="7" fillId="0" borderId="8" xfId="2" applyNumberFormat="1" applyFont="1" applyBorder="1" applyAlignment="1">
      <alignment horizontal="center" vertical="center" wrapText="1"/>
    </xf>
    <xf numFmtId="14" fontId="7" fillId="0" borderId="8" xfId="47" applyNumberFormat="1" applyFont="1" applyBorder="1" applyAlignment="1">
      <alignment horizontal="center" vertical="center" wrapText="1"/>
    </xf>
    <xf numFmtId="0" fontId="7" fillId="0" borderId="8" xfId="47" applyNumberFormat="1" applyFont="1" applyBorder="1" applyAlignment="1">
      <alignment horizontal="center" vertical="center" wrapText="1"/>
    </xf>
    <xf numFmtId="49" fontId="7" fillId="0" borderId="8" xfId="47" applyNumberFormat="1" applyFont="1" applyBorder="1" applyAlignment="1">
      <alignment horizontal="center" vertical="center" wrapText="1"/>
    </xf>
    <xf numFmtId="14" fontId="7" fillId="0" borderId="8" xfId="0" applyNumberFormat="1" applyFont="1" applyBorder="1" applyAlignment="1">
      <alignment horizontal="center" vertical="center"/>
      <protection locked="0"/>
    </xf>
    <xf numFmtId="14" fontId="7" fillId="0" borderId="8" xfId="47" applyNumberFormat="1" applyFont="1" applyBorder="1" applyAlignment="1" applyProtection="1">
      <alignment vertical="center"/>
      <protection locked="0"/>
    </xf>
    <xf numFmtId="200" fontId="7" fillId="0" borderId="8" xfId="1" applyNumberFormat="1" applyFont="1" applyBorder="1" applyAlignment="1" applyProtection="1">
      <alignment vertical="center"/>
      <protection locked="0"/>
    </xf>
    <xf numFmtId="43" fontId="92" fillId="0" borderId="0" xfId="1" applyFont="1" applyAlignment="1" applyProtection="1">
      <alignment vertical="center"/>
      <protection locked="0"/>
    </xf>
    <xf numFmtId="43" fontId="92" fillId="0" borderId="0" xfId="1" applyFont="1" applyAlignment="1" applyProtection="1">
      <alignment horizontal="left" vertical="center"/>
      <protection locked="0"/>
    </xf>
    <xf numFmtId="0" fontId="33" fillId="5" borderId="8" xfId="0" applyFont="1" applyFill="1" applyBorder="1" applyAlignment="1" applyProtection="1">
      <alignment horizontal="center" vertical="center"/>
    </xf>
    <xf numFmtId="0" fontId="5" fillId="10" borderId="5" xfId="60" applyFont="1" applyFill="1" applyBorder="1" applyAlignment="1">
      <alignment horizontal="center" vertical="center"/>
      <protection locked="0"/>
    </xf>
    <xf numFmtId="0" fontId="49" fillId="0" borderId="0" xfId="0" applyNumberFormat="1" applyFont="1" applyAlignment="1">
      <alignment horizontal="right" vertical="center"/>
      <protection locked="0"/>
    </xf>
    <xf numFmtId="0" fontId="49" fillId="0" borderId="0" xfId="0" applyNumberFormat="1" applyFont="1" applyAlignment="1">
      <alignment horizontal="left" vertical="center"/>
      <protection locked="0"/>
    </xf>
    <xf numFmtId="0" fontId="7" fillId="0" borderId="0" xfId="1" applyNumberFormat="1" applyFont="1" applyAlignment="1" applyProtection="1">
      <alignment vertical="center"/>
      <protection locked="0"/>
    </xf>
    <xf numFmtId="0" fontId="80" fillId="0" borderId="0" xfId="45" applyNumberFormat="1" applyFont="1" applyAlignment="1" applyProtection="1">
      <alignment horizontal="left" vertical="center"/>
      <protection locked="0"/>
    </xf>
    <xf numFmtId="0" fontId="7" fillId="0" borderId="0" xfId="52" applyNumberFormat="1" applyFont="1">
      <alignment vertical="center"/>
      <protection locked="0"/>
    </xf>
    <xf numFmtId="0" fontId="7" fillId="0" borderId="0" xfId="51" applyNumberFormat="1" applyFont="1">
      <alignment vertical="center"/>
    </xf>
    <xf numFmtId="0" fontId="7" fillId="0" borderId="0" xfId="1" applyNumberFormat="1" applyFont="1" applyBorder="1" applyAlignment="1" applyProtection="1">
      <alignment horizontal="left" vertical="center"/>
      <protection locked="0"/>
    </xf>
    <xf numFmtId="0" fontId="7" fillId="0" borderId="0" xfId="1" applyNumberFormat="1" applyFont="1" applyBorder="1" applyAlignment="1" applyProtection="1">
      <alignment vertical="center" wrapText="1"/>
      <protection locked="0"/>
    </xf>
    <xf numFmtId="0" fontId="5" fillId="0" borderId="0" xfId="1" applyNumberFormat="1" applyFont="1" applyAlignment="1" applyProtection="1">
      <alignment horizontal="left" vertical="center"/>
      <protection locked="0"/>
    </xf>
    <xf numFmtId="0" fontId="5" fillId="0" borderId="0" xfId="1" applyNumberFormat="1" applyFont="1" applyAlignment="1" applyProtection="1">
      <alignment horizontal="justify" vertical="center"/>
      <protection locked="0"/>
    </xf>
    <xf numFmtId="0" fontId="7" fillId="0" borderId="0" xfId="51" applyNumberFormat="1" applyFont="1" applyAlignment="1">
      <alignment horizontal="left" vertical="center"/>
    </xf>
    <xf numFmtId="198" fontId="7" fillId="5" borderId="2" xfId="1" applyNumberFormat="1" applyFont="1" applyFill="1" applyBorder="1" applyAlignment="1">
      <alignment vertical="center"/>
    </xf>
    <xf numFmtId="0" fontId="5" fillId="0" borderId="0" xfId="35" applyFont="1" applyBorder="1" applyAlignment="1">
      <alignment horizontal="left" vertical="center"/>
      <protection locked="0"/>
    </xf>
    <xf numFmtId="0" fontId="5" fillId="0" borderId="0" xfId="0" applyFont="1" applyFill="1" applyBorder="1" applyAlignment="1">
      <alignment horizontal="center" vertical="center" shrinkToFit="1"/>
      <protection locked="0"/>
    </xf>
    <xf numFmtId="198" fontId="7" fillId="0" borderId="0" xfId="1" applyNumberFormat="1" applyFont="1" applyFill="1" applyBorder="1" applyAlignment="1">
      <alignment vertical="center"/>
    </xf>
    <xf numFmtId="0" fontId="5" fillId="5" borderId="8" xfId="0" applyFont="1" applyFill="1" applyBorder="1" applyAlignment="1">
      <alignment horizontal="center" vertical="center" wrapText="1"/>
      <protection locked="0"/>
    </xf>
    <xf numFmtId="0" fontId="7" fillId="5" borderId="8" xfId="0" applyFont="1" applyFill="1" applyBorder="1" applyAlignment="1" applyProtection="1">
      <alignment horizontal="right" vertical="center"/>
    </xf>
    <xf numFmtId="0" fontId="53" fillId="5" borderId="8" xfId="0" applyFont="1" applyFill="1" applyBorder="1" applyAlignment="1" applyProtection="1">
      <alignment horizontal="center" vertical="center" wrapText="1"/>
    </xf>
    <xf numFmtId="43" fontId="5" fillId="5" borderId="2" xfId="1" applyFont="1" applyFill="1" applyBorder="1" applyAlignment="1">
      <alignment horizontal="right" vertical="center" wrapText="1"/>
    </xf>
    <xf numFmtId="43" fontId="5" fillId="0" borderId="2" xfId="1" applyFont="1" applyBorder="1" applyAlignment="1" applyProtection="1">
      <alignment horizontal="right" vertical="center" wrapText="1"/>
      <protection locked="0"/>
    </xf>
    <xf numFmtId="0" fontId="7" fillId="0" borderId="0" xfId="0" applyFont="1" applyBorder="1" applyAlignment="1" applyProtection="1">
      <alignment vertical="center"/>
    </xf>
    <xf numFmtId="0" fontId="53" fillId="0" borderId="0" xfId="0" applyFont="1" applyFill="1" applyBorder="1" applyAlignment="1">
      <alignment horizontal="left" vertical="center"/>
      <protection locked="0"/>
    </xf>
    <xf numFmtId="201" fontId="18" fillId="0" borderId="0" xfId="58" applyNumberFormat="1" applyFont="1" applyAlignment="1">
      <alignment horizontal="left" vertical="center"/>
      <protection locked="0"/>
    </xf>
    <xf numFmtId="43" fontId="16" fillId="0" borderId="0" xfId="4" applyNumberFormat="1" applyFont="1" applyBorder="1" applyAlignment="1">
      <alignment vertical="center"/>
    </xf>
    <xf numFmtId="0" fontId="75" fillId="0" borderId="0" xfId="0" applyFont="1" applyAlignment="1">
      <alignment vertical="center"/>
      <protection locked="0"/>
    </xf>
    <xf numFmtId="0" fontId="16" fillId="0" borderId="0" xfId="0" applyFont="1">
      <protection locked="0"/>
    </xf>
    <xf numFmtId="0" fontId="16" fillId="0" borderId="0" xfId="0" applyFont="1" applyAlignment="1">
      <alignment vertical="center" wrapText="1"/>
      <protection locked="0"/>
    </xf>
    <xf numFmtId="0" fontId="16" fillId="0" borderId="0" xfId="0" applyFont="1" applyAlignment="1">
      <alignment horizontal="left" vertical="center"/>
      <protection locked="0"/>
    </xf>
    <xf numFmtId="191" fontId="75" fillId="0" borderId="0" xfId="47" applyFont="1" applyAlignment="1" applyProtection="1">
      <alignment vertical="center"/>
      <protection locked="0"/>
    </xf>
    <xf numFmtId="0" fontId="7" fillId="0" borderId="5" xfId="0" applyFont="1" applyBorder="1" applyAlignment="1">
      <alignment horizontal="center" vertical="center"/>
      <protection locked="0"/>
    </xf>
    <xf numFmtId="49" fontId="7" fillId="0" borderId="12" xfId="52" applyNumberFormat="1" applyFont="1" applyFill="1" applyBorder="1" applyAlignment="1">
      <alignment horizontal="left" vertical="center" wrapText="1"/>
      <protection locked="0"/>
    </xf>
    <xf numFmtId="191" fontId="74" fillId="0" borderId="8" xfId="58" applyFont="1" applyFill="1" applyBorder="1" applyAlignment="1" applyProtection="1">
      <alignment horizontal="center" vertical="center" wrapText="1"/>
    </xf>
    <xf numFmtId="191" fontId="54" fillId="0" borderId="8" xfId="58" applyFont="1" applyFill="1" applyBorder="1" applyAlignment="1" applyProtection="1">
      <alignment horizontal="center" vertical="center" wrapText="1"/>
    </xf>
    <xf numFmtId="0" fontId="5" fillId="0" borderId="8" xfId="49" applyFont="1" applyFill="1" applyBorder="1" applyAlignment="1" applyProtection="1">
      <alignment horizontal="center" vertical="center" wrapText="1"/>
      <protection locked="0"/>
    </xf>
    <xf numFmtId="0" fontId="7" fillId="0" borderId="8" xfId="49" applyFont="1" applyFill="1" applyBorder="1" applyAlignment="1" applyProtection="1">
      <alignment horizontal="center" vertical="center" wrapText="1"/>
      <protection locked="0"/>
    </xf>
    <xf numFmtId="0" fontId="7" fillId="0" borderId="8" xfId="57" applyFont="1" applyFill="1" applyBorder="1" applyAlignment="1" applyProtection="1">
      <alignment horizontal="center" vertical="center"/>
      <protection locked="0"/>
    </xf>
    <xf numFmtId="191" fontId="5" fillId="0" borderId="8" xfId="58" applyFont="1" applyFill="1" applyBorder="1" applyAlignment="1" applyProtection="1">
      <alignment horizontal="center" vertical="center"/>
      <protection locked="0"/>
    </xf>
    <xf numFmtId="191" fontId="7" fillId="0" borderId="8" xfId="58" applyFont="1" applyFill="1" applyBorder="1" applyAlignment="1" applyProtection="1">
      <alignment horizontal="center" vertical="center"/>
      <protection locked="0"/>
    </xf>
    <xf numFmtId="191" fontId="59" fillId="0" borderId="8" xfId="58" applyFont="1" applyFill="1" applyBorder="1" applyAlignment="1" applyProtection="1">
      <alignment horizontal="center" vertical="center" wrapText="1"/>
    </xf>
    <xf numFmtId="0" fontId="12" fillId="0" borderId="12" xfId="49" applyFont="1" applyFill="1" applyBorder="1" applyAlignment="1" applyProtection="1">
      <alignment horizontal="left" vertical="center" wrapText="1"/>
      <protection locked="0"/>
    </xf>
    <xf numFmtId="0" fontId="74" fillId="0" borderId="15" xfId="49" applyFont="1" applyFill="1" applyBorder="1" applyAlignment="1" applyProtection="1">
      <alignment horizontal="center" vertical="center" wrapText="1"/>
    </xf>
    <xf numFmtId="43" fontId="7" fillId="0" borderId="8" xfId="1" applyFont="1" applyFill="1" applyBorder="1" applyAlignment="1" applyProtection="1">
      <alignment horizontal="center" vertical="center"/>
      <protection locked="0"/>
    </xf>
    <xf numFmtId="0" fontId="7" fillId="0" borderId="14" xfId="49" applyFont="1" applyFill="1" applyBorder="1" applyAlignment="1" applyProtection="1">
      <alignment horizontal="center" vertical="center" wrapText="1"/>
      <protection locked="0"/>
    </xf>
    <xf numFmtId="191" fontId="7" fillId="0" borderId="8" xfId="52" applyFont="1" applyFill="1" applyBorder="1" applyAlignment="1" applyProtection="1">
      <alignment horizontal="center" vertical="center" wrapText="1"/>
      <protection locked="0"/>
    </xf>
    <xf numFmtId="0" fontId="5" fillId="0" borderId="8" xfId="57" applyFont="1" applyFill="1" applyBorder="1" applyAlignment="1" applyProtection="1">
      <alignment horizontal="center" vertical="center"/>
      <protection locked="0"/>
    </xf>
    <xf numFmtId="191" fontId="7" fillId="0" borderId="15" xfId="52" applyFont="1" applyFill="1" applyBorder="1" applyAlignment="1" applyProtection="1">
      <alignment horizontal="center" vertical="center" wrapText="1"/>
      <protection locked="0"/>
    </xf>
    <xf numFmtId="43" fontId="7" fillId="0" borderId="13" xfId="1" applyFont="1" applyFill="1" applyBorder="1" applyAlignment="1" applyProtection="1">
      <alignment vertical="center" wrapText="1"/>
      <protection locked="0"/>
    </xf>
    <xf numFmtId="191" fontId="12" fillId="0" borderId="12" xfId="52" applyFont="1" applyFill="1" applyBorder="1" applyAlignment="1" applyProtection="1">
      <alignment horizontal="left" vertical="center" wrapText="1"/>
      <protection locked="0"/>
    </xf>
    <xf numFmtId="191" fontId="12" fillId="0" borderId="12" xfId="52" applyFont="1" applyFill="1" applyBorder="1" applyAlignment="1">
      <alignment horizontal="left" vertical="center" wrapText="1"/>
      <protection locked="0"/>
    </xf>
    <xf numFmtId="49" fontId="7" fillId="0" borderId="8" xfId="1" applyNumberFormat="1" applyFont="1" applyFill="1" applyBorder="1" applyAlignment="1" applyProtection="1">
      <alignment horizontal="center" vertical="center"/>
      <protection locked="0"/>
    </xf>
    <xf numFmtId="0" fontId="74" fillId="0" borderId="8" xfId="1" applyNumberFormat="1" applyFont="1" applyFill="1" applyBorder="1" applyAlignment="1" applyProtection="1">
      <alignment horizontal="center" vertical="center" wrapText="1"/>
    </xf>
    <xf numFmtId="0" fontId="7" fillId="0" borderId="8" xfId="1" applyNumberFormat="1" applyFont="1" applyFill="1" applyBorder="1" applyAlignment="1" applyProtection="1">
      <alignment horizontal="center" vertical="center" wrapText="1"/>
      <protection locked="0"/>
    </xf>
    <xf numFmtId="0" fontId="12" fillId="0" borderId="8" xfId="52" applyNumberFormat="1" applyFont="1" applyFill="1" applyBorder="1" applyAlignment="1" applyProtection="1">
      <alignment horizontal="left" vertical="center" wrapText="1"/>
      <protection locked="0"/>
    </xf>
    <xf numFmtId="0" fontId="7" fillId="0" borderId="8" xfId="49" applyNumberFormat="1" applyFont="1" applyFill="1" applyBorder="1" applyAlignment="1" applyProtection="1">
      <alignment horizontal="left" vertical="center" wrapText="1"/>
      <protection locked="0"/>
    </xf>
    <xf numFmtId="0" fontId="7" fillId="0" borderId="8" xfId="1" applyNumberFormat="1" applyFont="1" applyFill="1" applyBorder="1" applyAlignment="1" applyProtection="1">
      <alignment vertical="center" wrapText="1"/>
      <protection locked="0"/>
    </xf>
    <xf numFmtId="0" fontId="12" fillId="0" borderId="8" xfId="1" applyNumberFormat="1" applyFont="1" applyFill="1" applyBorder="1" applyAlignment="1" applyProtection="1">
      <alignment horizontal="left" vertical="center" wrapText="1"/>
      <protection locked="0"/>
    </xf>
    <xf numFmtId="0" fontId="7" fillId="0" borderId="8" xfId="1" applyNumberFormat="1" applyFont="1" applyFill="1" applyBorder="1" applyAlignment="1" applyProtection="1">
      <alignment horizontal="left" vertical="center" wrapText="1"/>
      <protection locked="0"/>
    </xf>
    <xf numFmtId="0" fontId="7" fillId="0" borderId="8" xfId="52" applyNumberFormat="1" applyFont="1" applyFill="1" applyBorder="1" applyAlignment="1" applyProtection="1">
      <alignment horizontal="left" vertical="center" wrapText="1"/>
      <protection locked="0"/>
    </xf>
    <xf numFmtId="0" fontId="7" fillId="0" borderId="8" xfId="52" applyNumberFormat="1" applyFont="1" applyFill="1" applyBorder="1" applyAlignment="1">
      <alignment horizontal="left" vertical="center" wrapText="1"/>
      <protection locked="0"/>
    </xf>
    <xf numFmtId="0" fontId="7" fillId="0" borderId="8" xfId="1" applyNumberFormat="1" applyFont="1" applyFill="1" applyBorder="1" applyAlignment="1" applyProtection="1">
      <alignment horizontal="center" vertical="center"/>
      <protection locked="0"/>
    </xf>
    <xf numFmtId="0" fontId="53" fillId="0" borderId="8" xfId="1" applyNumberFormat="1" applyFont="1" applyFill="1" applyBorder="1" applyAlignment="1" applyProtection="1">
      <alignment horizontal="center" vertical="center" wrapText="1"/>
      <protection locked="0"/>
    </xf>
    <xf numFmtId="43" fontId="12" fillId="0" borderId="0" xfId="4" applyNumberFormat="1" applyFont="1" applyBorder="1" applyAlignment="1">
      <alignment vertical="center"/>
    </xf>
    <xf numFmtId="0" fontId="7" fillId="0" borderId="8" xfId="3" applyFont="1" applyBorder="1" applyAlignment="1">
      <alignment vertical="center"/>
    </xf>
    <xf numFmtId="0" fontId="7" fillId="0" borderId="8" xfId="3" applyFont="1" applyBorder="1" applyAlignment="1">
      <alignment horizontal="center" vertical="center"/>
    </xf>
    <xf numFmtId="43" fontId="7" fillId="5" borderId="8" xfId="3" applyNumberFormat="1" applyFont="1" applyFill="1" applyBorder="1" applyAlignment="1">
      <alignment vertical="center"/>
    </xf>
    <xf numFmtId="43" fontId="34" fillId="0" borderId="8" xfId="1" applyFont="1" applyFill="1" applyBorder="1" applyAlignment="1">
      <alignment horizontal="right" vertical="center"/>
    </xf>
    <xf numFmtId="0" fontId="3" fillId="5" borderId="15" xfId="0" applyFont="1" applyFill="1" applyBorder="1" applyAlignment="1">
      <alignment vertical="center"/>
      <protection locked="0"/>
    </xf>
    <xf numFmtId="43" fontId="3" fillId="5" borderId="15" xfId="1" applyFont="1" applyFill="1" applyBorder="1" applyAlignment="1">
      <alignment horizontal="center" vertical="center" wrapText="1"/>
    </xf>
    <xf numFmtId="43" fontId="3" fillId="5" borderId="8" xfId="1" applyFont="1" applyFill="1" applyBorder="1" applyAlignment="1">
      <alignment horizontal="center" vertical="center" wrapText="1"/>
    </xf>
    <xf numFmtId="14" fontId="3" fillId="5" borderId="8" xfId="1" applyNumberFormat="1" applyFont="1" applyFill="1" applyBorder="1" applyAlignment="1">
      <alignment horizontal="center" vertical="center" wrapText="1"/>
    </xf>
    <xf numFmtId="9" fontId="3" fillId="5" borderId="8" xfId="2" applyFont="1" applyFill="1" applyBorder="1" applyAlignment="1">
      <alignment horizontal="center" vertical="center" wrapText="1"/>
    </xf>
    <xf numFmtId="43" fontId="3" fillId="0" borderId="0" xfId="1" applyFont="1" applyAlignment="1">
      <alignment horizontal="center" vertical="center" wrapText="1"/>
    </xf>
    <xf numFmtId="43" fontId="3" fillId="5" borderId="15" xfId="1" applyFont="1" applyFill="1" applyBorder="1" applyAlignment="1">
      <alignment vertical="center" wrapText="1"/>
    </xf>
    <xf numFmtId="43" fontId="3" fillId="5" borderId="0" xfId="1" applyFont="1" applyFill="1" applyAlignment="1">
      <alignment horizontal="center" vertical="center" wrapText="1"/>
    </xf>
    <xf numFmtId="49" fontId="3" fillId="0" borderId="0" xfId="58" applyNumberFormat="1" applyFont="1" applyFill="1" applyAlignment="1" applyProtection="1">
      <alignment horizontal="left" vertical="center"/>
      <protection locked="0"/>
    </xf>
    <xf numFmtId="0" fontId="33" fillId="5" borderId="8" xfId="0" applyFont="1" applyFill="1" applyBorder="1" applyAlignment="1" applyProtection="1">
      <alignment vertical="center"/>
    </xf>
    <xf numFmtId="0" fontId="5" fillId="5" borderId="8" xfId="0" applyFont="1" applyFill="1" applyBorder="1" applyAlignment="1">
      <alignment horizontal="center" vertical="center" wrapText="1"/>
      <protection locked="0"/>
    </xf>
    <xf numFmtId="0" fontId="5" fillId="5" borderId="8" xfId="35" applyFont="1" applyFill="1" applyBorder="1" applyAlignment="1">
      <alignment horizontal="center" vertical="center" wrapText="1"/>
      <protection locked="0"/>
    </xf>
    <xf numFmtId="0" fontId="7" fillId="0" borderId="0" xfId="35" applyFont="1" applyFill="1" applyAlignment="1" applyProtection="1">
      <alignment horizontal="left" vertical="center"/>
    </xf>
    <xf numFmtId="0" fontId="7" fillId="0" borderId="0" xfId="36" applyFont="1" applyFill="1">
      <protection locked="0"/>
    </xf>
    <xf numFmtId="0" fontId="7" fillId="0" borderId="0" xfId="0" applyFont="1" applyFill="1" applyAlignment="1">
      <alignment horizontal="right" vertical="center"/>
      <protection locked="0"/>
    </xf>
    <xf numFmtId="49" fontId="5" fillId="0" borderId="0" xfId="0" applyNumberFormat="1" applyFont="1" applyFill="1" applyAlignment="1">
      <alignment vertical="center"/>
      <protection locked="0"/>
    </xf>
    <xf numFmtId="49" fontId="7" fillId="0" borderId="0" xfId="0" applyNumberFormat="1" applyFont="1" applyFill="1" applyAlignment="1">
      <alignment vertical="center" wrapText="1"/>
      <protection locked="0"/>
    </xf>
    <xf numFmtId="49" fontId="7" fillId="0" borderId="0" xfId="36" applyNumberFormat="1" applyFont="1" applyFill="1">
      <protection locked="0"/>
    </xf>
    <xf numFmtId="49" fontId="7" fillId="0" borderId="0" xfId="0" applyNumberFormat="1" applyFont="1" applyFill="1" applyAlignment="1">
      <alignment vertical="center"/>
      <protection locked="0"/>
    </xf>
    <xf numFmtId="49" fontId="7" fillId="0" borderId="0" xfId="51" applyNumberFormat="1" applyFont="1" applyFill="1">
      <alignment vertical="center"/>
    </xf>
    <xf numFmtId="14" fontId="7" fillId="0" borderId="0" xfId="0" applyNumberFormat="1" applyFont="1" applyFill="1" applyAlignment="1">
      <alignment vertical="center"/>
      <protection locked="0"/>
    </xf>
    <xf numFmtId="49" fontId="33" fillId="0" borderId="0" xfId="35" applyNumberFormat="1" applyFont="1" applyFill="1" applyAlignment="1" applyProtection="1">
      <alignment vertical="center"/>
    </xf>
    <xf numFmtId="0" fontId="7" fillId="0" borderId="0" xfId="35" applyFont="1" applyFill="1" applyAlignment="1">
      <alignment horizontal="right" vertical="center"/>
      <protection locked="0"/>
    </xf>
    <xf numFmtId="0" fontId="7" fillId="0" borderId="0" xfId="35" applyFont="1" applyFill="1" applyAlignment="1">
      <alignment vertical="center"/>
      <protection locked="0"/>
    </xf>
    <xf numFmtId="0" fontId="7" fillId="0" borderId="0" xfId="35" applyFont="1" applyFill="1" applyAlignment="1">
      <alignment horizontal="justify" vertical="center" wrapText="1"/>
      <protection locked="0"/>
    </xf>
    <xf numFmtId="49" fontId="34" fillId="0" borderId="0" xfId="35" applyNumberFormat="1" applyFont="1" applyFill="1" applyAlignment="1" applyProtection="1">
      <alignment vertical="center"/>
    </xf>
    <xf numFmtId="49" fontId="34" fillId="0" borderId="0" xfId="35" applyNumberFormat="1" applyFont="1" applyFill="1" applyAlignment="1" applyProtection="1">
      <alignment horizontal="left" vertical="center" wrapText="1"/>
    </xf>
    <xf numFmtId="49" fontId="33" fillId="0" borderId="0" xfId="35" applyNumberFormat="1" applyFont="1" applyFill="1" applyAlignment="1" applyProtection="1">
      <alignment horizontal="left" vertical="center" wrapText="1"/>
    </xf>
    <xf numFmtId="191" fontId="7" fillId="0" borderId="0" xfId="47" applyFont="1" applyFill="1" applyAlignment="1">
      <alignment horizontal="left" vertical="center" wrapText="1"/>
    </xf>
    <xf numFmtId="0" fontId="7" fillId="0" borderId="0" xfId="44" applyFont="1" applyFill="1" applyAlignment="1" applyProtection="1">
      <alignment vertical="center"/>
      <protection locked="0"/>
    </xf>
    <xf numFmtId="0" fontId="34" fillId="0" borderId="0" xfId="35" applyFont="1" applyFill="1" applyAlignment="1" applyProtection="1">
      <alignment vertical="center"/>
    </xf>
    <xf numFmtId="0" fontId="33" fillId="0" borderId="0" xfId="35" applyFont="1" applyFill="1" applyAlignment="1" applyProtection="1">
      <alignment horizontal="left" vertical="center" wrapText="1"/>
    </xf>
    <xf numFmtId="191" fontId="5" fillId="0" borderId="0" xfId="59" applyFont="1" applyFill="1" applyAlignment="1">
      <alignment horizontal="left" vertical="center"/>
    </xf>
    <xf numFmtId="191" fontId="7" fillId="0" borderId="0" xfId="58" applyFont="1" applyFill="1">
      <protection locked="0"/>
    </xf>
    <xf numFmtId="0" fontId="5" fillId="0" borderId="0" xfId="44" applyFont="1" applyFill="1" applyAlignment="1">
      <alignment horizontal="left" vertical="center"/>
    </xf>
    <xf numFmtId="0" fontId="5" fillId="0" borderId="0" xfId="44" applyFont="1" applyFill="1" applyAlignment="1">
      <alignment horizontal="left" vertical="center" wrapText="1"/>
    </xf>
    <xf numFmtId="49" fontId="5" fillId="0" borderId="0" xfId="44" applyNumberFormat="1" applyFont="1" applyFill="1" applyAlignment="1">
      <alignment horizontal="left" vertical="center" wrapText="1"/>
    </xf>
    <xf numFmtId="49" fontId="5" fillId="0" borderId="0" xfId="44" applyNumberFormat="1" applyFont="1" applyFill="1" applyAlignment="1">
      <alignment horizontal="left" vertical="center"/>
    </xf>
    <xf numFmtId="49" fontId="7" fillId="0" borderId="0" xfId="44" applyNumberFormat="1" applyFont="1" applyFill="1" applyAlignment="1" applyProtection="1">
      <alignment vertical="center"/>
      <protection locked="0"/>
    </xf>
    <xf numFmtId="191" fontId="7" fillId="0" borderId="0" xfId="59" applyFont="1" applyFill="1" applyAlignment="1">
      <alignment horizontal="left" vertical="center"/>
    </xf>
    <xf numFmtId="191" fontId="76" fillId="0" borderId="0" xfId="59" applyFont="1" applyFill="1" applyAlignment="1">
      <alignment horizontal="left" vertical="center"/>
    </xf>
    <xf numFmtId="0" fontId="7" fillId="0" borderId="0" xfId="0" applyFont="1" applyFill="1">
      <protection locked="0"/>
    </xf>
    <xf numFmtId="191" fontId="75" fillId="0" borderId="0" xfId="59" applyFont="1" applyFill="1" applyAlignment="1">
      <alignment horizontal="left" vertical="center"/>
    </xf>
    <xf numFmtId="0" fontId="76" fillId="0" borderId="0" xfId="44" applyFont="1" applyFill="1" applyAlignment="1">
      <alignment horizontal="left" vertical="center"/>
    </xf>
    <xf numFmtId="0" fontId="7" fillId="0" borderId="0" xfId="44" applyFont="1" applyFill="1" applyAlignment="1">
      <alignment horizontal="left" vertical="center"/>
    </xf>
    <xf numFmtId="0" fontId="43" fillId="5" borderId="8" xfId="0" applyFont="1" applyFill="1" applyBorder="1" applyAlignment="1">
      <alignment horizontal="center" vertical="center" wrapText="1"/>
      <protection locked="0"/>
    </xf>
    <xf numFmtId="191" fontId="43" fillId="11" borderId="8" xfId="35" applyNumberFormat="1" applyFont="1" applyFill="1" applyBorder="1" applyAlignment="1" applyProtection="1">
      <alignment horizontal="center" vertical="center"/>
    </xf>
    <xf numFmtId="191" fontId="43" fillId="11" borderId="8" xfId="35" applyNumberFormat="1" applyFont="1" applyFill="1" applyBorder="1" applyAlignment="1" applyProtection="1">
      <alignment horizontal="center" vertical="center" wrapText="1"/>
    </xf>
    <xf numFmtId="0" fontId="5" fillId="0" borderId="0" xfId="44" applyFont="1" applyFill="1" applyAlignment="1">
      <alignment vertical="center" wrapText="1"/>
    </xf>
    <xf numFmtId="0" fontId="7" fillId="0" borderId="0" xfId="44" applyFont="1" applyFill="1" applyAlignment="1" applyProtection="1">
      <alignment vertical="center" wrapText="1"/>
      <protection locked="0"/>
    </xf>
    <xf numFmtId="0" fontId="7" fillId="0" borderId="0" xfId="44" applyFont="1" applyFill="1" applyAlignment="1">
      <alignment vertical="center"/>
    </xf>
    <xf numFmtId="191" fontId="7" fillId="0" borderId="0" xfId="59" applyFont="1" applyFill="1" applyAlignment="1" applyProtection="1">
      <alignment vertical="center" wrapText="1"/>
      <protection locked="0"/>
    </xf>
    <xf numFmtId="0" fontId="5" fillId="0" borderId="0" xfId="44" applyFont="1" applyFill="1" applyAlignment="1">
      <alignment vertical="center"/>
    </xf>
    <xf numFmtId="0" fontId="17" fillId="0" borderId="0" xfId="44" applyFont="1" applyFill="1" applyAlignment="1" applyProtection="1">
      <alignment vertical="center"/>
      <protection hidden="1"/>
    </xf>
    <xf numFmtId="0" fontId="7" fillId="0" borderId="0" xfId="44" applyFont="1" applyFill="1" applyAlignment="1" applyProtection="1">
      <alignment vertical="center"/>
      <protection hidden="1"/>
    </xf>
    <xf numFmtId="0" fontId="17" fillId="0" borderId="0" xfId="44" applyFont="1" applyFill="1" applyAlignment="1" applyProtection="1">
      <alignment vertical="center"/>
      <protection locked="0"/>
    </xf>
    <xf numFmtId="0" fontId="14" fillId="0" borderId="0" xfId="0" applyFont="1" applyFill="1" applyAlignment="1">
      <alignment vertical="center"/>
      <protection locked="0"/>
    </xf>
    <xf numFmtId="0" fontId="12" fillId="0" borderId="0" xfId="0" applyFont="1" applyFill="1" applyAlignment="1">
      <alignment vertical="center"/>
      <protection locked="0"/>
    </xf>
    <xf numFmtId="0" fontId="95" fillId="0" borderId="0" xfId="0" applyFont="1" applyFill="1" applyAlignment="1">
      <alignment vertical="center"/>
      <protection locked="0"/>
    </xf>
    <xf numFmtId="0" fontId="96" fillId="0" borderId="0" xfId="0" applyFont="1" applyFill="1" applyAlignment="1">
      <alignment vertical="center" wrapText="1"/>
      <protection locked="0"/>
    </xf>
    <xf numFmtId="0" fontId="7" fillId="0" borderId="0" xfId="0" applyFont="1" applyFill="1" applyAlignment="1">
      <alignment vertical="center" wrapText="1"/>
      <protection locked="0"/>
    </xf>
    <xf numFmtId="0" fontId="5" fillId="0" borderId="0" xfId="35" applyFont="1" applyFill="1" applyAlignment="1">
      <alignment vertical="center"/>
      <protection locked="0"/>
    </xf>
    <xf numFmtId="0" fontId="41" fillId="0" borderId="0" xfId="35" applyFont="1" applyFill="1" applyAlignment="1" applyProtection="1">
      <alignment horizontal="center"/>
    </xf>
    <xf numFmtId="0" fontId="7" fillId="0" borderId="0" xfId="43" applyFont="1" applyFill="1">
      <alignment vertical="center"/>
    </xf>
    <xf numFmtId="14" fontId="7" fillId="0" borderId="5" xfId="1" applyNumberFormat="1" applyFont="1" applyFill="1" applyBorder="1" applyAlignment="1">
      <alignment vertical="center" shrinkToFit="1"/>
    </xf>
    <xf numFmtId="0" fontId="7" fillId="0" borderId="8" xfId="1" applyNumberFormat="1" applyFont="1" applyFill="1" applyBorder="1" applyAlignment="1">
      <alignment vertical="center"/>
    </xf>
    <xf numFmtId="49" fontId="7" fillId="0" borderId="8" xfId="1" applyNumberFormat="1" applyFont="1" applyFill="1" applyBorder="1" applyAlignment="1">
      <alignment vertical="center"/>
    </xf>
    <xf numFmtId="14" fontId="7" fillId="0" borderId="8" xfId="1" applyNumberFormat="1" applyFont="1" applyFill="1" applyBorder="1" applyAlignment="1">
      <alignment horizontal="center" vertical="center"/>
    </xf>
    <xf numFmtId="0" fontId="7" fillId="0" borderId="8" xfId="1" applyNumberFormat="1" applyFont="1" applyFill="1" applyBorder="1" applyAlignment="1">
      <alignment horizontal="center" vertical="center"/>
    </xf>
    <xf numFmtId="9" fontId="7" fillId="0" borderId="8" xfId="2" applyFont="1" applyFill="1" applyBorder="1" applyAlignment="1">
      <alignment horizontal="center" vertical="center"/>
    </xf>
    <xf numFmtId="0" fontId="7" fillId="0" borderId="0" xfId="35" applyFont="1" applyFill="1" applyAlignment="1">
      <alignment vertical="center" wrapText="1"/>
      <protection locked="0"/>
    </xf>
    <xf numFmtId="0" fontId="7" fillId="0" borderId="0" xfId="0" applyFont="1" applyFill="1" applyAlignment="1" applyProtection="1">
      <alignment vertical="center"/>
    </xf>
    <xf numFmtId="191" fontId="7" fillId="0" borderId="0" xfId="51" applyFont="1" applyFill="1">
      <alignment vertical="center"/>
    </xf>
    <xf numFmtId="0" fontId="44" fillId="5" borderId="0" xfId="0" applyFont="1" applyFill="1" applyAlignment="1">
      <alignment vertical="center"/>
      <protection locked="0"/>
    </xf>
    <xf numFmtId="191" fontId="76" fillId="0" borderId="0" xfId="47" applyFont="1" applyFill="1" applyAlignment="1">
      <alignment horizontal="left" vertical="center"/>
    </xf>
    <xf numFmtId="0" fontId="7" fillId="0" borderId="0" xfId="47" applyNumberFormat="1" applyFont="1" applyFill="1" applyAlignment="1">
      <alignment horizontal="left" vertical="center"/>
    </xf>
    <xf numFmtId="0" fontId="7" fillId="0" borderId="0" xfId="44" applyNumberFormat="1" applyFont="1" applyFill="1" applyAlignment="1" applyProtection="1">
      <alignment vertical="center" wrapText="1"/>
      <protection locked="0"/>
    </xf>
    <xf numFmtId="0" fontId="7" fillId="0" borderId="0" xfId="47" applyNumberFormat="1" applyFont="1" applyFill="1" applyAlignment="1">
      <alignment horizontal="left" vertical="center" wrapText="1"/>
    </xf>
    <xf numFmtId="0" fontId="7" fillId="0" borderId="8" xfId="47" applyNumberFormat="1" applyFont="1" applyFill="1" applyBorder="1" applyAlignment="1" applyProtection="1">
      <alignment vertical="center"/>
      <protection locked="0"/>
    </xf>
    <xf numFmtId="49" fontId="3" fillId="0" borderId="0" xfId="1" applyNumberFormat="1" applyFont="1" applyFill="1" applyAlignment="1" applyProtection="1">
      <alignment horizontal="left" vertical="center"/>
    </xf>
    <xf numFmtId="0" fontId="87" fillId="0" borderId="0" xfId="0" applyFont="1" applyAlignment="1">
      <alignment horizontal="center" vertical="center"/>
      <protection locked="0"/>
    </xf>
    <xf numFmtId="191" fontId="75" fillId="0" borderId="0" xfId="61" applyFont="1" applyFill="1" applyAlignment="1">
      <alignment horizontal="left" vertical="center"/>
    </xf>
    <xf numFmtId="0" fontId="75" fillId="0" borderId="0" xfId="44" applyFont="1" applyAlignment="1">
      <alignment horizontal="left" vertical="center"/>
    </xf>
    <xf numFmtId="0" fontId="53" fillId="0" borderId="0" xfId="35" applyFont="1" applyBorder="1" applyAlignment="1">
      <alignment vertical="center"/>
      <protection locked="0"/>
    </xf>
    <xf numFmtId="0" fontId="10" fillId="0" borderId="0" xfId="0" applyFont="1" applyAlignment="1">
      <alignment horizontal="left" vertical="center" wrapText="1"/>
      <protection locked="0"/>
    </xf>
    <xf numFmtId="0" fontId="11" fillId="0" borderId="0" xfId="0" applyFont="1" applyAlignment="1">
      <alignment horizontal="left" vertical="center" wrapText="1"/>
      <protection locked="0"/>
    </xf>
    <xf numFmtId="191" fontId="7" fillId="0" borderId="8" xfId="52" applyFont="1" applyBorder="1" applyAlignment="1">
      <alignment horizontal="left" vertical="center" wrapText="1"/>
      <protection locked="0"/>
    </xf>
    <xf numFmtId="0" fontId="10" fillId="0" borderId="0" xfId="1" applyNumberFormat="1" applyFont="1" applyAlignment="1">
      <alignment horizontal="center" vertical="center"/>
    </xf>
    <xf numFmtId="0" fontId="87" fillId="0" borderId="0" xfId="1" applyNumberFormat="1" applyFont="1" applyAlignment="1">
      <alignment horizontal="center" vertical="center"/>
    </xf>
    <xf numFmtId="0" fontId="86" fillId="0" borderId="0" xfId="1" applyNumberFormat="1" applyFont="1" applyAlignment="1">
      <alignment horizontal="center" vertical="center"/>
    </xf>
    <xf numFmtId="0" fontId="5" fillId="0" borderId="0" xfId="1" applyNumberFormat="1" applyFont="1" applyAlignment="1" applyProtection="1">
      <alignment horizontal="left" vertical="center"/>
      <protection locked="0"/>
    </xf>
    <xf numFmtId="0" fontId="5" fillId="8" borderId="8" xfId="1" applyNumberFormat="1" applyFont="1" applyFill="1" applyBorder="1" applyAlignment="1" applyProtection="1">
      <alignment horizontal="center" vertical="center" wrapText="1"/>
      <protection locked="0"/>
    </xf>
    <xf numFmtId="0" fontId="3" fillId="0" borderId="10" xfId="55" applyFont="1" applyFill="1" applyBorder="1" applyAlignment="1" applyProtection="1">
      <alignment horizontal="left" vertical="center" wrapText="1"/>
      <protection locked="0"/>
    </xf>
    <xf numFmtId="0" fontId="5" fillId="8" borderId="8" xfId="1" applyNumberFormat="1" applyFont="1" applyFill="1" applyBorder="1" applyAlignment="1" applyProtection="1">
      <alignment horizontal="center" vertical="center"/>
      <protection locked="0"/>
    </xf>
    <xf numFmtId="0" fontId="3" fillId="5" borderId="8" xfId="55" applyFont="1" applyFill="1" applyBorder="1" applyAlignment="1" applyProtection="1">
      <alignment horizontal="center" vertical="center" wrapText="1"/>
      <protection locked="0"/>
    </xf>
    <xf numFmtId="191" fontId="7" fillId="0" borderId="8" xfId="52" applyFont="1" applyBorder="1" applyAlignment="1">
      <alignment horizontal="center" vertical="center" wrapText="1"/>
      <protection locked="0"/>
    </xf>
    <xf numFmtId="191" fontId="3" fillId="8" borderId="8" xfId="52" applyFont="1" applyFill="1" applyBorder="1" applyAlignment="1">
      <alignment horizontal="center" vertical="center" wrapText="1"/>
      <protection locked="0"/>
    </xf>
    <xf numFmtId="191" fontId="93" fillId="9" borderId="17" xfId="58" applyFont="1" applyFill="1" applyBorder="1" applyAlignment="1" applyProtection="1">
      <alignment horizontal="left" vertical="center" wrapText="1"/>
      <protection locked="0"/>
    </xf>
    <xf numFmtId="191" fontId="93" fillId="9" borderId="0" xfId="58" applyFont="1" applyFill="1" applyAlignment="1" applyProtection="1">
      <alignment horizontal="left" vertical="center" wrapText="1"/>
      <protection locked="0"/>
    </xf>
    <xf numFmtId="191" fontId="5" fillId="8" borderId="8" xfId="52" applyFont="1" applyFill="1" applyBorder="1" applyAlignment="1">
      <alignment horizontal="center" vertical="center" wrapText="1"/>
      <protection locked="0"/>
    </xf>
    <xf numFmtId="191" fontId="33" fillId="5" borderId="8" xfId="36" applyNumberFormat="1" applyFont="1" applyFill="1" applyBorder="1" applyAlignment="1">
      <alignment horizontal="center" vertical="center" wrapText="1"/>
      <protection locked="0"/>
    </xf>
    <xf numFmtId="0" fontId="5" fillId="5" borderId="8" xfId="36" applyFont="1" applyFill="1" applyBorder="1" applyAlignment="1">
      <alignment horizontal="center" vertical="center" wrapText="1"/>
      <protection locked="0"/>
    </xf>
    <xf numFmtId="0" fontId="10" fillId="0" borderId="0" xfId="3" applyNumberFormat="1" applyFont="1" applyAlignment="1">
      <alignment horizontal="center" vertical="center"/>
    </xf>
    <xf numFmtId="0" fontId="86" fillId="0" borderId="0" xfId="4" applyNumberFormat="1" applyFont="1" applyBorder="1" applyAlignment="1">
      <alignment horizontal="center" vertical="center"/>
    </xf>
    <xf numFmtId="0" fontId="33" fillId="5" borderId="8" xfId="0" applyFont="1" applyFill="1" applyBorder="1" applyAlignment="1" applyProtection="1">
      <alignment horizontal="center" vertical="center"/>
    </xf>
    <xf numFmtId="0" fontId="33" fillId="5" borderId="8" xfId="0" applyFont="1" applyFill="1" applyBorder="1" applyAlignment="1" applyProtection="1">
      <alignment vertical="center"/>
    </xf>
    <xf numFmtId="191" fontId="5" fillId="5" borderId="12" xfId="47" applyFont="1" applyFill="1" applyBorder="1" applyAlignment="1" applyProtection="1">
      <alignment horizontal="center" vertical="center" wrapText="1"/>
      <protection locked="0"/>
    </xf>
    <xf numFmtId="191" fontId="5" fillId="5" borderId="14" xfId="47" applyFont="1" applyFill="1" applyBorder="1" applyAlignment="1" applyProtection="1">
      <alignment horizontal="center" vertical="center" wrapText="1"/>
      <protection locked="0"/>
    </xf>
    <xf numFmtId="191" fontId="5" fillId="5" borderId="13" xfId="47" applyFont="1" applyFill="1" applyBorder="1" applyAlignment="1" applyProtection="1">
      <alignment horizontal="center" vertical="center" wrapText="1"/>
      <protection locked="0"/>
    </xf>
    <xf numFmtId="0" fontId="8" fillId="0" borderId="0" xfId="36" applyNumberFormat="1" applyFont="1" applyAlignment="1">
      <alignment horizontal="center" vertical="center"/>
      <protection locked="0"/>
    </xf>
    <xf numFmtId="0" fontId="87" fillId="0" borderId="0" xfId="36" applyNumberFormat="1" applyFont="1" applyAlignment="1">
      <alignment horizontal="center" vertical="center"/>
      <protection locked="0"/>
    </xf>
    <xf numFmtId="0" fontId="5" fillId="5" borderId="8" xfId="0" applyFont="1" applyFill="1" applyBorder="1" applyAlignment="1">
      <alignment horizontal="left" vertical="center"/>
      <protection locked="0"/>
    </xf>
    <xf numFmtId="0" fontId="7" fillId="5" borderId="0" xfId="0" applyFont="1" applyFill="1" applyBorder="1" applyAlignment="1">
      <alignment horizontal="left" vertical="center"/>
      <protection locked="0"/>
    </xf>
    <xf numFmtId="0" fontId="33" fillId="5" borderId="8" xfId="0" applyFont="1" applyFill="1" applyBorder="1" applyAlignment="1" applyProtection="1">
      <alignment horizontal="center" vertical="center" wrapText="1"/>
    </xf>
    <xf numFmtId="191" fontId="33" fillId="5" borderId="8" xfId="47" applyFont="1" applyFill="1" applyBorder="1" applyAlignment="1" applyProtection="1">
      <alignment horizontal="center" vertical="center"/>
      <protection locked="0"/>
    </xf>
    <xf numFmtId="0" fontId="10" fillId="0" borderId="0" xfId="42" applyNumberFormat="1" applyFont="1" applyAlignment="1">
      <alignment horizontal="center" vertical="center"/>
    </xf>
    <xf numFmtId="0" fontId="86" fillId="0" borderId="0" xfId="42" applyNumberFormat="1" applyFont="1" applyAlignment="1">
      <alignment horizontal="center" vertical="center"/>
    </xf>
    <xf numFmtId="0" fontId="5" fillId="5" borderId="8" xfId="0" applyFont="1" applyFill="1" applyBorder="1" applyAlignment="1">
      <alignment horizontal="center" vertical="center"/>
      <protection locked="0"/>
    </xf>
    <xf numFmtId="0" fontId="5" fillId="5" borderId="8" xfId="0" applyFont="1" applyFill="1" applyBorder="1" applyAlignment="1">
      <alignment horizontal="center" vertical="center" wrapText="1"/>
      <protection locked="0"/>
    </xf>
    <xf numFmtId="0" fontId="33" fillId="5" borderId="8" xfId="35" applyFont="1" applyFill="1" applyBorder="1" applyAlignment="1" applyProtection="1">
      <alignment horizontal="center" vertical="center"/>
    </xf>
    <xf numFmtId="0" fontId="5" fillId="5" borderId="8" xfId="0" applyFont="1" applyFill="1" applyBorder="1" applyAlignment="1" applyProtection="1">
      <alignment horizontal="center" vertical="center" wrapText="1"/>
    </xf>
    <xf numFmtId="0" fontId="10" fillId="0" borderId="0" xfId="54" applyNumberFormat="1" applyFont="1" applyBorder="1" applyAlignment="1">
      <alignment horizontal="center" vertical="center"/>
    </xf>
    <xf numFmtId="0" fontId="86" fillId="0" borderId="0" xfId="54" applyNumberFormat="1" applyFont="1" applyBorder="1" applyAlignment="1">
      <alignment horizontal="center" vertical="center"/>
    </xf>
    <xf numFmtId="0" fontId="10" fillId="0" borderId="0" xfId="0" applyNumberFormat="1" applyFont="1" applyAlignment="1">
      <alignment horizontal="center" vertical="center" wrapText="1"/>
      <protection locked="0"/>
    </xf>
    <xf numFmtId="0" fontId="86" fillId="0" borderId="0" xfId="0" applyNumberFormat="1" applyFont="1" applyAlignment="1">
      <alignment horizontal="center" vertical="center" wrapText="1"/>
      <protection locked="0"/>
    </xf>
    <xf numFmtId="0" fontId="5" fillId="5" borderId="12" xfId="0" applyFont="1" applyFill="1" applyBorder="1" applyAlignment="1">
      <alignment horizontal="center" vertical="center" wrapText="1"/>
      <protection locked="0"/>
    </xf>
    <xf numFmtId="0" fontId="5" fillId="5" borderId="13" xfId="0" applyFont="1" applyFill="1" applyBorder="1" applyAlignment="1">
      <alignment horizontal="center" vertical="center" wrapText="1"/>
      <protection locked="0"/>
    </xf>
    <xf numFmtId="0" fontId="7" fillId="0" borderId="12" xfId="0" applyFont="1" applyBorder="1" applyAlignment="1">
      <alignment horizontal="center" vertical="center" wrapText="1"/>
      <protection locked="0"/>
    </xf>
    <xf numFmtId="0" fontId="7" fillId="0" borderId="13" xfId="0" applyFont="1" applyBorder="1" applyAlignment="1">
      <alignment horizontal="center" vertical="center" wrapText="1"/>
      <protection locked="0"/>
    </xf>
    <xf numFmtId="0" fontId="7" fillId="5" borderId="12" xfId="0" applyFont="1" applyFill="1" applyBorder="1" applyAlignment="1">
      <alignment horizontal="center" vertical="center" wrapText="1"/>
      <protection locked="0"/>
    </xf>
    <xf numFmtId="0" fontId="7" fillId="5" borderId="13" xfId="0" applyFont="1" applyFill="1" applyBorder="1" applyAlignment="1">
      <alignment horizontal="center" vertical="center" wrapText="1"/>
      <protection locked="0"/>
    </xf>
    <xf numFmtId="0" fontId="51" fillId="0" borderId="0" xfId="0" applyNumberFormat="1" applyFont="1" applyAlignment="1" applyProtection="1">
      <alignment horizontal="center" vertical="center"/>
    </xf>
    <xf numFmtId="0" fontId="89" fillId="0" borderId="0" xfId="0" applyNumberFormat="1" applyFont="1" applyAlignment="1" applyProtection="1">
      <alignment horizontal="center" vertical="center"/>
    </xf>
    <xf numFmtId="49" fontId="33" fillId="5" borderId="2" xfId="0" applyNumberFormat="1" applyFont="1" applyFill="1" applyBorder="1" applyAlignment="1" applyProtection="1">
      <alignment horizontal="center" vertical="center"/>
    </xf>
    <xf numFmtId="49" fontId="33" fillId="5" borderId="15" xfId="0" applyNumberFormat="1" applyFont="1" applyFill="1" applyBorder="1" applyAlignment="1" applyProtection="1">
      <alignment horizontal="center" vertical="center"/>
    </xf>
    <xf numFmtId="0" fontId="33" fillId="5" borderId="2" xfId="0" applyFont="1" applyFill="1" applyBorder="1" applyAlignment="1" applyProtection="1">
      <alignment horizontal="center" vertical="center"/>
    </xf>
    <xf numFmtId="0" fontId="33" fillId="5" borderId="15" xfId="0" applyFont="1" applyFill="1" applyBorder="1" applyAlignment="1" applyProtection="1">
      <alignment horizontal="center" vertical="center"/>
    </xf>
    <xf numFmtId="0" fontId="7" fillId="0" borderId="12" xfId="35" applyFont="1" applyBorder="1" applyAlignment="1">
      <alignment horizontal="center" vertical="center" wrapText="1"/>
      <protection locked="0"/>
    </xf>
    <xf numFmtId="0" fontId="7" fillId="0" borderId="14" xfId="35" applyFont="1" applyBorder="1" applyAlignment="1">
      <alignment horizontal="center" vertical="center" wrapText="1"/>
      <protection locked="0"/>
    </xf>
    <xf numFmtId="0" fontId="7" fillId="0" borderId="13" xfId="35" applyFont="1" applyBorder="1" applyAlignment="1">
      <alignment horizontal="center" vertical="center" wrapText="1"/>
      <protection locked="0"/>
    </xf>
    <xf numFmtId="0" fontId="10" fillId="0" borderId="0" xfId="0" applyNumberFormat="1" applyFont="1" applyAlignment="1">
      <alignment horizontal="center" vertical="center"/>
      <protection locked="0"/>
    </xf>
    <xf numFmtId="0" fontId="86" fillId="0" borderId="0" xfId="0" applyNumberFormat="1" applyFont="1" applyAlignment="1">
      <alignment horizontal="center" vertical="center"/>
      <protection locked="0"/>
    </xf>
    <xf numFmtId="0" fontId="5" fillId="5" borderId="12" xfId="35" applyFont="1" applyFill="1" applyBorder="1" applyAlignment="1">
      <alignment horizontal="center" vertical="center" wrapText="1"/>
      <protection locked="0"/>
    </xf>
    <xf numFmtId="0" fontId="5" fillId="5" borderId="14" xfId="35" applyFont="1" applyFill="1" applyBorder="1" applyAlignment="1">
      <alignment horizontal="center" vertical="center" wrapText="1"/>
      <protection locked="0"/>
    </xf>
    <xf numFmtId="0" fontId="5" fillId="5" borderId="13" xfId="35" applyFont="1" applyFill="1" applyBorder="1" applyAlignment="1">
      <alignment horizontal="center" vertical="center" wrapText="1"/>
      <protection locked="0"/>
    </xf>
    <xf numFmtId="49" fontId="5" fillId="5" borderId="12" xfId="0" applyNumberFormat="1" applyFont="1" applyFill="1" applyBorder="1" applyAlignment="1">
      <alignment horizontal="center" vertical="center"/>
      <protection locked="0"/>
    </xf>
    <xf numFmtId="49" fontId="5" fillId="5" borderId="14" xfId="0" applyNumberFormat="1" applyFont="1" applyFill="1" applyBorder="1" applyAlignment="1">
      <alignment horizontal="center" vertical="center"/>
      <protection locked="0"/>
    </xf>
    <xf numFmtId="49" fontId="5" fillId="5" borderId="13" xfId="0" applyNumberFormat="1" applyFont="1" applyFill="1" applyBorder="1" applyAlignment="1">
      <alignment horizontal="center" vertical="center"/>
      <protection locked="0"/>
    </xf>
    <xf numFmtId="49" fontId="3" fillId="5" borderId="12" xfId="0" applyNumberFormat="1" applyFont="1" applyFill="1" applyBorder="1" applyAlignment="1">
      <alignment horizontal="center" vertical="center"/>
      <protection locked="0"/>
    </xf>
    <xf numFmtId="0" fontId="5" fillId="0" borderId="0" xfId="44" applyFont="1" applyFill="1" applyAlignment="1">
      <alignment horizontal="left" vertical="center" wrapText="1"/>
    </xf>
    <xf numFmtId="0" fontId="5" fillId="5" borderId="2" xfId="0" applyFont="1" applyFill="1" applyBorder="1" applyAlignment="1">
      <alignment horizontal="center" vertical="center" wrapText="1"/>
      <protection locked="0"/>
    </xf>
    <xf numFmtId="0" fontId="5" fillId="5" borderId="15" xfId="0" applyFont="1" applyFill="1" applyBorder="1" applyAlignment="1">
      <alignment horizontal="center" vertical="center" wrapText="1"/>
      <protection locked="0"/>
    </xf>
    <xf numFmtId="0" fontId="5" fillId="11" borderId="8" xfId="35" applyNumberFormat="1" applyFont="1" applyFill="1" applyBorder="1" applyAlignment="1" applyProtection="1">
      <alignment horizontal="center" vertical="center" wrapText="1"/>
    </xf>
    <xf numFmtId="0" fontId="43" fillId="5" borderId="8" xfId="0" applyFont="1" applyFill="1" applyBorder="1" applyAlignment="1">
      <alignment horizontal="center" vertical="center"/>
      <protection locked="0"/>
    </xf>
    <xf numFmtId="191" fontId="43" fillId="11" borderId="8" xfId="35" applyNumberFormat="1" applyFont="1" applyFill="1" applyBorder="1" applyAlignment="1" applyProtection="1">
      <alignment horizontal="center" vertical="center" wrapText="1"/>
    </xf>
    <xf numFmtId="0" fontId="5" fillId="5" borderId="3" xfId="0" applyFont="1" applyFill="1" applyBorder="1" applyAlignment="1">
      <alignment horizontal="center" vertical="center" wrapText="1"/>
      <protection locked="0"/>
    </xf>
    <xf numFmtId="0" fontId="5" fillId="5" borderId="12" xfId="0" applyFont="1" applyFill="1" applyBorder="1" applyAlignment="1">
      <alignment horizontal="center" vertical="center"/>
      <protection locked="0"/>
    </xf>
    <xf numFmtId="0" fontId="5" fillId="5" borderId="14" xfId="0" applyFont="1" applyFill="1" applyBorder="1" applyAlignment="1">
      <alignment horizontal="center" vertical="center"/>
      <protection locked="0"/>
    </xf>
    <xf numFmtId="0" fontId="5" fillId="5" borderId="13" xfId="0" applyFont="1" applyFill="1" applyBorder="1" applyAlignment="1">
      <alignment horizontal="center" vertical="center"/>
      <protection locked="0"/>
    </xf>
    <xf numFmtId="0" fontId="5" fillId="11" borderId="2" xfId="35" applyNumberFormat="1" applyFont="1" applyFill="1" applyBorder="1" applyAlignment="1" applyProtection="1">
      <alignment horizontal="center" vertical="center" wrapText="1"/>
    </xf>
    <xf numFmtId="0" fontId="5" fillId="11" borderId="3" xfId="35" applyNumberFormat="1" applyFont="1" applyFill="1" applyBorder="1" applyAlignment="1" applyProtection="1">
      <alignment horizontal="center" vertical="center" wrapText="1"/>
    </xf>
    <xf numFmtId="0" fontId="5" fillId="11" borderId="15" xfId="35" applyNumberFormat="1" applyFont="1" applyFill="1" applyBorder="1" applyAlignment="1" applyProtection="1">
      <alignment horizontal="center" vertical="center" wrapText="1"/>
    </xf>
    <xf numFmtId="0" fontId="43" fillId="11" borderId="8" xfId="35" applyNumberFormat="1" applyFont="1" applyFill="1" applyBorder="1" applyAlignment="1" applyProtection="1">
      <alignment horizontal="center" vertical="center" wrapText="1"/>
    </xf>
    <xf numFmtId="49" fontId="43" fillId="5" borderId="8" xfId="0" applyNumberFormat="1" applyFont="1" applyFill="1" applyBorder="1" applyAlignment="1">
      <alignment horizontal="center" vertical="center" wrapText="1"/>
      <protection locked="0"/>
    </xf>
    <xf numFmtId="49" fontId="43" fillId="5" borderId="2" xfId="0" applyNumberFormat="1" applyFont="1" applyFill="1" applyBorder="1" applyAlignment="1">
      <alignment horizontal="center" vertical="center" wrapText="1"/>
      <protection locked="0"/>
    </xf>
    <xf numFmtId="49" fontId="42" fillId="5" borderId="8" xfId="0" applyNumberFormat="1" applyFont="1" applyFill="1" applyBorder="1" applyAlignment="1">
      <alignment horizontal="center" vertical="center" wrapText="1"/>
      <protection locked="0"/>
    </xf>
    <xf numFmtId="0" fontId="43" fillId="11" borderId="2" xfId="35" applyNumberFormat="1" applyFont="1" applyFill="1" applyBorder="1" applyAlignment="1" applyProtection="1">
      <alignment horizontal="center" vertical="center" wrapText="1"/>
    </xf>
    <xf numFmtId="0" fontId="43" fillId="11" borderId="15" xfId="35" applyNumberFormat="1" applyFont="1" applyFill="1" applyBorder="1" applyAlignment="1" applyProtection="1">
      <alignment horizontal="center" vertical="center" wrapText="1"/>
    </xf>
    <xf numFmtId="0" fontId="42" fillId="11" borderId="2" xfId="35" applyNumberFormat="1" applyFont="1" applyFill="1" applyBorder="1" applyAlignment="1" applyProtection="1">
      <alignment horizontal="center" vertical="center" wrapText="1"/>
    </xf>
    <xf numFmtId="0" fontId="10" fillId="0" borderId="0" xfId="42" applyNumberFormat="1" applyFont="1" applyAlignment="1">
      <alignment horizontal="center" vertical="center" wrapText="1"/>
    </xf>
    <xf numFmtId="0" fontId="86" fillId="0" borderId="0" xfId="42" applyNumberFormat="1" applyFont="1" applyAlignment="1">
      <alignment horizontal="center" vertical="center" wrapText="1"/>
    </xf>
    <xf numFmtId="0" fontId="5" fillId="5" borderId="16" xfId="0" applyFont="1" applyFill="1" applyBorder="1" applyAlignment="1">
      <alignment horizontal="center" vertical="center" shrinkToFit="1"/>
      <protection locked="0"/>
    </xf>
    <xf numFmtId="0" fontId="5" fillId="5" borderId="9" xfId="0" applyFont="1" applyFill="1" applyBorder="1" applyAlignment="1">
      <alignment horizontal="center" vertical="center" shrinkToFit="1"/>
      <protection locked="0"/>
    </xf>
    <xf numFmtId="0" fontId="5" fillId="5" borderId="1" xfId="0" applyFont="1" applyFill="1" applyBorder="1" applyAlignment="1">
      <alignment horizontal="center" vertical="center" shrinkToFit="1"/>
      <protection locked="0"/>
    </xf>
    <xf numFmtId="0" fontId="5" fillId="5" borderId="12" xfId="0" applyFont="1" applyFill="1" applyBorder="1" applyAlignment="1">
      <alignment horizontal="center" vertical="center" shrinkToFit="1"/>
      <protection locked="0"/>
    </xf>
    <xf numFmtId="0" fontId="5" fillId="5" borderId="14" xfId="0" applyFont="1" applyFill="1" applyBorder="1" applyAlignment="1">
      <alignment horizontal="center" vertical="center" shrinkToFit="1"/>
      <protection locked="0"/>
    </xf>
    <xf numFmtId="0" fontId="5" fillId="5" borderId="13" xfId="0" applyFont="1" applyFill="1" applyBorder="1" applyAlignment="1">
      <alignment horizontal="center" vertical="center" shrinkToFit="1"/>
      <protection locked="0"/>
    </xf>
    <xf numFmtId="0" fontId="86" fillId="0" borderId="0" xfId="42" applyNumberFormat="1" applyFont="1" applyFill="1" applyAlignment="1">
      <alignment horizontal="center" vertical="center" wrapText="1"/>
    </xf>
    <xf numFmtId="0" fontId="5" fillId="5" borderId="2" xfId="35" applyFont="1" applyFill="1" applyBorder="1" applyAlignment="1">
      <alignment horizontal="center" vertical="center" wrapText="1"/>
      <protection locked="0"/>
    </xf>
    <xf numFmtId="0" fontId="5" fillId="5" borderId="15" xfId="35" applyFont="1" applyFill="1" applyBorder="1" applyAlignment="1">
      <alignment horizontal="center" vertical="center" wrapText="1"/>
      <protection locked="0"/>
    </xf>
    <xf numFmtId="0" fontId="5" fillId="5" borderId="8" xfId="35" applyFont="1" applyFill="1" applyBorder="1" applyAlignment="1">
      <alignment horizontal="center" vertical="center" wrapText="1"/>
      <protection locked="0"/>
    </xf>
    <xf numFmtId="0" fontId="5" fillId="5" borderId="16" xfId="0" applyFont="1" applyFill="1" applyBorder="1" applyAlignment="1">
      <alignment horizontal="center" vertical="center" wrapText="1"/>
      <protection locked="0"/>
    </xf>
    <xf numFmtId="0" fontId="5" fillId="5" borderId="1" xfId="0" applyFont="1" applyFill="1" applyBorder="1" applyAlignment="1">
      <alignment horizontal="center" vertical="center" wrapText="1"/>
      <protection locked="0"/>
    </xf>
    <xf numFmtId="0" fontId="5" fillId="5" borderId="14" xfId="0" applyFont="1" applyFill="1" applyBorder="1" applyAlignment="1">
      <alignment horizontal="center" vertical="center" wrapText="1"/>
      <protection locked="0"/>
    </xf>
    <xf numFmtId="43" fontId="5" fillId="0" borderId="2" xfId="0" applyNumberFormat="1" applyFont="1" applyBorder="1" applyAlignment="1">
      <alignment horizontal="center" vertical="center" wrapText="1"/>
      <protection locked="0"/>
    </xf>
    <xf numFmtId="43" fontId="5" fillId="0" borderId="3" xfId="0" applyNumberFormat="1" applyFont="1" applyBorder="1" applyAlignment="1">
      <alignment horizontal="center" vertical="center" wrapText="1"/>
      <protection locked="0"/>
    </xf>
    <xf numFmtId="43" fontId="5" fillId="0" borderId="15" xfId="0" applyNumberFormat="1" applyFont="1" applyBorder="1" applyAlignment="1">
      <alignment horizontal="center" vertical="center" wrapText="1"/>
      <protection locked="0"/>
    </xf>
    <xf numFmtId="0" fontId="5" fillId="5" borderId="9" xfId="0" applyFont="1" applyFill="1" applyBorder="1" applyAlignment="1">
      <alignment horizontal="center" vertical="center" wrapText="1"/>
      <protection locked="0"/>
    </xf>
    <xf numFmtId="0" fontId="5" fillId="5" borderId="10" xfId="0" applyFont="1" applyFill="1" applyBorder="1" applyAlignment="1">
      <alignment horizontal="center" vertical="center" wrapText="1"/>
      <protection locked="0"/>
    </xf>
    <xf numFmtId="0" fontId="5" fillId="5" borderId="11" xfId="0" applyFont="1" applyFill="1" applyBorder="1" applyAlignment="1">
      <alignment horizontal="center" vertical="center" wrapText="1"/>
      <protection locked="0"/>
    </xf>
    <xf numFmtId="191" fontId="5" fillId="5" borderId="8" xfId="47" applyFont="1" applyFill="1" applyBorder="1" applyAlignment="1" applyProtection="1">
      <alignment horizontal="center" vertical="center"/>
      <protection locked="0"/>
    </xf>
    <xf numFmtId="191" fontId="5" fillId="5" borderId="12" xfId="47" applyFont="1" applyFill="1" applyBorder="1" applyAlignment="1" applyProtection="1">
      <alignment horizontal="center" vertical="center"/>
      <protection locked="0"/>
    </xf>
    <xf numFmtId="191" fontId="5" fillId="5" borderId="14" xfId="47" applyFont="1" applyFill="1" applyBorder="1" applyAlignment="1" applyProtection="1">
      <alignment horizontal="center" vertical="center"/>
      <protection locked="0"/>
    </xf>
    <xf numFmtId="191" fontId="5" fillId="5" borderId="13" xfId="47" applyFont="1" applyFill="1" applyBorder="1" applyAlignment="1" applyProtection="1">
      <alignment horizontal="center" vertical="center"/>
      <protection locked="0"/>
    </xf>
    <xf numFmtId="191" fontId="5" fillId="5" borderId="8" xfId="48" applyFont="1" applyFill="1" applyBorder="1" applyAlignment="1" applyProtection="1">
      <alignment horizontal="center" vertical="center"/>
      <protection locked="0"/>
    </xf>
    <xf numFmtId="191" fontId="5" fillId="5" borderId="8" xfId="48" applyFont="1" applyFill="1" applyBorder="1" applyAlignment="1" applyProtection="1">
      <alignment horizontal="center" vertical="center" wrapText="1"/>
      <protection locked="0"/>
    </xf>
    <xf numFmtId="191" fontId="5" fillId="5" borderId="2" xfId="48" applyFont="1" applyFill="1" applyBorder="1" applyAlignment="1" applyProtection="1">
      <alignment horizontal="center" vertical="center"/>
      <protection locked="0"/>
    </xf>
    <xf numFmtId="191" fontId="5" fillId="5" borderId="15" xfId="48" applyFont="1" applyFill="1" applyBorder="1" applyAlignment="1" applyProtection="1">
      <alignment horizontal="center" vertical="center"/>
      <protection locked="0"/>
    </xf>
    <xf numFmtId="191" fontId="5" fillId="5" borderId="2" xfId="48" applyFont="1" applyFill="1" applyBorder="1" applyAlignment="1" applyProtection="1">
      <alignment horizontal="center" vertical="center" wrapText="1"/>
      <protection locked="0"/>
    </xf>
    <xf numFmtId="191" fontId="5" fillId="5" borderId="15" xfId="48" applyFont="1" applyFill="1" applyBorder="1" applyAlignment="1" applyProtection="1">
      <alignment horizontal="center" vertical="center" wrapText="1"/>
      <protection locked="0"/>
    </xf>
  </cellXfs>
  <cellStyles count="62">
    <cellStyle name="@_text" xfId="5"/>
    <cellStyle name="{Comma [0]}" xfId="6"/>
    <cellStyle name="{Comma}" xfId="7"/>
    <cellStyle name="{Date}" xfId="8"/>
    <cellStyle name="{Month}" xfId="9"/>
    <cellStyle name="{Percent}" xfId="10"/>
    <cellStyle name="{Thousand [0]}" xfId="11"/>
    <cellStyle name="{Thousand}" xfId="12"/>
    <cellStyle name="{Z'0000(1 dec)}" xfId="13"/>
    <cellStyle name="{Z'0000(4 dec)}" xfId="14"/>
    <cellStyle name="Black" xfId="15"/>
    <cellStyle name="Border" xfId="16"/>
    <cellStyle name="Comma [0]_1995" xfId="17"/>
    <cellStyle name="Comma_1995" xfId="18"/>
    <cellStyle name="Currency [0]_1995" xfId="19"/>
    <cellStyle name="Currency_1995" xfId="20"/>
    <cellStyle name="Dezimal [0]_laroux" xfId="21"/>
    <cellStyle name="Dezimal_laroux" xfId="22"/>
    <cellStyle name="Euro" xfId="23"/>
    <cellStyle name="Followed Hyperlink_AheadBehind.xls Chart 23" xfId="24"/>
    <cellStyle name="Grey" xfId="25"/>
    <cellStyle name="Hyperlink_AheadBehind.xls Chart 23" xfId="26"/>
    <cellStyle name="Input [yellow]" xfId="27"/>
    <cellStyle name="Milliers [0]_laroux" xfId="28"/>
    <cellStyle name="Milliers_laroux" xfId="29"/>
    <cellStyle name="Non défini" xfId="30"/>
    <cellStyle name="Normal - Style1" xfId="31"/>
    <cellStyle name="Normal_22-Jun EUS Forecasts" xfId="32"/>
    <cellStyle name="Percent [2]" xfId="33"/>
    <cellStyle name="Red" xfId="34"/>
    <cellStyle name="百分比" xfId="2" builtinId="5"/>
    <cellStyle name="常规" xfId="0" builtinId="0"/>
    <cellStyle name="常规 11 5" xfId="61"/>
    <cellStyle name="常规 2" xfId="35"/>
    <cellStyle name="常规 3" xfId="36"/>
    <cellStyle name="常规 3_货币资金" xfId="48"/>
    <cellStyle name="常规 4" xfId="47"/>
    <cellStyle name="常规 5" xfId="49"/>
    <cellStyle name="常规 6" xfId="52"/>
    <cellStyle name="常规 7" xfId="55"/>
    <cellStyle name="常规 7 2" xfId="57"/>
    <cellStyle name="常规 7 3" xfId="58"/>
    <cellStyle name="常规_Book1" xfId="42"/>
    <cellStyle name="常规_Book1 2" xfId="53"/>
    <cellStyle name="常规_c-资产类" xfId="3"/>
    <cellStyle name="常规_c-资产类 2" xfId="56"/>
    <cellStyle name="常规_SA 营业收入" xfId="50"/>
    <cellStyle name="常规_进一步审计程序--销售与收款循环" xfId="44"/>
    <cellStyle name="常规_进一步审计程序--销售与收款循环 2" xfId="59"/>
    <cellStyle name="常规_通用表" xfId="60"/>
    <cellStyle name="常规_新审定表" xfId="4"/>
    <cellStyle name="常规_新审定表 2" xfId="54"/>
    <cellStyle name="常规_制造费用" xfId="43"/>
    <cellStyle name="常规_制造费用 2" xfId="51"/>
    <cellStyle name="超链接" xfId="45" builtinId="8"/>
    <cellStyle name="超链接 2 2" xfId="46"/>
    <cellStyle name="普通_ 外G9(3)" xfId="37"/>
    <cellStyle name="千分位[0]_宁波" xfId="38"/>
    <cellStyle name="千分位_宁波" xfId="39"/>
    <cellStyle name="千位[0]_laroux" xfId="40"/>
    <cellStyle name="千位_laroux" xfId="41"/>
    <cellStyle name="千位分隔" xfId="1" builtinId="3"/>
  </cellStyles>
  <dxfs count="3">
    <dxf>
      <fill>
        <patternFill>
          <bgColor rgb="FFFFC7CE"/>
        </patternFill>
      </fill>
    </dxf>
    <dxf>
      <fill>
        <patternFill>
          <bgColor rgb="FFFFC7CE"/>
        </patternFill>
      </fill>
    </dxf>
    <dxf>
      <numFmt numFmtId="202" formatCode="0.00_ "/>
      <fill>
        <patternFill patternType="none">
          <fgColor indexed="64"/>
          <bgColor auto="1"/>
        </patternFill>
      </fill>
    </dxf>
  </dxfs>
  <tableStyles count="0" defaultTableStyle="TableStyleMedium2" defaultPivotStyle="PivotStyleLight16"/>
  <colors>
    <mruColors>
      <color rgb="FF0000FF"/>
      <color rgb="FF0033CC"/>
      <color rgb="FF0066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51</xdr:row>
          <xdr:rowOff>45720</xdr:rowOff>
        </xdr:from>
        <xdr:to>
          <xdr:col>3</xdr:col>
          <xdr:colOff>0</xdr:colOff>
          <xdr:row>53</xdr:row>
          <xdr:rowOff>137160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13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51</xdr:row>
          <xdr:rowOff>144780</xdr:rowOff>
        </xdr:from>
        <xdr:to>
          <xdr:col>7</xdr:col>
          <xdr:colOff>198120</xdr:colOff>
          <xdr:row>53</xdr:row>
          <xdr:rowOff>76200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1300-000002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Relationships xmlns="http://schemas.openxmlformats.org/package/2006/relationships"><Relationship Id="rId3" Type="http://schemas.openxmlformats.org/officeDocument/2006/relationships/vmlDrawing" Target="../drawings/vmlDrawing2.vml" /><Relationship Id="rId7" Type="http://schemas.openxmlformats.org/officeDocument/2006/relationships/image" Target="../media/image2.wmf" /><Relationship Id="rId2" Type="http://schemas.openxmlformats.org/officeDocument/2006/relationships/drawing" Target="../drawings/drawing1.xml" /><Relationship Id="rId1" Type="http://schemas.openxmlformats.org/officeDocument/2006/relationships/printerSettings" Target="../printerSettings/printerSettings19.bin" /><Relationship Id="rId5" Type="http://schemas.openxmlformats.org/officeDocument/2006/relationships/image" Target="../media/image1.wmf" /></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5"/>
  <sheetViews>
    <sheetView tabSelected="1" workbookViewId="0"/>
  </sheetViews>
  <sheetFormatPr defaultRowHeight="19.95" customHeight="1"/>
  <cols>
    <col min="1" max="1" width="77.59765625" style="2" customWidth="1"/>
    <col min="2" max="2" width="2" style="2" customWidth="1"/>
    <col min="3" max="3" width="2.09765625" style="2" customWidth="1"/>
    <col min="4" max="4" width="6.09765625" style="2" customWidth="1"/>
    <col min="5" max="5" width="33.3984375" style="2" customWidth="1"/>
    <col min="6" max="6" width="10" style="12" customWidth="1"/>
    <col min="7" max="16384" width="8.796875" style="2"/>
  </cols>
  <sheetData>
    <row r="1" spans="1:8" ht="19.95" customHeight="1">
      <c r="A1" s="21" t="s">
        <v>156</v>
      </c>
    </row>
    <row r="2" spans="1:8" ht="19.95" customHeight="1">
      <c r="A2" s="175" t="s">
        <v>153</v>
      </c>
      <c r="B2" s="20"/>
      <c r="C2" s="20"/>
      <c r="G2" s="20"/>
      <c r="H2" s="20"/>
    </row>
    <row r="3" spans="1:8" ht="19.95" customHeight="1">
      <c r="A3" s="175" t="s">
        <v>1076</v>
      </c>
      <c r="B3" s="20"/>
      <c r="C3" s="20"/>
      <c r="D3" s="338" t="s">
        <v>911</v>
      </c>
      <c r="E3" s="338" t="s">
        <v>147</v>
      </c>
      <c r="F3" s="338" t="s">
        <v>912</v>
      </c>
      <c r="G3" s="338" t="s">
        <v>913</v>
      </c>
      <c r="H3" s="20"/>
    </row>
    <row r="4" spans="1:8" ht="19.95" customHeight="1">
      <c r="A4" s="175" t="s">
        <v>208</v>
      </c>
      <c r="C4" s="20"/>
      <c r="D4" s="178">
        <v>1</v>
      </c>
      <c r="E4" s="196" t="s">
        <v>211</v>
      </c>
      <c r="F4" s="368" t="s">
        <v>194</v>
      </c>
      <c r="G4" s="176"/>
      <c r="H4" s="20"/>
    </row>
    <row r="5" spans="1:8" ht="19.95" customHeight="1">
      <c r="A5" s="175" t="s">
        <v>212</v>
      </c>
      <c r="D5" s="179">
        <f>D4+1</f>
        <v>2</v>
      </c>
      <c r="E5" s="196" t="s">
        <v>213</v>
      </c>
      <c r="F5" s="368" t="s">
        <v>195</v>
      </c>
      <c r="G5" s="177"/>
    </row>
    <row r="6" spans="1:8" ht="19.95" customHeight="1">
      <c r="A6" s="175" t="s">
        <v>149</v>
      </c>
      <c r="D6" s="179">
        <f>D5+1</f>
        <v>3</v>
      </c>
      <c r="E6" s="196" t="s">
        <v>192</v>
      </c>
      <c r="F6" s="368"/>
      <c r="G6" s="177" t="s">
        <v>214</v>
      </c>
    </row>
    <row r="7" spans="1:8" ht="19.95" customHeight="1">
      <c r="A7" s="175" t="s">
        <v>155</v>
      </c>
      <c r="D7" s="179">
        <f t="shared" ref="D7:D24" si="0">D6+1</f>
        <v>4</v>
      </c>
      <c r="E7" s="196" t="s">
        <v>193</v>
      </c>
      <c r="F7" s="368"/>
      <c r="G7" s="177" t="s">
        <v>214</v>
      </c>
    </row>
    <row r="8" spans="1:8" ht="19.95" customHeight="1">
      <c r="A8" s="180" t="s">
        <v>209</v>
      </c>
      <c r="D8" s="179">
        <f t="shared" si="0"/>
        <v>5</v>
      </c>
      <c r="E8" s="196" t="s">
        <v>199</v>
      </c>
      <c r="F8" s="368" t="s">
        <v>159</v>
      </c>
      <c r="G8" s="177"/>
    </row>
    <row r="9" spans="1:8" ht="19.95" customHeight="1">
      <c r="A9" s="181" t="s">
        <v>150</v>
      </c>
      <c r="D9" s="179">
        <f t="shared" si="0"/>
        <v>6</v>
      </c>
      <c r="E9" s="196" t="s">
        <v>200</v>
      </c>
      <c r="F9" s="368" t="s">
        <v>115</v>
      </c>
      <c r="G9" s="177"/>
    </row>
    <row r="10" spans="1:8" ht="19.95" customHeight="1">
      <c r="A10" s="181" t="s">
        <v>151</v>
      </c>
      <c r="D10" s="179">
        <f t="shared" si="0"/>
        <v>7</v>
      </c>
      <c r="E10" s="196" t="s">
        <v>215</v>
      </c>
      <c r="F10" s="368" t="s">
        <v>114</v>
      </c>
      <c r="G10" s="177"/>
    </row>
    <row r="11" spans="1:8" ht="19.95" customHeight="1">
      <c r="A11" s="181" t="s">
        <v>152</v>
      </c>
      <c r="D11" s="179">
        <f t="shared" si="0"/>
        <v>8</v>
      </c>
      <c r="E11" s="196" t="s">
        <v>210</v>
      </c>
      <c r="F11" s="368" t="s">
        <v>116</v>
      </c>
      <c r="G11" s="177"/>
    </row>
    <row r="12" spans="1:8" ht="19.95" customHeight="1">
      <c r="A12" s="181" t="s">
        <v>4</v>
      </c>
      <c r="D12" s="179">
        <f t="shared" si="0"/>
        <v>9</v>
      </c>
      <c r="E12" s="196" t="s">
        <v>201</v>
      </c>
      <c r="F12" s="368" t="s">
        <v>117</v>
      </c>
      <c r="G12" s="177"/>
    </row>
    <row r="13" spans="1:8" ht="19.95" customHeight="1">
      <c r="A13" s="181" t="s">
        <v>4</v>
      </c>
      <c r="D13" s="179">
        <f t="shared" si="0"/>
        <v>10</v>
      </c>
      <c r="E13" s="196" t="s">
        <v>196</v>
      </c>
      <c r="F13" s="368" t="s">
        <v>118</v>
      </c>
      <c r="G13" s="177"/>
    </row>
    <row r="14" spans="1:8" ht="19.95" customHeight="1">
      <c r="A14" s="195"/>
      <c r="D14" s="179">
        <f t="shared" si="0"/>
        <v>11</v>
      </c>
      <c r="E14" s="196" t="s">
        <v>216</v>
      </c>
      <c r="F14" s="368" t="s">
        <v>113</v>
      </c>
      <c r="G14" s="177"/>
    </row>
    <row r="15" spans="1:8" ht="19.95" customHeight="1">
      <c r="A15" s="485" t="s">
        <v>1072</v>
      </c>
      <c r="D15" s="179">
        <f t="shared" si="0"/>
        <v>12</v>
      </c>
      <c r="E15" s="196" t="s">
        <v>202</v>
      </c>
      <c r="F15" s="368" t="s">
        <v>112</v>
      </c>
      <c r="G15" s="177"/>
    </row>
    <row r="16" spans="1:8" ht="19.95" customHeight="1">
      <c r="A16" s="489" t="s">
        <v>1073</v>
      </c>
      <c r="D16" s="179">
        <f t="shared" si="0"/>
        <v>13</v>
      </c>
      <c r="E16" s="196" t="s">
        <v>197</v>
      </c>
      <c r="F16" s="368" t="s">
        <v>119</v>
      </c>
      <c r="G16" s="177"/>
    </row>
    <row r="17" spans="1:7" ht="19.95" customHeight="1">
      <c r="A17" s="489"/>
      <c r="D17" s="179">
        <f t="shared" si="0"/>
        <v>14</v>
      </c>
      <c r="E17" s="196" t="s">
        <v>217</v>
      </c>
      <c r="F17" s="368" t="s">
        <v>120</v>
      </c>
      <c r="G17" s="177"/>
    </row>
    <row r="18" spans="1:7" ht="19.95" customHeight="1">
      <c r="A18" s="489"/>
      <c r="D18" s="179">
        <f t="shared" si="0"/>
        <v>15</v>
      </c>
      <c r="E18" s="196" t="s">
        <v>203</v>
      </c>
      <c r="F18" s="368" t="s">
        <v>121</v>
      </c>
      <c r="G18" s="177"/>
    </row>
    <row r="19" spans="1:7" ht="19.95" customHeight="1">
      <c r="A19" s="489"/>
      <c r="D19" s="179">
        <f t="shared" si="0"/>
        <v>16</v>
      </c>
      <c r="E19" s="196" t="s">
        <v>204</v>
      </c>
      <c r="F19" s="368" t="s">
        <v>121</v>
      </c>
      <c r="G19" s="177"/>
    </row>
    <row r="20" spans="1:7" ht="19.95" customHeight="1">
      <c r="A20" s="489" t="s">
        <v>1074</v>
      </c>
      <c r="D20" s="179">
        <f t="shared" si="0"/>
        <v>17</v>
      </c>
      <c r="E20" s="196" t="s">
        <v>198</v>
      </c>
      <c r="F20" s="368" t="s">
        <v>122</v>
      </c>
      <c r="G20" s="177"/>
    </row>
    <row r="21" spans="1:7" ht="19.95" customHeight="1">
      <c r="A21" s="489"/>
      <c r="D21" s="179">
        <f t="shared" si="0"/>
        <v>18</v>
      </c>
      <c r="E21" s="196" t="s">
        <v>207</v>
      </c>
      <c r="F21" s="368" t="s">
        <v>171</v>
      </c>
      <c r="G21" s="177"/>
    </row>
    <row r="22" spans="1:7" ht="19.95" customHeight="1">
      <c r="A22" s="489"/>
      <c r="D22" s="179">
        <f t="shared" si="0"/>
        <v>19</v>
      </c>
      <c r="E22" s="196" t="s">
        <v>206</v>
      </c>
      <c r="F22" s="368" t="s">
        <v>173</v>
      </c>
      <c r="G22" s="177"/>
    </row>
    <row r="23" spans="1:7" ht="19.95" customHeight="1">
      <c r="A23" s="490" t="s">
        <v>1075</v>
      </c>
      <c r="D23" s="179">
        <f t="shared" si="0"/>
        <v>20</v>
      </c>
      <c r="E23" s="196" t="s">
        <v>205</v>
      </c>
      <c r="F23" s="368" t="s">
        <v>175</v>
      </c>
      <c r="G23" s="177"/>
    </row>
    <row r="24" spans="1:7" ht="19.95" customHeight="1">
      <c r="A24" s="490"/>
      <c r="D24" s="179">
        <f t="shared" si="0"/>
        <v>21</v>
      </c>
      <c r="E24" s="196" t="s">
        <v>218</v>
      </c>
      <c r="F24" s="368" t="s">
        <v>177</v>
      </c>
      <c r="G24" s="177"/>
    </row>
    <row r="25" spans="1:7" ht="19.95" customHeight="1">
      <c r="A25" s="490"/>
    </row>
  </sheetData>
  <mergeCells count="3">
    <mergeCell ref="A16:A19"/>
    <mergeCell ref="A20:A22"/>
    <mergeCell ref="A23:A25"/>
  </mergeCells>
  <phoneticPr fontId="9" type="noConversion"/>
  <hyperlinks>
    <hyperlink ref="E4" location="'油气资产实质性程序表H5A'!A1" display="油气资产实质性程序表H5A"/>
    <hyperlink ref="E5" location="'审定表H5-1'!A1" display="审定表H5-1"/>
    <hyperlink ref="E6" location="'附注披露信息（上市公司）'!A1" display="附注披露信息（上市公司）"/>
    <hyperlink ref="E7" location="'附注披露信息（国有企业）'!A1" display="附注披露信息（国有企业）"/>
    <hyperlink ref="E8" location="'明细表H5-2'!A1" display="明细表H5-2"/>
    <hyperlink ref="E9" location="'调整分录汇总H5-3'!A1" display="调整分录汇总H5-3"/>
    <hyperlink ref="E10" location="'闲置检查表H5-4'!A1" display="闲置检查表H5-4"/>
    <hyperlink ref="E11" location="'会计政策会计估计检查表H5-5'!A1" display="会计政策会计估计检查表H5-5"/>
    <hyperlink ref="E12" location="'分析表H5-6'!A1" display="分析表H5-6"/>
    <hyperlink ref="E13" location="'增加检查表H5-7'!A1" display="增加检查表H5-7"/>
    <hyperlink ref="E14" location="'减少检查表H5-8'!A1" display="减少检查表H5-8"/>
    <hyperlink ref="E15" location="'监盘计划H5-9'!A1" display="监盘计划H5-9"/>
    <hyperlink ref="E16" location="'盘点检查表H5-10'!A1" display="盘点检查表H5-10"/>
    <hyperlink ref="E17" location="'监盘小结H5-11'!A1" display="监盘小结H5-11"/>
    <hyperlink ref="E18" location="'折耗测算表（不含减值）H5-12'!A1" display="折耗测算表（不含减值）H5-12"/>
    <hyperlink ref="E19" location="'折耗测算表（含减值）H5-12'!A1" display="折耗测算表（含减值）H5-12"/>
    <hyperlink ref="E20" location="'折耗分配分析表H5-13'!A1" display="折耗分配分析表H5-13"/>
    <hyperlink ref="E21" location="'减值测算表H5-14'!A1" display="减值测算表H5-14"/>
    <hyperlink ref="E22" location="'可收回金额测试表H5-15'!A1" display="可收回金额测试表H5-15"/>
    <hyperlink ref="E23" location="'权属检查表H5-16'!A1" display="权属检查表H5-16"/>
    <hyperlink ref="E24" location="'关联交易检查表H5-17'!A1" display="关联交易检查表H5-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pageSetUpPr fitToPage="1"/>
  </sheetPr>
  <dimension ref="A1:L35"/>
  <sheetViews>
    <sheetView view="pageBreakPreview" zoomScaleNormal="100" zoomScaleSheetLayoutView="100" workbookViewId="0">
      <selection sqref="A1:I1"/>
    </sheetView>
  </sheetViews>
  <sheetFormatPr defaultColWidth="9" defaultRowHeight="19.95" customHeight="1"/>
  <cols>
    <col min="1" max="1" width="4.796875" style="349" customWidth="1"/>
    <col min="2" max="2" width="66.09765625" style="344" customWidth="1"/>
    <col min="3" max="3" width="10.09765625" style="344" customWidth="1"/>
    <col min="4" max="4" width="5.5" style="344" customWidth="1"/>
    <col min="5" max="5" width="6.59765625" style="344" customWidth="1"/>
    <col min="6" max="6" width="6.09765625" style="344" customWidth="1"/>
    <col min="7" max="7" width="7.19921875" style="344" customWidth="1"/>
    <col min="8" max="8" width="5.3984375" style="344" customWidth="1"/>
    <col min="9" max="9" width="6.796875" style="344" customWidth="1"/>
    <col min="10" max="10" width="44" style="344" customWidth="1"/>
    <col min="11" max="16384" width="9" style="344"/>
  </cols>
  <sheetData>
    <row r="1" spans="1:10" s="282" customFormat="1" ht="19.95" customHeight="1">
      <c r="A1" s="492" t="s">
        <v>878</v>
      </c>
      <c r="B1" s="492"/>
      <c r="C1" s="492"/>
      <c r="D1" s="492"/>
      <c r="E1" s="492"/>
      <c r="F1" s="492"/>
      <c r="G1" s="492"/>
      <c r="H1" s="492"/>
      <c r="I1" s="492"/>
    </row>
    <row r="2" spans="1:10" s="267" customFormat="1" ht="19.95" customHeight="1">
      <c r="A2" s="493" t="s">
        <v>954</v>
      </c>
      <c r="B2" s="494"/>
      <c r="C2" s="494"/>
      <c r="D2" s="494"/>
      <c r="E2" s="494"/>
      <c r="F2" s="494"/>
      <c r="G2" s="494"/>
      <c r="H2" s="494"/>
      <c r="I2" s="494"/>
    </row>
    <row r="3" spans="1:10" s="343" customFormat="1" ht="19.95" customHeight="1">
      <c r="A3" s="341" t="str">
        <f>底稿目录!A2</f>
        <v>被审计单位：</v>
      </c>
      <c r="B3" s="341"/>
      <c r="C3" s="341" t="str">
        <f>底稿目录!A4</f>
        <v>编制人：</v>
      </c>
      <c r="D3" s="341"/>
      <c r="E3" s="341" t="str">
        <f>底稿目录!A6</f>
        <v>编制日期：</v>
      </c>
      <c r="F3" s="341"/>
      <c r="H3" s="339" t="s">
        <v>914</v>
      </c>
      <c r="I3" s="342" t="s">
        <v>157</v>
      </c>
    </row>
    <row r="4" spans="1:10" s="343" customFormat="1" ht="19.95" customHeight="1">
      <c r="A4" s="341" t="str">
        <f>底稿目录!A3</f>
        <v>截止日：202X年12月31日</v>
      </c>
      <c r="B4" s="341"/>
      <c r="C4" s="341" t="str">
        <f>底稿目录!A5</f>
        <v>复核人：</v>
      </c>
      <c r="D4" s="341"/>
      <c r="E4" s="341" t="str">
        <f>底稿目录!A7</f>
        <v>复核日期：</v>
      </c>
      <c r="F4" s="341"/>
      <c r="H4" s="339" t="s">
        <v>915</v>
      </c>
      <c r="I4" s="341"/>
    </row>
    <row r="5" spans="1:10" ht="19.95" customHeight="1">
      <c r="A5" s="495" t="s">
        <v>106</v>
      </c>
      <c r="B5" s="495"/>
      <c r="C5" s="34"/>
      <c r="D5" s="34"/>
      <c r="E5" s="34"/>
      <c r="F5" s="34"/>
      <c r="G5" s="34"/>
      <c r="H5" s="34"/>
      <c r="I5" s="34"/>
    </row>
    <row r="6" spans="1:10" ht="19.95" customHeight="1">
      <c r="A6" s="345" t="s">
        <v>105</v>
      </c>
      <c r="B6" s="346"/>
      <c r="C6" s="346"/>
      <c r="D6" s="346"/>
      <c r="E6" s="346"/>
      <c r="F6" s="346"/>
      <c r="G6" s="346"/>
      <c r="H6" s="346"/>
      <c r="I6" s="346"/>
    </row>
    <row r="7" spans="1:10" s="343" customFormat="1" ht="19.95" customHeight="1">
      <c r="A7" s="413" t="s">
        <v>1043</v>
      </c>
      <c r="B7" s="347"/>
      <c r="C7" s="348"/>
      <c r="D7" s="341"/>
      <c r="E7" s="341"/>
      <c r="F7" s="341"/>
      <c r="G7" s="341"/>
      <c r="H7" s="341"/>
      <c r="I7" s="341"/>
    </row>
    <row r="8" spans="1:10" s="343" customFormat="1" ht="19.95" customHeight="1">
      <c r="A8" s="501" t="s">
        <v>1063</v>
      </c>
      <c r="B8" s="501"/>
      <c r="C8" s="501"/>
      <c r="D8" s="501"/>
      <c r="E8" s="501"/>
      <c r="F8" s="501"/>
      <c r="G8" s="504" t="s">
        <v>952</v>
      </c>
      <c r="H8" s="504"/>
      <c r="I8" s="504"/>
    </row>
    <row r="9" spans="1:10" s="343" customFormat="1" ht="19.95" customHeight="1">
      <c r="A9" s="491" t="s">
        <v>955</v>
      </c>
      <c r="B9" s="491"/>
      <c r="C9" s="491"/>
      <c r="D9" s="491"/>
      <c r="E9" s="491"/>
      <c r="F9" s="491"/>
      <c r="G9" s="500" t="s">
        <v>953</v>
      </c>
      <c r="H9" s="500"/>
      <c r="I9" s="500"/>
    </row>
    <row r="10" spans="1:10" s="343" customFormat="1" ht="19.95" customHeight="1">
      <c r="A10" s="491" t="s">
        <v>1068</v>
      </c>
      <c r="B10" s="491"/>
      <c r="C10" s="491"/>
      <c r="D10" s="491"/>
      <c r="E10" s="491"/>
      <c r="F10" s="491"/>
      <c r="G10" s="500" t="s">
        <v>1064</v>
      </c>
      <c r="H10" s="500"/>
      <c r="I10" s="500"/>
    </row>
    <row r="11" spans="1:10" s="343" customFormat="1" ht="19.95" customHeight="1">
      <c r="A11" s="491" t="s">
        <v>1069</v>
      </c>
      <c r="B11" s="491"/>
      <c r="C11" s="491"/>
      <c r="D11" s="491"/>
      <c r="E11" s="491"/>
      <c r="F11" s="491"/>
      <c r="G11" s="500" t="s">
        <v>1065</v>
      </c>
      <c r="H11" s="500"/>
      <c r="I11" s="500"/>
    </row>
    <row r="12" spans="1:10" s="343" customFormat="1" ht="19.95" customHeight="1">
      <c r="A12" s="491" t="s">
        <v>1070</v>
      </c>
      <c r="B12" s="491"/>
      <c r="C12" s="491"/>
      <c r="D12" s="491"/>
      <c r="E12" s="491"/>
      <c r="F12" s="491"/>
      <c r="G12" s="500" t="s">
        <v>1066</v>
      </c>
      <c r="H12" s="500"/>
      <c r="I12" s="500"/>
    </row>
    <row r="13" spans="1:10" s="343" customFormat="1" ht="19.95" customHeight="1">
      <c r="A13" s="491" t="s">
        <v>1071</v>
      </c>
      <c r="B13" s="491"/>
      <c r="C13" s="491"/>
      <c r="D13" s="491"/>
      <c r="E13" s="491"/>
      <c r="F13" s="491"/>
      <c r="G13" s="500" t="s">
        <v>1067</v>
      </c>
      <c r="H13" s="500"/>
      <c r="I13" s="500"/>
    </row>
    <row r="14" spans="1:10" s="343" customFormat="1" ht="19.95" customHeight="1">
      <c r="A14" s="497" t="s">
        <v>1044</v>
      </c>
      <c r="B14" s="497"/>
      <c r="C14" s="348"/>
      <c r="D14" s="341"/>
      <c r="E14" s="341"/>
      <c r="F14" s="341"/>
      <c r="G14" s="341"/>
      <c r="H14" s="341"/>
      <c r="I14" s="341"/>
    </row>
    <row r="15" spans="1:10" s="343" customFormat="1" ht="19.95" customHeight="1">
      <c r="A15" s="498" t="s">
        <v>154</v>
      </c>
      <c r="B15" s="499" t="s">
        <v>1078</v>
      </c>
      <c r="C15" s="496" t="s">
        <v>219</v>
      </c>
      <c r="D15" s="498" t="s">
        <v>220</v>
      </c>
      <c r="E15" s="498"/>
      <c r="F15" s="498"/>
      <c r="G15" s="498"/>
      <c r="H15" s="498"/>
      <c r="I15" s="496" t="s">
        <v>142</v>
      </c>
    </row>
    <row r="16" spans="1:10" s="343" customFormat="1" ht="33.6" customHeight="1">
      <c r="A16" s="498"/>
      <c r="B16" s="499"/>
      <c r="C16" s="496"/>
      <c r="D16" s="169" t="s">
        <v>221</v>
      </c>
      <c r="E16" s="169" t="s">
        <v>222</v>
      </c>
      <c r="F16" s="165" t="s">
        <v>143</v>
      </c>
      <c r="G16" s="165" t="s">
        <v>223</v>
      </c>
      <c r="H16" s="165" t="s">
        <v>224</v>
      </c>
      <c r="I16" s="496"/>
      <c r="J16" s="486" t="s">
        <v>1077</v>
      </c>
    </row>
    <row r="17" spans="1:12" s="343" customFormat="1" ht="72" customHeight="1">
      <c r="A17" s="388" t="s">
        <v>923</v>
      </c>
      <c r="B17" s="369" t="s">
        <v>960</v>
      </c>
      <c r="C17" s="389" t="s">
        <v>225</v>
      </c>
      <c r="D17" s="370" t="s">
        <v>956</v>
      </c>
      <c r="E17" s="370" t="s">
        <v>956</v>
      </c>
      <c r="F17" s="370"/>
      <c r="G17" s="371" t="s">
        <v>957</v>
      </c>
      <c r="H17" s="390"/>
      <c r="I17" s="390" t="s">
        <v>1038</v>
      </c>
    </row>
    <row r="18" spans="1:12" s="343" customFormat="1" ht="43.8" customHeight="1">
      <c r="A18" s="388" t="s">
        <v>98</v>
      </c>
      <c r="B18" s="391" t="s">
        <v>961</v>
      </c>
      <c r="C18" s="389" t="s">
        <v>226</v>
      </c>
      <c r="D18" s="374"/>
      <c r="E18" s="375" t="s">
        <v>964</v>
      </c>
      <c r="F18" s="374"/>
      <c r="G18" s="376" t="s">
        <v>965</v>
      </c>
      <c r="H18" s="390"/>
      <c r="I18" s="399" t="s">
        <v>984</v>
      </c>
      <c r="J18" s="502" t="s">
        <v>958</v>
      </c>
      <c r="K18" s="503"/>
      <c r="L18" s="503"/>
    </row>
    <row r="19" spans="1:12" s="343" customFormat="1" ht="55.8" customHeight="1">
      <c r="A19" s="388" t="s">
        <v>31</v>
      </c>
      <c r="B19" s="369" t="s">
        <v>969</v>
      </c>
      <c r="C19" s="389" t="s">
        <v>99</v>
      </c>
      <c r="D19" s="372" t="s">
        <v>962</v>
      </c>
      <c r="E19" s="373" t="s">
        <v>104</v>
      </c>
      <c r="F19" s="373" t="s">
        <v>963</v>
      </c>
      <c r="G19" s="373" t="s">
        <v>963</v>
      </c>
      <c r="H19" s="390"/>
      <c r="I19" s="390"/>
      <c r="J19" s="502" t="s">
        <v>959</v>
      </c>
      <c r="K19" s="503"/>
      <c r="L19" s="503"/>
    </row>
    <row r="20" spans="1:12" s="343" customFormat="1" ht="81.599999999999994" customHeight="1">
      <c r="A20" s="388" t="s">
        <v>32</v>
      </c>
      <c r="B20" s="392" t="s">
        <v>968</v>
      </c>
      <c r="C20" s="389" t="s">
        <v>94</v>
      </c>
      <c r="D20" s="373" t="s">
        <v>966</v>
      </c>
      <c r="E20" s="373" t="s">
        <v>966</v>
      </c>
      <c r="F20" s="373"/>
      <c r="G20" s="372" t="s">
        <v>967</v>
      </c>
      <c r="H20" s="393"/>
      <c r="I20" s="390" t="s">
        <v>181</v>
      </c>
    </row>
    <row r="21" spans="1:12" s="343" customFormat="1" ht="104.4" customHeight="1">
      <c r="A21" s="388" t="s">
        <v>97</v>
      </c>
      <c r="B21" s="378" t="s">
        <v>972</v>
      </c>
      <c r="C21" s="389" t="s">
        <v>94</v>
      </c>
      <c r="D21" s="373" t="s">
        <v>104</v>
      </c>
      <c r="E21" s="373" t="s">
        <v>970</v>
      </c>
      <c r="F21" s="373"/>
      <c r="G21" s="372" t="s">
        <v>971</v>
      </c>
      <c r="H21" s="393"/>
      <c r="I21" s="390" t="s">
        <v>163</v>
      </c>
    </row>
    <row r="22" spans="1:12" s="343" customFormat="1" ht="129" customHeight="1">
      <c r="A22" s="388" t="s">
        <v>96</v>
      </c>
      <c r="B22" s="393" t="s">
        <v>973</v>
      </c>
      <c r="C22" s="389" t="s">
        <v>94</v>
      </c>
      <c r="D22" s="372" t="s">
        <v>962</v>
      </c>
      <c r="E22" s="373" t="s">
        <v>974</v>
      </c>
      <c r="F22" s="373" t="s">
        <v>974</v>
      </c>
      <c r="G22" s="373" t="s">
        <v>963</v>
      </c>
      <c r="H22" s="393"/>
      <c r="I22" s="390" t="s">
        <v>182</v>
      </c>
    </row>
    <row r="23" spans="1:12" s="343" customFormat="1" ht="38.4" customHeight="1">
      <c r="A23" s="388" t="s">
        <v>101</v>
      </c>
      <c r="B23" s="394" t="s">
        <v>975</v>
      </c>
      <c r="C23" s="379" t="s">
        <v>94</v>
      </c>
      <c r="D23" s="373" t="s">
        <v>963</v>
      </c>
      <c r="E23" s="373" t="s">
        <v>963</v>
      </c>
      <c r="F23" s="373"/>
      <c r="G23" s="372" t="s">
        <v>962</v>
      </c>
      <c r="H23" s="393"/>
      <c r="I23" s="390" t="s">
        <v>183</v>
      </c>
    </row>
    <row r="24" spans="1:12" s="343" customFormat="1" ht="99" customHeight="1">
      <c r="A24" s="388" t="s">
        <v>924</v>
      </c>
      <c r="B24" s="395" t="s">
        <v>227</v>
      </c>
      <c r="C24" s="389" t="s">
        <v>228</v>
      </c>
      <c r="D24" s="372" t="s">
        <v>962</v>
      </c>
      <c r="E24" s="373" t="s">
        <v>963</v>
      </c>
      <c r="F24" s="373" t="s">
        <v>963</v>
      </c>
      <c r="G24" s="372" t="s">
        <v>144</v>
      </c>
      <c r="H24" s="393"/>
      <c r="I24" s="390" t="s">
        <v>1039</v>
      </c>
    </row>
    <row r="25" spans="1:12" s="343" customFormat="1" ht="159.6" customHeight="1">
      <c r="A25" s="388" t="s">
        <v>925</v>
      </c>
      <c r="B25" s="392" t="s">
        <v>976</v>
      </c>
      <c r="C25" s="389" t="s">
        <v>94</v>
      </c>
      <c r="D25" s="372" t="s">
        <v>144</v>
      </c>
      <c r="E25" s="381"/>
      <c r="F25" s="373" t="s">
        <v>965</v>
      </c>
      <c r="G25" s="373" t="s">
        <v>104</v>
      </c>
      <c r="H25" s="393"/>
      <c r="I25" s="390" t="s">
        <v>1040</v>
      </c>
    </row>
    <row r="26" spans="1:12" s="343" customFormat="1" ht="30" customHeight="1">
      <c r="A26" s="388" t="s">
        <v>926</v>
      </c>
      <c r="B26" s="395" t="s">
        <v>229</v>
      </c>
      <c r="C26" s="389" t="s">
        <v>99</v>
      </c>
      <c r="D26" s="372" t="s">
        <v>144</v>
      </c>
      <c r="E26" s="380"/>
      <c r="F26" s="373" t="s">
        <v>977</v>
      </c>
      <c r="G26" s="373" t="s">
        <v>977</v>
      </c>
      <c r="H26" s="393"/>
      <c r="I26" s="390" t="s">
        <v>920</v>
      </c>
    </row>
    <row r="27" spans="1:12" s="343" customFormat="1" ht="112.2" customHeight="1">
      <c r="A27" s="388" t="s">
        <v>927</v>
      </c>
      <c r="B27" s="395" t="s">
        <v>230</v>
      </c>
      <c r="C27" s="389" t="s">
        <v>94</v>
      </c>
      <c r="D27" s="380"/>
      <c r="E27" s="380"/>
      <c r="F27" s="380"/>
      <c r="G27" s="372" t="s">
        <v>962</v>
      </c>
      <c r="H27" s="393"/>
      <c r="I27" s="390" t="s">
        <v>1041</v>
      </c>
    </row>
    <row r="28" spans="1:12" s="343" customFormat="1" ht="70.2" customHeight="1">
      <c r="A28" s="388" t="s">
        <v>928</v>
      </c>
      <c r="B28" s="391" t="s">
        <v>946</v>
      </c>
      <c r="C28" s="382" t="s">
        <v>100</v>
      </c>
      <c r="D28" s="374"/>
      <c r="E28" s="374"/>
      <c r="F28" s="374"/>
      <c r="G28" s="383" t="s">
        <v>962</v>
      </c>
      <c r="H28" s="383"/>
      <c r="I28" s="390" t="s">
        <v>1042</v>
      </c>
    </row>
    <row r="29" spans="1:12" s="343" customFormat="1" ht="67.8" customHeight="1">
      <c r="A29" s="388" t="s">
        <v>929</v>
      </c>
      <c r="B29" s="396" t="s">
        <v>231</v>
      </c>
      <c r="C29" s="382" t="s">
        <v>100</v>
      </c>
      <c r="D29" s="374"/>
      <c r="E29" s="374"/>
      <c r="F29" s="383" t="s">
        <v>978</v>
      </c>
      <c r="G29" s="374"/>
      <c r="H29" s="390"/>
      <c r="I29" s="390" t="s">
        <v>184</v>
      </c>
    </row>
    <row r="30" spans="1:12" s="343" customFormat="1" ht="30.6" customHeight="1">
      <c r="A30" s="388" t="s">
        <v>930</v>
      </c>
      <c r="B30" s="396" t="s">
        <v>232</v>
      </c>
      <c r="C30" s="382" t="s">
        <v>100</v>
      </c>
      <c r="D30" s="383" t="s">
        <v>979</v>
      </c>
      <c r="E30" s="374" t="s">
        <v>104</v>
      </c>
      <c r="F30" s="374" t="s">
        <v>980</v>
      </c>
      <c r="G30" s="383" t="s">
        <v>144</v>
      </c>
      <c r="H30" s="374" t="s">
        <v>104</v>
      </c>
      <c r="I30" s="390" t="s">
        <v>185</v>
      </c>
    </row>
    <row r="31" spans="1:12" s="343" customFormat="1" ht="67.8" customHeight="1">
      <c r="A31" s="388" t="s">
        <v>931</v>
      </c>
      <c r="B31" s="396" t="s">
        <v>233</v>
      </c>
      <c r="C31" s="384" t="s">
        <v>95</v>
      </c>
      <c r="D31" s="374" t="s">
        <v>104</v>
      </c>
      <c r="E31" s="374" t="s">
        <v>963</v>
      </c>
      <c r="F31" s="374" t="s">
        <v>980</v>
      </c>
      <c r="G31" s="374" t="s">
        <v>104</v>
      </c>
      <c r="H31" s="385"/>
      <c r="I31" s="390" t="s">
        <v>186</v>
      </c>
    </row>
    <row r="32" spans="1:12" s="343" customFormat="1" ht="111" customHeight="1">
      <c r="A32" s="388" t="s">
        <v>932</v>
      </c>
      <c r="B32" s="396" t="s">
        <v>234</v>
      </c>
      <c r="C32" s="384" t="s">
        <v>95</v>
      </c>
      <c r="D32" s="374" t="s">
        <v>963</v>
      </c>
      <c r="E32" s="374" t="s">
        <v>963</v>
      </c>
      <c r="F32" s="374" t="s">
        <v>963</v>
      </c>
      <c r="G32" s="374" t="s">
        <v>963</v>
      </c>
      <c r="H32" s="385"/>
      <c r="I32" s="390" t="s">
        <v>187</v>
      </c>
    </row>
    <row r="33" spans="1:9" s="343" customFormat="1" ht="25.8" customHeight="1">
      <c r="A33" s="388" t="s">
        <v>933</v>
      </c>
      <c r="B33" s="386" t="s">
        <v>982</v>
      </c>
      <c r="C33" s="384" t="s">
        <v>95</v>
      </c>
      <c r="D33" s="374"/>
      <c r="E33" s="374" t="s">
        <v>963</v>
      </c>
      <c r="F33" s="374"/>
      <c r="G33" s="374"/>
      <c r="H33" s="385"/>
      <c r="I33" s="390"/>
    </row>
    <row r="34" spans="1:9" s="343" customFormat="1" ht="37.200000000000003" customHeight="1">
      <c r="A34" s="388" t="s">
        <v>934</v>
      </c>
      <c r="B34" s="397" t="s">
        <v>235</v>
      </c>
      <c r="C34" s="377" t="s">
        <v>981</v>
      </c>
      <c r="D34" s="374"/>
      <c r="E34" s="374"/>
      <c r="F34" s="374"/>
      <c r="G34" s="374"/>
      <c r="H34" s="385"/>
      <c r="I34" s="390"/>
    </row>
    <row r="35" spans="1:9" s="343" customFormat="1" ht="36" customHeight="1">
      <c r="A35" s="388" t="s">
        <v>935</v>
      </c>
      <c r="B35" s="387" t="s">
        <v>983</v>
      </c>
      <c r="C35" s="389" t="s">
        <v>94</v>
      </c>
      <c r="D35" s="398"/>
      <c r="E35" s="398"/>
      <c r="F35" s="398"/>
      <c r="G35" s="398"/>
      <c r="H35" s="390" t="s">
        <v>104</v>
      </c>
      <c r="I35" s="390" t="s">
        <v>236</v>
      </c>
    </row>
  </sheetData>
  <mergeCells count="23">
    <mergeCell ref="J19:L19"/>
    <mergeCell ref="J18:L18"/>
    <mergeCell ref="G8:I8"/>
    <mergeCell ref="G9:I9"/>
    <mergeCell ref="G10:I10"/>
    <mergeCell ref="I15:I16"/>
    <mergeCell ref="A14:B14"/>
    <mergeCell ref="D15:H15"/>
    <mergeCell ref="A15:A16"/>
    <mergeCell ref="B15:B16"/>
    <mergeCell ref="C15:C16"/>
    <mergeCell ref="A12:F12"/>
    <mergeCell ref="A13:F13"/>
    <mergeCell ref="A1:I1"/>
    <mergeCell ref="A2:I2"/>
    <mergeCell ref="A5:B5"/>
    <mergeCell ref="G11:I11"/>
    <mergeCell ref="G12:I12"/>
    <mergeCell ref="G13:I13"/>
    <mergeCell ref="A8:F8"/>
    <mergeCell ref="A9:F9"/>
    <mergeCell ref="A10:F10"/>
    <mergeCell ref="A11:F11"/>
  </mergeCells>
  <phoneticPr fontId="9" type="noConversion"/>
  <hyperlinks>
    <hyperlink ref="I3" location="底稿目录!A1" display="H5A"/>
  </hyperlinks>
  <printOptions horizontalCentered="1"/>
  <pageMargins left="0.70866141732283472" right="0.70866141732283472" top="0.74803149606299213" bottom="0.74803149606299213" header="0.31496062992125984" footer="0.31496062992125984"/>
  <pageSetup paperSize="9" scale="69" fitToHeight="2"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75"/>
  <sheetViews>
    <sheetView view="pageBreakPreview" zoomScaleNormal="115" zoomScaleSheetLayoutView="100" workbookViewId="0">
      <pane ySplit="6" topLeftCell="A7" activePane="bottomLeft" state="frozen"/>
      <selection activeCell="B6" sqref="B6"/>
      <selection pane="bottomLeft" sqref="A1:I1"/>
    </sheetView>
  </sheetViews>
  <sheetFormatPr defaultColWidth="9" defaultRowHeight="19.95" customHeight="1"/>
  <cols>
    <col min="1" max="1" width="15.5" style="1" customWidth="1"/>
    <col min="2" max="7" width="10.3984375" style="1" customWidth="1"/>
    <col min="8" max="16384" width="9" style="1"/>
  </cols>
  <sheetData>
    <row r="1" spans="1:10" s="194" customFormat="1" ht="19.95" customHeight="1">
      <c r="A1" s="507" t="s">
        <v>879</v>
      </c>
      <c r="B1" s="507"/>
      <c r="C1" s="507"/>
      <c r="D1" s="507"/>
      <c r="E1" s="507"/>
      <c r="F1" s="507"/>
      <c r="G1" s="507"/>
      <c r="H1" s="507"/>
      <c r="I1" s="507"/>
    </row>
    <row r="2" spans="1:10" s="281" customFormat="1" ht="19.95" customHeight="1">
      <c r="A2" s="508" t="s">
        <v>899</v>
      </c>
      <c r="B2" s="508"/>
      <c r="C2" s="508"/>
      <c r="D2" s="508"/>
      <c r="E2" s="508"/>
      <c r="F2" s="508"/>
      <c r="G2" s="508"/>
      <c r="H2" s="508"/>
      <c r="I2" s="508"/>
    </row>
    <row r="3" spans="1:10" ht="19.95" customHeight="1">
      <c r="A3" s="2" t="str">
        <f>底稿目录!A2</f>
        <v>被审计单位：</v>
      </c>
      <c r="B3" s="2"/>
      <c r="C3" s="2"/>
      <c r="D3" s="2" t="str">
        <f>底稿目录!A4</f>
        <v>编制人：</v>
      </c>
      <c r="F3" s="2" t="str">
        <f>底稿目录!A6</f>
        <v>编制日期：</v>
      </c>
      <c r="H3" s="339" t="s">
        <v>916</v>
      </c>
      <c r="I3" s="197" t="s">
        <v>158</v>
      </c>
    </row>
    <row r="4" spans="1:10" ht="19.95" customHeight="1">
      <c r="A4" s="2" t="str">
        <f>底稿目录!A3</f>
        <v>截止日：202X年12月31日</v>
      </c>
      <c r="B4" s="2"/>
      <c r="C4" s="2"/>
      <c r="D4" s="2" t="str">
        <f>底稿目录!A5</f>
        <v>复核人：</v>
      </c>
      <c r="F4" s="2" t="str">
        <f>底稿目录!A7</f>
        <v>复核日期：</v>
      </c>
      <c r="H4" s="339" t="s">
        <v>917</v>
      </c>
      <c r="I4" s="163"/>
    </row>
    <row r="5" spans="1:10" ht="27" customHeight="1">
      <c r="A5" s="509" t="s">
        <v>21</v>
      </c>
      <c r="B5" s="511" t="s">
        <v>237</v>
      </c>
      <c r="C5" s="512"/>
      <c r="D5" s="513"/>
      <c r="E5" s="511" t="s">
        <v>238</v>
      </c>
      <c r="F5" s="512"/>
      <c r="G5" s="513"/>
      <c r="H5" s="505" t="s">
        <v>239</v>
      </c>
      <c r="I5" s="506"/>
    </row>
    <row r="6" spans="1:10" ht="19.95" customHeight="1">
      <c r="A6" s="510"/>
      <c r="B6" s="198" t="s">
        <v>240</v>
      </c>
      <c r="C6" s="198" t="s">
        <v>241</v>
      </c>
      <c r="D6" s="198" t="s">
        <v>242</v>
      </c>
      <c r="E6" s="198" t="s">
        <v>240</v>
      </c>
      <c r="F6" s="198" t="s">
        <v>241</v>
      </c>
      <c r="G6" s="198" t="s">
        <v>242</v>
      </c>
      <c r="H6" s="199" t="s">
        <v>243</v>
      </c>
      <c r="I6" s="200" t="s">
        <v>244</v>
      </c>
    </row>
    <row r="7" spans="1:10" ht="19.95" customHeight="1">
      <c r="A7" s="172" t="s">
        <v>245</v>
      </c>
      <c r="B7" s="172"/>
      <c r="C7" s="172"/>
      <c r="D7" s="172"/>
      <c r="E7" s="172"/>
      <c r="F7" s="172"/>
      <c r="G7" s="172"/>
      <c r="H7" s="172"/>
      <c r="I7" s="172"/>
    </row>
    <row r="8" spans="1:10" ht="19.95" customHeight="1">
      <c r="A8" s="80" t="str">
        <f>底稿目录!A9</f>
        <v>探明矿区权益</v>
      </c>
      <c r="B8" s="159">
        <f>'明细表H5-2'!D35</f>
        <v>0</v>
      </c>
      <c r="C8" s="159">
        <f>'明细表H5-2'!J35</f>
        <v>0</v>
      </c>
      <c r="D8" s="159">
        <f>B8+C8</f>
        <v>0</v>
      </c>
      <c r="E8" s="159">
        <f>'明细表H5-2'!I35</f>
        <v>0</v>
      </c>
      <c r="F8" s="159">
        <f>'明细表H5-2'!J35+'明细表H5-2'!K35-'明细表H5-2'!L35</f>
        <v>0</v>
      </c>
      <c r="G8" s="159">
        <f>E8+F8</f>
        <v>0</v>
      </c>
      <c r="H8" s="149">
        <f>G8-D8</f>
        <v>0</v>
      </c>
      <c r="I8" s="160">
        <f>IF(AND(D8=0,H8=0),0,IF(AND(D8=0,H8&gt;0),1,H8/D8))</f>
        <v>0</v>
      </c>
    </row>
    <row r="9" spans="1:10" ht="19.95" customHeight="1">
      <c r="A9" s="80" t="str">
        <f>底稿目录!A10</f>
        <v>未探明矿区权益</v>
      </c>
      <c r="B9" s="159">
        <f>'明细表H5-2'!D36</f>
        <v>0</v>
      </c>
      <c r="C9" s="159">
        <f>'明细表H5-2'!J36</f>
        <v>0</v>
      </c>
      <c r="D9" s="159">
        <f>B9+C9</f>
        <v>0</v>
      </c>
      <c r="E9" s="159">
        <f>'明细表H5-2'!I36</f>
        <v>0</v>
      </c>
      <c r="F9" s="159">
        <f>'明细表H5-2'!J36+'明细表H5-2'!K36-'明细表H5-2'!L36</f>
        <v>0</v>
      </c>
      <c r="G9" s="159">
        <f t="shared" ref="G9:G12" si="0">E9+F9</f>
        <v>0</v>
      </c>
      <c r="H9" s="149">
        <f t="shared" ref="H9:H13" si="1">G9-D9</f>
        <v>0</v>
      </c>
      <c r="I9" s="160">
        <f t="shared" ref="I9:I13" si="2">IF(AND(D9=0,H9=0),0,IF(AND(D9=0,H9&gt;0),1,H9/D9))</f>
        <v>0</v>
      </c>
    </row>
    <row r="10" spans="1:10" ht="19.95" customHeight="1">
      <c r="A10" s="80" t="str">
        <f>底稿目录!A11</f>
        <v>井及相关设施</v>
      </c>
      <c r="B10" s="159">
        <f>'明细表H5-2'!D37</f>
        <v>0</v>
      </c>
      <c r="C10" s="159">
        <f>'明细表H5-2'!J37</f>
        <v>0</v>
      </c>
      <c r="D10" s="159">
        <f>B10+C10</f>
        <v>0</v>
      </c>
      <c r="E10" s="159">
        <f>'明细表H5-2'!I37</f>
        <v>0</v>
      </c>
      <c r="F10" s="159">
        <f>'明细表H5-2'!J37+'明细表H5-2'!K37-'明细表H5-2'!L37</f>
        <v>0</v>
      </c>
      <c r="G10" s="159">
        <f t="shared" si="0"/>
        <v>0</v>
      </c>
      <c r="H10" s="149">
        <f t="shared" si="1"/>
        <v>0</v>
      </c>
      <c r="I10" s="160">
        <f t="shared" si="2"/>
        <v>0</v>
      </c>
    </row>
    <row r="11" spans="1:10" ht="19.95" customHeight="1">
      <c r="A11" s="80" t="str">
        <f>底稿目录!A12</f>
        <v>…</v>
      </c>
      <c r="B11" s="159">
        <f>'明细表H5-2'!D38</f>
        <v>0</v>
      </c>
      <c r="C11" s="159">
        <f>'明细表H5-2'!J38</f>
        <v>0</v>
      </c>
      <c r="D11" s="159">
        <f>B11+C11</f>
        <v>0</v>
      </c>
      <c r="E11" s="159">
        <f>'明细表H5-2'!I38</f>
        <v>0</v>
      </c>
      <c r="F11" s="159">
        <f>'明细表H5-2'!J38+'明细表H5-2'!K38-'明细表H5-2'!L38</f>
        <v>0</v>
      </c>
      <c r="G11" s="159">
        <f t="shared" si="0"/>
        <v>0</v>
      </c>
      <c r="H11" s="149">
        <f t="shared" si="1"/>
        <v>0</v>
      </c>
      <c r="I11" s="160">
        <f t="shared" si="2"/>
        <v>0</v>
      </c>
    </row>
    <row r="12" spans="1:10" ht="19.95" customHeight="1">
      <c r="A12" s="80" t="str">
        <f>底稿目录!A13</f>
        <v>…</v>
      </c>
      <c r="B12" s="159">
        <f>'明细表H5-2'!D39</f>
        <v>0</v>
      </c>
      <c r="C12" s="159">
        <f>'明细表H5-2'!J39</f>
        <v>0</v>
      </c>
      <c r="D12" s="159">
        <f>B12+C12</f>
        <v>0</v>
      </c>
      <c r="E12" s="159">
        <f>'明细表H5-2'!I39</f>
        <v>0</v>
      </c>
      <c r="F12" s="159">
        <f>'明细表H5-2'!J39+'明细表H5-2'!K39-'明细表H5-2'!L39</f>
        <v>0</v>
      </c>
      <c r="G12" s="159">
        <f t="shared" si="0"/>
        <v>0</v>
      </c>
      <c r="H12" s="149">
        <f t="shared" si="1"/>
        <v>0</v>
      </c>
      <c r="I12" s="160">
        <f t="shared" si="2"/>
        <v>0</v>
      </c>
    </row>
    <row r="13" spans="1:10" ht="19.95" customHeight="1">
      <c r="A13" s="337" t="s">
        <v>910</v>
      </c>
      <c r="B13" s="314">
        <f>SUM(B8:B12)</f>
        <v>0</v>
      </c>
      <c r="C13" s="314">
        <f t="shared" ref="C13:G13" si="3">SUM(C8:C12)</f>
        <v>0</v>
      </c>
      <c r="D13" s="314">
        <f t="shared" si="3"/>
        <v>0</v>
      </c>
      <c r="E13" s="314">
        <f t="shared" si="3"/>
        <v>0</v>
      </c>
      <c r="F13" s="314">
        <f t="shared" si="3"/>
        <v>0</v>
      </c>
      <c r="G13" s="314">
        <f t="shared" si="3"/>
        <v>0</v>
      </c>
      <c r="H13" s="147">
        <f t="shared" si="1"/>
        <v>0</v>
      </c>
      <c r="I13" s="150">
        <f t="shared" si="2"/>
        <v>0</v>
      </c>
      <c r="J13" s="4"/>
    </row>
    <row r="14" spans="1:10" ht="19.95" customHeight="1">
      <c r="A14" s="172" t="s">
        <v>247</v>
      </c>
      <c r="B14" s="172"/>
      <c r="C14" s="172"/>
      <c r="D14" s="172"/>
      <c r="E14" s="172"/>
      <c r="F14" s="172"/>
      <c r="G14" s="172"/>
      <c r="H14" s="172"/>
      <c r="I14" s="99"/>
    </row>
    <row r="15" spans="1:10" s="4" customFormat="1" ht="19.95" customHeight="1">
      <c r="A15" s="80" t="str">
        <f>A8</f>
        <v>探明矿区权益</v>
      </c>
      <c r="B15" s="159">
        <f>'明细表H5-2'!Q35</f>
        <v>0</v>
      </c>
      <c r="C15" s="159">
        <f>'明细表H5-2'!W35</f>
        <v>0</v>
      </c>
      <c r="D15" s="159">
        <f>B15+C15</f>
        <v>0</v>
      </c>
      <c r="E15" s="159">
        <f>'明细表H5-2'!V35</f>
        <v>0</v>
      </c>
      <c r="F15" s="159">
        <f>'明细表H5-2'!W35+'明细表H5-2'!X35-'明细表H5-2'!AA35+'明细表H5-2'!Y35-'明细表H5-2'!Z35</f>
        <v>0</v>
      </c>
      <c r="G15" s="159">
        <f t="shared" ref="G15:G19" si="4">E15+F15</f>
        <v>0</v>
      </c>
      <c r="H15" s="149">
        <f t="shared" ref="H15:H20" si="5">G15-D15</f>
        <v>0</v>
      </c>
      <c r="I15" s="160">
        <f t="shared" ref="I15:I20" si="6">IF(AND(D15=0,H15=0),0,IF(AND(D15=0,H15&gt;0),1,H15/D15))</f>
        <v>0</v>
      </c>
    </row>
    <row r="16" spans="1:10" ht="19.95" customHeight="1">
      <c r="A16" s="80" t="str">
        <f>A9</f>
        <v>未探明矿区权益</v>
      </c>
      <c r="B16" s="159">
        <f>'明细表H5-2'!Q36</f>
        <v>0</v>
      </c>
      <c r="C16" s="159">
        <f>'明细表H5-2'!W36</f>
        <v>0</v>
      </c>
      <c r="D16" s="159">
        <f>B16+C16</f>
        <v>0</v>
      </c>
      <c r="E16" s="159">
        <f>'明细表H5-2'!V36</f>
        <v>0</v>
      </c>
      <c r="F16" s="159">
        <f>'明细表H5-2'!W36+'明细表H5-2'!X36-'明细表H5-2'!AA36+'明细表H5-2'!Y36-'明细表H5-2'!Z36</f>
        <v>0</v>
      </c>
      <c r="G16" s="159">
        <f t="shared" si="4"/>
        <v>0</v>
      </c>
      <c r="H16" s="149">
        <f t="shared" si="5"/>
        <v>0</v>
      </c>
      <c r="I16" s="160">
        <f t="shared" si="6"/>
        <v>0</v>
      </c>
    </row>
    <row r="17" spans="1:9" ht="19.95" customHeight="1">
      <c r="A17" s="80" t="str">
        <f>A10</f>
        <v>井及相关设施</v>
      </c>
      <c r="B17" s="159">
        <f>'明细表H5-2'!Q37</f>
        <v>0</v>
      </c>
      <c r="C17" s="159">
        <f>'明细表H5-2'!W37</f>
        <v>0</v>
      </c>
      <c r="D17" s="159">
        <f>B17+C17</f>
        <v>0</v>
      </c>
      <c r="E17" s="159">
        <f>'明细表H5-2'!V37</f>
        <v>0</v>
      </c>
      <c r="F17" s="159">
        <f>'明细表H5-2'!W37+'明细表H5-2'!X37-'明细表H5-2'!AA37+'明细表H5-2'!Y37-'明细表H5-2'!Z37</f>
        <v>0</v>
      </c>
      <c r="G17" s="159">
        <f t="shared" si="4"/>
        <v>0</v>
      </c>
      <c r="H17" s="149">
        <f t="shared" si="5"/>
        <v>0</v>
      </c>
      <c r="I17" s="160">
        <f t="shared" si="6"/>
        <v>0</v>
      </c>
    </row>
    <row r="18" spans="1:9" ht="19.95" customHeight="1">
      <c r="A18" s="80" t="str">
        <f>A11</f>
        <v>…</v>
      </c>
      <c r="B18" s="159">
        <f>'明细表H5-2'!Q38</f>
        <v>0</v>
      </c>
      <c r="C18" s="159">
        <f>'明细表H5-2'!W38</f>
        <v>0</v>
      </c>
      <c r="D18" s="159">
        <f>B18+C18</f>
        <v>0</v>
      </c>
      <c r="E18" s="159">
        <f>'明细表H5-2'!V38</f>
        <v>0</v>
      </c>
      <c r="F18" s="159">
        <f>'明细表H5-2'!W38+'明细表H5-2'!X38-'明细表H5-2'!AA38+'明细表H5-2'!Y38-'明细表H5-2'!Z38</f>
        <v>0</v>
      </c>
      <c r="G18" s="159">
        <f t="shared" si="4"/>
        <v>0</v>
      </c>
      <c r="H18" s="149">
        <f t="shared" si="5"/>
        <v>0</v>
      </c>
      <c r="I18" s="160">
        <f t="shared" si="6"/>
        <v>0</v>
      </c>
    </row>
    <row r="19" spans="1:9" ht="19.95" customHeight="1">
      <c r="A19" s="80" t="str">
        <f>A12</f>
        <v>…</v>
      </c>
      <c r="B19" s="159">
        <f>'明细表H5-2'!Q39</f>
        <v>0</v>
      </c>
      <c r="C19" s="159">
        <f>'明细表H5-2'!W39</f>
        <v>0</v>
      </c>
      <c r="D19" s="159">
        <f>B19+C19</f>
        <v>0</v>
      </c>
      <c r="E19" s="159">
        <f>'明细表H5-2'!V39</f>
        <v>0</v>
      </c>
      <c r="F19" s="159">
        <f>'明细表H5-2'!W39+'明细表H5-2'!X39-'明细表H5-2'!AA39+'明细表H5-2'!Y39-'明细表H5-2'!Z39</f>
        <v>0</v>
      </c>
      <c r="G19" s="159">
        <f t="shared" si="4"/>
        <v>0</v>
      </c>
      <c r="H19" s="149">
        <f t="shared" si="5"/>
        <v>0</v>
      </c>
      <c r="I19" s="160">
        <f t="shared" si="6"/>
        <v>0</v>
      </c>
    </row>
    <row r="20" spans="1:9" ht="19.95" customHeight="1">
      <c r="A20" s="337" t="s">
        <v>246</v>
      </c>
      <c r="B20" s="314">
        <f>SUM(B15:B19)</f>
        <v>0</v>
      </c>
      <c r="C20" s="314">
        <f t="shared" ref="C20:G20" si="7">SUM(C15:C19)</f>
        <v>0</v>
      </c>
      <c r="D20" s="314">
        <f t="shared" si="7"/>
        <v>0</v>
      </c>
      <c r="E20" s="314">
        <f t="shared" si="7"/>
        <v>0</v>
      </c>
      <c r="F20" s="314">
        <f t="shared" si="7"/>
        <v>0</v>
      </c>
      <c r="G20" s="314">
        <f t="shared" si="7"/>
        <v>0</v>
      </c>
      <c r="H20" s="147">
        <f t="shared" si="5"/>
        <v>0</v>
      </c>
      <c r="I20" s="150">
        <f t="shared" si="6"/>
        <v>0</v>
      </c>
    </row>
    <row r="21" spans="1:9" ht="19.95" customHeight="1">
      <c r="A21" s="172" t="s">
        <v>248</v>
      </c>
      <c r="B21" s="172"/>
      <c r="C21" s="172"/>
      <c r="D21" s="172"/>
      <c r="E21" s="172"/>
      <c r="F21" s="414"/>
      <c r="G21" s="172"/>
      <c r="H21" s="172"/>
      <c r="I21" s="99"/>
    </row>
    <row r="22" spans="1:9" s="4" customFormat="1" ht="19.95" customHeight="1">
      <c r="A22" s="80" t="str">
        <f>A15</f>
        <v>探明矿区权益</v>
      </c>
      <c r="B22" s="159">
        <f>'明细表H5-2'!AF35</f>
        <v>0</v>
      </c>
      <c r="C22" s="159">
        <f>'明细表H5-2'!AL35</f>
        <v>0</v>
      </c>
      <c r="D22" s="159">
        <f>B22+C22</f>
        <v>0</v>
      </c>
      <c r="E22" s="159">
        <f>'明细表H5-2'!AK35</f>
        <v>0</v>
      </c>
      <c r="F22" s="159">
        <f>'明细表H5-2'!AL35+'明细表H5-2'!AM35-'明细表H5-2'!AP35+'明细表H5-2'!AN35-'明细表H5-2'!AO35</f>
        <v>0</v>
      </c>
      <c r="G22" s="159">
        <f t="shared" ref="G22:G26" si="8">E22+F22</f>
        <v>0</v>
      </c>
      <c r="H22" s="149">
        <f t="shared" ref="H22:H27" si="9">G22-D22</f>
        <v>0</v>
      </c>
      <c r="I22" s="160">
        <f t="shared" ref="I22:I27" si="10">IF(AND(D22=0,H22=0),0,IF(AND(D22=0,H22&gt;0),1,H22/D22))</f>
        <v>0</v>
      </c>
    </row>
    <row r="23" spans="1:9" ht="19.95" customHeight="1">
      <c r="A23" s="80" t="str">
        <f>A16</f>
        <v>未探明矿区权益</v>
      </c>
      <c r="B23" s="159">
        <f>'明细表H5-2'!AF36</f>
        <v>0</v>
      </c>
      <c r="C23" s="159">
        <f>'明细表H5-2'!AL36</f>
        <v>0</v>
      </c>
      <c r="D23" s="159">
        <f>B23+C23</f>
        <v>0</v>
      </c>
      <c r="E23" s="159">
        <f>'明细表H5-2'!AK36</f>
        <v>0</v>
      </c>
      <c r="F23" s="159">
        <f>'明细表H5-2'!AL36+'明细表H5-2'!AM36-'明细表H5-2'!AP36+'明细表H5-2'!AN36-'明细表H5-2'!AO36</f>
        <v>0</v>
      </c>
      <c r="G23" s="159">
        <f t="shared" si="8"/>
        <v>0</v>
      </c>
      <c r="H23" s="149">
        <f t="shared" si="9"/>
        <v>0</v>
      </c>
      <c r="I23" s="160">
        <f t="shared" si="10"/>
        <v>0</v>
      </c>
    </row>
    <row r="24" spans="1:9" ht="19.95" customHeight="1">
      <c r="A24" s="80" t="str">
        <f>A17</f>
        <v>井及相关设施</v>
      </c>
      <c r="B24" s="159">
        <f>'明细表H5-2'!AF37</f>
        <v>0</v>
      </c>
      <c r="C24" s="159">
        <f>'明细表H5-2'!AL37</f>
        <v>0</v>
      </c>
      <c r="D24" s="159">
        <f>B24+C24</f>
        <v>0</v>
      </c>
      <c r="E24" s="159">
        <f>'明细表H5-2'!AK37</f>
        <v>0</v>
      </c>
      <c r="F24" s="159">
        <f>'明细表H5-2'!AL37+'明细表H5-2'!AM37-'明细表H5-2'!AP37+'明细表H5-2'!AN37-'明细表H5-2'!AO37</f>
        <v>0</v>
      </c>
      <c r="G24" s="159">
        <f t="shared" si="8"/>
        <v>0</v>
      </c>
      <c r="H24" s="149">
        <f t="shared" si="9"/>
        <v>0</v>
      </c>
      <c r="I24" s="160">
        <f t="shared" si="10"/>
        <v>0</v>
      </c>
    </row>
    <row r="25" spans="1:9" ht="19.95" customHeight="1">
      <c r="A25" s="80" t="str">
        <f>A18</f>
        <v>…</v>
      </c>
      <c r="B25" s="159">
        <f>'明细表H5-2'!AF38</f>
        <v>0</v>
      </c>
      <c r="C25" s="159">
        <f>'明细表H5-2'!AL38</f>
        <v>0</v>
      </c>
      <c r="D25" s="159">
        <f>B25+C25</f>
        <v>0</v>
      </c>
      <c r="E25" s="159">
        <f>'明细表H5-2'!AK38</f>
        <v>0</v>
      </c>
      <c r="F25" s="159">
        <f>'明细表H5-2'!AL38+'明细表H5-2'!AM38-'明细表H5-2'!AP38+'明细表H5-2'!AN38-'明细表H5-2'!AO38</f>
        <v>0</v>
      </c>
      <c r="G25" s="159">
        <f t="shared" si="8"/>
        <v>0</v>
      </c>
      <c r="H25" s="149">
        <f t="shared" si="9"/>
        <v>0</v>
      </c>
      <c r="I25" s="160">
        <f t="shared" si="10"/>
        <v>0</v>
      </c>
    </row>
    <row r="26" spans="1:9" ht="19.95" customHeight="1">
      <c r="A26" s="80" t="str">
        <f>A19</f>
        <v>…</v>
      </c>
      <c r="B26" s="159">
        <f>'明细表H5-2'!AF39</f>
        <v>0</v>
      </c>
      <c r="C26" s="159">
        <f>'明细表H5-2'!AL39</f>
        <v>0</v>
      </c>
      <c r="D26" s="159">
        <f>B26+C26</f>
        <v>0</v>
      </c>
      <c r="E26" s="159">
        <f>'明细表H5-2'!AK39</f>
        <v>0</v>
      </c>
      <c r="F26" s="159">
        <f>'明细表H5-2'!AL39+'明细表H5-2'!AM39-'明细表H5-2'!AP39+'明细表H5-2'!AN39-'明细表H5-2'!AO39</f>
        <v>0</v>
      </c>
      <c r="G26" s="159">
        <f t="shared" si="8"/>
        <v>0</v>
      </c>
      <c r="H26" s="149">
        <f t="shared" si="9"/>
        <v>0</v>
      </c>
      <c r="I26" s="160">
        <f t="shared" si="10"/>
        <v>0</v>
      </c>
    </row>
    <row r="27" spans="1:9" ht="19.95" customHeight="1">
      <c r="A27" s="337" t="s">
        <v>246</v>
      </c>
      <c r="B27" s="314">
        <f>SUM(B22:B26)</f>
        <v>0</v>
      </c>
      <c r="C27" s="314">
        <f t="shared" ref="C27:G27" si="11">SUM(C22:C26)</f>
        <v>0</v>
      </c>
      <c r="D27" s="314">
        <f t="shared" si="11"/>
        <v>0</v>
      </c>
      <c r="E27" s="314">
        <f t="shared" si="11"/>
        <v>0</v>
      </c>
      <c r="F27" s="314">
        <f t="shared" si="11"/>
        <v>0</v>
      </c>
      <c r="G27" s="314">
        <f t="shared" si="11"/>
        <v>0</v>
      </c>
      <c r="H27" s="147">
        <f t="shared" si="9"/>
        <v>0</v>
      </c>
      <c r="I27" s="150">
        <f t="shared" si="10"/>
        <v>0</v>
      </c>
    </row>
    <row r="28" spans="1:9" ht="19.95" customHeight="1">
      <c r="A28" s="172" t="s">
        <v>249</v>
      </c>
      <c r="B28" s="172"/>
      <c r="C28" s="172"/>
      <c r="D28" s="172"/>
      <c r="E28" s="172"/>
      <c r="F28" s="172"/>
      <c r="G28" s="172"/>
      <c r="H28" s="172"/>
      <c r="I28" s="99"/>
    </row>
    <row r="29" spans="1:9" s="4" customFormat="1" ht="19.95" customHeight="1">
      <c r="A29" s="80" t="str">
        <f>A22</f>
        <v>探明矿区权益</v>
      </c>
      <c r="B29" s="159">
        <f>B8-B15-B22</f>
        <v>0</v>
      </c>
      <c r="C29" s="159">
        <f t="shared" ref="C29:G29" si="12">C8-C15-C22</f>
        <v>0</v>
      </c>
      <c r="D29" s="159">
        <f>D8-D15-D22</f>
        <v>0</v>
      </c>
      <c r="E29" s="159">
        <f t="shared" si="12"/>
        <v>0</v>
      </c>
      <c r="F29" s="159">
        <f t="shared" si="12"/>
        <v>0</v>
      </c>
      <c r="G29" s="159">
        <f t="shared" si="12"/>
        <v>0</v>
      </c>
      <c r="H29" s="149">
        <f t="shared" ref="H29:H34" si="13">G29-D29</f>
        <v>0</v>
      </c>
      <c r="I29" s="160">
        <f t="shared" ref="I29:I34" si="14">IF(AND(D29=0,H29=0),0,IF(AND(D29=0,H29&gt;0),1,H29/D29))</f>
        <v>0</v>
      </c>
    </row>
    <row r="30" spans="1:9" ht="19.95" customHeight="1">
      <c r="A30" s="80" t="str">
        <f>A23</f>
        <v>未探明矿区权益</v>
      </c>
      <c r="B30" s="159">
        <f t="shared" ref="B30:G30" si="15">B9-B16-B23</f>
        <v>0</v>
      </c>
      <c r="C30" s="159">
        <f t="shared" si="15"/>
        <v>0</v>
      </c>
      <c r="D30" s="159">
        <f t="shared" si="15"/>
        <v>0</v>
      </c>
      <c r="E30" s="159">
        <f t="shared" si="15"/>
        <v>0</v>
      </c>
      <c r="F30" s="159">
        <f t="shared" si="15"/>
        <v>0</v>
      </c>
      <c r="G30" s="159">
        <f t="shared" si="15"/>
        <v>0</v>
      </c>
      <c r="H30" s="149">
        <f t="shared" si="13"/>
        <v>0</v>
      </c>
      <c r="I30" s="160">
        <f t="shared" si="14"/>
        <v>0</v>
      </c>
    </row>
    <row r="31" spans="1:9" ht="19.95" customHeight="1">
      <c r="A31" s="80" t="str">
        <f>A24</f>
        <v>井及相关设施</v>
      </c>
      <c r="B31" s="159">
        <f t="shared" ref="B31:G31" si="16">B10-B17-B24</f>
        <v>0</v>
      </c>
      <c r="C31" s="159">
        <f t="shared" si="16"/>
        <v>0</v>
      </c>
      <c r="D31" s="159">
        <f t="shared" si="16"/>
        <v>0</v>
      </c>
      <c r="E31" s="159">
        <f t="shared" si="16"/>
        <v>0</v>
      </c>
      <c r="F31" s="159">
        <f t="shared" si="16"/>
        <v>0</v>
      </c>
      <c r="G31" s="159">
        <f t="shared" si="16"/>
        <v>0</v>
      </c>
      <c r="H31" s="149">
        <f t="shared" si="13"/>
        <v>0</v>
      </c>
      <c r="I31" s="160">
        <f t="shared" si="14"/>
        <v>0</v>
      </c>
    </row>
    <row r="32" spans="1:9" ht="19.95" customHeight="1">
      <c r="A32" s="80" t="str">
        <f>A25</f>
        <v>…</v>
      </c>
      <c r="B32" s="159">
        <f>B11-B18-B25</f>
        <v>0</v>
      </c>
      <c r="C32" s="159">
        <f t="shared" ref="C32:G32" si="17">C11-C18-C25</f>
        <v>0</v>
      </c>
      <c r="D32" s="159">
        <f t="shared" si="17"/>
        <v>0</v>
      </c>
      <c r="E32" s="159">
        <f t="shared" si="17"/>
        <v>0</v>
      </c>
      <c r="F32" s="159">
        <f t="shared" si="17"/>
        <v>0</v>
      </c>
      <c r="G32" s="159">
        <f t="shared" si="17"/>
        <v>0</v>
      </c>
      <c r="H32" s="149">
        <f t="shared" si="13"/>
        <v>0</v>
      </c>
      <c r="I32" s="160">
        <f t="shared" si="14"/>
        <v>0</v>
      </c>
    </row>
    <row r="33" spans="1:9" ht="19.95" customHeight="1">
      <c r="A33" s="80" t="str">
        <f>A26</f>
        <v>…</v>
      </c>
      <c r="B33" s="159">
        <f t="shared" ref="B33:G33" si="18">B12-B19-B26</f>
        <v>0</v>
      </c>
      <c r="C33" s="159">
        <f t="shared" si="18"/>
        <v>0</v>
      </c>
      <c r="D33" s="159">
        <f t="shared" si="18"/>
        <v>0</v>
      </c>
      <c r="E33" s="159">
        <f t="shared" si="18"/>
        <v>0</v>
      </c>
      <c r="F33" s="159">
        <f t="shared" si="18"/>
        <v>0</v>
      </c>
      <c r="G33" s="159">
        <f t="shared" si="18"/>
        <v>0</v>
      </c>
      <c r="H33" s="149">
        <f t="shared" si="13"/>
        <v>0</v>
      </c>
      <c r="I33" s="160">
        <f t="shared" si="14"/>
        <v>0</v>
      </c>
    </row>
    <row r="34" spans="1:9" ht="19.95" customHeight="1">
      <c r="A34" s="337" t="s">
        <v>246</v>
      </c>
      <c r="B34" s="314">
        <f>SUM(B29:B33)</f>
        <v>0</v>
      </c>
      <c r="C34" s="314">
        <f t="shared" ref="C34:G34" si="19">SUM(C29:C33)</f>
        <v>0</v>
      </c>
      <c r="D34" s="314">
        <f t="shared" si="19"/>
        <v>0</v>
      </c>
      <c r="E34" s="314">
        <f t="shared" si="19"/>
        <v>0</v>
      </c>
      <c r="F34" s="314">
        <f t="shared" si="19"/>
        <v>0</v>
      </c>
      <c r="G34" s="314">
        <f t="shared" si="19"/>
        <v>0</v>
      </c>
      <c r="H34" s="147">
        <f t="shared" si="13"/>
        <v>0</v>
      </c>
      <c r="I34" s="150">
        <f t="shared" si="14"/>
        <v>0</v>
      </c>
    </row>
    <row r="35" spans="1:9" ht="19.95" customHeight="1">
      <c r="A35" s="201" t="s">
        <v>250</v>
      </c>
      <c r="B35" s="56"/>
      <c r="C35" s="56"/>
      <c r="D35" s="56"/>
      <c r="E35" s="56"/>
      <c r="F35" s="56"/>
    </row>
    <row r="36" spans="1:9" ht="19.95" customHeight="1">
      <c r="A36" s="202" t="s">
        <v>251</v>
      </c>
      <c r="D36" s="57"/>
    </row>
    <row r="37" spans="1:9" ht="19.95" customHeight="1">
      <c r="A37" s="202" t="s">
        <v>252</v>
      </c>
    </row>
    <row r="39" spans="1:9" s="400" customFormat="1" ht="19.95" customHeight="1">
      <c r="A39" s="400" t="s">
        <v>989</v>
      </c>
    </row>
    <row r="40" spans="1:9" s="400" customFormat="1" ht="19.95" customHeight="1"/>
    <row r="41" spans="1:9" s="400" customFormat="1" ht="19.95" customHeight="1">
      <c r="A41" s="400" t="s">
        <v>985</v>
      </c>
    </row>
    <row r="42" spans="1:9" s="400" customFormat="1" ht="19.95" customHeight="1"/>
    <row r="43" spans="1:9" s="400" customFormat="1" ht="19.95" customHeight="1">
      <c r="A43" s="400" t="s">
        <v>986</v>
      </c>
    </row>
    <row r="44" spans="1:9" s="400" customFormat="1" ht="19.95" customHeight="1"/>
    <row r="45" spans="1:9" s="400" customFormat="1" ht="19.95" customHeight="1">
      <c r="A45" s="400" t="s">
        <v>987</v>
      </c>
    </row>
    <row r="46" spans="1:9" s="400" customFormat="1" ht="19.95" customHeight="1">
      <c r="A46" s="400" t="s">
        <v>988</v>
      </c>
    </row>
    <row r="47" spans="1:9" s="400" customFormat="1" ht="19.95" customHeight="1"/>
    <row r="48" spans="1:9" s="400" customFormat="1" ht="19.95" customHeight="1">
      <c r="A48" s="400" t="s">
        <v>990</v>
      </c>
    </row>
    <row r="49" spans="1:3" ht="19.95" customHeight="1">
      <c r="A49" s="401"/>
      <c r="B49" s="402" t="s">
        <v>253</v>
      </c>
      <c r="C49" s="402" t="s">
        <v>254</v>
      </c>
    </row>
    <row r="50" spans="1:3" ht="19.95" customHeight="1">
      <c r="A50" s="401" t="s">
        <v>255</v>
      </c>
      <c r="B50" s="403">
        <f>G34</f>
        <v>0</v>
      </c>
      <c r="C50" s="403">
        <f>D34</f>
        <v>0</v>
      </c>
    </row>
    <row r="51" spans="1:3" ht="19.95" customHeight="1">
      <c r="A51" s="401" t="s">
        <v>256</v>
      </c>
      <c r="B51" s="404"/>
      <c r="C51" s="404"/>
    </row>
    <row r="52" spans="1:3" ht="19.95" customHeight="1">
      <c r="A52" s="401" t="s">
        <v>257</v>
      </c>
      <c r="B52" s="159">
        <f>B50-B51</f>
        <v>0</v>
      </c>
      <c r="C52" s="159">
        <f>C50-C51</f>
        <v>0</v>
      </c>
    </row>
    <row r="54" spans="1:3" ht="19.95" customHeight="1">
      <c r="A54" s="4" t="s">
        <v>258</v>
      </c>
    </row>
    <row r="59" spans="1:3" s="5" customFormat="1" ht="19.95" customHeight="1">
      <c r="A59" s="362" t="s">
        <v>947</v>
      </c>
    </row>
    <row r="60" spans="1:3" s="5" customFormat="1" ht="19.95" customHeight="1">
      <c r="A60" s="5" t="s">
        <v>259</v>
      </c>
    </row>
    <row r="61" spans="1:3" s="5" customFormat="1" ht="19.95" customHeight="1">
      <c r="A61" s="5" t="s">
        <v>260</v>
      </c>
    </row>
    <row r="62" spans="1:3" s="5" customFormat="1" ht="19.95" customHeight="1">
      <c r="A62" s="5" t="s">
        <v>261</v>
      </c>
    </row>
    <row r="63" spans="1:3" s="5" customFormat="1" ht="19.95" customHeight="1">
      <c r="A63" s="5" t="s">
        <v>262</v>
      </c>
    </row>
    <row r="64" spans="1:3" s="5" customFormat="1" ht="19.95" customHeight="1">
      <c r="A64" s="5" t="s">
        <v>263</v>
      </c>
    </row>
    <row r="65" spans="1:1" s="5" customFormat="1" ht="19.95" customHeight="1">
      <c r="A65" s="5" t="s">
        <v>264</v>
      </c>
    </row>
    <row r="66" spans="1:1" s="5" customFormat="1" ht="19.95" customHeight="1">
      <c r="A66" s="203" t="s">
        <v>265</v>
      </c>
    </row>
    <row r="67" spans="1:1" s="5" customFormat="1" ht="19.95" customHeight="1">
      <c r="A67" s="5" t="s">
        <v>266</v>
      </c>
    </row>
    <row r="68" spans="1:1" s="5" customFormat="1" ht="19.95" customHeight="1">
      <c r="A68" s="5" t="s">
        <v>267</v>
      </c>
    </row>
    <row r="69" spans="1:1" ht="19.95" customHeight="1">
      <c r="A69" s="5" t="s">
        <v>268</v>
      </c>
    </row>
    <row r="70" spans="1:1" ht="19.95" customHeight="1">
      <c r="A70" s="5" t="s">
        <v>269</v>
      </c>
    </row>
    <row r="71" spans="1:1" ht="19.95" customHeight="1">
      <c r="A71" s="5" t="s">
        <v>270</v>
      </c>
    </row>
    <row r="72" spans="1:1" ht="19.95" customHeight="1">
      <c r="A72" s="5" t="s">
        <v>271</v>
      </c>
    </row>
    <row r="73" spans="1:1" ht="19.95" customHeight="1">
      <c r="A73" s="5" t="s">
        <v>272</v>
      </c>
    </row>
    <row r="75" spans="1:1" ht="19.95" customHeight="1">
      <c r="A75" s="5" t="s">
        <v>273</v>
      </c>
    </row>
  </sheetData>
  <mergeCells count="6">
    <mergeCell ref="H5:I5"/>
    <mergeCell ref="A1:I1"/>
    <mergeCell ref="A2:I2"/>
    <mergeCell ref="A5:A6"/>
    <mergeCell ref="B5:D5"/>
    <mergeCell ref="E5:G5"/>
  </mergeCells>
  <phoneticPr fontId="4" type="noConversion"/>
  <conditionalFormatting sqref="B50">
    <cfRule type="cellIs" dxfId="2" priority="4" operator="greaterThan">
      <formula>" -   "</formula>
    </cfRule>
    <cfRule type="cellIs" dxfId="1" priority="5" operator="greaterThan">
      <formula>" -   "</formula>
    </cfRule>
    <cfRule type="cellIs" priority="6" operator="greaterThan">
      <formula>" -   "</formula>
    </cfRule>
  </conditionalFormatting>
  <conditionalFormatting sqref="B52:C52">
    <cfRule type="cellIs" dxfId="0" priority="1" operator="greaterThan">
      <formula>0</formula>
    </cfRule>
  </conditionalFormatting>
  <hyperlinks>
    <hyperlink ref="I3" location="底稿目录!A1" display="H5A"/>
  </hyperlinks>
  <printOptions horizontalCentered="1"/>
  <pageMargins left="0.70866141732283472" right="0.70866141732283472" top="0.74803149606299213" bottom="0.74803149606299213" header="0.31496062992125984" footer="0.31496062992125984"/>
  <pageSetup paperSize="9" scale="69"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W38"/>
  <sheetViews>
    <sheetView view="pageBreakPreview" zoomScaleSheetLayoutView="100" workbookViewId="0">
      <selection activeCell="I11" sqref="I11"/>
    </sheetView>
  </sheetViews>
  <sheetFormatPr defaultColWidth="9" defaultRowHeight="19.95" customHeight="1"/>
  <cols>
    <col min="1" max="1" width="27.19921875" style="100" customWidth="1"/>
    <col min="2" max="2" width="13.8984375" style="100" customWidth="1"/>
    <col min="3" max="3" width="16.09765625" style="100" customWidth="1"/>
    <col min="4" max="7" width="13.8984375" style="100" customWidth="1"/>
    <col min="8" max="8" width="14.59765625" style="100" customWidth="1"/>
    <col min="9" max="9" width="14.09765625" style="100" customWidth="1"/>
    <col min="10" max="16384" width="9" style="100"/>
  </cols>
  <sheetData>
    <row r="1" spans="1:257" s="285" customFormat="1" ht="19.95" customHeight="1">
      <c r="A1" s="514" t="s">
        <v>0</v>
      </c>
      <c r="B1" s="514"/>
      <c r="C1" s="514"/>
      <c r="D1" s="514"/>
      <c r="E1" s="514"/>
      <c r="F1" s="514"/>
      <c r="G1" s="514"/>
      <c r="H1" s="266"/>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c r="CE1" s="265"/>
      <c r="CF1" s="265"/>
      <c r="CG1" s="265"/>
      <c r="CH1" s="265"/>
      <c r="CI1" s="265"/>
      <c r="CJ1" s="265"/>
      <c r="CK1" s="265"/>
      <c r="CL1" s="265"/>
      <c r="CM1" s="265"/>
      <c r="CN1" s="265"/>
      <c r="CO1" s="265"/>
      <c r="CP1" s="265"/>
      <c r="CQ1" s="265"/>
      <c r="CR1" s="265"/>
      <c r="CS1" s="265"/>
      <c r="CT1" s="265"/>
      <c r="CU1" s="265"/>
      <c r="CV1" s="265"/>
      <c r="CW1" s="265"/>
      <c r="CX1" s="265"/>
      <c r="CY1" s="265"/>
      <c r="CZ1" s="265"/>
      <c r="DA1" s="265"/>
      <c r="DB1" s="265"/>
      <c r="DC1" s="265"/>
      <c r="DD1" s="265"/>
      <c r="DE1" s="265"/>
      <c r="DF1" s="265"/>
      <c r="DG1" s="265"/>
      <c r="DH1" s="265"/>
      <c r="DI1" s="265"/>
      <c r="DJ1" s="265"/>
      <c r="DK1" s="265"/>
      <c r="DL1" s="265"/>
      <c r="DM1" s="265"/>
      <c r="DN1" s="265"/>
      <c r="DO1" s="265"/>
      <c r="DP1" s="265"/>
      <c r="DQ1" s="265"/>
      <c r="DR1" s="265"/>
      <c r="DS1" s="265"/>
      <c r="DT1" s="265"/>
      <c r="DU1" s="265"/>
      <c r="DV1" s="265"/>
      <c r="DW1" s="265"/>
      <c r="DX1" s="265"/>
      <c r="DY1" s="265"/>
      <c r="DZ1" s="265"/>
      <c r="EA1" s="265"/>
      <c r="EB1" s="265"/>
      <c r="EC1" s="265"/>
      <c r="ED1" s="265"/>
      <c r="EE1" s="265"/>
      <c r="EF1" s="265"/>
      <c r="EG1" s="265"/>
      <c r="EH1" s="265"/>
      <c r="EI1" s="265"/>
      <c r="EJ1" s="265"/>
      <c r="EK1" s="265"/>
      <c r="EL1" s="265"/>
      <c r="EM1" s="265"/>
      <c r="EN1" s="265"/>
      <c r="EO1" s="265"/>
      <c r="EP1" s="265"/>
      <c r="EQ1" s="265"/>
      <c r="ER1" s="265"/>
      <c r="ES1" s="265"/>
      <c r="ET1" s="265"/>
      <c r="EU1" s="265"/>
      <c r="EV1" s="265"/>
      <c r="EW1" s="265"/>
      <c r="EX1" s="265"/>
      <c r="EY1" s="265"/>
      <c r="EZ1" s="265"/>
      <c r="FA1" s="265"/>
      <c r="FB1" s="265"/>
      <c r="FC1" s="265"/>
      <c r="FD1" s="265"/>
      <c r="FE1" s="265"/>
      <c r="FF1" s="265"/>
      <c r="FG1" s="265"/>
      <c r="FH1" s="265"/>
      <c r="FI1" s="265"/>
      <c r="FJ1" s="265"/>
      <c r="FK1" s="265"/>
      <c r="FL1" s="265"/>
      <c r="FM1" s="265"/>
      <c r="FN1" s="265"/>
      <c r="FO1" s="265"/>
      <c r="FP1" s="265"/>
      <c r="FQ1" s="265"/>
      <c r="FR1" s="265"/>
      <c r="FS1" s="265"/>
      <c r="FT1" s="265"/>
      <c r="FU1" s="265"/>
      <c r="FV1" s="265"/>
      <c r="FW1" s="265"/>
      <c r="FX1" s="265"/>
      <c r="FY1" s="265"/>
      <c r="FZ1" s="265"/>
      <c r="GA1" s="265"/>
      <c r="GB1" s="265"/>
      <c r="GC1" s="265"/>
      <c r="GD1" s="265"/>
      <c r="GE1" s="265"/>
      <c r="GF1" s="265"/>
      <c r="GG1" s="265"/>
      <c r="GH1" s="265"/>
      <c r="GI1" s="265"/>
      <c r="GJ1" s="265"/>
      <c r="GK1" s="265"/>
      <c r="GL1" s="265"/>
      <c r="GM1" s="265"/>
      <c r="GN1" s="265"/>
      <c r="GO1" s="265"/>
      <c r="GP1" s="265"/>
      <c r="GQ1" s="265"/>
      <c r="GR1" s="265"/>
      <c r="GS1" s="265"/>
      <c r="GT1" s="265"/>
      <c r="GU1" s="265"/>
      <c r="GV1" s="265"/>
      <c r="GW1" s="265"/>
      <c r="GX1" s="265"/>
      <c r="GY1" s="265"/>
      <c r="GZ1" s="265"/>
      <c r="HA1" s="265"/>
      <c r="HB1" s="265"/>
      <c r="HC1" s="265"/>
      <c r="HD1" s="265"/>
      <c r="HE1" s="265"/>
      <c r="HF1" s="265"/>
      <c r="HG1" s="265"/>
      <c r="HH1" s="265"/>
      <c r="HI1" s="265"/>
      <c r="HJ1" s="265"/>
      <c r="HK1" s="265"/>
      <c r="HL1" s="265"/>
      <c r="HM1" s="265"/>
      <c r="HN1" s="265"/>
      <c r="HO1" s="265"/>
      <c r="HP1" s="265"/>
      <c r="HQ1" s="265"/>
      <c r="HR1" s="265"/>
      <c r="HS1" s="265"/>
      <c r="HT1" s="265"/>
      <c r="HU1" s="265"/>
      <c r="HV1" s="265"/>
      <c r="HW1" s="265"/>
      <c r="HX1" s="265"/>
      <c r="HY1" s="265"/>
      <c r="HZ1" s="265"/>
      <c r="IA1" s="265"/>
      <c r="IB1" s="265"/>
      <c r="IC1" s="265"/>
      <c r="ID1" s="265"/>
      <c r="IE1" s="265"/>
      <c r="IF1" s="265"/>
      <c r="IG1" s="265"/>
      <c r="IH1" s="265"/>
      <c r="II1" s="265"/>
      <c r="IJ1" s="265"/>
      <c r="IK1" s="265"/>
      <c r="IL1" s="265"/>
      <c r="IM1" s="265"/>
      <c r="IN1" s="265"/>
      <c r="IO1" s="265"/>
      <c r="IP1" s="265"/>
      <c r="IQ1" s="265"/>
      <c r="IR1" s="265"/>
      <c r="IS1" s="265"/>
      <c r="IT1" s="265"/>
      <c r="IU1" s="265"/>
      <c r="IV1" s="265"/>
      <c r="IW1" s="265"/>
    </row>
    <row r="2" spans="1:257" s="279" customFormat="1" ht="19.95" customHeight="1">
      <c r="A2" s="515" t="s">
        <v>29</v>
      </c>
      <c r="B2" s="515"/>
      <c r="C2" s="515"/>
      <c r="D2" s="515"/>
      <c r="E2" s="515"/>
      <c r="F2" s="515"/>
      <c r="G2" s="515"/>
      <c r="H2" s="280"/>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278"/>
      <c r="AI2" s="278"/>
      <c r="AJ2" s="278"/>
      <c r="AK2" s="278"/>
      <c r="AL2" s="278"/>
      <c r="AM2" s="278"/>
      <c r="AN2" s="278"/>
      <c r="AO2" s="278"/>
      <c r="AP2" s="278"/>
      <c r="AQ2" s="278"/>
      <c r="AR2" s="278"/>
      <c r="AS2" s="278"/>
      <c r="AT2" s="278"/>
      <c r="AU2" s="278"/>
      <c r="AV2" s="278"/>
      <c r="AW2" s="278"/>
      <c r="AX2" s="278"/>
      <c r="AY2" s="278"/>
      <c r="AZ2" s="278"/>
      <c r="BA2" s="278"/>
      <c r="BB2" s="278"/>
      <c r="BC2" s="278"/>
      <c r="BD2" s="278"/>
      <c r="BE2" s="278"/>
      <c r="BF2" s="278"/>
      <c r="BG2" s="278"/>
      <c r="BH2" s="278"/>
      <c r="BI2" s="278"/>
      <c r="BJ2" s="278"/>
      <c r="BK2" s="278"/>
      <c r="BL2" s="278"/>
      <c r="BM2" s="278"/>
      <c r="BN2" s="278"/>
      <c r="BO2" s="278"/>
      <c r="BP2" s="278"/>
      <c r="BQ2" s="278"/>
      <c r="BR2" s="278"/>
      <c r="BS2" s="278"/>
      <c r="BT2" s="278"/>
      <c r="BU2" s="278"/>
      <c r="BV2" s="278"/>
      <c r="BW2" s="278"/>
      <c r="BX2" s="278"/>
      <c r="BY2" s="278"/>
      <c r="BZ2" s="278"/>
      <c r="CA2" s="278"/>
      <c r="CB2" s="278"/>
      <c r="CC2" s="278"/>
      <c r="CD2" s="278"/>
      <c r="CE2" s="278"/>
      <c r="CF2" s="278"/>
      <c r="CG2" s="278"/>
      <c r="CH2" s="278"/>
      <c r="CI2" s="278"/>
      <c r="CJ2" s="278"/>
      <c r="CK2" s="278"/>
      <c r="CL2" s="278"/>
      <c r="CM2" s="278"/>
      <c r="CN2" s="278"/>
      <c r="CO2" s="278"/>
      <c r="CP2" s="278"/>
      <c r="CQ2" s="278"/>
      <c r="CR2" s="278"/>
      <c r="CS2" s="278"/>
      <c r="CT2" s="278"/>
      <c r="CU2" s="278"/>
      <c r="CV2" s="278"/>
      <c r="CW2" s="278"/>
      <c r="CX2" s="278"/>
      <c r="CY2" s="278"/>
      <c r="CZ2" s="278"/>
      <c r="DA2" s="278"/>
      <c r="DB2" s="278"/>
      <c r="DC2" s="278"/>
      <c r="DD2" s="278"/>
      <c r="DE2" s="278"/>
      <c r="DF2" s="278"/>
      <c r="DG2" s="278"/>
      <c r="DH2" s="278"/>
      <c r="DI2" s="278"/>
      <c r="DJ2" s="278"/>
      <c r="DK2" s="278"/>
      <c r="DL2" s="278"/>
      <c r="DM2" s="278"/>
      <c r="DN2" s="278"/>
      <c r="DO2" s="278"/>
      <c r="DP2" s="278"/>
      <c r="DQ2" s="278"/>
      <c r="DR2" s="278"/>
      <c r="DS2" s="278"/>
      <c r="DT2" s="278"/>
      <c r="DU2" s="278"/>
      <c r="DV2" s="278"/>
      <c r="DW2" s="278"/>
      <c r="DX2" s="278"/>
      <c r="DY2" s="278"/>
      <c r="DZ2" s="278"/>
      <c r="EA2" s="278"/>
      <c r="EB2" s="278"/>
      <c r="EC2" s="278"/>
      <c r="ED2" s="278"/>
      <c r="EE2" s="278"/>
      <c r="EF2" s="278"/>
      <c r="EG2" s="278"/>
      <c r="EH2" s="278"/>
      <c r="EI2" s="278"/>
      <c r="EJ2" s="278"/>
      <c r="EK2" s="278"/>
      <c r="EL2" s="278"/>
      <c r="EM2" s="278"/>
      <c r="EN2" s="278"/>
      <c r="EO2" s="278"/>
      <c r="EP2" s="278"/>
      <c r="EQ2" s="278"/>
      <c r="ER2" s="278"/>
      <c r="ES2" s="278"/>
      <c r="ET2" s="278"/>
      <c r="EU2" s="278"/>
      <c r="EV2" s="278"/>
      <c r="EW2" s="278"/>
      <c r="EX2" s="278"/>
      <c r="EY2" s="278"/>
      <c r="EZ2" s="278"/>
      <c r="FA2" s="278"/>
      <c r="FB2" s="278"/>
      <c r="FC2" s="278"/>
      <c r="FD2" s="278"/>
      <c r="FE2" s="278"/>
      <c r="FF2" s="278"/>
      <c r="FG2" s="278"/>
      <c r="FH2" s="278"/>
      <c r="FI2" s="278"/>
      <c r="FJ2" s="278"/>
      <c r="FK2" s="278"/>
      <c r="FL2" s="278"/>
      <c r="FM2" s="278"/>
      <c r="FN2" s="278"/>
      <c r="FO2" s="278"/>
      <c r="FP2" s="278"/>
      <c r="FQ2" s="278"/>
      <c r="FR2" s="278"/>
      <c r="FS2" s="278"/>
      <c r="FT2" s="278"/>
      <c r="FU2" s="278"/>
      <c r="FV2" s="278"/>
      <c r="FW2" s="278"/>
      <c r="FX2" s="278"/>
      <c r="FY2" s="278"/>
      <c r="FZ2" s="278"/>
      <c r="GA2" s="278"/>
      <c r="GB2" s="278"/>
      <c r="GC2" s="278"/>
      <c r="GD2" s="278"/>
      <c r="GE2" s="278"/>
      <c r="GF2" s="278"/>
      <c r="GG2" s="278"/>
      <c r="GH2" s="278"/>
      <c r="GI2" s="278"/>
      <c r="GJ2" s="278"/>
      <c r="GK2" s="278"/>
      <c r="GL2" s="278"/>
      <c r="GM2" s="278"/>
      <c r="GN2" s="278"/>
      <c r="GO2" s="278"/>
      <c r="GP2" s="278"/>
      <c r="GQ2" s="278"/>
      <c r="GR2" s="278"/>
      <c r="GS2" s="278"/>
      <c r="GT2" s="278"/>
      <c r="GU2" s="278"/>
      <c r="GV2" s="278"/>
      <c r="GW2" s="278"/>
      <c r="GX2" s="278"/>
      <c r="GY2" s="278"/>
      <c r="GZ2" s="278"/>
      <c r="HA2" s="278"/>
      <c r="HB2" s="278"/>
      <c r="HC2" s="278"/>
      <c r="HD2" s="278"/>
      <c r="HE2" s="278"/>
      <c r="HF2" s="278"/>
      <c r="HG2" s="278"/>
      <c r="HH2" s="278"/>
      <c r="HI2" s="278"/>
      <c r="HJ2" s="278"/>
      <c r="HK2" s="278"/>
      <c r="HL2" s="278"/>
      <c r="HM2" s="278"/>
      <c r="HN2" s="278"/>
      <c r="HO2" s="278"/>
      <c r="HP2" s="278"/>
      <c r="HQ2" s="278"/>
      <c r="HR2" s="278"/>
      <c r="HS2" s="278"/>
      <c r="HT2" s="278"/>
      <c r="HU2" s="278"/>
      <c r="HV2" s="278"/>
      <c r="HW2" s="278"/>
      <c r="HX2" s="278"/>
      <c r="HY2" s="278"/>
      <c r="HZ2" s="278"/>
      <c r="IA2" s="278"/>
      <c r="IB2" s="278"/>
      <c r="IC2" s="278"/>
      <c r="ID2" s="278"/>
      <c r="IE2" s="278"/>
      <c r="IF2" s="278"/>
      <c r="IG2" s="278"/>
      <c r="IH2" s="278"/>
      <c r="II2" s="278"/>
      <c r="IJ2" s="278"/>
      <c r="IK2" s="278"/>
      <c r="IL2" s="278"/>
      <c r="IM2" s="278"/>
      <c r="IN2" s="278"/>
      <c r="IO2" s="278"/>
      <c r="IP2" s="278"/>
      <c r="IQ2" s="278"/>
      <c r="IR2" s="278"/>
      <c r="IS2" s="278"/>
      <c r="IT2" s="278"/>
      <c r="IU2" s="278"/>
      <c r="IV2" s="278"/>
      <c r="IW2" s="278"/>
    </row>
    <row r="3" spans="1:257" ht="19.95" customHeight="1">
      <c r="A3" s="2" t="str">
        <f>底稿目录!A2</f>
        <v>被审计单位：</v>
      </c>
      <c r="B3" s="2"/>
      <c r="C3" s="2" t="str">
        <f>底稿目录!A4</f>
        <v>编制人：</v>
      </c>
      <c r="E3" s="2" t="str">
        <f>底稿目录!A6</f>
        <v>编制日期：</v>
      </c>
      <c r="G3" s="340" t="s">
        <v>918</v>
      </c>
      <c r="I3" s="2"/>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c r="GG3" s="103"/>
      <c r="GH3" s="103"/>
      <c r="GI3" s="103"/>
      <c r="GJ3" s="103"/>
      <c r="GK3" s="103"/>
      <c r="GL3" s="103"/>
      <c r="GM3" s="103"/>
      <c r="GN3" s="103"/>
      <c r="GO3" s="103"/>
      <c r="GP3" s="103"/>
      <c r="GQ3" s="103"/>
      <c r="GR3" s="103"/>
      <c r="GS3" s="103"/>
      <c r="GT3" s="103"/>
      <c r="GU3" s="103"/>
      <c r="GV3" s="103"/>
      <c r="GW3" s="103"/>
      <c r="GX3" s="103"/>
      <c r="GY3" s="103"/>
      <c r="GZ3" s="103"/>
      <c r="HA3" s="103"/>
      <c r="HB3" s="103"/>
      <c r="HC3" s="103"/>
      <c r="HD3" s="103"/>
      <c r="HE3" s="103"/>
      <c r="HF3" s="103"/>
      <c r="HG3" s="103"/>
      <c r="HH3" s="103"/>
      <c r="HI3" s="103"/>
      <c r="HJ3" s="103"/>
      <c r="HK3" s="103"/>
      <c r="HL3" s="103"/>
      <c r="HM3" s="103"/>
      <c r="HN3" s="103"/>
      <c r="HO3" s="103"/>
      <c r="HP3" s="103"/>
      <c r="HQ3" s="103"/>
      <c r="HR3" s="103"/>
      <c r="HS3" s="103"/>
      <c r="HT3" s="103"/>
      <c r="HU3" s="103"/>
      <c r="HV3" s="103"/>
      <c r="HW3" s="103"/>
      <c r="HX3" s="103"/>
      <c r="HY3" s="103"/>
      <c r="HZ3" s="103"/>
      <c r="IA3" s="103"/>
      <c r="IB3" s="103"/>
      <c r="IC3" s="103"/>
      <c r="ID3" s="103"/>
      <c r="IE3" s="103"/>
      <c r="IF3" s="103"/>
      <c r="IG3" s="103"/>
      <c r="IH3" s="103"/>
      <c r="II3" s="103"/>
      <c r="IJ3" s="103"/>
      <c r="IK3" s="103"/>
      <c r="IL3" s="103"/>
      <c r="IM3" s="103"/>
      <c r="IN3" s="103"/>
      <c r="IO3" s="103"/>
      <c r="IP3" s="103"/>
      <c r="IQ3" s="103"/>
      <c r="IR3" s="103"/>
      <c r="IS3" s="103"/>
      <c r="IT3" s="103"/>
      <c r="IU3" s="103"/>
      <c r="IV3" s="103"/>
      <c r="IW3" s="103"/>
    </row>
    <row r="4" spans="1:257" ht="19.95" customHeight="1">
      <c r="A4" s="2" t="str">
        <f>底稿目录!A3</f>
        <v>截止日：202X年12月31日</v>
      </c>
      <c r="B4" s="2"/>
      <c r="C4" s="2" t="str">
        <f>底稿目录!A5</f>
        <v>复核人：</v>
      </c>
      <c r="E4" s="2" t="str">
        <f>底稿目录!A7</f>
        <v>复核日期：</v>
      </c>
      <c r="G4" s="340" t="s">
        <v>919</v>
      </c>
      <c r="I4" s="2"/>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103"/>
      <c r="EX4" s="103"/>
      <c r="EY4" s="103"/>
      <c r="EZ4" s="103"/>
      <c r="FA4" s="103"/>
      <c r="FB4" s="103"/>
      <c r="FC4" s="103"/>
      <c r="FD4" s="103"/>
      <c r="FE4" s="103"/>
      <c r="FF4" s="103"/>
      <c r="FG4" s="103"/>
      <c r="FH4" s="103"/>
      <c r="FI4" s="103"/>
      <c r="FJ4" s="103"/>
      <c r="FK4" s="103"/>
      <c r="FL4" s="103"/>
      <c r="FM4" s="103"/>
      <c r="FN4" s="103"/>
      <c r="FO4" s="103"/>
      <c r="FP4" s="103"/>
      <c r="FQ4" s="103"/>
      <c r="FR4" s="103"/>
      <c r="FS4" s="103"/>
      <c r="FT4" s="103"/>
      <c r="FU4" s="103"/>
      <c r="FV4" s="103"/>
      <c r="FW4" s="103"/>
      <c r="FX4" s="103"/>
      <c r="FY4" s="103"/>
      <c r="FZ4" s="103"/>
      <c r="GA4" s="103"/>
      <c r="GB4" s="103"/>
      <c r="GC4" s="103"/>
      <c r="GD4" s="103"/>
      <c r="GE4" s="103"/>
      <c r="GF4" s="103"/>
      <c r="GG4" s="103"/>
      <c r="GH4" s="103"/>
      <c r="GI4" s="103"/>
      <c r="GJ4" s="103"/>
      <c r="GK4" s="103"/>
      <c r="GL4" s="103"/>
      <c r="GM4" s="103"/>
      <c r="GN4" s="103"/>
      <c r="GO4" s="103"/>
      <c r="GP4" s="103"/>
      <c r="GQ4" s="103"/>
      <c r="GR4" s="103"/>
      <c r="GS4" s="103"/>
      <c r="GT4" s="103"/>
      <c r="GU4" s="103"/>
      <c r="GV4" s="103"/>
      <c r="GW4" s="103"/>
      <c r="GX4" s="103"/>
      <c r="GY4" s="103"/>
      <c r="GZ4" s="103"/>
      <c r="HA4" s="103"/>
      <c r="HB4" s="103"/>
      <c r="HC4" s="103"/>
      <c r="HD4" s="103"/>
      <c r="HE4" s="103"/>
      <c r="HF4" s="103"/>
      <c r="HG4" s="103"/>
      <c r="HH4" s="103"/>
      <c r="HI4" s="103"/>
      <c r="HJ4" s="103"/>
      <c r="HK4" s="103"/>
      <c r="HL4" s="103"/>
      <c r="HM4" s="103"/>
      <c r="HN4" s="103"/>
      <c r="HO4" s="103"/>
      <c r="HP4" s="103"/>
      <c r="HQ4" s="103"/>
      <c r="HR4" s="103"/>
      <c r="HS4" s="103"/>
      <c r="HT4" s="103"/>
      <c r="HU4" s="103"/>
      <c r="HV4" s="103"/>
      <c r="HW4" s="103"/>
      <c r="HX4" s="103"/>
      <c r="HY4" s="103"/>
      <c r="HZ4" s="103"/>
      <c r="IA4" s="103"/>
      <c r="IB4" s="103"/>
      <c r="IC4" s="103"/>
      <c r="ID4" s="103"/>
      <c r="IE4" s="103"/>
      <c r="IF4" s="103"/>
      <c r="IG4" s="103"/>
      <c r="IH4" s="103"/>
      <c r="II4" s="103"/>
      <c r="IJ4" s="103"/>
      <c r="IK4" s="103"/>
      <c r="IL4" s="103"/>
      <c r="IM4" s="103"/>
      <c r="IN4" s="103"/>
      <c r="IO4" s="103"/>
      <c r="IP4" s="103"/>
      <c r="IQ4" s="103"/>
      <c r="IR4" s="103"/>
      <c r="IS4" s="103"/>
      <c r="IT4" s="103"/>
      <c r="IU4" s="103"/>
      <c r="IV4" s="103"/>
      <c r="IW4" s="103"/>
    </row>
    <row r="5" spans="1:257" ht="19.95" customHeight="1">
      <c r="A5" s="123"/>
      <c r="B5" s="2"/>
      <c r="C5" s="3"/>
      <c r="E5" s="3"/>
      <c r="F5" s="101"/>
      <c r="G5" s="102"/>
      <c r="H5" s="102"/>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c r="GG5" s="103"/>
      <c r="GH5" s="103"/>
      <c r="GI5" s="103"/>
      <c r="GJ5" s="103"/>
      <c r="GK5" s="103"/>
      <c r="GL5" s="103"/>
      <c r="GM5" s="103"/>
      <c r="GN5" s="103"/>
      <c r="GO5" s="103"/>
      <c r="GP5" s="103"/>
      <c r="GQ5" s="103"/>
      <c r="GR5" s="103"/>
      <c r="GS5" s="103"/>
      <c r="GT5" s="103"/>
      <c r="GU5" s="103"/>
      <c r="GV5" s="103"/>
      <c r="GW5" s="103"/>
      <c r="GX5" s="103"/>
      <c r="GY5" s="103"/>
      <c r="GZ5" s="103"/>
      <c r="HA5" s="103"/>
      <c r="HB5" s="103"/>
      <c r="HC5" s="103"/>
      <c r="HD5" s="103"/>
      <c r="HE5" s="103"/>
      <c r="HF5" s="103"/>
      <c r="HG5" s="103"/>
      <c r="HH5" s="103"/>
      <c r="HI5" s="103"/>
      <c r="HJ5" s="103"/>
      <c r="HK5" s="103"/>
      <c r="HL5" s="103"/>
      <c r="HM5" s="103"/>
      <c r="HN5" s="103"/>
      <c r="HO5" s="103"/>
      <c r="HP5" s="103"/>
      <c r="HQ5" s="103"/>
      <c r="HR5" s="103"/>
      <c r="HS5" s="103"/>
      <c r="HT5" s="103"/>
      <c r="HU5" s="103"/>
      <c r="HV5" s="103"/>
      <c r="HW5" s="103"/>
      <c r="HX5" s="103"/>
      <c r="HY5" s="103"/>
      <c r="HZ5" s="103"/>
      <c r="IA5" s="103"/>
      <c r="IB5" s="103"/>
      <c r="IC5" s="103"/>
      <c r="ID5" s="103"/>
      <c r="IE5" s="103"/>
      <c r="IF5" s="103"/>
      <c r="IG5" s="103"/>
      <c r="IH5" s="103"/>
      <c r="II5" s="103"/>
      <c r="IJ5" s="103"/>
      <c r="IK5" s="103"/>
      <c r="IL5" s="103"/>
      <c r="IM5" s="103"/>
      <c r="IN5" s="103"/>
      <c r="IO5" s="103"/>
      <c r="IP5" s="103"/>
      <c r="IQ5" s="103"/>
      <c r="IR5" s="103"/>
      <c r="IS5" s="103"/>
      <c r="IT5" s="103"/>
      <c r="IU5" s="103"/>
      <c r="IV5" s="103"/>
      <c r="IW5" s="103"/>
    </row>
    <row r="6" spans="1:257" ht="19.95" customHeight="1" thickBot="1">
      <c r="A6" s="136"/>
      <c r="B6" s="2"/>
      <c r="C6" s="3"/>
      <c r="E6" s="3"/>
      <c r="F6" s="101"/>
      <c r="G6" s="102"/>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103"/>
      <c r="CW6" s="103"/>
      <c r="CX6" s="103"/>
      <c r="CY6" s="103"/>
      <c r="CZ6" s="103"/>
      <c r="DA6" s="103"/>
      <c r="DB6" s="103"/>
      <c r="DC6" s="103"/>
      <c r="DD6" s="103"/>
      <c r="DE6" s="103"/>
      <c r="DF6" s="103"/>
      <c r="DG6" s="103"/>
      <c r="DH6" s="103"/>
      <c r="DI6" s="103"/>
      <c r="DJ6" s="103"/>
      <c r="DK6" s="103"/>
      <c r="DL6" s="103"/>
      <c r="DM6" s="103"/>
      <c r="DN6" s="103"/>
      <c r="DO6" s="103"/>
      <c r="DP6" s="103"/>
      <c r="DQ6" s="103"/>
      <c r="DR6" s="103"/>
      <c r="DS6" s="103"/>
      <c r="DT6" s="103"/>
      <c r="DU6" s="103"/>
      <c r="DV6" s="103"/>
      <c r="DW6" s="103"/>
      <c r="DX6" s="103"/>
      <c r="DY6" s="103"/>
      <c r="DZ6" s="103"/>
      <c r="EA6" s="103"/>
      <c r="EB6" s="103"/>
      <c r="EC6" s="103"/>
      <c r="ED6" s="103"/>
      <c r="EE6" s="103"/>
      <c r="EF6" s="103"/>
      <c r="EG6" s="103"/>
      <c r="EH6" s="103"/>
      <c r="EI6" s="103"/>
      <c r="EJ6" s="103"/>
      <c r="EK6" s="103"/>
      <c r="EL6" s="103"/>
      <c r="EM6" s="103"/>
      <c r="EN6" s="103"/>
      <c r="EO6" s="103"/>
      <c r="EP6" s="103"/>
      <c r="EQ6" s="103"/>
      <c r="ER6" s="103"/>
      <c r="ES6" s="103"/>
      <c r="ET6" s="103"/>
      <c r="EU6" s="103"/>
      <c r="EV6" s="103"/>
      <c r="EW6" s="103"/>
      <c r="EX6" s="103"/>
      <c r="EY6" s="103"/>
      <c r="EZ6" s="103"/>
      <c r="FA6" s="103"/>
      <c r="FB6" s="103"/>
      <c r="FC6" s="103"/>
      <c r="FD6" s="103"/>
      <c r="FE6" s="103"/>
      <c r="FF6" s="103"/>
      <c r="FG6" s="103"/>
      <c r="FH6" s="103"/>
      <c r="FI6" s="103"/>
      <c r="FJ6" s="103"/>
      <c r="FK6" s="103"/>
      <c r="FL6" s="103"/>
      <c r="FM6" s="103"/>
      <c r="FN6" s="103"/>
      <c r="FO6" s="103"/>
      <c r="FP6" s="103"/>
      <c r="FQ6" s="103"/>
      <c r="FR6" s="103"/>
      <c r="FS6" s="103"/>
      <c r="FT6" s="103"/>
      <c r="FU6" s="103"/>
      <c r="FV6" s="103"/>
      <c r="FW6" s="103"/>
      <c r="FX6" s="103"/>
      <c r="FY6" s="103"/>
      <c r="FZ6" s="103"/>
      <c r="GA6" s="103"/>
      <c r="GB6" s="103"/>
      <c r="GC6" s="103"/>
      <c r="GD6" s="103"/>
      <c r="GE6" s="103"/>
      <c r="GF6" s="103"/>
      <c r="GG6" s="103"/>
      <c r="GH6" s="103"/>
      <c r="GI6" s="103"/>
      <c r="GJ6" s="103"/>
      <c r="GK6" s="103"/>
      <c r="GL6" s="103"/>
      <c r="GM6" s="103"/>
      <c r="GN6" s="103"/>
      <c r="GO6" s="103"/>
      <c r="GP6" s="103"/>
      <c r="GQ6" s="103"/>
      <c r="GR6" s="103"/>
      <c r="GS6" s="103"/>
      <c r="GT6" s="103"/>
      <c r="GU6" s="103"/>
      <c r="GV6" s="103"/>
      <c r="GW6" s="103"/>
      <c r="GX6" s="103"/>
      <c r="GY6" s="103"/>
      <c r="GZ6" s="103"/>
      <c r="HA6" s="103"/>
      <c r="HB6" s="103"/>
      <c r="HC6" s="103"/>
      <c r="HD6" s="103"/>
      <c r="HE6" s="103"/>
      <c r="HF6" s="103"/>
      <c r="HG6" s="103"/>
      <c r="HH6" s="103"/>
      <c r="HI6" s="103"/>
      <c r="HJ6" s="103"/>
      <c r="HK6" s="103"/>
      <c r="HL6" s="103"/>
      <c r="HM6" s="103"/>
      <c r="HN6" s="103"/>
      <c r="HO6" s="103"/>
      <c r="HP6" s="103"/>
      <c r="HQ6" s="103"/>
      <c r="HR6" s="103"/>
      <c r="HS6" s="103"/>
      <c r="HT6" s="103"/>
      <c r="HU6" s="103"/>
      <c r="HV6" s="103"/>
      <c r="HW6" s="103"/>
      <c r="HX6" s="103"/>
      <c r="HY6" s="103"/>
      <c r="HZ6" s="103"/>
      <c r="IA6" s="103"/>
      <c r="IB6" s="103"/>
      <c r="IC6" s="103"/>
      <c r="ID6" s="103"/>
      <c r="IE6" s="103"/>
      <c r="IF6" s="103"/>
      <c r="IG6" s="103"/>
      <c r="IH6" s="103"/>
      <c r="II6" s="103"/>
      <c r="IJ6" s="103"/>
      <c r="IK6" s="103"/>
      <c r="IL6" s="103"/>
      <c r="IM6" s="103"/>
      <c r="IN6" s="103"/>
      <c r="IO6" s="103"/>
      <c r="IP6" s="103"/>
      <c r="IQ6" s="103"/>
      <c r="IR6" s="103"/>
      <c r="IS6" s="103"/>
      <c r="IT6" s="103"/>
      <c r="IU6" s="103"/>
      <c r="IV6" s="103"/>
      <c r="IW6" s="103"/>
    </row>
    <row r="7" spans="1:257" ht="19.95" customHeight="1" thickBot="1">
      <c r="A7" s="124" t="s">
        <v>1</v>
      </c>
      <c r="B7" s="125" t="s">
        <v>123</v>
      </c>
      <c r="C7" s="126" t="s">
        <v>26</v>
      </c>
      <c r="D7" s="126" t="s">
        <v>27</v>
      </c>
      <c r="E7" s="127" t="s">
        <v>22</v>
      </c>
      <c r="F7" s="127" t="s">
        <v>22</v>
      </c>
      <c r="G7" s="124" t="s">
        <v>2</v>
      </c>
      <c r="H7" s="184" t="s">
        <v>188</v>
      </c>
    </row>
    <row r="8" spans="1:257" ht="19.95" customHeight="1">
      <c r="A8" s="128" t="s">
        <v>5</v>
      </c>
      <c r="B8" s="129"/>
      <c r="C8" s="129"/>
      <c r="D8" s="129"/>
      <c r="E8" s="129"/>
      <c r="F8" s="129"/>
      <c r="G8" s="129"/>
    </row>
    <row r="9" spans="1:257" ht="19.95" customHeight="1">
      <c r="A9" s="128" t="s">
        <v>109</v>
      </c>
      <c r="B9" s="130"/>
      <c r="C9" s="130"/>
      <c r="D9" s="130"/>
      <c r="E9" s="130"/>
      <c r="F9" s="130"/>
      <c r="G9" s="130"/>
    </row>
    <row r="10" spans="1:257" ht="19.95" customHeight="1">
      <c r="A10" s="131" t="s">
        <v>6</v>
      </c>
      <c r="B10" s="130"/>
      <c r="C10" s="130"/>
      <c r="D10" s="130"/>
      <c r="E10" s="130"/>
      <c r="F10" s="130"/>
      <c r="G10" s="130"/>
    </row>
    <row r="11" spans="1:257" ht="19.95" customHeight="1">
      <c r="A11" s="132" t="s">
        <v>7</v>
      </c>
      <c r="B11" s="130"/>
      <c r="C11" s="130"/>
      <c r="D11" s="130"/>
      <c r="E11" s="130"/>
      <c r="F11" s="130"/>
      <c r="G11" s="130"/>
    </row>
    <row r="12" spans="1:257" ht="19.95" customHeight="1">
      <c r="A12" s="132" t="s">
        <v>68</v>
      </c>
      <c r="B12" s="130"/>
      <c r="C12" s="130"/>
      <c r="D12" s="130"/>
      <c r="E12" s="130"/>
      <c r="F12" s="130"/>
      <c r="G12" s="130"/>
    </row>
    <row r="13" spans="1:257" ht="19.95" customHeight="1">
      <c r="A13" s="132" t="s">
        <v>69</v>
      </c>
      <c r="B13" s="130"/>
      <c r="C13" s="130"/>
      <c r="D13" s="130"/>
      <c r="E13" s="130"/>
      <c r="F13" s="130"/>
      <c r="G13" s="130"/>
    </row>
    <row r="14" spans="1:257" ht="19.95" customHeight="1">
      <c r="A14" s="131" t="s">
        <v>8</v>
      </c>
      <c r="B14" s="130"/>
      <c r="C14" s="130"/>
      <c r="D14" s="130"/>
      <c r="E14" s="130"/>
      <c r="F14" s="130"/>
      <c r="G14" s="130"/>
    </row>
    <row r="15" spans="1:257" ht="19.95" customHeight="1">
      <c r="A15" s="132" t="s">
        <v>9</v>
      </c>
      <c r="B15" s="130"/>
      <c r="C15" s="130"/>
      <c r="D15" s="130"/>
      <c r="E15" s="130"/>
      <c r="F15" s="130"/>
      <c r="G15" s="130"/>
    </row>
    <row r="16" spans="1:257" ht="19.95" customHeight="1">
      <c r="A16" s="132" t="s">
        <v>70</v>
      </c>
      <c r="B16" s="130"/>
      <c r="C16" s="130"/>
      <c r="D16" s="130"/>
      <c r="E16" s="130"/>
      <c r="F16" s="130"/>
      <c r="G16" s="130"/>
    </row>
    <row r="17" spans="1:7" ht="19.95" customHeight="1">
      <c r="A17" s="131" t="s">
        <v>10</v>
      </c>
      <c r="B17" s="130"/>
      <c r="C17" s="130"/>
      <c r="D17" s="130"/>
      <c r="E17" s="130"/>
      <c r="F17" s="130"/>
      <c r="G17" s="130"/>
    </row>
    <row r="18" spans="1:7" ht="19.95" customHeight="1">
      <c r="A18" s="128" t="s">
        <v>11</v>
      </c>
      <c r="B18" s="133"/>
      <c r="C18" s="130"/>
      <c r="D18" s="133"/>
      <c r="E18" s="133"/>
      <c r="F18" s="133"/>
      <c r="G18" s="133"/>
    </row>
    <row r="19" spans="1:7" ht="19.95" customHeight="1">
      <c r="A19" s="131" t="s">
        <v>110</v>
      </c>
      <c r="B19" s="130"/>
      <c r="C19" s="130"/>
      <c r="D19" s="130"/>
      <c r="E19" s="130"/>
      <c r="F19" s="130"/>
      <c r="G19" s="130"/>
    </row>
    <row r="20" spans="1:7" ht="19.95" customHeight="1">
      <c r="A20" s="131" t="s">
        <v>6</v>
      </c>
      <c r="B20" s="130"/>
      <c r="C20" s="130"/>
      <c r="D20" s="130"/>
      <c r="E20" s="130"/>
      <c r="F20" s="130"/>
      <c r="G20" s="130"/>
    </row>
    <row r="21" spans="1:7" ht="19.95" customHeight="1">
      <c r="A21" s="132" t="s">
        <v>12</v>
      </c>
      <c r="B21" s="130"/>
      <c r="C21" s="130"/>
      <c r="D21" s="130"/>
      <c r="E21" s="130"/>
      <c r="F21" s="130"/>
      <c r="G21" s="130"/>
    </row>
    <row r="22" spans="1:7" ht="19.95" customHeight="1">
      <c r="A22" s="132" t="s">
        <v>71</v>
      </c>
      <c r="B22" s="130"/>
      <c r="C22" s="130"/>
      <c r="D22" s="130"/>
      <c r="E22" s="130"/>
      <c r="F22" s="130"/>
      <c r="G22" s="130"/>
    </row>
    <row r="23" spans="1:7" ht="19.95" customHeight="1">
      <c r="A23" s="131" t="s">
        <v>8</v>
      </c>
      <c r="B23" s="130"/>
      <c r="C23" s="130"/>
      <c r="D23" s="130"/>
      <c r="E23" s="130"/>
      <c r="F23" s="130"/>
      <c r="G23" s="130"/>
    </row>
    <row r="24" spans="1:7" ht="19.95" customHeight="1">
      <c r="A24" s="132" t="s">
        <v>9</v>
      </c>
      <c r="B24" s="130"/>
      <c r="C24" s="130"/>
      <c r="D24" s="130"/>
      <c r="E24" s="130"/>
      <c r="F24" s="130"/>
      <c r="G24" s="130"/>
    </row>
    <row r="25" spans="1:7" ht="19.95" customHeight="1">
      <c r="A25" s="132" t="s">
        <v>70</v>
      </c>
      <c r="B25" s="130"/>
      <c r="C25" s="130"/>
      <c r="D25" s="130"/>
      <c r="E25" s="130"/>
      <c r="F25" s="130"/>
      <c r="G25" s="130"/>
    </row>
    <row r="26" spans="1:7" ht="19.95" customHeight="1">
      <c r="A26" s="131" t="s">
        <v>10</v>
      </c>
      <c r="B26" s="130"/>
      <c r="C26" s="130"/>
      <c r="D26" s="130"/>
      <c r="E26" s="130"/>
      <c r="F26" s="130"/>
      <c r="G26" s="130"/>
    </row>
    <row r="27" spans="1:7" ht="19.95" customHeight="1">
      <c r="A27" s="128" t="s">
        <v>13</v>
      </c>
      <c r="B27" s="133"/>
      <c r="C27" s="133"/>
      <c r="D27" s="133"/>
      <c r="E27" s="133"/>
      <c r="F27" s="133"/>
      <c r="G27" s="133"/>
    </row>
    <row r="28" spans="1:7" ht="19.95" customHeight="1">
      <c r="A28" s="131" t="s">
        <v>110</v>
      </c>
      <c r="B28" s="130"/>
      <c r="C28" s="130"/>
      <c r="D28" s="130"/>
      <c r="E28" s="130"/>
      <c r="F28" s="130"/>
      <c r="G28" s="130"/>
    </row>
    <row r="29" spans="1:7" ht="19.95" customHeight="1">
      <c r="A29" s="131" t="s">
        <v>6</v>
      </c>
      <c r="B29" s="130"/>
      <c r="C29" s="130"/>
      <c r="D29" s="130"/>
      <c r="E29" s="130"/>
      <c r="F29" s="130"/>
      <c r="G29" s="130"/>
    </row>
    <row r="30" spans="1:7" ht="19.95" customHeight="1">
      <c r="A30" s="132" t="s">
        <v>12</v>
      </c>
      <c r="B30" s="130"/>
      <c r="C30" s="130"/>
      <c r="D30" s="130"/>
      <c r="E30" s="130"/>
      <c r="F30" s="130"/>
      <c r="G30" s="130"/>
    </row>
    <row r="31" spans="1:7" ht="19.95" customHeight="1">
      <c r="A31" s="132" t="s">
        <v>71</v>
      </c>
      <c r="B31" s="130"/>
      <c r="C31" s="130"/>
      <c r="D31" s="130"/>
      <c r="E31" s="130"/>
      <c r="F31" s="130"/>
      <c r="G31" s="130"/>
    </row>
    <row r="32" spans="1:7" ht="19.95" customHeight="1">
      <c r="A32" s="131" t="s">
        <v>8</v>
      </c>
      <c r="B32" s="130"/>
      <c r="C32" s="130"/>
      <c r="D32" s="130"/>
      <c r="E32" s="130"/>
      <c r="F32" s="130"/>
      <c r="G32" s="130"/>
    </row>
    <row r="33" spans="1:7" ht="19.95" customHeight="1">
      <c r="A33" s="132" t="s">
        <v>9</v>
      </c>
      <c r="B33" s="130"/>
      <c r="C33" s="130"/>
      <c r="D33" s="130"/>
      <c r="E33" s="130"/>
      <c r="F33" s="130"/>
      <c r="G33" s="130"/>
    </row>
    <row r="34" spans="1:7" ht="19.95" customHeight="1">
      <c r="A34" s="132" t="s">
        <v>70</v>
      </c>
      <c r="B34" s="130"/>
      <c r="C34" s="130"/>
      <c r="D34" s="130"/>
      <c r="E34" s="130"/>
      <c r="F34" s="130"/>
      <c r="G34" s="130"/>
    </row>
    <row r="35" spans="1:7" ht="19.95" customHeight="1">
      <c r="A35" s="131" t="s">
        <v>10</v>
      </c>
      <c r="B35" s="130"/>
      <c r="C35" s="130"/>
      <c r="D35" s="130"/>
      <c r="E35" s="130"/>
      <c r="F35" s="130"/>
      <c r="G35" s="130"/>
    </row>
    <row r="36" spans="1:7" ht="19.95" customHeight="1">
      <c r="A36" s="128" t="s">
        <v>14</v>
      </c>
      <c r="B36" s="133"/>
      <c r="C36" s="133"/>
      <c r="D36" s="133"/>
      <c r="E36" s="133"/>
      <c r="F36" s="133"/>
      <c r="G36" s="133"/>
    </row>
    <row r="37" spans="1:7" ht="19.95" customHeight="1">
      <c r="A37" s="128" t="s">
        <v>15</v>
      </c>
      <c r="B37" s="130"/>
      <c r="C37" s="130"/>
      <c r="D37" s="130"/>
      <c r="E37" s="130"/>
      <c r="F37" s="130"/>
      <c r="G37" s="130"/>
    </row>
    <row r="38" spans="1:7" ht="19.95" customHeight="1" thickBot="1">
      <c r="A38" s="134" t="s">
        <v>111</v>
      </c>
      <c r="B38" s="135"/>
      <c r="C38" s="135"/>
      <c r="D38" s="135"/>
      <c r="E38" s="135"/>
      <c r="F38" s="135"/>
      <c r="G38" s="135"/>
    </row>
  </sheetData>
  <mergeCells count="2">
    <mergeCell ref="A1:G1"/>
    <mergeCell ref="A2:G2"/>
  </mergeCells>
  <phoneticPr fontId="9" type="noConversion"/>
  <hyperlinks>
    <hyperlink ref="H7" location="底稿目录!A1" display="返回目录"/>
  </hyperlinks>
  <pageMargins left="0.70866141732283472" right="0.70866141732283472" top="0.74803149606299213" bottom="0.74803149606299213" header="0.31496062992125984" footer="0.31496062992125984"/>
  <pageSetup paperSize="9" scale="62" fitToHeight="100"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S48"/>
  <sheetViews>
    <sheetView view="pageBreakPreview" zoomScaleNormal="100" zoomScaleSheetLayoutView="100" workbookViewId="0">
      <selection activeCell="H9" sqref="H9"/>
    </sheetView>
  </sheetViews>
  <sheetFormatPr defaultColWidth="9" defaultRowHeight="19.95" customHeight="1"/>
  <cols>
    <col min="1" max="1" width="36.09765625" style="100" customWidth="1"/>
    <col min="2" max="5" width="14.09765625" style="100" customWidth="1"/>
    <col min="6" max="16384" width="9" style="100"/>
  </cols>
  <sheetData>
    <row r="1" spans="1:253" s="285" customFormat="1" ht="19.95" customHeight="1">
      <c r="A1" s="514" t="s">
        <v>0</v>
      </c>
      <c r="B1" s="514"/>
      <c r="C1" s="514"/>
      <c r="D1" s="514"/>
      <c r="E1" s="514"/>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c r="CE1" s="265"/>
      <c r="CF1" s="265"/>
      <c r="CG1" s="265"/>
      <c r="CH1" s="265"/>
      <c r="CI1" s="265"/>
      <c r="CJ1" s="265"/>
      <c r="CK1" s="265"/>
      <c r="CL1" s="265"/>
      <c r="CM1" s="265"/>
      <c r="CN1" s="265"/>
      <c r="CO1" s="265"/>
      <c r="CP1" s="265"/>
      <c r="CQ1" s="265"/>
      <c r="CR1" s="265"/>
      <c r="CS1" s="265"/>
      <c r="CT1" s="265"/>
      <c r="CU1" s="265"/>
      <c r="CV1" s="265"/>
      <c r="CW1" s="265"/>
      <c r="CX1" s="265"/>
      <c r="CY1" s="265"/>
      <c r="CZ1" s="265"/>
      <c r="DA1" s="265"/>
      <c r="DB1" s="265"/>
      <c r="DC1" s="265"/>
      <c r="DD1" s="265"/>
      <c r="DE1" s="265"/>
      <c r="DF1" s="265"/>
      <c r="DG1" s="265"/>
      <c r="DH1" s="265"/>
      <c r="DI1" s="265"/>
      <c r="DJ1" s="265"/>
      <c r="DK1" s="265"/>
      <c r="DL1" s="265"/>
      <c r="DM1" s="265"/>
      <c r="DN1" s="265"/>
      <c r="DO1" s="265"/>
      <c r="DP1" s="265"/>
      <c r="DQ1" s="265"/>
      <c r="DR1" s="265"/>
      <c r="DS1" s="265"/>
      <c r="DT1" s="265"/>
      <c r="DU1" s="265"/>
      <c r="DV1" s="265"/>
      <c r="DW1" s="265"/>
      <c r="DX1" s="265"/>
      <c r="DY1" s="265"/>
      <c r="DZ1" s="265"/>
      <c r="EA1" s="265"/>
      <c r="EB1" s="265"/>
      <c r="EC1" s="265"/>
      <c r="ED1" s="265"/>
      <c r="EE1" s="265"/>
      <c r="EF1" s="265"/>
      <c r="EG1" s="265"/>
      <c r="EH1" s="265"/>
      <c r="EI1" s="265"/>
      <c r="EJ1" s="265"/>
      <c r="EK1" s="265"/>
      <c r="EL1" s="265"/>
      <c r="EM1" s="265"/>
      <c r="EN1" s="265"/>
      <c r="EO1" s="265"/>
      <c r="EP1" s="265"/>
      <c r="EQ1" s="265"/>
      <c r="ER1" s="265"/>
      <c r="ES1" s="265"/>
      <c r="ET1" s="265"/>
      <c r="EU1" s="265"/>
      <c r="EV1" s="265"/>
      <c r="EW1" s="265"/>
      <c r="EX1" s="265"/>
      <c r="EY1" s="265"/>
      <c r="EZ1" s="265"/>
      <c r="FA1" s="265"/>
      <c r="FB1" s="265"/>
      <c r="FC1" s="265"/>
      <c r="FD1" s="265"/>
      <c r="FE1" s="265"/>
      <c r="FF1" s="265"/>
      <c r="FG1" s="265"/>
      <c r="FH1" s="265"/>
      <c r="FI1" s="265"/>
      <c r="FJ1" s="265"/>
      <c r="FK1" s="265"/>
      <c r="FL1" s="265"/>
      <c r="FM1" s="265"/>
      <c r="FN1" s="265"/>
      <c r="FO1" s="265"/>
      <c r="FP1" s="265"/>
      <c r="FQ1" s="265"/>
      <c r="FR1" s="265"/>
      <c r="FS1" s="265"/>
      <c r="FT1" s="265"/>
      <c r="FU1" s="265"/>
      <c r="FV1" s="265"/>
      <c r="FW1" s="265"/>
      <c r="FX1" s="265"/>
      <c r="FY1" s="265"/>
      <c r="FZ1" s="265"/>
      <c r="GA1" s="265"/>
      <c r="GB1" s="265"/>
      <c r="GC1" s="265"/>
      <c r="GD1" s="265"/>
      <c r="GE1" s="265"/>
      <c r="GF1" s="265"/>
      <c r="GG1" s="265"/>
      <c r="GH1" s="265"/>
      <c r="GI1" s="265"/>
      <c r="GJ1" s="265"/>
      <c r="GK1" s="265"/>
      <c r="GL1" s="265"/>
      <c r="GM1" s="265"/>
      <c r="GN1" s="265"/>
      <c r="GO1" s="265"/>
      <c r="GP1" s="265"/>
      <c r="GQ1" s="265"/>
      <c r="GR1" s="265"/>
      <c r="GS1" s="265"/>
      <c r="GT1" s="265"/>
      <c r="GU1" s="265"/>
      <c r="GV1" s="265"/>
      <c r="GW1" s="265"/>
      <c r="GX1" s="265"/>
      <c r="GY1" s="265"/>
      <c r="GZ1" s="265"/>
      <c r="HA1" s="265"/>
      <c r="HB1" s="265"/>
      <c r="HC1" s="265"/>
      <c r="HD1" s="265"/>
      <c r="HE1" s="265"/>
      <c r="HF1" s="265"/>
      <c r="HG1" s="265"/>
      <c r="HH1" s="265"/>
      <c r="HI1" s="265"/>
      <c r="HJ1" s="265"/>
      <c r="HK1" s="265"/>
      <c r="HL1" s="265"/>
      <c r="HM1" s="265"/>
      <c r="HN1" s="265"/>
      <c r="HO1" s="265"/>
      <c r="HP1" s="265"/>
      <c r="HQ1" s="265"/>
      <c r="HR1" s="265"/>
      <c r="HS1" s="265"/>
      <c r="HT1" s="265"/>
      <c r="HU1" s="265"/>
      <c r="HV1" s="265"/>
      <c r="HW1" s="265"/>
      <c r="HX1" s="265"/>
      <c r="HY1" s="265"/>
      <c r="HZ1" s="265"/>
      <c r="IA1" s="265"/>
      <c r="IB1" s="265"/>
      <c r="IC1" s="265"/>
      <c r="ID1" s="265"/>
      <c r="IE1" s="265"/>
      <c r="IF1" s="265"/>
      <c r="IG1" s="265"/>
      <c r="IH1" s="265"/>
      <c r="II1" s="265"/>
      <c r="IJ1" s="265"/>
      <c r="IK1" s="265"/>
      <c r="IL1" s="265"/>
      <c r="IM1" s="265"/>
      <c r="IN1" s="265"/>
      <c r="IO1" s="265"/>
      <c r="IP1" s="265"/>
      <c r="IQ1" s="265"/>
      <c r="IR1" s="265"/>
      <c r="IS1" s="265"/>
    </row>
    <row r="2" spans="1:253" s="279" customFormat="1" ht="19.95" customHeight="1">
      <c r="A2" s="515" t="s">
        <v>30</v>
      </c>
      <c r="B2" s="515"/>
      <c r="C2" s="515"/>
      <c r="D2" s="515"/>
      <c r="E2" s="515"/>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278"/>
      <c r="AI2" s="278"/>
      <c r="AJ2" s="278"/>
      <c r="AK2" s="278"/>
      <c r="AL2" s="278"/>
      <c r="AM2" s="278"/>
      <c r="AN2" s="278"/>
      <c r="AO2" s="278"/>
      <c r="AP2" s="278"/>
      <c r="AQ2" s="278"/>
      <c r="AR2" s="278"/>
      <c r="AS2" s="278"/>
      <c r="AT2" s="278"/>
      <c r="AU2" s="278"/>
      <c r="AV2" s="278"/>
      <c r="AW2" s="278"/>
      <c r="AX2" s="278"/>
      <c r="AY2" s="278"/>
      <c r="AZ2" s="278"/>
      <c r="BA2" s="278"/>
      <c r="BB2" s="278"/>
      <c r="BC2" s="278"/>
      <c r="BD2" s="278"/>
      <c r="BE2" s="278"/>
      <c r="BF2" s="278"/>
      <c r="BG2" s="278"/>
      <c r="BH2" s="278"/>
      <c r="BI2" s="278"/>
      <c r="BJ2" s="278"/>
      <c r="BK2" s="278"/>
      <c r="BL2" s="278"/>
      <c r="BM2" s="278"/>
      <c r="BN2" s="278"/>
      <c r="BO2" s="278"/>
      <c r="BP2" s="278"/>
      <c r="BQ2" s="278"/>
      <c r="BR2" s="278"/>
      <c r="BS2" s="278"/>
      <c r="BT2" s="278"/>
      <c r="BU2" s="278"/>
      <c r="BV2" s="278"/>
      <c r="BW2" s="278"/>
      <c r="BX2" s="278"/>
      <c r="BY2" s="278"/>
      <c r="BZ2" s="278"/>
      <c r="CA2" s="278"/>
      <c r="CB2" s="278"/>
      <c r="CC2" s="278"/>
      <c r="CD2" s="278"/>
      <c r="CE2" s="278"/>
      <c r="CF2" s="278"/>
      <c r="CG2" s="278"/>
      <c r="CH2" s="278"/>
      <c r="CI2" s="278"/>
      <c r="CJ2" s="278"/>
      <c r="CK2" s="278"/>
      <c r="CL2" s="278"/>
      <c r="CM2" s="278"/>
      <c r="CN2" s="278"/>
      <c r="CO2" s="278"/>
      <c r="CP2" s="278"/>
      <c r="CQ2" s="278"/>
      <c r="CR2" s="278"/>
      <c r="CS2" s="278"/>
      <c r="CT2" s="278"/>
      <c r="CU2" s="278"/>
      <c r="CV2" s="278"/>
      <c r="CW2" s="278"/>
      <c r="CX2" s="278"/>
      <c r="CY2" s="278"/>
      <c r="CZ2" s="278"/>
      <c r="DA2" s="278"/>
      <c r="DB2" s="278"/>
      <c r="DC2" s="278"/>
      <c r="DD2" s="278"/>
      <c r="DE2" s="278"/>
      <c r="DF2" s="278"/>
      <c r="DG2" s="278"/>
      <c r="DH2" s="278"/>
      <c r="DI2" s="278"/>
      <c r="DJ2" s="278"/>
      <c r="DK2" s="278"/>
      <c r="DL2" s="278"/>
      <c r="DM2" s="278"/>
      <c r="DN2" s="278"/>
      <c r="DO2" s="278"/>
      <c r="DP2" s="278"/>
      <c r="DQ2" s="278"/>
      <c r="DR2" s="278"/>
      <c r="DS2" s="278"/>
      <c r="DT2" s="278"/>
      <c r="DU2" s="278"/>
      <c r="DV2" s="278"/>
      <c r="DW2" s="278"/>
      <c r="DX2" s="278"/>
      <c r="DY2" s="278"/>
      <c r="DZ2" s="278"/>
      <c r="EA2" s="278"/>
      <c r="EB2" s="278"/>
      <c r="EC2" s="278"/>
      <c r="ED2" s="278"/>
      <c r="EE2" s="278"/>
      <c r="EF2" s="278"/>
      <c r="EG2" s="278"/>
      <c r="EH2" s="278"/>
      <c r="EI2" s="278"/>
      <c r="EJ2" s="278"/>
      <c r="EK2" s="278"/>
      <c r="EL2" s="278"/>
      <c r="EM2" s="278"/>
      <c r="EN2" s="278"/>
      <c r="EO2" s="278"/>
      <c r="EP2" s="278"/>
      <c r="EQ2" s="278"/>
      <c r="ER2" s="278"/>
      <c r="ES2" s="278"/>
      <c r="ET2" s="278"/>
      <c r="EU2" s="278"/>
      <c r="EV2" s="278"/>
      <c r="EW2" s="278"/>
      <c r="EX2" s="278"/>
      <c r="EY2" s="278"/>
      <c r="EZ2" s="278"/>
      <c r="FA2" s="278"/>
      <c r="FB2" s="278"/>
      <c r="FC2" s="278"/>
      <c r="FD2" s="278"/>
      <c r="FE2" s="278"/>
      <c r="FF2" s="278"/>
      <c r="FG2" s="278"/>
      <c r="FH2" s="278"/>
      <c r="FI2" s="278"/>
      <c r="FJ2" s="278"/>
      <c r="FK2" s="278"/>
      <c r="FL2" s="278"/>
      <c r="FM2" s="278"/>
      <c r="FN2" s="278"/>
      <c r="FO2" s="278"/>
      <c r="FP2" s="278"/>
      <c r="FQ2" s="278"/>
      <c r="FR2" s="278"/>
      <c r="FS2" s="278"/>
      <c r="FT2" s="278"/>
      <c r="FU2" s="278"/>
      <c r="FV2" s="278"/>
      <c r="FW2" s="278"/>
      <c r="FX2" s="278"/>
      <c r="FY2" s="278"/>
      <c r="FZ2" s="278"/>
      <c r="GA2" s="278"/>
      <c r="GB2" s="278"/>
      <c r="GC2" s="278"/>
      <c r="GD2" s="278"/>
      <c r="GE2" s="278"/>
      <c r="GF2" s="278"/>
      <c r="GG2" s="278"/>
      <c r="GH2" s="278"/>
      <c r="GI2" s="278"/>
      <c r="GJ2" s="278"/>
      <c r="GK2" s="278"/>
      <c r="GL2" s="278"/>
      <c r="GM2" s="278"/>
      <c r="GN2" s="278"/>
      <c r="GO2" s="278"/>
      <c r="GP2" s="278"/>
      <c r="GQ2" s="278"/>
      <c r="GR2" s="278"/>
      <c r="GS2" s="278"/>
      <c r="GT2" s="278"/>
      <c r="GU2" s="278"/>
      <c r="GV2" s="278"/>
      <c r="GW2" s="278"/>
      <c r="GX2" s="278"/>
      <c r="GY2" s="278"/>
      <c r="GZ2" s="278"/>
      <c r="HA2" s="278"/>
      <c r="HB2" s="278"/>
      <c r="HC2" s="278"/>
      <c r="HD2" s="278"/>
      <c r="HE2" s="278"/>
      <c r="HF2" s="278"/>
      <c r="HG2" s="278"/>
      <c r="HH2" s="278"/>
      <c r="HI2" s="278"/>
      <c r="HJ2" s="278"/>
      <c r="HK2" s="278"/>
      <c r="HL2" s="278"/>
      <c r="HM2" s="278"/>
      <c r="HN2" s="278"/>
      <c r="HO2" s="278"/>
      <c r="HP2" s="278"/>
      <c r="HQ2" s="278"/>
      <c r="HR2" s="278"/>
      <c r="HS2" s="278"/>
      <c r="HT2" s="278"/>
      <c r="HU2" s="278"/>
      <c r="HV2" s="278"/>
      <c r="HW2" s="278"/>
      <c r="HX2" s="278"/>
      <c r="HY2" s="278"/>
      <c r="HZ2" s="278"/>
      <c r="IA2" s="278"/>
      <c r="IB2" s="278"/>
      <c r="IC2" s="278"/>
      <c r="ID2" s="278"/>
      <c r="IE2" s="278"/>
      <c r="IF2" s="278"/>
      <c r="IG2" s="278"/>
      <c r="IH2" s="278"/>
      <c r="II2" s="278"/>
      <c r="IJ2" s="278"/>
      <c r="IK2" s="278"/>
      <c r="IL2" s="278"/>
      <c r="IM2" s="278"/>
      <c r="IN2" s="278"/>
      <c r="IO2" s="278"/>
      <c r="IP2" s="278"/>
      <c r="IQ2" s="278"/>
      <c r="IR2" s="278"/>
      <c r="IS2" s="278"/>
    </row>
    <row r="3" spans="1:253" ht="19.95" customHeight="1">
      <c r="A3" s="2" t="str">
        <f>底稿目录!A2</f>
        <v>被审计单位：</v>
      </c>
      <c r="B3" s="2" t="str">
        <f>底稿目录!A4</f>
        <v>编制人：</v>
      </c>
      <c r="D3" s="2" t="str">
        <f>底稿目录!A6</f>
        <v>编制日期：</v>
      </c>
      <c r="E3" s="340" t="s">
        <v>918</v>
      </c>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c r="GG3" s="103"/>
      <c r="GH3" s="103"/>
      <c r="GI3" s="103"/>
      <c r="GJ3" s="103"/>
      <c r="GK3" s="103"/>
      <c r="GL3" s="103"/>
      <c r="GM3" s="103"/>
      <c r="GN3" s="103"/>
      <c r="GO3" s="103"/>
      <c r="GP3" s="103"/>
      <c r="GQ3" s="103"/>
      <c r="GR3" s="103"/>
      <c r="GS3" s="103"/>
      <c r="GT3" s="103"/>
      <c r="GU3" s="103"/>
      <c r="GV3" s="103"/>
      <c r="GW3" s="103"/>
      <c r="GX3" s="103"/>
      <c r="GY3" s="103"/>
      <c r="GZ3" s="103"/>
      <c r="HA3" s="103"/>
      <c r="HB3" s="103"/>
      <c r="HC3" s="103"/>
      <c r="HD3" s="103"/>
      <c r="HE3" s="103"/>
      <c r="HF3" s="103"/>
      <c r="HG3" s="103"/>
      <c r="HH3" s="103"/>
      <c r="HI3" s="103"/>
      <c r="HJ3" s="103"/>
      <c r="HK3" s="103"/>
      <c r="HL3" s="103"/>
      <c r="HM3" s="103"/>
      <c r="HN3" s="103"/>
      <c r="HO3" s="103"/>
      <c r="HP3" s="103"/>
      <c r="HQ3" s="103"/>
      <c r="HR3" s="103"/>
      <c r="HS3" s="103"/>
      <c r="HT3" s="103"/>
      <c r="HU3" s="103"/>
      <c r="HV3" s="103"/>
      <c r="HW3" s="103"/>
      <c r="HX3" s="103"/>
      <c r="HY3" s="103"/>
      <c r="HZ3" s="103"/>
      <c r="IA3" s="103"/>
      <c r="IB3" s="103"/>
      <c r="IC3" s="103"/>
      <c r="ID3" s="103"/>
      <c r="IE3" s="103"/>
      <c r="IF3" s="103"/>
      <c r="IG3" s="103"/>
      <c r="IH3" s="103"/>
      <c r="II3" s="103"/>
      <c r="IJ3" s="103"/>
      <c r="IK3" s="103"/>
      <c r="IL3" s="103"/>
      <c r="IM3" s="103"/>
      <c r="IN3" s="103"/>
      <c r="IO3" s="103"/>
      <c r="IP3" s="103"/>
      <c r="IQ3" s="103"/>
      <c r="IR3" s="103"/>
      <c r="IS3" s="103"/>
    </row>
    <row r="4" spans="1:253" ht="19.95" customHeight="1">
      <c r="A4" s="2" t="str">
        <f>底稿目录!A3</f>
        <v>截止日：202X年12月31日</v>
      </c>
      <c r="B4" s="2" t="str">
        <f>底稿目录!A5</f>
        <v>复核人：</v>
      </c>
      <c r="D4" s="2" t="str">
        <f>底稿目录!A7</f>
        <v>复核日期：</v>
      </c>
      <c r="E4" s="340" t="s">
        <v>919</v>
      </c>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103"/>
      <c r="EX4" s="103"/>
      <c r="EY4" s="103"/>
      <c r="EZ4" s="103"/>
      <c r="FA4" s="103"/>
      <c r="FB4" s="103"/>
      <c r="FC4" s="103"/>
      <c r="FD4" s="103"/>
      <c r="FE4" s="103"/>
      <c r="FF4" s="103"/>
      <c r="FG4" s="103"/>
      <c r="FH4" s="103"/>
      <c r="FI4" s="103"/>
      <c r="FJ4" s="103"/>
      <c r="FK4" s="103"/>
      <c r="FL4" s="103"/>
      <c r="FM4" s="103"/>
      <c r="FN4" s="103"/>
      <c r="FO4" s="103"/>
      <c r="FP4" s="103"/>
      <c r="FQ4" s="103"/>
      <c r="FR4" s="103"/>
      <c r="FS4" s="103"/>
      <c r="FT4" s="103"/>
      <c r="FU4" s="103"/>
      <c r="FV4" s="103"/>
      <c r="FW4" s="103"/>
      <c r="FX4" s="103"/>
      <c r="FY4" s="103"/>
      <c r="FZ4" s="103"/>
      <c r="GA4" s="103"/>
      <c r="GB4" s="103"/>
      <c r="GC4" s="103"/>
      <c r="GD4" s="103"/>
      <c r="GE4" s="103"/>
      <c r="GF4" s="103"/>
      <c r="GG4" s="103"/>
      <c r="GH4" s="103"/>
      <c r="GI4" s="103"/>
      <c r="GJ4" s="103"/>
      <c r="GK4" s="103"/>
      <c r="GL4" s="103"/>
      <c r="GM4" s="103"/>
      <c r="GN4" s="103"/>
      <c r="GO4" s="103"/>
      <c r="GP4" s="103"/>
      <c r="GQ4" s="103"/>
      <c r="GR4" s="103"/>
      <c r="GS4" s="103"/>
      <c r="GT4" s="103"/>
      <c r="GU4" s="103"/>
      <c r="GV4" s="103"/>
      <c r="GW4" s="103"/>
      <c r="GX4" s="103"/>
      <c r="GY4" s="103"/>
      <c r="GZ4" s="103"/>
      <c r="HA4" s="103"/>
      <c r="HB4" s="103"/>
      <c r="HC4" s="103"/>
      <c r="HD4" s="103"/>
      <c r="HE4" s="103"/>
      <c r="HF4" s="103"/>
      <c r="HG4" s="103"/>
      <c r="HH4" s="103"/>
      <c r="HI4" s="103"/>
      <c r="HJ4" s="103"/>
      <c r="HK4" s="103"/>
      <c r="HL4" s="103"/>
      <c r="HM4" s="103"/>
      <c r="HN4" s="103"/>
      <c r="HO4" s="103"/>
      <c r="HP4" s="103"/>
      <c r="HQ4" s="103"/>
      <c r="HR4" s="103"/>
      <c r="HS4" s="103"/>
      <c r="HT4" s="103"/>
      <c r="HU4" s="103"/>
      <c r="HV4" s="103"/>
      <c r="HW4" s="103"/>
      <c r="HX4" s="103"/>
      <c r="HY4" s="103"/>
      <c r="HZ4" s="103"/>
      <c r="IA4" s="103"/>
      <c r="IB4" s="103"/>
      <c r="IC4" s="103"/>
      <c r="ID4" s="103"/>
      <c r="IE4" s="103"/>
      <c r="IF4" s="103"/>
      <c r="IG4" s="103"/>
      <c r="IH4" s="103"/>
      <c r="II4" s="103"/>
      <c r="IJ4" s="103"/>
      <c r="IK4" s="103"/>
      <c r="IL4" s="103"/>
      <c r="IM4" s="103"/>
      <c r="IN4" s="103"/>
      <c r="IO4" s="103"/>
      <c r="IP4" s="103"/>
      <c r="IQ4" s="103"/>
      <c r="IR4" s="103"/>
      <c r="IS4" s="103"/>
    </row>
    <row r="5" spans="1:253" ht="19.95" customHeight="1">
      <c r="A5" s="123"/>
      <c r="B5" s="3"/>
      <c r="D5" s="3"/>
      <c r="E5" s="102"/>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c r="GG5" s="103"/>
      <c r="GH5" s="103"/>
      <c r="GI5" s="103"/>
      <c r="GJ5" s="103"/>
      <c r="GK5" s="103"/>
      <c r="GL5" s="103"/>
      <c r="GM5" s="103"/>
      <c r="GN5" s="103"/>
      <c r="GO5" s="103"/>
      <c r="GP5" s="103"/>
      <c r="GQ5" s="103"/>
      <c r="GR5" s="103"/>
      <c r="GS5" s="103"/>
      <c r="GT5" s="103"/>
      <c r="GU5" s="103"/>
      <c r="GV5" s="103"/>
      <c r="GW5" s="103"/>
      <c r="GX5" s="103"/>
      <c r="GY5" s="103"/>
      <c r="GZ5" s="103"/>
      <c r="HA5" s="103"/>
      <c r="HB5" s="103"/>
      <c r="HC5" s="103"/>
      <c r="HD5" s="103"/>
      <c r="HE5" s="103"/>
      <c r="HF5" s="103"/>
      <c r="HG5" s="103"/>
      <c r="HH5" s="103"/>
      <c r="HI5" s="103"/>
      <c r="HJ5" s="103"/>
      <c r="HK5" s="103"/>
      <c r="HL5" s="103"/>
      <c r="HM5" s="103"/>
      <c r="HN5" s="103"/>
      <c r="HO5" s="103"/>
      <c r="HP5" s="103"/>
      <c r="HQ5" s="103"/>
      <c r="HR5" s="103"/>
      <c r="HS5" s="103"/>
      <c r="HT5" s="103"/>
      <c r="HU5" s="103"/>
      <c r="HV5" s="103"/>
      <c r="HW5" s="103"/>
      <c r="HX5" s="103"/>
      <c r="HY5" s="103"/>
      <c r="HZ5" s="103"/>
      <c r="IA5" s="103"/>
      <c r="IB5" s="103"/>
      <c r="IC5" s="103"/>
      <c r="ID5" s="103"/>
      <c r="IE5" s="103"/>
      <c r="IF5" s="103"/>
      <c r="IG5" s="103"/>
      <c r="IH5" s="103"/>
      <c r="II5" s="103"/>
      <c r="IJ5" s="103"/>
      <c r="IK5" s="103"/>
      <c r="IL5" s="103"/>
      <c r="IM5" s="103"/>
      <c r="IN5" s="103"/>
      <c r="IO5" s="103"/>
      <c r="IP5" s="103"/>
      <c r="IQ5" s="103"/>
      <c r="IR5" s="103"/>
      <c r="IS5" s="103"/>
    </row>
    <row r="6" spans="1:253" ht="19.95" customHeight="1">
      <c r="A6" s="55" t="s">
        <v>124</v>
      </c>
      <c r="B6" s="3"/>
      <c r="D6" s="3"/>
      <c r="E6" s="102"/>
      <c r="F6" s="103"/>
      <c r="G6" s="103"/>
      <c r="H6" s="103"/>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103"/>
      <c r="CW6" s="103"/>
      <c r="CX6" s="103"/>
      <c r="CY6" s="103"/>
      <c r="CZ6" s="103"/>
      <c r="DA6" s="103"/>
      <c r="DB6" s="103"/>
      <c r="DC6" s="103"/>
      <c r="DD6" s="103"/>
      <c r="DE6" s="103"/>
      <c r="DF6" s="103"/>
      <c r="DG6" s="103"/>
      <c r="DH6" s="103"/>
      <c r="DI6" s="103"/>
      <c r="DJ6" s="103"/>
      <c r="DK6" s="103"/>
      <c r="DL6" s="103"/>
      <c r="DM6" s="103"/>
      <c r="DN6" s="103"/>
      <c r="DO6" s="103"/>
      <c r="DP6" s="103"/>
      <c r="DQ6" s="103"/>
      <c r="DR6" s="103"/>
      <c r="DS6" s="103"/>
      <c r="DT6" s="103"/>
      <c r="DU6" s="103"/>
      <c r="DV6" s="103"/>
      <c r="DW6" s="103"/>
      <c r="DX6" s="103"/>
      <c r="DY6" s="103"/>
      <c r="DZ6" s="103"/>
      <c r="EA6" s="103"/>
      <c r="EB6" s="103"/>
      <c r="EC6" s="103"/>
      <c r="ED6" s="103"/>
      <c r="EE6" s="103"/>
      <c r="EF6" s="103"/>
      <c r="EG6" s="103"/>
      <c r="EH6" s="103"/>
      <c r="EI6" s="103"/>
      <c r="EJ6" s="103"/>
      <c r="EK6" s="103"/>
      <c r="EL6" s="103"/>
      <c r="EM6" s="103"/>
      <c r="EN6" s="103"/>
      <c r="EO6" s="103"/>
      <c r="EP6" s="103"/>
      <c r="EQ6" s="103"/>
      <c r="ER6" s="103"/>
      <c r="ES6" s="103"/>
      <c r="ET6" s="103"/>
      <c r="EU6" s="103"/>
      <c r="EV6" s="103"/>
      <c r="EW6" s="103"/>
      <c r="EX6" s="103"/>
      <c r="EY6" s="103"/>
      <c r="EZ6" s="103"/>
      <c r="FA6" s="103"/>
      <c r="FB6" s="103"/>
      <c r="FC6" s="103"/>
      <c r="FD6" s="103"/>
      <c r="FE6" s="103"/>
      <c r="FF6" s="103"/>
      <c r="FG6" s="103"/>
      <c r="FH6" s="103"/>
      <c r="FI6" s="103"/>
      <c r="FJ6" s="103"/>
      <c r="FK6" s="103"/>
      <c r="FL6" s="103"/>
      <c r="FM6" s="103"/>
      <c r="FN6" s="103"/>
      <c r="FO6" s="103"/>
      <c r="FP6" s="103"/>
      <c r="FQ6" s="103"/>
      <c r="FR6" s="103"/>
      <c r="FS6" s="103"/>
      <c r="FT6" s="103"/>
      <c r="FU6" s="103"/>
      <c r="FV6" s="103"/>
      <c r="FW6" s="103"/>
      <c r="FX6" s="103"/>
      <c r="FY6" s="103"/>
      <c r="FZ6" s="103"/>
      <c r="GA6" s="103"/>
      <c r="GB6" s="103"/>
      <c r="GC6" s="103"/>
      <c r="GD6" s="103"/>
      <c r="GE6" s="103"/>
      <c r="GF6" s="103"/>
      <c r="GG6" s="103"/>
      <c r="GH6" s="103"/>
      <c r="GI6" s="103"/>
      <c r="GJ6" s="103"/>
      <c r="GK6" s="103"/>
      <c r="GL6" s="103"/>
      <c r="GM6" s="103"/>
      <c r="GN6" s="103"/>
      <c r="GO6" s="103"/>
      <c r="GP6" s="103"/>
      <c r="GQ6" s="103"/>
      <c r="GR6" s="103"/>
      <c r="GS6" s="103"/>
      <c r="GT6" s="103"/>
      <c r="GU6" s="103"/>
      <c r="GV6" s="103"/>
      <c r="GW6" s="103"/>
      <c r="GX6" s="103"/>
      <c r="GY6" s="103"/>
      <c r="GZ6" s="103"/>
      <c r="HA6" s="103"/>
      <c r="HB6" s="103"/>
      <c r="HC6" s="103"/>
      <c r="HD6" s="103"/>
      <c r="HE6" s="103"/>
      <c r="HF6" s="103"/>
      <c r="HG6" s="103"/>
      <c r="HH6" s="103"/>
      <c r="HI6" s="103"/>
      <c r="HJ6" s="103"/>
      <c r="HK6" s="103"/>
      <c r="HL6" s="103"/>
      <c r="HM6" s="103"/>
      <c r="HN6" s="103"/>
      <c r="HO6" s="103"/>
      <c r="HP6" s="103"/>
      <c r="HQ6" s="103"/>
      <c r="HR6" s="103"/>
      <c r="HS6" s="103"/>
      <c r="HT6" s="103"/>
      <c r="HU6" s="103"/>
      <c r="HV6" s="103"/>
      <c r="HW6" s="103"/>
      <c r="HX6" s="103"/>
      <c r="HY6" s="103"/>
      <c r="HZ6" s="103"/>
      <c r="IA6" s="103"/>
      <c r="IB6" s="103"/>
      <c r="IC6" s="103"/>
      <c r="ID6" s="103"/>
      <c r="IE6" s="103"/>
      <c r="IF6" s="103"/>
      <c r="IG6" s="103"/>
      <c r="IH6" s="103"/>
      <c r="II6" s="103"/>
      <c r="IJ6" s="103"/>
      <c r="IK6" s="103"/>
      <c r="IL6" s="103"/>
      <c r="IM6" s="103"/>
      <c r="IN6" s="103"/>
      <c r="IO6" s="103"/>
      <c r="IP6" s="103"/>
      <c r="IQ6" s="103"/>
      <c r="IR6" s="103"/>
      <c r="IS6" s="103"/>
    </row>
    <row r="7" spans="1:253" s="103" customFormat="1" ht="19.95" customHeight="1">
      <c r="A7" s="138" t="s">
        <v>125</v>
      </c>
      <c r="F7" s="102"/>
    </row>
    <row r="8" spans="1:253" s="103" customFormat="1" ht="19.95" customHeight="1" thickBot="1">
      <c r="A8" s="137" t="s">
        <v>126</v>
      </c>
      <c r="F8" s="184" t="s">
        <v>188</v>
      </c>
    </row>
    <row r="9" spans="1:253" s="103" customFormat="1" ht="19.95" customHeight="1" thickBot="1">
      <c r="A9" s="139" t="s">
        <v>127</v>
      </c>
      <c r="B9" s="140" t="s">
        <v>128</v>
      </c>
      <c r="C9" s="141" t="s">
        <v>129</v>
      </c>
      <c r="D9" s="141" t="s">
        <v>130</v>
      </c>
      <c r="E9" s="140" t="s">
        <v>3</v>
      </c>
      <c r="F9" s="100"/>
    </row>
    <row r="10" spans="1:253" s="103" customFormat="1" ht="19.95" customHeight="1">
      <c r="A10" s="142" t="s">
        <v>16</v>
      </c>
      <c r="B10" s="143"/>
      <c r="C10" s="143"/>
      <c r="D10" s="143"/>
      <c r="E10" s="143"/>
      <c r="F10" s="100"/>
    </row>
    <row r="11" spans="1:253" s="103" customFormat="1" ht="19.95" customHeight="1">
      <c r="A11" s="142" t="s">
        <v>131</v>
      </c>
      <c r="B11" s="143"/>
      <c r="C11" s="143"/>
      <c r="D11" s="143"/>
      <c r="E11" s="143"/>
    </row>
    <row r="12" spans="1:253" s="103" customFormat="1" ht="19.95" customHeight="1">
      <c r="A12" s="144" t="s">
        <v>132</v>
      </c>
      <c r="B12" s="143"/>
      <c r="C12" s="143"/>
      <c r="D12" s="143"/>
      <c r="E12" s="143"/>
    </row>
    <row r="13" spans="1:253" s="103" customFormat="1" ht="19.95" customHeight="1">
      <c r="A13" s="144" t="s">
        <v>133</v>
      </c>
      <c r="B13" s="143"/>
      <c r="C13" s="143"/>
      <c r="D13" s="143"/>
      <c r="E13" s="143"/>
    </row>
    <row r="14" spans="1:253" s="103" customFormat="1" ht="19.95" customHeight="1">
      <c r="A14" s="142" t="s">
        <v>17</v>
      </c>
      <c r="B14" s="143"/>
      <c r="C14" s="143"/>
      <c r="D14" s="143"/>
      <c r="E14" s="143"/>
    </row>
    <row r="15" spans="1:253" s="103" customFormat="1" ht="19.95" customHeight="1">
      <c r="A15" s="142" t="s">
        <v>131</v>
      </c>
      <c r="B15" s="143"/>
      <c r="C15" s="143"/>
      <c r="D15" s="143"/>
      <c r="E15" s="143"/>
    </row>
    <row r="16" spans="1:253" s="103" customFormat="1" ht="19.95" customHeight="1">
      <c r="A16" s="144" t="s">
        <v>134</v>
      </c>
      <c r="B16" s="143"/>
      <c r="C16" s="143"/>
      <c r="D16" s="143"/>
      <c r="E16" s="143"/>
    </row>
    <row r="17" spans="1:5" s="103" customFormat="1" ht="19.95" customHeight="1">
      <c r="A17" s="142" t="s">
        <v>18</v>
      </c>
      <c r="B17" s="143"/>
      <c r="C17" s="143"/>
      <c r="D17" s="143"/>
      <c r="E17" s="143"/>
    </row>
    <row r="18" spans="1:5" s="103" customFormat="1" ht="19.95" customHeight="1">
      <c r="A18" s="142" t="s">
        <v>131</v>
      </c>
      <c r="B18" s="143"/>
      <c r="C18" s="143"/>
      <c r="D18" s="143"/>
      <c r="E18" s="143"/>
    </row>
    <row r="19" spans="1:5" s="103" customFormat="1" ht="19.95" customHeight="1">
      <c r="A19" s="144" t="s">
        <v>132</v>
      </c>
      <c r="B19" s="143"/>
      <c r="C19" s="143"/>
      <c r="D19" s="143"/>
      <c r="E19" s="143"/>
    </row>
    <row r="20" spans="1:5" s="103" customFormat="1" ht="19.95" customHeight="1">
      <c r="A20" s="144" t="s">
        <v>133</v>
      </c>
      <c r="B20" s="143"/>
      <c r="C20" s="143"/>
      <c r="D20" s="143"/>
      <c r="E20" s="143"/>
    </row>
    <row r="21" spans="1:5" s="103" customFormat="1" ht="19.95" customHeight="1">
      <c r="A21" s="142" t="s">
        <v>19</v>
      </c>
      <c r="B21" s="143"/>
      <c r="C21" s="143" t="s">
        <v>135</v>
      </c>
      <c r="D21" s="143" t="s">
        <v>135</v>
      </c>
      <c r="E21" s="143"/>
    </row>
    <row r="22" spans="1:5" s="103" customFormat="1" ht="19.95" customHeight="1">
      <c r="A22" s="142" t="s">
        <v>131</v>
      </c>
      <c r="B22" s="143"/>
      <c r="C22" s="143" t="s">
        <v>135</v>
      </c>
      <c r="D22" s="143" t="s">
        <v>135</v>
      </c>
      <c r="E22" s="143"/>
    </row>
    <row r="23" spans="1:5" s="103" customFormat="1" ht="19.95" customHeight="1">
      <c r="A23" s="144" t="s">
        <v>132</v>
      </c>
      <c r="B23" s="143"/>
      <c r="C23" s="143" t="s">
        <v>135</v>
      </c>
      <c r="D23" s="143" t="s">
        <v>135</v>
      </c>
      <c r="E23" s="143"/>
    </row>
    <row r="24" spans="1:5" s="103" customFormat="1" ht="19.95" customHeight="1" thickBot="1">
      <c r="A24" s="145" t="s">
        <v>133</v>
      </c>
      <c r="B24" s="146"/>
      <c r="C24" s="146" t="s">
        <v>135</v>
      </c>
      <c r="D24" s="146" t="s">
        <v>135</v>
      </c>
      <c r="E24" s="146"/>
    </row>
    <row r="25" spans="1:5" s="103" customFormat="1" ht="19.95" customHeight="1"/>
    <row r="26" spans="1:5" s="103" customFormat="1" ht="19.95" customHeight="1"/>
    <row r="27" spans="1:5" s="103" customFormat="1" ht="19.95" customHeight="1"/>
    <row r="28" spans="1:5" s="103" customFormat="1" ht="19.95" customHeight="1"/>
    <row r="29" spans="1:5" s="103" customFormat="1" ht="19.95" customHeight="1"/>
    <row r="30" spans="1:5" s="103" customFormat="1" ht="19.95" customHeight="1"/>
    <row r="31" spans="1:5" s="103" customFormat="1" ht="19.95" customHeight="1"/>
    <row r="32" spans="1:5" s="103" customFormat="1" ht="19.95" customHeight="1"/>
    <row r="33" s="103" customFormat="1" ht="19.95" customHeight="1"/>
    <row r="34" s="103" customFormat="1" ht="19.95" customHeight="1"/>
    <row r="35" s="103" customFormat="1" ht="19.95" customHeight="1"/>
    <row r="36" s="103" customFormat="1" ht="19.95" customHeight="1"/>
    <row r="37" s="103" customFormat="1" ht="19.95" customHeight="1"/>
    <row r="38" s="103" customFormat="1" ht="19.95" customHeight="1"/>
    <row r="39" s="103" customFormat="1" ht="19.95" customHeight="1"/>
    <row r="40" s="103" customFormat="1" ht="19.95" customHeight="1"/>
    <row r="41" s="103" customFormat="1" ht="19.95" customHeight="1"/>
    <row r="42" s="103" customFormat="1" ht="19.95" customHeight="1"/>
    <row r="43" s="103" customFormat="1" ht="19.95" customHeight="1"/>
    <row r="44" s="103" customFormat="1" ht="19.95" customHeight="1"/>
    <row r="45" s="103" customFormat="1" ht="19.95" customHeight="1"/>
    <row r="46" s="103" customFormat="1" ht="19.95" customHeight="1"/>
    <row r="47" s="103" customFormat="1" ht="19.95" customHeight="1"/>
    <row r="48" s="103" customFormat="1" ht="19.95" customHeight="1"/>
  </sheetData>
  <mergeCells count="2">
    <mergeCell ref="A1:E1"/>
    <mergeCell ref="A2:E2"/>
  </mergeCells>
  <phoneticPr fontId="9" type="noConversion"/>
  <hyperlinks>
    <hyperlink ref="F8" location="底稿目录!A1" display="返回目录"/>
  </hyperlinks>
  <pageMargins left="0.70866141732283472" right="0.70866141732283472" top="0.74803149606299213" bottom="0.74803149606299213" header="0.31496062992125984" footer="0.31496062992125984"/>
  <pageSetup paperSize="9" scale="62" fitToHeight="100" orientation="landscape"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B53"/>
  <sheetViews>
    <sheetView view="pageBreakPreview" zoomScaleSheetLayoutView="100" workbookViewId="0">
      <selection sqref="A1:P1"/>
    </sheetView>
  </sheetViews>
  <sheetFormatPr defaultColWidth="9" defaultRowHeight="19.95" customHeight="1"/>
  <cols>
    <col min="1" max="1" width="11.59765625" style="2" customWidth="1"/>
    <col min="2" max="2" width="10.19921875" style="2" customWidth="1"/>
    <col min="3" max="3" width="11.5" style="2" customWidth="1"/>
    <col min="4" max="4" width="7.69921875" style="2" customWidth="1"/>
    <col min="5" max="5" width="7.8984375" style="2" customWidth="1"/>
    <col min="6" max="6" width="8.69921875" style="2" customWidth="1"/>
    <col min="7" max="7" width="8.3984375" style="2" customWidth="1"/>
    <col min="8" max="9" width="9.09765625" style="2" customWidth="1"/>
    <col min="10" max="13" width="8.8984375" style="2" customWidth="1"/>
    <col min="14" max="14" width="10.5" style="2" customWidth="1"/>
    <col min="15" max="16" width="9.5" style="2" customWidth="1"/>
    <col min="17" max="17" width="8.8984375" style="2" customWidth="1"/>
    <col min="18" max="18" width="11.19921875" style="2" customWidth="1"/>
    <col min="19" max="21" width="8.5" style="2" customWidth="1"/>
    <col min="22" max="22" width="10.09765625" style="2" customWidth="1"/>
    <col min="23" max="31" width="9" style="2"/>
    <col min="32" max="50" width="8.5" style="2" customWidth="1"/>
    <col min="51" max="54" width="5" style="2" customWidth="1"/>
    <col min="55" max="16384" width="9" style="2"/>
  </cols>
  <sheetData>
    <row r="1" spans="1:54" s="190" customFormat="1" ht="19.95" customHeight="1">
      <c r="A1" s="520" t="s">
        <v>879</v>
      </c>
      <c r="B1" s="520"/>
      <c r="C1" s="520"/>
      <c r="D1" s="520"/>
      <c r="E1" s="520"/>
      <c r="F1" s="520"/>
      <c r="G1" s="520"/>
      <c r="H1" s="520"/>
      <c r="I1" s="520"/>
      <c r="J1" s="520"/>
      <c r="K1" s="520"/>
      <c r="L1" s="520"/>
      <c r="M1" s="520"/>
      <c r="N1" s="520"/>
      <c r="O1" s="520"/>
      <c r="P1" s="520"/>
      <c r="Q1" s="520" t="s">
        <v>879</v>
      </c>
      <c r="R1" s="520"/>
      <c r="S1" s="520"/>
      <c r="T1" s="520"/>
      <c r="U1" s="520"/>
      <c r="V1" s="520"/>
      <c r="W1" s="520"/>
      <c r="X1" s="520"/>
      <c r="Y1" s="520"/>
      <c r="Z1" s="520"/>
      <c r="AA1" s="520"/>
      <c r="AB1" s="520"/>
      <c r="AC1" s="520"/>
      <c r="AD1" s="520"/>
      <c r="AE1" s="520"/>
      <c r="AF1" s="520" t="s">
        <v>879</v>
      </c>
      <c r="AG1" s="520"/>
      <c r="AH1" s="520"/>
      <c r="AI1" s="520"/>
      <c r="AJ1" s="520"/>
      <c r="AK1" s="520"/>
      <c r="AL1" s="520"/>
      <c r="AM1" s="520"/>
      <c r="AN1" s="520"/>
      <c r="AO1" s="520"/>
      <c r="AP1" s="520"/>
      <c r="AQ1" s="520"/>
      <c r="AR1" s="520"/>
      <c r="AS1" s="520"/>
      <c r="AT1" s="520"/>
      <c r="AU1" s="520"/>
      <c r="AV1" s="520"/>
      <c r="AW1" s="520"/>
      <c r="AX1" s="520"/>
      <c r="AY1" s="520"/>
      <c r="AZ1" s="520"/>
      <c r="BA1" s="520"/>
      <c r="BB1" s="520"/>
    </row>
    <row r="2" spans="1:54" s="269" customFormat="1" ht="19.95" customHeight="1">
      <c r="A2" s="521" t="s">
        <v>898</v>
      </c>
      <c r="B2" s="521"/>
      <c r="C2" s="521"/>
      <c r="D2" s="521"/>
      <c r="E2" s="521"/>
      <c r="F2" s="521"/>
      <c r="G2" s="521"/>
      <c r="H2" s="521"/>
      <c r="I2" s="521"/>
      <c r="J2" s="521"/>
      <c r="K2" s="521"/>
      <c r="L2" s="521"/>
      <c r="M2" s="521"/>
      <c r="N2" s="521"/>
      <c r="O2" s="521"/>
      <c r="P2" s="521"/>
      <c r="Q2" s="521" t="s">
        <v>898</v>
      </c>
      <c r="R2" s="521"/>
      <c r="S2" s="521"/>
      <c r="T2" s="521"/>
      <c r="U2" s="521"/>
      <c r="V2" s="521"/>
      <c r="W2" s="521"/>
      <c r="X2" s="521"/>
      <c r="Y2" s="521"/>
      <c r="Z2" s="521"/>
      <c r="AA2" s="521"/>
      <c r="AB2" s="521"/>
      <c r="AC2" s="521"/>
      <c r="AD2" s="521"/>
      <c r="AE2" s="521"/>
      <c r="AF2" s="521" t="s">
        <v>898</v>
      </c>
      <c r="AG2" s="521"/>
      <c r="AH2" s="521"/>
      <c r="AI2" s="521"/>
      <c r="AJ2" s="521"/>
      <c r="AK2" s="521"/>
      <c r="AL2" s="521"/>
      <c r="AM2" s="521"/>
      <c r="AN2" s="521"/>
      <c r="AO2" s="521"/>
      <c r="AP2" s="521"/>
      <c r="AQ2" s="521"/>
      <c r="AR2" s="521"/>
      <c r="AS2" s="521"/>
      <c r="AT2" s="521"/>
      <c r="AU2" s="521"/>
      <c r="AV2" s="521"/>
      <c r="AW2" s="521"/>
      <c r="AX2" s="521"/>
      <c r="AY2" s="521"/>
      <c r="AZ2" s="521"/>
      <c r="BA2" s="521"/>
      <c r="BB2" s="521"/>
    </row>
    <row r="3" spans="1:54" ht="19.95" customHeight="1">
      <c r="A3" s="2" t="str">
        <f>底稿目录!A2</f>
        <v>被审计单位：</v>
      </c>
      <c r="F3" s="2" t="str">
        <f>底稿目录!A4</f>
        <v>编制人：</v>
      </c>
      <c r="J3" s="6"/>
      <c r="K3" s="2" t="str">
        <f>底稿目录!A6</f>
        <v>编制日期：</v>
      </c>
      <c r="O3" s="339" t="s">
        <v>916</v>
      </c>
      <c r="P3" s="197" t="s">
        <v>159</v>
      </c>
      <c r="Q3" s="2" t="str">
        <f>底稿目录!A2</f>
        <v>被审计单位：</v>
      </c>
      <c r="V3" s="2" t="str">
        <f>底稿目录!A4</f>
        <v>编制人：</v>
      </c>
      <c r="AA3" s="2" t="str">
        <f>底稿目录!A6</f>
        <v>编制日期：</v>
      </c>
      <c r="AD3" s="339" t="s">
        <v>916</v>
      </c>
      <c r="AE3" s="197" t="s">
        <v>159</v>
      </c>
      <c r="AF3" s="2" t="str">
        <f>底稿目录!A2</f>
        <v>被审计单位：</v>
      </c>
      <c r="AL3" s="2" t="str">
        <f>底稿目录!A4</f>
        <v>编制人：</v>
      </c>
      <c r="AT3" s="2" t="str">
        <f>底稿目录!A6</f>
        <v>编制日期：</v>
      </c>
      <c r="BA3" s="339" t="s">
        <v>916</v>
      </c>
      <c r="BB3" s="197" t="s">
        <v>159</v>
      </c>
    </row>
    <row r="4" spans="1:54" ht="19.95" customHeight="1">
      <c r="A4" s="2" t="str">
        <f>底稿目录!A3</f>
        <v>截止日：202X年12月31日</v>
      </c>
      <c r="F4" s="2" t="str">
        <f>底稿目录!A5</f>
        <v>复核人：</v>
      </c>
      <c r="J4" s="6"/>
      <c r="K4" s="2" t="str">
        <f>底稿目录!A7</f>
        <v>复核日期：</v>
      </c>
      <c r="O4" s="339" t="s">
        <v>917</v>
      </c>
      <c r="P4" s="163"/>
      <c r="Q4" s="2" t="str">
        <f>底稿目录!A3</f>
        <v>截止日：202X年12月31日</v>
      </c>
      <c r="V4" s="2" t="str">
        <f>底稿目录!A5</f>
        <v>复核人：</v>
      </c>
      <c r="AA4" s="2" t="str">
        <f>底稿目录!A7</f>
        <v>复核日期：</v>
      </c>
      <c r="AD4" s="339" t="s">
        <v>917</v>
      </c>
      <c r="AE4" s="163"/>
      <c r="AF4" s="2" t="str">
        <f>底稿目录!A3</f>
        <v>截止日：202X年12月31日</v>
      </c>
      <c r="AL4" s="2" t="str">
        <f>底稿目录!A5</f>
        <v>复核人：</v>
      </c>
      <c r="AT4" s="2" t="str">
        <f>底稿目录!A7</f>
        <v>复核日期：</v>
      </c>
      <c r="BA4" s="339" t="s">
        <v>917</v>
      </c>
      <c r="BB4" s="163"/>
    </row>
    <row r="5" spans="1:54" ht="19.95" customHeight="1">
      <c r="A5" s="48" t="s">
        <v>274</v>
      </c>
      <c r="B5" s="48"/>
      <c r="C5" s="49"/>
      <c r="J5" s="6"/>
      <c r="Q5" s="103"/>
      <c r="AB5" s="110"/>
      <c r="AC5" s="110"/>
      <c r="AD5" s="110"/>
      <c r="AE5" s="110"/>
      <c r="AF5" s="110"/>
      <c r="AG5" s="110"/>
      <c r="AH5" s="110"/>
    </row>
    <row r="6" spans="1:54" s="187" customFormat="1" ht="19.95" customHeight="1">
      <c r="A6" s="417" t="s">
        <v>275</v>
      </c>
      <c r="E6" s="417"/>
      <c r="F6" s="417"/>
      <c r="G6" s="417"/>
      <c r="H6" s="417"/>
      <c r="I6" s="417"/>
      <c r="J6" s="417"/>
      <c r="K6" s="417"/>
      <c r="Q6" s="418"/>
      <c r="AB6" s="419"/>
      <c r="AC6" s="419"/>
      <c r="AD6" s="419"/>
      <c r="AE6" s="419"/>
      <c r="AF6" s="419"/>
      <c r="AG6" s="419"/>
      <c r="AH6" s="419"/>
    </row>
    <row r="7" spans="1:54" s="187" customFormat="1" ht="19.95" customHeight="1">
      <c r="A7" s="417" t="s">
        <v>276</v>
      </c>
      <c r="E7" s="417"/>
      <c r="F7" s="417"/>
      <c r="G7" s="417"/>
      <c r="H7" s="417"/>
      <c r="I7" s="417"/>
      <c r="J7" s="417"/>
      <c r="K7" s="417"/>
      <c r="Q7" s="418"/>
      <c r="AB7" s="419"/>
      <c r="AC7" s="419"/>
      <c r="AD7" s="419"/>
      <c r="AE7" s="419"/>
      <c r="AF7" s="419"/>
      <c r="AG7" s="419"/>
      <c r="AH7" s="419"/>
    </row>
    <row r="8" spans="1:54" ht="19.95" customHeight="1">
      <c r="A8" s="51" t="s">
        <v>277</v>
      </c>
      <c r="B8" s="52"/>
      <c r="J8" s="6"/>
      <c r="Q8" s="103"/>
      <c r="AB8" s="110"/>
      <c r="AC8" s="110"/>
      <c r="AD8" s="110"/>
      <c r="AE8" s="110"/>
      <c r="AF8" s="110"/>
      <c r="AG8" s="110"/>
      <c r="AH8" s="110"/>
    </row>
    <row r="9" spans="1:54" s="7" customFormat="1" ht="19.95" customHeight="1">
      <c r="A9" s="523" t="s">
        <v>278</v>
      </c>
      <c r="B9" s="523" t="s">
        <v>279</v>
      </c>
      <c r="C9" s="523" t="s">
        <v>280</v>
      </c>
      <c r="D9" s="524" t="s">
        <v>281</v>
      </c>
      <c r="E9" s="524"/>
      <c r="F9" s="524"/>
      <c r="G9" s="524"/>
      <c r="H9" s="524"/>
      <c r="I9" s="524"/>
      <c r="J9" s="524"/>
      <c r="K9" s="524"/>
      <c r="L9" s="524"/>
      <c r="M9" s="524"/>
      <c r="N9" s="524"/>
      <c r="O9" s="524"/>
      <c r="P9" s="524"/>
      <c r="Q9" s="509" t="s">
        <v>282</v>
      </c>
      <c r="R9" s="509"/>
      <c r="S9" s="509"/>
      <c r="T9" s="509"/>
      <c r="U9" s="509"/>
      <c r="V9" s="509"/>
      <c r="W9" s="509"/>
      <c r="X9" s="509"/>
      <c r="Y9" s="509"/>
      <c r="Z9" s="509"/>
      <c r="AA9" s="509"/>
      <c r="AB9" s="509"/>
      <c r="AC9" s="509"/>
      <c r="AD9" s="509"/>
      <c r="AE9" s="509"/>
      <c r="AF9" s="509" t="s">
        <v>283</v>
      </c>
      <c r="AG9" s="509"/>
      <c r="AH9" s="509"/>
      <c r="AI9" s="509"/>
      <c r="AJ9" s="509"/>
      <c r="AK9" s="509"/>
      <c r="AL9" s="509"/>
      <c r="AM9" s="509"/>
      <c r="AN9" s="509"/>
      <c r="AO9" s="509"/>
      <c r="AP9" s="509"/>
      <c r="AQ9" s="509"/>
      <c r="AR9" s="509"/>
      <c r="AS9" s="509"/>
      <c r="AT9" s="509"/>
      <c r="AU9" s="509" t="s">
        <v>284</v>
      </c>
      <c r="AV9" s="509"/>
      <c r="AW9" s="509" t="s">
        <v>285</v>
      </c>
      <c r="AX9" s="509"/>
      <c r="AY9" s="525" t="s">
        <v>1045</v>
      </c>
      <c r="AZ9" s="525" t="s">
        <v>1046</v>
      </c>
      <c r="BA9" s="525" t="s">
        <v>1047</v>
      </c>
      <c r="BB9" s="525" t="s">
        <v>1048</v>
      </c>
    </row>
    <row r="10" spans="1:54" s="7" customFormat="1" ht="19.95" customHeight="1">
      <c r="A10" s="523"/>
      <c r="B10" s="523"/>
      <c r="C10" s="523"/>
      <c r="D10" s="524" t="s">
        <v>286</v>
      </c>
      <c r="E10" s="524"/>
      <c r="F10" s="524"/>
      <c r="G10" s="524"/>
      <c r="H10" s="524"/>
      <c r="I10" s="524"/>
      <c r="J10" s="519" t="s">
        <v>287</v>
      </c>
      <c r="K10" s="519" t="s">
        <v>288</v>
      </c>
      <c r="L10" s="519"/>
      <c r="M10" s="519" t="s">
        <v>289</v>
      </c>
      <c r="N10" s="519"/>
      <c r="O10" s="519"/>
      <c r="P10" s="519"/>
      <c r="Q10" s="509" t="s">
        <v>290</v>
      </c>
      <c r="R10" s="509"/>
      <c r="S10" s="509"/>
      <c r="T10" s="509"/>
      <c r="U10" s="509"/>
      <c r="V10" s="509"/>
      <c r="W10" s="519" t="s">
        <v>291</v>
      </c>
      <c r="X10" s="519" t="s">
        <v>292</v>
      </c>
      <c r="Y10" s="519"/>
      <c r="Z10" s="519"/>
      <c r="AA10" s="519"/>
      <c r="AB10" s="519" t="s">
        <v>293</v>
      </c>
      <c r="AC10" s="519"/>
      <c r="AD10" s="519"/>
      <c r="AE10" s="519"/>
      <c r="AF10" s="509" t="s">
        <v>286</v>
      </c>
      <c r="AG10" s="509"/>
      <c r="AH10" s="509"/>
      <c r="AI10" s="509"/>
      <c r="AJ10" s="509"/>
      <c r="AK10" s="509"/>
      <c r="AL10" s="519" t="s">
        <v>294</v>
      </c>
      <c r="AM10" s="519" t="s">
        <v>288</v>
      </c>
      <c r="AN10" s="519"/>
      <c r="AO10" s="519"/>
      <c r="AP10" s="519"/>
      <c r="AQ10" s="519" t="s">
        <v>293</v>
      </c>
      <c r="AR10" s="519"/>
      <c r="AS10" s="519"/>
      <c r="AT10" s="519"/>
      <c r="AU10" s="509"/>
      <c r="AV10" s="509"/>
      <c r="AW10" s="509"/>
      <c r="AX10" s="509"/>
      <c r="AY10" s="525"/>
      <c r="AZ10" s="525"/>
      <c r="BA10" s="525"/>
      <c r="BB10" s="525"/>
    </row>
    <row r="11" spans="1:54" s="7" customFormat="1" ht="19.95" customHeight="1">
      <c r="A11" s="523"/>
      <c r="B11" s="523"/>
      <c r="C11" s="523"/>
      <c r="D11" s="519" t="s">
        <v>295</v>
      </c>
      <c r="E11" s="509" t="s">
        <v>296</v>
      </c>
      <c r="F11" s="509"/>
      <c r="G11" s="509" t="s">
        <v>297</v>
      </c>
      <c r="H11" s="509"/>
      <c r="I11" s="509" t="s">
        <v>298</v>
      </c>
      <c r="J11" s="519"/>
      <c r="K11" s="519" t="s">
        <v>299</v>
      </c>
      <c r="L11" s="519" t="s">
        <v>300</v>
      </c>
      <c r="M11" s="519" t="s">
        <v>295</v>
      </c>
      <c r="N11" s="519" t="s">
        <v>296</v>
      </c>
      <c r="O11" s="519" t="s">
        <v>301</v>
      </c>
      <c r="P11" s="519" t="s">
        <v>302</v>
      </c>
      <c r="Q11" s="519" t="s">
        <v>303</v>
      </c>
      <c r="R11" s="509" t="s">
        <v>23</v>
      </c>
      <c r="S11" s="509"/>
      <c r="T11" s="509" t="s">
        <v>304</v>
      </c>
      <c r="U11" s="509"/>
      <c r="V11" s="519" t="s">
        <v>305</v>
      </c>
      <c r="W11" s="519"/>
      <c r="X11" s="509" t="s">
        <v>23</v>
      </c>
      <c r="Y11" s="509"/>
      <c r="Z11" s="509" t="s">
        <v>304</v>
      </c>
      <c r="AA11" s="509"/>
      <c r="AB11" s="519" t="s">
        <v>306</v>
      </c>
      <c r="AC11" s="509" t="s">
        <v>23</v>
      </c>
      <c r="AD11" s="509" t="s">
        <v>307</v>
      </c>
      <c r="AE11" s="519" t="s">
        <v>308</v>
      </c>
      <c r="AF11" s="519" t="s">
        <v>309</v>
      </c>
      <c r="AG11" s="509" t="s">
        <v>23</v>
      </c>
      <c r="AH11" s="509"/>
      <c r="AI11" s="509" t="s">
        <v>304</v>
      </c>
      <c r="AJ11" s="509"/>
      <c r="AK11" s="519" t="s">
        <v>305</v>
      </c>
      <c r="AL11" s="519"/>
      <c r="AM11" s="509" t="s">
        <v>23</v>
      </c>
      <c r="AN11" s="509"/>
      <c r="AO11" s="509" t="s">
        <v>304</v>
      </c>
      <c r="AP11" s="509"/>
      <c r="AQ11" s="519" t="s">
        <v>306</v>
      </c>
      <c r="AR11" s="519" t="s">
        <v>299</v>
      </c>
      <c r="AS11" s="519" t="s">
        <v>310</v>
      </c>
      <c r="AT11" s="519" t="s">
        <v>305</v>
      </c>
      <c r="AU11" s="518" t="s">
        <v>311</v>
      </c>
      <c r="AV11" s="518" t="s">
        <v>312</v>
      </c>
      <c r="AW11" s="518" t="s">
        <v>311</v>
      </c>
      <c r="AX11" s="518" t="s">
        <v>312</v>
      </c>
      <c r="AY11" s="525"/>
      <c r="AZ11" s="525"/>
      <c r="BA11" s="525"/>
      <c r="BB11" s="525"/>
    </row>
    <row r="12" spans="1:54" ht="19.95" customHeight="1">
      <c r="A12" s="523"/>
      <c r="B12" s="523"/>
      <c r="C12" s="523"/>
      <c r="D12" s="519"/>
      <c r="E12" s="171" t="s">
        <v>313</v>
      </c>
      <c r="F12" s="204" t="s">
        <v>314</v>
      </c>
      <c r="G12" s="171" t="s">
        <v>315</v>
      </c>
      <c r="H12" s="204" t="s">
        <v>316</v>
      </c>
      <c r="I12" s="509"/>
      <c r="J12" s="519"/>
      <c r="K12" s="519"/>
      <c r="L12" s="519"/>
      <c r="M12" s="519"/>
      <c r="N12" s="519"/>
      <c r="O12" s="519"/>
      <c r="P12" s="519"/>
      <c r="Q12" s="519"/>
      <c r="R12" s="171" t="s">
        <v>317</v>
      </c>
      <c r="S12" s="171" t="s">
        <v>24</v>
      </c>
      <c r="T12" s="171" t="s">
        <v>318</v>
      </c>
      <c r="U12" s="171" t="s">
        <v>319</v>
      </c>
      <c r="V12" s="519"/>
      <c r="W12" s="519"/>
      <c r="X12" s="171" t="s">
        <v>317</v>
      </c>
      <c r="Y12" s="171" t="s">
        <v>24</v>
      </c>
      <c r="Z12" s="171" t="s">
        <v>318</v>
      </c>
      <c r="AA12" s="171" t="s">
        <v>319</v>
      </c>
      <c r="AB12" s="519"/>
      <c r="AC12" s="509"/>
      <c r="AD12" s="509"/>
      <c r="AE12" s="519"/>
      <c r="AF12" s="519"/>
      <c r="AG12" s="171" t="s">
        <v>320</v>
      </c>
      <c r="AH12" s="171" t="s">
        <v>24</v>
      </c>
      <c r="AI12" s="171" t="s">
        <v>318</v>
      </c>
      <c r="AJ12" s="171" t="s">
        <v>319</v>
      </c>
      <c r="AK12" s="519"/>
      <c r="AL12" s="519"/>
      <c r="AM12" s="171" t="s">
        <v>320</v>
      </c>
      <c r="AN12" s="171" t="s">
        <v>24</v>
      </c>
      <c r="AO12" s="171" t="s">
        <v>318</v>
      </c>
      <c r="AP12" s="171" t="s">
        <v>319</v>
      </c>
      <c r="AQ12" s="519"/>
      <c r="AR12" s="519"/>
      <c r="AS12" s="519"/>
      <c r="AT12" s="519"/>
      <c r="AU12" s="518"/>
      <c r="AV12" s="518"/>
      <c r="AW12" s="518"/>
      <c r="AX12" s="518"/>
      <c r="AY12" s="525"/>
      <c r="AZ12" s="525"/>
      <c r="BA12" s="525"/>
      <c r="BB12" s="525"/>
    </row>
    <row r="13" spans="1:54" ht="19.95" customHeight="1">
      <c r="A13" s="80"/>
      <c r="B13" s="286"/>
      <c r="C13" s="81"/>
      <c r="D13" s="60"/>
      <c r="E13" s="60"/>
      <c r="F13" s="287"/>
      <c r="G13" s="60"/>
      <c r="H13" s="287"/>
      <c r="I13" s="149">
        <f>SUM(D13:E13)-G13</f>
        <v>0</v>
      </c>
      <c r="J13" s="60"/>
      <c r="K13" s="60"/>
      <c r="L13" s="60"/>
      <c r="M13" s="149">
        <f>D13+J13</f>
        <v>0</v>
      </c>
      <c r="N13" s="149">
        <f>E13+K13</f>
        <v>0</v>
      </c>
      <c r="O13" s="149">
        <f>G13+L13</f>
        <v>0</v>
      </c>
      <c r="P13" s="149">
        <f>M13+N13-O13</f>
        <v>0</v>
      </c>
      <c r="Q13" s="60"/>
      <c r="R13" s="60"/>
      <c r="S13" s="60"/>
      <c r="T13" s="60"/>
      <c r="U13" s="60"/>
      <c r="V13" s="149">
        <f>SUM(Q13:S13)-SUM(T13:U13)</f>
        <v>0</v>
      </c>
      <c r="W13" s="60"/>
      <c r="X13" s="60"/>
      <c r="Y13" s="60"/>
      <c r="Z13" s="60"/>
      <c r="AA13" s="60"/>
      <c r="AB13" s="149">
        <f>Q13+W13</f>
        <v>0</v>
      </c>
      <c r="AC13" s="149">
        <f>R13+S13+X13+Y13</f>
        <v>0</v>
      </c>
      <c r="AD13" s="149">
        <f>T13+U13+AA13+Z13</f>
        <v>0</v>
      </c>
      <c r="AE13" s="149">
        <f>AB13+AC13-AD13</f>
        <v>0</v>
      </c>
      <c r="AF13" s="60"/>
      <c r="AG13" s="60"/>
      <c r="AH13" s="60"/>
      <c r="AI13" s="60"/>
      <c r="AJ13" s="60"/>
      <c r="AK13" s="149">
        <f>SUM(AF13:AH13)-SUM(AI13:AJ13)</f>
        <v>0</v>
      </c>
      <c r="AL13" s="60"/>
      <c r="AM13" s="60"/>
      <c r="AN13" s="60"/>
      <c r="AO13" s="60"/>
      <c r="AP13" s="60"/>
      <c r="AQ13" s="149">
        <f>AF13+AL13</f>
        <v>0</v>
      </c>
      <c r="AR13" s="149">
        <f>AG13+AH13+AM13+AN13</f>
        <v>0</v>
      </c>
      <c r="AS13" s="149">
        <f>AI13+AJ13+AP13+AO13</f>
        <v>0</v>
      </c>
      <c r="AT13" s="149">
        <f>AQ13+AR13-AS13</f>
        <v>0</v>
      </c>
      <c r="AU13" s="149">
        <f>D13-Q13-AF13</f>
        <v>0</v>
      </c>
      <c r="AV13" s="149">
        <f>M13-AB13-AQ13</f>
        <v>0</v>
      </c>
      <c r="AW13" s="149">
        <f>I13-V13-AK13</f>
        <v>0</v>
      </c>
      <c r="AX13" s="149">
        <f>P13-AE13-AT13</f>
        <v>0</v>
      </c>
      <c r="AY13" s="288"/>
      <c r="AZ13" s="288"/>
      <c r="BA13" s="288"/>
      <c r="BB13" s="288"/>
    </row>
    <row r="14" spans="1:54" ht="19.95" customHeight="1">
      <c r="A14" s="80"/>
      <c r="B14" s="286"/>
      <c r="C14" s="81"/>
      <c r="D14" s="60"/>
      <c r="E14" s="60"/>
      <c r="F14" s="287"/>
      <c r="G14" s="60"/>
      <c r="H14" s="287"/>
      <c r="I14" s="149">
        <f t="shared" ref="I14:I16" si="0">SUM(D14:E14)-G14</f>
        <v>0</v>
      </c>
      <c r="J14" s="60"/>
      <c r="K14" s="60"/>
      <c r="L14" s="60"/>
      <c r="M14" s="149">
        <f t="shared" ref="M14:N16" si="1">D14+J14</f>
        <v>0</v>
      </c>
      <c r="N14" s="149">
        <f t="shared" si="1"/>
        <v>0</v>
      </c>
      <c r="O14" s="149">
        <f t="shared" ref="O14:O32" si="2">G14+L14</f>
        <v>0</v>
      </c>
      <c r="P14" s="149">
        <f t="shared" ref="P14:P16" si="3">M14+N14-O14</f>
        <v>0</v>
      </c>
      <c r="Q14" s="60"/>
      <c r="R14" s="60"/>
      <c r="S14" s="60"/>
      <c r="T14" s="60"/>
      <c r="U14" s="60"/>
      <c r="V14" s="149">
        <f t="shared" ref="V14:V32" si="4">SUM(Q14:S14)-SUM(T14:U14)</f>
        <v>0</v>
      </c>
      <c r="W14" s="60"/>
      <c r="X14" s="60"/>
      <c r="Y14" s="60"/>
      <c r="Z14" s="60"/>
      <c r="AA14" s="60"/>
      <c r="AB14" s="149">
        <f t="shared" ref="AB14:AB32" si="5">Q14+W14</f>
        <v>0</v>
      </c>
      <c r="AC14" s="149">
        <f t="shared" ref="AC14:AC32" si="6">R14+S14+X14+Y14</f>
        <v>0</v>
      </c>
      <c r="AD14" s="149">
        <f t="shared" ref="AD14:AD32" si="7">T14+U14+AA14+Z14</f>
        <v>0</v>
      </c>
      <c r="AE14" s="149">
        <f t="shared" ref="AE14:AE32" si="8">AB14+AC14-AD14</f>
        <v>0</v>
      </c>
      <c r="AF14" s="60"/>
      <c r="AG14" s="60"/>
      <c r="AH14" s="60"/>
      <c r="AI14" s="60"/>
      <c r="AJ14" s="60"/>
      <c r="AK14" s="149">
        <f t="shared" ref="AK14:AK32" si="9">SUM(AF14:AH14)-SUM(AI14:AJ14)</f>
        <v>0</v>
      </c>
      <c r="AL14" s="60"/>
      <c r="AM14" s="60"/>
      <c r="AN14" s="60"/>
      <c r="AO14" s="60"/>
      <c r="AP14" s="60"/>
      <c r="AQ14" s="149">
        <f t="shared" ref="AQ14:AQ32" si="10">AF14+AL14</f>
        <v>0</v>
      </c>
      <c r="AR14" s="149">
        <f t="shared" ref="AR14:AR32" si="11">AG14+AH14+AM14+AN14</f>
        <v>0</v>
      </c>
      <c r="AS14" s="149">
        <f t="shared" ref="AS14:AS32" si="12">AI14+AJ14+AP14+AO14</f>
        <v>0</v>
      </c>
      <c r="AT14" s="149">
        <f t="shared" ref="AT14:AT32" si="13">AQ14+AR14-AS14</f>
        <v>0</v>
      </c>
      <c r="AU14" s="149">
        <f t="shared" ref="AU14:AU32" si="14">D14-Q14-AF14</f>
        <v>0</v>
      </c>
      <c r="AV14" s="149">
        <f t="shared" ref="AV14:AV32" si="15">M14-AB14-AQ14</f>
        <v>0</v>
      </c>
      <c r="AW14" s="149">
        <f t="shared" ref="AW14:AW32" si="16">I14-V14-AK14</f>
        <v>0</v>
      </c>
      <c r="AX14" s="149">
        <f t="shared" ref="AX14:AX32" si="17">P14-AE14-AT14</f>
        <v>0</v>
      </c>
      <c r="AY14" s="288"/>
      <c r="AZ14" s="288"/>
      <c r="BA14" s="288"/>
      <c r="BB14" s="288"/>
    </row>
    <row r="15" spans="1:54" ht="19.95" customHeight="1">
      <c r="A15" s="80"/>
      <c r="B15" s="286"/>
      <c r="C15" s="81"/>
      <c r="D15" s="60"/>
      <c r="E15" s="60"/>
      <c r="F15" s="287"/>
      <c r="G15" s="60"/>
      <c r="H15" s="287"/>
      <c r="I15" s="149">
        <f t="shared" si="0"/>
        <v>0</v>
      </c>
      <c r="J15" s="60"/>
      <c r="K15" s="60"/>
      <c r="L15" s="60"/>
      <c r="M15" s="149">
        <f t="shared" si="1"/>
        <v>0</v>
      </c>
      <c r="N15" s="149">
        <f t="shared" si="1"/>
        <v>0</v>
      </c>
      <c r="O15" s="149">
        <f t="shared" si="2"/>
        <v>0</v>
      </c>
      <c r="P15" s="149">
        <f t="shared" si="3"/>
        <v>0</v>
      </c>
      <c r="Q15" s="60"/>
      <c r="R15" s="60"/>
      <c r="S15" s="60"/>
      <c r="T15" s="60"/>
      <c r="U15" s="60"/>
      <c r="V15" s="149">
        <f t="shared" si="4"/>
        <v>0</v>
      </c>
      <c r="W15" s="60"/>
      <c r="X15" s="60"/>
      <c r="Y15" s="60"/>
      <c r="Z15" s="60"/>
      <c r="AA15" s="60"/>
      <c r="AB15" s="149">
        <f t="shared" si="5"/>
        <v>0</v>
      </c>
      <c r="AC15" s="149">
        <f t="shared" si="6"/>
        <v>0</v>
      </c>
      <c r="AD15" s="149">
        <f t="shared" si="7"/>
        <v>0</v>
      </c>
      <c r="AE15" s="149">
        <f t="shared" si="8"/>
        <v>0</v>
      </c>
      <c r="AF15" s="60"/>
      <c r="AG15" s="60"/>
      <c r="AH15" s="60"/>
      <c r="AI15" s="60"/>
      <c r="AJ15" s="60"/>
      <c r="AK15" s="149">
        <f t="shared" si="9"/>
        <v>0</v>
      </c>
      <c r="AL15" s="60"/>
      <c r="AM15" s="60"/>
      <c r="AN15" s="60"/>
      <c r="AO15" s="60"/>
      <c r="AP15" s="60"/>
      <c r="AQ15" s="149">
        <f t="shared" si="10"/>
        <v>0</v>
      </c>
      <c r="AR15" s="149">
        <f t="shared" si="11"/>
        <v>0</v>
      </c>
      <c r="AS15" s="149">
        <f t="shared" si="12"/>
        <v>0</v>
      </c>
      <c r="AT15" s="149">
        <f t="shared" si="13"/>
        <v>0</v>
      </c>
      <c r="AU15" s="149">
        <f t="shared" si="14"/>
        <v>0</v>
      </c>
      <c r="AV15" s="149">
        <f t="shared" si="15"/>
        <v>0</v>
      </c>
      <c r="AW15" s="149">
        <f t="shared" si="16"/>
        <v>0</v>
      </c>
      <c r="AX15" s="149">
        <f t="shared" si="17"/>
        <v>0</v>
      </c>
      <c r="AY15" s="288"/>
      <c r="AZ15" s="288"/>
      <c r="BA15" s="288"/>
      <c r="BB15" s="288"/>
    </row>
    <row r="16" spans="1:54" ht="19.95" customHeight="1">
      <c r="A16" s="80"/>
      <c r="B16" s="286"/>
      <c r="C16" s="81"/>
      <c r="D16" s="60"/>
      <c r="E16" s="60"/>
      <c r="F16" s="287"/>
      <c r="G16" s="60"/>
      <c r="H16" s="287"/>
      <c r="I16" s="149">
        <f t="shared" si="0"/>
        <v>0</v>
      </c>
      <c r="J16" s="60"/>
      <c r="K16" s="60"/>
      <c r="L16" s="60"/>
      <c r="M16" s="149">
        <f t="shared" si="1"/>
        <v>0</v>
      </c>
      <c r="N16" s="149">
        <f t="shared" si="1"/>
        <v>0</v>
      </c>
      <c r="O16" s="149">
        <f t="shared" si="2"/>
        <v>0</v>
      </c>
      <c r="P16" s="149">
        <f t="shared" si="3"/>
        <v>0</v>
      </c>
      <c r="Q16" s="60"/>
      <c r="R16" s="60"/>
      <c r="S16" s="60"/>
      <c r="T16" s="60"/>
      <c r="U16" s="60"/>
      <c r="V16" s="149">
        <f t="shared" si="4"/>
        <v>0</v>
      </c>
      <c r="W16" s="60"/>
      <c r="X16" s="60"/>
      <c r="Y16" s="60"/>
      <c r="Z16" s="60"/>
      <c r="AA16" s="60"/>
      <c r="AB16" s="149">
        <f t="shared" si="5"/>
        <v>0</v>
      </c>
      <c r="AC16" s="149">
        <f t="shared" si="6"/>
        <v>0</v>
      </c>
      <c r="AD16" s="149">
        <f t="shared" si="7"/>
        <v>0</v>
      </c>
      <c r="AE16" s="149">
        <f t="shared" si="8"/>
        <v>0</v>
      </c>
      <c r="AF16" s="60"/>
      <c r="AG16" s="60"/>
      <c r="AH16" s="60"/>
      <c r="AI16" s="60"/>
      <c r="AJ16" s="60"/>
      <c r="AK16" s="149">
        <f t="shared" si="9"/>
        <v>0</v>
      </c>
      <c r="AL16" s="60"/>
      <c r="AM16" s="60"/>
      <c r="AN16" s="60"/>
      <c r="AO16" s="60"/>
      <c r="AP16" s="60"/>
      <c r="AQ16" s="149">
        <f t="shared" si="10"/>
        <v>0</v>
      </c>
      <c r="AR16" s="149">
        <f t="shared" si="11"/>
        <v>0</v>
      </c>
      <c r="AS16" s="149">
        <f t="shared" si="12"/>
        <v>0</v>
      </c>
      <c r="AT16" s="149">
        <f t="shared" si="13"/>
        <v>0</v>
      </c>
      <c r="AU16" s="149">
        <f t="shared" si="14"/>
        <v>0</v>
      </c>
      <c r="AV16" s="149">
        <f t="shared" si="15"/>
        <v>0</v>
      </c>
      <c r="AW16" s="149">
        <f t="shared" si="16"/>
        <v>0</v>
      </c>
      <c r="AX16" s="149">
        <f t="shared" si="17"/>
        <v>0</v>
      </c>
      <c r="AY16" s="288"/>
      <c r="AZ16" s="288"/>
      <c r="BA16" s="288"/>
      <c r="BB16" s="288"/>
    </row>
    <row r="17" spans="1:54" ht="19.95" customHeight="1">
      <c r="A17" s="80"/>
      <c r="B17" s="286"/>
      <c r="C17" s="81"/>
      <c r="D17" s="60"/>
      <c r="E17" s="60"/>
      <c r="F17" s="287"/>
      <c r="G17" s="60"/>
      <c r="H17" s="287"/>
      <c r="I17" s="149">
        <f t="shared" ref="I17:I32" si="18">SUM(D17:E17)-G17</f>
        <v>0</v>
      </c>
      <c r="J17" s="60"/>
      <c r="K17" s="60"/>
      <c r="L17" s="60"/>
      <c r="M17" s="149">
        <f t="shared" ref="M17:N20" si="19">D17+J17</f>
        <v>0</v>
      </c>
      <c r="N17" s="149">
        <f t="shared" si="19"/>
        <v>0</v>
      </c>
      <c r="O17" s="149">
        <f>G17+L17</f>
        <v>0</v>
      </c>
      <c r="P17" s="149">
        <f>M17+N17-O17</f>
        <v>0</v>
      </c>
      <c r="Q17" s="60"/>
      <c r="R17" s="60"/>
      <c r="S17" s="60"/>
      <c r="T17" s="60"/>
      <c r="U17" s="60"/>
      <c r="V17" s="149">
        <f t="shared" si="4"/>
        <v>0</v>
      </c>
      <c r="W17" s="60"/>
      <c r="X17" s="60"/>
      <c r="Y17" s="60"/>
      <c r="Z17" s="60"/>
      <c r="AA17" s="60"/>
      <c r="AB17" s="149">
        <f t="shared" si="5"/>
        <v>0</v>
      </c>
      <c r="AC17" s="149">
        <f t="shared" si="6"/>
        <v>0</v>
      </c>
      <c r="AD17" s="149">
        <f t="shared" si="7"/>
        <v>0</v>
      </c>
      <c r="AE17" s="149">
        <f t="shared" si="8"/>
        <v>0</v>
      </c>
      <c r="AF17" s="60"/>
      <c r="AG17" s="60"/>
      <c r="AH17" s="60"/>
      <c r="AI17" s="60"/>
      <c r="AJ17" s="60"/>
      <c r="AK17" s="149">
        <f t="shared" si="9"/>
        <v>0</v>
      </c>
      <c r="AL17" s="60"/>
      <c r="AM17" s="60"/>
      <c r="AN17" s="60"/>
      <c r="AO17" s="60"/>
      <c r="AP17" s="60"/>
      <c r="AQ17" s="149">
        <f t="shared" si="10"/>
        <v>0</v>
      </c>
      <c r="AR17" s="149">
        <f t="shared" si="11"/>
        <v>0</v>
      </c>
      <c r="AS17" s="149">
        <f t="shared" si="12"/>
        <v>0</v>
      </c>
      <c r="AT17" s="149">
        <f t="shared" si="13"/>
        <v>0</v>
      </c>
      <c r="AU17" s="149">
        <f t="shared" si="14"/>
        <v>0</v>
      </c>
      <c r="AV17" s="149">
        <f t="shared" si="15"/>
        <v>0</v>
      </c>
      <c r="AW17" s="149">
        <f t="shared" si="16"/>
        <v>0</v>
      </c>
      <c r="AX17" s="149">
        <f t="shared" si="17"/>
        <v>0</v>
      </c>
      <c r="AY17" s="288"/>
      <c r="AZ17" s="288"/>
      <c r="BA17" s="288"/>
      <c r="BB17" s="288"/>
    </row>
    <row r="18" spans="1:54" ht="19.95" customHeight="1">
      <c r="A18" s="80"/>
      <c r="B18" s="286"/>
      <c r="C18" s="81"/>
      <c r="D18" s="60"/>
      <c r="E18" s="60"/>
      <c r="F18" s="287"/>
      <c r="G18" s="60"/>
      <c r="H18" s="287"/>
      <c r="I18" s="149">
        <f t="shared" si="18"/>
        <v>0</v>
      </c>
      <c r="J18" s="60"/>
      <c r="K18" s="60"/>
      <c r="L18" s="60"/>
      <c r="M18" s="149">
        <f t="shared" si="19"/>
        <v>0</v>
      </c>
      <c r="N18" s="149">
        <f t="shared" si="19"/>
        <v>0</v>
      </c>
      <c r="O18" s="149">
        <f t="shared" si="2"/>
        <v>0</v>
      </c>
      <c r="P18" s="149">
        <f t="shared" ref="P18:P20" si="20">M18+N18-O18</f>
        <v>0</v>
      </c>
      <c r="Q18" s="60"/>
      <c r="R18" s="60"/>
      <c r="S18" s="60"/>
      <c r="T18" s="60"/>
      <c r="U18" s="60"/>
      <c r="V18" s="149">
        <f t="shared" si="4"/>
        <v>0</v>
      </c>
      <c r="W18" s="60"/>
      <c r="X18" s="60"/>
      <c r="Y18" s="60"/>
      <c r="Z18" s="60"/>
      <c r="AA18" s="60"/>
      <c r="AB18" s="149">
        <f t="shared" si="5"/>
        <v>0</v>
      </c>
      <c r="AC18" s="149">
        <f t="shared" si="6"/>
        <v>0</v>
      </c>
      <c r="AD18" s="149">
        <f t="shared" si="7"/>
        <v>0</v>
      </c>
      <c r="AE18" s="149">
        <f t="shared" si="8"/>
        <v>0</v>
      </c>
      <c r="AF18" s="60"/>
      <c r="AG18" s="60"/>
      <c r="AH18" s="60"/>
      <c r="AI18" s="60"/>
      <c r="AJ18" s="60"/>
      <c r="AK18" s="149">
        <f t="shared" si="9"/>
        <v>0</v>
      </c>
      <c r="AL18" s="60"/>
      <c r="AM18" s="60"/>
      <c r="AN18" s="60"/>
      <c r="AO18" s="60"/>
      <c r="AP18" s="60"/>
      <c r="AQ18" s="149">
        <f t="shared" si="10"/>
        <v>0</v>
      </c>
      <c r="AR18" s="149">
        <f t="shared" si="11"/>
        <v>0</v>
      </c>
      <c r="AS18" s="149">
        <f t="shared" si="12"/>
        <v>0</v>
      </c>
      <c r="AT18" s="149">
        <f t="shared" si="13"/>
        <v>0</v>
      </c>
      <c r="AU18" s="149">
        <f t="shared" si="14"/>
        <v>0</v>
      </c>
      <c r="AV18" s="149">
        <f t="shared" si="15"/>
        <v>0</v>
      </c>
      <c r="AW18" s="149">
        <f t="shared" si="16"/>
        <v>0</v>
      </c>
      <c r="AX18" s="149">
        <f t="shared" si="17"/>
        <v>0</v>
      </c>
      <c r="AY18" s="288"/>
      <c r="AZ18" s="288"/>
      <c r="BA18" s="288"/>
      <c r="BB18" s="288"/>
    </row>
    <row r="19" spans="1:54" ht="19.95" customHeight="1">
      <c r="A19" s="80"/>
      <c r="B19" s="286"/>
      <c r="C19" s="81"/>
      <c r="D19" s="60"/>
      <c r="E19" s="60"/>
      <c r="F19" s="287"/>
      <c r="G19" s="60"/>
      <c r="H19" s="287"/>
      <c r="I19" s="149">
        <f t="shared" si="18"/>
        <v>0</v>
      </c>
      <c r="J19" s="60"/>
      <c r="K19" s="60"/>
      <c r="L19" s="60"/>
      <c r="M19" s="149">
        <f t="shared" si="19"/>
        <v>0</v>
      </c>
      <c r="N19" s="149">
        <f t="shared" si="19"/>
        <v>0</v>
      </c>
      <c r="O19" s="149">
        <f t="shared" si="2"/>
        <v>0</v>
      </c>
      <c r="P19" s="149">
        <f t="shared" si="20"/>
        <v>0</v>
      </c>
      <c r="Q19" s="60"/>
      <c r="R19" s="60"/>
      <c r="S19" s="60"/>
      <c r="T19" s="60"/>
      <c r="U19" s="60"/>
      <c r="V19" s="149">
        <f t="shared" si="4"/>
        <v>0</v>
      </c>
      <c r="W19" s="60"/>
      <c r="X19" s="60"/>
      <c r="Y19" s="60"/>
      <c r="Z19" s="60"/>
      <c r="AA19" s="60"/>
      <c r="AB19" s="149">
        <f t="shared" si="5"/>
        <v>0</v>
      </c>
      <c r="AC19" s="149">
        <f t="shared" si="6"/>
        <v>0</v>
      </c>
      <c r="AD19" s="149">
        <f t="shared" si="7"/>
        <v>0</v>
      </c>
      <c r="AE19" s="149">
        <f t="shared" si="8"/>
        <v>0</v>
      </c>
      <c r="AF19" s="60"/>
      <c r="AG19" s="60"/>
      <c r="AH19" s="60"/>
      <c r="AI19" s="60"/>
      <c r="AJ19" s="60"/>
      <c r="AK19" s="149">
        <f t="shared" si="9"/>
        <v>0</v>
      </c>
      <c r="AL19" s="60"/>
      <c r="AM19" s="60"/>
      <c r="AN19" s="60"/>
      <c r="AO19" s="60"/>
      <c r="AP19" s="60"/>
      <c r="AQ19" s="149">
        <f t="shared" si="10"/>
        <v>0</v>
      </c>
      <c r="AR19" s="149">
        <f t="shared" si="11"/>
        <v>0</v>
      </c>
      <c r="AS19" s="149">
        <f t="shared" si="12"/>
        <v>0</v>
      </c>
      <c r="AT19" s="149">
        <f t="shared" si="13"/>
        <v>0</v>
      </c>
      <c r="AU19" s="149">
        <f t="shared" si="14"/>
        <v>0</v>
      </c>
      <c r="AV19" s="149">
        <f t="shared" si="15"/>
        <v>0</v>
      </c>
      <c r="AW19" s="149">
        <f t="shared" si="16"/>
        <v>0</v>
      </c>
      <c r="AX19" s="149">
        <f t="shared" si="17"/>
        <v>0</v>
      </c>
      <c r="AY19" s="288"/>
      <c r="AZ19" s="288"/>
      <c r="BA19" s="288"/>
      <c r="BB19" s="288"/>
    </row>
    <row r="20" spans="1:54" ht="19.95" customHeight="1">
      <c r="A20" s="80"/>
      <c r="B20" s="286"/>
      <c r="C20" s="81"/>
      <c r="D20" s="60"/>
      <c r="E20" s="60"/>
      <c r="F20" s="287"/>
      <c r="G20" s="60"/>
      <c r="H20" s="287"/>
      <c r="I20" s="149">
        <f t="shared" si="18"/>
        <v>0</v>
      </c>
      <c r="J20" s="60"/>
      <c r="K20" s="60"/>
      <c r="L20" s="60"/>
      <c r="M20" s="149">
        <f t="shared" si="19"/>
        <v>0</v>
      </c>
      <c r="N20" s="149">
        <f t="shared" si="19"/>
        <v>0</v>
      </c>
      <c r="O20" s="149">
        <f t="shared" si="2"/>
        <v>0</v>
      </c>
      <c r="P20" s="149">
        <f t="shared" si="20"/>
        <v>0</v>
      </c>
      <c r="Q20" s="60"/>
      <c r="R20" s="60"/>
      <c r="S20" s="60"/>
      <c r="T20" s="60"/>
      <c r="U20" s="60"/>
      <c r="V20" s="149">
        <f t="shared" si="4"/>
        <v>0</v>
      </c>
      <c r="W20" s="60"/>
      <c r="X20" s="60"/>
      <c r="Y20" s="60"/>
      <c r="Z20" s="60"/>
      <c r="AA20" s="60"/>
      <c r="AB20" s="149">
        <f t="shared" si="5"/>
        <v>0</v>
      </c>
      <c r="AC20" s="149">
        <f t="shared" si="6"/>
        <v>0</v>
      </c>
      <c r="AD20" s="149">
        <f t="shared" si="7"/>
        <v>0</v>
      </c>
      <c r="AE20" s="149">
        <f t="shared" si="8"/>
        <v>0</v>
      </c>
      <c r="AF20" s="60"/>
      <c r="AG20" s="60"/>
      <c r="AH20" s="60"/>
      <c r="AI20" s="60"/>
      <c r="AJ20" s="60"/>
      <c r="AK20" s="149">
        <f t="shared" si="9"/>
        <v>0</v>
      </c>
      <c r="AL20" s="60"/>
      <c r="AM20" s="60"/>
      <c r="AN20" s="60"/>
      <c r="AO20" s="60"/>
      <c r="AP20" s="60"/>
      <c r="AQ20" s="149">
        <f t="shared" si="10"/>
        <v>0</v>
      </c>
      <c r="AR20" s="149">
        <f t="shared" si="11"/>
        <v>0</v>
      </c>
      <c r="AS20" s="149">
        <f t="shared" si="12"/>
        <v>0</v>
      </c>
      <c r="AT20" s="149">
        <f t="shared" si="13"/>
        <v>0</v>
      </c>
      <c r="AU20" s="149">
        <f t="shared" si="14"/>
        <v>0</v>
      </c>
      <c r="AV20" s="149">
        <f t="shared" si="15"/>
        <v>0</v>
      </c>
      <c r="AW20" s="149">
        <f t="shared" si="16"/>
        <v>0</v>
      </c>
      <c r="AX20" s="149">
        <f t="shared" si="17"/>
        <v>0</v>
      </c>
      <c r="AY20" s="288"/>
      <c r="AZ20" s="288"/>
      <c r="BA20" s="288"/>
      <c r="BB20" s="288"/>
    </row>
    <row r="21" spans="1:54" ht="19.95" customHeight="1">
      <c r="A21" s="80"/>
      <c r="B21" s="286"/>
      <c r="C21" s="81"/>
      <c r="D21" s="60"/>
      <c r="E21" s="60"/>
      <c r="F21" s="287"/>
      <c r="G21" s="60"/>
      <c r="H21" s="287"/>
      <c r="I21" s="149">
        <f t="shared" si="18"/>
        <v>0</v>
      </c>
      <c r="J21" s="60"/>
      <c r="K21" s="60"/>
      <c r="L21" s="60"/>
      <c r="M21" s="149">
        <f t="shared" ref="M21:N24" si="21">D21+J21</f>
        <v>0</v>
      </c>
      <c r="N21" s="149">
        <f t="shared" si="21"/>
        <v>0</v>
      </c>
      <c r="O21" s="149">
        <f t="shared" si="2"/>
        <v>0</v>
      </c>
      <c r="P21" s="149">
        <f>M21+N21-O21</f>
        <v>0</v>
      </c>
      <c r="Q21" s="60"/>
      <c r="R21" s="60"/>
      <c r="S21" s="60"/>
      <c r="T21" s="60"/>
      <c r="U21" s="60"/>
      <c r="V21" s="149">
        <f t="shared" si="4"/>
        <v>0</v>
      </c>
      <c r="W21" s="60"/>
      <c r="X21" s="60"/>
      <c r="Y21" s="60"/>
      <c r="Z21" s="60"/>
      <c r="AA21" s="60"/>
      <c r="AB21" s="149">
        <f t="shared" si="5"/>
        <v>0</v>
      </c>
      <c r="AC21" s="149">
        <f t="shared" si="6"/>
        <v>0</v>
      </c>
      <c r="AD21" s="149">
        <f t="shared" si="7"/>
        <v>0</v>
      </c>
      <c r="AE21" s="149">
        <f t="shared" si="8"/>
        <v>0</v>
      </c>
      <c r="AF21" s="60"/>
      <c r="AG21" s="60"/>
      <c r="AH21" s="60"/>
      <c r="AI21" s="60"/>
      <c r="AJ21" s="60"/>
      <c r="AK21" s="149">
        <f t="shared" si="9"/>
        <v>0</v>
      </c>
      <c r="AL21" s="60"/>
      <c r="AM21" s="60"/>
      <c r="AN21" s="60"/>
      <c r="AO21" s="60"/>
      <c r="AP21" s="60"/>
      <c r="AQ21" s="149">
        <f t="shared" si="10"/>
        <v>0</v>
      </c>
      <c r="AR21" s="149">
        <f t="shared" si="11"/>
        <v>0</v>
      </c>
      <c r="AS21" s="149">
        <f t="shared" si="12"/>
        <v>0</v>
      </c>
      <c r="AT21" s="149">
        <f t="shared" si="13"/>
        <v>0</v>
      </c>
      <c r="AU21" s="149">
        <f t="shared" si="14"/>
        <v>0</v>
      </c>
      <c r="AV21" s="149">
        <f t="shared" si="15"/>
        <v>0</v>
      </c>
      <c r="AW21" s="149">
        <f t="shared" si="16"/>
        <v>0</v>
      </c>
      <c r="AX21" s="149">
        <f t="shared" si="17"/>
        <v>0</v>
      </c>
      <c r="AY21" s="288"/>
      <c r="AZ21" s="288"/>
      <c r="BA21" s="288"/>
      <c r="BB21" s="288"/>
    </row>
    <row r="22" spans="1:54" ht="19.95" customHeight="1">
      <c r="A22" s="80"/>
      <c r="B22" s="286"/>
      <c r="C22" s="81"/>
      <c r="D22" s="60"/>
      <c r="E22" s="60"/>
      <c r="F22" s="287"/>
      <c r="G22" s="60"/>
      <c r="H22" s="287"/>
      <c r="I22" s="149">
        <f t="shared" si="18"/>
        <v>0</v>
      </c>
      <c r="J22" s="60"/>
      <c r="K22" s="60"/>
      <c r="L22" s="60"/>
      <c r="M22" s="149">
        <f t="shared" si="21"/>
        <v>0</v>
      </c>
      <c r="N22" s="149">
        <f t="shared" si="21"/>
        <v>0</v>
      </c>
      <c r="O22" s="149">
        <f t="shared" si="2"/>
        <v>0</v>
      </c>
      <c r="P22" s="149">
        <f t="shared" ref="P22:P24" si="22">M22+N22-O22</f>
        <v>0</v>
      </c>
      <c r="Q22" s="60"/>
      <c r="R22" s="60"/>
      <c r="S22" s="60"/>
      <c r="T22" s="60"/>
      <c r="U22" s="60"/>
      <c r="V22" s="149">
        <f t="shared" si="4"/>
        <v>0</v>
      </c>
      <c r="W22" s="60"/>
      <c r="X22" s="60"/>
      <c r="Y22" s="60"/>
      <c r="Z22" s="60"/>
      <c r="AA22" s="60"/>
      <c r="AB22" s="149">
        <f t="shared" si="5"/>
        <v>0</v>
      </c>
      <c r="AC22" s="149">
        <f t="shared" si="6"/>
        <v>0</v>
      </c>
      <c r="AD22" s="149">
        <f t="shared" si="7"/>
        <v>0</v>
      </c>
      <c r="AE22" s="149">
        <f t="shared" si="8"/>
        <v>0</v>
      </c>
      <c r="AF22" s="60"/>
      <c r="AG22" s="60"/>
      <c r="AH22" s="60"/>
      <c r="AI22" s="60"/>
      <c r="AJ22" s="60"/>
      <c r="AK22" s="149">
        <f t="shared" si="9"/>
        <v>0</v>
      </c>
      <c r="AL22" s="60"/>
      <c r="AM22" s="60"/>
      <c r="AN22" s="60"/>
      <c r="AO22" s="60"/>
      <c r="AP22" s="60"/>
      <c r="AQ22" s="149">
        <f t="shared" si="10"/>
        <v>0</v>
      </c>
      <c r="AR22" s="149">
        <f t="shared" si="11"/>
        <v>0</v>
      </c>
      <c r="AS22" s="149">
        <f t="shared" si="12"/>
        <v>0</v>
      </c>
      <c r="AT22" s="149">
        <f t="shared" si="13"/>
        <v>0</v>
      </c>
      <c r="AU22" s="149">
        <f t="shared" si="14"/>
        <v>0</v>
      </c>
      <c r="AV22" s="149">
        <f t="shared" si="15"/>
        <v>0</v>
      </c>
      <c r="AW22" s="149">
        <f t="shared" si="16"/>
        <v>0</v>
      </c>
      <c r="AX22" s="149">
        <f t="shared" si="17"/>
        <v>0</v>
      </c>
      <c r="AY22" s="288"/>
      <c r="AZ22" s="288"/>
      <c r="BA22" s="288"/>
      <c r="BB22" s="288"/>
    </row>
    <row r="23" spans="1:54" ht="19.95" customHeight="1">
      <c r="A23" s="80"/>
      <c r="B23" s="286"/>
      <c r="C23" s="81"/>
      <c r="D23" s="60"/>
      <c r="E23" s="60"/>
      <c r="F23" s="287"/>
      <c r="G23" s="60"/>
      <c r="H23" s="287"/>
      <c r="I23" s="149">
        <f t="shared" si="18"/>
        <v>0</v>
      </c>
      <c r="J23" s="60"/>
      <c r="K23" s="60"/>
      <c r="L23" s="60"/>
      <c r="M23" s="149">
        <f t="shared" si="21"/>
        <v>0</v>
      </c>
      <c r="N23" s="149">
        <f t="shared" si="21"/>
        <v>0</v>
      </c>
      <c r="O23" s="149">
        <f t="shared" si="2"/>
        <v>0</v>
      </c>
      <c r="P23" s="149">
        <f t="shared" si="22"/>
        <v>0</v>
      </c>
      <c r="Q23" s="60"/>
      <c r="R23" s="60"/>
      <c r="S23" s="60"/>
      <c r="T23" s="60"/>
      <c r="U23" s="60"/>
      <c r="V23" s="149">
        <f t="shared" si="4"/>
        <v>0</v>
      </c>
      <c r="W23" s="60"/>
      <c r="X23" s="60"/>
      <c r="Y23" s="60"/>
      <c r="Z23" s="60"/>
      <c r="AA23" s="60"/>
      <c r="AB23" s="149">
        <f t="shared" si="5"/>
        <v>0</v>
      </c>
      <c r="AC23" s="149">
        <f t="shared" si="6"/>
        <v>0</v>
      </c>
      <c r="AD23" s="149">
        <f t="shared" si="7"/>
        <v>0</v>
      </c>
      <c r="AE23" s="149">
        <f t="shared" si="8"/>
        <v>0</v>
      </c>
      <c r="AF23" s="60"/>
      <c r="AG23" s="60"/>
      <c r="AH23" s="60"/>
      <c r="AI23" s="60"/>
      <c r="AJ23" s="60"/>
      <c r="AK23" s="149">
        <f t="shared" si="9"/>
        <v>0</v>
      </c>
      <c r="AL23" s="60"/>
      <c r="AM23" s="60"/>
      <c r="AN23" s="60"/>
      <c r="AO23" s="60"/>
      <c r="AP23" s="60"/>
      <c r="AQ23" s="149">
        <f t="shared" si="10"/>
        <v>0</v>
      </c>
      <c r="AR23" s="149">
        <f t="shared" si="11"/>
        <v>0</v>
      </c>
      <c r="AS23" s="149">
        <f t="shared" si="12"/>
        <v>0</v>
      </c>
      <c r="AT23" s="149">
        <f t="shared" si="13"/>
        <v>0</v>
      </c>
      <c r="AU23" s="149">
        <f t="shared" si="14"/>
        <v>0</v>
      </c>
      <c r="AV23" s="149">
        <f t="shared" si="15"/>
        <v>0</v>
      </c>
      <c r="AW23" s="149">
        <f t="shared" si="16"/>
        <v>0</v>
      </c>
      <c r="AX23" s="149">
        <f t="shared" si="17"/>
        <v>0</v>
      </c>
      <c r="AY23" s="288"/>
      <c r="AZ23" s="288"/>
      <c r="BA23" s="288"/>
      <c r="BB23" s="288"/>
    </row>
    <row r="24" spans="1:54" ht="19.95" customHeight="1">
      <c r="A24" s="80"/>
      <c r="B24" s="286"/>
      <c r="C24" s="81"/>
      <c r="D24" s="60"/>
      <c r="E24" s="60"/>
      <c r="F24" s="287"/>
      <c r="G24" s="60"/>
      <c r="H24" s="287"/>
      <c r="I24" s="149">
        <f t="shared" si="18"/>
        <v>0</v>
      </c>
      <c r="J24" s="60"/>
      <c r="K24" s="60"/>
      <c r="L24" s="60"/>
      <c r="M24" s="149">
        <f t="shared" si="21"/>
        <v>0</v>
      </c>
      <c r="N24" s="149">
        <f t="shared" si="21"/>
        <v>0</v>
      </c>
      <c r="O24" s="149">
        <f t="shared" si="2"/>
        <v>0</v>
      </c>
      <c r="P24" s="149">
        <f t="shared" si="22"/>
        <v>0</v>
      </c>
      <c r="Q24" s="60"/>
      <c r="R24" s="60"/>
      <c r="S24" s="60"/>
      <c r="T24" s="60"/>
      <c r="U24" s="60"/>
      <c r="V24" s="149">
        <f t="shared" si="4"/>
        <v>0</v>
      </c>
      <c r="W24" s="60"/>
      <c r="X24" s="60"/>
      <c r="Y24" s="60"/>
      <c r="Z24" s="60"/>
      <c r="AA24" s="60"/>
      <c r="AB24" s="149">
        <f t="shared" si="5"/>
        <v>0</v>
      </c>
      <c r="AC24" s="149">
        <f t="shared" si="6"/>
        <v>0</v>
      </c>
      <c r="AD24" s="149">
        <f t="shared" si="7"/>
        <v>0</v>
      </c>
      <c r="AE24" s="149">
        <f t="shared" si="8"/>
        <v>0</v>
      </c>
      <c r="AF24" s="60"/>
      <c r="AG24" s="60"/>
      <c r="AH24" s="60"/>
      <c r="AI24" s="60"/>
      <c r="AJ24" s="60"/>
      <c r="AK24" s="149">
        <f t="shared" si="9"/>
        <v>0</v>
      </c>
      <c r="AL24" s="60"/>
      <c r="AM24" s="60"/>
      <c r="AN24" s="60"/>
      <c r="AO24" s="60"/>
      <c r="AP24" s="60"/>
      <c r="AQ24" s="149">
        <f t="shared" si="10"/>
        <v>0</v>
      </c>
      <c r="AR24" s="149">
        <f t="shared" si="11"/>
        <v>0</v>
      </c>
      <c r="AS24" s="149">
        <f t="shared" si="12"/>
        <v>0</v>
      </c>
      <c r="AT24" s="149">
        <f t="shared" si="13"/>
        <v>0</v>
      </c>
      <c r="AU24" s="149">
        <f t="shared" si="14"/>
        <v>0</v>
      </c>
      <c r="AV24" s="149">
        <f t="shared" si="15"/>
        <v>0</v>
      </c>
      <c r="AW24" s="149">
        <f t="shared" si="16"/>
        <v>0</v>
      </c>
      <c r="AX24" s="149">
        <f t="shared" si="17"/>
        <v>0</v>
      </c>
      <c r="AY24" s="288"/>
      <c r="AZ24" s="288"/>
      <c r="BA24" s="288"/>
      <c r="BB24" s="288"/>
    </row>
    <row r="25" spans="1:54" ht="19.95" customHeight="1">
      <c r="A25" s="80"/>
      <c r="B25" s="286"/>
      <c r="C25" s="81"/>
      <c r="D25" s="60"/>
      <c r="E25" s="60"/>
      <c r="F25" s="287"/>
      <c r="G25" s="60"/>
      <c r="H25" s="287"/>
      <c r="I25" s="149">
        <f t="shared" si="18"/>
        <v>0</v>
      </c>
      <c r="J25" s="60"/>
      <c r="K25" s="60"/>
      <c r="L25" s="60"/>
      <c r="M25" s="149">
        <f t="shared" ref="M25:N28" si="23">D25+J25</f>
        <v>0</v>
      </c>
      <c r="N25" s="149">
        <f t="shared" si="23"/>
        <v>0</v>
      </c>
      <c r="O25" s="149">
        <f t="shared" si="2"/>
        <v>0</v>
      </c>
      <c r="P25" s="149">
        <f>M25+N25-O25</f>
        <v>0</v>
      </c>
      <c r="Q25" s="60"/>
      <c r="R25" s="60"/>
      <c r="S25" s="60"/>
      <c r="T25" s="60"/>
      <c r="U25" s="60"/>
      <c r="V25" s="149">
        <f t="shared" si="4"/>
        <v>0</v>
      </c>
      <c r="W25" s="60"/>
      <c r="X25" s="60"/>
      <c r="Y25" s="60"/>
      <c r="Z25" s="60"/>
      <c r="AA25" s="60"/>
      <c r="AB25" s="149">
        <f t="shared" si="5"/>
        <v>0</v>
      </c>
      <c r="AC25" s="149">
        <f t="shared" si="6"/>
        <v>0</v>
      </c>
      <c r="AD25" s="149">
        <f t="shared" si="7"/>
        <v>0</v>
      </c>
      <c r="AE25" s="149">
        <f t="shared" si="8"/>
        <v>0</v>
      </c>
      <c r="AF25" s="60"/>
      <c r="AG25" s="60"/>
      <c r="AH25" s="60"/>
      <c r="AI25" s="60"/>
      <c r="AJ25" s="60"/>
      <c r="AK25" s="149">
        <f t="shared" si="9"/>
        <v>0</v>
      </c>
      <c r="AL25" s="60"/>
      <c r="AM25" s="60"/>
      <c r="AN25" s="60"/>
      <c r="AO25" s="60"/>
      <c r="AP25" s="60"/>
      <c r="AQ25" s="149">
        <f t="shared" si="10"/>
        <v>0</v>
      </c>
      <c r="AR25" s="149">
        <f t="shared" si="11"/>
        <v>0</v>
      </c>
      <c r="AS25" s="149">
        <f t="shared" si="12"/>
        <v>0</v>
      </c>
      <c r="AT25" s="149">
        <f t="shared" si="13"/>
        <v>0</v>
      </c>
      <c r="AU25" s="149">
        <f t="shared" si="14"/>
        <v>0</v>
      </c>
      <c r="AV25" s="149">
        <f t="shared" si="15"/>
        <v>0</v>
      </c>
      <c r="AW25" s="149">
        <f t="shared" si="16"/>
        <v>0</v>
      </c>
      <c r="AX25" s="149">
        <f t="shared" si="17"/>
        <v>0</v>
      </c>
      <c r="AY25" s="288"/>
      <c r="AZ25" s="288"/>
      <c r="BA25" s="288"/>
      <c r="BB25" s="288"/>
    </row>
    <row r="26" spans="1:54" ht="19.95" customHeight="1">
      <c r="A26" s="80"/>
      <c r="B26" s="286"/>
      <c r="C26" s="81"/>
      <c r="D26" s="60"/>
      <c r="E26" s="60"/>
      <c r="F26" s="287"/>
      <c r="G26" s="60"/>
      <c r="H26" s="287"/>
      <c r="I26" s="149">
        <f t="shared" si="18"/>
        <v>0</v>
      </c>
      <c r="J26" s="60"/>
      <c r="K26" s="60"/>
      <c r="L26" s="60"/>
      <c r="M26" s="149">
        <f t="shared" si="23"/>
        <v>0</v>
      </c>
      <c r="N26" s="149">
        <f t="shared" si="23"/>
        <v>0</v>
      </c>
      <c r="O26" s="149">
        <f t="shared" si="2"/>
        <v>0</v>
      </c>
      <c r="P26" s="149">
        <f t="shared" ref="P26:P28" si="24">M26+N26-O26</f>
        <v>0</v>
      </c>
      <c r="Q26" s="60"/>
      <c r="R26" s="60"/>
      <c r="S26" s="60"/>
      <c r="T26" s="60"/>
      <c r="U26" s="60"/>
      <c r="V26" s="149">
        <f t="shared" si="4"/>
        <v>0</v>
      </c>
      <c r="W26" s="60"/>
      <c r="X26" s="60"/>
      <c r="Y26" s="60"/>
      <c r="Z26" s="60"/>
      <c r="AA26" s="60"/>
      <c r="AB26" s="149">
        <f t="shared" si="5"/>
        <v>0</v>
      </c>
      <c r="AC26" s="149">
        <f t="shared" si="6"/>
        <v>0</v>
      </c>
      <c r="AD26" s="149">
        <f t="shared" si="7"/>
        <v>0</v>
      </c>
      <c r="AE26" s="149">
        <f t="shared" si="8"/>
        <v>0</v>
      </c>
      <c r="AF26" s="60"/>
      <c r="AG26" s="60"/>
      <c r="AH26" s="60"/>
      <c r="AI26" s="60"/>
      <c r="AJ26" s="60"/>
      <c r="AK26" s="149">
        <f t="shared" si="9"/>
        <v>0</v>
      </c>
      <c r="AL26" s="60"/>
      <c r="AM26" s="60"/>
      <c r="AN26" s="60"/>
      <c r="AO26" s="60"/>
      <c r="AP26" s="60"/>
      <c r="AQ26" s="149">
        <f t="shared" si="10"/>
        <v>0</v>
      </c>
      <c r="AR26" s="149">
        <f t="shared" si="11"/>
        <v>0</v>
      </c>
      <c r="AS26" s="149">
        <f t="shared" si="12"/>
        <v>0</v>
      </c>
      <c r="AT26" s="149">
        <f t="shared" si="13"/>
        <v>0</v>
      </c>
      <c r="AU26" s="149">
        <f t="shared" si="14"/>
        <v>0</v>
      </c>
      <c r="AV26" s="149">
        <f t="shared" si="15"/>
        <v>0</v>
      </c>
      <c r="AW26" s="149">
        <f t="shared" si="16"/>
        <v>0</v>
      </c>
      <c r="AX26" s="149">
        <f t="shared" si="17"/>
        <v>0</v>
      </c>
      <c r="AY26" s="288"/>
      <c r="AZ26" s="288"/>
      <c r="BA26" s="288"/>
      <c r="BB26" s="288"/>
    </row>
    <row r="27" spans="1:54" ht="19.95" customHeight="1">
      <c r="A27" s="80"/>
      <c r="B27" s="286"/>
      <c r="C27" s="81"/>
      <c r="D27" s="60"/>
      <c r="E27" s="60"/>
      <c r="F27" s="287"/>
      <c r="G27" s="60"/>
      <c r="H27" s="287"/>
      <c r="I27" s="149">
        <f t="shared" si="18"/>
        <v>0</v>
      </c>
      <c r="J27" s="60"/>
      <c r="K27" s="60"/>
      <c r="L27" s="60"/>
      <c r="M27" s="149">
        <f t="shared" si="23"/>
        <v>0</v>
      </c>
      <c r="N27" s="149">
        <f t="shared" si="23"/>
        <v>0</v>
      </c>
      <c r="O27" s="149">
        <f t="shared" si="2"/>
        <v>0</v>
      </c>
      <c r="P27" s="149">
        <f t="shared" si="24"/>
        <v>0</v>
      </c>
      <c r="Q27" s="60"/>
      <c r="R27" s="60"/>
      <c r="S27" s="60"/>
      <c r="T27" s="60"/>
      <c r="U27" s="60"/>
      <c r="V27" s="149">
        <f t="shared" si="4"/>
        <v>0</v>
      </c>
      <c r="W27" s="60"/>
      <c r="X27" s="60"/>
      <c r="Y27" s="60"/>
      <c r="Z27" s="60"/>
      <c r="AA27" s="60"/>
      <c r="AB27" s="149">
        <f t="shared" si="5"/>
        <v>0</v>
      </c>
      <c r="AC27" s="149">
        <f t="shared" si="6"/>
        <v>0</v>
      </c>
      <c r="AD27" s="149">
        <f t="shared" si="7"/>
        <v>0</v>
      </c>
      <c r="AE27" s="149">
        <f t="shared" si="8"/>
        <v>0</v>
      </c>
      <c r="AF27" s="60"/>
      <c r="AG27" s="60"/>
      <c r="AH27" s="60"/>
      <c r="AI27" s="60"/>
      <c r="AJ27" s="60"/>
      <c r="AK27" s="149">
        <f t="shared" si="9"/>
        <v>0</v>
      </c>
      <c r="AL27" s="60"/>
      <c r="AM27" s="60"/>
      <c r="AN27" s="60"/>
      <c r="AO27" s="60"/>
      <c r="AP27" s="60"/>
      <c r="AQ27" s="149">
        <f t="shared" si="10"/>
        <v>0</v>
      </c>
      <c r="AR27" s="149">
        <f t="shared" si="11"/>
        <v>0</v>
      </c>
      <c r="AS27" s="149">
        <f t="shared" si="12"/>
        <v>0</v>
      </c>
      <c r="AT27" s="149">
        <f t="shared" si="13"/>
        <v>0</v>
      </c>
      <c r="AU27" s="149">
        <f t="shared" si="14"/>
        <v>0</v>
      </c>
      <c r="AV27" s="149">
        <f t="shared" si="15"/>
        <v>0</v>
      </c>
      <c r="AW27" s="149">
        <f t="shared" si="16"/>
        <v>0</v>
      </c>
      <c r="AX27" s="149">
        <f t="shared" si="17"/>
        <v>0</v>
      </c>
      <c r="AY27" s="288"/>
      <c r="AZ27" s="288"/>
      <c r="BA27" s="288"/>
      <c r="BB27" s="288"/>
    </row>
    <row r="28" spans="1:54" ht="19.95" customHeight="1">
      <c r="A28" s="80"/>
      <c r="B28" s="286"/>
      <c r="C28" s="81"/>
      <c r="D28" s="60"/>
      <c r="E28" s="60"/>
      <c r="F28" s="287"/>
      <c r="G28" s="60"/>
      <c r="H28" s="287"/>
      <c r="I28" s="149">
        <f t="shared" si="18"/>
        <v>0</v>
      </c>
      <c r="J28" s="60"/>
      <c r="K28" s="60"/>
      <c r="L28" s="60"/>
      <c r="M28" s="149">
        <f t="shared" si="23"/>
        <v>0</v>
      </c>
      <c r="N28" s="149">
        <f t="shared" si="23"/>
        <v>0</v>
      </c>
      <c r="O28" s="149">
        <f t="shared" si="2"/>
        <v>0</v>
      </c>
      <c r="P28" s="149">
        <f t="shared" si="24"/>
        <v>0</v>
      </c>
      <c r="Q28" s="60"/>
      <c r="R28" s="60"/>
      <c r="S28" s="60"/>
      <c r="T28" s="60"/>
      <c r="U28" s="60"/>
      <c r="V28" s="149">
        <f t="shared" si="4"/>
        <v>0</v>
      </c>
      <c r="W28" s="60"/>
      <c r="X28" s="60"/>
      <c r="Y28" s="60"/>
      <c r="Z28" s="60"/>
      <c r="AA28" s="60"/>
      <c r="AB28" s="149">
        <f t="shared" si="5"/>
        <v>0</v>
      </c>
      <c r="AC28" s="149">
        <f t="shared" si="6"/>
        <v>0</v>
      </c>
      <c r="AD28" s="149">
        <f t="shared" si="7"/>
        <v>0</v>
      </c>
      <c r="AE28" s="149">
        <f t="shared" si="8"/>
        <v>0</v>
      </c>
      <c r="AF28" s="60"/>
      <c r="AG28" s="60"/>
      <c r="AH28" s="60"/>
      <c r="AI28" s="60"/>
      <c r="AJ28" s="60"/>
      <c r="AK28" s="149">
        <f t="shared" si="9"/>
        <v>0</v>
      </c>
      <c r="AL28" s="60"/>
      <c r="AM28" s="60"/>
      <c r="AN28" s="60"/>
      <c r="AO28" s="60"/>
      <c r="AP28" s="60"/>
      <c r="AQ28" s="149">
        <f t="shared" si="10"/>
        <v>0</v>
      </c>
      <c r="AR28" s="149">
        <f t="shared" si="11"/>
        <v>0</v>
      </c>
      <c r="AS28" s="149">
        <f t="shared" si="12"/>
        <v>0</v>
      </c>
      <c r="AT28" s="149">
        <f t="shared" si="13"/>
        <v>0</v>
      </c>
      <c r="AU28" s="149">
        <f t="shared" si="14"/>
        <v>0</v>
      </c>
      <c r="AV28" s="149">
        <f t="shared" si="15"/>
        <v>0</v>
      </c>
      <c r="AW28" s="149">
        <f t="shared" si="16"/>
        <v>0</v>
      </c>
      <c r="AX28" s="149">
        <f t="shared" si="17"/>
        <v>0</v>
      </c>
      <c r="AY28" s="288"/>
      <c r="AZ28" s="288"/>
      <c r="BA28" s="288"/>
      <c r="BB28" s="288"/>
    </row>
    <row r="29" spans="1:54" ht="19.95" customHeight="1">
      <c r="A29" s="80"/>
      <c r="B29" s="286"/>
      <c r="C29" s="81"/>
      <c r="D29" s="60"/>
      <c r="E29" s="60"/>
      <c r="F29" s="287"/>
      <c r="G29" s="60"/>
      <c r="H29" s="287"/>
      <c r="I29" s="149">
        <f t="shared" si="18"/>
        <v>0</v>
      </c>
      <c r="J29" s="60"/>
      <c r="K29" s="60"/>
      <c r="L29" s="60"/>
      <c r="M29" s="149">
        <f t="shared" ref="M29:N32" si="25">D29+J29</f>
        <v>0</v>
      </c>
      <c r="N29" s="149">
        <f t="shared" si="25"/>
        <v>0</v>
      </c>
      <c r="O29" s="149">
        <f t="shared" si="2"/>
        <v>0</v>
      </c>
      <c r="P29" s="149">
        <f>M29+N29-O29</f>
        <v>0</v>
      </c>
      <c r="Q29" s="60"/>
      <c r="R29" s="60"/>
      <c r="S29" s="60"/>
      <c r="T29" s="60"/>
      <c r="U29" s="60"/>
      <c r="V29" s="149">
        <f t="shared" si="4"/>
        <v>0</v>
      </c>
      <c r="W29" s="60"/>
      <c r="X29" s="60"/>
      <c r="Y29" s="60"/>
      <c r="Z29" s="60"/>
      <c r="AA29" s="60"/>
      <c r="AB29" s="149">
        <f t="shared" si="5"/>
        <v>0</v>
      </c>
      <c r="AC29" s="149">
        <f t="shared" si="6"/>
        <v>0</v>
      </c>
      <c r="AD29" s="149">
        <f t="shared" si="7"/>
        <v>0</v>
      </c>
      <c r="AE29" s="149">
        <f t="shared" si="8"/>
        <v>0</v>
      </c>
      <c r="AF29" s="60"/>
      <c r="AG29" s="60"/>
      <c r="AH29" s="60"/>
      <c r="AI29" s="60"/>
      <c r="AJ29" s="60"/>
      <c r="AK29" s="149">
        <f t="shared" si="9"/>
        <v>0</v>
      </c>
      <c r="AL29" s="60"/>
      <c r="AM29" s="60"/>
      <c r="AN29" s="60"/>
      <c r="AO29" s="60"/>
      <c r="AP29" s="60"/>
      <c r="AQ29" s="149">
        <f t="shared" si="10"/>
        <v>0</v>
      </c>
      <c r="AR29" s="149">
        <f t="shared" si="11"/>
        <v>0</v>
      </c>
      <c r="AS29" s="149">
        <f t="shared" si="12"/>
        <v>0</v>
      </c>
      <c r="AT29" s="149">
        <f t="shared" si="13"/>
        <v>0</v>
      </c>
      <c r="AU29" s="149">
        <f t="shared" si="14"/>
        <v>0</v>
      </c>
      <c r="AV29" s="149">
        <f t="shared" si="15"/>
        <v>0</v>
      </c>
      <c r="AW29" s="149">
        <f t="shared" si="16"/>
        <v>0</v>
      </c>
      <c r="AX29" s="149">
        <f t="shared" si="17"/>
        <v>0</v>
      </c>
      <c r="AY29" s="288"/>
      <c r="AZ29" s="288"/>
      <c r="BA29" s="288"/>
      <c r="BB29" s="288"/>
    </row>
    <row r="30" spans="1:54" ht="19.95" customHeight="1">
      <c r="A30" s="80"/>
      <c r="B30" s="286"/>
      <c r="C30" s="81"/>
      <c r="D30" s="60"/>
      <c r="E30" s="60"/>
      <c r="F30" s="287"/>
      <c r="G30" s="60"/>
      <c r="H30" s="287"/>
      <c r="I30" s="149">
        <f t="shared" si="18"/>
        <v>0</v>
      </c>
      <c r="J30" s="60"/>
      <c r="K30" s="60"/>
      <c r="L30" s="60"/>
      <c r="M30" s="149">
        <f t="shared" si="25"/>
        <v>0</v>
      </c>
      <c r="N30" s="149">
        <f t="shared" si="25"/>
        <v>0</v>
      </c>
      <c r="O30" s="149">
        <f t="shared" si="2"/>
        <v>0</v>
      </c>
      <c r="P30" s="149">
        <f t="shared" ref="P30:P32" si="26">M30+N30-O30</f>
        <v>0</v>
      </c>
      <c r="Q30" s="60"/>
      <c r="R30" s="60"/>
      <c r="S30" s="60"/>
      <c r="T30" s="60"/>
      <c r="U30" s="60"/>
      <c r="V30" s="149">
        <f t="shared" si="4"/>
        <v>0</v>
      </c>
      <c r="W30" s="60"/>
      <c r="X30" s="60"/>
      <c r="Y30" s="60"/>
      <c r="Z30" s="60"/>
      <c r="AA30" s="60"/>
      <c r="AB30" s="149">
        <f t="shared" si="5"/>
        <v>0</v>
      </c>
      <c r="AC30" s="149">
        <f t="shared" si="6"/>
        <v>0</v>
      </c>
      <c r="AD30" s="149">
        <f t="shared" si="7"/>
        <v>0</v>
      </c>
      <c r="AE30" s="149">
        <f t="shared" si="8"/>
        <v>0</v>
      </c>
      <c r="AF30" s="60"/>
      <c r="AG30" s="60"/>
      <c r="AH30" s="60"/>
      <c r="AI30" s="60"/>
      <c r="AJ30" s="60"/>
      <c r="AK30" s="149">
        <f t="shared" si="9"/>
        <v>0</v>
      </c>
      <c r="AL30" s="60"/>
      <c r="AM30" s="60"/>
      <c r="AN30" s="60"/>
      <c r="AO30" s="60"/>
      <c r="AP30" s="60"/>
      <c r="AQ30" s="149">
        <f t="shared" si="10"/>
        <v>0</v>
      </c>
      <c r="AR30" s="149">
        <f t="shared" si="11"/>
        <v>0</v>
      </c>
      <c r="AS30" s="149">
        <f t="shared" si="12"/>
        <v>0</v>
      </c>
      <c r="AT30" s="149">
        <f t="shared" si="13"/>
        <v>0</v>
      </c>
      <c r="AU30" s="149">
        <f t="shared" si="14"/>
        <v>0</v>
      </c>
      <c r="AV30" s="149">
        <f t="shared" si="15"/>
        <v>0</v>
      </c>
      <c r="AW30" s="149">
        <f t="shared" si="16"/>
        <v>0</v>
      </c>
      <c r="AX30" s="149">
        <f t="shared" si="17"/>
        <v>0</v>
      </c>
      <c r="AY30" s="288"/>
      <c r="AZ30" s="288"/>
      <c r="BA30" s="288"/>
      <c r="BB30" s="288"/>
    </row>
    <row r="31" spans="1:54" ht="19.95" customHeight="1">
      <c r="A31" s="80"/>
      <c r="B31" s="286"/>
      <c r="C31" s="81"/>
      <c r="D31" s="60"/>
      <c r="E31" s="60"/>
      <c r="F31" s="287"/>
      <c r="G31" s="60"/>
      <c r="H31" s="287"/>
      <c r="I31" s="149">
        <f t="shared" si="18"/>
        <v>0</v>
      </c>
      <c r="J31" s="60"/>
      <c r="K31" s="60"/>
      <c r="L31" s="60"/>
      <c r="M31" s="149">
        <f t="shared" si="25"/>
        <v>0</v>
      </c>
      <c r="N31" s="149">
        <f t="shared" si="25"/>
        <v>0</v>
      </c>
      <c r="O31" s="149">
        <f t="shared" si="2"/>
        <v>0</v>
      </c>
      <c r="P31" s="149">
        <f t="shared" si="26"/>
        <v>0</v>
      </c>
      <c r="Q31" s="60"/>
      <c r="R31" s="60"/>
      <c r="S31" s="60"/>
      <c r="T31" s="60"/>
      <c r="U31" s="60"/>
      <c r="V31" s="149">
        <f t="shared" si="4"/>
        <v>0</v>
      </c>
      <c r="W31" s="60"/>
      <c r="X31" s="60"/>
      <c r="Y31" s="60"/>
      <c r="Z31" s="60"/>
      <c r="AA31" s="60"/>
      <c r="AB31" s="149">
        <f t="shared" si="5"/>
        <v>0</v>
      </c>
      <c r="AC31" s="149">
        <f t="shared" si="6"/>
        <v>0</v>
      </c>
      <c r="AD31" s="149">
        <f t="shared" si="7"/>
        <v>0</v>
      </c>
      <c r="AE31" s="149">
        <f t="shared" si="8"/>
        <v>0</v>
      </c>
      <c r="AF31" s="60"/>
      <c r="AG31" s="60"/>
      <c r="AH31" s="60"/>
      <c r="AI31" s="60"/>
      <c r="AJ31" s="60"/>
      <c r="AK31" s="149">
        <f t="shared" si="9"/>
        <v>0</v>
      </c>
      <c r="AL31" s="60"/>
      <c r="AM31" s="60"/>
      <c r="AN31" s="60"/>
      <c r="AO31" s="60"/>
      <c r="AP31" s="60"/>
      <c r="AQ31" s="149">
        <f t="shared" si="10"/>
        <v>0</v>
      </c>
      <c r="AR31" s="149">
        <f t="shared" si="11"/>
        <v>0</v>
      </c>
      <c r="AS31" s="149">
        <f t="shared" si="12"/>
        <v>0</v>
      </c>
      <c r="AT31" s="149">
        <f t="shared" si="13"/>
        <v>0</v>
      </c>
      <c r="AU31" s="149">
        <f t="shared" si="14"/>
        <v>0</v>
      </c>
      <c r="AV31" s="149">
        <f t="shared" si="15"/>
        <v>0</v>
      </c>
      <c r="AW31" s="149">
        <f t="shared" si="16"/>
        <v>0</v>
      </c>
      <c r="AX31" s="149">
        <f t="shared" si="17"/>
        <v>0</v>
      </c>
      <c r="AY31" s="288"/>
      <c r="AZ31" s="288"/>
      <c r="BA31" s="288"/>
      <c r="BB31" s="288"/>
    </row>
    <row r="32" spans="1:54" ht="19.95" customHeight="1">
      <c r="A32" s="80"/>
      <c r="B32" s="286"/>
      <c r="C32" s="81"/>
      <c r="D32" s="60"/>
      <c r="E32" s="60"/>
      <c r="F32" s="287"/>
      <c r="G32" s="60"/>
      <c r="H32" s="287"/>
      <c r="I32" s="149">
        <f t="shared" si="18"/>
        <v>0</v>
      </c>
      <c r="J32" s="60"/>
      <c r="K32" s="60"/>
      <c r="L32" s="60"/>
      <c r="M32" s="149">
        <f t="shared" si="25"/>
        <v>0</v>
      </c>
      <c r="N32" s="149">
        <f t="shared" si="25"/>
        <v>0</v>
      </c>
      <c r="O32" s="149">
        <f t="shared" si="2"/>
        <v>0</v>
      </c>
      <c r="P32" s="149">
        <f t="shared" si="26"/>
        <v>0</v>
      </c>
      <c r="Q32" s="60"/>
      <c r="R32" s="60"/>
      <c r="S32" s="60"/>
      <c r="T32" s="60"/>
      <c r="U32" s="60"/>
      <c r="V32" s="149">
        <f t="shared" si="4"/>
        <v>0</v>
      </c>
      <c r="W32" s="60"/>
      <c r="X32" s="60"/>
      <c r="Y32" s="60"/>
      <c r="Z32" s="60"/>
      <c r="AA32" s="60"/>
      <c r="AB32" s="149">
        <f t="shared" si="5"/>
        <v>0</v>
      </c>
      <c r="AC32" s="149">
        <f t="shared" si="6"/>
        <v>0</v>
      </c>
      <c r="AD32" s="149">
        <f t="shared" si="7"/>
        <v>0</v>
      </c>
      <c r="AE32" s="149">
        <f t="shared" si="8"/>
        <v>0</v>
      </c>
      <c r="AF32" s="60"/>
      <c r="AG32" s="60"/>
      <c r="AH32" s="60"/>
      <c r="AI32" s="60"/>
      <c r="AJ32" s="60"/>
      <c r="AK32" s="149">
        <f t="shared" si="9"/>
        <v>0</v>
      </c>
      <c r="AL32" s="60"/>
      <c r="AM32" s="60"/>
      <c r="AN32" s="60"/>
      <c r="AO32" s="60"/>
      <c r="AP32" s="60"/>
      <c r="AQ32" s="149">
        <f t="shared" si="10"/>
        <v>0</v>
      </c>
      <c r="AR32" s="149">
        <f t="shared" si="11"/>
        <v>0</v>
      </c>
      <c r="AS32" s="149">
        <f t="shared" si="12"/>
        <v>0</v>
      </c>
      <c r="AT32" s="149">
        <f t="shared" si="13"/>
        <v>0</v>
      </c>
      <c r="AU32" s="149">
        <f t="shared" si="14"/>
        <v>0</v>
      </c>
      <c r="AV32" s="149">
        <f t="shared" si="15"/>
        <v>0</v>
      </c>
      <c r="AW32" s="149">
        <f t="shared" si="16"/>
        <v>0</v>
      </c>
      <c r="AX32" s="149">
        <f t="shared" si="17"/>
        <v>0</v>
      </c>
      <c r="AY32" s="288"/>
      <c r="AZ32" s="288"/>
      <c r="BA32" s="288"/>
      <c r="BB32" s="288"/>
    </row>
    <row r="33" spans="1:54" s="61" customFormat="1" ht="19.95" customHeight="1">
      <c r="A33" s="522" t="s">
        <v>77</v>
      </c>
      <c r="B33" s="522"/>
      <c r="C33" s="522"/>
      <c r="D33" s="147">
        <f>SUM(D13:D32)</f>
        <v>0</v>
      </c>
      <c r="E33" s="147">
        <f t="shared" ref="E33:AX33" si="27">SUM(E13:E32)</f>
        <v>0</v>
      </c>
      <c r="F33" s="147"/>
      <c r="G33" s="147">
        <f t="shared" si="27"/>
        <v>0</v>
      </c>
      <c r="H33" s="147"/>
      <c r="I33" s="147">
        <f t="shared" si="27"/>
        <v>0</v>
      </c>
      <c r="J33" s="147">
        <f t="shared" si="27"/>
        <v>0</v>
      </c>
      <c r="K33" s="147">
        <f t="shared" si="27"/>
        <v>0</v>
      </c>
      <c r="L33" s="147">
        <f t="shared" si="27"/>
        <v>0</v>
      </c>
      <c r="M33" s="147">
        <f t="shared" si="27"/>
        <v>0</v>
      </c>
      <c r="N33" s="147">
        <f t="shared" si="27"/>
        <v>0</v>
      </c>
      <c r="O33" s="147">
        <f t="shared" si="27"/>
        <v>0</v>
      </c>
      <c r="P33" s="147">
        <f t="shared" si="27"/>
        <v>0</v>
      </c>
      <c r="Q33" s="147">
        <f t="shared" si="27"/>
        <v>0</v>
      </c>
      <c r="R33" s="147">
        <f t="shared" si="27"/>
        <v>0</v>
      </c>
      <c r="S33" s="147">
        <f t="shared" si="27"/>
        <v>0</v>
      </c>
      <c r="T33" s="147">
        <f t="shared" si="27"/>
        <v>0</v>
      </c>
      <c r="U33" s="147">
        <f t="shared" si="27"/>
        <v>0</v>
      </c>
      <c r="V33" s="147">
        <f t="shared" si="27"/>
        <v>0</v>
      </c>
      <c r="W33" s="147">
        <f t="shared" si="27"/>
        <v>0</v>
      </c>
      <c r="X33" s="147">
        <f t="shared" si="27"/>
        <v>0</v>
      </c>
      <c r="Y33" s="147">
        <f t="shared" si="27"/>
        <v>0</v>
      </c>
      <c r="Z33" s="147">
        <f t="shared" si="27"/>
        <v>0</v>
      </c>
      <c r="AA33" s="147">
        <f t="shared" si="27"/>
        <v>0</v>
      </c>
      <c r="AB33" s="147">
        <f t="shared" si="27"/>
        <v>0</v>
      </c>
      <c r="AC33" s="147">
        <f t="shared" si="27"/>
        <v>0</v>
      </c>
      <c r="AD33" s="147">
        <f t="shared" si="27"/>
        <v>0</v>
      </c>
      <c r="AE33" s="147">
        <f t="shared" si="27"/>
        <v>0</v>
      </c>
      <c r="AF33" s="147">
        <f t="shared" si="27"/>
        <v>0</v>
      </c>
      <c r="AG33" s="147">
        <f t="shared" si="27"/>
        <v>0</v>
      </c>
      <c r="AH33" s="147">
        <f t="shared" si="27"/>
        <v>0</v>
      </c>
      <c r="AI33" s="147">
        <f t="shared" si="27"/>
        <v>0</v>
      </c>
      <c r="AJ33" s="147">
        <f t="shared" si="27"/>
        <v>0</v>
      </c>
      <c r="AK33" s="147">
        <f t="shared" si="27"/>
        <v>0</v>
      </c>
      <c r="AL33" s="147">
        <f t="shared" si="27"/>
        <v>0</v>
      </c>
      <c r="AM33" s="147">
        <f t="shared" si="27"/>
        <v>0</v>
      </c>
      <c r="AN33" s="147">
        <f t="shared" si="27"/>
        <v>0</v>
      </c>
      <c r="AO33" s="147">
        <f t="shared" si="27"/>
        <v>0</v>
      </c>
      <c r="AP33" s="147">
        <f t="shared" si="27"/>
        <v>0</v>
      </c>
      <c r="AQ33" s="147">
        <f t="shared" si="27"/>
        <v>0</v>
      </c>
      <c r="AR33" s="147">
        <f t="shared" si="27"/>
        <v>0</v>
      </c>
      <c r="AS33" s="147">
        <f t="shared" si="27"/>
        <v>0</v>
      </c>
      <c r="AT33" s="147">
        <f t="shared" si="27"/>
        <v>0</v>
      </c>
      <c r="AU33" s="147">
        <f t="shared" si="27"/>
        <v>0</v>
      </c>
      <c r="AV33" s="147">
        <f t="shared" si="27"/>
        <v>0</v>
      </c>
      <c r="AW33" s="147">
        <f t="shared" si="27"/>
        <v>0</v>
      </c>
      <c r="AX33" s="147">
        <f t="shared" si="27"/>
        <v>0</v>
      </c>
      <c r="AY33" s="149"/>
      <c r="AZ33" s="149"/>
      <c r="BA33" s="149"/>
      <c r="BB33" s="149"/>
    </row>
    <row r="34" spans="1:54" s="61" customFormat="1" ht="19.95" customHeight="1">
      <c r="A34" s="517" t="s">
        <v>321</v>
      </c>
      <c r="B34" s="517"/>
      <c r="C34" s="517"/>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2"/>
      <c r="AZ34" s="122"/>
      <c r="BA34" s="122"/>
      <c r="BB34" s="122"/>
    </row>
    <row r="35" spans="1:54" s="289" customFormat="1" ht="19.95" customHeight="1">
      <c r="A35" s="516" t="s">
        <v>900</v>
      </c>
      <c r="B35" s="516"/>
      <c r="C35" s="516"/>
      <c r="D35" s="147">
        <f>SUMPRODUCT(($A$13:$A$32=$A35)*(D$13:D$32))</f>
        <v>0</v>
      </c>
      <c r="E35" s="147">
        <f t="shared" ref="E35:AX39" si="28">SUMPRODUCT(($A$13:$A$32=$A35)*(E$13:E$32))</f>
        <v>0</v>
      </c>
      <c r="F35" s="147"/>
      <c r="G35" s="147">
        <f>SUMPRODUCT(($A$13:$A$32=$A35)*(G$13:G$32))</f>
        <v>0</v>
      </c>
      <c r="H35" s="147"/>
      <c r="I35" s="147">
        <f t="shared" ref="I35:X35" si="29">SUMPRODUCT(($A$13:$A$32=$A35)*(I$13:I$32))</f>
        <v>0</v>
      </c>
      <c r="J35" s="147">
        <f t="shared" si="29"/>
        <v>0</v>
      </c>
      <c r="K35" s="147">
        <f t="shared" si="29"/>
        <v>0</v>
      </c>
      <c r="L35" s="147">
        <f t="shared" si="29"/>
        <v>0</v>
      </c>
      <c r="M35" s="147">
        <f t="shared" si="29"/>
        <v>0</v>
      </c>
      <c r="N35" s="147">
        <f t="shared" si="29"/>
        <v>0</v>
      </c>
      <c r="O35" s="147">
        <f t="shared" si="29"/>
        <v>0</v>
      </c>
      <c r="P35" s="147">
        <f t="shared" si="29"/>
        <v>0</v>
      </c>
      <c r="Q35" s="147">
        <f t="shared" si="29"/>
        <v>0</v>
      </c>
      <c r="R35" s="147">
        <f t="shared" si="29"/>
        <v>0</v>
      </c>
      <c r="S35" s="147">
        <f t="shared" si="29"/>
        <v>0</v>
      </c>
      <c r="T35" s="147">
        <f t="shared" si="29"/>
        <v>0</v>
      </c>
      <c r="U35" s="147">
        <f t="shared" si="29"/>
        <v>0</v>
      </c>
      <c r="V35" s="147">
        <f t="shared" si="29"/>
        <v>0</v>
      </c>
      <c r="W35" s="147">
        <f t="shared" si="29"/>
        <v>0</v>
      </c>
      <c r="X35" s="147">
        <f t="shared" si="29"/>
        <v>0</v>
      </c>
      <c r="Y35" s="147">
        <f t="shared" ref="Y35" si="30">SUMPRODUCT(($A$13:$A$32=$A35)*(Y$13:Y$32))</f>
        <v>0</v>
      </c>
      <c r="Z35" s="147">
        <f>SUMPRODUCT(($A$13:$A$32=$A35)*(Z$13:Z$32))</f>
        <v>0</v>
      </c>
      <c r="AA35" s="147">
        <f>SUMPRODUCT(($A$13:$A$32=$A35)*(AA$13:AA$32))</f>
        <v>0</v>
      </c>
      <c r="AB35" s="147">
        <f>SUMPRODUCT(($A$13:$A$32=$A35)*(AB$13:AB$32))</f>
        <v>0</v>
      </c>
      <c r="AC35" s="147">
        <f>SUMPRODUCT(($A$13:$A$32=$A35)*(AC$13:AC$32))</f>
        <v>0</v>
      </c>
      <c r="AD35" s="147">
        <f>SUMPRODUCT(($A$13:$A$32=$A35)*(AD$13:AD$32))</f>
        <v>0</v>
      </c>
      <c r="AE35" s="147">
        <f t="shared" si="28"/>
        <v>0</v>
      </c>
      <c r="AF35" s="147">
        <f t="shared" ref="AF35:AM35" si="31">SUMPRODUCT(($A$13:$A$32=$A35)*(AF$13:AF$32))</f>
        <v>0</v>
      </c>
      <c r="AG35" s="147">
        <f t="shared" si="31"/>
        <v>0</v>
      </c>
      <c r="AH35" s="147">
        <f t="shared" si="31"/>
        <v>0</v>
      </c>
      <c r="AI35" s="147">
        <f t="shared" si="31"/>
        <v>0</v>
      </c>
      <c r="AJ35" s="147">
        <f t="shared" si="31"/>
        <v>0</v>
      </c>
      <c r="AK35" s="147">
        <f t="shared" si="31"/>
        <v>0</v>
      </c>
      <c r="AL35" s="147">
        <f t="shared" si="31"/>
        <v>0</v>
      </c>
      <c r="AM35" s="147">
        <f t="shared" si="31"/>
        <v>0</v>
      </c>
      <c r="AN35" s="147">
        <f t="shared" ref="AN35:AO35" si="32">SUMPRODUCT(($A$13:$A$32=$A35)*(AN$13:AN$32))</f>
        <v>0</v>
      </c>
      <c r="AO35" s="147">
        <f t="shared" si="32"/>
        <v>0</v>
      </c>
      <c r="AP35" s="147">
        <f t="shared" ref="AP35:AX35" si="33">SUMPRODUCT(($A$13:$A$32=$A35)*(AP$13:AP$32))</f>
        <v>0</v>
      </c>
      <c r="AQ35" s="147">
        <f t="shared" si="33"/>
        <v>0</v>
      </c>
      <c r="AR35" s="147">
        <f t="shared" si="33"/>
        <v>0</v>
      </c>
      <c r="AS35" s="147">
        <f t="shared" si="33"/>
        <v>0</v>
      </c>
      <c r="AT35" s="147">
        <f t="shared" si="33"/>
        <v>0</v>
      </c>
      <c r="AU35" s="147">
        <f t="shared" si="33"/>
        <v>0</v>
      </c>
      <c r="AV35" s="147">
        <f t="shared" si="33"/>
        <v>0</v>
      </c>
      <c r="AW35" s="147">
        <f t="shared" si="33"/>
        <v>0</v>
      </c>
      <c r="AX35" s="147">
        <f t="shared" si="33"/>
        <v>0</v>
      </c>
      <c r="AY35" s="149"/>
      <c r="AZ35" s="149"/>
      <c r="BA35" s="149"/>
      <c r="BB35" s="149"/>
    </row>
    <row r="36" spans="1:54" s="289" customFormat="1" ht="19.95" customHeight="1">
      <c r="A36" s="516" t="s">
        <v>901</v>
      </c>
      <c r="B36" s="516"/>
      <c r="C36" s="516"/>
      <c r="D36" s="147">
        <f t="shared" ref="D36:S38" si="34">SUMPRODUCT(($A$13:$A$32=$A36)*(D$13:D$32))</f>
        <v>0</v>
      </c>
      <c r="E36" s="147">
        <f t="shared" si="34"/>
        <v>0</v>
      </c>
      <c r="F36" s="147"/>
      <c r="G36" s="147">
        <f t="shared" si="34"/>
        <v>0</v>
      </c>
      <c r="H36" s="147"/>
      <c r="I36" s="147">
        <f t="shared" si="34"/>
        <v>0</v>
      </c>
      <c r="J36" s="147">
        <f t="shared" si="34"/>
        <v>0</v>
      </c>
      <c r="K36" s="147">
        <f t="shared" si="34"/>
        <v>0</v>
      </c>
      <c r="L36" s="147">
        <f t="shared" si="34"/>
        <v>0</v>
      </c>
      <c r="M36" s="147">
        <f t="shared" si="34"/>
        <v>0</v>
      </c>
      <c r="N36" s="147">
        <f t="shared" si="34"/>
        <v>0</v>
      </c>
      <c r="O36" s="147">
        <f t="shared" si="34"/>
        <v>0</v>
      </c>
      <c r="P36" s="147">
        <f t="shared" si="34"/>
        <v>0</v>
      </c>
      <c r="Q36" s="147">
        <f t="shared" si="34"/>
        <v>0</v>
      </c>
      <c r="R36" s="147">
        <f t="shared" si="34"/>
        <v>0</v>
      </c>
      <c r="S36" s="147">
        <f t="shared" si="34"/>
        <v>0</v>
      </c>
      <c r="T36" s="147">
        <f t="shared" si="28"/>
        <v>0</v>
      </c>
      <c r="U36" s="147">
        <f t="shared" si="28"/>
        <v>0</v>
      </c>
      <c r="V36" s="147">
        <f t="shared" si="28"/>
        <v>0</v>
      </c>
      <c r="W36" s="147">
        <f t="shared" si="28"/>
        <v>0</v>
      </c>
      <c r="X36" s="147">
        <f t="shared" si="28"/>
        <v>0</v>
      </c>
      <c r="Y36" s="147">
        <f t="shared" si="28"/>
        <v>0</v>
      </c>
      <c r="Z36" s="147">
        <f t="shared" si="28"/>
        <v>0</v>
      </c>
      <c r="AA36" s="147">
        <f t="shared" si="28"/>
        <v>0</v>
      </c>
      <c r="AB36" s="147">
        <f t="shared" si="28"/>
        <v>0</v>
      </c>
      <c r="AC36" s="147">
        <f t="shared" si="28"/>
        <v>0</v>
      </c>
      <c r="AD36" s="147">
        <f t="shared" si="28"/>
        <v>0</v>
      </c>
      <c r="AE36" s="147">
        <f t="shared" si="28"/>
        <v>0</v>
      </c>
      <c r="AF36" s="147">
        <f t="shared" si="28"/>
        <v>0</v>
      </c>
      <c r="AG36" s="147">
        <f t="shared" si="28"/>
        <v>0</v>
      </c>
      <c r="AH36" s="147">
        <f t="shared" si="28"/>
        <v>0</v>
      </c>
      <c r="AI36" s="147">
        <f t="shared" si="28"/>
        <v>0</v>
      </c>
      <c r="AJ36" s="147">
        <f t="shared" si="28"/>
        <v>0</v>
      </c>
      <c r="AK36" s="147">
        <f t="shared" si="28"/>
        <v>0</v>
      </c>
      <c r="AL36" s="147">
        <f t="shared" si="28"/>
        <v>0</v>
      </c>
      <c r="AM36" s="147">
        <f t="shared" si="28"/>
        <v>0</v>
      </c>
      <c r="AN36" s="147">
        <f t="shared" si="28"/>
        <v>0</v>
      </c>
      <c r="AO36" s="147">
        <f t="shared" si="28"/>
        <v>0</v>
      </c>
      <c r="AP36" s="147">
        <f t="shared" si="28"/>
        <v>0</v>
      </c>
      <c r="AQ36" s="147">
        <f t="shared" si="28"/>
        <v>0</v>
      </c>
      <c r="AR36" s="147">
        <f t="shared" si="28"/>
        <v>0</v>
      </c>
      <c r="AS36" s="147">
        <f t="shared" si="28"/>
        <v>0</v>
      </c>
      <c r="AT36" s="147">
        <f t="shared" si="28"/>
        <v>0</v>
      </c>
      <c r="AU36" s="147">
        <f t="shared" si="28"/>
        <v>0</v>
      </c>
      <c r="AV36" s="147">
        <f t="shared" si="28"/>
        <v>0</v>
      </c>
      <c r="AW36" s="147">
        <f t="shared" si="28"/>
        <v>0</v>
      </c>
      <c r="AX36" s="147">
        <f t="shared" si="28"/>
        <v>0</v>
      </c>
      <c r="AY36" s="149"/>
      <c r="AZ36" s="149"/>
      <c r="BA36" s="149"/>
      <c r="BB36" s="149"/>
    </row>
    <row r="37" spans="1:54" s="289" customFormat="1" ht="19.95" customHeight="1">
      <c r="A37" s="516" t="s">
        <v>902</v>
      </c>
      <c r="B37" s="516"/>
      <c r="C37" s="516"/>
      <c r="D37" s="147">
        <f t="shared" si="34"/>
        <v>0</v>
      </c>
      <c r="E37" s="147">
        <f t="shared" si="28"/>
        <v>0</v>
      </c>
      <c r="F37" s="147"/>
      <c r="G37" s="147">
        <f t="shared" si="28"/>
        <v>0</v>
      </c>
      <c r="H37" s="147"/>
      <c r="I37" s="147">
        <f t="shared" si="28"/>
        <v>0</v>
      </c>
      <c r="J37" s="147">
        <f t="shared" si="28"/>
        <v>0</v>
      </c>
      <c r="K37" s="147">
        <f t="shared" si="28"/>
        <v>0</v>
      </c>
      <c r="L37" s="147">
        <f t="shared" si="28"/>
        <v>0</v>
      </c>
      <c r="M37" s="147">
        <f t="shared" si="28"/>
        <v>0</v>
      </c>
      <c r="N37" s="147">
        <f t="shared" si="28"/>
        <v>0</v>
      </c>
      <c r="O37" s="147">
        <f t="shared" si="28"/>
        <v>0</v>
      </c>
      <c r="P37" s="147">
        <f t="shared" si="28"/>
        <v>0</v>
      </c>
      <c r="Q37" s="147">
        <f t="shared" si="28"/>
        <v>0</v>
      </c>
      <c r="R37" s="147">
        <f t="shared" si="28"/>
        <v>0</v>
      </c>
      <c r="S37" s="147">
        <f t="shared" si="28"/>
        <v>0</v>
      </c>
      <c r="T37" s="147">
        <f t="shared" si="28"/>
        <v>0</v>
      </c>
      <c r="U37" s="147">
        <f t="shared" si="28"/>
        <v>0</v>
      </c>
      <c r="V37" s="147">
        <f t="shared" si="28"/>
        <v>0</v>
      </c>
      <c r="W37" s="147">
        <f t="shared" si="28"/>
        <v>0</v>
      </c>
      <c r="X37" s="147">
        <f t="shared" si="28"/>
        <v>0</v>
      </c>
      <c r="Y37" s="147">
        <f t="shared" si="28"/>
        <v>0</v>
      </c>
      <c r="Z37" s="147">
        <f t="shared" si="28"/>
        <v>0</v>
      </c>
      <c r="AA37" s="147">
        <f t="shared" si="28"/>
        <v>0</v>
      </c>
      <c r="AB37" s="147">
        <f t="shared" si="28"/>
        <v>0</v>
      </c>
      <c r="AC37" s="147">
        <f t="shared" si="28"/>
        <v>0</v>
      </c>
      <c r="AD37" s="147">
        <f t="shared" si="28"/>
        <v>0</v>
      </c>
      <c r="AE37" s="147">
        <f t="shared" si="28"/>
        <v>0</v>
      </c>
      <c r="AF37" s="147">
        <f t="shared" si="28"/>
        <v>0</v>
      </c>
      <c r="AG37" s="147">
        <f t="shared" si="28"/>
        <v>0</v>
      </c>
      <c r="AH37" s="147">
        <f t="shared" si="28"/>
        <v>0</v>
      </c>
      <c r="AI37" s="147">
        <f t="shared" si="28"/>
        <v>0</v>
      </c>
      <c r="AJ37" s="147">
        <f t="shared" si="28"/>
        <v>0</v>
      </c>
      <c r="AK37" s="147">
        <f t="shared" si="28"/>
        <v>0</v>
      </c>
      <c r="AL37" s="147">
        <f t="shared" si="28"/>
        <v>0</v>
      </c>
      <c r="AM37" s="147">
        <f t="shared" si="28"/>
        <v>0</v>
      </c>
      <c r="AN37" s="147">
        <f t="shared" si="28"/>
        <v>0</v>
      </c>
      <c r="AO37" s="147">
        <f t="shared" si="28"/>
        <v>0</v>
      </c>
      <c r="AP37" s="147">
        <f t="shared" si="28"/>
        <v>0</v>
      </c>
      <c r="AQ37" s="147">
        <f t="shared" si="28"/>
        <v>0</v>
      </c>
      <c r="AR37" s="147">
        <f t="shared" si="28"/>
        <v>0</v>
      </c>
      <c r="AS37" s="147">
        <f t="shared" si="28"/>
        <v>0</v>
      </c>
      <c r="AT37" s="147">
        <f t="shared" si="28"/>
        <v>0</v>
      </c>
      <c r="AU37" s="147">
        <f t="shared" si="28"/>
        <v>0</v>
      </c>
      <c r="AV37" s="147">
        <f t="shared" si="28"/>
        <v>0</v>
      </c>
      <c r="AW37" s="147">
        <f t="shared" si="28"/>
        <v>0</v>
      </c>
      <c r="AX37" s="147">
        <f t="shared" si="28"/>
        <v>0</v>
      </c>
      <c r="AY37" s="149"/>
      <c r="AZ37" s="149"/>
      <c r="BA37" s="149"/>
      <c r="BB37" s="149"/>
    </row>
    <row r="38" spans="1:54" s="289" customFormat="1" ht="19.95" customHeight="1">
      <c r="A38" s="516" t="s">
        <v>108</v>
      </c>
      <c r="B38" s="516"/>
      <c r="C38" s="516"/>
      <c r="D38" s="147">
        <f t="shared" si="34"/>
        <v>0</v>
      </c>
      <c r="E38" s="147">
        <f t="shared" si="28"/>
        <v>0</v>
      </c>
      <c r="F38" s="147"/>
      <c r="G38" s="147">
        <f t="shared" si="28"/>
        <v>0</v>
      </c>
      <c r="H38" s="147"/>
      <c r="I38" s="147">
        <f t="shared" si="28"/>
        <v>0</v>
      </c>
      <c r="J38" s="147">
        <f t="shared" si="28"/>
        <v>0</v>
      </c>
      <c r="K38" s="147">
        <f t="shared" si="28"/>
        <v>0</v>
      </c>
      <c r="L38" s="147">
        <f t="shared" si="28"/>
        <v>0</v>
      </c>
      <c r="M38" s="147">
        <f t="shared" si="28"/>
        <v>0</v>
      </c>
      <c r="N38" s="147">
        <f t="shared" si="28"/>
        <v>0</v>
      </c>
      <c r="O38" s="147">
        <f t="shared" si="28"/>
        <v>0</v>
      </c>
      <c r="P38" s="147">
        <f t="shared" si="28"/>
        <v>0</v>
      </c>
      <c r="Q38" s="147">
        <f t="shared" si="28"/>
        <v>0</v>
      </c>
      <c r="R38" s="147">
        <f t="shared" si="28"/>
        <v>0</v>
      </c>
      <c r="S38" s="147">
        <f t="shared" si="28"/>
        <v>0</v>
      </c>
      <c r="T38" s="147">
        <f t="shared" si="28"/>
        <v>0</v>
      </c>
      <c r="U38" s="147">
        <f t="shared" si="28"/>
        <v>0</v>
      </c>
      <c r="V38" s="147">
        <f t="shared" si="28"/>
        <v>0</v>
      </c>
      <c r="W38" s="147">
        <f t="shared" si="28"/>
        <v>0</v>
      </c>
      <c r="X38" s="147">
        <f t="shared" si="28"/>
        <v>0</v>
      </c>
      <c r="Y38" s="147">
        <f t="shared" si="28"/>
        <v>0</v>
      </c>
      <c r="Z38" s="147">
        <f t="shared" si="28"/>
        <v>0</v>
      </c>
      <c r="AA38" s="147">
        <f t="shared" si="28"/>
        <v>0</v>
      </c>
      <c r="AB38" s="147">
        <f t="shared" si="28"/>
        <v>0</v>
      </c>
      <c r="AC38" s="147">
        <f t="shared" si="28"/>
        <v>0</v>
      </c>
      <c r="AD38" s="147">
        <f t="shared" si="28"/>
        <v>0</v>
      </c>
      <c r="AE38" s="147">
        <f t="shared" si="28"/>
        <v>0</v>
      </c>
      <c r="AF38" s="147">
        <f t="shared" si="28"/>
        <v>0</v>
      </c>
      <c r="AG38" s="147">
        <f t="shared" si="28"/>
        <v>0</v>
      </c>
      <c r="AH38" s="147">
        <f t="shared" si="28"/>
        <v>0</v>
      </c>
      <c r="AI38" s="147">
        <f t="shared" si="28"/>
        <v>0</v>
      </c>
      <c r="AJ38" s="147">
        <f t="shared" si="28"/>
        <v>0</v>
      </c>
      <c r="AK38" s="147">
        <f t="shared" si="28"/>
        <v>0</v>
      </c>
      <c r="AL38" s="147">
        <f t="shared" si="28"/>
        <v>0</v>
      </c>
      <c r="AM38" s="147">
        <f t="shared" si="28"/>
        <v>0</v>
      </c>
      <c r="AN38" s="147">
        <f t="shared" si="28"/>
        <v>0</v>
      </c>
      <c r="AO38" s="147">
        <f t="shared" si="28"/>
        <v>0</v>
      </c>
      <c r="AP38" s="147">
        <f t="shared" si="28"/>
        <v>0</v>
      </c>
      <c r="AQ38" s="147">
        <f t="shared" si="28"/>
        <v>0</v>
      </c>
      <c r="AR38" s="147">
        <f t="shared" si="28"/>
        <v>0</v>
      </c>
      <c r="AS38" s="147">
        <f t="shared" si="28"/>
        <v>0</v>
      </c>
      <c r="AT38" s="147">
        <f t="shared" si="28"/>
        <v>0</v>
      </c>
      <c r="AU38" s="147">
        <f t="shared" si="28"/>
        <v>0</v>
      </c>
      <c r="AV38" s="147">
        <f t="shared" si="28"/>
        <v>0</v>
      </c>
      <c r="AW38" s="147">
        <f t="shared" si="28"/>
        <v>0</v>
      </c>
      <c r="AX38" s="147">
        <f t="shared" si="28"/>
        <v>0</v>
      </c>
      <c r="AY38" s="149"/>
      <c r="AZ38" s="149"/>
      <c r="BA38" s="149"/>
      <c r="BB38" s="149"/>
    </row>
    <row r="39" spans="1:54" s="289" customFormat="1" ht="19.95" customHeight="1">
      <c r="A39" s="516" t="s">
        <v>108</v>
      </c>
      <c r="B39" s="516"/>
      <c r="C39" s="516"/>
      <c r="D39" s="147">
        <f>SUMPRODUCT(($A$13:$A$32=$A39)*(D$13:D$32))</f>
        <v>0</v>
      </c>
      <c r="E39" s="147">
        <f t="shared" si="28"/>
        <v>0</v>
      </c>
      <c r="F39" s="147"/>
      <c r="G39" s="147">
        <f t="shared" si="28"/>
        <v>0</v>
      </c>
      <c r="H39" s="147"/>
      <c r="I39" s="147">
        <f t="shared" si="28"/>
        <v>0</v>
      </c>
      <c r="J39" s="147">
        <f t="shared" si="28"/>
        <v>0</v>
      </c>
      <c r="K39" s="147">
        <f t="shared" si="28"/>
        <v>0</v>
      </c>
      <c r="L39" s="147">
        <f t="shared" si="28"/>
        <v>0</v>
      </c>
      <c r="M39" s="147">
        <f t="shared" si="28"/>
        <v>0</v>
      </c>
      <c r="N39" s="147">
        <f t="shared" si="28"/>
        <v>0</v>
      </c>
      <c r="O39" s="147">
        <f t="shared" si="28"/>
        <v>0</v>
      </c>
      <c r="P39" s="147">
        <f t="shared" si="28"/>
        <v>0</v>
      </c>
      <c r="Q39" s="147">
        <f t="shared" si="28"/>
        <v>0</v>
      </c>
      <c r="R39" s="147">
        <f t="shared" si="28"/>
        <v>0</v>
      </c>
      <c r="S39" s="147">
        <f t="shared" si="28"/>
        <v>0</v>
      </c>
      <c r="T39" s="147">
        <f t="shared" si="28"/>
        <v>0</v>
      </c>
      <c r="U39" s="147">
        <f t="shared" si="28"/>
        <v>0</v>
      </c>
      <c r="V39" s="147">
        <f t="shared" si="28"/>
        <v>0</v>
      </c>
      <c r="W39" s="147">
        <f t="shared" si="28"/>
        <v>0</v>
      </c>
      <c r="X39" s="147">
        <f t="shared" si="28"/>
        <v>0</v>
      </c>
      <c r="Y39" s="147">
        <f t="shared" si="28"/>
        <v>0</v>
      </c>
      <c r="Z39" s="147">
        <f t="shared" si="28"/>
        <v>0</v>
      </c>
      <c r="AA39" s="147">
        <f t="shared" si="28"/>
        <v>0</v>
      </c>
      <c r="AB39" s="147">
        <f t="shared" si="28"/>
        <v>0</v>
      </c>
      <c r="AC39" s="147">
        <f t="shared" si="28"/>
        <v>0</v>
      </c>
      <c r="AD39" s="147">
        <f t="shared" si="28"/>
        <v>0</v>
      </c>
      <c r="AE39" s="147">
        <f>SUMPRODUCT(($A$13:$A$32=$A39)*(AE$13:AE$32))</f>
        <v>0</v>
      </c>
      <c r="AF39" s="147">
        <f t="shared" si="28"/>
        <v>0</v>
      </c>
      <c r="AG39" s="147">
        <f t="shared" si="28"/>
        <v>0</v>
      </c>
      <c r="AH39" s="147">
        <f>SUMPRODUCT(($A$13:$A$32=$A39)*(AH$13:AH$32))</f>
        <v>0</v>
      </c>
      <c r="AI39" s="147">
        <f t="shared" si="28"/>
        <v>0</v>
      </c>
      <c r="AJ39" s="147">
        <f t="shared" si="28"/>
        <v>0</v>
      </c>
      <c r="AK39" s="147">
        <f t="shared" si="28"/>
        <v>0</v>
      </c>
      <c r="AL39" s="147">
        <f>SUMPRODUCT(($A$13:$A$32=$A39)*(AL$13:AL$32))</f>
        <v>0</v>
      </c>
      <c r="AM39" s="147">
        <f t="shared" si="28"/>
        <v>0</v>
      </c>
      <c r="AN39" s="147">
        <f t="shared" si="28"/>
        <v>0</v>
      </c>
      <c r="AO39" s="147">
        <f t="shared" si="28"/>
        <v>0</v>
      </c>
      <c r="AP39" s="147">
        <f t="shared" si="28"/>
        <v>0</v>
      </c>
      <c r="AQ39" s="147">
        <f t="shared" si="28"/>
        <v>0</v>
      </c>
      <c r="AR39" s="147">
        <f t="shared" si="28"/>
        <v>0</v>
      </c>
      <c r="AS39" s="147">
        <f t="shared" si="28"/>
        <v>0</v>
      </c>
      <c r="AT39" s="147">
        <f t="shared" si="28"/>
        <v>0</v>
      </c>
      <c r="AU39" s="147">
        <f t="shared" si="28"/>
        <v>0</v>
      </c>
      <c r="AV39" s="147">
        <f t="shared" si="28"/>
        <v>0</v>
      </c>
      <c r="AW39" s="147">
        <f t="shared" si="28"/>
        <v>0</v>
      </c>
      <c r="AX39" s="147">
        <f t="shared" si="28"/>
        <v>0</v>
      </c>
      <c r="AY39" s="149"/>
      <c r="AZ39" s="149"/>
      <c r="BA39" s="149"/>
      <c r="BB39" s="149"/>
    </row>
    <row r="40" spans="1:54" ht="19.95" customHeight="1">
      <c r="A40" s="205" t="s">
        <v>322</v>
      </c>
      <c r="B40" s="205"/>
      <c r="C40" s="205"/>
      <c r="AU40" s="148"/>
      <c r="AV40" s="148"/>
      <c r="AW40" s="148"/>
      <c r="AX40" s="148"/>
      <c r="AY40" s="148"/>
      <c r="AZ40" s="148"/>
      <c r="BA40" s="148"/>
      <c r="BB40" s="148"/>
    </row>
    <row r="43" spans="1:54" ht="19.95" customHeight="1">
      <c r="A43" s="21" t="s">
        <v>140</v>
      </c>
    </row>
    <row r="46" spans="1:54" ht="19.95" customHeight="1">
      <c r="A46" s="362" t="s">
        <v>947</v>
      </c>
    </row>
    <row r="47" spans="1:54" ht="19.95" customHeight="1">
      <c r="A47" s="335" t="s">
        <v>921</v>
      </c>
    </row>
    <row r="48" spans="1:54" ht="19.95" customHeight="1">
      <c r="A48" s="335" t="s">
        <v>922</v>
      </c>
    </row>
    <row r="49" spans="1:1" ht="19.95" customHeight="1">
      <c r="A49" s="336"/>
    </row>
    <row r="50" spans="1:1" ht="19.95" customHeight="1">
      <c r="A50" s="5"/>
    </row>
    <row r="51" spans="1:1" ht="19.95" customHeight="1">
      <c r="A51" s="5"/>
    </row>
    <row r="52" spans="1:1" ht="19.95" customHeight="1">
      <c r="A52" s="5"/>
    </row>
    <row r="53" spans="1:1" ht="19.95" customHeight="1">
      <c r="A53" s="5"/>
    </row>
  </sheetData>
  <dataConsolidate/>
  <mergeCells count="71">
    <mergeCell ref="Q10:V10"/>
    <mergeCell ref="X10:AA10"/>
    <mergeCell ref="AE11:AE12"/>
    <mergeCell ref="AF11:AF12"/>
    <mergeCell ref="AG11:AH11"/>
    <mergeCell ref="Q11:Q12"/>
    <mergeCell ref="Z11:AA11"/>
    <mergeCell ref="K11:K12"/>
    <mergeCell ref="L11:L12"/>
    <mergeCell ref="M11:M12"/>
    <mergeCell ref="D10:I10"/>
    <mergeCell ref="K10:L10"/>
    <mergeCell ref="M10:P10"/>
    <mergeCell ref="N11:N12"/>
    <mergeCell ref="O11:O12"/>
    <mergeCell ref="P11:P12"/>
    <mergeCell ref="BB9:BB12"/>
    <mergeCell ref="AB10:AE10"/>
    <mergeCell ref="AF10:AK10"/>
    <mergeCell ref="AM10:AP10"/>
    <mergeCell ref="AF9:AT9"/>
    <mergeCell ref="BA9:BA12"/>
    <mergeCell ref="AU9:AV10"/>
    <mergeCell ref="AW9:AX10"/>
    <mergeCell ref="AY9:AY12"/>
    <mergeCell ref="AZ9:AZ12"/>
    <mergeCell ref="AX11:AX12"/>
    <mergeCell ref="AW11:AW12"/>
    <mergeCell ref="AO11:AP11"/>
    <mergeCell ref="AQ10:AT10"/>
    <mergeCell ref="AK11:AK12"/>
    <mergeCell ref="AD11:AD12"/>
    <mergeCell ref="A33:C33"/>
    <mergeCell ref="T11:U11"/>
    <mergeCell ref="V11:V12"/>
    <mergeCell ref="A9:A12"/>
    <mergeCell ref="B9:B12"/>
    <mergeCell ref="C9:C12"/>
    <mergeCell ref="D9:P9"/>
    <mergeCell ref="Q9:AE9"/>
    <mergeCell ref="D11:D12"/>
    <mergeCell ref="E11:F11"/>
    <mergeCell ref="G11:H11"/>
    <mergeCell ref="I11:I12"/>
    <mergeCell ref="J10:J12"/>
    <mergeCell ref="R11:S11"/>
    <mergeCell ref="W10:W12"/>
    <mergeCell ref="X11:Y11"/>
    <mergeCell ref="AF1:BB1"/>
    <mergeCell ref="AF2:BB2"/>
    <mergeCell ref="Q2:AE2"/>
    <mergeCell ref="Q1:AE1"/>
    <mergeCell ref="A1:P1"/>
    <mergeCell ref="A2:P2"/>
    <mergeCell ref="AU11:AU12"/>
    <mergeCell ref="AV11:AV12"/>
    <mergeCell ref="AB11:AB12"/>
    <mergeCell ref="AC11:AC12"/>
    <mergeCell ref="AQ11:AQ12"/>
    <mergeCell ref="AR11:AR12"/>
    <mergeCell ref="AM11:AN11"/>
    <mergeCell ref="AS11:AS12"/>
    <mergeCell ref="AI11:AJ11"/>
    <mergeCell ref="AL10:AL12"/>
    <mergeCell ref="AT11:AT12"/>
    <mergeCell ref="A39:C39"/>
    <mergeCell ref="A34:C34"/>
    <mergeCell ref="A35:C35"/>
    <mergeCell ref="A36:C36"/>
    <mergeCell ref="A37:C37"/>
    <mergeCell ref="A38:C38"/>
  </mergeCells>
  <phoneticPr fontId="9" type="noConversion"/>
  <dataValidations count="3">
    <dataValidation type="list" allowBlank="1" showInputMessage="1" showErrorMessage="1" prompt="如要修改下列框的选项，单击“数据-数据有效性-设置-序列-来源”。_x000a_" sqref="H13:H32">
      <formula1>"处置,其他减少"</formula1>
    </dataValidation>
    <dataValidation type="list" allowBlank="1" showInputMessage="1" showErrorMessage="1" prompt="如要修改下列框的选项，单击“数据-数据有效性-设置-序列-来源”。" sqref="F13:F32">
      <formula1>"外购,自行建造,其他增加"</formula1>
    </dataValidation>
    <dataValidation type="list" allowBlank="1" showInputMessage="1" showErrorMessage="1" sqref="AY13:BB32 AY34:BB34">
      <formula1>"√,X"</formula1>
    </dataValidation>
  </dataValidations>
  <hyperlinks>
    <hyperlink ref="AE3" location="底稿目录!A1" display="H5A"/>
    <hyperlink ref="P3" location="底稿目录!A1" display="H5A"/>
    <hyperlink ref="BB3" location="底稿目录!A1" display="H5A"/>
  </hyperlinks>
  <pageMargins left="0.70866141732283472" right="0.70866141732283472" top="0.74803149606299213" bottom="0.74803149606299213" header="0.31496062992125984" footer="0.31496062992125984"/>
  <pageSetup paperSize="9" scale="55" fitToWidth="4" orientation="landscape" blackAndWhite="1" r:id="rId1"/>
  <headerFooter>
    <oddFooter>&amp;C&amp;P/&amp;N</oddFooter>
  </headerFooter>
  <colBreaks count="2" manualBreakCount="2">
    <brk id="16" max="48" man="1"/>
    <brk id="31" max="48"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A13:A32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3"/>
  <sheetViews>
    <sheetView view="pageBreakPreview" zoomScaleNormal="100" zoomScaleSheetLayoutView="100" workbookViewId="0">
      <selection sqref="A1:J1"/>
    </sheetView>
  </sheetViews>
  <sheetFormatPr defaultColWidth="9" defaultRowHeight="19.95" customHeight="1"/>
  <cols>
    <col min="1" max="1" width="20.69921875" style="206" customWidth="1"/>
    <col min="2" max="2" width="15.296875" style="206" customWidth="1"/>
    <col min="3" max="3" width="9.09765625" style="206" customWidth="1"/>
    <col min="4" max="16384" width="9" style="206"/>
  </cols>
  <sheetData>
    <row r="1" spans="1:10" s="284" customFormat="1" ht="19.95" customHeight="1">
      <c r="A1" s="526" t="s">
        <v>879</v>
      </c>
      <c r="B1" s="526"/>
      <c r="C1" s="526"/>
      <c r="D1" s="526"/>
      <c r="E1" s="526"/>
      <c r="F1" s="526"/>
      <c r="G1" s="526"/>
      <c r="H1" s="526"/>
      <c r="I1" s="526"/>
      <c r="J1" s="526"/>
    </row>
    <row r="2" spans="1:10" s="277" customFormat="1" ht="19.95" customHeight="1">
      <c r="A2" s="527" t="s">
        <v>897</v>
      </c>
      <c r="B2" s="527"/>
      <c r="C2" s="527"/>
      <c r="D2" s="527"/>
      <c r="E2" s="527"/>
      <c r="F2" s="527"/>
      <c r="G2" s="527"/>
      <c r="H2" s="527"/>
      <c r="I2" s="527"/>
      <c r="J2" s="527"/>
    </row>
    <row r="3" spans="1:10" ht="19.95" customHeight="1">
      <c r="A3" s="114" t="str">
        <f>底稿目录!A2</f>
        <v>被审计单位：</v>
      </c>
      <c r="B3" s="114"/>
      <c r="C3" s="114"/>
      <c r="D3" s="114" t="str">
        <f>底稿目录!A4</f>
        <v>编制人：</v>
      </c>
      <c r="E3" s="114"/>
      <c r="F3" s="115"/>
      <c r="G3" s="114" t="str">
        <f>底稿目录!A6</f>
        <v>编制日期：</v>
      </c>
      <c r="H3" s="114"/>
      <c r="I3" s="339" t="s">
        <v>916</v>
      </c>
      <c r="J3" s="197" t="s">
        <v>160</v>
      </c>
    </row>
    <row r="4" spans="1:10" ht="19.95" customHeight="1">
      <c r="A4" s="114" t="str">
        <f>底稿目录!A3</f>
        <v>截止日：202X年12月31日</v>
      </c>
      <c r="B4" s="114"/>
      <c r="C4" s="114"/>
      <c r="D4" s="114" t="str">
        <f>底稿目录!A5</f>
        <v>复核人：</v>
      </c>
      <c r="E4" s="114"/>
      <c r="F4" s="115"/>
      <c r="G4" s="114" t="str">
        <f>底稿目录!A7</f>
        <v>复核日期：</v>
      </c>
      <c r="H4" s="114"/>
      <c r="I4" s="339" t="s">
        <v>917</v>
      </c>
      <c r="J4" s="163"/>
    </row>
    <row r="5" spans="1:10" s="208" customFormat="1" ht="27.6">
      <c r="A5" s="207" t="s">
        <v>324</v>
      </c>
      <c r="B5" s="207" t="s">
        <v>325</v>
      </c>
      <c r="C5" s="207" t="s">
        <v>326</v>
      </c>
      <c r="D5" s="198" t="s">
        <v>327</v>
      </c>
      <c r="E5" s="198" t="s">
        <v>328</v>
      </c>
      <c r="F5" s="116" t="s">
        <v>107</v>
      </c>
      <c r="G5" s="198" t="s">
        <v>329</v>
      </c>
      <c r="H5" s="198" t="s">
        <v>330</v>
      </c>
      <c r="I5" s="198" t="s">
        <v>331</v>
      </c>
      <c r="J5" s="198" t="s">
        <v>148</v>
      </c>
    </row>
    <row r="6" spans="1:10" ht="19.95" customHeight="1">
      <c r="A6" s="209"/>
      <c r="B6" s="209"/>
      <c r="C6" s="209"/>
      <c r="D6" s="209"/>
      <c r="E6" s="209"/>
      <c r="F6" s="209"/>
      <c r="G6" s="290"/>
      <c r="H6" s="290"/>
      <c r="I6" s="291"/>
      <c r="J6" s="209"/>
    </row>
    <row r="7" spans="1:10" ht="19.95" customHeight="1">
      <c r="A7" s="209"/>
      <c r="B7" s="209"/>
      <c r="C7" s="209"/>
      <c r="D7" s="209"/>
      <c r="E7" s="209"/>
      <c r="F7" s="209"/>
      <c r="G7" s="290"/>
      <c r="H7" s="290"/>
      <c r="I7" s="291"/>
      <c r="J7" s="209"/>
    </row>
    <row r="8" spans="1:10" ht="19.95" customHeight="1">
      <c r="A8" s="209"/>
      <c r="B8" s="209"/>
      <c r="C8" s="209"/>
      <c r="D8" s="209"/>
      <c r="E8" s="209"/>
      <c r="F8" s="209"/>
      <c r="G8" s="290"/>
      <c r="H8" s="290"/>
      <c r="I8" s="291"/>
      <c r="J8" s="209"/>
    </row>
    <row r="9" spans="1:10" ht="19.95" customHeight="1">
      <c r="A9" s="209"/>
      <c r="B9" s="209"/>
      <c r="C9" s="209"/>
      <c r="D9" s="209"/>
      <c r="E9" s="209"/>
      <c r="F9" s="209"/>
      <c r="G9" s="290"/>
      <c r="H9" s="290"/>
      <c r="I9" s="291"/>
      <c r="J9" s="209"/>
    </row>
    <row r="10" spans="1:10" ht="19.95" customHeight="1">
      <c r="A10" s="209"/>
      <c r="B10" s="209"/>
      <c r="C10" s="209"/>
      <c r="D10" s="209"/>
      <c r="E10" s="209"/>
      <c r="F10" s="209"/>
      <c r="G10" s="290"/>
      <c r="H10" s="290"/>
      <c r="I10" s="291"/>
      <c r="J10" s="209"/>
    </row>
    <row r="11" spans="1:10" ht="19.95" customHeight="1">
      <c r="A11" s="209"/>
      <c r="B11" s="209"/>
      <c r="C11" s="209"/>
      <c r="D11" s="209"/>
      <c r="E11" s="209"/>
      <c r="F11" s="209"/>
      <c r="G11" s="290"/>
      <c r="H11" s="290"/>
      <c r="I11" s="291"/>
      <c r="J11" s="209"/>
    </row>
    <row r="12" spans="1:10" ht="19.95" customHeight="1">
      <c r="A12" s="209"/>
      <c r="B12" s="209"/>
      <c r="C12" s="209"/>
      <c r="D12" s="209"/>
      <c r="E12" s="209"/>
      <c r="F12" s="209"/>
      <c r="G12" s="290"/>
      <c r="H12" s="290"/>
      <c r="I12" s="291"/>
      <c r="J12" s="209"/>
    </row>
    <row r="13" spans="1:10" ht="19.95" customHeight="1">
      <c r="A13" s="209"/>
      <c r="B13" s="209"/>
      <c r="C13" s="209"/>
      <c r="D13" s="209"/>
      <c r="E13" s="209"/>
      <c r="F13" s="209"/>
      <c r="G13" s="290"/>
      <c r="H13" s="290"/>
      <c r="I13" s="291"/>
      <c r="J13" s="209"/>
    </row>
    <row r="14" spans="1:10" ht="19.95" customHeight="1">
      <c r="A14" s="209"/>
      <c r="B14" s="209"/>
      <c r="C14" s="209"/>
      <c r="D14" s="209"/>
      <c r="E14" s="209"/>
      <c r="F14" s="209"/>
      <c r="G14" s="290"/>
      <c r="H14" s="290"/>
      <c r="I14" s="291"/>
      <c r="J14" s="209"/>
    </row>
    <row r="15" spans="1:10" ht="19.95" customHeight="1">
      <c r="A15" s="209"/>
      <c r="B15" s="209"/>
      <c r="C15" s="209"/>
      <c r="D15" s="209"/>
      <c r="E15" s="209"/>
      <c r="F15" s="209"/>
      <c r="G15" s="290"/>
      <c r="H15" s="290"/>
      <c r="I15" s="291"/>
      <c r="J15" s="209"/>
    </row>
    <row r="16" spans="1:10" ht="19.95" customHeight="1">
      <c r="A16" s="209"/>
      <c r="B16" s="209"/>
      <c r="C16" s="209"/>
      <c r="D16" s="209"/>
      <c r="E16" s="209"/>
      <c r="F16" s="209"/>
      <c r="G16" s="290"/>
      <c r="H16" s="290"/>
      <c r="I16" s="291"/>
      <c r="J16" s="209"/>
    </row>
    <row r="17" spans="1:10" ht="19.95" customHeight="1">
      <c r="A17" s="209"/>
      <c r="B17" s="209"/>
      <c r="C17" s="209"/>
      <c r="D17" s="209"/>
      <c r="E17" s="209"/>
      <c r="F17" s="209"/>
      <c r="G17" s="290"/>
      <c r="H17" s="290"/>
      <c r="I17" s="291"/>
      <c r="J17" s="209"/>
    </row>
    <row r="18" spans="1:10" ht="19.95" customHeight="1">
      <c r="A18" s="209"/>
      <c r="B18" s="209"/>
      <c r="C18" s="209"/>
      <c r="D18" s="209"/>
      <c r="E18" s="209"/>
      <c r="F18" s="209"/>
      <c r="G18" s="290"/>
      <c r="H18" s="290"/>
      <c r="I18" s="291"/>
      <c r="J18" s="209"/>
    </row>
    <row r="19" spans="1:10" ht="19.95" customHeight="1">
      <c r="A19" s="209"/>
      <c r="B19" s="209"/>
      <c r="C19" s="209"/>
      <c r="D19" s="209"/>
      <c r="E19" s="209"/>
      <c r="F19" s="209"/>
      <c r="G19" s="290"/>
      <c r="H19" s="290"/>
      <c r="I19" s="291"/>
      <c r="J19" s="209"/>
    </row>
    <row r="20" spans="1:10" ht="19.95" customHeight="1">
      <c r="A20" s="209"/>
      <c r="B20" s="209"/>
      <c r="C20" s="209"/>
      <c r="D20" s="209"/>
      <c r="E20" s="209"/>
      <c r="F20" s="209"/>
      <c r="G20" s="290"/>
      <c r="H20" s="290"/>
      <c r="I20" s="291"/>
      <c r="J20" s="209"/>
    </row>
    <row r="21" spans="1:10" ht="19.95" customHeight="1">
      <c r="A21" s="117"/>
      <c r="B21" s="117"/>
      <c r="C21" s="117"/>
      <c r="D21" s="118"/>
      <c r="E21" s="118"/>
      <c r="F21" s="118"/>
      <c r="G21" s="119"/>
      <c r="H21" s="119"/>
      <c r="I21" s="118"/>
      <c r="J21" s="120"/>
    </row>
    <row r="23" spans="1:10" ht="19.95" customHeight="1">
      <c r="A23" s="361" t="s">
        <v>943</v>
      </c>
    </row>
  </sheetData>
  <mergeCells count="2">
    <mergeCell ref="A1:J1"/>
    <mergeCell ref="A2:J2"/>
  </mergeCells>
  <phoneticPr fontId="9" type="noConversion"/>
  <dataValidations count="1">
    <dataValidation type="list" allowBlank="1" showInputMessage="1" showErrorMessage="1" sqref="B6:B20">
      <formula1>"账项调整,报表调整,其他"</formula1>
    </dataValidation>
  </dataValidations>
  <hyperlinks>
    <hyperlink ref="J3" location="底稿目录!A1" display="H5A"/>
  </hyperlinks>
  <printOptions horizontalCentered="1"/>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K36"/>
  <sheetViews>
    <sheetView view="pageBreakPreview" zoomScaleNormal="115" zoomScaleSheetLayoutView="100" workbookViewId="0">
      <selection sqref="A1:H1"/>
    </sheetView>
  </sheetViews>
  <sheetFormatPr defaultColWidth="9" defaultRowHeight="19.95" customHeight="1"/>
  <cols>
    <col min="1" max="1" width="9" style="14"/>
    <col min="2" max="7" width="21.3984375" style="14" customWidth="1"/>
    <col min="8" max="8" width="16.5" style="14" customWidth="1"/>
    <col min="9" max="16384" width="9" style="14"/>
  </cols>
  <sheetData>
    <row r="1" spans="1:11" s="191" customFormat="1" ht="19.95" customHeight="1">
      <c r="A1" s="528" t="s">
        <v>879</v>
      </c>
      <c r="B1" s="528"/>
      <c r="C1" s="528"/>
      <c r="D1" s="528"/>
      <c r="E1" s="528"/>
      <c r="F1" s="528"/>
      <c r="G1" s="528"/>
      <c r="H1" s="528"/>
    </row>
    <row r="2" spans="1:11" s="274" customFormat="1" ht="19.95" customHeight="1">
      <c r="A2" s="529" t="s">
        <v>896</v>
      </c>
      <c r="B2" s="529"/>
      <c r="C2" s="529"/>
      <c r="D2" s="529"/>
      <c r="E2" s="529"/>
      <c r="F2" s="529"/>
      <c r="G2" s="529"/>
      <c r="H2" s="529"/>
    </row>
    <row r="3" spans="1:11" ht="19.95" customHeight="1">
      <c r="A3" s="2" t="str">
        <f>底稿目录!A2</f>
        <v>被审计单位：</v>
      </c>
      <c r="B3" s="2"/>
      <c r="D3" s="2" t="str">
        <f>底稿目录!A4</f>
        <v>编制人：</v>
      </c>
      <c r="E3" s="6"/>
      <c r="F3" s="2" t="str">
        <f>底稿目录!A6</f>
        <v>编制日期：</v>
      </c>
      <c r="G3" s="339" t="s">
        <v>916</v>
      </c>
      <c r="H3" s="197" t="s">
        <v>161</v>
      </c>
    </row>
    <row r="4" spans="1:11" ht="19.95" customHeight="1">
      <c r="A4" s="2" t="str">
        <f>底稿目录!A3</f>
        <v>截止日：202X年12月31日</v>
      </c>
      <c r="B4" s="2"/>
      <c r="D4" s="2" t="str">
        <f>底稿目录!A5</f>
        <v>复核人：</v>
      </c>
      <c r="E4" s="6"/>
      <c r="F4" s="2" t="str">
        <f>底稿目录!A7</f>
        <v>复核日期：</v>
      </c>
      <c r="G4" s="339" t="s">
        <v>917</v>
      </c>
      <c r="H4" s="163"/>
    </row>
    <row r="5" spans="1:11" s="421" customFormat="1" ht="19.95" customHeight="1">
      <c r="A5" s="420" t="s">
        <v>333</v>
      </c>
      <c r="D5" s="422"/>
      <c r="E5" s="423"/>
      <c r="F5" s="422"/>
      <c r="H5" s="424"/>
      <c r="I5" s="423"/>
      <c r="J5" s="425"/>
      <c r="K5" s="423"/>
    </row>
    <row r="6" spans="1:11" s="421" customFormat="1" ht="19.95" customHeight="1">
      <c r="A6" s="420" t="s">
        <v>334</v>
      </c>
      <c r="B6" s="420"/>
      <c r="D6" s="422"/>
      <c r="E6" s="423"/>
      <c r="F6" s="422"/>
      <c r="H6" s="424"/>
      <c r="I6" s="423"/>
      <c r="J6" s="425"/>
      <c r="K6" s="423"/>
    </row>
    <row r="7" spans="1:11" s="18" customFormat="1" ht="19.95" customHeight="1">
      <c r="A7" s="30" t="s">
        <v>335</v>
      </c>
      <c r="B7" s="15"/>
      <c r="C7" s="15"/>
      <c r="D7" s="15"/>
      <c r="E7" s="16"/>
      <c r="F7" s="17"/>
    </row>
    <row r="8" spans="1:11" ht="19.95" customHeight="1">
      <c r="A8" s="174" t="s">
        <v>336</v>
      </c>
      <c r="B8" s="174" t="s">
        <v>337</v>
      </c>
      <c r="C8" s="174" t="s">
        <v>338</v>
      </c>
      <c r="D8" s="174" t="s">
        <v>339</v>
      </c>
      <c r="E8" s="174" t="s">
        <v>340</v>
      </c>
      <c r="F8" s="174" t="s">
        <v>341</v>
      </c>
      <c r="G8" s="530" t="s">
        <v>342</v>
      </c>
      <c r="H8" s="531"/>
    </row>
    <row r="9" spans="1:11" ht="19.95" customHeight="1">
      <c r="A9" s="8">
        <v>1</v>
      </c>
      <c r="B9" s="8"/>
      <c r="C9" s="293"/>
      <c r="D9" s="293"/>
      <c r="E9" s="294"/>
      <c r="F9" s="8"/>
      <c r="G9" s="532"/>
      <c r="H9" s="533"/>
    </row>
    <row r="10" spans="1:11" ht="19.95" customHeight="1">
      <c r="A10" s="8">
        <v>2</v>
      </c>
      <c r="B10" s="8"/>
      <c r="C10" s="293"/>
      <c r="D10" s="293"/>
      <c r="E10" s="294"/>
      <c r="F10" s="8"/>
      <c r="G10" s="532"/>
      <c r="H10" s="533"/>
    </row>
    <row r="11" spans="1:11" ht="19.95" customHeight="1">
      <c r="A11" s="8">
        <v>3</v>
      </c>
      <c r="B11" s="8"/>
      <c r="C11" s="293"/>
      <c r="D11" s="293"/>
      <c r="E11" s="294"/>
      <c r="F11" s="8"/>
      <c r="G11" s="532"/>
      <c r="H11" s="533"/>
    </row>
    <row r="12" spans="1:11" ht="19.95" customHeight="1">
      <c r="A12" s="8" t="s">
        <v>4</v>
      </c>
      <c r="B12" s="8"/>
      <c r="C12" s="293"/>
      <c r="D12" s="293"/>
      <c r="E12" s="294"/>
      <c r="F12" s="8"/>
      <c r="G12" s="532"/>
      <c r="H12" s="533"/>
    </row>
    <row r="13" spans="1:11" s="19" customFormat="1" ht="19.95" customHeight="1">
      <c r="A13" s="174" t="s">
        <v>343</v>
      </c>
      <c r="B13" s="174"/>
      <c r="C13" s="292">
        <f>SUM(C9:C12)</f>
        <v>0</v>
      </c>
      <c r="D13" s="292">
        <f>SUM(D9:D12)</f>
        <v>0</v>
      </c>
      <c r="E13" s="174"/>
      <c r="F13" s="174"/>
      <c r="G13" s="534"/>
      <c r="H13" s="535"/>
    </row>
    <row r="14" spans="1:11" s="18" customFormat="1" ht="19.95" customHeight="1">
      <c r="A14" s="30" t="s">
        <v>344</v>
      </c>
      <c r="B14" s="15"/>
      <c r="C14" s="15"/>
      <c r="D14" s="15"/>
      <c r="E14" s="16"/>
      <c r="F14" s="17"/>
    </row>
    <row r="15" spans="1:11" ht="19.95" customHeight="1">
      <c r="A15" s="174" t="s">
        <v>336</v>
      </c>
      <c r="B15" s="174" t="s">
        <v>337</v>
      </c>
      <c r="C15" s="174" t="s">
        <v>338</v>
      </c>
      <c r="D15" s="174" t="s">
        <v>339</v>
      </c>
      <c r="E15" s="174" t="s">
        <v>340</v>
      </c>
      <c r="F15" s="174" t="s">
        <v>341</v>
      </c>
      <c r="G15" s="530" t="s">
        <v>342</v>
      </c>
      <c r="H15" s="531"/>
    </row>
    <row r="16" spans="1:11" ht="19.95" customHeight="1">
      <c r="A16" s="8">
        <v>1</v>
      </c>
      <c r="B16" s="8"/>
      <c r="C16" s="293"/>
      <c r="D16" s="293"/>
      <c r="E16" s="294"/>
      <c r="F16" s="8"/>
      <c r="G16" s="532"/>
      <c r="H16" s="533"/>
    </row>
    <row r="17" spans="1:10" ht="19.95" customHeight="1">
      <c r="A17" s="8">
        <v>2</v>
      </c>
      <c r="B17" s="8"/>
      <c r="C17" s="293"/>
      <c r="D17" s="293"/>
      <c r="E17" s="294"/>
      <c r="F17" s="8"/>
      <c r="G17" s="532"/>
      <c r="H17" s="533"/>
    </row>
    <row r="18" spans="1:10" ht="19.95" customHeight="1">
      <c r="A18" s="8">
        <v>3</v>
      </c>
      <c r="B18" s="8"/>
      <c r="C18" s="293"/>
      <c r="D18" s="293"/>
      <c r="E18" s="294"/>
      <c r="F18" s="8"/>
      <c r="G18" s="532"/>
      <c r="H18" s="533"/>
    </row>
    <row r="19" spans="1:10" ht="19.95" customHeight="1">
      <c r="A19" s="8" t="s">
        <v>4</v>
      </c>
      <c r="B19" s="8"/>
      <c r="C19" s="293"/>
      <c r="D19" s="293"/>
      <c r="E19" s="294"/>
      <c r="F19" s="8"/>
      <c r="G19" s="532"/>
      <c r="H19" s="533"/>
    </row>
    <row r="20" spans="1:10" s="19" customFormat="1" ht="19.95" customHeight="1">
      <c r="A20" s="174" t="s">
        <v>345</v>
      </c>
      <c r="B20" s="174"/>
      <c r="C20" s="292">
        <f>SUM(C16:C19)</f>
        <v>0</v>
      </c>
      <c r="D20" s="292">
        <f>SUM(D16:D19)</f>
        <v>0</v>
      </c>
      <c r="E20" s="174"/>
      <c r="F20" s="174"/>
      <c r="G20" s="534"/>
      <c r="H20" s="535"/>
    </row>
    <row r="21" spans="1:10" s="18" customFormat="1" ht="19.95" customHeight="1">
      <c r="A21" s="30" t="s">
        <v>346</v>
      </c>
      <c r="B21" s="15"/>
      <c r="C21" s="15"/>
      <c r="D21" s="15"/>
      <c r="E21" s="16"/>
      <c r="F21" s="17"/>
    </row>
    <row r="22" spans="1:10" s="19" customFormat="1" ht="19.95" customHeight="1">
      <c r="A22" s="174" t="s">
        <v>336</v>
      </c>
      <c r="B22" s="174" t="s">
        <v>337</v>
      </c>
      <c r="C22" s="174" t="s">
        <v>338</v>
      </c>
      <c r="D22" s="174" t="s">
        <v>339</v>
      </c>
      <c r="E22" s="174" t="s">
        <v>347</v>
      </c>
      <c r="F22" s="174" t="s">
        <v>348</v>
      </c>
      <c r="G22" s="174" t="s">
        <v>332</v>
      </c>
      <c r="H22" s="210" t="s">
        <v>349</v>
      </c>
    </row>
    <row r="23" spans="1:10" ht="19.95" customHeight="1">
      <c r="A23" s="8">
        <v>1</v>
      </c>
      <c r="B23" s="8"/>
      <c r="C23" s="293"/>
      <c r="D23" s="293"/>
      <c r="E23" s="293"/>
      <c r="F23" s="164"/>
      <c r="G23" s="294"/>
      <c r="H23" s="8"/>
    </row>
    <row r="24" spans="1:10" ht="19.95" customHeight="1">
      <c r="A24" s="8">
        <v>2</v>
      </c>
      <c r="B24" s="8"/>
      <c r="C24" s="293"/>
      <c r="D24" s="293"/>
      <c r="E24" s="293"/>
      <c r="F24" s="164"/>
      <c r="G24" s="294"/>
      <c r="H24" s="8"/>
    </row>
    <row r="25" spans="1:10" ht="19.95" customHeight="1">
      <c r="A25" s="8">
        <v>3</v>
      </c>
      <c r="B25" s="8"/>
      <c r="C25" s="293"/>
      <c r="D25" s="293"/>
      <c r="E25" s="293"/>
      <c r="F25" s="164"/>
      <c r="G25" s="294"/>
      <c r="H25" s="8"/>
    </row>
    <row r="26" spans="1:10" ht="19.95" customHeight="1">
      <c r="A26" s="8" t="s">
        <v>4</v>
      </c>
      <c r="B26" s="8"/>
      <c r="C26" s="293"/>
      <c r="D26" s="293"/>
      <c r="E26" s="293"/>
      <c r="F26" s="164"/>
      <c r="G26" s="294"/>
      <c r="H26" s="8"/>
    </row>
    <row r="27" spans="1:10" s="19" customFormat="1" ht="19.95" customHeight="1">
      <c r="A27" s="174" t="s">
        <v>345</v>
      </c>
      <c r="B27" s="174"/>
      <c r="C27" s="292">
        <f>SUM(C23:C26)</f>
        <v>0</v>
      </c>
      <c r="D27" s="292">
        <f>SUM(D23:D26)</f>
        <v>0</v>
      </c>
      <c r="E27" s="292">
        <f t="shared" ref="E27:F27" si="0">SUM(E23:E26)</f>
        <v>0</v>
      </c>
      <c r="F27" s="292">
        <f t="shared" si="0"/>
        <v>0</v>
      </c>
      <c r="G27" s="174"/>
      <c r="H27" s="174"/>
    </row>
    <row r="28" spans="1:10" ht="19.95" customHeight="1">
      <c r="A28" s="211" t="s">
        <v>350</v>
      </c>
      <c r="B28" s="10"/>
      <c r="C28" s="10"/>
      <c r="D28" s="10"/>
      <c r="E28" s="10"/>
      <c r="F28" s="10"/>
      <c r="G28" s="10"/>
      <c r="H28" s="10"/>
    </row>
    <row r="29" spans="1:10" ht="19.95" customHeight="1">
      <c r="A29" s="2"/>
      <c r="B29" s="2"/>
      <c r="C29" s="2"/>
      <c r="D29" s="2"/>
      <c r="E29" s="2"/>
      <c r="F29" s="2"/>
      <c r="G29" s="2"/>
      <c r="H29" s="2"/>
      <c r="I29" s="20"/>
      <c r="J29" s="20"/>
    </row>
    <row r="30" spans="1:10" ht="19.95" customHeight="1">
      <c r="A30" s="212" t="s">
        <v>351</v>
      </c>
      <c r="B30" s="2"/>
      <c r="C30" s="2"/>
      <c r="D30" s="2"/>
      <c r="E30" s="2"/>
      <c r="F30" s="2"/>
      <c r="G30" s="2"/>
      <c r="H30" s="2"/>
    </row>
    <row r="31" spans="1:10" ht="19.95" customHeight="1">
      <c r="A31" s="2"/>
      <c r="B31" s="2"/>
      <c r="C31" s="2"/>
      <c r="D31" s="2"/>
      <c r="E31" s="2"/>
      <c r="F31" s="2"/>
      <c r="G31" s="2"/>
      <c r="H31" s="2"/>
    </row>
    <row r="34" spans="1:1" ht="19.95" customHeight="1">
      <c r="A34" s="363" t="s">
        <v>948</v>
      </c>
    </row>
    <row r="35" spans="1:1" ht="19.95" customHeight="1">
      <c r="A35" s="185" t="s">
        <v>352</v>
      </c>
    </row>
    <row r="36" spans="1:1" ht="19.95" customHeight="1">
      <c r="A36" s="185" t="s">
        <v>353</v>
      </c>
    </row>
  </sheetData>
  <mergeCells count="14">
    <mergeCell ref="G11:H11"/>
    <mergeCell ref="G18:H18"/>
    <mergeCell ref="G19:H19"/>
    <mergeCell ref="G20:H20"/>
    <mergeCell ref="G12:H12"/>
    <mergeCell ref="G13:H13"/>
    <mergeCell ref="G15:H15"/>
    <mergeCell ref="G16:H16"/>
    <mergeCell ref="G17:H17"/>
    <mergeCell ref="A1:H1"/>
    <mergeCell ref="A2:H2"/>
    <mergeCell ref="G8:H8"/>
    <mergeCell ref="G9:H9"/>
    <mergeCell ref="G10:H10"/>
  </mergeCells>
  <phoneticPr fontId="9" type="noConversion"/>
  <hyperlinks>
    <hyperlink ref="H3" location="底稿目录!A1" display="H5A"/>
  </hyperlinks>
  <printOptions horizontalCentered="1"/>
  <pageMargins left="0.70866141732283472" right="0.70866141732283472" top="0.74803149606299213" bottom="0.74803149606299213" header="0.31496062992125984" footer="0.31496062992125984"/>
  <pageSetup paperSize="9" scale="8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P46"/>
  <sheetViews>
    <sheetView view="pageBreakPreview" zoomScaleSheetLayoutView="100" workbookViewId="0">
      <selection sqref="A1:K1"/>
    </sheetView>
  </sheetViews>
  <sheetFormatPr defaultColWidth="9" defaultRowHeight="19.95" customHeight="1"/>
  <cols>
    <col min="1" max="1" width="7.8984375" style="70" customWidth="1"/>
    <col min="2" max="5" width="20.59765625" style="63" customWidth="1"/>
    <col min="6" max="6" width="12.59765625" style="63" customWidth="1"/>
    <col min="7" max="7" width="16.296875" style="63" customWidth="1"/>
    <col min="8" max="8" width="13.19921875" style="63" customWidth="1"/>
    <col min="9" max="9" width="10.19921875" style="63" customWidth="1"/>
    <col min="10" max="10" width="11" style="63" customWidth="1"/>
    <col min="11" max="11" width="14.69921875" style="63" customWidth="1"/>
    <col min="12" max="16384" width="9" style="63"/>
  </cols>
  <sheetData>
    <row r="1" spans="1:16" s="193" customFormat="1" ht="19.95" customHeight="1">
      <c r="A1" s="536" t="s">
        <v>880</v>
      </c>
      <c r="B1" s="536"/>
      <c r="C1" s="536"/>
      <c r="D1" s="536"/>
      <c r="E1" s="536"/>
      <c r="F1" s="536"/>
      <c r="G1" s="536"/>
      <c r="H1" s="536"/>
      <c r="I1" s="536"/>
      <c r="J1" s="536"/>
      <c r="K1" s="536"/>
    </row>
    <row r="2" spans="1:16" s="276" customFormat="1" ht="19.95" customHeight="1">
      <c r="A2" s="537" t="s">
        <v>895</v>
      </c>
      <c r="B2" s="537"/>
      <c r="C2" s="537"/>
      <c r="D2" s="537"/>
      <c r="E2" s="537"/>
      <c r="F2" s="537"/>
      <c r="G2" s="537"/>
      <c r="H2" s="537"/>
      <c r="I2" s="537"/>
      <c r="J2" s="537"/>
      <c r="K2" s="537"/>
    </row>
    <row r="3" spans="1:16" ht="19.95" customHeight="1">
      <c r="A3" s="2" t="str">
        <f>底稿目录!A2</f>
        <v>被审计单位：</v>
      </c>
      <c r="D3" s="2" t="str">
        <f>底稿目录!A4</f>
        <v>编制人：</v>
      </c>
      <c r="H3" s="82" t="str">
        <f>底稿目录!A6</f>
        <v>编制日期：</v>
      </c>
      <c r="I3" s="82"/>
      <c r="J3" s="339" t="s">
        <v>916</v>
      </c>
      <c r="K3" s="197" t="s">
        <v>162</v>
      </c>
    </row>
    <row r="4" spans="1:16" ht="19.95" customHeight="1">
      <c r="A4" s="2" t="str">
        <f>底稿目录!A3</f>
        <v>截止日：202X年12月31日</v>
      </c>
      <c r="D4" s="2" t="str">
        <f>底稿目录!A5</f>
        <v>复核人：</v>
      </c>
      <c r="H4" s="82" t="str">
        <f>底稿目录!A7</f>
        <v>复核日期：</v>
      </c>
      <c r="I4" s="82"/>
      <c r="J4" s="339" t="s">
        <v>917</v>
      </c>
      <c r="K4" s="163"/>
    </row>
    <row r="5" spans="1:16" s="428" customFormat="1" ht="19.95" customHeight="1">
      <c r="A5" s="426" t="s">
        <v>372</v>
      </c>
      <c r="B5" s="426"/>
      <c r="C5" s="426"/>
      <c r="D5" s="426"/>
      <c r="E5" s="426"/>
      <c r="F5" s="426"/>
      <c r="G5" s="426"/>
      <c r="H5" s="426"/>
      <c r="I5" s="426"/>
      <c r="J5" s="426"/>
      <c r="K5" s="426"/>
      <c r="L5" s="427"/>
      <c r="O5" s="429"/>
    </row>
    <row r="6" spans="1:16" s="428" customFormat="1" ht="19.95" customHeight="1">
      <c r="A6" s="430" t="s">
        <v>944</v>
      </c>
      <c r="B6" s="431"/>
      <c r="C6" s="431"/>
      <c r="D6" s="431"/>
      <c r="E6" s="430" t="s">
        <v>945</v>
      </c>
      <c r="F6" s="431"/>
      <c r="G6" s="431"/>
      <c r="H6" s="431"/>
      <c r="I6" s="431"/>
      <c r="J6" s="431"/>
      <c r="K6" s="432"/>
      <c r="L6" s="427"/>
      <c r="O6" s="429"/>
    </row>
    <row r="7" spans="1:16" s="52" customFormat="1" ht="19.95" customHeight="1">
      <c r="A7" s="71" t="s">
        <v>369</v>
      </c>
      <c r="I7" s="6"/>
      <c r="L7" s="58"/>
      <c r="O7" s="59"/>
    </row>
    <row r="8" spans="1:16" s="52" customFormat="1" ht="19.95" customHeight="1">
      <c r="A8" s="72"/>
      <c r="B8" s="75" t="s">
        <v>356</v>
      </c>
      <c r="I8" s="6"/>
      <c r="L8" s="58"/>
      <c r="O8" s="59"/>
    </row>
    <row r="9" spans="1:16" s="52" customFormat="1" ht="37.799999999999997">
      <c r="A9" s="213" t="s">
        <v>373</v>
      </c>
      <c r="B9" s="171" t="s">
        <v>354</v>
      </c>
      <c r="C9" s="171" t="s">
        <v>357</v>
      </c>
      <c r="D9" s="171" t="s">
        <v>358</v>
      </c>
      <c r="E9" s="171" t="s">
        <v>374</v>
      </c>
      <c r="F9" s="214" t="s">
        <v>375</v>
      </c>
      <c r="G9" s="214" t="s">
        <v>360</v>
      </c>
      <c r="H9" s="214" t="s">
        <v>361</v>
      </c>
      <c r="I9" s="214" t="s">
        <v>370</v>
      </c>
      <c r="J9" s="214" t="s">
        <v>371</v>
      </c>
      <c r="K9" s="214" t="s">
        <v>349</v>
      </c>
      <c r="L9" s="58"/>
      <c r="O9" s="59"/>
    </row>
    <row r="10" spans="1:16" s="52" customFormat="1" ht="19.95" customHeight="1">
      <c r="A10" s="83">
        <v>1</v>
      </c>
      <c r="B10" s="226"/>
      <c r="C10" s="295"/>
      <c r="D10" s="296"/>
      <c r="E10" s="297"/>
      <c r="F10" s="288"/>
      <c r="G10" s="288"/>
      <c r="H10" s="288"/>
      <c r="I10" s="288"/>
      <c r="J10" s="288"/>
      <c r="K10" s="296"/>
      <c r="L10" s="58"/>
      <c r="O10" s="59"/>
    </row>
    <row r="11" spans="1:16" s="52" customFormat="1" ht="19.95" customHeight="1">
      <c r="A11" s="83">
        <v>2</v>
      </c>
      <c r="B11" s="226"/>
      <c r="C11" s="295"/>
      <c r="D11" s="296"/>
      <c r="E11" s="297"/>
      <c r="F11" s="288"/>
      <c r="G11" s="288"/>
      <c r="H11" s="288"/>
      <c r="I11" s="288"/>
      <c r="J11" s="288"/>
      <c r="K11" s="296"/>
      <c r="L11" s="58"/>
      <c r="O11" s="59"/>
    </row>
    <row r="12" spans="1:16" s="52" customFormat="1" ht="19.95" customHeight="1">
      <c r="A12" s="83">
        <v>3</v>
      </c>
      <c r="B12" s="226"/>
      <c r="C12" s="295"/>
      <c r="D12" s="296"/>
      <c r="E12" s="297"/>
      <c r="F12" s="288"/>
      <c r="G12" s="288"/>
      <c r="H12" s="288"/>
      <c r="I12" s="288"/>
      <c r="J12" s="288"/>
      <c r="K12" s="296"/>
      <c r="L12" s="58"/>
      <c r="O12" s="59"/>
    </row>
    <row r="13" spans="1:16" s="52" customFormat="1" ht="19.95" customHeight="1">
      <c r="A13" s="83">
        <v>4</v>
      </c>
      <c r="B13" s="226"/>
      <c r="C13" s="295"/>
      <c r="D13" s="296"/>
      <c r="E13" s="297"/>
      <c r="F13" s="288"/>
      <c r="G13" s="288"/>
      <c r="H13" s="288"/>
      <c r="I13" s="288"/>
      <c r="J13" s="288"/>
      <c r="K13" s="296"/>
      <c r="L13" s="58"/>
      <c r="O13" s="59"/>
    </row>
    <row r="14" spans="1:16" s="52" customFormat="1" ht="19.95" customHeight="1">
      <c r="A14" s="83">
        <v>5</v>
      </c>
      <c r="B14" s="226"/>
      <c r="C14" s="295"/>
      <c r="D14" s="296"/>
      <c r="E14" s="297"/>
      <c r="F14" s="288"/>
      <c r="G14" s="288"/>
      <c r="H14" s="288"/>
      <c r="I14" s="288"/>
      <c r="J14" s="288"/>
      <c r="K14" s="296"/>
      <c r="L14" s="58"/>
      <c r="O14" s="59"/>
    </row>
    <row r="15" spans="1:16" s="52" customFormat="1" ht="19.95" customHeight="1">
      <c r="A15" s="215"/>
      <c r="B15" s="75" t="s">
        <v>362</v>
      </c>
      <c r="C15" s="73"/>
      <c r="D15" s="73"/>
      <c r="E15" s="73"/>
      <c r="I15" s="6"/>
      <c r="L15" s="58"/>
      <c r="O15" s="59"/>
    </row>
    <row r="16" spans="1:16" s="52" customFormat="1" ht="19.95" customHeight="1">
      <c r="A16" s="538" t="s">
        <v>363</v>
      </c>
      <c r="B16" s="540" t="s">
        <v>354</v>
      </c>
      <c r="C16" s="509" t="s">
        <v>376</v>
      </c>
      <c r="D16" s="509"/>
      <c r="E16" s="509"/>
      <c r="F16" s="509" t="s">
        <v>377</v>
      </c>
      <c r="G16" s="509"/>
      <c r="H16" s="509"/>
      <c r="I16" s="509" t="s">
        <v>378</v>
      </c>
      <c r="J16" s="509"/>
      <c r="K16" s="509"/>
      <c r="L16" s="58"/>
      <c r="P16" s="59"/>
    </row>
    <row r="17" spans="1:16" s="52" customFormat="1" ht="19.95" customHeight="1">
      <c r="A17" s="539"/>
      <c r="B17" s="541"/>
      <c r="C17" s="171" t="s">
        <v>357</v>
      </c>
      <c r="D17" s="171" t="s">
        <v>358</v>
      </c>
      <c r="E17" s="171" t="s">
        <v>359</v>
      </c>
      <c r="F17" s="171" t="s">
        <v>357</v>
      </c>
      <c r="G17" s="171" t="s">
        <v>358</v>
      </c>
      <c r="H17" s="171" t="s">
        <v>359</v>
      </c>
      <c r="I17" s="171" t="s">
        <v>357</v>
      </c>
      <c r="J17" s="171" t="s">
        <v>358</v>
      </c>
      <c r="K17" s="171" t="s">
        <v>364</v>
      </c>
      <c r="L17" s="58"/>
      <c r="P17" s="59"/>
    </row>
    <row r="18" spans="1:16" s="52" customFormat="1" ht="19.95" customHeight="1">
      <c r="A18" s="83">
        <v>1</v>
      </c>
      <c r="B18" s="226"/>
      <c r="C18" s="295"/>
      <c r="D18" s="296"/>
      <c r="E18" s="297"/>
      <c r="F18" s="295"/>
      <c r="G18" s="296"/>
      <c r="H18" s="297"/>
      <c r="I18" s="295"/>
      <c r="J18" s="296"/>
      <c r="K18" s="297"/>
      <c r="L18" s="58"/>
      <c r="P18" s="59"/>
    </row>
    <row r="19" spans="1:16" s="52" customFormat="1" ht="19.95" customHeight="1">
      <c r="A19" s="83">
        <v>2</v>
      </c>
      <c r="B19" s="226"/>
      <c r="C19" s="295"/>
      <c r="D19" s="296"/>
      <c r="E19" s="297"/>
      <c r="F19" s="295"/>
      <c r="G19" s="296"/>
      <c r="H19" s="297"/>
      <c r="I19" s="295"/>
      <c r="J19" s="296"/>
      <c r="K19" s="297"/>
      <c r="L19" s="58"/>
      <c r="P19" s="59"/>
    </row>
    <row r="20" spans="1:16" s="52" customFormat="1" ht="19.95" customHeight="1">
      <c r="A20" s="83">
        <v>3</v>
      </c>
      <c r="B20" s="226"/>
      <c r="C20" s="295"/>
      <c r="D20" s="296"/>
      <c r="E20" s="297"/>
      <c r="F20" s="295"/>
      <c r="G20" s="296"/>
      <c r="H20" s="297"/>
      <c r="I20" s="295"/>
      <c r="J20" s="296"/>
      <c r="K20" s="297"/>
      <c r="L20" s="58"/>
      <c r="P20" s="59"/>
    </row>
    <row r="21" spans="1:16" s="52" customFormat="1" ht="19.95" customHeight="1">
      <c r="A21" s="83">
        <v>4</v>
      </c>
      <c r="B21" s="226"/>
      <c r="C21" s="295"/>
      <c r="D21" s="296"/>
      <c r="E21" s="297"/>
      <c r="F21" s="295"/>
      <c r="G21" s="296"/>
      <c r="H21" s="297"/>
      <c r="I21" s="295"/>
      <c r="J21" s="296"/>
      <c r="K21" s="297"/>
      <c r="L21" s="58"/>
      <c r="P21" s="59"/>
    </row>
    <row r="22" spans="1:16" s="52" customFormat="1" ht="19.95" customHeight="1">
      <c r="A22" s="83">
        <v>5</v>
      </c>
      <c r="B22" s="226"/>
      <c r="C22" s="295"/>
      <c r="D22" s="296"/>
      <c r="E22" s="297"/>
      <c r="F22" s="295"/>
      <c r="G22" s="296"/>
      <c r="H22" s="297"/>
      <c r="I22" s="295"/>
      <c r="J22" s="296"/>
      <c r="K22" s="297"/>
      <c r="L22" s="58"/>
      <c r="P22" s="59"/>
    </row>
    <row r="23" spans="1:16" s="52" customFormat="1" ht="19.95" customHeight="1">
      <c r="A23" s="70"/>
      <c r="B23" s="75" t="s">
        <v>365</v>
      </c>
      <c r="C23" s="73"/>
      <c r="D23" s="73"/>
      <c r="E23" s="73"/>
      <c r="I23" s="6"/>
      <c r="L23" s="58"/>
      <c r="O23" s="59"/>
    </row>
    <row r="24" spans="1:16" s="52" customFormat="1" ht="19.95" customHeight="1">
      <c r="A24" s="213" t="s">
        <v>379</v>
      </c>
      <c r="B24" s="171" t="s">
        <v>354</v>
      </c>
      <c r="C24" s="171" t="s">
        <v>366</v>
      </c>
      <c r="D24" s="171" t="s">
        <v>367</v>
      </c>
      <c r="E24" s="171" t="s">
        <v>380</v>
      </c>
      <c r="I24" s="6"/>
      <c r="L24" s="58"/>
      <c r="O24" s="59"/>
    </row>
    <row r="25" spans="1:16" s="52" customFormat="1" ht="19.95" customHeight="1">
      <c r="A25" s="83">
        <v>1</v>
      </c>
      <c r="B25" s="226"/>
      <c r="C25" s="295"/>
      <c r="D25" s="296"/>
      <c r="E25" s="297"/>
      <c r="I25" s="6"/>
      <c r="L25" s="58"/>
      <c r="O25" s="59"/>
    </row>
    <row r="26" spans="1:16" s="52" customFormat="1" ht="19.95" customHeight="1">
      <c r="A26" s="83">
        <v>2</v>
      </c>
      <c r="B26" s="226"/>
      <c r="C26" s="295"/>
      <c r="D26" s="296"/>
      <c r="E26" s="297"/>
      <c r="I26" s="6"/>
      <c r="L26" s="58"/>
      <c r="O26" s="59"/>
    </row>
    <row r="27" spans="1:16" s="52" customFormat="1" ht="19.95" customHeight="1">
      <c r="A27" s="83">
        <v>3</v>
      </c>
      <c r="B27" s="226"/>
      <c r="C27" s="295"/>
      <c r="D27" s="296"/>
      <c r="E27" s="297"/>
      <c r="I27" s="6"/>
      <c r="L27" s="58"/>
      <c r="O27" s="59"/>
    </row>
    <row r="28" spans="1:16" s="52" customFormat="1" ht="19.95" customHeight="1">
      <c r="A28" s="83">
        <v>4</v>
      </c>
      <c r="B28" s="226"/>
      <c r="C28" s="295"/>
      <c r="D28" s="296"/>
      <c r="E28" s="297"/>
      <c r="I28" s="6"/>
      <c r="L28" s="58"/>
      <c r="O28" s="59"/>
    </row>
    <row r="29" spans="1:16" s="52" customFormat="1" ht="19.95" customHeight="1">
      <c r="A29" s="83">
        <v>5</v>
      </c>
      <c r="B29" s="226"/>
      <c r="C29" s="295"/>
      <c r="D29" s="296"/>
      <c r="E29" s="297"/>
      <c r="I29" s="6"/>
      <c r="L29" s="58"/>
      <c r="O29" s="59"/>
    </row>
    <row r="30" spans="1:16" s="69" customFormat="1" ht="19.95" customHeight="1">
      <c r="A30" s="212" t="s">
        <v>368</v>
      </c>
    </row>
    <row r="31" spans="1:16" ht="19.95" customHeight="1">
      <c r="A31" s="74"/>
    </row>
    <row r="32" spans="1:16" ht="19.95" customHeight="1">
      <c r="A32" s="74"/>
    </row>
    <row r="33" spans="1:1" ht="19.95" customHeight="1">
      <c r="A33" s="212" t="s">
        <v>381</v>
      </c>
    </row>
    <row r="41" spans="1:1" ht="19.95" customHeight="1">
      <c r="A41" s="186"/>
    </row>
    <row r="42" spans="1:1" ht="19.95" customHeight="1">
      <c r="A42" s="186"/>
    </row>
    <row r="43" spans="1:1" ht="19.95" customHeight="1">
      <c r="A43" s="186"/>
    </row>
    <row r="44" spans="1:1" ht="19.95" customHeight="1">
      <c r="A44" s="186"/>
    </row>
    <row r="45" spans="1:1" ht="19.95" customHeight="1">
      <c r="A45" s="186"/>
    </row>
    <row r="46" spans="1:1" ht="19.95" customHeight="1">
      <c r="A46" s="186"/>
    </row>
  </sheetData>
  <mergeCells count="7">
    <mergeCell ref="A1:K1"/>
    <mergeCell ref="A2:K2"/>
    <mergeCell ref="A16:A17"/>
    <mergeCell ref="B16:B17"/>
    <mergeCell ref="C16:E16"/>
    <mergeCell ref="F16:H16"/>
    <mergeCell ref="I16:K16"/>
  </mergeCells>
  <phoneticPr fontId="9" type="noConversion"/>
  <dataValidations count="1">
    <dataValidation type="list" allowBlank="1" showInputMessage="1" showErrorMessage="1" sqref="F10:J14">
      <formula1>"√,×"</formula1>
    </dataValidation>
  </dataValidations>
  <hyperlinks>
    <hyperlink ref="K3" location="底稿目录!A1" display="H5A"/>
  </hyperlinks>
  <printOptions horizontalCentered="1"/>
  <pageMargins left="0.70866141732283472" right="0.70866141732283472" top="0.74803149606299213" bottom="0.74803149606299213" header="0.31496062992125984" footer="0.31496062992125984"/>
  <pageSetup paperSize="9" scale="72"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W26"/>
  <sheetViews>
    <sheetView view="pageBreakPreview" zoomScaleSheetLayoutView="100" workbookViewId="0">
      <selection sqref="A1:H1"/>
    </sheetView>
  </sheetViews>
  <sheetFormatPr defaultColWidth="9" defaultRowHeight="19.95" customHeight="1"/>
  <cols>
    <col min="1" max="1" width="5.59765625" style="28" customWidth="1"/>
    <col min="2" max="2" width="44.09765625" style="28" customWidth="1"/>
    <col min="3" max="4" width="17" style="28" customWidth="1"/>
    <col min="5" max="5" width="14.59765625" style="28" customWidth="1"/>
    <col min="6" max="8" width="12.09765625" style="28" customWidth="1"/>
    <col min="9" max="16384" width="9" style="28"/>
  </cols>
  <sheetData>
    <row r="1" spans="1:23" s="190" customFormat="1" ht="19.95" customHeight="1">
      <c r="A1" s="545" t="s">
        <v>879</v>
      </c>
      <c r="B1" s="545"/>
      <c r="C1" s="545"/>
      <c r="D1" s="545"/>
      <c r="E1" s="545"/>
      <c r="F1" s="545"/>
      <c r="G1" s="545"/>
      <c r="H1" s="545"/>
    </row>
    <row r="2" spans="1:23" s="269" customFormat="1" ht="19.95" customHeight="1">
      <c r="A2" s="546" t="s">
        <v>894</v>
      </c>
      <c r="B2" s="546"/>
      <c r="C2" s="546"/>
      <c r="D2" s="546"/>
      <c r="E2" s="546"/>
      <c r="F2" s="546"/>
      <c r="G2" s="546"/>
      <c r="H2" s="546"/>
    </row>
    <row r="3" spans="1:23" s="2" customFormat="1" ht="19.95" customHeight="1">
      <c r="A3" s="2" t="str">
        <f>底稿目录!A2</f>
        <v>被审计单位：</v>
      </c>
      <c r="C3" s="2" t="str">
        <f>底稿目录!A4</f>
        <v>编制人：</v>
      </c>
      <c r="E3" s="79" t="str">
        <f>底稿目录!A6</f>
        <v>编制日期：</v>
      </c>
      <c r="F3" s="79"/>
      <c r="G3" s="339" t="s">
        <v>916</v>
      </c>
      <c r="H3" s="197" t="s">
        <v>163</v>
      </c>
    </row>
    <row r="4" spans="1:23" s="2" customFormat="1" ht="19.95" customHeight="1">
      <c r="A4" s="2" t="str">
        <f>底稿目录!A3</f>
        <v>截止日：202X年12月31日</v>
      </c>
      <c r="C4" s="2" t="str">
        <f>底稿目录!A5</f>
        <v>复核人：</v>
      </c>
      <c r="E4" s="79" t="str">
        <f>底稿目录!A7</f>
        <v>复核日期：</v>
      </c>
      <c r="F4" s="79"/>
      <c r="G4" s="339" t="s">
        <v>917</v>
      </c>
      <c r="H4" s="163"/>
    </row>
    <row r="5" spans="1:23" s="434" customFormat="1" ht="19.95" customHeight="1">
      <c r="A5" s="167" t="s">
        <v>382</v>
      </c>
      <c r="B5" s="167"/>
      <c r="C5" s="167"/>
      <c r="D5" s="167"/>
      <c r="E5" s="167"/>
      <c r="F5" s="167"/>
      <c r="G5" s="218"/>
      <c r="H5" s="218"/>
      <c r="I5" s="218"/>
      <c r="J5" s="218"/>
      <c r="K5" s="218"/>
      <c r="L5" s="218"/>
      <c r="M5" s="218"/>
      <c r="N5" s="218"/>
      <c r="O5" s="218"/>
      <c r="P5" s="218"/>
      <c r="Q5" s="218"/>
      <c r="R5" s="218"/>
      <c r="S5" s="218"/>
      <c r="T5" s="218"/>
      <c r="U5" s="218"/>
      <c r="V5" s="218"/>
      <c r="W5" s="433"/>
    </row>
    <row r="6" spans="1:23" s="434" customFormat="1" ht="19.95" customHeight="1">
      <c r="A6" s="435" t="s">
        <v>383</v>
      </c>
      <c r="B6" s="436"/>
      <c r="C6" s="436"/>
      <c r="D6" s="436"/>
      <c r="E6" s="436"/>
      <c r="F6" s="436"/>
      <c r="G6" s="219"/>
      <c r="H6" s="219"/>
      <c r="I6" s="219"/>
      <c r="J6" s="219"/>
      <c r="K6" s="219"/>
      <c r="L6" s="219"/>
      <c r="M6" s="219"/>
      <c r="N6" s="219"/>
      <c r="O6" s="219"/>
      <c r="P6" s="219"/>
      <c r="Q6" s="219"/>
      <c r="R6" s="219"/>
      <c r="S6" s="219"/>
      <c r="T6" s="219"/>
      <c r="U6" s="219"/>
      <c r="V6" s="219"/>
      <c r="W6" s="433"/>
    </row>
    <row r="7" spans="1:23" s="434" customFormat="1" ht="19.95" customHeight="1">
      <c r="A7" s="435" t="s">
        <v>384</v>
      </c>
      <c r="B7" s="436"/>
      <c r="C7" s="436"/>
      <c r="D7" s="436"/>
      <c r="E7" s="436"/>
      <c r="F7" s="436"/>
      <c r="G7" s="219"/>
      <c r="H7" s="219"/>
      <c r="I7" s="219"/>
      <c r="J7" s="219"/>
      <c r="K7" s="219"/>
      <c r="L7" s="219"/>
      <c r="M7" s="219"/>
      <c r="N7" s="219"/>
      <c r="O7" s="219"/>
      <c r="P7" s="219"/>
      <c r="Q7" s="219"/>
      <c r="R7" s="219"/>
      <c r="S7" s="219"/>
      <c r="T7" s="219"/>
      <c r="U7" s="219"/>
      <c r="V7" s="219"/>
      <c r="W7" s="433"/>
    </row>
    <row r="8" spans="1:23" s="18" customFormat="1" ht="19.95" customHeight="1">
      <c r="A8" s="218" t="s">
        <v>385</v>
      </c>
      <c r="B8" s="167"/>
      <c r="C8" s="167"/>
      <c r="D8" s="167"/>
      <c r="E8" s="167"/>
      <c r="F8" s="167"/>
      <c r="G8" s="219"/>
      <c r="H8" s="217"/>
      <c r="I8" s="217"/>
      <c r="J8" s="217"/>
      <c r="K8" s="217"/>
      <c r="L8" s="217"/>
      <c r="M8" s="217"/>
      <c r="N8" s="217"/>
      <c r="O8" s="217"/>
      <c r="P8" s="217"/>
      <c r="Q8" s="217"/>
      <c r="R8" s="217"/>
      <c r="S8" s="217"/>
      <c r="T8" s="217"/>
      <c r="U8" s="217"/>
      <c r="V8" s="217"/>
      <c r="W8" s="216"/>
    </row>
    <row r="9" spans="1:23" s="25" customFormat="1" ht="19.95" customHeight="1">
      <c r="A9" s="62" t="s">
        <v>336</v>
      </c>
      <c r="B9" s="174" t="s">
        <v>386</v>
      </c>
      <c r="C9" s="416" t="s">
        <v>136</v>
      </c>
      <c r="D9" s="416" t="s">
        <v>387</v>
      </c>
      <c r="E9" s="416" t="s">
        <v>388</v>
      </c>
      <c r="F9" s="547" t="s">
        <v>389</v>
      </c>
      <c r="G9" s="548"/>
      <c r="H9" s="549"/>
    </row>
    <row r="10" spans="1:23" s="25" customFormat="1" ht="19.95" customHeight="1">
      <c r="A10" s="9">
        <v>1</v>
      </c>
      <c r="B10" s="220" t="s">
        <v>390</v>
      </c>
      <c r="C10" s="298"/>
      <c r="D10" s="298"/>
      <c r="E10" s="160" t="e">
        <f>(C10-D10)/D10</f>
        <v>#DIV/0!</v>
      </c>
      <c r="F10" s="542"/>
      <c r="G10" s="543"/>
      <c r="H10" s="544"/>
      <c r="I10" s="221"/>
    </row>
    <row r="11" spans="1:23" ht="19.95" customHeight="1">
      <c r="A11" s="9">
        <v>2</v>
      </c>
      <c r="B11" s="27" t="s">
        <v>391</v>
      </c>
      <c r="C11" s="298"/>
      <c r="D11" s="298"/>
      <c r="E11" s="160" t="e">
        <f t="shared" ref="E11:E16" si="0">(C11-D11)/D11</f>
        <v>#DIV/0!</v>
      </c>
      <c r="F11" s="542"/>
      <c r="G11" s="543"/>
      <c r="H11" s="544"/>
      <c r="I11" s="221"/>
    </row>
    <row r="12" spans="1:23" ht="19.95" customHeight="1">
      <c r="A12" s="9">
        <v>3</v>
      </c>
      <c r="B12" s="27" t="s">
        <v>392</v>
      </c>
      <c r="C12" s="298"/>
      <c r="D12" s="298"/>
      <c r="E12" s="160" t="e">
        <f t="shared" si="0"/>
        <v>#DIV/0!</v>
      </c>
      <c r="F12" s="542"/>
      <c r="G12" s="543"/>
      <c r="H12" s="544"/>
      <c r="I12" s="221"/>
    </row>
    <row r="13" spans="1:23" ht="19.95" customHeight="1">
      <c r="A13" s="9">
        <v>4</v>
      </c>
      <c r="B13" s="27" t="s">
        <v>393</v>
      </c>
      <c r="C13" s="298"/>
      <c r="D13" s="298"/>
      <c r="E13" s="160" t="e">
        <f t="shared" si="0"/>
        <v>#DIV/0!</v>
      </c>
      <c r="F13" s="542"/>
      <c r="G13" s="543"/>
      <c r="H13" s="544"/>
      <c r="I13" s="221"/>
    </row>
    <row r="14" spans="1:23" ht="19.95" customHeight="1">
      <c r="A14" s="9">
        <v>5</v>
      </c>
      <c r="B14" s="27" t="s">
        <v>394</v>
      </c>
      <c r="C14" s="298"/>
      <c r="D14" s="298"/>
      <c r="E14" s="160" t="e">
        <f t="shared" si="0"/>
        <v>#DIV/0!</v>
      </c>
      <c r="F14" s="542"/>
      <c r="G14" s="543"/>
      <c r="H14" s="544"/>
      <c r="I14" s="221"/>
    </row>
    <row r="15" spans="1:23" ht="19.95" customHeight="1">
      <c r="A15" s="9">
        <v>6</v>
      </c>
      <c r="B15" s="220" t="s">
        <v>395</v>
      </c>
      <c r="C15" s="298"/>
      <c r="D15" s="298"/>
      <c r="E15" s="160" t="e">
        <f t="shared" si="0"/>
        <v>#DIV/0!</v>
      </c>
      <c r="F15" s="542"/>
      <c r="G15" s="543"/>
      <c r="H15" s="544"/>
      <c r="I15" s="221"/>
    </row>
    <row r="16" spans="1:23" ht="19.95" customHeight="1">
      <c r="A16" s="9">
        <v>7</v>
      </c>
      <c r="B16" s="27" t="s">
        <v>396</v>
      </c>
      <c r="C16" s="298"/>
      <c r="D16" s="298"/>
      <c r="E16" s="160" t="e">
        <f t="shared" si="0"/>
        <v>#DIV/0!</v>
      </c>
      <c r="F16" s="542"/>
      <c r="G16" s="543"/>
      <c r="H16" s="544"/>
      <c r="I16" s="221"/>
    </row>
    <row r="17" spans="1:9" ht="19.95" customHeight="1">
      <c r="A17" s="211" t="s">
        <v>350</v>
      </c>
      <c r="B17" s="211"/>
      <c r="C17" s="10"/>
      <c r="D17" s="10"/>
      <c r="E17" s="10"/>
      <c r="F17" s="10"/>
      <c r="G17" s="29"/>
      <c r="H17" s="29"/>
    </row>
    <row r="18" spans="1:9" ht="19.95" customHeight="1">
      <c r="A18" s="2"/>
      <c r="B18" s="2"/>
      <c r="C18" s="2"/>
      <c r="D18" s="2"/>
      <c r="E18" s="2"/>
      <c r="F18" s="2"/>
      <c r="I18" s="166"/>
    </row>
    <row r="19" spans="1:9" ht="19.95" customHeight="1">
      <c r="A19" s="21" t="s">
        <v>351</v>
      </c>
      <c r="I19" s="166"/>
    </row>
    <row r="20" spans="1:9" ht="19.95" customHeight="1">
      <c r="A20" s="21"/>
      <c r="I20" s="166"/>
    </row>
    <row r="21" spans="1:9" ht="19.95" customHeight="1">
      <c r="A21" s="21"/>
    </row>
    <row r="22" spans="1:9" ht="19.95" customHeight="1">
      <c r="A22" s="21"/>
    </row>
    <row r="23" spans="1:9" ht="19.95" customHeight="1">
      <c r="A23" s="21"/>
    </row>
    <row r="24" spans="1:9" ht="19.95" customHeight="1">
      <c r="A24" s="364" t="s">
        <v>949</v>
      </c>
    </row>
    <row r="25" spans="1:9" ht="19.95" customHeight="1">
      <c r="A25" s="13" t="s">
        <v>397</v>
      </c>
    </row>
    <row r="26" spans="1:9" ht="19.95" customHeight="1">
      <c r="A26" s="13" t="s">
        <v>398</v>
      </c>
    </row>
  </sheetData>
  <mergeCells count="10">
    <mergeCell ref="F16:H16"/>
    <mergeCell ref="F13:H13"/>
    <mergeCell ref="A1:H1"/>
    <mergeCell ref="A2:H2"/>
    <mergeCell ref="F9:H9"/>
    <mergeCell ref="F10:H10"/>
    <mergeCell ref="F14:H14"/>
    <mergeCell ref="F11:H11"/>
    <mergeCell ref="F12:H12"/>
    <mergeCell ref="F15:H15"/>
  </mergeCells>
  <phoneticPr fontId="13" type="noConversion"/>
  <hyperlinks>
    <hyperlink ref="H3" location="底稿目录!A1" display="H5A"/>
  </hyperlinks>
  <pageMargins left="0.70866141732283472" right="0.70866141732283472" top="0.74803149606299213" bottom="0.74803149606299213" header="0.31496062992125984" footer="0.31496062992125984"/>
  <pageSetup paperSize="9" scale="91"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X40"/>
  <sheetViews>
    <sheetView view="pageBreakPreview" zoomScaleNormal="115" zoomScaleSheetLayoutView="100" workbookViewId="0">
      <selection sqref="A1:W1"/>
    </sheetView>
  </sheetViews>
  <sheetFormatPr defaultColWidth="9" defaultRowHeight="19.95" customHeight="1"/>
  <cols>
    <col min="1" max="1" width="8.296875" style="2" customWidth="1"/>
    <col min="2" max="3" width="13.19921875" style="2" customWidth="1"/>
    <col min="4" max="4" width="12.3984375" style="2" customWidth="1"/>
    <col min="5" max="5" width="9" style="2"/>
    <col min="6" max="8" width="10.8984375" style="2" customWidth="1"/>
    <col min="9" max="12" width="8.69921875" style="2" customWidth="1"/>
    <col min="13" max="13" width="8.3984375" style="2" customWidth="1"/>
    <col min="14" max="14" width="7.69921875" style="2" customWidth="1"/>
    <col min="15" max="15" width="8.5" style="2" customWidth="1"/>
    <col min="16" max="16" width="9.3984375" style="2" customWidth="1"/>
    <col min="17" max="17" width="6.5" style="2" customWidth="1"/>
    <col min="18" max="18" width="8.296875" style="14" customWidth="1"/>
    <col min="19" max="19" width="11.5" style="14" customWidth="1"/>
    <col min="20" max="20" width="7.5" style="14" customWidth="1"/>
    <col min="21" max="21" width="6.8984375" style="2" customWidth="1"/>
    <col min="22" max="23" width="8.3984375" style="2" customWidth="1"/>
    <col min="24" max="16384" width="9" style="2"/>
  </cols>
  <sheetData>
    <row r="1" spans="1:24" s="189" customFormat="1" ht="19.95" customHeight="1">
      <c r="A1" s="545" t="s">
        <v>879</v>
      </c>
      <c r="B1" s="545"/>
      <c r="C1" s="545"/>
      <c r="D1" s="545"/>
      <c r="E1" s="545"/>
      <c r="F1" s="545"/>
      <c r="G1" s="545"/>
      <c r="H1" s="545"/>
      <c r="I1" s="545"/>
      <c r="J1" s="545"/>
      <c r="K1" s="545"/>
      <c r="L1" s="545"/>
      <c r="M1" s="545"/>
      <c r="N1" s="545"/>
      <c r="O1" s="545"/>
      <c r="P1" s="545"/>
      <c r="Q1" s="545"/>
      <c r="R1" s="545"/>
      <c r="S1" s="545"/>
      <c r="T1" s="545"/>
      <c r="U1" s="545"/>
      <c r="V1" s="545"/>
      <c r="W1" s="545"/>
    </row>
    <row r="2" spans="1:24" s="268" customFormat="1" ht="19.95" customHeight="1">
      <c r="A2" s="546" t="s">
        <v>893</v>
      </c>
      <c r="B2" s="546"/>
      <c r="C2" s="546"/>
      <c r="D2" s="546"/>
      <c r="E2" s="546"/>
      <c r="F2" s="546"/>
      <c r="G2" s="546"/>
      <c r="H2" s="546"/>
      <c r="I2" s="546"/>
      <c r="J2" s="546"/>
      <c r="K2" s="546"/>
      <c r="L2" s="546"/>
      <c r="M2" s="546"/>
      <c r="N2" s="546"/>
      <c r="O2" s="546"/>
      <c r="P2" s="546"/>
      <c r="Q2" s="546"/>
      <c r="R2" s="546"/>
      <c r="S2" s="546"/>
      <c r="T2" s="546"/>
      <c r="U2" s="546"/>
      <c r="V2" s="546"/>
      <c r="W2" s="546"/>
    </row>
    <row r="3" spans="1:24" ht="19.95" customHeight="1">
      <c r="A3" s="2" t="str">
        <f>底稿目录!A2</f>
        <v>被审计单位：</v>
      </c>
      <c r="B3" s="14"/>
      <c r="C3" s="14"/>
      <c r="D3" s="14"/>
      <c r="E3" s="2" t="str">
        <f>底稿目录!A4</f>
        <v>编制人：</v>
      </c>
      <c r="F3" s="6"/>
      <c r="J3" s="2" t="str">
        <f>底稿目录!A6</f>
        <v>编制日期：</v>
      </c>
      <c r="K3" s="79"/>
      <c r="M3" s="22"/>
      <c r="N3" s="22"/>
      <c r="O3" s="22"/>
      <c r="P3" s="22"/>
      <c r="Q3" s="22"/>
      <c r="V3" s="339" t="s">
        <v>916</v>
      </c>
      <c r="W3" s="197" t="s">
        <v>164</v>
      </c>
    </row>
    <row r="4" spans="1:24" ht="19.95" customHeight="1">
      <c r="A4" s="2" t="str">
        <f>底稿目录!A3</f>
        <v>截止日：202X年12月31日</v>
      </c>
      <c r="B4" s="14"/>
      <c r="C4" s="14"/>
      <c r="D4" s="14"/>
      <c r="E4" s="2" t="str">
        <f>底稿目录!A5</f>
        <v>复核人：</v>
      </c>
      <c r="F4" s="6"/>
      <c r="J4" s="2" t="str">
        <f>底稿目录!A7</f>
        <v>复核日期：</v>
      </c>
      <c r="K4" s="79"/>
      <c r="M4" s="22"/>
      <c r="N4" s="22"/>
      <c r="O4" s="22"/>
      <c r="P4" s="22"/>
      <c r="Q4" s="22"/>
      <c r="V4" s="339" t="s">
        <v>917</v>
      </c>
      <c r="W4" s="163"/>
    </row>
    <row r="5" spans="1:24" s="434" customFormat="1" ht="31.2" customHeight="1">
      <c r="A5" s="554" t="s">
        <v>399</v>
      </c>
      <c r="B5" s="554"/>
      <c r="C5" s="554"/>
      <c r="D5" s="554"/>
      <c r="E5" s="554"/>
      <c r="F5" s="554"/>
      <c r="G5" s="554"/>
      <c r="H5" s="554"/>
      <c r="I5" s="554"/>
      <c r="J5" s="554"/>
      <c r="K5" s="554"/>
      <c r="L5" s="554"/>
      <c r="M5" s="554"/>
      <c r="N5" s="554"/>
      <c r="O5" s="554"/>
      <c r="P5" s="554"/>
      <c r="Q5" s="554"/>
      <c r="R5" s="554"/>
      <c r="S5" s="554"/>
      <c r="T5" s="554"/>
      <c r="U5" s="554"/>
      <c r="V5" s="554"/>
      <c r="W5" s="554"/>
    </row>
    <row r="6" spans="1:24" s="434" customFormat="1" ht="19.95" customHeight="1">
      <c r="A6" s="437" t="s">
        <v>400</v>
      </c>
      <c r="B6" s="437"/>
      <c r="C6" s="438"/>
      <c r="D6" s="438"/>
      <c r="E6" s="438"/>
      <c r="F6" s="438"/>
      <c r="G6" s="438"/>
      <c r="H6" s="438"/>
      <c r="I6" s="438"/>
      <c r="J6" s="438"/>
      <c r="K6" s="438"/>
      <c r="L6" s="439"/>
      <c r="M6" s="439"/>
      <c r="N6" s="439"/>
      <c r="O6" s="439"/>
      <c r="P6" s="439"/>
      <c r="Q6" s="439"/>
      <c r="R6" s="440"/>
      <c r="S6" s="441"/>
      <c r="T6" s="441"/>
      <c r="U6" s="442"/>
      <c r="V6" s="442"/>
      <c r="W6" s="443"/>
      <c r="X6" s="443"/>
    </row>
    <row r="7" spans="1:24" s="446" customFormat="1" ht="19.95" customHeight="1">
      <c r="A7" s="444" t="s">
        <v>401</v>
      </c>
      <c r="B7" s="445" t="s">
        <v>991</v>
      </c>
      <c r="C7" s="438"/>
      <c r="D7" s="438"/>
      <c r="E7" s="438"/>
      <c r="F7" s="444"/>
      <c r="G7" s="445"/>
      <c r="H7" s="438"/>
      <c r="I7" s="444" t="s">
        <v>402</v>
      </c>
      <c r="J7" s="445" t="s">
        <v>403</v>
      </c>
      <c r="K7" s="438"/>
    </row>
    <row r="8" spans="1:24" s="446" customFormat="1" ht="19.95" customHeight="1">
      <c r="A8" s="444" t="s">
        <v>404</v>
      </c>
      <c r="B8" s="445" t="s">
        <v>405</v>
      </c>
      <c r="C8" s="438"/>
      <c r="D8" s="438"/>
      <c r="E8" s="438"/>
      <c r="F8" s="444"/>
      <c r="G8" s="445"/>
      <c r="H8" s="438"/>
      <c r="I8" s="444" t="s">
        <v>406</v>
      </c>
      <c r="J8" s="445"/>
      <c r="K8" s="447" t="s">
        <v>992</v>
      </c>
      <c r="L8" s="447" t="s">
        <v>993</v>
      </c>
      <c r="M8" s="448"/>
    </row>
    <row r="9" spans="1:24" s="446" customFormat="1" ht="19.95" customHeight="1">
      <c r="A9" s="444" t="s">
        <v>407</v>
      </c>
      <c r="B9" s="487" t="s">
        <v>1079</v>
      </c>
      <c r="C9" s="438"/>
      <c r="D9" s="438"/>
      <c r="E9" s="438"/>
      <c r="F9" s="444"/>
      <c r="G9" s="445"/>
      <c r="H9" s="438"/>
      <c r="I9" s="444" t="s">
        <v>408</v>
      </c>
      <c r="J9" s="445" t="s">
        <v>409</v>
      </c>
      <c r="K9" s="438"/>
      <c r="L9" s="449"/>
      <c r="M9" s="448"/>
    </row>
    <row r="10" spans="1:24" s="18" customFormat="1" ht="19.95" customHeight="1">
      <c r="A10" s="44" t="s">
        <v>410</v>
      </c>
      <c r="B10" s="15"/>
      <c r="C10" s="15"/>
      <c r="D10" s="15"/>
      <c r="E10" s="16"/>
      <c r="F10" s="17"/>
      <c r="G10" s="17"/>
      <c r="H10" s="17"/>
      <c r="I10" s="17"/>
      <c r="J10" s="17"/>
      <c r="K10" s="17"/>
      <c r="R10" s="45"/>
      <c r="S10" s="45"/>
      <c r="T10" s="45"/>
    </row>
    <row r="11" spans="1:24" s="18" customFormat="1" ht="19.95" customHeight="1">
      <c r="A11" s="360" t="s">
        <v>940</v>
      </c>
      <c r="B11" s="15"/>
      <c r="C11" s="15"/>
      <c r="D11" s="15"/>
      <c r="E11" s="16"/>
      <c r="F11" s="17"/>
      <c r="G11" s="17"/>
      <c r="H11" s="17"/>
      <c r="I11" s="17"/>
      <c r="J11" s="17"/>
      <c r="K11" s="17"/>
      <c r="R11" s="45"/>
      <c r="S11" s="45"/>
      <c r="T11" s="45"/>
    </row>
    <row r="12" spans="1:24" ht="19.95" customHeight="1">
      <c r="A12" s="522" t="s">
        <v>411</v>
      </c>
      <c r="B12" s="555" t="s">
        <v>278</v>
      </c>
      <c r="C12" s="555" t="s">
        <v>279</v>
      </c>
      <c r="D12" s="555" t="s">
        <v>280</v>
      </c>
      <c r="E12" s="555" t="s">
        <v>412</v>
      </c>
      <c r="F12" s="555" t="s">
        <v>413</v>
      </c>
      <c r="G12" s="555" t="s">
        <v>414</v>
      </c>
      <c r="H12" s="555" t="s">
        <v>415</v>
      </c>
      <c r="I12" s="65" t="s">
        <v>416</v>
      </c>
      <c r="J12" s="65"/>
      <c r="K12" s="65"/>
      <c r="L12" s="65"/>
      <c r="M12" s="558" t="s">
        <v>1049</v>
      </c>
      <c r="N12" s="558"/>
      <c r="O12" s="558" t="s">
        <v>1054</v>
      </c>
      <c r="P12" s="558"/>
      <c r="Q12" s="558"/>
      <c r="R12" s="559" t="s">
        <v>1055</v>
      </c>
      <c r="S12" s="559"/>
      <c r="T12" s="559"/>
      <c r="U12" s="557" t="s">
        <v>141</v>
      </c>
      <c r="V12" s="557" t="s">
        <v>417</v>
      </c>
      <c r="W12" s="557" t="s">
        <v>418</v>
      </c>
      <c r="X12" s="222" t="s">
        <v>419</v>
      </c>
    </row>
    <row r="13" spans="1:24" ht="13.8">
      <c r="A13" s="522"/>
      <c r="B13" s="556"/>
      <c r="C13" s="556"/>
      <c r="D13" s="556"/>
      <c r="E13" s="556"/>
      <c r="F13" s="556"/>
      <c r="G13" s="556"/>
      <c r="H13" s="556"/>
      <c r="I13" s="173" t="s">
        <v>420</v>
      </c>
      <c r="J13" s="174" t="s">
        <v>421</v>
      </c>
      <c r="K13" s="174" t="s">
        <v>422</v>
      </c>
      <c r="L13" s="174" t="s">
        <v>423</v>
      </c>
      <c r="M13" s="450" t="s">
        <v>1056</v>
      </c>
      <c r="N13" s="450" t="s">
        <v>1057</v>
      </c>
      <c r="O13" s="450" t="s">
        <v>1050</v>
      </c>
      <c r="P13" s="451" t="s">
        <v>1058</v>
      </c>
      <c r="Q13" s="450" t="s">
        <v>1051</v>
      </c>
      <c r="R13" s="452" t="s">
        <v>1052</v>
      </c>
      <c r="S13" s="451" t="s">
        <v>1058</v>
      </c>
      <c r="T13" s="451" t="s">
        <v>1053</v>
      </c>
      <c r="U13" s="557"/>
      <c r="V13" s="557"/>
      <c r="W13" s="557"/>
    </row>
    <row r="14" spans="1:24" ht="19.95" customHeight="1">
      <c r="A14" s="84">
        <v>1</v>
      </c>
      <c r="B14" s="24"/>
      <c r="C14" s="299"/>
      <c r="D14" s="31"/>
      <c r="E14" s="300"/>
      <c r="F14" s="287"/>
      <c r="G14" s="299"/>
      <c r="H14" s="31"/>
      <c r="I14" s="293"/>
      <c r="J14" s="293"/>
      <c r="K14" s="293"/>
      <c r="L14" s="149">
        <f>I14-J14-K14</f>
        <v>0</v>
      </c>
      <c r="M14" s="300"/>
      <c r="N14" s="303"/>
      <c r="O14" s="300"/>
      <c r="P14" s="303"/>
      <c r="Q14" s="293"/>
      <c r="R14" s="300"/>
      <c r="S14" s="303"/>
      <c r="T14" s="293"/>
      <c r="U14" s="293"/>
      <c r="V14" s="307"/>
      <c r="W14" s="9"/>
    </row>
    <row r="15" spans="1:24" ht="19.95" customHeight="1">
      <c r="A15" s="84">
        <v>2</v>
      </c>
      <c r="B15" s="24"/>
      <c r="C15" s="299"/>
      <c r="D15" s="31"/>
      <c r="E15" s="300"/>
      <c r="F15" s="287"/>
      <c r="G15" s="299"/>
      <c r="H15" s="31"/>
      <c r="I15" s="293"/>
      <c r="J15" s="293"/>
      <c r="K15" s="293"/>
      <c r="L15" s="149">
        <f t="shared" ref="L15:L29" si="0">I15-J15-K15</f>
        <v>0</v>
      </c>
      <c r="M15" s="300"/>
      <c r="N15" s="303"/>
      <c r="O15" s="300"/>
      <c r="P15" s="303"/>
      <c r="Q15" s="293"/>
      <c r="R15" s="300"/>
      <c r="S15" s="303"/>
      <c r="T15" s="293"/>
      <c r="U15" s="293"/>
      <c r="V15" s="307"/>
      <c r="W15" s="9"/>
    </row>
    <row r="16" spans="1:24" ht="19.95" customHeight="1">
      <c r="A16" s="84">
        <v>3</v>
      </c>
      <c r="B16" s="24"/>
      <c r="C16" s="299"/>
      <c r="D16" s="31"/>
      <c r="E16" s="300"/>
      <c r="F16" s="287"/>
      <c r="G16" s="299"/>
      <c r="H16" s="31"/>
      <c r="I16" s="293"/>
      <c r="J16" s="293"/>
      <c r="K16" s="293"/>
      <c r="L16" s="149">
        <f t="shared" si="0"/>
        <v>0</v>
      </c>
      <c r="M16" s="300"/>
      <c r="N16" s="303"/>
      <c r="O16" s="300"/>
      <c r="P16" s="303"/>
      <c r="Q16" s="293"/>
      <c r="R16" s="300"/>
      <c r="S16" s="303"/>
      <c r="T16" s="293"/>
      <c r="U16" s="293"/>
      <c r="V16" s="307"/>
      <c r="W16" s="9"/>
    </row>
    <row r="17" spans="1:23" ht="19.95" customHeight="1">
      <c r="A17" s="84">
        <v>4</v>
      </c>
      <c r="B17" s="24"/>
      <c r="C17" s="299"/>
      <c r="D17" s="31"/>
      <c r="E17" s="300"/>
      <c r="F17" s="287"/>
      <c r="G17" s="299"/>
      <c r="H17" s="31"/>
      <c r="I17" s="293"/>
      <c r="J17" s="293"/>
      <c r="K17" s="293"/>
      <c r="L17" s="149">
        <f t="shared" si="0"/>
        <v>0</v>
      </c>
      <c r="M17" s="300"/>
      <c r="N17" s="303"/>
      <c r="O17" s="300"/>
      <c r="P17" s="303"/>
      <c r="Q17" s="293"/>
      <c r="R17" s="300"/>
      <c r="S17" s="303"/>
      <c r="T17" s="293"/>
      <c r="U17" s="293"/>
      <c r="V17" s="307"/>
      <c r="W17" s="9"/>
    </row>
    <row r="18" spans="1:23" ht="19.95" customHeight="1">
      <c r="A18" s="84">
        <v>5</v>
      </c>
      <c r="B18" s="24"/>
      <c r="C18" s="299"/>
      <c r="D18" s="31"/>
      <c r="E18" s="300"/>
      <c r="F18" s="287"/>
      <c r="G18" s="299"/>
      <c r="H18" s="31"/>
      <c r="I18" s="293"/>
      <c r="J18" s="293"/>
      <c r="K18" s="293"/>
      <c r="L18" s="149">
        <f t="shared" si="0"/>
        <v>0</v>
      </c>
      <c r="M18" s="300"/>
      <c r="N18" s="303"/>
      <c r="O18" s="300"/>
      <c r="P18" s="303"/>
      <c r="Q18" s="293"/>
      <c r="R18" s="300"/>
      <c r="S18" s="303"/>
      <c r="T18" s="293"/>
      <c r="U18" s="293"/>
      <c r="V18" s="307"/>
      <c r="W18" s="9"/>
    </row>
    <row r="19" spans="1:23" ht="19.95" customHeight="1">
      <c r="A19" s="84">
        <v>6</v>
      </c>
      <c r="B19" s="24"/>
      <c r="C19" s="299"/>
      <c r="D19" s="31"/>
      <c r="E19" s="300"/>
      <c r="F19" s="287"/>
      <c r="G19" s="299"/>
      <c r="H19" s="31"/>
      <c r="I19" s="293"/>
      <c r="J19" s="293"/>
      <c r="K19" s="293"/>
      <c r="L19" s="149">
        <f t="shared" si="0"/>
        <v>0</v>
      </c>
      <c r="M19" s="300"/>
      <c r="N19" s="303"/>
      <c r="O19" s="300"/>
      <c r="P19" s="303"/>
      <c r="Q19" s="293"/>
      <c r="R19" s="300"/>
      <c r="S19" s="303"/>
      <c r="T19" s="293"/>
      <c r="U19" s="293"/>
      <c r="V19" s="307"/>
      <c r="W19" s="9"/>
    </row>
    <row r="20" spans="1:23" ht="19.95" customHeight="1">
      <c r="A20" s="84">
        <v>7</v>
      </c>
      <c r="B20" s="24"/>
      <c r="C20" s="299"/>
      <c r="D20" s="31"/>
      <c r="E20" s="300"/>
      <c r="F20" s="287"/>
      <c r="G20" s="299"/>
      <c r="H20" s="31"/>
      <c r="I20" s="293"/>
      <c r="J20" s="293"/>
      <c r="K20" s="293"/>
      <c r="L20" s="149">
        <f t="shared" si="0"/>
        <v>0</v>
      </c>
      <c r="M20" s="300"/>
      <c r="N20" s="303"/>
      <c r="O20" s="300"/>
      <c r="P20" s="303"/>
      <c r="Q20" s="293"/>
      <c r="R20" s="300"/>
      <c r="S20" s="303"/>
      <c r="T20" s="293"/>
      <c r="U20" s="293"/>
      <c r="V20" s="307"/>
      <c r="W20" s="9"/>
    </row>
    <row r="21" spans="1:23" ht="19.95" customHeight="1">
      <c r="A21" s="84">
        <v>8</v>
      </c>
      <c r="B21" s="24"/>
      <c r="C21" s="299"/>
      <c r="D21" s="31"/>
      <c r="E21" s="300"/>
      <c r="F21" s="287"/>
      <c r="G21" s="299"/>
      <c r="H21" s="31"/>
      <c r="I21" s="293"/>
      <c r="J21" s="293"/>
      <c r="K21" s="293"/>
      <c r="L21" s="149">
        <f t="shared" si="0"/>
        <v>0</v>
      </c>
      <c r="M21" s="300"/>
      <c r="N21" s="303"/>
      <c r="O21" s="300"/>
      <c r="P21" s="303"/>
      <c r="Q21" s="293"/>
      <c r="R21" s="300"/>
      <c r="S21" s="303"/>
      <c r="T21" s="293"/>
      <c r="U21" s="293"/>
      <c r="V21" s="307"/>
      <c r="W21" s="9"/>
    </row>
    <row r="22" spans="1:23" ht="19.95" customHeight="1">
      <c r="A22" s="84">
        <v>9</v>
      </c>
      <c r="B22" s="24"/>
      <c r="C22" s="299"/>
      <c r="D22" s="31"/>
      <c r="E22" s="300"/>
      <c r="F22" s="287"/>
      <c r="G22" s="299"/>
      <c r="H22" s="31"/>
      <c r="I22" s="293"/>
      <c r="J22" s="293"/>
      <c r="K22" s="293"/>
      <c r="L22" s="149">
        <f t="shared" si="0"/>
        <v>0</v>
      </c>
      <c r="M22" s="300"/>
      <c r="N22" s="303"/>
      <c r="O22" s="300"/>
      <c r="P22" s="303"/>
      <c r="Q22" s="293"/>
      <c r="R22" s="300"/>
      <c r="S22" s="303"/>
      <c r="T22" s="293"/>
      <c r="U22" s="293"/>
      <c r="V22" s="307"/>
      <c r="W22" s="9"/>
    </row>
    <row r="23" spans="1:23" ht="19.95" customHeight="1">
      <c r="A23" s="84">
        <v>10</v>
      </c>
      <c r="B23" s="24"/>
      <c r="C23" s="299"/>
      <c r="D23" s="31"/>
      <c r="E23" s="300"/>
      <c r="F23" s="287"/>
      <c r="G23" s="299"/>
      <c r="H23" s="31"/>
      <c r="I23" s="293"/>
      <c r="J23" s="293"/>
      <c r="K23" s="293"/>
      <c r="L23" s="149">
        <f t="shared" si="0"/>
        <v>0</v>
      </c>
      <c r="M23" s="300"/>
      <c r="N23" s="303"/>
      <c r="O23" s="300"/>
      <c r="P23" s="303"/>
      <c r="Q23" s="293"/>
      <c r="R23" s="300"/>
      <c r="S23" s="303"/>
      <c r="T23" s="293"/>
      <c r="U23" s="293"/>
      <c r="V23" s="307"/>
      <c r="W23" s="9"/>
    </row>
    <row r="24" spans="1:23" ht="19.95" customHeight="1">
      <c r="A24" s="84">
        <v>11</v>
      </c>
      <c r="B24" s="24"/>
      <c r="C24" s="299"/>
      <c r="D24" s="31"/>
      <c r="E24" s="300"/>
      <c r="F24" s="287"/>
      <c r="G24" s="299"/>
      <c r="H24" s="31"/>
      <c r="I24" s="293"/>
      <c r="J24" s="293"/>
      <c r="K24" s="293"/>
      <c r="L24" s="149">
        <f t="shared" si="0"/>
        <v>0</v>
      </c>
      <c r="M24" s="300"/>
      <c r="N24" s="303"/>
      <c r="O24" s="300"/>
      <c r="P24" s="303"/>
      <c r="Q24" s="293"/>
      <c r="R24" s="300"/>
      <c r="S24" s="303"/>
      <c r="T24" s="293"/>
      <c r="U24" s="293"/>
      <c r="V24" s="307"/>
      <c r="W24" s="9"/>
    </row>
    <row r="25" spans="1:23" ht="19.95" customHeight="1">
      <c r="A25" s="84">
        <v>12</v>
      </c>
      <c r="B25" s="24"/>
      <c r="C25" s="299"/>
      <c r="D25" s="31"/>
      <c r="E25" s="300"/>
      <c r="F25" s="287"/>
      <c r="G25" s="299"/>
      <c r="H25" s="31"/>
      <c r="I25" s="293"/>
      <c r="J25" s="293"/>
      <c r="K25" s="293"/>
      <c r="L25" s="149">
        <f t="shared" si="0"/>
        <v>0</v>
      </c>
      <c r="M25" s="300"/>
      <c r="N25" s="303"/>
      <c r="O25" s="300"/>
      <c r="P25" s="303"/>
      <c r="Q25" s="293"/>
      <c r="R25" s="300"/>
      <c r="S25" s="303"/>
      <c r="T25" s="293"/>
      <c r="U25" s="293"/>
      <c r="V25" s="307"/>
      <c r="W25" s="9"/>
    </row>
    <row r="26" spans="1:23" ht="19.95" customHeight="1">
      <c r="A26" s="84">
        <v>13</v>
      </c>
      <c r="B26" s="24"/>
      <c r="C26" s="299"/>
      <c r="D26" s="31"/>
      <c r="E26" s="300"/>
      <c r="F26" s="287"/>
      <c r="G26" s="299"/>
      <c r="H26" s="31"/>
      <c r="I26" s="293"/>
      <c r="J26" s="293"/>
      <c r="K26" s="293"/>
      <c r="L26" s="149">
        <f t="shared" si="0"/>
        <v>0</v>
      </c>
      <c r="M26" s="300"/>
      <c r="N26" s="303"/>
      <c r="O26" s="300"/>
      <c r="P26" s="303"/>
      <c r="Q26" s="293"/>
      <c r="R26" s="300"/>
      <c r="S26" s="303"/>
      <c r="T26" s="293"/>
      <c r="U26" s="293"/>
      <c r="V26" s="307"/>
      <c r="W26" s="9"/>
    </row>
    <row r="27" spans="1:23" ht="19.95" customHeight="1">
      <c r="A27" s="84">
        <v>14</v>
      </c>
      <c r="B27" s="24"/>
      <c r="C27" s="299"/>
      <c r="D27" s="31"/>
      <c r="E27" s="300"/>
      <c r="F27" s="287"/>
      <c r="G27" s="299"/>
      <c r="H27" s="31"/>
      <c r="I27" s="293"/>
      <c r="J27" s="293"/>
      <c r="K27" s="293"/>
      <c r="L27" s="149">
        <f t="shared" si="0"/>
        <v>0</v>
      </c>
      <c r="M27" s="300"/>
      <c r="N27" s="303"/>
      <c r="O27" s="300"/>
      <c r="P27" s="303"/>
      <c r="Q27" s="293"/>
      <c r="R27" s="300"/>
      <c r="S27" s="303"/>
      <c r="T27" s="293"/>
      <c r="U27" s="293"/>
      <c r="V27" s="307"/>
      <c r="W27" s="9"/>
    </row>
    <row r="28" spans="1:23" ht="19.95" customHeight="1">
      <c r="A28" s="84">
        <v>15</v>
      </c>
      <c r="B28" s="24"/>
      <c r="C28" s="299"/>
      <c r="D28" s="31"/>
      <c r="E28" s="300"/>
      <c r="F28" s="287"/>
      <c r="G28" s="299"/>
      <c r="H28" s="31"/>
      <c r="I28" s="293"/>
      <c r="J28" s="293"/>
      <c r="K28" s="293"/>
      <c r="L28" s="149">
        <f t="shared" si="0"/>
        <v>0</v>
      </c>
      <c r="M28" s="300"/>
      <c r="N28" s="303"/>
      <c r="O28" s="300"/>
      <c r="P28" s="303"/>
      <c r="Q28" s="293"/>
      <c r="R28" s="300"/>
      <c r="S28" s="303"/>
      <c r="T28" s="293"/>
      <c r="U28" s="293"/>
      <c r="V28" s="307"/>
      <c r="W28" s="9"/>
    </row>
    <row r="29" spans="1:23" ht="19.95" customHeight="1">
      <c r="A29" s="84" t="s">
        <v>1080</v>
      </c>
      <c r="B29" s="24"/>
      <c r="C29" s="299"/>
      <c r="D29" s="31"/>
      <c r="E29" s="300"/>
      <c r="F29" s="287"/>
      <c r="G29" s="299"/>
      <c r="H29" s="31"/>
      <c r="I29" s="293"/>
      <c r="J29" s="293"/>
      <c r="K29" s="293"/>
      <c r="L29" s="149">
        <f t="shared" si="0"/>
        <v>0</v>
      </c>
      <c r="M29" s="300"/>
      <c r="N29" s="303"/>
      <c r="O29" s="300"/>
      <c r="P29" s="303"/>
      <c r="Q29" s="293"/>
      <c r="R29" s="300"/>
      <c r="S29" s="303"/>
      <c r="T29" s="293"/>
      <c r="U29" s="293"/>
      <c r="V29" s="307"/>
      <c r="W29" s="9"/>
    </row>
    <row r="30" spans="1:23" ht="19.95" customHeight="1">
      <c r="A30" s="550" t="s">
        <v>345</v>
      </c>
      <c r="B30" s="551"/>
      <c r="C30" s="551"/>
      <c r="D30" s="551"/>
      <c r="E30" s="551"/>
      <c r="F30" s="552"/>
      <c r="G30" s="301"/>
      <c r="H30" s="301"/>
      <c r="I30" s="149">
        <f>SUM(I14:I29)</f>
        <v>0</v>
      </c>
      <c r="J30" s="149">
        <f>SUM(J14:J29)</f>
        <v>0</v>
      </c>
      <c r="K30" s="149">
        <f t="shared" ref="K30:L30" si="1">SUM(K14:K29)</f>
        <v>0</v>
      </c>
      <c r="L30" s="149">
        <f t="shared" si="1"/>
        <v>0</v>
      </c>
      <c r="M30" s="304"/>
      <c r="N30" s="305"/>
      <c r="O30" s="305"/>
      <c r="P30" s="305"/>
      <c r="Q30" s="305"/>
      <c r="R30" s="306"/>
      <c r="S30" s="306"/>
      <c r="T30" s="306"/>
      <c r="U30" s="305"/>
      <c r="V30" s="305"/>
      <c r="W30" s="305"/>
    </row>
    <row r="31" spans="1:23" ht="19.95" customHeight="1">
      <c r="A31" s="550" t="s">
        <v>424</v>
      </c>
      <c r="B31" s="551"/>
      <c r="C31" s="551"/>
      <c r="D31" s="551"/>
      <c r="E31" s="551"/>
      <c r="F31" s="552"/>
      <c r="G31" s="301"/>
      <c r="H31" s="301"/>
      <c r="I31" s="147">
        <f>'明细表H5-2'!N33</f>
        <v>0</v>
      </c>
      <c r="J31" s="301"/>
      <c r="K31" s="301"/>
      <c r="L31" s="301"/>
      <c r="M31" s="301"/>
      <c r="N31" s="301"/>
      <c r="O31" s="301"/>
      <c r="P31" s="301"/>
      <c r="Q31" s="301"/>
      <c r="R31" s="301"/>
      <c r="S31" s="301"/>
      <c r="T31" s="301"/>
      <c r="U31" s="301"/>
      <c r="V31" s="301"/>
      <c r="W31" s="301"/>
    </row>
    <row r="32" spans="1:23" ht="19.95" customHeight="1">
      <c r="A32" s="553" t="s">
        <v>1082</v>
      </c>
      <c r="B32" s="551"/>
      <c r="C32" s="551"/>
      <c r="D32" s="551"/>
      <c r="E32" s="551"/>
      <c r="F32" s="552"/>
      <c r="G32" s="302"/>
      <c r="H32" s="302"/>
      <c r="I32" s="150">
        <f>IF(I30=0,0,I30/$I$31)</f>
        <v>0</v>
      </c>
      <c r="J32" s="302"/>
      <c r="K32" s="302"/>
      <c r="L32" s="302"/>
      <c r="M32" s="302"/>
      <c r="N32" s="302"/>
      <c r="O32" s="302"/>
      <c r="P32" s="302"/>
      <c r="Q32" s="302"/>
      <c r="R32" s="302"/>
      <c r="S32" s="302"/>
      <c r="T32" s="302"/>
      <c r="U32" s="302"/>
      <c r="V32" s="302"/>
      <c r="W32" s="302"/>
    </row>
    <row r="33" spans="1:23" ht="19.95" customHeight="1">
      <c r="A33" s="223" t="s">
        <v>425</v>
      </c>
      <c r="B33" s="10"/>
      <c r="C33" s="10"/>
      <c r="D33" s="10"/>
      <c r="E33" s="10"/>
      <c r="F33" s="10"/>
      <c r="G33" s="10"/>
      <c r="H33" s="10"/>
      <c r="I33" s="10"/>
      <c r="J33" s="10"/>
      <c r="K33" s="10"/>
      <c r="L33" s="10"/>
      <c r="M33" s="211"/>
      <c r="N33" s="211"/>
      <c r="O33" s="211"/>
      <c r="P33" s="211"/>
      <c r="Q33" s="211"/>
      <c r="R33" s="161"/>
      <c r="S33" s="161"/>
      <c r="T33" s="161"/>
      <c r="U33" s="32"/>
      <c r="V33" s="32"/>
      <c r="W33" s="32"/>
    </row>
    <row r="34" spans="1:23" ht="19.95" customHeight="1">
      <c r="A34" s="488" t="s">
        <v>1083</v>
      </c>
      <c r="M34" s="188"/>
      <c r="N34" s="22"/>
      <c r="O34" s="22"/>
      <c r="P34" s="22"/>
      <c r="Q34" s="22"/>
      <c r="R34" s="162"/>
      <c r="S34" s="162"/>
      <c r="T34" s="162"/>
      <c r="U34" s="22"/>
      <c r="V34" s="22"/>
      <c r="W34" s="22"/>
    </row>
    <row r="35" spans="1:23" ht="19.95" customHeight="1">
      <c r="A35" s="488" t="s">
        <v>1084</v>
      </c>
      <c r="M35" s="188"/>
      <c r="N35" s="22"/>
      <c r="O35" s="22"/>
      <c r="P35" s="22"/>
      <c r="Q35" s="22"/>
      <c r="R35" s="162"/>
      <c r="S35" s="162"/>
      <c r="T35" s="162"/>
      <c r="U35" s="22"/>
      <c r="V35" s="22"/>
      <c r="W35" s="22"/>
    </row>
    <row r="36" spans="1:23" ht="19.95" customHeight="1">
      <c r="A36" s="21" t="s">
        <v>426</v>
      </c>
      <c r="M36" s="188"/>
      <c r="N36" s="22"/>
      <c r="O36" s="22"/>
      <c r="P36" s="22"/>
      <c r="Q36" s="22"/>
      <c r="R36" s="162"/>
      <c r="S36" s="162"/>
      <c r="T36" s="162"/>
      <c r="U36" s="22"/>
      <c r="V36" s="22"/>
      <c r="W36" s="22"/>
    </row>
    <row r="37" spans="1:23" ht="19.95" customHeight="1">
      <c r="M37" s="188"/>
      <c r="N37" s="22"/>
      <c r="O37" s="22"/>
      <c r="P37" s="22"/>
      <c r="Q37" s="22"/>
      <c r="R37" s="162"/>
      <c r="S37" s="162"/>
      <c r="T37" s="162"/>
      <c r="U37" s="22"/>
      <c r="V37" s="22"/>
      <c r="W37" s="22"/>
    </row>
    <row r="38" spans="1:23" ht="19.95" customHeight="1">
      <c r="A38" s="12"/>
      <c r="B38" s="22"/>
      <c r="C38" s="22"/>
      <c r="D38" s="22"/>
      <c r="E38" s="22"/>
      <c r="F38" s="22"/>
      <c r="G38" s="22"/>
      <c r="H38" s="22"/>
      <c r="I38" s="22"/>
      <c r="J38" s="22"/>
      <c r="K38" s="22"/>
      <c r="L38" s="22"/>
      <c r="M38" s="22"/>
      <c r="N38" s="22"/>
      <c r="O38" s="22"/>
      <c r="P38" s="22"/>
      <c r="Q38" s="22"/>
      <c r="R38" s="162"/>
      <c r="S38" s="162"/>
      <c r="T38" s="162"/>
      <c r="U38" s="22"/>
      <c r="V38" s="22"/>
      <c r="W38" s="22"/>
    </row>
    <row r="40" spans="1:23" ht="19.95" customHeight="1">
      <c r="A40" s="224"/>
    </row>
  </sheetData>
  <mergeCells count="20">
    <mergeCell ref="O12:Q12"/>
    <mergeCell ref="R12:T12"/>
    <mergeCell ref="U12:U13"/>
    <mergeCell ref="V12:V13"/>
    <mergeCell ref="A30:F30"/>
    <mergeCell ref="A31:F31"/>
    <mergeCell ref="A32:F32"/>
    <mergeCell ref="A5:W5"/>
    <mergeCell ref="A1:W1"/>
    <mergeCell ref="A2:W2"/>
    <mergeCell ref="A12:A13"/>
    <mergeCell ref="B12:B13"/>
    <mergeCell ref="D12:D13"/>
    <mergeCell ref="C12:C13"/>
    <mergeCell ref="E12:E13"/>
    <mergeCell ref="F12:F13"/>
    <mergeCell ref="G12:G13"/>
    <mergeCell ref="H12:H13"/>
    <mergeCell ref="W12:W13"/>
    <mergeCell ref="M12:N12"/>
  </mergeCells>
  <phoneticPr fontId="9" type="noConversion"/>
  <dataValidations count="3">
    <dataValidation type="list" allowBlank="1" showInputMessage="1" showErrorMessage="1" sqref="N30:W30">
      <formula1>"√,×"</formula1>
    </dataValidation>
    <dataValidation type="list" allowBlank="1" showInputMessage="1" showErrorMessage="1" prompt="如要修改下列框的选项，单击“数据-数据有效性-设置-序列-来源”。" sqref="B14:B29">
      <formula1>"探明矿区权益,未探明矿区权益,井及相关设施,其他设备"</formula1>
    </dataValidation>
    <dataValidation type="list" allowBlank="1" showInputMessage="1" showErrorMessage="1" prompt="如要修改下列框的选项，单击“数据-数据有效性-设置-序列-来源”。" sqref="F14:F29">
      <formula1>"外购,自行建造,其他增加"</formula1>
    </dataValidation>
  </dataValidations>
  <hyperlinks>
    <hyperlink ref="W3" location="底稿目录!A1" display="H5A"/>
  </hyperlinks>
  <printOptions horizontalCentered="1"/>
  <pageMargins left="0.70866141732283472" right="0.70866141732283472" top="0.74803149606299213" bottom="0.74803149606299213" header="0.31496062992125984" footer="0.31496062992125984"/>
  <pageSetup paperSize="9" scale="57"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X41"/>
  <sheetViews>
    <sheetView view="pageBreakPreview" zoomScaleNormal="115" zoomScaleSheetLayoutView="100" workbookViewId="0">
      <selection sqref="A1:W1"/>
    </sheetView>
  </sheetViews>
  <sheetFormatPr defaultColWidth="9" defaultRowHeight="19.95" customHeight="1"/>
  <cols>
    <col min="1" max="1" width="7.59765625" style="2" customWidth="1"/>
    <col min="2" max="2" width="13.09765625" style="2" customWidth="1"/>
    <col min="3" max="3" width="13" style="2" customWidth="1"/>
    <col min="4" max="4" width="12.19921875" style="2" customWidth="1"/>
    <col min="5" max="5" width="9" style="2"/>
    <col min="6" max="6" width="10.19921875" style="2" customWidth="1"/>
    <col min="7" max="7" width="7.3984375" style="2" customWidth="1"/>
    <col min="8" max="8" width="10.19921875" style="2" customWidth="1"/>
    <col min="9" max="9" width="9.69921875" style="2" customWidth="1"/>
    <col min="10" max="15" width="8.69921875" style="2" customWidth="1"/>
    <col min="16" max="16" width="8.59765625" style="2" customWidth="1"/>
    <col min="17" max="17" width="7.796875" style="2" customWidth="1"/>
    <col min="18" max="18" width="8.796875" style="2" bestFit="1" customWidth="1"/>
    <col min="19" max="19" width="8.296875" style="2" customWidth="1"/>
    <col min="20" max="20" width="5.69921875" style="2" customWidth="1"/>
    <col min="21" max="21" width="6.296875" style="2" customWidth="1"/>
    <col min="22" max="22" width="6.59765625" style="2" bestFit="1" customWidth="1"/>
    <col min="23" max="16384" width="9" style="2"/>
  </cols>
  <sheetData>
    <row r="1" spans="1:24" s="189" customFormat="1" ht="19.95" customHeight="1">
      <c r="A1" s="545" t="s">
        <v>879</v>
      </c>
      <c r="B1" s="545"/>
      <c r="C1" s="545"/>
      <c r="D1" s="545"/>
      <c r="E1" s="545"/>
      <c r="F1" s="545"/>
      <c r="G1" s="545"/>
      <c r="H1" s="545"/>
      <c r="I1" s="545"/>
      <c r="J1" s="545"/>
      <c r="K1" s="545"/>
      <c r="L1" s="545"/>
      <c r="M1" s="545"/>
      <c r="N1" s="545"/>
      <c r="O1" s="545"/>
      <c r="P1" s="545"/>
      <c r="Q1" s="545"/>
      <c r="R1" s="545"/>
      <c r="S1" s="545"/>
      <c r="T1" s="545"/>
      <c r="U1" s="545"/>
      <c r="V1" s="545"/>
      <c r="W1" s="545"/>
    </row>
    <row r="2" spans="1:24" s="268" customFormat="1" ht="19.95" customHeight="1">
      <c r="A2" s="546" t="s">
        <v>892</v>
      </c>
      <c r="B2" s="546"/>
      <c r="C2" s="546"/>
      <c r="D2" s="546"/>
      <c r="E2" s="546"/>
      <c r="F2" s="546"/>
      <c r="G2" s="546"/>
      <c r="H2" s="546"/>
      <c r="I2" s="546"/>
      <c r="J2" s="546"/>
      <c r="K2" s="546"/>
      <c r="L2" s="546"/>
      <c r="M2" s="546"/>
      <c r="N2" s="546"/>
      <c r="O2" s="546"/>
      <c r="P2" s="546"/>
      <c r="Q2" s="546"/>
      <c r="R2" s="546"/>
      <c r="S2" s="546"/>
      <c r="T2" s="546"/>
      <c r="U2" s="546"/>
      <c r="V2" s="546"/>
      <c r="W2" s="546"/>
    </row>
    <row r="3" spans="1:24" ht="19.95" customHeight="1">
      <c r="A3" s="2" t="str">
        <f>底稿目录!A2</f>
        <v>被审计单位：</v>
      </c>
      <c r="C3" s="14"/>
      <c r="F3" s="6"/>
      <c r="G3" s="2" t="str">
        <f>底稿目录!A4</f>
        <v>编制人：</v>
      </c>
      <c r="L3" s="2" t="str">
        <f>底稿目录!A6</f>
        <v>编制日期：</v>
      </c>
      <c r="V3" s="339" t="s">
        <v>916</v>
      </c>
      <c r="W3" s="197" t="s">
        <v>165</v>
      </c>
    </row>
    <row r="4" spans="1:24" ht="19.95" customHeight="1">
      <c r="A4" s="2" t="str">
        <f>底稿目录!A3</f>
        <v>截止日：202X年12月31日</v>
      </c>
      <c r="C4" s="14"/>
      <c r="F4" s="6"/>
      <c r="G4" s="2" t="str">
        <f>底稿目录!A5</f>
        <v>复核人：</v>
      </c>
      <c r="L4" s="2" t="str">
        <f>底稿目录!A7</f>
        <v>复核日期：</v>
      </c>
      <c r="V4" s="339" t="s">
        <v>917</v>
      </c>
      <c r="W4" s="163"/>
    </row>
    <row r="5" spans="1:24" s="434" customFormat="1" ht="33" customHeight="1">
      <c r="A5" s="554" t="s">
        <v>427</v>
      </c>
      <c r="B5" s="554"/>
      <c r="C5" s="554"/>
      <c r="D5" s="554"/>
      <c r="E5" s="554"/>
      <c r="F5" s="554"/>
      <c r="G5" s="554"/>
      <c r="H5" s="554"/>
      <c r="I5" s="554"/>
      <c r="J5" s="554"/>
      <c r="K5" s="554"/>
      <c r="L5" s="554"/>
      <c r="M5" s="554"/>
      <c r="N5" s="554"/>
      <c r="O5" s="554"/>
      <c r="P5" s="554"/>
      <c r="Q5" s="554"/>
      <c r="R5" s="554"/>
      <c r="S5" s="554"/>
      <c r="T5" s="554"/>
      <c r="U5" s="554"/>
      <c r="V5" s="554"/>
      <c r="W5" s="554"/>
    </row>
    <row r="6" spans="1:24" s="434" customFormat="1" ht="19.95" customHeight="1">
      <c r="A6" s="437" t="s">
        <v>436</v>
      </c>
      <c r="B6" s="437"/>
      <c r="C6" s="438"/>
      <c r="D6" s="438"/>
      <c r="E6" s="438"/>
      <c r="F6" s="438"/>
      <c r="G6" s="438"/>
      <c r="H6" s="438"/>
      <c r="I6" s="438"/>
      <c r="J6" s="438"/>
      <c r="K6" s="438"/>
      <c r="L6" s="439"/>
      <c r="M6" s="439"/>
      <c r="N6" s="439"/>
      <c r="O6" s="439"/>
      <c r="P6" s="439"/>
      <c r="Q6" s="439"/>
      <c r="R6" s="442"/>
      <c r="S6" s="442"/>
      <c r="T6" s="442"/>
      <c r="U6" s="442"/>
      <c r="V6" s="443"/>
      <c r="W6" s="443"/>
    </row>
    <row r="7" spans="1:24" s="446" customFormat="1" ht="19.95" customHeight="1">
      <c r="A7" s="444" t="s">
        <v>437</v>
      </c>
      <c r="B7" s="445" t="s">
        <v>995</v>
      </c>
      <c r="C7" s="438"/>
      <c r="D7" s="438"/>
      <c r="E7" s="438"/>
      <c r="F7" s="444"/>
      <c r="G7" s="445"/>
      <c r="H7" s="438"/>
      <c r="I7" s="444" t="s">
        <v>438</v>
      </c>
      <c r="J7" s="445" t="s">
        <v>439</v>
      </c>
      <c r="K7" s="438"/>
    </row>
    <row r="8" spans="1:24" s="446" customFormat="1" ht="19.95" customHeight="1">
      <c r="A8" s="444" t="s">
        <v>440</v>
      </c>
      <c r="B8" s="445" t="s">
        <v>441</v>
      </c>
      <c r="C8" s="438"/>
      <c r="D8" s="438"/>
      <c r="E8" s="438"/>
      <c r="F8" s="444"/>
      <c r="G8" s="445"/>
      <c r="H8" s="438"/>
      <c r="I8" s="444" t="s">
        <v>428</v>
      </c>
      <c r="J8" s="445"/>
      <c r="K8" s="447" t="s">
        <v>992</v>
      </c>
      <c r="L8" s="447" t="s">
        <v>993</v>
      </c>
      <c r="M8" s="448"/>
    </row>
    <row r="9" spans="1:24" s="446" customFormat="1" ht="19.95" customHeight="1">
      <c r="A9" s="444" t="s">
        <v>442</v>
      </c>
      <c r="B9" s="487" t="s">
        <v>1079</v>
      </c>
      <c r="C9" s="438"/>
      <c r="D9" s="438"/>
      <c r="E9" s="438"/>
      <c r="F9" s="444"/>
      <c r="G9" s="445"/>
      <c r="H9" s="438"/>
      <c r="I9" s="444" t="s">
        <v>443</v>
      </c>
      <c r="J9" s="445" t="s">
        <v>444</v>
      </c>
      <c r="K9" s="438"/>
      <c r="L9" s="449"/>
      <c r="M9" s="448"/>
    </row>
    <row r="10" spans="1:24" s="18" customFormat="1" ht="19.95" customHeight="1">
      <c r="A10" s="44" t="s">
        <v>445</v>
      </c>
      <c r="B10" s="15"/>
      <c r="C10" s="15"/>
      <c r="D10" s="15"/>
      <c r="E10" s="16"/>
      <c r="F10" s="17"/>
      <c r="G10" s="17"/>
      <c r="H10" s="17"/>
    </row>
    <row r="11" spans="1:24" s="18" customFormat="1" ht="19.95" customHeight="1">
      <c r="A11" s="360" t="s">
        <v>941</v>
      </c>
      <c r="B11" s="15"/>
      <c r="C11" s="15"/>
      <c r="D11" s="15"/>
      <c r="E11" s="16"/>
      <c r="F11" s="17"/>
      <c r="G11" s="17"/>
      <c r="H11" s="17"/>
    </row>
    <row r="12" spans="1:24" ht="19.95" customHeight="1">
      <c r="A12" s="522" t="s">
        <v>446</v>
      </c>
      <c r="B12" s="555" t="s">
        <v>278</v>
      </c>
      <c r="C12" s="555" t="s">
        <v>279</v>
      </c>
      <c r="D12" s="555" t="s">
        <v>280</v>
      </c>
      <c r="E12" s="555" t="s">
        <v>429</v>
      </c>
      <c r="F12" s="555" t="s">
        <v>430</v>
      </c>
      <c r="G12" s="555" t="s">
        <v>447</v>
      </c>
      <c r="H12" s="555" t="s">
        <v>431</v>
      </c>
      <c r="I12" s="561" t="s">
        <v>448</v>
      </c>
      <c r="J12" s="562"/>
      <c r="K12" s="562"/>
      <c r="L12" s="562"/>
      <c r="M12" s="562"/>
      <c r="N12" s="562"/>
      <c r="O12" s="563"/>
      <c r="P12" s="567" t="s">
        <v>1059</v>
      </c>
      <c r="Q12" s="567"/>
      <c r="R12" s="567" t="s">
        <v>1060</v>
      </c>
      <c r="S12" s="567"/>
      <c r="T12" s="567"/>
      <c r="U12" s="564" t="s">
        <v>141</v>
      </c>
      <c r="V12" s="557" t="s">
        <v>449</v>
      </c>
      <c r="W12" s="557" t="s">
        <v>450</v>
      </c>
    </row>
    <row r="13" spans="1:24" ht="19.95" customHeight="1">
      <c r="A13" s="522"/>
      <c r="B13" s="560"/>
      <c r="C13" s="560"/>
      <c r="D13" s="560"/>
      <c r="E13" s="560"/>
      <c r="F13" s="560"/>
      <c r="G13" s="560"/>
      <c r="H13" s="560"/>
      <c r="I13" s="561" t="s">
        <v>432</v>
      </c>
      <c r="J13" s="562"/>
      <c r="K13" s="562"/>
      <c r="L13" s="563"/>
      <c r="M13" s="562" t="s">
        <v>451</v>
      </c>
      <c r="N13" s="562"/>
      <c r="O13" s="555" t="s">
        <v>452</v>
      </c>
      <c r="P13" s="568" t="s">
        <v>1050</v>
      </c>
      <c r="Q13" s="570" t="s">
        <v>994</v>
      </c>
      <c r="R13" s="571" t="s">
        <v>1061</v>
      </c>
      <c r="S13" s="573" t="s">
        <v>942</v>
      </c>
      <c r="T13" s="571" t="s">
        <v>1062</v>
      </c>
      <c r="U13" s="565"/>
      <c r="V13" s="557"/>
      <c r="W13" s="557"/>
    </row>
    <row r="14" spans="1:24" ht="19.95" customHeight="1">
      <c r="A14" s="522"/>
      <c r="B14" s="556"/>
      <c r="C14" s="556"/>
      <c r="D14" s="556"/>
      <c r="E14" s="556"/>
      <c r="F14" s="556"/>
      <c r="G14" s="556"/>
      <c r="H14" s="556"/>
      <c r="I14" s="174" t="s">
        <v>433</v>
      </c>
      <c r="J14" s="174" t="s">
        <v>453</v>
      </c>
      <c r="K14" s="174" t="s">
        <v>454</v>
      </c>
      <c r="L14" s="174" t="s">
        <v>455</v>
      </c>
      <c r="M14" s="174" t="s">
        <v>456</v>
      </c>
      <c r="N14" s="225" t="s">
        <v>457</v>
      </c>
      <c r="O14" s="556"/>
      <c r="P14" s="569"/>
      <c r="Q14" s="569"/>
      <c r="R14" s="572">
        <v>3</v>
      </c>
      <c r="S14" s="572">
        <v>4</v>
      </c>
      <c r="T14" s="572">
        <v>5</v>
      </c>
      <c r="U14" s="566"/>
      <c r="V14" s="557"/>
      <c r="W14" s="557"/>
      <c r="X14" s="222" t="s">
        <v>434</v>
      </c>
    </row>
    <row r="15" spans="1:24" ht="19.95" customHeight="1">
      <c r="A15" s="84">
        <v>1</v>
      </c>
      <c r="B15" s="24"/>
      <c r="C15" s="299"/>
      <c r="D15" s="31"/>
      <c r="E15" s="287"/>
      <c r="F15" s="300"/>
      <c r="G15" s="299"/>
      <c r="H15" s="31"/>
      <c r="I15" s="293"/>
      <c r="J15" s="293"/>
      <c r="K15" s="293"/>
      <c r="L15" s="149">
        <f>I15-J15-K15</f>
        <v>0</v>
      </c>
      <c r="M15" s="293"/>
      <c r="N15" s="293"/>
      <c r="O15" s="149">
        <f>N15-M15-L15</f>
        <v>0</v>
      </c>
      <c r="P15" s="300"/>
      <c r="Q15" s="8"/>
      <c r="R15" s="300"/>
      <c r="S15" s="31"/>
      <c r="T15" s="293"/>
      <c r="U15" s="293"/>
      <c r="V15" s="299"/>
      <c r="W15" s="9"/>
    </row>
    <row r="16" spans="1:24" ht="19.95" customHeight="1">
      <c r="A16" s="84">
        <v>2</v>
      </c>
      <c r="B16" s="24"/>
      <c r="C16" s="299"/>
      <c r="D16" s="31"/>
      <c r="E16" s="287"/>
      <c r="F16" s="300"/>
      <c r="G16" s="299"/>
      <c r="H16" s="31"/>
      <c r="I16" s="293"/>
      <c r="J16" s="293"/>
      <c r="K16" s="293"/>
      <c r="L16" s="149">
        <f t="shared" ref="L16:L17" si="0">I16-J16-K16</f>
        <v>0</v>
      </c>
      <c r="M16" s="293"/>
      <c r="N16" s="293"/>
      <c r="O16" s="149">
        <f t="shared" ref="O16:O17" si="1">N16-M16-L16</f>
        <v>0</v>
      </c>
      <c r="P16" s="300"/>
      <c r="Q16" s="8"/>
      <c r="R16" s="300"/>
      <c r="S16" s="31"/>
      <c r="T16" s="293"/>
      <c r="U16" s="293"/>
      <c r="V16" s="299"/>
      <c r="W16" s="9"/>
    </row>
    <row r="17" spans="1:23" ht="19.95" customHeight="1">
      <c r="A17" s="84">
        <v>3</v>
      </c>
      <c r="B17" s="24"/>
      <c r="C17" s="299"/>
      <c r="D17" s="31"/>
      <c r="E17" s="287"/>
      <c r="F17" s="300"/>
      <c r="G17" s="299"/>
      <c r="H17" s="31"/>
      <c r="I17" s="293"/>
      <c r="J17" s="293"/>
      <c r="K17" s="293"/>
      <c r="L17" s="149">
        <f t="shared" si="0"/>
        <v>0</v>
      </c>
      <c r="M17" s="293"/>
      <c r="N17" s="293"/>
      <c r="O17" s="149">
        <f t="shared" si="1"/>
        <v>0</v>
      </c>
      <c r="P17" s="300"/>
      <c r="Q17" s="8"/>
      <c r="R17" s="300"/>
      <c r="S17" s="31"/>
      <c r="T17" s="293"/>
      <c r="U17" s="293"/>
      <c r="V17" s="299"/>
      <c r="W17" s="9"/>
    </row>
    <row r="18" spans="1:23" ht="19.95" customHeight="1">
      <c r="A18" s="84">
        <v>4</v>
      </c>
      <c r="B18" s="24"/>
      <c r="C18" s="299"/>
      <c r="D18" s="31"/>
      <c r="E18" s="287"/>
      <c r="F18" s="300"/>
      <c r="G18" s="299"/>
      <c r="H18" s="31"/>
      <c r="I18" s="293"/>
      <c r="J18" s="293"/>
      <c r="K18" s="293"/>
      <c r="L18" s="149">
        <f t="shared" ref="L18:L30" si="2">I18-J18-K18</f>
        <v>0</v>
      </c>
      <c r="M18" s="293"/>
      <c r="N18" s="293"/>
      <c r="O18" s="149">
        <f t="shared" ref="O18:O30" si="3">N18-M18-L18</f>
        <v>0</v>
      </c>
      <c r="P18" s="300"/>
      <c r="Q18" s="8"/>
      <c r="R18" s="300"/>
      <c r="S18" s="31"/>
      <c r="T18" s="293"/>
      <c r="U18" s="293"/>
      <c r="V18" s="299"/>
      <c r="W18" s="9"/>
    </row>
    <row r="19" spans="1:23" ht="19.95" customHeight="1">
      <c r="A19" s="84">
        <v>5</v>
      </c>
      <c r="B19" s="24"/>
      <c r="C19" s="299"/>
      <c r="D19" s="31"/>
      <c r="E19" s="287"/>
      <c r="F19" s="300"/>
      <c r="G19" s="299"/>
      <c r="H19" s="31"/>
      <c r="I19" s="293"/>
      <c r="J19" s="293"/>
      <c r="K19" s="293"/>
      <c r="L19" s="149">
        <f t="shared" si="2"/>
        <v>0</v>
      </c>
      <c r="M19" s="293"/>
      <c r="N19" s="293"/>
      <c r="O19" s="149">
        <f t="shared" si="3"/>
        <v>0</v>
      </c>
      <c r="P19" s="300"/>
      <c r="Q19" s="8"/>
      <c r="R19" s="300"/>
      <c r="S19" s="31"/>
      <c r="T19" s="293"/>
      <c r="U19" s="293"/>
      <c r="V19" s="299"/>
      <c r="W19" s="9"/>
    </row>
    <row r="20" spans="1:23" ht="19.95" customHeight="1">
      <c r="A20" s="84">
        <v>6</v>
      </c>
      <c r="B20" s="24"/>
      <c r="C20" s="299"/>
      <c r="D20" s="31"/>
      <c r="E20" s="287"/>
      <c r="F20" s="300"/>
      <c r="G20" s="299"/>
      <c r="H20" s="31"/>
      <c r="I20" s="293"/>
      <c r="J20" s="293"/>
      <c r="K20" s="293"/>
      <c r="L20" s="149">
        <f t="shared" si="2"/>
        <v>0</v>
      </c>
      <c r="M20" s="293"/>
      <c r="N20" s="293"/>
      <c r="O20" s="149">
        <f t="shared" si="3"/>
        <v>0</v>
      </c>
      <c r="P20" s="300"/>
      <c r="Q20" s="8"/>
      <c r="R20" s="300"/>
      <c r="S20" s="31"/>
      <c r="T20" s="293"/>
      <c r="U20" s="293"/>
      <c r="V20" s="299"/>
      <c r="W20" s="9"/>
    </row>
    <row r="21" spans="1:23" ht="19.95" customHeight="1">
      <c r="A21" s="84">
        <v>7</v>
      </c>
      <c r="B21" s="24"/>
      <c r="C21" s="299"/>
      <c r="D21" s="31"/>
      <c r="E21" s="287"/>
      <c r="F21" s="300"/>
      <c r="G21" s="299"/>
      <c r="H21" s="31"/>
      <c r="I21" s="293"/>
      <c r="J21" s="293"/>
      <c r="K21" s="293"/>
      <c r="L21" s="149">
        <f t="shared" ref="L21:L28" si="4">I21-J21-K21</f>
        <v>0</v>
      </c>
      <c r="M21" s="293"/>
      <c r="N21" s="293"/>
      <c r="O21" s="149">
        <f t="shared" ref="O21:O28" si="5">N21-M21-L21</f>
        <v>0</v>
      </c>
      <c r="P21" s="300"/>
      <c r="Q21" s="8"/>
      <c r="R21" s="300"/>
      <c r="S21" s="31"/>
      <c r="T21" s="293"/>
      <c r="U21" s="293"/>
      <c r="V21" s="299"/>
      <c r="W21" s="9"/>
    </row>
    <row r="22" spans="1:23" ht="19.95" customHeight="1">
      <c r="A22" s="84">
        <v>8</v>
      </c>
      <c r="B22" s="24"/>
      <c r="C22" s="299"/>
      <c r="D22" s="31"/>
      <c r="E22" s="287"/>
      <c r="F22" s="300"/>
      <c r="G22" s="299"/>
      <c r="H22" s="31"/>
      <c r="I22" s="293"/>
      <c r="J22" s="293"/>
      <c r="K22" s="293"/>
      <c r="L22" s="149">
        <f t="shared" si="4"/>
        <v>0</v>
      </c>
      <c r="M22" s="293"/>
      <c r="N22" s="293"/>
      <c r="O22" s="149">
        <f t="shared" si="5"/>
        <v>0</v>
      </c>
      <c r="P22" s="300"/>
      <c r="Q22" s="8"/>
      <c r="R22" s="300"/>
      <c r="S22" s="31"/>
      <c r="T22" s="293"/>
      <c r="U22" s="293"/>
      <c r="V22" s="299"/>
      <c r="W22" s="9"/>
    </row>
    <row r="23" spans="1:23" ht="19.95" customHeight="1">
      <c r="A23" s="84">
        <v>9</v>
      </c>
      <c r="B23" s="24"/>
      <c r="C23" s="299"/>
      <c r="D23" s="31"/>
      <c r="E23" s="287"/>
      <c r="F23" s="300"/>
      <c r="G23" s="299"/>
      <c r="H23" s="31"/>
      <c r="I23" s="293"/>
      <c r="J23" s="293"/>
      <c r="K23" s="293"/>
      <c r="L23" s="149">
        <f t="shared" si="4"/>
        <v>0</v>
      </c>
      <c r="M23" s="293"/>
      <c r="N23" s="293"/>
      <c r="O23" s="149">
        <f t="shared" si="5"/>
        <v>0</v>
      </c>
      <c r="P23" s="300"/>
      <c r="Q23" s="8"/>
      <c r="R23" s="300"/>
      <c r="S23" s="31"/>
      <c r="T23" s="293"/>
      <c r="U23" s="293"/>
      <c r="V23" s="299"/>
      <c r="W23" s="9"/>
    </row>
    <row r="24" spans="1:23" ht="19.95" customHeight="1">
      <c r="A24" s="84">
        <v>10</v>
      </c>
      <c r="B24" s="24"/>
      <c r="C24" s="299"/>
      <c r="D24" s="31"/>
      <c r="E24" s="287"/>
      <c r="F24" s="300"/>
      <c r="G24" s="299"/>
      <c r="H24" s="31"/>
      <c r="I24" s="293"/>
      <c r="J24" s="293"/>
      <c r="K24" s="293"/>
      <c r="L24" s="149">
        <f t="shared" si="4"/>
        <v>0</v>
      </c>
      <c r="M24" s="293"/>
      <c r="N24" s="293"/>
      <c r="O24" s="149">
        <f t="shared" si="5"/>
        <v>0</v>
      </c>
      <c r="P24" s="300"/>
      <c r="Q24" s="8"/>
      <c r="R24" s="300"/>
      <c r="S24" s="31"/>
      <c r="T24" s="293"/>
      <c r="U24" s="293"/>
      <c r="V24" s="299"/>
      <c r="W24" s="9"/>
    </row>
    <row r="25" spans="1:23" ht="19.95" customHeight="1">
      <c r="A25" s="84">
        <v>11</v>
      </c>
      <c r="B25" s="24"/>
      <c r="C25" s="299"/>
      <c r="D25" s="31"/>
      <c r="E25" s="287"/>
      <c r="F25" s="300"/>
      <c r="G25" s="299"/>
      <c r="H25" s="31"/>
      <c r="I25" s="293"/>
      <c r="J25" s="293"/>
      <c r="K25" s="293"/>
      <c r="L25" s="149">
        <f t="shared" si="4"/>
        <v>0</v>
      </c>
      <c r="M25" s="293"/>
      <c r="N25" s="293"/>
      <c r="O25" s="149">
        <f t="shared" si="5"/>
        <v>0</v>
      </c>
      <c r="P25" s="300"/>
      <c r="Q25" s="8"/>
      <c r="R25" s="300"/>
      <c r="S25" s="31"/>
      <c r="T25" s="293"/>
      <c r="U25" s="293"/>
      <c r="V25" s="299"/>
      <c r="W25" s="9"/>
    </row>
    <row r="26" spans="1:23" ht="19.95" customHeight="1">
      <c r="A26" s="84">
        <v>12</v>
      </c>
      <c r="B26" s="24"/>
      <c r="C26" s="299"/>
      <c r="D26" s="31"/>
      <c r="E26" s="287"/>
      <c r="F26" s="300"/>
      <c r="G26" s="299"/>
      <c r="H26" s="31"/>
      <c r="I26" s="293"/>
      <c r="J26" s="293"/>
      <c r="K26" s="293"/>
      <c r="L26" s="149">
        <f t="shared" si="4"/>
        <v>0</v>
      </c>
      <c r="M26" s="293"/>
      <c r="N26" s="293"/>
      <c r="O26" s="149">
        <f t="shared" si="5"/>
        <v>0</v>
      </c>
      <c r="P26" s="300"/>
      <c r="Q26" s="8"/>
      <c r="R26" s="300"/>
      <c r="S26" s="31"/>
      <c r="T26" s="293"/>
      <c r="U26" s="293"/>
      <c r="V26" s="299"/>
      <c r="W26" s="9"/>
    </row>
    <row r="27" spans="1:23" ht="19.95" customHeight="1">
      <c r="A27" s="84">
        <v>13</v>
      </c>
      <c r="B27" s="24"/>
      <c r="C27" s="299"/>
      <c r="D27" s="31"/>
      <c r="E27" s="287"/>
      <c r="F27" s="300"/>
      <c r="G27" s="299"/>
      <c r="H27" s="31"/>
      <c r="I27" s="293"/>
      <c r="J27" s="293"/>
      <c r="K27" s="293"/>
      <c r="L27" s="149">
        <f t="shared" si="4"/>
        <v>0</v>
      </c>
      <c r="M27" s="293"/>
      <c r="N27" s="293"/>
      <c r="O27" s="149">
        <f t="shared" si="5"/>
        <v>0</v>
      </c>
      <c r="P27" s="300"/>
      <c r="Q27" s="8"/>
      <c r="R27" s="300"/>
      <c r="S27" s="31"/>
      <c r="T27" s="293"/>
      <c r="U27" s="293"/>
      <c r="V27" s="299"/>
      <c r="W27" s="9"/>
    </row>
    <row r="28" spans="1:23" ht="19.95" customHeight="1">
      <c r="A28" s="84">
        <v>14</v>
      </c>
      <c r="B28" s="24"/>
      <c r="C28" s="299"/>
      <c r="D28" s="31"/>
      <c r="E28" s="287"/>
      <c r="F28" s="300"/>
      <c r="G28" s="299"/>
      <c r="H28" s="31"/>
      <c r="I28" s="293"/>
      <c r="J28" s="293"/>
      <c r="K28" s="293"/>
      <c r="L28" s="149">
        <f t="shared" si="4"/>
        <v>0</v>
      </c>
      <c r="M28" s="293"/>
      <c r="N28" s="293"/>
      <c r="O28" s="149">
        <f t="shared" si="5"/>
        <v>0</v>
      </c>
      <c r="P28" s="300"/>
      <c r="Q28" s="8"/>
      <c r="R28" s="300"/>
      <c r="S28" s="31"/>
      <c r="T28" s="293"/>
      <c r="U28" s="293"/>
      <c r="V28" s="299"/>
      <c r="W28" s="9"/>
    </row>
    <row r="29" spans="1:23" ht="19.95" customHeight="1">
      <c r="A29" s="84">
        <v>15</v>
      </c>
      <c r="B29" s="24"/>
      <c r="C29" s="299"/>
      <c r="D29" s="31"/>
      <c r="E29" s="287"/>
      <c r="F29" s="300"/>
      <c r="G29" s="299"/>
      <c r="H29" s="31"/>
      <c r="I29" s="293"/>
      <c r="J29" s="293"/>
      <c r="K29" s="293"/>
      <c r="L29" s="149">
        <f t="shared" si="2"/>
        <v>0</v>
      </c>
      <c r="M29" s="293"/>
      <c r="N29" s="293"/>
      <c r="O29" s="149">
        <f t="shared" si="3"/>
        <v>0</v>
      </c>
      <c r="P29" s="300"/>
      <c r="Q29" s="8"/>
      <c r="R29" s="300"/>
      <c r="S29" s="31"/>
      <c r="T29" s="293"/>
      <c r="U29" s="293"/>
      <c r="V29" s="299"/>
      <c r="W29" s="9"/>
    </row>
    <row r="30" spans="1:23" ht="19.95" customHeight="1">
      <c r="A30" s="84" t="s">
        <v>1081</v>
      </c>
      <c r="B30" s="24"/>
      <c r="C30" s="299"/>
      <c r="D30" s="31"/>
      <c r="E30" s="287"/>
      <c r="F30" s="300"/>
      <c r="G30" s="299"/>
      <c r="H30" s="31"/>
      <c r="I30" s="293"/>
      <c r="J30" s="293"/>
      <c r="K30" s="293"/>
      <c r="L30" s="149">
        <f t="shared" si="2"/>
        <v>0</v>
      </c>
      <c r="M30" s="293"/>
      <c r="N30" s="293"/>
      <c r="O30" s="149">
        <f t="shared" si="3"/>
        <v>0</v>
      </c>
      <c r="P30" s="300"/>
      <c r="Q30" s="8"/>
      <c r="R30" s="300"/>
      <c r="S30" s="31"/>
      <c r="T30" s="293"/>
      <c r="U30" s="293"/>
      <c r="V30" s="299"/>
      <c r="W30" s="9"/>
    </row>
    <row r="31" spans="1:23" s="21" customFormat="1" ht="19.95" customHeight="1">
      <c r="A31" s="550" t="s">
        <v>903</v>
      </c>
      <c r="B31" s="551"/>
      <c r="C31" s="551"/>
      <c r="D31" s="551"/>
      <c r="E31" s="551"/>
      <c r="F31" s="551"/>
      <c r="G31" s="551"/>
      <c r="H31" s="552"/>
      <c r="I31" s="147">
        <f>SUM(I15:I30)</f>
        <v>0</v>
      </c>
      <c r="J31" s="147">
        <f t="shared" ref="J31:O31" si="6">SUM(J15:J30)</f>
        <v>0</v>
      </c>
      <c r="K31" s="147">
        <f t="shared" si="6"/>
        <v>0</v>
      </c>
      <c r="L31" s="147">
        <f>SUM(L15:L30)</f>
        <v>0</v>
      </c>
      <c r="M31" s="147">
        <f t="shared" si="6"/>
        <v>0</v>
      </c>
      <c r="N31" s="147">
        <f t="shared" si="6"/>
        <v>0</v>
      </c>
      <c r="O31" s="147">
        <f t="shared" si="6"/>
        <v>0</v>
      </c>
      <c r="P31" s="300"/>
      <c r="Q31" s="8"/>
      <c r="R31" s="300"/>
      <c r="S31" s="31"/>
      <c r="T31" s="293"/>
      <c r="U31" s="293"/>
      <c r="V31" s="299"/>
      <c r="W31" s="9"/>
    </row>
    <row r="32" spans="1:23" ht="19.95" customHeight="1">
      <c r="A32" s="550" t="s">
        <v>435</v>
      </c>
      <c r="B32" s="551"/>
      <c r="C32" s="551"/>
      <c r="D32" s="551"/>
      <c r="E32" s="551"/>
      <c r="F32" s="551"/>
      <c r="G32" s="551"/>
      <c r="H32" s="552"/>
      <c r="I32" s="147">
        <f>'明细表H5-2'!O33</f>
        <v>0</v>
      </c>
      <c r="J32" s="147"/>
      <c r="K32" s="147"/>
      <c r="L32" s="147"/>
      <c r="M32" s="147"/>
      <c r="N32" s="147"/>
      <c r="O32" s="147"/>
      <c r="P32" s="147"/>
      <c r="Q32" s="147"/>
      <c r="R32" s="147"/>
      <c r="S32" s="147"/>
      <c r="T32" s="147"/>
      <c r="U32" s="147"/>
      <c r="V32" s="147"/>
      <c r="W32" s="147"/>
    </row>
    <row r="33" spans="1:23" ht="19.95" customHeight="1">
      <c r="A33" s="553" t="s">
        <v>1085</v>
      </c>
      <c r="B33" s="551"/>
      <c r="C33" s="551"/>
      <c r="D33" s="551"/>
      <c r="E33" s="551"/>
      <c r="F33" s="551"/>
      <c r="G33" s="551"/>
      <c r="H33" s="552"/>
      <c r="I33" s="150">
        <f>IF(I31=0,0,I31/$I$32)</f>
        <v>0</v>
      </c>
      <c r="J33" s="147"/>
      <c r="K33" s="147"/>
      <c r="L33" s="147"/>
      <c r="M33" s="147"/>
      <c r="N33" s="147"/>
      <c r="O33" s="147"/>
      <c r="P33" s="147"/>
      <c r="Q33" s="147"/>
      <c r="R33" s="147"/>
      <c r="S33" s="147"/>
      <c r="T33" s="147"/>
      <c r="U33" s="147"/>
      <c r="V33" s="147"/>
      <c r="W33" s="147"/>
    </row>
    <row r="34" spans="1:23" ht="19.95" customHeight="1">
      <c r="A34" s="223" t="s">
        <v>458</v>
      </c>
      <c r="B34" s="10"/>
      <c r="C34" s="10"/>
      <c r="D34" s="10"/>
      <c r="E34" s="10"/>
      <c r="F34" s="10"/>
      <c r="G34" s="10"/>
      <c r="H34" s="10"/>
      <c r="I34" s="10"/>
      <c r="J34" s="10"/>
      <c r="K34" s="32"/>
      <c r="L34" s="32"/>
      <c r="M34" s="32"/>
      <c r="N34" s="32"/>
      <c r="O34" s="32"/>
      <c r="P34" s="211"/>
      <c r="Q34" s="32"/>
      <c r="R34" s="53"/>
      <c r="S34" s="10"/>
      <c r="T34" s="10"/>
      <c r="U34" s="10"/>
      <c r="V34" s="148"/>
    </row>
    <row r="35" spans="1:23" s="21" customFormat="1" ht="19.95" customHeight="1">
      <c r="A35" s="488" t="s">
        <v>1086</v>
      </c>
      <c r="N35" s="33"/>
      <c r="O35" s="33"/>
      <c r="P35" s="188"/>
      <c r="Q35" s="33"/>
      <c r="R35" s="33"/>
    </row>
    <row r="36" spans="1:23" ht="19.95" customHeight="1">
      <c r="A36" s="488" t="s">
        <v>1087</v>
      </c>
      <c r="K36" s="22"/>
      <c r="L36" s="22"/>
      <c r="M36" s="22"/>
      <c r="N36" s="22"/>
      <c r="O36" s="22"/>
      <c r="P36" s="188"/>
      <c r="Q36" s="22"/>
      <c r="R36" s="22"/>
    </row>
    <row r="37" spans="1:23" ht="19.95" customHeight="1">
      <c r="K37" s="22"/>
      <c r="L37" s="22"/>
      <c r="M37" s="22"/>
      <c r="N37" s="22"/>
      <c r="O37" s="22"/>
      <c r="P37" s="188"/>
      <c r="Q37" s="22"/>
      <c r="R37" s="22"/>
    </row>
    <row r="38" spans="1:23" ht="19.95" customHeight="1">
      <c r="A38" s="21" t="s">
        <v>459</v>
      </c>
      <c r="K38" s="22"/>
      <c r="L38" s="22"/>
      <c r="M38" s="22"/>
      <c r="N38" s="22"/>
      <c r="O38" s="22"/>
      <c r="P38" s="188"/>
      <c r="Q38" s="22"/>
      <c r="R38" s="22"/>
    </row>
    <row r="39" spans="1:23" ht="19.95" customHeight="1">
      <c r="K39" s="22"/>
      <c r="L39" s="22"/>
      <c r="M39" s="22"/>
      <c r="N39" s="22"/>
      <c r="O39" s="22"/>
      <c r="P39" s="22"/>
      <c r="Q39" s="22"/>
      <c r="R39" s="22"/>
    </row>
    <row r="40" spans="1:23" ht="19.95" customHeight="1">
      <c r="A40" s="12"/>
      <c r="C40" s="22"/>
      <c r="D40" s="22"/>
      <c r="E40" s="22"/>
      <c r="F40" s="22"/>
      <c r="G40" s="22"/>
      <c r="H40" s="22"/>
      <c r="I40" s="22"/>
      <c r="J40" s="22"/>
      <c r="K40" s="22"/>
      <c r="L40" s="22"/>
      <c r="M40" s="22"/>
      <c r="N40" s="22"/>
      <c r="O40" s="22"/>
      <c r="P40" s="22"/>
      <c r="Q40" s="22"/>
      <c r="R40" s="22"/>
    </row>
    <row r="41" spans="1:23" ht="19.95" customHeight="1">
      <c r="A41" s="12"/>
      <c r="C41" s="22"/>
      <c r="D41" s="22"/>
      <c r="E41" s="22"/>
      <c r="F41" s="22"/>
      <c r="G41" s="22"/>
      <c r="H41" s="22"/>
      <c r="I41" s="22"/>
      <c r="J41" s="22"/>
      <c r="K41" s="22"/>
      <c r="L41" s="22"/>
      <c r="M41" s="22"/>
      <c r="N41" s="22"/>
      <c r="O41" s="22"/>
      <c r="P41" s="22"/>
      <c r="Q41" s="22"/>
      <c r="R41" s="22"/>
    </row>
  </sheetData>
  <mergeCells count="28">
    <mergeCell ref="A5:W5"/>
    <mergeCell ref="A31:H31"/>
    <mergeCell ref="A32:H32"/>
    <mergeCell ref="A33:H33"/>
    <mergeCell ref="I12:O12"/>
    <mergeCell ref="W12:W14"/>
    <mergeCell ref="R12:T12"/>
    <mergeCell ref="P13:P14"/>
    <mergeCell ref="Q13:Q14"/>
    <mergeCell ref="R13:R14"/>
    <mergeCell ref="S13:S14"/>
    <mergeCell ref="T13:T14"/>
    <mergeCell ref="A1:W1"/>
    <mergeCell ref="A2:W2"/>
    <mergeCell ref="A12:A14"/>
    <mergeCell ref="B12:B14"/>
    <mergeCell ref="C12:C14"/>
    <mergeCell ref="D12:D14"/>
    <mergeCell ref="E12:E14"/>
    <mergeCell ref="F12:F14"/>
    <mergeCell ref="G12:G14"/>
    <mergeCell ref="H12:H14"/>
    <mergeCell ref="I13:L13"/>
    <mergeCell ref="M13:N13"/>
    <mergeCell ref="U12:U14"/>
    <mergeCell ref="V12:V14"/>
    <mergeCell ref="O13:O14"/>
    <mergeCell ref="P12:Q12"/>
  </mergeCells>
  <phoneticPr fontId="9" type="noConversion"/>
  <dataValidations count="2">
    <dataValidation type="list" allowBlank="1" showInputMessage="1" showErrorMessage="1" prompt="如要修改下列框的选项，单击“数据-数据有效性-设置-序列-来源”。_x000a_" sqref="E15:E30">
      <formula1>"处置,其他减少"</formula1>
    </dataValidation>
    <dataValidation type="list" allowBlank="1" showInputMessage="1" showErrorMessage="1" prompt="如要修改下列框的选项，单击“数据-数据有效性-设置-序列-来源”。" sqref="B15:B30">
      <formula1>"探明矿区权益,未探明矿区权益,井及相关设施,其他设备"</formula1>
    </dataValidation>
  </dataValidations>
  <hyperlinks>
    <hyperlink ref="W3" location="底稿目录!A1" display="H5A"/>
  </hyperlinks>
  <printOptions horizontalCentered="1"/>
  <pageMargins left="0.70866141732283472" right="0.70866141732283472" top="0.74803149606299213" bottom="0.74803149606299213" header="0.31496062992125984" footer="0.31496062992125984"/>
  <pageSetup paperSize="9" scale="59" orientation="landscape"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O62"/>
  <sheetViews>
    <sheetView view="pageBreakPreview" zoomScaleSheetLayoutView="100" workbookViewId="0">
      <selection sqref="A1:I1"/>
    </sheetView>
  </sheetViews>
  <sheetFormatPr defaultColWidth="9" defaultRowHeight="19.95" customHeight="1"/>
  <cols>
    <col min="1" max="8" width="11.8984375" style="14" customWidth="1"/>
    <col min="9" max="9" width="14" style="14" customWidth="1"/>
    <col min="10" max="10" width="6.19921875" style="14" customWidth="1"/>
    <col min="11" max="11" width="10.5" style="14" customWidth="1"/>
    <col min="12" max="12" width="9" style="14"/>
    <col min="13" max="13" width="7.09765625" style="14" customWidth="1"/>
    <col min="14" max="16384" width="9" style="14"/>
  </cols>
  <sheetData>
    <row r="1" spans="1:15" s="191" customFormat="1" ht="19.95" customHeight="1">
      <c r="A1" s="574" t="s">
        <v>879</v>
      </c>
      <c r="B1" s="574"/>
      <c r="C1" s="574"/>
      <c r="D1" s="574"/>
      <c r="E1" s="574"/>
      <c r="F1" s="574"/>
      <c r="G1" s="574"/>
      <c r="H1" s="574"/>
      <c r="I1" s="574"/>
      <c r="J1" s="192"/>
      <c r="K1" s="192"/>
      <c r="L1" s="192"/>
      <c r="M1" s="192"/>
      <c r="N1" s="192"/>
      <c r="O1" s="192"/>
    </row>
    <row r="2" spans="1:15" s="274" customFormat="1" ht="19.95" customHeight="1">
      <c r="A2" s="575" t="s">
        <v>891</v>
      </c>
      <c r="B2" s="575"/>
      <c r="C2" s="575"/>
      <c r="D2" s="575"/>
      <c r="E2" s="575"/>
      <c r="F2" s="575"/>
      <c r="G2" s="575"/>
      <c r="H2" s="575"/>
      <c r="I2" s="575"/>
      <c r="J2" s="275"/>
      <c r="K2" s="275"/>
      <c r="L2" s="275"/>
      <c r="M2" s="275"/>
      <c r="N2" s="275"/>
      <c r="O2" s="275"/>
    </row>
    <row r="3" spans="1:15" ht="19.95" customHeight="1">
      <c r="A3" s="2" t="str">
        <f>底稿目录!A2</f>
        <v>被审计单位：</v>
      </c>
      <c r="C3" s="2"/>
      <c r="D3" s="2" t="str">
        <f>底稿目录!A4</f>
        <v>编制人：</v>
      </c>
      <c r="F3" s="79" t="str">
        <f>底稿目录!A6</f>
        <v>编制日期：</v>
      </c>
      <c r="G3" s="85"/>
      <c r="H3" s="339" t="s">
        <v>916</v>
      </c>
      <c r="I3" s="197" t="s">
        <v>166</v>
      </c>
      <c r="L3" s="2"/>
      <c r="M3" s="2"/>
    </row>
    <row r="4" spans="1:15" ht="19.95" customHeight="1">
      <c r="A4" s="2" t="str">
        <f>底稿目录!A3</f>
        <v>截止日：202X年12月31日</v>
      </c>
      <c r="C4" s="2"/>
      <c r="D4" s="2" t="str">
        <f>底稿目录!A5</f>
        <v>复核人：</v>
      </c>
      <c r="F4" s="79" t="str">
        <f>底稿目录!A7</f>
        <v>复核日期：</v>
      </c>
      <c r="G4" s="85"/>
      <c r="H4" s="339" t="s">
        <v>917</v>
      </c>
      <c r="I4" s="163"/>
      <c r="L4" s="2"/>
      <c r="M4" s="2"/>
    </row>
    <row r="5" spans="1:15" s="75" customFormat="1" ht="19.95" customHeight="1">
      <c r="A5" s="75" t="s">
        <v>499</v>
      </c>
      <c r="F5" s="75" t="s">
        <v>500</v>
      </c>
    </row>
    <row r="6" spans="1:15" s="76" customFormat="1" ht="19.95" customHeight="1">
      <c r="A6" s="75" t="s">
        <v>460</v>
      </c>
    </row>
    <row r="7" spans="1:15" s="76" customFormat="1" ht="19.95" customHeight="1">
      <c r="A7" s="75"/>
    </row>
    <row r="8" spans="1:15" s="76" customFormat="1" ht="19.95" customHeight="1">
      <c r="A8" s="75" t="s">
        <v>461</v>
      </c>
    </row>
    <row r="9" spans="1:15" s="76" customFormat="1" ht="19.95" customHeight="1">
      <c r="A9" s="75" t="s">
        <v>462</v>
      </c>
    </row>
    <row r="10" spans="1:15" s="76" customFormat="1" ht="19.95" customHeight="1">
      <c r="A10" s="76" t="s">
        <v>501</v>
      </c>
      <c r="E10" s="76" t="s">
        <v>502</v>
      </c>
    </row>
    <row r="11" spans="1:15" s="76" customFormat="1" ht="19.95" customHeight="1">
      <c r="A11" s="76" t="s">
        <v>463</v>
      </c>
    </row>
    <row r="12" spans="1:15" s="76" customFormat="1" ht="19.95" customHeight="1">
      <c r="B12" s="90" t="s">
        <v>503</v>
      </c>
      <c r="C12" s="90" t="s">
        <v>464</v>
      </c>
      <c r="D12" s="90" t="s">
        <v>465</v>
      </c>
      <c r="E12" s="90" t="s">
        <v>466</v>
      </c>
    </row>
    <row r="13" spans="1:15" s="76" customFormat="1" ht="19.95" customHeight="1">
      <c r="B13" s="226"/>
      <c r="C13" s="226"/>
      <c r="D13" s="226"/>
      <c r="E13" s="226"/>
    </row>
    <row r="14" spans="1:15" s="76" customFormat="1" ht="19.95" customHeight="1">
      <c r="B14" s="226"/>
      <c r="C14" s="226"/>
      <c r="D14" s="226"/>
      <c r="E14" s="226"/>
    </row>
    <row r="15" spans="1:15" s="76" customFormat="1" ht="19.95" customHeight="1">
      <c r="B15" s="226"/>
      <c r="C15" s="226"/>
      <c r="D15" s="226"/>
      <c r="E15" s="226"/>
    </row>
    <row r="16" spans="1:15" s="76" customFormat="1" ht="19.95" customHeight="1">
      <c r="A16" s="76" t="s">
        <v>504</v>
      </c>
    </row>
    <row r="17" spans="1:12" s="76" customFormat="1" ht="19.95" customHeight="1">
      <c r="B17" s="90" t="s">
        <v>467</v>
      </c>
      <c r="C17" s="90" t="s">
        <v>468</v>
      </c>
      <c r="D17" s="90" t="s">
        <v>505</v>
      </c>
      <c r="E17" s="90" t="s">
        <v>506</v>
      </c>
    </row>
    <row r="18" spans="1:12" s="76" customFormat="1" ht="19.95" customHeight="1">
      <c r="B18" s="226"/>
      <c r="C18" s="226"/>
      <c r="D18" s="226"/>
      <c r="E18" s="226"/>
    </row>
    <row r="19" spans="1:12" s="76" customFormat="1" ht="19.95" customHeight="1">
      <c r="B19" s="226"/>
      <c r="C19" s="226"/>
      <c r="D19" s="226"/>
      <c r="E19" s="226"/>
    </row>
    <row r="20" spans="1:12" s="76" customFormat="1" ht="19.95" customHeight="1">
      <c r="B20" s="226"/>
      <c r="C20" s="226"/>
      <c r="D20" s="226"/>
      <c r="E20" s="226"/>
    </row>
    <row r="21" spans="1:12" s="76" customFormat="1" ht="19.95" customHeight="1">
      <c r="A21" s="76" t="s">
        <v>507</v>
      </c>
    </row>
    <row r="22" spans="1:12" s="76" customFormat="1" ht="19.95" customHeight="1">
      <c r="B22" s="90" t="s">
        <v>508</v>
      </c>
      <c r="C22" s="90" t="s">
        <v>470</v>
      </c>
      <c r="D22" s="90" t="s">
        <v>509</v>
      </c>
      <c r="E22" s="90" t="s">
        <v>510</v>
      </c>
    </row>
    <row r="23" spans="1:12" s="76" customFormat="1" ht="19.95" customHeight="1">
      <c r="B23" s="226"/>
      <c r="C23" s="226"/>
      <c r="D23" s="226"/>
      <c r="E23" s="226"/>
    </row>
    <row r="24" spans="1:12" s="76" customFormat="1" ht="19.95" customHeight="1">
      <c r="B24" s="226"/>
      <c r="C24" s="226"/>
      <c r="D24" s="226"/>
      <c r="E24" s="226"/>
    </row>
    <row r="25" spans="1:12" s="76" customFormat="1" ht="19.95" customHeight="1">
      <c r="B25" s="226"/>
      <c r="C25" s="226"/>
      <c r="D25" s="226"/>
      <c r="E25" s="226"/>
    </row>
    <row r="26" spans="1:12" s="76" customFormat="1" ht="19.95" customHeight="1">
      <c r="A26" s="75" t="s">
        <v>471</v>
      </c>
    </row>
    <row r="27" spans="1:12" s="77" customFormat="1" ht="19.95" customHeight="1">
      <c r="A27" s="76" t="s">
        <v>511</v>
      </c>
      <c r="B27" s="76"/>
      <c r="C27" s="76"/>
      <c r="D27" s="76"/>
      <c r="E27" s="76"/>
      <c r="F27" s="76"/>
      <c r="G27" s="76"/>
      <c r="H27" s="76"/>
      <c r="I27" s="76"/>
      <c r="J27" s="76"/>
      <c r="K27" s="76"/>
      <c r="L27" s="76"/>
    </row>
    <row r="28" spans="1:12" s="77" customFormat="1" ht="19.95" customHeight="1">
      <c r="A28" s="76" t="s">
        <v>512</v>
      </c>
      <c r="B28" s="76"/>
      <c r="C28" s="76"/>
      <c r="D28" s="76"/>
      <c r="E28" s="76"/>
      <c r="F28" s="76"/>
      <c r="G28" s="76"/>
      <c r="H28" s="76"/>
      <c r="I28" s="76"/>
      <c r="J28" s="76"/>
      <c r="K28" s="76"/>
      <c r="L28" s="76"/>
    </row>
    <row r="29" spans="1:12" s="77" customFormat="1" ht="19.95" customHeight="1">
      <c r="A29" s="76" t="s">
        <v>513</v>
      </c>
      <c r="B29" s="76"/>
      <c r="C29" s="76"/>
      <c r="D29" s="76"/>
      <c r="E29" s="76"/>
      <c r="F29" s="76" t="s">
        <v>472</v>
      </c>
      <c r="G29" s="76"/>
      <c r="H29" s="76"/>
      <c r="I29" s="76"/>
      <c r="J29" s="76"/>
      <c r="K29" s="76"/>
      <c r="L29" s="76"/>
    </row>
    <row r="30" spans="1:12" s="76" customFormat="1" ht="19.95" customHeight="1">
      <c r="A30" s="113" t="s">
        <v>514</v>
      </c>
    </row>
    <row r="31" spans="1:12" s="76" customFormat="1" ht="19.95" customHeight="1">
      <c r="A31" s="76" t="s">
        <v>473</v>
      </c>
    </row>
    <row r="32" spans="1:12" s="76" customFormat="1" ht="19.95" customHeight="1">
      <c r="A32" s="76" t="s">
        <v>474</v>
      </c>
    </row>
    <row r="33" spans="1:12" s="76" customFormat="1" ht="19.95" customHeight="1">
      <c r="A33" s="76" t="s">
        <v>475</v>
      </c>
    </row>
    <row r="34" spans="1:12" s="76" customFormat="1" ht="19.95" customHeight="1">
      <c r="A34" s="76" t="s">
        <v>515</v>
      </c>
      <c r="F34" s="76" t="s">
        <v>472</v>
      </c>
    </row>
    <row r="35" spans="1:12" s="76" customFormat="1" ht="19.95" customHeight="1">
      <c r="A35" s="76" t="s">
        <v>476</v>
      </c>
    </row>
    <row r="36" spans="1:12" s="76" customFormat="1" ht="19.95" customHeight="1">
      <c r="A36" s="75" t="s">
        <v>477</v>
      </c>
    </row>
    <row r="37" spans="1:12" s="76" customFormat="1" ht="19.95" customHeight="1">
      <c r="A37" s="76" t="s">
        <v>516</v>
      </c>
      <c r="F37" s="76" t="s">
        <v>478</v>
      </c>
    </row>
    <row r="38" spans="1:12" s="76" customFormat="1" ht="19.95" customHeight="1">
      <c r="A38" s="76" t="s">
        <v>479</v>
      </c>
      <c r="F38" s="76" t="s">
        <v>480</v>
      </c>
    </row>
    <row r="39" spans="1:12" s="76" customFormat="1" ht="19.95" customHeight="1">
      <c r="A39" s="76" t="s">
        <v>481</v>
      </c>
    </row>
    <row r="40" spans="1:12" s="76" customFormat="1" ht="19.95" customHeight="1">
      <c r="A40" s="113" t="s">
        <v>517</v>
      </c>
    </row>
    <row r="41" spans="1:12" s="76" customFormat="1" ht="19.95" customHeight="1">
      <c r="A41" s="75" t="s">
        <v>518</v>
      </c>
    </row>
    <row r="42" spans="1:12" s="76" customFormat="1" ht="19.95" customHeight="1">
      <c r="A42" s="113" t="s">
        <v>519</v>
      </c>
    </row>
    <row r="43" spans="1:12" s="227" customFormat="1" ht="19.95" customHeight="1">
      <c r="A43" s="75" t="s">
        <v>520</v>
      </c>
      <c r="B43" s="76"/>
      <c r="C43" s="76"/>
      <c r="D43" s="76"/>
      <c r="E43" s="76"/>
      <c r="F43" s="76"/>
      <c r="G43" s="76"/>
      <c r="H43" s="76"/>
      <c r="I43" s="76"/>
      <c r="J43" s="76"/>
      <c r="K43" s="76"/>
      <c r="L43" s="76"/>
    </row>
    <row r="44" spans="1:12" s="227" customFormat="1" ht="19.95" customHeight="1">
      <c r="A44" s="76" t="s">
        <v>482</v>
      </c>
      <c r="B44" s="76"/>
      <c r="C44" s="76"/>
      <c r="D44" s="76"/>
      <c r="E44" s="76"/>
      <c r="F44" s="76"/>
      <c r="G44" s="76"/>
      <c r="H44" s="76"/>
      <c r="I44" s="76"/>
      <c r="J44" s="76"/>
      <c r="K44" s="76"/>
      <c r="L44" s="76"/>
    </row>
    <row r="45" spans="1:12" s="227" customFormat="1" ht="19.95" customHeight="1">
      <c r="A45" s="76" t="s">
        <v>521</v>
      </c>
      <c r="B45" s="76"/>
      <c r="C45" s="76"/>
      <c r="D45" s="76"/>
      <c r="E45" s="76"/>
      <c r="F45" s="76" t="s">
        <v>483</v>
      </c>
      <c r="G45" s="76"/>
      <c r="H45" s="76"/>
      <c r="I45" s="76"/>
      <c r="J45" s="76"/>
      <c r="K45" s="76"/>
      <c r="L45" s="76"/>
    </row>
    <row r="46" spans="1:12" s="227" customFormat="1" ht="19.95" customHeight="1">
      <c r="A46" s="76" t="s">
        <v>484</v>
      </c>
      <c r="B46" s="76"/>
      <c r="C46" s="76"/>
      <c r="D46" s="76"/>
      <c r="E46" s="76"/>
      <c r="F46" s="76"/>
      <c r="G46" s="76"/>
      <c r="H46" s="76"/>
      <c r="I46" s="76"/>
      <c r="J46" s="76"/>
      <c r="K46" s="76"/>
      <c r="L46" s="76"/>
    </row>
    <row r="47" spans="1:12" s="76" customFormat="1" ht="19.95" customHeight="1">
      <c r="A47" s="76" t="s">
        <v>485</v>
      </c>
    </row>
    <row r="48" spans="1:12" s="76" customFormat="1" ht="19.95" customHeight="1">
      <c r="A48" s="76" t="s">
        <v>486</v>
      </c>
    </row>
    <row r="49" spans="1:12" s="76" customFormat="1" ht="19.95" customHeight="1">
      <c r="A49" s="76" t="s">
        <v>487</v>
      </c>
    </row>
    <row r="50" spans="1:12" s="76" customFormat="1" ht="19.95" customHeight="1">
      <c r="A50" s="76" t="s">
        <v>488</v>
      </c>
    </row>
    <row r="51" spans="1:12" s="76" customFormat="1" ht="19.95" customHeight="1">
      <c r="A51" s="76" t="s">
        <v>489</v>
      </c>
      <c r="E51" s="76" t="s">
        <v>522</v>
      </c>
    </row>
    <row r="52" spans="1:12" s="76" customFormat="1" ht="19.95" customHeight="1">
      <c r="A52" s="76" t="s">
        <v>490</v>
      </c>
    </row>
    <row r="53" spans="1:12" s="76" customFormat="1" ht="19.95" customHeight="1">
      <c r="A53" s="76" t="s">
        <v>491</v>
      </c>
    </row>
    <row r="54" spans="1:12" s="76" customFormat="1" ht="19.95" customHeight="1">
      <c r="A54" s="76" t="s">
        <v>492</v>
      </c>
    </row>
    <row r="55" spans="1:12" s="76" customFormat="1" ht="19.95" customHeight="1">
      <c r="A55" s="76" t="s">
        <v>493</v>
      </c>
      <c r="G55" s="76" t="s">
        <v>494</v>
      </c>
    </row>
    <row r="56" spans="1:12" s="76" customFormat="1" ht="19.95" customHeight="1">
      <c r="A56" s="76" t="s">
        <v>495</v>
      </c>
      <c r="G56" s="76" t="s">
        <v>494</v>
      </c>
    </row>
    <row r="57" spans="1:12" s="76" customFormat="1" ht="19.95" customHeight="1">
      <c r="A57" s="76" t="s">
        <v>496</v>
      </c>
    </row>
    <row r="58" spans="1:12" s="76" customFormat="1" ht="19.95" customHeight="1">
      <c r="A58" s="76" t="s">
        <v>497</v>
      </c>
    </row>
    <row r="59" spans="1:12" s="76" customFormat="1" ht="19.95" customHeight="1">
      <c r="A59" s="76" t="s">
        <v>498</v>
      </c>
    </row>
    <row r="60" spans="1:12" s="76" customFormat="1" ht="19.95" customHeight="1"/>
    <row r="61" spans="1:12" s="76" customFormat="1" ht="19.95" customHeight="1"/>
    <row r="62" spans="1:12" ht="19.95" customHeight="1">
      <c r="A62" s="76"/>
      <c r="B62" s="76"/>
      <c r="C62" s="76"/>
      <c r="D62" s="76"/>
      <c r="E62" s="76"/>
      <c r="F62" s="76"/>
      <c r="G62" s="76"/>
      <c r="H62" s="76"/>
      <c r="I62" s="76"/>
      <c r="J62" s="76"/>
      <c r="K62" s="76"/>
      <c r="L62" s="76"/>
    </row>
  </sheetData>
  <mergeCells count="2">
    <mergeCell ref="A1:I1"/>
    <mergeCell ref="A2:I2"/>
  </mergeCells>
  <phoneticPr fontId="9" type="noConversion"/>
  <hyperlinks>
    <hyperlink ref="I3" location="底稿目录!A1" display="H5A"/>
  </hyperlinks>
  <printOptions horizontalCentered="1"/>
  <pageMargins left="0.70866141732283472" right="0.70866141732283472" top="0.74803149606299213" bottom="0.74803149606299213" header="0.31496062992125984" footer="0.31496062992125984"/>
  <pageSetup paperSize="9" scale="66" orientation="portrait" blackAndWhite="1" r:id="rId1"/>
  <headerFooter>
    <oddFooter>&amp;C&amp;P/&amp;N</oddFooter>
  </headerFooter>
  <colBreaks count="1" manualBreakCount="1">
    <brk id="9"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N64"/>
  <sheetViews>
    <sheetView showZeros="0" view="pageBreakPreview" zoomScaleNormal="115" zoomScaleSheetLayoutView="100" workbookViewId="0">
      <selection sqref="A1:M1"/>
    </sheetView>
  </sheetViews>
  <sheetFormatPr defaultColWidth="9" defaultRowHeight="19.95" customHeight="1"/>
  <cols>
    <col min="1" max="1" width="11.5" style="14" customWidth="1"/>
    <col min="2" max="2" width="11.3984375" style="14" customWidth="1"/>
    <col min="3" max="3" width="9.5" style="14" customWidth="1"/>
    <col min="4" max="4" width="5" style="14" customWidth="1"/>
    <col min="5" max="5" width="8" style="14" customWidth="1"/>
    <col min="6" max="6" width="6.5" style="14" customWidth="1"/>
    <col min="7" max="7" width="11.19921875" style="14" customWidth="1"/>
    <col min="8" max="8" width="9.59765625" style="14" customWidth="1"/>
    <col min="9" max="9" width="15" style="14" customWidth="1"/>
    <col min="10" max="10" width="12.19921875" style="14" customWidth="1"/>
    <col min="11" max="11" width="10.5" style="14" customWidth="1"/>
    <col min="12" max="12" width="11.19921875" style="14" customWidth="1"/>
    <col min="13" max="13" width="15.09765625" style="14" customWidth="1"/>
    <col min="14" max="16384" width="9" style="14"/>
  </cols>
  <sheetData>
    <row r="1" spans="1:14" s="191" customFormat="1" ht="19.95" customHeight="1">
      <c r="A1" s="574" t="s">
        <v>879</v>
      </c>
      <c r="B1" s="574"/>
      <c r="C1" s="574"/>
      <c r="D1" s="574"/>
      <c r="E1" s="574"/>
      <c r="F1" s="574"/>
      <c r="G1" s="574"/>
      <c r="H1" s="574"/>
      <c r="I1" s="574"/>
      <c r="J1" s="574"/>
      <c r="K1" s="574"/>
      <c r="L1" s="574"/>
      <c r="M1" s="574"/>
    </row>
    <row r="2" spans="1:14" s="274" customFormat="1" ht="19.95" customHeight="1">
      <c r="A2" s="582" t="s">
        <v>890</v>
      </c>
      <c r="B2" s="582"/>
      <c r="C2" s="582"/>
      <c r="D2" s="582"/>
      <c r="E2" s="582"/>
      <c r="F2" s="582"/>
      <c r="G2" s="582"/>
      <c r="H2" s="582"/>
      <c r="I2" s="582"/>
      <c r="J2" s="582"/>
      <c r="K2" s="582"/>
      <c r="L2" s="582"/>
      <c r="M2" s="582"/>
    </row>
    <row r="3" spans="1:14" ht="19.95" customHeight="1">
      <c r="A3" s="2" t="str">
        <f>底稿目录!A2</f>
        <v>被审计单位：</v>
      </c>
      <c r="B3" s="2"/>
      <c r="D3" s="2"/>
      <c r="E3" s="2" t="str">
        <f>底稿目录!A4</f>
        <v>编制人：</v>
      </c>
      <c r="F3" s="2"/>
      <c r="H3" s="2"/>
      <c r="I3" s="2"/>
      <c r="J3" s="2" t="str">
        <f>底稿目录!A6</f>
        <v>编制日期：</v>
      </c>
      <c r="K3" s="85"/>
      <c r="L3" s="339" t="s">
        <v>916</v>
      </c>
      <c r="M3" s="197" t="s">
        <v>167</v>
      </c>
    </row>
    <row r="4" spans="1:14" ht="19.95" customHeight="1">
      <c r="A4" s="2" t="str">
        <f>底稿目录!A3</f>
        <v>截止日：202X年12月31日</v>
      </c>
      <c r="B4" s="2"/>
      <c r="D4" s="2"/>
      <c r="E4" s="2" t="str">
        <f>底稿目录!A5</f>
        <v>复核人：</v>
      </c>
      <c r="F4" s="2"/>
      <c r="H4" s="2"/>
      <c r="I4" s="2"/>
      <c r="J4" s="2" t="str">
        <f>底稿目录!A7</f>
        <v>复核日期：</v>
      </c>
      <c r="K4" s="85"/>
      <c r="L4" s="339" t="s">
        <v>917</v>
      </c>
      <c r="M4" s="163"/>
    </row>
    <row r="5" spans="1:14" s="454" customFormat="1" ht="19.95" customHeight="1">
      <c r="A5" s="457" t="s">
        <v>536</v>
      </c>
      <c r="B5" s="453"/>
      <c r="C5" s="453"/>
      <c r="D5" s="453"/>
      <c r="E5" s="453"/>
      <c r="F5" s="453"/>
      <c r="G5" s="453"/>
      <c r="H5" s="453"/>
      <c r="I5" s="453"/>
      <c r="J5" s="453"/>
      <c r="K5" s="453"/>
      <c r="L5" s="453"/>
      <c r="M5" s="453"/>
    </row>
    <row r="6" spans="1:14" s="454" customFormat="1" ht="19.95" customHeight="1">
      <c r="A6" s="455" t="s">
        <v>544</v>
      </c>
      <c r="B6" s="440"/>
      <c r="C6" s="440"/>
      <c r="D6" s="440"/>
      <c r="E6" s="440"/>
      <c r="F6" s="440"/>
      <c r="G6" s="440"/>
      <c r="H6" s="440"/>
      <c r="I6" s="440"/>
      <c r="J6" s="440"/>
      <c r="K6" s="440"/>
      <c r="L6" s="440"/>
      <c r="M6" s="440"/>
    </row>
    <row r="7" spans="1:14" s="454" customFormat="1" ht="19.95" customHeight="1">
      <c r="A7" s="437" t="s">
        <v>532</v>
      </c>
      <c r="B7" s="437"/>
      <c r="C7" s="438"/>
      <c r="D7" s="438"/>
      <c r="E7" s="438"/>
      <c r="F7" s="438"/>
      <c r="G7" s="438"/>
      <c r="H7" s="438"/>
      <c r="I7" s="438"/>
      <c r="J7" s="438"/>
      <c r="K7" s="438"/>
      <c r="L7" s="439"/>
      <c r="M7" s="439"/>
      <c r="N7" s="439"/>
    </row>
    <row r="8" spans="1:14" s="454" customFormat="1" ht="19.95" customHeight="1">
      <c r="A8" s="444" t="s">
        <v>545</v>
      </c>
      <c r="B8" s="445" t="s">
        <v>996</v>
      </c>
      <c r="C8" s="438"/>
      <c r="D8" s="438"/>
      <c r="E8" s="438"/>
      <c r="F8" s="444"/>
      <c r="G8" s="444" t="s">
        <v>402</v>
      </c>
      <c r="H8" s="445" t="s">
        <v>546</v>
      </c>
      <c r="I8" s="438"/>
      <c r="L8" s="446"/>
      <c r="M8" s="446"/>
      <c r="N8" s="446"/>
    </row>
    <row r="9" spans="1:14" s="454" customFormat="1" ht="19.95" customHeight="1">
      <c r="A9" s="444" t="s">
        <v>523</v>
      </c>
      <c r="B9" s="445" t="s">
        <v>999</v>
      </c>
      <c r="C9" s="438"/>
      <c r="D9" s="438"/>
      <c r="E9" s="438"/>
      <c r="F9" s="444"/>
      <c r="G9" s="444" t="s">
        <v>428</v>
      </c>
      <c r="H9" s="445"/>
      <c r="I9" s="445" t="s">
        <v>997</v>
      </c>
      <c r="J9" s="445" t="s">
        <v>998</v>
      </c>
      <c r="K9" s="456"/>
      <c r="L9" s="449"/>
      <c r="M9" s="448"/>
      <c r="N9" s="446"/>
    </row>
    <row r="10" spans="1:14" s="454" customFormat="1" ht="19.95" customHeight="1">
      <c r="A10" s="444" t="s">
        <v>547</v>
      </c>
      <c r="B10" s="487" t="s">
        <v>1079</v>
      </c>
      <c r="C10" s="438"/>
      <c r="D10" s="438"/>
      <c r="E10" s="438"/>
      <c r="F10" s="444"/>
      <c r="G10" s="444" t="s">
        <v>548</v>
      </c>
      <c r="H10" s="445" t="s">
        <v>409</v>
      </c>
      <c r="I10" s="438"/>
      <c r="L10" s="449"/>
      <c r="M10" s="448"/>
      <c r="N10" s="446"/>
    </row>
    <row r="11" spans="1:14" s="454" customFormat="1" ht="19.95" customHeight="1">
      <c r="A11" s="457" t="s">
        <v>549</v>
      </c>
      <c r="B11" s="458"/>
      <c r="C11" s="458"/>
      <c r="D11" s="458"/>
      <c r="E11" s="459"/>
      <c r="F11" s="460"/>
      <c r="G11" s="434"/>
      <c r="H11" s="434"/>
      <c r="I11" s="434"/>
      <c r="J11" s="434"/>
      <c r="K11" s="434"/>
      <c r="L11" s="434"/>
      <c r="M11" s="434"/>
    </row>
    <row r="12" spans="1:14" s="465" customFormat="1" ht="19.95" customHeight="1">
      <c r="A12" s="187" t="s">
        <v>1000</v>
      </c>
      <c r="B12" s="461"/>
      <c r="C12" s="462" t="s">
        <v>1001</v>
      </c>
      <c r="D12" s="463" t="s">
        <v>1002</v>
      </c>
      <c r="E12" s="464"/>
      <c r="G12" s="461"/>
      <c r="H12" s="461"/>
      <c r="I12" s="462" t="s">
        <v>1003</v>
      </c>
      <c r="J12" s="463" t="s">
        <v>1004</v>
      </c>
      <c r="L12" s="428" t="s">
        <v>1005</v>
      </c>
    </row>
    <row r="13" spans="1:14" s="465" customFormat="1" ht="19.95" customHeight="1">
      <c r="A13" s="466" t="s">
        <v>550</v>
      </c>
      <c r="B13" s="461"/>
      <c r="C13" s="461"/>
      <c r="D13" s="461"/>
      <c r="G13" s="461"/>
      <c r="H13" s="461"/>
      <c r="I13" s="461"/>
      <c r="L13" s="461"/>
    </row>
    <row r="14" spans="1:14" s="2" customFormat="1" ht="19.95" customHeight="1">
      <c r="A14" s="523" t="s">
        <v>540</v>
      </c>
      <c r="B14" s="523" t="s">
        <v>551</v>
      </c>
      <c r="C14" s="523" t="s">
        <v>527</v>
      </c>
      <c r="D14" s="523" t="s">
        <v>528</v>
      </c>
      <c r="E14" s="523" t="s">
        <v>552</v>
      </c>
      <c r="F14" s="547" t="s">
        <v>189</v>
      </c>
      <c r="G14" s="549"/>
      <c r="H14" s="583" t="s">
        <v>524</v>
      </c>
      <c r="I14" s="583" t="s">
        <v>553</v>
      </c>
      <c r="J14" s="583" t="s">
        <v>554</v>
      </c>
      <c r="K14" s="583" t="s">
        <v>555</v>
      </c>
      <c r="L14" s="583" t="s">
        <v>556</v>
      </c>
      <c r="M14" s="583" t="s">
        <v>538</v>
      </c>
    </row>
    <row r="15" spans="1:14" s="2" customFormat="1" ht="19.95" customHeight="1">
      <c r="A15" s="523"/>
      <c r="B15" s="523"/>
      <c r="C15" s="523"/>
      <c r="D15" s="523"/>
      <c r="E15" s="523"/>
      <c r="F15" s="416" t="s">
        <v>190</v>
      </c>
      <c r="G15" s="416" t="s">
        <v>191</v>
      </c>
      <c r="H15" s="584"/>
      <c r="I15" s="584"/>
      <c r="J15" s="584"/>
      <c r="K15" s="584"/>
      <c r="L15" s="584"/>
      <c r="M15" s="584"/>
    </row>
    <row r="16" spans="1:14" s="2" customFormat="1" ht="19.95" customHeight="1">
      <c r="A16" s="86"/>
      <c r="B16" s="308"/>
      <c r="C16" s="87"/>
      <c r="D16" s="87"/>
      <c r="E16" s="46"/>
      <c r="F16" s="46"/>
      <c r="G16" s="46"/>
      <c r="H16" s="46"/>
      <c r="I16" s="46"/>
      <c r="J16" s="311">
        <f>I16-F16</f>
        <v>0</v>
      </c>
      <c r="K16" s="311">
        <f>I16-H16</f>
        <v>0</v>
      </c>
      <c r="L16" s="311">
        <f>H16-F16</f>
        <v>0</v>
      </c>
      <c r="M16" s="105"/>
    </row>
    <row r="17" spans="1:13" s="2" customFormat="1" ht="19.95" customHeight="1">
      <c r="A17" s="86"/>
      <c r="B17" s="308"/>
      <c r="C17" s="87"/>
      <c r="D17" s="87"/>
      <c r="E17" s="46"/>
      <c r="F17" s="46"/>
      <c r="G17" s="46"/>
      <c r="H17" s="46"/>
      <c r="I17" s="46"/>
      <c r="J17" s="311">
        <f t="shared" ref="J17:J26" si="0">I17-F17</f>
        <v>0</v>
      </c>
      <c r="K17" s="311">
        <f t="shared" ref="K17:K26" si="1">I17-H17</f>
        <v>0</v>
      </c>
      <c r="L17" s="311">
        <f t="shared" ref="L17:L26" si="2">H17-F17</f>
        <v>0</v>
      </c>
      <c r="M17" s="105"/>
    </row>
    <row r="18" spans="1:13" s="2" customFormat="1" ht="19.95" customHeight="1">
      <c r="A18" s="86"/>
      <c r="B18" s="308"/>
      <c r="C18" s="87"/>
      <c r="D18" s="87"/>
      <c r="E18" s="46"/>
      <c r="F18" s="46"/>
      <c r="G18" s="46"/>
      <c r="H18" s="46"/>
      <c r="I18" s="46"/>
      <c r="J18" s="311">
        <f t="shared" si="0"/>
        <v>0</v>
      </c>
      <c r="K18" s="311">
        <f t="shared" si="1"/>
        <v>0</v>
      </c>
      <c r="L18" s="311">
        <f t="shared" si="2"/>
        <v>0</v>
      </c>
      <c r="M18" s="105"/>
    </row>
    <row r="19" spans="1:13" s="2" customFormat="1" ht="19.95" customHeight="1">
      <c r="A19" s="86"/>
      <c r="B19" s="308"/>
      <c r="C19" s="87"/>
      <c r="D19" s="87"/>
      <c r="E19" s="46"/>
      <c r="F19" s="46"/>
      <c r="G19" s="46"/>
      <c r="H19" s="46"/>
      <c r="I19" s="46"/>
      <c r="J19" s="311">
        <f t="shared" si="0"/>
        <v>0</v>
      </c>
      <c r="K19" s="311">
        <f t="shared" si="1"/>
        <v>0</v>
      </c>
      <c r="L19" s="311">
        <f t="shared" si="2"/>
        <v>0</v>
      </c>
      <c r="M19" s="105"/>
    </row>
    <row r="20" spans="1:13" s="2" customFormat="1" ht="19.95" customHeight="1">
      <c r="A20" s="86"/>
      <c r="B20" s="308"/>
      <c r="C20" s="87"/>
      <c r="D20" s="87"/>
      <c r="E20" s="46"/>
      <c r="F20" s="46"/>
      <c r="G20" s="46"/>
      <c r="H20" s="46"/>
      <c r="I20" s="46"/>
      <c r="J20" s="311">
        <f t="shared" si="0"/>
        <v>0</v>
      </c>
      <c r="K20" s="311">
        <f t="shared" si="1"/>
        <v>0</v>
      </c>
      <c r="L20" s="311">
        <f t="shared" si="2"/>
        <v>0</v>
      </c>
      <c r="M20" s="105"/>
    </row>
    <row r="21" spans="1:13" s="2" customFormat="1" ht="19.95" customHeight="1">
      <c r="A21" s="86"/>
      <c r="B21" s="308"/>
      <c r="C21" s="87"/>
      <c r="D21" s="87"/>
      <c r="E21" s="46"/>
      <c r="F21" s="46"/>
      <c r="G21" s="46"/>
      <c r="H21" s="46"/>
      <c r="I21" s="46"/>
      <c r="J21" s="311">
        <f t="shared" si="0"/>
        <v>0</v>
      </c>
      <c r="K21" s="311">
        <f t="shared" si="1"/>
        <v>0</v>
      </c>
      <c r="L21" s="311">
        <f t="shared" si="2"/>
        <v>0</v>
      </c>
      <c r="M21" s="105"/>
    </row>
    <row r="22" spans="1:13" s="2" customFormat="1" ht="19.95" customHeight="1">
      <c r="A22" s="86"/>
      <c r="B22" s="308"/>
      <c r="C22" s="87"/>
      <c r="D22" s="87"/>
      <c r="E22" s="46"/>
      <c r="F22" s="46"/>
      <c r="G22" s="46"/>
      <c r="H22" s="46"/>
      <c r="I22" s="46"/>
      <c r="J22" s="311">
        <f t="shared" si="0"/>
        <v>0</v>
      </c>
      <c r="K22" s="311">
        <f t="shared" si="1"/>
        <v>0</v>
      </c>
      <c r="L22" s="311">
        <f t="shared" si="2"/>
        <v>0</v>
      </c>
      <c r="M22" s="105"/>
    </row>
    <row r="23" spans="1:13" s="2" customFormat="1" ht="19.95" customHeight="1">
      <c r="A23" s="86"/>
      <c r="B23" s="308"/>
      <c r="C23" s="87"/>
      <c r="D23" s="87"/>
      <c r="E23" s="46"/>
      <c r="F23" s="46"/>
      <c r="G23" s="46"/>
      <c r="H23" s="46"/>
      <c r="I23" s="46"/>
      <c r="J23" s="311">
        <f t="shared" si="0"/>
        <v>0</v>
      </c>
      <c r="K23" s="311">
        <f t="shared" si="1"/>
        <v>0</v>
      </c>
      <c r="L23" s="311">
        <f t="shared" si="2"/>
        <v>0</v>
      </c>
      <c r="M23" s="105"/>
    </row>
    <row r="24" spans="1:13" s="2" customFormat="1" ht="19.95" customHeight="1">
      <c r="A24" s="86"/>
      <c r="B24" s="308"/>
      <c r="C24" s="87"/>
      <c r="D24" s="87"/>
      <c r="E24" s="46"/>
      <c r="F24" s="46"/>
      <c r="G24" s="46"/>
      <c r="H24" s="46"/>
      <c r="I24" s="46"/>
      <c r="J24" s="311">
        <f t="shared" si="0"/>
        <v>0</v>
      </c>
      <c r="K24" s="311">
        <f t="shared" si="1"/>
        <v>0</v>
      </c>
      <c r="L24" s="311">
        <f t="shared" si="2"/>
        <v>0</v>
      </c>
      <c r="M24" s="105"/>
    </row>
    <row r="25" spans="1:13" s="2" customFormat="1" ht="19.95" customHeight="1">
      <c r="A25" s="86"/>
      <c r="B25" s="308"/>
      <c r="C25" s="87"/>
      <c r="D25" s="87"/>
      <c r="E25" s="46"/>
      <c r="F25" s="46"/>
      <c r="G25" s="46"/>
      <c r="H25" s="46"/>
      <c r="I25" s="46"/>
      <c r="J25" s="311">
        <f t="shared" si="0"/>
        <v>0</v>
      </c>
      <c r="K25" s="311">
        <f t="shared" si="1"/>
        <v>0</v>
      </c>
      <c r="L25" s="311">
        <f t="shared" si="2"/>
        <v>0</v>
      </c>
      <c r="M25" s="105"/>
    </row>
    <row r="26" spans="1:13" s="2" customFormat="1" ht="19.95" customHeight="1">
      <c r="A26" s="86"/>
      <c r="B26" s="308"/>
      <c r="C26" s="87"/>
      <c r="D26" s="87"/>
      <c r="E26" s="46"/>
      <c r="F26" s="46"/>
      <c r="G26" s="46"/>
      <c r="H26" s="46"/>
      <c r="I26" s="46"/>
      <c r="J26" s="311">
        <f t="shared" si="0"/>
        <v>0</v>
      </c>
      <c r="K26" s="311">
        <f t="shared" si="1"/>
        <v>0</v>
      </c>
      <c r="L26" s="311">
        <f t="shared" si="2"/>
        <v>0</v>
      </c>
      <c r="M26" s="105"/>
    </row>
    <row r="27" spans="1:13" s="2" customFormat="1" ht="19.95" customHeight="1">
      <c r="A27" s="579" t="s">
        <v>345</v>
      </c>
      <c r="B27" s="580"/>
      <c r="C27" s="580"/>
      <c r="D27" s="580"/>
      <c r="E27" s="581"/>
      <c r="F27" s="310">
        <f>SUM(F16:F26)</f>
        <v>0</v>
      </c>
      <c r="G27" s="310">
        <f>SUM(G16:G26)</f>
        <v>0</v>
      </c>
      <c r="H27" s="310">
        <f t="shared" ref="H27:L27" si="3">SUM(H16:H26)</f>
        <v>0</v>
      </c>
      <c r="I27" s="310">
        <f t="shared" si="3"/>
        <v>0</v>
      </c>
      <c r="J27" s="310">
        <f t="shared" si="3"/>
        <v>0</v>
      </c>
      <c r="K27" s="310">
        <f t="shared" si="3"/>
        <v>0</v>
      </c>
      <c r="L27" s="310">
        <f t="shared" si="3"/>
        <v>0</v>
      </c>
      <c r="M27" s="309"/>
    </row>
    <row r="28" spans="1:13" s="2" customFormat="1" ht="19.95" customHeight="1">
      <c r="A28" s="579" t="s">
        <v>525</v>
      </c>
      <c r="B28" s="580"/>
      <c r="C28" s="580"/>
      <c r="D28" s="580"/>
      <c r="E28" s="581"/>
      <c r="F28" s="151"/>
      <c r="G28" s="151"/>
      <c r="H28" s="151"/>
      <c r="I28" s="151"/>
      <c r="J28" s="151"/>
      <c r="K28" s="151"/>
      <c r="L28" s="151"/>
      <c r="M28" s="151"/>
    </row>
    <row r="29" spans="1:13" s="2" customFormat="1" ht="19.95" customHeight="1">
      <c r="A29" s="576" t="s">
        <v>539</v>
      </c>
      <c r="B29" s="577"/>
      <c r="C29" s="577"/>
      <c r="D29" s="577"/>
      <c r="E29" s="578"/>
      <c r="F29" s="350"/>
      <c r="G29" s="350" t="e">
        <f>G27/G28</f>
        <v>#DIV/0!</v>
      </c>
      <c r="H29" s="350"/>
      <c r="I29" s="350"/>
      <c r="J29" s="350"/>
      <c r="K29" s="350"/>
      <c r="L29" s="350"/>
      <c r="M29" s="350"/>
    </row>
    <row r="30" spans="1:13" s="187" customFormat="1" ht="19.95" customHeight="1">
      <c r="A30" s="351" t="s">
        <v>526</v>
      </c>
      <c r="B30" s="352"/>
      <c r="C30" s="352"/>
      <c r="D30" s="352"/>
      <c r="E30" s="352"/>
      <c r="F30" s="353"/>
      <c r="G30" s="353"/>
      <c r="H30" s="353"/>
      <c r="I30" s="353"/>
      <c r="J30" s="353"/>
      <c r="K30" s="353"/>
      <c r="L30" s="353"/>
      <c r="M30" s="353"/>
    </row>
    <row r="31" spans="1:13" s="2" customFormat="1" ht="19.95" customHeight="1">
      <c r="A31" s="523" t="s">
        <v>540</v>
      </c>
      <c r="B31" s="523" t="s">
        <v>533</v>
      </c>
      <c r="C31" s="523" t="s">
        <v>557</v>
      </c>
      <c r="D31" s="523" t="s">
        <v>558</v>
      </c>
      <c r="E31" s="523" t="s">
        <v>559</v>
      </c>
      <c r="F31" s="585" t="s">
        <v>189</v>
      </c>
      <c r="G31" s="585"/>
      <c r="H31" s="585" t="s">
        <v>524</v>
      </c>
      <c r="I31" s="585" t="s">
        <v>534</v>
      </c>
      <c r="J31" s="585" t="s">
        <v>537</v>
      </c>
      <c r="K31" s="585" t="s">
        <v>555</v>
      </c>
      <c r="L31" s="585" t="s">
        <v>556</v>
      </c>
      <c r="M31" s="585" t="s">
        <v>538</v>
      </c>
    </row>
    <row r="32" spans="1:13" s="2" customFormat="1" ht="19.95" customHeight="1">
      <c r="A32" s="523"/>
      <c r="B32" s="523"/>
      <c r="C32" s="523"/>
      <c r="D32" s="523"/>
      <c r="E32" s="523"/>
      <c r="F32" s="416" t="s">
        <v>190</v>
      </c>
      <c r="G32" s="416" t="s">
        <v>191</v>
      </c>
      <c r="H32" s="585"/>
      <c r="I32" s="585"/>
      <c r="J32" s="585"/>
      <c r="K32" s="585"/>
      <c r="L32" s="585"/>
      <c r="M32" s="585"/>
    </row>
    <row r="33" spans="1:13" s="2" customFormat="1" ht="19.95" customHeight="1">
      <c r="A33" s="86"/>
      <c r="B33" s="308"/>
      <c r="C33" s="87"/>
      <c r="D33" s="87"/>
      <c r="E33" s="46"/>
      <c r="F33" s="46"/>
      <c r="G33" s="46"/>
      <c r="H33" s="46"/>
      <c r="I33" s="46"/>
      <c r="J33" s="311">
        <f>I33-F33</f>
        <v>0</v>
      </c>
      <c r="K33" s="311">
        <f>I33-H33</f>
        <v>0</v>
      </c>
      <c r="L33" s="311">
        <f>H33-F33</f>
        <v>0</v>
      </c>
      <c r="M33" s="105"/>
    </row>
    <row r="34" spans="1:13" s="2" customFormat="1" ht="19.95" customHeight="1">
      <c r="A34" s="86"/>
      <c r="B34" s="308"/>
      <c r="C34" s="87"/>
      <c r="D34" s="87"/>
      <c r="E34" s="46"/>
      <c r="F34" s="46"/>
      <c r="G34" s="46"/>
      <c r="H34" s="46"/>
      <c r="I34" s="46"/>
      <c r="J34" s="311">
        <f t="shared" ref="J34:J43" si="4">I34-F34</f>
        <v>0</v>
      </c>
      <c r="K34" s="311">
        <f t="shared" ref="K34:K43" si="5">I34-H34</f>
        <v>0</v>
      </c>
      <c r="L34" s="311">
        <f t="shared" ref="L34:L43" si="6">H34-F34</f>
        <v>0</v>
      </c>
      <c r="M34" s="105"/>
    </row>
    <row r="35" spans="1:13" s="2" customFormat="1" ht="19.95" customHeight="1">
      <c r="A35" s="86"/>
      <c r="B35" s="308"/>
      <c r="C35" s="87"/>
      <c r="D35" s="87"/>
      <c r="E35" s="46"/>
      <c r="F35" s="46"/>
      <c r="G35" s="46"/>
      <c r="H35" s="46"/>
      <c r="I35" s="46"/>
      <c r="J35" s="311">
        <f t="shared" si="4"/>
        <v>0</v>
      </c>
      <c r="K35" s="311">
        <f t="shared" si="5"/>
        <v>0</v>
      </c>
      <c r="L35" s="311">
        <f t="shared" si="6"/>
        <v>0</v>
      </c>
      <c r="M35" s="105"/>
    </row>
    <row r="36" spans="1:13" s="2" customFormat="1" ht="19.95" customHeight="1">
      <c r="A36" s="86"/>
      <c r="B36" s="308"/>
      <c r="C36" s="87"/>
      <c r="D36" s="87"/>
      <c r="E36" s="46"/>
      <c r="F36" s="46"/>
      <c r="G36" s="46"/>
      <c r="H36" s="46"/>
      <c r="I36" s="46"/>
      <c r="J36" s="311">
        <f t="shared" si="4"/>
        <v>0</v>
      </c>
      <c r="K36" s="311">
        <f t="shared" si="5"/>
        <v>0</v>
      </c>
      <c r="L36" s="311">
        <f t="shared" si="6"/>
        <v>0</v>
      </c>
      <c r="M36" s="105"/>
    </row>
    <row r="37" spans="1:13" s="2" customFormat="1" ht="19.95" customHeight="1">
      <c r="A37" s="86"/>
      <c r="B37" s="308"/>
      <c r="C37" s="87"/>
      <c r="D37" s="87"/>
      <c r="E37" s="46"/>
      <c r="F37" s="46"/>
      <c r="G37" s="46"/>
      <c r="H37" s="46"/>
      <c r="I37" s="46"/>
      <c r="J37" s="311">
        <f t="shared" si="4"/>
        <v>0</v>
      </c>
      <c r="K37" s="311">
        <f t="shared" si="5"/>
        <v>0</v>
      </c>
      <c r="L37" s="311">
        <f t="shared" si="6"/>
        <v>0</v>
      </c>
      <c r="M37" s="105"/>
    </row>
    <row r="38" spans="1:13" s="2" customFormat="1" ht="19.95" customHeight="1">
      <c r="A38" s="86"/>
      <c r="B38" s="308"/>
      <c r="C38" s="87"/>
      <c r="D38" s="87"/>
      <c r="E38" s="46"/>
      <c r="F38" s="46"/>
      <c r="G38" s="46"/>
      <c r="H38" s="46"/>
      <c r="I38" s="46"/>
      <c r="J38" s="311">
        <f t="shared" si="4"/>
        <v>0</v>
      </c>
      <c r="K38" s="311">
        <f t="shared" si="5"/>
        <v>0</v>
      </c>
      <c r="L38" s="311">
        <f t="shared" si="6"/>
        <v>0</v>
      </c>
      <c r="M38" s="105"/>
    </row>
    <row r="39" spans="1:13" s="2" customFormat="1" ht="19.95" customHeight="1">
      <c r="A39" s="86"/>
      <c r="B39" s="308"/>
      <c r="C39" s="87"/>
      <c r="D39" s="87"/>
      <c r="E39" s="46"/>
      <c r="F39" s="46"/>
      <c r="G39" s="46"/>
      <c r="H39" s="46"/>
      <c r="I39" s="46"/>
      <c r="J39" s="311">
        <f t="shared" si="4"/>
        <v>0</v>
      </c>
      <c r="K39" s="311">
        <f t="shared" si="5"/>
        <v>0</v>
      </c>
      <c r="L39" s="311">
        <f t="shared" si="6"/>
        <v>0</v>
      </c>
      <c r="M39" s="105"/>
    </row>
    <row r="40" spans="1:13" s="2" customFormat="1" ht="19.95" customHeight="1">
      <c r="A40" s="86"/>
      <c r="B40" s="308"/>
      <c r="C40" s="87"/>
      <c r="D40" s="87"/>
      <c r="E40" s="46"/>
      <c r="F40" s="46"/>
      <c r="G40" s="46"/>
      <c r="H40" s="46"/>
      <c r="I40" s="46"/>
      <c r="J40" s="311">
        <f t="shared" si="4"/>
        <v>0</v>
      </c>
      <c r="K40" s="311">
        <f t="shared" si="5"/>
        <v>0</v>
      </c>
      <c r="L40" s="311">
        <f t="shared" si="6"/>
        <v>0</v>
      </c>
      <c r="M40" s="105"/>
    </row>
    <row r="41" spans="1:13" s="2" customFormat="1" ht="19.95" customHeight="1">
      <c r="A41" s="86"/>
      <c r="B41" s="308"/>
      <c r="C41" s="87"/>
      <c r="D41" s="87"/>
      <c r="E41" s="46"/>
      <c r="F41" s="46"/>
      <c r="G41" s="46"/>
      <c r="H41" s="46"/>
      <c r="I41" s="46"/>
      <c r="J41" s="311">
        <f t="shared" si="4"/>
        <v>0</v>
      </c>
      <c r="K41" s="311">
        <f t="shared" si="5"/>
        <v>0</v>
      </c>
      <c r="L41" s="311">
        <f t="shared" si="6"/>
        <v>0</v>
      </c>
      <c r="M41" s="105"/>
    </row>
    <row r="42" spans="1:13" s="2" customFormat="1" ht="19.95" customHeight="1">
      <c r="A42" s="86"/>
      <c r="B42" s="308"/>
      <c r="C42" s="87"/>
      <c r="D42" s="87"/>
      <c r="E42" s="46"/>
      <c r="F42" s="46"/>
      <c r="G42" s="46"/>
      <c r="H42" s="46"/>
      <c r="I42" s="46"/>
      <c r="J42" s="311">
        <f t="shared" si="4"/>
        <v>0</v>
      </c>
      <c r="K42" s="311">
        <f t="shared" si="5"/>
        <v>0</v>
      </c>
      <c r="L42" s="311">
        <f t="shared" si="6"/>
        <v>0</v>
      </c>
      <c r="M42" s="105"/>
    </row>
    <row r="43" spans="1:13" s="2" customFormat="1" ht="19.95" customHeight="1">
      <c r="A43" s="86"/>
      <c r="B43" s="308"/>
      <c r="C43" s="87"/>
      <c r="D43" s="87"/>
      <c r="E43" s="46"/>
      <c r="F43" s="46"/>
      <c r="G43" s="46"/>
      <c r="H43" s="46"/>
      <c r="I43" s="46"/>
      <c r="J43" s="311">
        <f t="shared" si="4"/>
        <v>0</v>
      </c>
      <c r="K43" s="311">
        <f t="shared" si="5"/>
        <v>0</v>
      </c>
      <c r="L43" s="311">
        <f t="shared" si="6"/>
        <v>0</v>
      </c>
      <c r="M43" s="105"/>
    </row>
    <row r="44" spans="1:13" s="2" customFormat="1" ht="19.95" customHeight="1">
      <c r="A44" s="579" t="s">
        <v>345</v>
      </c>
      <c r="B44" s="580"/>
      <c r="C44" s="580"/>
      <c r="D44" s="580"/>
      <c r="E44" s="581"/>
      <c r="F44" s="310">
        <f>SUM(F33:F43)</f>
        <v>0</v>
      </c>
      <c r="G44" s="310">
        <f>SUM(G33:G43)</f>
        <v>0</v>
      </c>
      <c r="H44" s="310">
        <f t="shared" ref="H44:M44" si="7">SUM(H33:H43)</f>
        <v>0</v>
      </c>
      <c r="I44" s="310">
        <f t="shared" si="7"/>
        <v>0</v>
      </c>
      <c r="J44" s="310">
        <f t="shared" si="7"/>
        <v>0</v>
      </c>
      <c r="K44" s="310">
        <f t="shared" si="7"/>
        <v>0</v>
      </c>
      <c r="L44" s="310">
        <f t="shared" si="7"/>
        <v>0</v>
      </c>
      <c r="M44" s="151">
        <f t="shared" si="7"/>
        <v>0</v>
      </c>
    </row>
    <row r="45" spans="1:13" s="2" customFormat="1" ht="19.95" customHeight="1">
      <c r="A45" s="579" t="s">
        <v>525</v>
      </c>
      <c r="B45" s="580"/>
      <c r="C45" s="580"/>
      <c r="D45" s="580"/>
      <c r="E45" s="581"/>
      <c r="F45" s="151"/>
      <c r="G45" s="151"/>
      <c r="H45" s="151"/>
      <c r="I45" s="151"/>
      <c r="J45" s="151"/>
      <c r="K45" s="151"/>
      <c r="L45" s="151"/>
      <c r="M45" s="151"/>
    </row>
    <row r="46" spans="1:13" s="2" customFormat="1" ht="19.95" customHeight="1">
      <c r="A46" s="579" t="s">
        <v>539</v>
      </c>
      <c r="B46" s="580"/>
      <c r="C46" s="580"/>
      <c r="D46" s="580"/>
      <c r="E46" s="581"/>
      <c r="F46" s="151"/>
      <c r="G46" s="151" t="e">
        <f>G44/G45</f>
        <v>#DIV/0!</v>
      </c>
      <c r="H46" s="151"/>
      <c r="I46" s="151"/>
      <c r="J46" s="151"/>
      <c r="K46" s="151"/>
      <c r="L46" s="151"/>
      <c r="M46" s="151"/>
    </row>
    <row r="47" spans="1:13" ht="19.95" customHeight="1">
      <c r="A47" s="211" t="s">
        <v>529</v>
      </c>
      <c r="B47" s="10"/>
      <c r="C47" s="10"/>
      <c r="D47" s="10"/>
      <c r="E47" s="10"/>
      <c r="F47" s="10"/>
      <c r="G47" s="10"/>
      <c r="H47" s="10"/>
      <c r="I47" s="10"/>
      <c r="J47" s="10"/>
      <c r="K47" s="10"/>
      <c r="L47" s="10"/>
      <c r="M47" s="10"/>
    </row>
    <row r="48" spans="1:13" ht="19.95" customHeight="1">
      <c r="A48" s="2" t="s">
        <v>541</v>
      </c>
      <c r="B48" s="2"/>
      <c r="C48" s="2"/>
      <c r="D48" s="2"/>
      <c r="E48" s="2"/>
      <c r="F48" s="2"/>
      <c r="G48" s="2"/>
      <c r="H48" s="2"/>
      <c r="I48" s="2"/>
      <c r="J48" s="2"/>
      <c r="K48" s="2"/>
      <c r="L48" s="2"/>
      <c r="M48" s="2"/>
    </row>
    <row r="49" spans="1:13" ht="19.95" customHeight="1">
      <c r="A49" s="2"/>
      <c r="B49" s="2"/>
      <c r="C49" s="2"/>
      <c r="D49" s="2"/>
      <c r="E49" s="2"/>
      <c r="F49" s="2"/>
      <c r="G49" s="2"/>
      <c r="H49" s="2"/>
      <c r="I49" s="2"/>
      <c r="J49" s="2"/>
      <c r="K49" s="2"/>
      <c r="L49" s="2"/>
      <c r="M49" s="2"/>
    </row>
    <row r="50" spans="1:13" ht="19.95" customHeight="1">
      <c r="A50" s="21" t="s">
        <v>560</v>
      </c>
      <c r="B50" s="2"/>
      <c r="C50" s="2"/>
      <c r="D50" s="2"/>
      <c r="E50" s="2"/>
      <c r="F50" s="2"/>
      <c r="G50" s="2"/>
      <c r="H50" s="2"/>
      <c r="I50" s="2"/>
      <c r="J50" s="2"/>
      <c r="K50" s="2"/>
      <c r="L50" s="2"/>
      <c r="M50" s="2"/>
    </row>
    <row r="51" spans="1:13" ht="19.95" customHeight="1">
      <c r="A51" s="2"/>
      <c r="B51" s="2"/>
      <c r="C51" s="2"/>
      <c r="D51" s="2"/>
      <c r="E51" s="2"/>
      <c r="F51" s="2"/>
      <c r="G51" s="2"/>
      <c r="H51" s="2"/>
      <c r="I51" s="2"/>
      <c r="J51" s="2"/>
      <c r="K51" s="2"/>
      <c r="L51" s="2"/>
      <c r="M51" s="2"/>
    </row>
    <row r="54" spans="1:13" ht="19.95" customHeight="1">
      <c r="A54" s="365" t="s">
        <v>949</v>
      </c>
      <c r="B54" s="47"/>
      <c r="C54" s="47"/>
    </row>
    <row r="55" spans="1:13" ht="19.95" customHeight="1">
      <c r="A55" s="11" t="s">
        <v>530</v>
      </c>
      <c r="B55" s="11"/>
      <c r="C55" s="11"/>
      <c r="D55" s="2"/>
      <c r="E55" s="2"/>
      <c r="F55" s="2"/>
      <c r="G55" s="2"/>
      <c r="H55" s="2"/>
      <c r="I55" s="2"/>
      <c r="J55" s="2"/>
      <c r="K55" s="2"/>
      <c r="L55" s="2"/>
      <c r="M55" s="2"/>
    </row>
    <row r="56" spans="1:13" ht="19.95" customHeight="1">
      <c r="A56" s="11" t="s">
        <v>531</v>
      </c>
      <c r="B56" s="11"/>
      <c r="C56" s="11"/>
      <c r="D56" s="2"/>
      <c r="E56" s="2"/>
      <c r="F56" s="2"/>
      <c r="G56" s="2"/>
      <c r="H56" s="2"/>
      <c r="I56" s="2"/>
      <c r="J56" s="2"/>
      <c r="K56" s="2"/>
      <c r="L56" s="2"/>
      <c r="M56" s="2"/>
    </row>
    <row r="57" spans="1:13" ht="19.95" customHeight="1">
      <c r="A57" s="11" t="s">
        <v>542</v>
      </c>
      <c r="B57" s="11"/>
      <c r="C57" s="11"/>
      <c r="D57" s="2"/>
      <c r="E57" s="2"/>
      <c r="F57" s="2"/>
      <c r="G57" s="2"/>
      <c r="H57" s="2"/>
      <c r="I57" s="2"/>
      <c r="J57" s="2"/>
      <c r="K57" s="2"/>
      <c r="L57" s="2"/>
      <c r="M57" s="2"/>
    </row>
    <row r="58" spans="1:13" ht="19.95" customHeight="1">
      <c r="A58" s="11" t="s">
        <v>543</v>
      </c>
      <c r="B58" s="11"/>
      <c r="C58" s="11"/>
      <c r="D58" s="2"/>
      <c r="E58" s="2"/>
      <c r="F58" s="2"/>
      <c r="G58" s="2"/>
      <c r="H58" s="2"/>
      <c r="I58" s="2"/>
      <c r="J58" s="2"/>
      <c r="K58" s="2"/>
      <c r="L58" s="2"/>
      <c r="M58" s="2"/>
    </row>
    <row r="59" spans="1:13" ht="19.95" customHeight="1">
      <c r="A59" s="11" t="s">
        <v>535</v>
      </c>
      <c r="B59" s="11"/>
      <c r="C59" s="11"/>
      <c r="D59" s="2"/>
      <c r="E59" s="2"/>
      <c r="F59" s="2"/>
      <c r="G59" s="2"/>
      <c r="H59" s="2"/>
      <c r="I59" s="2"/>
      <c r="J59" s="2"/>
      <c r="K59" s="2"/>
      <c r="L59" s="2"/>
      <c r="M59" s="2"/>
    </row>
    <row r="60" spans="1:13" ht="19.95" customHeight="1">
      <c r="A60" s="11"/>
      <c r="B60" s="11"/>
      <c r="C60" s="11"/>
      <c r="D60" s="2"/>
      <c r="E60" s="2"/>
      <c r="F60" s="2"/>
      <c r="G60" s="2"/>
      <c r="H60" s="2"/>
      <c r="I60" s="2"/>
      <c r="J60" s="2"/>
      <c r="K60" s="2"/>
      <c r="L60" s="2"/>
      <c r="M60" s="2"/>
    </row>
    <row r="61" spans="1:13" ht="19.95" customHeight="1">
      <c r="A61" s="11"/>
      <c r="B61" s="11"/>
      <c r="C61" s="11"/>
      <c r="D61" s="2"/>
      <c r="E61" s="2"/>
      <c r="F61" s="2"/>
      <c r="G61" s="2"/>
      <c r="H61" s="2"/>
      <c r="I61" s="2"/>
      <c r="J61" s="2"/>
      <c r="K61" s="2"/>
      <c r="L61" s="2"/>
      <c r="M61" s="2"/>
    </row>
    <row r="62" spans="1:13" ht="19.95" customHeight="1">
      <c r="A62" s="11"/>
      <c r="B62" s="11"/>
      <c r="C62" s="11"/>
      <c r="D62" s="2"/>
      <c r="E62" s="2"/>
      <c r="F62" s="2"/>
      <c r="G62" s="2"/>
      <c r="H62" s="2"/>
      <c r="I62" s="2"/>
      <c r="J62" s="2"/>
      <c r="K62" s="2"/>
      <c r="L62" s="2"/>
      <c r="M62" s="2"/>
    </row>
    <row r="63" spans="1:13" ht="19.95" customHeight="1">
      <c r="A63" s="2"/>
      <c r="B63" s="2"/>
      <c r="C63" s="2"/>
      <c r="D63" s="2"/>
      <c r="E63" s="2"/>
      <c r="F63" s="2"/>
      <c r="G63" s="2"/>
      <c r="H63" s="2"/>
      <c r="I63" s="2"/>
      <c r="J63" s="2"/>
      <c r="K63" s="2"/>
      <c r="L63" s="2"/>
      <c r="M63" s="2"/>
    </row>
    <row r="64" spans="1:13" ht="19.95" customHeight="1">
      <c r="A64" s="2"/>
      <c r="B64" s="2"/>
      <c r="C64" s="2"/>
      <c r="D64" s="2"/>
      <c r="E64" s="2"/>
      <c r="F64" s="2"/>
      <c r="G64" s="2"/>
      <c r="H64" s="2"/>
      <c r="I64" s="2"/>
      <c r="J64" s="2"/>
      <c r="K64" s="2"/>
      <c r="L64" s="2"/>
      <c r="M64" s="2"/>
    </row>
  </sheetData>
  <mergeCells count="32">
    <mergeCell ref="A44:E44"/>
    <mergeCell ref="A45:E45"/>
    <mergeCell ref="A46:E46"/>
    <mergeCell ref="M14:M15"/>
    <mergeCell ref="A31:A32"/>
    <mergeCell ref="B31:B32"/>
    <mergeCell ref="C31:C32"/>
    <mergeCell ref="D31:D32"/>
    <mergeCell ref="E31:E32"/>
    <mergeCell ref="F31:G31"/>
    <mergeCell ref="H31:H32"/>
    <mergeCell ref="I31:I32"/>
    <mergeCell ref="J31:J32"/>
    <mergeCell ref="K31:K32"/>
    <mergeCell ref="L31:L32"/>
    <mergeCell ref="M31:M32"/>
    <mergeCell ref="A29:E29"/>
    <mergeCell ref="A27:E27"/>
    <mergeCell ref="A28:E28"/>
    <mergeCell ref="A1:M1"/>
    <mergeCell ref="A2:M2"/>
    <mergeCell ref="A14:A15"/>
    <mergeCell ref="B14:B15"/>
    <mergeCell ref="C14:C15"/>
    <mergeCell ref="D14:D15"/>
    <mergeCell ref="E14:E15"/>
    <mergeCell ref="F14:G14"/>
    <mergeCell ref="H14:H15"/>
    <mergeCell ref="I14:I15"/>
    <mergeCell ref="J14:J15"/>
    <mergeCell ref="K14:K15"/>
    <mergeCell ref="L14:L15"/>
  </mergeCells>
  <phoneticPr fontId="9" type="noConversion"/>
  <hyperlinks>
    <hyperlink ref="M3" location="底稿目录!A1" display="H5A"/>
  </hyperlinks>
  <printOptions horizontalCentered="1"/>
  <pageMargins left="0.70866141732283472" right="0.70866141732283472" top="0.74803149606299213" bottom="0.74803149606299213" header="0.31496062992125984" footer="0.31496062992125984"/>
  <pageSetup paperSize="9" scale="89" fitToHeight="2" orientation="landscape" blackAndWhite="1" r:id="rId1"/>
  <headerFooter>
    <oddFooter>&amp;C&amp;P/&amp;N</oddFooter>
  </headerFooter>
  <rowBreaks count="1" manualBreakCount="1">
    <brk id="29"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J96"/>
  <sheetViews>
    <sheetView view="pageBreakPreview" zoomScaleNormal="130" zoomScaleSheetLayoutView="100" workbookViewId="0">
      <selection sqref="A1:I1"/>
    </sheetView>
  </sheetViews>
  <sheetFormatPr defaultRowHeight="19.95" customHeight="1"/>
  <cols>
    <col min="1" max="1" width="9" style="28"/>
    <col min="2" max="2" width="15.19921875" style="28" customWidth="1"/>
    <col min="3" max="3" width="11.19921875" style="28" customWidth="1"/>
    <col min="4" max="4" width="10" style="28" customWidth="1"/>
    <col min="5" max="5" width="11.3984375" style="28" customWidth="1"/>
    <col min="6" max="9" width="9" style="28"/>
    <col min="10" max="11" width="8.796875" style="28"/>
    <col min="12" max="12" width="9.19921875" style="28" bestFit="1" customWidth="1"/>
    <col min="13" max="16384" width="8.796875" style="28"/>
  </cols>
  <sheetData>
    <row r="1" spans="1:9" s="264" customFormat="1" ht="19.95" customHeight="1">
      <c r="A1" s="574" t="s">
        <v>879</v>
      </c>
      <c r="B1" s="574"/>
      <c r="C1" s="574"/>
      <c r="D1" s="574"/>
      <c r="E1" s="574"/>
      <c r="F1" s="574"/>
      <c r="G1" s="574"/>
      <c r="H1" s="574"/>
      <c r="I1" s="574"/>
    </row>
    <row r="2" spans="1:9" s="273" customFormat="1" ht="19.95" customHeight="1">
      <c r="A2" s="575" t="s">
        <v>889</v>
      </c>
      <c r="B2" s="575"/>
      <c r="C2" s="575"/>
      <c r="D2" s="575"/>
      <c r="E2" s="575"/>
      <c r="F2" s="575"/>
      <c r="G2" s="575"/>
      <c r="H2" s="575"/>
      <c r="I2" s="575"/>
    </row>
    <row r="3" spans="1:9" ht="19.95" customHeight="1">
      <c r="A3" s="2" t="str">
        <f>底稿目录!A2</f>
        <v>被审计单位：</v>
      </c>
      <c r="B3" s="14"/>
      <c r="C3" s="2"/>
      <c r="D3" s="2" t="str">
        <f>底稿目录!A4</f>
        <v>编制人：</v>
      </c>
      <c r="F3" s="79" t="str">
        <f>底稿目录!A6</f>
        <v>编制日期：</v>
      </c>
      <c r="G3" s="79"/>
      <c r="H3" s="339" t="s">
        <v>916</v>
      </c>
      <c r="I3" s="197" t="s">
        <v>168</v>
      </c>
    </row>
    <row r="4" spans="1:9" ht="19.95" customHeight="1">
      <c r="A4" s="2" t="str">
        <f>底稿目录!A3</f>
        <v>截止日：202X年12月31日</v>
      </c>
      <c r="B4" s="14"/>
      <c r="C4" s="2"/>
      <c r="D4" s="2" t="str">
        <f>底稿目录!A5</f>
        <v>复核人：</v>
      </c>
      <c r="F4" s="79" t="str">
        <f>底稿目录!A7</f>
        <v>复核日期：</v>
      </c>
      <c r="G4" s="79"/>
      <c r="H4" s="339" t="s">
        <v>917</v>
      </c>
      <c r="I4" s="163"/>
    </row>
    <row r="5" spans="1:9" s="76" customFormat="1" ht="19.95" customHeight="1">
      <c r="A5" s="75" t="s">
        <v>33</v>
      </c>
    </row>
    <row r="6" spans="1:9" s="76" customFormat="1" ht="19.95" customHeight="1">
      <c r="A6" s="75"/>
    </row>
    <row r="7" spans="1:9" s="76" customFormat="1" ht="19.95" customHeight="1">
      <c r="A7" s="75" t="s">
        <v>561</v>
      </c>
    </row>
    <row r="8" spans="1:9" s="77" customFormat="1" ht="19.95" customHeight="1">
      <c r="A8" s="90" t="s">
        <v>146</v>
      </c>
      <c r="B8" s="90" t="s">
        <v>562</v>
      </c>
      <c r="C8" s="90" t="s">
        <v>563</v>
      </c>
      <c r="D8" s="90" t="s">
        <v>564</v>
      </c>
    </row>
    <row r="9" spans="1:9" s="76" customFormat="1" ht="19.95" customHeight="1">
      <c r="A9" s="88">
        <v>1</v>
      </c>
      <c r="B9" s="89"/>
      <c r="C9" s="89"/>
      <c r="D9" s="89"/>
    </row>
    <row r="10" spans="1:9" s="76" customFormat="1" ht="19.95" customHeight="1">
      <c r="A10" s="88">
        <v>2</v>
      </c>
      <c r="B10" s="89"/>
      <c r="C10" s="89"/>
      <c r="D10" s="89"/>
    </row>
    <row r="11" spans="1:9" s="76" customFormat="1" ht="19.95" customHeight="1">
      <c r="A11" s="88">
        <v>3</v>
      </c>
      <c r="B11" s="89"/>
      <c r="C11" s="89"/>
      <c r="D11" s="89"/>
    </row>
    <row r="12" spans="1:9" s="76" customFormat="1" ht="19.95" customHeight="1">
      <c r="A12" s="75" t="s">
        <v>34</v>
      </c>
    </row>
    <row r="13" spans="1:9" s="76" customFormat="1" ht="19.95" customHeight="1">
      <c r="A13" s="78" t="s">
        <v>154</v>
      </c>
      <c r="B13" s="75" t="s">
        <v>565</v>
      </c>
      <c r="C13" s="75"/>
      <c r="D13" s="75"/>
    </row>
    <row r="14" spans="1:9" s="76" customFormat="1" ht="19.95" customHeight="1">
      <c r="A14" s="78">
        <v>1</v>
      </c>
      <c r="B14" s="76" t="s">
        <v>566</v>
      </c>
      <c r="C14" s="75"/>
      <c r="D14" s="75"/>
    </row>
    <row r="15" spans="1:9" s="76" customFormat="1" ht="19.95" customHeight="1">
      <c r="A15" s="78">
        <v>2</v>
      </c>
      <c r="B15" s="76" t="s">
        <v>567</v>
      </c>
      <c r="C15" s="75"/>
      <c r="D15" s="75"/>
    </row>
    <row r="16" spans="1:9" s="76" customFormat="1" ht="19.95" customHeight="1">
      <c r="A16" s="78">
        <v>3</v>
      </c>
      <c r="B16" s="76" t="s">
        <v>568</v>
      </c>
      <c r="C16" s="75"/>
      <c r="D16" s="75"/>
    </row>
    <row r="17" spans="1:10" s="76" customFormat="1" ht="19.95" customHeight="1">
      <c r="A17" s="78">
        <v>4</v>
      </c>
      <c r="B17" s="76" t="s">
        <v>569</v>
      </c>
      <c r="C17" s="75"/>
      <c r="D17" s="75"/>
    </row>
    <row r="18" spans="1:10" s="76" customFormat="1" ht="19.95" customHeight="1">
      <c r="A18" s="78">
        <v>5</v>
      </c>
      <c r="B18" s="76" t="s">
        <v>570</v>
      </c>
      <c r="C18" s="75"/>
      <c r="D18" s="75"/>
    </row>
    <row r="19" spans="1:10" s="76" customFormat="1" ht="19.95" customHeight="1">
      <c r="A19" s="78">
        <v>6</v>
      </c>
      <c r="B19" s="76" t="s">
        <v>571</v>
      </c>
      <c r="C19" s="75"/>
      <c r="D19" s="75"/>
    </row>
    <row r="20" spans="1:10" s="76" customFormat="1" ht="19.95" customHeight="1">
      <c r="A20" s="78">
        <v>7</v>
      </c>
      <c r="B20" s="76" t="s">
        <v>572</v>
      </c>
      <c r="C20" s="75"/>
      <c r="D20" s="75"/>
    </row>
    <row r="21" spans="1:10" s="76" customFormat="1" ht="19.95" customHeight="1">
      <c r="A21" s="75" t="s">
        <v>35</v>
      </c>
    </row>
    <row r="22" spans="1:10" s="76" customFormat="1" ht="19.95" customHeight="1">
      <c r="A22" s="75" t="s">
        <v>573</v>
      </c>
    </row>
    <row r="23" spans="1:10" s="76" customFormat="1" ht="19.95" customHeight="1">
      <c r="A23" s="91" t="s">
        <v>154</v>
      </c>
      <c r="B23" s="92" t="s">
        <v>574</v>
      </c>
      <c r="C23" s="90" t="s">
        <v>575</v>
      </c>
      <c r="D23" s="92" t="s">
        <v>576</v>
      </c>
      <c r="E23" s="92" t="s">
        <v>577</v>
      </c>
    </row>
    <row r="24" spans="1:10" s="76" customFormat="1" ht="19.95" customHeight="1">
      <c r="A24" s="88">
        <v>1</v>
      </c>
      <c r="B24" s="226"/>
      <c r="C24" s="89"/>
      <c r="D24" s="89"/>
      <c r="E24" s="226"/>
    </row>
    <row r="25" spans="1:10" s="76" customFormat="1" ht="19.95" customHeight="1">
      <c r="A25" s="88">
        <v>2</v>
      </c>
      <c r="B25" s="226"/>
      <c r="C25" s="89"/>
      <c r="D25" s="89"/>
      <c r="E25" s="226"/>
    </row>
    <row r="26" spans="1:10" s="76" customFormat="1" ht="19.95" customHeight="1">
      <c r="A26" s="88">
        <v>3</v>
      </c>
      <c r="B26" s="226"/>
      <c r="C26" s="89"/>
      <c r="D26" s="89"/>
      <c r="E26" s="226"/>
    </row>
    <row r="27" spans="1:10" s="76" customFormat="1" ht="19.95" customHeight="1">
      <c r="A27" s="75" t="s">
        <v>36</v>
      </c>
    </row>
    <row r="28" spans="1:10" s="77" customFormat="1" ht="19.95" customHeight="1">
      <c r="A28" s="91" t="s">
        <v>146</v>
      </c>
      <c r="B28" s="90" t="s">
        <v>578</v>
      </c>
      <c r="C28" s="90" t="s">
        <v>579</v>
      </c>
      <c r="D28" s="76"/>
      <c r="E28" s="76"/>
    </row>
    <row r="29" spans="1:10" s="76" customFormat="1" ht="19.95" customHeight="1">
      <c r="A29" s="88">
        <v>1</v>
      </c>
      <c r="B29" s="226"/>
      <c r="C29" s="226"/>
      <c r="J29" s="77"/>
    </row>
    <row r="30" spans="1:10" s="76" customFormat="1" ht="19.95" customHeight="1">
      <c r="A30" s="88">
        <v>2</v>
      </c>
      <c r="B30" s="226"/>
      <c r="C30" s="226"/>
      <c r="J30" s="77"/>
    </row>
    <row r="31" spans="1:10" s="76" customFormat="1" ht="19.95" customHeight="1">
      <c r="A31" s="88">
        <v>3</v>
      </c>
      <c r="B31" s="226"/>
      <c r="C31" s="226"/>
      <c r="J31" s="77"/>
    </row>
    <row r="32" spans="1:10" s="76" customFormat="1" ht="19.95" customHeight="1">
      <c r="A32" s="75" t="s">
        <v>37</v>
      </c>
    </row>
    <row r="33" spans="1:8" s="76" customFormat="1" ht="19.95" customHeight="1">
      <c r="A33" s="76" t="s">
        <v>38</v>
      </c>
    </row>
    <row r="34" spans="1:8" s="76" customFormat="1" ht="19.95" customHeight="1">
      <c r="A34" s="76" t="s">
        <v>39</v>
      </c>
    </row>
    <row r="35" spans="1:8" s="76" customFormat="1" ht="19.95" customHeight="1">
      <c r="A35" s="76" t="s">
        <v>580</v>
      </c>
      <c r="G35" s="76" t="s">
        <v>581</v>
      </c>
    </row>
    <row r="36" spans="1:8" s="76" customFormat="1" ht="19.95" customHeight="1">
      <c r="A36" s="76" t="s">
        <v>582</v>
      </c>
      <c r="G36" s="76" t="s">
        <v>583</v>
      </c>
    </row>
    <row r="37" spans="1:8" s="76" customFormat="1" ht="19.95" customHeight="1">
      <c r="A37" s="76" t="s">
        <v>584</v>
      </c>
      <c r="G37" s="76" t="s">
        <v>583</v>
      </c>
    </row>
    <row r="38" spans="1:8" s="76" customFormat="1" ht="19.95" customHeight="1">
      <c r="A38" s="76" t="s">
        <v>585</v>
      </c>
      <c r="G38" s="76" t="s">
        <v>583</v>
      </c>
    </row>
    <row r="39" spans="1:8" s="76" customFormat="1" ht="19.95" customHeight="1">
      <c r="A39" s="75" t="s">
        <v>40</v>
      </c>
    </row>
    <row r="40" spans="1:8" s="76" customFormat="1" ht="19.95" customHeight="1">
      <c r="A40" s="76" t="s">
        <v>586</v>
      </c>
      <c r="E40" s="76" t="s">
        <v>587</v>
      </c>
      <c r="H40" s="76" t="s">
        <v>588</v>
      </c>
    </row>
    <row r="41" spans="1:8" s="76" customFormat="1" ht="19.95" customHeight="1">
      <c r="A41" s="75" t="s">
        <v>41</v>
      </c>
    </row>
    <row r="42" spans="1:8" s="76" customFormat="1" ht="19.95" customHeight="1">
      <c r="A42" s="76" t="s">
        <v>42</v>
      </c>
    </row>
    <row r="43" spans="1:8" s="76" customFormat="1" ht="19.95" customHeight="1">
      <c r="A43" s="76" t="s">
        <v>589</v>
      </c>
      <c r="E43" s="76" t="s">
        <v>590</v>
      </c>
      <c r="H43" s="76" t="s">
        <v>43</v>
      </c>
    </row>
    <row r="44" spans="1:8" s="76" customFormat="1" ht="19.95" customHeight="1">
      <c r="A44" s="76" t="s">
        <v>589</v>
      </c>
      <c r="E44" s="76" t="s">
        <v>591</v>
      </c>
      <c r="H44" s="76" t="s">
        <v>43</v>
      </c>
    </row>
    <row r="45" spans="1:8" s="76" customFormat="1" ht="19.95" customHeight="1">
      <c r="A45" s="76" t="s">
        <v>592</v>
      </c>
      <c r="E45" s="76" t="s">
        <v>591</v>
      </c>
      <c r="H45" s="76" t="s">
        <v>43</v>
      </c>
    </row>
    <row r="46" spans="1:8" s="76" customFormat="1" ht="19.95" customHeight="1">
      <c r="A46" s="76" t="s">
        <v>593</v>
      </c>
      <c r="D46" s="76" t="s">
        <v>44</v>
      </c>
    </row>
    <row r="47" spans="1:8" s="76" customFormat="1" ht="19.95" customHeight="1">
      <c r="A47" s="76" t="s">
        <v>594</v>
      </c>
      <c r="D47" s="76" t="s">
        <v>595</v>
      </c>
      <c r="H47" s="76" t="s">
        <v>45</v>
      </c>
    </row>
    <row r="48" spans="1:8" s="76" customFormat="1" ht="19.95" customHeight="1">
      <c r="A48" s="76" t="s">
        <v>596</v>
      </c>
      <c r="D48" s="76" t="s">
        <v>597</v>
      </c>
      <c r="H48" s="76" t="s">
        <v>45</v>
      </c>
    </row>
    <row r="49" spans="1:8" s="76" customFormat="1" ht="19.95" customHeight="1">
      <c r="A49" s="76" t="s">
        <v>598</v>
      </c>
      <c r="D49" s="76" t="s">
        <v>595</v>
      </c>
      <c r="H49" s="76" t="s">
        <v>45</v>
      </c>
    </row>
    <row r="50" spans="1:8" s="76" customFormat="1" ht="19.95" customHeight="1">
      <c r="A50" s="76" t="s">
        <v>46</v>
      </c>
    </row>
    <row r="51" spans="1:8" s="76" customFormat="1" ht="19.95" customHeight="1">
      <c r="A51" s="75" t="s">
        <v>47</v>
      </c>
    </row>
    <row r="52" spans="1:8" s="76" customFormat="1" ht="19.95" customHeight="1">
      <c r="A52" s="76" t="s">
        <v>48</v>
      </c>
    </row>
    <row r="53" spans="1:8" s="76" customFormat="1" ht="19.95" customHeight="1">
      <c r="A53" s="76" t="s">
        <v>49</v>
      </c>
    </row>
    <row r="54" spans="1:8" s="76" customFormat="1" ht="19.95" customHeight="1">
      <c r="A54" s="76" t="s">
        <v>50</v>
      </c>
    </row>
    <row r="55" spans="1:8" s="76" customFormat="1" ht="19.95" customHeight="1">
      <c r="A55" s="76" t="s">
        <v>51</v>
      </c>
    </row>
    <row r="56" spans="1:8" s="76" customFormat="1" ht="19.95" customHeight="1">
      <c r="A56" s="76" t="s">
        <v>599</v>
      </c>
      <c r="D56" s="76" t="s">
        <v>44</v>
      </c>
    </row>
    <row r="57" spans="1:8" s="76" customFormat="1" ht="19.95" customHeight="1">
      <c r="A57" s="76" t="s">
        <v>600</v>
      </c>
      <c r="E57" s="76" t="s">
        <v>601</v>
      </c>
    </row>
    <row r="58" spans="1:8" s="76" customFormat="1" ht="19.95" customHeight="1">
      <c r="C58" s="76" t="s">
        <v>602</v>
      </c>
      <c r="H58" s="76" t="s">
        <v>52</v>
      </c>
    </row>
    <row r="59" spans="1:8" s="76" customFormat="1" ht="19.95" customHeight="1">
      <c r="A59" s="76" t="s">
        <v>603</v>
      </c>
      <c r="E59" s="76" t="s">
        <v>601</v>
      </c>
    </row>
    <row r="60" spans="1:8" s="76" customFormat="1" ht="19.95" customHeight="1">
      <c r="C60" s="76" t="s">
        <v>604</v>
      </c>
      <c r="H60" s="76" t="s">
        <v>52</v>
      </c>
    </row>
    <row r="61" spans="1:8" s="76" customFormat="1" ht="19.95" customHeight="1">
      <c r="A61" s="76" t="s">
        <v>605</v>
      </c>
      <c r="E61" s="76" t="s">
        <v>601</v>
      </c>
    </row>
    <row r="62" spans="1:8" s="76" customFormat="1" ht="19.95" customHeight="1">
      <c r="C62" s="76" t="s">
        <v>604</v>
      </c>
      <c r="H62" s="76" t="s">
        <v>52</v>
      </c>
    </row>
    <row r="63" spans="1:8" s="76" customFormat="1" ht="19.95" customHeight="1">
      <c r="A63" s="76" t="s">
        <v>606</v>
      </c>
    </row>
    <row r="64" spans="1:8" s="76" customFormat="1" ht="19.95" customHeight="1">
      <c r="A64" s="76" t="s">
        <v>607</v>
      </c>
      <c r="F64" s="76" t="s">
        <v>53</v>
      </c>
    </row>
    <row r="65" spans="1:8" s="76" customFormat="1" ht="19.95" customHeight="1">
      <c r="A65" s="76" t="s">
        <v>608</v>
      </c>
      <c r="G65" s="76" t="s">
        <v>609</v>
      </c>
    </row>
    <row r="66" spans="1:8" s="76" customFormat="1" ht="19.95" customHeight="1">
      <c r="A66" s="76" t="s">
        <v>610</v>
      </c>
    </row>
    <row r="67" spans="1:8" s="76" customFormat="1" ht="19.95" customHeight="1"/>
    <row r="68" spans="1:8" s="76" customFormat="1" ht="19.95" customHeight="1">
      <c r="A68" s="76" t="s">
        <v>611</v>
      </c>
    </row>
    <row r="69" spans="1:8" s="76" customFormat="1" ht="19.95" customHeight="1"/>
    <row r="70" spans="1:8" s="76" customFormat="1" ht="19.95" customHeight="1">
      <c r="A70" s="76" t="s">
        <v>67</v>
      </c>
    </row>
    <row r="71" spans="1:8" s="76" customFormat="1" ht="19.95" customHeight="1"/>
    <row r="72" spans="1:8" s="76" customFormat="1" ht="19.95" customHeight="1">
      <c r="A72" s="75" t="s">
        <v>54</v>
      </c>
    </row>
    <row r="73" spans="1:8" s="76" customFormat="1" ht="19.95" customHeight="1"/>
    <row r="74" spans="1:8" s="76" customFormat="1" ht="19.95" customHeight="1">
      <c r="A74" s="75" t="s">
        <v>55</v>
      </c>
    </row>
    <row r="75" spans="1:8" s="76" customFormat="1" ht="19.95" customHeight="1">
      <c r="A75" s="76" t="s">
        <v>612</v>
      </c>
      <c r="F75" s="76" t="s">
        <v>613</v>
      </c>
    </row>
    <row r="76" spans="1:8" s="76" customFormat="1" ht="19.95" customHeight="1">
      <c r="A76" s="76" t="s">
        <v>56</v>
      </c>
    </row>
    <row r="77" spans="1:8" s="76" customFormat="1" ht="19.95" customHeight="1">
      <c r="A77" s="76" t="s">
        <v>614</v>
      </c>
      <c r="C77" s="76" t="s">
        <v>615</v>
      </c>
      <c r="G77" s="76" t="s">
        <v>616</v>
      </c>
    </row>
    <row r="78" spans="1:8" s="76" customFormat="1" ht="19.95" customHeight="1">
      <c r="A78" s="76" t="s">
        <v>617</v>
      </c>
      <c r="E78" s="76" t="s">
        <v>618</v>
      </c>
      <c r="H78" s="76" t="s">
        <v>619</v>
      </c>
    </row>
    <row r="79" spans="1:8" s="76" customFormat="1" ht="19.95" customHeight="1">
      <c r="A79" s="76" t="s">
        <v>620</v>
      </c>
    </row>
    <row r="80" spans="1:8" s="76" customFormat="1" ht="19.95" customHeight="1">
      <c r="A80" s="76" t="s">
        <v>621</v>
      </c>
    </row>
    <row r="81" spans="1:9" s="76" customFormat="1" ht="19.95" customHeight="1">
      <c r="A81" s="76" t="s">
        <v>622</v>
      </c>
      <c r="G81" s="76" t="s">
        <v>57</v>
      </c>
    </row>
    <row r="82" spans="1:9" s="76" customFormat="1" ht="19.95" customHeight="1">
      <c r="A82" s="76" t="s">
        <v>58</v>
      </c>
    </row>
    <row r="83" spans="1:9" s="76" customFormat="1" ht="19.95" customHeight="1">
      <c r="A83" s="76" t="s">
        <v>623</v>
      </c>
      <c r="C83" s="76" t="s">
        <v>624</v>
      </c>
      <c r="G83" s="76" t="s">
        <v>625</v>
      </c>
    </row>
    <row r="84" spans="1:9" s="76" customFormat="1" ht="19.95" customHeight="1">
      <c r="A84" s="76" t="s">
        <v>626</v>
      </c>
      <c r="D84" s="76" t="s">
        <v>627</v>
      </c>
      <c r="G84" s="76" t="s">
        <v>628</v>
      </c>
    </row>
    <row r="85" spans="1:9" s="76" customFormat="1" ht="19.95" customHeight="1">
      <c r="A85" s="75" t="s">
        <v>59</v>
      </c>
    </row>
    <row r="86" spans="1:9" s="76" customFormat="1" ht="19.95" customHeight="1">
      <c r="A86" s="76" t="s">
        <v>60</v>
      </c>
    </row>
    <row r="87" spans="1:9" s="76" customFormat="1" ht="19.95" customHeight="1">
      <c r="A87" s="76" t="s">
        <v>61</v>
      </c>
    </row>
    <row r="88" spans="1:9" s="76" customFormat="1" ht="19.95" customHeight="1">
      <c r="A88" s="76" t="s">
        <v>62</v>
      </c>
    </row>
    <row r="89" spans="1:9" s="76" customFormat="1" ht="19.95" customHeight="1">
      <c r="A89" s="76" t="s">
        <v>63</v>
      </c>
    </row>
    <row r="90" spans="1:9" s="76" customFormat="1" ht="19.95" customHeight="1">
      <c r="A90" s="76" t="s">
        <v>64</v>
      </c>
    </row>
    <row r="91" spans="1:9" s="76" customFormat="1" ht="19.95" customHeight="1">
      <c r="A91" s="76" t="s">
        <v>65</v>
      </c>
    </row>
    <row r="92" spans="1:9" s="76" customFormat="1" ht="19.95" customHeight="1">
      <c r="A92" s="76" t="s">
        <v>66</v>
      </c>
    </row>
    <row r="93" spans="1:9" s="76" customFormat="1" ht="19.95" customHeight="1">
      <c r="G93" s="76" t="s">
        <v>629</v>
      </c>
    </row>
    <row r="94" spans="1:9" s="76" customFormat="1" ht="19.95" customHeight="1">
      <c r="G94" s="76" t="s">
        <v>630</v>
      </c>
    </row>
    <row r="95" spans="1:9" ht="19.95" customHeight="1">
      <c r="A95" s="76"/>
      <c r="B95" s="76"/>
      <c r="C95" s="76"/>
      <c r="D95" s="76"/>
      <c r="E95" s="76"/>
      <c r="F95" s="76"/>
      <c r="G95" s="76"/>
      <c r="H95" s="76"/>
      <c r="I95" s="76"/>
    </row>
    <row r="96" spans="1:9" ht="19.95" customHeight="1">
      <c r="A96" s="76"/>
      <c r="B96" s="76"/>
      <c r="C96" s="76"/>
      <c r="D96" s="76"/>
      <c r="E96" s="76"/>
      <c r="F96" s="76"/>
      <c r="G96" s="76"/>
      <c r="H96" s="76"/>
      <c r="I96" s="76"/>
    </row>
  </sheetData>
  <mergeCells count="2">
    <mergeCell ref="A1:I1"/>
    <mergeCell ref="A2:I2"/>
  </mergeCells>
  <phoneticPr fontId="9" type="noConversion"/>
  <hyperlinks>
    <hyperlink ref="I3" location="底稿目录!A1" display="H5A"/>
  </hyperlinks>
  <printOptions horizontalCentered="1"/>
  <pageMargins left="0.70866141732283472" right="0.70866141732283472" top="0.74803149606299213" bottom="0.74803149606299213" header="0.31496062992125984" footer="0.31496062992125984"/>
  <pageSetup paperSize="9" scale="83" fitToHeight="2" orientation="portrait" blackAndWhite="1" r:id="rId1"/>
  <headerFooter>
    <oddFooter>&amp;C&amp;P/&amp;N</oddFooter>
  </headerFooter>
  <rowBreaks count="2" manualBreakCount="2">
    <brk id="38" max="16383" man="1"/>
    <brk id="73"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B46"/>
  <sheetViews>
    <sheetView showZeros="0" view="pageBreakPreview" zoomScaleSheetLayoutView="100" workbookViewId="0">
      <selection sqref="A1:S1"/>
    </sheetView>
  </sheetViews>
  <sheetFormatPr defaultColWidth="9" defaultRowHeight="19.95" customHeight="1"/>
  <cols>
    <col min="1" max="1" width="14.09765625" style="2" customWidth="1"/>
    <col min="2" max="2" width="11.59765625" style="2" customWidth="1"/>
    <col min="3" max="3" width="11.09765625" style="2" customWidth="1"/>
    <col min="4" max="4" width="9" style="2"/>
    <col min="5" max="5" width="10.69921875" style="2" customWidth="1"/>
    <col min="6" max="7" width="9" style="2"/>
    <col min="8" max="8" width="9.8984375" style="2" customWidth="1"/>
    <col min="9" max="9" width="6.3984375" style="2" bestFit="1" customWidth="1"/>
    <col min="10" max="10" width="9" style="2"/>
    <col min="11" max="11" width="5.19921875" style="2" customWidth="1"/>
    <col min="12" max="12" width="9" style="2" customWidth="1"/>
    <col min="13" max="14" width="6.3984375" style="2" customWidth="1"/>
    <col min="15" max="15" width="8.8984375" style="2" bestFit="1" customWidth="1"/>
    <col min="16" max="16" width="7.8984375" style="2" customWidth="1"/>
    <col min="17" max="17" width="8.19921875" style="2" customWidth="1"/>
    <col min="18" max="18" width="10.09765625" style="2" bestFit="1" customWidth="1"/>
    <col min="19" max="19" width="9.5" style="2" bestFit="1" customWidth="1"/>
    <col min="20" max="16384" width="9" style="2"/>
  </cols>
  <sheetData>
    <row r="1" spans="1:28" s="190" customFormat="1" ht="19.95" customHeight="1">
      <c r="A1" s="520" t="s">
        <v>879</v>
      </c>
      <c r="B1" s="520"/>
      <c r="C1" s="520"/>
      <c r="D1" s="520"/>
      <c r="E1" s="520"/>
      <c r="F1" s="520"/>
      <c r="G1" s="520"/>
      <c r="H1" s="520"/>
      <c r="I1" s="520"/>
      <c r="J1" s="520"/>
      <c r="K1" s="520"/>
      <c r="L1" s="520"/>
      <c r="M1" s="520"/>
      <c r="N1" s="520"/>
      <c r="O1" s="520"/>
      <c r="P1" s="520"/>
      <c r="Q1" s="520"/>
      <c r="R1" s="520"/>
      <c r="S1" s="520"/>
    </row>
    <row r="2" spans="1:28" s="269" customFormat="1" ht="19.95" customHeight="1">
      <c r="A2" s="271" t="s">
        <v>888</v>
      </c>
      <c r="B2" s="271"/>
      <c r="C2" s="271"/>
      <c r="D2" s="271"/>
      <c r="E2" s="271"/>
      <c r="F2" s="271"/>
      <c r="G2" s="271"/>
      <c r="H2" s="271"/>
      <c r="I2" s="271"/>
      <c r="J2" s="271"/>
      <c r="K2" s="271"/>
      <c r="L2" s="271"/>
      <c r="M2" s="271"/>
      <c r="N2" s="271"/>
      <c r="O2" s="271"/>
      <c r="P2" s="271"/>
      <c r="Q2" s="271"/>
      <c r="R2" s="272"/>
      <c r="S2" s="272"/>
    </row>
    <row r="3" spans="1:28" ht="19.95" customHeight="1">
      <c r="A3" s="2" t="str">
        <f>底稿目录!A2</f>
        <v>被审计单位：</v>
      </c>
      <c r="C3" s="14"/>
      <c r="E3" s="6"/>
      <c r="F3" s="2" t="str">
        <f>底稿目录!A4</f>
        <v>编制人：</v>
      </c>
      <c r="N3" s="2" t="str">
        <f>底稿目录!A6</f>
        <v>编制日期：</v>
      </c>
      <c r="O3" s="79"/>
      <c r="R3" s="339" t="s">
        <v>916</v>
      </c>
      <c r="S3" s="197" t="s">
        <v>169</v>
      </c>
    </row>
    <row r="4" spans="1:28" ht="19.95" customHeight="1">
      <c r="A4" s="2" t="str">
        <f>底稿目录!A3</f>
        <v>截止日：202X年12月31日</v>
      </c>
      <c r="C4" s="14"/>
      <c r="E4" s="6"/>
      <c r="F4" s="2" t="str">
        <f>底稿目录!A5</f>
        <v>复核人：</v>
      </c>
      <c r="N4" s="2" t="str">
        <f>底稿目录!A7</f>
        <v>复核日期：</v>
      </c>
      <c r="O4" s="79"/>
      <c r="R4" s="339" t="s">
        <v>917</v>
      </c>
      <c r="S4" s="163"/>
    </row>
    <row r="5" spans="1:28" s="187" customFormat="1" ht="19.95" customHeight="1">
      <c r="A5" s="218" t="s">
        <v>631</v>
      </c>
      <c r="B5" s="467"/>
      <c r="G5" s="468"/>
      <c r="K5" s="423"/>
      <c r="L5" s="418"/>
      <c r="V5" s="419"/>
      <c r="W5" s="419"/>
      <c r="X5" s="419"/>
      <c r="Y5" s="419"/>
      <c r="Z5" s="419"/>
      <c r="AA5" s="419"/>
      <c r="AB5" s="419"/>
    </row>
    <row r="6" spans="1:28" ht="19.95" customHeight="1">
      <c r="A6" s="51" t="s">
        <v>632</v>
      </c>
      <c r="B6" s="52"/>
      <c r="G6" s="6"/>
      <c r="K6" s="74"/>
      <c r="L6" s="103"/>
      <c r="V6" s="110"/>
      <c r="W6" s="110"/>
      <c r="X6" s="110"/>
      <c r="Y6" s="110"/>
      <c r="Z6" s="110"/>
      <c r="AA6" s="110"/>
      <c r="AB6" s="110"/>
    </row>
    <row r="7" spans="1:28" s="34" customFormat="1" ht="19.95" customHeight="1">
      <c r="A7" s="228" t="s">
        <v>633</v>
      </c>
      <c r="B7" s="469">
        <v>45658</v>
      </c>
      <c r="C7" s="228" t="s">
        <v>634</v>
      </c>
      <c r="D7" s="469">
        <v>46022</v>
      </c>
      <c r="E7" s="229" t="s">
        <v>635</v>
      </c>
      <c r="I7" s="35"/>
      <c r="M7" s="35"/>
      <c r="N7" s="35"/>
      <c r="P7" s="2"/>
      <c r="Q7" s="2"/>
    </row>
    <row r="8" spans="1:28" s="410" customFormat="1" ht="24">
      <c r="A8" s="405" t="s">
        <v>1006</v>
      </c>
      <c r="B8" s="405" t="s">
        <v>1007</v>
      </c>
      <c r="C8" s="405" t="s">
        <v>25</v>
      </c>
      <c r="D8" s="406" t="s">
        <v>1008</v>
      </c>
      <c r="E8" s="407" t="s">
        <v>1009</v>
      </c>
      <c r="F8" s="407" t="s">
        <v>1010</v>
      </c>
      <c r="G8" s="408" t="s">
        <v>1011</v>
      </c>
      <c r="H8" s="408" t="s">
        <v>1012</v>
      </c>
      <c r="I8" s="409" t="s">
        <v>1023</v>
      </c>
      <c r="J8" s="407" t="s">
        <v>1013</v>
      </c>
      <c r="K8" s="408" t="s">
        <v>1022</v>
      </c>
      <c r="L8" s="408" t="s">
        <v>1014</v>
      </c>
      <c r="M8" s="409" t="s">
        <v>1015</v>
      </c>
      <c r="N8" s="409" t="s">
        <v>1016</v>
      </c>
      <c r="O8" s="407" t="s">
        <v>1017</v>
      </c>
      <c r="P8" s="407" t="s">
        <v>1018</v>
      </c>
      <c r="Q8" s="407" t="s">
        <v>1019</v>
      </c>
      <c r="R8" s="407" t="s">
        <v>1020</v>
      </c>
      <c r="S8" s="407" t="s">
        <v>1021</v>
      </c>
    </row>
    <row r="9" spans="1:28" s="36" customFormat="1" ht="19.95" customHeight="1">
      <c r="A9" s="470"/>
      <c r="B9" s="471"/>
      <c r="C9" s="470"/>
      <c r="D9" s="470"/>
      <c r="E9" s="315"/>
      <c r="F9" s="315"/>
      <c r="G9" s="472"/>
      <c r="H9" s="473"/>
      <c r="I9" s="474"/>
      <c r="J9" s="315"/>
      <c r="K9" s="152">
        <f>IF(H9=0,0,IF(RIGHT(H9,1)&lt;&gt;"年",H9*12,IF(LEN(H9)=3,VALUE(LEFT(H9,2))*12,IF(LEN(H9)=2,VALUE(LEFT(H9,1))*12,"??"))))</f>
        <v>0</v>
      </c>
      <c r="L9" s="153">
        <f t="shared" ref="L9:L33" si="0">IF(G9=0,0,DATE(YEAR(G9),MONTH(G9)+K9,DAY(G9)-1))</f>
        <v>0</v>
      </c>
      <c r="M9" s="154">
        <f t="shared" ref="M9:M24" si="1">IF(G9=0,0,IF(L9&gt;$D$7,DATEDIF(G9,MIN($D$7,L9),"m"),VALUE(DATEDIF(G9,MIN($D$7,L9),"m")+1)))</f>
        <v>0</v>
      </c>
      <c r="N9" s="154">
        <f>IF(OR(G9=0,L9&lt;$B$7),0,IF(AND(G9&lt;$B$7,L9&gt;$D$7),VALUE(DATEDIF($B$7,$D$7,"m")+1),IF(AND(G9&lt;$B$7,L9&lt;=$D$7),VALUE(DATEDIF($B$7,L9,"m")+1),IF(AND(G9&gt;=$B$7,L9&gt;$D$7),VALUE(DATEDIF(G9,$D$7,"m")),IF(AND(G9&gt;=$B$7,L9&lt;=$D$7),VALUE(DATEDIF(G9,L9,"m")+1),)))))</f>
        <v>0</v>
      </c>
      <c r="O9" s="154">
        <f>IF(K9=0,0,ROUND(((1-I9)/K9)*E9,4))</f>
        <v>0</v>
      </c>
      <c r="P9" s="154">
        <f>ROUND(O9*N9,2)</f>
        <v>0</v>
      </c>
      <c r="Q9" s="154">
        <f>ROUND(J9-O9,2)</f>
        <v>0</v>
      </c>
      <c r="R9" s="154">
        <f>ROUND(O9*M9,2)</f>
        <v>0</v>
      </c>
      <c r="S9" s="154">
        <f>ROUND(F9-R9,2)</f>
        <v>0</v>
      </c>
    </row>
    <row r="10" spans="1:28" s="36" customFormat="1" ht="19.95" customHeight="1">
      <c r="A10" s="470"/>
      <c r="B10" s="471"/>
      <c r="C10" s="470"/>
      <c r="D10" s="470"/>
      <c r="E10" s="315"/>
      <c r="F10" s="315"/>
      <c r="G10" s="472"/>
      <c r="H10" s="473"/>
      <c r="I10" s="474"/>
      <c r="J10" s="315"/>
      <c r="K10" s="152">
        <f t="shared" ref="K10:K33" si="2">IF(H10=0,0,IF(RIGHT(H10,1)&lt;&gt;"年",H10*12,IF(LEN(H10)=3,VALUE(LEFT(H10,2))*12,IF(LEN(H10)=2,VALUE(LEFT(H10,1))*12,"??"))))</f>
        <v>0</v>
      </c>
      <c r="L10" s="153">
        <f t="shared" si="0"/>
        <v>0</v>
      </c>
      <c r="M10" s="154">
        <f t="shared" si="1"/>
        <v>0</v>
      </c>
      <c r="N10" s="154">
        <f t="shared" ref="N10:N24" si="3">IF(OR(G10=0,L10&lt;$B$7),0,IF(AND(G10&lt;$B$7,L10&gt;$D$7),VALUE(DATEDIF($B$7,$D$7,"m")+1),IF(AND(G10&lt;$B$7,L10&lt;=$D$7),VALUE(DATEDIF($B$7,L10,"m")+1),IF(AND(G10&gt;=$B$7,L10&gt;$D$7),VALUE(DATEDIF(G10,$D$7,"m")),IF(AND(G10&gt;=$B$7,L10&lt;=$D$7),VALUE(DATEDIF(G10,L10,"m")+1),)))))</f>
        <v>0</v>
      </c>
      <c r="O10" s="154">
        <f t="shared" ref="O10:O24" si="4">IF(K10=0,0,ROUND(((1-I10)/K10)*E10,4))</f>
        <v>0</v>
      </c>
      <c r="P10" s="154">
        <f t="shared" ref="P10:P24" si="5">ROUND(O10*N10,2)</f>
        <v>0</v>
      </c>
      <c r="Q10" s="154">
        <f t="shared" ref="Q10:Q24" si="6">ROUND(J10-O10,2)</f>
        <v>0</v>
      </c>
      <c r="R10" s="154">
        <f t="shared" ref="R10:R24" si="7">ROUND(O10*M10,2)</f>
        <v>0</v>
      </c>
      <c r="S10" s="154">
        <f t="shared" ref="S10:S24" si="8">ROUND(F10-R10,2)</f>
        <v>0</v>
      </c>
    </row>
    <row r="11" spans="1:28" ht="19.95" customHeight="1">
      <c r="A11" s="470"/>
      <c r="B11" s="471"/>
      <c r="C11" s="470"/>
      <c r="D11" s="470"/>
      <c r="E11" s="315"/>
      <c r="F11" s="315"/>
      <c r="G11" s="472"/>
      <c r="H11" s="473"/>
      <c r="I11" s="474"/>
      <c r="J11" s="315"/>
      <c r="K11" s="152">
        <f t="shared" si="2"/>
        <v>0</v>
      </c>
      <c r="L11" s="153">
        <f t="shared" si="0"/>
        <v>0</v>
      </c>
      <c r="M11" s="154">
        <f t="shared" si="1"/>
        <v>0</v>
      </c>
      <c r="N11" s="154">
        <f t="shared" si="3"/>
        <v>0</v>
      </c>
      <c r="O11" s="154">
        <f t="shared" si="4"/>
        <v>0</v>
      </c>
      <c r="P11" s="154">
        <f t="shared" si="5"/>
        <v>0</v>
      </c>
      <c r="Q11" s="154">
        <f t="shared" si="6"/>
        <v>0</v>
      </c>
      <c r="R11" s="154">
        <f t="shared" si="7"/>
        <v>0</v>
      </c>
      <c r="S11" s="154">
        <f t="shared" si="8"/>
        <v>0</v>
      </c>
    </row>
    <row r="12" spans="1:28" ht="19.95" customHeight="1">
      <c r="A12" s="470"/>
      <c r="B12" s="471"/>
      <c r="C12" s="470"/>
      <c r="D12" s="470"/>
      <c r="E12" s="315"/>
      <c r="F12" s="315"/>
      <c r="G12" s="472"/>
      <c r="H12" s="473"/>
      <c r="I12" s="474"/>
      <c r="J12" s="315"/>
      <c r="K12" s="152">
        <f t="shared" si="2"/>
        <v>0</v>
      </c>
      <c r="L12" s="153">
        <f t="shared" si="0"/>
        <v>0</v>
      </c>
      <c r="M12" s="154">
        <f t="shared" si="1"/>
        <v>0</v>
      </c>
      <c r="N12" s="154">
        <f t="shared" si="3"/>
        <v>0</v>
      </c>
      <c r="O12" s="154">
        <f t="shared" si="4"/>
        <v>0</v>
      </c>
      <c r="P12" s="154">
        <f t="shared" si="5"/>
        <v>0</v>
      </c>
      <c r="Q12" s="154">
        <f t="shared" si="6"/>
        <v>0</v>
      </c>
      <c r="R12" s="154">
        <f t="shared" si="7"/>
        <v>0</v>
      </c>
      <c r="S12" s="154">
        <f t="shared" si="8"/>
        <v>0</v>
      </c>
    </row>
    <row r="13" spans="1:28" ht="19.95" customHeight="1">
      <c r="A13" s="470"/>
      <c r="B13" s="471"/>
      <c r="C13" s="470"/>
      <c r="D13" s="470"/>
      <c r="E13" s="315"/>
      <c r="F13" s="315"/>
      <c r="G13" s="472"/>
      <c r="H13" s="473"/>
      <c r="I13" s="474"/>
      <c r="J13" s="315"/>
      <c r="K13" s="152">
        <f t="shared" si="2"/>
        <v>0</v>
      </c>
      <c r="L13" s="153">
        <f t="shared" si="0"/>
        <v>0</v>
      </c>
      <c r="M13" s="154">
        <f t="shared" si="1"/>
        <v>0</v>
      </c>
      <c r="N13" s="154">
        <f t="shared" si="3"/>
        <v>0</v>
      </c>
      <c r="O13" s="154">
        <f t="shared" si="4"/>
        <v>0</v>
      </c>
      <c r="P13" s="154">
        <f t="shared" si="5"/>
        <v>0</v>
      </c>
      <c r="Q13" s="154">
        <f t="shared" si="6"/>
        <v>0</v>
      </c>
      <c r="R13" s="154">
        <f t="shared" si="7"/>
        <v>0</v>
      </c>
      <c r="S13" s="154">
        <f t="shared" si="8"/>
        <v>0</v>
      </c>
    </row>
    <row r="14" spans="1:28" ht="19.95" customHeight="1">
      <c r="A14" s="470"/>
      <c r="B14" s="471"/>
      <c r="C14" s="470"/>
      <c r="D14" s="470"/>
      <c r="E14" s="315"/>
      <c r="F14" s="315"/>
      <c r="G14" s="472"/>
      <c r="H14" s="473"/>
      <c r="I14" s="474"/>
      <c r="J14" s="315"/>
      <c r="K14" s="152">
        <f t="shared" si="2"/>
        <v>0</v>
      </c>
      <c r="L14" s="153">
        <f t="shared" si="0"/>
        <v>0</v>
      </c>
      <c r="M14" s="154">
        <f t="shared" si="1"/>
        <v>0</v>
      </c>
      <c r="N14" s="154">
        <f t="shared" si="3"/>
        <v>0</v>
      </c>
      <c r="O14" s="154">
        <f t="shared" si="4"/>
        <v>0</v>
      </c>
      <c r="P14" s="154">
        <f t="shared" si="5"/>
        <v>0</v>
      </c>
      <c r="Q14" s="154">
        <f t="shared" si="6"/>
        <v>0</v>
      </c>
      <c r="R14" s="154">
        <f t="shared" si="7"/>
        <v>0</v>
      </c>
      <c r="S14" s="154">
        <f t="shared" si="8"/>
        <v>0</v>
      </c>
    </row>
    <row r="15" spans="1:28" ht="19.95" customHeight="1">
      <c r="A15" s="470"/>
      <c r="B15" s="471"/>
      <c r="C15" s="470"/>
      <c r="D15" s="470"/>
      <c r="E15" s="315"/>
      <c r="F15" s="315"/>
      <c r="G15" s="472"/>
      <c r="H15" s="473"/>
      <c r="I15" s="474"/>
      <c r="J15" s="315"/>
      <c r="K15" s="152">
        <f t="shared" si="2"/>
        <v>0</v>
      </c>
      <c r="L15" s="153">
        <f t="shared" si="0"/>
        <v>0</v>
      </c>
      <c r="M15" s="154">
        <f t="shared" si="1"/>
        <v>0</v>
      </c>
      <c r="N15" s="154">
        <f t="shared" si="3"/>
        <v>0</v>
      </c>
      <c r="O15" s="154">
        <f t="shared" si="4"/>
        <v>0</v>
      </c>
      <c r="P15" s="154">
        <f t="shared" si="5"/>
        <v>0</v>
      </c>
      <c r="Q15" s="154">
        <f t="shared" si="6"/>
        <v>0</v>
      </c>
      <c r="R15" s="154">
        <f t="shared" si="7"/>
        <v>0</v>
      </c>
      <c r="S15" s="154">
        <f t="shared" si="8"/>
        <v>0</v>
      </c>
    </row>
    <row r="16" spans="1:28" ht="19.95" customHeight="1">
      <c r="A16" s="470"/>
      <c r="B16" s="471"/>
      <c r="C16" s="470"/>
      <c r="D16" s="470"/>
      <c r="E16" s="315"/>
      <c r="F16" s="315"/>
      <c r="G16" s="472"/>
      <c r="H16" s="473"/>
      <c r="I16" s="474"/>
      <c r="J16" s="315"/>
      <c r="K16" s="152">
        <f t="shared" si="2"/>
        <v>0</v>
      </c>
      <c r="L16" s="153">
        <f t="shared" si="0"/>
        <v>0</v>
      </c>
      <c r="M16" s="154">
        <f t="shared" si="1"/>
        <v>0</v>
      </c>
      <c r="N16" s="154">
        <f t="shared" si="3"/>
        <v>0</v>
      </c>
      <c r="O16" s="154">
        <f t="shared" si="4"/>
        <v>0</v>
      </c>
      <c r="P16" s="154">
        <f t="shared" si="5"/>
        <v>0</v>
      </c>
      <c r="Q16" s="154">
        <f t="shared" si="6"/>
        <v>0</v>
      </c>
      <c r="R16" s="154">
        <f t="shared" si="7"/>
        <v>0</v>
      </c>
      <c r="S16" s="154">
        <f t="shared" si="8"/>
        <v>0</v>
      </c>
    </row>
    <row r="17" spans="1:19" ht="19.95" customHeight="1">
      <c r="A17" s="470"/>
      <c r="B17" s="471"/>
      <c r="C17" s="470"/>
      <c r="D17" s="470"/>
      <c r="E17" s="315"/>
      <c r="F17" s="315"/>
      <c r="G17" s="472"/>
      <c r="H17" s="473"/>
      <c r="I17" s="474"/>
      <c r="J17" s="315"/>
      <c r="K17" s="152">
        <f t="shared" si="2"/>
        <v>0</v>
      </c>
      <c r="L17" s="153">
        <f t="shared" si="0"/>
        <v>0</v>
      </c>
      <c r="M17" s="154">
        <f t="shared" si="1"/>
        <v>0</v>
      </c>
      <c r="N17" s="154">
        <f t="shared" si="3"/>
        <v>0</v>
      </c>
      <c r="O17" s="154">
        <f t="shared" si="4"/>
        <v>0</v>
      </c>
      <c r="P17" s="154">
        <f t="shared" si="5"/>
        <v>0</v>
      </c>
      <c r="Q17" s="154">
        <f t="shared" si="6"/>
        <v>0</v>
      </c>
      <c r="R17" s="154">
        <f t="shared" si="7"/>
        <v>0</v>
      </c>
      <c r="S17" s="154">
        <f t="shared" si="8"/>
        <v>0</v>
      </c>
    </row>
    <row r="18" spans="1:19" ht="19.95" customHeight="1">
      <c r="A18" s="470"/>
      <c r="B18" s="471"/>
      <c r="C18" s="470"/>
      <c r="D18" s="470"/>
      <c r="E18" s="315"/>
      <c r="F18" s="315"/>
      <c r="G18" s="472"/>
      <c r="H18" s="473"/>
      <c r="I18" s="474"/>
      <c r="J18" s="315"/>
      <c r="K18" s="152">
        <f t="shared" si="2"/>
        <v>0</v>
      </c>
      <c r="L18" s="153">
        <f t="shared" si="0"/>
        <v>0</v>
      </c>
      <c r="M18" s="154">
        <f t="shared" si="1"/>
        <v>0</v>
      </c>
      <c r="N18" s="154">
        <f t="shared" si="3"/>
        <v>0</v>
      </c>
      <c r="O18" s="154">
        <f t="shared" si="4"/>
        <v>0</v>
      </c>
      <c r="P18" s="154">
        <f t="shared" si="5"/>
        <v>0</v>
      </c>
      <c r="Q18" s="154">
        <f t="shared" si="6"/>
        <v>0</v>
      </c>
      <c r="R18" s="154">
        <f t="shared" si="7"/>
        <v>0</v>
      </c>
      <c r="S18" s="154">
        <f t="shared" si="8"/>
        <v>0</v>
      </c>
    </row>
    <row r="19" spans="1:19" ht="19.95" customHeight="1">
      <c r="A19" s="470"/>
      <c r="B19" s="471"/>
      <c r="C19" s="470"/>
      <c r="D19" s="470"/>
      <c r="E19" s="315"/>
      <c r="F19" s="315"/>
      <c r="G19" s="472"/>
      <c r="H19" s="473"/>
      <c r="I19" s="474"/>
      <c r="J19" s="315"/>
      <c r="K19" s="152">
        <f t="shared" si="2"/>
        <v>0</v>
      </c>
      <c r="L19" s="153">
        <f t="shared" si="0"/>
        <v>0</v>
      </c>
      <c r="M19" s="154">
        <f t="shared" si="1"/>
        <v>0</v>
      </c>
      <c r="N19" s="154">
        <f t="shared" si="3"/>
        <v>0</v>
      </c>
      <c r="O19" s="154">
        <f t="shared" si="4"/>
        <v>0</v>
      </c>
      <c r="P19" s="154">
        <f t="shared" si="5"/>
        <v>0</v>
      </c>
      <c r="Q19" s="154">
        <f t="shared" si="6"/>
        <v>0</v>
      </c>
      <c r="R19" s="154">
        <f t="shared" si="7"/>
        <v>0</v>
      </c>
      <c r="S19" s="154">
        <f t="shared" si="8"/>
        <v>0</v>
      </c>
    </row>
    <row r="20" spans="1:19" ht="19.95" customHeight="1">
      <c r="A20" s="470"/>
      <c r="B20" s="471"/>
      <c r="C20" s="470"/>
      <c r="D20" s="470"/>
      <c r="E20" s="315"/>
      <c r="F20" s="315"/>
      <c r="G20" s="472"/>
      <c r="H20" s="473"/>
      <c r="I20" s="474"/>
      <c r="J20" s="315"/>
      <c r="K20" s="152">
        <f t="shared" si="2"/>
        <v>0</v>
      </c>
      <c r="L20" s="153">
        <f t="shared" si="0"/>
        <v>0</v>
      </c>
      <c r="M20" s="154">
        <f t="shared" si="1"/>
        <v>0</v>
      </c>
      <c r="N20" s="154">
        <f t="shared" si="3"/>
        <v>0</v>
      </c>
      <c r="O20" s="154">
        <f t="shared" si="4"/>
        <v>0</v>
      </c>
      <c r="P20" s="154">
        <f t="shared" si="5"/>
        <v>0</v>
      </c>
      <c r="Q20" s="154">
        <f t="shared" si="6"/>
        <v>0</v>
      </c>
      <c r="R20" s="154">
        <f t="shared" si="7"/>
        <v>0</v>
      </c>
      <c r="S20" s="154">
        <f t="shared" si="8"/>
        <v>0</v>
      </c>
    </row>
    <row r="21" spans="1:19" ht="19.95" customHeight="1">
      <c r="A21" s="470"/>
      <c r="B21" s="471"/>
      <c r="C21" s="470"/>
      <c r="D21" s="470"/>
      <c r="E21" s="315"/>
      <c r="F21" s="315"/>
      <c r="G21" s="472"/>
      <c r="H21" s="473"/>
      <c r="I21" s="474"/>
      <c r="J21" s="315"/>
      <c r="K21" s="152">
        <f t="shared" si="2"/>
        <v>0</v>
      </c>
      <c r="L21" s="153">
        <f t="shared" si="0"/>
        <v>0</v>
      </c>
      <c r="M21" s="154">
        <f t="shared" si="1"/>
        <v>0</v>
      </c>
      <c r="N21" s="154">
        <f t="shared" si="3"/>
        <v>0</v>
      </c>
      <c r="O21" s="154">
        <f t="shared" si="4"/>
        <v>0</v>
      </c>
      <c r="P21" s="154">
        <f t="shared" si="5"/>
        <v>0</v>
      </c>
      <c r="Q21" s="154">
        <f t="shared" si="6"/>
        <v>0</v>
      </c>
      <c r="R21" s="154">
        <f t="shared" si="7"/>
        <v>0</v>
      </c>
      <c r="S21" s="154">
        <f t="shared" si="8"/>
        <v>0</v>
      </c>
    </row>
    <row r="22" spans="1:19" ht="19.95" customHeight="1">
      <c r="A22" s="470"/>
      <c r="B22" s="471"/>
      <c r="C22" s="470"/>
      <c r="D22" s="470"/>
      <c r="E22" s="315"/>
      <c r="F22" s="315"/>
      <c r="G22" s="472"/>
      <c r="H22" s="473"/>
      <c r="I22" s="474"/>
      <c r="J22" s="315"/>
      <c r="K22" s="152">
        <f t="shared" si="2"/>
        <v>0</v>
      </c>
      <c r="L22" s="153">
        <f t="shared" si="0"/>
        <v>0</v>
      </c>
      <c r="M22" s="154">
        <f t="shared" si="1"/>
        <v>0</v>
      </c>
      <c r="N22" s="154">
        <f t="shared" si="3"/>
        <v>0</v>
      </c>
      <c r="O22" s="154">
        <f t="shared" si="4"/>
        <v>0</v>
      </c>
      <c r="P22" s="154">
        <f t="shared" si="5"/>
        <v>0</v>
      </c>
      <c r="Q22" s="154">
        <f t="shared" si="6"/>
        <v>0</v>
      </c>
      <c r="R22" s="154">
        <f t="shared" si="7"/>
        <v>0</v>
      </c>
      <c r="S22" s="154">
        <f t="shared" si="8"/>
        <v>0</v>
      </c>
    </row>
    <row r="23" spans="1:19" ht="19.95" customHeight="1">
      <c r="A23" s="470"/>
      <c r="B23" s="471"/>
      <c r="C23" s="470"/>
      <c r="D23" s="470"/>
      <c r="E23" s="315"/>
      <c r="F23" s="315"/>
      <c r="G23" s="472"/>
      <c r="H23" s="473"/>
      <c r="I23" s="474"/>
      <c r="J23" s="315"/>
      <c r="K23" s="152">
        <f t="shared" si="2"/>
        <v>0</v>
      </c>
      <c r="L23" s="153">
        <f t="shared" si="0"/>
        <v>0</v>
      </c>
      <c r="M23" s="154">
        <f t="shared" si="1"/>
        <v>0</v>
      </c>
      <c r="N23" s="154">
        <f t="shared" si="3"/>
        <v>0</v>
      </c>
      <c r="O23" s="154">
        <f t="shared" si="4"/>
        <v>0</v>
      </c>
      <c r="P23" s="154">
        <f t="shared" si="5"/>
        <v>0</v>
      </c>
      <c r="Q23" s="154">
        <f t="shared" si="6"/>
        <v>0</v>
      </c>
      <c r="R23" s="154">
        <f t="shared" si="7"/>
        <v>0</v>
      </c>
      <c r="S23" s="154">
        <f t="shared" si="8"/>
        <v>0</v>
      </c>
    </row>
    <row r="24" spans="1:19" ht="19.95" customHeight="1">
      <c r="A24" s="470"/>
      <c r="B24" s="471"/>
      <c r="C24" s="470"/>
      <c r="D24" s="470"/>
      <c r="E24" s="315"/>
      <c r="F24" s="315"/>
      <c r="G24" s="472"/>
      <c r="H24" s="473"/>
      <c r="I24" s="474"/>
      <c r="J24" s="315"/>
      <c r="K24" s="152">
        <f t="shared" si="2"/>
        <v>0</v>
      </c>
      <c r="L24" s="153">
        <f t="shared" si="0"/>
        <v>0</v>
      </c>
      <c r="M24" s="154">
        <f t="shared" si="1"/>
        <v>0</v>
      </c>
      <c r="N24" s="154">
        <f t="shared" si="3"/>
        <v>0</v>
      </c>
      <c r="O24" s="154">
        <f t="shared" si="4"/>
        <v>0</v>
      </c>
      <c r="P24" s="154">
        <f t="shared" si="5"/>
        <v>0</v>
      </c>
      <c r="Q24" s="154">
        <f t="shared" si="6"/>
        <v>0</v>
      </c>
      <c r="R24" s="154">
        <f t="shared" si="7"/>
        <v>0</v>
      </c>
      <c r="S24" s="154">
        <f t="shared" si="8"/>
        <v>0</v>
      </c>
    </row>
    <row r="25" spans="1:19" ht="19.95" customHeight="1">
      <c r="A25" s="470"/>
      <c r="B25" s="471"/>
      <c r="C25" s="470"/>
      <c r="D25" s="470"/>
      <c r="E25" s="315"/>
      <c r="F25" s="315"/>
      <c r="G25" s="472"/>
      <c r="H25" s="473"/>
      <c r="I25" s="474"/>
      <c r="J25" s="315"/>
      <c r="K25" s="152">
        <f t="shared" si="2"/>
        <v>0</v>
      </c>
      <c r="L25" s="153">
        <f t="shared" si="0"/>
        <v>0</v>
      </c>
      <c r="M25" s="154">
        <f t="shared" ref="M25:M33" si="9">IF(G25=0,0,IF(L25&gt;$D$7,DATEDIF(G25,MIN($D$7,L25),"m"),VALUE(DATEDIF(G25,MIN($D$7,L25),"m")+1)))</f>
        <v>0</v>
      </c>
      <c r="N25" s="154">
        <f t="shared" ref="N25:N33" si="10">IF(OR(G25=0,L25&lt;$B$7),0,IF(AND(G25&lt;$B$7,L25&gt;$D$7),VALUE(DATEDIF($B$7,$D$7,"m")+1),IF(AND(G25&lt;$B$7,L25&lt;=$D$7),VALUE(DATEDIF($B$7,L25,"m")+1),IF(AND(G25&gt;=$B$7,L25&gt;$D$7),VALUE(DATEDIF(G25,$D$7,"m")),IF(AND(G25&gt;=$B$7,L25&lt;=$D$7),VALUE(DATEDIF(G25,L25,"m")+1),)))))</f>
        <v>0</v>
      </c>
      <c r="O25" s="154">
        <f t="shared" ref="O25:O33" si="11">IF(K25=0,0,ROUND(((1-I25)/K25)*E25,4))</f>
        <v>0</v>
      </c>
      <c r="P25" s="154">
        <f t="shared" ref="P25:P33" si="12">ROUND(O25*N25,2)</f>
        <v>0</v>
      </c>
      <c r="Q25" s="154">
        <f t="shared" ref="Q25:Q33" si="13">ROUND(J25-O25,2)</f>
        <v>0</v>
      </c>
      <c r="R25" s="154">
        <f t="shared" ref="R25:R33" si="14">ROUND(O25*M25,2)</f>
        <v>0</v>
      </c>
      <c r="S25" s="154">
        <f t="shared" ref="S25:S33" si="15">ROUND(F25-R25,2)</f>
        <v>0</v>
      </c>
    </row>
    <row r="26" spans="1:19" ht="19.95" customHeight="1">
      <c r="A26" s="470"/>
      <c r="B26" s="471"/>
      <c r="C26" s="470"/>
      <c r="D26" s="470"/>
      <c r="E26" s="315"/>
      <c r="F26" s="315"/>
      <c r="G26" s="472"/>
      <c r="H26" s="473"/>
      <c r="I26" s="474"/>
      <c r="J26" s="315"/>
      <c r="K26" s="152">
        <f t="shared" si="2"/>
        <v>0</v>
      </c>
      <c r="L26" s="153">
        <f t="shared" si="0"/>
        <v>0</v>
      </c>
      <c r="M26" s="154">
        <f t="shared" si="9"/>
        <v>0</v>
      </c>
      <c r="N26" s="154">
        <f t="shared" si="10"/>
        <v>0</v>
      </c>
      <c r="O26" s="154">
        <f t="shared" si="11"/>
        <v>0</v>
      </c>
      <c r="P26" s="154">
        <f t="shared" si="12"/>
        <v>0</v>
      </c>
      <c r="Q26" s="154">
        <f t="shared" si="13"/>
        <v>0</v>
      </c>
      <c r="R26" s="154">
        <f t="shared" si="14"/>
        <v>0</v>
      </c>
      <c r="S26" s="154">
        <f t="shared" si="15"/>
        <v>0</v>
      </c>
    </row>
    <row r="27" spans="1:19" ht="19.95" customHeight="1">
      <c r="A27" s="470"/>
      <c r="B27" s="471"/>
      <c r="C27" s="470"/>
      <c r="D27" s="470"/>
      <c r="E27" s="315"/>
      <c r="F27" s="315"/>
      <c r="G27" s="472"/>
      <c r="H27" s="473"/>
      <c r="I27" s="474"/>
      <c r="J27" s="315"/>
      <c r="K27" s="152">
        <f t="shared" si="2"/>
        <v>0</v>
      </c>
      <c r="L27" s="153">
        <f t="shared" si="0"/>
        <v>0</v>
      </c>
      <c r="M27" s="154">
        <f t="shared" si="9"/>
        <v>0</v>
      </c>
      <c r="N27" s="154">
        <f t="shared" si="10"/>
        <v>0</v>
      </c>
      <c r="O27" s="154">
        <f t="shared" si="11"/>
        <v>0</v>
      </c>
      <c r="P27" s="154">
        <f t="shared" si="12"/>
        <v>0</v>
      </c>
      <c r="Q27" s="154">
        <f t="shared" si="13"/>
        <v>0</v>
      </c>
      <c r="R27" s="154">
        <f t="shared" si="14"/>
        <v>0</v>
      </c>
      <c r="S27" s="154">
        <f t="shared" si="15"/>
        <v>0</v>
      </c>
    </row>
    <row r="28" spans="1:19" ht="19.95" customHeight="1">
      <c r="A28" s="470"/>
      <c r="B28" s="471"/>
      <c r="C28" s="470"/>
      <c r="D28" s="470"/>
      <c r="E28" s="315"/>
      <c r="F28" s="315"/>
      <c r="G28" s="472"/>
      <c r="H28" s="473"/>
      <c r="I28" s="474"/>
      <c r="J28" s="315"/>
      <c r="K28" s="152">
        <f t="shared" si="2"/>
        <v>0</v>
      </c>
      <c r="L28" s="153">
        <f t="shared" si="0"/>
        <v>0</v>
      </c>
      <c r="M28" s="154">
        <f t="shared" si="9"/>
        <v>0</v>
      </c>
      <c r="N28" s="154">
        <f t="shared" si="10"/>
        <v>0</v>
      </c>
      <c r="O28" s="154">
        <f t="shared" si="11"/>
        <v>0</v>
      </c>
      <c r="P28" s="154">
        <f t="shared" si="12"/>
        <v>0</v>
      </c>
      <c r="Q28" s="154">
        <f t="shared" si="13"/>
        <v>0</v>
      </c>
      <c r="R28" s="154">
        <f t="shared" si="14"/>
        <v>0</v>
      </c>
      <c r="S28" s="154">
        <f t="shared" si="15"/>
        <v>0</v>
      </c>
    </row>
    <row r="29" spans="1:19" ht="19.95" customHeight="1">
      <c r="A29" s="470"/>
      <c r="B29" s="471"/>
      <c r="C29" s="470"/>
      <c r="D29" s="470"/>
      <c r="E29" s="315"/>
      <c r="F29" s="315"/>
      <c r="G29" s="472"/>
      <c r="H29" s="473"/>
      <c r="I29" s="474"/>
      <c r="J29" s="315"/>
      <c r="K29" s="152">
        <f t="shared" si="2"/>
        <v>0</v>
      </c>
      <c r="L29" s="153">
        <f t="shared" si="0"/>
        <v>0</v>
      </c>
      <c r="M29" s="154">
        <f t="shared" si="9"/>
        <v>0</v>
      </c>
      <c r="N29" s="154">
        <f t="shared" si="10"/>
        <v>0</v>
      </c>
      <c r="O29" s="154">
        <f t="shared" si="11"/>
        <v>0</v>
      </c>
      <c r="P29" s="154">
        <f t="shared" si="12"/>
        <v>0</v>
      </c>
      <c r="Q29" s="154">
        <f t="shared" si="13"/>
        <v>0</v>
      </c>
      <c r="R29" s="154">
        <f t="shared" si="14"/>
        <v>0</v>
      </c>
      <c r="S29" s="154">
        <f t="shared" si="15"/>
        <v>0</v>
      </c>
    </row>
    <row r="30" spans="1:19" ht="19.95" customHeight="1">
      <c r="A30" s="470"/>
      <c r="B30" s="471"/>
      <c r="C30" s="470"/>
      <c r="D30" s="470"/>
      <c r="E30" s="315"/>
      <c r="F30" s="315"/>
      <c r="G30" s="472"/>
      <c r="H30" s="473"/>
      <c r="I30" s="474"/>
      <c r="J30" s="315"/>
      <c r="K30" s="152">
        <f t="shared" si="2"/>
        <v>0</v>
      </c>
      <c r="L30" s="153">
        <f t="shared" si="0"/>
        <v>0</v>
      </c>
      <c r="M30" s="154">
        <f t="shared" si="9"/>
        <v>0</v>
      </c>
      <c r="N30" s="154">
        <f t="shared" si="10"/>
        <v>0</v>
      </c>
      <c r="O30" s="154">
        <f t="shared" si="11"/>
        <v>0</v>
      </c>
      <c r="P30" s="154">
        <f t="shared" si="12"/>
        <v>0</v>
      </c>
      <c r="Q30" s="154">
        <f t="shared" si="13"/>
        <v>0</v>
      </c>
      <c r="R30" s="154">
        <f t="shared" si="14"/>
        <v>0</v>
      </c>
      <c r="S30" s="154">
        <f t="shared" si="15"/>
        <v>0</v>
      </c>
    </row>
    <row r="31" spans="1:19" ht="19.95" customHeight="1">
      <c r="A31" s="470"/>
      <c r="B31" s="471"/>
      <c r="C31" s="470"/>
      <c r="D31" s="470"/>
      <c r="E31" s="315"/>
      <c r="F31" s="315"/>
      <c r="G31" s="472"/>
      <c r="H31" s="473"/>
      <c r="I31" s="474"/>
      <c r="J31" s="315"/>
      <c r="K31" s="152">
        <f t="shared" si="2"/>
        <v>0</v>
      </c>
      <c r="L31" s="153">
        <f t="shared" si="0"/>
        <v>0</v>
      </c>
      <c r="M31" s="154">
        <f t="shared" si="9"/>
        <v>0</v>
      </c>
      <c r="N31" s="154">
        <f t="shared" si="10"/>
        <v>0</v>
      </c>
      <c r="O31" s="154">
        <f t="shared" si="11"/>
        <v>0</v>
      </c>
      <c r="P31" s="154">
        <f t="shared" si="12"/>
        <v>0</v>
      </c>
      <c r="Q31" s="154">
        <f t="shared" si="13"/>
        <v>0</v>
      </c>
      <c r="R31" s="154">
        <f t="shared" si="14"/>
        <v>0</v>
      </c>
      <c r="S31" s="154">
        <f t="shared" si="15"/>
        <v>0</v>
      </c>
    </row>
    <row r="32" spans="1:19" ht="19.95" customHeight="1">
      <c r="A32" s="470"/>
      <c r="B32" s="471"/>
      <c r="C32" s="470"/>
      <c r="D32" s="470"/>
      <c r="E32" s="315"/>
      <c r="F32" s="315"/>
      <c r="G32" s="472"/>
      <c r="H32" s="473"/>
      <c r="I32" s="474"/>
      <c r="J32" s="315"/>
      <c r="K32" s="152">
        <f t="shared" si="2"/>
        <v>0</v>
      </c>
      <c r="L32" s="153">
        <f t="shared" si="0"/>
        <v>0</v>
      </c>
      <c r="M32" s="154">
        <f t="shared" si="9"/>
        <v>0</v>
      </c>
      <c r="N32" s="154">
        <f t="shared" si="10"/>
        <v>0</v>
      </c>
      <c r="O32" s="154">
        <f t="shared" si="11"/>
        <v>0</v>
      </c>
      <c r="P32" s="154">
        <f t="shared" si="12"/>
        <v>0</v>
      </c>
      <c r="Q32" s="154">
        <f t="shared" si="13"/>
        <v>0</v>
      </c>
      <c r="R32" s="154">
        <f t="shared" si="14"/>
        <v>0</v>
      </c>
      <c r="S32" s="154">
        <f t="shared" si="15"/>
        <v>0</v>
      </c>
    </row>
    <row r="33" spans="1:19" ht="19.95" customHeight="1">
      <c r="A33" s="470"/>
      <c r="B33" s="471"/>
      <c r="C33" s="470"/>
      <c r="D33" s="470"/>
      <c r="E33" s="315"/>
      <c r="F33" s="315"/>
      <c r="G33" s="472"/>
      <c r="H33" s="473"/>
      <c r="I33" s="474"/>
      <c r="J33" s="315"/>
      <c r="K33" s="152">
        <f t="shared" si="2"/>
        <v>0</v>
      </c>
      <c r="L33" s="153">
        <f t="shared" si="0"/>
        <v>0</v>
      </c>
      <c r="M33" s="154">
        <f t="shared" si="9"/>
        <v>0</v>
      </c>
      <c r="N33" s="154">
        <f t="shared" si="10"/>
        <v>0</v>
      </c>
      <c r="O33" s="154">
        <f t="shared" si="11"/>
        <v>0</v>
      </c>
      <c r="P33" s="154">
        <f t="shared" si="12"/>
        <v>0</v>
      </c>
      <c r="Q33" s="154">
        <f t="shared" si="13"/>
        <v>0</v>
      </c>
      <c r="R33" s="154">
        <f t="shared" si="14"/>
        <v>0</v>
      </c>
      <c r="S33" s="154">
        <f t="shared" si="15"/>
        <v>0</v>
      </c>
    </row>
    <row r="34" spans="1:19" ht="19.95" customHeight="1">
      <c r="A34" s="65" t="s">
        <v>77</v>
      </c>
      <c r="B34" s="65"/>
      <c r="C34" s="65"/>
      <c r="D34" s="65"/>
      <c r="E34" s="310">
        <f>SUM(E9:E33)</f>
        <v>0</v>
      </c>
      <c r="F34" s="310">
        <f>SUM(F9:F33)</f>
        <v>0</v>
      </c>
      <c r="G34" s="310"/>
      <c r="H34" s="310"/>
      <c r="I34" s="310"/>
      <c r="J34" s="310">
        <f>SUM(J9:J33)</f>
        <v>0</v>
      </c>
      <c r="K34" s="310"/>
      <c r="L34" s="310"/>
      <c r="M34" s="310"/>
      <c r="N34" s="310"/>
      <c r="O34" s="310">
        <f t="shared" ref="O34:S34" si="16">SUM(O9:O33)</f>
        <v>0</v>
      </c>
      <c r="P34" s="310">
        <f t="shared" si="16"/>
        <v>0</v>
      </c>
      <c r="Q34" s="310">
        <f t="shared" si="16"/>
        <v>0</v>
      </c>
      <c r="R34" s="310">
        <f t="shared" si="16"/>
        <v>0</v>
      </c>
      <c r="S34" s="310">
        <f t="shared" si="16"/>
        <v>0</v>
      </c>
    </row>
    <row r="35" spans="1:19" ht="19.95" customHeight="1">
      <c r="A35" s="211" t="s">
        <v>350</v>
      </c>
      <c r="B35" s="10"/>
      <c r="C35" s="10"/>
      <c r="D35" s="10"/>
      <c r="E35" s="10"/>
      <c r="F35" s="10"/>
      <c r="G35" s="10"/>
      <c r="H35" s="10"/>
      <c r="I35" s="10"/>
      <c r="J35" s="10"/>
      <c r="K35" s="10"/>
      <c r="L35" s="10"/>
      <c r="M35" s="10"/>
      <c r="N35" s="10"/>
      <c r="O35" s="10"/>
      <c r="P35" s="10"/>
      <c r="Q35" s="10"/>
      <c r="R35" s="10"/>
      <c r="S35" s="10"/>
    </row>
    <row r="37" spans="1:19" ht="19.95" customHeight="1">
      <c r="A37" s="21" t="s">
        <v>636</v>
      </c>
    </row>
    <row r="42" spans="1:19" ht="19.95" customHeight="1">
      <c r="A42" s="363"/>
    </row>
    <row r="43" spans="1:19" ht="19.95" customHeight="1">
      <c r="A43" s="185"/>
    </row>
    <row r="44" spans="1:19" ht="19.95" customHeight="1">
      <c r="A44" s="185"/>
    </row>
    <row r="45" spans="1:19" ht="19.95" customHeight="1">
      <c r="A45" s="185"/>
    </row>
    <row r="46" spans="1:19" ht="19.95" customHeight="1">
      <c r="A46" s="185"/>
    </row>
  </sheetData>
  <mergeCells count="1">
    <mergeCell ref="A1:S1"/>
  </mergeCells>
  <phoneticPr fontId="9" type="noConversion"/>
  <hyperlinks>
    <hyperlink ref="S3" location="底稿目录!A1" display="H5A"/>
  </hyperlinks>
  <printOptions horizontalCentered="1"/>
  <pageMargins left="0.70866141732283472" right="0.70866141732283472" top="0.74803149606299213" bottom="0.74803149606299213" header="0.31496062992125984" footer="0.31496062992125984"/>
  <pageSetup paperSize="9" scale="65" fitToHeight="10" orientation="landscape" blackAndWhite="1" r:id="rId1"/>
  <headerFoot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B50"/>
  <sheetViews>
    <sheetView showZeros="0" view="pageBreakPreview" zoomScaleSheetLayoutView="100" workbookViewId="0">
      <selection sqref="A1:Y1"/>
    </sheetView>
  </sheetViews>
  <sheetFormatPr defaultColWidth="9" defaultRowHeight="19.95" customHeight="1"/>
  <cols>
    <col min="1" max="1" width="14.8984375" style="2" customWidth="1"/>
    <col min="2" max="2" width="11.3984375" style="2" customWidth="1"/>
    <col min="3" max="3" width="11.09765625" style="2" customWidth="1"/>
    <col min="4" max="4" width="9" style="2"/>
    <col min="5" max="5" width="12.19921875" style="2" customWidth="1"/>
    <col min="6" max="7" width="9" style="2"/>
    <col min="8" max="8" width="8.09765625" style="2" customWidth="1"/>
    <col min="9" max="9" width="4.8984375" style="2" customWidth="1"/>
    <col min="10" max="10" width="6.3984375" style="2" bestFit="1" customWidth="1"/>
    <col min="11" max="11" width="8.8984375" style="2" bestFit="1" customWidth="1"/>
    <col min="12" max="12" width="4.8984375" style="2" customWidth="1"/>
    <col min="13" max="13" width="8.3984375" style="2" bestFit="1" customWidth="1"/>
    <col min="14" max="14" width="6.3984375" style="2" customWidth="1"/>
    <col min="15" max="15" width="10.8984375" style="2" customWidth="1"/>
    <col min="16" max="16" width="7.296875" style="2" customWidth="1"/>
    <col min="17" max="17" width="12.3984375" style="2" customWidth="1"/>
    <col min="18" max="18" width="11.3984375" style="2" customWidth="1"/>
    <col min="19" max="19" width="8.8984375" style="2" bestFit="1" customWidth="1"/>
    <col min="20" max="21" width="8.8984375" style="2" customWidth="1"/>
    <col min="22" max="22" width="10.09765625" style="2" bestFit="1" customWidth="1"/>
    <col min="23" max="23" width="8.19921875" style="2" customWidth="1"/>
    <col min="24" max="24" width="10.09765625" style="2" bestFit="1" customWidth="1"/>
    <col min="25" max="25" width="9.5" style="2" bestFit="1" customWidth="1"/>
    <col min="26" max="16384" width="9" style="2"/>
  </cols>
  <sheetData>
    <row r="1" spans="1:28" s="190" customFormat="1" ht="19.95" customHeight="1">
      <c r="A1" s="520" t="s">
        <v>879</v>
      </c>
      <c r="B1" s="520"/>
      <c r="C1" s="520"/>
      <c r="D1" s="520"/>
      <c r="E1" s="520"/>
      <c r="F1" s="520"/>
      <c r="G1" s="520"/>
      <c r="H1" s="520"/>
      <c r="I1" s="520"/>
      <c r="J1" s="520"/>
      <c r="K1" s="520"/>
      <c r="L1" s="520"/>
      <c r="M1" s="520"/>
      <c r="N1" s="520"/>
      <c r="O1" s="520"/>
      <c r="P1" s="520"/>
      <c r="Q1" s="520"/>
      <c r="R1" s="520"/>
      <c r="S1" s="520"/>
      <c r="T1" s="520"/>
      <c r="U1" s="520"/>
      <c r="V1" s="520"/>
      <c r="W1" s="520"/>
      <c r="X1" s="520"/>
      <c r="Y1" s="520"/>
    </row>
    <row r="2" spans="1:28" s="269" customFormat="1" ht="19.95" customHeight="1">
      <c r="A2" s="271" t="s">
        <v>888</v>
      </c>
      <c r="B2" s="271"/>
      <c r="C2" s="271"/>
      <c r="D2" s="271"/>
      <c r="E2" s="271"/>
      <c r="F2" s="271"/>
      <c r="G2" s="271"/>
      <c r="H2" s="271"/>
      <c r="I2" s="271"/>
      <c r="J2" s="271"/>
      <c r="K2" s="271"/>
      <c r="L2" s="271"/>
      <c r="M2" s="271"/>
      <c r="N2" s="271"/>
      <c r="O2" s="271"/>
      <c r="P2" s="271"/>
      <c r="Q2" s="271"/>
      <c r="R2" s="271"/>
      <c r="S2" s="271"/>
      <c r="T2" s="271"/>
      <c r="U2" s="271"/>
      <c r="V2" s="271"/>
      <c r="W2" s="271"/>
      <c r="X2" s="272"/>
      <c r="Y2" s="272"/>
    </row>
    <row r="3" spans="1:28" ht="19.95" customHeight="1">
      <c r="A3" s="2" t="str">
        <f>底稿目录!A2</f>
        <v>被审计单位：</v>
      </c>
      <c r="C3" s="14"/>
      <c r="E3" s="6"/>
      <c r="F3" s="2" t="str">
        <f>底稿目录!A4</f>
        <v>编制人：</v>
      </c>
      <c r="Q3" s="2" t="str">
        <f>底稿目录!A6</f>
        <v>编制日期：</v>
      </c>
      <c r="X3" s="339" t="s">
        <v>916</v>
      </c>
      <c r="Y3" s="197" t="s">
        <v>169</v>
      </c>
    </row>
    <row r="4" spans="1:28" ht="19.95" customHeight="1">
      <c r="A4" s="2" t="str">
        <f>底稿目录!A3</f>
        <v>截止日：202X年12月31日</v>
      </c>
      <c r="C4" s="14"/>
      <c r="E4" s="6"/>
      <c r="F4" s="2" t="str">
        <f>底稿目录!A5</f>
        <v>复核人：</v>
      </c>
      <c r="Q4" s="2" t="str">
        <f>底稿目录!A7</f>
        <v>复核日期：</v>
      </c>
      <c r="X4" s="339" t="s">
        <v>917</v>
      </c>
      <c r="Y4" s="163"/>
    </row>
    <row r="5" spans="1:28" s="187" customFormat="1" ht="19.95" customHeight="1">
      <c r="A5" s="218" t="s">
        <v>638</v>
      </c>
      <c r="B5" s="467"/>
      <c r="G5" s="468"/>
      <c r="K5" s="423"/>
      <c r="L5" s="418"/>
      <c r="V5" s="419"/>
      <c r="W5" s="419"/>
      <c r="X5" s="419"/>
      <c r="Y5" s="419"/>
      <c r="Z5" s="419"/>
      <c r="AA5" s="419"/>
      <c r="AB5" s="419"/>
    </row>
    <row r="6" spans="1:28" ht="19.95" customHeight="1">
      <c r="A6" s="51" t="s">
        <v>334</v>
      </c>
      <c r="B6" s="52"/>
      <c r="G6" s="6"/>
      <c r="K6" s="74"/>
      <c r="L6" s="103"/>
      <c r="V6" s="110"/>
      <c r="W6" s="110"/>
      <c r="X6" s="110"/>
      <c r="Y6" s="110"/>
      <c r="Z6" s="110"/>
      <c r="AA6" s="110"/>
      <c r="AB6" s="110"/>
    </row>
    <row r="7" spans="1:28" s="34" customFormat="1" ht="19.95" customHeight="1">
      <c r="A7" s="228" t="s">
        <v>633</v>
      </c>
      <c r="B7" s="469">
        <v>45658</v>
      </c>
      <c r="C7" s="228" t="s">
        <v>634</v>
      </c>
      <c r="D7" s="469">
        <v>46022</v>
      </c>
      <c r="E7" s="230" t="s">
        <v>639</v>
      </c>
      <c r="F7" s="469">
        <v>46022</v>
      </c>
      <c r="G7" s="229" t="s">
        <v>635</v>
      </c>
      <c r="J7" s="35"/>
      <c r="N7" s="35"/>
      <c r="O7" s="35"/>
      <c r="P7" s="35"/>
      <c r="Q7" s="35"/>
      <c r="R7" s="35"/>
      <c r="V7" s="2"/>
      <c r="W7" s="2"/>
    </row>
    <row r="8" spans="1:28" s="412" customFormat="1" ht="36">
      <c r="A8" s="405" t="s">
        <v>1006</v>
      </c>
      <c r="B8" s="405" t="s">
        <v>1007</v>
      </c>
      <c r="C8" s="405" t="s">
        <v>25</v>
      </c>
      <c r="D8" s="406" t="s">
        <v>1008</v>
      </c>
      <c r="E8" s="406" t="s">
        <v>1031</v>
      </c>
      <c r="F8" s="411" t="s">
        <v>1010</v>
      </c>
      <c r="G8" s="407" t="s">
        <v>1024</v>
      </c>
      <c r="H8" s="408" t="s">
        <v>1011</v>
      </c>
      <c r="I8" s="408" t="s">
        <v>1012</v>
      </c>
      <c r="J8" s="409" t="s">
        <v>1025</v>
      </c>
      <c r="K8" s="407" t="s">
        <v>1013</v>
      </c>
      <c r="L8" s="408" t="s">
        <v>1032</v>
      </c>
      <c r="M8" s="408" t="s">
        <v>1033</v>
      </c>
      <c r="N8" s="409" t="s">
        <v>1015</v>
      </c>
      <c r="O8" s="409" t="s">
        <v>1034</v>
      </c>
      <c r="P8" s="409" t="s">
        <v>1016</v>
      </c>
      <c r="Q8" s="409" t="s">
        <v>1026</v>
      </c>
      <c r="R8" s="409" t="s">
        <v>1027</v>
      </c>
      <c r="S8" s="408" t="s">
        <v>1028</v>
      </c>
      <c r="T8" s="408" t="s">
        <v>1029</v>
      </c>
      <c r="U8" s="408" t="s">
        <v>1030</v>
      </c>
      <c r="V8" s="407" t="s">
        <v>1018</v>
      </c>
      <c r="W8" s="407" t="s">
        <v>1019</v>
      </c>
      <c r="X8" s="407" t="s">
        <v>1020</v>
      </c>
      <c r="Y8" s="407" t="s">
        <v>1021</v>
      </c>
    </row>
    <row r="9" spans="1:28" s="36" customFormat="1" ht="19.95" customHeight="1">
      <c r="A9" s="470"/>
      <c r="B9" s="471"/>
      <c r="C9" s="470"/>
      <c r="D9" s="470"/>
      <c r="E9" s="315"/>
      <c r="F9" s="315"/>
      <c r="G9" s="315"/>
      <c r="H9" s="472"/>
      <c r="I9" s="473"/>
      <c r="J9" s="474"/>
      <c r="K9" s="315"/>
      <c r="L9" s="152">
        <f t="shared" ref="L9:L25" si="0">IF(I9=0,0,IF(RIGHT(I9,1)&lt;&gt;"年",I9*12,IF(LEN(I9)=3,VALUE(LEFT(I9,2))*12,IF(LEN(I9)=2,VALUE(LEFT(I9,1))*12,"??"))))</f>
        <v>0</v>
      </c>
      <c r="M9" s="153">
        <f t="shared" ref="M9:M25" si="1">IF(H9=0,0,DATE(YEAR(H9),MONTH(H9)+L9,DAY(H9)-1))</f>
        <v>0</v>
      </c>
      <c r="N9" s="154">
        <f t="shared" ref="N9:N25" si="2">IF(H9=0,0,IF(M9&gt;$D$7,DATEDIF(H9,MIN($D$7,M9),"m"),VALUE(DATEDIF(H9,MIN($D$7,M9),"m")+1)))</f>
        <v>0</v>
      </c>
      <c r="O9" s="154">
        <f t="shared" ref="O9:O25" si="3">IF(H9=0,0,DATEDIF(H9,$F$7,"m"))</f>
        <v>0</v>
      </c>
      <c r="P9" s="154">
        <f>IF(OR(H9=0,M9&lt;$B$7),0,IF(AND(H9&lt;$B$7,M9&gt;$D$7),VALUE(DATEDIF($B$7,$D$7,"m")+1),IF(AND(H9&lt;$B$7,M9&lt;=$D$7),VALUE(DATEDIF($B$7,M9,"m")+1),IF(AND(H9&gt;=$B$7,M9&gt;$D$7),VALUE(DATEDIF(H9,$D$7,"m")),IF(AND(H9&gt;=$B$7,M9&lt;=$D$7),VALUE(DATEDIF(H9,M9,"m")+1),)))))</f>
        <v>0</v>
      </c>
      <c r="Q9" s="154">
        <f>P9-R9</f>
        <v>0</v>
      </c>
      <c r="R9" s="154">
        <f>IF(H9=0,0,IF($F$7&lt;$B$7,P9,DATEDIF(MAX(H9,$F$7),MIN(M9,$D$7),"m")))</f>
        <v>0</v>
      </c>
      <c r="S9" s="154">
        <f t="shared" ref="S9:S25" si="4">IF(L9=0,0,ROUND(((1-J9)/L9)*E9,4))</f>
        <v>0</v>
      </c>
      <c r="T9" s="154">
        <f t="shared" ref="T9:T25" si="5">ROUND(S9*O9,2)</f>
        <v>0</v>
      </c>
      <c r="U9" s="154">
        <f t="shared" ref="U9:U25" si="6">IF((E9*(1-J9)-T9-G9)&gt;0,(E9*(1-J9)-T9-G9)/(L9-O9),0)</f>
        <v>0</v>
      </c>
      <c r="V9" s="154">
        <f t="shared" ref="V9:V25" si="7">ROUND(S9*Q9,2)+ROUND(U9*R9,2)</f>
        <v>0</v>
      </c>
      <c r="W9" s="154">
        <f t="shared" ref="W9:W25" si="8">ROUND(K9-U9,2)</f>
        <v>0</v>
      </c>
      <c r="X9" s="154">
        <f t="shared" ref="X9:X25" si="9">ROUND(S9*O9,2)+ROUND(U9*(N9-O9),2)</f>
        <v>0</v>
      </c>
      <c r="Y9" s="154">
        <f t="shared" ref="Y9:Y25" si="10">ROUND(F9-X9,2)</f>
        <v>0</v>
      </c>
    </row>
    <row r="10" spans="1:28" s="36" customFormat="1" ht="19.95" customHeight="1">
      <c r="A10" s="470"/>
      <c r="B10" s="471"/>
      <c r="C10" s="470"/>
      <c r="D10" s="470"/>
      <c r="E10" s="315"/>
      <c r="F10" s="315"/>
      <c r="G10" s="315"/>
      <c r="H10" s="472"/>
      <c r="I10" s="473"/>
      <c r="J10" s="474"/>
      <c r="K10" s="315"/>
      <c r="L10" s="152">
        <f t="shared" si="0"/>
        <v>0</v>
      </c>
      <c r="M10" s="153">
        <f t="shared" si="1"/>
        <v>0</v>
      </c>
      <c r="N10" s="154">
        <f t="shared" si="2"/>
        <v>0</v>
      </c>
      <c r="O10" s="154">
        <f t="shared" si="3"/>
        <v>0</v>
      </c>
      <c r="P10" s="154">
        <f t="shared" ref="P10:P25" si="11">IF(OR(H10=0,M10&lt;$B$7),0,IF(AND(H10&lt;$B$7,M10&gt;$D$7),VALUE(DATEDIF($B$7,$D$7,"m")+1),IF(AND(H10&lt;$B$7,M10&lt;=$D$7),VALUE(DATEDIF($B$7,M10,"m")+1),IF(AND(H10&gt;=$B$7,M10&gt;$D$7),VALUE(DATEDIF(H10,$D$7,"m")),IF(AND(H10&gt;=$B$7,M10&lt;=$D$7),VALUE(DATEDIF(H10,M10,"m")+1),)))))</f>
        <v>0</v>
      </c>
      <c r="Q10" s="154">
        <f t="shared" ref="Q10:Q25" si="12">P10-R10</f>
        <v>0</v>
      </c>
      <c r="R10" s="154">
        <f t="shared" ref="R10:R25" si="13">IF(H10=0,0,IF($F$7&lt;$B$7,P10,DATEDIF(MAX(H10,$F$7),MIN(M10,$D$7),"m")))</f>
        <v>0</v>
      </c>
      <c r="S10" s="154">
        <f t="shared" si="4"/>
        <v>0</v>
      </c>
      <c r="T10" s="154">
        <f t="shared" si="5"/>
        <v>0</v>
      </c>
      <c r="U10" s="154">
        <f t="shared" si="6"/>
        <v>0</v>
      </c>
      <c r="V10" s="154">
        <f t="shared" si="7"/>
        <v>0</v>
      </c>
      <c r="W10" s="154">
        <f t="shared" si="8"/>
        <v>0</v>
      </c>
      <c r="X10" s="154">
        <f t="shared" si="9"/>
        <v>0</v>
      </c>
      <c r="Y10" s="154">
        <f t="shared" si="10"/>
        <v>0</v>
      </c>
    </row>
    <row r="11" spans="1:28" ht="19.95" customHeight="1">
      <c r="A11" s="470"/>
      <c r="B11" s="471"/>
      <c r="C11" s="470"/>
      <c r="D11" s="470"/>
      <c r="E11" s="315"/>
      <c r="F11" s="315"/>
      <c r="G11" s="315"/>
      <c r="H11" s="472"/>
      <c r="I11" s="473"/>
      <c r="J11" s="474"/>
      <c r="K11" s="315"/>
      <c r="L11" s="152">
        <f t="shared" si="0"/>
        <v>0</v>
      </c>
      <c r="M11" s="153">
        <f t="shared" si="1"/>
        <v>0</v>
      </c>
      <c r="N11" s="154">
        <f t="shared" si="2"/>
        <v>0</v>
      </c>
      <c r="O11" s="154">
        <f t="shared" si="3"/>
        <v>0</v>
      </c>
      <c r="P11" s="154">
        <f t="shared" si="11"/>
        <v>0</v>
      </c>
      <c r="Q11" s="154">
        <f t="shared" si="12"/>
        <v>0</v>
      </c>
      <c r="R11" s="154">
        <f t="shared" si="13"/>
        <v>0</v>
      </c>
      <c r="S11" s="154">
        <f t="shared" si="4"/>
        <v>0</v>
      </c>
      <c r="T11" s="154">
        <f t="shared" si="5"/>
        <v>0</v>
      </c>
      <c r="U11" s="154">
        <f t="shared" si="6"/>
        <v>0</v>
      </c>
      <c r="V11" s="154">
        <f t="shared" si="7"/>
        <v>0</v>
      </c>
      <c r="W11" s="154">
        <f t="shared" si="8"/>
        <v>0</v>
      </c>
      <c r="X11" s="154">
        <f t="shared" si="9"/>
        <v>0</v>
      </c>
      <c r="Y11" s="154">
        <f t="shared" si="10"/>
        <v>0</v>
      </c>
    </row>
    <row r="12" spans="1:28" ht="19.95" customHeight="1">
      <c r="A12" s="470"/>
      <c r="B12" s="471"/>
      <c r="C12" s="470"/>
      <c r="D12" s="470"/>
      <c r="E12" s="315"/>
      <c r="F12" s="315"/>
      <c r="G12" s="315"/>
      <c r="H12" s="472"/>
      <c r="I12" s="473"/>
      <c r="J12" s="474"/>
      <c r="K12" s="315"/>
      <c r="L12" s="152">
        <f t="shared" si="0"/>
        <v>0</v>
      </c>
      <c r="M12" s="153">
        <f t="shared" si="1"/>
        <v>0</v>
      </c>
      <c r="N12" s="154">
        <f t="shared" si="2"/>
        <v>0</v>
      </c>
      <c r="O12" s="154">
        <f t="shared" si="3"/>
        <v>0</v>
      </c>
      <c r="P12" s="154">
        <f t="shared" si="11"/>
        <v>0</v>
      </c>
      <c r="Q12" s="154">
        <f t="shared" si="12"/>
        <v>0</v>
      </c>
      <c r="R12" s="154">
        <f t="shared" si="13"/>
        <v>0</v>
      </c>
      <c r="S12" s="154">
        <f t="shared" si="4"/>
        <v>0</v>
      </c>
      <c r="T12" s="154">
        <f t="shared" si="5"/>
        <v>0</v>
      </c>
      <c r="U12" s="154">
        <f t="shared" si="6"/>
        <v>0</v>
      </c>
      <c r="V12" s="154">
        <f t="shared" si="7"/>
        <v>0</v>
      </c>
      <c r="W12" s="154">
        <f t="shared" si="8"/>
        <v>0</v>
      </c>
      <c r="X12" s="154">
        <f t="shared" si="9"/>
        <v>0</v>
      </c>
      <c r="Y12" s="154">
        <f t="shared" si="10"/>
        <v>0</v>
      </c>
    </row>
    <row r="13" spans="1:28" ht="19.95" customHeight="1">
      <c r="A13" s="470"/>
      <c r="B13" s="471"/>
      <c r="C13" s="470"/>
      <c r="D13" s="470"/>
      <c r="E13" s="315"/>
      <c r="F13" s="315"/>
      <c r="G13" s="315"/>
      <c r="H13" s="472"/>
      <c r="I13" s="473"/>
      <c r="J13" s="474"/>
      <c r="K13" s="315"/>
      <c r="L13" s="152">
        <f t="shared" si="0"/>
        <v>0</v>
      </c>
      <c r="M13" s="153">
        <f t="shared" si="1"/>
        <v>0</v>
      </c>
      <c r="N13" s="154">
        <f t="shared" si="2"/>
        <v>0</v>
      </c>
      <c r="O13" s="154">
        <f t="shared" si="3"/>
        <v>0</v>
      </c>
      <c r="P13" s="154">
        <f t="shared" si="11"/>
        <v>0</v>
      </c>
      <c r="Q13" s="154">
        <f t="shared" si="12"/>
        <v>0</v>
      </c>
      <c r="R13" s="154">
        <f t="shared" si="13"/>
        <v>0</v>
      </c>
      <c r="S13" s="154">
        <f t="shared" si="4"/>
        <v>0</v>
      </c>
      <c r="T13" s="154">
        <f t="shared" si="5"/>
        <v>0</v>
      </c>
      <c r="U13" s="154">
        <f t="shared" si="6"/>
        <v>0</v>
      </c>
      <c r="V13" s="154">
        <f t="shared" si="7"/>
        <v>0</v>
      </c>
      <c r="W13" s="154">
        <f t="shared" si="8"/>
        <v>0</v>
      </c>
      <c r="X13" s="154">
        <f t="shared" si="9"/>
        <v>0</v>
      </c>
      <c r="Y13" s="154">
        <f t="shared" si="10"/>
        <v>0</v>
      </c>
    </row>
    <row r="14" spans="1:28" ht="19.95" customHeight="1">
      <c r="A14" s="470"/>
      <c r="B14" s="471"/>
      <c r="C14" s="470"/>
      <c r="D14" s="470"/>
      <c r="E14" s="315"/>
      <c r="F14" s="315"/>
      <c r="G14" s="315"/>
      <c r="H14" s="472"/>
      <c r="I14" s="473"/>
      <c r="J14" s="474"/>
      <c r="K14" s="315"/>
      <c r="L14" s="152">
        <f t="shared" si="0"/>
        <v>0</v>
      </c>
      <c r="M14" s="153">
        <f t="shared" si="1"/>
        <v>0</v>
      </c>
      <c r="N14" s="154">
        <f t="shared" si="2"/>
        <v>0</v>
      </c>
      <c r="O14" s="154">
        <f t="shared" si="3"/>
        <v>0</v>
      </c>
      <c r="P14" s="154">
        <f t="shared" si="11"/>
        <v>0</v>
      </c>
      <c r="Q14" s="154">
        <f t="shared" si="12"/>
        <v>0</v>
      </c>
      <c r="R14" s="154">
        <f t="shared" si="13"/>
        <v>0</v>
      </c>
      <c r="S14" s="154">
        <f t="shared" si="4"/>
        <v>0</v>
      </c>
      <c r="T14" s="154">
        <f t="shared" si="5"/>
        <v>0</v>
      </c>
      <c r="U14" s="154">
        <f t="shared" si="6"/>
        <v>0</v>
      </c>
      <c r="V14" s="154">
        <f t="shared" si="7"/>
        <v>0</v>
      </c>
      <c r="W14" s="154">
        <f t="shared" si="8"/>
        <v>0</v>
      </c>
      <c r="X14" s="154">
        <f t="shared" si="9"/>
        <v>0</v>
      </c>
      <c r="Y14" s="154">
        <f t="shared" si="10"/>
        <v>0</v>
      </c>
    </row>
    <row r="15" spans="1:28" ht="19.95" customHeight="1">
      <c r="A15" s="470"/>
      <c r="B15" s="471"/>
      <c r="C15" s="470"/>
      <c r="D15" s="470"/>
      <c r="E15" s="315"/>
      <c r="F15" s="315"/>
      <c r="G15" s="315"/>
      <c r="H15" s="472"/>
      <c r="I15" s="473"/>
      <c r="J15" s="474"/>
      <c r="K15" s="315"/>
      <c r="L15" s="152">
        <f t="shared" si="0"/>
        <v>0</v>
      </c>
      <c r="M15" s="153">
        <f t="shared" si="1"/>
        <v>0</v>
      </c>
      <c r="N15" s="154">
        <f t="shared" si="2"/>
        <v>0</v>
      </c>
      <c r="O15" s="154">
        <f t="shared" si="3"/>
        <v>0</v>
      </c>
      <c r="P15" s="154">
        <f t="shared" si="11"/>
        <v>0</v>
      </c>
      <c r="Q15" s="154">
        <f t="shared" si="12"/>
        <v>0</v>
      </c>
      <c r="R15" s="154">
        <f t="shared" si="13"/>
        <v>0</v>
      </c>
      <c r="S15" s="154">
        <f t="shared" si="4"/>
        <v>0</v>
      </c>
      <c r="T15" s="154">
        <f t="shared" si="5"/>
        <v>0</v>
      </c>
      <c r="U15" s="154">
        <f t="shared" si="6"/>
        <v>0</v>
      </c>
      <c r="V15" s="154">
        <f t="shared" si="7"/>
        <v>0</v>
      </c>
      <c r="W15" s="154">
        <f t="shared" si="8"/>
        <v>0</v>
      </c>
      <c r="X15" s="154">
        <f t="shared" si="9"/>
        <v>0</v>
      </c>
      <c r="Y15" s="154">
        <f t="shared" si="10"/>
        <v>0</v>
      </c>
    </row>
    <row r="16" spans="1:28" ht="19.95" customHeight="1">
      <c r="A16" s="470"/>
      <c r="B16" s="471"/>
      <c r="C16" s="470"/>
      <c r="D16" s="470"/>
      <c r="E16" s="315"/>
      <c r="F16" s="315"/>
      <c r="G16" s="315"/>
      <c r="H16" s="472"/>
      <c r="I16" s="473"/>
      <c r="J16" s="474"/>
      <c r="K16" s="315"/>
      <c r="L16" s="152">
        <f t="shared" si="0"/>
        <v>0</v>
      </c>
      <c r="M16" s="153">
        <f t="shared" si="1"/>
        <v>0</v>
      </c>
      <c r="N16" s="154">
        <f t="shared" si="2"/>
        <v>0</v>
      </c>
      <c r="O16" s="154">
        <f t="shared" si="3"/>
        <v>0</v>
      </c>
      <c r="P16" s="154">
        <f t="shared" si="11"/>
        <v>0</v>
      </c>
      <c r="Q16" s="154">
        <f t="shared" si="12"/>
        <v>0</v>
      </c>
      <c r="R16" s="154">
        <f t="shared" si="13"/>
        <v>0</v>
      </c>
      <c r="S16" s="154">
        <f t="shared" si="4"/>
        <v>0</v>
      </c>
      <c r="T16" s="154">
        <f t="shared" si="5"/>
        <v>0</v>
      </c>
      <c r="U16" s="154">
        <f t="shared" si="6"/>
        <v>0</v>
      </c>
      <c r="V16" s="154">
        <f t="shared" si="7"/>
        <v>0</v>
      </c>
      <c r="W16" s="154">
        <f t="shared" si="8"/>
        <v>0</v>
      </c>
      <c r="X16" s="154">
        <f t="shared" si="9"/>
        <v>0</v>
      </c>
      <c r="Y16" s="154">
        <f t="shared" si="10"/>
        <v>0</v>
      </c>
    </row>
    <row r="17" spans="1:25" ht="19.95" customHeight="1">
      <c r="A17" s="470"/>
      <c r="B17" s="471"/>
      <c r="C17" s="470"/>
      <c r="D17" s="470"/>
      <c r="E17" s="315"/>
      <c r="F17" s="315"/>
      <c r="G17" s="315"/>
      <c r="H17" s="472"/>
      <c r="I17" s="473"/>
      <c r="J17" s="474"/>
      <c r="K17" s="315"/>
      <c r="L17" s="152">
        <f t="shared" si="0"/>
        <v>0</v>
      </c>
      <c r="M17" s="153">
        <f t="shared" si="1"/>
        <v>0</v>
      </c>
      <c r="N17" s="154">
        <f t="shared" si="2"/>
        <v>0</v>
      </c>
      <c r="O17" s="154">
        <f t="shared" si="3"/>
        <v>0</v>
      </c>
      <c r="P17" s="154">
        <f t="shared" si="11"/>
        <v>0</v>
      </c>
      <c r="Q17" s="154">
        <f t="shared" si="12"/>
        <v>0</v>
      </c>
      <c r="R17" s="154">
        <f t="shared" si="13"/>
        <v>0</v>
      </c>
      <c r="S17" s="154">
        <f t="shared" si="4"/>
        <v>0</v>
      </c>
      <c r="T17" s="154">
        <f t="shared" si="5"/>
        <v>0</v>
      </c>
      <c r="U17" s="154">
        <f t="shared" si="6"/>
        <v>0</v>
      </c>
      <c r="V17" s="154">
        <f t="shared" si="7"/>
        <v>0</v>
      </c>
      <c r="W17" s="154">
        <f t="shared" si="8"/>
        <v>0</v>
      </c>
      <c r="X17" s="154">
        <f t="shared" si="9"/>
        <v>0</v>
      </c>
      <c r="Y17" s="154">
        <f t="shared" si="10"/>
        <v>0</v>
      </c>
    </row>
    <row r="18" spans="1:25" ht="19.95" customHeight="1">
      <c r="A18" s="470"/>
      <c r="B18" s="471"/>
      <c r="C18" s="470"/>
      <c r="D18" s="470"/>
      <c r="E18" s="315"/>
      <c r="F18" s="315"/>
      <c r="G18" s="315"/>
      <c r="H18" s="472"/>
      <c r="I18" s="473"/>
      <c r="J18" s="474"/>
      <c r="K18" s="315"/>
      <c r="L18" s="152">
        <f t="shared" si="0"/>
        <v>0</v>
      </c>
      <c r="M18" s="153">
        <f t="shared" si="1"/>
        <v>0</v>
      </c>
      <c r="N18" s="154">
        <f t="shared" si="2"/>
        <v>0</v>
      </c>
      <c r="O18" s="154">
        <f t="shared" si="3"/>
        <v>0</v>
      </c>
      <c r="P18" s="154">
        <f t="shared" si="11"/>
        <v>0</v>
      </c>
      <c r="Q18" s="154">
        <f t="shared" si="12"/>
        <v>0</v>
      </c>
      <c r="R18" s="154">
        <f t="shared" si="13"/>
        <v>0</v>
      </c>
      <c r="S18" s="154">
        <f t="shared" si="4"/>
        <v>0</v>
      </c>
      <c r="T18" s="154">
        <f t="shared" si="5"/>
        <v>0</v>
      </c>
      <c r="U18" s="154">
        <f t="shared" si="6"/>
        <v>0</v>
      </c>
      <c r="V18" s="154">
        <f t="shared" si="7"/>
        <v>0</v>
      </c>
      <c r="W18" s="154">
        <f t="shared" si="8"/>
        <v>0</v>
      </c>
      <c r="X18" s="154">
        <f t="shared" si="9"/>
        <v>0</v>
      </c>
      <c r="Y18" s="154">
        <f t="shared" si="10"/>
        <v>0</v>
      </c>
    </row>
    <row r="19" spans="1:25" ht="19.95" customHeight="1">
      <c r="A19" s="470"/>
      <c r="B19" s="471"/>
      <c r="C19" s="470"/>
      <c r="D19" s="470"/>
      <c r="E19" s="315"/>
      <c r="F19" s="315"/>
      <c r="G19" s="315"/>
      <c r="H19" s="472"/>
      <c r="I19" s="473"/>
      <c r="J19" s="474"/>
      <c r="K19" s="315"/>
      <c r="L19" s="152">
        <f t="shared" si="0"/>
        <v>0</v>
      </c>
      <c r="M19" s="153">
        <f t="shared" si="1"/>
        <v>0</v>
      </c>
      <c r="N19" s="154">
        <f t="shared" si="2"/>
        <v>0</v>
      </c>
      <c r="O19" s="154">
        <f t="shared" si="3"/>
        <v>0</v>
      </c>
      <c r="P19" s="154">
        <f t="shared" si="11"/>
        <v>0</v>
      </c>
      <c r="Q19" s="154">
        <f t="shared" si="12"/>
        <v>0</v>
      </c>
      <c r="R19" s="154">
        <f t="shared" si="13"/>
        <v>0</v>
      </c>
      <c r="S19" s="154">
        <f t="shared" si="4"/>
        <v>0</v>
      </c>
      <c r="T19" s="154">
        <f t="shared" si="5"/>
        <v>0</v>
      </c>
      <c r="U19" s="154">
        <f t="shared" si="6"/>
        <v>0</v>
      </c>
      <c r="V19" s="154">
        <f t="shared" si="7"/>
        <v>0</v>
      </c>
      <c r="W19" s="154">
        <f t="shared" si="8"/>
        <v>0</v>
      </c>
      <c r="X19" s="154">
        <f t="shared" si="9"/>
        <v>0</v>
      </c>
      <c r="Y19" s="154">
        <f t="shared" si="10"/>
        <v>0</v>
      </c>
    </row>
    <row r="20" spans="1:25" ht="19.95" customHeight="1">
      <c r="A20" s="470"/>
      <c r="B20" s="471"/>
      <c r="C20" s="470"/>
      <c r="D20" s="470"/>
      <c r="E20" s="315"/>
      <c r="F20" s="315"/>
      <c r="G20" s="315"/>
      <c r="H20" s="472"/>
      <c r="I20" s="473"/>
      <c r="J20" s="474"/>
      <c r="K20" s="315"/>
      <c r="L20" s="152">
        <f t="shared" si="0"/>
        <v>0</v>
      </c>
      <c r="M20" s="153">
        <f t="shared" si="1"/>
        <v>0</v>
      </c>
      <c r="N20" s="154">
        <f t="shared" si="2"/>
        <v>0</v>
      </c>
      <c r="O20" s="154">
        <f t="shared" si="3"/>
        <v>0</v>
      </c>
      <c r="P20" s="154">
        <f t="shared" si="11"/>
        <v>0</v>
      </c>
      <c r="Q20" s="154">
        <f t="shared" si="12"/>
        <v>0</v>
      </c>
      <c r="R20" s="154">
        <f t="shared" si="13"/>
        <v>0</v>
      </c>
      <c r="S20" s="154">
        <f t="shared" si="4"/>
        <v>0</v>
      </c>
      <c r="T20" s="154">
        <f t="shared" si="5"/>
        <v>0</v>
      </c>
      <c r="U20" s="154">
        <f t="shared" si="6"/>
        <v>0</v>
      </c>
      <c r="V20" s="154">
        <f t="shared" si="7"/>
        <v>0</v>
      </c>
      <c r="W20" s="154">
        <f t="shared" si="8"/>
        <v>0</v>
      </c>
      <c r="X20" s="154">
        <f t="shared" si="9"/>
        <v>0</v>
      </c>
      <c r="Y20" s="154">
        <f t="shared" si="10"/>
        <v>0</v>
      </c>
    </row>
    <row r="21" spans="1:25" ht="19.95" customHeight="1">
      <c r="A21" s="470"/>
      <c r="B21" s="471"/>
      <c r="C21" s="470"/>
      <c r="D21" s="470"/>
      <c r="E21" s="315"/>
      <c r="F21" s="315"/>
      <c r="G21" s="315"/>
      <c r="H21" s="472"/>
      <c r="I21" s="473"/>
      <c r="J21" s="474"/>
      <c r="K21" s="315"/>
      <c r="L21" s="152">
        <f t="shared" si="0"/>
        <v>0</v>
      </c>
      <c r="M21" s="153">
        <f t="shared" si="1"/>
        <v>0</v>
      </c>
      <c r="N21" s="154">
        <f t="shared" si="2"/>
        <v>0</v>
      </c>
      <c r="O21" s="154">
        <f t="shared" si="3"/>
        <v>0</v>
      </c>
      <c r="P21" s="154">
        <f t="shared" si="11"/>
        <v>0</v>
      </c>
      <c r="Q21" s="154">
        <f t="shared" si="12"/>
        <v>0</v>
      </c>
      <c r="R21" s="154">
        <f t="shared" si="13"/>
        <v>0</v>
      </c>
      <c r="S21" s="154">
        <f t="shared" si="4"/>
        <v>0</v>
      </c>
      <c r="T21" s="154">
        <f t="shared" si="5"/>
        <v>0</v>
      </c>
      <c r="U21" s="154">
        <f t="shared" si="6"/>
        <v>0</v>
      </c>
      <c r="V21" s="154">
        <f t="shared" si="7"/>
        <v>0</v>
      </c>
      <c r="W21" s="154">
        <f t="shared" si="8"/>
        <v>0</v>
      </c>
      <c r="X21" s="154">
        <f t="shared" si="9"/>
        <v>0</v>
      </c>
      <c r="Y21" s="154">
        <f t="shared" si="10"/>
        <v>0</v>
      </c>
    </row>
    <row r="22" spans="1:25" ht="19.95" customHeight="1">
      <c r="A22" s="470"/>
      <c r="B22" s="471"/>
      <c r="C22" s="470"/>
      <c r="D22" s="470"/>
      <c r="E22" s="315"/>
      <c r="F22" s="315"/>
      <c r="G22" s="315"/>
      <c r="H22" s="472"/>
      <c r="I22" s="473"/>
      <c r="J22" s="474"/>
      <c r="K22" s="315"/>
      <c r="L22" s="152">
        <f t="shared" si="0"/>
        <v>0</v>
      </c>
      <c r="M22" s="153">
        <f t="shared" si="1"/>
        <v>0</v>
      </c>
      <c r="N22" s="154">
        <f t="shared" si="2"/>
        <v>0</v>
      </c>
      <c r="O22" s="154">
        <f t="shared" si="3"/>
        <v>0</v>
      </c>
      <c r="P22" s="154">
        <f t="shared" si="11"/>
        <v>0</v>
      </c>
      <c r="Q22" s="154">
        <f t="shared" si="12"/>
        <v>0</v>
      </c>
      <c r="R22" s="154">
        <f t="shared" si="13"/>
        <v>0</v>
      </c>
      <c r="S22" s="154">
        <f t="shared" si="4"/>
        <v>0</v>
      </c>
      <c r="T22" s="154">
        <f t="shared" si="5"/>
        <v>0</v>
      </c>
      <c r="U22" s="154">
        <f t="shared" si="6"/>
        <v>0</v>
      </c>
      <c r="V22" s="154">
        <f t="shared" si="7"/>
        <v>0</v>
      </c>
      <c r="W22" s="154">
        <f t="shared" si="8"/>
        <v>0</v>
      </c>
      <c r="X22" s="154">
        <f t="shared" si="9"/>
        <v>0</v>
      </c>
      <c r="Y22" s="154">
        <f t="shared" si="10"/>
        <v>0</v>
      </c>
    </row>
    <row r="23" spans="1:25" ht="19.95" customHeight="1">
      <c r="A23" s="470"/>
      <c r="B23" s="471"/>
      <c r="C23" s="470"/>
      <c r="D23" s="470"/>
      <c r="E23" s="315"/>
      <c r="F23" s="315"/>
      <c r="G23" s="315"/>
      <c r="H23" s="472"/>
      <c r="I23" s="473"/>
      <c r="J23" s="474"/>
      <c r="K23" s="315"/>
      <c r="L23" s="152">
        <f t="shared" si="0"/>
        <v>0</v>
      </c>
      <c r="M23" s="153">
        <f t="shared" si="1"/>
        <v>0</v>
      </c>
      <c r="N23" s="154">
        <f t="shared" si="2"/>
        <v>0</v>
      </c>
      <c r="O23" s="154">
        <f t="shared" si="3"/>
        <v>0</v>
      </c>
      <c r="P23" s="154">
        <f t="shared" si="11"/>
        <v>0</v>
      </c>
      <c r="Q23" s="154">
        <f t="shared" si="12"/>
        <v>0</v>
      </c>
      <c r="R23" s="154">
        <f t="shared" si="13"/>
        <v>0</v>
      </c>
      <c r="S23" s="154">
        <f t="shared" si="4"/>
        <v>0</v>
      </c>
      <c r="T23" s="154">
        <f t="shared" si="5"/>
        <v>0</v>
      </c>
      <c r="U23" s="154">
        <f t="shared" si="6"/>
        <v>0</v>
      </c>
      <c r="V23" s="154">
        <f t="shared" si="7"/>
        <v>0</v>
      </c>
      <c r="W23" s="154">
        <f t="shared" si="8"/>
        <v>0</v>
      </c>
      <c r="X23" s="154">
        <f t="shared" si="9"/>
        <v>0</v>
      </c>
      <c r="Y23" s="154">
        <f t="shared" si="10"/>
        <v>0</v>
      </c>
    </row>
    <row r="24" spans="1:25" ht="19.95" customHeight="1">
      <c r="A24" s="470"/>
      <c r="B24" s="471"/>
      <c r="C24" s="470"/>
      <c r="D24" s="470"/>
      <c r="E24" s="315"/>
      <c r="F24" s="315"/>
      <c r="G24" s="315"/>
      <c r="H24" s="472"/>
      <c r="I24" s="473"/>
      <c r="J24" s="474"/>
      <c r="K24" s="315"/>
      <c r="L24" s="152">
        <f t="shared" si="0"/>
        <v>0</v>
      </c>
      <c r="M24" s="153">
        <f t="shared" si="1"/>
        <v>0</v>
      </c>
      <c r="N24" s="154">
        <f t="shared" si="2"/>
        <v>0</v>
      </c>
      <c r="O24" s="154">
        <f t="shared" si="3"/>
        <v>0</v>
      </c>
      <c r="P24" s="154">
        <f t="shared" si="11"/>
        <v>0</v>
      </c>
      <c r="Q24" s="154">
        <f t="shared" si="12"/>
        <v>0</v>
      </c>
      <c r="R24" s="154">
        <f t="shared" si="13"/>
        <v>0</v>
      </c>
      <c r="S24" s="154">
        <f t="shared" si="4"/>
        <v>0</v>
      </c>
      <c r="T24" s="154">
        <f t="shared" si="5"/>
        <v>0</v>
      </c>
      <c r="U24" s="154">
        <f t="shared" si="6"/>
        <v>0</v>
      </c>
      <c r="V24" s="154">
        <f t="shared" si="7"/>
        <v>0</v>
      </c>
      <c r="W24" s="154">
        <f t="shared" si="8"/>
        <v>0</v>
      </c>
      <c r="X24" s="154">
        <f t="shared" si="9"/>
        <v>0</v>
      </c>
      <c r="Y24" s="154">
        <f t="shared" si="10"/>
        <v>0</v>
      </c>
    </row>
    <row r="25" spans="1:25" ht="19.95" customHeight="1">
      <c r="A25" s="470"/>
      <c r="B25" s="471"/>
      <c r="C25" s="470"/>
      <c r="D25" s="470"/>
      <c r="E25" s="315"/>
      <c r="F25" s="315"/>
      <c r="G25" s="315"/>
      <c r="H25" s="472"/>
      <c r="I25" s="473"/>
      <c r="J25" s="474"/>
      <c r="K25" s="315"/>
      <c r="L25" s="152">
        <f t="shared" si="0"/>
        <v>0</v>
      </c>
      <c r="M25" s="153">
        <f t="shared" si="1"/>
        <v>0</v>
      </c>
      <c r="N25" s="154">
        <f t="shared" si="2"/>
        <v>0</v>
      </c>
      <c r="O25" s="154">
        <f t="shared" si="3"/>
        <v>0</v>
      </c>
      <c r="P25" s="154">
        <f t="shared" si="11"/>
        <v>0</v>
      </c>
      <c r="Q25" s="154">
        <f t="shared" si="12"/>
        <v>0</v>
      </c>
      <c r="R25" s="154">
        <f t="shared" si="13"/>
        <v>0</v>
      </c>
      <c r="S25" s="154">
        <f t="shared" si="4"/>
        <v>0</v>
      </c>
      <c r="T25" s="154">
        <f t="shared" si="5"/>
        <v>0</v>
      </c>
      <c r="U25" s="154">
        <f t="shared" si="6"/>
        <v>0</v>
      </c>
      <c r="V25" s="154">
        <f t="shared" si="7"/>
        <v>0</v>
      </c>
      <c r="W25" s="154">
        <f t="shared" si="8"/>
        <v>0</v>
      </c>
      <c r="X25" s="154">
        <f t="shared" si="9"/>
        <v>0</v>
      </c>
      <c r="Y25" s="154">
        <f t="shared" si="10"/>
        <v>0</v>
      </c>
    </row>
    <row r="26" spans="1:25" ht="19.95" customHeight="1">
      <c r="A26" s="470"/>
      <c r="B26" s="471"/>
      <c r="C26" s="470"/>
      <c r="D26" s="470"/>
      <c r="E26" s="315"/>
      <c r="F26" s="315"/>
      <c r="G26" s="315"/>
      <c r="H26" s="472"/>
      <c r="I26" s="473"/>
      <c r="J26" s="474"/>
      <c r="K26" s="315"/>
      <c r="L26" s="152">
        <f t="shared" ref="L26:L33" si="14">IF(I26=0,0,IF(RIGHT(I26,1)&lt;&gt;"年",I26*12,IF(LEN(I26)=3,VALUE(LEFT(I26,2))*12,IF(LEN(I26)=2,VALUE(LEFT(I26,1))*12,"??"))))</f>
        <v>0</v>
      </c>
      <c r="M26" s="153">
        <f t="shared" ref="M26:M33" si="15">IF(H26=0,0,DATE(YEAR(H26),MONTH(H26)+L26,DAY(H26)-1))</f>
        <v>0</v>
      </c>
      <c r="N26" s="154">
        <f t="shared" ref="N26:N33" si="16">IF(H26=0,0,IF(M26&gt;$D$7,DATEDIF(H26,MIN($D$7,M26),"m"),VALUE(DATEDIF(H26,MIN($D$7,M26),"m")+1)))</f>
        <v>0</v>
      </c>
      <c r="O26" s="154">
        <f t="shared" ref="O26:O33" si="17">IF(H26=0,0,DATEDIF(H26,$F$7,"m"))</f>
        <v>0</v>
      </c>
      <c r="P26" s="154">
        <f t="shared" ref="P26:P33" si="18">IF(OR(H26=0,M26&lt;$B$7),0,IF(AND(H26&lt;$B$7,M26&gt;$D$7),VALUE(DATEDIF($B$7,$D$7,"m")+1),IF(AND(H26&lt;$B$7,M26&lt;=$D$7),VALUE(DATEDIF($B$7,M26,"m")+1),IF(AND(H26&gt;=$B$7,M26&gt;$D$7),VALUE(DATEDIF(H26,$D$7,"m")),IF(AND(H26&gt;=$B$7,M26&lt;=$D$7),VALUE(DATEDIF(H26,M26,"m")+1),)))))</f>
        <v>0</v>
      </c>
      <c r="Q26" s="154">
        <f t="shared" ref="Q26:Q33" si="19">P26-R26</f>
        <v>0</v>
      </c>
      <c r="R26" s="154">
        <f t="shared" ref="R26:R33" si="20">IF(H26=0,0,IF($F$7&lt;$B$7,P26,DATEDIF(MAX(H26,$F$7),MIN(M26,$D$7),"m")))</f>
        <v>0</v>
      </c>
      <c r="S26" s="154">
        <f t="shared" ref="S26:S33" si="21">IF(L26=0,0,ROUND(((1-J26)/L26)*E26,4))</f>
        <v>0</v>
      </c>
      <c r="T26" s="154">
        <f t="shared" ref="T26:T33" si="22">ROUND(S26*O26,2)</f>
        <v>0</v>
      </c>
      <c r="U26" s="154">
        <f t="shared" ref="U26:U33" si="23">IF((E26*(1-J26)-T26-G26)&gt;0,(E26*(1-J26)-T26-G26)/(L26-O26),0)</f>
        <v>0</v>
      </c>
      <c r="V26" s="154">
        <f t="shared" ref="V26:V33" si="24">ROUND(S26*Q26,2)+ROUND(U26*R26,2)</f>
        <v>0</v>
      </c>
      <c r="W26" s="154">
        <f t="shared" ref="W26:W33" si="25">ROUND(K26-U26,2)</f>
        <v>0</v>
      </c>
      <c r="X26" s="154">
        <f t="shared" ref="X26:X33" si="26">ROUND(S26*O26,2)+ROUND(U26*(N26-O26),2)</f>
        <v>0</v>
      </c>
      <c r="Y26" s="154">
        <f t="shared" ref="Y26:Y33" si="27">ROUND(F26-X26,2)</f>
        <v>0</v>
      </c>
    </row>
    <row r="27" spans="1:25" ht="19.95" customHeight="1">
      <c r="A27" s="470"/>
      <c r="B27" s="471"/>
      <c r="C27" s="470"/>
      <c r="D27" s="470"/>
      <c r="E27" s="315"/>
      <c r="F27" s="315"/>
      <c r="G27" s="315"/>
      <c r="H27" s="472"/>
      <c r="I27" s="473"/>
      <c r="J27" s="474"/>
      <c r="K27" s="315"/>
      <c r="L27" s="152">
        <f t="shared" si="14"/>
        <v>0</v>
      </c>
      <c r="M27" s="153">
        <f t="shared" si="15"/>
        <v>0</v>
      </c>
      <c r="N27" s="154">
        <f t="shared" si="16"/>
        <v>0</v>
      </c>
      <c r="O27" s="154">
        <f t="shared" si="17"/>
        <v>0</v>
      </c>
      <c r="P27" s="154">
        <f t="shared" si="18"/>
        <v>0</v>
      </c>
      <c r="Q27" s="154">
        <f t="shared" si="19"/>
        <v>0</v>
      </c>
      <c r="R27" s="154">
        <f t="shared" si="20"/>
        <v>0</v>
      </c>
      <c r="S27" s="154">
        <f t="shared" si="21"/>
        <v>0</v>
      </c>
      <c r="T27" s="154">
        <f t="shared" si="22"/>
        <v>0</v>
      </c>
      <c r="U27" s="154">
        <f t="shared" si="23"/>
        <v>0</v>
      </c>
      <c r="V27" s="154">
        <f t="shared" si="24"/>
        <v>0</v>
      </c>
      <c r="W27" s="154">
        <f t="shared" si="25"/>
        <v>0</v>
      </c>
      <c r="X27" s="154">
        <f t="shared" si="26"/>
        <v>0</v>
      </c>
      <c r="Y27" s="154">
        <f t="shared" si="27"/>
        <v>0</v>
      </c>
    </row>
    <row r="28" spans="1:25" ht="19.95" customHeight="1">
      <c r="A28" s="470"/>
      <c r="B28" s="471"/>
      <c r="C28" s="470"/>
      <c r="D28" s="470"/>
      <c r="E28" s="315"/>
      <c r="F28" s="315"/>
      <c r="G28" s="315"/>
      <c r="H28" s="472"/>
      <c r="I28" s="473"/>
      <c r="J28" s="474"/>
      <c r="K28" s="315"/>
      <c r="L28" s="152">
        <f t="shared" si="14"/>
        <v>0</v>
      </c>
      <c r="M28" s="153">
        <f t="shared" si="15"/>
        <v>0</v>
      </c>
      <c r="N28" s="154">
        <f t="shared" si="16"/>
        <v>0</v>
      </c>
      <c r="O28" s="154">
        <f t="shared" si="17"/>
        <v>0</v>
      </c>
      <c r="P28" s="154">
        <f t="shared" si="18"/>
        <v>0</v>
      </c>
      <c r="Q28" s="154">
        <f t="shared" si="19"/>
        <v>0</v>
      </c>
      <c r="R28" s="154">
        <f t="shared" si="20"/>
        <v>0</v>
      </c>
      <c r="S28" s="154">
        <f t="shared" si="21"/>
        <v>0</v>
      </c>
      <c r="T28" s="154">
        <f t="shared" si="22"/>
        <v>0</v>
      </c>
      <c r="U28" s="154">
        <f t="shared" si="23"/>
        <v>0</v>
      </c>
      <c r="V28" s="154">
        <f t="shared" si="24"/>
        <v>0</v>
      </c>
      <c r="W28" s="154">
        <f t="shared" si="25"/>
        <v>0</v>
      </c>
      <c r="X28" s="154">
        <f t="shared" si="26"/>
        <v>0</v>
      </c>
      <c r="Y28" s="154">
        <f t="shared" si="27"/>
        <v>0</v>
      </c>
    </row>
    <row r="29" spans="1:25" ht="19.95" customHeight="1">
      <c r="A29" s="470"/>
      <c r="B29" s="471"/>
      <c r="C29" s="470"/>
      <c r="D29" s="470"/>
      <c r="E29" s="315"/>
      <c r="F29" s="315"/>
      <c r="G29" s="315"/>
      <c r="H29" s="472"/>
      <c r="I29" s="473"/>
      <c r="J29" s="474"/>
      <c r="K29" s="315"/>
      <c r="L29" s="152">
        <f t="shared" si="14"/>
        <v>0</v>
      </c>
      <c r="M29" s="153">
        <f t="shared" si="15"/>
        <v>0</v>
      </c>
      <c r="N29" s="154">
        <f t="shared" si="16"/>
        <v>0</v>
      </c>
      <c r="O29" s="154">
        <f t="shared" si="17"/>
        <v>0</v>
      </c>
      <c r="P29" s="154">
        <f t="shared" si="18"/>
        <v>0</v>
      </c>
      <c r="Q29" s="154">
        <f t="shared" si="19"/>
        <v>0</v>
      </c>
      <c r="R29" s="154">
        <f t="shared" si="20"/>
        <v>0</v>
      </c>
      <c r="S29" s="154">
        <f t="shared" si="21"/>
        <v>0</v>
      </c>
      <c r="T29" s="154">
        <f t="shared" si="22"/>
        <v>0</v>
      </c>
      <c r="U29" s="154">
        <f t="shared" si="23"/>
        <v>0</v>
      </c>
      <c r="V29" s="154">
        <f t="shared" si="24"/>
        <v>0</v>
      </c>
      <c r="W29" s="154">
        <f t="shared" si="25"/>
        <v>0</v>
      </c>
      <c r="X29" s="154">
        <f t="shared" si="26"/>
        <v>0</v>
      </c>
      <c r="Y29" s="154">
        <f t="shared" si="27"/>
        <v>0</v>
      </c>
    </row>
    <row r="30" spans="1:25" ht="19.95" customHeight="1">
      <c r="A30" s="470"/>
      <c r="B30" s="471"/>
      <c r="C30" s="470"/>
      <c r="D30" s="470"/>
      <c r="E30" s="315"/>
      <c r="F30" s="315"/>
      <c r="G30" s="315"/>
      <c r="H30" s="472"/>
      <c r="I30" s="473"/>
      <c r="J30" s="474"/>
      <c r="K30" s="315"/>
      <c r="L30" s="152">
        <f t="shared" si="14"/>
        <v>0</v>
      </c>
      <c r="M30" s="153">
        <f t="shared" si="15"/>
        <v>0</v>
      </c>
      <c r="N30" s="154">
        <f t="shared" si="16"/>
        <v>0</v>
      </c>
      <c r="O30" s="154">
        <f t="shared" si="17"/>
        <v>0</v>
      </c>
      <c r="P30" s="154">
        <f t="shared" si="18"/>
        <v>0</v>
      </c>
      <c r="Q30" s="154">
        <f t="shared" si="19"/>
        <v>0</v>
      </c>
      <c r="R30" s="154">
        <f t="shared" si="20"/>
        <v>0</v>
      </c>
      <c r="S30" s="154">
        <f t="shared" si="21"/>
        <v>0</v>
      </c>
      <c r="T30" s="154">
        <f t="shared" si="22"/>
        <v>0</v>
      </c>
      <c r="U30" s="154">
        <f t="shared" si="23"/>
        <v>0</v>
      </c>
      <c r="V30" s="154">
        <f t="shared" si="24"/>
        <v>0</v>
      </c>
      <c r="W30" s="154">
        <f t="shared" si="25"/>
        <v>0</v>
      </c>
      <c r="X30" s="154">
        <f t="shared" si="26"/>
        <v>0</v>
      </c>
      <c r="Y30" s="154">
        <f t="shared" si="27"/>
        <v>0</v>
      </c>
    </row>
    <row r="31" spans="1:25" ht="19.95" customHeight="1">
      <c r="A31" s="470"/>
      <c r="B31" s="471"/>
      <c r="C31" s="470"/>
      <c r="D31" s="470"/>
      <c r="E31" s="315"/>
      <c r="F31" s="315"/>
      <c r="G31" s="315"/>
      <c r="H31" s="472"/>
      <c r="I31" s="473"/>
      <c r="J31" s="474"/>
      <c r="K31" s="315"/>
      <c r="L31" s="152">
        <f t="shared" si="14"/>
        <v>0</v>
      </c>
      <c r="M31" s="153">
        <f t="shared" si="15"/>
        <v>0</v>
      </c>
      <c r="N31" s="154">
        <f t="shared" si="16"/>
        <v>0</v>
      </c>
      <c r="O31" s="154">
        <f t="shared" si="17"/>
        <v>0</v>
      </c>
      <c r="P31" s="154">
        <f t="shared" si="18"/>
        <v>0</v>
      </c>
      <c r="Q31" s="154">
        <f t="shared" si="19"/>
        <v>0</v>
      </c>
      <c r="R31" s="154">
        <f t="shared" si="20"/>
        <v>0</v>
      </c>
      <c r="S31" s="154">
        <f t="shared" si="21"/>
        <v>0</v>
      </c>
      <c r="T31" s="154">
        <f t="shared" si="22"/>
        <v>0</v>
      </c>
      <c r="U31" s="154">
        <f t="shared" si="23"/>
        <v>0</v>
      </c>
      <c r="V31" s="154">
        <f t="shared" si="24"/>
        <v>0</v>
      </c>
      <c r="W31" s="154">
        <f t="shared" si="25"/>
        <v>0</v>
      </c>
      <c r="X31" s="154">
        <f t="shared" si="26"/>
        <v>0</v>
      </c>
      <c r="Y31" s="154">
        <f t="shared" si="27"/>
        <v>0</v>
      </c>
    </row>
    <row r="32" spans="1:25" ht="19.95" customHeight="1">
      <c r="A32" s="470"/>
      <c r="B32" s="471"/>
      <c r="C32" s="470"/>
      <c r="D32" s="470"/>
      <c r="E32" s="315"/>
      <c r="F32" s="315"/>
      <c r="G32" s="315"/>
      <c r="H32" s="472"/>
      <c r="I32" s="473"/>
      <c r="J32" s="474"/>
      <c r="K32" s="315"/>
      <c r="L32" s="152">
        <f t="shared" si="14"/>
        <v>0</v>
      </c>
      <c r="M32" s="153">
        <f t="shared" si="15"/>
        <v>0</v>
      </c>
      <c r="N32" s="154">
        <f t="shared" si="16"/>
        <v>0</v>
      </c>
      <c r="O32" s="154">
        <f t="shared" si="17"/>
        <v>0</v>
      </c>
      <c r="P32" s="154">
        <f t="shared" si="18"/>
        <v>0</v>
      </c>
      <c r="Q32" s="154">
        <f t="shared" si="19"/>
        <v>0</v>
      </c>
      <c r="R32" s="154">
        <f t="shared" si="20"/>
        <v>0</v>
      </c>
      <c r="S32" s="154">
        <f t="shared" si="21"/>
        <v>0</v>
      </c>
      <c r="T32" s="154">
        <f t="shared" si="22"/>
        <v>0</v>
      </c>
      <c r="U32" s="154">
        <f t="shared" si="23"/>
        <v>0</v>
      </c>
      <c r="V32" s="154">
        <f t="shared" si="24"/>
        <v>0</v>
      </c>
      <c r="W32" s="154">
        <f t="shared" si="25"/>
        <v>0</v>
      </c>
      <c r="X32" s="154">
        <f t="shared" si="26"/>
        <v>0</v>
      </c>
      <c r="Y32" s="154">
        <f t="shared" si="27"/>
        <v>0</v>
      </c>
    </row>
    <row r="33" spans="1:25" ht="19.95" customHeight="1">
      <c r="A33" s="470"/>
      <c r="B33" s="471"/>
      <c r="C33" s="470"/>
      <c r="D33" s="470"/>
      <c r="E33" s="315"/>
      <c r="F33" s="315"/>
      <c r="G33" s="315"/>
      <c r="H33" s="472"/>
      <c r="I33" s="473"/>
      <c r="J33" s="474"/>
      <c r="K33" s="315"/>
      <c r="L33" s="152">
        <f t="shared" si="14"/>
        <v>0</v>
      </c>
      <c r="M33" s="153">
        <f t="shared" si="15"/>
        <v>0</v>
      </c>
      <c r="N33" s="154">
        <f t="shared" si="16"/>
        <v>0</v>
      </c>
      <c r="O33" s="154">
        <f t="shared" si="17"/>
        <v>0</v>
      </c>
      <c r="P33" s="154">
        <f t="shared" si="18"/>
        <v>0</v>
      </c>
      <c r="Q33" s="154">
        <f t="shared" si="19"/>
        <v>0</v>
      </c>
      <c r="R33" s="154">
        <f t="shared" si="20"/>
        <v>0</v>
      </c>
      <c r="S33" s="154">
        <f t="shared" si="21"/>
        <v>0</v>
      </c>
      <c r="T33" s="154">
        <f t="shared" si="22"/>
        <v>0</v>
      </c>
      <c r="U33" s="154">
        <f t="shared" si="23"/>
        <v>0</v>
      </c>
      <c r="V33" s="154">
        <f t="shared" si="24"/>
        <v>0</v>
      </c>
      <c r="W33" s="154">
        <f t="shared" si="25"/>
        <v>0</v>
      </c>
      <c r="X33" s="154">
        <f t="shared" si="26"/>
        <v>0</v>
      </c>
      <c r="Y33" s="154">
        <f t="shared" si="27"/>
        <v>0</v>
      </c>
    </row>
    <row r="34" spans="1:25" s="289" customFormat="1" ht="19.95" customHeight="1">
      <c r="A34" s="65" t="s">
        <v>77</v>
      </c>
      <c r="B34" s="65"/>
      <c r="C34" s="65"/>
      <c r="D34" s="65"/>
      <c r="E34" s="310">
        <f>SUM(E9:E33)</f>
        <v>0</v>
      </c>
      <c r="F34" s="310">
        <f t="shared" ref="F34:Y34" si="28">SUM(F9:F33)</f>
        <v>0</v>
      </c>
      <c r="G34" s="310">
        <f t="shared" si="28"/>
        <v>0</v>
      </c>
      <c r="H34" s="310"/>
      <c r="I34" s="310"/>
      <c r="J34" s="310"/>
      <c r="K34" s="310">
        <f t="shared" si="28"/>
        <v>0</v>
      </c>
      <c r="L34" s="310"/>
      <c r="M34" s="310"/>
      <c r="N34" s="310"/>
      <c r="O34" s="310"/>
      <c r="P34" s="310">
        <f t="shared" si="28"/>
        <v>0</v>
      </c>
      <c r="Q34" s="310">
        <f t="shared" si="28"/>
        <v>0</v>
      </c>
      <c r="R34" s="310">
        <f t="shared" si="28"/>
        <v>0</v>
      </c>
      <c r="S34" s="310">
        <f t="shared" si="28"/>
        <v>0</v>
      </c>
      <c r="T34" s="310">
        <f t="shared" si="28"/>
        <v>0</v>
      </c>
      <c r="U34" s="310">
        <f t="shared" si="28"/>
        <v>0</v>
      </c>
      <c r="V34" s="310">
        <f t="shared" si="28"/>
        <v>0</v>
      </c>
      <c r="W34" s="310">
        <f t="shared" si="28"/>
        <v>0</v>
      </c>
      <c r="X34" s="310">
        <f t="shared" si="28"/>
        <v>0</v>
      </c>
      <c r="Y34" s="310">
        <f t="shared" si="28"/>
        <v>0</v>
      </c>
    </row>
    <row r="35" spans="1:25" ht="19.95" customHeight="1">
      <c r="A35" s="211" t="s">
        <v>350</v>
      </c>
      <c r="B35" s="10"/>
      <c r="C35" s="10"/>
      <c r="D35" s="10"/>
      <c r="E35" s="10"/>
      <c r="F35" s="10"/>
      <c r="G35" s="10"/>
      <c r="H35" s="10"/>
      <c r="I35" s="10"/>
      <c r="J35" s="10"/>
      <c r="K35" s="10"/>
      <c r="L35" s="10"/>
      <c r="M35" s="10"/>
      <c r="N35" s="10"/>
      <c r="O35" s="10"/>
      <c r="P35" s="10"/>
      <c r="Q35" s="10"/>
      <c r="R35" s="10"/>
      <c r="S35" s="10"/>
      <c r="T35" s="10"/>
      <c r="U35" s="10"/>
      <c r="V35" s="10"/>
      <c r="W35" s="10"/>
      <c r="X35" s="10"/>
      <c r="Y35" s="10"/>
    </row>
    <row r="39" spans="1:25" ht="19.95" customHeight="1">
      <c r="A39" s="21" t="s">
        <v>351</v>
      </c>
    </row>
    <row r="46" spans="1:25" ht="19.95" customHeight="1">
      <c r="A46" s="185"/>
    </row>
    <row r="47" spans="1:25" ht="19.95" customHeight="1">
      <c r="A47" s="185"/>
    </row>
    <row r="48" spans="1:25" ht="19.95" customHeight="1">
      <c r="A48" s="185"/>
    </row>
    <row r="49" spans="1:1" ht="19.95" customHeight="1">
      <c r="A49" s="185"/>
    </row>
    <row r="50" spans="1:1" ht="19.95" customHeight="1">
      <c r="A50" s="185"/>
    </row>
  </sheetData>
  <mergeCells count="1">
    <mergeCell ref="A1:Y1"/>
  </mergeCells>
  <phoneticPr fontId="9" type="noConversion"/>
  <hyperlinks>
    <hyperlink ref="Y3" location="底稿目录!A1" display="H5A"/>
  </hyperlinks>
  <printOptions horizontalCentered="1"/>
  <pageMargins left="0.70866141732283472" right="0.70866141732283472" top="0.74803149606299213" bottom="0.74803149606299213" header="0.31496062992125984" footer="0.31496062992125984"/>
  <pageSetup paperSize="9" scale="53" fitToHeight="10" orientation="landscape" blackAndWhite="1" r:id="rId1"/>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J27"/>
  <sheetViews>
    <sheetView view="pageBreakPreview" zoomScaleSheetLayoutView="100" workbookViewId="0">
      <selection sqref="A1:J1"/>
    </sheetView>
  </sheetViews>
  <sheetFormatPr defaultColWidth="9" defaultRowHeight="19.95" customHeight="1"/>
  <cols>
    <col min="1" max="1" width="6.69921875" style="76" customWidth="1"/>
    <col min="2" max="2" width="19.69921875" style="76" customWidth="1"/>
    <col min="3" max="10" width="15" style="76" customWidth="1"/>
    <col min="11" max="16384" width="9" style="76"/>
  </cols>
  <sheetData>
    <row r="1" spans="1:10" s="283" customFormat="1" ht="19.95" customHeight="1">
      <c r="A1" s="536" t="s">
        <v>880</v>
      </c>
      <c r="B1" s="536"/>
      <c r="C1" s="536"/>
      <c r="D1" s="536"/>
      <c r="E1" s="536"/>
      <c r="F1" s="536"/>
      <c r="G1" s="536"/>
      <c r="H1" s="536"/>
      <c r="I1" s="536"/>
      <c r="J1" s="536"/>
    </row>
    <row r="2" spans="1:10" s="270" customFormat="1" ht="19.95" customHeight="1">
      <c r="A2" s="537" t="s">
        <v>887</v>
      </c>
      <c r="B2" s="537"/>
      <c r="C2" s="537"/>
      <c r="D2" s="537"/>
      <c r="E2" s="537"/>
      <c r="F2" s="537"/>
      <c r="G2" s="537"/>
      <c r="H2" s="537"/>
      <c r="I2" s="537"/>
      <c r="J2" s="537"/>
    </row>
    <row r="3" spans="1:10" ht="19.95" customHeight="1">
      <c r="A3" s="63" t="str">
        <f>底稿目录!A2</f>
        <v>被审计单位：</v>
      </c>
      <c r="B3" s="63"/>
      <c r="C3" s="63"/>
      <c r="D3" s="63" t="str">
        <f>底稿目录!A4</f>
        <v>编制人：</v>
      </c>
      <c r="E3" s="63"/>
      <c r="F3" s="63"/>
      <c r="G3" s="82" t="str">
        <f>底稿目录!A6</f>
        <v>编制日期：</v>
      </c>
      <c r="H3" s="82"/>
      <c r="I3" s="339" t="s">
        <v>916</v>
      </c>
      <c r="J3" s="197" t="s">
        <v>170</v>
      </c>
    </row>
    <row r="4" spans="1:10" ht="19.95" customHeight="1">
      <c r="A4" s="63" t="str">
        <f>底稿目录!A3</f>
        <v>截止日：202X年12月31日</v>
      </c>
      <c r="B4" s="63"/>
      <c r="C4" s="63"/>
      <c r="D4" s="63" t="str">
        <f>底稿目录!A5</f>
        <v>复核人：</v>
      </c>
      <c r="E4" s="63"/>
      <c r="F4" s="63"/>
      <c r="G4" s="82" t="str">
        <f>底稿目录!A7</f>
        <v>复核日期：</v>
      </c>
      <c r="H4" s="82"/>
      <c r="I4" s="339" t="s">
        <v>917</v>
      </c>
      <c r="J4" s="163"/>
    </row>
    <row r="5" spans="1:10" s="476" customFormat="1" ht="19.95" customHeight="1">
      <c r="A5" s="218" t="s">
        <v>631</v>
      </c>
      <c r="B5" s="467"/>
      <c r="C5" s="428"/>
      <c r="D5" s="428"/>
      <c r="E5" s="428"/>
      <c r="F5" s="428"/>
      <c r="G5" s="428"/>
      <c r="H5" s="475"/>
      <c r="I5" s="428"/>
      <c r="J5" s="428"/>
    </row>
    <row r="6" spans="1:10" ht="19.95" customHeight="1">
      <c r="A6" s="51" t="s">
        <v>334</v>
      </c>
      <c r="B6" s="52"/>
      <c r="C6" s="52"/>
      <c r="D6" s="52"/>
      <c r="E6" s="52"/>
      <c r="F6" s="52"/>
      <c r="G6" s="52"/>
      <c r="H6" s="6"/>
      <c r="I6" s="52"/>
      <c r="J6" s="52"/>
    </row>
    <row r="7" spans="1:10" ht="19.95" customHeight="1">
      <c r="A7" s="174" t="s">
        <v>646</v>
      </c>
      <c r="B7" s="174" t="s">
        <v>644</v>
      </c>
      <c r="C7" s="174" t="s">
        <v>647</v>
      </c>
      <c r="D7" s="183" t="s">
        <v>640</v>
      </c>
      <c r="E7" s="174" t="s">
        <v>645</v>
      </c>
      <c r="F7" s="174" t="s">
        <v>641</v>
      </c>
      <c r="G7" s="174" t="s">
        <v>642</v>
      </c>
      <c r="H7" s="174" t="s">
        <v>20</v>
      </c>
      <c r="I7" s="174" t="s">
        <v>643</v>
      </c>
      <c r="J7" s="174" t="s">
        <v>323</v>
      </c>
    </row>
    <row r="8" spans="1:10" ht="19.95" customHeight="1">
      <c r="A8" s="93">
        <v>1</v>
      </c>
      <c r="B8" s="231" t="s">
        <v>648</v>
      </c>
      <c r="C8" s="64"/>
      <c r="D8" s="64"/>
      <c r="E8" s="64"/>
      <c r="F8" s="64"/>
      <c r="G8" s="64"/>
      <c r="H8" s="64"/>
      <c r="I8" s="147">
        <f>SUM(C8:H8)</f>
        <v>0</v>
      </c>
      <c r="J8" s="64"/>
    </row>
    <row r="9" spans="1:10" ht="19.95" customHeight="1">
      <c r="A9" s="93">
        <v>2</v>
      </c>
      <c r="B9" s="231" t="s">
        <v>649</v>
      </c>
      <c r="C9" s="64"/>
      <c r="D9" s="64"/>
      <c r="E9" s="64"/>
      <c r="F9" s="64"/>
      <c r="G9" s="64"/>
      <c r="H9" s="64"/>
      <c r="I9" s="147">
        <f t="shared" ref="I9:I12" si="0">SUM(C9:H9)</f>
        <v>0</v>
      </c>
      <c r="J9" s="64"/>
    </row>
    <row r="10" spans="1:10" ht="19.95" customHeight="1">
      <c r="A10" s="93">
        <v>3</v>
      </c>
      <c r="B10" s="231" t="s">
        <v>650</v>
      </c>
      <c r="C10" s="64"/>
      <c r="D10" s="64"/>
      <c r="E10" s="64"/>
      <c r="F10" s="64"/>
      <c r="G10" s="64"/>
      <c r="H10" s="64"/>
      <c r="I10" s="147">
        <f t="shared" si="0"/>
        <v>0</v>
      </c>
      <c r="J10" s="64"/>
    </row>
    <row r="11" spans="1:10" ht="19.95" customHeight="1">
      <c r="A11" s="93">
        <v>4</v>
      </c>
      <c r="B11" s="231" t="s">
        <v>4</v>
      </c>
      <c r="C11" s="64"/>
      <c r="D11" s="64"/>
      <c r="E11" s="64"/>
      <c r="F11" s="64"/>
      <c r="G11" s="64"/>
      <c r="H11" s="64"/>
      <c r="I11" s="147">
        <f t="shared" si="0"/>
        <v>0</v>
      </c>
      <c r="J11" s="64"/>
    </row>
    <row r="12" spans="1:10" ht="19.95" customHeight="1">
      <c r="A12" s="93">
        <v>5</v>
      </c>
      <c r="B12" s="231" t="s">
        <v>4</v>
      </c>
      <c r="C12" s="64"/>
      <c r="D12" s="64"/>
      <c r="E12" s="64"/>
      <c r="F12" s="64"/>
      <c r="G12" s="64"/>
      <c r="H12" s="64"/>
      <c r="I12" s="147">
        <f t="shared" si="0"/>
        <v>0</v>
      </c>
      <c r="J12" s="64"/>
    </row>
    <row r="13" spans="1:10" ht="19.95" customHeight="1">
      <c r="A13" s="586" t="s">
        <v>77</v>
      </c>
      <c r="B13" s="587"/>
      <c r="C13" s="357">
        <f>SUM(C8:C12)</f>
        <v>0</v>
      </c>
      <c r="D13" s="357">
        <f t="shared" ref="D13:I13" si="1">SUM(D8:D12)</f>
        <v>0</v>
      </c>
      <c r="E13" s="357">
        <f t="shared" si="1"/>
        <v>0</v>
      </c>
      <c r="F13" s="357">
        <f t="shared" si="1"/>
        <v>0</v>
      </c>
      <c r="G13" s="357">
        <f t="shared" si="1"/>
        <v>0</v>
      </c>
      <c r="H13" s="357">
        <f t="shared" si="1"/>
        <v>0</v>
      </c>
      <c r="I13" s="357">
        <f t="shared" si="1"/>
        <v>0</v>
      </c>
      <c r="J13" s="358"/>
    </row>
    <row r="14" spans="1:10" ht="27.6">
      <c r="A14" s="354"/>
      <c r="B14" s="355" t="s">
        <v>938</v>
      </c>
      <c r="C14" s="356" t="s">
        <v>939</v>
      </c>
      <c r="D14" s="356" t="s">
        <v>939</v>
      </c>
      <c r="E14" s="356" t="s">
        <v>939</v>
      </c>
      <c r="F14" s="356" t="s">
        <v>939</v>
      </c>
      <c r="G14" s="356" t="s">
        <v>939</v>
      </c>
      <c r="H14" s="356" t="s">
        <v>939</v>
      </c>
      <c r="I14" s="147"/>
      <c r="J14" s="147"/>
    </row>
    <row r="15" spans="1:10" ht="19.95" customHeight="1">
      <c r="A15" s="205" t="s">
        <v>350</v>
      </c>
      <c r="B15" s="359"/>
      <c r="C15" s="359"/>
      <c r="D15" s="359"/>
      <c r="E15" s="359"/>
      <c r="F15" s="359"/>
      <c r="G15" s="359"/>
      <c r="H15" s="359"/>
      <c r="I15" s="359"/>
      <c r="J15" s="359"/>
    </row>
    <row r="16" spans="1:10" ht="19.95" customHeight="1">
      <c r="A16" s="2"/>
    </row>
    <row r="17" spans="1:1" ht="19.95" customHeight="1">
      <c r="A17" s="2"/>
    </row>
    <row r="18" spans="1:1" ht="19.95" customHeight="1">
      <c r="A18" s="21" t="s">
        <v>651</v>
      </c>
    </row>
    <row r="19" spans="1:1" ht="19.95" customHeight="1">
      <c r="A19" s="63"/>
    </row>
    <row r="25" spans="1:1" ht="19.95" customHeight="1">
      <c r="A25" s="232"/>
    </row>
    <row r="26" spans="1:1" ht="19.95" customHeight="1">
      <c r="A26" s="232"/>
    </row>
    <row r="27" spans="1:1" ht="19.95" customHeight="1">
      <c r="A27" s="232"/>
    </row>
  </sheetData>
  <mergeCells count="3">
    <mergeCell ref="A1:J1"/>
    <mergeCell ref="A2:J2"/>
    <mergeCell ref="A13:B13"/>
  </mergeCells>
  <phoneticPr fontId="9" type="noConversion"/>
  <hyperlinks>
    <hyperlink ref="J3" location="底稿目录!A1" display="H5A"/>
  </hyperlinks>
  <printOptions horizontalCentered="1"/>
  <pageMargins left="0.70866141732283472" right="0.70866141732283472" top="0.74803149606299213" bottom="0.74803149606299213" header="0.31496062992125984" footer="0.31496062992125984"/>
  <pageSetup paperSize="9" scale="84" orientation="landscape" blackAndWhite="1" r:id="rId1"/>
  <headerFooter>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F34"/>
  <sheetViews>
    <sheetView view="pageBreakPreview" zoomScaleSheetLayoutView="100" workbookViewId="0">
      <selection sqref="A1:L1"/>
    </sheetView>
  </sheetViews>
  <sheetFormatPr defaultColWidth="9" defaultRowHeight="19.95" customHeight="1"/>
  <cols>
    <col min="1" max="1" width="17.5" style="2" customWidth="1"/>
    <col min="2" max="2" width="9" style="2"/>
    <col min="3" max="3" width="33.59765625" style="2" customWidth="1"/>
    <col min="4" max="4" width="12.3984375" style="2" customWidth="1"/>
    <col min="5" max="10" width="12.8984375" style="2" customWidth="1"/>
    <col min="11" max="11" width="16.8984375" style="2" customWidth="1"/>
    <col min="12" max="12" width="18.3984375" style="2" customWidth="1"/>
    <col min="13" max="16384" width="9" style="2"/>
  </cols>
  <sheetData>
    <row r="1" spans="1:32" s="190" customFormat="1" ht="19.95" customHeight="1">
      <c r="A1" s="520" t="s">
        <v>879</v>
      </c>
      <c r="B1" s="520"/>
      <c r="C1" s="520"/>
      <c r="D1" s="520"/>
      <c r="E1" s="520"/>
      <c r="F1" s="520"/>
      <c r="G1" s="520"/>
      <c r="H1" s="520"/>
      <c r="I1" s="520"/>
      <c r="J1" s="520"/>
      <c r="K1" s="520"/>
      <c r="L1" s="520"/>
    </row>
    <row r="2" spans="1:32" s="269" customFormat="1" ht="19.95" customHeight="1">
      <c r="A2" s="521" t="s">
        <v>886</v>
      </c>
      <c r="B2" s="521"/>
      <c r="C2" s="521"/>
      <c r="D2" s="521"/>
      <c r="E2" s="521"/>
      <c r="F2" s="521"/>
      <c r="G2" s="521"/>
      <c r="H2" s="521"/>
      <c r="I2" s="521"/>
      <c r="J2" s="521"/>
      <c r="K2" s="521"/>
      <c r="L2" s="521"/>
    </row>
    <row r="3" spans="1:32" ht="19.95" customHeight="1">
      <c r="A3" s="2" t="str">
        <f>底稿目录!A2</f>
        <v>被审计单位：</v>
      </c>
      <c r="D3" s="2" t="str">
        <f>底稿目录!A4</f>
        <v>编制人：</v>
      </c>
      <c r="G3" s="79" t="str">
        <f>底稿目录!A6</f>
        <v>编制日期：</v>
      </c>
      <c r="H3" s="79"/>
      <c r="K3" s="339" t="s">
        <v>916</v>
      </c>
      <c r="L3" s="197" t="s">
        <v>172</v>
      </c>
    </row>
    <row r="4" spans="1:32" ht="19.95" customHeight="1">
      <c r="A4" s="2" t="str">
        <f>底稿目录!A3</f>
        <v>截止日：202X年12月31日</v>
      </c>
      <c r="D4" s="2" t="str">
        <f>底稿目录!A5</f>
        <v>复核人：</v>
      </c>
      <c r="G4" s="79" t="str">
        <f>底稿目录!A7</f>
        <v>复核日期：</v>
      </c>
      <c r="H4" s="79"/>
      <c r="K4" s="339" t="s">
        <v>917</v>
      </c>
      <c r="L4" s="163"/>
    </row>
    <row r="5" spans="1:32" s="187" customFormat="1" ht="19.95" customHeight="1">
      <c r="A5" s="218" t="s">
        <v>652</v>
      </c>
      <c r="B5" s="435"/>
      <c r="G5" s="477"/>
      <c r="I5" s="477"/>
      <c r="K5" s="423"/>
      <c r="L5" s="418"/>
      <c r="V5" s="419"/>
      <c r="W5" s="419"/>
      <c r="X5" s="419"/>
      <c r="Y5" s="419"/>
      <c r="Z5" s="419"/>
      <c r="AA5" s="419"/>
      <c r="AB5" s="419"/>
    </row>
    <row r="6" spans="1:32" ht="19.95" customHeight="1">
      <c r="A6" s="51" t="s">
        <v>653</v>
      </c>
      <c r="B6" s="52"/>
      <c r="C6" s="52"/>
      <c r="H6" s="6"/>
      <c r="I6" s="6"/>
      <c r="J6" s="6"/>
      <c r="K6" s="6"/>
      <c r="O6" s="74"/>
      <c r="P6" s="103"/>
      <c r="Z6" s="110"/>
      <c r="AA6" s="110"/>
      <c r="AB6" s="110"/>
      <c r="AC6" s="110"/>
      <c r="AD6" s="110"/>
      <c r="AE6" s="110"/>
      <c r="AF6" s="110"/>
    </row>
    <row r="7" spans="1:32" s="478" customFormat="1" ht="19.95" customHeight="1">
      <c r="A7" s="523" t="s">
        <v>654</v>
      </c>
      <c r="B7" s="555" t="s">
        <v>655</v>
      </c>
      <c r="C7" s="555" t="s">
        <v>656</v>
      </c>
      <c r="D7" s="523" t="s">
        <v>657</v>
      </c>
      <c r="E7" s="530" t="s">
        <v>658</v>
      </c>
      <c r="F7" s="588"/>
      <c r="G7" s="531"/>
      <c r="H7" s="555" t="s">
        <v>659</v>
      </c>
      <c r="I7" s="555" t="s">
        <v>660</v>
      </c>
      <c r="J7" s="555" t="s">
        <v>661</v>
      </c>
      <c r="K7" s="523" t="s">
        <v>662</v>
      </c>
      <c r="L7" s="523" t="s">
        <v>342</v>
      </c>
    </row>
    <row r="8" spans="1:32" s="61" customFormat="1" ht="36">
      <c r="A8" s="523"/>
      <c r="B8" s="560"/>
      <c r="C8" s="556"/>
      <c r="D8" s="523"/>
      <c r="E8" s="415" t="s">
        <v>663</v>
      </c>
      <c r="F8" s="415" t="s">
        <v>664</v>
      </c>
      <c r="G8" s="415" t="s">
        <v>665</v>
      </c>
      <c r="H8" s="556"/>
      <c r="I8" s="556" t="s">
        <v>666</v>
      </c>
      <c r="J8" s="556"/>
      <c r="K8" s="523"/>
      <c r="L8" s="523"/>
    </row>
    <row r="9" spans="1:32" s="61" customFormat="1" ht="19.95" customHeight="1">
      <c r="A9" s="523"/>
      <c r="B9" s="556"/>
      <c r="C9" s="415" t="s">
        <v>667</v>
      </c>
      <c r="D9" s="415" t="s">
        <v>102</v>
      </c>
      <c r="E9" s="415" t="s">
        <v>668</v>
      </c>
      <c r="F9" s="415" t="s">
        <v>669</v>
      </c>
      <c r="G9" s="415" t="s">
        <v>670</v>
      </c>
      <c r="H9" s="415" t="s">
        <v>671</v>
      </c>
      <c r="I9" s="415" t="s">
        <v>672</v>
      </c>
      <c r="J9" s="415" t="s">
        <v>673</v>
      </c>
      <c r="K9" s="523"/>
      <c r="L9" s="523"/>
    </row>
    <row r="10" spans="1:32" ht="19.95" customHeight="1">
      <c r="A10" s="27"/>
      <c r="B10" s="288"/>
      <c r="C10" s="37"/>
      <c r="D10" s="37"/>
      <c r="E10" s="37"/>
      <c r="F10" s="37"/>
      <c r="G10" s="154">
        <f>MAX(E10,F10)</f>
        <v>0</v>
      </c>
      <c r="H10" s="154">
        <f>IF(D10&gt;G10,D10-G10,0)</f>
        <v>0</v>
      </c>
      <c r="I10" s="315"/>
      <c r="J10" s="151">
        <f>H10-I10</f>
        <v>0</v>
      </c>
      <c r="K10" s="317"/>
      <c r="L10" s="27"/>
    </row>
    <row r="11" spans="1:32" ht="19.95" customHeight="1">
      <c r="A11" s="27"/>
      <c r="B11" s="288"/>
      <c r="C11" s="37"/>
      <c r="D11" s="37"/>
      <c r="E11" s="37"/>
      <c r="F11" s="37"/>
      <c r="G11" s="154">
        <f t="shared" ref="G11:G19" si="0">MAX(E11,F11)</f>
        <v>0</v>
      </c>
      <c r="H11" s="154">
        <f t="shared" ref="H11:H19" si="1">IF(D11&gt;G11,D11-G11,0)</f>
        <v>0</v>
      </c>
      <c r="I11" s="315"/>
      <c r="J11" s="151">
        <f t="shared" ref="J11:J19" si="2">H11-I11</f>
        <v>0</v>
      </c>
      <c r="K11" s="317"/>
      <c r="L11" s="27"/>
    </row>
    <row r="12" spans="1:32" ht="19.95" customHeight="1">
      <c r="A12" s="27"/>
      <c r="B12" s="288"/>
      <c r="C12" s="37"/>
      <c r="D12" s="37"/>
      <c r="E12" s="37"/>
      <c r="F12" s="37"/>
      <c r="G12" s="154">
        <f t="shared" si="0"/>
        <v>0</v>
      </c>
      <c r="H12" s="154">
        <f t="shared" si="1"/>
        <v>0</v>
      </c>
      <c r="I12" s="315"/>
      <c r="J12" s="151">
        <f t="shared" si="2"/>
        <v>0</v>
      </c>
      <c r="K12" s="317"/>
      <c r="L12" s="27"/>
    </row>
    <row r="13" spans="1:32" ht="19.95" customHeight="1">
      <c r="A13" s="27"/>
      <c r="B13" s="288"/>
      <c r="C13" s="37"/>
      <c r="D13" s="37"/>
      <c r="E13" s="37"/>
      <c r="F13" s="37"/>
      <c r="G13" s="154">
        <f t="shared" si="0"/>
        <v>0</v>
      </c>
      <c r="H13" s="154">
        <f t="shared" si="1"/>
        <v>0</v>
      </c>
      <c r="I13" s="315"/>
      <c r="J13" s="151">
        <f t="shared" si="2"/>
        <v>0</v>
      </c>
      <c r="K13" s="317"/>
      <c r="L13" s="27"/>
    </row>
    <row r="14" spans="1:32" ht="19.95" customHeight="1">
      <c r="A14" s="27"/>
      <c r="B14" s="288"/>
      <c r="C14" s="37"/>
      <c r="D14" s="37"/>
      <c r="E14" s="37"/>
      <c r="F14" s="37"/>
      <c r="G14" s="154">
        <f t="shared" si="0"/>
        <v>0</v>
      </c>
      <c r="H14" s="154">
        <f t="shared" si="1"/>
        <v>0</v>
      </c>
      <c r="I14" s="315"/>
      <c r="J14" s="151">
        <f t="shared" si="2"/>
        <v>0</v>
      </c>
      <c r="K14" s="317"/>
      <c r="L14" s="27"/>
    </row>
    <row r="15" spans="1:32" ht="19.95" customHeight="1">
      <c r="A15" s="27"/>
      <c r="B15" s="288"/>
      <c r="C15" s="37"/>
      <c r="D15" s="37"/>
      <c r="E15" s="37"/>
      <c r="F15" s="37"/>
      <c r="G15" s="154">
        <f t="shared" si="0"/>
        <v>0</v>
      </c>
      <c r="H15" s="154">
        <f t="shared" si="1"/>
        <v>0</v>
      </c>
      <c r="I15" s="315"/>
      <c r="J15" s="151">
        <f t="shared" si="2"/>
        <v>0</v>
      </c>
      <c r="K15" s="317"/>
      <c r="L15" s="27"/>
    </row>
    <row r="16" spans="1:32" ht="19.95" customHeight="1">
      <c r="A16" s="27"/>
      <c r="B16" s="288"/>
      <c r="C16" s="37"/>
      <c r="D16" s="37"/>
      <c r="E16" s="37"/>
      <c r="F16" s="37"/>
      <c r="G16" s="154">
        <f t="shared" si="0"/>
        <v>0</v>
      </c>
      <c r="H16" s="154">
        <f t="shared" si="1"/>
        <v>0</v>
      </c>
      <c r="I16" s="315"/>
      <c r="J16" s="151">
        <f t="shared" si="2"/>
        <v>0</v>
      </c>
      <c r="K16" s="317"/>
      <c r="L16" s="27"/>
    </row>
    <row r="17" spans="1:12" ht="19.95" customHeight="1">
      <c r="A17" s="27"/>
      <c r="B17" s="288"/>
      <c r="C17" s="37"/>
      <c r="D17" s="37"/>
      <c r="E17" s="37"/>
      <c r="F17" s="37"/>
      <c r="G17" s="154">
        <f t="shared" si="0"/>
        <v>0</v>
      </c>
      <c r="H17" s="154">
        <f t="shared" si="1"/>
        <v>0</v>
      </c>
      <c r="I17" s="315"/>
      <c r="J17" s="151">
        <f t="shared" si="2"/>
        <v>0</v>
      </c>
      <c r="K17" s="317"/>
      <c r="L17" s="27"/>
    </row>
    <row r="18" spans="1:12" ht="19.95" customHeight="1">
      <c r="A18" s="27"/>
      <c r="B18" s="288"/>
      <c r="C18" s="37"/>
      <c r="D18" s="37"/>
      <c r="E18" s="37"/>
      <c r="F18" s="37"/>
      <c r="G18" s="154">
        <f t="shared" si="0"/>
        <v>0</v>
      </c>
      <c r="H18" s="154">
        <f t="shared" si="1"/>
        <v>0</v>
      </c>
      <c r="I18" s="315"/>
      <c r="J18" s="151">
        <f t="shared" si="2"/>
        <v>0</v>
      </c>
      <c r="K18" s="317"/>
      <c r="L18" s="27"/>
    </row>
    <row r="19" spans="1:12" ht="19.95" customHeight="1">
      <c r="A19" s="27"/>
      <c r="B19" s="288"/>
      <c r="C19" s="37"/>
      <c r="D19" s="37"/>
      <c r="E19" s="37"/>
      <c r="F19" s="37"/>
      <c r="G19" s="154">
        <f t="shared" si="0"/>
        <v>0</v>
      </c>
      <c r="H19" s="154">
        <f t="shared" si="1"/>
        <v>0</v>
      </c>
      <c r="I19" s="315"/>
      <c r="J19" s="151">
        <f t="shared" si="2"/>
        <v>0</v>
      </c>
      <c r="K19" s="317"/>
      <c r="L19" s="27"/>
    </row>
    <row r="20" spans="1:12" s="316" customFormat="1" ht="19.95" customHeight="1">
      <c r="A20" s="183" t="s">
        <v>77</v>
      </c>
      <c r="B20" s="310"/>
      <c r="C20" s="310"/>
      <c r="D20" s="310">
        <f>SUM(D10:D19)</f>
        <v>0</v>
      </c>
      <c r="E20" s="310">
        <f>SUM(E10:E19)</f>
        <v>0</v>
      </c>
      <c r="F20" s="310">
        <f>SUM(F10:F19)</f>
        <v>0</v>
      </c>
      <c r="G20" s="310">
        <f>SUM(G10:G19)</f>
        <v>0</v>
      </c>
      <c r="H20" s="310">
        <f t="shared" ref="H20:J20" si="3">SUM(H10:H19)</f>
        <v>0</v>
      </c>
      <c r="I20" s="310">
        <f t="shared" si="3"/>
        <v>0</v>
      </c>
      <c r="J20" s="310">
        <f t="shared" si="3"/>
        <v>0</v>
      </c>
      <c r="K20" s="310"/>
      <c r="L20" s="310"/>
    </row>
    <row r="21" spans="1:12" ht="19.95" customHeight="1">
      <c r="A21" s="21" t="s">
        <v>350</v>
      </c>
    </row>
    <row r="24" spans="1:12" ht="19.95" customHeight="1">
      <c r="A24" s="21" t="s">
        <v>674</v>
      </c>
    </row>
    <row r="29" spans="1:12" ht="19.95" customHeight="1">
      <c r="A29" s="363" t="s">
        <v>950</v>
      </c>
    </row>
    <row r="30" spans="1:12" ht="19.95" customHeight="1">
      <c r="A30" s="185" t="s">
        <v>675</v>
      </c>
    </row>
    <row r="31" spans="1:12" ht="19.95" customHeight="1">
      <c r="A31" s="185" t="s">
        <v>676</v>
      </c>
    </row>
    <row r="32" spans="1:12" ht="19.95" customHeight="1">
      <c r="A32" s="185" t="s">
        <v>677</v>
      </c>
    </row>
    <row r="33" spans="1:1" ht="19.95" customHeight="1">
      <c r="A33" s="185" t="s">
        <v>678</v>
      </c>
    </row>
    <row r="34" spans="1:1" ht="19.95" customHeight="1">
      <c r="A34" s="185" t="s">
        <v>679</v>
      </c>
    </row>
  </sheetData>
  <mergeCells count="12">
    <mergeCell ref="I7:I8"/>
    <mergeCell ref="J7:J8"/>
    <mergeCell ref="K7:K9"/>
    <mergeCell ref="L7:L9"/>
    <mergeCell ref="A1:L1"/>
    <mergeCell ref="A2:L2"/>
    <mergeCell ref="A7:A9"/>
    <mergeCell ref="C7:C8"/>
    <mergeCell ref="B7:B9"/>
    <mergeCell ref="D7:D8"/>
    <mergeCell ref="E7:G7"/>
    <mergeCell ref="H7:H8"/>
  </mergeCells>
  <phoneticPr fontId="9" type="noConversion"/>
  <dataValidations count="1">
    <dataValidation type="list" allowBlank="1" showInputMessage="1" showErrorMessage="1" sqref="B10:B19">
      <formula1>"√,×"</formula1>
    </dataValidation>
  </dataValidations>
  <hyperlinks>
    <hyperlink ref="L3" location="底稿目录!A1" display="H5A"/>
  </hyperlinks>
  <printOptions horizontalCentered="1"/>
  <pageMargins left="0.70866141732283472" right="0.70866141732283472" top="0.74803149606299213" bottom="0.74803149606299213" header="0.31496062992125984" footer="0.31496062992125984"/>
  <pageSetup paperSize="9" scale="65" orientation="landscape" blackAndWhite="1" r:id="rId1"/>
  <headerFooter>
    <oddFooter>&amp;C&amp;P/&amp;N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B64"/>
  <sheetViews>
    <sheetView view="pageBreakPreview" zoomScaleSheetLayoutView="100" workbookViewId="0">
      <selection sqref="A1:O1"/>
    </sheetView>
  </sheetViews>
  <sheetFormatPr defaultColWidth="9" defaultRowHeight="19.95" customHeight="1"/>
  <cols>
    <col min="1" max="1" width="18.69921875" style="2" customWidth="1"/>
    <col min="2" max="2" width="8.8984375" style="2" customWidth="1"/>
    <col min="3" max="3" width="8.5" style="2" customWidth="1"/>
    <col min="4" max="4" width="8.8984375" style="2" customWidth="1"/>
    <col min="5" max="5" width="8" style="2" customWidth="1"/>
    <col min="6" max="6" width="7.8984375" style="2" customWidth="1"/>
    <col min="7" max="7" width="7.3984375" style="2" customWidth="1"/>
    <col min="8" max="8" width="8.8984375" style="2" customWidth="1"/>
    <col min="9" max="9" width="9.19921875" style="2" customWidth="1"/>
    <col min="10" max="10" width="6.59765625" style="2" customWidth="1"/>
    <col min="11" max="11" width="9.69921875" style="2" customWidth="1"/>
    <col min="12" max="12" width="8.59765625" style="2" customWidth="1"/>
    <col min="13" max="13" width="10.09765625" style="2" customWidth="1"/>
    <col min="14" max="14" width="9.69921875" style="2" customWidth="1"/>
    <col min="15" max="15" width="5.19921875" style="2" bestFit="1" customWidth="1"/>
    <col min="16" max="16384" width="9" style="2"/>
  </cols>
  <sheetData>
    <row r="1" spans="1:28" s="190" customFormat="1" ht="19.95" customHeight="1">
      <c r="A1" s="520" t="s">
        <v>879</v>
      </c>
      <c r="B1" s="520"/>
      <c r="C1" s="520"/>
      <c r="D1" s="520"/>
      <c r="E1" s="520"/>
      <c r="F1" s="520"/>
      <c r="G1" s="520"/>
      <c r="H1" s="520"/>
      <c r="I1" s="520"/>
      <c r="J1" s="520"/>
      <c r="K1" s="520"/>
      <c r="L1" s="520"/>
      <c r="M1" s="520"/>
      <c r="N1" s="520"/>
      <c r="O1" s="520"/>
    </row>
    <row r="2" spans="1:28" s="269" customFormat="1" ht="19.95" customHeight="1">
      <c r="A2" s="521" t="s">
        <v>885</v>
      </c>
      <c r="B2" s="521"/>
      <c r="C2" s="521"/>
      <c r="D2" s="521"/>
      <c r="E2" s="521"/>
      <c r="F2" s="521"/>
      <c r="G2" s="521"/>
      <c r="H2" s="521"/>
      <c r="I2" s="521"/>
      <c r="J2" s="521"/>
      <c r="K2" s="521"/>
      <c r="L2" s="521"/>
      <c r="M2" s="521"/>
      <c r="N2" s="521"/>
      <c r="O2" s="521"/>
    </row>
    <row r="3" spans="1:28" ht="19.95" customHeight="1">
      <c r="A3" s="2" t="str">
        <f>底稿目录!A2</f>
        <v>被审计单位：</v>
      </c>
      <c r="C3" s="14"/>
      <c r="E3" s="2" t="str">
        <f>底稿目录!A4</f>
        <v>编制人：</v>
      </c>
      <c r="G3" s="6"/>
      <c r="J3" s="79" t="str">
        <f>底稿目录!A6</f>
        <v>编制日期：</v>
      </c>
      <c r="K3" s="79"/>
      <c r="N3" s="339" t="s">
        <v>916</v>
      </c>
      <c r="O3" s="197" t="s">
        <v>174</v>
      </c>
    </row>
    <row r="4" spans="1:28" ht="19.95" customHeight="1">
      <c r="A4" s="2" t="str">
        <f>底稿目录!A3</f>
        <v>截止日：202X年12月31日</v>
      </c>
      <c r="C4" s="14"/>
      <c r="E4" s="2" t="str">
        <f>底稿目录!A5</f>
        <v>复核人：</v>
      </c>
      <c r="G4" s="6"/>
      <c r="J4" s="79" t="str">
        <f>底稿目录!A7</f>
        <v>复核日期：</v>
      </c>
      <c r="K4" s="79"/>
      <c r="N4" s="339" t="s">
        <v>917</v>
      </c>
      <c r="O4" s="163"/>
    </row>
    <row r="5" spans="1:28" s="187" customFormat="1" ht="19.95" customHeight="1">
      <c r="A5" s="218" t="s">
        <v>680</v>
      </c>
      <c r="B5" s="435"/>
      <c r="G5" s="477"/>
      <c r="I5" s="477"/>
      <c r="K5" s="423"/>
      <c r="L5" s="418"/>
      <c r="V5" s="419"/>
      <c r="W5" s="419"/>
      <c r="X5" s="419"/>
      <c r="Y5" s="419"/>
      <c r="Z5" s="419"/>
      <c r="AA5" s="419"/>
      <c r="AB5" s="419"/>
    </row>
    <row r="6" spans="1:28" ht="19.95" customHeight="1">
      <c r="A6" s="51" t="s">
        <v>653</v>
      </c>
      <c r="B6" s="52"/>
      <c r="G6" s="6"/>
      <c r="K6" s="74"/>
      <c r="L6" s="103"/>
      <c r="V6" s="110"/>
      <c r="W6" s="110"/>
      <c r="X6" s="110"/>
      <c r="Y6" s="110"/>
      <c r="Z6" s="110"/>
      <c r="AA6" s="110"/>
      <c r="AB6" s="110"/>
    </row>
    <row r="7" spans="1:28" ht="19.95" customHeight="1">
      <c r="A7" s="21" t="s">
        <v>681</v>
      </c>
      <c r="G7" s="6"/>
    </row>
    <row r="8" spans="1:28" ht="19.95" customHeight="1">
      <c r="A8" s="523" t="s">
        <v>337</v>
      </c>
      <c r="B8" s="66" t="s">
        <v>682</v>
      </c>
      <c r="C8" s="66"/>
      <c r="D8" s="66"/>
      <c r="E8" s="66"/>
      <c r="F8" s="66"/>
      <c r="G8" s="67"/>
      <c r="H8" s="66" t="s">
        <v>683</v>
      </c>
      <c r="I8" s="66"/>
      <c r="J8" s="66"/>
      <c r="K8" s="66"/>
      <c r="L8" s="66"/>
      <c r="M8" s="66"/>
      <c r="N8" s="555" t="s">
        <v>684</v>
      </c>
      <c r="O8" s="555" t="s">
        <v>685</v>
      </c>
    </row>
    <row r="9" spans="1:28" ht="24">
      <c r="A9" s="523"/>
      <c r="B9" s="174" t="s">
        <v>686</v>
      </c>
      <c r="C9" s="174" t="s">
        <v>469</v>
      </c>
      <c r="D9" s="174" t="s">
        <v>687</v>
      </c>
      <c r="E9" s="174" t="s">
        <v>469</v>
      </c>
      <c r="F9" s="174" t="s">
        <v>73</v>
      </c>
      <c r="G9" s="174" t="s">
        <v>469</v>
      </c>
      <c r="H9" s="174" t="s">
        <v>688</v>
      </c>
      <c r="I9" s="174" t="s">
        <v>74</v>
      </c>
      <c r="J9" s="174" t="s">
        <v>689</v>
      </c>
      <c r="K9" s="174" t="s">
        <v>690</v>
      </c>
      <c r="L9" s="174" t="s">
        <v>75</v>
      </c>
      <c r="M9" s="174" t="s">
        <v>76</v>
      </c>
      <c r="N9" s="556"/>
      <c r="O9" s="556"/>
    </row>
    <row r="10" spans="1:28" ht="19.95" customHeight="1">
      <c r="A10" s="8"/>
      <c r="B10" s="37"/>
      <c r="C10" s="38"/>
      <c r="D10" s="37"/>
      <c r="E10" s="38"/>
      <c r="F10" s="37"/>
      <c r="G10" s="38"/>
      <c r="H10" s="37"/>
      <c r="I10" s="37"/>
      <c r="J10" s="37"/>
      <c r="K10" s="37"/>
      <c r="L10" s="37"/>
      <c r="M10" s="154">
        <f>SUM(H10:L10)</f>
        <v>0</v>
      </c>
      <c r="N10" s="154">
        <f>IF(B10&gt;0,B10,IF(D10&gt;0,D10,F10))-M10</f>
        <v>0</v>
      </c>
      <c r="O10" s="8"/>
    </row>
    <row r="11" spans="1:28" ht="19.95" customHeight="1">
      <c r="A11" s="8"/>
      <c r="B11" s="37"/>
      <c r="C11" s="38"/>
      <c r="D11" s="37"/>
      <c r="E11" s="38"/>
      <c r="F11" s="37"/>
      <c r="G11" s="38"/>
      <c r="H11" s="37"/>
      <c r="I11" s="37"/>
      <c r="J11" s="37"/>
      <c r="K11" s="37"/>
      <c r="L11" s="37"/>
      <c r="M11" s="154">
        <f>SUM(H11:L11)</f>
        <v>0</v>
      </c>
      <c r="N11" s="154">
        <f>IF(B11&gt;0,B11,IF(D11&gt;0,D11,F11))-M11</f>
        <v>0</v>
      </c>
      <c r="O11" s="8"/>
    </row>
    <row r="12" spans="1:28" ht="19.95" customHeight="1">
      <c r="A12" s="8"/>
      <c r="B12" s="37"/>
      <c r="C12" s="38"/>
      <c r="D12" s="37"/>
      <c r="E12" s="38"/>
      <c r="F12" s="37"/>
      <c r="G12" s="38"/>
      <c r="H12" s="37"/>
      <c r="I12" s="37"/>
      <c r="J12" s="37"/>
      <c r="K12" s="37"/>
      <c r="L12" s="37"/>
      <c r="M12" s="154">
        <f>SUM(H12:L12)</f>
        <v>0</v>
      </c>
      <c r="N12" s="154">
        <f>IF(B12&gt;0,B12,IF(D12&gt;0,D12,F12))-M12</f>
        <v>0</v>
      </c>
      <c r="O12" s="8"/>
    </row>
    <row r="13" spans="1:28" ht="19.95" customHeight="1">
      <c r="A13" s="174" t="s">
        <v>77</v>
      </c>
      <c r="B13" s="310">
        <f>SUM(B10:B12)</f>
        <v>0</v>
      </c>
      <c r="C13" s="310"/>
      <c r="D13" s="310">
        <f t="shared" ref="D13:N13" si="0">SUM(D10:D12)</f>
        <v>0</v>
      </c>
      <c r="E13" s="310"/>
      <c r="F13" s="310">
        <f t="shared" si="0"/>
        <v>0</v>
      </c>
      <c r="G13" s="310"/>
      <c r="H13" s="310">
        <f t="shared" si="0"/>
        <v>0</v>
      </c>
      <c r="I13" s="310">
        <f t="shared" si="0"/>
        <v>0</v>
      </c>
      <c r="J13" s="310">
        <f t="shared" si="0"/>
        <v>0</v>
      </c>
      <c r="K13" s="310">
        <f t="shared" si="0"/>
        <v>0</v>
      </c>
      <c r="L13" s="310">
        <f t="shared" si="0"/>
        <v>0</v>
      </c>
      <c r="M13" s="310">
        <f t="shared" si="0"/>
        <v>0</v>
      </c>
      <c r="N13" s="310">
        <f t="shared" si="0"/>
        <v>0</v>
      </c>
      <c r="O13" s="8"/>
    </row>
    <row r="14" spans="1:28" s="22" customFormat="1" ht="19.95" customHeight="1">
      <c r="A14" s="96" t="s">
        <v>78</v>
      </c>
      <c r="B14" s="94"/>
      <c r="C14" s="94"/>
      <c r="D14" s="94"/>
      <c r="E14" s="94"/>
      <c r="F14" s="94"/>
      <c r="G14" s="94"/>
      <c r="H14" s="94"/>
      <c r="I14" s="94"/>
      <c r="J14" s="94"/>
      <c r="K14" s="94"/>
      <c r="L14" s="94"/>
      <c r="M14" s="94"/>
      <c r="N14" s="94"/>
      <c r="O14" s="95"/>
    </row>
    <row r="15" spans="1:28" ht="19.95" customHeight="1">
      <c r="A15" s="21" t="s">
        <v>691</v>
      </c>
      <c r="G15" s="6"/>
    </row>
    <row r="16" spans="1:28" ht="19.95" customHeight="1">
      <c r="A16" s="555" t="s">
        <v>79</v>
      </c>
      <c r="B16" s="66" t="s">
        <v>692</v>
      </c>
      <c r="C16" s="66"/>
      <c r="D16" s="66"/>
      <c r="E16" s="66"/>
      <c r="F16" s="66"/>
      <c r="G16" s="66" t="s">
        <v>693</v>
      </c>
      <c r="H16" s="66"/>
      <c r="I16" s="555" t="s">
        <v>137</v>
      </c>
      <c r="J16" s="555" t="s">
        <v>138</v>
      </c>
      <c r="K16" s="555" t="s">
        <v>139</v>
      </c>
      <c r="L16" s="592" t="s">
        <v>80</v>
      </c>
      <c r="M16" s="587"/>
      <c r="N16" s="555" t="s">
        <v>81</v>
      </c>
      <c r="O16" s="555" t="s">
        <v>72</v>
      </c>
    </row>
    <row r="17" spans="1:15" ht="19.95" customHeight="1">
      <c r="A17" s="556"/>
      <c r="B17" s="174" t="s">
        <v>694</v>
      </c>
      <c r="C17" s="174" t="s">
        <v>82</v>
      </c>
      <c r="D17" s="174" t="s">
        <v>695</v>
      </c>
      <c r="E17" s="174" t="s">
        <v>696</v>
      </c>
      <c r="F17" s="174" t="s">
        <v>697</v>
      </c>
      <c r="G17" s="174" t="s">
        <v>83</v>
      </c>
      <c r="H17" s="174" t="s">
        <v>698</v>
      </c>
      <c r="I17" s="556"/>
      <c r="J17" s="556"/>
      <c r="K17" s="556"/>
      <c r="L17" s="593"/>
      <c r="M17" s="594"/>
      <c r="N17" s="556"/>
      <c r="O17" s="556"/>
    </row>
    <row r="18" spans="1:15" ht="19.95" customHeight="1">
      <c r="A18" s="8" t="s">
        <v>84</v>
      </c>
      <c r="B18" s="37"/>
      <c r="C18" s="37"/>
      <c r="D18" s="37"/>
      <c r="E18" s="37"/>
      <c r="F18" s="37"/>
      <c r="G18" s="155">
        <f>F18</f>
        <v>0</v>
      </c>
      <c r="H18" s="39"/>
      <c r="I18" s="39"/>
      <c r="J18" s="39"/>
      <c r="K18" s="39"/>
      <c r="L18" s="40"/>
      <c r="M18" s="41"/>
      <c r="N18" s="105"/>
      <c r="O18" s="589"/>
    </row>
    <row r="19" spans="1:15" ht="19.95" customHeight="1">
      <c r="A19" s="8" t="s">
        <v>699</v>
      </c>
      <c r="B19" s="319" t="e">
        <f>1/(1+$K$23)^1</f>
        <v>#DIV/0!</v>
      </c>
      <c r="C19" s="319" t="e">
        <f>1/(1+$K$23)^2</f>
        <v>#DIV/0!</v>
      </c>
      <c r="D19" s="319" t="e">
        <f>1/(1+$K$23)^3</f>
        <v>#DIV/0!</v>
      </c>
      <c r="E19" s="319" t="e">
        <f>1/(1+$K$23)^4</f>
        <v>#DIV/0!</v>
      </c>
      <c r="F19" s="319" t="e">
        <f>1/(1+$K$23)^5</f>
        <v>#DIV/0!</v>
      </c>
      <c r="G19" s="320" t="e">
        <f>(1+H18)/((K23-H18)*(1+K23)^5)</f>
        <v>#DIV/0!</v>
      </c>
      <c r="H19" s="111" t="s">
        <v>700</v>
      </c>
      <c r="I19" s="37"/>
      <c r="J19" s="106"/>
      <c r="K19" s="107"/>
      <c r="L19" s="108"/>
      <c r="M19" s="109"/>
      <c r="N19" s="105"/>
      <c r="O19" s="590"/>
    </row>
    <row r="20" spans="1:15" ht="19.95" customHeight="1">
      <c r="A20" s="8" t="s">
        <v>85</v>
      </c>
      <c r="B20" s="154" t="e">
        <f t="shared" ref="B20:G20" si="1">B18*B19</f>
        <v>#DIV/0!</v>
      </c>
      <c r="C20" s="154" t="e">
        <f t="shared" si="1"/>
        <v>#DIV/0!</v>
      </c>
      <c r="D20" s="154" t="e">
        <f t="shared" si="1"/>
        <v>#DIV/0!</v>
      </c>
      <c r="E20" s="154" t="e">
        <f t="shared" si="1"/>
        <v>#DIV/0!</v>
      </c>
      <c r="F20" s="154" t="e">
        <f t="shared" si="1"/>
        <v>#DIV/0!</v>
      </c>
      <c r="G20" s="154" t="e">
        <f t="shared" si="1"/>
        <v>#DIV/0!</v>
      </c>
      <c r="H20" s="111" t="s">
        <v>86</v>
      </c>
      <c r="I20" s="37"/>
      <c r="J20" s="106"/>
      <c r="K20" s="107"/>
      <c r="L20" s="108"/>
      <c r="M20" s="109"/>
      <c r="N20" s="151" t="e">
        <f>SUM(B20:G20)</f>
        <v>#DIV/0!</v>
      </c>
      <c r="O20" s="591"/>
    </row>
    <row r="21" spans="1:15" ht="19.95" customHeight="1">
      <c r="A21" s="555" t="s">
        <v>87</v>
      </c>
      <c r="B21" s="174" t="s">
        <v>88</v>
      </c>
      <c r="C21" s="555" t="s">
        <v>89</v>
      </c>
      <c r="D21" s="555" t="s">
        <v>90</v>
      </c>
      <c r="E21" s="555" t="s">
        <v>91</v>
      </c>
      <c r="F21" s="555" t="s">
        <v>92</v>
      </c>
      <c r="G21" s="555" t="s">
        <v>701</v>
      </c>
      <c r="H21" s="555" t="s">
        <v>702</v>
      </c>
      <c r="I21" s="555" t="s">
        <v>703</v>
      </c>
      <c r="J21" s="555" t="s">
        <v>704</v>
      </c>
      <c r="K21" s="555" t="s">
        <v>705</v>
      </c>
      <c r="L21" s="561" t="s">
        <v>706</v>
      </c>
      <c r="M21" s="563"/>
      <c r="N21" s="560" t="s">
        <v>707</v>
      </c>
      <c r="O21" s="560" t="s">
        <v>72</v>
      </c>
    </row>
    <row r="22" spans="1:15" ht="19.95" customHeight="1">
      <c r="A22" s="560"/>
      <c r="B22" s="174" t="s">
        <v>708</v>
      </c>
      <c r="C22" s="560"/>
      <c r="D22" s="560"/>
      <c r="E22" s="560"/>
      <c r="F22" s="560"/>
      <c r="G22" s="560"/>
      <c r="H22" s="560"/>
      <c r="I22" s="560"/>
      <c r="J22" s="560"/>
      <c r="K22" s="560"/>
      <c r="L22" s="174" t="s">
        <v>709</v>
      </c>
      <c r="M22" s="112" t="s">
        <v>710</v>
      </c>
      <c r="N22" s="560"/>
      <c r="O22" s="560"/>
    </row>
    <row r="23" spans="1:15" ht="19.95" customHeight="1">
      <c r="A23" s="8" t="s">
        <v>711</v>
      </c>
      <c r="B23" s="42"/>
      <c r="C23" s="37"/>
      <c r="D23" s="37"/>
      <c r="E23" s="26"/>
      <c r="F23" s="26"/>
      <c r="G23" s="38"/>
      <c r="H23" s="26"/>
      <c r="I23" s="318">
        <f>F23+G23*(H23-F23)</f>
        <v>0</v>
      </c>
      <c r="J23" s="318" t="e">
        <f>((C23*E23*(1-B23)+D23*I23))/(C23+D23)</f>
        <v>#DIV/0!</v>
      </c>
      <c r="K23" s="318" t="e">
        <f>J23/(1-(B23+L23))</f>
        <v>#DIV/0!</v>
      </c>
      <c r="L23" s="26"/>
      <c r="M23" s="43"/>
      <c r="N23" s="151" t="e">
        <f>MAX(N13,N20)</f>
        <v>#DIV/0!</v>
      </c>
      <c r="O23" s="42"/>
    </row>
    <row r="24" spans="1:15" s="22" customFormat="1" ht="19.95" customHeight="1">
      <c r="A24" s="96" t="s">
        <v>78</v>
      </c>
      <c r="B24" s="94"/>
      <c r="C24" s="94"/>
      <c r="D24" s="94"/>
      <c r="E24" s="94"/>
      <c r="F24" s="94"/>
      <c r="G24" s="94"/>
      <c r="H24" s="94"/>
      <c r="I24" s="94"/>
      <c r="J24" s="94"/>
      <c r="K24" s="94"/>
      <c r="L24" s="94"/>
      <c r="M24" s="94"/>
      <c r="N24" s="94"/>
      <c r="O24" s="95"/>
    </row>
    <row r="25" spans="1:15" s="22" customFormat="1" ht="19.95" customHeight="1">
      <c r="A25" s="21" t="s">
        <v>712</v>
      </c>
    </row>
    <row r="26" spans="1:15" s="22" customFormat="1" ht="19.95" customHeight="1">
      <c r="A26" s="68"/>
      <c r="B26" s="156" t="e">
        <f>N23</f>
        <v>#DIV/0!</v>
      </c>
      <c r="C26" s="22" t="s">
        <v>713</v>
      </c>
    </row>
    <row r="27" spans="1:15" s="22" customFormat="1" ht="19.95" customHeight="1">
      <c r="A27" s="170" t="s">
        <v>350</v>
      </c>
      <c r="B27" s="54"/>
    </row>
    <row r="28" spans="1:15" s="22" customFormat="1" ht="19.95" customHeight="1">
      <c r="A28" s="157"/>
      <c r="B28" s="54"/>
    </row>
    <row r="29" spans="1:15" s="22" customFormat="1" ht="19.95" customHeight="1">
      <c r="A29" s="170" t="s">
        <v>140</v>
      </c>
      <c r="B29" s="54"/>
    </row>
    <row r="30" spans="1:15" s="22" customFormat="1" ht="19.95" customHeight="1">
      <c r="A30" s="68"/>
      <c r="B30" s="54"/>
    </row>
    <row r="31" spans="1:15" s="22" customFormat="1" ht="19.95" customHeight="1"/>
    <row r="32" spans="1:15" s="22" customFormat="1" ht="19.95" customHeight="1">
      <c r="A32" s="366" t="s">
        <v>949</v>
      </c>
    </row>
    <row r="33" spans="1:1" s="22" customFormat="1" ht="19.95" customHeight="1">
      <c r="A33" s="113" t="s">
        <v>714</v>
      </c>
    </row>
    <row r="34" spans="1:1" s="22" customFormat="1" ht="19.95" customHeight="1">
      <c r="A34" s="113"/>
    </row>
    <row r="35" spans="1:1" s="22" customFormat="1" ht="19.95" customHeight="1">
      <c r="A35" s="113" t="s">
        <v>715</v>
      </c>
    </row>
    <row r="36" spans="1:1" s="22" customFormat="1" ht="19.95" customHeight="1">
      <c r="A36" s="113" t="s">
        <v>716</v>
      </c>
    </row>
    <row r="37" spans="1:1" s="22" customFormat="1" ht="19.95" customHeight="1">
      <c r="A37" s="113" t="s">
        <v>717</v>
      </c>
    </row>
    <row r="38" spans="1:1" s="22" customFormat="1" ht="19.95" customHeight="1">
      <c r="A38" s="113" t="s">
        <v>718</v>
      </c>
    </row>
    <row r="39" spans="1:1" s="22" customFormat="1" ht="19.95" customHeight="1">
      <c r="A39" s="113" t="s">
        <v>719</v>
      </c>
    </row>
    <row r="40" spans="1:1" s="22" customFormat="1" ht="19.95" customHeight="1"/>
    <row r="41" spans="1:1" s="22" customFormat="1" ht="19.95" customHeight="1">
      <c r="A41" s="113" t="s">
        <v>720</v>
      </c>
    </row>
    <row r="42" spans="1:1" s="22" customFormat="1" ht="19.95" customHeight="1">
      <c r="A42" s="113" t="s">
        <v>721</v>
      </c>
    </row>
    <row r="43" spans="1:1" s="22" customFormat="1" ht="19.95" customHeight="1">
      <c r="A43" s="113" t="s">
        <v>722</v>
      </c>
    </row>
    <row r="44" spans="1:1" s="22" customFormat="1" ht="19.95" customHeight="1">
      <c r="A44" s="113" t="s">
        <v>723</v>
      </c>
    </row>
    <row r="45" spans="1:1" s="22" customFormat="1" ht="19.95" customHeight="1">
      <c r="A45" s="113" t="s">
        <v>724</v>
      </c>
    </row>
    <row r="46" spans="1:1" s="22" customFormat="1" ht="19.95" customHeight="1">
      <c r="A46" s="113" t="s">
        <v>725</v>
      </c>
    </row>
    <row r="47" spans="1:1" s="22" customFormat="1" ht="19.95" customHeight="1">
      <c r="A47" s="113" t="s">
        <v>726</v>
      </c>
    </row>
    <row r="48" spans="1:1" s="22" customFormat="1" ht="19.95" customHeight="1">
      <c r="A48" s="113" t="s">
        <v>727</v>
      </c>
    </row>
    <row r="49" spans="1:5" s="22" customFormat="1" ht="19.95" customHeight="1">
      <c r="A49" s="113" t="s">
        <v>728</v>
      </c>
    </row>
    <row r="50" spans="1:5" s="22" customFormat="1" ht="19.95" customHeight="1">
      <c r="A50" s="113" t="s">
        <v>729</v>
      </c>
    </row>
    <row r="51" spans="1:5" s="22" customFormat="1" ht="19.95" customHeight="1">
      <c r="A51" s="113" t="s">
        <v>93</v>
      </c>
    </row>
    <row r="52" spans="1:5" s="22" customFormat="1" ht="19.95" customHeight="1">
      <c r="E52" s="28"/>
    </row>
    <row r="53" spans="1:5" s="22" customFormat="1" ht="19.95" customHeight="1"/>
    <row r="54" spans="1:5" s="22" customFormat="1" ht="19.95" customHeight="1"/>
    <row r="55" spans="1:5" s="22" customFormat="1" ht="19.95" customHeight="1"/>
    <row r="56" spans="1:5" s="22" customFormat="1" ht="19.95" customHeight="1">
      <c r="A56" s="113"/>
    </row>
    <row r="57" spans="1:5" s="22" customFormat="1" ht="19.95" customHeight="1"/>
    <row r="58" spans="1:5" s="22" customFormat="1" ht="19.95" customHeight="1"/>
    <row r="59" spans="1:5" s="22" customFormat="1" ht="19.95" customHeight="1">
      <c r="A59" s="188" t="s">
        <v>637</v>
      </c>
    </row>
    <row r="60" spans="1:5" s="22" customFormat="1" ht="19.95" customHeight="1">
      <c r="A60" s="188" t="s">
        <v>675</v>
      </c>
    </row>
    <row r="61" spans="1:5" s="22" customFormat="1" ht="19.95" customHeight="1">
      <c r="A61" s="188" t="s">
        <v>676</v>
      </c>
    </row>
    <row r="62" spans="1:5" s="22" customFormat="1" ht="19.95" customHeight="1">
      <c r="A62" s="188" t="s">
        <v>677</v>
      </c>
    </row>
    <row r="63" spans="1:5" s="22" customFormat="1" ht="19.95" customHeight="1">
      <c r="A63" s="188" t="s">
        <v>678</v>
      </c>
    </row>
    <row r="64" spans="1:5" ht="19.95" customHeight="1">
      <c r="A64" s="185" t="s">
        <v>679</v>
      </c>
    </row>
  </sheetData>
  <mergeCells count="26">
    <mergeCell ref="H21:H22"/>
    <mergeCell ref="I21:I22"/>
    <mergeCell ref="J21:J22"/>
    <mergeCell ref="K21:K22"/>
    <mergeCell ref="L21:M21"/>
    <mergeCell ref="N16:N17"/>
    <mergeCell ref="O16:O17"/>
    <mergeCell ref="O18:O20"/>
    <mergeCell ref="A21:A22"/>
    <mergeCell ref="C21:C22"/>
    <mergeCell ref="D21:D22"/>
    <mergeCell ref="E21:E22"/>
    <mergeCell ref="F21:F22"/>
    <mergeCell ref="G21:G22"/>
    <mergeCell ref="A16:A17"/>
    <mergeCell ref="I16:I17"/>
    <mergeCell ref="J16:J17"/>
    <mergeCell ref="K16:K17"/>
    <mergeCell ref="L16:M17"/>
    <mergeCell ref="O21:O22"/>
    <mergeCell ref="N21:N22"/>
    <mergeCell ref="A1:O1"/>
    <mergeCell ref="A2:O2"/>
    <mergeCell ref="A8:A9"/>
    <mergeCell ref="N8:N9"/>
    <mergeCell ref="O8:O9"/>
  </mergeCells>
  <phoneticPr fontId="9" type="noConversion"/>
  <dataValidations count="2">
    <dataValidation allowBlank="1" showInputMessage="1" showErrorMessage="1" prompt="可使用万德（Wind）的BETA计算器计算β系数。" sqref="G23"/>
    <dataValidation allowBlank="1" showInputMessage="1" showErrorMessage="1" prompt="可使用万德（Wind）的WACC计算器取数。" sqref="H23 E23:F23"/>
  </dataValidations>
  <hyperlinks>
    <hyperlink ref="O3" location="底稿目录!A1" display="H5A"/>
  </hyperlinks>
  <printOptions horizontalCentered="1"/>
  <pageMargins left="0.70866141732283472" right="0.70866141732283472" top="0.74803149606299213" bottom="0.74803149606299213" header="0.31496062992125984" footer="0.31496062992125984"/>
  <pageSetup paperSize="9" scale="86" fitToHeight="2" orientation="landscape" blackAndWhite="1" r:id="rId1"/>
  <headerFooter>
    <oddFooter>&amp;C&amp;P/&amp;N</oddFoot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U91"/>
  <sheetViews>
    <sheetView view="pageBreakPreview" zoomScaleSheetLayoutView="100" workbookViewId="0">
      <selection sqref="A1:U1"/>
    </sheetView>
  </sheetViews>
  <sheetFormatPr defaultColWidth="9" defaultRowHeight="19.95" customHeight="1"/>
  <cols>
    <col min="1" max="2" width="11" style="2" customWidth="1"/>
    <col min="3" max="3" width="9" style="2"/>
    <col min="4" max="4" width="14.19921875" style="2" customWidth="1"/>
    <col min="5" max="5" width="11.3984375" style="2" bestFit="1" customWidth="1"/>
    <col min="6" max="6" width="9" style="2"/>
    <col min="7" max="7" width="9.09765625" style="2" customWidth="1"/>
    <col min="8" max="9" width="11.3984375" style="2" customWidth="1"/>
    <col min="10" max="11" width="12.8984375" style="2" customWidth="1"/>
    <col min="12" max="12" width="8" style="2" customWidth="1"/>
    <col min="13" max="13" width="11.3984375" style="2" bestFit="1" customWidth="1"/>
    <col min="14" max="16" width="8" style="2" customWidth="1"/>
    <col min="17" max="17" width="10" style="2" customWidth="1"/>
    <col min="18" max="18" width="7.796875" style="2" customWidth="1"/>
    <col min="19" max="20" width="9" style="2"/>
    <col min="21" max="21" width="9.09765625" style="2" customWidth="1"/>
    <col min="22" max="16384" width="9" style="2"/>
  </cols>
  <sheetData>
    <row r="1" spans="1:21" s="189" customFormat="1" ht="19.95" customHeight="1">
      <c r="A1" s="545" t="s">
        <v>879</v>
      </c>
      <c r="B1" s="545"/>
      <c r="C1" s="545"/>
      <c r="D1" s="545"/>
      <c r="E1" s="545"/>
      <c r="F1" s="545"/>
      <c r="G1" s="545"/>
      <c r="H1" s="545"/>
      <c r="I1" s="545"/>
      <c r="J1" s="545"/>
      <c r="K1" s="545"/>
      <c r="L1" s="545"/>
      <c r="M1" s="545"/>
      <c r="N1" s="545"/>
      <c r="O1" s="545"/>
      <c r="P1" s="545"/>
      <c r="Q1" s="545"/>
      <c r="R1" s="545"/>
      <c r="S1" s="545"/>
      <c r="T1" s="545"/>
      <c r="U1" s="545"/>
    </row>
    <row r="2" spans="1:21" s="268" customFormat="1" ht="19.95" customHeight="1">
      <c r="A2" s="546" t="s">
        <v>884</v>
      </c>
      <c r="B2" s="546"/>
      <c r="C2" s="546"/>
      <c r="D2" s="546"/>
      <c r="E2" s="546"/>
      <c r="F2" s="546"/>
      <c r="G2" s="546"/>
      <c r="H2" s="546"/>
      <c r="I2" s="546"/>
      <c r="J2" s="546"/>
      <c r="K2" s="546"/>
      <c r="L2" s="546"/>
      <c r="M2" s="546"/>
      <c r="N2" s="546"/>
      <c r="O2" s="546"/>
      <c r="P2" s="546"/>
      <c r="Q2" s="546"/>
      <c r="R2" s="546"/>
      <c r="S2" s="546"/>
      <c r="T2" s="546"/>
      <c r="U2" s="546"/>
    </row>
    <row r="3" spans="1:21" ht="19.95" customHeight="1">
      <c r="A3" s="2" t="str">
        <f>底稿目录!A2</f>
        <v>被审计单位：</v>
      </c>
      <c r="C3" s="14"/>
      <c r="G3" s="2" t="str">
        <f>底稿目录!A4</f>
        <v>编制人：</v>
      </c>
      <c r="L3" s="2" t="str">
        <f>底稿目录!A6</f>
        <v>编制日期：</v>
      </c>
      <c r="T3" s="339" t="s">
        <v>916</v>
      </c>
      <c r="U3" s="197" t="s">
        <v>176</v>
      </c>
    </row>
    <row r="4" spans="1:21" ht="19.95" customHeight="1">
      <c r="A4" s="2" t="str">
        <f>底稿目录!A3</f>
        <v>截止日：202X年12月31日</v>
      </c>
      <c r="C4" s="14"/>
      <c r="G4" s="2" t="str">
        <f>底稿目录!A5</f>
        <v>复核人：</v>
      </c>
      <c r="L4" s="2" t="str">
        <f>底稿目录!A7</f>
        <v>复核日期：</v>
      </c>
      <c r="T4" s="339" t="s">
        <v>917</v>
      </c>
      <c r="U4" s="163"/>
    </row>
    <row r="5" spans="1:21" s="434" customFormat="1" ht="19.95" customHeight="1">
      <c r="A5" s="218" t="s">
        <v>730</v>
      </c>
      <c r="B5" s="218"/>
      <c r="C5" s="219"/>
      <c r="D5" s="219"/>
      <c r="E5" s="219"/>
      <c r="F5" s="219"/>
      <c r="G5" s="479" t="s">
        <v>731</v>
      </c>
      <c r="H5" s="219"/>
      <c r="I5" s="219"/>
      <c r="J5" s="219"/>
      <c r="K5" s="219"/>
      <c r="L5" s="219"/>
      <c r="M5" s="219"/>
      <c r="N5" s="219"/>
      <c r="O5" s="219"/>
      <c r="P5" s="219"/>
      <c r="Q5" s="219"/>
      <c r="R5" s="219"/>
      <c r="S5" s="187"/>
    </row>
    <row r="6" spans="1:21" s="18" customFormat="1" ht="19.95" customHeight="1">
      <c r="A6" s="48" t="s">
        <v>732</v>
      </c>
      <c r="B6" s="217"/>
      <c r="D6" s="217"/>
      <c r="E6" s="217"/>
      <c r="F6" s="217"/>
      <c r="G6" s="217"/>
      <c r="H6" s="217"/>
      <c r="I6" s="217"/>
      <c r="J6" s="217"/>
      <c r="K6" s="217"/>
      <c r="L6" s="217"/>
      <c r="M6" s="217"/>
      <c r="N6" s="217"/>
      <c r="O6" s="217"/>
      <c r="P6" s="217"/>
      <c r="Q6" s="217"/>
      <c r="R6" s="217"/>
      <c r="S6" s="2"/>
    </row>
    <row r="7" spans="1:21" ht="19.95" customHeight="1">
      <c r="A7" s="595" t="s">
        <v>733</v>
      </c>
      <c r="B7" s="595" t="s">
        <v>734</v>
      </c>
      <c r="C7" s="595" t="s">
        <v>735</v>
      </c>
      <c r="D7" s="595"/>
      <c r="E7" s="595"/>
      <c r="F7" s="595"/>
      <c r="G7" s="595"/>
      <c r="H7" s="595"/>
      <c r="I7" s="595"/>
      <c r="J7" s="595"/>
      <c r="K7" s="595"/>
      <c r="L7" s="596" t="s">
        <v>736</v>
      </c>
      <c r="M7" s="597"/>
      <c r="N7" s="597"/>
      <c r="O7" s="597"/>
      <c r="P7" s="597"/>
      <c r="Q7" s="598"/>
      <c r="R7" s="595" t="s">
        <v>737</v>
      </c>
      <c r="S7" s="595"/>
      <c r="T7" s="595"/>
      <c r="U7" s="595"/>
    </row>
    <row r="8" spans="1:21" ht="29.4" customHeight="1">
      <c r="A8" s="595"/>
      <c r="B8" s="595"/>
      <c r="C8" s="233" t="s">
        <v>738</v>
      </c>
      <c r="D8" s="233" t="s">
        <v>739</v>
      </c>
      <c r="E8" s="233" t="s">
        <v>740</v>
      </c>
      <c r="F8" s="233" t="s">
        <v>741</v>
      </c>
      <c r="G8" s="233" t="s">
        <v>742</v>
      </c>
      <c r="H8" s="233" t="s">
        <v>743</v>
      </c>
      <c r="I8" s="233" t="s">
        <v>744</v>
      </c>
      <c r="J8" s="233" t="s">
        <v>745</v>
      </c>
      <c r="K8" s="233" t="s">
        <v>746</v>
      </c>
      <c r="L8" s="233" t="s">
        <v>742</v>
      </c>
      <c r="M8" s="233" t="s">
        <v>747</v>
      </c>
      <c r="N8" s="233" t="s">
        <v>748</v>
      </c>
      <c r="O8" s="234" t="s">
        <v>749</v>
      </c>
      <c r="P8" s="233" t="s">
        <v>750</v>
      </c>
      <c r="Q8" s="233" t="s">
        <v>751</v>
      </c>
      <c r="R8" s="198" t="s">
        <v>752</v>
      </c>
      <c r="S8" s="233" t="s">
        <v>753</v>
      </c>
      <c r="T8" s="233" t="s">
        <v>754</v>
      </c>
      <c r="U8" s="233" t="s">
        <v>755</v>
      </c>
    </row>
    <row r="9" spans="1:21" ht="19.95" customHeight="1">
      <c r="A9" s="312"/>
      <c r="B9" s="257"/>
      <c r="C9" s="257"/>
      <c r="D9" s="257"/>
      <c r="E9" s="257"/>
      <c r="F9" s="257"/>
      <c r="G9" s="321"/>
      <c r="H9" s="322"/>
      <c r="I9" s="257"/>
      <c r="J9" s="257"/>
      <c r="K9" s="312"/>
      <c r="L9" s="321"/>
      <c r="M9" s="257"/>
      <c r="N9" s="321"/>
      <c r="O9" s="321"/>
      <c r="P9" s="325"/>
      <c r="Q9" s="154">
        <f>N9-O9-P9</f>
        <v>0</v>
      </c>
      <c r="R9" s="324"/>
      <c r="S9" s="321"/>
      <c r="T9" s="321"/>
      <c r="U9" s="257"/>
    </row>
    <row r="10" spans="1:21" ht="19.95" customHeight="1">
      <c r="A10" s="312"/>
      <c r="B10" s="257"/>
      <c r="C10" s="257"/>
      <c r="D10" s="257"/>
      <c r="E10" s="257"/>
      <c r="F10" s="257"/>
      <c r="G10" s="321"/>
      <c r="H10" s="322"/>
      <c r="I10" s="257"/>
      <c r="J10" s="257"/>
      <c r="K10" s="312"/>
      <c r="L10" s="321"/>
      <c r="M10" s="257"/>
      <c r="N10" s="321"/>
      <c r="O10" s="321"/>
      <c r="P10" s="325"/>
      <c r="Q10" s="154">
        <f t="shared" ref="Q10:Q16" si="0">N10-O10-P10</f>
        <v>0</v>
      </c>
      <c r="R10" s="324"/>
      <c r="S10" s="321"/>
      <c r="T10" s="321"/>
      <c r="U10" s="257"/>
    </row>
    <row r="11" spans="1:21" ht="19.95" customHeight="1">
      <c r="A11" s="312"/>
      <c r="B11" s="257"/>
      <c r="C11" s="257"/>
      <c r="D11" s="257"/>
      <c r="E11" s="257"/>
      <c r="F11" s="257"/>
      <c r="G11" s="321"/>
      <c r="H11" s="322"/>
      <c r="I11" s="257"/>
      <c r="J11" s="257"/>
      <c r="K11" s="312"/>
      <c r="L11" s="321"/>
      <c r="M11" s="257"/>
      <c r="N11" s="321"/>
      <c r="O11" s="321"/>
      <c r="P11" s="325"/>
      <c r="Q11" s="154">
        <f t="shared" si="0"/>
        <v>0</v>
      </c>
      <c r="R11" s="324"/>
      <c r="S11" s="321"/>
      <c r="T11" s="321"/>
      <c r="U11" s="257"/>
    </row>
    <row r="12" spans="1:21" ht="19.95" customHeight="1">
      <c r="A12" s="312"/>
      <c r="B12" s="257"/>
      <c r="C12" s="257"/>
      <c r="D12" s="257"/>
      <c r="E12" s="257"/>
      <c r="F12" s="257"/>
      <c r="G12" s="321"/>
      <c r="H12" s="322"/>
      <c r="I12" s="257"/>
      <c r="J12" s="257"/>
      <c r="K12" s="312"/>
      <c r="L12" s="321"/>
      <c r="M12" s="257"/>
      <c r="N12" s="321"/>
      <c r="O12" s="321"/>
      <c r="P12" s="325"/>
      <c r="Q12" s="154">
        <f t="shared" si="0"/>
        <v>0</v>
      </c>
      <c r="R12" s="324"/>
      <c r="S12" s="321"/>
      <c r="T12" s="321"/>
      <c r="U12" s="257"/>
    </row>
    <row r="13" spans="1:21" ht="19.95" customHeight="1">
      <c r="A13" s="312"/>
      <c r="B13" s="257"/>
      <c r="C13" s="257"/>
      <c r="D13" s="257"/>
      <c r="E13" s="257"/>
      <c r="F13" s="257"/>
      <c r="G13" s="321"/>
      <c r="H13" s="322"/>
      <c r="I13" s="257"/>
      <c r="J13" s="257"/>
      <c r="K13" s="312"/>
      <c r="L13" s="321"/>
      <c r="M13" s="257"/>
      <c r="N13" s="321"/>
      <c r="O13" s="321"/>
      <c r="P13" s="325"/>
      <c r="Q13" s="154">
        <f t="shared" si="0"/>
        <v>0</v>
      </c>
      <c r="R13" s="324"/>
      <c r="S13" s="321"/>
      <c r="T13" s="321"/>
      <c r="U13" s="257"/>
    </row>
    <row r="14" spans="1:21" ht="19.95" customHeight="1">
      <c r="A14" s="312"/>
      <c r="B14" s="257"/>
      <c r="C14" s="257"/>
      <c r="D14" s="257"/>
      <c r="E14" s="257"/>
      <c r="F14" s="257"/>
      <c r="G14" s="321"/>
      <c r="H14" s="322"/>
      <c r="I14" s="257"/>
      <c r="J14" s="257"/>
      <c r="K14" s="312"/>
      <c r="L14" s="321"/>
      <c r="M14" s="257"/>
      <c r="N14" s="321"/>
      <c r="O14" s="321"/>
      <c r="P14" s="325"/>
      <c r="Q14" s="154">
        <f t="shared" si="0"/>
        <v>0</v>
      </c>
      <c r="R14" s="324"/>
      <c r="S14" s="321"/>
      <c r="T14" s="321"/>
      <c r="U14" s="257"/>
    </row>
    <row r="15" spans="1:21" ht="19.95" customHeight="1">
      <c r="A15" s="312"/>
      <c r="B15" s="257"/>
      <c r="C15" s="257"/>
      <c r="D15" s="257"/>
      <c r="E15" s="257"/>
      <c r="F15" s="257"/>
      <c r="G15" s="321"/>
      <c r="H15" s="322"/>
      <c r="I15" s="257"/>
      <c r="J15" s="257"/>
      <c r="K15" s="312"/>
      <c r="L15" s="321"/>
      <c r="M15" s="257"/>
      <c r="N15" s="321"/>
      <c r="O15" s="321"/>
      <c r="P15" s="325"/>
      <c r="Q15" s="154">
        <f t="shared" si="0"/>
        <v>0</v>
      </c>
      <c r="R15" s="324"/>
      <c r="S15" s="321"/>
      <c r="T15" s="321"/>
      <c r="U15" s="257"/>
    </row>
    <row r="16" spans="1:21" ht="19.95" customHeight="1">
      <c r="A16" s="312"/>
      <c r="B16" s="257"/>
      <c r="C16" s="257"/>
      <c r="D16" s="257"/>
      <c r="E16" s="257"/>
      <c r="F16" s="257"/>
      <c r="G16" s="321"/>
      <c r="H16" s="322"/>
      <c r="I16" s="257"/>
      <c r="J16" s="257"/>
      <c r="K16" s="312"/>
      <c r="L16" s="321"/>
      <c r="M16" s="257"/>
      <c r="N16" s="321"/>
      <c r="O16" s="321"/>
      <c r="P16" s="325"/>
      <c r="Q16" s="154">
        <f t="shared" si="0"/>
        <v>0</v>
      </c>
      <c r="R16" s="324"/>
      <c r="S16" s="321"/>
      <c r="T16" s="321"/>
      <c r="U16" s="257"/>
    </row>
    <row r="17" spans="1:21" ht="19.95" customHeight="1">
      <c r="A17" s="595" t="s">
        <v>345</v>
      </c>
      <c r="B17" s="595"/>
      <c r="C17" s="595"/>
      <c r="D17" s="595"/>
      <c r="E17" s="595"/>
      <c r="F17" s="595"/>
      <c r="G17" s="595"/>
      <c r="H17" s="595"/>
      <c r="I17" s="595"/>
      <c r="J17" s="595"/>
      <c r="K17" s="595"/>
      <c r="L17" s="323">
        <f>SUM(L9:L16)</f>
        <v>0</v>
      </c>
      <c r="M17" s="323"/>
      <c r="N17" s="323">
        <f t="shared" ref="N17:P17" si="1">SUM(N9:N16)</f>
        <v>0</v>
      </c>
      <c r="O17" s="323">
        <f t="shared" si="1"/>
        <v>0</v>
      </c>
      <c r="P17" s="323">
        <f t="shared" si="1"/>
        <v>0</v>
      </c>
      <c r="Q17" s="310">
        <f>N17-O17-P17</f>
        <v>0</v>
      </c>
      <c r="R17" s="323"/>
      <c r="S17" s="323"/>
      <c r="T17" s="323"/>
      <c r="U17" s="323"/>
    </row>
    <row r="18" spans="1:21" ht="19.95" customHeight="1">
      <c r="A18" s="48" t="s">
        <v>756</v>
      </c>
      <c r="B18" s="48"/>
      <c r="C18" s="236"/>
      <c r="D18" s="236"/>
      <c r="E18" s="236"/>
      <c r="F18" s="236"/>
      <c r="G18" s="236"/>
      <c r="H18" s="236"/>
      <c r="I18" s="236"/>
      <c r="J18" s="236"/>
      <c r="K18" s="236"/>
      <c r="L18" s="236"/>
      <c r="M18" s="236"/>
      <c r="N18" s="236"/>
      <c r="O18" s="236"/>
      <c r="P18" s="236"/>
      <c r="Q18" s="236"/>
      <c r="R18" s="236"/>
    </row>
    <row r="19" spans="1:21" ht="19.95" customHeight="1">
      <c r="A19" s="50">
        <v>1</v>
      </c>
      <c r="B19" s="237" t="s">
        <v>757</v>
      </c>
      <c r="D19" s="236"/>
      <c r="E19" s="236"/>
      <c r="F19" s="236"/>
      <c r="G19" s="236"/>
      <c r="H19" s="236"/>
      <c r="I19" s="236"/>
      <c r="J19" s="236"/>
      <c r="K19" s="236"/>
      <c r="L19" s="236"/>
      <c r="M19" s="236"/>
      <c r="N19" s="236"/>
      <c r="O19" s="236"/>
      <c r="P19" s="236"/>
      <c r="Q19" s="236"/>
      <c r="R19" s="236"/>
    </row>
    <row r="20" spans="1:21" ht="19.95" customHeight="1">
      <c r="A20" s="50" t="s">
        <v>28</v>
      </c>
      <c r="B20" s="237" t="s">
        <v>758</v>
      </c>
      <c r="D20" s="238"/>
      <c r="E20" s="238"/>
      <c r="F20" s="238"/>
      <c r="G20" s="238"/>
      <c r="H20" s="238"/>
      <c r="I20" s="238"/>
      <c r="J20" s="238"/>
      <c r="K20" s="238"/>
      <c r="L20" s="238"/>
      <c r="M20" s="238"/>
      <c r="N20" s="238"/>
      <c r="O20" s="238"/>
      <c r="P20" s="238"/>
      <c r="Q20" s="238"/>
      <c r="R20" s="238"/>
    </row>
    <row r="21" spans="1:21" ht="19.95" customHeight="1">
      <c r="A21" s="48" t="s">
        <v>759</v>
      </c>
      <c r="B21" s="48"/>
      <c r="C21" s="239"/>
      <c r="D21" s="238"/>
      <c r="E21" s="238"/>
      <c r="F21" s="238"/>
      <c r="G21" s="238"/>
      <c r="H21" s="238"/>
      <c r="I21" s="238"/>
      <c r="J21" s="238"/>
      <c r="K21" s="238"/>
      <c r="L21" s="238"/>
      <c r="M21" s="238"/>
      <c r="N21" s="238"/>
      <c r="O21" s="238"/>
      <c r="P21" s="238"/>
      <c r="Q21" s="238"/>
      <c r="R21" s="238"/>
    </row>
    <row r="22" spans="1:21" ht="19.95" customHeight="1">
      <c r="A22" s="50"/>
      <c r="B22" s="50"/>
      <c r="C22" s="239"/>
      <c r="D22" s="238"/>
      <c r="E22" s="238"/>
      <c r="F22" s="238"/>
      <c r="G22" s="238"/>
      <c r="H22" s="238"/>
      <c r="I22" s="238"/>
      <c r="J22" s="238"/>
      <c r="K22" s="238"/>
      <c r="L22" s="238"/>
      <c r="M22" s="238"/>
      <c r="N22" s="238"/>
      <c r="O22" s="238"/>
      <c r="P22" s="238"/>
      <c r="Q22" s="238"/>
      <c r="R22" s="238"/>
    </row>
    <row r="23" spans="1:21" ht="19.95" customHeight="1">
      <c r="A23" s="48"/>
      <c r="B23" s="48"/>
      <c r="C23" s="236"/>
      <c r="D23" s="236"/>
      <c r="E23" s="236"/>
      <c r="F23" s="236"/>
      <c r="G23" s="236"/>
      <c r="H23" s="236"/>
      <c r="I23" s="236"/>
      <c r="J23" s="236"/>
      <c r="K23" s="236"/>
      <c r="L23" s="236"/>
      <c r="M23" s="236"/>
      <c r="N23" s="236"/>
      <c r="O23" s="236"/>
      <c r="P23" s="236"/>
      <c r="Q23" s="236"/>
      <c r="R23" s="236"/>
    </row>
    <row r="24" spans="1:21" ht="19.95" customHeight="1">
      <c r="A24" s="236"/>
      <c r="B24" s="236"/>
      <c r="C24" s="236"/>
      <c r="D24" s="236"/>
      <c r="E24" s="236"/>
      <c r="F24" s="236"/>
      <c r="G24" s="236"/>
      <c r="H24" s="236"/>
      <c r="I24" s="236"/>
      <c r="J24" s="236"/>
      <c r="K24" s="236"/>
      <c r="L24" s="236"/>
      <c r="M24" s="236"/>
      <c r="N24" s="236"/>
      <c r="O24" s="236"/>
      <c r="P24" s="236"/>
      <c r="Q24" s="236"/>
      <c r="R24" s="236"/>
    </row>
    <row r="25" spans="1:21" ht="19.95" customHeight="1">
      <c r="A25" s="367" t="s">
        <v>951</v>
      </c>
      <c r="B25" s="236"/>
      <c r="C25" s="236"/>
      <c r="D25" s="236"/>
      <c r="E25" s="236"/>
      <c r="F25" s="236"/>
      <c r="G25" s="236"/>
      <c r="H25" s="236"/>
      <c r="I25" s="236"/>
      <c r="J25" s="236"/>
      <c r="K25" s="236"/>
      <c r="L25" s="236"/>
      <c r="M25" s="236"/>
      <c r="N25" s="236"/>
      <c r="O25" s="236"/>
      <c r="P25" s="236"/>
      <c r="Q25" s="236"/>
      <c r="R25" s="236"/>
    </row>
    <row r="26" spans="1:21" ht="19.95" customHeight="1">
      <c r="A26" s="240" t="s">
        <v>760</v>
      </c>
      <c r="B26" s="236"/>
      <c r="C26" s="236"/>
      <c r="D26" s="236"/>
      <c r="E26" s="236"/>
      <c r="F26" s="236"/>
      <c r="G26" s="236"/>
      <c r="H26" s="236"/>
      <c r="I26" s="236"/>
      <c r="J26" s="236"/>
      <c r="K26" s="236"/>
      <c r="L26" s="236"/>
      <c r="M26" s="236"/>
      <c r="N26" s="236"/>
      <c r="O26" s="236"/>
      <c r="P26" s="236"/>
      <c r="Q26" s="236"/>
      <c r="R26" s="236"/>
    </row>
    <row r="27" spans="1:21" ht="19.95" customHeight="1">
      <c r="A27" s="240" t="s">
        <v>761</v>
      </c>
      <c r="B27" s="236"/>
      <c r="C27" s="236"/>
      <c r="D27" s="236"/>
      <c r="E27" s="236"/>
      <c r="F27" s="236"/>
      <c r="G27" s="236"/>
      <c r="H27" s="236"/>
      <c r="I27" s="236"/>
      <c r="J27" s="236"/>
      <c r="K27" s="236"/>
      <c r="L27" s="236"/>
      <c r="M27" s="236"/>
      <c r="N27" s="236"/>
      <c r="O27" s="236"/>
      <c r="P27" s="236"/>
      <c r="Q27" s="236"/>
      <c r="R27" s="236"/>
    </row>
    <row r="28" spans="1:21" ht="19.95" customHeight="1">
      <c r="A28" s="240" t="s">
        <v>762</v>
      </c>
      <c r="B28" s="236"/>
      <c r="C28" s="236"/>
      <c r="D28" s="236"/>
      <c r="E28" s="236"/>
      <c r="F28" s="236"/>
      <c r="G28" s="236"/>
      <c r="H28" s="236"/>
      <c r="I28" s="236"/>
      <c r="J28" s="236"/>
      <c r="K28" s="236"/>
      <c r="L28" s="236"/>
      <c r="M28" s="236"/>
      <c r="N28" s="236"/>
      <c r="O28" s="236"/>
      <c r="P28" s="236"/>
      <c r="Q28" s="236"/>
      <c r="R28" s="236"/>
    </row>
    <row r="29" spans="1:21" ht="19.95" customHeight="1">
      <c r="A29" s="240"/>
      <c r="B29" s="236"/>
      <c r="C29" s="236"/>
      <c r="D29" s="236"/>
      <c r="E29" s="236"/>
      <c r="F29" s="236"/>
      <c r="G29" s="236"/>
      <c r="H29" s="236"/>
      <c r="I29" s="236"/>
      <c r="J29" s="236"/>
      <c r="K29" s="236"/>
      <c r="L29" s="236"/>
      <c r="M29" s="236"/>
      <c r="N29" s="236"/>
      <c r="O29" s="236"/>
      <c r="P29" s="236"/>
      <c r="Q29" s="236"/>
      <c r="R29" s="236"/>
    </row>
    <row r="30" spans="1:21" ht="19.95" customHeight="1">
      <c r="A30" s="236"/>
      <c r="B30" s="236"/>
      <c r="C30" s="236"/>
      <c r="D30" s="236"/>
      <c r="E30" s="236"/>
      <c r="F30" s="236"/>
      <c r="G30" s="236"/>
      <c r="H30" s="236"/>
      <c r="I30" s="236"/>
      <c r="J30" s="236"/>
      <c r="K30" s="236"/>
      <c r="L30" s="236"/>
      <c r="M30" s="236"/>
      <c r="N30" s="236"/>
      <c r="O30" s="236"/>
      <c r="P30" s="236"/>
      <c r="Q30" s="236"/>
      <c r="R30" s="236"/>
    </row>
    <row r="31" spans="1:21" ht="19.95" customHeight="1">
      <c r="A31" s="236"/>
      <c r="B31" s="236"/>
      <c r="C31" s="236"/>
      <c r="D31" s="236"/>
      <c r="E31" s="236"/>
      <c r="F31" s="236"/>
      <c r="G31" s="236"/>
      <c r="H31" s="236"/>
      <c r="I31" s="236"/>
      <c r="J31" s="236"/>
      <c r="K31" s="236"/>
      <c r="L31" s="236"/>
      <c r="M31" s="236"/>
      <c r="N31" s="236"/>
      <c r="O31" s="236"/>
      <c r="P31" s="236"/>
      <c r="Q31" s="236"/>
      <c r="R31" s="236"/>
    </row>
    <row r="32" spans="1:21" ht="19.95" customHeight="1">
      <c r="A32" s="236"/>
      <c r="B32" s="236"/>
      <c r="C32" s="236"/>
      <c r="D32" s="236"/>
      <c r="E32" s="236"/>
      <c r="F32" s="236"/>
      <c r="G32" s="236"/>
      <c r="H32" s="236"/>
      <c r="I32" s="236"/>
      <c r="J32" s="236"/>
      <c r="K32" s="236"/>
      <c r="L32" s="236"/>
      <c r="M32" s="236"/>
      <c r="N32" s="236"/>
      <c r="O32" s="236"/>
      <c r="P32" s="236"/>
      <c r="Q32" s="236"/>
      <c r="R32" s="236"/>
    </row>
    <row r="33" spans="1:18" ht="19.95" customHeight="1">
      <c r="A33" s="236"/>
      <c r="B33" s="236"/>
      <c r="C33" s="236"/>
      <c r="D33" s="236"/>
      <c r="E33" s="236"/>
      <c r="F33" s="236"/>
      <c r="G33" s="236"/>
      <c r="H33" s="236"/>
      <c r="I33" s="236"/>
      <c r="J33" s="236"/>
      <c r="K33" s="236"/>
      <c r="L33" s="236"/>
      <c r="M33" s="236"/>
      <c r="N33" s="236"/>
      <c r="O33" s="236"/>
      <c r="P33" s="236"/>
      <c r="Q33" s="236"/>
      <c r="R33" s="236"/>
    </row>
    <row r="34" spans="1:18" ht="19.95" customHeight="1">
      <c r="A34" s="236"/>
      <c r="B34" s="236"/>
      <c r="C34" s="236"/>
      <c r="D34" s="236"/>
      <c r="E34" s="236"/>
      <c r="F34" s="236"/>
      <c r="G34" s="236"/>
      <c r="H34" s="236"/>
      <c r="I34" s="236"/>
      <c r="J34" s="236"/>
      <c r="K34" s="236"/>
      <c r="L34" s="236"/>
      <c r="M34" s="236"/>
      <c r="N34" s="236"/>
      <c r="O34" s="236"/>
      <c r="P34" s="236"/>
      <c r="Q34" s="236"/>
      <c r="R34" s="236"/>
    </row>
    <row r="35" spans="1:18" ht="19.95" customHeight="1">
      <c r="A35" s="236"/>
      <c r="B35" s="236"/>
      <c r="C35" s="236"/>
      <c r="D35" s="236"/>
      <c r="E35" s="236"/>
      <c r="F35" s="236"/>
      <c r="G35" s="236"/>
      <c r="H35" s="236"/>
      <c r="I35" s="236"/>
      <c r="J35" s="236"/>
      <c r="K35" s="236"/>
      <c r="L35" s="236"/>
      <c r="M35" s="236"/>
      <c r="N35" s="236"/>
      <c r="O35" s="236"/>
      <c r="P35" s="236"/>
      <c r="Q35" s="236"/>
      <c r="R35" s="236"/>
    </row>
    <row r="36" spans="1:18" ht="19.95" customHeight="1">
      <c r="A36" s="236"/>
      <c r="B36" s="236"/>
      <c r="C36" s="236"/>
      <c r="D36" s="236"/>
      <c r="E36" s="236"/>
      <c r="F36" s="236"/>
      <c r="G36" s="236"/>
      <c r="H36" s="236"/>
      <c r="I36" s="236"/>
      <c r="J36" s="236"/>
      <c r="K36" s="236"/>
      <c r="L36" s="236"/>
      <c r="M36" s="236"/>
      <c r="N36" s="236"/>
      <c r="O36" s="236"/>
      <c r="P36" s="236"/>
      <c r="Q36" s="236"/>
      <c r="R36" s="236"/>
    </row>
    <row r="37" spans="1:18" ht="19.95" customHeight="1">
      <c r="A37" s="236"/>
      <c r="B37" s="236"/>
      <c r="C37" s="236"/>
      <c r="D37" s="236"/>
      <c r="E37" s="236"/>
      <c r="F37" s="236"/>
      <c r="G37" s="236"/>
      <c r="H37" s="236"/>
      <c r="I37" s="236"/>
      <c r="J37" s="236"/>
      <c r="K37" s="236"/>
      <c r="L37" s="236"/>
      <c r="M37" s="236"/>
      <c r="N37" s="236"/>
      <c r="O37" s="236"/>
      <c r="P37" s="236"/>
      <c r="Q37" s="236"/>
      <c r="R37" s="236"/>
    </row>
    <row r="38" spans="1:18" ht="19.95" customHeight="1">
      <c r="A38" s="236"/>
      <c r="B38" s="236"/>
      <c r="C38" s="236"/>
      <c r="D38" s="236"/>
      <c r="E38" s="236"/>
      <c r="F38" s="236"/>
      <c r="G38" s="236"/>
      <c r="H38" s="236"/>
      <c r="I38" s="236"/>
      <c r="J38" s="236"/>
      <c r="K38" s="236"/>
      <c r="L38" s="236"/>
      <c r="M38" s="236"/>
      <c r="N38" s="236"/>
      <c r="O38" s="236"/>
      <c r="P38" s="236"/>
      <c r="Q38" s="236"/>
      <c r="R38" s="236"/>
    </row>
    <row r="39" spans="1:18" ht="19.95" customHeight="1">
      <c r="A39" s="236"/>
      <c r="B39" s="236"/>
      <c r="C39" s="236"/>
      <c r="D39" s="236"/>
      <c r="E39" s="236"/>
      <c r="F39" s="236"/>
      <c r="G39" s="236"/>
      <c r="H39" s="236"/>
      <c r="I39" s="236"/>
      <c r="J39" s="236"/>
      <c r="K39" s="236"/>
      <c r="L39" s="236"/>
      <c r="M39" s="236"/>
      <c r="N39" s="236"/>
      <c r="O39" s="236"/>
      <c r="P39" s="236"/>
      <c r="Q39" s="236"/>
      <c r="R39" s="236"/>
    </row>
    <row r="40" spans="1:18" ht="19.95" customHeight="1">
      <c r="A40" s="236"/>
      <c r="B40" s="236"/>
      <c r="C40" s="236"/>
      <c r="D40" s="236"/>
      <c r="E40" s="236"/>
      <c r="F40" s="236"/>
      <c r="G40" s="236"/>
      <c r="H40" s="236"/>
      <c r="I40" s="236"/>
      <c r="J40" s="236"/>
      <c r="K40" s="236"/>
      <c r="L40" s="236"/>
      <c r="M40" s="236"/>
      <c r="N40" s="236"/>
      <c r="O40" s="236"/>
      <c r="P40" s="236"/>
      <c r="Q40" s="236"/>
      <c r="R40" s="236"/>
    </row>
    <row r="41" spans="1:18" ht="19.95" customHeight="1">
      <c r="A41" s="236"/>
      <c r="B41" s="236"/>
      <c r="C41" s="236"/>
      <c r="D41" s="236"/>
      <c r="E41" s="236"/>
      <c r="F41" s="236"/>
      <c r="G41" s="236"/>
      <c r="H41" s="236"/>
      <c r="I41" s="236"/>
      <c r="J41" s="236"/>
      <c r="K41" s="236"/>
      <c r="L41" s="236"/>
      <c r="M41" s="236"/>
      <c r="N41" s="236"/>
      <c r="O41" s="236"/>
      <c r="P41" s="236"/>
      <c r="Q41" s="236"/>
      <c r="R41" s="236"/>
    </row>
    <row r="42" spans="1:18" ht="19.95" customHeight="1">
      <c r="A42" s="236"/>
      <c r="B42" s="236"/>
      <c r="C42" s="236"/>
      <c r="D42" s="236"/>
      <c r="E42" s="236"/>
      <c r="F42" s="236"/>
      <c r="G42" s="236"/>
      <c r="H42" s="236"/>
      <c r="I42" s="236"/>
      <c r="J42" s="236"/>
      <c r="K42" s="236"/>
      <c r="L42" s="236"/>
      <c r="M42" s="236"/>
      <c r="N42" s="236"/>
      <c r="O42" s="236"/>
      <c r="P42" s="236"/>
      <c r="Q42" s="236"/>
      <c r="R42" s="236"/>
    </row>
    <row r="43" spans="1:18" ht="19.95" customHeight="1">
      <c r="A43" s="236"/>
      <c r="B43" s="236"/>
      <c r="C43" s="236"/>
      <c r="D43" s="236"/>
      <c r="E43" s="236"/>
      <c r="F43" s="236"/>
      <c r="G43" s="236"/>
      <c r="H43" s="236"/>
      <c r="I43" s="236"/>
      <c r="J43" s="236"/>
      <c r="K43" s="236"/>
      <c r="L43" s="236"/>
      <c r="M43" s="236"/>
      <c r="N43" s="236"/>
      <c r="O43" s="236"/>
      <c r="P43" s="236"/>
      <c r="Q43" s="236"/>
      <c r="R43" s="236"/>
    </row>
    <row r="44" spans="1:18" ht="19.95" customHeight="1">
      <c r="A44" s="236"/>
      <c r="B44" s="236"/>
      <c r="C44" s="236"/>
      <c r="D44" s="236"/>
      <c r="E44" s="236"/>
      <c r="F44" s="236"/>
      <c r="G44" s="236"/>
      <c r="H44" s="236"/>
      <c r="I44" s="236"/>
      <c r="J44" s="236"/>
      <c r="K44" s="236"/>
      <c r="L44" s="236"/>
      <c r="M44" s="236"/>
      <c r="N44" s="236"/>
      <c r="O44" s="236"/>
      <c r="P44" s="236"/>
      <c r="Q44" s="236"/>
      <c r="R44" s="236"/>
    </row>
    <row r="45" spans="1:18" ht="19.95" customHeight="1">
      <c r="A45" s="236"/>
      <c r="B45" s="236"/>
      <c r="C45" s="236"/>
      <c r="D45" s="236"/>
      <c r="E45" s="236"/>
      <c r="F45" s="236"/>
      <c r="G45" s="236"/>
      <c r="H45" s="236"/>
      <c r="I45" s="236"/>
      <c r="J45" s="236"/>
      <c r="K45" s="236"/>
      <c r="L45" s="236"/>
      <c r="M45" s="236"/>
      <c r="N45" s="236"/>
      <c r="O45" s="236"/>
      <c r="P45" s="236"/>
      <c r="Q45" s="236"/>
      <c r="R45" s="236"/>
    </row>
    <row r="46" spans="1:18" ht="19.95" customHeight="1">
      <c r="A46" s="236"/>
      <c r="B46" s="236"/>
      <c r="C46" s="236"/>
      <c r="D46" s="236"/>
      <c r="E46" s="236"/>
      <c r="F46" s="236"/>
      <c r="G46" s="236"/>
      <c r="H46" s="236"/>
      <c r="I46" s="236"/>
      <c r="J46" s="236"/>
      <c r="K46" s="236"/>
      <c r="L46" s="236"/>
      <c r="M46" s="236"/>
      <c r="N46" s="236"/>
      <c r="O46" s="236"/>
      <c r="P46" s="236"/>
      <c r="Q46" s="236"/>
      <c r="R46" s="236"/>
    </row>
    <row r="47" spans="1:18" ht="19.95" customHeight="1">
      <c r="A47" s="236"/>
      <c r="B47" s="236"/>
      <c r="C47" s="236"/>
      <c r="D47" s="236"/>
      <c r="E47" s="236"/>
      <c r="F47" s="236"/>
      <c r="G47" s="236"/>
      <c r="H47" s="236"/>
      <c r="I47" s="236"/>
      <c r="J47" s="236"/>
      <c r="K47" s="236"/>
      <c r="L47" s="236"/>
      <c r="M47" s="236"/>
      <c r="N47" s="236"/>
      <c r="O47" s="236"/>
      <c r="P47" s="236"/>
      <c r="Q47" s="236"/>
      <c r="R47" s="236"/>
    </row>
    <row r="48" spans="1:18" ht="19.95" customHeight="1">
      <c r="A48" s="236"/>
      <c r="B48" s="236"/>
      <c r="C48" s="236"/>
      <c r="D48" s="236"/>
      <c r="E48" s="236"/>
      <c r="F48" s="236"/>
      <c r="G48" s="236"/>
      <c r="H48" s="236"/>
      <c r="I48" s="236"/>
      <c r="J48" s="236"/>
      <c r="K48" s="236"/>
      <c r="L48" s="236"/>
      <c r="M48" s="236"/>
      <c r="N48" s="236"/>
      <c r="O48" s="236"/>
      <c r="P48" s="236"/>
      <c r="Q48" s="236"/>
      <c r="R48" s="236"/>
    </row>
    <row r="49" spans="1:18" ht="19.95" customHeight="1">
      <c r="A49" s="236"/>
      <c r="B49" s="236"/>
      <c r="C49" s="236"/>
      <c r="D49" s="236"/>
      <c r="E49" s="236"/>
      <c r="F49" s="236"/>
      <c r="G49" s="236"/>
      <c r="H49" s="236"/>
      <c r="I49" s="236"/>
      <c r="J49" s="236"/>
      <c r="K49" s="236"/>
      <c r="L49" s="236"/>
      <c r="M49" s="236"/>
      <c r="N49" s="236"/>
      <c r="O49" s="236"/>
      <c r="P49" s="236"/>
      <c r="Q49" s="236"/>
      <c r="R49" s="236"/>
    </row>
    <row r="50" spans="1:18" ht="19.95" customHeight="1">
      <c r="A50" s="236"/>
      <c r="B50" s="236"/>
      <c r="C50" s="236"/>
      <c r="D50" s="236"/>
      <c r="E50" s="236"/>
      <c r="F50" s="236"/>
      <c r="G50" s="236"/>
      <c r="H50" s="236"/>
      <c r="I50" s="236"/>
      <c r="J50" s="236"/>
      <c r="K50" s="236"/>
      <c r="L50" s="236"/>
      <c r="M50" s="236"/>
      <c r="N50" s="236"/>
      <c r="O50" s="236"/>
      <c r="P50" s="236"/>
      <c r="Q50" s="236"/>
      <c r="R50" s="236"/>
    </row>
    <row r="51" spans="1:18" ht="19.95" customHeight="1">
      <c r="A51" s="236"/>
      <c r="B51" s="236"/>
      <c r="C51" s="236"/>
      <c r="D51" s="236"/>
      <c r="E51" s="236"/>
      <c r="F51" s="236"/>
      <c r="G51" s="236"/>
      <c r="H51" s="236"/>
      <c r="I51" s="236"/>
      <c r="J51" s="236"/>
      <c r="K51" s="236"/>
      <c r="L51" s="236"/>
      <c r="M51" s="236"/>
      <c r="N51" s="236"/>
      <c r="O51" s="236"/>
      <c r="P51" s="236"/>
      <c r="Q51" s="236"/>
      <c r="R51" s="236"/>
    </row>
    <row r="52" spans="1:18" ht="19.95" customHeight="1">
      <c r="A52" s="236"/>
      <c r="B52" s="236"/>
      <c r="C52" s="236"/>
      <c r="D52" s="236"/>
      <c r="E52" s="236"/>
      <c r="F52" s="236"/>
      <c r="G52" s="236"/>
      <c r="H52" s="236"/>
      <c r="I52" s="236"/>
      <c r="J52" s="236"/>
      <c r="K52" s="236"/>
      <c r="L52" s="236"/>
      <c r="M52" s="236"/>
      <c r="N52" s="236"/>
      <c r="O52" s="236"/>
      <c r="P52" s="236"/>
      <c r="Q52" s="236"/>
      <c r="R52" s="236"/>
    </row>
    <row r="53" spans="1:18" ht="19.95" customHeight="1">
      <c r="A53" s="236"/>
      <c r="B53" s="236"/>
      <c r="C53" s="236"/>
      <c r="D53" s="236"/>
      <c r="E53" s="236"/>
      <c r="F53" s="236"/>
      <c r="G53" s="236"/>
      <c r="H53" s="236"/>
      <c r="I53" s="236"/>
      <c r="J53" s="236"/>
      <c r="K53" s="236"/>
      <c r="L53" s="236"/>
      <c r="M53" s="236"/>
      <c r="N53" s="236"/>
      <c r="O53" s="236"/>
      <c r="P53" s="236"/>
      <c r="Q53" s="236"/>
      <c r="R53" s="236"/>
    </row>
    <row r="54" spans="1:18" ht="19.95" customHeight="1">
      <c r="A54" s="236"/>
      <c r="B54" s="236"/>
      <c r="C54" s="236"/>
      <c r="D54" s="236"/>
      <c r="E54" s="236"/>
      <c r="F54" s="236"/>
      <c r="G54" s="236"/>
      <c r="H54" s="236"/>
      <c r="I54" s="236"/>
      <c r="J54" s="236"/>
      <c r="K54" s="236"/>
      <c r="L54" s="236"/>
      <c r="M54" s="236"/>
      <c r="N54" s="236"/>
      <c r="O54" s="236"/>
      <c r="P54" s="236"/>
      <c r="Q54" s="236"/>
      <c r="R54" s="236"/>
    </row>
    <row r="55" spans="1:18" ht="19.95" customHeight="1">
      <c r="A55" s="236"/>
      <c r="B55" s="236"/>
      <c r="C55" s="236"/>
      <c r="D55" s="236"/>
      <c r="E55" s="236"/>
      <c r="F55" s="236"/>
      <c r="G55" s="236"/>
      <c r="H55" s="236"/>
      <c r="I55" s="236"/>
      <c r="J55" s="236"/>
      <c r="K55" s="236"/>
      <c r="L55" s="236"/>
      <c r="M55" s="236"/>
      <c r="N55" s="236"/>
      <c r="O55" s="236"/>
      <c r="P55" s="236"/>
      <c r="Q55" s="236"/>
      <c r="R55" s="236"/>
    </row>
    <row r="56" spans="1:18" ht="19.95" customHeight="1">
      <c r="A56" s="236"/>
      <c r="B56" s="236"/>
      <c r="C56" s="236"/>
      <c r="D56" s="236"/>
      <c r="E56" s="236"/>
      <c r="F56" s="236"/>
      <c r="G56" s="236"/>
      <c r="H56" s="236"/>
      <c r="I56" s="236"/>
      <c r="J56" s="236"/>
      <c r="K56" s="236"/>
      <c r="L56" s="236"/>
      <c r="M56" s="236"/>
      <c r="N56" s="236"/>
      <c r="O56" s="236"/>
      <c r="P56" s="236"/>
      <c r="Q56" s="236"/>
      <c r="R56" s="236"/>
    </row>
    <row r="57" spans="1:18" ht="19.95" customHeight="1">
      <c r="A57" s="236"/>
      <c r="B57" s="236"/>
      <c r="C57" s="236"/>
      <c r="D57" s="236"/>
      <c r="E57" s="236"/>
      <c r="F57" s="236"/>
      <c r="G57" s="236"/>
      <c r="H57" s="236"/>
      <c r="I57" s="236"/>
      <c r="J57" s="236"/>
      <c r="K57" s="236"/>
      <c r="L57" s="236"/>
      <c r="M57" s="236"/>
      <c r="N57" s="236"/>
      <c r="O57" s="236"/>
      <c r="P57" s="236"/>
      <c r="Q57" s="236"/>
      <c r="R57" s="236"/>
    </row>
    <row r="58" spans="1:18" ht="19.95" customHeight="1">
      <c r="A58" s="236"/>
      <c r="B58" s="236"/>
      <c r="C58" s="236"/>
      <c r="D58" s="236"/>
      <c r="E58" s="236"/>
      <c r="F58" s="236"/>
      <c r="G58" s="236"/>
      <c r="H58" s="236"/>
      <c r="I58" s="236"/>
      <c r="J58" s="236"/>
      <c r="K58" s="236"/>
      <c r="L58" s="236"/>
      <c r="M58" s="236"/>
      <c r="N58" s="236"/>
      <c r="O58" s="236"/>
      <c r="P58" s="236"/>
      <c r="Q58" s="236"/>
      <c r="R58" s="236"/>
    </row>
    <row r="59" spans="1:18" ht="19.95" customHeight="1">
      <c r="A59" s="236"/>
      <c r="B59" s="236"/>
      <c r="C59" s="236"/>
      <c r="D59" s="236"/>
      <c r="E59" s="236"/>
      <c r="F59" s="236"/>
      <c r="G59" s="236"/>
      <c r="H59" s="236"/>
      <c r="I59" s="236"/>
      <c r="J59" s="236"/>
      <c r="K59" s="236"/>
      <c r="L59" s="236"/>
      <c r="M59" s="236"/>
      <c r="N59" s="236"/>
      <c r="O59" s="236"/>
      <c r="P59" s="236"/>
      <c r="Q59" s="236"/>
      <c r="R59" s="236"/>
    </row>
    <row r="60" spans="1:18" ht="19.95" customHeight="1">
      <c r="A60" s="236"/>
      <c r="B60" s="236"/>
      <c r="C60" s="236"/>
      <c r="D60" s="236"/>
      <c r="E60" s="236"/>
      <c r="F60" s="236"/>
      <c r="G60" s="236"/>
      <c r="H60" s="236"/>
      <c r="I60" s="236"/>
      <c r="J60" s="236"/>
      <c r="K60" s="236"/>
      <c r="L60" s="236"/>
      <c r="M60" s="236"/>
      <c r="N60" s="236"/>
      <c r="O60" s="236"/>
      <c r="P60" s="236"/>
      <c r="Q60" s="236"/>
      <c r="R60" s="236"/>
    </row>
    <row r="61" spans="1:18" ht="19.95" customHeight="1">
      <c r="A61" s="236"/>
      <c r="B61" s="236"/>
      <c r="C61" s="236"/>
      <c r="D61" s="236"/>
      <c r="E61" s="236"/>
      <c r="F61" s="236"/>
      <c r="G61" s="236"/>
      <c r="H61" s="236"/>
      <c r="I61" s="236"/>
      <c r="J61" s="236"/>
      <c r="K61" s="236"/>
      <c r="L61" s="236"/>
      <c r="M61" s="236"/>
      <c r="N61" s="236"/>
      <c r="O61" s="236"/>
      <c r="P61" s="236"/>
      <c r="Q61" s="236"/>
      <c r="R61" s="236"/>
    </row>
    <row r="62" spans="1:18" ht="19.95" customHeight="1">
      <c r="A62" s="236"/>
      <c r="B62" s="236"/>
      <c r="C62" s="236"/>
      <c r="D62" s="236"/>
      <c r="E62" s="236"/>
      <c r="F62" s="236"/>
      <c r="G62" s="236"/>
      <c r="H62" s="236"/>
      <c r="I62" s="236"/>
      <c r="J62" s="236"/>
      <c r="K62" s="236"/>
      <c r="L62" s="236"/>
      <c r="M62" s="236"/>
      <c r="N62" s="236"/>
      <c r="O62" s="236"/>
      <c r="P62" s="236"/>
      <c r="Q62" s="236"/>
      <c r="R62" s="236"/>
    </row>
    <row r="63" spans="1:18" ht="19.95" customHeight="1">
      <c r="A63" s="236"/>
      <c r="B63" s="236"/>
      <c r="C63" s="236"/>
      <c r="D63" s="236"/>
      <c r="E63" s="236"/>
      <c r="F63" s="236"/>
      <c r="G63" s="236"/>
      <c r="H63" s="236"/>
      <c r="I63" s="236"/>
      <c r="J63" s="236"/>
      <c r="K63" s="236"/>
      <c r="L63" s="236"/>
      <c r="M63" s="236"/>
      <c r="N63" s="236"/>
      <c r="O63" s="236"/>
      <c r="P63" s="236"/>
      <c r="Q63" s="236"/>
      <c r="R63" s="236"/>
    </row>
    <row r="64" spans="1:18" ht="19.95" customHeight="1">
      <c r="A64" s="236"/>
      <c r="B64" s="236"/>
      <c r="C64" s="236"/>
      <c r="D64" s="236"/>
      <c r="E64" s="236"/>
      <c r="F64" s="236"/>
      <c r="G64" s="236"/>
      <c r="H64" s="236"/>
      <c r="I64" s="236"/>
      <c r="J64" s="236"/>
      <c r="K64" s="236"/>
      <c r="L64" s="236"/>
      <c r="M64" s="236"/>
      <c r="N64" s="236"/>
      <c r="O64" s="236"/>
      <c r="P64" s="236"/>
      <c r="Q64" s="236"/>
      <c r="R64" s="236"/>
    </row>
    <row r="65" spans="1:18" ht="19.95" customHeight="1">
      <c r="A65" s="236"/>
      <c r="B65" s="236"/>
      <c r="C65" s="236"/>
      <c r="D65" s="236"/>
      <c r="E65" s="236"/>
      <c r="F65" s="236"/>
      <c r="G65" s="236"/>
      <c r="H65" s="236"/>
      <c r="I65" s="236"/>
      <c r="J65" s="236"/>
      <c r="K65" s="236"/>
      <c r="L65" s="236"/>
      <c r="M65" s="236"/>
      <c r="N65" s="236"/>
      <c r="O65" s="236"/>
      <c r="P65" s="236"/>
      <c r="Q65" s="236"/>
      <c r="R65" s="236"/>
    </row>
    <row r="66" spans="1:18" ht="19.95" customHeight="1">
      <c r="A66" s="236"/>
      <c r="B66" s="236"/>
      <c r="C66" s="236"/>
      <c r="D66" s="236"/>
      <c r="E66" s="236"/>
      <c r="F66" s="236"/>
      <c r="G66" s="236"/>
      <c r="H66" s="236"/>
      <c r="I66" s="236"/>
      <c r="J66" s="236"/>
      <c r="K66" s="236"/>
      <c r="L66" s="236"/>
      <c r="M66" s="236"/>
      <c r="N66" s="236"/>
      <c r="O66" s="236"/>
      <c r="P66" s="236"/>
      <c r="Q66" s="236"/>
      <c r="R66" s="236"/>
    </row>
    <row r="67" spans="1:18" ht="19.95" customHeight="1">
      <c r="A67" s="236"/>
      <c r="B67" s="236"/>
      <c r="C67" s="236"/>
      <c r="D67" s="236"/>
      <c r="E67" s="236"/>
      <c r="F67" s="236"/>
      <c r="G67" s="236"/>
      <c r="H67" s="236"/>
      <c r="I67" s="236"/>
      <c r="J67" s="236"/>
      <c r="K67" s="236"/>
      <c r="L67" s="236"/>
      <c r="M67" s="236"/>
      <c r="N67" s="236"/>
      <c r="O67" s="236"/>
      <c r="P67" s="236"/>
      <c r="Q67" s="236"/>
      <c r="R67" s="236"/>
    </row>
    <row r="68" spans="1:18" ht="19.95" customHeight="1">
      <c r="A68" s="236"/>
      <c r="B68" s="236"/>
      <c r="C68" s="236"/>
      <c r="D68" s="236"/>
      <c r="E68" s="236"/>
      <c r="F68" s="236"/>
      <c r="G68" s="236"/>
      <c r="H68" s="236"/>
      <c r="I68" s="236"/>
      <c r="J68" s="236"/>
      <c r="K68" s="236"/>
      <c r="L68" s="236"/>
      <c r="M68" s="236"/>
      <c r="N68" s="236"/>
      <c r="O68" s="236"/>
      <c r="P68" s="236"/>
      <c r="Q68" s="236"/>
      <c r="R68" s="236"/>
    </row>
    <row r="69" spans="1:18" ht="19.95" customHeight="1">
      <c r="A69" s="236"/>
      <c r="B69" s="236"/>
      <c r="C69" s="236"/>
      <c r="D69" s="236"/>
      <c r="E69" s="236"/>
      <c r="F69" s="236"/>
      <c r="G69" s="236"/>
      <c r="H69" s="236"/>
      <c r="I69" s="236"/>
      <c r="J69" s="236"/>
      <c r="K69" s="236"/>
      <c r="L69" s="236"/>
      <c r="M69" s="236"/>
      <c r="N69" s="236"/>
      <c r="O69" s="236"/>
      <c r="P69" s="236"/>
      <c r="Q69" s="236"/>
      <c r="R69" s="236"/>
    </row>
    <row r="70" spans="1:18" ht="19.95" customHeight="1">
      <c r="A70" s="236"/>
      <c r="B70" s="236"/>
      <c r="C70" s="236"/>
      <c r="D70" s="236"/>
      <c r="E70" s="236"/>
      <c r="F70" s="236"/>
      <c r="G70" s="236"/>
      <c r="H70" s="236"/>
      <c r="I70" s="236"/>
      <c r="J70" s="236"/>
      <c r="K70" s="236"/>
      <c r="L70" s="236"/>
      <c r="M70" s="236"/>
      <c r="N70" s="236"/>
      <c r="O70" s="236"/>
      <c r="P70" s="236"/>
      <c r="Q70" s="236"/>
      <c r="R70" s="236"/>
    </row>
    <row r="71" spans="1:18" ht="19.95" customHeight="1">
      <c r="A71" s="236"/>
      <c r="B71" s="236"/>
      <c r="C71" s="236"/>
      <c r="D71" s="236"/>
      <c r="E71" s="236"/>
      <c r="F71" s="236"/>
      <c r="G71" s="236"/>
      <c r="H71" s="236"/>
      <c r="I71" s="236"/>
      <c r="J71" s="236"/>
      <c r="K71" s="236"/>
      <c r="L71" s="236"/>
      <c r="M71" s="236"/>
      <c r="N71" s="236"/>
      <c r="O71" s="236"/>
      <c r="P71" s="236"/>
      <c r="Q71" s="236"/>
      <c r="R71" s="236"/>
    </row>
    <row r="72" spans="1:18" ht="19.95" customHeight="1">
      <c r="A72" s="236"/>
      <c r="B72" s="236"/>
      <c r="C72" s="236"/>
      <c r="D72" s="236"/>
      <c r="E72" s="236"/>
      <c r="F72" s="236"/>
      <c r="G72" s="236"/>
      <c r="H72" s="236"/>
      <c r="I72" s="236"/>
      <c r="J72" s="236"/>
      <c r="K72" s="236"/>
      <c r="L72" s="236"/>
      <c r="M72" s="236"/>
      <c r="N72" s="236"/>
      <c r="O72" s="236"/>
      <c r="P72" s="236"/>
      <c r="Q72" s="236"/>
      <c r="R72" s="236"/>
    </row>
    <row r="73" spans="1:18" ht="19.95" customHeight="1">
      <c r="A73" s="236"/>
      <c r="B73" s="236"/>
      <c r="C73" s="236"/>
      <c r="D73" s="236"/>
      <c r="E73" s="236"/>
      <c r="F73" s="236"/>
      <c r="G73" s="236"/>
      <c r="H73" s="236"/>
      <c r="I73" s="236"/>
      <c r="J73" s="236"/>
      <c r="K73" s="236"/>
      <c r="L73" s="236"/>
      <c r="M73" s="236"/>
      <c r="N73" s="236"/>
      <c r="O73" s="236"/>
      <c r="P73" s="236"/>
      <c r="Q73" s="236"/>
      <c r="R73" s="236"/>
    </row>
    <row r="74" spans="1:18" ht="19.95" customHeight="1">
      <c r="A74" s="236"/>
      <c r="B74" s="236"/>
      <c r="C74" s="236"/>
      <c r="D74" s="236"/>
      <c r="E74" s="236"/>
      <c r="F74" s="236"/>
      <c r="G74" s="236"/>
      <c r="H74" s="236"/>
      <c r="I74" s="236"/>
      <c r="J74" s="236"/>
      <c r="K74" s="236"/>
      <c r="L74" s="236"/>
      <c r="M74" s="236"/>
      <c r="N74" s="236"/>
      <c r="O74" s="236"/>
      <c r="P74" s="236"/>
      <c r="Q74" s="236"/>
      <c r="R74" s="236"/>
    </row>
    <row r="75" spans="1:18" ht="19.95" customHeight="1">
      <c r="A75" s="236"/>
      <c r="B75" s="236"/>
      <c r="C75" s="236"/>
      <c r="D75" s="236"/>
      <c r="E75" s="236"/>
      <c r="F75" s="236"/>
      <c r="G75" s="236"/>
      <c r="H75" s="236"/>
      <c r="I75" s="236"/>
      <c r="J75" s="236"/>
      <c r="K75" s="236"/>
      <c r="L75" s="236"/>
      <c r="M75" s="236"/>
      <c r="N75" s="236"/>
      <c r="O75" s="236"/>
      <c r="P75" s="236"/>
      <c r="Q75" s="236"/>
      <c r="R75" s="236"/>
    </row>
    <row r="76" spans="1:18" ht="19.95" customHeight="1">
      <c r="A76" s="236"/>
      <c r="B76" s="236"/>
      <c r="C76" s="236"/>
      <c r="D76" s="236"/>
      <c r="E76" s="236"/>
      <c r="F76" s="236"/>
      <c r="G76" s="236"/>
      <c r="H76" s="236"/>
      <c r="I76" s="236"/>
      <c r="J76" s="236"/>
      <c r="K76" s="236"/>
      <c r="L76" s="236"/>
      <c r="M76" s="236"/>
      <c r="N76" s="236"/>
      <c r="O76" s="236"/>
      <c r="P76" s="236"/>
      <c r="Q76" s="236"/>
      <c r="R76" s="236"/>
    </row>
    <row r="77" spans="1:18" ht="19.95" customHeight="1">
      <c r="A77" s="236"/>
      <c r="B77" s="236"/>
      <c r="C77" s="236"/>
      <c r="D77" s="236"/>
      <c r="E77" s="236"/>
      <c r="F77" s="236"/>
      <c r="G77" s="236"/>
      <c r="H77" s="236"/>
      <c r="I77" s="236"/>
      <c r="J77" s="236"/>
      <c r="K77" s="236"/>
      <c r="L77" s="236"/>
      <c r="M77" s="236"/>
      <c r="N77" s="236"/>
      <c r="O77" s="236"/>
      <c r="P77" s="236"/>
      <c r="Q77" s="236"/>
      <c r="R77" s="236"/>
    </row>
    <row r="78" spans="1:18" ht="19.95" customHeight="1">
      <c r="A78" s="236"/>
      <c r="B78" s="236"/>
      <c r="C78" s="236"/>
      <c r="D78" s="236"/>
      <c r="E78" s="236"/>
      <c r="F78" s="236"/>
      <c r="G78" s="236"/>
      <c r="H78" s="236"/>
      <c r="I78" s="236"/>
      <c r="J78" s="236"/>
      <c r="K78" s="236"/>
      <c r="L78" s="236"/>
      <c r="M78" s="236"/>
      <c r="N78" s="236"/>
      <c r="O78" s="236"/>
      <c r="P78" s="236"/>
      <c r="Q78" s="236"/>
      <c r="R78" s="236"/>
    </row>
    <row r="79" spans="1:18" ht="19.95" customHeight="1">
      <c r="A79" s="236"/>
      <c r="B79" s="236"/>
      <c r="C79" s="236"/>
      <c r="D79" s="236"/>
      <c r="E79" s="236"/>
      <c r="F79" s="236"/>
      <c r="G79" s="236"/>
      <c r="H79" s="236"/>
      <c r="I79" s="236"/>
      <c r="J79" s="236"/>
      <c r="K79" s="236"/>
      <c r="L79" s="236"/>
      <c r="M79" s="236"/>
      <c r="N79" s="236"/>
      <c r="O79" s="236"/>
      <c r="P79" s="236"/>
      <c r="Q79" s="236"/>
      <c r="R79" s="236"/>
    </row>
    <row r="80" spans="1:18" ht="19.95" customHeight="1">
      <c r="A80" s="236"/>
      <c r="B80" s="236"/>
      <c r="C80" s="236"/>
      <c r="D80" s="236"/>
      <c r="E80" s="236"/>
      <c r="F80" s="236"/>
      <c r="G80" s="236"/>
      <c r="H80" s="236"/>
      <c r="I80" s="236"/>
      <c r="J80" s="236"/>
      <c r="K80" s="236"/>
      <c r="L80" s="236"/>
      <c r="M80" s="236"/>
      <c r="N80" s="236"/>
      <c r="O80" s="236"/>
      <c r="P80" s="236"/>
      <c r="Q80" s="236"/>
      <c r="R80" s="236"/>
    </row>
    <row r="81" spans="1:18" ht="19.95" customHeight="1">
      <c r="A81" s="236"/>
      <c r="B81" s="236"/>
      <c r="C81" s="236"/>
      <c r="D81" s="236"/>
      <c r="E81" s="236"/>
      <c r="F81" s="236"/>
      <c r="G81" s="236"/>
      <c r="H81" s="236"/>
      <c r="I81" s="236"/>
      <c r="J81" s="236"/>
      <c r="K81" s="236"/>
      <c r="L81" s="236"/>
      <c r="M81" s="236"/>
      <c r="N81" s="236"/>
      <c r="O81" s="236"/>
      <c r="P81" s="236"/>
      <c r="Q81" s="236"/>
      <c r="R81" s="236"/>
    </row>
    <row r="82" spans="1:18" ht="19.95" customHeight="1">
      <c r="A82" s="236"/>
      <c r="B82" s="236"/>
      <c r="C82" s="236"/>
      <c r="D82" s="236"/>
      <c r="E82" s="236"/>
      <c r="F82" s="236"/>
      <c r="G82" s="236"/>
      <c r="H82" s="236"/>
      <c r="I82" s="236"/>
      <c r="J82" s="236"/>
      <c r="K82" s="236"/>
      <c r="L82" s="236"/>
      <c r="M82" s="236"/>
      <c r="N82" s="236"/>
      <c r="O82" s="236"/>
      <c r="P82" s="236"/>
      <c r="Q82" s="236"/>
      <c r="R82" s="236"/>
    </row>
    <row r="83" spans="1:18" ht="19.95" customHeight="1">
      <c r="A83" s="236"/>
      <c r="B83" s="236"/>
      <c r="C83" s="236"/>
      <c r="D83" s="236"/>
      <c r="E83" s="236"/>
      <c r="F83" s="236"/>
      <c r="G83" s="236"/>
      <c r="H83" s="236"/>
      <c r="I83" s="236"/>
      <c r="J83" s="236"/>
      <c r="K83" s="236"/>
      <c r="L83" s="236"/>
      <c r="M83" s="236"/>
      <c r="N83" s="236"/>
      <c r="O83" s="236"/>
      <c r="P83" s="236"/>
      <c r="Q83" s="236"/>
      <c r="R83" s="236"/>
    </row>
    <row r="84" spans="1:18" ht="19.95" customHeight="1">
      <c r="A84" s="236"/>
      <c r="B84" s="236"/>
      <c r="C84" s="236"/>
      <c r="D84" s="236"/>
      <c r="E84" s="236"/>
      <c r="F84" s="236"/>
      <c r="G84" s="236"/>
      <c r="H84" s="236"/>
      <c r="I84" s="236"/>
      <c r="J84" s="236"/>
      <c r="K84" s="236"/>
      <c r="L84" s="236"/>
      <c r="M84" s="236"/>
      <c r="N84" s="236"/>
      <c r="O84" s="236"/>
      <c r="P84" s="236"/>
      <c r="Q84" s="236"/>
      <c r="R84" s="236"/>
    </row>
    <row r="85" spans="1:18" ht="19.95" customHeight="1">
      <c r="A85" s="236"/>
      <c r="B85" s="236"/>
      <c r="C85" s="236"/>
      <c r="D85" s="236"/>
      <c r="E85" s="236"/>
      <c r="F85" s="236"/>
      <c r="G85" s="236"/>
      <c r="H85" s="236"/>
      <c r="I85" s="236"/>
      <c r="J85" s="236"/>
      <c r="K85" s="236"/>
      <c r="L85" s="236"/>
      <c r="M85" s="236"/>
      <c r="N85" s="236"/>
      <c r="O85" s="236"/>
      <c r="P85" s="236"/>
      <c r="Q85" s="236"/>
      <c r="R85" s="236"/>
    </row>
    <row r="86" spans="1:18" ht="19.95" customHeight="1">
      <c r="A86" s="236"/>
      <c r="B86" s="236"/>
      <c r="C86" s="236"/>
      <c r="D86" s="236"/>
      <c r="E86" s="236"/>
      <c r="F86" s="236"/>
      <c r="G86" s="236"/>
      <c r="H86" s="236"/>
      <c r="I86" s="236"/>
      <c r="J86" s="236"/>
      <c r="K86" s="236"/>
      <c r="L86" s="236"/>
      <c r="M86" s="236"/>
      <c r="N86" s="236"/>
      <c r="O86" s="236"/>
      <c r="P86" s="236"/>
      <c r="Q86" s="236"/>
      <c r="R86" s="236"/>
    </row>
    <row r="87" spans="1:18" ht="19.95" customHeight="1">
      <c r="A87" s="236"/>
      <c r="B87" s="236"/>
      <c r="C87" s="236"/>
      <c r="D87" s="236"/>
      <c r="E87" s="236"/>
      <c r="F87" s="236"/>
      <c r="G87" s="236"/>
      <c r="H87" s="236"/>
      <c r="I87" s="236"/>
      <c r="J87" s="236"/>
      <c r="K87" s="236"/>
      <c r="L87" s="236"/>
      <c r="M87" s="236"/>
      <c r="N87" s="236"/>
      <c r="O87" s="236"/>
      <c r="P87" s="236"/>
      <c r="Q87" s="236"/>
      <c r="R87" s="236"/>
    </row>
    <row r="88" spans="1:18" ht="19.95" customHeight="1">
      <c r="A88" s="236"/>
      <c r="B88" s="236"/>
      <c r="C88" s="236"/>
      <c r="D88" s="236"/>
      <c r="E88" s="236"/>
      <c r="F88" s="236"/>
      <c r="G88" s="236"/>
      <c r="H88" s="236"/>
      <c r="I88" s="236"/>
      <c r="J88" s="236"/>
      <c r="K88" s="236"/>
      <c r="L88" s="236"/>
      <c r="M88" s="236"/>
      <c r="N88" s="236"/>
      <c r="O88" s="236"/>
      <c r="P88" s="236"/>
      <c r="Q88" s="236"/>
      <c r="R88" s="236"/>
    </row>
    <row r="89" spans="1:18" ht="19.95" customHeight="1">
      <c r="A89" s="236"/>
      <c r="B89" s="236"/>
      <c r="C89" s="236"/>
      <c r="D89" s="236"/>
      <c r="E89" s="236"/>
      <c r="F89" s="236"/>
      <c r="G89" s="236"/>
      <c r="H89" s="236"/>
      <c r="I89" s="236"/>
      <c r="J89" s="236"/>
      <c r="K89" s="236"/>
      <c r="L89" s="236"/>
      <c r="M89" s="236"/>
      <c r="N89" s="236"/>
      <c r="O89" s="236"/>
      <c r="P89" s="236"/>
      <c r="Q89" s="236"/>
      <c r="R89" s="236"/>
    </row>
    <row r="90" spans="1:18" ht="19.95" customHeight="1">
      <c r="A90" s="236"/>
      <c r="B90" s="236"/>
      <c r="C90" s="236"/>
      <c r="D90" s="236"/>
      <c r="E90" s="236"/>
      <c r="F90" s="236"/>
      <c r="G90" s="236"/>
      <c r="H90" s="236"/>
      <c r="I90" s="236"/>
      <c r="J90" s="236"/>
      <c r="K90" s="236"/>
      <c r="L90" s="236"/>
      <c r="M90" s="236"/>
      <c r="N90" s="236"/>
      <c r="O90" s="236"/>
      <c r="P90" s="236"/>
      <c r="Q90" s="236"/>
      <c r="R90" s="236"/>
    </row>
    <row r="91" spans="1:18" ht="19.95" customHeight="1">
      <c r="A91" s="236"/>
      <c r="B91" s="236"/>
      <c r="C91" s="236"/>
      <c r="D91" s="236"/>
      <c r="E91" s="236"/>
      <c r="F91" s="236"/>
      <c r="G91" s="236"/>
      <c r="H91" s="236"/>
      <c r="I91" s="236"/>
      <c r="J91" s="236"/>
      <c r="K91" s="236"/>
      <c r="L91" s="236"/>
      <c r="M91" s="236"/>
      <c r="N91" s="236"/>
      <c r="O91" s="236"/>
      <c r="P91" s="236"/>
      <c r="Q91" s="236"/>
      <c r="R91" s="236"/>
    </row>
  </sheetData>
  <mergeCells count="8">
    <mergeCell ref="A17:K17"/>
    <mergeCell ref="A1:U1"/>
    <mergeCell ref="A2:U2"/>
    <mergeCell ref="A7:A8"/>
    <mergeCell ref="B7:B8"/>
    <mergeCell ref="C7:K7"/>
    <mergeCell ref="L7:Q7"/>
    <mergeCell ref="R7:U7"/>
  </mergeCells>
  <phoneticPr fontId="9" type="noConversion"/>
  <dataValidations count="1">
    <dataValidation type="list" allowBlank="1" showInputMessage="1" showErrorMessage="1" sqref="R9:R16">
      <formula1>"√,X"</formula1>
    </dataValidation>
  </dataValidations>
  <hyperlinks>
    <hyperlink ref="U3" location="底稿目录!A1" display="H5A"/>
  </hyperlinks>
  <printOptions horizontalCentered="1"/>
  <pageMargins left="0.70866141732283472" right="0.70866141732283472" top="0.74803149606299213" bottom="0.74803149606299213" header="0.31496062992125984" footer="0.31496062992125984"/>
  <pageSetup paperSize="9" scale="58" orientation="landscape" blackAndWhite="1" r:id="rId1"/>
  <headerFooter>
    <oddFooter>&amp;C&amp;P/&amp;N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102"/>
  <sheetViews>
    <sheetView view="pageBreakPreview" zoomScaleSheetLayoutView="100" workbookViewId="0">
      <selection sqref="A1:O1"/>
    </sheetView>
  </sheetViews>
  <sheetFormatPr defaultColWidth="9" defaultRowHeight="19.95" customHeight="1"/>
  <cols>
    <col min="1" max="1" width="11.69921875" style="2" customWidth="1"/>
    <col min="2" max="2" width="15.8984375" style="2" customWidth="1"/>
    <col min="3" max="3" width="9.19921875" style="2" customWidth="1"/>
    <col min="4" max="4" width="18.19921875" style="14" customWidth="1"/>
    <col min="5" max="5" width="10.59765625" style="14" customWidth="1"/>
    <col min="6" max="6" width="12.296875" style="14" customWidth="1"/>
    <col min="7" max="7" width="12.69921875" style="14" customWidth="1"/>
    <col min="8" max="8" width="12" style="14" customWidth="1"/>
    <col min="9" max="9" width="12.8984375" style="14" customWidth="1"/>
    <col min="10" max="10" width="12.69921875" style="2" customWidth="1"/>
    <col min="11" max="11" width="13" style="2" customWidth="1"/>
    <col min="12" max="12" width="8" style="2" customWidth="1"/>
    <col min="13" max="13" width="10" style="2" customWidth="1"/>
    <col min="14" max="14" width="10.3984375" style="2" customWidth="1"/>
    <col min="15" max="16384" width="9" style="2"/>
  </cols>
  <sheetData>
    <row r="1" spans="1:16" s="189" customFormat="1" ht="19.95" customHeight="1">
      <c r="A1" s="545" t="s">
        <v>879</v>
      </c>
      <c r="B1" s="545"/>
      <c r="C1" s="545"/>
      <c r="D1" s="545"/>
      <c r="E1" s="545"/>
      <c r="F1" s="545"/>
      <c r="G1" s="545"/>
      <c r="H1" s="545"/>
      <c r="I1" s="545"/>
      <c r="J1" s="545"/>
      <c r="K1" s="545"/>
      <c r="L1" s="545"/>
      <c r="M1" s="545"/>
      <c r="N1" s="545"/>
      <c r="O1" s="545"/>
    </row>
    <row r="2" spans="1:16" s="268" customFormat="1" ht="19.95" customHeight="1">
      <c r="A2" s="546" t="s">
        <v>883</v>
      </c>
      <c r="B2" s="546"/>
      <c r="C2" s="546"/>
      <c r="D2" s="546"/>
      <c r="E2" s="546"/>
      <c r="F2" s="546"/>
      <c r="G2" s="546"/>
      <c r="H2" s="546"/>
      <c r="I2" s="546"/>
      <c r="J2" s="546"/>
      <c r="K2" s="546"/>
      <c r="L2" s="546"/>
      <c r="M2" s="546"/>
      <c r="N2" s="546"/>
      <c r="O2" s="546"/>
    </row>
    <row r="3" spans="1:16" ht="19.95" customHeight="1">
      <c r="A3" s="2" t="str">
        <f>底稿目录!A2</f>
        <v>被审计单位：</v>
      </c>
      <c r="D3" s="2"/>
      <c r="F3" s="2" t="str">
        <f>底稿目录!A4</f>
        <v>编制人：</v>
      </c>
      <c r="G3" s="2"/>
      <c r="I3" s="2" t="str">
        <f>底稿目录!A6</f>
        <v>编制日期：</v>
      </c>
      <c r="N3" s="339" t="s">
        <v>916</v>
      </c>
      <c r="O3" s="197" t="s">
        <v>178</v>
      </c>
    </row>
    <row r="4" spans="1:16" ht="19.95" customHeight="1">
      <c r="A4" s="2" t="str">
        <f>底稿目录!A3</f>
        <v>截止日：202X年12月31日</v>
      </c>
      <c r="D4" s="2"/>
      <c r="F4" s="2" t="str">
        <f>底稿目录!A5</f>
        <v>复核人：</v>
      </c>
      <c r="G4" s="2"/>
      <c r="I4" s="2" t="str">
        <f>底稿目录!A7</f>
        <v>复核日期：</v>
      </c>
      <c r="N4" s="339" t="s">
        <v>917</v>
      </c>
      <c r="O4" s="163"/>
    </row>
    <row r="5" spans="1:16" s="18" customFormat="1" ht="19.8" customHeight="1">
      <c r="A5" s="48" t="s">
        <v>786</v>
      </c>
      <c r="B5" s="48"/>
      <c r="C5" s="48"/>
      <c r="D5" s="216"/>
      <c r="E5" s="216"/>
      <c r="F5" s="216"/>
      <c r="G5" s="216"/>
      <c r="H5" s="216"/>
      <c r="I5" s="216"/>
      <c r="J5" s="217"/>
      <c r="K5" s="217"/>
      <c r="L5" s="217"/>
      <c r="M5" s="217"/>
      <c r="N5" s="217"/>
    </row>
    <row r="6" spans="1:16" s="434" customFormat="1" ht="19.95" customHeight="1">
      <c r="A6" s="480" t="s">
        <v>787</v>
      </c>
      <c r="B6" s="480"/>
      <c r="C6" s="480"/>
      <c r="D6" s="481"/>
      <c r="E6" s="482"/>
      <c r="F6" s="482"/>
      <c r="G6" s="482"/>
      <c r="H6" s="482"/>
      <c r="I6" s="482"/>
      <c r="J6" s="480"/>
      <c r="K6" s="480"/>
      <c r="L6" s="480"/>
      <c r="M6" s="219"/>
      <c r="N6" s="219"/>
    </row>
    <row r="7" spans="1:16" s="434" customFormat="1" ht="19.95" customHeight="1">
      <c r="A7" s="480" t="s">
        <v>788</v>
      </c>
      <c r="B7" s="480"/>
      <c r="C7" s="480"/>
      <c r="D7" s="481"/>
      <c r="E7" s="482"/>
      <c r="F7" s="482"/>
      <c r="G7" s="482"/>
      <c r="H7" s="482"/>
      <c r="I7" s="482"/>
      <c r="J7" s="480"/>
      <c r="K7" s="480"/>
      <c r="L7" s="480"/>
      <c r="M7" s="219"/>
      <c r="N7" s="219"/>
    </row>
    <row r="8" spans="1:16" s="18" customFormat="1" ht="19.95" customHeight="1">
      <c r="A8" s="48" t="s">
        <v>789</v>
      </c>
      <c r="B8" s="217"/>
      <c r="C8" s="217"/>
      <c r="D8" s="45"/>
      <c r="E8" s="216"/>
      <c r="F8" s="216"/>
      <c r="G8" s="216"/>
      <c r="H8" s="216"/>
      <c r="I8" s="216"/>
      <c r="J8" s="217"/>
      <c r="K8" s="217"/>
      <c r="L8" s="217"/>
      <c r="M8" s="217"/>
      <c r="N8" s="217"/>
    </row>
    <row r="9" spans="1:16" s="18" customFormat="1" ht="19.95" customHeight="1">
      <c r="A9" s="241" t="s">
        <v>936</v>
      </c>
      <c r="B9" s="217"/>
      <c r="C9" s="236"/>
      <c r="D9" s="45"/>
      <c r="E9" s="216"/>
      <c r="F9" s="216"/>
      <c r="G9" s="216"/>
      <c r="H9" s="216"/>
      <c r="I9" s="216"/>
      <c r="J9" s="217"/>
      <c r="K9" s="217"/>
      <c r="L9" s="217"/>
      <c r="M9" s="217"/>
      <c r="N9" s="217"/>
      <c r="O9" s="217"/>
      <c r="P9" s="182"/>
    </row>
    <row r="10" spans="1:16" s="18" customFormat="1" ht="28.8" customHeight="1">
      <c r="A10" s="242" t="s">
        <v>790</v>
      </c>
      <c r="B10" s="242" t="s">
        <v>791</v>
      </c>
      <c r="C10" s="242" t="s">
        <v>792</v>
      </c>
      <c r="D10" s="243" t="s">
        <v>793</v>
      </c>
      <c r="E10" s="243" t="s">
        <v>794</v>
      </c>
      <c r="F10" s="243" t="s">
        <v>795</v>
      </c>
      <c r="G10" s="243" t="s">
        <v>796</v>
      </c>
      <c r="H10" s="243" t="s">
        <v>797</v>
      </c>
      <c r="I10" s="243" t="s">
        <v>798</v>
      </c>
      <c r="J10" s="243" t="s">
        <v>799</v>
      </c>
      <c r="K10" s="243" t="s">
        <v>800</v>
      </c>
      <c r="L10" s="243" t="s">
        <v>801</v>
      </c>
      <c r="M10" s="243" t="s">
        <v>802</v>
      </c>
      <c r="N10" s="217"/>
      <c r="O10" s="217"/>
    </row>
    <row r="11" spans="1:16" s="18" customFormat="1" ht="19.95" customHeight="1">
      <c r="A11" s="244"/>
      <c r="B11" s="483"/>
      <c r="C11" s="326"/>
      <c r="D11" s="326"/>
      <c r="E11" s="327"/>
      <c r="F11" s="327"/>
      <c r="G11" s="328"/>
      <c r="H11" s="329"/>
      <c r="I11" s="327"/>
      <c r="J11" s="326"/>
      <c r="K11" s="330"/>
      <c r="L11" s="326"/>
      <c r="M11" s="331"/>
      <c r="N11" s="217"/>
      <c r="O11" s="217"/>
    </row>
    <row r="12" spans="1:16" s="18" customFormat="1" ht="19.95" customHeight="1">
      <c r="A12" s="244"/>
      <c r="B12" s="483"/>
      <c r="C12" s="326"/>
      <c r="D12" s="326"/>
      <c r="E12" s="327"/>
      <c r="F12" s="327"/>
      <c r="G12" s="328"/>
      <c r="H12" s="329"/>
      <c r="I12" s="327"/>
      <c r="J12" s="326"/>
      <c r="K12" s="330"/>
      <c r="L12" s="326"/>
      <c r="M12" s="331"/>
      <c r="N12" s="217"/>
      <c r="O12" s="217"/>
    </row>
    <row r="13" spans="1:16" s="18" customFormat="1" ht="19.95" customHeight="1">
      <c r="A13" s="244"/>
      <c r="B13" s="483"/>
      <c r="C13" s="326"/>
      <c r="D13" s="326"/>
      <c r="E13" s="327"/>
      <c r="F13" s="327"/>
      <c r="G13" s="328"/>
      <c r="H13" s="329"/>
      <c r="I13" s="327"/>
      <c r="J13" s="326"/>
      <c r="K13" s="330"/>
      <c r="L13" s="326"/>
      <c r="M13" s="331"/>
      <c r="N13" s="217"/>
      <c r="O13" s="217"/>
    </row>
    <row r="14" spans="1:16" s="18" customFormat="1" ht="19.95" customHeight="1">
      <c r="A14" s="244"/>
      <c r="B14" s="483"/>
      <c r="C14" s="326"/>
      <c r="D14" s="326"/>
      <c r="E14" s="327"/>
      <c r="F14" s="327"/>
      <c r="G14" s="328"/>
      <c r="H14" s="329"/>
      <c r="I14" s="327"/>
      <c r="J14" s="326"/>
      <c r="K14" s="330"/>
      <c r="L14" s="326"/>
      <c r="M14" s="331"/>
      <c r="N14" s="217"/>
      <c r="O14" s="217"/>
    </row>
    <row r="15" spans="1:16" s="18" customFormat="1" ht="19.95" customHeight="1">
      <c r="A15" s="244"/>
      <c r="B15" s="483"/>
      <c r="C15" s="326"/>
      <c r="D15" s="326"/>
      <c r="E15" s="327"/>
      <c r="F15" s="327"/>
      <c r="G15" s="328"/>
      <c r="H15" s="329"/>
      <c r="I15" s="327"/>
      <c r="J15" s="326"/>
      <c r="K15" s="330"/>
      <c r="L15" s="326"/>
      <c r="M15" s="331"/>
      <c r="N15" s="217"/>
      <c r="O15" s="217"/>
    </row>
    <row r="16" spans="1:16" s="18" customFormat="1" ht="19.95" customHeight="1">
      <c r="A16" s="244"/>
      <c r="B16" s="483"/>
      <c r="C16" s="326"/>
      <c r="D16" s="326"/>
      <c r="E16" s="327"/>
      <c r="F16" s="327"/>
      <c r="G16" s="328"/>
      <c r="H16" s="329"/>
      <c r="I16" s="327"/>
      <c r="J16" s="326"/>
      <c r="K16" s="330"/>
      <c r="L16" s="326"/>
      <c r="M16" s="331"/>
      <c r="N16" s="217"/>
      <c r="O16" s="217"/>
    </row>
    <row r="17" spans="1:15" s="18" customFormat="1" ht="19.95" customHeight="1">
      <c r="A17" s="217"/>
      <c r="B17" s="217"/>
      <c r="C17" s="236"/>
      <c r="D17" s="45"/>
      <c r="E17" s="216"/>
      <c r="F17" s="216"/>
      <c r="G17" s="216"/>
      <c r="H17" s="216"/>
      <c r="I17" s="216"/>
      <c r="J17" s="217"/>
      <c r="K17" s="217"/>
      <c r="L17" s="217"/>
      <c r="M17" s="217"/>
      <c r="N17" s="217"/>
      <c r="O17" s="217"/>
    </row>
    <row r="18" spans="1:15" s="18" customFormat="1" ht="19.95" customHeight="1">
      <c r="A18" s="241" t="s">
        <v>937</v>
      </c>
      <c r="B18" s="217"/>
      <c r="C18" s="236"/>
      <c r="D18" s="45"/>
      <c r="E18" s="216"/>
      <c r="F18" s="216"/>
      <c r="G18" s="216"/>
      <c r="H18" s="216"/>
      <c r="I18" s="216"/>
      <c r="J18" s="217"/>
      <c r="K18" s="217"/>
      <c r="L18" s="217"/>
      <c r="M18" s="217"/>
      <c r="N18" s="217"/>
      <c r="O18" s="217"/>
    </row>
    <row r="19" spans="1:15" s="18" customFormat="1" ht="27" customHeight="1">
      <c r="A19" s="242" t="s">
        <v>764</v>
      </c>
      <c r="B19" s="242" t="s">
        <v>765</v>
      </c>
      <c r="C19" s="242" t="s">
        <v>766</v>
      </c>
      <c r="D19" s="243" t="s">
        <v>769</v>
      </c>
      <c r="E19" s="243" t="s">
        <v>770</v>
      </c>
      <c r="F19" s="243" t="s">
        <v>771</v>
      </c>
      <c r="G19" s="243" t="s">
        <v>772</v>
      </c>
      <c r="H19" s="243" t="s">
        <v>803</v>
      </c>
      <c r="I19" s="243" t="s">
        <v>773</v>
      </c>
      <c r="J19" s="243" t="s">
        <v>767</v>
      </c>
      <c r="K19" s="243" t="s">
        <v>774</v>
      </c>
      <c r="L19" s="243" t="s">
        <v>768</v>
      </c>
      <c r="M19" s="243" t="s">
        <v>775</v>
      </c>
      <c r="N19" s="243" t="s">
        <v>72</v>
      </c>
      <c r="O19" s="243" t="s">
        <v>804</v>
      </c>
    </row>
    <row r="20" spans="1:15" s="18" customFormat="1" ht="19.95" customHeight="1">
      <c r="A20" s="244"/>
      <c r="B20" s="483"/>
      <c r="C20" s="326"/>
      <c r="D20" s="326"/>
      <c r="E20" s="327"/>
      <c r="F20" s="327"/>
      <c r="G20" s="327"/>
      <c r="H20" s="245">
        <f>E20-F20-G20</f>
        <v>0</v>
      </c>
      <c r="I20" s="327"/>
      <c r="J20" s="328"/>
      <c r="K20" s="329"/>
      <c r="L20" s="326"/>
      <c r="M20" s="330"/>
      <c r="N20" s="326"/>
      <c r="O20" s="331"/>
    </row>
    <row r="21" spans="1:15" s="18" customFormat="1" ht="19.95" customHeight="1">
      <c r="A21" s="244"/>
      <c r="B21" s="483"/>
      <c r="C21" s="326"/>
      <c r="D21" s="326"/>
      <c r="E21" s="327"/>
      <c r="F21" s="327"/>
      <c r="G21" s="327"/>
      <c r="H21" s="245">
        <f t="shared" ref="H21:H25" si="0">E21-F21-G21</f>
        <v>0</v>
      </c>
      <c r="I21" s="327"/>
      <c r="J21" s="328"/>
      <c r="K21" s="329"/>
      <c r="L21" s="326"/>
      <c r="M21" s="330"/>
      <c r="N21" s="326"/>
      <c r="O21" s="331"/>
    </row>
    <row r="22" spans="1:15" s="18" customFormat="1" ht="19.95" customHeight="1">
      <c r="A22" s="244"/>
      <c r="B22" s="483"/>
      <c r="C22" s="326"/>
      <c r="D22" s="326"/>
      <c r="E22" s="327"/>
      <c r="F22" s="327"/>
      <c r="G22" s="327"/>
      <c r="H22" s="245">
        <f t="shared" si="0"/>
        <v>0</v>
      </c>
      <c r="I22" s="327"/>
      <c r="J22" s="328"/>
      <c r="K22" s="329"/>
      <c r="L22" s="326"/>
      <c r="M22" s="330"/>
      <c r="N22" s="326"/>
      <c r="O22" s="331"/>
    </row>
    <row r="23" spans="1:15" s="18" customFormat="1" ht="19.95" customHeight="1">
      <c r="A23" s="244"/>
      <c r="B23" s="483"/>
      <c r="C23" s="326"/>
      <c r="D23" s="326"/>
      <c r="E23" s="327"/>
      <c r="F23" s="327"/>
      <c r="G23" s="327"/>
      <c r="H23" s="245">
        <f t="shared" si="0"/>
        <v>0</v>
      </c>
      <c r="I23" s="327"/>
      <c r="J23" s="328"/>
      <c r="K23" s="329"/>
      <c r="L23" s="326"/>
      <c r="M23" s="330"/>
      <c r="N23" s="326"/>
      <c r="O23" s="331"/>
    </row>
    <row r="24" spans="1:15" s="18" customFormat="1" ht="19.95" customHeight="1">
      <c r="A24" s="244"/>
      <c r="B24" s="483"/>
      <c r="C24" s="326"/>
      <c r="D24" s="326"/>
      <c r="E24" s="327"/>
      <c r="F24" s="327"/>
      <c r="G24" s="327"/>
      <c r="H24" s="245">
        <f t="shared" si="0"/>
        <v>0</v>
      </c>
      <c r="I24" s="327"/>
      <c r="J24" s="328"/>
      <c r="K24" s="329"/>
      <c r="L24" s="326"/>
      <c r="M24" s="330"/>
      <c r="N24" s="326"/>
      <c r="O24" s="331"/>
    </row>
    <row r="25" spans="1:15" ht="19.95" customHeight="1">
      <c r="A25" s="244"/>
      <c r="B25" s="483"/>
      <c r="C25" s="326"/>
      <c r="D25" s="326"/>
      <c r="E25" s="327"/>
      <c r="F25" s="327"/>
      <c r="G25" s="327"/>
      <c r="H25" s="245">
        <f t="shared" si="0"/>
        <v>0</v>
      </c>
      <c r="I25" s="327"/>
      <c r="J25" s="328"/>
      <c r="K25" s="329"/>
      <c r="L25" s="326"/>
      <c r="M25" s="330"/>
      <c r="N25" s="326"/>
      <c r="O25" s="331"/>
    </row>
    <row r="26" spans="1:15" ht="19.95" customHeight="1">
      <c r="A26" s="48" t="s">
        <v>776</v>
      </c>
      <c r="B26" s="48"/>
      <c r="C26" s="48"/>
      <c r="D26" s="246"/>
      <c r="E26" s="246"/>
      <c r="F26" s="246"/>
      <c r="G26" s="246"/>
      <c r="H26" s="246"/>
      <c r="I26" s="246"/>
      <c r="J26" s="217"/>
      <c r="K26" s="217"/>
      <c r="L26" s="217"/>
      <c r="M26" s="217"/>
      <c r="N26" s="217"/>
      <c r="O26" s="217"/>
    </row>
    <row r="27" spans="1:15" ht="19.95" customHeight="1">
      <c r="A27" s="50"/>
      <c r="B27" s="237"/>
      <c r="C27" s="50"/>
      <c r="D27" s="2"/>
      <c r="E27" s="246"/>
      <c r="F27" s="246"/>
      <c r="G27" s="246"/>
      <c r="H27" s="246"/>
      <c r="I27" s="246"/>
      <c r="J27" s="236"/>
      <c r="K27" s="236"/>
      <c r="L27" s="236"/>
      <c r="M27" s="236"/>
      <c r="N27" s="236"/>
    </row>
    <row r="28" spans="1:15" ht="19.95" customHeight="1">
      <c r="A28" s="50"/>
      <c r="B28" s="237"/>
      <c r="C28" s="50"/>
      <c r="D28" s="2"/>
      <c r="E28" s="247"/>
      <c r="F28" s="247"/>
      <c r="G28" s="247"/>
      <c r="H28" s="247"/>
      <c r="I28" s="247"/>
      <c r="J28" s="238"/>
      <c r="K28" s="238"/>
      <c r="L28" s="238"/>
      <c r="M28" s="238"/>
      <c r="N28" s="238"/>
    </row>
    <row r="29" spans="1:15" ht="19.95" customHeight="1">
      <c r="A29" s="48" t="s">
        <v>777</v>
      </c>
      <c r="B29" s="48"/>
      <c r="C29" s="48"/>
      <c r="D29" s="248"/>
      <c r="E29" s="247"/>
      <c r="F29" s="247"/>
      <c r="G29" s="247"/>
      <c r="H29" s="247"/>
      <c r="I29" s="247"/>
      <c r="J29" s="238"/>
      <c r="K29" s="238"/>
      <c r="L29" s="238"/>
      <c r="M29" s="238"/>
      <c r="N29" s="238"/>
    </row>
    <row r="30" spans="1:15" ht="19.95" customHeight="1">
      <c r="A30" s="50"/>
      <c r="B30" s="50"/>
      <c r="C30" s="50"/>
      <c r="D30" s="248"/>
      <c r="E30" s="247"/>
      <c r="F30" s="247"/>
      <c r="G30" s="247"/>
      <c r="H30" s="247"/>
      <c r="I30" s="247"/>
      <c r="J30" s="238"/>
      <c r="K30" s="238"/>
      <c r="L30" s="238"/>
      <c r="M30" s="238"/>
      <c r="N30" s="238"/>
    </row>
    <row r="31" spans="1:15" ht="19.95" customHeight="1">
      <c r="A31" s="48"/>
      <c r="B31" s="48"/>
      <c r="C31" s="48"/>
      <c r="D31" s="249"/>
      <c r="E31" s="249"/>
      <c r="F31" s="249"/>
      <c r="G31" s="249"/>
      <c r="H31" s="249"/>
      <c r="I31" s="249"/>
      <c r="J31" s="250"/>
      <c r="K31" s="250"/>
      <c r="L31" s="250"/>
      <c r="M31" s="250"/>
      <c r="N31" s="250"/>
    </row>
    <row r="32" spans="1:15" ht="19.95" customHeight="1">
      <c r="A32" s="251"/>
      <c r="B32" s="250"/>
      <c r="C32" s="250"/>
      <c r="D32" s="249"/>
      <c r="E32" s="249"/>
      <c r="F32" s="249"/>
      <c r="G32" s="249"/>
      <c r="H32" s="249"/>
      <c r="I32" s="249"/>
      <c r="J32" s="250"/>
      <c r="K32" s="250"/>
      <c r="L32" s="250"/>
      <c r="M32" s="250"/>
      <c r="N32" s="250"/>
    </row>
    <row r="33" spans="1:14" ht="19.95" customHeight="1">
      <c r="A33" s="251"/>
      <c r="B33" s="250"/>
      <c r="C33" s="250"/>
      <c r="D33" s="249"/>
      <c r="E33" s="249"/>
      <c r="F33" s="249"/>
      <c r="G33" s="249"/>
      <c r="H33" s="249"/>
      <c r="I33" s="249"/>
      <c r="J33" s="250"/>
      <c r="K33" s="250"/>
      <c r="L33" s="250"/>
      <c r="M33" s="250"/>
      <c r="N33" s="250"/>
    </row>
    <row r="34" spans="1:14" ht="19.95" customHeight="1">
      <c r="A34" s="250"/>
      <c r="B34" s="250"/>
      <c r="C34" s="250"/>
      <c r="D34" s="249"/>
      <c r="E34" s="249"/>
      <c r="F34" s="249"/>
      <c r="G34" s="249"/>
      <c r="H34" s="249"/>
      <c r="I34" s="249"/>
      <c r="J34" s="250"/>
      <c r="K34" s="250"/>
      <c r="L34" s="250"/>
      <c r="M34" s="250"/>
      <c r="N34" s="250"/>
    </row>
    <row r="35" spans="1:14" ht="19.95" customHeight="1">
      <c r="A35" s="252" t="s">
        <v>778</v>
      </c>
      <c r="B35" s="250"/>
      <c r="C35" s="250"/>
      <c r="D35" s="249"/>
      <c r="E35" s="249"/>
      <c r="F35" s="249"/>
      <c r="G35" s="249"/>
      <c r="H35" s="249"/>
      <c r="I35" s="249"/>
      <c r="J35" s="250"/>
      <c r="K35" s="250"/>
      <c r="L35" s="250"/>
      <c r="M35" s="250"/>
      <c r="N35" s="250"/>
    </row>
    <row r="36" spans="1:14" ht="19.95" customHeight="1">
      <c r="A36" s="252" t="s">
        <v>805</v>
      </c>
      <c r="B36" s="250"/>
      <c r="C36" s="250"/>
      <c r="D36" s="249"/>
      <c r="E36" s="249"/>
      <c r="F36" s="249"/>
      <c r="G36" s="249"/>
      <c r="H36" s="249"/>
      <c r="I36" s="249"/>
      <c r="J36" s="250"/>
      <c r="K36" s="250"/>
      <c r="L36" s="250"/>
      <c r="M36" s="250"/>
      <c r="N36" s="250"/>
    </row>
    <row r="37" spans="1:14" ht="19.95" customHeight="1">
      <c r="A37" s="168" t="s">
        <v>779</v>
      </c>
      <c r="B37" s="250"/>
      <c r="C37" s="250"/>
      <c r="D37" s="249"/>
      <c r="E37" s="249"/>
      <c r="F37" s="249"/>
      <c r="G37" s="249"/>
      <c r="H37" s="249"/>
      <c r="I37" s="249"/>
      <c r="J37" s="250"/>
      <c r="K37" s="250"/>
      <c r="L37" s="250"/>
      <c r="M37" s="250"/>
      <c r="N37" s="250"/>
    </row>
    <row r="38" spans="1:14" ht="19.95" customHeight="1">
      <c r="A38" s="168" t="s">
        <v>780</v>
      </c>
      <c r="B38" s="250"/>
      <c r="C38" s="250"/>
      <c r="D38" s="249"/>
      <c r="E38" s="249"/>
      <c r="F38" s="249"/>
      <c r="G38" s="249"/>
      <c r="H38" s="249"/>
      <c r="I38" s="249"/>
      <c r="J38" s="250"/>
      <c r="K38" s="250"/>
      <c r="L38" s="250"/>
      <c r="M38" s="250"/>
      <c r="N38" s="250"/>
    </row>
    <row r="39" spans="1:14" ht="19.95" customHeight="1">
      <c r="A39" s="168" t="s">
        <v>781</v>
      </c>
      <c r="B39" s="250"/>
      <c r="C39" s="250"/>
      <c r="D39" s="249"/>
      <c r="E39" s="249"/>
      <c r="F39" s="249"/>
      <c r="G39" s="249"/>
      <c r="H39" s="249"/>
      <c r="I39" s="249"/>
      <c r="J39" s="250"/>
      <c r="K39" s="250"/>
      <c r="L39" s="250"/>
      <c r="M39" s="250"/>
      <c r="N39" s="250"/>
    </row>
    <row r="40" spans="1:14" ht="19.95" customHeight="1">
      <c r="A40" s="168" t="s">
        <v>145</v>
      </c>
      <c r="B40" s="250"/>
      <c r="C40" s="250"/>
      <c r="D40" s="249"/>
      <c r="E40" s="249"/>
      <c r="F40" s="249"/>
      <c r="G40" s="249"/>
      <c r="H40" s="249"/>
      <c r="I40" s="249"/>
      <c r="J40" s="250"/>
      <c r="K40" s="250"/>
      <c r="L40" s="250"/>
      <c r="M40" s="250"/>
      <c r="N40" s="250"/>
    </row>
    <row r="41" spans="1:14" ht="19.95" customHeight="1">
      <c r="A41" s="168" t="s">
        <v>782</v>
      </c>
      <c r="B41" s="250"/>
      <c r="C41" s="250"/>
      <c r="D41" s="249"/>
      <c r="E41" s="249"/>
      <c r="F41" s="249"/>
      <c r="G41" s="249"/>
      <c r="H41" s="249"/>
      <c r="I41" s="249"/>
      <c r="J41" s="250"/>
      <c r="K41" s="250"/>
      <c r="L41" s="250"/>
      <c r="M41" s="250"/>
      <c r="N41" s="250"/>
    </row>
    <row r="42" spans="1:14" ht="19.95" customHeight="1">
      <c r="A42" s="253" t="s">
        <v>783</v>
      </c>
      <c r="B42" s="250"/>
      <c r="C42" s="250"/>
      <c r="D42" s="249"/>
      <c r="E42" s="249"/>
      <c r="F42" s="249"/>
      <c r="G42" s="249"/>
      <c r="H42" s="249"/>
      <c r="I42" s="249"/>
      <c r="J42" s="250"/>
      <c r="K42" s="250"/>
      <c r="L42" s="250"/>
      <c r="M42" s="250"/>
      <c r="N42" s="250"/>
    </row>
    <row r="43" spans="1:14" ht="19.95" customHeight="1">
      <c r="A43" s="168" t="s">
        <v>784</v>
      </c>
      <c r="B43" s="250"/>
      <c r="C43" s="250"/>
      <c r="D43" s="249"/>
      <c r="E43" s="249"/>
      <c r="F43" s="249"/>
      <c r="G43" s="249"/>
      <c r="H43" s="249"/>
      <c r="I43" s="249"/>
      <c r="J43" s="250"/>
      <c r="K43" s="250"/>
      <c r="L43" s="250"/>
      <c r="M43" s="250"/>
      <c r="N43" s="250"/>
    </row>
    <row r="44" spans="1:14" ht="19.95" customHeight="1">
      <c r="A44" s="168" t="s">
        <v>785</v>
      </c>
      <c r="B44" s="250"/>
      <c r="C44" s="250"/>
      <c r="D44" s="249"/>
      <c r="E44" s="249"/>
      <c r="F44" s="249"/>
      <c r="G44" s="249"/>
      <c r="H44" s="249"/>
      <c r="I44" s="249"/>
      <c r="J44" s="250"/>
      <c r="K44" s="250"/>
      <c r="L44" s="250"/>
      <c r="M44" s="250"/>
      <c r="N44" s="250"/>
    </row>
    <row r="45" spans="1:14" ht="19.95" customHeight="1">
      <c r="A45" s="250"/>
      <c r="B45" s="250"/>
      <c r="C45" s="250"/>
      <c r="D45" s="249"/>
      <c r="E45" s="249"/>
      <c r="F45" s="249"/>
      <c r="G45" s="249"/>
      <c r="H45" s="249"/>
      <c r="I45" s="249"/>
      <c r="J45" s="250"/>
      <c r="K45" s="250"/>
      <c r="L45" s="250"/>
      <c r="M45" s="250"/>
      <c r="N45" s="250"/>
    </row>
    <row r="46" spans="1:14" ht="19.95" customHeight="1">
      <c r="A46" s="250"/>
      <c r="B46" s="250"/>
      <c r="C46" s="250"/>
      <c r="D46" s="249"/>
      <c r="E46" s="249"/>
      <c r="F46" s="249"/>
      <c r="G46" s="249"/>
      <c r="H46" s="249"/>
      <c r="I46" s="249"/>
      <c r="J46" s="250"/>
      <c r="K46" s="250"/>
      <c r="L46" s="250"/>
      <c r="M46" s="250"/>
      <c r="N46" s="250"/>
    </row>
    <row r="47" spans="1:14" ht="19.95" customHeight="1">
      <c r="A47" s="250"/>
      <c r="B47" s="250"/>
      <c r="C47" s="250"/>
      <c r="D47" s="249"/>
      <c r="E47" s="249"/>
      <c r="F47" s="249"/>
      <c r="G47" s="249"/>
      <c r="H47" s="249"/>
      <c r="I47" s="249"/>
      <c r="J47" s="250"/>
      <c r="K47" s="250"/>
      <c r="L47" s="250"/>
      <c r="M47" s="250"/>
      <c r="N47" s="250"/>
    </row>
    <row r="48" spans="1:14" ht="19.95" customHeight="1">
      <c r="A48" s="250"/>
      <c r="B48" s="250"/>
      <c r="C48" s="250"/>
      <c r="D48" s="249"/>
      <c r="E48" s="249"/>
      <c r="F48" s="249"/>
      <c r="G48" s="249"/>
      <c r="H48" s="249"/>
      <c r="I48" s="249"/>
      <c r="J48" s="250"/>
      <c r="K48" s="250"/>
      <c r="L48" s="250"/>
      <c r="M48" s="250"/>
      <c r="N48" s="250"/>
    </row>
    <row r="49" spans="1:14" ht="19.95" customHeight="1">
      <c r="A49" s="250"/>
      <c r="B49" s="250"/>
      <c r="C49" s="250"/>
      <c r="D49" s="249"/>
      <c r="E49" s="249"/>
      <c r="F49" s="249"/>
      <c r="G49" s="249"/>
      <c r="H49" s="249"/>
      <c r="I49" s="249"/>
      <c r="J49" s="250"/>
      <c r="K49" s="250"/>
      <c r="L49" s="250"/>
      <c r="M49" s="250"/>
      <c r="N49" s="250"/>
    </row>
    <row r="50" spans="1:14" ht="19.95" customHeight="1">
      <c r="A50" s="250"/>
      <c r="B50" s="250"/>
      <c r="C50" s="250"/>
      <c r="D50" s="249"/>
      <c r="E50" s="249"/>
      <c r="F50" s="249"/>
      <c r="G50" s="249"/>
      <c r="H50" s="249"/>
      <c r="I50" s="249"/>
      <c r="J50" s="250"/>
      <c r="K50" s="250"/>
      <c r="L50" s="250"/>
      <c r="M50" s="250"/>
      <c r="N50" s="250"/>
    </row>
    <row r="51" spans="1:14" ht="19.95" customHeight="1">
      <c r="A51" s="250"/>
      <c r="B51" s="250"/>
      <c r="C51" s="250"/>
      <c r="D51" s="249"/>
      <c r="E51" s="249"/>
      <c r="F51" s="249"/>
      <c r="G51" s="249"/>
      <c r="H51" s="249"/>
      <c r="I51" s="249"/>
      <c r="J51" s="250"/>
      <c r="K51" s="250"/>
      <c r="L51" s="250"/>
      <c r="M51" s="250"/>
      <c r="N51" s="250"/>
    </row>
    <row r="52" spans="1:14" ht="19.95" customHeight="1">
      <c r="A52" s="250"/>
      <c r="B52" s="250"/>
      <c r="C52" s="250"/>
      <c r="D52" s="249"/>
      <c r="E52" s="249"/>
      <c r="F52" s="249"/>
      <c r="G52" s="249"/>
      <c r="H52" s="249"/>
      <c r="I52" s="249"/>
      <c r="J52" s="250"/>
      <c r="K52" s="250"/>
      <c r="L52" s="250"/>
      <c r="M52" s="250"/>
      <c r="N52" s="250"/>
    </row>
    <row r="53" spans="1:14" ht="19.95" customHeight="1">
      <c r="A53" s="250"/>
      <c r="B53" s="250"/>
      <c r="C53" s="250"/>
      <c r="D53" s="249"/>
      <c r="E53" s="249"/>
      <c r="F53" s="249"/>
      <c r="G53" s="249"/>
      <c r="H53" s="249"/>
      <c r="I53" s="249"/>
      <c r="J53" s="250"/>
      <c r="K53" s="250"/>
      <c r="L53" s="250"/>
      <c r="M53" s="250"/>
      <c r="N53" s="250"/>
    </row>
    <row r="54" spans="1:14" ht="19.95" customHeight="1">
      <c r="A54" s="250"/>
      <c r="B54" s="250"/>
      <c r="C54" s="250"/>
      <c r="D54" s="249"/>
      <c r="E54" s="249"/>
      <c r="F54" s="249"/>
      <c r="G54" s="249"/>
      <c r="H54" s="249"/>
      <c r="I54" s="249"/>
      <c r="J54" s="250"/>
      <c r="K54" s="250"/>
      <c r="L54" s="250"/>
      <c r="M54" s="250"/>
      <c r="N54" s="250"/>
    </row>
    <row r="55" spans="1:14" ht="19.95" customHeight="1">
      <c r="A55" s="250"/>
      <c r="B55" s="250"/>
      <c r="C55" s="250"/>
      <c r="D55" s="249"/>
      <c r="E55" s="249"/>
      <c r="F55" s="249"/>
      <c r="G55" s="249"/>
      <c r="H55" s="249"/>
      <c r="I55" s="249"/>
      <c r="J55" s="250"/>
      <c r="K55" s="250"/>
      <c r="L55" s="250"/>
      <c r="M55" s="250"/>
      <c r="N55" s="250"/>
    </row>
    <row r="56" spans="1:14" ht="19.95" customHeight="1">
      <c r="A56" s="250"/>
      <c r="B56" s="250"/>
      <c r="C56" s="250"/>
      <c r="D56" s="249"/>
      <c r="E56" s="249"/>
      <c r="F56" s="249"/>
      <c r="G56" s="249"/>
      <c r="H56" s="249"/>
      <c r="I56" s="249"/>
      <c r="J56" s="250"/>
      <c r="K56" s="250"/>
      <c r="L56" s="250"/>
      <c r="M56" s="250"/>
      <c r="N56" s="250"/>
    </row>
    <row r="57" spans="1:14" ht="19.95" customHeight="1">
      <c r="A57" s="250"/>
      <c r="B57" s="250"/>
      <c r="C57" s="250"/>
      <c r="D57" s="249"/>
      <c r="E57" s="249"/>
      <c r="F57" s="249"/>
      <c r="G57" s="249"/>
      <c r="H57" s="249"/>
      <c r="I57" s="249"/>
      <c r="J57" s="250"/>
      <c r="K57" s="250"/>
      <c r="L57" s="250"/>
      <c r="M57" s="250"/>
      <c r="N57" s="250"/>
    </row>
    <row r="58" spans="1:14" ht="19.95" customHeight="1">
      <c r="A58" s="250"/>
      <c r="B58" s="250"/>
      <c r="C58" s="250"/>
      <c r="D58" s="249"/>
      <c r="E58" s="249"/>
      <c r="F58" s="249"/>
      <c r="G58" s="249"/>
      <c r="H58" s="249"/>
      <c r="I58" s="249"/>
      <c r="J58" s="250"/>
      <c r="K58" s="250"/>
      <c r="L58" s="250"/>
      <c r="M58" s="250"/>
      <c r="N58" s="250"/>
    </row>
    <row r="59" spans="1:14" ht="19.95" customHeight="1">
      <c r="A59" s="250"/>
      <c r="B59" s="250"/>
      <c r="C59" s="250"/>
      <c r="D59" s="249"/>
      <c r="E59" s="249"/>
      <c r="F59" s="249"/>
      <c r="G59" s="249"/>
      <c r="H59" s="249"/>
      <c r="I59" s="249"/>
      <c r="J59" s="250"/>
      <c r="K59" s="250"/>
      <c r="L59" s="250"/>
      <c r="M59" s="250"/>
      <c r="N59" s="250"/>
    </row>
    <row r="60" spans="1:14" ht="19.95" customHeight="1">
      <c r="A60" s="250"/>
      <c r="B60" s="250"/>
      <c r="C60" s="250"/>
      <c r="D60" s="249"/>
      <c r="E60" s="249"/>
      <c r="F60" s="249"/>
      <c r="G60" s="249"/>
      <c r="H60" s="249"/>
      <c r="I60" s="249"/>
      <c r="J60" s="250"/>
      <c r="K60" s="250"/>
      <c r="L60" s="250"/>
      <c r="M60" s="250"/>
      <c r="N60" s="250"/>
    </row>
    <row r="61" spans="1:14" ht="19.95" customHeight="1">
      <c r="A61" s="250"/>
      <c r="B61" s="250"/>
      <c r="C61" s="250"/>
      <c r="D61" s="249"/>
      <c r="E61" s="249"/>
      <c r="F61" s="249"/>
      <c r="G61" s="249"/>
      <c r="H61" s="249"/>
      <c r="I61" s="249"/>
      <c r="J61" s="250"/>
      <c r="K61" s="250"/>
      <c r="L61" s="250"/>
      <c r="M61" s="250"/>
      <c r="N61" s="250"/>
    </row>
    <row r="62" spans="1:14" ht="19.95" customHeight="1">
      <c r="A62" s="250"/>
      <c r="B62" s="250"/>
      <c r="C62" s="250"/>
      <c r="D62" s="249"/>
      <c r="E62" s="249"/>
      <c r="F62" s="249"/>
      <c r="G62" s="249"/>
      <c r="H62" s="249"/>
      <c r="I62" s="249"/>
      <c r="J62" s="250"/>
      <c r="K62" s="250"/>
      <c r="L62" s="250"/>
      <c r="M62" s="250"/>
      <c r="N62" s="250"/>
    </row>
    <row r="63" spans="1:14" ht="19.95" customHeight="1">
      <c r="A63" s="250"/>
      <c r="B63" s="250"/>
      <c r="C63" s="250"/>
      <c r="D63" s="249"/>
      <c r="E63" s="249"/>
      <c r="F63" s="249"/>
      <c r="G63" s="249"/>
      <c r="H63" s="249"/>
      <c r="I63" s="249"/>
      <c r="J63" s="250"/>
      <c r="K63" s="250"/>
      <c r="L63" s="250"/>
      <c r="M63" s="250"/>
      <c r="N63" s="250"/>
    </row>
    <row r="64" spans="1:14" ht="19.95" customHeight="1">
      <c r="A64" s="250"/>
      <c r="B64" s="250"/>
      <c r="C64" s="250"/>
      <c r="D64" s="249"/>
      <c r="E64" s="249"/>
      <c r="F64" s="249"/>
      <c r="G64" s="249"/>
      <c r="H64" s="249"/>
      <c r="I64" s="249"/>
      <c r="J64" s="250"/>
      <c r="K64" s="250"/>
      <c r="L64" s="250"/>
      <c r="M64" s="250"/>
      <c r="N64" s="250"/>
    </row>
    <row r="65" spans="1:14" ht="19.95" customHeight="1">
      <c r="A65" s="250"/>
      <c r="B65" s="250"/>
      <c r="C65" s="250"/>
      <c r="D65" s="249"/>
      <c r="E65" s="249"/>
      <c r="F65" s="249"/>
      <c r="G65" s="249"/>
      <c r="H65" s="249"/>
      <c r="I65" s="249"/>
      <c r="J65" s="250"/>
      <c r="K65" s="250"/>
      <c r="L65" s="250"/>
      <c r="M65" s="250"/>
      <c r="N65" s="250"/>
    </row>
    <row r="66" spans="1:14" ht="19.95" customHeight="1">
      <c r="A66" s="250"/>
      <c r="B66" s="250"/>
      <c r="C66" s="250"/>
      <c r="D66" s="249"/>
      <c r="E66" s="249"/>
      <c r="F66" s="249"/>
      <c r="G66" s="249"/>
      <c r="H66" s="249"/>
      <c r="I66" s="249"/>
      <c r="J66" s="250"/>
      <c r="K66" s="250"/>
      <c r="L66" s="250"/>
      <c r="M66" s="250"/>
      <c r="N66" s="250"/>
    </row>
    <row r="67" spans="1:14" ht="19.95" customHeight="1">
      <c r="A67" s="250"/>
      <c r="B67" s="250"/>
      <c r="C67" s="250"/>
      <c r="D67" s="249"/>
      <c r="E67" s="249"/>
      <c r="F67" s="249"/>
      <c r="G67" s="249"/>
      <c r="H67" s="249"/>
      <c r="I67" s="249"/>
      <c r="J67" s="250"/>
      <c r="K67" s="250"/>
      <c r="L67" s="250"/>
      <c r="M67" s="250"/>
      <c r="N67" s="250"/>
    </row>
    <row r="68" spans="1:14" ht="19.95" customHeight="1">
      <c r="A68" s="250"/>
      <c r="B68" s="250"/>
      <c r="C68" s="250"/>
      <c r="D68" s="249"/>
      <c r="E68" s="249"/>
      <c r="F68" s="249"/>
      <c r="G68" s="249"/>
      <c r="H68" s="249"/>
      <c r="I68" s="249"/>
      <c r="J68" s="250"/>
      <c r="K68" s="250"/>
      <c r="L68" s="250"/>
      <c r="M68" s="250"/>
      <c r="N68" s="250"/>
    </row>
    <row r="69" spans="1:14" ht="19.95" customHeight="1">
      <c r="A69" s="250"/>
      <c r="B69" s="250"/>
      <c r="C69" s="250"/>
      <c r="D69" s="249"/>
      <c r="E69" s="249"/>
      <c r="F69" s="249"/>
      <c r="G69" s="249"/>
      <c r="H69" s="249"/>
      <c r="I69" s="249"/>
      <c r="J69" s="250"/>
      <c r="K69" s="250"/>
      <c r="L69" s="250"/>
      <c r="M69" s="250"/>
      <c r="N69" s="250"/>
    </row>
    <row r="70" spans="1:14" ht="19.95" customHeight="1">
      <c r="A70" s="250"/>
      <c r="B70" s="250"/>
      <c r="C70" s="250"/>
      <c r="D70" s="249"/>
      <c r="E70" s="249"/>
      <c r="F70" s="249"/>
      <c r="G70" s="249"/>
      <c r="H70" s="249"/>
      <c r="I70" s="249"/>
      <c r="J70" s="250"/>
      <c r="K70" s="250"/>
      <c r="L70" s="250"/>
      <c r="M70" s="250"/>
      <c r="N70" s="250"/>
    </row>
    <row r="71" spans="1:14" ht="19.95" customHeight="1">
      <c r="A71" s="250"/>
      <c r="B71" s="250"/>
      <c r="C71" s="250"/>
      <c r="D71" s="249"/>
      <c r="E71" s="249"/>
      <c r="F71" s="249"/>
      <c r="G71" s="249"/>
      <c r="H71" s="249"/>
      <c r="I71" s="249"/>
      <c r="J71" s="250"/>
      <c r="K71" s="250"/>
      <c r="L71" s="250"/>
      <c r="M71" s="250"/>
      <c r="N71" s="250"/>
    </row>
    <row r="72" spans="1:14" ht="19.95" customHeight="1">
      <c r="A72" s="250"/>
      <c r="B72" s="250"/>
      <c r="C72" s="250"/>
      <c r="D72" s="249"/>
      <c r="E72" s="249"/>
      <c r="F72" s="249"/>
      <c r="G72" s="249"/>
      <c r="H72" s="249"/>
      <c r="I72" s="249"/>
      <c r="J72" s="250"/>
      <c r="K72" s="250"/>
      <c r="L72" s="250"/>
      <c r="M72" s="250"/>
      <c r="N72" s="250"/>
    </row>
    <row r="73" spans="1:14" ht="19.95" customHeight="1">
      <c r="A73" s="250"/>
      <c r="B73" s="250"/>
      <c r="C73" s="250"/>
      <c r="D73" s="249"/>
      <c r="E73" s="249"/>
      <c r="F73" s="249"/>
      <c r="G73" s="249"/>
      <c r="H73" s="249"/>
      <c r="I73" s="249"/>
      <c r="J73" s="250"/>
      <c r="K73" s="250"/>
      <c r="L73" s="250"/>
      <c r="M73" s="250"/>
      <c r="N73" s="250"/>
    </row>
    <row r="74" spans="1:14" ht="19.95" customHeight="1">
      <c r="A74" s="250"/>
      <c r="B74" s="250"/>
      <c r="C74" s="250"/>
      <c r="D74" s="249"/>
      <c r="E74" s="249"/>
      <c r="F74" s="249"/>
      <c r="G74" s="249"/>
      <c r="H74" s="249"/>
      <c r="I74" s="249"/>
      <c r="J74" s="250"/>
      <c r="K74" s="250"/>
      <c r="L74" s="250"/>
      <c r="M74" s="250"/>
      <c r="N74" s="250"/>
    </row>
    <row r="75" spans="1:14" ht="19.95" customHeight="1">
      <c r="A75" s="250"/>
      <c r="B75" s="250"/>
      <c r="C75" s="250"/>
      <c r="D75" s="249"/>
      <c r="E75" s="249"/>
      <c r="F75" s="249"/>
      <c r="G75" s="249"/>
      <c r="H75" s="249"/>
      <c r="I75" s="249"/>
      <c r="J75" s="250"/>
      <c r="K75" s="250"/>
      <c r="L75" s="250"/>
      <c r="M75" s="250"/>
      <c r="N75" s="250"/>
    </row>
    <row r="76" spans="1:14" ht="19.95" customHeight="1">
      <c r="A76" s="250"/>
      <c r="B76" s="250"/>
      <c r="C76" s="250"/>
      <c r="D76" s="249"/>
      <c r="E76" s="249"/>
      <c r="F76" s="249"/>
      <c r="G76" s="249"/>
      <c r="H76" s="249"/>
      <c r="I76" s="249"/>
      <c r="J76" s="250"/>
      <c r="K76" s="250"/>
      <c r="L76" s="250"/>
      <c r="M76" s="250"/>
      <c r="N76" s="250"/>
    </row>
    <row r="77" spans="1:14" ht="19.95" customHeight="1">
      <c r="A77" s="250"/>
      <c r="B77" s="250"/>
      <c r="C77" s="250"/>
      <c r="D77" s="249"/>
      <c r="E77" s="249"/>
      <c r="F77" s="249"/>
      <c r="G77" s="249"/>
      <c r="H77" s="249"/>
      <c r="I77" s="249"/>
      <c r="J77" s="250"/>
      <c r="K77" s="250"/>
      <c r="L77" s="250"/>
      <c r="M77" s="250"/>
      <c r="N77" s="250"/>
    </row>
    <row r="78" spans="1:14" ht="19.95" customHeight="1">
      <c r="A78" s="250"/>
      <c r="B78" s="250"/>
      <c r="C78" s="250"/>
      <c r="D78" s="249"/>
      <c r="E78" s="249"/>
      <c r="F78" s="249"/>
      <c r="G78" s="249"/>
      <c r="H78" s="249"/>
      <c r="I78" s="249"/>
      <c r="J78" s="250"/>
      <c r="K78" s="250"/>
      <c r="L78" s="250"/>
      <c r="M78" s="250"/>
      <c r="N78" s="250"/>
    </row>
    <row r="79" spans="1:14" ht="19.95" customHeight="1">
      <c r="A79" s="250"/>
      <c r="B79" s="250"/>
      <c r="C79" s="250"/>
      <c r="D79" s="249"/>
      <c r="E79" s="249"/>
      <c r="F79" s="249"/>
      <c r="G79" s="249"/>
      <c r="H79" s="249"/>
      <c r="I79" s="249"/>
      <c r="J79" s="250"/>
      <c r="K79" s="250"/>
      <c r="L79" s="250"/>
      <c r="M79" s="250"/>
      <c r="N79" s="250"/>
    </row>
    <row r="80" spans="1:14" ht="19.95" customHeight="1">
      <c r="A80" s="250"/>
      <c r="B80" s="250"/>
      <c r="C80" s="250"/>
      <c r="D80" s="249"/>
      <c r="E80" s="249"/>
      <c r="F80" s="249"/>
      <c r="G80" s="249"/>
      <c r="H80" s="249"/>
      <c r="I80" s="249"/>
      <c r="J80" s="250"/>
      <c r="K80" s="250"/>
      <c r="L80" s="250"/>
      <c r="M80" s="250"/>
      <c r="N80" s="250"/>
    </row>
    <row r="81" spans="1:14" ht="19.95" customHeight="1">
      <c r="A81" s="250"/>
      <c r="B81" s="250"/>
      <c r="C81" s="250"/>
      <c r="D81" s="249"/>
      <c r="E81" s="249"/>
      <c r="F81" s="249"/>
      <c r="G81" s="249"/>
      <c r="H81" s="249"/>
      <c r="I81" s="249"/>
      <c r="J81" s="250"/>
      <c r="K81" s="250"/>
      <c r="L81" s="250"/>
      <c r="M81" s="250"/>
      <c r="N81" s="250"/>
    </row>
    <row r="82" spans="1:14" ht="19.95" customHeight="1">
      <c r="A82" s="250"/>
      <c r="B82" s="250"/>
      <c r="C82" s="250"/>
      <c r="D82" s="249"/>
      <c r="E82" s="249"/>
      <c r="F82" s="249"/>
      <c r="G82" s="249"/>
      <c r="H82" s="249"/>
      <c r="I82" s="249"/>
      <c r="J82" s="250"/>
      <c r="K82" s="250"/>
      <c r="L82" s="250"/>
      <c r="M82" s="250"/>
      <c r="N82" s="250"/>
    </row>
    <row r="83" spans="1:14" ht="19.95" customHeight="1">
      <c r="A83" s="250"/>
      <c r="B83" s="250"/>
      <c r="C83" s="250"/>
      <c r="D83" s="249"/>
      <c r="E83" s="249"/>
      <c r="F83" s="249"/>
      <c r="G83" s="249"/>
      <c r="H83" s="249"/>
      <c r="I83" s="249"/>
      <c r="J83" s="250"/>
      <c r="K83" s="250"/>
      <c r="L83" s="250"/>
      <c r="M83" s="250"/>
      <c r="N83" s="250"/>
    </row>
    <row r="84" spans="1:14" ht="19.95" customHeight="1">
      <c r="A84" s="250"/>
      <c r="B84" s="250"/>
      <c r="C84" s="250"/>
      <c r="D84" s="249"/>
      <c r="E84" s="249"/>
      <c r="F84" s="249"/>
      <c r="G84" s="249"/>
      <c r="H84" s="249"/>
      <c r="I84" s="249"/>
      <c r="J84" s="250"/>
      <c r="K84" s="250"/>
      <c r="L84" s="250"/>
      <c r="M84" s="250"/>
      <c r="N84" s="250"/>
    </row>
    <row r="85" spans="1:14" ht="19.95" customHeight="1">
      <c r="A85" s="250"/>
      <c r="B85" s="250"/>
      <c r="C85" s="250"/>
      <c r="D85" s="249"/>
      <c r="E85" s="249"/>
      <c r="F85" s="249"/>
      <c r="G85" s="249"/>
      <c r="H85" s="249"/>
      <c r="I85" s="249"/>
      <c r="J85" s="250"/>
      <c r="K85" s="250"/>
      <c r="L85" s="250"/>
      <c r="M85" s="250"/>
      <c r="N85" s="250"/>
    </row>
    <row r="86" spans="1:14" ht="19.95" customHeight="1">
      <c r="A86" s="250"/>
      <c r="B86" s="250"/>
      <c r="C86" s="250"/>
      <c r="D86" s="249"/>
      <c r="E86" s="249"/>
      <c r="F86" s="249"/>
      <c r="G86" s="249"/>
      <c r="H86" s="249"/>
      <c r="I86" s="249"/>
      <c r="J86" s="250"/>
      <c r="K86" s="250"/>
      <c r="L86" s="250"/>
      <c r="M86" s="250"/>
      <c r="N86" s="250"/>
    </row>
    <row r="87" spans="1:14" ht="19.95" customHeight="1">
      <c r="A87" s="250"/>
      <c r="B87" s="250"/>
      <c r="C87" s="250"/>
      <c r="D87" s="249"/>
      <c r="E87" s="249"/>
      <c r="F87" s="249"/>
      <c r="G87" s="249"/>
      <c r="H87" s="249"/>
      <c r="I87" s="249"/>
      <c r="J87" s="250"/>
      <c r="K87" s="250"/>
      <c r="L87" s="250"/>
      <c r="M87" s="250"/>
      <c r="N87" s="250"/>
    </row>
    <row r="88" spans="1:14" ht="19.95" customHeight="1">
      <c r="A88" s="250"/>
      <c r="B88" s="250"/>
      <c r="C88" s="250"/>
      <c r="D88" s="249"/>
      <c r="E88" s="249"/>
      <c r="F88" s="249"/>
      <c r="G88" s="249"/>
      <c r="H88" s="249"/>
      <c r="I88" s="249"/>
      <c r="J88" s="250"/>
      <c r="K88" s="250"/>
      <c r="L88" s="250"/>
      <c r="M88" s="250"/>
      <c r="N88" s="250"/>
    </row>
    <row r="89" spans="1:14" ht="19.95" customHeight="1">
      <c r="A89" s="250"/>
      <c r="B89" s="250"/>
      <c r="C89" s="250"/>
      <c r="D89" s="249"/>
      <c r="E89" s="249"/>
      <c r="F89" s="249"/>
      <c r="G89" s="249"/>
      <c r="H89" s="249"/>
      <c r="I89" s="249"/>
      <c r="J89" s="250"/>
      <c r="K89" s="250"/>
      <c r="L89" s="250"/>
      <c r="M89" s="250"/>
      <c r="N89" s="250"/>
    </row>
    <row r="90" spans="1:14" ht="19.95" customHeight="1">
      <c r="A90" s="250"/>
      <c r="B90" s="250"/>
      <c r="C90" s="250"/>
      <c r="D90" s="249"/>
      <c r="E90" s="249"/>
      <c r="F90" s="249"/>
      <c r="G90" s="249"/>
      <c r="H90" s="249"/>
      <c r="I90" s="249"/>
      <c r="J90" s="250"/>
      <c r="K90" s="250"/>
      <c r="L90" s="250"/>
      <c r="M90" s="250"/>
      <c r="N90" s="250"/>
    </row>
    <row r="91" spans="1:14" ht="19.95" customHeight="1">
      <c r="A91" s="250"/>
      <c r="B91" s="250"/>
      <c r="C91" s="250"/>
      <c r="D91" s="249"/>
      <c r="E91" s="249"/>
      <c r="F91" s="249"/>
      <c r="G91" s="249"/>
      <c r="H91" s="249"/>
      <c r="I91" s="249"/>
      <c r="J91" s="250"/>
      <c r="K91" s="250"/>
      <c r="L91" s="250"/>
      <c r="M91" s="250"/>
      <c r="N91" s="250"/>
    </row>
    <row r="92" spans="1:14" ht="19.95" customHeight="1">
      <c r="A92" s="250"/>
      <c r="B92" s="250"/>
      <c r="C92" s="250"/>
      <c r="D92" s="249"/>
      <c r="E92" s="249"/>
      <c r="F92" s="249"/>
      <c r="G92" s="249"/>
      <c r="H92" s="249"/>
      <c r="I92" s="249"/>
      <c r="J92" s="250"/>
      <c r="K92" s="250"/>
      <c r="L92" s="250"/>
      <c r="M92" s="250"/>
      <c r="N92" s="250"/>
    </row>
    <row r="93" spans="1:14" ht="19.95" customHeight="1">
      <c r="A93" s="250"/>
      <c r="B93" s="250"/>
      <c r="C93" s="250"/>
      <c r="D93" s="249"/>
      <c r="E93" s="249"/>
      <c r="F93" s="249"/>
      <c r="G93" s="249"/>
      <c r="H93" s="249"/>
      <c r="I93" s="249"/>
      <c r="J93" s="250"/>
      <c r="K93" s="250"/>
      <c r="L93" s="250"/>
      <c r="M93" s="250"/>
      <c r="N93" s="250"/>
    </row>
    <row r="94" spans="1:14" ht="19.95" customHeight="1">
      <c r="A94" s="250"/>
      <c r="B94" s="250"/>
      <c r="C94" s="250"/>
      <c r="D94" s="249"/>
      <c r="E94" s="249"/>
      <c r="F94" s="249"/>
      <c r="G94" s="249"/>
      <c r="H94" s="249"/>
      <c r="I94" s="249"/>
      <c r="J94" s="250"/>
      <c r="K94" s="250"/>
      <c r="L94" s="250"/>
      <c r="M94" s="250"/>
      <c r="N94" s="250"/>
    </row>
    <row r="95" spans="1:14" ht="19.95" customHeight="1">
      <c r="A95" s="250"/>
      <c r="B95" s="250"/>
      <c r="C95" s="250"/>
      <c r="D95" s="249"/>
      <c r="E95" s="249"/>
      <c r="F95" s="249"/>
      <c r="G95" s="249"/>
      <c r="H95" s="249"/>
      <c r="I95" s="249"/>
      <c r="J95" s="250"/>
      <c r="K95" s="250"/>
      <c r="L95" s="250"/>
      <c r="M95" s="250"/>
      <c r="N95" s="250"/>
    </row>
    <row r="96" spans="1:14" ht="19.95" customHeight="1">
      <c r="A96" s="250"/>
      <c r="B96" s="250"/>
      <c r="C96" s="250"/>
      <c r="D96" s="249"/>
      <c r="E96" s="249"/>
      <c r="F96" s="249"/>
      <c r="G96" s="249"/>
      <c r="H96" s="249"/>
      <c r="I96" s="249"/>
      <c r="J96" s="250"/>
      <c r="K96" s="250"/>
      <c r="L96" s="250"/>
      <c r="M96" s="250"/>
      <c r="N96" s="250"/>
    </row>
    <row r="97" spans="1:14" ht="19.95" customHeight="1">
      <c r="A97" s="250"/>
      <c r="B97" s="250"/>
      <c r="C97" s="250"/>
      <c r="D97" s="249"/>
      <c r="E97" s="249"/>
      <c r="F97" s="249"/>
      <c r="G97" s="249"/>
      <c r="H97" s="249"/>
      <c r="I97" s="249"/>
      <c r="J97" s="250"/>
      <c r="K97" s="250"/>
      <c r="L97" s="250"/>
      <c r="M97" s="250"/>
      <c r="N97" s="250"/>
    </row>
    <row r="98" spans="1:14" ht="19.95" customHeight="1">
      <c r="A98" s="250"/>
      <c r="B98" s="250"/>
      <c r="C98" s="250"/>
      <c r="D98" s="249"/>
      <c r="E98" s="249"/>
      <c r="F98" s="249"/>
      <c r="G98" s="249"/>
      <c r="H98" s="249"/>
      <c r="I98" s="249"/>
      <c r="J98" s="250"/>
      <c r="K98" s="250"/>
      <c r="L98" s="250"/>
      <c r="M98" s="250"/>
      <c r="N98" s="250"/>
    </row>
    <row r="99" spans="1:14" ht="19.95" customHeight="1">
      <c r="A99" s="250"/>
      <c r="B99" s="250"/>
      <c r="C99" s="250"/>
      <c r="D99" s="249"/>
      <c r="E99" s="249"/>
      <c r="F99" s="249"/>
      <c r="G99" s="249"/>
      <c r="H99" s="249"/>
      <c r="I99" s="249"/>
      <c r="J99" s="250"/>
      <c r="K99" s="250"/>
      <c r="L99" s="250"/>
      <c r="M99" s="250"/>
      <c r="N99" s="250"/>
    </row>
    <row r="100" spans="1:14" ht="19.95" customHeight="1">
      <c r="A100" s="250"/>
      <c r="B100" s="250"/>
      <c r="C100" s="250"/>
      <c r="D100" s="249"/>
      <c r="E100" s="249"/>
      <c r="F100" s="249"/>
      <c r="G100" s="249"/>
      <c r="H100" s="249"/>
      <c r="I100" s="249"/>
      <c r="J100" s="250"/>
      <c r="K100" s="250"/>
      <c r="L100" s="250"/>
      <c r="M100" s="250"/>
      <c r="N100" s="250"/>
    </row>
    <row r="101" spans="1:14" ht="19.95" customHeight="1">
      <c r="A101" s="250"/>
      <c r="B101" s="250"/>
      <c r="C101" s="250"/>
      <c r="D101" s="249"/>
      <c r="E101" s="249"/>
      <c r="F101" s="249"/>
      <c r="G101" s="249"/>
      <c r="H101" s="249"/>
      <c r="I101" s="249"/>
      <c r="J101" s="250"/>
      <c r="K101" s="250"/>
      <c r="L101" s="250"/>
      <c r="M101" s="250"/>
      <c r="N101" s="250"/>
    </row>
    <row r="102" spans="1:14" ht="19.95" customHeight="1">
      <c r="A102" s="250"/>
      <c r="B102" s="250"/>
      <c r="C102" s="250"/>
      <c r="D102" s="249"/>
      <c r="E102" s="249"/>
      <c r="F102" s="249"/>
      <c r="G102" s="249"/>
      <c r="H102" s="249"/>
      <c r="I102" s="249"/>
      <c r="J102" s="250"/>
      <c r="K102" s="250"/>
      <c r="L102" s="250"/>
      <c r="M102" s="250"/>
      <c r="N102" s="250"/>
    </row>
  </sheetData>
  <mergeCells count="2">
    <mergeCell ref="A1:O1"/>
    <mergeCell ref="A2:O2"/>
  </mergeCells>
  <phoneticPr fontId="9" type="noConversion"/>
  <dataValidations count="1">
    <dataValidation type="list" allowBlank="1" showInputMessage="1" showErrorMessage="1" sqref="B11:B16 B20:B25">
      <formula1>$A$37:$A$44</formula1>
    </dataValidation>
  </dataValidations>
  <hyperlinks>
    <hyperlink ref="O3" location="底稿目录!A1" display="H5A"/>
  </hyperlinks>
  <printOptions horizontalCentered="1"/>
  <pageMargins left="0.70866141732283472" right="0.70866141732283472" top="0.74803149606299213" bottom="0.74803149606299213" header="0.31496062992125984" footer="0.31496062992125984"/>
  <pageSetup paperSize="9" scale="68" orientation="landscape" blackAndWhite="1" r:id="rId1"/>
  <headerFooter>
    <oddFooter>&amp;C&amp;P/&amp;N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96"/>
  <sheetViews>
    <sheetView view="pageBreakPreview" zoomScaleSheetLayoutView="100" workbookViewId="0">
      <selection sqref="A1:N1"/>
    </sheetView>
  </sheetViews>
  <sheetFormatPr defaultColWidth="9" defaultRowHeight="19.95" customHeight="1"/>
  <cols>
    <col min="1" max="1" width="6.59765625" style="2" customWidth="1"/>
    <col min="2" max="2" width="14.19921875" style="2" customWidth="1"/>
    <col min="3" max="3" width="11.59765625" style="2" customWidth="1"/>
    <col min="4" max="4" width="15.59765625" style="14" customWidth="1"/>
    <col min="5" max="6" width="12.69921875" style="2" customWidth="1"/>
    <col min="7" max="8" width="10.09765625" style="2" customWidth="1"/>
    <col min="9" max="9" width="9.3984375" style="2" customWidth="1"/>
    <col min="10" max="10" width="10.19921875" style="2" customWidth="1"/>
    <col min="11" max="11" width="15.8984375" style="2" customWidth="1"/>
    <col min="12" max="12" width="11.59765625" style="2" customWidth="1"/>
    <col min="13" max="13" width="14.19921875" style="2" customWidth="1"/>
    <col min="14" max="14" width="12.69921875" style="14" customWidth="1"/>
    <col min="15" max="15" width="9" style="2"/>
    <col min="16" max="16" width="9.09765625" style="2" customWidth="1"/>
    <col min="17" max="16384" width="9" style="2"/>
  </cols>
  <sheetData>
    <row r="1" spans="1:17" s="189" customFormat="1" ht="19.95" customHeight="1">
      <c r="A1" s="545" t="s">
        <v>879</v>
      </c>
      <c r="B1" s="545"/>
      <c r="C1" s="545"/>
      <c r="D1" s="545"/>
      <c r="E1" s="545"/>
      <c r="F1" s="545"/>
      <c r="G1" s="545"/>
      <c r="H1" s="545"/>
      <c r="I1" s="545"/>
      <c r="J1" s="545"/>
      <c r="K1" s="545"/>
      <c r="L1" s="545"/>
      <c r="M1" s="545"/>
      <c r="N1" s="545"/>
    </row>
    <row r="2" spans="1:17" s="268" customFormat="1" ht="19.95" customHeight="1">
      <c r="A2" s="546" t="s">
        <v>882</v>
      </c>
      <c r="B2" s="546"/>
      <c r="C2" s="546"/>
      <c r="D2" s="546"/>
      <c r="E2" s="546"/>
      <c r="F2" s="546"/>
      <c r="G2" s="546"/>
      <c r="H2" s="546"/>
      <c r="I2" s="546"/>
      <c r="J2" s="546"/>
      <c r="K2" s="546"/>
      <c r="L2" s="546"/>
      <c r="M2" s="546"/>
      <c r="N2" s="546"/>
    </row>
    <row r="3" spans="1:17" ht="19.95" customHeight="1">
      <c r="A3" s="2" t="str">
        <f>底稿目录!A2</f>
        <v>被审计单位：</v>
      </c>
      <c r="D3" s="2"/>
      <c r="E3" s="14" t="str">
        <f>底稿目录!A4</f>
        <v>编制人：</v>
      </c>
      <c r="J3" s="79" t="str">
        <f>底稿目录!A6</f>
        <v>编制日期：</v>
      </c>
      <c r="K3" s="79"/>
      <c r="M3" s="339" t="s">
        <v>916</v>
      </c>
      <c r="N3" s="197" t="s">
        <v>179</v>
      </c>
    </row>
    <row r="4" spans="1:17" ht="19.95" customHeight="1">
      <c r="A4" s="2" t="str">
        <f>底稿目录!A3</f>
        <v>截止日：202X年12月31日</v>
      </c>
      <c r="D4" s="2"/>
      <c r="E4" s="14" t="str">
        <f>底稿目录!A5</f>
        <v>复核人：</v>
      </c>
      <c r="J4" s="79" t="str">
        <f>底稿目录!A7</f>
        <v>复核日期：</v>
      </c>
      <c r="K4" s="79"/>
      <c r="M4" s="339" t="s">
        <v>917</v>
      </c>
      <c r="N4" s="163"/>
    </row>
    <row r="5" spans="1:17" s="434" customFormat="1" ht="19.95" customHeight="1">
      <c r="A5" s="218" t="s">
        <v>355</v>
      </c>
      <c r="B5" s="218"/>
      <c r="C5" s="218"/>
      <c r="D5" s="433"/>
      <c r="E5" s="218"/>
      <c r="F5" s="218"/>
      <c r="G5" s="218"/>
      <c r="H5" s="218"/>
      <c r="I5" s="218"/>
      <c r="J5" s="218"/>
      <c r="K5" s="218"/>
      <c r="L5" s="218"/>
      <c r="M5" s="218"/>
      <c r="N5" s="433"/>
    </row>
    <row r="6" spans="1:17" s="434" customFormat="1" ht="19.95" customHeight="1">
      <c r="A6" s="435" t="s">
        <v>806</v>
      </c>
      <c r="B6" s="435"/>
      <c r="C6" s="435"/>
      <c r="D6" s="433"/>
      <c r="E6" s="435"/>
      <c r="F6" s="435"/>
      <c r="G6" s="435"/>
      <c r="H6" s="435"/>
      <c r="I6" s="435"/>
      <c r="J6" s="435"/>
      <c r="K6" s="435"/>
      <c r="L6" s="435"/>
      <c r="M6" s="435"/>
      <c r="N6" s="433"/>
    </row>
    <row r="7" spans="1:17" s="434" customFormat="1" ht="19.95" customHeight="1">
      <c r="A7" s="435" t="s">
        <v>807</v>
      </c>
      <c r="B7" s="435"/>
      <c r="C7" s="435"/>
      <c r="D7" s="433"/>
      <c r="E7" s="435"/>
      <c r="F7" s="435"/>
      <c r="G7" s="435"/>
      <c r="H7" s="435"/>
      <c r="I7" s="435"/>
      <c r="J7" s="435"/>
      <c r="K7" s="435"/>
      <c r="L7" s="435"/>
      <c r="M7" s="435"/>
      <c r="N7" s="433"/>
    </row>
    <row r="8" spans="1:17" s="434" customFormat="1" ht="19.95" customHeight="1">
      <c r="A8" s="218" t="s">
        <v>763</v>
      </c>
      <c r="B8" s="219"/>
      <c r="D8" s="454"/>
      <c r="E8" s="219"/>
      <c r="F8" s="219"/>
      <c r="G8" s="219"/>
      <c r="H8" s="219"/>
      <c r="I8" s="219"/>
      <c r="J8" s="219"/>
      <c r="K8" s="219"/>
      <c r="L8" s="219"/>
      <c r="M8" s="219"/>
      <c r="N8" s="433"/>
    </row>
    <row r="9" spans="1:17" s="12" customFormat="1" ht="28.8" customHeight="1">
      <c r="A9" s="173" t="s">
        <v>411</v>
      </c>
      <c r="B9" s="173" t="s">
        <v>808</v>
      </c>
      <c r="C9" s="173" t="s">
        <v>766</v>
      </c>
      <c r="D9" s="173" t="s">
        <v>809</v>
      </c>
      <c r="E9" s="173" t="s">
        <v>810</v>
      </c>
      <c r="F9" s="173" t="s">
        <v>811</v>
      </c>
      <c r="G9" s="173" t="s">
        <v>812</v>
      </c>
      <c r="H9" s="174" t="s">
        <v>813</v>
      </c>
      <c r="I9" s="173" t="s">
        <v>814</v>
      </c>
      <c r="J9" s="173" t="s">
        <v>815</v>
      </c>
      <c r="K9" s="174" t="s">
        <v>816</v>
      </c>
      <c r="L9" s="174" t="s">
        <v>817</v>
      </c>
      <c r="M9" s="174" t="s">
        <v>818</v>
      </c>
      <c r="N9" s="174" t="s">
        <v>819</v>
      </c>
      <c r="O9" s="254"/>
      <c r="P9" s="254"/>
      <c r="Q9" s="254"/>
    </row>
    <row r="10" spans="1:17" ht="19.95" customHeight="1">
      <c r="A10" s="84">
        <v>1</v>
      </c>
      <c r="B10" s="23"/>
      <c r="C10" s="23"/>
      <c r="D10" s="23"/>
      <c r="E10" s="327"/>
      <c r="F10" s="332"/>
      <c r="G10" s="332"/>
      <c r="H10" s="327"/>
      <c r="I10" s="327"/>
      <c r="J10" s="327"/>
      <c r="K10" s="158">
        <f>H10*I10</f>
        <v>0</v>
      </c>
      <c r="L10" s="158">
        <f>H10*J10</f>
        <v>0</v>
      </c>
      <c r="M10" s="324"/>
      <c r="N10" s="84"/>
      <c r="O10" s="217"/>
      <c r="P10" s="217"/>
      <c r="Q10" s="217"/>
    </row>
    <row r="11" spans="1:17" ht="19.95" customHeight="1">
      <c r="A11" s="84">
        <v>2</v>
      </c>
      <c r="B11" s="23"/>
      <c r="C11" s="23"/>
      <c r="D11" s="23"/>
      <c r="E11" s="327"/>
      <c r="F11" s="332"/>
      <c r="G11" s="332"/>
      <c r="H11" s="327"/>
      <c r="I11" s="327"/>
      <c r="J11" s="327"/>
      <c r="K11" s="158">
        <f t="shared" ref="K11:K17" si="0">H11*I11</f>
        <v>0</v>
      </c>
      <c r="L11" s="158">
        <f t="shared" ref="L11:L17" si="1">H11*J11</f>
        <v>0</v>
      </c>
      <c r="M11" s="324"/>
      <c r="N11" s="84"/>
      <c r="O11" s="217"/>
      <c r="P11" s="217"/>
      <c r="Q11" s="217"/>
    </row>
    <row r="12" spans="1:17" ht="19.95" customHeight="1">
      <c r="A12" s="84">
        <v>3</v>
      </c>
      <c r="B12" s="23"/>
      <c r="C12" s="23"/>
      <c r="D12" s="23"/>
      <c r="E12" s="327"/>
      <c r="F12" s="332"/>
      <c r="G12" s="332"/>
      <c r="H12" s="327"/>
      <c r="I12" s="327"/>
      <c r="J12" s="327"/>
      <c r="K12" s="158">
        <f t="shared" si="0"/>
        <v>0</v>
      </c>
      <c r="L12" s="158">
        <f t="shared" si="1"/>
        <v>0</v>
      </c>
      <c r="M12" s="324"/>
      <c r="N12" s="84"/>
      <c r="O12" s="217"/>
      <c r="P12" s="217"/>
      <c r="Q12" s="217"/>
    </row>
    <row r="13" spans="1:17" ht="19.95" customHeight="1">
      <c r="A13" s="84">
        <v>4</v>
      </c>
      <c r="B13" s="23"/>
      <c r="C13" s="23"/>
      <c r="D13" s="23"/>
      <c r="E13" s="327"/>
      <c r="F13" s="332"/>
      <c r="G13" s="332"/>
      <c r="H13" s="327"/>
      <c r="I13" s="327"/>
      <c r="J13" s="327"/>
      <c r="K13" s="158">
        <f t="shared" si="0"/>
        <v>0</v>
      </c>
      <c r="L13" s="158">
        <f t="shared" si="1"/>
        <v>0</v>
      </c>
      <c r="M13" s="324"/>
      <c r="N13" s="84"/>
      <c r="O13" s="217"/>
      <c r="P13" s="217"/>
      <c r="Q13" s="217"/>
    </row>
    <row r="14" spans="1:17" ht="19.95" customHeight="1">
      <c r="A14" s="84">
        <v>5</v>
      </c>
      <c r="B14" s="23"/>
      <c r="C14" s="23"/>
      <c r="D14" s="23"/>
      <c r="E14" s="327"/>
      <c r="F14" s="332"/>
      <c r="G14" s="332"/>
      <c r="H14" s="327"/>
      <c r="I14" s="327"/>
      <c r="J14" s="327"/>
      <c r="K14" s="158">
        <f t="shared" si="0"/>
        <v>0</v>
      </c>
      <c r="L14" s="158">
        <f t="shared" si="1"/>
        <v>0</v>
      </c>
      <c r="M14" s="324"/>
      <c r="N14" s="84"/>
      <c r="O14" s="217"/>
      <c r="P14" s="217"/>
      <c r="Q14" s="217"/>
    </row>
    <row r="15" spans="1:17" ht="19.95" customHeight="1">
      <c r="A15" s="84">
        <v>6</v>
      </c>
      <c r="B15" s="23"/>
      <c r="C15" s="23"/>
      <c r="D15" s="23"/>
      <c r="E15" s="327"/>
      <c r="F15" s="332"/>
      <c r="G15" s="332"/>
      <c r="H15" s="327"/>
      <c r="I15" s="327"/>
      <c r="J15" s="327"/>
      <c r="K15" s="158">
        <f t="shared" si="0"/>
        <v>0</v>
      </c>
      <c r="L15" s="158">
        <f t="shared" si="1"/>
        <v>0</v>
      </c>
      <c r="M15" s="324"/>
      <c r="N15" s="84"/>
      <c r="O15" s="217"/>
      <c r="P15" s="217"/>
      <c r="Q15" s="217"/>
    </row>
    <row r="16" spans="1:17" ht="19.95" customHeight="1">
      <c r="A16" s="84">
        <v>7</v>
      </c>
      <c r="B16" s="23"/>
      <c r="C16" s="23"/>
      <c r="D16" s="23"/>
      <c r="E16" s="327"/>
      <c r="F16" s="332"/>
      <c r="G16" s="332"/>
      <c r="H16" s="327"/>
      <c r="I16" s="327"/>
      <c r="J16" s="327"/>
      <c r="K16" s="158">
        <f t="shared" si="0"/>
        <v>0</v>
      </c>
      <c r="L16" s="158">
        <f t="shared" si="1"/>
        <v>0</v>
      </c>
      <c r="M16" s="324"/>
      <c r="N16" s="84"/>
      <c r="O16" s="217"/>
      <c r="P16" s="217"/>
      <c r="Q16" s="217"/>
    </row>
    <row r="17" spans="1:17" ht="19.95" customHeight="1">
      <c r="A17" s="84">
        <v>8</v>
      </c>
      <c r="B17" s="23"/>
      <c r="C17" s="23"/>
      <c r="D17" s="23"/>
      <c r="E17" s="327"/>
      <c r="F17" s="332"/>
      <c r="G17" s="332"/>
      <c r="H17" s="327"/>
      <c r="I17" s="327"/>
      <c r="J17" s="327"/>
      <c r="K17" s="158">
        <f t="shared" si="0"/>
        <v>0</v>
      </c>
      <c r="L17" s="158">
        <f t="shared" si="1"/>
        <v>0</v>
      </c>
      <c r="M17" s="324"/>
      <c r="N17" s="84"/>
      <c r="O17" s="217"/>
      <c r="P17" s="217"/>
      <c r="Q17" s="217"/>
    </row>
    <row r="18" spans="1:17" ht="19.95" customHeight="1">
      <c r="A18" s="48" t="s">
        <v>776</v>
      </c>
      <c r="B18" s="48"/>
      <c r="C18" s="48"/>
      <c r="D18" s="246"/>
      <c r="E18" s="48"/>
      <c r="F18" s="48"/>
      <c r="G18" s="48"/>
      <c r="H18" s="48"/>
      <c r="I18" s="48"/>
      <c r="J18" s="48"/>
      <c r="K18" s="48"/>
      <c r="L18" s="48"/>
      <c r="M18" s="48"/>
      <c r="N18" s="246"/>
      <c r="O18" s="217"/>
      <c r="P18" s="217"/>
      <c r="Q18" s="217"/>
    </row>
    <row r="19" spans="1:17" ht="19.95" customHeight="1">
      <c r="A19" s="50"/>
      <c r="B19" s="50"/>
      <c r="C19" s="237"/>
      <c r="D19" s="2"/>
      <c r="E19" s="50"/>
      <c r="F19" s="50"/>
      <c r="G19" s="50"/>
      <c r="H19" s="50"/>
      <c r="I19" s="50"/>
      <c r="J19" s="50"/>
      <c r="K19" s="50"/>
      <c r="L19" s="50"/>
      <c r="M19" s="50"/>
      <c r="N19" s="246"/>
    </row>
    <row r="20" spans="1:17" ht="19.95" customHeight="1">
      <c r="A20" s="50"/>
      <c r="B20" s="50"/>
      <c r="C20" s="237"/>
      <c r="D20" s="2"/>
      <c r="N20" s="247"/>
    </row>
    <row r="21" spans="1:17" ht="19.95" customHeight="1">
      <c r="A21" s="50"/>
      <c r="B21" s="50"/>
      <c r="C21" s="237"/>
      <c r="D21" s="2"/>
      <c r="E21" s="236"/>
      <c r="F21" s="236"/>
      <c r="G21" s="236"/>
      <c r="H21" s="236"/>
      <c r="I21" s="236"/>
      <c r="J21" s="236"/>
      <c r="K21" s="236"/>
      <c r="L21" s="236"/>
      <c r="M21" s="236"/>
      <c r="N21" s="246"/>
    </row>
    <row r="22" spans="1:17" ht="19.95" customHeight="1">
      <c r="A22" s="50"/>
      <c r="B22" s="50"/>
      <c r="C22" s="237"/>
      <c r="D22" s="2"/>
      <c r="E22" s="50"/>
      <c r="F22" s="50"/>
      <c r="G22" s="50"/>
      <c r="H22" s="50"/>
      <c r="I22" s="50"/>
      <c r="J22" s="50"/>
      <c r="K22" s="50"/>
      <c r="L22" s="50"/>
      <c r="M22" s="50"/>
      <c r="N22" s="247"/>
    </row>
    <row r="23" spans="1:17" ht="19.95" customHeight="1">
      <c r="A23" s="48" t="s">
        <v>777</v>
      </c>
      <c r="B23" s="48"/>
      <c r="C23" s="48"/>
      <c r="D23" s="248"/>
      <c r="E23" s="48"/>
      <c r="F23" s="48"/>
      <c r="G23" s="48"/>
      <c r="H23" s="48"/>
      <c r="I23" s="48"/>
      <c r="J23" s="48"/>
      <c r="K23" s="48"/>
      <c r="L23" s="48"/>
      <c r="M23" s="48"/>
      <c r="N23" s="247"/>
    </row>
    <row r="24" spans="1:17" ht="19.95" customHeight="1">
      <c r="A24" s="50"/>
      <c r="B24" s="50"/>
      <c r="C24" s="50"/>
      <c r="D24" s="248"/>
      <c r="E24" s="50"/>
      <c r="F24" s="50"/>
      <c r="G24" s="50"/>
      <c r="H24" s="50"/>
      <c r="I24" s="50"/>
      <c r="J24" s="50"/>
      <c r="K24" s="50"/>
      <c r="L24" s="50"/>
      <c r="M24" s="50"/>
      <c r="N24" s="247"/>
    </row>
    <row r="25" spans="1:17" ht="19.95" customHeight="1">
      <c r="A25" s="48"/>
      <c r="B25" s="48"/>
      <c r="C25" s="48"/>
      <c r="D25" s="249"/>
      <c r="E25" s="48"/>
      <c r="F25" s="48"/>
      <c r="G25" s="48"/>
      <c r="H25" s="48"/>
      <c r="I25" s="48"/>
      <c r="J25" s="48"/>
      <c r="K25" s="48"/>
      <c r="L25" s="48"/>
      <c r="M25" s="48"/>
      <c r="N25" s="249"/>
    </row>
    <row r="26" spans="1:17" ht="19.95" customHeight="1">
      <c r="A26" s="250"/>
      <c r="B26" s="250"/>
      <c r="C26" s="250"/>
      <c r="D26" s="249"/>
      <c r="E26" s="250"/>
      <c r="F26" s="250"/>
      <c r="G26" s="250"/>
      <c r="H26" s="250"/>
      <c r="I26" s="250"/>
      <c r="J26" s="250"/>
      <c r="K26" s="250"/>
      <c r="L26" s="250"/>
      <c r="M26" s="250"/>
      <c r="N26" s="249"/>
    </row>
    <row r="27" spans="1:17" ht="19.95" customHeight="1">
      <c r="A27" s="250"/>
      <c r="B27" s="250"/>
      <c r="C27" s="250"/>
      <c r="D27" s="249"/>
      <c r="E27" s="250"/>
      <c r="F27" s="250"/>
      <c r="G27" s="250"/>
      <c r="H27" s="250"/>
      <c r="I27" s="250"/>
      <c r="J27" s="250"/>
      <c r="K27" s="250"/>
      <c r="L27" s="250"/>
      <c r="M27" s="250"/>
      <c r="N27" s="249"/>
    </row>
    <row r="28" spans="1:17" ht="19.95" customHeight="1">
      <c r="A28" s="250"/>
      <c r="B28" s="250"/>
      <c r="C28" s="250"/>
      <c r="D28" s="249"/>
      <c r="E28" s="250"/>
      <c r="F28" s="250"/>
      <c r="G28" s="250"/>
      <c r="H28" s="250"/>
      <c r="I28" s="250"/>
      <c r="J28" s="250"/>
      <c r="K28" s="250"/>
      <c r="L28" s="250"/>
      <c r="M28" s="250"/>
      <c r="N28" s="249"/>
    </row>
    <row r="29" spans="1:17" ht="19.95" customHeight="1">
      <c r="A29" s="251"/>
      <c r="B29" s="250"/>
      <c r="C29" s="250"/>
      <c r="D29" s="249"/>
      <c r="E29" s="250"/>
      <c r="F29" s="250"/>
      <c r="G29" s="250"/>
      <c r="H29" s="250"/>
      <c r="I29" s="250"/>
      <c r="J29" s="250"/>
      <c r="K29" s="250"/>
      <c r="L29" s="250"/>
      <c r="M29" s="250"/>
      <c r="N29" s="249"/>
    </row>
    <row r="30" spans="1:17" ht="19.95" customHeight="1">
      <c r="A30" s="251"/>
      <c r="B30" s="250"/>
      <c r="C30" s="250"/>
      <c r="D30" s="249"/>
      <c r="E30" s="250"/>
      <c r="F30" s="250"/>
      <c r="G30" s="250"/>
      <c r="H30" s="250"/>
      <c r="I30" s="250"/>
      <c r="J30" s="250"/>
      <c r="K30" s="250"/>
      <c r="L30" s="250"/>
      <c r="M30" s="250"/>
      <c r="N30" s="249"/>
    </row>
    <row r="31" spans="1:17" ht="19.95" customHeight="1">
      <c r="A31" s="251"/>
      <c r="B31" s="250"/>
      <c r="C31" s="250"/>
      <c r="D31" s="249"/>
      <c r="E31" s="250"/>
      <c r="F31" s="250"/>
      <c r="G31" s="250"/>
      <c r="H31" s="250"/>
      <c r="I31" s="250"/>
      <c r="J31" s="250"/>
      <c r="K31" s="250"/>
      <c r="L31" s="250"/>
      <c r="M31" s="250"/>
      <c r="N31" s="249"/>
    </row>
    <row r="32" spans="1:17" ht="19.95" customHeight="1">
      <c r="A32" s="250"/>
      <c r="B32" s="250"/>
      <c r="C32" s="250"/>
      <c r="D32" s="249"/>
      <c r="E32" s="250"/>
      <c r="F32" s="250"/>
      <c r="G32" s="250"/>
      <c r="H32" s="250"/>
      <c r="I32" s="250"/>
      <c r="J32" s="250"/>
      <c r="K32" s="250"/>
      <c r="L32" s="250"/>
      <c r="M32" s="250"/>
      <c r="N32" s="249"/>
    </row>
    <row r="33" spans="1:14" ht="19.95" customHeight="1">
      <c r="A33" s="250"/>
      <c r="B33" s="250"/>
      <c r="C33" s="250"/>
      <c r="D33" s="249"/>
      <c r="E33" s="250"/>
      <c r="F33" s="250"/>
      <c r="G33" s="250"/>
      <c r="H33" s="250"/>
      <c r="I33" s="250"/>
      <c r="J33" s="250"/>
      <c r="K33" s="250"/>
      <c r="L33" s="250"/>
      <c r="M33" s="250"/>
      <c r="N33" s="249"/>
    </row>
    <row r="34" spans="1:14" ht="19.95" customHeight="1">
      <c r="A34" s="250"/>
      <c r="B34" s="250"/>
      <c r="C34" s="250"/>
      <c r="D34" s="249"/>
      <c r="E34" s="250"/>
      <c r="F34" s="250"/>
      <c r="G34" s="250"/>
      <c r="H34" s="250"/>
      <c r="I34" s="250"/>
      <c r="J34" s="250"/>
      <c r="K34" s="250"/>
      <c r="L34" s="250"/>
      <c r="M34" s="250"/>
      <c r="N34" s="249"/>
    </row>
    <row r="35" spans="1:14" ht="19.95" customHeight="1">
      <c r="A35" s="250"/>
      <c r="B35" s="250"/>
      <c r="C35" s="250"/>
      <c r="D35" s="249"/>
      <c r="E35" s="250"/>
      <c r="F35" s="250"/>
      <c r="G35" s="250"/>
      <c r="H35" s="250"/>
      <c r="I35" s="250"/>
      <c r="J35" s="250"/>
      <c r="K35" s="250"/>
      <c r="L35" s="250"/>
      <c r="M35" s="250"/>
      <c r="N35" s="249"/>
    </row>
    <row r="36" spans="1:14" ht="19.95" customHeight="1">
      <c r="A36" s="250"/>
      <c r="B36" s="250"/>
      <c r="C36" s="250"/>
      <c r="D36" s="249"/>
      <c r="E36" s="250"/>
      <c r="F36" s="250"/>
      <c r="G36" s="250"/>
      <c r="H36" s="250"/>
      <c r="I36" s="250"/>
      <c r="J36" s="250"/>
      <c r="K36" s="250"/>
      <c r="L36" s="250"/>
      <c r="M36" s="250"/>
      <c r="N36" s="249"/>
    </row>
    <row r="37" spans="1:14" ht="19.95" customHeight="1">
      <c r="A37" s="250"/>
      <c r="B37" s="250"/>
      <c r="C37" s="250"/>
      <c r="D37" s="249"/>
      <c r="E37" s="250"/>
      <c r="F37" s="250"/>
      <c r="G37" s="250"/>
      <c r="H37" s="250"/>
      <c r="I37" s="250"/>
      <c r="J37" s="250"/>
      <c r="K37" s="250"/>
      <c r="L37" s="250"/>
      <c r="M37" s="250"/>
      <c r="N37" s="249"/>
    </row>
    <row r="38" spans="1:14" ht="19.95" customHeight="1">
      <c r="A38" s="250"/>
      <c r="B38" s="250"/>
      <c r="C38" s="250"/>
      <c r="D38" s="249"/>
      <c r="E38" s="250"/>
      <c r="F38" s="250"/>
      <c r="G38" s="250"/>
      <c r="H38" s="250"/>
      <c r="I38" s="250"/>
      <c r="J38" s="250"/>
      <c r="K38" s="250"/>
      <c r="L38" s="250"/>
      <c r="M38" s="250"/>
      <c r="N38" s="249"/>
    </row>
    <row r="39" spans="1:14" ht="19.95" customHeight="1">
      <c r="A39" s="250"/>
      <c r="B39" s="250"/>
      <c r="C39" s="250"/>
      <c r="D39" s="249"/>
      <c r="E39" s="250"/>
      <c r="F39" s="250"/>
      <c r="G39" s="250"/>
      <c r="H39" s="250"/>
      <c r="I39" s="250"/>
      <c r="J39" s="250"/>
      <c r="K39" s="250"/>
      <c r="L39" s="250"/>
      <c r="M39" s="250"/>
      <c r="N39" s="249"/>
    </row>
    <row r="40" spans="1:14" ht="19.95" customHeight="1">
      <c r="A40" s="250"/>
      <c r="B40" s="250"/>
      <c r="C40" s="250"/>
      <c r="D40" s="249"/>
      <c r="E40" s="250"/>
      <c r="F40" s="250"/>
      <c r="G40" s="250"/>
      <c r="H40" s="250"/>
      <c r="I40" s="250"/>
      <c r="J40" s="250"/>
      <c r="K40" s="250"/>
      <c r="L40" s="250"/>
      <c r="M40" s="250"/>
      <c r="N40" s="249"/>
    </row>
    <row r="41" spans="1:14" ht="19.95" customHeight="1">
      <c r="A41" s="250"/>
      <c r="B41" s="250"/>
      <c r="C41" s="250"/>
      <c r="D41" s="249"/>
      <c r="E41" s="250"/>
      <c r="F41" s="250"/>
      <c r="G41" s="250"/>
      <c r="H41" s="250"/>
      <c r="I41" s="250"/>
      <c r="J41" s="250"/>
      <c r="K41" s="250"/>
      <c r="L41" s="250"/>
      <c r="M41" s="250"/>
      <c r="N41" s="249"/>
    </row>
    <row r="42" spans="1:14" ht="19.95" customHeight="1">
      <c r="A42" s="250"/>
      <c r="B42" s="250"/>
      <c r="C42" s="250"/>
      <c r="D42" s="249"/>
      <c r="E42" s="250"/>
      <c r="F42" s="250"/>
      <c r="G42" s="250"/>
      <c r="H42" s="250"/>
      <c r="I42" s="250"/>
      <c r="J42" s="250"/>
      <c r="K42" s="250"/>
      <c r="L42" s="250"/>
      <c r="M42" s="250"/>
      <c r="N42" s="249"/>
    </row>
    <row r="43" spans="1:14" ht="19.95" customHeight="1">
      <c r="A43" s="250"/>
      <c r="B43" s="250"/>
      <c r="C43" s="250"/>
      <c r="D43" s="249"/>
      <c r="E43" s="250"/>
      <c r="F43" s="250"/>
      <c r="G43" s="250"/>
      <c r="H43" s="250"/>
      <c r="I43" s="250"/>
      <c r="J43" s="250"/>
      <c r="K43" s="250"/>
      <c r="L43" s="250"/>
      <c r="M43" s="250"/>
      <c r="N43" s="249"/>
    </row>
    <row r="44" spans="1:14" ht="19.95" customHeight="1">
      <c r="A44" s="250"/>
      <c r="B44" s="250"/>
      <c r="C44" s="250"/>
      <c r="D44" s="249"/>
      <c r="E44" s="250"/>
      <c r="F44" s="250"/>
      <c r="G44" s="250"/>
      <c r="H44" s="250"/>
      <c r="I44" s="250"/>
      <c r="J44" s="250"/>
      <c r="K44" s="250"/>
      <c r="L44" s="250"/>
      <c r="M44" s="250"/>
      <c r="N44" s="249"/>
    </row>
    <row r="45" spans="1:14" ht="19.95" customHeight="1">
      <c r="A45" s="250"/>
      <c r="B45" s="250"/>
      <c r="C45" s="250"/>
      <c r="D45" s="249"/>
      <c r="E45" s="250"/>
      <c r="F45" s="250"/>
      <c r="G45" s="250"/>
      <c r="H45" s="250"/>
      <c r="I45" s="250"/>
      <c r="J45" s="250"/>
      <c r="K45" s="250"/>
      <c r="L45" s="250"/>
      <c r="M45" s="250"/>
      <c r="N45" s="249"/>
    </row>
    <row r="46" spans="1:14" ht="19.95" customHeight="1">
      <c r="A46" s="250"/>
      <c r="B46" s="250"/>
      <c r="C46" s="250"/>
      <c r="D46" s="249"/>
      <c r="E46" s="250"/>
      <c r="F46" s="250"/>
      <c r="G46" s="250"/>
      <c r="H46" s="250"/>
      <c r="I46" s="250"/>
      <c r="J46" s="250"/>
      <c r="K46" s="250"/>
      <c r="L46" s="250"/>
      <c r="M46" s="250"/>
      <c r="N46" s="249"/>
    </row>
    <row r="47" spans="1:14" ht="19.95" customHeight="1">
      <c r="A47" s="250"/>
      <c r="B47" s="250"/>
      <c r="C47" s="250"/>
      <c r="D47" s="249"/>
      <c r="E47" s="250"/>
      <c r="F47" s="250"/>
      <c r="G47" s="250"/>
      <c r="H47" s="250"/>
      <c r="I47" s="250"/>
      <c r="J47" s="250"/>
      <c r="K47" s="250"/>
      <c r="L47" s="250"/>
      <c r="M47" s="250"/>
      <c r="N47" s="249"/>
    </row>
    <row r="48" spans="1:14" ht="19.95" customHeight="1">
      <c r="A48" s="250"/>
      <c r="B48" s="250"/>
      <c r="C48" s="250"/>
      <c r="D48" s="249"/>
      <c r="E48" s="250"/>
      <c r="F48" s="250"/>
      <c r="G48" s="250"/>
      <c r="H48" s="250"/>
      <c r="I48" s="250"/>
      <c r="J48" s="250"/>
      <c r="K48" s="250"/>
      <c r="L48" s="250"/>
      <c r="M48" s="250"/>
      <c r="N48" s="249"/>
    </row>
    <row r="49" spans="1:14" ht="19.95" customHeight="1">
      <c r="A49" s="250"/>
      <c r="B49" s="250"/>
      <c r="C49" s="250"/>
      <c r="D49" s="249"/>
      <c r="E49" s="250"/>
      <c r="F49" s="250"/>
      <c r="G49" s="250"/>
      <c r="H49" s="250"/>
      <c r="I49" s="250"/>
      <c r="J49" s="250"/>
      <c r="K49" s="250"/>
      <c r="L49" s="250"/>
      <c r="M49" s="250"/>
      <c r="N49" s="249"/>
    </row>
    <row r="50" spans="1:14" ht="19.95" customHeight="1">
      <c r="A50" s="250"/>
      <c r="B50" s="250"/>
      <c r="C50" s="250"/>
      <c r="D50" s="249"/>
      <c r="E50" s="250"/>
      <c r="F50" s="250"/>
      <c r="G50" s="250"/>
      <c r="H50" s="250"/>
      <c r="I50" s="250"/>
      <c r="J50" s="250"/>
      <c r="K50" s="250"/>
      <c r="L50" s="250"/>
      <c r="M50" s="250"/>
      <c r="N50" s="249"/>
    </row>
    <row r="51" spans="1:14" ht="19.95" customHeight="1">
      <c r="A51" s="250"/>
      <c r="B51" s="250"/>
      <c r="C51" s="250"/>
      <c r="D51" s="249"/>
      <c r="E51" s="250"/>
      <c r="F51" s="250"/>
      <c r="G51" s="250"/>
      <c r="H51" s="250"/>
      <c r="I51" s="250"/>
      <c r="J51" s="250"/>
      <c r="K51" s="250"/>
      <c r="L51" s="250"/>
      <c r="M51" s="250"/>
      <c r="N51" s="249"/>
    </row>
    <row r="52" spans="1:14" ht="19.95" customHeight="1">
      <c r="A52" s="250"/>
      <c r="B52" s="250"/>
      <c r="C52" s="250"/>
      <c r="D52" s="249"/>
      <c r="E52" s="250"/>
      <c r="F52" s="250"/>
      <c r="G52" s="250"/>
      <c r="H52" s="250"/>
      <c r="I52" s="250"/>
      <c r="J52" s="250"/>
      <c r="K52" s="250"/>
      <c r="L52" s="250"/>
      <c r="M52" s="250"/>
      <c r="N52" s="249"/>
    </row>
    <row r="53" spans="1:14" ht="19.95" customHeight="1">
      <c r="A53" s="250"/>
      <c r="B53" s="250"/>
      <c r="C53" s="250"/>
      <c r="D53" s="249"/>
      <c r="E53" s="250"/>
      <c r="F53" s="250"/>
      <c r="G53" s="250"/>
      <c r="H53" s="250"/>
      <c r="I53" s="250"/>
      <c r="J53" s="250"/>
      <c r="K53" s="250"/>
      <c r="L53" s="250"/>
      <c r="M53" s="250"/>
      <c r="N53" s="249"/>
    </row>
    <row r="54" spans="1:14" ht="19.95" customHeight="1">
      <c r="A54" s="250"/>
      <c r="B54" s="250"/>
      <c r="C54" s="250"/>
      <c r="D54" s="249"/>
      <c r="E54" s="250"/>
      <c r="F54" s="250"/>
      <c r="G54" s="250"/>
      <c r="H54" s="250"/>
      <c r="I54" s="250"/>
      <c r="J54" s="250"/>
      <c r="K54" s="250"/>
      <c r="L54" s="250"/>
      <c r="M54" s="250"/>
      <c r="N54" s="249"/>
    </row>
    <row r="55" spans="1:14" ht="19.95" customHeight="1">
      <c r="A55" s="250"/>
      <c r="B55" s="250"/>
      <c r="C55" s="250"/>
      <c r="D55" s="249"/>
      <c r="E55" s="250"/>
      <c r="F55" s="250"/>
      <c r="G55" s="250"/>
      <c r="H55" s="250"/>
      <c r="I55" s="250"/>
      <c r="J55" s="250"/>
      <c r="K55" s="250"/>
      <c r="L55" s="250"/>
      <c r="M55" s="250"/>
      <c r="N55" s="249"/>
    </row>
    <row r="56" spans="1:14" ht="19.95" customHeight="1">
      <c r="A56" s="250"/>
      <c r="B56" s="250"/>
      <c r="C56" s="250"/>
      <c r="D56" s="249"/>
      <c r="E56" s="250"/>
      <c r="F56" s="250"/>
      <c r="G56" s="250"/>
      <c r="H56" s="250"/>
      <c r="I56" s="250"/>
      <c r="J56" s="250"/>
      <c r="K56" s="250"/>
      <c r="L56" s="250"/>
      <c r="M56" s="250"/>
      <c r="N56" s="249"/>
    </row>
    <row r="57" spans="1:14" ht="19.95" customHeight="1">
      <c r="A57" s="250"/>
      <c r="B57" s="250"/>
      <c r="C57" s="250"/>
      <c r="D57" s="249"/>
      <c r="E57" s="250"/>
      <c r="F57" s="250"/>
      <c r="G57" s="250"/>
      <c r="H57" s="250"/>
      <c r="I57" s="250"/>
      <c r="J57" s="250"/>
      <c r="K57" s="250"/>
      <c r="L57" s="250"/>
      <c r="M57" s="250"/>
      <c r="N57" s="249"/>
    </row>
    <row r="58" spans="1:14" ht="19.95" customHeight="1">
      <c r="A58" s="250"/>
      <c r="B58" s="250"/>
      <c r="C58" s="250"/>
      <c r="D58" s="249"/>
      <c r="E58" s="250"/>
      <c r="F58" s="250"/>
      <c r="G58" s="250"/>
      <c r="H58" s="250"/>
      <c r="I58" s="250"/>
      <c r="J58" s="250"/>
      <c r="K58" s="250"/>
      <c r="L58" s="250"/>
      <c r="M58" s="250"/>
      <c r="N58" s="249"/>
    </row>
    <row r="59" spans="1:14" ht="19.95" customHeight="1">
      <c r="A59" s="250"/>
      <c r="B59" s="250"/>
      <c r="C59" s="250"/>
      <c r="D59" s="249"/>
      <c r="E59" s="250"/>
      <c r="F59" s="250"/>
      <c r="G59" s="250"/>
      <c r="H59" s="250"/>
      <c r="I59" s="250"/>
      <c r="J59" s="250"/>
      <c r="K59" s="250"/>
      <c r="L59" s="250"/>
      <c r="M59" s="250"/>
      <c r="N59" s="249"/>
    </row>
    <row r="60" spans="1:14" ht="19.95" customHeight="1">
      <c r="A60" s="250"/>
      <c r="B60" s="250"/>
      <c r="C60" s="250"/>
      <c r="D60" s="249"/>
      <c r="E60" s="250"/>
      <c r="F60" s="250"/>
      <c r="G60" s="250"/>
      <c r="H60" s="250"/>
      <c r="I60" s="250"/>
      <c r="J60" s="250"/>
      <c r="K60" s="250"/>
      <c r="L60" s="250"/>
      <c r="M60" s="250"/>
      <c r="N60" s="249"/>
    </row>
    <row r="61" spans="1:14" ht="19.95" customHeight="1">
      <c r="A61" s="250"/>
      <c r="B61" s="250"/>
      <c r="C61" s="250"/>
      <c r="D61" s="249"/>
      <c r="E61" s="250"/>
      <c r="F61" s="250"/>
      <c r="G61" s="250"/>
      <c r="H61" s="250"/>
      <c r="I61" s="250"/>
      <c r="J61" s="250"/>
      <c r="K61" s="250"/>
      <c r="L61" s="250"/>
      <c r="M61" s="250"/>
      <c r="N61" s="249"/>
    </row>
    <row r="62" spans="1:14" ht="19.95" customHeight="1">
      <c r="A62" s="250"/>
      <c r="B62" s="250"/>
      <c r="C62" s="250"/>
      <c r="D62" s="249"/>
      <c r="E62" s="250"/>
      <c r="F62" s="250"/>
      <c r="G62" s="250"/>
      <c r="H62" s="250"/>
      <c r="I62" s="250"/>
      <c r="J62" s="250"/>
      <c r="K62" s="250"/>
      <c r="L62" s="250"/>
      <c r="M62" s="250"/>
      <c r="N62" s="249"/>
    </row>
    <row r="63" spans="1:14" ht="19.95" customHeight="1">
      <c r="A63" s="250"/>
      <c r="B63" s="250"/>
      <c r="C63" s="250"/>
      <c r="D63" s="249"/>
      <c r="E63" s="250"/>
      <c r="F63" s="250"/>
      <c r="G63" s="250"/>
      <c r="H63" s="250"/>
      <c r="I63" s="250"/>
      <c r="J63" s="250"/>
      <c r="K63" s="250"/>
      <c r="L63" s="250"/>
      <c r="M63" s="250"/>
      <c r="N63" s="249"/>
    </row>
    <row r="64" spans="1:14" ht="19.95" customHeight="1">
      <c r="A64" s="250"/>
      <c r="B64" s="250"/>
      <c r="C64" s="250"/>
      <c r="D64" s="249"/>
      <c r="E64" s="250"/>
      <c r="F64" s="250"/>
      <c r="G64" s="250"/>
      <c r="H64" s="250"/>
      <c r="I64" s="250"/>
      <c r="J64" s="250"/>
      <c r="K64" s="250"/>
      <c r="L64" s="250"/>
      <c r="M64" s="250"/>
      <c r="N64" s="249"/>
    </row>
    <row r="65" spans="1:14" ht="19.95" customHeight="1">
      <c r="A65" s="250"/>
      <c r="B65" s="250"/>
      <c r="C65" s="250"/>
      <c r="D65" s="249"/>
      <c r="E65" s="250"/>
      <c r="F65" s="250"/>
      <c r="G65" s="250"/>
      <c r="H65" s="250"/>
      <c r="I65" s="250"/>
      <c r="J65" s="250"/>
      <c r="K65" s="250"/>
      <c r="L65" s="250"/>
      <c r="M65" s="250"/>
      <c r="N65" s="249"/>
    </row>
    <row r="66" spans="1:14" ht="19.95" customHeight="1">
      <c r="A66" s="250"/>
      <c r="B66" s="250"/>
      <c r="C66" s="250"/>
      <c r="D66" s="249"/>
      <c r="E66" s="250"/>
      <c r="F66" s="250"/>
      <c r="G66" s="250"/>
      <c r="H66" s="250"/>
      <c r="I66" s="250"/>
      <c r="J66" s="250"/>
      <c r="K66" s="250"/>
      <c r="L66" s="250"/>
      <c r="M66" s="250"/>
      <c r="N66" s="249"/>
    </row>
    <row r="67" spans="1:14" ht="19.95" customHeight="1">
      <c r="A67" s="250"/>
      <c r="B67" s="250"/>
      <c r="C67" s="250"/>
      <c r="D67" s="249"/>
      <c r="E67" s="250"/>
      <c r="F67" s="250"/>
      <c r="G67" s="250"/>
      <c r="H67" s="250"/>
      <c r="I67" s="250"/>
      <c r="J67" s="250"/>
      <c r="K67" s="250"/>
      <c r="L67" s="250"/>
      <c r="M67" s="250"/>
      <c r="N67" s="249"/>
    </row>
    <row r="68" spans="1:14" ht="19.95" customHeight="1">
      <c r="A68" s="250"/>
      <c r="B68" s="250"/>
      <c r="C68" s="250"/>
      <c r="D68" s="249"/>
      <c r="E68" s="250"/>
      <c r="F68" s="250"/>
      <c r="G68" s="250"/>
      <c r="H68" s="250"/>
      <c r="I68" s="250"/>
      <c r="J68" s="250"/>
      <c r="K68" s="250"/>
      <c r="L68" s="250"/>
      <c r="M68" s="250"/>
      <c r="N68" s="249"/>
    </row>
    <row r="69" spans="1:14" ht="19.95" customHeight="1">
      <c r="A69" s="250"/>
      <c r="B69" s="250"/>
      <c r="C69" s="250"/>
      <c r="D69" s="249"/>
      <c r="E69" s="250"/>
      <c r="F69" s="250"/>
      <c r="G69" s="250"/>
      <c r="H69" s="250"/>
      <c r="I69" s="250"/>
      <c r="J69" s="250"/>
      <c r="K69" s="250"/>
      <c r="L69" s="250"/>
      <c r="M69" s="250"/>
      <c r="N69" s="249"/>
    </row>
    <row r="70" spans="1:14" ht="19.95" customHeight="1">
      <c r="A70" s="250"/>
      <c r="B70" s="250"/>
      <c r="C70" s="250"/>
      <c r="D70" s="249"/>
      <c r="E70" s="250"/>
      <c r="F70" s="250"/>
      <c r="G70" s="250"/>
      <c r="H70" s="250"/>
      <c r="I70" s="250"/>
      <c r="J70" s="250"/>
      <c r="K70" s="250"/>
      <c r="L70" s="250"/>
      <c r="M70" s="250"/>
      <c r="N70" s="249"/>
    </row>
    <row r="71" spans="1:14" ht="19.95" customHeight="1">
      <c r="A71" s="250"/>
      <c r="B71" s="250"/>
      <c r="C71" s="250"/>
      <c r="D71" s="249"/>
      <c r="E71" s="250"/>
      <c r="F71" s="250"/>
      <c r="G71" s="250"/>
      <c r="H71" s="250"/>
      <c r="I71" s="250"/>
      <c r="J71" s="250"/>
      <c r="K71" s="250"/>
      <c r="L71" s="250"/>
      <c r="M71" s="250"/>
      <c r="N71" s="249"/>
    </row>
    <row r="72" spans="1:14" ht="19.95" customHeight="1">
      <c r="A72" s="250"/>
      <c r="B72" s="250"/>
      <c r="C72" s="250"/>
      <c r="D72" s="249"/>
      <c r="E72" s="250"/>
      <c r="F72" s="250"/>
      <c r="G72" s="250"/>
      <c r="H72" s="250"/>
      <c r="I72" s="250"/>
      <c r="J72" s="250"/>
      <c r="K72" s="250"/>
      <c r="L72" s="250"/>
      <c r="M72" s="250"/>
      <c r="N72" s="249"/>
    </row>
    <row r="73" spans="1:14" ht="19.95" customHeight="1">
      <c r="A73" s="250"/>
      <c r="B73" s="250"/>
      <c r="C73" s="250"/>
      <c r="D73" s="249"/>
      <c r="E73" s="250"/>
      <c r="F73" s="250"/>
      <c r="G73" s="250"/>
      <c r="H73" s="250"/>
      <c r="I73" s="250"/>
      <c r="J73" s="250"/>
      <c r="K73" s="250"/>
      <c r="L73" s="250"/>
      <c r="M73" s="250"/>
      <c r="N73" s="249"/>
    </row>
    <row r="74" spans="1:14" ht="19.95" customHeight="1">
      <c r="A74" s="250"/>
      <c r="B74" s="250"/>
      <c r="C74" s="250"/>
      <c r="D74" s="249"/>
      <c r="E74" s="250"/>
      <c r="F74" s="250"/>
      <c r="G74" s="250"/>
      <c r="H74" s="250"/>
      <c r="I74" s="250"/>
      <c r="J74" s="250"/>
      <c r="K74" s="250"/>
      <c r="L74" s="250"/>
      <c r="M74" s="250"/>
      <c r="N74" s="249"/>
    </row>
    <row r="75" spans="1:14" ht="19.95" customHeight="1">
      <c r="A75" s="250"/>
      <c r="B75" s="250"/>
      <c r="C75" s="250"/>
      <c r="D75" s="249"/>
      <c r="E75" s="250"/>
      <c r="F75" s="250"/>
      <c r="G75" s="250"/>
      <c r="H75" s="250"/>
      <c r="I75" s="250"/>
      <c r="J75" s="250"/>
      <c r="K75" s="250"/>
      <c r="L75" s="250"/>
      <c r="M75" s="250"/>
      <c r="N75" s="249"/>
    </row>
    <row r="76" spans="1:14" ht="19.95" customHeight="1">
      <c r="A76" s="250"/>
      <c r="B76" s="250"/>
      <c r="C76" s="250"/>
      <c r="D76" s="249"/>
      <c r="E76" s="250"/>
      <c r="F76" s="250"/>
      <c r="G76" s="250"/>
      <c r="H76" s="250"/>
      <c r="I76" s="250"/>
      <c r="J76" s="250"/>
      <c r="K76" s="250"/>
      <c r="L76" s="250"/>
      <c r="M76" s="250"/>
      <c r="N76" s="249"/>
    </row>
    <row r="77" spans="1:14" ht="19.95" customHeight="1">
      <c r="A77" s="250"/>
      <c r="B77" s="250"/>
      <c r="C77" s="250"/>
      <c r="D77" s="249"/>
      <c r="E77" s="250"/>
      <c r="F77" s="250"/>
      <c r="G77" s="250"/>
      <c r="H77" s="250"/>
      <c r="I77" s="250"/>
      <c r="J77" s="250"/>
      <c r="K77" s="250"/>
      <c r="L77" s="250"/>
      <c r="M77" s="250"/>
      <c r="N77" s="249"/>
    </row>
    <row r="78" spans="1:14" ht="19.95" customHeight="1">
      <c r="A78" s="250"/>
      <c r="B78" s="250"/>
      <c r="C78" s="250"/>
      <c r="D78" s="249"/>
      <c r="E78" s="250"/>
      <c r="F78" s="250"/>
      <c r="G78" s="250"/>
      <c r="H78" s="250"/>
      <c r="I78" s="250"/>
      <c r="J78" s="250"/>
      <c r="K78" s="250"/>
      <c r="L78" s="250"/>
      <c r="M78" s="250"/>
      <c r="N78" s="249"/>
    </row>
    <row r="79" spans="1:14" ht="19.95" customHeight="1">
      <c r="A79" s="250"/>
      <c r="B79" s="250"/>
      <c r="C79" s="250"/>
      <c r="D79" s="249"/>
      <c r="E79" s="250"/>
      <c r="F79" s="250"/>
      <c r="G79" s="250"/>
      <c r="H79" s="250"/>
      <c r="I79" s="250"/>
      <c r="J79" s="250"/>
      <c r="K79" s="250"/>
      <c r="L79" s="250"/>
      <c r="M79" s="250"/>
      <c r="N79" s="249"/>
    </row>
    <row r="80" spans="1:14" ht="19.95" customHeight="1">
      <c r="A80" s="250"/>
      <c r="B80" s="250"/>
      <c r="C80" s="250"/>
      <c r="D80" s="249"/>
      <c r="E80" s="250"/>
      <c r="F80" s="250"/>
      <c r="G80" s="250"/>
      <c r="H80" s="250"/>
      <c r="I80" s="250"/>
      <c r="J80" s="250"/>
      <c r="K80" s="250"/>
      <c r="L80" s="250"/>
      <c r="M80" s="250"/>
      <c r="N80" s="249"/>
    </row>
    <row r="81" spans="1:14" ht="19.95" customHeight="1">
      <c r="A81" s="250"/>
      <c r="B81" s="250"/>
      <c r="C81" s="250"/>
      <c r="D81" s="249"/>
      <c r="E81" s="250"/>
      <c r="F81" s="250"/>
      <c r="G81" s="250"/>
      <c r="H81" s="250"/>
      <c r="I81" s="250"/>
      <c r="J81" s="250"/>
      <c r="K81" s="250"/>
      <c r="L81" s="250"/>
      <c r="M81" s="250"/>
      <c r="N81" s="249"/>
    </row>
    <row r="82" spans="1:14" ht="19.95" customHeight="1">
      <c r="A82" s="250"/>
      <c r="B82" s="250"/>
      <c r="C82" s="250"/>
      <c r="D82" s="249"/>
      <c r="E82" s="250"/>
      <c r="F82" s="250"/>
      <c r="G82" s="250"/>
      <c r="H82" s="250"/>
      <c r="I82" s="250"/>
      <c r="J82" s="250"/>
      <c r="K82" s="250"/>
      <c r="L82" s="250"/>
      <c r="M82" s="250"/>
      <c r="N82" s="249"/>
    </row>
    <row r="83" spans="1:14" ht="19.95" customHeight="1">
      <c r="A83" s="250"/>
      <c r="B83" s="250"/>
      <c r="C83" s="250"/>
      <c r="D83" s="249"/>
      <c r="E83" s="250"/>
      <c r="F83" s="250"/>
      <c r="G83" s="250"/>
      <c r="H83" s="250"/>
      <c r="I83" s="250"/>
      <c r="J83" s="250"/>
      <c r="K83" s="250"/>
      <c r="L83" s="250"/>
      <c r="M83" s="250"/>
      <c r="N83" s="249"/>
    </row>
    <row r="84" spans="1:14" ht="19.95" customHeight="1">
      <c r="A84" s="250"/>
      <c r="B84" s="250"/>
      <c r="C84" s="250"/>
      <c r="D84" s="249"/>
      <c r="E84" s="250"/>
      <c r="F84" s="250"/>
      <c r="G84" s="250"/>
      <c r="H84" s="250"/>
      <c r="I84" s="250"/>
      <c r="J84" s="250"/>
      <c r="K84" s="250"/>
      <c r="L84" s="250"/>
      <c r="M84" s="250"/>
      <c r="N84" s="249"/>
    </row>
    <row r="85" spans="1:14" ht="19.95" customHeight="1">
      <c r="A85" s="250"/>
      <c r="B85" s="250"/>
      <c r="C85" s="250"/>
      <c r="D85" s="249"/>
      <c r="E85" s="250"/>
      <c r="F85" s="250"/>
      <c r="G85" s="250"/>
      <c r="H85" s="250"/>
      <c r="I85" s="250"/>
      <c r="J85" s="250"/>
      <c r="K85" s="250"/>
      <c r="L85" s="250"/>
      <c r="M85" s="250"/>
      <c r="N85" s="249"/>
    </row>
    <row r="86" spans="1:14" ht="19.95" customHeight="1">
      <c r="A86" s="250"/>
      <c r="B86" s="250"/>
      <c r="C86" s="250"/>
      <c r="D86" s="249"/>
      <c r="E86" s="250"/>
      <c r="F86" s="250"/>
      <c r="G86" s="250"/>
      <c r="H86" s="250"/>
      <c r="I86" s="250"/>
      <c r="J86" s="250"/>
      <c r="K86" s="250"/>
      <c r="L86" s="250"/>
      <c r="M86" s="250"/>
      <c r="N86" s="249"/>
    </row>
    <row r="87" spans="1:14" ht="19.95" customHeight="1">
      <c r="A87" s="250"/>
      <c r="B87" s="250"/>
      <c r="C87" s="250"/>
      <c r="D87" s="249"/>
      <c r="E87" s="250"/>
      <c r="F87" s="250"/>
      <c r="G87" s="250"/>
      <c r="H87" s="250"/>
      <c r="I87" s="250"/>
      <c r="J87" s="250"/>
      <c r="K87" s="250"/>
      <c r="L87" s="250"/>
      <c r="M87" s="250"/>
      <c r="N87" s="249"/>
    </row>
    <row r="88" spans="1:14" ht="19.95" customHeight="1">
      <c r="A88" s="250"/>
      <c r="B88" s="250"/>
      <c r="C88" s="250"/>
      <c r="D88" s="249"/>
      <c r="E88" s="250"/>
      <c r="F88" s="250"/>
      <c r="G88" s="250"/>
      <c r="H88" s="250"/>
      <c r="I88" s="250"/>
      <c r="J88" s="250"/>
      <c r="K88" s="250"/>
      <c r="L88" s="250"/>
      <c r="M88" s="250"/>
      <c r="N88" s="249"/>
    </row>
    <row r="89" spans="1:14" ht="19.95" customHeight="1">
      <c r="A89" s="250"/>
      <c r="B89" s="250"/>
      <c r="C89" s="250"/>
      <c r="D89" s="249"/>
      <c r="E89" s="250"/>
      <c r="F89" s="250"/>
      <c r="G89" s="250"/>
      <c r="H89" s="250"/>
      <c r="I89" s="250"/>
      <c r="J89" s="250"/>
      <c r="K89" s="250"/>
      <c r="L89" s="250"/>
      <c r="M89" s="250"/>
      <c r="N89" s="249"/>
    </row>
    <row r="90" spans="1:14" ht="19.95" customHeight="1">
      <c r="A90" s="250"/>
      <c r="B90" s="250"/>
      <c r="C90" s="250"/>
      <c r="D90" s="249"/>
      <c r="E90" s="250"/>
      <c r="F90" s="250"/>
      <c r="G90" s="250"/>
      <c r="H90" s="250"/>
      <c r="I90" s="250"/>
      <c r="J90" s="250"/>
      <c r="K90" s="250"/>
      <c r="L90" s="250"/>
      <c r="M90" s="250"/>
      <c r="N90" s="249"/>
    </row>
    <row r="91" spans="1:14" ht="19.95" customHeight="1">
      <c r="A91" s="250"/>
      <c r="B91" s="250"/>
      <c r="C91" s="250"/>
      <c r="D91" s="249"/>
      <c r="E91" s="250"/>
      <c r="F91" s="250"/>
      <c r="G91" s="250"/>
      <c r="H91" s="250"/>
      <c r="I91" s="250"/>
      <c r="J91" s="250"/>
      <c r="K91" s="250"/>
      <c r="L91" s="250"/>
      <c r="M91" s="250"/>
      <c r="N91" s="249"/>
    </row>
    <row r="92" spans="1:14" ht="19.95" customHeight="1">
      <c r="A92" s="250"/>
      <c r="B92" s="250"/>
      <c r="C92" s="250"/>
      <c r="D92" s="249"/>
      <c r="E92" s="250"/>
      <c r="F92" s="250"/>
      <c r="G92" s="250"/>
      <c r="H92" s="250"/>
      <c r="I92" s="250"/>
      <c r="J92" s="250"/>
      <c r="K92" s="250"/>
      <c r="L92" s="250"/>
      <c r="M92" s="250"/>
      <c r="N92" s="249"/>
    </row>
    <row r="93" spans="1:14" ht="19.95" customHeight="1">
      <c r="A93" s="250"/>
      <c r="B93" s="250"/>
      <c r="C93" s="250"/>
      <c r="D93" s="249"/>
      <c r="E93" s="250"/>
      <c r="F93" s="250"/>
      <c r="G93" s="250"/>
      <c r="H93" s="250"/>
      <c r="I93" s="250"/>
      <c r="J93" s="250"/>
      <c r="K93" s="250"/>
      <c r="L93" s="250"/>
      <c r="M93" s="250"/>
      <c r="N93" s="249"/>
    </row>
    <row r="94" spans="1:14" ht="19.95" customHeight="1">
      <c r="A94" s="250"/>
      <c r="B94" s="250"/>
      <c r="C94" s="250"/>
      <c r="D94" s="249"/>
      <c r="E94" s="250"/>
      <c r="F94" s="250"/>
      <c r="G94" s="250"/>
      <c r="H94" s="250"/>
      <c r="I94" s="250"/>
      <c r="J94" s="250"/>
      <c r="K94" s="250"/>
      <c r="L94" s="250"/>
      <c r="M94" s="250"/>
      <c r="N94" s="249"/>
    </row>
    <row r="95" spans="1:14" ht="19.95" customHeight="1">
      <c r="A95" s="250"/>
      <c r="B95" s="250"/>
      <c r="C95" s="250"/>
      <c r="D95" s="249"/>
      <c r="E95" s="250"/>
      <c r="F95" s="250"/>
      <c r="G95" s="250"/>
      <c r="H95" s="250"/>
      <c r="I95" s="250"/>
      <c r="J95" s="250"/>
      <c r="K95" s="250"/>
      <c r="L95" s="250"/>
      <c r="M95" s="250"/>
      <c r="N95" s="249"/>
    </row>
    <row r="96" spans="1:14" ht="19.95" customHeight="1">
      <c r="A96" s="250"/>
      <c r="B96" s="250"/>
      <c r="C96" s="250"/>
      <c r="D96" s="249"/>
      <c r="E96" s="250"/>
      <c r="F96" s="250"/>
      <c r="G96" s="250"/>
      <c r="H96" s="250"/>
      <c r="I96" s="250"/>
      <c r="J96" s="250"/>
      <c r="K96" s="250"/>
      <c r="L96" s="250"/>
      <c r="M96" s="250"/>
      <c r="N96" s="249"/>
    </row>
  </sheetData>
  <mergeCells count="2">
    <mergeCell ref="A1:N1"/>
    <mergeCell ref="A2:N2"/>
  </mergeCells>
  <phoneticPr fontId="9" type="noConversion"/>
  <dataValidations count="1">
    <dataValidation type="list" allowBlank="1" showInputMessage="1" showErrorMessage="1" sqref="M10:M17">
      <formula1>"√,X"</formula1>
    </dataValidation>
  </dataValidations>
  <hyperlinks>
    <hyperlink ref="N3" location="底稿目录!A1" display="H5A"/>
  </hyperlinks>
  <printOptions horizontalCentered="1"/>
  <pageMargins left="0.70866141732283472" right="0.70866141732283472" top="0.74803149606299213" bottom="0.74803149606299213" header="0.31496062992125984" footer="0.31496062992125984"/>
  <pageSetup paperSize="9" scale="73" orientation="landscape" blackAndWhite="1" r:id="rId1"/>
  <headerFooter>
    <oddFooter>&amp;C&amp;P/&amp;N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T125"/>
  <sheetViews>
    <sheetView view="pageBreakPreview" zoomScaleSheetLayoutView="100" workbookViewId="0">
      <selection activeCell="L3" sqref="L3"/>
    </sheetView>
  </sheetViews>
  <sheetFormatPr defaultColWidth="9" defaultRowHeight="19.95" customHeight="1"/>
  <cols>
    <col min="1" max="1" width="13.8984375" style="2" customWidth="1"/>
    <col min="2" max="2" width="11.59765625" style="2" customWidth="1"/>
    <col min="3" max="3" width="15.59765625" style="2" customWidth="1"/>
    <col min="4" max="5" width="11.59765625" style="2" customWidth="1"/>
    <col min="6" max="6" width="12.3984375" style="2" customWidth="1"/>
    <col min="7" max="8" width="18.19921875" style="14" customWidth="1"/>
    <col min="9" max="9" width="19.59765625" style="14" customWidth="1"/>
    <col min="10" max="10" width="20.69921875" style="14" customWidth="1"/>
    <col min="11" max="11" width="22.19921875" style="14" customWidth="1"/>
    <col min="12" max="12" width="18.19921875" style="14" customWidth="1"/>
    <col min="13" max="15" width="8" style="2" customWidth="1"/>
    <col min="16" max="16" width="10" style="2" customWidth="1"/>
    <col min="17" max="17" width="10.3984375" style="2" customWidth="1"/>
    <col min="18" max="18" width="9" style="2"/>
    <col min="19" max="19" width="9.09765625" style="2" customWidth="1"/>
    <col min="20" max="16384" width="9" style="2"/>
  </cols>
  <sheetData>
    <row r="1" spans="1:20" s="189" customFormat="1" ht="19.95" customHeight="1">
      <c r="A1" s="545" t="s">
        <v>879</v>
      </c>
      <c r="B1" s="545"/>
      <c r="C1" s="545"/>
      <c r="D1" s="545"/>
      <c r="E1" s="545"/>
      <c r="F1" s="545"/>
      <c r="G1" s="545"/>
      <c r="H1" s="545"/>
      <c r="I1" s="545"/>
      <c r="J1" s="545"/>
      <c r="K1" s="545"/>
      <c r="L1" s="545"/>
    </row>
    <row r="2" spans="1:20" s="268" customFormat="1" ht="19.95" customHeight="1">
      <c r="A2" s="546" t="s">
        <v>881</v>
      </c>
      <c r="B2" s="546"/>
      <c r="C2" s="546"/>
      <c r="D2" s="546"/>
      <c r="E2" s="546"/>
      <c r="F2" s="546"/>
      <c r="G2" s="546"/>
      <c r="H2" s="546"/>
      <c r="I2" s="546"/>
      <c r="J2" s="546"/>
      <c r="K2" s="546"/>
      <c r="L2" s="546"/>
    </row>
    <row r="3" spans="1:20" ht="19.95" customHeight="1">
      <c r="A3" s="2" t="str">
        <f>底稿目录!A2</f>
        <v>被审计单位：</v>
      </c>
      <c r="E3" s="14" t="str">
        <f>底稿目录!A4</f>
        <v>编制人：</v>
      </c>
      <c r="G3" s="2"/>
      <c r="I3" s="2"/>
      <c r="J3" s="2" t="str">
        <f>底稿目录!A6</f>
        <v>编制日期：</v>
      </c>
      <c r="K3" s="339" t="s">
        <v>916</v>
      </c>
      <c r="L3" s="197" t="s">
        <v>180</v>
      </c>
    </row>
    <row r="4" spans="1:20" ht="19.95" customHeight="1">
      <c r="A4" s="2" t="str">
        <f>底稿目录!A3</f>
        <v>截止日：202X年12月31日</v>
      </c>
      <c r="E4" s="14" t="str">
        <f>底稿目录!A5</f>
        <v>复核人：</v>
      </c>
      <c r="G4" s="2"/>
      <c r="I4" s="2"/>
      <c r="J4" s="2" t="str">
        <f>底稿目录!A7</f>
        <v>复核日期：</v>
      </c>
      <c r="K4" s="339" t="s">
        <v>917</v>
      </c>
      <c r="L4" s="163"/>
    </row>
    <row r="5" spans="1:20" s="434" customFormat="1" ht="19.95" customHeight="1">
      <c r="A5" s="218" t="s">
        <v>820</v>
      </c>
      <c r="B5" s="218"/>
      <c r="C5" s="218"/>
      <c r="D5" s="433"/>
      <c r="E5" s="218"/>
      <c r="F5" s="218"/>
      <c r="G5" s="218"/>
      <c r="H5" s="218"/>
      <c r="I5" s="218"/>
      <c r="J5" s="218"/>
      <c r="K5" s="218"/>
      <c r="L5" s="433"/>
      <c r="M5" s="219"/>
      <c r="N5" s="219"/>
      <c r="O5" s="219"/>
      <c r="P5" s="219"/>
      <c r="Q5" s="219"/>
    </row>
    <row r="6" spans="1:20" s="18" customFormat="1" ht="19.95" customHeight="1">
      <c r="A6" s="48" t="s">
        <v>763</v>
      </c>
      <c r="B6" s="217"/>
      <c r="C6" s="217"/>
      <c r="D6" s="217"/>
      <c r="E6" s="217"/>
      <c r="F6" s="217"/>
      <c r="G6" s="45"/>
      <c r="H6" s="216"/>
      <c r="I6" s="216"/>
      <c r="J6" s="48"/>
      <c r="K6" s="48"/>
      <c r="L6" s="216"/>
      <c r="M6" s="217"/>
      <c r="N6" s="217"/>
      <c r="O6" s="217"/>
      <c r="P6" s="217"/>
      <c r="Q6" s="217"/>
    </row>
    <row r="7" spans="1:20" ht="19.95" customHeight="1">
      <c r="A7" s="601" t="s">
        <v>821</v>
      </c>
      <c r="B7" s="603" t="s">
        <v>822</v>
      </c>
      <c r="C7" s="603" t="s">
        <v>823</v>
      </c>
      <c r="D7" s="600" t="s">
        <v>824</v>
      </c>
      <c r="E7" s="600" t="s">
        <v>825</v>
      </c>
      <c r="F7" s="600" t="s">
        <v>826</v>
      </c>
      <c r="G7" s="599" t="s">
        <v>827</v>
      </c>
      <c r="H7" s="599"/>
      <c r="I7" s="599"/>
      <c r="J7" s="599"/>
      <c r="K7" s="599"/>
      <c r="L7" s="599"/>
      <c r="M7" s="217"/>
      <c r="N7" s="217"/>
      <c r="O7" s="217"/>
      <c r="P7" s="217"/>
      <c r="Q7" s="217"/>
      <c r="R7" s="217"/>
      <c r="S7" s="217"/>
      <c r="T7" s="217"/>
    </row>
    <row r="8" spans="1:20" ht="49.8">
      <c r="A8" s="602"/>
      <c r="B8" s="604"/>
      <c r="C8" s="604"/>
      <c r="D8" s="600"/>
      <c r="E8" s="600"/>
      <c r="F8" s="600"/>
      <c r="G8" s="198" t="s">
        <v>828</v>
      </c>
      <c r="H8" s="198" t="s">
        <v>829</v>
      </c>
      <c r="I8" s="198" t="s">
        <v>830</v>
      </c>
      <c r="J8" s="255" t="s">
        <v>831</v>
      </c>
      <c r="K8" s="198" t="s">
        <v>832</v>
      </c>
      <c r="L8" s="198" t="s">
        <v>833</v>
      </c>
      <c r="M8" s="217"/>
      <c r="N8" s="217"/>
      <c r="O8" s="217"/>
      <c r="P8" s="217"/>
      <c r="Q8" s="217"/>
      <c r="R8" s="217"/>
      <c r="S8" s="217"/>
      <c r="T8" s="217"/>
    </row>
    <row r="9" spans="1:20" ht="19.95" customHeight="1">
      <c r="A9" s="312">
        <v>1</v>
      </c>
      <c r="B9" s="312"/>
      <c r="C9" s="256"/>
      <c r="D9" s="256"/>
      <c r="E9" s="333"/>
      <c r="F9" s="312"/>
      <c r="G9" s="324"/>
      <c r="H9" s="324"/>
      <c r="I9" s="324"/>
      <c r="J9" s="324"/>
      <c r="K9" s="324"/>
      <c r="L9" s="324"/>
      <c r="M9" s="217"/>
      <c r="N9" s="217"/>
      <c r="O9" s="217"/>
      <c r="P9" s="217"/>
      <c r="Q9" s="217"/>
      <c r="R9" s="217"/>
      <c r="S9" s="217"/>
      <c r="T9" s="217"/>
    </row>
    <row r="10" spans="1:20" ht="19.95" customHeight="1">
      <c r="A10" s="312">
        <v>2</v>
      </c>
      <c r="B10" s="312"/>
      <c r="C10" s="256"/>
      <c r="D10" s="256"/>
      <c r="E10" s="333"/>
      <c r="F10" s="312"/>
      <c r="G10" s="324"/>
      <c r="H10" s="324"/>
      <c r="I10" s="324"/>
      <c r="J10" s="324"/>
      <c r="K10" s="324"/>
      <c r="L10" s="324"/>
      <c r="M10" s="217"/>
      <c r="N10" s="217"/>
      <c r="O10" s="217"/>
      <c r="P10" s="217"/>
      <c r="Q10" s="217"/>
      <c r="R10" s="217"/>
      <c r="S10" s="217"/>
      <c r="T10" s="217"/>
    </row>
    <row r="11" spans="1:20" ht="19.95" customHeight="1">
      <c r="A11" s="312">
        <v>3</v>
      </c>
      <c r="B11" s="312"/>
      <c r="C11" s="256"/>
      <c r="D11" s="256"/>
      <c r="E11" s="333"/>
      <c r="F11" s="312"/>
      <c r="G11" s="324"/>
      <c r="H11" s="324"/>
      <c r="I11" s="324"/>
      <c r="J11" s="324"/>
      <c r="K11" s="324"/>
      <c r="L11" s="324"/>
      <c r="M11" s="217"/>
      <c r="N11" s="217"/>
      <c r="O11" s="217"/>
      <c r="P11" s="217"/>
      <c r="Q11" s="217"/>
      <c r="R11" s="217"/>
      <c r="S11" s="217"/>
      <c r="T11" s="217"/>
    </row>
    <row r="12" spans="1:20" ht="19.95" customHeight="1">
      <c r="A12" s="312">
        <v>4</v>
      </c>
      <c r="B12" s="312"/>
      <c r="C12" s="256"/>
      <c r="D12" s="256"/>
      <c r="E12" s="333"/>
      <c r="F12" s="312"/>
      <c r="G12" s="324"/>
      <c r="H12" s="324"/>
      <c r="I12" s="324"/>
      <c r="J12" s="324"/>
      <c r="K12" s="324"/>
      <c r="L12" s="324"/>
      <c r="M12" s="217"/>
      <c r="N12" s="217"/>
      <c r="O12" s="217"/>
      <c r="P12" s="217"/>
      <c r="Q12" s="217"/>
      <c r="R12" s="217"/>
      <c r="S12" s="217"/>
      <c r="T12" s="217"/>
    </row>
    <row r="13" spans="1:20" ht="19.95" customHeight="1">
      <c r="A13" s="312">
        <v>5</v>
      </c>
      <c r="B13" s="312"/>
      <c r="C13" s="256"/>
      <c r="D13" s="256"/>
      <c r="E13" s="333"/>
      <c r="F13" s="312"/>
      <c r="G13" s="324"/>
      <c r="H13" s="324"/>
      <c r="I13" s="324"/>
      <c r="J13" s="324"/>
      <c r="K13" s="324"/>
      <c r="L13" s="324"/>
      <c r="M13" s="217"/>
      <c r="N13" s="217"/>
      <c r="O13" s="217"/>
      <c r="P13" s="217"/>
      <c r="Q13" s="217"/>
      <c r="R13" s="217"/>
      <c r="S13" s="217"/>
      <c r="T13" s="217"/>
    </row>
    <row r="14" spans="1:20" ht="19.95" customHeight="1">
      <c r="A14" s="312">
        <v>6</v>
      </c>
      <c r="B14" s="312"/>
      <c r="C14" s="256"/>
      <c r="D14" s="256"/>
      <c r="E14" s="333"/>
      <c r="F14" s="312"/>
      <c r="G14" s="324"/>
      <c r="H14" s="324"/>
      <c r="I14" s="324"/>
      <c r="J14" s="324"/>
      <c r="K14" s="324"/>
      <c r="L14" s="324"/>
      <c r="M14" s="217"/>
      <c r="N14" s="217"/>
      <c r="O14" s="217"/>
      <c r="P14" s="217"/>
      <c r="Q14" s="217"/>
      <c r="R14" s="217"/>
      <c r="S14" s="217"/>
      <c r="T14" s="217"/>
    </row>
    <row r="15" spans="1:20" ht="19.95" customHeight="1">
      <c r="A15" s="312">
        <v>7</v>
      </c>
      <c r="B15" s="312"/>
      <c r="C15" s="256"/>
      <c r="D15" s="256"/>
      <c r="E15" s="333"/>
      <c r="F15" s="312"/>
      <c r="G15" s="324"/>
      <c r="H15" s="324"/>
      <c r="I15" s="324"/>
      <c r="J15" s="324"/>
      <c r="K15" s="324"/>
      <c r="L15" s="324"/>
      <c r="M15" s="217"/>
      <c r="N15" s="217"/>
      <c r="O15" s="217"/>
      <c r="P15" s="217"/>
      <c r="Q15" s="217"/>
      <c r="R15" s="217"/>
      <c r="S15" s="217"/>
      <c r="T15" s="217"/>
    </row>
    <row r="16" spans="1:20" ht="19.95" customHeight="1">
      <c r="A16" s="312">
        <v>8</v>
      </c>
      <c r="B16" s="312"/>
      <c r="C16" s="256"/>
      <c r="D16" s="256"/>
      <c r="E16" s="333"/>
      <c r="F16" s="312"/>
      <c r="G16" s="324"/>
      <c r="H16" s="324"/>
      <c r="I16" s="324"/>
      <c r="J16" s="324"/>
      <c r="K16" s="324"/>
      <c r="L16" s="324"/>
      <c r="M16" s="217"/>
      <c r="N16" s="217"/>
      <c r="O16" s="217"/>
      <c r="P16" s="217"/>
      <c r="Q16" s="217"/>
      <c r="R16" s="217"/>
      <c r="S16" s="217"/>
      <c r="T16" s="217"/>
    </row>
    <row r="17" spans="1:20" ht="19.95" customHeight="1">
      <c r="A17" s="484" t="s">
        <v>1035</v>
      </c>
      <c r="B17" s="236"/>
      <c r="C17" s="239"/>
      <c r="D17" s="239"/>
      <c r="E17" s="239"/>
      <c r="F17" s="239"/>
      <c r="G17" s="258"/>
      <c r="H17" s="258"/>
      <c r="I17" s="258"/>
      <c r="J17" s="258"/>
      <c r="K17" s="258"/>
      <c r="L17" s="258"/>
      <c r="M17" s="217"/>
      <c r="N17" s="217"/>
      <c r="O17" s="217"/>
      <c r="P17" s="217"/>
      <c r="Q17" s="217"/>
      <c r="R17" s="217"/>
      <c r="S17" s="217"/>
      <c r="T17" s="217"/>
    </row>
    <row r="18" spans="1:20" ht="19.95" customHeight="1">
      <c r="A18" s="599" t="s">
        <v>834</v>
      </c>
      <c r="B18" s="600" t="s">
        <v>835</v>
      </c>
      <c r="C18" s="600"/>
      <c r="D18" s="600"/>
      <c r="E18" s="600"/>
      <c r="F18" s="600"/>
      <c r="G18" s="600"/>
      <c r="H18" s="600"/>
      <c r="I18" s="600" t="s">
        <v>836</v>
      </c>
      <c r="J18" s="217"/>
      <c r="K18" s="217"/>
      <c r="L18" s="217"/>
      <c r="M18" s="217"/>
      <c r="N18" s="217"/>
      <c r="O18" s="217"/>
      <c r="P18" s="217"/>
      <c r="Q18" s="217"/>
      <c r="R18" s="217"/>
      <c r="S18" s="217"/>
      <c r="T18" s="217"/>
    </row>
    <row r="19" spans="1:20" ht="19.95" customHeight="1">
      <c r="A19" s="599"/>
      <c r="B19" s="255" t="s">
        <v>837</v>
      </c>
      <c r="C19" s="255" t="s">
        <v>838</v>
      </c>
      <c r="D19" s="255" t="s">
        <v>839</v>
      </c>
      <c r="E19" s="255" t="s">
        <v>840</v>
      </c>
      <c r="F19" s="255" t="s">
        <v>841</v>
      </c>
      <c r="G19" s="255" t="s">
        <v>842</v>
      </c>
      <c r="H19" s="198" t="s">
        <v>20</v>
      </c>
      <c r="I19" s="600"/>
      <c r="J19" s="217"/>
      <c r="K19" s="217"/>
      <c r="L19" s="217"/>
      <c r="M19" s="217"/>
      <c r="N19" s="217"/>
      <c r="O19" s="217"/>
      <c r="P19" s="217"/>
      <c r="Q19" s="217"/>
    </row>
    <row r="20" spans="1:20" ht="19.95" customHeight="1">
      <c r="A20" s="97" t="s">
        <v>843</v>
      </c>
      <c r="B20" s="163"/>
      <c r="C20" s="163"/>
      <c r="D20" s="163"/>
      <c r="E20" s="163"/>
      <c r="F20" s="163"/>
      <c r="G20" s="163"/>
      <c r="H20" s="163"/>
      <c r="I20" s="235"/>
      <c r="J20" s="217"/>
      <c r="K20" s="217"/>
      <c r="L20" s="217"/>
      <c r="M20" s="217"/>
      <c r="N20" s="217"/>
      <c r="O20" s="217"/>
      <c r="P20" s="217"/>
      <c r="Q20" s="217"/>
    </row>
    <row r="21" spans="1:20" ht="19.95" customHeight="1">
      <c r="A21" s="97" t="s">
        <v>844</v>
      </c>
      <c r="B21" s="334"/>
      <c r="C21" s="334"/>
      <c r="D21" s="334"/>
      <c r="E21" s="334"/>
      <c r="F21" s="334"/>
      <c r="G21" s="334"/>
      <c r="H21" s="334"/>
      <c r="I21" s="235"/>
      <c r="J21" s="217"/>
      <c r="K21" s="217"/>
      <c r="L21" s="217"/>
      <c r="M21" s="217"/>
      <c r="N21" s="217"/>
      <c r="O21" s="217"/>
      <c r="P21" s="217"/>
      <c r="Q21" s="217"/>
    </row>
    <row r="22" spans="1:20" ht="19.95" customHeight="1">
      <c r="A22" s="97" t="s">
        <v>845</v>
      </c>
      <c r="B22" s="149">
        <f>B20*B21</f>
        <v>0</v>
      </c>
      <c r="C22" s="149">
        <f t="shared" ref="C22:H22" si="0">C20*C21</f>
        <v>0</v>
      </c>
      <c r="D22" s="149">
        <f t="shared" si="0"/>
        <v>0</v>
      </c>
      <c r="E22" s="149">
        <f t="shared" si="0"/>
        <v>0</v>
      </c>
      <c r="F22" s="149">
        <f t="shared" si="0"/>
        <v>0</v>
      </c>
      <c r="G22" s="149">
        <f t="shared" si="0"/>
        <v>0</v>
      </c>
      <c r="H22" s="149">
        <f t="shared" si="0"/>
        <v>0</v>
      </c>
      <c r="I22" s="149">
        <f>I20*I21</f>
        <v>0</v>
      </c>
      <c r="J22" s="217"/>
      <c r="K22" s="217"/>
      <c r="L22" s="217"/>
      <c r="M22" s="217"/>
      <c r="N22" s="217"/>
      <c r="O22" s="217"/>
      <c r="P22" s="217"/>
      <c r="Q22" s="217"/>
    </row>
    <row r="23" spans="1:20" ht="25.8">
      <c r="A23" s="98" t="s">
        <v>846</v>
      </c>
      <c r="B23" s="149">
        <f>SUM(B22:I22)</f>
        <v>0</v>
      </c>
      <c r="C23" s="257"/>
      <c r="D23" s="257"/>
      <c r="E23" s="257"/>
      <c r="F23" s="257"/>
      <c r="G23" s="235"/>
      <c r="H23" s="235"/>
      <c r="I23" s="235"/>
      <c r="J23" s="217"/>
      <c r="K23" s="217"/>
      <c r="L23" s="217"/>
      <c r="M23" s="217"/>
      <c r="N23" s="217"/>
      <c r="O23" s="217"/>
      <c r="P23" s="217"/>
      <c r="Q23" s="217"/>
    </row>
    <row r="24" spans="1:20" ht="19.95" customHeight="1">
      <c r="A24" s="97" t="s">
        <v>847</v>
      </c>
      <c r="B24" s="104"/>
      <c r="C24" s="257"/>
      <c r="D24" s="257"/>
      <c r="E24" s="257"/>
      <c r="F24" s="257"/>
      <c r="G24" s="235"/>
      <c r="H24" s="235"/>
      <c r="I24" s="235"/>
      <c r="J24" s="217"/>
      <c r="K24" s="217"/>
      <c r="L24" s="217"/>
      <c r="M24" s="217"/>
      <c r="N24" s="217"/>
      <c r="O24" s="217"/>
      <c r="P24" s="217"/>
      <c r="Q24" s="217"/>
    </row>
    <row r="25" spans="1:20" ht="19.95" customHeight="1">
      <c r="A25" s="97" t="s">
        <v>848</v>
      </c>
      <c r="B25" s="149">
        <f>B20*B24</f>
        <v>0</v>
      </c>
      <c r="C25" s="149">
        <f t="shared" ref="C25:I25" si="1">C20*C24</f>
        <v>0</v>
      </c>
      <c r="D25" s="149">
        <f t="shared" si="1"/>
        <v>0</v>
      </c>
      <c r="E25" s="149">
        <f t="shared" si="1"/>
        <v>0</v>
      </c>
      <c r="F25" s="149">
        <f t="shared" si="1"/>
        <v>0</v>
      </c>
      <c r="G25" s="149">
        <f t="shared" si="1"/>
        <v>0</v>
      </c>
      <c r="H25" s="149">
        <f t="shared" si="1"/>
        <v>0</v>
      </c>
      <c r="I25" s="149">
        <f t="shared" si="1"/>
        <v>0</v>
      </c>
      <c r="J25" s="217"/>
      <c r="K25" s="217"/>
      <c r="L25" s="217"/>
      <c r="M25" s="217"/>
      <c r="N25" s="217"/>
      <c r="O25" s="217"/>
      <c r="P25" s="217"/>
      <c r="Q25" s="217"/>
    </row>
    <row r="26" spans="1:20" ht="25.8">
      <c r="A26" s="98" t="s">
        <v>849</v>
      </c>
      <c r="B26" s="149">
        <f>SUM(B25:I25)</f>
        <v>0</v>
      </c>
      <c r="C26" s="257"/>
      <c r="D26" s="257"/>
      <c r="E26" s="257"/>
      <c r="F26" s="257"/>
      <c r="G26" s="235"/>
      <c r="H26" s="235"/>
      <c r="I26" s="235"/>
      <c r="J26" s="217"/>
      <c r="K26" s="217"/>
      <c r="L26" s="217"/>
      <c r="M26" s="217"/>
      <c r="N26" s="217"/>
      <c r="O26" s="217"/>
      <c r="P26" s="217"/>
      <c r="Q26" s="217"/>
    </row>
    <row r="27" spans="1:20" ht="36">
      <c r="A27" s="98" t="s">
        <v>850</v>
      </c>
      <c r="B27" s="104"/>
      <c r="C27" s="257"/>
      <c r="D27" s="257"/>
      <c r="E27" s="259"/>
      <c r="F27" s="257"/>
      <c r="G27" s="235"/>
      <c r="H27" s="235"/>
      <c r="I27" s="235"/>
      <c r="J27" s="217"/>
      <c r="K27" s="217"/>
      <c r="L27" s="217"/>
      <c r="M27" s="217"/>
      <c r="N27" s="217"/>
      <c r="O27" s="217"/>
      <c r="P27" s="217"/>
      <c r="Q27" s="217"/>
    </row>
    <row r="28" spans="1:20" ht="19.95" customHeight="1">
      <c r="A28" s="98" t="s">
        <v>851</v>
      </c>
      <c r="B28" s="104"/>
      <c r="C28" s="257"/>
      <c r="D28" s="257"/>
      <c r="E28" s="259"/>
      <c r="F28" s="257"/>
      <c r="G28" s="235"/>
      <c r="H28" s="235"/>
      <c r="I28" s="235"/>
      <c r="J28" s="217"/>
      <c r="K28" s="217"/>
      <c r="L28" s="217"/>
      <c r="M28" s="217"/>
      <c r="N28" s="217"/>
      <c r="O28" s="217"/>
      <c r="P28" s="217"/>
      <c r="Q28" s="217"/>
    </row>
    <row r="29" spans="1:20" ht="19.95" customHeight="1">
      <c r="A29" s="98" t="s">
        <v>852</v>
      </c>
      <c r="B29" s="149">
        <f>B27+B28</f>
        <v>0</v>
      </c>
      <c r="C29" s="257"/>
      <c r="D29" s="257"/>
      <c r="E29" s="259"/>
      <c r="F29" s="257"/>
      <c r="G29" s="235"/>
      <c r="H29" s="235"/>
      <c r="I29" s="235"/>
      <c r="J29" s="217"/>
      <c r="K29" s="217"/>
      <c r="L29" s="217"/>
      <c r="M29" s="217"/>
      <c r="N29" s="217"/>
      <c r="O29" s="217"/>
      <c r="P29" s="217"/>
      <c r="Q29" s="217"/>
    </row>
    <row r="30" spans="1:20" ht="19.95" customHeight="1">
      <c r="A30" s="98" t="s">
        <v>853</v>
      </c>
      <c r="B30" s="104"/>
      <c r="C30" s="257"/>
      <c r="D30" s="257"/>
      <c r="E30" s="257"/>
      <c r="F30" s="257"/>
      <c r="G30" s="235"/>
      <c r="H30" s="235"/>
      <c r="I30" s="235"/>
      <c r="J30" s="217"/>
      <c r="K30" s="217"/>
      <c r="L30" s="217"/>
      <c r="M30" s="217"/>
      <c r="N30" s="217"/>
      <c r="O30" s="217"/>
      <c r="P30" s="217"/>
      <c r="Q30" s="217"/>
    </row>
    <row r="31" spans="1:20" ht="19.95" customHeight="1">
      <c r="A31" s="484" t="s">
        <v>1036</v>
      </c>
      <c r="B31" s="236"/>
      <c r="C31" s="239"/>
      <c r="D31" s="239"/>
      <c r="E31" s="239"/>
      <c r="F31" s="239"/>
      <c r="G31" s="258"/>
      <c r="H31" s="258"/>
      <c r="I31" s="258"/>
      <c r="J31" s="258"/>
      <c r="K31" s="258"/>
      <c r="L31" s="258"/>
      <c r="M31" s="217"/>
      <c r="N31" s="217"/>
      <c r="O31" s="217"/>
      <c r="P31" s="217"/>
      <c r="Q31" s="217"/>
      <c r="R31" s="217"/>
      <c r="S31" s="217"/>
      <c r="T31" s="217"/>
    </row>
    <row r="32" spans="1:20" ht="19.95" customHeight="1">
      <c r="A32" s="260" t="s">
        <v>854</v>
      </c>
      <c r="B32" s="255" t="s">
        <v>855</v>
      </c>
      <c r="C32" s="239"/>
      <c r="D32" s="239"/>
      <c r="E32" s="239"/>
      <c r="F32" s="239"/>
      <c r="G32" s="258"/>
      <c r="H32" s="258"/>
      <c r="I32" s="258"/>
      <c r="J32" s="258"/>
      <c r="K32" s="258"/>
      <c r="L32" s="258"/>
      <c r="M32" s="217"/>
      <c r="N32" s="217"/>
      <c r="O32" s="217"/>
      <c r="P32" s="217"/>
      <c r="Q32" s="217"/>
      <c r="R32" s="217"/>
      <c r="S32" s="217"/>
      <c r="T32" s="217"/>
    </row>
    <row r="33" spans="1:20" ht="19.95" customHeight="1">
      <c r="A33" s="97" t="s">
        <v>843</v>
      </c>
      <c r="B33" s="149">
        <f>SUM(B20:I20)</f>
        <v>0</v>
      </c>
      <c r="C33" s="239"/>
      <c r="D33" s="239"/>
      <c r="E33" s="239"/>
      <c r="F33" s="239"/>
      <c r="G33" s="258"/>
      <c r="H33" s="258"/>
      <c r="I33" s="258"/>
      <c r="J33" s="258"/>
      <c r="K33" s="258"/>
      <c r="L33" s="258"/>
      <c r="M33" s="217"/>
      <c r="N33" s="217"/>
      <c r="O33" s="217"/>
      <c r="P33" s="217"/>
      <c r="Q33" s="217"/>
      <c r="R33" s="217"/>
      <c r="S33" s="217"/>
      <c r="T33" s="217"/>
    </row>
    <row r="34" spans="1:20" ht="19.95" customHeight="1">
      <c r="A34" s="98" t="s">
        <v>851</v>
      </c>
      <c r="B34" s="149">
        <f>B28</f>
        <v>0</v>
      </c>
      <c r="C34" s="239"/>
      <c r="D34" s="239"/>
      <c r="E34" s="239"/>
      <c r="F34" s="239"/>
      <c r="G34" s="258"/>
      <c r="H34" s="258"/>
      <c r="I34" s="258"/>
      <c r="J34" s="258"/>
      <c r="K34" s="258"/>
      <c r="L34" s="258"/>
      <c r="M34" s="217"/>
      <c r="N34" s="217"/>
      <c r="O34" s="217"/>
      <c r="P34" s="217"/>
      <c r="Q34" s="217"/>
      <c r="R34" s="217"/>
      <c r="S34" s="217"/>
      <c r="T34" s="217"/>
    </row>
    <row r="35" spans="1:20" ht="19.95" customHeight="1">
      <c r="A35" s="97" t="s">
        <v>856</v>
      </c>
      <c r="B35" s="149">
        <f>B33+B34</f>
        <v>0</v>
      </c>
      <c r="C35" s="239"/>
      <c r="D35" s="239"/>
      <c r="E35" s="239"/>
      <c r="F35" s="239"/>
      <c r="G35" s="258"/>
      <c r="H35" s="258"/>
      <c r="I35" s="258"/>
      <c r="J35" s="258"/>
      <c r="K35" s="258"/>
      <c r="L35" s="258"/>
      <c r="M35" s="217"/>
      <c r="N35" s="217"/>
      <c r="O35" s="217"/>
      <c r="P35" s="217"/>
      <c r="Q35" s="217"/>
      <c r="R35" s="217"/>
      <c r="S35" s="217"/>
      <c r="T35" s="217"/>
    </row>
    <row r="36" spans="1:20" ht="19.95" customHeight="1">
      <c r="A36" s="97" t="s">
        <v>857</v>
      </c>
      <c r="B36" s="149">
        <f>B35-B29</f>
        <v>0</v>
      </c>
      <c r="C36" s="239"/>
      <c r="D36" s="239"/>
      <c r="E36" s="239"/>
      <c r="F36" s="239"/>
      <c r="G36" s="258"/>
      <c r="H36" s="258"/>
      <c r="I36" s="258"/>
      <c r="J36" s="258"/>
      <c r="K36" s="258"/>
      <c r="L36" s="258"/>
      <c r="M36" s="217"/>
      <c r="N36" s="217"/>
      <c r="O36" s="217"/>
      <c r="P36" s="217"/>
      <c r="Q36" s="217"/>
      <c r="R36" s="217"/>
      <c r="S36" s="217"/>
      <c r="T36" s="217"/>
    </row>
    <row r="37" spans="1:20" ht="19.95" customHeight="1">
      <c r="A37" s="484" t="s">
        <v>1037</v>
      </c>
      <c r="B37" s="236"/>
      <c r="C37" s="239"/>
      <c r="D37" s="239"/>
      <c r="E37" s="239"/>
      <c r="F37" s="239"/>
      <c r="G37" s="258"/>
      <c r="H37" s="258"/>
      <c r="I37" s="258"/>
      <c r="J37" s="258"/>
      <c r="K37" s="258"/>
      <c r="L37" s="258"/>
      <c r="M37" s="217"/>
      <c r="N37" s="217"/>
      <c r="O37" s="217"/>
      <c r="P37" s="217"/>
      <c r="Q37" s="217"/>
      <c r="R37" s="217"/>
      <c r="S37" s="217"/>
      <c r="T37" s="217"/>
    </row>
    <row r="38" spans="1:20" s="12" customFormat="1" ht="24">
      <c r="A38" s="261" t="s">
        <v>858</v>
      </c>
      <c r="B38" s="255" t="s">
        <v>859</v>
      </c>
      <c r="C38" s="255" t="s">
        <v>860</v>
      </c>
      <c r="D38" s="255" t="s">
        <v>861</v>
      </c>
      <c r="E38" s="255" t="s">
        <v>862</v>
      </c>
      <c r="F38" s="247"/>
      <c r="G38" s="247"/>
      <c r="H38" s="247"/>
      <c r="I38" s="247"/>
      <c r="J38" s="254"/>
      <c r="K38" s="254"/>
      <c r="L38" s="254"/>
      <c r="M38" s="254"/>
      <c r="N38" s="254"/>
      <c r="O38" s="254"/>
      <c r="P38" s="254"/>
      <c r="Q38" s="254"/>
    </row>
    <row r="39" spans="1:20" ht="27.6">
      <c r="A39" s="262" t="s">
        <v>103</v>
      </c>
      <c r="B39" s="255" t="s">
        <v>863</v>
      </c>
      <c r="C39" s="255" t="s">
        <v>864</v>
      </c>
      <c r="D39" s="255" t="s">
        <v>865</v>
      </c>
      <c r="E39" s="255" t="s">
        <v>866</v>
      </c>
      <c r="F39" s="247"/>
      <c r="G39" s="247"/>
      <c r="H39" s="247"/>
      <c r="I39" s="247"/>
      <c r="J39" s="217"/>
      <c r="K39" s="217"/>
      <c r="L39" s="217"/>
      <c r="M39" s="217"/>
      <c r="N39" s="217"/>
      <c r="O39" s="217"/>
      <c r="P39" s="217"/>
      <c r="Q39" s="217"/>
    </row>
    <row r="40" spans="1:20" ht="19.95" customHeight="1">
      <c r="A40" s="312" t="s">
        <v>904</v>
      </c>
      <c r="B40" s="256"/>
      <c r="C40" s="256"/>
      <c r="D40" s="256"/>
      <c r="E40" s="149">
        <f>B27</f>
        <v>0</v>
      </c>
      <c r="F40" s="247"/>
      <c r="G40" s="247"/>
      <c r="H40" s="247"/>
      <c r="I40" s="247"/>
      <c r="J40" s="217"/>
      <c r="K40" s="217"/>
      <c r="L40" s="217"/>
      <c r="M40" s="217"/>
      <c r="N40" s="217"/>
      <c r="O40" s="217"/>
      <c r="P40" s="217"/>
      <c r="Q40" s="217"/>
    </row>
    <row r="41" spans="1:20" ht="19.95" customHeight="1">
      <c r="A41" s="312" t="s">
        <v>905</v>
      </c>
      <c r="B41" s="149">
        <f>C20</f>
        <v>0</v>
      </c>
      <c r="C41" s="149">
        <f>E40*$C$31</f>
        <v>0</v>
      </c>
      <c r="D41" s="149">
        <f>B41-C41</f>
        <v>0</v>
      </c>
      <c r="E41" s="149">
        <f>E40-D41</f>
        <v>0</v>
      </c>
      <c r="F41" s="247"/>
      <c r="G41" s="247"/>
      <c r="H41" s="247"/>
      <c r="I41" s="247"/>
      <c r="J41" s="217"/>
      <c r="K41" s="217"/>
      <c r="L41" s="217"/>
      <c r="M41" s="217"/>
      <c r="N41" s="217"/>
      <c r="O41" s="217"/>
      <c r="P41" s="217"/>
      <c r="Q41" s="217"/>
    </row>
    <row r="42" spans="1:20" ht="19.95" customHeight="1">
      <c r="A42" s="312" t="s">
        <v>906</v>
      </c>
      <c r="B42" s="149">
        <f>D20</f>
        <v>0</v>
      </c>
      <c r="C42" s="149">
        <f t="shared" ref="C42:C45" si="2">E41*$C$31</f>
        <v>0</v>
      </c>
      <c r="D42" s="149">
        <f>B42-C42</f>
        <v>0</v>
      </c>
      <c r="E42" s="149">
        <f t="shared" ref="E42:E46" si="3">E41-D42</f>
        <v>0</v>
      </c>
      <c r="F42" s="247"/>
      <c r="G42" s="247"/>
      <c r="H42" s="247"/>
      <c r="I42" s="247"/>
      <c r="J42" s="217"/>
      <c r="K42" s="217"/>
      <c r="L42" s="217"/>
      <c r="M42" s="217"/>
      <c r="N42" s="217"/>
      <c r="O42" s="217"/>
      <c r="P42" s="217"/>
      <c r="Q42" s="217"/>
    </row>
    <row r="43" spans="1:20" ht="19.95" customHeight="1">
      <c r="A43" s="312" t="s">
        <v>907</v>
      </c>
      <c r="B43" s="149">
        <f>E20</f>
        <v>0</v>
      </c>
      <c r="C43" s="149">
        <f t="shared" si="2"/>
        <v>0</v>
      </c>
      <c r="D43" s="149">
        <f>B43-C43</f>
        <v>0</v>
      </c>
      <c r="E43" s="149">
        <f t="shared" si="3"/>
        <v>0</v>
      </c>
      <c r="F43" s="247"/>
      <c r="G43" s="247"/>
      <c r="H43" s="247"/>
      <c r="I43" s="247"/>
      <c r="J43" s="217"/>
      <c r="K43" s="217"/>
      <c r="L43" s="217"/>
      <c r="M43" s="217"/>
      <c r="N43" s="217"/>
      <c r="O43" s="217"/>
      <c r="P43" s="217"/>
      <c r="Q43" s="217"/>
    </row>
    <row r="44" spans="1:20" ht="19.95" customHeight="1">
      <c r="A44" s="312" t="s">
        <v>908</v>
      </c>
      <c r="B44" s="149">
        <f>F20</f>
        <v>0</v>
      </c>
      <c r="C44" s="149">
        <f t="shared" si="2"/>
        <v>0</v>
      </c>
      <c r="D44" s="149">
        <f>B44-C44</f>
        <v>0</v>
      </c>
      <c r="E44" s="149">
        <f t="shared" si="3"/>
        <v>0</v>
      </c>
      <c r="F44" s="247"/>
      <c r="G44" s="247"/>
      <c r="H44" s="247"/>
      <c r="I44" s="247"/>
      <c r="J44" s="217"/>
      <c r="K44" s="217"/>
      <c r="L44" s="217"/>
      <c r="M44" s="217"/>
      <c r="N44" s="217"/>
      <c r="O44" s="217"/>
      <c r="P44" s="217"/>
      <c r="Q44" s="217"/>
    </row>
    <row r="45" spans="1:20" ht="19.95" customHeight="1">
      <c r="A45" s="312" t="s">
        <v>909</v>
      </c>
      <c r="B45" s="149">
        <f>G20</f>
        <v>0</v>
      </c>
      <c r="C45" s="149">
        <f t="shared" si="2"/>
        <v>0</v>
      </c>
      <c r="D45" s="149">
        <f>B45-C45</f>
        <v>0</v>
      </c>
      <c r="E45" s="149">
        <f t="shared" si="3"/>
        <v>0</v>
      </c>
      <c r="F45" s="247"/>
      <c r="G45" s="247"/>
      <c r="H45" s="247"/>
      <c r="I45" s="247"/>
      <c r="J45" s="217"/>
      <c r="K45" s="217"/>
      <c r="L45" s="217"/>
      <c r="M45" s="217"/>
      <c r="N45" s="217"/>
      <c r="O45" s="217"/>
      <c r="P45" s="217"/>
      <c r="Q45" s="217"/>
    </row>
    <row r="46" spans="1:20" ht="19.95" customHeight="1">
      <c r="A46" s="98" t="s">
        <v>20</v>
      </c>
      <c r="B46" s="256"/>
      <c r="C46" s="149">
        <f>B46-D46</f>
        <v>0</v>
      </c>
      <c r="D46" s="149">
        <f>E45</f>
        <v>0</v>
      </c>
      <c r="E46" s="149">
        <f t="shared" si="3"/>
        <v>0</v>
      </c>
      <c r="F46" s="247"/>
      <c r="G46" s="247"/>
      <c r="H46" s="247"/>
      <c r="I46" s="247"/>
      <c r="J46" s="217"/>
      <c r="K46" s="217"/>
      <c r="L46" s="217"/>
      <c r="M46" s="217"/>
      <c r="N46" s="217"/>
      <c r="O46" s="217"/>
      <c r="P46" s="217"/>
      <c r="Q46" s="217"/>
    </row>
    <row r="47" spans="1:20" ht="19.95" customHeight="1">
      <c r="A47" s="263" t="s">
        <v>345</v>
      </c>
      <c r="B47" s="149">
        <f>SUM(B41:B46)</f>
        <v>0</v>
      </c>
      <c r="C47" s="256"/>
      <c r="D47" s="256"/>
      <c r="E47" s="256"/>
      <c r="F47" s="247"/>
      <c r="G47" s="247"/>
      <c r="H47" s="247"/>
      <c r="I47" s="247"/>
      <c r="J47" s="217"/>
      <c r="K47" s="217"/>
      <c r="L47" s="217"/>
      <c r="M47" s="217"/>
      <c r="N47" s="217"/>
      <c r="O47" s="217"/>
      <c r="P47" s="217"/>
      <c r="Q47" s="217"/>
    </row>
    <row r="48" spans="1:20" ht="19.95" customHeight="1">
      <c r="A48" s="48" t="s">
        <v>776</v>
      </c>
      <c r="B48" s="48"/>
      <c r="C48" s="48"/>
      <c r="D48" s="48"/>
      <c r="E48" s="48"/>
      <c r="F48" s="48"/>
      <c r="G48" s="246"/>
      <c r="H48" s="246"/>
      <c r="I48" s="247"/>
      <c r="J48" s="247"/>
      <c r="K48" s="247"/>
      <c r="L48" s="247"/>
      <c r="M48" s="217"/>
      <c r="N48" s="217"/>
      <c r="O48" s="217"/>
      <c r="P48" s="217"/>
      <c r="Q48" s="217"/>
      <c r="R48" s="217"/>
      <c r="S48" s="217"/>
      <c r="T48" s="217"/>
    </row>
    <row r="49" spans="1:17" ht="19.95" customHeight="1">
      <c r="A49" s="313">
        <v>1</v>
      </c>
      <c r="B49" s="237" t="s">
        <v>867</v>
      </c>
      <c r="C49" s="50"/>
      <c r="D49" s="50"/>
      <c r="E49" s="50"/>
      <c r="F49" s="50"/>
      <c r="G49" s="2"/>
      <c r="H49" s="246"/>
      <c r="I49" s="246"/>
      <c r="J49" s="246"/>
      <c r="K49" s="246"/>
      <c r="L49" s="246"/>
      <c r="M49" s="236"/>
      <c r="N49" s="236"/>
      <c r="O49" s="236"/>
      <c r="P49" s="236"/>
      <c r="Q49" s="236"/>
    </row>
    <row r="50" spans="1:17" ht="19.95" customHeight="1">
      <c r="A50" s="313">
        <v>2</v>
      </c>
      <c r="B50" s="237" t="s">
        <v>868</v>
      </c>
      <c r="G50" s="2"/>
      <c r="H50" s="247"/>
      <c r="I50" s="247"/>
      <c r="J50" s="247"/>
      <c r="K50" s="247"/>
      <c r="L50" s="247"/>
      <c r="M50" s="238"/>
      <c r="N50" s="238"/>
      <c r="O50" s="238"/>
      <c r="P50" s="238"/>
      <c r="Q50" s="238"/>
    </row>
    <row r="51" spans="1:17" ht="19.95" customHeight="1">
      <c r="A51" s="313">
        <v>3</v>
      </c>
      <c r="B51" s="237" t="s">
        <v>869</v>
      </c>
      <c r="C51" s="236"/>
      <c r="D51" s="236"/>
      <c r="E51" s="236"/>
      <c r="F51" s="236"/>
      <c r="G51" s="2"/>
      <c r="H51" s="246"/>
      <c r="I51" s="246"/>
      <c r="J51" s="246"/>
      <c r="K51" s="246"/>
      <c r="L51" s="246"/>
      <c r="M51" s="236"/>
      <c r="N51" s="236"/>
      <c r="O51" s="236"/>
      <c r="P51" s="236"/>
      <c r="Q51" s="236"/>
    </row>
    <row r="52" spans="1:17" ht="19.95" customHeight="1">
      <c r="A52" s="313">
        <v>4</v>
      </c>
      <c r="B52" s="237" t="s">
        <v>870</v>
      </c>
      <c r="C52" s="50"/>
      <c r="D52" s="50"/>
      <c r="E52" s="50"/>
      <c r="F52" s="50"/>
      <c r="G52" s="2"/>
      <c r="H52" s="247"/>
      <c r="I52" s="247"/>
      <c r="J52" s="247"/>
      <c r="K52" s="247"/>
      <c r="L52" s="247"/>
      <c r="M52" s="238"/>
      <c r="N52" s="238"/>
      <c r="O52" s="238"/>
      <c r="P52" s="238"/>
      <c r="Q52" s="238"/>
    </row>
    <row r="53" spans="1:17" ht="19.95" customHeight="1">
      <c r="A53" s="48" t="s">
        <v>871</v>
      </c>
      <c r="B53" s="48"/>
      <c r="C53" s="48"/>
      <c r="D53" s="48"/>
      <c r="E53" s="48"/>
      <c r="F53" s="48"/>
      <c r="G53" s="248"/>
      <c r="H53" s="247"/>
      <c r="I53" s="247"/>
      <c r="J53" s="247"/>
      <c r="K53" s="247"/>
      <c r="L53" s="247"/>
      <c r="M53" s="238"/>
      <c r="N53" s="238"/>
      <c r="O53" s="238"/>
      <c r="P53" s="238"/>
      <c r="Q53" s="238"/>
    </row>
    <row r="54" spans="1:17" ht="19.95" customHeight="1">
      <c r="A54" s="50"/>
      <c r="B54" s="50"/>
      <c r="C54" s="50"/>
      <c r="D54" s="50"/>
      <c r="E54" s="50"/>
      <c r="F54" s="50"/>
      <c r="G54" s="248"/>
      <c r="H54" s="247"/>
      <c r="I54" s="247"/>
      <c r="J54" s="247"/>
      <c r="K54" s="247"/>
      <c r="L54" s="247"/>
      <c r="M54" s="238"/>
      <c r="N54" s="238"/>
      <c r="O54" s="238"/>
      <c r="P54" s="238"/>
      <c r="Q54" s="238"/>
    </row>
    <row r="55" spans="1:17" ht="19.95" customHeight="1">
      <c r="A55" s="50"/>
      <c r="B55" s="50"/>
      <c r="C55" s="50"/>
      <c r="D55" s="50"/>
      <c r="E55" s="50"/>
      <c r="F55" s="50"/>
      <c r="G55" s="248"/>
      <c r="H55" s="247"/>
      <c r="I55" s="247"/>
      <c r="J55" s="247"/>
      <c r="K55" s="247"/>
      <c r="L55" s="247"/>
      <c r="M55" s="238"/>
      <c r="N55" s="238"/>
      <c r="O55" s="238"/>
      <c r="P55" s="238"/>
      <c r="Q55" s="238"/>
    </row>
    <row r="56" spans="1:17" ht="19.95" customHeight="1">
      <c r="A56" s="48"/>
      <c r="B56" s="48"/>
      <c r="C56" s="48"/>
      <c r="D56" s="48"/>
      <c r="E56" s="48"/>
      <c r="F56" s="48"/>
      <c r="G56" s="249"/>
      <c r="H56" s="249"/>
      <c r="I56" s="249"/>
      <c r="J56" s="249"/>
      <c r="K56" s="249"/>
      <c r="L56" s="249"/>
      <c r="M56" s="250"/>
      <c r="N56" s="250"/>
      <c r="O56" s="250"/>
      <c r="P56" s="250"/>
      <c r="Q56" s="250"/>
    </row>
    <row r="57" spans="1:17" ht="19.95" customHeight="1">
      <c r="A57" s="367" t="s">
        <v>950</v>
      </c>
      <c r="B57" s="250"/>
      <c r="C57" s="250"/>
      <c r="D57" s="250"/>
      <c r="E57" s="250"/>
      <c r="F57" s="250"/>
      <c r="G57" s="249"/>
      <c r="H57" s="249"/>
      <c r="I57" s="249"/>
      <c r="J57" s="249"/>
      <c r="K57" s="249"/>
      <c r="L57" s="249"/>
      <c r="M57" s="250"/>
      <c r="N57" s="250"/>
      <c r="O57" s="250"/>
      <c r="P57" s="250"/>
      <c r="Q57" s="250"/>
    </row>
    <row r="58" spans="1:17" ht="19.95" customHeight="1">
      <c r="A58" s="240" t="s">
        <v>872</v>
      </c>
      <c r="B58" s="250"/>
      <c r="C58" s="250"/>
      <c r="D58" s="250"/>
      <c r="E58" s="250"/>
      <c r="F58" s="250"/>
      <c r="G58" s="249"/>
      <c r="H58" s="249"/>
      <c r="I58" s="249"/>
      <c r="J58" s="249"/>
      <c r="K58" s="249"/>
      <c r="L58" s="249"/>
      <c r="M58" s="250"/>
      <c r="N58" s="250"/>
      <c r="O58" s="250"/>
      <c r="P58" s="250"/>
      <c r="Q58" s="250"/>
    </row>
    <row r="59" spans="1:17" ht="19.95" customHeight="1">
      <c r="A59" s="240" t="s">
        <v>873</v>
      </c>
      <c r="B59" s="250"/>
      <c r="C59" s="250"/>
      <c r="D59" s="250"/>
      <c r="E59" s="250"/>
      <c r="F59" s="250"/>
      <c r="G59" s="249"/>
      <c r="H59" s="249"/>
      <c r="I59" s="249"/>
      <c r="J59" s="249"/>
      <c r="K59" s="249"/>
      <c r="L59" s="249"/>
      <c r="M59" s="250"/>
      <c r="N59" s="250"/>
      <c r="O59" s="250"/>
      <c r="P59" s="250"/>
      <c r="Q59" s="250"/>
    </row>
    <row r="60" spans="1:17" ht="19.95" customHeight="1">
      <c r="A60" s="240" t="s">
        <v>874</v>
      </c>
      <c r="B60" s="250"/>
      <c r="C60" s="250"/>
      <c r="D60" s="250"/>
      <c r="E60" s="250"/>
      <c r="F60" s="250"/>
      <c r="G60" s="249"/>
      <c r="H60" s="249"/>
      <c r="I60" s="249"/>
      <c r="J60" s="249"/>
      <c r="K60" s="249"/>
      <c r="L60" s="249"/>
      <c r="M60" s="250"/>
      <c r="N60" s="250"/>
      <c r="O60" s="250"/>
      <c r="P60" s="250"/>
      <c r="Q60" s="250"/>
    </row>
    <row r="61" spans="1:17" ht="19.95" customHeight="1">
      <c r="A61" s="240" t="s">
        <v>875</v>
      </c>
      <c r="B61" s="250"/>
      <c r="C61" s="250"/>
      <c r="D61" s="250"/>
      <c r="E61" s="250"/>
      <c r="F61" s="250"/>
      <c r="G61" s="249"/>
      <c r="H61" s="249"/>
      <c r="I61" s="249"/>
      <c r="J61" s="249"/>
      <c r="K61" s="249"/>
      <c r="L61" s="249"/>
      <c r="M61" s="250"/>
      <c r="N61" s="250"/>
      <c r="O61" s="250"/>
      <c r="P61" s="250"/>
      <c r="Q61" s="250"/>
    </row>
    <row r="62" spans="1:17" ht="19.95" customHeight="1">
      <c r="A62" s="240" t="s">
        <v>876</v>
      </c>
      <c r="B62" s="250"/>
      <c r="C62" s="250"/>
      <c r="D62" s="250"/>
      <c r="E62" s="250"/>
      <c r="F62" s="250"/>
      <c r="G62" s="249"/>
      <c r="H62" s="249"/>
      <c r="I62" s="249"/>
      <c r="J62" s="249"/>
      <c r="K62" s="249"/>
      <c r="L62" s="249"/>
      <c r="M62" s="250"/>
      <c r="N62" s="250"/>
      <c r="O62" s="250"/>
      <c r="P62" s="250"/>
      <c r="Q62" s="250"/>
    </row>
    <row r="63" spans="1:17" ht="19.95" customHeight="1">
      <c r="A63" s="240" t="s">
        <v>877</v>
      </c>
      <c r="B63" s="250"/>
      <c r="C63" s="250"/>
      <c r="D63" s="250"/>
      <c r="E63" s="250"/>
      <c r="F63" s="250"/>
      <c r="G63" s="249"/>
      <c r="H63" s="249"/>
      <c r="I63" s="249"/>
      <c r="J63" s="249"/>
      <c r="K63" s="249"/>
      <c r="L63" s="249"/>
      <c r="M63" s="250"/>
      <c r="N63" s="250"/>
      <c r="O63" s="250"/>
      <c r="P63" s="250"/>
      <c r="Q63" s="250"/>
    </row>
    <row r="64" spans="1:17" ht="19.95" customHeight="1">
      <c r="A64" s="250"/>
      <c r="B64" s="250"/>
      <c r="C64" s="250"/>
      <c r="D64" s="250"/>
      <c r="E64" s="250"/>
      <c r="F64" s="250"/>
      <c r="G64" s="249"/>
      <c r="H64" s="249"/>
      <c r="I64" s="249"/>
      <c r="J64" s="249"/>
      <c r="K64" s="249"/>
      <c r="L64" s="249"/>
      <c r="M64" s="250"/>
      <c r="N64" s="250"/>
      <c r="O64" s="250"/>
      <c r="P64" s="250"/>
      <c r="Q64" s="250"/>
    </row>
    <row r="65" spans="1:17" ht="19.95" customHeight="1">
      <c r="A65" s="250"/>
      <c r="B65" s="250"/>
      <c r="C65" s="250"/>
      <c r="D65" s="250"/>
      <c r="E65" s="250"/>
      <c r="F65" s="250"/>
      <c r="G65" s="249"/>
      <c r="H65" s="249"/>
      <c r="I65" s="249"/>
      <c r="J65" s="249"/>
      <c r="K65" s="249"/>
      <c r="L65" s="249"/>
      <c r="M65" s="250"/>
      <c r="N65" s="250"/>
      <c r="O65" s="250"/>
      <c r="P65" s="250"/>
      <c r="Q65" s="250"/>
    </row>
    <row r="66" spans="1:17" ht="19.95" customHeight="1">
      <c r="A66" s="250"/>
      <c r="B66" s="250"/>
      <c r="C66" s="250"/>
      <c r="D66" s="250"/>
      <c r="E66" s="250"/>
      <c r="F66" s="250"/>
      <c r="G66" s="249"/>
      <c r="H66" s="249"/>
      <c r="I66" s="249"/>
      <c r="J66" s="249"/>
      <c r="K66" s="249"/>
      <c r="L66" s="249"/>
      <c r="M66" s="250"/>
      <c r="N66" s="250"/>
      <c r="O66" s="250"/>
      <c r="P66" s="250"/>
      <c r="Q66" s="250"/>
    </row>
    <row r="67" spans="1:17" ht="19.95" customHeight="1">
      <c r="A67" s="250"/>
      <c r="B67" s="250"/>
      <c r="C67" s="250"/>
      <c r="D67" s="250"/>
      <c r="E67" s="250"/>
      <c r="F67" s="250"/>
      <c r="G67" s="249"/>
      <c r="H67" s="249"/>
      <c r="I67" s="249"/>
      <c r="J67" s="249"/>
      <c r="K67" s="249"/>
      <c r="L67" s="249"/>
      <c r="M67" s="250"/>
      <c r="N67" s="250"/>
      <c r="O67" s="250"/>
      <c r="P67" s="250"/>
      <c r="Q67" s="250"/>
    </row>
    <row r="68" spans="1:17" ht="19.95" customHeight="1">
      <c r="A68" s="250"/>
      <c r="B68" s="250"/>
      <c r="C68" s="250"/>
      <c r="D68" s="250"/>
      <c r="E68" s="250"/>
      <c r="F68" s="250"/>
      <c r="G68" s="249"/>
      <c r="H68" s="249"/>
      <c r="I68" s="249"/>
      <c r="J68" s="249"/>
      <c r="K68" s="249"/>
      <c r="L68" s="249"/>
      <c r="M68" s="250"/>
      <c r="N68" s="250"/>
      <c r="O68" s="250"/>
      <c r="P68" s="250"/>
      <c r="Q68" s="250"/>
    </row>
    <row r="69" spans="1:17" ht="19.95" customHeight="1">
      <c r="A69" s="250"/>
      <c r="B69" s="250"/>
      <c r="C69" s="250"/>
      <c r="D69" s="250"/>
      <c r="E69" s="250"/>
      <c r="F69" s="250"/>
      <c r="G69" s="249"/>
      <c r="H69" s="249"/>
      <c r="I69" s="249"/>
      <c r="J69" s="249"/>
      <c r="K69" s="249"/>
      <c r="L69" s="249"/>
      <c r="M69" s="250"/>
      <c r="N69" s="250"/>
      <c r="O69" s="250"/>
      <c r="P69" s="250"/>
      <c r="Q69" s="250"/>
    </row>
    <row r="70" spans="1:17" ht="19.95" customHeight="1">
      <c r="A70" s="250"/>
      <c r="B70" s="250"/>
      <c r="C70" s="250"/>
      <c r="D70" s="250"/>
      <c r="E70" s="250"/>
      <c r="F70" s="250"/>
      <c r="G70" s="249"/>
      <c r="H70" s="249"/>
      <c r="I70" s="249"/>
      <c r="J70" s="249"/>
      <c r="K70" s="249"/>
      <c r="L70" s="249"/>
      <c r="M70" s="250"/>
      <c r="N70" s="250"/>
      <c r="O70" s="250"/>
      <c r="P70" s="250"/>
      <c r="Q70" s="250"/>
    </row>
    <row r="71" spans="1:17" ht="19.95" customHeight="1">
      <c r="A71" s="250"/>
      <c r="B71" s="250"/>
      <c r="C71" s="250"/>
      <c r="D71" s="250"/>
      <c r="E71" s="250"/>
      <c r="F71" s="250"/>
      <c r="G71" s="249"/>
      <c r="H71" s="249"/>
      <c r="I71" s="249"/>
      <c r="J71" s="249"/>
      <c r="K71" s="249"/>
      <c r="L71" s="249"/>
      <c r="M71" s="250"/>
      <c r="N71" s="250"/>
      <c r="O71" s="250"/>
      <c r="P71" s="250"/>
      <c r="Q71" s="250"/>
    </row>
    <row r="72" spans="1:17" ht="19.95" customHeight="1">
      <c r="A72" s="250"/>
      <c r="B72" s="250"/>
      <c r="C72" s="250"/>
      <c r="D72" s="250"/>
      <c r="E72" s="250"/>
      <c r="F72" s="250"/>
      <c r="G72" s="249"/>
      <c r="H72" s="249"/>
      <c r="I72" s="249"/>
      <c r="J72" s="249"/>
      <c r="K72" s="249"/>
      <c r="L72" s="249"/>
      <c r="M72" s="250"/>
      <c r="N72" s="250"/>
      <c r="O72" s="250"/>
      <c r="P72" s="250"/>
      <c r="Q72" s="250"/>
    </row>
    <row r="73" spans="1:17" ht="19.95" customHeight="1">
      <c r="A73" s="250"/>
      <c r="B73" s="250"/>
      <c r="C73" s="250"/>
      <c r="D73" s="250"/>
      <c r="E73" s="250"/>
      <c r="F73" s="250"/>
      <c r="G73" s="249"/>
      <c r="H73" s="249"/>
      <c r="I73" s="249"/>
      <c r="J73" s="249"/>
      <c r="K73" s="249"/>
      <c r="L73" s="249"/>
      <c r="M73" s="250"/>
      <c r="N73" s="250"/>
      <c r="O73" s="250"/>
      <c r="P73" s="250"/>
      <c r="Q73" s="250"/>
    </row>
    <row r="74" spans="1:17" ht="19.95" customHeight="1">
      <c r="A74" s="250"/>
      <c r="B74" s="250"/>
      <c r="C74" s="250"/>
      <c r="D74" s="250"/>
      <c r="E74" s="250"/>
      <c r="F74" s="250"/>
      <c r="G74" s="249"/>
      <c r="H74" s="249"/>
      <c r="I74" s="249"/>
      <c r="J74" s="249"/>
      <c r="K74" s="249"/>
      <c r="L74" s="249"/>
      <c r="M74" s="250"/>
      <c r="N74" s="250"/>
      <c r="O74" s="250"/>
      <c r="P74" s="250"/>
      <c r="Q74" s="250"/>
    </row>
    <row r="75" spans="1:17" ht="19.95" customHeight="1">
      <c r="A75" s="250"/>
      <c r="B75" s="250"/>
      <c r="C75" s="250"/>
      <c r="D75" s="250"/>
      <c r="E75" s="250"/>
      <c r="F75" s="250"/>
      <c r="G75" s="249"/>
      <c r="H75" s="249"/>
      <c r="I75" s="249"/>
      <c r="J75" s="249"/>
      <c r="K75" s="249"/>
      <c r="L75" s="249"/>
      <c r="M75" s="250"/>
      <c r="N75" s="250"/>
      <c r="O75" s="250"/>
      <c r="P75" s="250"/>
      <c r="Q75" s="250"/>
    </row>
    <row r="76" spans="1:17" ht="19.95" customHeight="1">
      <c r="A76" s="250"/>
      <c r="B76" s="250"/>
      <c r="C76" s="250"/>
      <c r="D76" s="250"/>
      <c r="E76" s="250"/>
      <c r="F76" s="250"/>
      <c r="G76" s="249"/>
      <c r="H76" s="249"/>
      <c r="I76" s="249"/>
      <c r="J76" s="249"/>
      <c r="K76" s="249"/>
      <c r="L76" s="249"/>
      <c r="M76" s="250"/>
      <c r="N76" s="250"/>
      <c r="O76" s="250"/>
      <c r="P76" s="250"/>
      <c r="Q76" s="250"/>
    </row>
    <row r="77" spans="1:17" ht="19.95" customHeight="1">
      <c r="A77" s="250"/>
      <c r="B77" s="250"/>
      <c r="C77" s="250"/>
      <c r="D77" s="250"/>
      <c r="E77" s="250"/>
      <c r="F77" s="250"/>
      <c r="G77" s="249"/>
      <c r="H77" s="249"/>
      <c r="I77" s="249"/>
      <c r="J77" s="249"/>
      <c r="K77" s="249"/>
      <c r="L77" s="249"/>
      <c r="M77" s="250"/>
      <c r="N77" s="250"/>
      <c r="O77" s="250"/>
      <c r="P77" s="250"/>
      <c r="Q77" s="250"/>
    </row>
    <row r="78" spans="1:17" ht="19.95" customHeight="1">
      <c r="A78" s="250"/>
      <c r="B78" s="250"/>
      <c r="C78" s="250"/>
      <c r="D78" s="250"/>
      <c r="E78" s="250"/>
      <c r="F78" s="250"/>
      <c r="G78" s="249"/>
      <c r="H78" s="249"/>
      <c r="I78" s="249"/>
      <c r="J78" s="249"/>
      <c r="K78" s="249"/>
      <c r="L78" s="249"/>
      <c r="M78" s="250"/>
      <c r="N78" s="250"/>
      <c r="O78" s="250"/>
      <c r="P78" s="250"/>
      <c r="Q78" s="250"/>
    </row>
    <row r="79" spans="1:17" ht="19.95" customHeight="1">
      <c r="A79" s="250"/>
      <c r="B79" s="250"/>
      <c r="C79" s="250"/>
      <c r="D79" s="250"/>
      <c r="E79" s="250"/>
      <c r="F79" s="250"/>
      <c r="G79" s="249"/>
      <c r="H79" s="249"/>
      <c r="I79" s="249"/>
      <c r="J79" s="249"/>
      <c r="K79" s="249"/>
      <c r="L79" s="249"/>
      <c r="M79" s="250"/>
      <c r="N79" s="250"/>
      <c r="O79" s="250"/>
      <c r="P79" s="250"/>
      <c r="Q79" s="250"/>
    </row>
    <row r="80" spans="1:17" ht="19.95" customHeight="1">
      <c r="A80" s="250"/>
      <c r="B80" s="250"/>
      <c r="C80" s="250"/>
      <c r="D80" s="250"/>
      <c r="E80" s="250"/>
      <c r="F80" s="250"/>
      <c r="G80" s="249"/>
      <c r="H80" s="249"/>
      <c r="I80" s="249"/>
      <c r="J80" s="249"/>
      <c r="K80" s="249"/>
      <c r="L80" s="249"/>
      <c r="M80" s="250"/>
      <c r="N80" s="250"/>
      <c r="O80" s="250"/>
      <c r="P80" s="250"/>
      <c r="Q80" s="250"/>
    </row>
    <row r="81" spans="1:17" ht="19.95" customHeight="1">
      <c r="A81" s="250"/>
      <c r="B81" s="250"/>
      <c r="C81" s="250"/>
      <c r="D81" s="250"/>
      <c r="E81" s="250"/>
      <c r="F81" s="250"/>
      <c r="G81" s="249"/>
      <c r="H81" s="249"/>
      <c r="I81" s="249"/>
      <c r="J81" s="249"/>
      <c r="K81" s="249"/>
      <c r="L81" s="249"/>
      <c r="M81" s="250"/>
      <c r="N81" s="250"/>
      <c r="O81" s="250"/>
      <c r="P81" s="250"/>
      <c r="Q81" s="250"/>
    </row>
    <row r="82" spans="1:17" ht="19.95" customHeight="1">
      <c r="A82" s="250"/>
      <c r="B82" s="250"/>
      <c r="C82" s="250"/>
      <c r="D82" s="250"/>
      <c r="E82" s="250"/>
      <c r="F82" s="250"/>
      <c r="G82" s="249"/>
      <c r="H82" s="249"/>
      <c r="I82" s="249"/>
      <c r="J82" s="249"/>
      <c r="K82" s="249"/>
      <c r="L82" s="249"/>
      <c r="M82" s="250"/>
      <c r="N82" s="250"/>
      <c r="O82" s="250"/>
      <c r="P82" s="250"/>
      <c r="Q82" s="250"/>
    </row>
    <row r="83" spans="1:17" ht="19.95" customHeight="1">
      <c r="A83" s="250"/>
      <c r="B83" s="250"/>
      <c r="C83" s="250"/>
      <c r="D83" s="250"/>
      <c r="E83" s="250"/>
      <c r="F83" s="250"/>
      <c r="G83" s="249"/>
      <c r="H83" s="249"/>
      <c r="I83" s="249"/>
      <c r="J83" s="249"/>
      <c r="K83" s="249"/>
      <c r="L83" s="249"/>
      <c r="M83" s="250"/>
      <c r="N83" s="250"/>
      <c r="O83" s="250"/>
      <c r="P83" s="250"/>
      <c r="Q83" s="250"/>
    </row>
    <row r="84" spans="1:17" ht="19.95" customHeight="1">
      <c r="A84" s="250"/>
      <c r="B84" s="250"/>
      <c r="C84" s="250"/>
      <c r="D84" s="250"/>
      <c r="E84" s="250"/>
      <c r="F84" s="250"/>
      <c r="G84" s="249"/>
      <c r="H84" s="249"/>
      <c r="I84" s="249"/>
      <c r="J84" s="249"/>
      <c r="K84" s="249"/>
      <c r="L84" s="249"/>
      <c r="M84" s="250"/>
      <c r="N84" s="250"/>
      <c r="O84" s="250"/>
      <c r="P84" s="250"/>
      <c r="Q84" s="250"/>
    </row>
    <row r="85" spans="1:17" ht="19.95" customHeight="1">
      <c r="A85" s="250"/>
      <c r="B85" s="250"/>
      <c r="C85" s="250"/>
      <c r="D85" s="250"/>
      <c r="E85" s="250"/>
      <c r="F85" s="250"/>
      <c r="G85" s="249"/>
      <c r="H85" s="249"/>
      <c r="I85" s="249"/>
      <c r="J85" s="249"/>
      <c r="K85" s="249"/>
      <c r="L85" s="249"/>
      <c r="M85" s="250"/>
      <c r="N85" s="250"/>
      <c r="O85" s="250"/>
      <c r="P85" s="250"/>
      <c r="Q85" s="250"/>
    </row>
    <row r="86" spans="1:17" ht="19.95" customHeight="1">
      <c r="A86" s="250"/>
      <c r="B86" s="250"/>
      <c r="C86" s="250"/>
      <c r="D86" s="250"/>
      <c r="E86" s="250"/>
      <c r="F86" s="250"/>
      <c r="G86" s="249"/>
      <c r="H86" s="249"/>
      <c r="I86" s="249"/>
      <c r="J86" s="249"/>
      <c r="K86" s="249"/>
      <c r="L86" s="249"/>
      <c r="M86" s="250"/>
      <c r="N86" s="250"/>
      <c r="O86" s="250"/>
      <c r="P86" s="250"/>
      <c r="Q86" s="250"/>
    </row>
    <row r="87" spans="1:17" ht="19.95" customHeight="1">
      <c r="A87" s="250"/>
      <c r="B87" s="250"/>
      <c r="C87" s="250"/>
      <c r="D87" s="250"/>
      <c r="E87" s="250"/>
      <c r="F87" s="250"/>
      <c r="G87" s="249"/>
      <c r="H87" s="249"/>
      <c r="I87" s="249"/>
      <c r="J87" s="249"/>
      <c r="K87" s="249"/>
      <c r="L87" s="249"/>
      <c r="M87" s="250"/>
      <c r="N87" s="250"/>
      <c r="O87" s="250"/>
      <c r="P87" s="250"/>
      <c r="Q87" s="250"/>
    </row>
    <row r="88" spans="1:17" ht="19.95" customHeight="1">
      <c r="A88" s="250"/>
      <c r="B88" s="250"/>
      <c r="C88" s="250"/>
      <c r="D88" s="250"/>
      <c r="E88" s="250"/>
      <c r="F88" s="250"/>
      <c r="G88" s="249"/>
      <c r="H88" s="249"/>
      <c r="I88" s="249"/>
      <c r="J88" s="249"/>
      <c r="K88" s="249"/>
      <c r="L88" s="249"/>
      <c r="M88" s="250"/>
      <c r="N88" s="250"/>
      <c r="O88" s="250"/>
      <c r="P88" s="250"/>
      <c r="Q88" s="250"/>
    </row>
    <row r="89" spans="1:17" ht="19.95" customHeight="1">
      <c r="A89" s="250"/>
      <c r="B89" s="250"/>
      <c r="C89" s="250"/>
      <c r="D89" s="250"/>
      <c r="E89" s="250"/>
      <c r="F89" s="250"/>
      <c r="G89" s="249"/>
      <c r="H89" s="249"/>
      <c r="I89" s="249"/>
      <c r="J89" s="249"/>
      <c r="K89" s="249"/>
      <c r="L89" s="249"/>
      <c r="M89" s="250"/>
      <c r="N89" s="250"/>
      <c r="O89" s="250"/>
      <c r="P89" s="250"/>
      <c r="Q89" s="250"/>
    </row>
    <row r="90" spans="1:17" ht="19.95" customHeight="1">
      <c r="A90" s="250"/>
      <c r="B90" s="250"/>
      <c r="C90" s="250"/>
      <c r="D90" s="250"/>
      <c r="E90" s="250"/>
      <c r="F90" s="250"/>
      <c r="G90" s="249"/>
      <c r="H90" s="249"/>
      <c r="I90" s="249"/>
      <c r="J90" s="249"/>
      <c r="K90" s="249"/>
      <c r="L90" s="249"/>
      <c r="M90" s="250"/>
      <c r="N90" s="250"/>
      <c r="O90" s="250"/>
      <c r="P90" s="250"/>
      <c r="Q90" s="250"/>
    </row>
    <row r="91" spans="1:17" ht="19.95" customHeight="1">
      <c r="A91" s="250"/>
      <c r="B91" s="250"/>
      <c r="C91" s="250"/>
      <c r="D91" s="250"/>
      <c r="E91" s="250"/>
      <c r="F91" s="250"/>
      <c r="G91" s="249"/>
      <c r="H91" s="249"/>
      <c r="I91" s="249"/>
      <c r="J91" s="249"/>
      <c r="K91" s="249"/>
      <c r="L91" s="249"/>
      <c r="M91" s="250"/>
      <c r="N91" s="250"/>
      <c r="O91" s="250"/>
      <c r="P91" s="250"/>
      <c r="Q91" s="250"/>
    </row>
    <row r="92" spans="1:17" ht="19.95" customHeight="1">
      <c r="A92" s="250"/>
      <c r="B92" s="250"/>
      <c r="C92" s="250"/>
      <c r="D92" s="250"/>
      <c r="E92" s="250"/>
      <c r="F92" s="250"/>
      <c r="G92" s="249"/>
      <c r="H92" s="249"/>
      <c r="I92" s="249"/>
      <c r="J92" s="249"/>
      <c r="K92" s="249"/>
      <c r="L92" s="249"/>
      <c r="M92" s="250"/>
      <c r="N92" s="250"/>
      <c r="O92" s="250"/>
      <c r="P92" s="250"/>
      <c r="Q92" s="250"/>
    </row>
    <row r="93" spans="1:17" ht="19.95" customHeight="1">
      <c r="A93" s="250"/>
      <c r="B93" s="250"/>
      <c r="C93" s="250"/>
      <c r="D93" s="250"/>
      <c r="E93" s="250"/>
      <c r="F93" s="250"/>
      <c r="G93" s="249"/>
      <c r="H93" s="249"/>
      <c r="I93" s="249"/>
      <c r="J93" s="249"/>
      <c r="K93" s="249"/>
      <c r="L93" s="249"/>
      <c r="M93" s="250"/>
      <c r="N93" s="250"/>
      <c r="O93" s="250"/>
      <c r="P93" s="250"/>
      <c r="Q93" s="250"/>
    </row>
    <row r="94" spans="1:17" ht="19.95" customHeight="1">
      <c r="A94" s="250"/>
      <c r="B94" s="250"/>
      <c r="C94" s="250"/>
      <c r="D94" s="250"/>
      <c r="E94" s="250"/>
      <c r="F94" s="250"/>
      <c r="G94" s="249"/>
      <c r="H94" s="249"/>
      <c r="I94" s="249"/>
      <c r="J94" s="249"/>
      <c r="K94" s="249"/>
      <c r="L94" s="249"/>
      <c r="M94" s="250"/>
      <c r="N94" s="250"/>
      <c r="O94" s="250"/>
      <c r="P94" s="250"/>
      <c r="Q94" s="250"/>
    </row>
    <row r="95" spans="1:17" ht="19.95" customHeight="1">
      <c r="A95" s="250"/>
      <c r="B95" s="250"/>
      <c r="C95" s="250"/>
      <c r="D95" s="250"/>
      <c r="E95" s="250"/>
      <c r="F95" s="250"/>
      <c r="G95" s="249"/>
      <c r="H95" s="249"/>
      <c r="I95" s="249"/>
      <c r="J95" s="249"/>
      <c r="K95" s="249"/>
      <c r="L95" s="249"/>
      <c r="M95" s="250"/>
      <c r="N95" s="250"/>
      <c r="O95" s="250"/>
      <c r="P95" s="250"/>
      <c r="Q95" s="250"/>
    </row>
    <row r="96" spans="1:17" ht="19.95" customHeight="1">
      <c r="A96" s="250"/>
      <c r="B96" s="250"/>
      <c r="C96" s="250"/>
      <c r="D96" s="250"/>
      <c r="E96" s="250"/>
      <c r="F96" s="250"/>
      <c r="G96" s="249"/>
      <c r="H96" s="249"/>
      <c r="I96" s="249"/>
      <c r="J96" s="249"/>
      <c r="K96" s="249"/>
      <c r="L96" s="249"/>
      <c r="M96" s="250"/>
      <c r="N96" s="250"/>
      <c r="O96" s="250"/>
      <c r="P96" s="250"/>
      <c r="Q96" s="250"/>
    </row>
    <row r="97" spans="1:17" ht="19.95" customHeight="1">
      <c r="A97" s="250"/>
      <c r="B97" s="250"/>
      <c r="C97" s="250"/>
      <c r="D97" s="250"/>
      <c r="E97" s="250"/>
      <c r="F97" s="250"/>
      <c r="G97" s="249"/>
      <c r="H97" s="249"/>
      <c r="I97" s="249"/>
      <c r="J97" s="249"/>
      <c r="K97" s="249"/>
      <c r="L97" s="249"/>
      <c r="M97" s="250"/>
      <c r="N97" s="250"/>
      <c r="O97" s="250"/>
      <c r="P97" s="250"/>
      <c r="Q97" s="250"/>
    </row>
    <row r="98" spans="1:17" ht="19.95" customHeight="1">
      <c r="A98" s="250"/>
      <c r="B98" s="250"/>
      <c r="C98" s="250"/>
      <c r="D98" s="250"/>
      <c r="E98" s="250"/>
      <c r="F98" s="250"/>
      <c r="G98" s="249"/>
      <c r="H98" s="249"/>
      <c r="I98" s="249"/>
      <c r="J98" s="249"/>
      <c r="K98" s="249"/>
      <c r="L98" s="249"/>
      <c r="M98" s="250"/>
      <c r="N98" s="250"/>
      <c r="O98" s="250"/>
      <c r="P98" s="250"/>
      <c r="Q98" s="250"/>
    </row>
    <row r="99" spans="1:17" ht="19.95" customHeight="1">
      <c r="A99" s="250"/>
      <c r="B99" s="250"/>
      <c r="C99" s="250"/>
      <c r="D99" s="250"/>
      <c r="E99" s="250"/>
      <c r="F99" s="250"/>
      <c r="G99" s="249"/>
      <c r="H99" s="249"/>
      <c r="I99" s="249"/>
      <c r="J99" s="249"/>
      <c r="K99" s="249"/>
      <c r="L99" s="249"/>
      <c r="M99" s="250"/>
      <c r="N99" s="250"/>
      <c r="O99" s="250"/>
      <c r="P99" s="250"/>
      <c r="Q99" s="250"/>
    </row>
    <row r="100" spans="1:17" ht="19.95" customHeight="1">
      <c r="A100" s="250"/>
      <c r="B100" s="250"/>
      <c r="C100" s="250"/>
      <c r="D100" s="250"/>
      <c r="E100" s="250"/>
      <c r="F100" s="250"/>
      <c r="G100" s="249"/>
      <c r="H100" s="249"/>
      <c r="I100" s="249"/>
      <c r="J100" s="249"/>
      <c r="K100" s="249"/>
      <c r="L100" s="249"/>
      <c r="M100" s="250"/>
      <c r="N100" s="250"/>
      <c r="O100" s="250"/>
      <c r="P100" s="250"/>
      <c r="Q100" s="250"/>
    </row>
    <row r="101" spans="1:17" ht="19.95" customHeight="1">
      <c r="A101" s="250"/>
      <c r="B101" s="250"/>
      <c r="C101" s="250"/>
      <c r="D101" s="250"/>
      <c r="E101" s="250"/>
      <c r="F101" s="250"/>
      <c r="G101" s="249"/>
      <c r="H101" s="249"/>
      <c r="I101" s="249"/>
      <c r="J101" s="249"/>
      <c r="K101" s="249"/>
      <c r="L101" s="249"/>
      <c r="M101" s="250"/>
      <c r="N101" s="250"/>
      <c r="O101" s="250"/>
      <c r="P101" s="250"/>
      <c r="Q101" s="250"/>
    </row>
    <row r="102" spans="1:17" ht="19.95" customHeight="1">
      <c r="A102" s="250"/>
      <c r="B102" s="250"/>
      <c r="C102" s="250"/>
      <c r="D102" s="250"/>
      <c r="E102" s="250"/>
      <c r="F102" s="250"/>
      <c r="G102" s="249"/>
      <c r="H102" s="249"/>
      <c r="I102" s="249"/>
      <c r="J102" s="249"/>
      <c r="K102" s="249"/>
      <c r="L102" s="249"/>
      <c r="M102" s="250"/>
      <c r="N102" s="250"/>
      <c r="O102" s="250"/>
      <c r="P102" s="250"/>
      <c r="Q102" s="250"/>
    </row>
    <row r="103" spans="1:17" ht="19.95" customHeight="1">
      <c r="A103" s="250"/>
      <c r="B103" s="250"/>
      <c r="C103" s="250"/>
      <c r="D103" s="250"/>
      <c r="E103" s="250"/>
      <c r="F103" s="250"/>
      <c r="G103" s="249"/>
      <c r="H103" s="249"/>
      <c r="I103" s="249"/>
      <c r="J103" s="249"/>
      <c r="K103" s="249"/>
      <c r="L103" s="249"/>
      <c r="M103" s="250"/>
      <c r="N103" s="250"/>
      <c r="O103" s="250"/>
      <c r="P103" s="250"/>
      <c r="Q103" s="250"/>
    </row>
    <row r="104" spans="1:17" ht="19.95" customHeight="1">
      <c r="A104" s="250"/>
      <c r="B104" s="250"/>
      <c r="C104" s="250"/>
      <c r="D104" s="250"/>
      <c r="E104" s="250"/>
      <c r="F104" s="250"/>
      <c r="G104" s="249"/>
      <c r="H104" s="249"/>
      <c r="I104" s="249"/>
      <c r="J104" s="249"/>
      <c r="K104" s="249"/>
      <c r="L104" s="249"/>
      <c r="M104" s="250"/>
      <c r="N104" s="250"/>
      <c r="O104" s="250"/>
      <c r="P104" s="250"/>
      <c r="Q104" s="250"/>
    </row>
    <row r="105" spans="1:17" ht="19.95" customHeight="1">
      <c r="A105" s="250"/>
      <c r="B105" s="250"/>
      <c r="C105" s="250"/>
      <c r="D105" s="250"/>
      <c r="E105" s="250"/>
      <c r="F105" s="250"/>
      <c r="G105" s="249"/>
      <c r="H105" s="249"/>
      <c r="I105" s="249"/>
      <c r="J105" s="249"/>
      <c r="K105" s="249"/>
      <c r="L105" s="249"/>
      <c r="M105" s="250"/>
      <c r="N105" s="250"/>
      <c r="O105" s="250"/>
      <c r="P105" s="250"/>
      <c r="Q105" s="250"/>
    </row>
    <row r="106" spans="1:17" ht="19.95" customHeight="1">
      <c r="A106" s="250"/>
      <c r="B106" s="250"/>
      <c r="C106" s="250"/>
      <c r="D106" s="250"/>
      <c r="E106" s="250"/>
      <c r="F106" s="250"/>
      <c r="G106" s="249"/>
      <c r="H106" s="249"/>
      <c r="I106" s="249"/>
      <c r="J106" s="249"/>
      <c r="K106" s="249"/>
      <c r="L106" s="249"/>
      <c r="M106" s="250"/>
      <c r="N106" s="250"/>
      <c r="O106" s="250"/>
      <c r="P106" s="250"/>
      <c r="Q106" s="250"/>
    </row>
    <row r="107" spans="1:17" ht="19.95" customHeight="1">
      <c r="A107" s="250"/>
      <c r="B107" s="250"/>
      <c r="C107" s="250"/>
      <c r="D107" s="250"/>
      <c r="E107" s="250"/>
      <c r="F107" s="250"/>
      <c r="G107" s="249"/>
      <c r="H107" s="249"/>
      <c r="I107" s="249"/>
      <c r="J107" s="249"/>
      <c r="K107" s="249"/>
      <c r="L107" s="249"/>
      <c r="M107" s="250"/>
      <c r="N107" s="250"/>
      <c r="O107" s="250"/>
      <c r="P107" s="250"/>
      <c r="Q107" s="250"/>
    </row>
    <row r="108" spans="1:17" ht="19.95" customHeight="1">
      <c r="A108" s="250"/>
      <c r="B108" s="250"/>
      <c r="C108" s="250"/>
      <c r="D108" s="250"/>
      <c r="E108" s="250"/>
      <c r="F108" s="250"/>
      <c r="G108" s="249"/>
      <c r="H108" s="249"/>
      <c r="I108" s="249"/>
      <c r="J108" s="249"/>
      <c r="K108" s="249"/>
      <c r="L108" s="249"/>
      <c r="M108" s="250"/>
      <c r="N108" s="250"/>
      <c r="O108" s="250"/>
      <c r="P108" s="250"/>
      <c r="Q108" s="250"/>
    </row>
    <row r="109" spans="1:17" ht="19.95" customHeight="1">
      <c r="A109" s="250"/>
      <c r="B109" s="250"/>
      <c r="C109" s="250"/>
      <c r="D109" s="250"/>
      <c r="E109" s="250"/>
      <c r="F109" s="250"/>
      <c r="G109" s="249"/>
      <c r="H109" s="249"/>
      <c r="I109" s="249"/>
      <c r="J109" s="249"/>
      <c r="K109" s="249"/>
      <c r="L109" s="249"/>
      <c r="M109" s="250"/>
      <c r="N109" s="250"/>
      <c r="O109" s="250"/>
      <c r="P109" s="250"/>
      <c r="Q109" s="250"/>
    </row>
    <row r="110" spans="1:17" ht="19.95" customHeight="1">
      <c r="A110" s="250"/>
      <c r="B110" s="250"/>
      <c r="C110" s="250"/>
      <c r="D110" s="250"/>
      <c r="E110" s="250"/>
      <c r="F110" s="250"/>
      <c r="G110" s="249"/>
      <c r="H110" s="249"/>
      <c r="I110" s="249"/>
      <c r="J110" s="249"/>
      <c r="K110" s="249"/>
      <c r="L110" s="249"/>
      <c r="M110" s="250"/>
      <c r="N110" s="250"/>
      <c r="O110" s="250"/>
      <c r="P110" s="250"/>
      <c r="Q110" s="250"/>
    </row>
    <row r="111" spans="1:17" ht="19.95" customHeight="1">
      <c r="A111" s="250"/>
      <c r="B111" s="250"/>
      <c r="C111" s="250"/>
      <c r="D111" s="250"/>
      <c r="E111" s="250"/>
      <c r="F111" s="250"/>
      <c r="G111" s="249"/>
      <c r="H111" s="249"/>
      <c r="I111" s="249"/>
      <c r="J111" s="249"/>
      <c r="K111" s="249"/>
      <c r="L111" s="249"/>
      <c r="M111" s="250"/>
      <c r="N111" s="250"/>
      <c r="O111" s="250"/>
      <c r="P111" s="250"/>
      <c r="Q111" s="250"/>
    </row>
    <row r="112" spans="1:17" ht="19.95" customHeight="1">
      <c r="A112" s="250"/>
      <c r="B112" s="250"/>
      <c r="C112" s="250"/>
      <c r="D112" s="250"/>
      <c r="E112" s="250"/>
      <c r="F112" s="250"/>
      <c r="G112" s="249"/>
      <c r="H112" s="249"/>
      <c r="I112" s="249"/>
      <c r="J112" s="249"/>
      <c r="K112" s="249"/>
      <c r="L112" s="249"/>
      <c r="M112" s="250"/>
      <c r="N112" s="250"/>
      <c r="O112" s="250"/>
      <c r="P112" s="250"/>
      <c r="Q112" s="250"/>
    </row>
    <row r="113" spans="1:17" ht="19.95" customHeight="1">
      <c r="A113" s="250"/>
      <c r="B113" s="250"/>
      <c r="C113" s="250"/>
      <c r="D113" s="250"/>
      <c r="E113" s="250"/>
      <c r="F113" s="250"/>
      <c r="G113" s="249"/>
      <c r="H113" s="249"/>
      <c r="I113" s="249"/>
      <c r="J113" s="249"/>
      <c r="K113" s="249"/>
      <c r="L113" s="249"/>
      <c r="M113" s="250"/>
      <c r="N113" s="250"/>
      <c r="O113" s="250"/>
      <c r="P113" s="250"/>
      <c r="Q113" s="250"/>
    </row>
    <row r="114" spans="1:17" ht="19.95" customHeight="1">
      <c r="A114" s="250"/>
      <c r="B114" s="250"/>
      <c r="C114" s="250"/>
      <c r="D114" s="250"/>
      <c r="E114" s="250"/>
      <c r="F114" s="250"/>
      <c r="G114" s="249"/>
      <c r="H114" s="249"/>
      <c r="I114" s="249"/>
      <c r="J114" s="249"/>
      <c r="K114" s="249"/>
      <c r="L114" s="249"/>
      <c r="M114" s="250"/>
      <c r="N114" s="250"/>
      <c r="O114" s="250"/>
      <c r="P114" s="250"/>
      <c r="Q114" s="250"/>
    </row>
    <row r="115" spans="1:17" ht="19.95" customHeight="1">
      <c r="A115" s="250"/>
      <c r="B115" s="250"/>
      <c r="C115" s="250"/>
      <c r="D115" s="250"/>
      <c r="E115" s="250"/>
      <c r="F115" s="250"/>
      <c r="G115" s="249"/>
      <c r="H115" s="249"/>
      <c r="I115" s="249"/>
      <c r="J115" s="249"/>
      <c r="K115" s="249"/>
      <c r="L115" s="249"/>
      <c r="M115" s="250"/>
      <c r="N115" s="250"/>
      <c r="O115" s="250"/>
      <c r="P115" s="250"/>
      <c r="Q115" s="250"/>
    </row>
    <row r="116" spans="1:17" ht="19.95" customHeight="1">
      <c r="A116" s="250"/>
      <c r="B116" s="250"/>
      <c r="C116" s="250"/>
      <c r="D116" s="250"/>
      <c r="E116" s="250"/>
      <c r="F116" s="250"/>
      <c r="G116" s="249"/>
      <c r="H116" s="249"/>
      <c r="I116" s="249"/>
      <c r="J116" s="249"/>
      <c r="K116" s="249"/>
      <c r="L116" s="249"/>
      <c r="M116" s="250"/>
      <c r="N116" s="250"/>
      <c r="O116" s="250"/>
      <c r="P116" s="250"/>
      <c r="Q116" s="250"/>
    </row>
    <row r="117" spans="1:17" ht="19.95" customHeight="1">
      <c r="A117" s="250"/>
      <c r="B117" s="250"/>
      <c r="C117" s="250"/>
      <c r="D117" s="250"/>
      <c r="E117" s="250"/>
      <c r="F117" s="250"/>
      <c r="G117" s="249"/>
      <c r="H117" s="249"/>
      <c r="I117" s="249"/>
      <c r="J117" s="249"/>
      <c r="K117" s="249"/>
      <c r="L117" s="249"/>
      <c r="M117" s="250"/>
      <c r="N117" s="250"/>
      <c r="O117" s="250"/>
      <c r="P117" s="250"/>
      <c r="Q117" s="250"/>
    </row>
    <row r="118" spans="1:17" ht="19.95" customHeight="1">
      <c r="A118" s="250"/>
      <c r="B118" s="250"/>
      <c r="C118" s="250"/>
      <c r="D118" s="250"/>
      <c r="E118" s="250"/>
      <c r="F118" s="250"/>
      <c r="G118" s="249"/>
      <c r="H118" s="249"/>
      <c r="I118" s="249"/>
      <c r="J118" s="249"/>
      <c r="K118" s="249"/>
      <c r="L118" s="249"/>
      <c r="M118" s="250"/>
      <c r="N118" s="250"/>
      <c r="O118" s="250"/>
      <c r="P118" s="250"/>
      <c r="Q118" s="250"/>
    </row>
    <row r="119" spans="1:17" ht="19.95" customHeight="1">
      <c r="A119" s="250"/>
      <c r="B119" s="250"/>
      <c r="C119" s="250"/>
      <c r="D119" s="250"/>
      <c r="E119" s="250"/>
      <c r="F119" s="250"/>
      <c r="G119" s="249"/>
      <c r="H119" s="249"/>
      <c r="I119" s="249"/>
      <c r="J119" s="249"/>
      <c r="K119" s="249"/>
      <c r="L119" s="249"/>
      <c r="M119" s="250"/>
      <c r="N119" s="250"/>
      <c r="O119" s="250"/>
      <c r="P119" s="250"/>
      <c r="Q119" s="250"/>
    </row>
    <row r="120" spans="1:17" ht="19.95" customHeight="1">
      <c r="A120" s="250"/>
      <c r="B120" s="250"/>
      <c r="C120" s="250"/>
      <c r="D120" s="250"/>
      <c r="E120" s="250"/>
      <c r="F120" s="250"/>
      <c r="G120" s="249"/>
      <c r="H120" s="249"/>
      <c r="I120" s="249"/>
      <c r="J120" s="249"/>
      <c r="K120" s="249"/>
      <c r="L120" s="249"/>
      <c r="M120" s="250"/>
      <c r="N120" s="250"/>
      <c r="O120" s="250"/>
      <c r="P120" s="250"/>
      <c r="Q120" s="250"/>
    </row>
    <row r="121" spans="1:17" ht="19.95" customHeight="1">
      <c r="A121" s="250"/>
      <c r="B121" s="250"/>
      <c r="C121" s="250"/>
      <c r="D121" s="250"/>
      <c r="E121" s="250"/>
      <c r="F121" s="250"/>
      <c r="G121" s="249"/>
      <c r="H121" s="249"/>
      <c r="I121" s="249"/>
      <c r="J121" s="249"/>
      <c r="K121" s="249"/>
      <c r="L121" s="249"/>
      <c r="M121" s="250"/>
      <c r="N121" s="250"/>
      <c r="O121" s="250"/>
      <c r="P121" s="250"/>
      <c r="Q121" s="250"/>
    </row>
    <row r="122" spans="1:17" ht="19.95" customHeight="1">
      <c r="A122" s="250"/>
      <c r="B122" s="250"/>
      <c r="C122" s="250"/>
      <c r="D122" s="250"/>
      <c r="E122" s="250"/>
      <c r="F122" s="250"/>
      <c r="G122" s="249"/>
      <c r="H122" s="249"/>
      <c r="I122" s="249"/>
      <c r="J122" s="249"/>
      <c r="K122" s="249"/>
      <c r="L122" s="249"/>
      <c r="M122" s="250"/>
      <c r="N122" s="250"/>
      <c r="O122" s="250"/>
      <c r="P122" s="250"/>
      <c r="Q122" s="250"/>
    </row>
    <row r="123" spans="1:17" ht="19.95" customHeight="1">
      <c r="A123" s="250"/>
      <c r="B123" s="250"/>
      <c r="C123" s="250"/>
      <c r="D123" s="250"/>
      <c r="E123" s="250"/>
      <c r="F123" s="250"/>
      <c r="G123" s="249"/>
      <c r="H123" s="249"/>
      <c r="I123" s="249"/>
      <c r="J123" s="249"/>
      <c r="K123" s="249"/>
      <c r="L123" s="249"/>
      <c r="M123" s="250"/>
      <c r="N123" s="250"/>
      <c r="O123" s="250"/>
      <c r="P123" s="250"/>
      <c r="Q123" s="250"/>
    </row>
    <row r="124" spans="1:17" ht="19.95" customHeight="1">
      <c r="A124" s="250"/>
      <c r="B124" s="250"/>
      <c r="C124" s="250"/>
      <c r="D124" s="250"/>
      <c r="E124" s="250"/>
      <c r="F124" s="250"/>
      <c r="G124" s="249"/>
      <c r="H124" s="249"/>
      <c r="I124" s="249"/>
      <c r="J124" s="249"/>
      <c r="K124" s="249"/>
      <c r="L124" s="249"/>
      <c r="M124" s="250"/>
      <c r="N124" s="250"/>
      <c r="O124" s="250"/>
      <c r="P124" s="250"/>
      <c r="Q124" s="250"/>
    </row>
    <row r="125" spans="1:17" ht="19.95" customHeight="1">
      <c r="A125" s="250"/>
      <c r="B125" s="250"/>
      <c r="C125" s="250"/>
      <c r="D125" s="250"/>
      <c r="E125" s="250"/>
      <c r="F125" s="250"/>
      <c r="G125" s="249"/>
      <c r="H125" s="249"/>
      <c r="I125" s="249"/>
      <c r="J125" s="249"/>
      <c r="K125" s="249"/>
      <c r="L125" s="249"/>
      <c r="M125" s="250"/>
      <c r="N125" s="250"/>
      <c r="O125" s="250"/>
      <c r="P125" s="250"/>
      <c r="Q125" s="250"/>
    </row>
  </sheetData>
  <mergeCells count="12">
    <mergeCell ref="A18:A19"/>
    <mergeCell ref="B18:H18"/>
    <mergeCell ref="I18:I19"/>
    <mergeCell ref="A1:L1"/>
    <mergeCell ref="A2:L2"/>
    <mergeCell ref="A7:A8"/>
    <mergeCell ref="B7:B8"/>
    <mergeCell ref="C7:C8"/>
    <mergeCell ref="D7:D8"/>
    <mergeCell ref="E7:E8"/>
    <mergeCell ref="F7:F8"/>
    <mergeCell ref="G7:L7"/>
  </mergeCells>
  <phoneticPr fontId="9" type="noConversion"/>
  <dataValidations count="1">
    <dataValidation type="list" allowBlank="1" showInputMessage="1" showErrorMessage="1" sqref="Q9:Q18 Q31:Q37 N19:N30 N38:N47 G9:L17">
      <formula1>"√,X"</formula1>
    </dataValidation>
  </dataValidations>
  <hyperlinks>
    <hyperlink ref="L3" location="底稿目录!A1" display="H5A"/>
  </hyperlinks>
  <printOptions horizontalCentered="1"/>
  <pageMargins left="0.70866141732283472" right="0.70866141732283472" top="0.74803149606299213" bottom="0.74803149606299213" header="0.31496062992125984" footer="0.31496062992125984"/>
  <pageSetup paperSize="9" scale="63" fitToHeight="2" orientation="landscape" blackAndWhite="1" r:id="rId1"/>
  <headerFooter>
    <oddFooter>&amp;C&amp;P/&amp;N</oddFooter>
  </headerFooter>
  <rowBreaks count="1" manualBreakCount="1">
    <brk id="3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命名范围</vt:lpstr>
      </vt:variant>
      <vt:variant>
        <vt:i4>26</vt:i4>
      </vt:variant>
    </vt:vector>
  </HeadingPairs>
  <TitlesOfParts>
    <vt:vector size="50" baseType="lpstr">
      <vt:lpstr>底稿目录</vt:lpstr>
      <vt:lpstr>油气资产实质性程序表H5A</vt:lpstr>
      <vt:lpstr>审定表H5-1</vt:lpstr>
      <vt:lpstr>附注披露信息（上市公司）</vt:lpstr>
      <vt:lpstr>附注披露信息（国有企业）</vt:lpstr>
      <vt:lpstr>明细表H5-2</vt:lpstr>
      <vt:lpstr>调整分录汇总H5-3</vt:lpstr>
      <vt:lpstr>闲置检查表H5-4</vt:lpstr>
      <vt:lpstr>会计政策会计估计检查表H5-5</vt:lpstr>
      <vt:lpstr>分析表H5-6</vt:lpstr>
      <vt:lpstr>增加检查表H5-7</vt:lpstr>
      <vt:lpstr>减少检查表H5-8</vt:lpstr>
      <vt:lpstr>监盘计划H5-9</vt:lpstr>
      <vt:lpstr>盘点检查表H5-10</vt:lpstr>
      <vt:lpstr>监盘小结H5-11</vt:lpstr>
      <vt:lpstr>折耗测算表（不含减值）H5-12</vt:lpstr>
      <vt:lpstr>折耗测算表（含减值）H5-12</vt:lpstr>
      <vt:lpstr>折耗分配分析表H5-13</vt:lpstr>
      <vt:lpstr>减值测算表H5-14</vt:lpstr>
      <vt:lpstr>可收回金额测试表H5-15</vt:lpstr>
      <vt:lpstr>权属检查表H5-16</vt:lpstr>
      <vt:lpstr>关联交易检查表H5-17</vt:lpstr>
      <vt:lpstr>经营租出油气资产检查表H5-18</vt:lpstr>
      <vt:lpstr>融资租出油气资产检查表H5-19</vt:lpstr>
      <vt:lpstr>'调整分录汇总H5-3'!Print_Area</vt:lpstr>
      <vt:lpstr>'分析表H5-6'!Print_Area</vt:lpstr>
      <vt:lpstr>'附注披露信息（国有企业）'!Print_Area</vt:lpstr>
      <vt:lpstr>'附注披露信息（上市公司）'!Print_Area</vt:lpstr>
      <vt:lpstr>'关联交易检查表H5-17'!Print_Area</vt:lpstr>
      <vt:lpstr>'会计政策会计估计检查表H5-5'!Print_Area</vt:lpstr>
      <vt:lpstr>'监盘计划H5-9'!Print_Area</vt:lpstr>
      <vt:lpstr>'减少检查表H5-8'!Print_Area</vt:lpstr>
      <vt:lpstr>'减值测算表H5-14'!Print_Area</vt:lpstr>
      <vt:lpstr>'经营租出油气资产检查表H5-18'!Print_Area</vt:lpstr>
      <vt:lpstr>'可收回金额测试表H5-15'!Print_Area</vt:lpstr>
      <vt:lpstr>'明细表H5-2'!Print_Area</vt:lpstr>
      <vt:lpstr>'盘点检查表H5-10'!Print_Area</vt:lpstr>
      <vt:lpstr>'权属检查表H5-16'!Print_Area</vt:lpstr>
      <vt:lpstr>'融资租出油气资产检查表H5-19'!Print_Area</vt:lpstr>
      <vt:lpstr>'审定表H5-1'!Print_Area</vt:lpstr>
      <vt:lpstr>'闲置检查表H5-4'!Print_Area</vt:lpstr>
      <vt:lpstr>油气资产实质性程序表H5A!Print_Area</vt:lpstr>
      <vt:lpstr>'增加检查表H5-7'!Print_Area</vt:lpstr>
      <vt:lpstr>'折耗测算表（不含减值）H5-12'!Print_Area</vt:lpstr>
      <vt:lpstr>'折耗测算表（含减值）H5-12'!Print_Area</vt:lpstr>
      <vt:lpstr>'折耗分配分析表H5-13'!Print_Area</vt:lpstr>
      <vt:lpstr>'明细表H5-2'!Print_Titles</vt:lpstr>
      <vt:lpstr>油气资产实质性程序表H5A!Print_Titles</vt:lpstr>
      <vt:lpstr>'折耗测算表（不含减值）H5-12'!Print_Titles</vt:lpstr>
      <vt:lpstr>'折耗测算表（含减值）H5-12'!Print_Titles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何先琴</cp:lastModifiedBy>
  <cp:lastPrinted>2025-10-13T08:38:46Z</cp:lastPrinted>
  <dcterms:created xsi:type="dcterms:W3CDTF">2013-12-07T09:30:03Z</dcterms:created>
  <dcterms:modified xsi:type="dcterms:W3CDTF">2025-11-05T06:25:04Z</dcterms:modified>
</cp:coreProperties>
</file>