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M 权益循环\"/>
    </mc:Choice>
  </mc:AlternateContent>
  <bookViews>
    <workbookView xWindow="-108" yWindow="-108" windowWidth="23256" windowHeight="12576" tabRatio="886"/>
  </bookViews>
  <sheets>
    <sheet name="底稿目录" sheetId="1" r:id="rId1"/>
    <sheet name=" 库存股实质性程序表 M3A" sheetId="23" r:id="rId2"/>
    <sheet name="审定表M3-1" sheetId="16" r:id="rId3"/>
    <sheet name="附注披露信息（上市公司）" sheetId="19" r:id="rId4"/>
    <sheet name="明细表M3-2" sheetId="13" r:id="rId5"/>
    <sheet name="调整分录汇总M3-3" sheetId="24" r:id="rId6"/>
    <sheet name="外币投资汇率测算表M3-4" sheetId="22" r:id="rId7"/>
    <sheet name="库存股检查表M3-5" sheetId="17" r:id="rId8"/>
    <sheet name="参考－会计规定" sheetId="14" r:id="rId9"/>
    <sheet name="GT_Custom" sheetId="20" state="hidden" r:id="rId10"/>
  </sheets>
  <definedNames>
    <definedName name="_xlnm._FilterDatabase" localSheetId="1" hidden="1">' 库存股实质性程序表 M3A'!$A$15:$I$15</definedName>
    <definedName name="AFV" localSheetId="1" hidden="1">#REF!</definedName>
    <definedName name="AFV" hidden="1">#REF!</definedName>
    <definedName name="AS2DocOpenMode" hidden="1">"AS2DocumentEdit"</definedName>
    <definedName name="bs" hidden="1">{#N/A,#N/A,FALSE,"BBPREP"}</definedName>
    <definedName name="bs_1" hidden="1">{#N/A,#N/A,FALSE,"BBPREP"}</definedName>
    <definedName name="CCD" localSheetId="1" hidden="1">#REF!</definedName>
    <definedName name="CCD" hidden="1">#REF!</definedName>
    <definedName name="CDE" localSheetId="1" hidden="1">#REF!</definedName>
    <definedName name="CDE" hidden="1">#REF!</definedName>
    <definedName name="DEX" localSheetId="1" hidden="1">#REF!</definedName>
    <definedName name="DEX" hidden="1">#REF!</definedName>
    <definedName name="EDC" localSheetId="1" hidden="1">#REF!</definedName>
    <definedName name="EDC" hidden="1">#REF!</definedName>
    <definedName name="FASD" localSheetId="1" hidden="1">#REF!</definedName>
    <definedName name="FASD" hidden="1">#REF!</definedName>
    <definedName name="_xlnm.Print_Area" localSheetId="1">' 库存股实质性程序表 M3A'!$A$1:$I$23</definedName>
    <definedName name="_xlnm.Print_Area" localSheetId="3">'附注披露信息（上市公司）'!$A$1:$E$18</definedName>
    <definedName name="_xlnm.Print_Area" localSheetId="7">'库存股检查表M3-5'!$A$1:$P$24</definedName>
    <definedName name="_xlnm.Print_Area" localSheetId="4">'明细表M3-2'!$A$1:$S$35</definedName>
    <definedName name="_xlnm.Print_Area" localSheetId="2">'审定表M3-1'!$A$1:$L$31</definedName>
    <definedName name="_xlnm.Print_Area" localSheetId="6">'外币投资汇率测算表M3-4'!$A$1:$G$21</definedName>
    <definedName name="_xlnm.Print_Titles" localSheetId="1">' 库存股实质性程序表 M3A'!$15:$15</definedName>
    <definedName name="RDES" localSheetId="1" hidden="1">#REF!</definedName>
    <definedName name="RDES" hidden="1">#REF!</definedName>
    <definedName name="TextRefCopyRangeCount" hidden="1">136</definedName>
    <definedName name="VFE" localSheetId="1" hidden="1">#REF!</definedName>
    <definedName name="VFE" hidden="1">#REF!</definedName>
    <definedName name="XAP" localSheetId="1" hidden="1">#REF!</definedName>
    <definedName name="XAP" hidden="1">#REF!</definedName>
    <definedName name="XAQ" localSheetId="1" hidden="1">#REF!</definedName>
    <definedName name="XAQ" hidden="1">#REF!</definedName>
    <definedName name="XCD" localSheetId="1" hidden="1">#REF!</definedName>
    <definedName name="XCD" hidden="1">#REF!</definedName>
    <definedName name="XREF_COLUMN_1" localSheetId="1" hidden="1">#REF!</definedName>
    <definedName name="XREF_COLUMN_1" hidden="1">#REF!</definedName>
    <definedName name="XREF_COLUMN_3" localSheetId="1" hidden="1">#REF!</definedName>
    <definedName name="XREF_COLUMN_3" hidden="1">#REF!</definedName>
    <definedName name="XRefActiveRow" localSheetId="1" hidden="1">#REF!</definedName>
    <definedName name="XRefActiveRow" hidden="1">#REF!</definedName>
    <definedName name="XRefColumnsCount" hidden="1">2</definedName>
    <definedName name="XRefCopy1" localSheetId="1" hidden="1">#REF!</definedName>
    <definedName name="XRefCopy1" hidden="1">#REF!</definedName>
    <definedName name="XRefCopy1Row" localSheetId="1" hidden="1">#REF!</definedName>
    <definedName name="XRefCopy1Row" hidden="1">#REF!</definedName>
    <definedName name="XRefCopy2Row" localSheetId="1" hidden="1">#REF!</definedName>
    <definedName name="XRefCopy2Row" hidden="1">#REF!</definedName>
    <definedName name="XRefCopyRangeCount" hidden="1">2</definedName>
    <definedName name="XRefPaste1" localSheetId="1" hidden="1">#REF!</definedName>
    <definedName name="XRefPaste1" hidden="1">#REF!</definedName>
    <definedName name="XRefPaste1Row" localSheetId="1" hidden="1">#REF!</definedName>
    <definedName name="XRefPaste1Row" hidden="1">#REF!</definedName>
    <definedName name="XRefPaste2" localSheetId="1" hidden="1">#REF!</definedName>
    <definedName name="XRefPaste2" hidden="1">#REF!</definedName>
    <definedName name="XRefPaste2Row" localSheetId="1" hidden="1">#REF!</definedName>
    <definedName name="XRefPaste2Row" hidden="1">#REF!</definedName>
    <definedName name="XRefPaste3" localSheetId="1" hidden="1">#REF!</definedName>
    <definedName name="XRefPaste3" hidden="1">#REF!</definedName>
    <definedName name="XRefPaste3Row" localSheetId="1" hidden="1">#REF!</definedName>
    <definedName name="XRefPaste3Row" hidden="1">#REF!</definedName>
    <definedName name="XRefPasteRangeCount" hidden="1">2</definedName>
    <definedName name="底稿目录" localSheetId="1" hidden="1">#REF!</definedName>
    <definedName name="底稿目录" hidden="1">#REF!</definedName>
    <definedName name="新目录" localSheetId="1" hidden="1">#REF!</definedName>
    <definedName name="新目录" hidden="1">#REF!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8" i="17" l="1"/>
  <c r="G17" i="17"/>
  <c r="F17" i="17"/>
  <c r="F19" i="17" s="1"/>
  <c r="P3" i="17" l="1"/>
  <c r="G3" i="22"/>
  <c r="J3" i="24"/>
  <c r="S3" i="13"/>
  <c r="L3" i="16"/>
  <c r="I3" i="23"/>
  <c r="C3" i="24" l="1"/>
  <c r="E3" i="24"/>
  <c r="C4" i="24"/>
  <c r="E4" i="24"/>
  <c r="H3" i="17" l="1"/>
  <c r="H4" i="17"/>
  <c r="E4" i="22" l="1"/>
  <c r="K4" i="13"/>
  <c r="C4" i="19"/>
  <c r="H4" i="16"/>
  <c r="E4" i="23"/>
  <c r="E4" i="17"/>
  <c r="C4" i="22"/>
  <c r="D4" i="13"/>
  <c r="B4" i="19"/>
  <c r="C4" i="16"/>
  <c r="C4" i="23"/>
  <c r="E3" i="23" l="1"/>
  <c r="C3" i="23"/>
  <c r="A4" i="23"/>
  <c r="A3" i="23"/>
  <c r="E25" i="13" l="1"/>
  <c r="B25" i="13"/>
  <c r="E11" i="22"/>
  <c r="F16" i="13"/>
  <c r="F17" i="13"/>
  <c r="F18" i="13"/>
  <c r="F19" i="13"/>
  <c r="F20" i="13"/>
  <c r="F21" i="13"/>
  <c r="F22" i="13"/>
  <c r="F23" i="13"/>
  <c r="F24" i="13"/>
  <c r="F15" i="13"/>
  <c r="O15" i="13"/>
  <c r="F25" i="13" l="1"/>
  <c r="E3" i="22"/>
  <c r="C3" i="22"/>
  <c r="A4" i="22"/>
  <c r="A3" i="22"/>
  <c r="B8" i="16" l="1"/>
  <c r="B9" i="16"/>
  <c r="B10" i="16"/>
  <c r="B11" i="16"/>
  <c r="B12" i="16"/>
  <c r="B13" i="16"/>
  <c r="B14" i="16"/>
  <c r="B15" i="16"/>
  <c r="B16" i="16"/>
  <c r="B7" i="16"/>
  <c r="O16" i="13"/>
  <c r="O17" i="13"/>
  <c r="O18" i="13"/>
  <c r="O19" i="13"/>
  <c r="O20" i="13"/>
  <c r="O21" i="13"/>
  <c r="O22" i="13"/>
  <c r="O23" i="13"/>
  <c r="O24" i="13"/>
  <c r="N16" i="13"/>
  <c r="N17" i="13"/>
  <c r="N18" i="13"/>
  <c r="N19" i="13"/>
  <c r="N20" i="13"/>
  <c r="N21" i="13"/>
  <c r="N22" i="13"/>
  <c r="N23" i="13"/>
  <c r="N24" i="13"/>
  <c r="N15" i="13"/>
  <c r="M16" i="13"/>
  <c r="M17" i="13"/>
  <c r="M18" i="13"/>
  <c r="M19" i="13"/>
  <c r="M20" i="13"/>
  <c r="M21" i="13"/>
  <c r="M22" i="13"/>
  <c r="M23" i="13"/>
  <c r="M24" i="13"/>
  <c r="M15" i="13"/>
  <c r="P22" i="13" l="1"/>
  <c r="P18" i="13"/>
  <c r="P15" i="13"/>
  <c r="M25" i="13"/>
  <c r="P21" i="13"/>
  <c r="P17" i="13"/>
  <c r="O25" i="13"/>
  <c r="P24" i="13"/>
  <c r="P20" i="13"/>
  <c r="P16" i="13"/>
  <c r="P23" i="13"/>
  <c r="P19" i="13"/>
  <c r="N25" i="13"/>
  <c r="G18" i="17" s="1"/>
  <c r="G19" i="17" s="1"/>
  <c r="G8" i="16" l="1"/>
  <c r="H8" i="16"/>
  <c r="G9" i="16"/>
  <c r="H9" i="16"/>
  <c r="G10" i="16"/>
  <c r="H10" i="16"/>
  <c r="G11" i="16"/>
  <c r="H11" i="16"/>
  <c r="G12" i="16"/>
  <c r="H12" i="16"/>
  <c r="G13" i="16"/>
  <c r="H13" i="16"/>
  <c r="G14" i="16"/>
  <c r="H14" i="16"/>
  <c r="G15" i="16"/>
  <c r="H15" i="16"/>
  <c r="G16" i="16"/>
  <c r="H16" i="16"/>
  <c r="H7" i="16"/>
  <c r="G7" i="16"/>
  <c r="C8" i="16"/>
  <c r="D8" i="16"/>
  <c r="C9" i="16"/>
  <c r="D9" i="16"/>
  <c r="C10" i="16"/>
  <c r="D10" i="16"/>
  <c r="C11" i="16"/>
  <c r="D11" i="16"/>
  <c r="C12" i="16"/>
  <c r="D12" i="16"/>
  <c r="C13" i="16"/>
  <c r="D13" i="16"/>
  <c r="C14" i="16"/>
  <c r="D14" i="16"/>
  <c r="C15" i="16"/>
  <c r="D15" i="16"/>
  <c r="C16" i="16"/>
  <c r="D16" i="16"/>
  <c r="D7" i="16"/>
  <c r="C7" i="16"/>
  <c r="A8" i="16"/>
  <c r="A9" i="16"/>
  <c r="A10" i="16"/>
  <c r="A11" i="16"/>
  <c r="A12" i="16"/>
  <c r="A13" i="16"/>
  <c r="A14" i="16"/>
  <c r="A15" i="16"/>
  <c r="A16" i="16"/>
  <c r="A7" i="16"/>
  <c r="L25" i="13"/>
  <c r="K25" i="13"/>
  <c r="J25" i="13"/>
  <c r="I25" i="13"/>
  <c r="H25" i="13"/>
  <c r="G25" i="13"/>
  <c r="D25" i="13"/>
  <c r="C25" i="13"/>
  <c r="E16" i="16"/>
  <c r="E14" i="16"/>
  <c r="E11" i="16"/>
  <c r="F11" i="16"/>
  <c r="E10" i="16"/>
  <c r="F10" i="16"/>
  <c r="E9" i="16"/>
  <c r="E7" i="16"/>
  <c r="F16" i="22"/>
  <c r="C16" i="22"/>
  <c r="E15" i="22"/>
  <c r="G15" i="22" s="1"/>
  <c r="E14" i="22"/>
  <c r="G14" i="22" s="1"/>
  <c r="E13" i="22"/>
  <c r="G13" i="22" s="1"/>
  <c r="E12" i="22"/>
  <c r="G12" i="22" s="1"/>
  <c r="G11" i="22"/>
  <c r="E10" i="22"/>
  <c r="E16" i="22" l="1"/>
  <c r="I8" i="16"/>
  <c r="G17" i="16"/>
  <c r="I11" i="16"/>
  <c r="J11" i="16" s="1"/>
  <c r="K11" i="16" s="1"/>
  <c r="I14" i="16"/>
  <c r="J14" i="16" s="1"/>
  <c r="K14" i="16" s="1"/>
  <c r="C17" i="16"/>
  <c r="I12" i="16"/>
  <c r="I13" i="16"/>
  <c r="I15" i="16"/>
  <c r="F16" i="16"/>
  <c r="F15" i="16"/>
  <c r="F14" i="16"/>
  <c r="F13" i="16"/>
  <c r="F12" i="16"/>
  <c r="F9" i="16"/>
  <c r="F8" i="16"/>
  <c r="E15" i="16"/>
  <c r="E13" i="16"/>
  <c r="E12" i="16"/>
  <c r="E8" i="16"/>
  <c r="F7" i="16"/>
  <c r="B17" i="16"/>
  <c r="H17" i="16"/>
  <c r="D17" i="16"/>
  <c r="I10" i="16"/>
  <c r="J10" i="16" s="1"/>
  <c r="K10" i="16" s="1"/>
  <c r="I9" i="16"/>
  <c r="J9" i="16" s="1"/>
  <c r="K9" i="16" s="1"/>
  <c r="I16" i="16"/>
  <c r="J16" i="16" s="1"/>
  <c r="K16" i="16" s="1"/>
  <c r="G10" i="22"/>
  <c r="G16" i="22" s="1"/>
  <c r="J8" i="16" l="1"/>
  <c r="K8" i="16" s="1"/>
  <c r="I7" i="16"/>
  <c r="J7" i="16" s="1"/>
  <c r="K7" i="16" s="1"/>
  <c r="P25" i="13"/>
  <c r="E17" i="16"/>
  <c r="E19" i="16" s="1"/>
  <c r="F17" i="16"/>
  <c r="J13" i="16"/>
  <c r="K13" i="16" s="1"/>
  <c r="J15" i="16"/>
  <c r="K15" i="16" s="1"/>
  <c r="J12" i="16"/>
  <c r="K12" i="16" s="1"/>
  <c r="C3" i="19"/>
  <c r="B3" i="19"/>
  <c r="A4" i="19"/>
  <c r="A3" i="19"/>
  <c r="I17" i="16" l="1"/>
  <c r="E3" i="17"/>
  <c r="A4" i="17"/>
  <c r="A3" i="17"/>
  <c r="K3" i="13"/>
  <c r="D3" i="13"/>
  <c r="A4" i="13"/>
  <c r="A3" i="13"/>
  <c r="H3" i="16"/>
  <c r="C3" i="16"/>
  <c r="A4" i="16"/>
  <c r="A3" i="16"/>
  <c r="J17" i="16" l="1"/>
  <c r="K17" i="16" s="1"/>
  <c r="I19" i="16"/>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1</author>
  </authors>
  <commentList>
    <comment ref="E19" authorId="0" shapeId="0">
      <text>
        <r>
          <rPr>
            <b/>
            <sz val="9"/>
            <color indexed="81"/>
            <rFont val="宋体"/>
            <family val="3"/>
            <charset val="134"/>
          </rPr>
          <t>1:</t>
        </r>
        <r>
          <rPr>
            <sz val="9"/>
            <color indexed="81"/>
            <rFont val="宋体"/>
            <family val="3"/>
            <charset val="134"/>
          </rPr>
          <t xml:space="preserve">
存在差异时显示红色，同时显示数据，不存在差异显示绿色，-</t>
        </r>
      </text>
    </comment>
    <comment ref="I19" authorId="0" shapeId="0">
      <text>
        <r>
          <rPr>
            <b/>
            <sz val="9"/>
            <color indexed="81"/>
            <rFont val="宋体"/>
            <family val="3"/>
            <charset val="134"/>
          </rPr>
          <t>1:</t>
        </r>
        <r>
          <rPr>
            <sz val="9"/>
            <color indexed="81"/>
            <rFont val="宋体"/>
            <family val="3"/>
            <charset val="134"/>
          </rPr>
          <t xml:space="preserve">
存在差异时显示红色，同时显示数据，不存在差异显示绿色，-</t>
        </r>
      </text>
    </comment>
  </commentList>
</comments>
</file>

<file path=xl/sharedStrings.xml><?xml version="1.0" encoding="utf-8"?>
<sst xmlns="http://schemas.openxmlformats.org/spreadsheetml/2006/main" count="321" uniqueCount="287">
  <si>
    <t>索引号：</t>
  </si>
  <si>
    <t>一、本科目核算企业收购、转让或注销的本公司股份金额。</t>
  </si>
  <si>
    <t>二、库存股的主要账务处理。</t>
  </si>
  <si>
    <t>三、本科目期末借方余额，反映企业持有尚未转让或注销的本公司股份金额。</t>
  </si>
  <si>
    <t>库存股审定表</t>
    <phoneticPr fontId="17" type="noConversion"/>
  </si>
  <si>
    <t>库存股明细表</t>
    <phoneticPr fontId="17" type="noConversion"/>
  </si>
  <si>
    <t>本期增加</t>
  </si>
  <si>
    <t>本期减少</t>
  </si>
  <si>
    <t>索引：</t>
    <phoneticPr fontId="17" type="noConversion"/>
  </si>
  <si>
    <t>页次：</t>
    <phoneticPr fontId="17" type="noConversion"/>
  </si>
  <si>
    <r>
      <t>1</t>
    </r>
    <r>
      <rPr>
        <b/>
        <sz val="10"/>
        <rFont val="宋体"/>
        <family val="3"/>
        <charset val="134"/>
      </rPr>
      <t>、审计说明</t>
    </r>
    <r>
      <rPr>
        <sz val="10"/>
        <color indexed="12"/>
        <rFont val="宋体"/>
        <family val="3"/>
        <charset val="134"/>
      </rPr>
      <t/>
    </r>
    <phoneticPr fontId="17" type="noConversion"/>
  </si>
  <si>
    <r>
      <t>（</t>
    </r>
    <r>
      <rPr>
        <sz val="10"/>
        <rFont val="Arial Narrow"/>
        <family val="2"/>
      </rPr>
      <t>1</t>
    </r>
    <r>
      <rPr>
        <sz val="10"/>
        <rFont val="宋体"/>
        <family val="3"/>
        <charset val="134"/>
      </rPr>
      <t>）期末余额较期初余额增加（负数为减少）：</t>
    </r>
    <phoneticPr fontId="17" type="noConversion"/>
  </si>
  <si>
    <r>
      <t>主要原因</t>
    </r>
    <r>
      <rPr>
        <sz val="10"/>
        <color indexed="10"/>
        <rFont val="宋体"/>
        <family val="3"/>
        <charset val="134"/>
      </rPr>
      <t>（比例超过30%的）</t>
    </r>
    <r>
      <rPr>
        <sz val="10"/>
        <rFont val="宋体"/>
        <family val="3"/>
        <charset val="134"/>
      </rPr>
      <t>：</t>
    </r>
    <phoneticPr fontId="17" type="noConversion"/>
  </si>
  <si>
    <r>
      <t>（</t>
    </r>
    <r>
      <rPr>
        <sz val="10"/>
        <rFont val="Arial Narrow"/>
        <family val="2"/>
      </rPr>
      <t>2</t>
    </r>
    <r>
      <rPr>
        <sz val="10"/>
        <rFont val="宋体"/>
        <family val="3"/>
        <charset val="134"/>
      </rPr>
      <t>）情况说明。</t>
    </r>
    <phoneticPr fontId="17" type="noConversion"/>
  </si>
  <si>
    <t>2、审计结论</t>
    <phoneticPr fontId="17" type="noConversion"/>
  </si>
  <si>
    <t xml:space="preserve">
</t>
    <phoneticPr fontId="17" type="noConversion"/>
  </si>
  <si>
    <t>编制说明：</t>
    <phoneticPr fontId="17" type="noConversion"/>
  </si>
  <si>
    <t>（2）因库存股注销而减少的股本；</t>
  </si>
  <si>
    <t>（3）注销的库存股成本高于对应股本成本的，披露依次冲减的资本公积、盈余公积、未分配利润的金额；注销的库存股成本低于对应股本成本的，披露增加的资本公积金额；</t>
  </si>
  <si>
    <t>（4）库存股转让时，转让收入高于库存股成本的，披露增加的资本公积金额；转让收入低于库存股成本的，披露依次冲减的资本公积、盈余公积、未分配利润的金额；</t>
  </si>
  <si>
    <t>（5）因实行股权激励回购本公司股份的，应披露本期回购股份占本公司已发行股份的总比例和累计库存股占已发行股份的总比例。</t>
  </si>
  <si>
    <r>
      <t>（一）企业为减少注册资本而收购本公司股份的，应按实际支付的金额，借记本科目，贷记</t>
    </r>
    <r>
      <rPr>
        <sz val="10"/>
        <rFont val="Times New Roman"/>
        <family val="1"/>
      </rPr>
      <t>“</t>
    </r>
    <r>
      <rPr>
        <sz val="10"/>
        <rFont val="宋体"/>
        <family val="3"/>
        <charset val="134"/>
      </rPr>
      <t>银行存款</t>
    </r>
    <r>
      <rPr>
        <sz val="10"/>
        <rFont val="Times New Roman"/>
        <family val="1"/>
      </rPr>
      <t>”</t>
    </r>
    <r>
      <rPr>
        <sz val="10"/>
        <rFont val="宋体"/>
        <family val="3"/>
        <charset val="134"/>
      </rPr>
      <t>等科目。</t>
    </r>
  </si>
  <si>
    <r>
      <t>（二）为奖励本公司职工而收购本公司股份的，应按实际支付的金额，借记本科目，贷记</t>
    </r>
    <r>
      <rPr>
        <sz val="10"/>
        <rFont val="Times New Roman"/>
        <family val="1"/>
      </rPr>
      <t>“</t>
    </r>
    <r>
      <rPr>
        <sz val="10"/>
        <rFont val="宋体"/>
        <family val="3"/>
        <charset val="134"/>
      </rPr>
      <t>银行存款</t>
    </r>
    <r>
      <rPr>
        <sz val="10"/>
        <rFont val="Times New Roman"/>
        <family val="1"/>
      </rPr>
      <t>”</t>
    </r>
    <r>
      <rPr>
        <sz val="10"/>
        <rFont val="宋体"/>
        <family val="3"/>
        <charset val="134"/>
      </rPr>
      <t>等科目，同时做备查登记。</t>
    </r>
  </si>
  <si>
    <r>
      <t>将收购的股份奖励给本公司职工属于以权益结算的股份支付，如有实际收到的金额，借记</t>
    </r>
    <r>
      <rPr>
        <sz val="10"/>
        <rFont val="Times New Roman"/>
        <family val="1"/>
      </rPr>
      <t>“</t>
    </r>
    <r>
      <rPr>
        <sz val="10"/>
        <rFont val="宋体"/>
        <family val="3"/>
        <charset val="134"/>
      </rPr>
      <t>银行存款</t>
    </r>
    <r>
      <rPr>
        <sz val="10"/>
        <rFont val="Times New Roman"/>
        <family val="1"/>
      </rPr>
      <t>”</t>
    </r>
    <r>
      <rPr>
        <sz val="10"/>
        <rFont val="宋体"/>
        <family val="3"/>
        <charset val="134"/>
      </rPr>
      <t>科目，按根据职工获取奖励股份的实际情况确定的金额，借记</t>
    </r>
    <r>
      <rPr>
        <sz val="10"/>
        <rFont val="Times New Roman"/>
        <family val="1"/>
      </rPr>
      <t>“</t>
    </r>
    <r>
      <rPr>
        <sz val="10"/>
        <rFont val="宋体"/>
        <family val="3"/>
        <charset val="134"/>
      </rPr>
      <t>资本公积</t>
    </r>
    <r>
      <rPr>
        <sz val="10"/>
        <rFont val="Times New Roman"/>
        <family val="1"/>
      </rPr>
      <t>——</t>
    </r>
    <r>
      <rPr>
        <sz val="10"/>
        <rFont val="宋体"/>
        <family val="3"/>
        <charset val="134"/>
      </rPr>
      <t>其他资本公积</t>
    </r>
    <r>
      <rPr>
        <sz val="10"/>
        <rFont val="Times New Roman"/>
        <family val="1"/>
      </rPr>
      <t>”</t>
    </r>
    <r>
      <rPr>
        <sz val="10"/>
        <rFont val="宋体"/>
        <family val="3"/>
        <charset val="134"/>
      </rPr>
      <t>科目，按奖励库存股的账面余额，贷记本科目，按其差额，贷记或借记</t>
    </r>
    <r>
      <rPr>
        <sz val="10"/>
        <rFont val="Times New Roman"/>
        <family val="1"/>
      </rPr>
      <t>“</t>
    </r>
    <r>
      <rPr>
        <sz val="10"/>
        <rFont val="宋体"/>
        <family val="3"/>
        <charset val="134"/>
      </rPr>
      <t>资本公积</t>
    </r>
    <r>
      <rPr>
        <sz val="10"/>
        <rFont val="Times New Roman"/>
        <family val="1"/>
      </rPr>
      <t>——</t>
    </r>
    <r>
      <rPr>
        <sz val="10"/>
        <rFont val="宋体"/>
        <family val="3"/>
        <charset val="134"/>
      </rPr>
      <t>股本溢价</t>
    </r>
    <r>
      <rPr>
        <sz val="10"/>
        <rFont val="Times New Roman"/>
        <family val="1"/>
      </rPr>
      <t>”</t>
    </r>
    <r>
      <rPr>
        <sz val="10"/>
        <rFont val="宋体"/>
        <family val="3"/>
        <charset val="134"/>
      </rPr>
      <t>科目。</t>
    </r>
  </si>
  <si>
    <r>
      <t>（五）注销库存股，应按股票面值和注销股数计算的股票面值总额，借记</t>
    </r>
    <r>
      <rPr>
        <sz val="10"/>
        <rFont val="Times New Roman"/>
        <family val="1"/>
      </rPr>
      <t>“</t>
    </r>
    <r>
      <rPr>
        <sz val="10"/>
        <rFont val="宋体"/>
        <family val="3"/>
        <charset val="134"/>
      </rPr>
      <t>股本</t>
    </r>
    <r>
      <rPr>
        <sz val="10"/>
        <rFont val="Times New Roman"/>
        <family val="1"/>
      </rPr>
      <t>”</t>
    </r>
    <r>
      <rPr>
        <sz val="10"/>
        <rFont val="宋体"/>
        <family val="3"/>
        <charset val="134"/>
      </rPr>
      <t>科目，按注销库存股的账面余额，贷记本科目，按其差额，借记</t>
    </r>
    <r>
      <rPr>
        <sz val="10"/>
        <rFont val="Times New Roman"/>
        <family val="1"/>
      </rPr>
      <t>“</t>
    </r>
    <r>
      <rPr>
        <sz val="10"/>
        <rFont val="宋体"/>
        <family val="3"/>
        <charset val="134"/>
      </rPr>
      <t>资本公积</t>
    </r>
    <r>
      <rPr>
        <sz val="10"/>
        <rFont val="Times New Roman"/>
        <family val="1"/>
      </rPr>
      <t>——</t>
    </r>
    <r>
      <rPr>
        <sz val="10"/>
        <rFont val="宋体"/>
        <family val="3"/>
        <charset val="134"/>
      </rPr>
      <t>股本溢价</t>
    </r>
    <r>
      <rPr>
        <sz val="10"/>
        <rFont val="Times New Roman"/>
        <family val="1"/>
      </rPr>
      <t>”</t>
    </r>
    <r>
      <rPr>
        <sz val="10"/>
        <rFont val="宋体"/>
        <family val="3"/>
        <charset val="134"/>
      </rPr>
      <t>科目，股本溢价不足冲减的，应借记</t>
    </r>
    <r>
      <rPr>
        <sz val="10"/>
        <rFont val="Times New Roman"/>
        <family val="1"/>
      </rPr>
      <t>“</t>
    </r>
    <r>
      <rPr>
        <sz val="10"/>
        <rFont val="宋体"/>
        <family val="3"/>
        <charset val="134"/>
      </rPr>
      <t>盈余公积</t>
    </r>
    <r>
      <rPr>
        <sz val="10"/>
        <rFont val="Times New Roman"/>
        <family val="1"/>
      </rPr>
      <t>”</t>
    </r>
    <r>
      <rPr>
        <sz val="10"/>
        <rFont val="宋体"/>
        <family val="3"/>
        <charset val="134"/>
      </rPr>
      <t>、</t>
    </r>
    <r>
      <rPr>
        <sz val="10"/>
        <rFont val="Times New Roman"/>
        <family val="1"/>
      </rPr>
      <t>“</t>
    </r>
    <r>
      <rPr>
        <sz val="10"/>
        <rFont val="宋体"/>
        <family val="3"/>
        <charset val="134"/>
      </rPr>
      <t>利润分配</t>
    </r>
    <r>
      <rPr>
        <sz val="10"/>
        <rFont val="Times New Roman"/>
        <family val="1"/>
      </rPr>
      <t>——</t>
    </r>
    <r>
      <rPr>
        <sz val="10"/>
        <rFont val="宋体"/>
        <family val="3"/>
        <charset val="134"/>
      </rPr>
      <t>未分配利润</t>
    </r>
    <r>
      <rPr>
        <sz val="10"/>
        <rFont val="Times New Roman"/>
        <family val="1"/>
      </rPr>
      <t>”</t>
    </r>
    <r>
      <rPr>
        <sz val="10"/>
        <rFont val="宋体"/>
        <family val="3"/>
        <charset val="134"/>
      </rPr>
      <t>科目。</t>
    </r>
  </si>
  <si>
    <t>股份有限公司根据《公司法》第143条规定回购股份,应当按照以下要求进行财务处理:</t>
  </si>
  <si>
    <t>库存股</t>
  </si>
  <si>
    <t>说明：</t>
  </si>
  <si>
    <t>C1</t>
  </si>
  <si>
    <t>Custom 1</t>
  </si>
  <si>
    <t>C2</t>
  </si>
  <si>
    <t>Custom 2</t>
  </si>
  <si>
    <t>C3</t>
  </si>
  <si>
    <t>Custom 3</t>
  </si>
  <si>
    <t>C4</t>
  </si>
  <si>
    <t>Custom 4</t>
  </si>
  <si>
    <t>C5</t>
  </si>
  <si>
    <t>Custom 5</t>
  </si>
  <si>
    <t>C6</t>
  </si>
  <si>
    <t>Custom 6</t>
  </si>
  <si>
    <t>C7</t>
  </si>
  <si>
    <t>Custom 7</t>
  </si>
  <si>
    <t>C8</t>
  </si>
  <si>
    <t>Custom 8</t>
  </si>
  <si>
    <t>内容</t>
  </si>
  <si>
    <t>致同会计师事务所</t>
  </si>
  <si>
    <t>页次：</t>
  </si>
  <si>
    <t>4201库存股</t>
  </si>
  <si>
    <t>（四）转让库存股，应按实际收到的金额，借记“银行存款”等科目，按转让库存股的账面余额，贷记本科目，按其差额，贷记“资本公积——股本溢价”科目；为借方差额的，借记“资本公积——股本溢价”科目，股本溢价不足冲减的，应借记“盈余公积”、“利润分配——未分配利润”科目。</t>
  </si>
  <si>
    <t>(一)公司回购的股份在注销或者转让之前,作为库存股管理,回购股份的全部支出转作库存股成本。但与持有本公司股份的其他公司合并而导致的股份回购,参与合并各方在合并前及合并后如均属于同一股东最终控制的,库存股成本按参与合并的其他公司持有本公司股份的相关投资账面价值确认;如不属于同一股东最终控制的,库存股成本按参与合并的其他公司持有本公司股份的相关投资公允价值确认。</t>
  </si>
  <si>
    <t>库存股注销时,按照注销的股份数量减少相应股本,库存股成本高于对应股本的部分,依次冲减资本公积金、盈余公积金、以前年度未分配利润;低于对应股本的部分,增加资本公积金。</t>
  </si>
  <si>
    <t>库存股转让时,转让收入高于库存股成本的部分,增加资本公积金;低于库存股成本的部分,依次冲减资本公积金、盈余公积金、以前年度未分配利润。</t>
  </si>
  <si>
    <t>(二)因实行职工股权激励办法而回购股份的,回购股份不得超过本公司已发行股份总额的百分之五,所需资金应当控制在当期可供投资者分配的利润数额之内。</t>
  </si>
  <si>
    <t>股东大会通过职工股权激励办法之日与股份回购日不在同一年度的,公司应当于通过职工股权激励办法时,将预计的回购支出在当期可供投资者分配的利润中作出预留,对预留的利润不得进行分配。</t>
  </si>
  <si>
    <t>公司回购股份时,应当将回购股份的全部支出转作库存股成本,同时按回购支出数额将可供投资者分配的利润转入资本公积金。</t>
  </si>
  <si>
    <t>(三)库存股不得参与公司利润分配,股份有限公司应当将其作为所有者权益的备抵项目反映。</t>
  </si>
  <si>
    <r>
      <rPr>
        <b/>
        <sz val="10"/>
        <color indexed="8"/>
        <rFont val="宋体"/>
        <family val="3"/>
        <charset val="134"/>
      </rPr>
      <t>一、审计目标</t>
    </r>
    <r>
      <rPr>
        <b/>
        <sz val="10"/>
        <color indexed="8"/>
        <rFont val="Arial Narrow"/>
        <family val="2"/>
      </rPr>
      <t>:</t>
    </r>
    <phoneticPr fontId="20" type="noConversion"/>
  </si>
  <si>
    <r>
      <rPr>
        <b/>
        <sz val="10"/>
        <rFont val="宋体"/>
        <family val="3"/>
        <charset val="134"/>
      </rPr>
      <t>二、审计过程：</t>
    </r>
    <phoneticPr fontId="17" type="noConversion"/>
  </si>
  <si>
    <t>三、审计说明：</t>
    <phoneticPr fontId="17" type="noConversion"/>
  </si>
  <si>
    <t>四、审计结论：</t>
    <phoneticPr fontId="17" type="noConversion"/>
  </si>
  <si>
    <t>库存股附注披露信息（上市公司）</t>
    <phoneticPr fontId="17" type="noConversion"/>
  </si>
  <si>
    <t>外币投资汇率测算表</t>
    <phoneticPr fontId="17" type="noConversion"/>
  </si>
  <si>
    <r>
      <rPr>
        <b/>
        <sz val="10"/>
        <color indexed="8"/>
        <rFont val="宋体"/>
        <family val="3"/>
        <charset val="134"/>
      </rPr>
      <t>一、审计目标</t>
    </r>
    <r>
      <rPr>
        <b/>
        <sz val="10"/>
        <color indexed="8"/>
        <rFont val="Arial Narrow"/>
        <family val="2"/>
      </rPr>
      <t>:</t>
    </r>
    <phoneticPr fontId="20" type="noConversion"/>
  </si>
  <si>
    <t>投资者</t>
    <phoneticPr fontId="17" type="noConversion"/>
  </si>
  <si>
    <t>币种</t>
    <phoneticPr fontId="17" type="noConversion"/>
  </si>
  <si>
    <t>期末投资额</t>
    <phoneticPr fontId="17" type="noConversion"/>
  </si>
  <si>
    <t>原币金额</t>
    <phoneticPr fontId="17" type="noConversion"/>
  </si>
  <si>
    <t>折算汇率</t>
  </si>
  <si>
    <t>折合人民币</t>
  </si>
  <si>
    <t>账面数</t>
    <phoneticPr fontId="17" type="noConversion"/>
  </si>
  <si>
    <t>差额</t>
    <phoneticPr fontId="17" type="noConversion"/>
  </si>
  <si>
    <t>合计</t>
    <phoneticPr fontId="17" type="noConversion"/>
  </si>
  <si>
    <t>三、审计说明：</t>
    <phoneticPr fontId="17" type="noConversion"/>
  </si>
  <si>
    <t>未审数</t>
    <phoneticPr fontId="17" type="noConversion"/>
  </si>
  <si>
    <t>未审数</t>
    <phoneticPr fontId="17" type="noConversion"/>
  </si>
  <si>
    <t>备注</t>
    <phoneticPr fontId="17" type="noConversion"/>
  </si>
  <si>
    <t>期初数</t>
    <phoneticPr fontId="17" type="noConversion"/>
  </si>
  <si>
    <t>本期减少</t>
    <phoneticPr fontId="17" type="noConversion"/>
  </si>
  <si>
    <t>期末数</t>
    <phoneticPr fontId="17" type="noConversion"/>
  </si>
  <si>
    <t>账项调整</t>
    <phoneticPr fontId="17" type="noConversion"/>
  </si>
  <si>
    <t>重分类调整</t>
    <phoneticPr fontId="43" type="noConversion"/>
  </si>
  <si>
    <t>期末数</t>
    <phoneticPr fontId="17" type="noConversion"/>
  </si>
  <si>
    <t>本期审定数与上期
审定数的比较</t>
    <phoneticPr fontId="17" type="noConversion"/>
  </si>
  <si>
    <t>原因分析</t>
    <phoneticPr fontId="43" type="noConversion"/>
  </si>
  <si>
    <t>重分类调整</t>
    <phoneticPr fontId="17" type="noConversion"/>
  </si>
  <si>
    <t>审定数</t>
    <phoneticPr fontId="17" type="noConversion"/>
  </si>
  <si>
    <t>变动率</t>
    <phoneticPr fontId="17" type="noConversion"/>
  </si>
  <si>
    <t>变动额</t>
    <phoneticPr fontId="17" type="noConversion"/>
  </si>
  <si>
    <t>库存股类别</t>
    <phoneticPr fontId="17" type="noConversion"/>
  </si>
  <si>
    <t>奖励员工回购股份</t>
    <phoneticPr fontId="17" type="noConversion"/>
  </si>
  <si>
    <t>对合并、分立决议有异议回购股份</t>
    <phoneticPr fontId="17" type="noConversion"/>
  </si>
  <si>
    <t>注销</t>
    <phoneticPr fontId="17" type="noConversion"/>
  </si>
  <si>
    <t>转让</t>
    <phoneticPr fontId="17" type="noConversion"/>
  </si>
  <si>
    <t>期初数</t>
    <phoneticPr fontId="17" type="noConversion"/>
  </si>
  <si>
    <t>本期增加</t>
    <phoneticPr fontId="43" type="noConversion"/>
  </si>
  <si>
    <t>账项调整</t>
    <phoneticPr fontId="17" type="noConversion"/>
  </si>
  <si>
    <t>重分类调整</t>
    <phoneticPr fontId="43" type="noConversion"/>
  </si>
  <si>
    <r>
      <rPr>
        <b/>
        <sz val="10"/>
        <color indexed="8"/>
        <rFont val="宋体"/>
        <family val="3"/>
        <charset val="134"/>
      </rPr>
      <t>本期增加</t>
    </r>
    <phoneticPr fontId="17" type="noConversion"/>
  </si>
  <si>
    <r>
      <rPr>
        <b/>
        <sz val="10"/>
        <color indexed="8"/>
        <rFont val="宋体"/>
        <family val="3"/>
        <charset val="134"/>
      </rPr>
      <t>本期减少</t>
    </r>
    <phoneticPr fontId="43" type="noConversion"/>
  </si>
  <si>
    <r>
      <rPr>
        <b/>
        <sz val="10"/>
        <color indexed="8"/>
        <rFont val="宋体"/>
        <family val="3"/>
        <charset val="134"/>
      </rPr>
      <t>本期增加</t>
    </r>
    <phoneticPr fontId="17" type="noConversion"/>
  </si>
  <si>
    <r>
      <rPr>
        <b/>
        <sz val="10"/>
        <color indexed="8"/>
        <rFont val="宋体"/>
        <family val="3"/>
        <charset val="134"/>
      </rPr>
      <t>本期减少</t>
    </r>
    <phoneticPr fontId="43" type="noConversion"/>
  </si>
  <si>
    <t>期初数</t>
    <phoneticPr fontId="17" type="noConversion"/>
  </si>
  <si>
    <t>本期增加</t>
    <phoneticPr fontId="17" type="noConversion"/>
  </si>
  <si>
    <t>本期减少</t>
    <phoneticPr fontId="17" type="noConversion"/>
  </si>
  <si>
    <t>期末数</t>
    <phoneticPr fontId="17" type="noConversion"/>
  </si>
  <si>
    <t>相关决议索引号</t>
    <phoneticPr fontId="17" type="noConversion"/>
  </si>
  <si>
    <t>相关会计处理是否正确</t>
    <phoneticPr fontId="17" type="noConversion"/>
  </si>
  <si>
    <t>期初调整</t>
    <phoneticPr fontId="43" type="noConversion"/>
  </si>
  <si>
    <t>账项调整</t>
    <phoneticPr fontId="43" type="noConversion"/>
  </si>
  <si>
    <t>减资回购股份</t>
    <phoneticPr fontId="17" type="noConversion"/>
  </si>
  <si>
    <t>母子公司交叉持股</t>
    <phoneticPr fontId="17" type="noConversion"/>
  </si>
  <si>
    <t>合计</t>
    <phoneticPr fontId="17" type="noConversion"/>
  </si>
  <si>
    <r>
      <t>（三）股东因对股东大会作出的公司合并、分立决议持有异议而要求企业收购本公司股份的，企业应按实际支付的金额，借记本科目，贷记</t>
    </r>
    <r>
      <rPr>
        <sz val="10"/>
        <rFont val="Times New Roman"/>
        <family val="1"/>
      </rPr>
      <t>“</t>
    </r>
    <r>
      <rPr>
        <sz val="10"/>
        <rFont val="宋体"/>
        <family val="3"/>
        <charset val="134"/>
      </rPr>
      <t>银行存款</t>
    </r>
    <r>
      <rPr>
        <sz val="10"/>
        <rFont val="Times New Roman"/>
        <family val="1"/>
      </rPr>
      <t>”</t>
    </r>
    <r>
      <rPr>
        <sz val="10"/>
        <rFont val="宋体"/>
        <family val="3"/>
        <charset val="134"/>
      </rPr>
      <t>等科目。</t>
    </r>
    <phoneticPr fontId="17" type="noConversion"/>
  </si>
  <si>
    <r>
      <rPr>
        <b/>
        <sz val="12"/>
        <rFont val="宋体"/>
        <family val="3"/>
        <charset val="134"/>
      </rPr>
      <t>底稿开列时，可先在以下单元格填写有关内容，以便其他底稿引用有关数据：</t>
    </r>
    <phoneticPr fontId="17" type="noConversion"/>
  </si>
  <si>
    <t>序号</t>
  </si>
  <si>
    <t>索引号</t>
  </si>
  <si>
    <t>备注</t>
  </si>
  <si>
    <r>
      <rPr>
        <b/>
        <sz val="10"/>
        <rFont val="宋体"/>
        <family val="3"/>
        <charset val="134"/>
      </rPr>
      <t>一、测试目标：</t>
    </r>
    <phoneticPr fontId="26" type="noConversion"/>
  </si>
  <si>
    <r>
      <rPr>
        <b/>
        <sz val="10"/>
        <rFont val="宋体"/>
        <family val="3"/>
        <charset val="134"/>
      </rPr>
      <t>四、审计说明：</t>
    </r>
    <phoneticPr fontId="26" type="noConversion"/>
  </si>
  <si>
    <r>
      <rPr>
        <b/>
        <sz val="10"/>
        <rFont val="宋体"/>
        <family val="3"/>
        <charset val="134"/>
      </rPr>
      <t>五、审计结论：</t>
    </r>
    <phoneticPr fontId="17" type="noConversion"/>
  </si>
  <si>
    <r>
      <rPr>
        <sz val="10"/>
        <rFont val="宋体"/>
        <family val="3"/>
        <charset val="134"/>
      </rPr>
      <t>索引号：</t>
    </r>
  </si>
  <si>
    <r>
      <rPr>
        <b/>
        <sz val="10"/>
        <rFont val="宋体"/>
        <family val="3"/>
        <charset val="134"/>
      </rPr>
      <t>一、本账户涉及的科目</t>
    </r>
    <phoneticPr fontId="17" type="noConversion"/>
  </si>
  <si>
    <r>
      <rPr>
        <b/>
        <sz val="10"/>
        <rFont val="宋体"/>
        <family val="3"/>
        <charset val="134"/>
      </rPr>
      <t>财务报表的认定　</t>
    </r>
  </si>
  <si>
    <r>
      <rPr>
        <b/>
        <sz val="10"/>
        <rFont val="宋体"/>
        <family val="3"/>
        <charset val="134"/>
      </rPr>
      <t>三、计划实施的实质性程序</t>
    </r>
    <phoneticPr fontId="17" type="noConversion"/>
  </si>
  <si>
    <r>
      <rPr>
        <b/>
        <sz val="10"/>
        <rFont val="宋体"/>
        <family val="3"/>
        <charset val="134"/>
      </rPr>
      <t>序号</t>
    </r>
    <phoneticPr fontId="17" type="noConversion"/>
  </si>
  <si>
    <r>
      <rPr>
        <b/>
        <sz val="10"/>
        <rFont val="宋体"/>
        <family val="3"/>
        <charset val="134"/>
      </rPr>
      <t>程序分类</t>
    </r>
    <phoneticPr fontId="17" type="noConversion"/>
  </si>
  <si>
    <t xml:space="preserve">库存股实质性程序表 </t>
    <phoneticPr fontId="17" type="noConversion"/>
  </si>
  <si>
    <t>审定表</t>
    <phoneticPr fontId="17" type="noConversion"/>
  </si>
  <si>
    <t>明细表</t>
    <phoneticPr fontId="17" type="noConversion"/>
  </si>
  <si>
    <t>试算平衡表数</t>
    <phoneticPr fontId="17" type="noConversion"/>
  </si>
  <si>
    <t>差异数</t>
    <phoneticPr fontId="17" type="noConversion"/>
  </si>
  <si>
    <t>调整事项说明</t>
    <phoneticPr fontId="17" type="noConversion"/>
  </si>
  <si>
    <t>类别（报表调整/账项调整/其他）</t>
    <phoneticPr fontId="17" type="noConversion"/>
  </si>
  <si>
    <t>科目名称</t>
    <phoneticPr fontId="17" type="noConversion"/>
  </si>
  <si>
    <t>附注项目</t>
    <phoneticPr fontId="17" type="noConversion"/>
  </si>
  <si>
    <t>……</t>
    <phoneticPr fontId="17" type="noConversion"/>
  </si>
  <si>
    <t>借方调整金额</t>
    <phoneticPr fontId="17" type="noConversion"/>
  </si>
  <si>
    <t>贷方调整金额</t>
    <phoneticPr fontId="17" type="noConversion"/>
  </si>
  <si>
    <t>索引</t>
    <phoneticPr fontId="17" type="noConversion"/>
  </si>
  <si>
    <t>库存股调整分录汇总表</t>
    <phoneticPr fontId="17" type="noConversion"/>
  </si>
  <si>
    <t>调整分录汇总</t>
    <phoneticPr fontId="17" type="noConversion"/>
  </si>
  <si>
    <t>项  目</t>
  </si>
  <si>
    <t>合  计</t>
  </si>
  <si>
    <t>（1）库存股变动情况及原因。回购本公司股份的原因及对应的库存股成本确定方法；</t>
  </si>
  <si>
    <t>外币汇率测算表</t>
    <phoneticPr fontId="17" type="noConversion"/>
  </si>
  <si>
    <t>（一）减少公司注册资本；</t>
    <phoneticPr fontId="17" type="noConversion"/>
  </si>
  <si>
    <t>（二）与持有本公司股份的其他公司合并；</t>
    <phoneticPr fontId="17" type="noConversion"/>
  </si>
  <si>
    <t>（三）将股份用于员工持股计划或者股权激励；</t>
    <phoneticPr fontId="17" type="noConversion"/>
  </si>
  <si>
    <t>（四）股东因对股东大会作出的公司合并、分立决议持异议，要求公司收购其股份；</t>
    <phoneticPr fontId="17" type="noConversion"/>
  </si>
  <si>
    <t>（六）上市公司为维护公司价值及股东权益所必需。</t>
    <phoneticPr fontId="17" type="noConversion"/>
  </si>
  <si>
    <t>《公司法》20181026</t>
    <phoneticPr fontId="17" type="noConversion"/>
  </si>
  <si>
    <t>股份总数</t>
    <phoneticPr fontId="17" type="noConversion"/>
  </si>
  <si>
    <t>期初余额</t>
    <phoneticPr fontId="17" type="noConversion"/>
  </si>
  <si>
    <t>期末余额</t>
    <phoneticPr fontId="17" type="noConversion"/>
  </si>
  <si>
    <t>M3A</t>
  </si>
  <si>
    <t>M3-2</t>
  </si>
  <si>
    <t>M3-3</t>
  </si>
  <si>
    <r>
      <t xml:space="preserve">A. </t>
    </r>
    <r>
      <rPr>
        <sz val="10"/>
        <rFont val="宋体"/>
        <family val="3"/>
        <charset val="134"/>
      </rPr>
      <t>资产负债表中记录的实收资本是存在的，且已经记录在恰当的账户中</t>
    </r>
    <phoneticPr fontId="17" type="noConversion"/>
  </si>
  <si>
    <r>
      <t xml:space="preserve">B. </t>
    </r>
    <r>
      <rPr>
        <sz val="10"/>
        <rFont val="宋体"/>
        <family val="3"/>
        <charset val="134"/>
      </rPr>
      <t>所有应记录的实收资本均已记录，所有应当包括在财务报表中的相关披露均已包括</t>
    </r>
    <phoneticPr fontId="17" type="noConversion"/>
  </si>
  <si>
    <r>
      <t xml:space="preserve">C. </t>
    </r>
    <r>
      <rPr>
        <sz val="10"/>
        <rFont val="宋体"/>
        <family val="3"/>
        <charset val="134"/>
      </rPr>
      <t>记录的实收资本由被审计单位拥有或控制</t>
    </r>
    <phoneticPr fontId="17" type="noConversion"/>
  </si>
  <si>
    <t>报表项目</t>
    <phoneticPr fontId="17" type="noConversion"/>
  </si>
  <si>
    <t>附注披露信息(上市公司)</t>
    <phoneticPr fontId="17" type="noConversion"/>
  </si>
  <si>
    <t>M3-5</t>
  </si>
  <si>
    <t>M3-4</t>
  </si>
  <si>
    <t>M3-1</t>
    <phoneticPr fontId="17" type="noConversion"/>
  </si>
  <si>
    <t>无需打印</t>
  </si>
  <si>
    <t>索引号：</t>
    <phoneticPr fontId="17" type="noConversion"/>
  </si>
  <si>
    <t>可参见《审计手册》4.2.6，由被审计单位生成的信息可能是由系统生成的、或手工编制的、或二者兼而有之的方式生成的。例如，由被审计单位生成的信息可能包括：
• 不涉及自定义的、由系统生成的报告（如，固定格式报告）；
• 可能通过人工自定义的、由系统生成的报告，例如，（计算机）查询信息或特别定制的报告；
• 手工编制的信息，例如，汇总信息的电子表格或用以支持分配、计算以及调节的电子表格；
• 其他系统生成或手工编制的信息，例如，由被审计单位编制的客户发票；
• 通过影印、拍摄、扫描或其他方式转换成电子形式的文件记录。</t>
    <phoneticPr fontId="49" type="noConversion"/>
  </si>
  <si>
    <r>
      <rPr>
        <sz val="10"/>
        <color rgb="FF0000FF"/>
        <rFont val="宋体"/>
        <family val="3"/>
        <charset val="134"/>
      </rPr>
      <t xml:space="preserve">由被审计单位生成的信息不包括：
</t>
    </r>
    <r>
      <rPr>
        <sz val="10"/>
        <color rgb="FF0000FF"/>
        <rFont val="Arial Narrow"/>
        <family val="2"/>
      </rPr>
      <t xml:space="preserve">• </t>
    </r>
    <r>
      <rPr>
        <sz val="10"/>
        <color rgb="FF0000FF"/>
        <rFont val="宋体"/>
        <family val="3"/>
        <charset val="134"/>
      </rPr>
      <t xml:space="preserve">总分类账或明细分类账、试算平衡表、或经审计的财务报表；
</t>
    </r>
    <r>
      <rPr>
        <sz val="10"/>
        <color rgb="FF0000FF"/>
        <rFont val="Arial Narrow"/>
        <family val="2"/>
      </rPr>
      <t xml:space="preserve">• </t>
    </r>
    <r>
      <rPr>
        <sz val="10"/>
        <color rgb="FF0000FF"/>
        <rFont val="宋体"/>
        <family val="3"/>
        <charset val="134"/>
      </rPr>
      <t xml:space="preserve">第三方（除了服务机构）的报表或报告，例如，原始银行对账单，或函证的回函；
</t>
    </r>
    <r>
      <rPr>
        <sz val="10"/>
        <color rgb="FF0000FF"/>
        <rFont val="Arial Narrow"/>
        <family val="2"/>
      </rPr>
      <t xml:space="preserve">• </t>
    </r>
    <r>
      <rPr>
        <sz val="10"/>
        <color rgb="FF0000FF"/>
        <rFont val="宋体"/>
        <family val="3"/>
        <charset val="134"/>
      </rPr>
      <t>外部数据（例如，第三方发布的数据，如，定价来源）。</t>
    </r>
    <phoneticPr fontId="49" type="noConversion"/>
  </si>
  <si>
    <r>
      <rPr>
        <sz val="11"/>
        <rFont val="Arial Narrow"/>
        <family val="2"/>
      </rPr>
      <t>A1-1</t>
    </r>
    <r>
      <rPr>
        <sz val="11"/>
        <color rgb="FFFF0000"/>
        <rFont val="Arial Narrow"/>
        <family val="2"/>
      </rPr>
      <t>/A1-15 /A1-16</t>
    </r>
    <phoneticPr fontId="17" type="noConversion"/>
  </si>
  <si>
    <t>截止日：201X年12月31日</t>
  </si>
  <si>
    <t>客户名称：</t>
  </si>
  <si>
    <r>
      <t>1.</t>
    </r>
    <r>
      <rPr>
        <sz val="10"/>
        <rFont val="宋体"/>
        <family val="3"/>
        <charset val="134"/>
      </rPr>
      <t>库存股以恰当的金额包括在财务报表中，与之相关的计价或分摊调整已恰当记录，相关披露已得到恰当计量和描述。</t>
    </r>
    <phoneticPr fontId="17" type="noConversion"/>
  </si>
  <si>
    <r>
      <t>11</t>
    </r>
    <r>
      <rPr>
        <sz val="10"/>
        <color rgb="FF3333FF"/>
        <rFont val="宋体"/>
        <family val="3"/>
        <charset val="134"/>
      </rPr>
      <t>、审计说明可以概述：（</t>
    </r>
    <r>
      <rPr>
        <sz val="10"/>
        <color rgb="FF3333FF"/>
        <rFont val="Arial Narrow"/>
        <family val="2"/>
      </rPr>
      <t>1</t>
    </r>
    <r>
      <rPr>
        <sz val="10"/>
        <color rgb="FF3333FF"/>
        <rFont val="宋体"/>
        <family val="3"/>
        <charset val="134"/>
      </rPr>
      <t>）程序的测试情况、结果；（</t>
    </r>
    <r>
      <rPr>
        <sz val="10"/>
        <color rgb="FF3333FF"/>
        <rFont val="Arial Narrow"/>
        <family val="2"/>
      </rPr>
      <t>2</t>
    </r>
    <r>
      <rPr>
        <sz val="10"/>
        <color rgb="FF3333FF"/>
        <rFont val="宋体"/>
        <family val="3"/>
        <charset val="134"/>
      </rPr>
      <t>）拟调整事项及其调整分录、未调整事项及其影响，审计范围受到限制情况及其影响。</t>
    </r>
    <phoneticPr fontId="17" type="noConversion"/>
  </si>
  <si>
    <t>12、审计结论可参考：A、未见异常。B、除上述重大不符事项应当作为调整事项予以调整外，其余未见异常。C、由于存在以下重大未调整事项(或审计范围受到限制无法获取充分、适当证据），不可确认。</t>
    <phoneticPr fontId="17" type="noConversion"/>
  </si>
  <si>
    <r>
      <rPr>
        <sz val="10"/>
        <color indexed="12"/>
        <rFont val="宋体"/>
        <family val="3"/>
        <charset val="134"/>
      </rPr>
      <t>（</t>
    </r>
    <r>
      <rPr>
        <sz val="10"/>
        <color indexed="12"/>
        <rFont val="Arial Narrow"/>
        <family val="2"/>
      </rPr>
      <t>1</t>
    </r>
    <r>
      <rPr>
        <sz val="10"/>
        <color indexed="12"/>
        <rFont val="宋体"/>
        <family val="3"/>
        <charset val="134"/>
      </rPr>
      <t>）回购本公司股份的原因及对应的库存股成本确定方法；</t>
    </r>
  </si>
  <si>
    <r>
      <rPr>
        <sz val="10"/>
        <color indexed="12"/>
        <rFont val="宋体"/>
        <family val="3"/>
        <charset val="134"/>
      </rPr>
      <t>（</t>
    </r>
    <r>
      <rPr>
        <sz val="10"/>
        <color indexed="12"/>
        <rFont val="Arial Narrow"/>
        <family val="2"/>
      </rPr>
      <t>2</t>
    </r>
    <r>
      <rPr>
        <sz val="10"/>
        <color indexed="12"/>
        <rFont val="宋体"/>
        <family val="3"/>
        <charset val="134"/>
      </rPr>
      <t>）因库存股注销而减少的股本；</t>
    </r>
  </si>
  <si>
    <r>
      <rPr>
        <sz val="10"/>
        <color indexed="12"/>
        <rFont val="宋体"/>
        <family val="3"/>
        <charset val="134"/>
      </rPr>
      <t>（</t>
    </r>
    <r>
      <rPr>
        <sz val="10"/>
        <color indexed="12"/>
        <rFont val="Arial Narrow"/>
        <family val="2"/>
      </rPr>
      <t>3</t>
    </r>
    <r>
      <rPr>
        <sz val="10"/>
        <color indexed="12"/>
        <rFont val="宋体"/>
        <family val="3"/>
        <charset val="134"/>
      </rPr>
      <t>）注销的库存股成本高于对应股本成本的，披露依次冲减的资本公积、盈余公积、未分配利润的金额；注销的库存股成本低于对应股本成本的，披露增加的资本公积金额；</t>
    </r>
  </si>
  <si>
    <r>
      <rPr>
        <sz val="10"/>
        <color indexed="12"/>
        <rFont val="宋体"/>
        <family val="3"/>
        <charset val="134"/>
      </rPr>
      <t>（</t>
    </r>
    <r>
      <rPr>
        <sz val="10"/>
        <color indexed="12"/>
        <rFont val="Arial Narrow"/>
        <family val="2"/>
      </rPr>
      <t>4</t>
    </r>
    <r>
      <rPr>
        <sz val="10"/>
        <color indexed="12"/>
        <rFont val="宋体"/>
        <family val="3"/>
        <charset val="134"/>
      </rPr>
      <t>）库存股转让时，转让收入高于库存股成本的，披露增加的资本公积金额；转让收入低于库存股成本的，披露依次冲减的资本公积、盈余公积、未分配利润的金额；</t>
    </r>
  </si>
  <si>
    <r>
      <rPr>
        <sz val="10"/>
        <color indexed="12"/>
        <rFont val="宋体"/>
        <family val="3"/>
        <charset val="134"/>
      </rPr>
      <t>（</t>
    </r>
    <r>
      <rPr>
        <sz val="10"/>
        <color indexed="12"/>
        <rFont val="Arial Narrow"/>
        <family val="2"/>
      </rPr>
      <t>5</t>
    </r>
    <r>
      <rPr>
        <sz val="10"/>
        <color indexed="12"/>
        <rFont val="宋体"/>
        <family val="3"/>
        <charset val="134"/>
      </rPr>
      <t>）因实行股权激励回购本公司股份的，应披露本期回购股份占本公司已发行股份的总比例和累计库存股占已发行股份的总比例。</t>
    </r>
  </si>
  <si>
    <r>
      <t>1</t>
    </r>
    <r>
      <rPr>
        <sz val="10"/>
        <color indexed="12"/>
        <rFont val="宋体"/>
        <family val="3"/>
        <charset val="134"/>
      </rPr>
      <t>、本科目核算企业收购、转让或注销的本公司股份金额。</t>
    </r>
    <phoneticPr fontId="17" type="noConversion"/>
  </si>
  <si>
    <r>
      <t>2</t>
    </r>
    <r>
      <rPr>
        <sz val="10"/>
        <color indexed="12"/>
        <rFont val="宋体"/>
        <family val="3"/>
        <charset val="134"/>
      </rPr>
      <t>、公司回购的股份在注销或者转让之前</t>
    </r>
    <r>
      <rPr>
        <sz val="10"/>
        <color indexed="12"/>
        <rFont val="Arial Narrow"/>
        <family val="2"/>
      </rPr>
      <t>,</t>
    </r>
    <r>
      <rPr>
        <sz val="10"/>
        <color indexed="12"/>
        <rFont val="宋体"/>
        <family val="3"/>
        <charset val="134"/>
      </rPr>
      <t>作为库存股管理</t>
    </r>
    <r>
      <rPr>
        <sz val="10"/>
        <color indexed="12"/>
        <rFont val="Arial Narrow"/>
        <family val="2"/>
      </rPr>
      <t>,</t>
    </r>
    <r>
      <rPr>
        <sz val="10"/>
        <color indexed="12"/>
        <rFont val="宋体"/>
        <family val="3"/>
        <charset val="134"/>
      </rPr>
      <t>回购股份的全部支出转作库存股成本。</t>
    </r>
    <phoneticPr fontId="17" type="noConversion"/>
  </si>
  <si>
    <r>
      <t>3</t>
    </r>
    <r>
      <rPr>
        <sz val="10"/>
        <color indexed="12"/>
        <rFont val="宋体"/>
        <family val="3"/>
        <charset val="134"/>
      </rPr>
      <t>、库存股注销时</t>
    </r>
    <r>
      <rPr>
        <sz val="10"/>
        <color indexed="12"/>
        <rFont val="Arial Narrow"/>
        <family val="2"/>
      </rPr>
      <t>,</t>
    </r>
    <r>
      <rPr>
        <sz val="10"/>
        <color indexed="12"/>
        <rFont val="宋体"/>
        <family val="3"/>
        <charset val="134"/>
      </rPr>
      <t>按照注销的股份数量减少相应股本</t>
    </r>
    <r>
      <rPr>
        <sz val="10"/>
        <color indexed="12"/>
        <rFont val="Arial Narrow"/>
        <family val="2"/>
      </rPr>
      <t>,</t>
    </r>
    <r>
      <rPr>
        <sz val="10"/>
        <color indexed="12"/>
        <rFont val="宋体"/>
        <family val="3"/>
        <charset val="134"/>
      </rPr>
      <t>库存股成本高于对应股本的部分</t>
    </r>
    <r>
      <rPr>
        <sz val="10"/>
        <color indexed="12"/>
        <rFont val="Arial Narrow"/>
        <family val="2"/>
      </rPr>
      <t>,</t>
    </r>
    <r>
      <rPr>
        <sz val="10"/>
        <color indexed="12"/>
        <rFont val="宋体"/>
        <family val="3"/>
        <charset val="134"/>
      </rPr>
      <t>依次冲减资本公积金、盈余公积金、以前年度未分配利润</t>
    </r>
    <r>
      <rPr>
        <sz val="10"/>
        <color indexed="12"/>
        <rFont val="Arial Narrow"/>
        <family val="2"/>
      </rPr>
      <t>;</t>
    </r>
    <r>
      <rPr>
        <sz val="10"/>
        <color indexed="12"/>
        <rFont val="宋体"/>
        <family val="3"/>
        <charset val="134"/>
      </rPr>
      <t>低于对应股本的部分</t>
    </r>
    <r>
      <rPr>
        <sz val="10"/>
        <color indexed="12"/>
        <rFont val="Arial Narrow"/>
        <family val="2"/>
      </rPr>
      <t>,</t>
    </r>
    <r>
      <rPr>
        <sz val="10"/>
        <color indexed="12"/>
        <rFont val="宋体"/>
        <family val="3"/>
        <charset val="134"/>
      </rPr>
      <t>增加资本公积金。</t>
    </r>
    <phoneticPr fontId="17" type="noConversion"/>
  </si>
  <si>
    <r>
      <t>4</t>
    </r>
    <r>
      <rPr>
        <sz val="10"/>
        <color indexed="12"/>
        <rFont val="宋体"/>
        <family val="3"/>
        <charset val="134"/>
      </rPr>
      <t>、库存股转让时</t>
    </r>
    <r>
      <rPr>
        <sz val="10"/>
        <color indexed="12"/>
        <rFont val="Arial Narrow"/>
        <family val="2"/>
      </rPr>
      <t>,</t>
    </r>
    <r>
      <rPr>
        <sz val="10"/>
        <color indexed="12"/>
        <rFont val="宋体"/>
        <family val="3"/>
        <charset val="134"/>
      </rPr>
      <t>转让收入高于库存股成本的部分</t>
    </r>
    <r>
      <rPr>
        <sz val="10"/>
        <color indexed="12"/>
        <rFont val="Arial Narrow"/>
        <family val="2"/>
      </rPr>
      <t>,</t>
    </r>
    <r>
      <rPr>
        <sz val="10"/>
        <color indexed="12"/>
        <rFont val="宋体"/>
        <family val="3"/>
        <charset val="134"/>
      </rPr>
      <t>增加资本公积金</t>
    </r>
    <r>
      <rPr>
        <sz val="10"/>
        <color indexed="12"/>
        <rFont val="Arial Narrow"/>
        <family val="2"/>
      </rPr>
      <t>;</t>
    </r>
    <r>
      <rPr>
        <sz val="10"/>
        <color indexed="12"/>
        <rFont val="宋体"/>
        <family val="3"/>
        <charset val="134"/>
      </rPr>
      <t>低于库存股成本的部分</t>
    </r>
    <r>
      <rPr>
        <sz val="10"/>
        <color indexed="12"/>
        <rFont val="Arial Narrow"/>
        <family val="2"/>
      </rPr>
      <t>,</t>
    </r>
    <r>
      <rPr>
        <sz val="10"/>
        <color indexed="12"/>
        <rFont val="宋体"/>
        <family val="3"/>
        <charset val="134"/>
      </rPr>
      <t>依次冲减资本公积金、盈余公积金、以前年度未分配利润。</t>
    </r>
    <phoneticPr fontId="17" type="noConversion"/>
  </si>
  <si>
    <r>
      <t>5</t>
    </r>
    <r>
      <rPr>
        <sz val="10"/>
        <color indexed="12"/>
        <rFont val="宋体"/>
        <family val="3"/>
        <charset val="134"/>
      </rPr>
      <t>、因实行职工股权激励办法而回购股份的</t>
    </r>
    <r>
      <rPr>
        <sz val="10"/>
        <color indexed="12"/>
        <rFont val="Arial Narrow"/>
        <family val="2"/>
      </rPr>
      <t>,</t>
    </r>
    <r>
      <rPr>
        <sz val="10"/>
        <color indexed="12"/>
        <rFont val="宋体"/>
        <family val="3"/>
        <charset val="134"/>
      </rPr>
      <t>回购股份不得超过本公司已发行股份总额的百分之五</t>
    </r>
    <r>
      <rPr>
        <sz val="10"/>
        <color indexed="12"/>
        <rFont val="Arial Narrow"/>
        <family val="2"/>
      </rPr>
      <t>,</t>
    </r>
    <r>
      <rPr>
        <sz val="10"/>
        <color indexed="12"/>
        <rFont val="宋体"/>
        <family val="3"/>
        <charset val="134"/>
      </rPr>
      <t>所需资金应当控制在当期可供投资者分配的利润数额之内。</t>
    </r>
    <phoneticPr fontId="17" type="noConversion"/>
  </si>
  <si>
    <r>
      <t>6</t>
    </r>
    <r>
      <rPr>
        <sz val="10"/>
        <color indexed="12"/>
        <rFont val="宋体"/>
        <family val="3"/>
        <charset val="134"/>
      </rPr>
      <t>、库存股不得参与公司利润分配</t>
    </r>
    <r>
      <rPr>
        <sz val="10"/>
        <color indexed="12"/>
        <rFont val="Arial Narrow"/>
        <family val="2"/>
      </rPr>
      <t>,</t>
    </r>
    <r>
      <rPr>
        <sz val="10"/>
        <color indexed="12"/>
        <rFont val="宋体"/>
        <family val="3"/>
        <charset val="134"/>
      </rPr>
      <t>股份有限公司应当将其作为所有者权益的备抵项目反映。</t>
    </r>
    <phoneticPr fontId="17" type="noConversion"/>
  </si>
  <si>
    <r>
      <t>7</t>
    </r>
    <r>
      <rPr>
        <sz val="10"/>
        <color indexed="12"/>
        <rFont val="宋体"/>
        <family val="3"/>
        <charset val="134"/>
      </rPr>
      <t>、公司因减少公司注册资本、将股份奖励给本公司职工的原因收购本公司股份的，应当经股东大会决议。</t>
    </r>
    <phoneticPr fontId="17" type="noConversion"/>
  </si>
  <si>
    <r>
      <t>8</t>
    </r>
    <r>
      <rPr>
        <sz val="10"/>
        <color indexed="12"/>
        <rFont val="宋体"/>
        <family val="3"/>
        <charset val="134"/>
      </rPr>
      <t>、公司收购本公司股份后，属于减少公司注册资本情形的，应当自收购之日起十日内注销；</t>
    </r>
    <phoneticPr fontId="17" type="noConversion"/>
  </si>
  <si>
    <r>
      <t>9</t>
    </r>
    <r>
      <rPr>
        <sz val="10"/>
        <color indexed="12"/>
        <rFont val="宋体"/>
        <family val="3"/>
        <charset val="134"/>
      </rPr>
      <t>、公司因将股份奖励给本公司职工而收购的本公司股份，不得超过本公司已发行股份总额的百分之五；</t>
    </r>
    <phoneticPr fontId="17" type="noConversion"/>
  </si>
  <si>
    <r>
      <rPr>
        <sz val="10"/>
        <color indexed="12"/>
        <rFont val="宋体"/>
        <family val="3"/>
        <charset val="134"/>
      </rPr>
      <t>用于收购的资金应当从公司的税后利润中支出；所收购的股份应当在</t>
    </r>
    <r>
      <rPr>
        <b/>
        <sz val="10"/>
        <color indexed="12"/>
        <rFont val="宋体"/>
        <family val="3"/>
        <charset val="134"/>
      </rPr>
      <t>一年内</t>
    </r>
    <r>
      <rPr>
        <sz val="10"/>
        <color indexed="12"/>
        <rFont val="宋体"/>
        <family val="3"/>
        <charset val="134"/>
      </rPr>
      <t>转让给职工。</t>
    </r>
    <phoneticPr fontId="17" type="noConversion"/>
  </si>
  <si>
    <r>
      <t>10</t>
    </r>
    <r>
      <rPr>
        <sz val="10"/>
        <color indexed="12"/>
        <rFont val="宋体"/>
        <family val="3"/>
        <charset val="134"/>
      </rPr>
      <t>、公司应披露与库存股相关的如下信息：</t>
    </r>
    <phoneticPr fontId="17" type="noConversion"/>
  </si>
  <si>
    <r>
      <rPr>
        <sz val="10"/>
        <rFont val="宋体"/>
        <family val="3"/>
        <charset val="134"/>
      </rPr>
      <t>页</t>
    </r>
    <r>
      <rPr>
        <sz val="10"/>
        <rFont val="Arial Narrow"/>
        <family val="2"/>
      </rPr>
      <t xml:space="preserve">  </t>
    </r>
    <r>
      <rPr>
        <sz val="10"/>
        <rFont val="宋体"/>
        <family val="3"/>
        <charset val="134"/>
      </rPr>
      <t>次：</t>
    </r>
    <phoneticPr fontId="49" type="noConversion"/>
  </si>
  <si>
    <r>
      <rPr>
        <sz val="10"/>
        <color theme="1" tint="0.14999847407452621"/>
        <rFont val="宋体"/>
        <family val="3"/>
        <charset val="134"/>
      </rPr>
      <t>库存股</t>
    </r>
    <phoneticPr fontId="49" type="noConversion"/>
  </si>
  <si>
    <r>
      <rPr>
        <b/>
        <sz val="10"/>
        <rFont val="宋体"/>
        <family val="3"/>
        <charset val="134"/>
      </rPr>
      <t>二、审计目标与认定的对应关系</t>
    </r>
    <phoneticPr fontId="17" type="noConversion"/>
  </si>
  <si>
    <r>
      <rPr>
        <b/>
        <sz val="10"/>
        <rFont val="宋体"/>
        <family val="3"/>
        <charset val="134"/>
      </rPr>
      <t>审计目标</t>
    </r>
    <phoneticPr fontId="17" type="noConversion"/>
  </si>
  <si>
    <r>
      <t xml:space="preserve">D. </t>
    </r>
    <r>
      <rPr>
        <sz val="10"/>
        <rFont val="宋体"/>
        <family val="3"/>
        <charset val="134"/>
      </rPr>
      <t>实收资本以恰当的金额包括在财务报表中，与之相关的计价或分摊调整已恰当记录，相关披露已得到恰当计量和描述</t>
    </r>
    <r>
      <rPr>
        <sz val="10"/>
        <rFont val="Arial Narrow"/>
        <family val="2"/>
      </rPr>
      <t xml:space="preserve"> </t>
    </r>
    <phoneticPr fontId="17" type="noConversion"/>
  </si>
  <si>
    <r>
      <rPr>
        <b/>
        <sz val="10"/>
        <rFont val="宋体"/>
        <family val="3"/>
        <charset val="134"/>
      </rPr>
      <t>财务报表的认定</t>
    </r>
    <phoneticPr fontId="17" type="noConversion"/>
  </si>
  <si>
    <r>
      <rPr>
        <b/>
        <sz val="10"/>
        <rFont val="宋体"/>
        <family val="3"/>
        <charset val="134"/>
      </rPr>
      <t>存在</t>
    </r>
    <phoneticPr fontId="17" type="noConversion"/>
  </si>
  <si>
    <r>
      <rPr>
        <b/>
        <sz val="10"/>
        <rFont val="宋体"/>
        <family val="3"/>
        <charset val="134"/>
      </rPr>
      <t>完整性</t>
    </r>
    <phoneticPr fontId="17" type="noConversion"/>
  </si>
  <si>
    <r>
      <rPr>
        <b/>
        <sz val="10"/>
        <rFont val="宋体"/>
        <family val="3"/>
        <charset val="134"/>
      </rPr>
      <t>权利和
义务</t>
    </r>
    <phoneticPr fontId="17" type="noConversion"/>
  </si>
  <si>
    <r>
      <rPr>
        <b/>
        <sz val="10"/>
        <rFont val="宋体"/>
        <family val="3"/>
        <charset val="134"/>
      </rPr>
      <t>准确性、计价和分摊</t>
    </r>
  </si>
  <si>
    <r>
      <rPr>
        <b/>
        <sz val="10"/>
        <rFont val="宋体"/>
        <family val="3"/>
        <charset val="134"/>
      </rPr>
      <t>列报</t>
    </r>
    <phoneticPr fontId="17" type="noConversion"/>
  </si>
  <si>
    <r>
      <rPr>
        <sz val="10"/>
        <color theme="1"/>
        <rFont val="宋体"/>
        <family val="3"/>
        <charset val="134"/>
      </rPr>
      <t>常规★</t>
    </r>
    <phoneticPr fontId="49" type="noConversion"/>
  </si>
  <si>
    <r>
      <rPr>
        <b/>
        <sz val="10"/>
        <color theme="1"/>
        <rFont val="宋体"/>
        <family val="3"/>
        <charset val="134"/>
      </rPr>
      <t>√</t>
    </r>
    <phoneticPr fontId="17" type="noConversion"/>
  </si>
  <si>
    <r>
      <rPr>
        <sz val="10"/>
        <rFont val="宋体"/>
        <family val="3"/>
        <charset val="134"/>
      </rPr>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r>
  </si>
  <si>
    <r>
      <rPr>
        <sz val="10"/>
        <color theme="1"/>
        <rFont val="宋体"/>
        <family val="3"/>
        <charset val="134"/>
      </rPr>
      <t>备选</t>
    </r>
    <phoneticPr fontId="49" type="noConversion"/>
  </si>
  <si>
    <r>
      <rPr>
        <sz val="10"/>
        <color theme="1"/>
        <rFont val="宋体"/>
        <family val="3"/>
        <charset val="134"/>
      </rPr>
      <t>√</t>
    </r>
    <phoneticPr fontId="17" type="noConversion"/>
  </si>
  <si>
    <r>
      <rPr>
        <sz val="10"/>
        <color theme="1"/>
        <rFont val="宋体"/>
        <family val="3"/>
        <charset val="134"/>
      </rPr>
      <t>备选</t>
    </r>
  </si>
  <si>
    <r>
      <rPr>
        <sz val="10"/>
        <color theme="1"/>
        <rFont val="宋体"/>
        <family val="3"/>
        <charset val="134"/>
      </rPr>
      <t>复核普通股基本每股收益和稀释每股收益计算的准确性，将金额和股数与财务报表核对</t>
    </r>
    <phoneticPr fontId="17" type="noConversion"/>
  </si>
  <si>
    <r>
      <rPr>
        <sz val="10"/>
        <color theme="1"/>
        <rFont val="宋体"/>
        <family val="3"/>
        <charset val="134"/>
      </rPr>
      <t>检查库存股是否已按企业会计准则或其他适用的规定在财务报表中做出恰当列报和披露。</t>
    </r>
    <phoneticPr fontId="17" type="noConversion"/>
  </si>
  <si>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phoneticPr fontId="17" type="noConversion"/>
  </si>
  <si>
    <r>
      <rPr>
        <sz val="10"/>
        <rFont val="宋体"/>
        <family val="3"/>
        <charset val="134"/>
      </rPr>
      <t>获取或编制库存股明细表，并完成以下工作，并编制审定表
（</t>
    </r>
    <r>
      <rPr>
        <sz val="10"/>
        <rFont val="Arial Narrow"/>
        <family val="2"/>
      </rPr>
      <t>1</t>
    </r>
    <r>
      <rPr>
        <sz val="10"/>
        <rFont val="宋体"/>
        <family val="3"/>
        <charset val="134"/>
      </rPr>
      <t>）复核加计是否正确，与总账、明细账合计数核对是否相符，期初余额与上期审定期末余额是否相符；
（</t>
    </r>
    <r>
      <rPr>
        <sz val="10"/>
        <rFont val="Arial Narrow"/>
        <family val="2"/>
      </rPr>
      <t>2</t>
    </r>
    <r>
      <rPr>
        <sz val="10"/>
        <rFont val="宋体"/>
        <family val="3"/>
        <charset val="134"/>
      </rPr>
      <t>）以非记账本位币出资的，检查其折算汇率是否符合规定，折算差额的会计处理是否正确。</t>
    </r>
    <phoneticPr fontId="49" type="noConversion"/>
  </si>
  <si>
    <t>底稿索引号</t>
    <phoneticPr fontId="17" type="noConversion"/>
  </si>
  <si>
    <r>
      <t>对期初余额的审计，取得库存股期初余额明细表复核加计是否正确，与总账、明细账合计数是否相符，取得期初库存股形成的相关决议、文件，检查上期库存股在本期注销情况。</t>
    </r>
    <r>
      <rPr>
        <sz val="10"/>
        <color rgb="FFFF0000"/>
        <rFont val="宋体"/>
        <family val="3"/>
        <charset val="134"/>
      </rPr>
      <t>（适用于首次承接）</t>
    </r>
    <phoneticPr fontId="17" type="noConversion"/>
  </si>
  <si>
    <t>√</t>
    <phoneticPr fontId="17" type="noConversion"/>
  </si>
  <si>
    <t>√</t>
    <phoneticPr fontId="17" type="noConversion"/>
  </si>
  <si>
    <t>√</t>
    <phoneticPr fontId="17" type="noConversion"/>
  </si>
  <si>
    <r>
      <rPr>
        <sz val="10"/>
        <rFont val="宋体"/>
        <family val="3"/>
        <charset val="134"/>
      </rPr>
      <t>对本期库存股发生的增减变动：
（</t>
    </r>
    <r>
      <rPr>
        <sz val="10"/>
        <rFont val="Arial Narrow"/>
        <family val="2"/>
      </rPr>
      <t>1</t>
    </r>
    <r>
      <rPr>
        <sz val="10"/>
        <rFont val="宋体"/>
        <family val="3"/>
        <charset val="134"/>
      </rPr>
      <t>）获取公司回购股份的股东（大）会</t>
    </r>
    <r>
      <rPr>
        <sz val="10"/>
        <rFont val="Arial Narrow"/>
        <family val="2"/>
      </rPr>
      <t>/</t>
    </r>
    <r>
      <rPr>
        <sz val="10"/>
        <rFont val="宋体"/>
        <family val="3"/>
        <charset val="134"/>
      </rPr>
      <t>董事会决议、审批文件等，检查回购股份手续是否完整，是否符合法律规定。</t>
    </r>
    <r>
      <rPr>
        <sz val="10"/>
        <rFont val="Arial Narrow"/>
        <family val="2"/>
      </rPr>
      <t xml:space="preserve">
</t>
    </r>
    <r>
      <rPr>
        <sz val="10"/>
        <rFont val="宋体"/>
        <family val="3"/>
        <charset val="134"/>
      </rPr>
      <t>（</t>
    </r>
    <r>
      <rPr>
        <sz val="10"/>
        <rFont val="Arial Narrow"/>
        <family val="2"/>
      </rPr>
      <t>2</t>
    </r>
    <r>
      <rPr>
        <sz val="10"/>
        <rFont val="宋体"/>
        <family val="3"/>
        <charset val="134"/>
      </rPr>
      <t>）检查回购股份交易的记账凭证和原始凭证，检查会计处理是否正确。
（</t>
    </r>
    <r>
      <rPr>
        <sz val="10"/>
        <rFont val="Arial Narrow"/>
        <family val="2"/>
      </rPr>
      <t>3</t>
    </r>
    <r>
      <rPr>
        <sz val="10"/>
        <rFont val="宋体"/>
        <family val="3"/>
        <charset val="134"/>
      </rPr>
      <t>）检查注销股份的相关流程是否合规、会计处理是否正确。</t>
    </r>
    <phoneticPr fontId="17" type="noConversion"/>
  </si>
  <si>
    <t>√</t>
    <phoneticPr fontId="17" type="noConversion"/>
  </si>
  <si>
    <t>根据评估的舞弊风险等因素增加的审计程序。</t>
    <phoneticPr fontId="17" type="noConversion"/>
  </si>
  <si>
    <t xml:space="preserve">
限制性股票应重分类为其他应付款并以公允价值计量。除了解锁后的限制因素外，限制性股票的公允价值应以普通股市价为基础进行计量。限制性股票的公允价值=授予日流通股的市价（收盘价）-解锁后的限制性因素成本。</t>
    <phoneticPr fontId="17" type="noConversion"/>
  </si>
  <si>
    <t>提示：</t>
    <phoneticPr fontId="17" type="noConversion"/>
  </si>
  <si>
    <t>1.资产负债表中记录的库存股是存在的，且已经记录在恰当的账户中；</t>
    <phoneticPr fontId="17" type="noConversion"/>
  </si>
  <si>
    <t>2.所有应记录的库存股均已记录，所有应当包括在财务报表中的相关披露均已包括；</t>
    <phoneticPr fontId="17" type="noConversion"/>
  </si>
  <si>
    <t>3.库存股以恰当的金额包括在财务报表中，与之相关的计价或分摊调整已恰当记录，相关披露已得到恰当计量和描述 ；</t>
    <phoneticPr fontId="17" type="noConversion"/>
  </si>
  <si>
    <r>
      <t>1.</t>
    </r>
    <r>
      <rPr>
        <sz val="10"/>
        <rFont val="宋体"/>
        <family val="3"/>
        <charset val="134"/>
      </rPr>
      <t>检查股票回购的交易活动。检查的内容包括已发行股票的登记簿、回购的股票、银行对账单、会计账面记录等；</t>
    </r>
    <phoneticPr fontId="17" type="noConversion"/>
  </si>
  <si>
    <r>
      <t>2.</t>
    </r>
    <r>
      <rPr>
        <sz val="10"/>
        <rFont val="宋体"/>
        <family val="3"/>
        <charset val="134"/>
      </rPr>
      <t>以回购股票以及其他法定程序报经批准减资的，检查股东会决议以及相关的法律文件，手续是否办理，检查其是否按注销的股票面值总额和所注销的库存股的账面余额，冲减资本公积，会计处理是否正确；</t>
    </r>
    <phoneticPr fontId="17" type="noConversion"/>
  </si>
  <si>
    <t>三、测试：</t>
    <phoneticPr fontId="26" type="noConversion"/>
  </si>
  <si>
    <t>1.资产负债表中记录的库存股是存在的。</t>
    <phoneticPr fontId="17" type="noConversion"/>
  </si>
  <si>
    <r>
      <t>2.</t>
    </r>
    <r>
      <rPr>
        <sz val="10"/>
        <rFont val="宋体"/>
        <family val="3"/>
        <charset val="134"/>
      </rPr>
      <t>记录的库存股由被审计单位拥有或控制</t>
    </r>
    <phoneticPr fontId="17" type="noConversion"/>
  </si>
  <si>
    <t>2.库存股以恰当的金额包括在财务报表中，与之相关的计价或分摊调整已恰当记录，相关披露已得到恰当计量和描述。</t>
    <phoneticPr fontId="17" type="noConversion"/>
  </si>
  <si>
    <t>合计</t>
    <phoneticPr fontId="17" type="noConversion"/>
  </si>
  <si>
    <t>日期</t>
  </si>
  <si>
    <t>凭证编号</t>
  </si>
  <si>
    <t>对方明细科目</t>
    <phoneticPr fontId="17" type="noConversion"/>
  </si>
  <si>
    <t>记账凭证</t>
    <phoneticPr fontId="17" type="noConversion"/>
  </si>
  <si>
    <t>业务内容</t>
    <phoneticPr fontId="17" type="noConversion"/>
  </si>
  <si>
    <t>对方科目</t>
    <phoneticPr fontId="17" type="noConversion"/>
  </si>
  <si>
    <t>借方金额</t>
    <phoneticPr fontId="17" type="noConversion"/>
  </si>
  <si>
    <t>贷方金额</t>
    <phoneticPr fontId="17" type="noConversion"/>
  </si>
  <si>
    <t>支持性文件</t>
    <phoneticPr fontId="17" type="noConversion"/>
  </si>
  <si>
    <r>
      <rPr>
        <b/>
        <sz val="10"/>
        <rFont val="宋体"/>
        <family val="3"/>
        <charset val="134"/>
      </rPr>
      <t>核对内容</t>
    </r>
  </si>
  <si>
    <t>备注说明</t>
    <phoneticPr fontId="17" type="noConversion"/>
  </si>
  <si>
    <t>准确性、计价和分摊</t>
    <phoneticPr fontId="17" type="noConversion"/>
  </si>
  <si>
    <t>列报</t>
    <phoneticPr fontId="17" type="noConversion"/>
  </si>
  <si>
    <t>库存股实质性程序</t>
    <phoneticPr fontId="17" type="noConversion"/>
  </si>
  <si>
    <t>T1/</t>
    <phoneticPr fontId="49" type="noConversion"/>
  </si>
  <si>
    <t>M3-1
/M3-2
/M3-4</t>
    <phoneticPr fontId="49" type="noConversion"/>
  </si>
  <si>
    <t>M3-5</t>
    <phoneticPr fontId="49" type="noConversion"/>
  </si>
  <si>
    <t>库存股检查表</t>
    <phoneticPr fontId="17" type="noConversion"/>
  </si>
  <si>
    <t>库存股检查表</t>
    <phoneticPr fontId="17" type="noConversion"/>
  </si>
  <si>
    <t>页  次：</t>
    <phoneticPr fontId="17" type="noConversion"/>
  </si>
  <si>
    <t>页  次：</t>
    <phoneticPr fontId="17" type="noConversion"/>
  </si>
  <si>
    <t>是否异常</t>
    <phoneticPr fontId="17" type="noConversion"/>
  </si>
  <si>
    <t>第一百六十二条公司不得收购本公司股份。但是，有下列情形之一的除外：</t>
    <phoneticPr fontId="17" type="noConversion"/>
  </si>
  <si>
    <t>（五）将股份用于转换公司发行的可转换为股票的公司债券；</t>
    <phoneticPr fontId="17" type="noConversion"/>
  </si>
  <si>
    <t>公司因前款第一项、第二项规定的情形收购本公司股份的，应当经股东会决议；公司因前款第三项、第五项、第六项规定的情形收购本公司股份的，可以按照公司章程或者股东会的授权，经三分之二以上董事出席的董事会会议决议。</t>
    <phoneticPr fontId="17" type="noConversion"/>
  </si>
  <si>
    <t>公司依照本条第一款规定收购本公司股份后，属于第一项情形的，应当自收购之日起十日内注销；属于第二项、第四项情形的，应当在六个月内转让或者注销；属于第三项、第五项、第六项情形的，公司合计持有的本公司股份数不得超过本公司已发行股份总数的百分之十，并应当在三年内转让或者注销。</t>
    <phoneticPr fontId="17" type="noConversion"/>
  </si>
  <si>
    <t>上市公司收购本公司股份的，应当依照《中华人民共和国证券法》的规定履行信息披露义务。上市公司因本条第一款第三项、第五项、第六项规定的情形收购本公司股份的，应当通过公开的集中交易方式进行。</t>
    <phoneticPr fontId="17" type="noConversion"/>
  </si>
  <si>
    <t>公司不得接受本公司的股份作为质权的标的。</t>
    <phoneticPr fontId="17" type="noConversion"/>
  </si>
  <si>
    <t>关于《公司法》施行后有关企业财务处理问题的通知20060401</t>
    <phoneticPr fontId="17" type="noConversion"/>
  </si>
  <si>
    <t>IPO/上市/新三板/重组/舞弊应对</t>
    <phoneticPr fontId="49" type="noConversion"/>
  </si>
  <si>
    <r>
      <rPr>
        <sz val="10"/>
        <rFont val="宋体"/>
        <family val="3"/>
        <charset val="134"/>
      </rPr>
      <t>被审计单位：</t>
    </r>
    <r>
      <rPr>
        <sz val="10"/>
        <rFont val="Arial Narrow"/>
        <family val="2"/>
      </rPr>
      <t/>
    </r>
    <phoneticPr fontId="17" type="noConversion"/>
  </si>
  <si>
    <t>编制人：</t>
    <phoneticPr fontId="17" type="noConversion"/>
  </si>
  <si>
    <t>编制日期：</t>
    <phoneticPr fontId="17" type="noConversion"/>
  </si>
  <si>
    <t>复核人：</t>
    <phoneticPr fontId="17" type="noConversion"/>
  </si>
  <si>
    <t>复核日期：</t>
    <phoneticPr fontId="17" type="noConversion"/>
  </si>
  <si>
    <t>完整性</t>
    <phoneticPr fontId="17" type="noConversion"/>
  </si>
  <si>
    <t>存在</t>
    <phoneticPr fontId="17" type="noConversion"/>
  </si>
  <si>
    <t>权利和义务</t>
    <phoneticPr fontId="17" type="noConversion"/>
  </si>
  <si>
    <r>
      <t xml:space="preserve">E. </t>
    </r>
    <r>
      <rPr>
        <sz val="10"/>
        <rFont val="宋体"/>
        <family val="3"/>
        <charset val="134"/>
      </rPr>
      <t>实收资本已被恰当地汇总或分解且表述清楚，相关披露在按照企业会计准则的编制基础下是相关的、可理解的</t>
    </r>
    <phoneticPr fontId="17"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</si>
  <si>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</si>
  <si>
    <t>关于工作底稿与审计程序索引号对应的说明</t>
    <phoneticPr fontId="17"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</si>
  <si>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7"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</si>
  <si>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17"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</si>
  <si>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17" type="noConversion"/>
  </si>
  <si>
    <t>根据被审计单位实际情况和风险评估情况裁剪、修改或增加审计程序</t>
    <phoneticPr fontId="17" type="noConversion"/>
  </si>
  <si>
    <t>审计程序</t>
    <phoneticPr fontId="49" type="noConversion"/>
  </si>
  <si>
    <r>
      <t>1.</t>
    </r>
    <r>
      <rPr>
        <sz val="10"/>
        <rFont val="宋体"/>
        <family val="3"/>
        <charset val="134"/>
      </rPr>
      <t>回购本公司股份的原因及对应的库存股成本确定方法：</t>
    </r>
    <r>
      <rPr>
        <sz val="10"/>
        <rFont val="Arial Narrow"/>
        <family val="2"/>
      </rPr>
      <t>_____________________</t>
    </r>
    <phoneticPr fontId="17" type="noConversion"/>
  </si>
  <si>
    <r>
      <t>2.</t>
    </r>
    <r>
      <rPr>
        <sz val="10"/>
        <rFont val="宋体"/>
        <family val="3"/>
        <charset val="134"/>
      </rPr>
      <t>因库存股注销而减少的股本：</t>
    </r>
    <r>
      <rPr>
        <sz val="10"/>
        <rFont val="Arial Narrow"/>
        <family val="2"/>
      </rPr>
      <t>___________________</t>
    </r>
    <phoneticPr fontId="17" type="noConversion"/>
  </si>
  <si>
    <r>
      <t>3.</t>
    </r>
    <r>
      <rPr>
        <sz val="10"/>
        <rFont val="宋体"/>
        <family val="3"/>
        <charset val="134"/>
      </rPr>
      <t>本期注销的库存股成本高于对应股本成本</t>
    </r>
    <r>
      <rPr>
        <sz val="10"/>
        <rFont val="Arial Narrow"/>
        <family val="2"/>
      </rPr>
      <t>______________</t>
    </r>
    <r>
      <rPr>
        <sz val="10"/>
        <rFont val="宋体"/>
        <family val="3"/>
        <charset val="134"/>
      </rPr>
      <t>元，依次冲减资本公积</t>
    </r>
    <r>
      <rPr>
        <sz val="10"/>
        <rFont val="Arial Narrow"/>
        <family val="2"/>
      </rPr>
      <t>___________</t>
    </r>
    <r>
      <rPr>
        <sz val="10"/>
        <rFont val="宋体"/>
        <family val="3"/>
        <charset val="134"/>
      </rPr>
      <t>元、盈余公积</t>
    </r>
    <r>
      <rPr>
        <sz val="10"/>
        <rFont val="Arial Narrow"/>
        <family val="2"/>
      </rPr>
      <t>___________</t>
    </r>
    <r>
      <rPr>
        <sz val="10"/>
        <rFont val="宋体"/>
        <family val="3"/>
        <charset val="134"/>
      </rPr>
      <t>元、未分配利润</t>
    </r>
    <r>
      <rPr>
        <sz val="10"/>
        <rFont val="Arial Narrow"/>
        <family val="2"/>
      </rPr>
      <t>___________</t>
    </r>
    <r>
      <rPr>
        <sz val="10"/>
        <rFont val="宋体"/>
        <family val="3"/>
        <charset val="134"/>
      </rPr>
      <t>元。</t>
    </r>
    <phoneticPr fontId="17" type="noConversion"/>
  </si>
  <si>
    <r>
      <t>4.</t>
    </r>
    <r>
      <rPr>
        <sz val="10"/>
        <rFont val="宋体"/>
        <family val="3"/>
        <charset val="134"/>
      </rPr>
      <t>本期注销的库存股成本低于对应股本成本</t>
    </r>
    <r>
      <rPr>
        <sz val="10"/>
        <rFont val="Arial Narrow"/>
        <family val="2"/>
      </rPr>
      <t>______________</t>
    </r>
    <r>
      <rPr>
        <sz val="10"/>
        <rFont val="宋体"/>
        <family val="3"/>
        <charset val="134"/>
      </rPr>
      <t>元，增加资本公积</t>
    </r>
    <r>
      <rPr>
        <sz val="10"/>
        <rFont val="Arial Narrow"/>
        <family val="2"/>
      </rPr>
      <t>_______________</t>
    </r>
    <r>
      <rPr>
        <sz val="10"/>
        <rFont val="宋体"/>
        <family val="3"/>
        <charset val="134"/>
      </rPr>
      <t>元。</t>
    </r>
    <phoneticPr fontId="17" type="noConversion"/>
  </si>
  <si>
    <r>
      <t>5.</t>
    </r>
    <r>
      <rPr>
        <sz val="10"/>
        <rFont val="宋体"/>
        <family val="3"/>
        <charset val="134"/>
      </rPr>
      <t>本期库存股转让时，转让收入高于库存股成本</t>
    </r>
    <r>
      <rPr>
        <sz val="10"/>
        <rFont val="Arial Narrow"/>
        <family val="2"/>
      </rPr>
      <t>__________</t>
    </r>
    <r>
      <rPr>
        <sz val="10"/>
        <rFont val="宋体"/>
        <family val="3"/>
        <charset val="134"/>
      </rPr>
      <t>元，增加资本公积</t>
    </r>
    <r>
      <rPr>
        <sz val="10"/>
        <rFont val="Arial Narrow"/>
        <family val="2"/>
      </rPr>
      <t>_______________</t>
    </r>
    <r>
      <rPr>
        <sz val="10"/>
        <rFont val="宋体"/>
        <family val="3"/>
        <charset val="134"/>
      </rPr>
      <t>元。</t>
    </r>
    <phoneticPr fontId="17" type="noConversion"/>
  </si>
  <si>
    <r>
      <t>6.</t>
    </r>
    <r>
      <rPr>
        <sz val="10"/>
        <rFont val="宋体"/>
        <family val="3"/>
        <charset val="134"/>
      </rPr>
      <t>本期库存股转让时，转让收入低于库存股成本</t>
    </r>
    <r>
      <rPr>
        <sz val="10"/>
        <rFont val="Arial Narrow"/>
        <family val="2"/>
      </rPr>
      <t>__________</t>
    </r>
    <r>
      <rPr>
        <sz val="10"/>
        <rFont val="宋体"/>
        <family val="3"/>
        <charset val="134"/>
      </rPr>
      <t>元，依次冲减资本公积</t>
    </r>
    <r>
      <rPr>
        <sz val="10"/>
        <rFont val="Arial Narrow"/>
        <family val="2"/>
      </rPr>
      <t>___________</t>
    </r>
    <r>
      <rPr>
        <sz val="10"/>
        <rFont val="宋体"/>
        <family val="3"/>
        <charset val="134"/>
      </rPr>
      <t>元、盈余公积</t>
    </r>
    <r>
      <rPr>
        <sz val="10"/>
        <rFont val="Arial Narrow"/>
        <family val="2"/>
      </rPr>
      <t>____________</t>
    </r>
    <r>
      <rPr>
        <sz val="10"/>
        <rFont val="宋体"/>
        <family val="3"/>
        <charset val="134"/>
      </rPr>
      <t>元、未分配利润</t>
    </r>
    <r>
      <rPr>
        <sz val="10"/>
        <rFont val="Arial Narrow"/>
        <family val="2"/>
      </rPr>
      <t>__________</t>
    </r>
    <r>
      <rPr>
        <sz val="10"/>
        <rFont val="宋体"/>
        <family val="3"/>
        <charset val="134"/>
      </rPr>
      <t>元。</t>
    </r>
    <phoneticPr fontId="17" type="noConversion"/>
  </si>
  <si>
    <r>
      <t>7.</t>
    </r>
    <r>
      <rPr>
        <sz val="10"/>
        <rFont val="宋体"/>
        <family val="3"/>
        <charset val="134"/>
      </rPr>
      <t>本期因实行股权激励回购本公司股份，回购股份占本公司已发行股份的总比例为</t>
    </r>
    <r>
      <rPr>
        <sz val="10"/>
        <rFont val="Arial Narrow"/>
        <family val="2"/>
      </rPr>
      <t>___________%</t>
    </r>
    <r>
      <rPr>
        <sz val="10"/>
        <rFont val="宋体"/>
        <family val="3"/>
        <charset val="134"/>
      </rPr>
      <t>，累计库存股占已发行股份的总比例</t>
    </r>
    <r>
      <rPr>
        <sz val="10"/>
        <rFont val="Arial Narrow"/>
        <family val="2"/>
      </rPr>
      <t>________________%</t>
    </r>
    <r>
      <rPr>
        <sz val="10"/>
        <rFont val="宋体"/>
        <family val="3"/>
        <charset val="134"/>
      </rPr>
      <t>。</t>
    </r>
    <phoneticPr fontId="17" type="noConversion"/>
  </si>
  <si>
    <t>本期发生额</t>
    <phoneticPr fontId="17" type="noConversion"/>
  </si>
  <si>
    <t>检查比例</t>
    <phoneticPr fontId="1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</si>
</sst>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2">
    <numFmt numFmtId="41" formatCode="_ * #,##0_ ;_ * \-#,##0_ ;_ * &quot;-&quot;_ ;_ @_ "/>
    <numFmt numFmtId="43" formatCode="_ * #,##0.00_ ;_ * \-#,##0.00_ ;_ * &quot;-&quot;??_ ;_ @_ "/>
    <numFmt numFmtId="176" formatCode="_-* #,##0_-;\-* #,##0_-;_-* &quot;-&quot;_-;_-@_-"/>
    <numFmt numFmtId="177" formatCode="_-* #,##0.00_-;\-* #,##0.00_-;_-* &quot;-&quot;??_-;_-@_-"/>
    <numFmt numFmtId="178" formatCode="_(* #,##0_);_(* \(#,##0\);_(* &quot;-&quot;_);_(@_)"/>
    <numFmt numFmtId="179" formatCode="_(* #,##0.00_);_(* \(#,##0.00\);_(* &quot;-&quot;??_);_(@_)"/>
    <numFmt numFmtId="180" formatCode="&quot;$&quot;#,##0_);\(&quot;$&quot;#,##0\)"/>
    <numFmt numFmtId="181" formatCode="_-&quot;$&quot;* #,##0_-;\-&quot;$&quot;* #,##0_-;_-&quot;$&quot;* &quot;-&quot;_-;_-@_-"/>
    <numFmt numFmtId="182" formatCode="_-&quot;$&quot;* #,##0.00_-;\-&quot;$&quot;* #,##0.00_-;_-&quot;$&quot;* &quot;-&quot;??_-;_-@_-"/>
    <numFmt numFmtId="183" formatCode="&quot;\&quot;#,##0;&quot;\&quot;&quot;\&quot;\-#,##0"/>
    <numFmt numFmtId="184" formatCode="&quot;\&quot;#,##0;[Red]&quot;\&quot;&quot;\&quot;\-#,##0"/>
    <numFmt numFmtId="185" formatCode="&quot;\&quot;#,##0.00;[Red]&quot;\&quot;&quot;\&quot;\-#,##0.00"/>
    <numFmt numFmtId="186" formatCode="_-#,##0.00_-;\(#,##0.00\);_-\ \ &quot;-&quot;_-;_-@_-"/>
    <numFmt numFmtId="187" formatCode="mmm/yyyy;_-\ &quot;N/A&quot;_-;_-\ &quot;-&quot;_-"/>
    <numFmt numFmtId="188" formatCode="mmm/dd/yyyy;_-\ &quot;N/A&quot;_-;_-\ &quot;-&quot;_-"/>
    <numFmt numFmtId="189" formatCode="_-#,##0_-;\(#,##0\);_-\ \ &quot;-&quot;_-;_-@_-"/>
    <numFmt numFmtId="190" formatCode="_-#,##0%_-;\(#,##0%\);_-\ &quot;-&quot;_-"/>
    <numFmt numFmtId="191" formatCode="_-#,###,_-;\(#,###,\);_-\ \ &quot;-&quot;_-;_-@_-"/>
    <numFmt numFmtId="192" formatCode="_-#,###.00,_-;\(#,###.00,\);_-\ \ &quot;-&quot;_-;_-@_-"/>
    <numFmt numFmtId="193" formatCode="_([$€-2]* #,##0.00_);_([$€-2]* \(#,##0.00\);_([$€-2]* &quot;-&quot;??_)"/>
    <numFmt numFmtId="194" formatCode="_-#0&quot;.&quot;0000_-;\(#0&quot;.&quot;0000\);_-\ \ &quot;-&quot;_-;_-@_-"/>
    <numFmt numFmtId="195" formatCode="_-#0&quot;.&quot;0,_-;\(#0&quot;.&quot;0,\);_-\ \ &quot;-&quot;_-;_-@_-"/>
  </numFmts>
  <fonts count="86">
    <font>
      <sz val="12"/>
      <name val="宋体"/>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2"/>
      <name val="宋体"/>
      <family val="3"/>
      <charset val="134"/>
    </font>
    <font>
      <sz val="10"/>
      <name val="Courier"/>
      <family val="3"/>
    </font>
    <font>
      <sz val="12"/>
      <name val="Garamond"/>
      <family val="1"/>
    </font>
    <font>
      <sz val="7"/>
      <color indexed="10"/>
      <name val="Helv"/>
      <family val="2"/>
    </font>
    <font>
      <u/>
      <sz val="12"/>
      <color indexed="12"/>
      <name val="宋体"/>
      <family val="3"/>
      <charset val="134"/>
    </font>
    <font>
      <sz val="12"/>
      <name val="楷体"/>
      <family val="3"/>
      <charset val="134"/>
    </font>
    <font>
      <sz val="12"/>
      <name val="楷体_GB2312"/>
      <family val="3"/>
      <charset val="134"/>
    </font>
    <font>
      <sz val="9"/>
      <name val="宋体"/>
      <family val="3"/>
      <charset val="134"/>
    </font>
    <font>
      <sz val="10"/>
      <name val="宋体"/>
      <family val="3"/>
      <charset val="134"/>
    </font>
    <font>
      <b/>
      <sz val="12"/>
      <name val="宋体"/>
      <family val="3"/>
      <charset val="134"/>
    </font>
    <font>
      <sz val="10"/>
      <name val="Times New Roman"/>
      <family val="1"/>
    </font>
    <font>
      <b/>
      <sz val="10"/>
      <name val="宋体"/>
      <family val="3"/>
      <charset val="134"/>
    </font>
    <font>
      <sz val="12"/>
      <name val="Times New Roman"/>
      <family val="1"/>
    </font>
    <font>
      <sz val="10"/>
      <color indexed="12"/>
      <name val="宋体"/>
      <family val="3"/>
      <charset val="134"/>
    </font>
    <font>
      <b/>
      <sz val="10"/>
      <color indexed="12"/>
      <name val="宋体"/>
      <family val="3"/>
      <charset val="134"/>
    </font>
    <font>
      <i/>
      <sz val="10"/>
      <color indexed="12"/>
      <name val="宋体"/>
      <family val="3"/>
      <charset val="134"/>
    </font>
    <font>
      <sz val="18"/>
      <color indexed="48"/>
      <name val="魏碑"/>
      <family val="3"/>
      <charset val="134"/>
    </font>
    <font>
      <u val="singleAccounting"/>
      <vertAlign val="subscript"/>
      <sz val="10"/>
      <name val="Times New Roman"/>
      <family val="1"/>
    </font>
    <font>
      <i/>
      <sz val="9"/>
      <name val="Times New Roman"/>
      <family val="1"/>
    </font>
    <font>
      <b/>
      <sz val="10"/>
      <name val="Arial Narrow"/>
      <family val="2"/>
    </font>
    <font>
      <sz val="12"/>
      <name val="Arial Narrow"/>
      <family val="2"/>
    </font>
    <font>
      <b/>
      <sz val="12"/>
      <name val="Arial Narrow"/>
      <family val="2"/>
    </font>
    <font>
      <sz val="10"/>
      <name val="Arial Narrow"/>
      <family val="2"/>
    </font>
    <font>
      <i/>
      <u/>
      <sz val="10"/>
      <color indexed="12"/>
      <name val="宋体"/>
      <family val="3"/>
      <charset val="134"/>
    </font>
    <font>
      <u/>
      <sz val="10"/>
      <name val="Arial Narrow"/>
      <family val="2"/>
    </font>
    <font>
      <sz val="10"/>
      <color indexed="10"/>
      <name val="宋体"/>
      <family val="3"/>
      <charset val="134"/>
    </font>
    <font>
      <sz val="10"/>
      <color indexed="12"/>
      <name val="Arial Narrow"/>
      <family val="2"/>
    </font>
    <font>
      <b/>
      <sz val="10"/>
      <name val="Times New Roman"/>
      <family val="1"/>
    </font>
    <font>
      <b/>
      <sz val="10"/>
      <color indexed="8"/>
      <name val="Arial Narrow"/>
      <family val="2"/>
    </font>
    <font>
      <b/>
      <sz val="10"/>
      <color indexed="8"/>
      <name val="宋体"/>
      <family val="3"/>
      <charset val="134"/>
    </font>
    <font>
      <b/>
      <u/>
      <sz val="10"/>
      <color indexed="10"/>
      <name val="Arial Narrow"/>
      <family val="2"/>
    </font>
    <font>
      <sz val="11"/>
      <color theme="1"/>
      <name val="宋体"/>
      <family val="3"/>
      <charset val="134"/>
      <scheme val="minor"/>
    </font>
    <font>
      <sz val="9"/>
      <name val="Arial Narrow"/>
      <family val="2"/>
    </font>
    <font>
      <sz val="9"/>
      <name val="宋体"/>
      <family val="3"/>
      <charset val="134"/>
      <scheme val="minor"/>
    </font>
    <font>
      <b/>
      <sz val="9"/>
      <name val="Arial Narrow"/>
      <family val="2"/>
    </font>
    <font>
      <sz val="12"/>
      <color indexed="12"/>
      <name val="Arial Narrow"/>
      <family val="2"/>
    </font>
    <font>
      <sz val="10"/>
      <color indexed="8"/>
      <name val="Arial Narrow"/>
      <family val="2"/>
    </font>
    <font>
      <sz val="10"/>
      <color rgb="FFFF0000"/>
      <name val="宋体"/>
      <family val="3"/>
      <charset val="134"/>
      <scheme val="minor"/>
    </font>
    <font>
      <sz val="10"/>
      <name val="宋体"/>
      <family val="3"/>
      <charset val="134"/>
      <scheme val="minor"/>
    </font>
    <font>
      <sz val="9"/>
      <name val="宋体"/>
      <family val="2"/>
      <charset val="134"/>
      <scheme val="minor"/>
    </font>
    <font>
      <sz val="10.5"/>
      <name val="Arial Narrow"/>
      <family val="2"/>
    </font>
    <font>
      <i/>
      <sz val="10"/>
      <color indexed="12"/>
      <name val="Arial Narrow"/>
      <family val="2"/>
    </font>
    <font>
      <b/>
      <sz val="10"/>
      <color indexed="12"/>
      <name val="Arial Narrow"/>
      <family val="2"/>
    </font>
    <font>
      <sz val="10"/>
      <color theme="1"/>
      <name val="Arial Narrow"/>
      <family val="2"/>
    </font>
    <font>
      <sz val="11"/>
      <color theme="1"/>
      <name val="Arial Narrow"/>
      <family val="2"/>
    </font>
    <font>
      <b/>
      <sz val="14"/>
      <name val="宋体"/>
      <family val="3"/>
      <charset val="134"/>
    </font>
    <font>
      <sz val="10"/>
      <color theme="1" tint="0.14999847407452621"/>
      <name val="宋体"/>
      <family val="3"/>
      <charset val="134"/>
    </font>
    <font>
      <b/>
      <sz val="10"/>
      <color rgb="FFFF0000"/>
      <name val="Arial Narrow"/>
      <family val="2"/>
    </font>
    <font>
      <sz val="10"/>
      <color rgb="FFFF0000"/>
      <name val="Arial Narrow"/>
      <family val="2"/>
    </font>
    <font>
      <b/>
      <sz val="10"/>
      <color theme="0" tint="-0.499984740745262"/>
      <name val="Arial Narrow"/>
      <family val="2"/>
    </font>
    <font>
      <b/>
      <sz val="10"/>
      <color theme="1"/>
      <name val="Arial Narrow"/>
      <family val="2"/>
    </font>
    <font>
      <sz val="10"/>
      <color theme="1"/>
      <name val="宋体"/>
      <family val="3"/>
      <charset val="134"/>
    </font>
    <font>
      <sz val="11"/>
      <name val="Arial Narrow"/>
      <family val="2"/>
    </font>
    <font>
      <b/>
      <sz val="10"/>
      <color theme="1"/>
      <name val="宋体"/>
      <family val="3"/>
      <charset val="134"/>
    </font>
    <font>
      <sz val="10"/>
      <color rgb="FFFF0000"/>
      <name val="宋体"/>
      <family val="3"/>
      <charset val="134"/>
    </font>
    <font>
      <sz val="10"/>
      <color theme="1"/>
      <name val="宋体"/>
      <family val="2"/>
      <charset val="134"/>
    </font>
    <font>
      <b/>
      <sz val="10"/>
      <color indexed="8"/>
      <name val="宋体"/>
      <family val="3"/>
      <charset val="134"/>
      <scheme val="minor"/>
    </font>
    <font>
      <b/>
      <sz val="9"/>
      <color indexed="81"/>
      <name val="宋体"/>
      <family val="3"/>
      <charset val="134"/>
    </font>
    <font>
      <sz val="9"/>
      <color indexed="81"/>
      <name val="宋体"/>
      <family val="3"/>
      <charset val="134"/>
    </font>
    <font>
      <sz val="10"/>
      <color rgb="FF0000FF"/>
      <name val="宋体"/>
      <family val="3"/>
      <charset val="134"/>
    </font>
    <font>
      <sz val="10"/>
      <color indexed="8"/>
      <name val="宋体"/>
      <family val="3"/>
      <charset val="134"/>
    </font>
    <font>
      <i/>
      <u/>
      <sz val="10"/>
      <color indexed="12"/>
      <name val="Arial Narrow"/>
      <family val="2"/>
    </font>
    <font>
      <sz val="12"/>
      <color indexed="12"/>
      <name val="仿宋_GB2312"/>
      <family val="3"/>
      <charset val="134"/>
    </font>
    <font>
      <sz val="12"/>
      <name val="宋体"/>
      <family val="3"/>
      <charset val="134"/>
      <scheme val="minor"/>
    </font>
    <font>
      <b/>
      <sz val="10"/>
      <color rgb="FF000000"/>
      <name val="宋体"/>
      <family val="3"/>
      <charset val="134"/>
      <scheme val="minor"/>
    </font>
    <font>
      <b/>
      <sz val="10"/>
      <name val="宋体"/>
      <family val="3"/>
      <charset val="134"/>
      <scheme val="minor"/>
    </font>
    <font>
      <sz val="10"/>
      <color rgb="FF0000FF"/>
      <name val="宋体"/>
      <family val="3"/>
      <charset val="134"/>
      <scheme val="minor"/>
    </font>
    <font>
      <sz val="11"/>
      <color rgb="FFFF0000"/>
      <name val="Arial Narrow"/>
      <family val="2"/>
    </font>
    <font>
      <b/>
      <sz val="10"/>
      <color rgb="FFFF0000"/>
      <name val="宋体"/>
      <family val="3"/>
      <charset val="134"/>
    </font>
    <font>
      <sz val="10"/>
      <color rgb="FF0000FF"/>
      <name val="Arial Narrow"/>
      <family val="2"/>
    </font>
    <font>
      <b/>
      <sz val="10"/>
      <color rgb="FF0000FF"/>
      <name val="Arial Narrow"/>
      <family val="2"/>
    </font>
    <font>
      <sz val="10"/>
      <color rgb="FF3333FF"/>
      <name val="Arial Narrow"/>
      <family val="2"/>
    </font>
    <font>
      <sz val="10"/>
      <color rgb="FF3333FF"/>
      <name val="宋体"/>
      <family val="3"/>
      <charset val="134"/>
    </font>
    <font>
      <sz val="10"/>
      <color theme="1" tint="0.14999847407452621"/>
      <name val="Arial Narrow"/>
      <family val="2"/>
    </font>
    <font>
      <b/>
      <sz val="10"/>
      <color rgb="FF0000FF"/>
      <name val="宋体"/>
      <family val="3"/>
      <charset val="134"/>
    </font>
    <font>
      <sz val="10"/>
      <color indexed="12"/>
      <name val="宋体"/>
      <family val="3"/>
      <charset val="134"/>
      <scheme val="minor"/>
    </font>
  </fonts>
  <fills count="11">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theme="7" tint="0.79998168889431442"/>
        <bgColor indexed="64"/>
      </patternFill>
    </fill>
    <fill>
      <patternFill patternType="solid">
        <fgColor indexed="9"/>
        <bgColor indexed="64"/>
      </patternFill>
    </fill>
    <fill>
      <patternFill patternType="solid">
        <fgColor theme="0" tint="-0.14999847407452621"/>
        <bgColor indexed="64"/>
      </patternFill>
    </fill>
    <fill>
      <patternFill patternType="solid">
        <fgColor rgb="FF00B050"/>
        <bgColor indexed="64"/>
      </patternFill>
    </fill>
    <fill>
      <patternFill patternType="solid">
        <fgColor rgb="FFE4DFEC"/>
        <bgColor indexed="64"/>
      </patternFill>
    </fill>
    <fill>
      <patternFill patternType="solid">
        <fgColor theme="7" tint="0.79998168889431442"/>
        <bgColor rgb="FFB7DEE8"/>
      </patternFill>
    </fill>
  </fills>
  <borders count="14">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right style="hair">
        <color indexed="64"/>
      </right>
      <top/>
      <bottom style="hair">
        <color indexed="64"/>
      </bottom>
      <diagonal/>
    </border>
    <border>
      <left/>
      <right/>
      <top style="hair">
        <color indexed="64"/>
      </top>
      <bottom/>
      <diagonal/>
    </border>
    <border>
      <left/>
      <right style="hair">
        <color indexed="64"/>
      </right>
      <top style="hair">
        <color indexed="64"/>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style="medium">
        <color indexed="64"/>
      </top>
      <bottom style="medium">
        <color indexed="64"/>
      </bottom>
      <diagonal/>
    </border>
    <border>
      <left/>
      <right/>
      <top/>
      <bottom style="medium">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s>
  <cellStyleXfs count="60">
    <xf numFmtId="0" fontId="0" fillId="0" borderId="0">
      <protection locked="0"/>
    </xf>
    <xf numFmtId="49" fontId="20" fillId="0" borderId="0" applyProtection="0">
      <alignment horizontal="left"/>
    </xf>
    <xf numFmtId="189" fontId="20" fillId="0" borderId="0" applyFill="0" applyBorder="0" applyProtection="0">
      <alignment horizontal="right"/>
    </xf>
    <xf numFmtId="186" fontId="20" fillId="0" borderId="0" applyFill="0" applyBorder="0" applyProtection="0">
      <alignment horizontal="right"/>
    </xf>
    <xf numFmtId="188" fontId="27" fillId="0" borderId="0" applyFill="0" applyBorder="0" applyProtection="0">
      <alignment horizontal="center"/>
    </xf>
    <xf numFmtId="187" fontId="27" fillId="0" borderId="0" applyFill="0" applyBorder="0" applyProtection="0">
      <alignment horizontal="center"/>
    </xf>
    <xf numFmtId="190" fontId="28" fillId="0" borderId="0" applyFill="0" applyBorder="0" applyProtection="0">
      <alignment horizontal="right"/>
    </xf>
    <xf numFmtId="191" fontId="20" fillId="0" borderId="0" applyFill="0" applyBorder="0" applyProtection="0">
      <alignment horizontal="right"/>
    </xf>
    <xf numFmtId="192" fontId="20" fillId="0" borderId="0" applyFill="0" applyBorder="0" applyProtection="0">
      <alignment horizontal="right"/>
    </xf>
    <xf numFmtId="195" fontId="20" fillId="0" borderId="0" applyFill="0" applyBorder="0" applyProtection="0">
      <alignment horizontal="right"/>
    </xf>
    <xf numFmtId="194" fontId="20" fillId="0" borderId="0" applyFill="0" applyBorder="0" applyProtection="0">
      <alignment horizontal="right"/>
    </xf>
    <xf numFmtId="3" fontId="4" fillId="0" borderId="0"/>
    <xf numFmtId="180" fontId="5" fillId="0" borderId="1" applyAlignment="0" applyProtection="0"/>
    <xf numFmtId="176" fontId="6" fillId="0" borderId="0" applyFont="0" applyFill="0" applyBorder="0" applyAlignment="0" applyProtection="0"/>
    <xf numFmtId="177" fontId="6" fillId="0" borderId="0" applyFont="0" applyFill="0" applyBorder="0" applyAlignment="0" applyProtection="0"/>
    <xf numFmtId="181" fontId="6" fillId="0" borderId="0" applyFont="0" applyFill="0" applyBorder="0" applyAlignment="0" applyProtection="0"/>
    <xf numFmtId="182" fontId="6" fillId="0" borderId="0" applyFont="0" applyFill="0" applyBorder="0" applyAlignment="0" applyProtection="0"/>
    <xf numFmtId="41" fontId="6" fillId="0" borderId="0" applyFont="0" applyFill="0" applyBorder="0" applyAlignment="0" applyProtection="0"/>
    <xf numFmtId="43" fontId="6" fillId="0" borderId="0" applyFont="0" applyFill="0" applyBorder="0" applyAlignment="0" applyProtection="0"/>
    <xf numFmtId="193" fontId="20" fillId="0" borderId="0" applyFont="0" applyFill="0" applyBorder="0" applyAlignment="0" applyProtection="0"/>
    <xf numFmtId="0" fontId="7" fillId="0" borderId="0" applyNumberFormat="0" applyFill="0" applyBorder="0" applyAlignment="0" applyProtection="0">
      <alignment vertical="top"/>
      <protection locked="0"/>
    </xf>
    <xf numFmtId="38" fontId="8" fillId="2" borderId="0" applyNumberFormat="0" applyBorder="0" applyAlignment="0" applyProtection="0"/>
    <xf numFmtId="0" fontId="9" fillId="0" borderId="0" applyNumberFormat="0" applyFill="0" applyBorder="0" applyAlignment="0" applyProtection="0">
      <alignment vertical="top"/>
      <protection locked="0"/>
    </xf>
    <xf numFmtId="10" fontId="8" fillId="3" borderId="2" applyNumberFormat="0" applyBorder="0" applyAlignment="0" applyProtection="0"/>
    <xf numFmtId="184" fontId="10" fillId="0" borderId="0" applyFont="0" applyFill="0" applyBorder="0" applyAlignment="0" applyProtection="0"/>
    <xf numFmtId="185" fontId="10" fillId="0" borderId="0" applyFont="0" applyFill="0" applyBorder="0" applyAlignment="0" applyProtection="0"/>
    <xf numFmtId="0" fontId="11" fillId="0" borderId="0"/>
    <xf numFmtId="183" fontId="10" fillId="0" borderId="0"/>
    <xf numFmtId="0" fontId="12" fillId="0" borderId="0"/>
    <xf numFmtId="10" fontId="6" fillId="0" borderId="0" applyFont="0" applyFill="0" applyBorder="0" applyAlignment="0" applyProtection="0"/>
    <xf numFmtId="3" fontId="13" fillId="0" borderId="0"/>
    <xf numFmtId="9" fontId="10" fillId="0" borderId="0" applyFont="0" applyFill="0" applyBorder="0" applyAlignment="0" applyProtection="0"/>
    <xf numFmtId="0" fontId="10" fillId="0" borderId="0">
      <alignment vertical="center"/>
    </xf>
    <xf numFmtId="0" fontId="22" fillId="0" borderId="0"/>
    <xf numFmtId="0" fontId="10" fillId="0" borderId="0"/>
    <xf numFmtId="0" fontId="10" fillId="0" borderId="0" applyFill="0" applyBorder="0"/>
    <xf numFmtId="0" fontId="14" fillId="0" borderId="0" applyNumberFormat="0" applyFill="0" applyBorder="0" applyAlignment="0" applyProtection="0">
      <alignment vertical="top"/>
      <protection locked="0"/>
    </xf>
    <xf numFmtId="0" fontId="15" fillId="0" borderId="0"/>
    <xf numFmtId="178" fontId="10" fillId="0" borderId="0" applyFont="0" applyFill="0" applyBorder="0" applyAlignment="0" applyProtection="0"/>
    <xf numFmtId="179" fontId="10" fillId="0" borderId="0" applyFont="0" applyFill="0" applyBorder="0" applyAlignment="0" applyProtection="0"/>
    <xf numFmtId="41" fontId="16" fillId="0" borderId="0" applyFont="0" applyFill="0" applyBorder="0" applyAlignment="0" applyProtection="0"/>
    <xf numFmtId="43" fontId="16" fillId="0" borderId="0" applyFont="0" applyFill="0" applyBorder="0" applyAlignment="0" applyProtection="0"/>
    <xf numFmtId="43" fontId="10" fillId="0" borderId="0" applyFont="0" applyFill="0" applyBorder="0" applyAlignment="0" applyProtection="0"/>
    <xf numFmtId="0" fontId="10" fillId="0" borderId="0">
      <protection locked="0"/>
    </xf>
    <xf numFmtId="0" fontId="10" fillId="0" borderId="0">
      <alignment vertical="center"/>
    </xf>
    <xf numFmtId="193" fontId="41" fillId="0" borderId="0">
      <alignment vertical="center"/>
    </xf>
    <xf numFmtId="0" fontId="10" fillId="0" borderId="0">
      <alignment vertical="center"/>
    </xf>
    <xf numFmtId="193" fontId="10" fillId="0" borderId="0"/>
    <xf numFmtId="193" fontId="10" fillId="0" borderId="0">
      <alignment vertical="center"/>
    </xf>
    <xf numFmtId="193" fontId="3" fillId="0" borderId="0">
      <alignment vertical="center"/>
    </xf>
    <xf numFmtId="0" fontId="10" fillId="0" borderId="0">
      <protection locked="0"/>
    </xf>
    <xf numFmtId="43" fontId="10" fillId="0" borderId="0" applyFont="0" applyFill="0" applyBorder="0" applyAlignment="0" applyProtection="0"/>
    <xf numFmtId="0" fontId="10" fillId="0" borderId="0">
      <protection locked="0"/>
    </xf>
    <xf numFmtId="193" fontId="10" fillId="0" borderId="0"/>
    <xf numFmtId="0" fontId="14" fillId="0" borderId="0" applyNumberFormat="0" applyFill="0" applyBorder="0" applyAlignment="0" applyProtection="0">
      <alignment vertical="top"/>
      <protection locked="0"/>
    </xf>
    <xf numFmtId="9" fontId="10" fillId="0" borderId="0" applyFont="0" applyFill="0" applyBorder="0" applyAlignment="0" applyProtection="0"/>
    <xf numFmtId="193" fontId="2" fillId="0" borderId="0">
      <alignment vertical="center"/>
    </xf>
    <xf numFmtId="193" fontId="2" fillId="0" borderId="0">
      <alignment vertical="center"/>
    </xf>
    <xf numFmtId="193" fontId="2" fillId="0" borderId="0">
      <alignment vertical="center"/>
    </xf>
    <xf numFmtId="193" fontId="1" fillId="0" borderId="0">
      <alignment vertical="center"/>
    </xf>
  </cellStyleXfs>
  <cellXfs count="301">
    <xf numFmtId="0" fontId="0" fillId="0" borderId="0" xfId="0">
      <protection locked="0"/>
    </xf>
    <xf numFmtId="0" fontId="10" fillId="0" borderId="0" xfId="32" applyAlignment="1">
      <alignment vertical="center" wrapText="1"/>
    </xf>
    <xf numFmtId="0" fontId="0" fillId="0" borderId="0" xfId="0" applyAlignment="1">
      <alignment vertical="center" wrapText="1"/>
      <protection locked="0"/>
    </xf>
    <xf numFmtId="0" fontId="0" fillId="0" borderId="0" xfId="0" applyAlignment="1">
      <alignment horizontal="center" vertical="center" wrapText="1"/>
      <protection locked="0"/>
    </xf>
    <xf numFmtId="43" fontId="30" fillId="0" borderId="0" xfId="35" applyNumberFormat="1" applyFont="1" applyBorder="1" applyAlignment="1">
      <alignment vertical="center"/>
    </xf>
    <xf numFmtId="43" fontId="32" fillId="0" borderId="0" xfId="35" applyNumberFormat="1" applyFont="1" applyBorder="1" applyAlignment="1">
      <alignment vertical="center"/>
    </xf>
    <xf numFmtId="43" fontId="32" fillId="0" borderId="0" xfId="35" applyNumberFormat="1" applyFont="1" applyBorder="1" applyAlignment="1">
      <alignment horizontal="left" vertical="center"/>
    </xf>
    <xf numFmtId="43" fontId="18" fillId="0" borderId="0" xfId="35" applyNumberFormat="1" applyFont="1" applyBorder="1" applyAlignment="1">
      <alignment horizontal="right" vertical="center"/>
    </xf>
    <xf numFmtId="0" fontId="32" fillId="0" borderId="0" xfId="35" applyFont="1" applyBorder="1" applyAlignment="1">
      <alignment horizontal="center" vertical="center"/>
    </xf>
    <xf numFmtId="43" fontId="29" fillId="0" borderId="0" xfId="35" applyNumberFormat="1" applyFont="1" applyBorder="1" applyAlignment="1">
      <alignment vertical="center"/>
    </xf>
    <xf numFmtId="0" fontId="32" fillId="0" borderId="0" xfId="33" applyFont="1" applyAlignment="1">
      <alignment vertical="center"/>
    </xf>
    <xf numFmtId="0" fontId="32" fillId="0" borderId="0" xfId="33" applyFont="1" applyAlignment="1">
      <alignment horizontal="left" vertical="center"/>
    </xf>
    <xf numFmtId="43" fontId="33" fillId="0" borderId="0" xfId="36" applyNumberFormat="1" applyFont="1" applyBorder="1" applyAlignment="1" applyProtection="1">
      <alignment horizontal="center" vertical="center"/>
    </xf>
    <xf numFmtId="0" fontId="32" fillId="0" borderId="0" xfId="0" applyFont="1" applyAlignment="1">
      <alignment vertical="center" wrapText="1"/>
      <protection locked="0"/>
    </xf>
    <xf numFmtId="43" fontId="32" fillId="0" borderId="3" xfId="42" applyFont="1" applyBorder="1" applyAlignment="1">
      <alignment horizontal="right" vertical="center" wrapText="1"/>
    </xf>
    <xf numFmtId="0" fontId="32" fillId="0" borderId="3" xfId="0" applyFont="1" applyBorder="1" applyAlignment="1">
      <alignment vertical="center" wrapText="1"/>
      <protection locked="0"/>
    </xf>
    <xf numFmtId="0" fontId="32" fillId="0" borderId="3" xfId="0" applyFont="1" applyBorder="1" applyAlignment="1">
      <alignment horizontal="center" vertical="center" wrapText="1"/>
      <protection locked="0"/>
    </xf>
    <xf numFmtId="0" fontId="30" fillId="0" borderId="0" xfId="0" applyFont="1" applyAlignment="1">
      <alignment vertical="center" wrapText="1"/>
      <protection locked="0"/>
    </xf>
    <xf numFmtId="0" fontId="18" fillId="0" borderId="0" xfId="0" applyFont="1" applyAlignment="1">
      <alignment vertical="center"/>
      <protection locked="0"/>
    </xf>
    <xf numFmtId="0" fontId="32" fillId="0" borderId="0" xfId="0" applyFont="1" applyAlignment="1">
      <alignment vertical="center"/>
      <protection locked="0"/>
    </xf>
    <xf numFmtId="0" fontId="32" fillId="0" borderId="5" xfId="0" applyFont="1" applyBorder="1" applyAlignment="1">
      <alignment vertical="center"/>
      <protection locked="0"/>
    </xf>
    <xf numFmtId="0" fontId="30" fillId="0" borderId="0" xfId="0" applyFont="1" applyAlignment="1">
      <alignment vertical="center"/>
      <protection locked="0"/>
    </xf>
    <xf numFmtId="0" fontId="32" fillId="0" borderId="3" xfId="0" applyFont="1" applyBorder="1" applyAlignment="1">
      <alignment horizontal="justify" vertical="center" wrapText="1"/>
      <protection locked="0"/>
    </xf>
    <xf numFmtId="43" fontId="32" fillId="0" borderId="3" xfId="42" applyFont="1" applyBorder="1" applyAlignment="1">
      <alignment vertical="center" wrapText="1"/>
    </xf>
    <xf numFmtId="0" fontId="32" fillId="0" borderId="3" xfId="0" applyFont="1" applyBorder="1" applyAlignment="1">
      <alignment horizontal="right" vertical="center" wrapText="1"/>
      <protection locked="0"/>
    </xf>
    <xf numFmtId="43" fontId="29" fillId="0" borderId="0" xfId="42" applyFont="1" applyAlignment="1">
      <alignment vertical="center" wrapText="1"/>
    </xf>
    <xf numFmtId="0" fontId="18" fillId="0" borderId="0" xfId="0" applyFont="1" applyAlignment="1">
      <alignment horizontal="right" vertical="center"/>
      <protection locked="0"/>
    </xf>
    <xf numFmtId="0" fontId="31" fillId="0" borderId="0" xfId="0" applyFont="1" applyAlignment="1">
      <alignment vertical="center"/>
      <protection locked="0"/>
    </xf>
    <xf numFmtId="0" fontId="32" fillId="0" borderId="0" xfId="0" applyFont="1" applyAlignment="1">
      <alignment horizontal="left" vertical="center"/>
      <protection locked="0"/>
    </xf>
    <xf numFmtId="0" fontId="29" fillId="0" borderId="0" xfId="34" applyFont="1" applyAlignment="1">
      <alignment horizontal="left" vertical="center"/>
    </xf>
    <xf numFmtId="0" fontId="32" fillId="0" borderId="0" xfId="34" applyFont="1" applyAlignment="1" applyProtection="1">
      <alignment vertical="center"/>
      <protection locked="0"/>
    </xf>
    <xf numFmtId="0" fontId="36" fillId="0" borderId="0" xfId="34" applyFont="1" applyAlignment="1" applyProtection="1">
      <alignment horizontal="center" vertical="center"/>
      <protection hidden="1"/>
    </xf>
    <xf numFmtId="0" fontId="32" fillId="0" borderId="0" xfId="34" applyFont="1" applyAlignment="1" applyProtection="1">
      <alignment horizontal="left" vertical="center"/>
      <protection hidden="1"/>
    </xf>
    <xf numFmtId="0" fontId="36" fillId="0" borderId="0" xfId="34" applyFont="1" applyAlignment="1" applyProtection="1">
      <alignment horizontal="left" vertical="center"/>
      <protection locked="0"/>
    </xf>
    <xf numFmtId="0" fontId="32" fillId="0" borderId="3" xfId="0" applyFont="1" applyBorder="1" applyAlignment="1">
      <alignment horizontal="left" vertical="center"/>
      <protection locked="0"/>
    </xf>
    <xf numFmtId="43" fontId="32" fillId="0" borderId="3" xfId="0" applyNumberFormat="1" applyFont="1" applyBorder="1" applyAlignment="1">
      <alignment horizontal="left" vertical="center"/>
      <protection locked="0"/>
    </xf>
    <xf numFmtId="0" fontId="32" fillId="0" borderId="3" xfId="0" applyFont="1" applyBorder="1" applyAlignment="1">
      <alignment horizontal="center" vertical="center"/>
      <protection locked="0"/>
    </xf>
    <xf numFmtId="0" fontId="32" fillId="0" borderId="0" xfId="0" applyFont="1" applyAlignment="1">
      <alignment horizontal="center" vertical="center"/>
      <protection locked="0"/>
    </xf>
    <xf numFmtId="0" fontId="29" fillId="0" borderId="0" xfId="0" applyFont="1" applyAlignment="1">
      <alignment vertical="center"/>
      <protection locked="0"/>
    </xf>
    <xf numFmtId="0" fontId="25" fillId="0" borderId="0" xfId="0" applyFont="1" applyAlignment="1">
      <alignment vertical="center"/>
      <protection locked="0"/>
    </xf>
    <xf numFmtId="0" fontId="36" fillId="0" borderId="0" xfId="0" applyFont="1" applyAlignment="1">
      <alignment vertical="center"/>
      <protection locked="0"/>
    </xf>
    <xf numFmtId="0" fontId="36" fillId="0" borderId="0" xfId="0" applyFont="1">
      <protection locked="0"/>
    </xf>
    <xf numFmtId="0" fontId="36" fillId="0" borderId="0" xfId="0" applyFont="1" applyAlignment="1">
      <alignment horizontal="right"/>
      <protection locked="0"/>
    </xf>
    <xf numFmtId="0" fontId="18" fillId="0" borderId="0" xfId="0" applyFont="1" applyAlignment="1">
      <alignment vertical="center" wrapText="1"/>
      <protection locked="0"/>
    </xf>
    <xf numFmtId="0" fontId="18" fillId="0" borderId="0" xfId="0" applyFont="1" applyAlignment="1">
      <alignment horizontal="center" vertical="center" wrapText="1"/>
      <protection locked="0"/>
    </xf>
    <xf numFmtId="0" fontId="25" fillId="0" borderId="0" xfId="0" applyFont="1" applyAlignment="1">
      <alignment vertical="center" wrapText="1"/>
      <protection locked="0"/>
    </xf>
    <xf numFmtId="0" fontId="23" fillId="0" borderId="0" xfId="0" applyFont="1" applyAlignment="1">
      <alignment vertical="center"/>
      <protection locked="0"/>
    </xf>
    <xf numFmtId="0" fontId="21" fillId="0" borderId="0" xfId="0" applyFont="1" applyAlignment="1">
      <alignment horizontal="center" vertical="center" wrapText="1"/>
      <protection locked="0"/>
    </xf>
    <xf numFmtId="0" fontId="37" fillId="0" borderId="0" xfId="0" applyFont="1" applyAlignment="1">
      <alignment horizontal="center" vertical="center" wrapText="1"/>
      <protection locked="0"/>
    </xf>
    <xf numFmtId="0" fontId="18" fillId="0" borderId="0" xfId="0" applyFont="1" applyAlignment="1">
      <alignment horizontal="left" vertical="center" wrapText="1"/>
      <protection locked="0"/>
    </xf>
    <xf numFmtId="0" fontId="38" fillId="0" borderId="0" xfId="43" applyFont="1" applyAlignment="1" applyProtection="1">
      <alignment vertical="center"/>
    </xf>
    <xf numFmtId="0" fontId="40" fillId="0" borderId="0" xfId="43" applyFont="1" applyAlignment="1" applyProtection="1">
      <alignment horizontal="center"/>
    </xf>
    <xf numFmtId="0" fontId="32" fillId="0" borderId="0" xfId="43" applyFont="1" applyAlignment="1">
      <alignment vertical="center"/>
      <protection locked="0"/>
    </xf>
    <xf numFmtId="0" fontId="32" fillId="0" borderId="0" xfId="43" applyFont="1" applyAlignment="1">
      <alignment vertical="center" wrapText="1"/>
      <protection locked="0"/>
    </xf>
    <xf numFmtId="0" fontId="32" fillId="0" borderId="0" xfId="43" applyFont="1" applyAlignment="1">
      <alignment horizontal="right" vertical="center"/>
      <protection locked="0"/>
    </xf>
    <xf numFmtId="0" fontId="32" fillId="0" borderId="0" xfId="43" applyFont="1" applyAlignment="1">
      <alignment horizontal="justify" vertical="center" wrapText="1"/>
      <protection locked="0"/>
    </xf>
    <xf numFmtId="0" fontId="18" fillId="0" borderId="0" xfId="43" applyFont="1" applyAlignment="1" applyProtection="1">
      <alignment vertical="center"/>
    </xf>
    <xf numFmtId="0" fontId="29" fillId="0" borderId="0" xfId="43" applyFont="1" applyAlignment="1" applyProtection="1">
      <alignment horizontal="left" vertical="center"/>
    </xf>
    <xf numFmtId="0" fontId="32" fillId="0" borderId="0" xfId="44" applyFont="1">
      <alignment vertical="center"/>
    </xf>
    <xf numFmtId="0" fontId="21" fillId="5" borderId="3" xfId="0" applyFont="1" applyFill="1" applyBorder="1" applyAlignment="1">
      <alignment horizontal="center" vertical="center" wrapText="1"/>
      <protection locked="0"/>
    </xf>
    <xf numFmtId="43" fontId="21" fillId="5" borderId="3" xfId="42" applyFont="1" applyFill="1" applyBorder="1" applyAlignment="1">
      <alignment horizontal="center" vertical="center" wrapText="1"/>
    </xf>
    <xf numFmtId="0" fontId="21" fillId="0" borderId="5" xfId="0" applyFont="1" applyBorder="1" applyAlignment="1">
      <alignment vertical="center"/>
      <protection locked="0"/>
    </xf>
    <xf numFmtId="0" fontId="21" fillId="0" borderId="0" xfId="0" applyFont="1" applyAlignment="1">
      <alignment vertical="center"/>
      <protection locked="0"/>
    </xf>
    <xf numFmtId="0" fontId="32" fillId="0" borderId="0" xfId="34" applyFont="1" applyAlignment="1">
      <alignment vertical="center"/>
    </xf>
    <xf numFmtId="0" fontId="30" fillId="0" borderId="0" xfId="32" applyFont="1" applyAlignment="1">
      <alignment vertical="center" wrapText="1"/>
    </xf>
    <xf numFmtId="0" fontId="45" fillId="0" borderId="0" xfId="0" applyFont="1" applyAlignment="1">
      <alignment vertical="center" wrapText="1"/>
      <protection locked="0"/>
    </xf>
    <xf numFmtId="193" fontId="21" fillId="5" borderId="3" xfId="45" applyFont="1" applyFill="1" applyBorder="1" applyAlignment="1" applyProtection="1">
      <alignment horizontal="center" vertical="center"/>
      <protection locked="0"/>
    </xf>
    <xf numFmtId="43" fontId="46" fillId="6" borderId="3" xfId="0" applyNumberFormat="1" applyFont="1" applyFill="1" applyBorder="1" applyAlignment="1">
      <alignment horizontal="right" vertical="center"/>
      <protection locked="0"/>
    </xf>
    <xf numFmtId="193" fontId="21" fillId="5" borderId="3" xfId="45" applyFont="1" applyFill="1" applyBorder="1" applyAlignment="1" applyProtection="1">
      <alignment horizontal="center" vertical="center" wrapText="1"/>
      <protection locked="0"/>
    </xf>
    <xf numFmtId="193" fontId="21" fillId="5" borderId="3" xfId="47" applyFont="1" applyFill="1" applyBorder="1" applyAlignment="1" applyProtection="1">
      <alignment horizontal="center" vertical="center"/>
      <protection locked="0"/>
    </xf>
    <xf numFmtId="193" fontId="39" fillId="5" borderId="3" xfId="47" applyFont="1" applyFill="1" applyBorder="1" applyAlignment="1" applyProtection="1">
      <alignment horizontal="center" vertical="center" wrapText="1"/>
      <protection locked="0"/>
    </xf>
    <xf numFmtId="193" fontId="32" fillId="0" borderId="3" xfId="45" applyFont="1" applyBorder="1" applyAlignment="1" applyProtection="1">
      <alignment horizontal="left" vertical="center" wrapText="1"/>
      <protection locked="0"/>
    </xf>
    <xf numFmtId="43" fontId="29" fillId="0" borderId="0" xfId="35" applyNumberFormat="1" applyFont="1" applyBorder="1" applyAlignment="1">
      <alignment horizontal="left" vertical="center"/>
    </xf>
    <xf numFmtId="0" fontId="18" fillId="0" borderId="0" xfId="33" applyFont="1" applyAlignment="1">
      <alignment vertical="center"/>
    </xf>
    <xf numFmtId="0" fontId="18" fillId="0" borderId="0" xfId="33" applyFont="1" applyAlignment="1">
      <alignment horizontal="left" vertical="center"/>
    </xf>
    <xf numFmtId="0" fontId="21" fillId="0" borderId="0" xfId="33" applyFont="1" applyAlignment="1">
      <alignment vertical="center"/>
    </xf>
    <xf numFmtId="0" fontId="23" fillId="0" borderId="0" xfId="33" applyFont="1" applyAlignment="1">
      <alignment vertical="center"/>
    </xf>
    <xf numFmtId="0" fontId="18" fillId="0" borderId="0" xfId="46" applyFont="1" applyAlignment="1">
      <alignment horizontal="left" vertical="center"/>
    </xf>
    <xf numFmtId="0" fontId="38" fillId="0" borderId="2" xfId="0" applyFont="1" applyBorder="1" applyAlignment="1" applyProtection="1">
      <alignment horizontal="center" vertical="center"/>
    </xf>
    <xf numFmtId="0" fontId="46" fillId="0" borderId="2" xfId="0" applyFont="1" applyBorder="1" applyAlignment="1" applyProtection="1">
      <alignment vertical="center"/>
    </xf>
    <xf numFmtId="0" fontId="38" fillId="0" borderId="2" xfId="0" applyFont="1" applyBorder="1" applyAlignment="1" applyProtection="1">
      <alignment vertical="center"/>
    </xf>
    <xf numFmtId="193" fontId="29" fillId="0" borderId="3" xfId="45" applyFont="1" applyBorder="1" applyAlignment="1" applyProtection="1">
      <alignment horizontal="left" vertical="center" wrapText="1"/>
      <protection locked="0"/>
    </xf>
    <xf numFmtId="14" fontId="32" fillId="0" borderId="0" xfId="35" applyNumberFormat="1" applyFont="1" applyBorder="1" applyAlignment="1">
      <alignment vertical="center"/>
    </xf>
    <xf numFmtId="14" fontId="32" fillId="0" borderId="0" xfId="0" applyNumberFormat="1" applyFont="1" applyAlignment="1">
      <alignment vertical="center"/>
      <protection locked="0"/>
    </xf>
    <xf numFmtId="0" fontId="47" fillId="0" borderId="3" xfId="0" applyFont="1" applyBorder="1" applyAlignment="1">
      <alignment horizontal="left" vertical="center" wrapText="1"/>
      <protection locked="0"/>
    </xf>
    <xf numFmtId="14" fontId="30" fillId="0" borderId="0" xfId="0" applyNumberFormat="1" applyFont="1" applyAlignment="1">
      <alignment vertical="center"/>
      <protection locked="0"/>
    </xf>
    <xf numFmtId="14" fontId="32" fillId="0" borderId="0" xfId="0" applyNumberFormat="1" applyFont="1" applyAlignment="1">
      <alignment horizontal="left" vertical="center"/>
      <protection locked="0"/>
    </xf>
    <xf numFmtId="14" fontId="32" fillId="0" borderId="3" xfId="0" applyNumberFormat="1" applyFont="1" applyBorder="1" applyAlignment="1">
      <alignment horizontal="left" vertical="center"/>
      <protection locked="0"/>
    </xf>
    <xf numFmtId="0" fontId="32" fillId="4" borderId="0" xfId="0" applyFont="1" applyFill="1" applyAlignment="1">
      <alignment horizontal="justify" vertical="center" wrapText="1"/>
      <protection locked="0"/>
    </xf>
    <xf numFmtId="0" fontId="50" fillId="0" borderId="0" xfId="0" applyFont="1" applyAlignment="1">
      <alignment horizontal="justify" wrapText="1"/>
      <protection locked="0"/>
    </xf>
    <xf numFmtId="0" fontId="30" fillId="0" borderId="0" xfId="0" applyFont="1" applyAlignment="1">
      <alignment horizontal="center" vertical="center"/>
      <protection locked="0"/>
    </xf>
    <xf numFmtId="0" fontId="30" fillId="0" borderId="0" xfId="0" applyFont="1">
      <protection locked="0"/>
    </xf>
    <xf numFmtId="0" fontId="50" fillId="0" borderId="0" xfId="0" applyFont="1" applyAlignment="1">
      <alignment horizontal="justify" vertical="top" wrapText="1"/>
      <protection locked="0"/>
    </xf>
    <xf numFmtId="0" fontId="31" fillId="0" borderId="0" xfId="0" applyFont="1" applyAlignment="1">
      <alignment horizontal="justify"/>
      <protection locked="0"/>
    </xf>
    <xf numFmtId="0" fontId="31" fillId="0" borderId="0" xfId="32" applyFont="1">
      <alignment vertical="center"/>
    </xf>
    <xf numFmtId="0" fontId="30" fillId="0" borderId="0" xfId="32" applyFont="1">
      <alignment vertical="center"/>
    </xf>
    <xf numFmtId="0" fontId="51" fillId="0" borderId="0" xfId="0" applyFont="1" applyAlignment="1">
      <alignment vertical="center"/>
      <protection locked="0"/>
    </xf>
    <xf numFmtId="0" fontId="52" fillId="0" borderId="0" xfId="0" applyFont="1" applyAlignment="1">
      <alignment horizontal="left"/>
      <protection locked="0"/>
    </xf>
    <xf numFmtId="193" fontId="53" fillId="0" borderId="0" xfId="49" applyFont="1">
      <alignment vertical="center"/>
    </xf>
    <xf numFmtId="193" fontId="54" fillId="0" borderId="0" xfId="49" applyFont="1">
      <alignment vertical="center"/>
    </xf>
    <xf numFmtId="193" fontId="32" fillId="0" borderId="0" xfId="49" applyFont="1" applyProtection="1">
      <alignment vertical="center"/>
      <protection locked="0"/>
    </xf>
    <xf numFmtId="0" fontId="32" fillId="0" borderId="0" xfId="50" applyFont="1" applyAlignment="1">
      <alignment horizontal="left" vertical="center"/>
      <protection locked="0"/>
    </xf>
    <xf numFmtId="193" fontId="32" fillId="0" borderId="0" xfId="49" applyFont="1" applyAlignment="1" applyProtection="1">
      <alignment horizontal="center" vertical="center"/>
      <protection locked="0"/>
    </xf>
    <xf numFmtId="49" fontId="29" fillId="0" borderId="0" xfId="49" applyNumberFormat="1" applyFont="1" applyAlignment="1" applyProtection="1">
      <alignment horizontal="left" vertical="center"/>
      <protection locked="0"/>
    </xf>
    <xf numFmtId="193" fontId="29" fillId="0" borderId="0" xfId="49" applyFont="1" applyAlignment="1" applyProtection="1">
      <alignment horizontal="justify" vertical="center"/>
      <protection locked="0"/>
    </xf>
    <xf numFmtId="193" fontId="57" fillId="0" borderId="0" xfId="49" applyFont="1" applyAlignment="1" applyProtection="1">
      <alignment horizontal="center" vertical="center"/>
      <protection locked="0"/>
    </xf>
    <xf numFmtId="193" fontId="54" fillId="0" borderId="0" xfId="49" applyFont="1" applyAlignment="1">
      <alignment horizontal="center" vertical="center"/>
    </xf>
    <xf numFmtId="193" fontId="59" fillId="7" borderId="0" xfId="49" applyFont="1" applyFill="1" applyAlignment="1" applyProtection="1">
      <alignment horizontal="center" vertical="center"/>
      <protection locked="0"/>
    </xf>
    <xf numFmtId="193" fontId="32" fillId="7" borderId="0" xfId="49" applyFont="1" applyFill="1" applyAlignment="1" applyProtection="1">
      <alignment horizontal="left" vertical="center"/>
      <protection locked="0"/>
    </xf>
    <xf numFmtId="193" fontId="62" fillId="7" borderId="0" xfId="49" applyFont="1" applyFill="1" applyAlignment="1">
      <alignment horizontal="left" vertical="center"/>
    </xf>
    <xf numFmtId="193" fontId="32" fillId="7" borderId="0" xfId="49" applyFont="1" applyFill="1" applyAlignment="1">
      <alignment horizontal="left" vertical="center"/>
    </xf>
    <xf numFmtId="0" fontId="66" fillId="0" borderId="2" xfId="0" applyFont="1" applyBorder="1" applyAlignment="1" applyProtection="1">
      <alignment horizontal="center" vertical="center"/>
    </xf>
    <xf numFmtId="43" fontId="21" fillId="0" borderId="0" xfId="35" applyNumberFormat="1" applyFont="1" applyFill="1" applyBorder="1" applyAlignment="1">
      <alignment vertical="center"/>
    </xf>
    <xf numFmtId="43" fontId="29" fillId="0" borderId="0" xfId="35" applyNumberFormat="1" applyFont="1" applyFill="1" applyBorder="1" applyAlignment="1">
      <alignment vertical="center"/>
    </xf>
    <xf numFmtId="0" fontId="32" fillId="0" borderId="5" xfId="33" applyFont="1" applyBorder="1" applyAlignment="1">
      <alignment vertical="center"/>
    </xf>
    <xf numFmtId="43" fontId="32" fillId="0" borderId="5" xfId="35" applyNumberFormat="1" applyFont="1" applyBorder="1" applyAlignment="1">
      <alignment vertical="center"/>
    </xf>
    <xf numFmtId="43" fontId="29" fillId="8" borderId="0" xfId="35" applyNumberFormat="1" applyFont="1" applyFill="1" applyBorder="1" applyAlignment="1">
      <alignment vertical="center"/>
    </xf>
    <xf numFmtId="0" fontId="39" fillId="5" borderId="3" xfId="52" applyFont="1" applyFill="1" applyBorder="1" applyAlignment="1" applyProtection="1">
      <alignment vertical="center"/>
    </xf>
    <xf numFmtId="193" fontId="21" fillId="5" borderId="3" xfId="53" applyFont="1" applyFill="1" applyBorder="1" applyAlignment="1" applyProtection="1">
      <alignment horizontal="center" vertical="center" wrapText="1"/>
      <protection locked="0"/>
    </xf>
    <xf numFmtId="0" fontId="70" fillId="0" borderId="3" xfId="52" applyFont="1" applyBorder="1" applyAlignment="1" applyProtection="1">
      <alignment vertical="center"/>
    </xf>
    <xf numFmtId="0" fontId="18" fillId="0" borderId="3" xfId="52" applyFont="1" applyBorder="1" applyAlignment="1" applyProtection="1">
      <alignment vertical="center"/>
    </xf>
    <xf numFmtId="0" fontId="64" fillId="0" borderId="3" xfId="52" applyFont="1" applyBorder="1" applyAlignment="1" applyProtection="1">
      <alignment horizontal="left" vertical="center" indent="1"/>
    </xf>
    <xf numFmtId="0" fontId="38" fillId="0" borderId="3" xfId="52" applyFont="1" applyBorder="1" applyAlignment="1" applyProtection="1">
      <alignment horizontal="center" vertical="center"/>
    </xf>
    <xf numFmtId="43" fontId="29" fillId="0" borderId="5" xfId="35" applyNumberFormat="1" applyFont="1" applyBorder="1" applyAlignment="1">
      <alignment horizontal="left" vertical="center"/>
    </xf>
    <xf numFmtId="43" fontId="32" fillId="0" borderId="5" xfId="35" applyNumberFormat="1" applyFont="1" applyBorder="1" applyAlignment="1">
      <alignment horizontal="left" vertical="center"/>
    </xf>
    <xf numFmtId="43" fontId="71" fillId="0" borderId="5" xfId="54" applyNumberFormat="1" applyFont="1" applyBorder="1" applyAlignment="1" applyProtection="1">
      <alignment horizontal="center" vertical="center"/>
    </xf>
    <xf numFmtId="0" fontId="29" fillId="0" borderId="0" xfId="33" applyFont="1" applyAlignment="1">
      <alignment vertical="center"/>
    </xf>
    <xf numFmtId="9" fontId="34" fillId="0" borderId="0" xfId="55" applyFont="1" applyBorder="1" applyAlignment="1">
      <alignment horizontal="left" vertical="center"/>
    </xf>
    <xf numFmtId="10" fontId="34" fillId="0" borderId="0" xfId="55" applyNumberFormat="1" applyFont="1" applyBorder="1" applyAlignment="1">
      <alignment horizontal="left" vertical="center"/>
    </xf>
    <xf numFmtId="0" fontId="10" fillId="0" borderId="0" xfId="52">
      <protection locked="0"/>
    </xf>
    <xf numFmtId="0" fontId="73" fillId="0" borderId="0" xfId="0" applyFont="1" applyAlignment="1">
      <alignment horizontal="justify" vertical="center"/>
      <protection locked="0"/>
    </xf>
    <xf numFmtId="0" fontId="73" fillId="0" borderId="0" xfId="0" applyFont="1" applyAlignment="1">
      <alignment vertical="center"/>
      <protection locked="0"/>
    </xf>
    <xf numFmtId="0" fontId="73" fillId="0" borderId="0" xfId="0" applyFont="1">
      <protection locked="0"/>
    </xf>
    <xf numFmtId="0" fontId="74" fillId="0" borderId="10" xfId="0" applyFont="1" applyBorder="1" applyAlignment="1">
      <alignment horizontal="justify" vertical="center" wrapText="1"/>
      <protection locked="0"/>
    </xf>
    <xf numFmtId="0" fontId="74" fillId="0" borderId="10" xfId="0" applyFont="1" applyBorder="1" applyAlignment="1">
      <alignment horizontal="right" vertical="center" wrapText="1"/>
      <protection locked="0"/>
    </xf>
    <xf numFmtId="0" fontId="75" fillId="0" borderId="10" xfId="0" applyFont="1" applyBorder="1" applyAlignment="1">
      <alignment horizontal="right" vertical="center" wrapText="1"/>
      <protection locked="0"/>
    </xf>
    <xf numFmtId="0" fontId="48" fillId="0" borderId="0" xfId="0" applyFont="1">
      <protection locked="0"/>
    </xf>
    <xf numFmtId="0" fontId="48" fillId="0" borderId="0" xfId="0" applyFont="1" applyAlignment="1">
      <alignment horizontal="justify" vertical="center" wrapText="1"/>
      <protection locked="0"/>
    </xf>
    <xf numFmtId="0" fontId="48" fillId="0" borderId="11" xfId="0" applyFont="1" applyBorder="1" applyAlignment="1">
      <alignment horizontal="justify" vertical="center" wrapText="1"/>
      <protection locked="0"/>
    </xf>
    <xf numFmtId="0" fontId="75" fillId="0" borderId="11" xfId="0" applyFont="1" applyBorder="1" applyAlignment="1">
      <alignment horizontal="justify" vertical="center" wrapText="1"/>
      <protection locked="0"/>
    </xf>
    <xf numFmtId="0" fontId="48" fillId="0" borderId="0" xfId="0" applyFont="1" applyAlignment="1">
      <alignment horizontal="justify" vertical="center"/>
      <protection locked="0"/>
    </xf>
    <xf numFmtId="0" fontId="76" fillId="0" borderId="0" xfId="0" applyFont="1" applyAlignment="1">
      <alignment horizontal="left" vertical="center"/>
      <protection locked="0"/>
    </xf>
    <xf numFmtId="193" fontId="32" fillId="0" borderId="0" xfId="49" applyFont="1" applyAlignment="1" applyProtection="1">
      <alignment horizontal="center" vertical="center" wrapText="1"/>
      <protection locked="0"/>
    </xf>
    <xf numFmtId="193" fontId="53" fillId="0" borderId="3" xfId="57" applyFont="1" applyBorder="1" applyAlignment="1">
      <alignment horizontal="center" vertical="center" wrapText="1"/>
    </xf>
    <xf numFmtId="193" fontId="53" fillId="0" borderId="3" xfId="56" applyFont="1" applyBorder="1" applyAlignment="1">
      <alignment horizontal="center" vertical="center" wrapText="1"/>
    </xf>
    <xf numFmtId="43" fontId="48" fillId="9" borderId="3" xfId="42" applyFont="1" applyFill="1" applyBorder="1" applyAlignment="1">
      <alignment horizontal="left" vertical="center" wrapText="1"/>
    </xf>
    <xf numFmtId="43" fontId="32" fillId="9" borderId="3" xfId="42" applyFont="1" applyFill="1" applyBorder="1" applyAlignment="1">
      <alignment horizontal="right" vertical="center" wrapText="1"/>
    </xf>
    <xf numFmtId="10" fontId="32" fillId="9" borderId="3" xfId="31" applyNumberFormat="1" applyFont="1" applyFill="1" applyBorder="1" applyAlignment="1">
      <alignment horizontal="right" vertical="center" wrapText="1"/>
    </xf>
    <xf numFmtId="43" fontId="48" fillId="9" borderId="3" xfId="42" applyFont="1" applyFill="1" applyBorder="1" applyAlignment="1">
      <alignment horizontal="right" vertical="center" wrapText="1"/>
    </xf>
    <xf numFmtId="43" fontId="21" fillId="9" borderId="3" xfId="42" applyFont="1" applyFill="1" applyBorder="1" applyAlignment="1">
      <alignment horizontal="center" vertical="center" wrapText="1"/>
    </xf>
    <xf numFmtId="43" fontId="29" fillId="9" borderId="3" xfId="42" applyFont="1" applyFill="1" applyBorder="1" applyAlignment="1">
      <alignment horizontal="right" vertical="center" wrapText="1"/>
    </xf>
    <xf numFmtId="10" fontId="29" fillId="9" borderId="3" xfId="31" applyNumberFormat="1" applyFont="1" applyFill="1" applyBorder="1" applyAlignment="1">
      <alignment horizontal="right" vertical="center" wrapText="1"/>
    </xf>
    <xf numFmtId="43" fontId="46" fillId="9" borderId="3" xfId="51" applyFont="1" applyFill="1" applyBorder="1" applyAlignment="1">
      <alignment horizontal="right" vertical="center"/>
    </xf>
    <xf numFmtId="43" fontId="46" fillId="9" borderId="3" xfId="42" applyFont="1" applyFill="1" applyBorder="1" applyAlignment="1">
      <alignment horizontal="right" vertical="center"/>
    </xf>
    <xf numFmtId="43" fontId="44" fillId="9" borderId="3" xfId="45" applyNumberFormat="1" applyFont="1" applyFill="1" applyBorder="1" applyAlignment="1">
      <alignment horizontal="right" vertical="center" shrinkToFit="1"/>
    </xf>
    <xf numFmtId="0" fontId="39" fillId="5" borderId="3" xfId="52" applyFont="1" applyFill="1" applyBorder="1" applyAlignment="1" applyProtection="1">
      <alignment vertical="center" wrapText="1"/>
    </xf>
    <xf numFmtId="43" fontId="42" fillId="9" borderId="3" xfId="45" applyNumberFormat="1" applyFont="1" applyFill="1" applyBorder="1" applyAlignment="1">
      <alignment horizontal="right" vertical="center" shrinkToFit="1"/>
    </xf>
    <xf numFmtId="43" fontId="46" fillId="0" borderId="0" xfId="42" applyFont="1" applyFill="1" applyBorder="1" applyAlignment="1">
      <alignment horizontal="center" vertical="center"/>
    </xf>
    <xf numFmtId="0" fontId="48" fillId="0" borderId="0" xfId="0" applyFont="1" applyAlignment="1">
      <alignment vertical="center"/>
      <protection locked="0"/>
    </xf>
    <xf numFmtId="0" fontId="32" fillId="0" borderId="0" xfId="43" applyFont="1" applyAlignment="1" applyProtection="1">
      <alignment horizontal="left" vertical="center"/>
    </xf>
    <xf numFmtId="43" fontId="48" fillId="0" borderId="0" xfId="35" applyNumberFormat="1" applyFont="1" applyBorder="1" applyAlignment="1">
      <alignment horizontal="left" vertical="center"/>
    </xf>
    <xf numFmtId="193" fontId="79" fillId="7" borderId="0" xfId="56" applyFont="1" applyFill="1" applyAlignment="1" applyProtection="1">
      <alignment horizontal="left" vertical="center" wrapText="1"/>
      <protection locked="0"/>
    </xf>
    <xf numFmtId="193" fontId="80" fillId="0" borderId="0" xfId="56" applyFont="1" applyAlignment="1" applyProtection="1">
      <alignment horizontal="left" vertical="center"/>
      <protection locked="0"/>
    </xf>
    <xf numFmtId="43" fontId="48" fillId="0" borderId="0" xfId="35" applyNumberFormat="1" applyFont="1" applyBorder="1" applyAlignment="1">
      <alignment vertical="center"/>
    </xf>
    <xf numFmtId="0" fontId="32" fillId="0" borderId="0" xfId="0" applyFont="1" applyAlignment="1">
      <alignment horizontal="right" vertical="center" wrapText="1"/>
      <protection locked="0"/>
    </xf>
    <xf numFmtId="0" fontId="32" fillId="0" borderId="11" xfId="0" applyFont="1" applyBorder="1" applyAlignment="1">
      <alignment horizontal="right" vertical="center" wrapText="1"/>
      <protection locked="0"/>
    </xf>
    <xf numFmtId="0" fontId="29" fillId="0" borderId="11" xfId="0" applyFont="1" applyBorder="1" applyAlignment="1">
      <alignment horizontal="right" vertical="center" wrapText="1"/>
      <protection locked="0"/>
    </xf>
    <xf numFmtId="0" fontId="18" fillId="0" borderId="0" xfId="0" applyFont="1" applyAlignment="1">
      <alignment horizontal="left" vertical="center"/>
      <protection locked="0"/>
    </xf>
    <xf numFmtId="0" fontId="48" fillId="0" borderId="3" xfId="0" applyFont="1" applyBorder="1" applyAlignment="1">
      <alignment horizontal="justify" vertical="center" wrapText="1"/>
      <protection locked="0"/>
    </xf>
    <xf numFmtId="0" fontId="48" fillId="0" borderId="3" xfId="0" applyFont="1" applyBorder="1" applyAlignment="1">
      <alignment horizontal="center" vertical="center" wrapText="1"/>
      <protection locked="0"/>
    </xf>
    <xf numFmtId="0" fontId="81" fillId="0" borderId="0" xfId="0" applyFont="1" applyAlignment="1">
      <alignment vertical="top"/>
      <protection locked="0"/>
    </xf>
    <xf numFmtId="193" fontId="83" fillId="0" borderId="0" xfId="49" applyFont="1" applyProtection="1">
      <alignment vertical="center"/>
      <protection locked="0"/>
    </xf>
    <xf numFmtId="49" fontId="29" fillId="0" borderId="0" xfId="56" applyNumberFormat="1" applyFont="1" applyAlignment="1" applyProtection="1">
      <alignment horizontal="left" vertical="center"/>
      <protection locked="0"/>
    </xf>
    <xf numFmtId="193" fontId="29" fillId="5" borderId="3" xfId="56" applyFont="1" applyFill="1" applyBorder="1" applyAlignment="1" applyProtection="1">
      <alignment horizontal="center" vertical="center" wrapText="1"/>
      <protection locked="0"/>
    </xf>
    <xf numFmtId="193" fontId="53" fillId="0" borderId="3" xfId="49" applyFont="1" applyBorder="1" applyAlignment="1">
      <alignment horizontal="center" vertical="center" wrapText="1"/>
    </xf>
    <xf numFmtId="193" fontId="60" fillId="0" borderId="3" xfId="56" applyFont="1" applyBorder="1" applyAlignment="1">
      <alignment horizontal="center" vertical="center" wrapText="1"/>
    </xf>
    <xf numFmtId="0" fontId="53" fillId="0" borderId="3" xfId="57" applyNumberFormat="1" applyFont="1" applyBorder="1" applyAlignment="1">
      <alignment horizontal="center" vertical="center" wrapText="1"/>
    </xf>
    <xf numFmtId="0" fontId="53" fillId="0" borderId="3" xfId="49" applyNumberFormat="1" applyFont="1" applyBorder="1" applyAlignment="1">
      <alignment horizontal="center" vertical="center" wrapText="1"/>
    </xf>
    <xf numFmtId="0" fontId="58" fillId="0" borderId="0" xfId="0" applyFont="1" applyAlignment="1">
      <alignment horizontal="left" vertical="center"/>
      <protection locked="0"/>
    </xf>
    <xf numFmtId="193" fontId="69" fillId="7" borderId="0" xfId="56" applyFont="1" applyFill="1" applyAlignment="1" applyProtection="1">
      <alignment horizontal="left" vertical="center" wrapText="1"/>
      <protection locked="0"/>
    </xf>
    <xf numFmtId="193" fontId="61" fillId="0" borderId="3" xfId="56" applyFont="1" applyBorder="1" applyAlignment="1">
      <alignment horizontal="center" vertical="center" wrapText="1"/>
    </xf>
    <xf numFmtId="193" fontId="63" fillId="0" borderId="3" xfId="56" applyFont="1" applyBorder="1" applyAlignment="1">
      <alignment horizontal="center" vertical="center" wrapText="1"/>
    </xf>
    <xf numFmtId="193" fontId="63" fillId="0" borderId="3" xfId="56" applyFont="1" applyFill="1" applyBorder="1" applyAlignment="1">
      <alignment horizontal="center" vertical="center" wrapText="1"/>
    </xf>
    <xf numFmtId="193" fontId="61" fillId="0" borderId="3" xfId="56" applyFont="1" applyFill="1" applyBorder="1" applyAlignment="1">
      <alignment horizontal="center" vertical="center" wrapText="1"/>
    </xf>
    <xf numFmtId="43" fontId="84" fillId="0" borderId="0" xfId="35" applyNumberFormat="1" applyFont="1" applyBorder="1" applyAlignment="1">
      <alignment horizontal="left" vertical="center"/>
    </xf>
    <xf numFmtId="0" fontId="48" fillId="0" borderId="0" xfId="43" applyFont="1" applyAlignment="1" applyProtection="1">
      <alignment vertical="center"/>
    </xf>
    <xf numFmtId="0" fontId="21" fillId="0" borderId="0" xfId="34" applyFont="1" applyAlignment="1">
      <alignment vertical="center"/>
    </xf>
    <xf numFmtId="0" fontId="18" fillId="0" borderId="0" xfId="34" applyFont="1" applyAlignment="1">
      <alignment vertical="center"/>
    </xf>
    <xf numFmtId="0" fontId="32" fillId="9" borderId="3" xfId="0" applyFont="1" applyFill="1" applyBorder="1" applyAlignment="1">
      <alignment horizontal="left" vertical="center"/>
      <protection locked="0"/>
    </xf>
    <xf numFmtId="43" fontId="32" fillId="9" borderId="3" xfId="42" applyFont="1" applyFill="1" applyBorder="1" applyAlignment="1" applyProtection="1">
      <alignment horizontal="left" vertical="center"/>
      <protection locked="0"/>
    </xf>
    <xf numFmtId="43" fontId="32" fillId="9" borderId="3" xfId="0" applyNumberFormat="1" applyFont="1" applyFill="1" applyBorder="1" applyAlignment="1">
      <alignment horizontal="left" vertical="center"/>
      <protection locked="0"/>
    </xf>
    <xf numFmtId="0" fontId="32" fillId="9" borderId="3" xfId="0" applyFont="1" applyFill="1" applyBorder="1" applyAlignment="1">
      <alignment horizontal="center" vertical="center"/>
      <protection locked="0"/>
    </xf>
    <xf numFmtId="0" fontId="32" fillId="9" borderId="3" xfId="0" applyFont="1" applyFill="1" applyBorder="1" applyAlignment="1">
      <alignment vertical="center" wrapText="1"/>
      <protection locked="0"/>
    </xf>
    <xf numFmtId="0" fontId="32" fillId="0" borderId="0" xfId="0" applyFont="1" applyBorder="1" applyAlignment="1">
      <alignment horizontal="center" vertical="center"/>
      <protection locked="0"/>
    </xf>
    <xf numFmtId="0" fontId="32" fillId="0" borderId="0" xfId="0" applyFont="1" applyBorder="1" applyAlignment="1">
      <alignment vertical="center"/>
      <protection locked="0"/>
    </xf>
    <xf numFmtId="0" fontId="32" fillId="0" borderId="0" xfId="0" applyFont="1" applyBorder="1" applyAlignment="1">
      <alignment horizontal="left" vertical="center"/>
      <protection locked="0"/>
    </xf>
    <xf numFmtId="43" fontId="29" fillId="9" borderId="3" xfId="42" applyFont="1" applyFill="1" applyBorder="1" applyAlignment="1">
      <alignment vertical="center"/>
    </xf>
    <xf numFmtId="0" fontId="29" fillId="5" borderId="3" xfId="0" applyFont="1" applyFill="1" applyBorder="1" applyAlignment="1">
      <alignment horizontal="center" vertical="center"/>
      <protection locked="0"/>
    </xf>
    <xf numFmtId="193" fontId="32" fillId="0" borderId="3" xfId="49" applyFont="1" applyBorder="1" applyAlignment="1">
      <alignment vertical="center" wrapText="1"/>
    </xf>
    <xf numFmtId="193" fontId="53" fillId="0" borderId="3" xfId="49" applyFont="1" applyBorder="1" applyAlignment="1">
      <alignment vertical="center" wrapText="1"/>
    </xf>
    <xf numFmtId="193" fontId="29" fillId="5" borderId="3" xfId="56" applyFont="1" applyFill="1" applyBorder="1" applyAlignment="1" applyProtection="1">
      <alignment horizontal="center" vertical="center"/>
      <protection locked="0"/>
    </xf>
    <xf numFmtId="193" fontId="18" fillId="0" borderId="3" xfId="57" applyFont="1" applyBorder="1" applyAlignment="1">
      <alignment vertical="center" wrapText="1"/>
    </xf>
    <xf numFmtId="193" fontId="32" fillId="0" borderId="3" xfId="57" applyFont="1" applyBorder="1" applyAlignment="1">
      <alignment vertical="center" wrapText="1"/>
    </xf>
    <xf numFmtId="0" fontId="46" fillId="0" borderId="2" xfId="0" applyFont="1" applyBorder="1" applyAlignment="1" applyProtection="1">
      <alignment horizontal="center" vertical="center"/>
    </xf>
    <xf numFmtId="0" fontId="30" fillId="0" borderId="0" xfId="0" applyFont="1" applyAlignment="1">
      <alignment horizontal="center"/>
      <protection locked="0"/>
    </xf>
    <xf numFmtId="0" fontId="65" fillId="0" borderId="3" xfId="49" applyNumberFormat="1" applyFont="1" applyBorder="1" applyAlignment="1">
      <alignment vertical="center" wrapText="1"/>
    </xf>
    <xf numFmtId="0" fontId="53" fillId="0" borderId="3" xfId="57" applyNumberFormat="1" applyFont="1" applyBorder="1" applyAlignment="1">
      <alignment vertical="center" wrapText="1"/>
    </xf>
    <xf numFmtId="0" fontId="32" fillId="0" borderId="3" xfId="49" applyNumberFormat="1" applyFont="1" applyBorder="1" applyAlignment="1" applyProtection="1">
      <alignment horizontal="center" vertical="center"/>
      <protection locked="0"/>
    </xf>
    <xf numFmtId="0" fontId="32" fillId="0" borderId="3" xfId="57" applyNumberFormat="1" applyFont="1" applyBorder="1" applyAlignment="1" applyProtection="1">
      <alignment horizontal="center" vertical="center"/>
      <protection locked="0"/>
    </xf>
    <xf numFmtId="193" fontId="77" fillId="0" borderId="3" xfId="49" applyFont="1" applyBorder="1" applyAlignment="1">
      <alignment horizontal="center" vertical="center" wrapText="1"/>
    </xf>
    <xf numFmtId="193" fontId="32" fillId="0" borderId="3" xfId="49" applyFont="1" applyBorder="1" applyAlignment="1">
      <alignment horizontal="center" vertical="center" wrapText="1"/>
    </xf>
    <xf numFmtId="193" fontId="62" fillId="0" borderId="3" xfId="49" applyFont="1" applyBorder="1" applyAlignment="1">
      <alignment horizontal="center" vertical="center"/>
    </xf>
    <xf numFmtId="0" fontId="85" fillId="0" borderId="2" xfId="36" applyFont="1" applyBorder="1" applyAlignment="1" applyProtection="1">
      <alignment vertical="center"/>
    </xf>
    <xf numFmtId="0" fontId="23" fillId="0" borderId="2" xfId="36" applyFont="1" applyBorder="1" applyAlignment="1" applyProtection="1">
      <alignment vertical="center"/>
    </xf>
    <xf numFmtId="0" fontId="18" fillId="0" borderId="0" xfId="0" applyFont="1" applyAlignment="1">
      <alignment horizontal="center" vertical="center"/>
      <protection locked="0"/>
    </xf>
    <xf numFmtId="0" fontId="36" fillId="0" borderId="0" xfId="36" applyFont="1" applyAlignment="1">
      <alignment horizontal="left" vertical="center"/>
      <protection locked="0"/>
    </xf>
    <xf numFmtId="0" fontId="21" fillId="5" borderId="3" xfId="43" applyFont="1" applyFill="1" applyBorder="1" applyAlignment="1">
      <alignment horizontal="center" vertical="center"/>
      <protection locked="0"/>
    </xf>
    <xf numFmtId="0" fontId="21" fillId="5" borderId="3" xfId="43" applyFont="1" applyFill="1" applyBorder="1" applyAlignment="1">
      <alignment horizontal="center" vertical="center" wrapText="1"/>
      <protection locked="0"/>
    </xf>
    <xf numFmtId="0" fontId="21" fillId="5" borderId="3" xfId="52" applyFont="1" applyFill="1" applyBorder="1" applyAlignment="1" applyProtection="1">
      <alignment horizontal="center" vertical="center"/>
    </xf>
    <xf numFmtId="193" fontId="29" fillId="5" borderId="3" xfId="53" applyFont="1" applyFill="1" applyBorder="1" applyAlignment="1" applyProtection="1">
      <alignment horizontal="center" vertical="center" wrapText="1"/>
      <protection locked="0"/>
    </xf>
    <xf numFmtId="193" fontId="58" fillId="0" borderId="3" xfId="49" applyFont="1" applyBorder="1" applyAlignment="1">
      <alignment horizontal="center" vertical="center" wrapText="1"/>
    </xf>
    <xf numFmtId="0" fontId="18" fillId="4" borderId="0" xfId="0" applyFont="1" applyFill="1" applyAlignment="1">
      <alignment horizontal="justify" vertical="center" wrapText="1"/>
      <protection locked="0"/>
    </xf>
    <xf numFmtId="0" fontId="55" fillId="0" borderId="0" xfId="0" applyFont="1" applyAlignment="1">
      <alignment horizontal="center" vertical="center"/>
      <protection locked="0"/>
    </xf>
    <xf numFmtId="193" fontId="59" fillId="7" borderId="0" xfId="49" applyFont="1" applyFill="1" applyBorder="1" applyAlignment="1" applyProtection="1">
      <alignment horizontal="centerContinuous" vertical="center"/>
      <protection locked="0"/>
    </xf>
    <xf numFmtId="193" fontId="54" fillId="7" borderId="0" xfId="49" applyFont="1" applyFill="1" applyBorder="1" applyAlignment="1">
      <alignment horizontal="centerContinuous" vertical="center"/>
    </xf>
    <xf numFmtId="193" fontId="69" fillId="0" borderId="0" xfId="59" applyFont="1" applyFill="1" applyAlignment="1">
      <alignment horizontal="left" vertical="center"/>
    </xf>
    <xf numFmtId="0" fontId="32" fillId="0" borderId="0" xfId="43" applyFont="1" applyAlignment="1" applyProtection="1">
      <alignment vertical="center"/>
    </xf>
    <xf numFmtId="14" fontId="21" fillId="9" borderId="3" xfId="43" applyNumberFormat="1" applyFont="1" applyFill="1" applyBorder="1" applyAlignment="1">
      <alignment vertical="center"/>
      <protection locked="0"/>
    </xf>
    <xf numFmtId="0" fontId="29" fillId="0" borderId="0" xfId="34" applyFont="1" applyBorder="1" applyAlignment="1">
      <alignment vertical="center"/>
    </xf>
    <xf numFmtId="43" fontId="32" fillId="0" borderId="3" xfId="42" applyFont="1" applyBorder="1" applyAlignment="1" applyProtection="1">
      <alignment horizontal="left" vertical="center"/>
      <protection locked="0"/>
    </xf>
    <xf numFmtId="10" fontId="32" fillId="9" borderId="3" xfId="31" applyNumberFormat="1" applyFont="1" applyFill="1" applyBorder="1" applyAlignment="1" applyProtection="1">
      <alignment horizontal="right" vertical="center"/>
      <protection locked="0"/>
    </xf>
    <xf numFmtId="43" fontId="44" fillId="5" borderId="3" xfId="45" applyNumberFormat="1" applyFont="1" applyFill="1" applyBorder="1" applyAlignment="1">
      <alignment horizontal="right" vertical="center" shrinkToFit="1"/>
    </xf>
    <xf numFmtId="43" fontId="75" fillId="5" borderId="3" xfId="42" applyFont="1" applyFill="1" applyBorder="1" applyAlignment="1">
      <alignment horizontal="justify" vertical="center" wrapText="1"/>
    </xf>
    <xf numFmtId="0" fontId="75" fillId="5" borderId="3" xfId="0" applyFont="1" applyFill="1" applyBorder="1" applyAlignment="1">
      <alignment horizontal="justify" vertical="center" wrapText="1"/>
      <protection locked="0"/>
    </xf>
    <xf numFmtId="43" fontId="75" fillId="5" borderId="3" xfId="42" applyFont="1" applyFill="1" applyBorder="1" applyAlignment="1">
      <alignment horizontal="center" vertical="center" wrapText="1"/>
    </xf>
    <xf numFmtId="0" fontId="29" fillId="5" borderId="0" xfId="0" applyFont="1" applyFill="1" applyAlignment="1">
      <alignment vertical="center" wrapText="1"/>
      <protection locked="0"/>
    </xf>
    <xf numFmtId="0" fontId="31" fillId="0" borderId="0" xfId="0" applyFont="1" applyAlignment="1">
      <alignment horizontal="left" vertical="center" wrapText="1"/>
      <protection locked="0"/>
    </xf>
    <xf numFmtId="0" fontId="30" fillId="0" borderId="0" xfId="0" applyFont="1" applyAlignment="1">
      <alignment horizontal="left" vertical="center" wrapText="1"/>
      <protection locked="0"/>
    </xf>
    <xf numFmtId="193" fontId="18" fillId="0" borderId="3" xfId="56" applyFont="1" applyBorder="1" applyAlignment="1" applyProtection="1">
      <alignment horizontal="center" vertical="center" wrapText="1"/>
      <protection locked="0"/>
    </xf>
    <xf numFmtId="193" fontId="19" fillId="0" borderId="0" xfId="48" applyFont="1" applyAlignment="1">
      <alignment horizontal="center" vertical="center"/>
    </xf>
    <xf numFmtId="193" fontId="55" fillId="0" borderId="0" xfId="48" applyFont="1" applyAlignment="1">
      <alignment horizontal="center" vertical="center"/>
    </xf>
    <xf numFmtId="193" fontId="29" fillId="0" borderId="0" xfId="49" applyFont="1" applyAlignment="1" applyProtection="1">
      <alignment horizontal="left" vertical="center"/>
      <protection locked="0"/>
    </xf>
    <xf numFmtId="193" fontId="21" fillId="5" borderId="3" xfId="56" applyFont="1" applyFill="1" applyBorder="1" applyAlignment="1" applyProtection="1">
      <alignment horizontal="center" vertical="center" wrapText="1"/>
      <protection locked="0"/>
    </xf>
    <xf numFmtId="193" fontId="29" fillId="5" borderId="3" xfId="56" applyFont="1" applyFill="1" applyBorder="1" applyAlignment="1" applyProtection="1">
      <alignment horizontal="center" vertical="center"/>
      <protection locked="0"/>
    </xf>
    <xf numFmtId="193" fontId="29" fillId="5" borderId="3" xfId="49" applyFont="1" applyFill="1" applyBorder="1" applyAlignment="1" applyProtection="1">
      <alignment horizontal="center" vertical="center" wrapText="1"/>
      <protection locked="0"/>
    </xf>
    <xf numFmtId="49" fontId="29" fillId="5" borderId="3" xfId="49" applyNumberFormat="1" applyFont="1" applyFill="1" applyBorder="1" applyAlignment="1" applyProtection="1">
      <alignment horizontal="center" vertical="center"/>
      <protection locked="0"/>
    </xf>
    <xf numFmtId="193" fontId="32" fillId="0" borderId="3" xfId="56" applyFont="1" applyBorder="1" applyAlignment="1" applyProtection="1">
      <alignment horizontal="left" vertical="center" wrapText="1"/>
      <protection locked="0"/>
    </xf>
    <xf numFmtId="193" fontId="29" fillId="5" borderId="3" xfId="56" applyFont="1" applyFill="1" applyBorder="1" applyAlignment="1" applyProtection="1">
      <alignment horizontal="center" vertical="center" wrapText="1"/>
      <protection locked="0"/>
    </xf>
    <xf numFmtId="193" fontId="21" fillId="5" borderId="6" xfId="45" applyFont="1" applyFill="1" applyBorder="1" applyAlignment="1" applyProtection="1">
      <alignment horizontal="center" vertical="center" wrapText="1"/>
      <protection locked="0"/>
    </xf>
    <xf numFmtId="193" fontId="29" fillId="5" borderId="4" xfId="45" applyFont="1" applyFill="1" applyBorder="1" applyAlignment="1" applyProtection="1">
      <alignment horizontal="center" vertical="center" wrapText="1"/>
      <protection locked="0"/>
    </xf>
    <xf numFmtId="43" fontId="19" fillId="0" borderId="0" xfId="35" applyNumberFormat="1" applyFont="1" applyBorder="1" applyAlignment="1">
      <alignment horizontal="center" vertical="center"/>
    </xf>
    <xf numFmtId="43" fontId="55" fillId="0" borderId="0" xfId="35" applyNumberFormat="1" applyFont="1" applyBorder="1" applyAlignment="1">
      <alignment horizontal="center" vertical="center"/>
    </xf>
    <xf numFmtId="193" fontId="21" fillId="5" borderId="3" xfId="45" applyFont="1" applyFill="1" applyBorder="1" applyAlignment="1" applyProtection="1">
      <alignment horizontal="center" vertical="center" wrapText="1"/>
      <protection locked="0"/>
    </xf>
    <xf numFmtId="193" fontId="29" fillId="5" borderId="3" xfId="45" applyFont="1" applyFill="1" applyBorder="1" applyAlignment="1" applyProtection="1">
      <alignment horizontal="center" vertical="center" wrapText="1"/>
      <protection locked="0"/>
    </xf>
    <xf numFmtId="10" fontId="34" fillId="0" borderId="0" xfId="31" applyNumberFormat="1" applyFont="1" applyBorder="1" applyAlignment="1">
      <alignment horizontal="left" vertical="center"/>
    </xf>
    <xf numFmtId="193" fontId="21" fillId="9" borderId="7" xfId="45" applyFont="1" applyFill="1" applyBorder="1" applyAlignment="1" applyProtection="1">
      <alignment horizontal="center" vertical="center" wrapText="1"/>
      <protection locked="0"/>
    </xf>
    <xf numFmtId="193" fontId="29" fillId="9" borderId="8" xfId="45" applyFont="1" applyFill="1" applyBorder="1" applyAlignment="1" applyProtection="1">
      <alignment horizontal="center" vertical="center" wrapText="1"/>
      <protection locked="0"/>
    </xf>
    <xf numFmtId="193" fontId="29" fillId="9" borderId="9" xfId="45" applyFont="1" applyFill="1" applyBorder="1" applyAlignment="1" applyProtection="1">
      <alignment horizontal="center" vertical="center" wrapText="1"/>
      <protection locked="0"/>
    </xf>
    <xf numFmtId="193" fontId="21" fillId="5" borderId="7" xfId="45" applyFont="1" applyFill="1" applyBorder="1" applyAlignment="1" applyProtection="1">
      <alignment horizontal="center" vertical="center" wrapText="1"/>
      <protection locked="0"/>
    </xf>
    <xf numFmtId="193" fontId="29" fillId="5" borderId="8" xfId="45" applyFont="1" applyFill="1" applyBorder="1" applyAlignment="1" applyProtection="1">
      <alignment horizontal="center" vertical="center" wrapText="1"/>
      <protection locked="0"/>
    </xf>
    <xf numFmtId="193" fontId="29" fillId="5" borderId="9" xfId="45" applyFont="1" applyFill="1" applyBorder="1" applyAlignment="1" applyProtection="1">
      <alignment horizontal="center" vertical="center" wrapText="1"/>
      <protection locked="0"/>
    </xf>
    <xf numFmtId="193" fontId="39" fillId="5" borderId="3" xfId="47" applyFont="1" applyFill="1" applyBorder="1" applyAlignment="1" applyProtection="1">
      <alignment horizontal="center" vertical="center" wrapText="1"/>
      <protection locked="0"/>
    </xf>
    <xf numFmtId="193" fontId="21" fillId="5" borderId="3" xfId="47" applyFont="1" applyFill="1" applyBorder="1" applyAlignment="1" applyProtection="1">
      <alignment horizontal="center" vertical="center" wrapText="1"/>
      <protection locked="0"/>
    </xf>
    <xf numFmtId="0" fontId="21" fillId="0" borderId="0" xfId="32" applyFont="1" applyAlignment="1">
      <alignment horizontal="center" vertical="center"/>
    </xf>
    <xf numFmtId="0" fontId="19" fillId="0" borderId="0" xfId="32" applyFont="1" applyAlignment="1">
      <alignment horizontal="center" vertical="center"/>
    </xf>
    <xf numFmtId="0" fontId="19" fillId="0" borderId="0" xfId="32" applyFont="1" applyAlignment="1">
      <alignment horizontal="center" vertical="center" wrapText="1"/>
    </xf>
    <xf numFmtId="0" fontId="55" fillId="0" borderId="0" xfId="32" applyFont="1" applyAlignment="1">
      <alignment horizontal="center" vertical="center" wrapText="1"/>
    </xf>
    <xf numFmtId="0" fontId="21" fillId="5" borderId="3" xfId="0" applyFont="1" applyFill="1" applyBorder="1" applyAlignment="1">
      <alignment horizontal="center" vertical="center" wrapText="1"/>
      <protection locked="0"/>
    </xf>
    <xf numFmtId="193" fontId="75" fillId="5" borderId="12" xfId="45" applyFont="1" applyFill="1" applyBorder="1" applyAlignment="1" applyProtection="1">
      <alignment horizontal="center" vertical="center"/>
      <protection locked="0"/>
    </xf>
    <xf numFmtId="193" fontId="75" fillId="5" borderId="13" xfId="45" applyFont="1" applyFill="1" applyBorder="1" applyAlignment="1" applyProtection="1">
      <alignment horizontal="center" vertical="center"/>
      <protection locked="0"/>
    </xf>
    <xf numFmtId="193" fontId="39" fillId="5" borderId="12" xfId="45" applyFont="1" applyFill="1" applyBorder="1" applyAlignment="1" applyProtection="1">
      <alignment horizontal="center" vertical="center"/>
      <protection locked="0"/>
    </xf>
    <xf numFmtId="193" fontId="39" fillId="5" borderId="13" xfId="45" applyFont="1" applyFill="1" applyBorder="1" applyAlignment="1" applyProtection="1">
      <alignment horizontal="center" vertical="center"/>
      <protection locked="0"/>
    </xf>
    <xf numFmtId="193" fontId="75" fillId="5" borderId="3" xfId="45" applyFont="1" applyFill="1" applyBorder="1" applyAlignment="1" applyProtection="1">
      <alignment horizontal="center" vertical="center"/>
      <protection locked="0"/>
    </xf>
    <xf numFmtId="193" fontId="21" fillId="5" borderId="7" xfId="45" applyFont="1" applyFill="1" applyBorder="1" applyAlignment="1" applyProtection="1">
      <alignment horizontal="center" vertical="center"/>
      <protection locked="0"/>
    </xf>
    <xf numFmtId="193" fontId="21" fillId="5" borderId="8" xfId="45" applyFont="1" applyFill="1" applyBorder="1" applyAlignment="1" applyProtection="1">
      <alignment horizontal="center" vertical="center"/>
      <protection locked="0"/>
    </xf>
    <xf numFmtId="193" fontId="39" fillId="5" borderId="3" xfId="45" applyFont="1" applyFill="1" applyBorder="1" applyAlignment="1" applyProtection="1">
      <alignment horizontal="center" vertical="center"/>
      <protection locked="0"/>
    </xf>
    <xf numFmtId="193" fontId="38" fillId="5" borderId="3" xfId="45" applyFont="1" applyFill="1" applyBorder="1" applyAlignment="1" applyProtection="1">
      <alignment horizontal="center" vertical="center"/>
      <protection locked="0"/>
    </xf>
    <xf numFmtId="193" fontId="39" fillId="5" borderId="7" xfId="45" applyFont="1" applyFill="1" applyBorder="1" applyAlignment="1" applyProtection="1">
      <alignment horizontal="center" vertical="center"/>
      <protection locked="0"/>
    </xf>
    <xf numFmtId="193" fontId="39" fillId="5" borderId="8" xfId="45" applyFont="1" applyFill="1" applyBorder="1" applyAlignment="1" applyProtection="1">
      <alignment horizontal="center" vertical="center"/>
      <protection locked="0"/>
    </xf>
    <xf numFmtId="193" fontId="29" fillId="5" borderId="8" xfId="45" applyFont="1" applyFill="1" applyBorder="1" applyAlignment="1" applyProtection="1">
      <alignment horizontal="center" vertical="center"/>
      <protection locked="0"/>
    </xf>
    <xf numFmtId="193" fontId="29" fillId="5" borderId="9" xfId="45" applyFont="1" applyFill="1" applyBorder="1" applyAlignment="1" applyProtection="1">
      <alignment horizontal="center" vertical="center"/>
      <protection locked="0"/>
    </xf>
    <xf numFmtId="0" fontId="72" fillId="0" borderId="0" xfId="52" applyFont="1" applyAlignment="1">
      <alignment horizontal="left" vertical="center" wrapText="1"/>
      <protection locked="0"/>
    </xf>
    <xf numFmtId="0" fontId="21" fillId="5" borderId="12" xfId="0" applyFont="1" applyFill="1" applyBorder="1" applyAlignment="1">
      <alignment horizontal="center" vertical="center" wrapText="1"/>
      <protection locked="0"/>
    </xf>
    <xf numFmtId="0" fontId="21" fillId="5" borderId="13" xfId="0" applyFont="1" applyFill="1" applyBorder="1" applyAlignment="1">
      <alignment horizontal="center" vertical="center" wrapText="1"/>
      <protection locked="0"/>
    </xf>
    <xf numFmtId="0" fontId="21" fillId="5" borderId="7" xfId="0" applyFont="1" applyFill="1" applyBorder="1" applyAlignment="1">
      <alignment horizontal="center" vertical="center" wrapText="1"/>
      <protection locked="0"/>
    </xf>
    <xf numFmtId="0" fontId="21" fillId="5" borderId="8" xfId="0" applyFont="1" applyFill="1" applyBorder="1" applyAlignment="1">
      <alignment horizontal="center" vertical="center" wrapText="1"/>
      <protection locked="0"/>
    </xf>
    <xf numFmtId="0" fontId="21" fillId="5" borderId="9" xfId="0" applyFont="1" applyFill="1" applyBorder="1" applyAlignment="1">
      <alignment horizontal="center" vertical="center" wrapText="1"/>
      <protection locked="0"/>
    </xf>
    <xf numFmtId="0" fontId="21" fillId="9" borderId="3" xfId="0" applyFont="1" applyFill="1" applyBorder="1" applyAlignment="1">
      <alignment horizontal="center" vertical="center"/>
      <protection locked="0"/>
    </xf>
    <xf numFmtId="14" fontId="21" fillId="9" borderId="3" xfId="43" applyNumberFormat="1" applyFont="1" applyFill="1" applyBorder="1" applyAlignment="1">
      <alignment horizontal="center" vertical="center"/>
      <protection locked="0"/>
    </xf>
    <xf numFmtId="0" fontId="21" fillId="5" borderId="3" xfId="43" applyFont="1" applyFill="1" applyBorder="1" applyAlignment="1">
      <alignment horizontal="center" vertical="center"/>
      <protection locked="0"/>
    </xf>
    <xf numFmtId="0" fontId="21" fillId="10" borderId="3" xfId="43" applyFont="1" applyFill="1" applyBorder="1" applyAlignment="1" applyProtection="1">
      <alignment horizontal="center" vertical="center" wrapText="1"/>
    </xf>
    <xf numFmtId="0" fontId="19" fillId="0" borderId="0" xfId="0" applyFont="1" applyAlignment="1">
      <alignment horizontal="center" vertical="center"/>
      <protection locked="0"/>
    </xf>
    <xf numFmtId="0" fontId="55" fillId="0" borderId="0" xfId="0" applyFont="1" applyAlignment="1">
      <alignment horizontal="center" vertical="center"/>
      <protection locked="0"/>
    </xf>
    <xf numFmtId="0" fontId="21" fillId="5" borderId="3" xfId="52" applyFont="1" applyFill="1" applyBorder="1" applyAlignment="1">
      <alignment horizontal="center" vertical="center"/>
      <protection locked="0"/>
    </xf>
    <xf numFmtId="0" fontId="29" fillId="5" borderId="3" xfId="52" applyFont="1" applyFill="1" applyBorder="1" applyAlignment="1">
      <alignment horizontal="center" vertical="center"/>
      <protection locked="0"/>
    </xf>
    <xf numFmtId="0" fontId="21" fillId="5" borderId="3" xfId="52" applyFont="1" applyFill="1" applyBorder="1" applyAlignment="1">
      <alignment horizontal="center" vertical="center" wrapText="1"/>
      <protection locked="0"/>
    </xf>
    <xf numFmtId="0" fontId="29" fillId="5" borderId="3" xfId="52" applyFont="1" applyFill="1" applyBorder="1" applyAlignment="1">
      <alignment horizontal="center" vertical="center" wrapText="1"/>
      <protection locked="0"/>
    </xf>
    <xf numFmtId="0" fontId="29" fillId="5" borderId="7" xfId="0" applyFont="1" applyFill="1" applyBorder="1" applyAlignment="1">
      <alignment horizontal="center" vertical="center"/>
      <protection locked="0"/>
    </xf>
    <xf numFmtId="0" fontId="29" fillId="5" borderId="8" xfId="0" applyFont="1" applyFill="1" applyBorder="1" applyAlignment="1">
      <alignment horizontal="center" vertical="center"/>
      <protection locked="0"/>
    </xf>
    <xf numFmtId="0" fontId="21" fillId="10" borderId="12" xfId="43" applyFont="1" applyFill="1" applyBorder="1" applyAlignment="1" applyProtection="1">
      <alignment horizontal="center" vertical="center" wrapText="1"/>
    </xf>
    <xf numFmtId="0" fontId="21" fillId="10" borderId="13" xfId="43" applyFont="1" applyFill="1" applyBorder="1" applyAlignment="1" applyProtection="1">
      <alignment horizontal="center" vertical="center" wrapText="1"/>
    </xf>
  </cellXfs>
  <cellStyles count="60">
    <cellStyle name="@_text" xfId="1"/>
    <cellStyle name="{Comma [0]}" xfId="2"/>
    <cellStyle name="{Comma}" xfId="3"/>
    <cellStyle name="{Date}" xfId="4"/>
    <cellStyle name="{Month}" xfId="5"/>
    <cellStyle name="{Percent}" xfId="6"/>
    <cellStyle name="{Thousand [0]}" xfId="7"/>
    <cellStyle name="{Thousand}" xfId="8"/>
    <cellStyle name="{Z'0000(1 dec)}" xfId="9"/>
    <cellStyle name="{Z'0000(4 dec)}" xfId="10"/>
    <cellStyle name="Black" xfId="11"/>
    <cellStyle name="Border" xfId="12"/>
    <cellStyle name="Comma [0]_1995" xfId="13"/>
    <cellStyle name="Comma_1995" xfId="14"/>
    <cellStyle name="Currency [0]_1995" xfId="15"/>
    <cellStyle name="Currency_1995" xfId="16"/>
    <cellStyle name="Dezimal [0]_laroux" xfId="17"/>
    <cellStyle name="Dezimal_laroux" xfId="18"/>
    <cellStyle name="Euro" xfId="19"/>
    <cellStyle name="Followed Hyperlink_AheadBehind.xls Chart 23" xfId="20"/>
    <cellStyle name="Grey" xfId="21"/>
    <cellStyle name="Hyperlink_AheadBehind.xls Chart 23" xfId="22"/>
    <cellStyle name="Input [yellow]" xfId="23"/>
    <cellStyle name="Milliers [0]_laroux" xfId="24"/>
    <cellStyle name="Milliers_laroux" xfId="25"/>
    <cellStyle name="Non défini" xfId="26"/>
    <cellStyle name="Normal - Style1" xfId="27"/>
    <cellStyle name="Normal_22-Jun EUS Forecasts" xfId="28"/>
    <cellStyle name="Percent [2]" xfId="29"/>
    <cellStyle name="Red" xfId="30"/>
    <cellStyle name="百分比" xfId="31" builtinId="5"/>
    <cellStyle name="百分比 2 2" xfId="55"/>
    <cellStyle name="常规" xfId="0" builtinId="0"/>
    <cellStyle name="常规 11 5" xfId="59"/>
    <cellStyle name="常规 2" xfId="43"/>
    <cellStyle name="常规 2 2" xfId="52"/>
    <cellStyle name="常规 3" xfId="47"/>
    <cellStyle name="常规 3 2" xfId="50"/>
    <cellStyle name="常规 4" xfId="45"/>
    <cellStyle name="常规 4 2" xfId="53"/>
    <cellStyle name="常规 5" xfId="46"/>
    <cellStyle name="常规 6" xfId="49"/>
    <cellStyle name="常规 6 2" xfId="57"/>
    <cellStyle name="常规 7" xfId="56"/>
    <cellStyle name="常规 7 2" xfId="58"/>
    <cellStyle name="常规_Book1" xfId="32"/>
    <cellStyle name="常规_Book1 2" xfId="48"/>
    <cellStyle name="常规_c-资产类" xfId="33"/>
    <cellStyle name="常规_进一步审计程序--销售与收款循环" xfId="34"/>
    <cellStyle name="常规_新审定表" xfId="35"/>
    <cellStyle name="常规_制造费用" xfId="44"/>
    <cellStyle name="超链接" xfId="36" builtinId="8"/>
    <cellStyle name="超链接 2" xfId="54"/>
    <cellStyle name="普通_ 外G9(3)" xfId="37"/>
    <cellStyle name="千分位[0]_宁波" xfId="38"/>
    <cellStyle name="千分位_宁波" xfId="39"/>
    <cellStyle name="千位[0]_laroux" xfId="40"/>
    <cellStyle name="千位_laroux" xfId="41"/>
    <cellStyle name="千位分隔" xfId="42" builtinId="3"/>
    <cellStyle name="千位分隔 2 4" xfId="51"/>
  </cellStyles>
  <dxfs count="0"/>
  <tableStyles count="0" defaultTableStyle="TableStyleMedium9" defaultPivotStyle="PivotStyleLight16"/>
  <colors>
    <mruColors>
      <color rgb="FF0000FF"/>
      <color rgb="FFE4DF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19"/>
  <sheetViews>
    <sheetView tabSelected="1" workbookViewId="0"/>
  </sheetViews>
  <sheetFormatPr defaultColWidth="9" defaultRowHeight="20.100000000000001" customHeight="1"/>
  <cols>
    <col min="1" max="1" width="77.59765625" style="91" customWidth="1"/>
    <col min="2" max="2" width="2" style="91" customWidth="1"/>
    <col min="3" max="3" width="2.09765625" style="91" customWidth="1"/>
    <col min="4" max="4" width="6.09765625" style="91" customWidth="1"/>
    <col min="5" max="5" width="24.5" style="91" customWidth="1"/>
    <col min="6" max="6" width="9.69921875" style="204" customWidth="1"/>
    <col min="7" max="16384" width="9" style="91"/>
  </cols>
  <sheetData>
    <row r="1" spans="1:8" s="21" customFormat="1" ht="20.100000000000001" customHeight="1">
      <c r="A1" s="27" t="s">
        <v>113</v>
      </c>
      <c r="F1" s="90"/>
    </row>
    <row r="2" spans="1:8" ht="20.100000000000001" customHeight="1">
      <c r="A2" s="88" t="s">
        <v>262</v>
      </c>
      <c r="B2" s="89"/>
      <c r="C2" s="89"/>
      <c r="D2" s="90"/>
      <c r="E2" s="90"/>
      <c r="F2" s="90"/>
      <c r="G2" s="89"/>
      <c r="H2" s="89"/>
    </row>
    <row r="3" spans="1:8" ht="20.100000000000001" customHeight="1">
      <c r="A3" s="88" t="s">
        <v>271</v>
      </c>
      <c r="B3" s="89"/>
      <c r="C3" s="89"/>
      <c r="D3" s="78" t="s">
        <v>114</v>
      </c>
      <c r="E3" s="111" t="s">
        <v>44</v>
      </c>
      <c r="F3" s="78" t="s">
        <v>115</v>
      </c>
      <c r="G3" s="78" t="s">
        <v>116</v>
      </c>
      <c r="H3" s="92"/>
    </row>
    <row r="4" spans="1:8" ht="20.100000000000001" customHeight="1">
      <c r="A4" s="221" t="s">
        <v>263</v>
      </c>
      <c r="B4" s="89"/>
      <c r="C4" s="89"/>
      <c r="D4" s="78">
        <v>1</v>
      </c>
      <c r="E4" s="212" t="s">
        <v>126</v>
      </c>
      <c r="F4" s="203" t="s">
        <v>154</v>
      </c>
      <c r="G4" s="80"/>
      <c r="H4" s="92"/>
    </row>
    <row r="5" spans="1:8" ht="20.100000000000001" customHeight="1">
      <c r="A5" s="221" t="s">
        <v>264</v>
      </c>
      <c r="D5" s="78">
        <v>2</v>
      </c>
      <c r="E5" s="213" t="s">
        <v>127</v>
      </c>
      <c r="F5" s="203" t="s">
        <v>164</v>
      </c>
      <c r="G5" s="80"/>
      <c r="H5" s="89"/>
    </row>
    <row r="6" spans="1:8" ht="20.100000000000001" customHeight="1">
      <c r="A6" s="221" t="s">
        <v>265</v>
      </c>
      <c r="D6" s="78">
        <v>3</v>
      </c>
      <c r="E6" s="213" t="s">
        <v>161</v>
      </c>
      <c r="F6" s="203"/>
      <c r="G6" s="79"/>
      <c r="H6" s="158" t="s">
        <v>165</v>
      </c>
    </row>
    <row r="7" spans="1:8" ht="20.100000000000001" customHeight="1">
      <c r="A7" s="221" t="s">
        <v>266</v>
      </c>
      <c r="D7" s="78">
        <v>4</v>
      </c>
      <c r="E7" s="212" t="s">
        <v>128</v>
      </c>
      <c r="F7" s="203" t="s">
        <v>155</v>
      </c>
      <c r="G7" s="80"/>
    </row>
    <row r="8" spans="1:8" ht="20.100000000000001" customHeight="1">
      <c r="A8" s="93"/>
      <c r="D8" s="78">
        <v>5</v>
      </c>
      <c r="E8" s="213" t="s">
        <v>140</v>
      </c>
      <c r="F8" s="203" t="s">
        <v>156</v>
      </c>
      <c r="G8" s="80"/>
    </row>
    <row r="9" spans="1:8" ht="20.100000000000001" customHeight="1">
      <c r="A9" s="222" t="s">
        <v>272</v>
      </c>
      <c r="D9" s="78">
        <v>6</v>
      </c>
      <c r="E9" s="212" t="s">
        <v>144</v>
      </c>
      <c r="F9" s="203" t="s">
        <v>163</v>
      </c>
      <c r="G9" s="80"/>
    </row>
    <row r="10" spans="1:8" ht="20.100000000000001" customHeight="1">
      <c r="A10" s="236" t="s">
        <v>273</v>
      </c>
      <c r="D10" s="78">
        <v>7</v>
      </c>
      <c r="E10" s="213" t="s">
        <v>250</v>
      </c>
      <c r="F10" s="203" t="s">
        <v>162</v>
      </c>
      <c r="G10" s="80"/>
    </row>
    <row r="11" spans="1:8" ht="20.100000000000001" customHeight="1">
      <c r="A11" s="236"/>
    </row>
    <row r="12" spans="1:8" ht="20.100000000000001" customHeight="1">
      <c r="A12" s="236"/>
    </row>
    <row r="13" spans="1:8" ht="20.100000000000001" customHeight="1">
      <c r="A13" s="236"/>
    </row>
    <row r="14" spans="1:8" ht="20.100000000000001" customHeight="1">
      <c r="A14" s="236" t="s">
        <v>274</v>
      </c>
    </row>
    <row r="15" spans="1:8" ht="20.100000000000001" customHeight="1">
      <c r="A15" s="236"/>
    </row>
    <row r="16" spans="1:8" ht="20.100000000000001" customHeight="1">
      <c r="A16" s="236"/>
    </row>
    <row r="17" spans="1:1" ht="35.25" customHeight="1">
      <c r="A17" s="237" t="s">
        <v>275</v>
      </c>
    </row>
    <row r="18" spans="1:1" ht="15.6">
      <c r="A18" s="237"/>
    </row>
    <row r="19" spans="1:1" ht="15.6">
      <c r="A19" s="237"/>
    </row>
  </sheetData>
  <mergeCells count="3">
    <mergeCell ref="A10:A13"/>
    <mergeCell ref="A14:A16"/>
    <mergeCell ref="A17:A19"/>
  </mergeCells>
  <phoneticPr fontId="17" type="noConversion"/>
  <hyperlinks>
    <hyperlink ref="E6" location="'附注披露信息（上市公司）'!A1" display="附注披露信息(上市公司)"/>
    <hyperlink ref="E7" location="'明细表M3-2'!A1" display="明细表"/>
    <hyperlink ref="E9" location="'外币投资汇率测算表M3-4'!A1" display="外币汇率测算表"/>
    <hyperlink ref="E10" location="'库存股检查表M3-5'!A1" display="库存股检查表"/>
    <hyperlink ref="E5" location="'审定表M3-1'!A1" display="审定表"/>
    <hyperlink ref="E4" location="' 库存股实质性程序表 M3A'!A1" display="库存股实质性程序表 "/>
    <hyperlink ref="E8" location="'调整分录汇总M3-3'!A1" display="调整分录汇总"/>
  </hyperlinks>
  <pageMargins left="0.75" right="0.75" top="1" bottom="1" header="0.5" footer="0.5"/>
  <pageSetup paperSize="9" orientation="portrait"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dimension ref="A1:L24"/>
  <sheetViews>
    <sheetView view="pageBreakPreview" zoomScaleNormal="110" zoomScaleSheetLayoutView="100" workbookViewId="0">
      <selection sqref="A1:I1"/>
    </sheetView>
  </sheetViews>
  <sheetFormatPr defaultColWidth="9" defaultRowHeight="13.8"/>
  <cols>
    <col min="1" max="1" width="4.59765625" style="99" customWidth="1"/>
    <col min="2" max="2" width="58.8984375" style="99" customWidth="1"/>
    <col min="3" max="3" width="10.59765625" style="99" customWidth="1"/>
    <col min="4" max="4" width="5.296875" style="106" customWidth="1"/>
    <col min="5" max="5" width="6" style="99" customWidth="1"/>
    <col min="6" max="6" width="6.296875" style="99" customWidth="1"/>
    <col min="7" max="7" width="7.3984375" style="99" customWidth="1"/>
    <col min="8" max="8" width="5.59765625" style="99" customWidth="1"/>
    <col min="9" max="9" width="7.3984375" style="106" customWidth="1"/>
    <col min="10" max="10" width="63.296875" style="98" customWidth="1"/>
    <col min="11" max="11" width="14.69921875" style="98" customWidth="1"/>
    <col min="12" max="16384" width="9" style="99"/>
  </cols>
  <sheetData>
    <row r="1" spans="1:12" ht="19.95" customHeight="1">
      <c r="A1" s="239" t="s">
        <v>45</v>
      </c>
      <c r="B1" s="239"/>
      <c r="C1" s="239"/>
      <c r="D1" s="239"/>
      <c r="E1" s="239"/>
      <c r="F1" s="239"/>
      <c r="G1" s="239"/>
      <c r="H1" s="239"/>
      <c r="I1" s="239"/>
    </row>
    <row r="2" spans="1:12" ht="19.95" customHeight="1">
      <c r="A2" s="240" t="s">
        <v>245</v>
      </c>
      <c r="B2" s="240"/>
      <c r="C2" s="240"/>
      <c r="D2" s="240"/>
      <c r="E2" s="240"/>
      <c r="F2" s="240"/>
      <c r="G2" s="240"/>
      <c r="H2" s="240"/>
      <c r="I2" s="240"/>
    </row>
    <row r="3" spans="1:12" ht="19.95" customHeight="1">
      <c r="A3" s="101" t="str">
        <f>底稿目录!A2</f>
        <v>被审计单位：</v>
      </c>
      <c r="B3" s="101"/>
      <c r="C3" s="101" t="str">
        <f>底稿目录!A4</f>
        <v>编制人：</v>
      </c>
      <c r="D3" s="102"/>
      <c r="E3" s="100" t="str">
        <f>底稿目录!A5</f>
        <v>编制日期：</v>
      </c>
      <c r="G3" s="100"/>
      <c r="H3" s="100" t="s">
        <v>120</v>
      </c>
      <c r="I3" s="215" t="str">
        <f>底稿目录!F4</f>
        <v>M3A</v>
      </c>
    </row>
    <row r="4" spans="1:12" ht="19.95" customHeight="1">
      <c r="A4" s="100" t="str">
        <f>底稿目录!A3</f>
        <v>截止日：202X年12月31日</v>
      </c>
      <c r="B4" s="100"/>
      <c r="C4" s="101" t="str">
        <f>底稿目录!A6</f>
        <v>复核人：</v>
      </c>
      <c r="D4" s="102"/>
      <c r="E4" s="100" t="str">
        <f>底稿目录!A7</f>
        <v>复核日期：</v>
      </c>
      <c r="G4" s="100"/>
      <c r="H4" s="100" t="s">
        <v>191</v>
      </c>
      <c r="I4" s="142"/>
    </row>
    <row r="5" spans="1:12" ht="19.95" customHeight="1">
      <c r="A5" s="241" t="s">
        <v>121</v>
      </c>
      <c r="B5" s="241"/>
      <c r="C5" s="100"/>
      <c r="D5" s="102"/>
      <c r="E5" s="100"/>
      <c r="F5" s="100"/>
      <c r="G5" s="100"/>
      <c r="H5" s="100"/>
      <c r="I5" s="102"/>
    </row>
    <row r="6" spans="1:12" ht="19.95" customHeight="1">
      <c r="A6" s="171" t="s">
        <v>192</v>
      </c>
      <c r="C6" s="100"/>
      <c r="D6" s="102"/>
      <c r="E6" s="100"/>
      <c r="F6" s="100"/>
      <c r="G6" s="100"/>
      <c r="H6" s="100"/>
      <c r="I6" s="102"/>
    </row>
    <row r="7" spans="1:12" ht="19.95" customHeight="1">
      <c r="A7" s="172" t="s">
        <v>193</v>
      </c>
      <c r="B7" s="104"/>
      <c r="C7" s="104"/>
      <c r="D7" s="102"/>
      <c r="E7" s="100"/>
      <c r="F7" s="100"/>
      <c r="G7" s="100"/>
      <c r="H7" s="100"/>
      <c r="I7" s="102"/>
      <c r="J7" s="105"/>
      <c r="K7" s="105"/>
    </row>
    <row r="8" spans="1:12" ht="19.95" customHeight="1">
      <c r="A8" s="247" t="s">
        <v>194</v>
      </c>
      <c r="B8" s="247"/>
      <c r="C8" s="247"/>
      <c r="D8" s="247"/>
      <c r="E8" s="247"/>
      <c r="F8" s="247"/>
      <c r="G8" s="243" t="s">
        <v>122</v>
      </c>
      <c r="H8" s="243"/>
      <c r="I8" s="243"/>
      <c r="J8" s="105"/>
      <c r="K8" s="105"/>
    </row>
    <row r="9" spans="1:12" ht="19.95" customHeight="1">
      <c r="A9" s="246" t="s">
        <v>157</v>
      </c>
      <c r="B9" s="246"/>
      <c r="C9" s="246"/>
      <c r="D9" s="246"/>
      <c r="E9" s="246"/>
      <c r="F9" s="246"/>
      <c r="G9" s="238" t="s">
        <v>268</v>
      </c>
      <c r="H9" s="238"/>
      <c r="I9" s="238"/>
      <c r="J9" s="105"/>
      <c r="K9" s="105"/>
    </row>
    <row r="10" spans="1:12" ht="19.95" customHeight="1">
      <c r="A10" s="246" t="s">
        <v>158</v>
      </c>
      <c r="B10" s="246"/>
      <c r="C10" s="246"/>
      <c r="D10" s="246"/>
      <c r="E10" s="246"/>
      <c r="F10" s="246"/>
      <c r="G10" s="238" t="s">
        <v>267</v>
      </c>
      <c r="H10" s="238"/>
      <c r="I10" s="238"/>
      <c r="J10" s="105"/>
      <c r="K10" s="105"/>
    </row>
    <row r="11" spans="1:12" ht="19.95" customHeight="1">
      <c r="A11" s="246" t="s">
        <v>159</v>
      </c>
      <c r="B11" s="246"/>
      <c r="C11" s="246"/>
      <c r="D11" s="246"/>
      <c r="E11" s="246"/>
      <c r="F11" s="246"/>
      <c r="G11" s="238" t="s">
        <v>269</v>
      </c>
      <c r="H11" s="238"/>
      <c r="I11" s="238"/>
      <c r="J11" s="105"/>
      <c r="K11" s="105"/>
    </row>
    <row r="12" spans="1:12" ht="19.95" customHeight="1">
      <c r="A12" s="246" t="s">
        <v>195</v>
      </c>
      <c r="B12" s="246"/>
      <c r="C12" s="246"/>
      <c r="D12" s="246"/>
      <c r="E12" s="246"/>
      <c r="F12" s="246"/>
      <c r="G12" s="238" t="s">
        <v>243</v>
      </c>
      <c r="H12" s="238"/>
      <c r="I12" s="238"/>
      <c r="J12" s="105"/>
      <c r="K12" s="105"/>
    </row>
    <row r="13" spans="1:12" ht="19.95" customHeight="1">
      <c r="A13" s="246" t="s">
        <v>270</v>
      </c>
      <c r="B13" s="246"/>
      <c r="C13" s="246"/>
      <c r="D13" s="246"/>
      <c r="E13" s="246"/>
      <c r="F13" s="246"/>
      <c r="G13" s="238" t="s">
        <v>244</v>
      </c>
      <c r="H13" s="238"/>
      <c r="I13" s="238"/>
      <c r="J13" s="105"/>
      <c r="K13" s="105"/>
    </row>
    <row r="14" spans="1:12" ht="19.95" customHeight="1">
      <c r="A14" s="103" t="s">
        <v>123</v>
      </c>
      <c r="J14" s="223"/>
      <c r="K14" s="224"/>
      <c r="L14" s="224"/>
    </row>
    <row r="15" spans="1:12" ht="19.2" customHeight="1">
      <c r="A15" s="245" t="s">
        <v>124</v>
      </c>
      <c r="B15" s="242" t="s">
        <v>277</v>
      </c>
      <c r="C15" s="244" t="s">
        <v>125</v>
      </c>
      <c r="D15" s="243" t="s">
        <v>196</v>
      </c>
      <c r="E15" s="243"/>
      <c r="F15" s="243"/>
      <c r="G15" s="243"/>
      <c r="H15" s="243"/>
      <c r="I15" s="242" t="s">
        <v>212</v>
      </c>
      <c r="J15" s="107"/>
      <c r="K15" s="107"/>
      <c r="L15" s="107"/>
    </row>
    <row r="16" spans="1:12" ht="36.6" customHeight="1">
      <c r="A16" s="245"/>
      <c r="B16" s="242"/>
      <c r="C16" s="244"/>
      <c r="D16" s="200" t="s">
        <v>197</v>
      </c>
      <c r="E16" s="200" t="s">
        <v>198</v>
      </c>
      <c r="F16" s="173" t="s">
        <v>199</v>
      </c>
      <c r="G16" s="173" t="s">
        <v>200</v>
      </c>
      <c r="H16" s="173" t="s">
        <v>201</v>
      </c>
      <c r="I16" s="242"/>
      <c r="J16" s="225" t="s">
        <v>276</v>
      </c>
      <c r="K16" s="107"/>
      <c r="L16" s="107"/>
    </row>
    <row r="17" spans="1:12" ht="66" customHeight="1">
      <c r="A17" s="207">
        <v>1</v>
      </c>
      <c r="B17" s="198" t="s">
        <v>211</v>
      </c>
      <c r="C17" s="174" t="s">
        <v>202</v>
      </c>
      <c r="D17" s="180" t="s">
        <v>214</v>
      </c>
      <c r="E17" s="180" t="s">
        <v>214</v>
      </c>
      <c r="F17" s="181"/>
      <c r="G17" s="181" t="s">
        <v>215</v>
      </c>
      <c r="H17" s="144"/>
      <c r="I17" s="210" t="s">
        <v>247</v>
      </c>
      <c r="J17" s="108"/>
      <c r="K17" s="108"/>
      <c r="L17" s="109"/>
    </row>
    <row r="18" spans="1:12" ht="54" customHeight="1">
      <c r="A18" s="208">
        <v>2</v>
      </c>
      <c r="B18" s="202" t="s">
        <v>204</v>
      </c>
      <c r="C18" s="174" t="s">
        <v>202</v>
      </c>
      <c r="D18" s="144"/>
      <c r="E18" s="175" t="s">
        <v>203</v>
      </c>
      <c r="F18" s="144"/>
      <c r="G18" s="180" t="s">
        <v>216</v>
      </c>
      <c r="H18" s="144"/>
      <c r="I18" s="220" t="s">
        <v>246</v>
      </c>
      <c r="J18" s="179" t="s">
        <v>167</v>
      </c>
      <c r="K18" s="110"/>
      <c r="L18" s="109"/>
    </row>
    <row r="19" spans="1:12" ht="49.8" customHeight="1">
      <c r="A19" s="207">
        <v>3</v>
      </c>
      <c r="B19" s="201" t="s">
        <v>213</v>
      </c>
      <c r="C19" s="176" t="s">
        <v>205</v>
      </c>
      <c r="D19" s="182" t="s">
        <v>216</v>
      </c>
      <c r="E19" s="183" t="s">
        <v>216</v>
      </c>
      <c r="F19" s="183" t="s">
        <v>216</v>
      </c>
      <c r="G19" s="183" t="s">
        <v>216</v>
      </c>
      <c r="H19" s="144"/>
      <c r="I19" s="210"/>
      <c r="J19" s="161" t="s">
        <v>168</v>
      </c>
      <c r="K19" s="110"/>
      <c r="L19" s="109"/>
    </row>
    <row r="20" spans="1:12" ht="68.400000000000006" customHeight="1">
      <c r="A20" s="208">
        <v>4</v>
      </c>
      <c r="B20" s="198" t="s">
        <v>217</v>
      </c>
      <c r="C20" s="174" t="s">
        <v>202</v>
      </c>
      <c r="D20" s="181" t="s">
        <v>214</v>
      </c>
      <c r="E20" s="180" t="s">
        <v>218</v>
      </c>
      <c r="F20" s="180" t="s">
        <v>214</v>
      </c>
      <c r="G20" s="175"/>
      <c r="H20" s="144"/>
      <c r="I20" s="210" t="s">
        <v>248</v>
      </c>
      <c r="J20" s="110"/>
      <c r="K20" s="110"/>
      <c r="L20" s="109"/>
    </row>
    <row r="21" spans="1:12" ht="28.5" customHeight="1">
      <c r="A21" s="207">
        <v>5</v>
      </c>
      <c r="B21" s="199" t="s">
        <v>208</v>
      </c>
      <c r="C21" s="143" t="s">
        <v>207</v>
      </c>
      <c r="D21" s="144"/>
      <c r="E21" s="144"/>
      <c r="F21" s="175"/>
      <c r="G21" s="180" t="s">
        <v>214</v>
      </c>
      <c r="H21" s="144"/>
      <c r="I21" s="211"/>
      <c r="J21" s="162"/>
      <c r="K21" s="110"/>
      <c r="L21" s="109"/>
    </row>
    <row r="22" spans="1:12" ht="40.200000000000003" customHeight="1">
      <c r="A22" s="208">
        <v>6</v>
      </c>
      <c r="B22" s="205" t="s">
        <v>219</v>
      </c>
      <c r="C22" s="183" t="s">
        <v>261</v>
      </c>
      <c r="D22" s="144"/>
      <c r="E22" s="144"/>
      <c r="F22" s="175"/>
      <c r="G22" s="175"/>
      <c r="H22" s="144"/>
      <c r="I22" s="211"/>
      <c r="J22" s="162"/>
      <c r="K22" s="110"/>
      <c r="L22" s="109"/>
    </row>
    <row r="23" spans="1:12" ht="28.5" customHeight="1">
      <c r="A23" s="207">
        <v>7</v>
      </c>
      <c r="B23" s="206" t="s">
        <v>209</v>
      </c>
      <c r="C23" s="177" t="s">
        <v>202</v>
      </c>
      <c r="D23" s="144"/>
      <c r="E23" s="144"/>
      <c r="F23" s="175"/>
      <c r="G23" s="175"/>
      <c r="H23" s="144" t="s">
        <v>206</v>
      </c>
      <c r="I23" s="209" t="s">
        <v>169</v>
      </c>
      <c r="J23" s="110"/>
      <c r="K23" s="110"/>
      <c r="L23" s="109"/>
    </row>
    <row r="24" spans="1:12" ht="28.5" customHeight="1"/>
  </sheetData>
  <mergeCells count="20">
    <mergeCell ref="A9:F9"/>
    <mergeCell ref="A10:F10"/>
    <mergeCell ref="A11:F11"/>
    <mergeCell ref="A12:F12"/>
    <mergeCell ref="G13:I13"/>
    <mergeCell ref="A1:I1"/>
    <mergeCell ref="A2:I2"/>
    <mergeCell ref="A5:B5"/>
    <mergeCell ref="I15:I16"/>
    <mergeCell ref="B15:B16"/>
    <mergeCell ref="D15:H15"/>
    <mergeCell ref="C15:C16"/>
    <mergeCell ref="A15:A16"/>
    <mergeCell ref="G8:I8"/>
    <mergeCell ref="G9:I9"/>
    <mergeCell ref="G10:I10"/>
    <mergeCell ref="G11:I11"/>
    <mergeCell ref="G12:I12"/>
    <mergeCell ref="A13:F13"/>
    <mergeCell ref="A8:F8"/>
  </mergeCells>
  <phoneticPr fontId="17" type="noConversion"/>
  <hyperlinks>
    <hyperlink ref="I3" location="底稿目录!A1" display="底稿目录!A1"/>
  </hyperlinks>
  <printOptions horizontalCentered="1"/>
  <pageMargins left="0.70866141732283472" right="0.70866141732283472" top="0.74803149606299213" bottom="0.74803149606299213" header="0.31496062992125984" footer="0.31496062992125984"/>
  <pageSetup paperSize="9" scale="70" fitToHeight="50" orientation="portrait" blackAndWhite="1" r:id="rId1"/>
  <headerFooter alignWithMargins="0">
    <oddFooter>&amp;C&amp;P/&amp;N</oddFooter>
  </headerFooter>
  <ignoredErrors>
    <ignoredError sqref="C3:D4" unlockedFormula="1"/>
  </ignoredError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L33"/>
  <sheetViews>
    <sheetView view="pageBreakPreview" zoomScaleNormal="130" zoomScaleSheetLayoutView="100" workbookViewId="0">
      <selection sqref="A1:L1"/>
    </sheetView>
  </sheetViews>
  <sheetFormatPr defaultColWidth="9" defaultRowHeight="23.25" customHeight="1"/>
  <cols>
    <col min="1" max="1" width="26" style="5" customWidth="1"/>
    <col min="2" max="5" width="10.796875" style="5" customWidth="1"/>
    <col min="6" max="9" width="11.09765625" style="5" customWidth="1"/>
    <col min="10" max="16384" width="9" style="5"/>
  </cols>
  <sheetData>
    <row r="1" spans="1:12" s="4" customFormat="1" ht="19.95" customHeight="1">
      <c r="A1" s="250" t="s">
        <v>45</v>
      </c>
      <c r="B1" s="250"/>
      <c r="C1" s="250"/>
      <c r="D1" s="250"/>
      <c r="E1" s="250"/>
      <c r="F1" s="250"/>
      <c r="G1" s="250"/>
      <c r="H1" s="250"/>
      <c r="I1" s="250"/>
      <c r="J1" s="250"/>
      <c r="K1" s="250"/>
      <c r="L1" s="250"/>
    </row>
    <row r="2" spans="1:12" s="4" customFormat="1" ht="19.95" customHeight="1">
      <c r="A2" s="251" t="s">
        <v>4</v>
      </c>
      <c r="B2" s="251"/>
      <c r="C2" s="251"/>
      <c r="D2" s="251"/>
      <c r="E2" s="251"/>
      <c r="F2" s="251"/>
      <c r="G2" s="251"/>
      <c r="H2" s="251"/>
      <c r="I2" s="251"/>
      <c r="J2" s="251"/>
      <c r="K2" s="251"/>
      <c r="L2" s="251"/>
    </row>
    <row r="3" spans="1:12" ht="19.95" customHeight="1">
      <c r="A3" s="5" t="str">
        <f>底稿目录!A2</f>
        <v>被审计单位：</v>
      </c>
      <c r="C3" s="5" t="str">
        <f>底稿目录!A4</f>
        <v>编制人：</v>
      </c>
      <c r="H3" s="5" t="str">
        <f>底稿目录!A5</f>
        <v>编制日期：</v>
      </c>
      <c r="I3" s="82"/>
      <c r="K3" s="7" t="s">
        <v>8</v>
      </c>
      <c r="L3" s="215" t="str">
        <f>底稿目录!F5</f>
        <v>M3-1</v>
      </c>
    </row>
    <row r="4" spans="1:12" ht="19.95" customHeight="1">
      <c r="A4" s="5" t="str">
        <f>底稿目录!A3</f>
        <v>截止日：202X年12月31日</v>
      </c>
      <c r="C4" s="5" t="str">
        <f>底稿目录!A6</f>
        <v>复核人：</v>
      </c>
      <c r="H4" s="5" t="str">
        <f>底稿目录!A7</f>
        <v>复核日期：</v>
      </c>
      <c r="I4" s="82"/>
      <c r="K4" s="7" t="s">
        <v>9</v>
      </c>
      <c r="L4" s="8"/>
    </row>
    <row r="5" spans="1:12" ht="30.6" customHeight="1">
      <c r="A5" s="252" t="s">
        <v>88</v>
      </c>
      <c r="B5" s="255" t="s">
        <v>76</v>
      </c>
      <c r="C5" s="256"/>
      <c r="D5" s="256"/>
      <c r="E5" s="257"/>
      <c r="F5" s="258" t="s">
        <v>81</v>
      </c>
      <c r="G5" s="259"/>
      <c r="H5" s="259"/>
      <c r="I5" s="260"/>
      <c r="J5" s="261" t="s">
        <v>82</v>
      </c>
      <c r="K5" s="262"/>
      <c r="L5" s="248" t="s">
        <v>83</v>
      </c>
    </row>
    <row r="6" spans="1:12" ht="19.95" customHeight="1">
      <c r="A6" s="253"/>
      <c r="B6" s="68" t="s">
        <v>73</v>
      </c>
      <c r="C6" s="68" t="s">
        <v>79</v>
      </c>
      <c r="D6" s="68" t="s">
        <v>84</v>
      </c>
      <c r="E6" s="68" t="s">
        <v>85</v>
      </c>
      <c r="F6" s="68" t="s">
        <v>73</v>
      </c>
      <c r="G6" s="68" t="s">
        <v>79</v>
      </c>
      <c r="H6" s="68" t="s">
        <v>84</v>
      </c>
      <c r="I6" s="68" t="s">
        <v>85</v>
      </c>
      <c r="J6" s="69" t="s">
        <v>87</v>
      </c>
      <c r="K6" s="70" t="s">
        <v>86</v>
      </c>
      <c r="L6" s="249"/>
    </row>
    <row r="7" spans="1:12" ht="19.95" customHeight="1">
      <c r="A7" s="145" t="str">
        <f>'明细表M3-2'!A15</f>
        <v>减资回购股份</v>
      </c>
      <c r="B7" s="146">
        <f>'明细表M3-2'!B15</f>
        <v>0</v>
      </c>
      <c r="C7" s="146">
        <f>'明细表M3-2'!G15</f>
        <v>0</v>
      </c>
      <c r="D7" s="146">
        <f>'明细表M3-2'!H15</f>
        <v>0</v>
      </c>
      <c r="E7" s="146">
        <f>'明细表M3-2'!M15</f>
        <v>0</v>
      </c>
      <c r="F7" s="146">
        <f>'明细表M3-2'!F15</f>
        <v>0</v>
      </c>
      <c r="G7" s="146">
        <f>'明细表M3-2'!G15+'明细表M3-2'!I15-'明细表M3-2'!J15</f>
        <v>0</v>
      </c>
      <c r="H7" s="146">
        <f>'明细表M3-2'!H15+'明细表M3-2'!K15-'明细表M3-2'!L15</f>
        <v>0</v>
      </c>
      <c r="I7" s="146">
        <f>'明细表M3-2'!P15</f>
        <v>0</v>
      </c>
      <c r="J7" s="146">
        <f t="shared" ref="J7:J17" si="0">I7-E7</f>
        <v>0</v>
      </c>
      <c r="K7" s="147">
        <f t="shared" ref="K7:K17" si="1">IF(AND(E7=0,J7=0),0,IF(AND(E7=0,J7&gt;0),1,J7/E7))</f>
        <v>0</v>
      </c>
      <c r="L7" s="71"/>
    </row>
    <row r="8" spans="1:12" ht="19.95" customHeight="1">
      <c r="A8" s="145" t="str">
        <f>'明细表M3-2'!A16</f>
        <v>奖励员工回购股份</v>
      </c>
      <c r="B8" s="146">
        <f>'明细表M3-2'!B16</f>
        <v>0</v>
      </c>
      <c r="C8" s="146">
        <f>'明细表M3-2'!G16</f>
        <v>0</v>
      </c>
      <c r="D8" s="146">
        <f>'明细表M3-2'!H16</f>
        <v>0</v>
      </c>
      <c r="E8" s="146">
        <f>'明细表M3-2'!M16</f>
        <v>0</v>
      </c>
      <c r="F8" s="146">
        <f>'明细表M3-2'!F16</f>
        <v>0</v>
      </c>
      <c r="G8" s="146">
        <f>'明细表M3-2'!G16+'明细表M3-2'!I16-'明细表M3-2'!J16</f>
        <v>0</v>
      </c>
      <c r="H8" s="146">
        <f>'明细表M3-2'!H16+'明细表M3-2'!K16-'明细表M3-2'!L16</f>
        <v>0</v>
      </c>
      <c r="I8" s="146">
        <f>'明细表M3-2'!P16</f>
        <v>0</v>
      </c>
      <c r="J8" s="146">
        <f t="shared" si="0"/>
        <v>0</v>
      </c>
      <c r="K8" s="147">
        <f t="shared" si="1"/>
        <v>0</v>
      </c>
      <c r="L8" s="71"/>
    </row>
    <row r="9" spans="1:12" ht="25.2" customHeight="1">
      <c r="A9" s="145" t="str">
        <f>'明细表M3-2'!A17</f>
        <v>对合并、分立决议有异议回购股份</v>
      </c>
      <c r="B9" s="146">
        <f>'明细表M3-2'!B17</f>
        <v>0</v>
      </c>
      <c r="C9" s="146">
        <f>'明细表M3-2'!G17</f>
        <v>0</v>
      </c>
      <c r="D9" s="146">
        <f>'明细表M3-2'!H17</f>
        <v>0</v>
      </c>
      <c r="E9" s="146">
        <f>'明细表M3-2'!M17</f>
        <v>0</v>
      </c>
      <c r="F9" s="146">
        <f>'明细表M3-2'!F17</f>
        <v>0</v>
      </c>
      <c r="G9" s="146">
        <f>'明细表M3-2'!G17+'明细表M3-2'!I17-'明细表M3-2'!J17</f>
        <v>0</v>
      </c>
      <c r="H9" s="146">
        <f>'明细表M3-2'!H17+'明细表M3-2'!K17-'明细表M3-2'!L17</f>
        <v>0</v>
      </c>
      <c r="I9" s="146">
        <f>'明细表M3-2'!P17</f>
        <v>0</v>
      </c>
      <c r="J9" s="146">
        <f t="shared" si="0"/>
        <v>0</v>
      </c>
      <c r="K9" s="147">
        <f t="shared" si="1"/>
        <v>0</v>
      </c>
      <c r="L9" s="71"/>
    </row>
    <row r="10" spans="1:12" ht="19.95" customHeight="1">
      <c r="A10" s="145" t="str">
        <f>'明细表M3-2'!A18</f>
        <v>母子公司交叉持股</v>
      </c>
      <c r="B10" s="146">
        <f>'明细表M3-2'!B18</f>
        <v>0</v>
      </c>
      <c r="C10" s="146">
        <f>'明细表M3-2'!G18</f>
        <v>0</v>
      </c>
      <c r="D10" s="146">
        <f>'明细表M3-2'!H18</f>
        <v>0</v>
      </c>
      <c r="E10" s="146">
        <f>'明细表M3-2'!M18</f>
        <v>0</v>
      </c>
      <c r="F10" s="146">
        <f>'明细表M3-2'!F18</f>
        <v>0</v>
      </c>
      <c r="G10" s="146">
        <f>'明细表M3-2'!G18+'明细表M3-2'!I18-'明细表M3-2'!J18</f>
        <v>0</v>
      </c>
      <c r="H10" s="146">
        <f>'明细表M3-2'!H18+'明细表M3-2'!K18-'明细表M3-2'!L18</f>
        <v>0</v>
      </c>
      <c r="I10" s="146">
        <f>'明细表M3-2'!P18</f>
        <v>0</v>
      </c>
      <c r="J10" s="146">
        <f t="shared" si="0"/>
        <v>0</v>
      </c>
      <c r="K10" s="147">
        <f t="shared" si="1"/>
        <v>0</v>
      </c>
      <c r="L10" s="71"/>
    </row>
    <row r="11" spans="1:12" s="9" customFormat="1" ht="19.95" customHeight="1">
      <c r="A11" s="148">
        <f>'明细表M3-2'!A19</f>
        <v>0</v>
      </c>
      <c r="B11" s="146">
        <f>'明细表M3-2'!B19</f>
        <v>0</v>
      </c>
      <c r="C11" s="146">
        <f>'明细表M3-2'!G19</f>
        <v>0</v>
      </c>
      <c r="D11" s="146">
        <f>'明细表M3-2'!H19</f>
        <v>0</v>
      </c>
      <c r="E11" s="146">
        <f>'明细表M3-2'!M19</f>
        <v>0</v>
      </c>
      <c r="F11" s="146">
        <f>'明细表M3-2'!F19</f>
        <v>0</v>
      </c>
      <c r="G11" s="146">
        <f>'明细表M3-2'!G19+'明细表M3-2'!I19-'明细表M3-2'!J19</f>
        <v>0</v>
      </c>
      <c r="H11" s="146">
        <f>'明细表M3-2'!H19+'明细表M3-2'!K19-'明细表M3-2'!L19</f>
        <v>0</v>
      </c>
      <c r="I11" s="146">
        <f>'明细表M3-2'!P19</f>
        <v>0</v>
      </c>
      <c r="J11" s="146">
        <f t="shared" si="0"/>
        <v>0</v>
      </c>
      <c r="K11" s="147">
        <f t="shared" si="1"/>
        <v>0</v>
      </c>
      <c r="L11" s="71"/>
    </row>
    <row r="12" spans="1:12" ht="19.95" customHeight="1">
      <c r="A12" s="148">
        <f>'明细表M3-2'!A20</f>
        <v>0</v>
      </c>
      <c r="B12" s="146">
        <f>'明细表M3-2'!B20</f>
        <v>0</v>
      </c>
      <c r="C12" s="146">
        <f>'明细表M3-2'!G20</f>
        <v>0</v>
      </c>
      <c r="D12" s="146">
        <f>'明细表M3-2'!H20</f>
        <v>0</v>
      </c>
      <c r="E12" s="146">
        <f>'明细表M3-2'!M20</f>
        <v>0</v>
      </c>
      <c r="F12" s="146">
        <f>'明细表M3-2'!F20</f>
        <v>0</v>
      </c>
      <c r="G12" s="146">
        <f>'明细表M3-2'!G20+'明细表M3-2'!I20-'明细表M3-2'!J20</f>
        <v>0</v>
      </c>
      <c r="H12" s="146">
        <f>'明细表M3-2'!H20+'明细表M3-2'!K20-'明细表M3-2'!L20</f>
        <v>0</v>
      </c>
      <c r="I12" s="146">
        <f>'明细表M3-2'!P20</f>
        <v>0</v>
      </c>
      <c r="J12" s="146">
        <f t="shared" si="0"/>
        <v>0</v>
      </c>
      <c r="K12" s="147">
        <f t="shared" si="1"/>
        <v>0</v>
      </c>
      <c r="L12" s="71"/>
    </row>
    <row r="13" spans="1:12" ht="19.95" customHeight="1">
      <c r="A13" s="148">
        <f>'明细表M3-2'!A21</f>
        <v>0</v>
      </c>
      <c r="B13" s="146">
        <f>'明细表M3-2'!B21</f>
        <v>0</v>
      </c>
      <c r="C13" s="146">
        <f>'明细表M3-2'!G21</f>
        <v>0</v>
      </c>
      <c r="D13" s="146">
        <f>'明细表M3-2'!H21</f>
        <v>0</v>
      </c>
      <c r="E13" s="146">
        <f>'明细表M3-2'!M21</f>
        <v>0</v>
      </c>
      <c r="F13" s="146">
        <f>'明细表M3-2'!F21</f>
        <v>0</v>
      </c>
      <c r="G13" s="146">
        <f>'明细表M3-2'!G21+'明细表M3-2'!I21-'明细表M3-2'!J21</f>
        <v>0</v>
      </c>
      <c r="H13" s="146">
        <f>'明细表M3-2'!H21+'明细表M3-2'!K21-'明细表M3-2'!L21</f>
        <v>0</v>
      </c>
      <c r="I13" s="146">
        <f>'明细表M3-2'!P21</f>
        <v>0</v>
      </c>
      <c r="J13" s="146">
        <f t="shared" si="0"/>
        <v>0</v>
      </c>
      <c r="K13" s="147">
        <f t="shared" si="1"/>
        <v>0</v>
      </c>
      <c r="L13" s="71"/>
    </row>
    <row r="14" spans="1:12" ht="19.95" customHeight="1">
      <c r="A14" s="148">
        <f>'明细表M3-2'!A22</f>
        <v>0</v>
      </c>
      <c r="B14" s="146">
        <f>'明细表M3-2'!B22</f>
        <v>0</v>
      </c>
      <c r="C14" s="146">
        <f>'明细表M3-2'!G22</f>
        <v>0</v>
      </c>
      <c r="D14" s="146">
        <f>'明细表M3-2'!H22</f>
        <v>0</v>
      </c>
      <c r="E14" s="146">
        <f>'明细表M3-2'!M22</f>
        <v>0</v>
      </c>
      <c r="F14" s="146">
        <f>'明细表M3-2'!F22</f>
        <v>0</v>
      </c>
      <c r="G14" s="146">
        <f>'明细表M3-2'!G22+'明细表M3-2'!I22-'明细表M3-2'!J22</f>
        <v>0</v>
      </c>
      <c r="H14" s="146">
        <f>'明细表M3-2'!H22+'明细表M3-2'!K22-'明细表M3-2'!L22</f>
        <v>0</v>
      </c>
      <c r="I14" s="146">
        <f>'明细表M3-2'!P22</f>
        <v>0</v>
      </c>
      <c r="J14" s="146">
        <f t="shared" si="0"/>
        <v>0</v>
      </c>
      <c r="K14" s="147">
        <f t="shared" si="1"/>
        <v>0</v>
      </c>
      <c r="L14" s="71"/>
    </row>
    <row r="15" spans="1:12" ht="19.95" customHeight="1">
      <c r="A15" s="148">
        <f>'明细表M3-2'!A23</f>
        <v>0</v>
      </c>
      <c r="B15" s="146">
        <f>'明细表M3-2'!B23</f>
        <v>0</v>
      </c>
      <c r="C15" s="146">
        <f>'明细表M3-2'!G23</f>
        <v>0</v>
      </c>
      <c r="D15" s="146">
        <f>'明细表M3-2'!H23</f>
        <v>0</v>
      </c>
      <c r="E15" s="146">
        <f>'明细表M3-2'!M23</f>
        <v>0</v>
      </c>
      <c r="F15" s="146">
        <f>'明细表M3-2'!F23</f>
        <v>0</v>
      </c>
      <c r="G15" s="146">
        <f>'明细表M3-2'!G23+'明细表M3-2'!I23-'明细表M3-2'!J23</f>
        <v>0</v>
      </c>
      <c r="H15" s="146">
        <f>'明细表M3-2'!H23+'明细表M3-2'!K23-'明细表M3-2'!L23</f>
        <v>0</v>
      </c>
      <c r="I15" s="146">
        <f>'明细表M3-2'!P23</f>
        <v>0</v>
      </c>
      <c r="J15" s="146">
        <f t="shared" si="0"/>
        <v>0</v>
      </c>
      <c r="K15" s="147">
        <f t="shared" si="1"/>
        <v>0</v>
      </c>
      <c r="L15" s="71"/>
    </row>
    <row r="16" spans="1:12" s="9" customFormat="1" ht="19.95" customHeight="1">
      <c r="A16" s="148">
        <f>'明细表M3-2'!A24</f>
        <v>0</v>
      </c>
      <c r="B16" s="146">
        <f>'明细表M3-2'!B24</f>
        <v>0</v>
      </c>
      <c r="C16" s="146">
        <f>'明细表M3-2'!G24</f>
        <v>0</v>
      </c>
      <c r="D16" s="146">
        <f>'明细表M3-2'!H24</f>
        <v>0</v>
      </c>
      <c r="E16" s="146">
        <f>'明细表M3-2'!M24</f>
        <v>0</v>
      </c>
      <c r="F16" s="146">
        <f>'明细表M3-2'!F24</f>
        <v>0</v>
      </c>
      <c r="G16" s="146">
        <f>'明细表M3-2'!G24+'明细表M3-2'!I24-'明细表M3-2'!J24</f>
        <v>0</v>
      </c>
      <c r="H16" s="146">
        <f>'明细表M3-2'!H24+'明细表M3-2'!K24-'明细表M3-2'!L24</f>
        <v>0</v>
      </c>
      <c r="I16" s="146">
        <f>'明细表M3-2'!P24</f>
        <v>0</v>
      </c>
      <c r="J16" s="146">
        <f t="shared" si="0"/>
        <v>0</v>
      </c>
      <c r="K16" s="147">
        <f t="shared" si="1"/>
        <v>0</v>
      </c>
      <c r="L16" s="71"/>
    </row>
    <row r="17" spans="1:12" s="9" customFormat="1" ht="19.95" customHeight="1">
      <c r="A17" s="149" t="s">
        <v>111</v>
      </c>
      <c r="B17" s="150">
        <f>SUM(B7:B16)</f>
        <v>0</v>
      </c>
      <c r="C17" s="150">
        <f t="shared" ref="C17:I17" si="2">SUM(C7:C16)</f>
        <v>0</v>
      </c>
      <c r="D17" s="150">
        <f t="shared" si="2"/>
        <v>0</v>
      </c>
      <c r="E17" s="150">
        <f t="shared" si="2"/>
        <v>0</v>
      </c>
      <c r="F17" s="150">
        <f t="shared" si="2"/>
        <v>0</v>
      </c>
      <c r="G17" s="150">
        <f t="shared" si="2"/>
        <v>0</v>
      </c>
      <c r="H17" s="150">
        <f t="shared" si="2"/>
        <v>0</v>
      </c>
      <c r="I17" s="150">
        <f t="shared" si="2"/>
        <v>0</v>
      </c>
      <c r="J17" s="150">
        <f t="shared" si="0"/>
        <v>0</v>
      </c>
      <c r="K17" s="151">
        <f t="shared" si="1"/>
        <v>0</v>
      </c>
      <c r="L17" s="81"/>
    </row>
    <row r="18" spans="1:12" s="116" customFormat="1" ht="19.95" customHeight="1">
      <c r="A18" s="112" t="s">
        <v>129</v>
      </c>
      <c r="B18" s="113"/>
      <c r="C18" s="113"/>
      <c r="D18" s="113"/>
      <c r="E18" s="152"/>
      <c r="F18" s="113"/>
      <c r="G18" s="113"/>
      <c r="H18" s="113"/>
      <c r="I18" s="152"/>
      <c r="J18" s="115"/>
      <c r="K18" s="114"/>
      <c r="L18" s="114"/>
    </row>
    <row r="19" spans="1:12" s="116" customFormat="1" ht="19.95" customHeight="1">
      <c r="A19" s="112" t="s">
        <v>130</v>
      </c>
      <c r="B19" s="113"/>
      <c r="C19" s="113"/>
      <c r="D19" s="113"/>
      <c r="E19" s="152">
        <f>E17-E18</f>
        <v>0</v>
      </c>
      <c r="F19" s="113"/>
      <c r="G19" s="113"/>
      <c r="H19" s="113"/>
      <c r="I19" s="152">
        <f>I17-I18</f>
        <v>0</v>
      </c>
      <c r="J19" s="115"/>
      <c r="K19" s="114"/>
      <c r="L19" s="114"/>
    </row>
    <row r="20" spans="1:12" ht="19.95" customHeight="1">
      <c r="A20" s="72" t="s">
        <v>10</v>
      </c>
      <c r="B20" s="6"/>
      <c r="C20" s="6"/>
      <c r="D20" s="6"/>
      <c r="E20" s="6"/>
      <c r="F20" s="12"/>
      <c r="G20" s="6"/>
    </row>
    <row r="21" spans="1:12" ht="19.95" customHeight="1">
      <c r="A21" s="73" t="s">
        <v>11</v>
      </c>
      <c r="B21" s="10"/>
      <c r="C21" s="10"/>
      <c r="D21" s="254"/>
      <c r="E21" s="254"/>
      <c r="F21" s="10"/>
      <c r="G21" s="10"/>
    </row>
    <row r="22" spans="1:12" ht="19.95" customHeight="1">
      <c r="A22" s="73" t="s">
        <v>12</v>
      </c>
      <c r="B22" s="10"/>
      <c r="C22" s="10"/>
      <c r="D22" s="10"/>
      <c r="E22" s="10"/>
      <c r="F22" s="10"/>
      <c r="G22" s="10"/>
    </row>
    <row r="23" spans="1:12" ht="19.95" customHeight="1">
      <c r="A23" s="73"/>
      <c r="B23" s="10"/>
      <c r="C23" s="10"/>
      <c r="D23" s="10"/>
      <c r="E23" s="10"/>
      <c r="F23" s="10"/>
      <c r="G23" s="10"/>
    </row>
    <row r="24" spans="1:12" ht="19.95" customHeight="1">
      <c r="A24" s="73"/>
      <c r="B24" s="10"/>
      <c r="C24" s="10"/>
      <c r="D24" s="10"/>
      <c r="E24" s="10"/>
      <c r="F24" s="10"/>
      <c r="G24" s="10"/>
    </row>
    <row r="25" spans="1:12" ht="19.95" customHeight="1">
      <c r="A25" s="74" t="s">
        <v>13</v>
      </c>
      <c r="B25" s="11"/>
      <c r="C25" s="11"/>
      <c r="D25" s="11"/>
      <c r="E25" s="11"/>
      <c r="F25" s="11"/>
      <c r="G25" s="11"/>
    </row>
    <row r="26" spans="1:12" ht="19.95" customHeight="1">
      <c r="A26" s="74"/>
      <c r="B26" s="11"/>
      <c r="C26" s="11"/>
      <c r="D26" s="11"/>
      <c r="E26" s="11"/>
      <c r="F26" s="11"/>
      <c r="G26" s="11"/>
    </row>
    <row r="27" spans="1:12" ht="19.95" customHeight="1">
      <c r="A27" s="73"/>
      <c r="B27" s="10"/>
      <c r="C27" s="10"/>
      <c r="D27" s="10"/>
      <c r="E27" s="10"/>
      <c r="F27" s="10"/>
      <c r="G27" s="10"/>
    </row>
    <row r="28" spans="1:12" ht="19.95" customHeight="1">
      <c r="A28" s="75" t="s">
        <v>14</v>
      </c>
      <c r="B28" s="10"/>
      <c r="C28" s="10"/>
      <c r="D28" s="10"/>
      <c r="E28" s="10"/>
      <c r="F28" s="12"/>
      <c r="G28" s="10"/>
    </row>
    <row r="29" spans="1:12" ht="19.95" customHeight="1">
      <c r="A29" s="75"/>
      <c r="B29" s="10"/>
      <c r="C29" s="10"/>
      <c r="D29" s="10"/>
      <c r="E29" s="10"/>
      <c r="F29" s="10"/>
      <c r="G29" s="10"/>
    </row>
    <row r="30" spans="1:12" ht="19.95" customHeight="1">
      <c r="A30" s="75"/>
      <c r="B30" s="10"/>
      <c r="C30" s="10"/>
      <c r="D30" s="10"/>
      <c r="E30" s="10"/>
      <c r="F30" s="10"/>
      <c r="G30" s="10"/>
    </row>
    <row r="31" spans="1:12" ht="19.95" customHeight="1">
      <c r="A31" s="76" t="s">
        <v>15</v>
      </c>
      <c r="B31" s="10"/>
      <c r="C31" s="10"/>
      <c r="D31" s="10"/>
      <c r="E31" s="10"/>
      <c r="F31" s="10"/>
      <c r="G31" s="10"/>
    </row>
    <row r="32" spans="1:12" ht="23.25" customHeight="1">
      <c r="A32" s="184" t="s">
        <v>221</v>
      </c>
    </row>
    <row r="33" spans="1:1" ht="23.25" customHeight="1">
      <c r="A33" s="46" t="s">
        <v>220</v>
      </c>
    </row>
  </sheetData>
  <mergeCells count="8">
    <mergeCell ref="L5:L6"/>
    <mergeCell ref="A1:L1"/>
    <mergeCell ref="A2:L2"/>
    <mergeCell ref="A5:A6"/>
    <mergeCell ref="D21:E21"/>
    <mergeCell ref="B5:E5"/>
    <mergeCell ref="F5:I5"/>
    <mergeCell ref="J5:K5"/>
  </mergeCells>
  <phoneticPr fontId="17" type="noConversion"/>
  <hyperlinks>
    <hyperlink ref="L3" location="底稿目录!A1" display="底稿目录!A1"/>
  </hyperlinks>
  <printOptions horizontalCentered="1"/>
  <pageMargins left="0.70866141732283472" right="0.70866141732283472" top="0.74803149606299213" bottom="0.74803149606299213" header="0.31496062992125984" footer="0.31496062992125984"/>
  <pageSetup paperSize="9" scale="80" orientation="landscape" blackAndWhite="1" r:id="rId1"/>
  <headerFooter alignWithMargins="0">
    <oddFooter>&amp;C&amp;P/&amp;N</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K18"/>
  <sheetViews>
    <sheetView view="pageBreakPreview" zoomScaleSheetLayoutView="100" workbookViewId="0">
      <selection sqref="A1:D1"/>
    </sheetView>
  </sheetViews>
  <sheetFormatPr defaultColWidth="9" defaultRowHeight="15.6"/>
  <cols>
    <col min="1" max="1" width="26.59765625" customWidth="1"/>
    <col min="2" max="2" width="21.59765625" customWidth="1"/>
    <col min="3" max="3" width="26.59765625" customWidth="1"/>
    <col min="4" max="4" width="24.296875" customWidth="1"/>
    <col min="5" max="5" width="36.3984375" customWidth="1"/>
  </cols>
  <sheetData>
    <row r="1" spans="1:11" s="95" customFormat="1" ht="20.100000000000001" customHeight="1">
      <c r="A1" s="263" t="s">
        <v>45</v>
      </c>
      <c r="B1" s="263"/>
      <c r="C1" s="263"/>
      <c r="D1" s="263"/>
      <c r="E1" s="94"/>
      <c r="F1" s="94"/>
      <c r="G1" s="94"/>
      <c r="H1" s="94"/>
      <c r="I1" s="94"/>
      <c r="J1" s="94"/>
      <c r="K1" s="94"/>
    </row>
    <row r="2" spans="1:11" s="95" customFormat="1" ht="25.05" customHeight="1">
      <c r="A2" s="264" t="s">
        <v>60</v>
      </c>
      <c r="B2" s="264"/>
      <c r="C2" s="264"/>
      <c r="D2" s="264"/>
      <c r="E2" s="264"/>
      <c r="F2" s="264"/>
      <c r="G2" s="264"/>
      <c r="H2" s="264"/>
      <c r="I2" s="264"/>
      <c r="J2" s="264"/>
      <c r="K2" s="264"/>
    </row>
    <row r="3" spans="1:11" s="19" customFormat="1" ht="20.100000000000001" customHeight="1">
      <c r="A3" s="18" t="str">
        <f>底稿目录!A2</f>
        <v>被审计单位：</v>
      </c>
      <c r="B3" s="18" t="str">
        <f>底稿目录!A4</f>
        <v>编制人：</v>
      </c>
      <c r="C3" s="18" t="str">
        <f>底稿目录!A5</f>
        <v>编制日期：</v>
      </c>
      <c r="E3" s="18" t="s">
        <v>166</v>
      </c>
      <c r="I3" s="18"/>
      <c r="J3" s="18"/>
    </row>
    <row r="4" spans="1:11" s="19" customFormat="1" ht="20.100000000000001" customHeight="1">
      <c r="A4" s="19" t="str">
        <f>底稿目录!A3</f>
        <v>截止日：202X年12月31日</v>
      </c>
      <c r="B4" s="18" t="str">
        <f>底稿目录!A6</f>
        <v>复核人：</v>
      </c>
      <c r="C4" s="18" t="str">
        <f>底稿目录!A7</f>
        <v>复核日期：</v>
      </c>
      <c r="E4" s="18" t="s">
        <v>46</v>
      </c>
      <c r="I4" s="18"/>
      <c r="J4" s="18"/>
    </row>
    <row r="5" spans="1:11" s="132" customFormat="1" ht="20.399999999999999" customHeight="1" thickBot="1">
      <c r="A5" s="130" t="s">
        <v>26</v>
      </c>
      <c r="B5" s="18"/>
      <c r="C5" s="18"/>
      <c r="D5" s="131"/>
    </row>
    <row r="6" spans="1:11" s="136" customFormat="1" ht="26.55" customHeight="1" thickBot="1">
      <c r="A6" s="133" t="s">
        <v>141</v>
      </c>
      <c r="B6" s="134" t="s">
        <v>152</v>
      </c>
      <c r="C6" s="135" t="s">
        <v>6</v>
      </c>
      <c r="D6" s="135" t="s">
        <v>7</v>
      </c>
      <c r="E6" s="134" t="s">
        <v>153</v>
      </c>
    </row>
    <row r="7" spans="1:11" s="136" customFormat="1" ht="13.8">
      <c r="A7" s="137" t="s">
        <v>151</v>
      </c>
      <c r="B7" s="164"/>
      <c r="C7" s="164"/>
      <c r="D7" s="164"/>
      <c r="E7" s="164"/>
    </row>
    <row r="8" spans="1:11" s="136" customFormat="1" ht="13.8">
      <c r="A8" s="137" t="s">
        <v>151</v>
      </c>
      <c r="B8" s="164"/>
      <c r="C8" s="164"/>
      <c r="D8" s="164"/>
      <c r="E8" s="164"/>
    </row>
    <row r="9" spans="1:11" s="136" customFormat="1" ht="14.4" thickBot="1">
      <c r="A9" s="138"/>
      <c r="B9" s="165"/>
      <c r="C9" s="165"/>
      <c r="D9" s="165"/>
      <c r="E9" s="165"/>
    </row>
    <row r="10" spans="1:11" s="136" customFormat="1" ht="14.4" thickBot="1">
      <c r="A10" s="139" t="s">
        <v>142</v>
      </c>
      <c r="B10" s="166"/>
      <c r="C10" s="166"/>
      <c r="D10" s="166"/>
      <c r="E10" s="166"/>
    </row>
    <row r="11" spans="1:11" s="136" customFormat="1" ht="12">
      <c r="A11" s="140" t="s">
        <v>27</v>
      </c>
    </row>
    <row r="12" spans="1:11" s="136" customFormat="1" ht="12">
      <c r="A12" s="141" t="s">
        <v>143</v>
      </c>
    </row>
    <row r="13" spans="1:11" s="136" customFormat="1" ht="12">
      <c r="A13" s="141" t="s">
        <v>17</v>
      </c>
    </row>
    <row r="14" spans="1:11" s="136" customFormat="1" ht="12">
      <c r="A14" s="141" t="s">
        <v>18</v>
      </c>
    </row>
    <row r="15" spans="1:11" s="136" customFormat="1" ht="12">
      <c r="A15" s="141" t="s">
        <v>19</v>
      </c>
    </row>
    <row r="16" spans="1:11" s="136" customFormat="1" ht="12">
      <c r="A16" s="141" t="s">
        <v>20</v>
      </c>
    </row>
    <row r="17" s="136" customFormat="1" ht="12"/>
    <row r="18" s="132" customFormat="1"/>
  </sheetData>
  <mergeCells count="3">
    <mergeCell ref="A1:D1"/>
    <mergeCell ref="A2:D2"/>
    <mergeCell ref="E2:K2"/>
  </mergeCells>
  <phoneticPr fontId="17" type="noConversion"/>
  <printOptions horizontalCentered="1"/>
  <pageMargins left="0.70866141732283472" right="0.70866141732283472" top="0.74803149606299213" bottom="0.74803149606299213" header="0.31496062992125984" footer="0.31496062992125984"/>
  <pageSetup paperSize="9" scale="60" orientation="portrait" blackAndWhite="1" r:id="rId1"/>
  <ignoredErrors>
    <ignoredError sqref="A3:C4" unlocked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S59"/>
  <sheetViews>
    <sheetView view="pageBreakPreview" zoomScaleSheetLayoutView="100" workbookViewId="0">
      <selection sqref="A1:S1"/>
    </sheetView>
  </sheetViews>
  <sheetFormatPr defaultColWidth="9" defaultRowHeight="15.6"/>
  <cols>
    <col min="1" max="1" width="25.796875" style="2" customWidth="1"/>
    <col min="2" max="16" width="10.5" style="2" customWidth="1"/>
    <col min="17" max="17" width="10.5" style="3" customWidth="1"/>
    <col min="18" max="19" width="10.5" style="2" customWidth="1"/>
    <col min="20" max="16384" width="9" style="2"/>
  </cols>
  <sheetData>
    <row r="1" spans="1:19" s="1" customFormat="1" ht="19.95" customHeight="1">
      <c r="A1" s="265" t="s">
        <v>45</v>
      </c>
      <c r="B1" s="265"/>
      <c r="C1" s="265"/>
      <c r="D1" s="265"/>
      <c r="E1" s="265"/>
      <c r="F1" s="265"/>
      <c r="G1" s="265"/>
      <c r="H1" s="265"/>
      <c r="I1" s="265"/>
      <c r="J1" s="265"/>
      <c r="K1" s="265"/>
      <c r="L1" s="265"/>
      <c r="M1" s="265"/>
      <c r="N1" s="265"/>
      <c r="O1" s="265"/>
      <c r="P1" s="265"/>
      <c r="Q1" s="265"/>
      <c r="R1" s="265"/>
      <c r="S1" s="265"/>
    </row>
    <row r="2" spans="1:19" s="1" customFormat="1" ht="19.95" customHeight="1">
      <c r="A2" s="266" t="s">
        <v>5</v>
      </c>
      <c r="B2" s="266"/>
      <c r="C2" s="266"/>
      <c r="D2" s="266"/>
      <c r="E2" s="266"/>
      <c r="F2" s="266"/>
      <c r="G2" s="266"/>
      <c r="H2" s="266"/>
      <c r="I2" s="266"/>
      <c r="J2" s="266"/>
      <c r="K2" s="266"/>
      <c r="L2" s="266"/>
      <c r="M2" s="266"/>
      <c r="N2" s="266"/>
      <c r="O2" s="266"/>
      <c r="P2" s="266"/>
      <c r="Q2" s="266"/>
      <c r="R2" s="266"/>
      <c r="S2" s="266"/>
    </row>
    <row r="3" spans="1:19" s="13" customFormat="1" ht="19.95" customHeight="1">
      <c r="A3" s="19" t="str">
        <f>底稿目录!A2</f>
        <v>被审计单位：</v>
      </c>
      <c r="B3" s="19"/>
      <c r="D3" s="19" t="str">
        <f>底稿目录!A4</f>
        <v>编制人：</v>
      </c>
      <c r="E3" s="19"/>
      <c r="F3" s="19"/>
      <c r="H3" s="21"/>
      <c r="I3" s="21"/>
      <c r="K3" s="19" t="str">
        <f>底稿目录!A5</f>
        <v>编制日期：</v>
      </c>
      <c r="L3" s="85"/>
      <c r="M3" s="21"/>
      <c r="N3" s="21"/>
      <c r="O3" s="21"/>
      <c r="R3" s="167" t="s">
        <v>0</v>
      </c>
      <c r="S3" s="215" t="str">
        <f>底稿目录!F7</f>
        <v>M3-2</v>
      </c>
    </row>
    <row r="4" spans="1:19" s="13" customFormat="1" ht="19.95" customHeight="1">
      <c r="A4" s="19" t="str">
        <f>底稿目录!A3</f>
        <v>截止日：202X年12月31日</v>
      </c>
      <c r="B4" s="19"/>
      <c r="D4" s="19" t="str">
        <f>底稿目录!A6</f>
        <v>复核人：</v>
      </c>
      <c r="E4" s="18"/>
      <c r="F4" s="19"/>
      <c r="H4" s="21"/>
      <c r="I4" s="21"/>
      <c r="K4" s="19" t="str">
        <f>底稿目录!A7</f>
        <v>复核日期：</v>
      </c>
      <c r="L4" s="85"/>
      <c r="M4" s="21"/>
      <c r="N4" s="21"/>
      <c r="O4" s="21"/>
      <c r="R4" s="167" t="s">
        <v>46</v>
      </c>
      <c r="S4" s="21"/>
    </row>
    <row r="5" spans="1:19" s="52" customFormat="1" ht="19.95" customHeight="1">
      <c r="A5" s="50" t="s">
        <v>56</v>
      </c>
      <c r="B5" s="51"/>
      <c r="G5" s="54"/>
      <c r="K5" s="54"/>
      <c r="N5" s="55"/>
    </row>
    <row r="6" spans="1:19" s="52" customFormat="1" ht="19.95" customHeight="1">
      <c r="A6" s="185" t="s">
        <v>222</v>
      </c>
      <c r="B6" s="56"/>
      <c r="G6" s="54"/>
      <c r="K6" s="54"/>
      <c r="N6" s="55"/>
    </row>
    <row r="7" spans="1:19" s="52" customFormat="1" ht="19.95" customHeight="1">
      <c r="A7" s="185" t="s">
        <v>223</v>
      </c>
      <c r="B7" s="56"/>
      <c r="G7" s="54"/>
      <c r="K7" s="54"/>
      <c r="N7" s="55"/>
    </row>
    <row r="8" spans="1:19" s="52" customFormat="1" ht="19.95" customHeight="1">
      <c r="A8" s="185" t="s">
        <v>224</v>
      </c>
      <c r="B8" s="56"/>
      <c r="G8" s="54"/>
      <c r="K8" s="54"/>
      <c r="N8" s="55"/>
    </row>
    <row r="9" spans="1:19" s="52" customFormat="1" ht="19.95" customHeight="1">
      <c r="A9" s="57" t="s">
        <v>57</v>
      </c>
      <c r="G9" s="54"/>
      <c r="K9" s="54"/>
      <c r="N9" s="55"/>
    </row>
    <row r="10" spans="1:19" s="52" customFormat="1" ht="19.95" customHeight="1">
      <c r="A10" s="159" t="s">
        <v>225</v>
      </c>
      <c r="B10" s="56"/>
      <c r="G10" s="54"/>
      <c r="K10" s="54"/>
      <c r="N10" s="55"/>
    </row>
    <row r="11" spans="1:19" s="52" customFormat="1" ht="19.95" customHeight="1">
      <c r="A11" s="159" t="s">
        <v>226</v>
      </c>
      <c r="B11" s="56"/>
      <c r="G11" s="54"/>
      <c r="K11" s="54"/>
      <c r="N11" s="55"/>
    </row>
    <row r="12" spans="1:19" s="13" customFormat="1" ht="19.95" customHeight="1">
      <c r="A12" s="267" t="s">
        <v>88</v>
      </c>
      <c r="B12" s="273" t="s">
        <v>74</v>
      </c>
      <c r="C12" s="274"/>
      <c r="D12" s="274"/>
      <c r="E12" s="274"/>
      <c r="F12" s="274"/>
      <c r="G12" s="275" t="s">
        <v>107</v>
      </c>
      <c r="H12" s="275"/>
      <c r="I12" s="275" t="s">
        <v>108</v>
      </c>
      <c r="J12" s="276"/>
      <c r="K12" s="277" t="s">
        <v>80</v>
      </c>
      <c r="L12" s="278"/>
      <c r="M12" s="273" t="s">
        <v>85</v>
      </c>
      <c r="N12" s="279"/>
      <c r="O12" s="279"/>
      <c r="P12" s="280"/>
      <c r="Q12" s="267" t="s">
        <v>105</v>
      </c>
      <c r="R12" s="267" t="s">
        <v>106</v>
      </c>
      <c r="S12" s="267" t="s">
        <v>75</v>
      </c>
    </row>
    <row r="13" spans="1:19" s="13" customFormat="1" ht="19.95" customHeight="1">
      <c r="A13" s="267"/>
      <c r="B13" s="270" t="s">
        <v>93</v>
      </c>
      <c r="C13" s="270" t="s">
        <v>94</v>
      </c>
      <c r="D13" s="272" t="s">
        <v>77</v>
      </c>
      <c r="E13" s="272"/>
      <c r="F13" s="268" t="s">
        <v>78</v>
      </c>
      <c r="G13" s="270" t="s">
        <v>95</v>
      </c>
      <c r="H13" s="270" t="s">
        <v>96</v>
      </c>
      <c r="I13" s="270" t="s">
        <v>97</v>
      </c>
      <c r="J13" s="270" t="s">
        <v>98</v>
      </c>
      <c r="K13" s="270" t="s">
        <v>99</v>
      </c>
      <c r="L13" s="270" t="s">
        <v>100</v>
      </c>
      <c r="M13" s="270" t="s">
        <v>101</v>
      </c>
      <c r="N13" s="270" t="s">
        <v>102</v>
      </c>
      <c r="O13" s="270" t="s">
        <v>103</v>
      </c>
      <c r="P13" s="270" t="s">
        <v>104</v>
      </c>
      <c r="Q13" s="267"/>
      <c r="R13" s="267"/>
      <c r="S13" s="267"/>
    </row>
    <row r="14" spans="1:19" s="13" customFormat="1" ht="19.95" customHeight="1">
      <c r="A14" s="267"/>
      <c r="B14" s="271"/>
      <c r="C14" s="271"/>
      <c r="D14" s="66" t="s">
        <v>92</v>
      </c>
      <c r="E14" s="66" t="s">
        <v>91</v>
      </c>
      <c r="F14" s="269"/>
      <c r="G14" s="271"/>
      <c r="H14" s="271"/>
      <c r="I14" s="271"/>
      <c r="J14" s="271"/>
      <c r="K14" s="271"/>
      <c r="L14" s="271"/>
      <c r="M14" s="271"/>
      <c r="N14" s="271"/>
      <c r="O14" s="271"/>
      <c r="P14" s="271"/>
      <c r="Q14" s="267"/>
      <c r="R14" s="267"/>
      <c r="S14" s="267"/>
    </row>
    <row r="15" spans="1:19" s="13" customFormat="1" ht="19.95" customHeight="1">
      <c r="A15" s="84" t="s">
        <v>109</v>
      </c>
      <c r="B15" s="24"/>
      <c r="C15" s="67"/>
      <c r="D15" s="67"/>
      <c r="E15" s="67"/>
      <c r="F15" s="153">
        <f>B15+C15-D15-E15</f>
        <v>0</v>
      </c>
      <c r="G15" s="67"/>
      <c r="H15" s="67"/>
      <c r="I15" s="67"/>
      <c r="J15" s="67"/>
      <c r="K15" s="67"/>
      <c r="L15" s="67"/>
      <c r="M15" s="153">
        <f>B15+G15+H15</f>
        <v>0</v>
      </c>
      <c r="N15" s="153">
        <f t="shared" ref="N15:N24" si="0">C15+I15+K15</f>
        <v>0</v>
      </c>
      <c r="O15" s="153">
        <f>D15+E15+J15+L15</f>
        <v>0</v>
      </c>
      <c r="P15" s="153">
        <f>M15+N15-O15</f>
        <v>0</v>
      </c>
      <c r="Q15" s="168"/>
      <c r="R15" s="168"/>
      <c r="S15" s="169"/>
    </row>
    <row r="16" spans="1:19" s="13" customFormat="1" ht="19.95" customHeight="1">
      <c r="A16" s="84" t="s">
        <v>89</v>
      </c>
      <c r="B16" s="24"/>
      <c r="C16" s="67"/>
      <c r="D16" s="67"/>
      <c r="E16" s="67"/>
      <c r="F16" s="153">
        <f t="shared" ref="F16:F24" si="1">B16+C16-D16-E16</f>
        <v>0</v>
      </c>
      <c r="G16" s="67"/>
      <c r="H16" s="67"/>
      <c r="I16" s="67"/>
      <c r="J16" s="67"/>
      <c r="K16" s="67"/>
      <c r="L16" s="67"/>
      <c r="M16" s="153">
        <f t="shared" ref="M16:M24" si="2">B16+G16+H16</f>
        <v>0</v>
      </c>
      <c r="N16" s="153">
        <f t="shared" si="0"/>
        <v>0</v>
      </c>
      <c r="O16" s="153">
        <f t="shared" ref="O16:O24" si="3">D16+E16+J16+L16</f>
        <v>0</v>
      </c>
      <c r="P16" s="153">
        <f t="shared" ref="P16:P24" si="4">M16+N16-O16</f>
        <v>0</v>
      </c>
      <c r="Q16" s="168"/>
      <c r="R16" s="168"/>
      <c r="S16" s="169"/>
    </row>
    <row r="17" spans="1:19" s="13" customFormat="1" ht="30.6" customHeight="1">
      <c r="A17" s="84" t="s">
        <v>90</v>
      </c>
      <c r="B17" s="24"/>
      <c r="C17" s="67"/>
      <c r="D17" s="67"/>
      <c r="E17" s="67"/>
      <c r="F17" s="153">
        <f t="shared" si="1"/>
        <v>0</v>
      </c>
      <c r="G17" s="67"/>
      <c r="H17" s="67"/>
      <c r="I17" s="67"/>
      <c r="J17" s="67"/>
      <c r="K17" s="67"/>
      <c r="L17" s="67"/>
      <c r="M17" s="153">
        <f t="shared" si="2"/>
        <v>0</v>
      </c>
      <c r="N17" s="153">
        <f t="shared" si="0"/>
        <v>0</v>
      </c>
      <c r="O17" s="153">
        <f t="shared" si="3"/>
        <v>0</v>
      </c>
      <c r="P17" s="153">
        <f t="shared" si="4"/>
        <v>0</v>
      </c>
      <c r="Q17" s="168"/>
      <c r="R17" s="168"/>
      <c r="S17" s="169"/>
    </row>
    <row r="18" spans="1:19" s="13" customFormat="1" ht="19.95" customHeight="1">
      <c r="A18" s="84" t="s">
        <v>110</v>
      </c>
      <c r="B18" s="24"/>
      <c r="C18" s="67"/>
      <c r="D18" s="67"/>
      <c r="E18" s="67"/>
      <c r="F18" s="153">
        <f t="shared" si="1"/>
        <v>0</v>
      </c>
      <c r="G18" s="67"/>
      <c r="H18" s="67"/>
      <c r="I18" s="67"/>
      <c r="J18" s="67"/>
      <c r="K18" s="67"/>
      <c r="L18" s="67"/>
      <c r="M18" s="153">
        <f t="shared" si="2"/>
        <v>0</v>
      </c>
      <c r="N18" s="153">
        <f t="shared" si="0"/>
        <v>0</v>
      </c>
      <c r="O18" s="153">
        <f t="shared" si="3"/>
        <v>0</v>
      </c>
      <c r="P18" s="153">
        <f t="shared" si="4"/>
        <v>0</v>
      </c>
      <c r="Q18" s="168"/>
      <c r="R18" s="168"/>
      <c r="S18" s="169"/>
    </row>
    <row r="19" spans="1:19" s="13" customFormat="1" ht="19.95" customHeight="1">
      <c r="A19" s="16"/>
      <c r="B19" s="24"/>
      <c r="C19" s="67"/>
      <c r="D19" s="67"/>
      <c r="E19" s="67"/>
      <c r="F19" s="153">
        <f t="shared" si="1"/>
        <v>0</v>
      </c>
      <c r="G19" s="67"/>
      <c r="H19" s="67"/>
      <c r="I19" s="67"/>
      <c r="J19" s="67"/>
      <c r="K19" s="67"/>
      <c r="L19" s="67"/>
      <c r="M19" s="153">
        <f t="shared" si="2"/>
        <v>0</v>
      </c>
      <c r="N19" s="153">
        <f t="shared" si="0"/>
        <v>0</v>
      </c>
      <c r="O19" s="153">
        <f t="shared" si="3"/>
        <v>0</v>
      </c>
      <c r="P19" s="153">
        <f t="shared" si="4"/>
        <v>0</v>
      </c>
      <c r="Q19" s="168"/>
      <c r="R19" s="168"/>
      <c r="S19" s="169"/>
    </row>
    <row r="20" spans="1:19" s="13" customFormat="1" ht="19.95" customHeight="1">
      <c r="A20" s="16"/>
      <c r="B20" s="24"/>
      <c r="C20" s="67"/>
      <c r="D20" s="67"/>
      <c r="E20" s="67"/>
      <c r="F20" s="153">
        <f t="shared" si="1"/>
        <v>0</v>
      </c>
      <c r="G20" s="67"/>
      <c r="H20" s="67"/>
      <c r="I20" s="67"/>
      <c r="J20" s="67"/>
      <c r="K20" s="67"/>
      <c r="L20" s="67"/>
      <c r="M20" s="153">
        <f t="shared" si="2"/>
        <v>0</v>
      </c>
      <c r="N20" s="153">
        <f t="shared" si="0"/>
        <v>0</v>
      </c>
      <c r="O20" s="153">
        <f t="shared" si="3"/>
        <v>0</v>
      </c>
      <c r="P20" s="153">
        <f t="shared" si="4"/>
        <v>0</v>
      </c>
      <c r="Q20" s="168"/>
      <c r="R20" s="168"/>
      <c r="S20" s="169"/>
    </row>
    <row r="21" spans="1:19" s="13" customFormat="1" ht="19.95" customHeight="1">
      <c r="A21" s="16"/>
      <c r="B21" s="24"/>
      <c r="C21" s="67"/>
      <c r="D21" s="67"/>
      <c r="E21" s="67"/>
      <c r="F21" s="153">
        <f t="shared" si="1"/>
        <v>0</v>
      </c>
      <c r="G21" s="67"/>
      <c r="H21" s="67"/>
      <c r="I21" s="67"/>
      <c r="J21" s="67"/>
      <c r="K21" s="67"/>
      <c r="L21" s="67"/>
      <c r="M21" s="153">
        <f t="shared" si="2"/>
        <v>0</v>
      </c>
      <c r="N21" s="153">
        <f t="shared" si="0"/>
        <v>0</v>
      </c>
      <c r="O21" s="153">
        <f t="shared" si="3"/>
        <v>0</v>
      </c>
      <c r="P21" s="153">
        <f t="shared" si="4"/>
        <v>0</v>
      </c>
      <c r="Q21" s="168"/>
      <c r="R21" s="168"/>
      <c r="S21" s="169"/>
    </row>
    <row r="22" spans="1:19" s="13" customFormat="1" ht="19.95" customHeight="1">
      <c r="A22" s="16"/>
      <c r="B22" s="24"/>
      <c r="C22" s="67"/>
      <c r="D22" s="67"/>
      <c r="E22" s="67"/>
      <c r="F22" s="153">
        <f t="shared" si="1"/>
        <v>0</v>
      </c>
      <c r="G22" s="67"/>
      <c r="H22" s="67"/>
      <c r="I22" s="67"/>
      <c r="J22" s="67"/>
      <c r="K22" s="67"/>
      <c r="L22" s="67"/>
      <c r="M22" s="153">
        <f t="shared" si="2"/>
        <v>0</v>
      </c>
      <c r="N22" s="153">
        <f t="shared" si="0"/>
        <v>0</v>
      </c>
      <c r="O22" s="153">
        <f t="shared" si="3"/>
        <v>0</v>
      </c>
      <c r="P22" s="153">
        <f t="shared" si="4"/>
        <v>0</v>
      </c>
      <c r="Q22" s="168"/>
      <c r="R22" s="168"/>
      <c r="S22" s="169"/>
    </row>
    <row r="23" spans="1:19" s="13" customFormat="1" ht="19.95" customHeight="1">
      <c r="A23" s="16"/>
      <c r="B23" s="24"/>
      <c r="C23" s="67"/>
      <c r="D23" s="67"/>
      <c r="E23" s="67"/>
      <c r="F23" s="153">
        <f t="shared" si="1"/>
        <v>0</v>
      </c>
      <c r="G23" s="67"/>
      <c r="H23" s="67"/>
      <c r="I23" s="67"/>
      <c r="J23" s="67"/>
      <c r="K23" s="67"/>
      <c r="L23" s="67"/>
      <c r="M23" s="153">
        <f t="shared" si="2"/>
        <v>0</v>
      </c>
      <c r="N23" s="153">
        <f t="shared" si="0"/>
        <v>0</v>
      </c>
      <c r="O23" s="153">
        <f t="shared" si="3"/>
        <v>0</v>
      </c>
      <c r="P23" s="153">
        <f t="shared" si="4"/>
        <v>0</v>
      </c>
      <c r="Q23" s="168"/>
      <c r="R23" s="168"/>
      <c r="S23" s="169"/>
    </row>
    <row r="24" spans="1:19" s="13" customFormat="1" ht="19.95" customHeight="1">
      <c r="A24" s="16"/>
      <c r="B24" s="24"/>
      <c r="C24" s="67"/>
      <c r="D24" s="67"/>
      <c r="E24" s="67"/>
      <c r="F24" s="153">
        <f t="shared" si="1"/>
        <v>0</v>
      </c>
      <c r="G24" s="67"/>
      <c r="H24" s="67"/>
      <c r="I24" s="67"/>
      <c r="J24" s="67"/>
      <c r="K24" s="67"/>
      <c r="L24" s="67"/>
      <c r="M24" s="153">
        <f t="shared" si="2"/>
        <v>0</v>
      </c>
      <c r="N24" s="153">
        <f t="shared" si="0"/>
        <v>0</v>
      </c>
      <c r="O24" s="153">
        <f t="shared" si="3"/>
        <v>0</v>
      </c>
      <c r="P24" s="153">
        <f t="shared" si="4"/>
        <v>0</v>
      </c>
      <c r="Q24" s="168"/>
      <c r="R24" s="168"/>
      <c r="S24" s="169"/>
    </row>
    <row r="25" spans="1:19" s="235" customFormat="1" ht="19.95" customHeight="1">
      <c r="A25" s="60" t="s">
        <v>71</v>
      </c>
      <c r="B25" s="231">
        <f t="shared" ref="B25:P25" si="5">SUM(B15:B24)</f>
        <v>0</v>
      </c>
      <c r="C25" s="231">
        <f t="shared" si="5"/>
        <v>0</v>
      </c>
      <c r="D25" s="231">
        <f t="shared" si="5"/>
        <v>0</v>
      </c>
      <c r="E25" s="231">
        <f t="shared" si="5"/>
        <v>0</v>
      </c>
      <c r="F25" s="231">
        <f>SUM(F15:F24)</f>
        <v>0</v>
      </c>
      <c r="G25" s="231">
        <f t="shared" si="5"/>
        <v>0</v>
      </c>
      <c r="H25" s="231">
        <f t="shared" si="5"/>
        <v>0</v>
      </c>
      <c r="I25" s="231">
        <f t="shared" si="5"/>
        <v>0</v>
      </c>
      <c r="J25" s="231">
        <f t="shared" si="5"/>
        <v>0</v>
      </c>
      <c r="K25" s="231">
        <f t="shared" si="5"/>
        <v>0</v>
      </c>
      <c r="L25" s="231">
        <f t="shared" si="5"/>
        <v>0</v>
      </c>
      <c r="M25" s="231">
        <f t="shared" si="5"/>
        <v>0</v>
      </c>
      <c r="N25" s="231">
        <f t="shared" si="5"/>
        <v>0</v>
      </c>
      <c r="O25" s="231">
        <f t="shared" si="5"/>
        <v>0</v>
      </c>
      <c r="P25" s="231">
        <f t="shared" si="5"/>
        <v>0</v>
      </c>
      <c r="Q25" s="232"/>
      <c r="R25" s="233"/>
      <c r="S25" s="234"/>
    </row>
    <row r="26" spans="1:19" s="13" customFormat="1" ht="19.95" customHeight="1">
      <c r="A26" s="61" t="s">
        <v>58</v>
      </c>
      <c r="B26" s="19"/>
      <c r="C26" s="19"/>
      <c r="D26" s="19"/>
      <c r="E26" s="19"/>
      <c r="F26" s="19"/>
      <c r="G26" s="20"/>
      <c r="H26" s="20"/>
      <c r="I26" s="20"/>
      <c r="J26" s="20"/>
      <c r="K26" s="20"/>
      <c r="L26" s="20"/>
      <c r="M26" s="20"/>
      <c r="N26" s="20"/>
      <c r="O26" s="20"/>
      <c r="P26" s="20"/>
      <c r="Q26" s="20"/>
    </row>
    <row r="27" spans="1:19" s="17" customFormat="1" ht="19.95" customHeight="1">
      <c r="A27" s="226" t="s">
        <v>278</v>
      </c>
      <c r="B27" s="77"/>
      <c r="C27" s="77"/>
      <c r="D27" s="21"/>
      <c r="E27" s="21"/>
      <c r="F27" s="19"/>
      <c r="G27" s="19"/>
      <c r="H27" s="19"/>
      <c r="I27" s="21"/>
      <c r="J27" s="19"/>
      <c r="K27" s="19"/>
      <c r="L27" s="19"/>
      <c r="M27" s="21"/>
      <c r="N27" s="21"/>
      <c r="O27" s="21"/>
      <c r="P27" s="21"/>
      <c r="Q27" s="21"/>
    </row>
    <row r="28" spans="1:19" s="17" customFormat="1" ht="19.95" customHeight="1">
      <c r="A28" s="226" t="s">
        <v>279</v>
      </c>
      <c r="B28" s="77"/>
      <c r="C28" s="77"/>
      <c r="D28" s="21"/>
      <c r="E28" s="21"/>
      <c r="F28" s="19"/>
      <c r="G28" s="19"/>
      <c r="H28" s="19"/>
      <c r="I28" s="21"/>
      <c r="J28" s="19"/>
      <c r="K28" s="19"/>
      <c r="L28" s="19"/>
      <c r="M28" s="21"/>
      <c r="N28" s="21"/>
      <c r="O28" s="21"/>
      <c r="P28" s="21"/>
      <c r="Q28" s="21"/>
    </row>
    <row r="29" spans="1:19" s="17" customFormat="1" ht="19.95" customHeight="1">
      <c r="A29" s="226" t="s">
        <v>280</v>
      </c>
      <c r="B29" s="77"/>
      <c r="C29" s="77"/>
      <c r="D29" s="21"/>
      <c r="E29" s="21"/>
      <c r="F29" s="19"/>
      <c r="G29" s="19"/>
      <c r="H29" s="19"/>
      <c r="I29" s="21"/>
      <c r="J29" s="19"/>
      <c r="K29" s="19"/>
      <c r="L29" s="19"/>
      <c r="M29" s="21"/>
      <c r="N29" s="21"/>
      <c r="O29" s="21"/>
      <c r="P29" s="21"/>
      <c r="Q29" s="21"/>
    </row>
    <row r="30" spans="1:19" s="17" customFormat="1" ht="19.95" customHeight="1">
      <c r="A30" s="226" t="s">
        <v>281</v>
      </c>
      <c r="B30" s="77"/>
      <c r="C30" s="77"/>
      <c r="D30" s="21"/>
      <c r="E30" s="21"/>
      <c r="F30" s="19"/>
      <c r="G30" s="19"/>
      <c r="H30" s="19"/>
      <c r="I30" s="21"/>
      <c r="J30" s="19"/>
      <c r="K30" s="19"/>
      <c r="L30" s="19"/>
      <c r="M30" s="21"/>
      <c r="N30" s="21"/>
      <c r="O30" s="21"/>
      <c r="P30" s="21"/>
      <c r="Q30" s="21"/>
    </row>
    <row r="31" spans="1:19" s="17" customFormat="1" ht="19.95" customHeight="1">
      <c r="A31" s="226" t="s">
        <v>282</v>
      </c>
      <c r="B31" s="77"/>
      <c r="C31" s="77"/>
      <c r="D31" s="21"/>
      <c r="E31" s="21"/>
      <c r="F31" s="19"/>
      <c r="G31" s="19"/>
      <c r="H31" s="19"/>
      <c r="I31" s="21"/>
      <c r="J31" s="19"/>
      <c r="K31" s="19"/>
      <c r="L31" s="19"/>
      <c r="M31" s="21"/>
      <c r="N31" s="21"/>
      <c r="O31" s="21"/>
      <c r="P31" s="21"/>
      <c r="Q31" s="21"/>
    </row>
    <row r="32" spans="1:19" s="17" customFormat="1" ht="19.95" customHeight="1">
      <c r="A32" s="226" t="s">
        <v>283</v>
      </c>
      <c r="B32" s="77"/>
      <c r="C32" s="77"/>
      <c r="D32" s="21"/>
      <c r="E32" s="21"/>
      <c r="F32" s="19"/>
      <c r="G32" s="19"/>
      <c r="H32" s="19"/>
      <c r="I32" s="21"/>
      <c r="J32" s="19"/>
      <c r="K32" s="19"/>
      <c r="L32" s="19"/>
      <c r="M32" s="21"/>
      <c r="N32" s="21"/>
      <c r="O32" s="21"/>
      <c r="P32" s="21"/>
      <c r="Q32" s="21"/>
    </row>
    <row r="33" spans="1:17" s="17" customFormat="1" ht="19.95" customHeight="1">
      <c r="A33" s="226" t="s">
        <v>284</v>
      </c>
      <c r="B33" s="77"/>
      <c r="C33" s="77"/>
      <c r="D33" s="21"/>
      <c r="E33" s="21"/>
      <c r="F33" s="19"/>
      <c r="G33" s="19"/>
      <c r="H33" s="19"/>
      <c r="I33" s="21"/>
      <c r="J33" s="19"/>
      <c r="K33" s="19"/>
      <c r="L33" s="19"/>
      <c r="M33" s="21"/>
      <c r="N33" s="21"/>
      <c r="O33" s="21"/>
      <c r="P33" s="21"/>
      <c r="Q33" s="21"/>
    </row>
    <row r="34" spans="1:17" s="17" customFormat="1" ht="19.95" customHeight="1">
      <c r="A34" s="62" t="s">
        <v>59</v>
      </c>
      <c r="B34" s="21"/>
      <c r="C34" s="21"/>
      <c r="D34" s="21"/>
      <c r="E34" s="21"/>
      <c r="F34" s="21"/>
      <c r="G34" s="21"/>
      <c r="H34" s="21"/>
      <c r="I34" s="21"/>
      <c r="J34" s="21"/>
      <c r="K34" s="21"/>
      <c r="L34" s="21"/>
      <c r="M34" s="21"/>
      <c r="N34" s="21"/>
      <c r="O34" s="21"/>
      <c r="P34" s="21"/>
      <c r="Q34" s="21"/>
    </row>
    <row r="35" spans="1:17" s="17" customFormat="1" ht="19.95" customHeight="1">
      <c r="A35" s="21"/>
      <c r="B35" s="21"/>
      <c r="C35" s="21"/>
      <c r="D35" s="21"/>
      <c r="E35" s="21"/>
      <c r="F35" s="21"/>
      <c r="G35" s="21"/>
      <c r="H35" s="21"/>
      <c r="I35" s="21"/>
      <c r="J35" s="21"/>
      <c r="K35" s="21"/>
      <c r="L35" s="21"/>
      <c r="M35" s="21"/>
      <c r="N35" s="21"/>
      <c r="O35" s="21"/>
      <c r="P35" s="21"/>
      <c r="Q35" s="21"/>
    </row>
    <row r="36" spans="1:17" s="43" customFormat="1" ht="18" customHeight="1">
      <c r="Q36" s="44"/>
    </row>
    <row r="37" spans="1:17" s="43" customFormat="1" ht="18" customHeight="1">
      <c r="Q37" s="44"/>
    </row>
    <row r="38" spans="1:17" s="43" customFormat="1" ht="18" customHeight="1">
      <c r="A38" s="45" t="s">
        <v>16</v>
      </c>
      <c r="Q38" s="44"/>
    </row>
    <row r="39" spans="1:17" s="43" customFormat="1" ht="13.8">
      <c r="A39" s="40" t="s">
        <v>180</v>
      </c>
      <c r="Q39" s="44"/>
    </row>
    <row r="40" spans="1:17" s="43" customFormat="1" ht="13.8">
      <c r="A40" s="40" t="s">
        <v>181</v>
      </c>
      <c r="Q40" s="44"/>
    </row>
    <row r="41" spans="1:17" s="43" customFormat="1" ht="13.8">
      <c r="A41" s="40" t="s">
        <v>182</v>
      </c>
      <c r="Q41" s="44"/>
    </row>
    <row r="42" spans="1:17">
      <c r="A42" s="40" t="s">
        <v>183</v>
      </c>
    </row>
    <row r="43" spans="1:17">
      <c r="A43" s="40" t="s">
        <v>184</v>
      </c>
    </row>
    <row r="44" spans="1:17">
      <c r="A44" s="40" t="s">
        <v>185</v>
      </c>
    </row>
    <row r="45" spans="1:17">
      <c r="A45" s="40" t="s">
        <v>186</v>
      </c>
    </row>
    <row r="46" spans="1:17">
      <c r="A46" s="40" t="s">
        <v>187</v>
      </c>
    </row>
    <row r="47" spans="1:17">
      <c r="A47" s="40" t="s">
        <v>188</v>
      </c>
    </row>
    <row r="48" spans="1:17">
      <c r="A48" s="40" t="s">
        <v>189</v>
      </c>
    </row>
    <row r="49" spans="1:17" s="43" customFormat="1" ht="14.25" customHeight="1">
      <c r="A49" s="40" t="s">
        <v>190</v>
      </c>
      <c r="Q49" s="44"/>
    </row>
    <row r="50" spans="1:17" s="43" customFormat="1" ht="14.25" customHeight="1">
      <c r="A50" s="40" t="s">
        <v>175</v>
      </c>
      <c r="Q50" s="44"/>
    </row>
    <row r="51" spans="1:17" s="43" customFormat="1" ht="14.25" customHeight="1">
      <c r="A51" s="40" t="s">
        <v>176</v>
      </c>
      <c r="Q51" s="44"/>
    </row>
    <row r="52" spans="1:17" s="43" customFormat="1" ht="14.25" customHeight="1">
      <c r="A52" s="40" t="s">
        <v>177</v>
      </c>
      <c r="Q52" s="44"/>
    </row>
    <row r="53" spans="1:17" s="43" customFormat="1" ht="14.25" customHeight="1">
      <c r="A53" s="40" t="s">
        <v>178</v>
      </c>
      <c r="Q53" s="44"/>
    </row>
    <row r="54" spans="1:17" s="43" customFormat="1" ht="14.25" customHeight="1">
      <c r="A54" s="40" t="s">
        <v>179</v>
      </c>
      <c r="Q54" s="44"/>
    </row>
    <row r="55" spans="1:17" s="43" customFormat="1" ht="13.8">
      <c r="A55" s="170" t="s">
        <v>173</v>
      </c>
      <c r="Q55" s="44"/>
    </row>
    <row r="56" spans="1:17">
      <c r="A56" s="170" t="s">
        <v>174</v>
      </c>
    </row>
    <row r="57" spans="1:17">
      <c r="A57" s="170"/>
    </row>
    <row r="58" spans="1:17">
      <c r="A58" s="159"/>
    </row>
    <row r="59" spans="1:17">
      <c r="A59" s="159"/>
    </row>
  </sheetData>
  <mergeCells count="25">
    <mergeCell ref="N13:N14"/>
    <mergeCell ref="O13:O14"/>
    <mergeCell ref="C13:C14"/>
    <mergeCell ref="P13:P14"/>
    <mergeCell ref="B12:F12"/>
    <mergeCell ref="G12:H12"/>
    <mergeCell ref="I12:J12"/>
    <mergeCell ref="K12:L12"/>
    <mergeCell ref="M12:P12"/>
    <mergeCell ref="A1:S1"/>
    <mergeCell ref="A2:S2"/>
    <mergeCell ref="Q12:Q14"/>
    <mergeCell ref="R12:R14"/>
    <mergeCell ref="S12:S14"/>
    <mergeCell ref="F13:F14"/>
    <mergeCell ref="G13:G14"/>
    <mergeCell ref="H13:H14"/>
    <mergeCell ref="I13:I14"/>
    <mergeCell ref="D13:E13"/>
    <mergeCell ref="B13:B14"/>
    <mergeCell ref="J13:J14"/>
    <mergeCell ref="K13:K14"/>
    <mergeCell ref="L13:L14"/>
    <mergeCell ref="M13:M14"/>
    <mergeCell ref="A12:A14"/>
  </mergeCells>
  <phoneticPr fontId="17" type="noConversion"/>
  <dataValidations count="1">
    <dataValidation type="list" allowBlank="1" showInputMessage="1" showErrorMessage="1" sqref="R15:R25">
      <formula1>"√,X"</formula1>
    </dataValidation>
  </dataValidations>
  <hyperlinks>
    <hyperlink ref="S3" location="底稿目录!A1" display="底稿目录!A1"/>
  </hyperlinks>
  <printOptions horizontalCentered="1"/>
  <pageMargins left="0.70866141732283472" right="0.70866141732283472" top="0.74803149606299213" bottom="0.74803149606299213" header="0.31496062992125984" footer="0.31496062992125984"/>
  <pageSetup paperSize="9" scale="57" orientation="landscape" blackAndWhite="1" r:id="rId1"/>
  <headerFooter>
    <oddFooter>&amp;C&amp;P/&amp;N</oddFooter>
  </headerFooter>
  <ignoredErrors>
    <ignoredError sqref="D3:K4 A3" unlocked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J27"/>
  <sheetViews>
    <sheetView view="pageBreakPreview" zoomScaleNormal="100" zoomScaleSheetLayoutView="100" workbookViewId="0">
      <selection sqref="A1:J1"/>
    </sheetView>
  </sheetViews>
  <sheetFormatPr defaultRowHeight="15.6"/>
  <cols>
    <col min="1" max="1" width="14.09765625" customWidth="1"/>
    <col min="2" max="3" width="14.796875" customWidth="1"/>
    <col min="4" max="4" width="13.3984375" customWidth="1"/>
    <col min="5" max="5" width="13" customWidth="1"/>
    <col min="7" max="7" width="10" customWidth="1"/>
    <col min="8" max="8" width="10.69921875" customWidth="1"/>
    <col min="10" max="10" width="13.59765625" customWidth="1"/>
  </cols>
  <sheetData>
    <row r="1" spans="1:10" ht="19.95" customHeight="1">
      <c r="A1" s="250" t="s">
        <v>45</v>
      </c>
      <c r="B1" s="250"/>
      <c r="C1" s="250"/>
      <c r="D1" s="250"/>
      <c r="E1" s="250"/>
      <c r="F1" s="250"/>
      <c r="G1" s="250"/>
      <c r="H1" s="250"/>
      <c r="I1" s="250"/>
      <c r="J1" s="250"/>
    </row>
    <row r="2" spans="1:10" ht="19.95" customHeight="1">
      <c r="A2" s="251" t="s">
        <v>139</v>
      </c>
      <c r="B2" s="251"/>
      <c r="C2" s="251"/>
      <c r="D2" s="251"/>
      <c r="E2" s="251"/>
      <c r="F2" s="251"/>
      <c r="G2" s="251"/>
      <c r="H2" s="251"/>
      <c r="I2" s="251"/>
      <c r="J2" s="251"/>
    </row>
    <row r="3" spans="1:10" ht="19.95" customHeight="1">
      <c r="A3" s="5" t="s">
        <v>171</v>
      </c>
      <c r="B3" s="5"/>
      <c r="C3" s="5" t="str">
        <f>底稿目录!A4</f>
        <v>编制人：</v>
      </c>
      <c r="E3" s="5" t="str">
        <f>底稿目录!A5</f>
        <v>编制日期：</v>
      </c>
      <c r="F3" s="5"/>
      <c r="H3" s="163"/>
      <c r="I3" s="214" t="s">
        <v>0</v>
      </c>
      <c r="J3" s="215" t="str">
        <f>底稿目录!F8</f>
        <v>M3-3</v>
      </c>
    </row>
    <row r="4" spans="1:10" ht="19.95" customHeight="1">
      <c r="A4" s="5" t="s">
        <v>170</v>
      </c>
      <c r="B4" s="5"/>
      <c r="C4" s="5" t="str">
        <f>底稿目录!A6</f>
        <v>复核人：</v>
      </c>
      <c r="E4" s="5" t="str">
        <f>底稿目录!A7</f>
        <v>复核日期：</v>
      </c>
      <c r="F4" s="5"/>
      <c r="H4" s="5"/>
      <c r="I4" s="214" t="s">
        <v>251</v>
      </c>
      <c r="J4" s="160"/>
    </row>
    <row r="5" spans="1:10" ht="32.4" customHeight="1">
      <c r="A5" s="117" t="s">
        <v>131</v>
      </c>
      <c r="B5" s="155" t="s">
        <v>132</v>
      </c>
      <c r="C5" s="218" t="s">
        <v>160</v>
      </c>
      <c r="D5" s="218" t="s">
        <v>133</v>
      </c>
      <c r="E5" s="118" t="s">
        <v>134</v>
      </c>
      <c r="F5" s="219" t="s">
        <v>135</v>
      </c>
      <c r="G5" s="118" t="s">
        <v>136</v>
      </c>
      <c r="H5" s="118" t="s">
        <v>137</v>
      </c>
      <c r="I5" s="118" t="s">
        <v>138</v>
      </c>
      <c r="J5" s="118" t="s">
        <v>75</v>
      </c>
    </row>
    <row r="6" spans="1:10" ht="19.95" customHeight="1">
      <c r="A6" s="119"/>
      <c r="B6" s="119"/>
      <c r="C6" s="119"/>
      <c r="D6" s="119"/>
      <c r="E6" s="119"/>
      <c r="F6" s="119"/>
      <c r="G6" s="119"/>
      <c r="H6" s="119"/>
      <c r="I6" s="119"/>
      <c r="J6" s="119"/>
    </row>
    <row r="7" spans="1:10" ht="19.95" customHeight="1">
      <c r="A7" s="120"/>
      <c r="B7" s="119"/>
      <c r="C7" s="119"/>
      <c r="D7" s="119"/>
      <c r="E7" s="119"/>
      <c r="F7" s="119"/>
      <c r="G7" s="119"/>
      <c r="H7" s="119"/>
      <c r="I7" s="119"/>
      <c r="J7" s="119"/>
    </row>
    <row r="8" spans="1:10" ht="19.95" customHeight="1">
      <c r="A8" s="121"/>
      <c r="B8" s="119"/>
      <c r="C8" s="119"/>
      <c r="D8" s="119"/>
      <c r="E8" s="119"/>
      <c r="F8" s="119"/>
      <c r="G8" s="119"/>
      <c r="H8" s="119"/>
      <c r="I8" s="119"/>
      <c r="J8" s="119"/>
    </row>
    <row r="9" spans="1:10" ht="19.95" customHeight="1">
      <c r="A9" s="121"/>
      <c r="B9" s="119"/>
      <c r="C9" s="119"/>
      <c r="D9" s="119"/>
      <c r="E9" s="119"/>
      <c r="F9" s="119"/>
      <c r="G9" s="119"/>
      <c r="H9" s="119"/>
      <c r="I9" s="119"/>
      <c r="J9" s="119"/>
    </row>
    <row r="10" spans="1:10" ht="19.95" customHeight="1">
      <c r="A10" s="121"/>
      <c r="B10" s="119"/>
      <c r="C10" s="119"/>
      <c r="D10" s="119"/>
      <c r="E10" s="119"/>
      <c r="F10" s="119"/>
      <c r="G10" s="119"/>
      <c r="H10" s="119"/>
      <c r="I10" s="119"/>
      <c r="J10" s="119"/>
    </row>
    <row r="11" spans="1:10" ht="19.95" customHeight="1">
      <c r="A11" s="122"/>
      <c r="B11" s="119"/>
      <c r="C11" s="119"/>
      <c r="D11" s="119"/>
      <c r="E11" s="119"/>
      <c r="F11" s="119"/>
      <c r="G11" s="119"/>
      <c r="H11" s="119"/>
      <c r="I11" s="119"/>
      <c r="J11" s="119"/>
    </row>
    <row r="12" spans="1:10" ht="19.95" customHeight="1">
      <c r="A12" s="121"/>
      <c r="B12" s="119"/>
      <c r="C12" s="119"/>
      <c r="D12" s="119"/>
      <c r="E12" s="119"/>
      <c r="F12" s="119"/>
      <c r="G12" s="119"/>
      <c r="H12" s="119"/>
      <c r="I12" s="119"/>
      <c r="J12" s="119"/>
    </row>
    <row r="13" spans="1:10" ht="19.95" customHeight="1">
      <c r="A13" s="121"/>
      <c r="B13" s="119"/>
      <c r="C13" s="119"/>
      <c r="D13" s="119"/>
      <c r="E13" s="119"/>
      <c r="F13" s="119"/>
      <c r="G13" s="119"/>
      <c r="H13" s="119"/>
      <c r="I13" s="119"/>
      <c r="J13" s="119"/>
    </row>
    <row r="14" spans="1:10" ht="19.95" customHeight="1">
      <c r="A14" s="121"/>
      <c r="B14" s="119"/>
      <c r="C14" s="119"/>
      <c r="D14" s="119"/>
      <c r="E14" s="119"/>
      <c r="F14" s="119"/>
      <c r="G14" s="119"/>
      <c r="H14" s="119"/>
      <c r="I14" s="119"/>
      <c r="J14" s="119"/>
    </row>
    <row r="15" spans="1:10" ht="19.95" customHeight="1">
      <c r="A15" s="121"/>
      <c r="B15" s="119"/>
      <c r="C15" s="119"/>
      <c r="D15" s="119"/>
      <c r="E15" s="119"/>
      <c r="F15" s="119"/>
      <c r="G15" s="119"/>
      <c r="H15" s="119"/>
      <c r="I15" s="119"/>
      <c r="J15" s="119"/>
    </row>
    <row r="16" spans="1:10" ht="19.95" customHeight="1">
      <c r="A16" s="121"/>
      <c r="B16" s="119"/>
      <c r="C16" s="119"/>
      <c r="D16" s="119"/>
      <c r="E16" s="119"/>
      <c r="F16" s="119"/>
      <c r="G16" s="119"/>
      <c r="H16" s="119"/>
      <c r="I16" s="119"/>
      <c r="J16" s="119"/>
    </row>
    <row r="17" spans="1:10" ht="19.95" customHeight="1">
      <c r="A17" s="121"/>
      <c r="B17" s="119"/>
      <c r="C17" s="119"/>
      <c r="D17" s="119"/>
      <c r="E17" s="119"/>
      <c r="F17" s="119"/>
      <c r="G17" s="119"/>
      <c r="H17" s="119"/>
      <c r="I17" s="119"/>
      <c r="J17" s="119"/>
    </row>
    <row r="18" spans="1:10" ht="19.95" customHeight="1">
      <c r="A18" s="121"/>
      <c r="B18" s="119"/>
      <c r="C18" s="119"/>
      <c r="D18" s="119"/>
      <c r="E18" s="119"/>
      <c r="F18" s="119"/>
      <c r="G18" s="119"/>
      <c r="H18" s="119"/>
      <c r="I18" s="119"/>
      <c r="J18" s="119"/>
    </row>
    <row r="19" spans="1:10" ht="19.95" customHeight="1">
      <c r="A19" s="121"/>
      <c r="B19" s="119"/>
      <c r="C19" s="119"/>
      <c r="D19" s="119"/>
      <c r="E19" s="119"/>
      <c r="F19" s="119"/>
      <c r="G19" s="119"/>
      <c r="H19" s="119"/>
      <c r="I19" s="119"/>
      <c r="J19" s="119"/>
    </row>
    <row r="20" spans="1:10" ht="19.95" customHeight="1">
      <c r="A20" s="121"/>
      <c r="B20" s="119"/>
      <c r="C20" s="119"/>
      <c r="D20" s="119"/>
      <c r="E20" s="119"/>
      <c r="F20" s="119"/>
      <c r="G20" s="119"/>
      <c r="H20" s="119"/>
      <c r="I20" s="119"/>
      <c r="J20" s="119"/>
    </row>
    <row r="21" spans="1:10" ht="19.95" customHeight="1">
      <c r="A21" s="123"/>
      <c r="B21" s="123"/>
      <c r="C21" s="123"/>
      <c r="D21" s="124"/>
      <c r="E21" s="124"/>
      <c r="F21" s="124"/>
      <c r="G21" s="125"/>
      <c r="H21" s="125"/>
      <c r="I21" s="124"/>
      <c r="J21" s="126"/>
    </row>
    <row r="22" spans="1:10" ht="19.95" customHeight="1">
      <c r="A22" s="10"/>
      <c r="B22" s="10"/>
      <c r="C22" s="10"/>
      <c r="D22" s="10"/>
      <c r="E22" s="127"/>
      <c r="F22" s="11"/>
      <c r="G22" s="128"/>
      <c r="H22" s="128"/>
      <c r="I22" s="128"/>
      <c r="J22" s="128"/>
    </row>
    <row r="23" spans="1:10" ht="19.95" customHeight="1">
      <c r="A23" s="129"/>
      <c r="B23" s="129"/>
      <c r="C23" s="129"/>
      <c r="D23" s="129"/>
      <c r="E23" s="129"/>
      <c r="F23" s="129"/>
      <c r="G23" s="129"/>
      <c r="H23" s="129"/>
      <c r="I23" s="129"/>
      <c r="J23" s="129"/>
    </row>
    <row r="24" spans="1:10" ht="19.95" customHeight="1">
      <c r="A24" s="129"/>
      <c r="B24" s="129"/>
      <c r="C24" s="129"/>
      <c r="D24" s="129"/>
      <c r="E24" s="129"/>
      <c r="F24" s="129"/>
      <c r="G24" s="129"/>
      <c r="H24" s="129"/>
      <c r="I24" s="129"/>
      <c r="J24" s="129"/>
    </row>
    <row r="25" spans="1:10" ht="19.95" customHeight="1">
      <c r="A25" s="281"/>
      <c r="B25" s="281"/>
      <c r="C25" s="281"/>
      <c r="D25" s="281"/>
      <c r="E25" s="281"/>
      <c r="F25" s="281"/>
      <c r="G25" s="281"/>
      <c r="H25" s="281"/>
      <c r="I25" s="281"/>
      <c r="J25" s="281"/>
    </row>
    <row r="26" spans="1:10">
      <c r="A26" s="129"/>
      <c r="B26" s="129"/>
      <c r="C26" s="129"/>
      <c r="D26" s="129"/>
      <c r="E26" s="129"/>
      <c r="F26" s="129"/>
      <c r="G26" s="129"/>
      <c r="H26" s="129"/>
      <c r="I26" s="129"/>
      <c r="J26" s="129"/>
    </row>
    <row r="27" spans="1:10">
      <c r="A27" s="129"/>
      <c r="B27" s="129"/>
      <c r="C27" s="129"/>
      <c r="D27" s="129"/>
      <c r="E27" s="129"/>
      <c r="F27" s="129"/>
      <c r="G27" s="129"/>
      <c r="H27" s="129"/>
      <c r="I27" s="129"/>
      <c r="J27" s="129"/>
    </row>
  </sheetData>
  <mergeCells count="3">
    <mergeCell ref="A1:J1"/>
    <mergeCell ref="A2:J2"/>
    <mergeCell ref="A25:J25"/>
  </mergeCells>
  <phoneticPr fontId="17" type="noConversion"/>
  <dataValidations count="1">
    <dataValidation type="list" allowBlank="1" showInputMessage="1" showErrorMessage="1" sqref="B6:C20">
      <formula1>"账项调整,报表调整,其他"</formula1>
    </dataValidation>
  </dataValidations>
  <hyperlinks>
    <hyperlink ref="J3" location="底稿目录!A1" display="底稿目录!A1"/>
  </hyperlinks>
  <pageMargins left="0.70866141732283472" right="0.70866141732283472" top="0.74803149606299213" bottom="0.74803149606299213" header="0.31496062992125984" footer="0.31496062992125984"/>
  <pageSetup paperSize="9" orientation="landscape" blackAndWhite="1" r:id="rId1"/>
  <headerFooter>
    <oddFooter>&amp;C&amp;P/&amp;N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G25"/>
  <sheetViews>
    <sheetView view="pageBreakPreview" zoomScaleNormal="100" zoomScaleSheetLayoutView="100" workbookViewId="0">
      <selection sqref="A1:G1"/>
    </sheetView>
  </sheetViews>
  <sheetFormatPr defaultColWidth="9" defaultRowHeight="15.6"/>
  <cols>
    <col min="1" max="1" width="22.69921875" style="17" customWidth="1"/>
    <col min="2" max="7" width="16.5" style="17" customWidth="1"/>
    <col min="8" max="16384" width="9" style="17"/>
  </cols>
  <sheetData>
    <row r="1" spans="1:7" s="64" customFormat="1" ht="19.95" customHeight="1">
      <c r="A1" s="265" t="s">
        <v>45</v>
      </c>
      <c r="B1" s="265"/>
      <c r="C1" s="265"/>
      <c r="D1" s="265"/>
      <c r="E1" s="265"/>
      <c r="F1" s="265"/>
      <c r="G1" s="265"/>
    </row>
    <row r="2" spans="1:7" s="64" customFormat="1" ht="19.95" customHeight="1">
      <c r="A2" s="266" t="s">
        <v>61</v>
      </c>
      <c r="B2" s="266"/>
      <c r="C2" s="266"/>
      <c r="D2" s="266"/>
      <c r="E2" s="266"/>
      <c r="F2" s="266"/>
      <c r="G2" s="266"/>
    </row>
    <row r="3" spans="1:7" s="13" customFormat="1" ht="19.95" customHeight="1">
      <c r="A3" s="5" t="str">
        <f>底稿目录!A2</f>
        <v>被审计单位：</v>
      </c>
      <c r="C3" s="6" t="str">
        <f>底稿目录!A4</f>
        <v>编制人：</v>
      </c>
      <c r="E3" s="82" t="str">
        <f>底稿目录!A5</f>
        <v>编制日期：</v>
      </c>
      <c r="F3" s="26" t="s">
        <v>0</v>
      </c>
      <c r="G3" s="215" t="str">
        <f>底稿目录!F9</f>
        <v>M3-4</v>
      </c>
    </row>
    <row r="4" spans="1:7" s="13" customFormat="1" ht="19.95" customHeight="1">
      <c r="A4" s="5" t="str">
        <f>底稿目录!A3</f>
        <v>截止日：202X年12月31日</v>
      </c>
      <c r="C4" s="6" t="str">
        <f>底稿目录!A6</f>
        <v>复核人：</v>
      </c>
      <c r="E4" s="82" t="str">
        <f>底稿目录!A7</f>
        <v>复核日期：</v>
      </c>
      <c r="F4" s="26" t="s">
        <v>252</v>
      </c>
      <c r="G4" s="21"/>
    </row>
    <row r="5" spans="1:7" s="52" customFormat="1" ht="19.95" customHeight="1">
      <c r="A5" s="50" t="s">
        <v>62</v>
      </c>
      <c r="B5" s="51"/>
      <c r="F5" s="53"/>
    </row>
    <row r="6" spans="1:7" s="52" customFormat="1" ht="19.95" customHeight="1">
      <c r="A6" s="159" t="s">
        <v>172</v>
      </c>
      <c r="B6" s="56"/>
      <c r="F6" s="53"/>
    </row>
    <row r="7" spans="1:7" s="52" customFormat="1" ht="19.95" customHeight="1">
      <c r="A7" s="57" t="s">
        <v>57</v>
      </c>
      <c r="F7" s="58"/>
    </row>
    <row r="8" spans="1:7" s="13" customFormat="1" ht="19.95" customHeight="1">
      <c r="A8" s="282" t="s">
        <v>63</v>
      </c>
      <c r="B8" s="282" t="s">
        <v>64</v>
      </c>
      <c r="C8" s="284" t="s">
        <v>65</v>
      </c>
      <c r="D8" s="285"/>
      <c r="E8" s="285"/>
      <c r="F8" s="285"/>
      <c r="G8" s="286"/>
    </row>
    <row r="9" spans="1:7" s="13" customFormat="1" ht="19.95" customHeight="1">
      <c r="A9" s="283"/>
      <c r="B9" s="283"/>
      <c r="C9" s="59" t="s">
        <v>66</v>
      </c>
      <c r="D9" s="59" t="s">
        <v>67</v>
      </c>
      <c r="E9" s="59" t="s">
        <v>68</v>
      </c>
      <c r="F9" s="59" t="s">
        <v>69</v>
      </c>
      <c r="G9" s="59" t="s">
        <v>70</v>
      </c>
    </row>
    <row r="10" spans="1:7" s="13" customFormat="1" ht="19.95" customHeight="1">
      <c r="A10" s="22"/>
      <c r="B10" s="23"/>
      <c r="C10" s="23"/>
      <c r="D10" s="24"/>
      <c r="E10" s="156">
        <f>C10*D10</f>
        <v>0</v>
      </c>
      <c r="F10" s="14"/>
      <c r="G10" s="156">
        <f>E10-F10</f>
        <v>0</v>
      </c>
    </row>
    <row r="11" spans="1:7" s="13" customFormat="1" ht="19.95" customHeight="1">
      <c r="A11" s="22"/>
      <c r="B11" s="23"/>
      <c r="C11" s="23"/>
      <c r="D11" s="24"/>
      <c r="E11" s="156">
        <f>C11*D11</f>
        <v>0</v>
      </c>
      <c r="F11" s="14"/>
      <c r="G11" s="156">
        <f t="shared" ref="G11:G15" si="0">E11-F11</f>
        <v>0</v>
      </c>
    </row>
    <row r="12" spans="1:7" s="13" customFormat="1" ht="19.95" customHeight="1">
      <c r="A12" s="22"/>
      <c r="B12" s="23"/>
      <c r="C12" s="23"/>
      <c r="D12" s="24"/>
      <c r="E12" s="156">
        <f t="shared" ref="E12:E15" si="1">C12*D12</f>
        <v>0</v>
      </c>
      <c r="F12" s="14"/>
      <c r="G12" s="156">
        <f t="shared" si="0"/>
        <v>0</v>
      </c>
    </row>
    <row r="13" spans="1:7" s="13" customFormat="1" ht="19.95" customHeight="1">
      <c r="A13" s="22"/>
      <c r="B13" s="23"/>
      <c r="C13" s="23"/>
      <c r="D13" s="24"/>
      <c r="E13" s="156">
        <f t="shared" si="1"/>
        <v>0</v>
      </c>
      <c r="F13" s="14"/>
      <c r="G13" s="156">
        <f t="shared" si="0"/>
        <v>0</v>
      </c>
    </row>
    <row r="14" spans="1:7" s="13" customFormat="1" ht="19.95" customHeight="1">
      <c r="A14" s="22"/>
      <c r="B14" s="23"/>
      <c r="C14" s="23"/>
      <c r="D14" s="24"/>
      <c r="E14" s="156">
        <f t="shared" si="1"/>
        <v>0</v>
      </c>
      <c r="F14" s="14"/>
      <c r="G14" s="156">
        <f t="shared" si="0"/>
        <v>0</v>
      </c>
    </row>
    <row r="15" spans="1:7" s="13" customFormat="1" ht="19.95" customHeight="1">
      <c r="A15" s="22"/>
      <c r="B15" s="23"/>
      <c r="C15" s="23"/>
      <c r="D15" s="24"/>
      <c r="E15" s="156">
        <f t="shared" si="1"/>
        <v>0</v>
      </c>
      <c r="F15" s="14"/>
      <c r="G15" s="156">
        <f t="shared" si="0"/>
        <v>0</v>
      </c>
    </row>
    <row r="16" spans="1:7" s="25" customFormat="1" ht="19.95" customHeight="1">
      <c r="A16" s="149" t="s">
        <v>71</v>
      </c>
      <c r="B16" s="196"/>
      <c r="C16" s="154">
        <f>SUM(C10:C15)</f>
        <v>0</v>
      </c>
      <c r="D16" s="196"/>
      <c r="E16" s="154">
        <f>SUM(E10:E15)</f>
        <v>0</v>
      </c>
      <c r="F16" s="154">
        <f>SUM(F10:F15)</f>
        <v>0</v>
      </c>
      <c r="G16" s="154">
        <f>SUM(G10:G15)</f>
        <v>0</v>
      </c>
    </row>
    <row r="17" spans="1:7" s="13" customFormat="1" ht="19.95" customHeight="1">
      <c r="A17" s="61" t="s">
        <v>72</v>
      </c>
      <c r="B17" s="20"/>
      <c r="C17" s="20"/>
      <c r="D17" s="20"/>
      <c r="E17" s="20"/>
      <c r="F17" s="20"/>
      <c r="G17" s="20"/>
    </row>
    <row r="18" spans="1:7" ht="19.95" customHeight="1">
      <c r="A18" s="18"/>
      <c r="B18" s="19"/>
      <c r="C18" s="19"/>
      <c r="D18" s="19"/>
      <c r="E18" s="21"/>
      <c r="F18" s="21"/>
      <c r="G18" s="21"/>
    </row>
    <row r="19" spans="1:7" ht="19.95" customHeight="1">
      <c r="A19" s="62" t="s">
        <v>59</v>
      </c>
      <c r="B19" s="21"/>
      <c r="C19" s="21"/>
      <c r="D19" s="21"/>
      <c r="E19" s="21"/>
      <c r="F19" s="21"/>
      <c r="G19" s="21"/>
    </row>
    <row r="20" spans="1:7" ht="19.95" customHeight="1">
      <c r="A20" s="21"/>
      <c r="B20" s="21"/>
      <c r="C20" s="21"/>
      <c r="D20" s="21"/>
      <c r="E20" s="21"/>
      <c r="F20" s="21"/>
      <c r="G20" s="21"/>
    </row>
    <row r="21" spans="1:7" ht="19.95" customHeight="1"/>
    <row r="22" spans="1:7">
      <c r="A22" s="39"/>
    </row>
    <row r="23" spans="1:7">
      <c r="A23" s="40"/>
    </row>
    <row r="24" spans="1:7">
      <c r="A24" s="46"/>
    </row>
    <row r="25" spans="1:7">
      <c r="A25" s="65"/>
    </row>
  </sheetData>
  <mergeCells count="5">
    <mergeCell ref="A1:G1"/>
    <mergeCell ref="A2:G2"/>
    <mergeCell ref="A8:A9"/>
    <mergeCell ref="B8:B9"/>
    <mergeCell ref="C8:G8"/>
  </mergeCells>
  <phoneticPr fontId="17" type="noConversion"/>
  <hyperlinks>
    <hyperlink ref="G3" location="底稿目录!A1" display="底稿目录!A1"/>
  </hyperlinks>
  <printOptions horizontalCentered="1"/>
  <pageMargins left="0.70866141732283472" right="0.70866141732283472" top="0.74803149606299213" bottom="0.74803149606299213" header="0.31496062992125984" footer="0.31496062992125984"/>
  <pageSetup paperSize="9" scale="97" orientation="landscape"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P35"/>
  <sheetViews>
    <sheetView view="pageBreakPreview" zoomScaleSheetLayoutView="100" workbookViewId="0">
      <selection sqref="A1:P1"/>
    </sheetView>
  </sheetViews>
  <sheetFormatPr defaultColWidth="9" defaultRowHeight="15.6"/>
  <cols>
    <col min="1" max="2" width="9" style="21"/>
    <col min="3" max="3" width="17.69921875" style="21" customWidth="1"/>
    <col min="4" max="4" width="9.59765625" style="21" customWidth="1"/>
    <col min="5" max="6" width="11.3984375" style="21" customWidth="1"/>
    <col min="7" max="7" width="12.796875" style="21" customWidth="1"/>
    <col min="8" max="8" width="21.69921875" style="21" customWidth="1"/>
    <col min="9" max="13" width="4.296875" style="21" customWidth="1"/>
    <col min="14" max="14" width="8.5" style="21" customWidth="1"/>
    <col min="15" max="15" width="7.5" style="21" customWidth="1"/>
    <col min="16" max="16" width="9.69921875" style="21" customWidth="1"/>
    <col min="17" max="16384" width="9" style="21"/>
  </cols>
  <sheetData>
    <row r="1" spans="1:16" s="27" customFormat="1" ht="19.95" customHeight="1">
      <c r="A1" s="291" t="s">
        <v>45</v>
      </c>
      <c r="B1" s="291"/>
      <c r="C1" s="291"/>
      <c r="D1" s="291"/>
      <c r="E1" s="291"/>
      <c r="F1" s="291"/>
      <c r="G1" s="291"/>
      <c r="H1" s="291"/>
      <c r="I1" s="291"/>
      <c r="J1" s="291"/>
      <c r="K1" s="291"/>
      <c r="L1" s="291"/>
      <c r="M1" s="291"/>
      <c r="N1" s="291"/>
      <c r="O1" s="291"/>
      <c r="P1" s="291"/>
    </row>
    <row r="2" spans="1:16" s="27" customFormat="1" ht="19.95" customHeight="1">
      <c r="A2" s="292" t="s">
        <v>249</v>
      </c>
      <c r="B2" s="292"/>
      <c r="C2" s="292"/>
      <c r="D2" s="292"/>
      <c r="E2" s="292"/>
      <c r="F2" s="292"/>
      <c r="G2" s="292"/>
      <c r="H2" s="292"/>
      <c r="I2" s="292"/>
      <c r="J2" s="292"/>
      <c r="K2" s="292"/>
      <c r="L2" s="292"/>
      <c r="M2" s="292"/>
      <c r="N2" s="292"/>
      <c r="O2" s="292"/>
      <c r="P2" s="292"/>
    </row>
    <row r="3" spans="1:16" s="19" customFormat="1" ht="19.95" customHeight="1">
      <c r="A3" s="19" t="str">
        <f>底稿目录!A2</f>
        <v>被审计单位：</v>
      </c>
      <c r="B3" s="28"/>
      <c r="C3" s="28"/>
      <c r="E3" s="28" t="str">
        <f>底稿目录!A4</f>
        <v>编制人：</v>
      </c>
      <c r="F3" s="28"/>
      <c r="H3" s="86" t="str">
        <f>底稿目录!A5</f>
        <v>编制日期：</v>
      </c>
      <c r="M3" s="83"/>
      <c r="N3" s="26"/>
      <c r="O3" s="26" t="s">
        <v>0</v>
      </c>
      <c r="P3" s="215" t="str">
        <f>底稿目录!F10</f>
        <v>M3-5</v>
      </c>
    </row>
    <row r="4" spans="1:16" s="19" customFormat="1" ht="19.95" customHeight="1">
      <c r="A4" s="19" t="str">
        <f>底稿目录!A3</f>
        <v>截止日：202X年12月31日</v>
      </c>
      <c r="B4" s="28"/>
      <c r="C4" s="28"/>
      <c r="E4" s="28" t="str">
        <f>底稿目录!A6</f>
        <v>复核人：</v>
      </c>
      <c r="F4" s="28"/>
      <c r="H4" s="86" t="str">
        <f>底稿目录!A7</f>
        <v>复核日期：</v>
      </c>
      <c r="M4" s="83"/>
      <c r="N4" s="26"/>
      <c r="O4" s="26" t="s">
        <v>251</v>
      </c>
      <c r="P4" s="28"/>
    </row>
    <row r="5" spans="1:16" s="30" customFormat="1" ht="19.95" customHeight="1">
      <c r="A5" s="29" t="s">
        <v>117</v>
      </c>
      <c r="B5" s="29"/>
      <c r="C5" s="29"/>
      <c r="D5" s="29"/>
      <c r="E5" s="29"/>
      <c r="F5" s="29"/>
      <c r="G5" s="29"/>
      <c r="H5" s="29"/>
      <c r="I5" s="29"/>
      <c r="J5" s="29"/>
      <c r="K5" s="29"/>
      <c r="L5" s="29"/>
      <c r="M5" s="29"/>
      <c r="N5" s="29"/>
      <c r="O5" s="29"/>
    </row>
    <row r="6" spans="1:16" s="30" customFormat="1" ht="19.95" customHeight="1">
      <c r="A6" s="187" t="s">
        <v>228</v>
      </c>
      <c r="B6" s="56"/>
      <c r="C6" s="63"/>
      <c r="D6" s="63"/>
      <c r="E6" s="63" t="s">
        <v>229</v>
      </c>
      <c r="F6" s="63"/>
      <c r="G6" s="63"/>
      <c r="H6" s="63"/>
      <c r="I6" s="63"/>
      <c r="J6" s="63"/>
      <c r="K6" s="63"/>
      <c r="L6" s="63"/>
      <c r="M6" s="63"/>
      <c r="N6" s="63"/>
      <c r="O6" s="63"/>
    </row>
    <row r="7" spans="1:16" s="30" customFormat="1" ht="19.95" customHeight="1">
      <c r="A7" s="187" t="s">
        <v>230</v>
      </c>
      <c r="B7" s="56"/>
      <c r="C7" s="63"/>
      <c r="D7" s="63"/>
      <c r="E7" s="63"/>
      <c r="F7" s="63"/>
      <c r="G7" s="63"/>
      <c r="H7" s="63"/>
      <c r="I7" s="63"/>
      <c r="J7" s="63"/>
      <c r="K7" s="63"/>
      <c r="L7" s="63"/>
      <c r="M7" s="63"/>
      <c r="N7" s="63"/>
      <c r="O7" s="63"/>
    </row>
    <row r="8" spans="1:16" s="30" customFormat="1" ht="19.95" customHeight="1">
      <c r="A8" s="186" t="s">
        <v>227</v>
      </c>
      <c r="B8" s="31"/>
      <c r="C8" s="31"/>
      <c r="D8" s="32"/>
      <c r="E8" s="33"/>
      <c r="F8" s="33"/>
      <c r="G8" s="33"/>
    </row>
    <row r="9" spans="1:16" s="30" customFormat="1" ht="19.95" customHeight="1">
      <c r="A9" s="178" t="s">
        <v>210</v>
      </c>
      <c r="B9" s="31"/>
      <c r="C9" s="31"/>
      <c r="D9" s="32"/>
      <c r="E9" s="33"/>
      <c r="F9" s="33"/>
      <c r="G9" s="33"/>
    </row>
    <row r="10" spans="1:16" s="19" customFormat="1" ht="19.95" customHeight="1">
      <c r="A10" s="289" t="s">
        <v>235</v>
      </c>
      <c r="B10" s="289"/>
      <c r="C10" s="289"/>
      <c r="D10" s="289"/>
      <c r="E10" s="289"/>
      <c r="F10" s="289"/>
      <c r="G10" s="289"/>
      <c r="H10" s="295" t="s">
        <v>240</v>
      </c>
      <c r="I10" s="297" t="s">
        <v>241</v>
      </c>
      <c r="J10" s="298"/>
      <c r="K10" s="298"/>
      <c r="L10" s="298"/>
      <c r="M10" s="298"/>
      <c r="N10" s="290" t="s">
        <v>115</v>
      </c>
      <c r="O10" s="299" t="s">
        <v>253</v>
      </c>
      <c r="P10" s="293" t="s">
        <v>242</v>
      </c>
    </row>
    <row r="11" spans="1:16" s="19" customFormat="1" ht="19.95" customHeight="1">
      <c r="A11" s="216" t="s">
        <v>232</v>
      </c>
      <c r="B11" s="216" t="s">
        <v>233</v>
      </c>
      <c r="C11" s="216" t="s">
        <v>236</v>
      </c>
      <c r="D11" s="216" t="s">
        <v>237</v>
      </c>
      <c r="E11" s="216" t="s">
        <v>234</v>
      </c>
      <c r="F11" s="217" t="s">
        <v>238</v>
      </c>
      <c r="G11" s="217" t="s">
        <v>239</v>
      </c>
      <c r="H11" s="296"/>
      <c r="I11" s="197">
        <v>1</v>
      </c>
      <c r="J11" s="197">
        <v>2</v>
      </c>
      <c r="K11" s="197">
        <v>3</v>
      </c>
      <c r="L11" s="197">
        <v>4</v>
      </c>
      <c r="M11" s="197">
        <v>5</v>
      </c>
      <c r="N11" s="290"/>
      <c r="O11" s="300"/>
      <c r="P11" s="294"/>
    </row>
    <row r="12" spans="1:16" s="19" customFormat="1" ht="19.95" customHeight="1">
      <c r="A12" s="87"/>
      <c r="B12" s="34"/>
      <c r="C12" s="15"/>
      <c r="D12" s="34"/>
      <c r="E12" s="34"/>
      <c r="F12" s="229"/>
      <c r="G12" s="229"/>
      <c r="H12" s="35"/>
      <c r="I12" s="36"/>
      <c r="J12" s="36"/>
      <c r="K12" s="36"/>
      <c r="L12" s="36"/>
      <c r="M12" s="36"/>
      <c r="N12" s="36"/>
      <c r="O12" s="36"/>
      <c r="P12" s="15"/>
    </row>
    <row r="13" spans="1:16" s="19" customFormat="1" ht="19.95" customHeight="1">
      <c r="A13" s="87"/>
      <c r="B13" s="34"/>
      <c r="C13" s="15"/>
      <c r="D13" s="34"/>
      <c r="E13" s="34"/>
      <c r="F13" s="229"/>
      <c r="G13" s="229"/>
      <c r="H13" s="35"/>
      <c r="I13" s="36"/>
      <c r="J13" s="36"/>
      <c r="K13" s="36"/>
      <c r="L13" s="36"/>
      <c r="M13" s="36"/>
      <c r="N13" s="36"/>
      <c r="O13" s="36"/>
      <c r="P13" s="15"/>
    </row>
    <row r="14" spans="1:16" s="19" customFormat="1" ht="19.95" customHeight="1">
      <c r="A14" s="87"/>
      <c r="B14" s="34"/>
      <c r="C14" s="15"/>
      <c r="D14" s="34"/>
      <c r="E14" s="34"/>
      <c r="F14" s="229"/>
      <c r="G14" s="229"/>
      <c r="H14" s="35"/>
      <c r="I14" s="36"/>
      <c r="J14" s="36"/>
      <c r="K14" s="36"/>
      <c r="L14" s="36"/>
      <c r="M14" s="36"/>
      <c r="N14" s="36"/>
      <c r="O14" s="36"/>
      <c r="P14" s="15"/>
    </row>
    <row r="15" spans="1:16" s="19" customFormat="1" ht="19.95" customHeight="1">
      <c r="A15" s="87"/>
      <c r="B15" s="34"/>
      <c r="C15" s="15"/>
      <c r="D15" s="34"/>
      <c r="E15" s="34"/>
      <c r="F15" s="229"/>
      <c r="G15" s="229"/>
      <c r="H15" s="35"/>
      <c r="I15" s="36"/>
      <c r="J15" s="36"/>
      <c r="K15" s="36"/>
      <c r="L15" s="36"/>
      <c r="M15" s="36"/>
      <c r="N15" s="36"/>
      <c r="O15" s="36"/>
      <c r="P15" s="15"/>
    </row>
    <row r="16" spans="1:16" s="19" customFormat="1" ht="19.95" customHeight="1">
      <c r="A16" s="87"/>
      <c r="B16" s="34"/>
      <c r="C16" s="15"/>
      <c r="D16" s="34"/>
      <c r="E16" s="34"/>
      <c r="F16" s="229"/>
      <c r="G16" s="229"/>
      <c r="H16" s="35"/>
      <c r="I16" s="36"/>
      <c r="J16" s="36"/>
      <c r="K16" s="36"/>
      <c r="L16" s="36"/>
      <c r="M16" s="36"/>
      <c r="N16" s="36"/>
      <c r="O16" s="36"/>
      <c r="P16" s="15"/>
    </row>
    <row r="17" spans="1:16" s="19" customFormat="1" ht="19.95" customHeight="1">
      <c r="A17" s="287" t="s">
        <v>231</v>
      </c>
      <c r="B17" s="287"/>
      <c r="C17" s="287"/>
      <c r="D17" s="188"/>
      <c r="E17" s="188"/>
      <c r="F17" s="189">
        <f>SUM(F12:F16)</f>
        <v>0</v>
      </c>
      <c r="G17" s="189">
        <f>SUM(G12:G16)</f>
        <v>0</v>
      </c>
      <c r="H17" s="190"/>
      <c r="I17" s="190"/>
      <c r="J17" s="189"/>
      <c r="K17" s="190"/>
      <c r="L17" s="190"/>
      <c r="M17" s="191"/>
      <c r="N17" s="191"/>
      <c r="O17" s="191"/>
      <c r="P17" s="192"/>
    </row>
    <row r="18" spans="1:16" s="19" customFormat="1" ht="19.95" customHeight="1">
      <c r="A18" s="287" t="s">
        <v>285</v>
      </c>
      <c r="B18" s="287"/>
      <c r="C18" s="287"/>
      <c r="D18" s="188"/>
      <c r="E18" s="188"/>
      <c r="F18" s="190">
        <f>'明细表M3-2'!O25</f>
        <v>0</v>
      </c>
      <c r="G18" s="189">
        <f>'明细表M3-2'!N25</f>
        <v>0</v>
      </c>
      <c r="H18" s="190"/>
      <c r="I18" s="190"/>
      <c r="J18" s="189"/>
      <c r="K18" s="190"/>
      <c r="L18" s="190"/>
      <c r="M18" s="191"/>
      <c r="N18" s="191"/>
      <c r="O18" s="191"/>
      <c r="P18" s="192"/>
    </row>
    <row r="19" spans="1:16" s="19" customFormat="1" ht="19.95" customHeight="1">
      <c r="A19" s="288" t="s">
        <v>286</v>
      </c>
      <c r="B19" s="288"/>
      <c r="C19" s="288"/>
      <c r="D19" s="227"/>
      <c r="E19" s="188"/>
      <c r="F19" s="230" t="e">
        <f>F17/F18</f>
        <v>#DIV/0!</v>
      </c>
      <c r="G19" s="230" t="e">
        <f>G17/G18</f>
        <v>#DIV/0!</v>
      </c>
      <c r="H19" s="190"/>
      <c r="I19" s="190"/>
      <c r="J19" s="189"/>
      <c r="K19" s="190"/>
      <c r="L19" s="190"/>
      <c r="M19" s="191"/>
      <c r="N19" s="191"/>
      <c r="O19" s="191"/>
      <c r="P19" s="192"/>
    </row>
    <row r="20" spans="1:16" s="19" customFormat="1" ht="19.95" customHeight="1">
      <c r="A20" s="228" t="s">
        <v>118</v>
      </c>
      <c r="B20" s="194"/>
      <c r="C20" s="194"/>
      <c r="D20" s="194"/>
      <c r="E20" s="194"/>
      <c r="F20" s="194"/>
      <c r="G20" s="194"/>
      <c r="H20" s="194"/>
      <c r="I20" s="194"/>
      <c r="J20" s="194"/>
      <c r="K20" s="194"/>
      <c r="L20" s="194"/>
      <c r="M20" s="193"/>
      <c r="N20" s="193"/>
      <c r="O20" s="193"/>
      <c r="P20" s="195"/>
    </row>
    <row r="21" spans="1:16" s="19" customFormat="1" ht="19.95" customHeight="1">
      <c r="K21" s="194"/>
      <c r="L21" s="194"/>
      <c r="M21" s="193"/>
      <c r="N21" s="193"/>
      <c r="O21" s="193"/>
      <c r="P21" s="195"/>
    </row>
    <row r="22" spans="1:16" s="19" customFormat="1" ht="19.95" customHeight="1">
      <c r="M22" s="28"/>
      <c r="N22" s="28"/>
      <c r="O22" s="28"/>
      <c r="P22" s="28"/>
    </row>
    <row r="23" spans="1:16" s="19" customFormat="1" ht="19.95" customHeight="1">
      <c r="A23" s="38" t="s">
        <v>119</v>
      </c>
      <c r="K23" s="157"/>
      <c r="L23" s="157"/>
      <c r="M23" s="28"/>
      <c r="N23" s="28"/>
      <c r="O23" s="28"/>
      <c r="P23" s="28"/>
    </row>
    <row r="24" spans="1:16" s="19" customFormat="1" ht="19.95" customHeight="1">
      <c r="M24" s="28"/>
      <c r="N24" s="28"/>
      <c r="O24" s="28"/>
      <c r="P24" s="28"/>
    </row>
    <row r="25" spans="1:16" s="19" customFormat="1" ht="18" customHeight="1">
      <c r="A25" s="37"/>
      <c r="C25" s="28"/>
      <c r="D25" s="28"/>
      <c r="E25" s="28"/>
      <c r="F25" s="28"/>
      <c r="G25" s="28"/>
      <c r="H25" s="28"/>
      <c r="I25" s="28"/>
      <c r="J25" s="28"/>
      <c r="K25" s="28"/>
      <c r="L25" s="28"/>
      <c r="M25" s="28"/>
      <c r="N25" s="28"/>
      <c r="O25" s="28"/>
      <c r="P25" s="28"/>
    </row>
    <row r="26" spans="1:16" s="19" customFormat="1" ht="18" customHeight="1">
      <c r="A26" s="37"/>
      <c r="C26" s="28"/>
      <c r="D26" s="28"/>
      <c r="E26" s="28"/>
      <c r="F26" s="28"/>
      <c r="G26" s="28"/>
      <c r="H26" s="28"/>
      <c r="I26" s="28"/>
      <c r="J26" s="28"/>
      <c r="K26" s="28"/>
      <c r="L26" s="28"/>
      <c r="M26" s="28"/>
      <c r="N26" s="28"/>
      <c r="O26" s="28"/>
      <c r="P26" s="28"/>
    </row>
    <row r="27" spans="1:16" s="19" customFormat="1" ht="18" customHeight="1">
      <c r="A27" s="96"/>
    </row>
    <row r="28" spans="1:16" ht="18" customHeight="1">
      <c r="A28" s="40"/>
      <c r="B28" s="40"/>
    </row>
    <row r="29" spans="1:16" ht="18" customHeight="1">
      <c r="A29" s="41"/>
      <c r="B29" s="41"/>
    </row>
    <row r="30" spans="1:16" ht="18" customHeight="1">
      <c r="A30" s="97"/>
      <c r="B30" s="41"/>
    </row>
    <row r="31" spans="1:16" ht="18" customHeight="1">
      <c r="A31" s="42"/>
      <c r="B31" s="41"/>
    </row>
    <row r="32" spans="1:16" ht="18" customHeight="1">
      <c r="A32" s="42"/>
      <c r="B32" s="41"/>
    </row>
    <row r="33" spans="1:2" ht="18" customHeight="1">
      <c r="A33" s="42"/>
      <c r="B33" s="41"/>
    </row>
    <row r="35" spans="1:2">
      <c r="A35" s="46"/>
    </row>
  </sheetData>
  <mergeCells count="11">
    <mergeCell ref="A1:P1"/>
    <mergeCell ref="A2:P2"/>
    <mergeCell ref="P10:P11"/>
    <mergeCell ref="H10:H11"/>
    <mergeCell ref="I10:M10"/>
    <mergeCell ref="O10:O11"/>
    <mergeCell ref="A18:C18"/>
    <mergeCell ref="A19:C19"/>
    <mergeCell ref="A17:C17"/>
    <mergeCell ref="A10:G10"/>
    <mergeCell ref="N10:N11"/>
  </mergeCells>
  <phoneticPr fontId="17" type="noConversion"/>
  <dataValidations count="2">
    <dataValidation type="list" allowBlank="1" showInputMessage="1" showErrorMessage="1" sqref="I12:M16">
      <formula1>"√,X"</formula1>
    </dataValidation>
    <dataValidation type="list" allowBlank="1" showInputMessage="1" showErrorMessage="1" sqref="C23">
      <formula1>"A：未见异常，可以确认。,B：经审计调整可以确认。,C：由于存在上述重大未调整事项（或审计范围受到限制无法获取充分、适当证据），不可确认。"</formula1>
    </dataValidation>
  </dataValidations>
  <hyperlinks>
    <hyperlink ref="P3" location="底稿目录!A1" display="底稿目录!A1"/>
  </hyperlinks>
  <pageMargins left="0.70866141732283472" right="0.70866141732283472" top="0.74803149606299213" bottom="0.74803149606299213" header="0.31496062992125984" footer="0.31496062992125984"/>
  <pageSetup paperSize="9" scale="82" orientation="landscape" blackAndWhite="1" r:id="rId1"/>
  <headerFooter>
    <oddFooter>&amp;C&amp;P/&amp;N</oddFooter>
  </headerFooter>
  <ignoredErrors>
    <ignoredError sqref="L3:L4 A3:E4" unlocked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92D050"/>
    <pageSetUpPr fitToPage="1"/>
  </sheetPr>
  <dimension ref="A1:A33"/>
  <sheetViews>
    <sheetView view="pageBreakPreview" zoomScale="120" zoomScaleNormal="130" zoomScaleSheetLayoutView="120" workbookViewId="0">
      <selection activeCell="D8" sqref="D8"/>
    </sheetView>
  </sheetViews>
  <sheetFormatPr defaultColWidth="9" defaultRowHeight="12"/>
  <cols>
    <col min="1" max="1" width="73.69921875" style="43" customWidth="1"/>
    <col min="2" max="16384" width="9" style="43"/>
  </cols>
  <sheetData>
    <row r="1" spans="1:1" ht="20.100000000000001" customHeight="1">
      <c r="A1" s="48" t="s">
        <v>47</v>
      </c>
    </row>
    <row r="2" spans="1:1" ht="20.100000000000001" customHeight="1">
      <c r="A2" s="49" t="s">
        <v>1</v>
      </c>
    </row>
    <row r="3" spans="1:1" ht="20.100000000000001" customHeight="1">
      <c r="A3" s="49" t="s">
        <v>2</v>
      </c>
    </row>
    <row r="4" spans="1:1" ht="29.25" customHeight="1">
      <c r="A4" s="49" t="s">
        <v>21</v>
      </c>
    </row>
    <row r="5" spans="1:1" ht="27" customHeight="1">
      <c r="A5" s="49" t="s">
        <v>22</v>
      </c>
    </row>
    <row r="6" spans="1:1" ht="42.75" customHeight="1">
      <c r="A6" s="49" t="s">
        <v>23</v>
      </c>
    </row>
    <row r="7" spans="1:1" ht="28.5" customHeight="1">
      <c r="A7" s="49" t="s">
        <v>112</v>
      </c>
    </row>
    <row r="8" spans="1:1" ht="53.25" customHeight="1">
      <c r="A8" s="49" t="s">
        <v>48</v>
      </c>
    </row>
    <row r="9" spans="1:1" ht="41.25" customHeight="1">
      <c r="A9" s="49" t="s">
        <v>24</v>
      </c>
    </row>
    <row r="10" spans="1:1" ht="20.100000000000001" customHeight="1">
      <c r="A10" s="49" t="s">
        <v>3</v>
      </c>
    </row>
    <row r="11" spans="1:1" ht="20.100000000000001" customHeight="1"/>
    <row r="12" spans="1:1" ht="20.100000000000001" customHeight="1">
      <c r="A12" s="47" t="s">
        <v>150</v>
      </c>
    </row>
    <row r="13" spans="1:1" ht="20.100000000000001" customHeight="1">
      <c r="A13" s="43" t="s">
        <v>254</v>
      </c>
    </row>
    <row r="14" spans="1:1" ht="20.100000000000001" customHeight="1">
      <c r="A14" s="43" t="s">
        <v>145</v>
      </c>
    </row>
    <row r="15" spans="1:1" ht="20.100000000000001" customHeight="1">
      <c r="A15" s="43" t="s">
        <v>146</v>
      </c>
    </row>
    <row r="16" spans="1:1" ht="20.100000000000001" customHeight="1">
      <c r="A16" s="43" t="s">
        <v>147</v>
      </c>
    </row>
    <row r="17" spans="1:1" ht="20.100000000000001" customHeight="1">
      <c r="A17" s="43" t="s">
        <v>148</v>
      </c>
    </row>
    <row r="18" spans="1:1" ht="20.100000000000001" customHeight="1">
      <c r="A18" s="43" t="s">
        <v>255</v>
      </c>
    </row>
    <row r="19" spans="1:1" ht="20.100000000000001" customHeight="1">
      <c r="A19" s="43" t="s">
        <v>149</v>
      </c>
    </row>
    <row r="20" spans="1:1" ht="45" customHeight="1">
      <c r="A20" s="43" t="s">
        <v>256</v>
      </c>
    </row>
    <row r="21" spans="1:1" ht="55.95" customHeight="1">
      <c r="A21" s="43" t="s">
        <v>257</v>
      </c>
    </row>
    <row r="22" spans="1:1" ht="47.55" customHeight="1">
      <c r="A22" s="43" t="s">
        <v>258</v>
      </c>
    </row>
    <row r="23" spans="1:1" ht="20.100000000000001" customHeight="1">
      <c r="A23" s="43" t="s">
        <v>259</v>
      </c>
    </row>
    <row r="24" spans="1:1" ht="20.100000000000001" customHeight="1"/>
    <row r="25" spans="1:1" ht="20.100000000000001" customHeight="1">
      <c r="A25" s="47" t="s">
        <v>260</v>
      </c>
    </row>
    <row r="26" spans="1:1" ht="20.100000000000001" customHeight="1">
      <c r="A26" s="43" t="s">
        <v>25</v>
      </c>
    </row>
    <row r="27" spans="1:1" ht="69" customHeight="1">
      <c r="A27" s="43" t="s">
        <v>49</v>
      </c>
    </row>
    <row r="28" spans="1:1" ht="30" customHeight="1">
      <c r="A28" s="43" t="s">
        <v>50</v>
      </c>
    </row>
    <row r="29" spans="1:1" ht="29.25" customHeight="1">
      <c r="A29" s="43" t="s">
        <v>51</v>
      </c>
    </row>
    <row r="30" spans="1:1" ht="27" customHeight="1">
      <c r="A30" s="43" t="s">
        <v>52</v>
      </c>
    </row>
    <row r="31" spans="1:1" ht="31.5" customHeight="1">
      <c r="A31" s="43" t="s">
        <v>53</v>
      </c>
    </row>
    <row r="32" spans="1:1" ht="27" customHeight="1">
      <c r="A32" s="43" t="s">
        <v>54</v>
      </c>
    </row>
    <row r="33" spans="1:1" ht="20.100000000000001" customHeight="1">
      <c r="A33" s="43" t="s">
        <v>55</v>
      </c>
    </row>
  </sheetData>
  <phoneticPr fontId="17" type="noConversion"/>
  <pageMargins left="0.70866141732283472" right="0.70866141732283472" top="0.74803149606299213" bottom="0.74803149606299213" header="0.31496062992125984" footer="0.31496062992125984"/>
  <pageSetup paperSize="9" scale="54"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B8"/>
  <sheetViews>
    <sheetView workbookViewId="0"/>
  </sheetViews>
  <sheetFormatPr defaultRowHeight="15.6"/>
  <sheetData>
    <row r="1" spans="1:2">
      <c r="A1" t="s">
        <v>28</v>
      </c>
      <c r="B1" t="s">
        <v>29</v>
      </c>
    </row>
    <row r="2" spans="1:2">
      <c r="A2" t="s">
        <v>30</v>
      </c>
      <c r="B2" t="s">
        <v>31</v>
      </c>
    </row>
    <row r="3" spans="1:2">
      <c r="A3" t="s">
        <v>32</v>
      </c>
      <c r="B3" t="s">
        <v>33</v>
      </c>
    </row>
    <row r="4" spans="1:2">
      <c r="A4" t="s">
        <v>34</v>
      </c>
      <c r="B4" t="s">
        <v>35</v>
      </c>
    </row>
    <row r="5" spans="1:2">
      <c r="A5" t="s">
        <v>36</v>
      </c>
      <c r="B5" t="s">
        <v>37</v>
      </c>
    </row>
    <row r="6" spans="1:2">
      <c r="A6" t="s">
        <v>38</v>
      </c>
      <c r="B6" t="s">
        <v>39</v>
      </c>
    </row>
    <row r="7" spans="1:2">
      <c r="A7" t="s">
        <v>40</v>
      </c>
      <c r="B7" t="s">
        <v>41</v>
      </c>
    </row>
    <row r="8" spans="1:2">
      <c r="A8" t="s">
        <v>42</v>
      </c>
      <c r="B8" t="s">
        <v>43</v>
      </c>
    </row>
  </sheetData>
  <phoneticPr fontId="17"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10</vt:i4>
      </vt:variant>
      <vt:variant>
        <vt:lpstr>命名范围</vt:lpstr>
      </vt:variant>
      <vt:variant>
        <vt:i4>7</vt:i4>
      </vt:variant>
    </vt:vector>
  </HeadingPairs>
  <TitlesOfParts>
    <vt:vector size="17" baseType="lpstr">
      <vt:lpstr>底稿目录</vt:lpstr>
      <vt:lpstr> 库存股实质性程序表 M3A</vt:lpstr>
      <vt:lpstr>审定表M3-1</vt:lpstr>
      <vt:lpstr>附注披露信息（上市公司）</vt:lpstr>
      <vt:lpstr>明细表M3-2</vt:lpstr>
      <vt:lpstr>调整分录汇总M3-3</vt:lpstr>
      <vt:lpstr>外币投资汇率测算表M3-4</vt:lpstr>
      <vt:lpstr>库存股检查表M3-5</vt:lpstr>
      <vt:lpstr>参考－会计规定</vt:lpstr>
      <vt:lpstr>GT_Custom</vt:lpstr>
      <vt:lpstr>' 库存股实质性程序表 M3A'!Print_Area</vt:lpstr>
      <vt:lpstr>'附注披露信息（上市公司）'!Print_Area</vt:lpstr>
      <vt:lpstr>'库存股检查表M3-5'!Print_Area</vt:lpstr>
      <vt:lpstr>'明细表M3-2'!Print_Area</vt:lpstr>
      <vt:lpstr>'审定表M3-1'!Print_Area</vt:lpstr>
      <vt:lpstr>'外币投资汇率测算表M3-4'!Print_Area</vt:lpstr>
      <vt:lpstr>' 库存股实质性程序表 M3A'!Print_Titles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2025-10-23T01:53:21Z</cp:lastPrinted>
  <dcterms:created xsi:type="dcterms:W3CDTF">2007-05-20T08:51:05Z</dcterms:created>
  <dcterms:modified xsi:type="dcterms:W3CDTF">2025-11-05T08:20:50Z</dcterms:modified>
</cp:coreProperties>
</file>