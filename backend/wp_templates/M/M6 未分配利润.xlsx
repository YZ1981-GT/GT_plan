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805" firstSheet="0" activeTab="0" autoFilterDateGrouping="1"/>
  </bookViews>
  <sheets>
    <sheet xmlns:r="http://schemas.openxmlformats.org/officeDocument/2006/relationships" name="底稿目录" sheetId="1" state="visible" r:id="rId1"/>
    <sheet xmlns:r="http://schemas.openxmlformats.org/officeDocument/2006/relationships" name="未分配利润实质性程序表 M6A " sheetId="2" state="visible" r:id="rId2"/>
    <sheet xmlns:r="http://schemas.openxmlformats.org/officeDocument/2006/relationships" name="未分配利润实质性程序表 Q6A  (修订前)" sheetId="3" state="hidden" r:id="rId3"/>
    <sheet xmlns:r="http://schemas.openxmlformats.org/officeDocument/2006/relationships" name="审定表M6-1" sheetId="4" state="visible" r:id="rId4"/>
    <sheet xmlns:r="http://schemas.openxmlformats.org/officeDocument/2006/relationships" name="附注披露信息（上市公司）" sheetId="5" state="visible" r:id="rId5"/>
    <sheet xmlns:r="http://schemas.openxmlformats.org/officeDocument/2006/relationships" name="附注披露信息（国有企业）" sheetId="6" state="visible" r:id="rId6"/>
    <sheet xmlns:r="http://schemas.openxmlformats.org/officeDocument/2006/relationships" name="明细表M6-2" sheetId="7" state="visible" r:id="rId7"/>
    <sheet xmlns:r="http://schemas.openxmlformats.org/officeDocument/2006/relationships" name="调整分录汇总M6-3" sheetId="8" state="visible" r:id="rId8"/>
    <sheet xmlns:r="http://schemas.openxmlformats.org/officeDocument/2006/relationships" name="未分配利润检查表M6-4" sheetId="9" state="visible" r:id="rId9"/>
    <sheet xmlns:r="http://schemas.openxmlformats.org/officeDocument/2006/relationships" name="GT_Custom" sheetId="10" state="hidden" r:id="rId10"/>
  </sheets>
  <definedNames>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新目录" hidden="1">#REF!</definedName>
    <definedName name="AFV" localSheetId="1" hidden="1">#REF!</definedName>
    <definedName name="CCD" localSheetId="1" hidden="1">#REF!</definedName>
    <definedName name="CDE" localSheetId="1" hidden="1">#REF!</definedName>
    <definedName name="DEX" localSheetId="1" hidden="1">#REF!</definedName>
    <definedName name="EDC" localSheetId="1" hidden="1">#REF!</definedName>
    <definedName name="FAD" localSheetId="1" hidden="1">[1]Breakdown!#REF!</definedName>
    <definedName name="FASD" localSheetId="1" hidden="1">#REF!</definedName>
    <definedName name="FEDC" localSheetId="1" hidden="1">'[2]2004'!#REF!</definedName>
    <definedName name="RDES" localSheetId="1" hidden="1">#REF!</definedName>
    <definedName name="VFE" localSheetId="1" hidden="1">#REF!</definedName>
    <definedName name="XAP" localSheetId="1" hidden="1">#REF!</definedName>
    <definedName name="XAQ" localSheetId="1" hidden="1">#REF!</definedName>
    <definedName name="XCD" localSheetId="1" hidden="1">#REF!</definedName>
    <definedName name="XREF_COLUMN_1" localSheetId="1" hidden="1">#REF!</definedName>
    <definedName name="XREF_COLUMN_2" localSheetId="1" hidden="1">[1]Breakdown!#REF!</definedName>
    <definedName name="XREF_COLUMN_3" localSheetId="1" hidden="1">#REF!</definedName>
    <definedName name="XREF_COLUMN_5" localSheetId="1" hidden="1">'[2]2004'!#REF!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底稿目录" localSheetId="1" hidden="1">#REF!</definedName>
    <definedName name="新目录" localSheetId="1" hidden="1">#REF!</definedName>
    <definedName name="_xlnm.Print_Titles" localSheetId="1">'未分配利润实质性程序表 M6A '!$15:$15</definedName>
    <definedName name="_xlnm.Print_Area" localSheetId="1">'未分配利润实质性程序表 M6A '!$A$1:$I$23</definedName>
    <definedName name="AFV" localSheetId="2" hidden="1">#REF!</definedName>
    <definedName name="CCD" localSheetId="2" hidden="1">#REF!</definedName>
    <definedName name="CDE" localSheetId="2" hidden="1">#REF!</definedName>
    <definedName name="DEX" localSheetId="2" hidden="1">#REF!</definedName>
    <definedName name="EDC" localSheetId="2" hidden="1">#REF!</definedName>
    <definedName name="FAD" localSheetId="2" hidden="1">[1]Breakdown!#REF!</definedName>
    <definedName name="FASD" localSheetId="2" hidden="1">#REF!</definedName>
    <definedName name="FEDC" localSheetId="2" hidden="1">'[2]2004'!#REF!</definedName>
    <definedName name="RDES" localSheetId="2" hidden="1">#REF!</definedName>
    <definedName name="VFE" localSheetId="2" hidden="1">#REF!</definedName>
    <definedName name="XAP" localSheetId="2" hidden="1">#REF!</definedName>
    <definedName name="XAQ" localSheetId="2" hidden="1">#REF!</definedName>
    <definedName name="XCD" localSheetId="2" hidden="1">#REF!</definedName>
    <definedName name="XREF_COLUMN_1" localSheetId="2" hidden="1">#REF!</definedName>
    <definedName name="XREF_COLUMN_2" localSheetId="2" hidden="1">[1]Breakdown!#REF!</definedName>
    <definedName name="XREF_COLUMN_3" localSheetId="2" hidden="1">#REF!</definedName>
    <definedName name="XREF_COLUMN_5" localSheetId="2" hidden="1">'[2]2004'!#REF!</definedName>
    <definedName name="XRefActiveRow" localSheetId="2" hidden="1">#REF!</definedName>
    <definedName name="XRefCopy1" localSheetId="2" hidden="1">#REF!</definedName>
    <definedName name="XRefCopy1Row" localSheetId="2" hidden="1">#REF!</definedName>
    <definedName name="XRefCopy2Row" localSheetId="2" hidden="1">#REF!</definedName>
    <definedName name="XRefPaste1" localSheetId="2" hidden="1">#REF!</definedName>
    <definedName name="XRefPaste1Row" localSheetId="2" hidden="1">#REF!</definedName>
    <definedName name="XRefPaste2" localSheetId="2" hidden="1">#REF!</definedName>
    <definedName name="XRefPaste2Row" localSheetId="2" hidden="1">#REF!</definedName>
    <definedName name="XRefPaste3" localSheetId="2" hidden="1">#REF!</definedName>
    <definedName name="XRefPaste3Row" localSheetId="2" hidden="1">#REF!</definedName>
    <definedName name="底稿目录" localSheetId="2" hidden="1">#REF!</definedName>
    <definedName name="新目录" localSheetId="2" hidden="1">#REF!</definedName>
    <definedName name="_xlnm._FilterDatabase" localSheetId="2" hidden="1">'未分配利润实质性程序表 Q6A  (修订前)'!$A$16:$J$16</definedName>
    <definedName name="_xlnm.Print_Titles" localSheetId="2">'未分配利润实质性程序表 Q6A  (修订前)'!$16:$16</definedName>
    <definedName name="_xlnm.Print_Area" localSheetId="2">'未分配利润实质性程序表 Q6A  (修订前)'!$A$1:$J$52</definedName>
    <definedName name="_xlnm.Print_Area" localSheetId="3">'审定表M6-1'!$A$1:$L$25</definedName>
    <definedName name="_xlnm.Print_Area" localSheetId="4">'附注披露信息（上市公司）'!$A$1:$F$30</definedName>
    <definedName name="_xlnm.Print_Area" localSheetId="6">'明细表M6-2'!$A$1:$K$30</definedName>
    <definedName name="_xlnm.Print_Area" localSheetId="7">'调整分录汇总M6-3'!$A$1:$J$25</definedName>
    <definedName name="_xlnm.Print_Area" localSheetId="8">'未分配利润检查表M6-4'!$A$1:$P$23</definedName>
  </definedNames>
  <calcPr calcId="162913" fullCalcOnLoad="1"/>
</workbook>
</file>

<file path=xl/styles.xml><?xml version="1.0" encoding="utf-8"?>
<styleSheet xmlns="http://schemas.openxmlformats.org/spreadsheetml/2006/main">
  <numFmts count="19">
    <numFmt numFmtId="164" formatCode="_ * #,##0.00_ ;_ * \-#,##0.00_ ;_ * &quot;-&quot;??_ ;_ @_ "/>
    <numFmt numFmtId="165" formatCode="_([$€-2]* #,##0.00_);_([$€-2]* \(#,##0.00\);_([$€-2]* &quot;-&quot;??_)"/>
    <numFmt numFmtId="166" formatCode="_-#,##0_-;\(#,##0\);_-\ \ &quot;-&quot;_-;_-@_-"/>
    <numFmt numFmtId="167" formatCode="_-#,##0.00_-;\(#,##0.00\);_-\ \ &quot;-&quot;_-;_-@_-"/>
    <numFmt numFmtId="168" formatCode="mmm/dd/yyyy;_-\ &quot;N/A&quot;_-;_-\ &quot;-&quot;_-"/>
    <numFmt numFmtId="169" formatCode="mmm/yyyy;_-\ &quot;N/A&quot;_-;_-\ &quot;-&quot;_-"/>
    <numFmt numFmtId="170" formatCode="_-#,##0%_-;\(#,##0%\);_-\ &quot;-&quot;_-"/>
    <numFmt numFmtId="171" formatCode="_-#,###,_-;\(#,###,\);_-\ \ &quot;-&quot;_-;_-@_-"/>
    <numFmt numFmtId="172" formatCode="_-#,###.00,_-;\(#,###.00,\);_-\ \ &quot;-&quot;_-;_-@_-"/>
    <numFmt numFmtId="173" formatCode="_-#0&quot;.&quot;0,_-;\(#0&quot;.&quot;0,\);_-\ \ &quot;-&quot;_-;_-@_-"/>
    <numFmt numFmtId="174" formatCode="_-#0&quot;.&quot;0000_-;\(#0&quot;.&quot;0000\);_-\ \ &quot;-&quot;_-;_-@_-"/>
    <numFmt numFmtId="175" formatCode="&quot;$&quot;#,##0_);\(&quot;$&quot;#,##0\)"/>
    <numFmt numFmtId="176" formatCode="_-* #,##0_-;\-* #,##0_-;_-* &quot;-&quot;_-;_-@_-"/>
    <numFmt numFmtId="177" formatCode="_-* #,##0.00_-;\-* #,##0.00_-;_-* &quot;-&quot;??_-;_-@_-"/>
    <numFmt numFmtId="178" formatCode="_-&quot;$&quot;* #,##0_-;\-&quot;$&quot;* #,##0_-;_-&quot;$&quot;* &quot;-&quot;_-;_-@_-"/>
    <numFmt numFmtId="179" formatCode="_-&quot;$&quot;* #,##0.00_-;\-&quot;$&quot;* #,##0.00_-;_-&quot;$&quot;* &quot;-&quot;??_-;_-@_-"/>
    <numFmt numFmtId="180" formatCode="&quot;\&quot;#,##0;[Red]&quot;\&quot;&quot;\&quot;\-#,##0"/>
    <numFmt numFmtId="181" formatCode="&quot;\&quot;#,##0.00;[Red]&quot;\&quot;&quot;\&quot;\-#,##0.00"/>
    <numFmt numFmtId="182" formatCode="&quot;\&quot;#,##0;&quot;\&quot;&quot;\&quot;\-#,##0"/>
  </numFmts>
  <fonts count="82">
    <font>
      <name val="宋体"/>
      <charset val="134"/>
      <sz val="12"/>
    </font>
    <font>
      <name val="宋体"/>
      <charset val="134"/>
      <family val="2"/>
      <color theme="1"/>
      <sz val="11"/>
      <scheme val="minor"/>
    </font>
    <font>
      <name val="宋体"/>
      <charset val="134"/>
      <family val="2"/>
      <color theme="1"/>
      <sz val="11"/>
      <scheme val="minor"/>
    </font>
    <font>
      <name val="宋体"/>
      <charset val="134"/>
      <family val="2"/>
      <color theme="1"/>
      <sz val="11"/>
      <scheme val="minor"/>
    </font>
    <font>
      <name val="宋体"/>
      <charset val="134"/>
      <family val="2"/>
      <color theme="1"/>
      <sz val="11"/>
      <scheme val="minor"/>
    </font>
    <font>
      <name val="Helv"/>
      <family val="2"/>
      <sz val="7"/>
    </font>
    <font>
      <name val="MS Sans Serif"/>
      <family val="2"/>
      <b val="1"/>
      <sz val="10"/>
    </font>
    <font>
      <name val="Arial"/>
      <family val="2"/>
      <sz val="10"/>
    </font>
    <font>
      <name val="Arial"/>
      <family val="2"/>
      <color indexed="36"/>
      <sz val="7.5"/>
      <u val="single"/>
    </font>
    <font>
      <name val="Arial"/>
      <family val="2"/>
      <sz val="8"/>
    </font>
    <font>
      <name val="Arial"/>
      <family val="2"/>
      <color indexed="12"/>
      <sz val="7.5"/>
      <u val="single"/>
    </font>
    <font>
      <name val="宋体"/>
      <charset val="134"/>
      <family val="3"/>
      <sz val="12"/>
    </font>
    <font>
      <name val="Courier"/>
      <family val="3"/>
      <sz val="10"/>
    </font>
    <font>
      <name val="Garamond"/>
      <family val="1"/>
      <sz val="12"/>
    </font>
    <font>
      <name val="Helv"/>
      <family val="2"/>
      <color indexed="10"/>
      <sz val="7"/>
    </font>
    <font>
      <name val="宋体"/>
      <charset val="134"/>
      <family val="3"/>
      <color indexed="12"/>
      <sz val="12"/>
      <u val="single"/>
    </font>
    <font>
      <name val="楷体"/>
      <charset val="134"/>
      <family val="3"/>
      <sz val="12"/>
    </font>
    <font>
      <name val="楷体_GB2312"/>
      <charset val="134"/>
      <family val="3"/>
      <sz val="12"/>
    </font>
    <font>
      <name val="宋体"/>
      <charset val="134"/>
      <family val="3"/>
      <sz val="9"/>
    </font>
    <font>
      <name val="宋体"/>
      <charset val="134"/>
      <family val="3"/>
      <sz val="10"/>
    </font>
    <font>
      <name val="宋体"/>
      <charset val="134"/>
      <family val="3"/>
      <b val="1"/>
      <sz val="12"/>
    </font>
    <font>
      <name val="Times New Roman"/>
      <family val="1"/>
      <sz val="10"/>
    </font>
    <font>
      <name val="宋体"/>
      <charset val="134"/>
      <family val="3"/>
      <b val="1"/>
      <sz val="10"/>
    </font>
    <font>
      <name val="宋体"/>
      <charset val="134"/>
      <family val="3"/>
      <color indexed="10"/>
      <sz val="10"/>
    </font>
    <font>
      <name val="Times New Roman"/>
      <family val="1"/>
      <sz val="12"/>
    </font>
    <font>
      <name val="宋体"/>
      <charset val="134"/>
      <family val="3"/>
      <color indexed="12"/>
      <sz val="10"/>
    </font>
    <font>
      <name val="魏碑"/>
      <charset val="134"/>
      <family val="3"/>
      <color indexed="48"/>
      <sz val="18"/>
    </font>
    <font>
      <name val="宋体"/>
      <charset val="134"/>
      <family val="3"/>
      <i val="1"/>
      <color indexed="12"/>
      <sz val="10"/>
    </font>
    <font>
      <name val="宋体"/>
      <charset val="134"/>
      <family val="3"/>
      <b val="1"/>
      <color indexed="12"/>
      <sz val="10"/>
    </font>
    <font>
      <name val="Times New Roman"/>
      <family val="1"/>
      <sz val="10"/>
      <u val="singleAccounting"/>
      <vertAlign val="subscript"/>
    </font>
    <font>
      <name val="Times New Roman"/>
      <family val="1"/>
      <i val="1"/>
      <sz val="9"/>
    </font>
    <font>
      <name val="Arial Narrow"/>
      <family val="2"/>
      <b val="1"/>
      <sz val="10"/>
    </font>
    <font>
      <name val="Arial Narrow"/>
      <family val="2"/>
      <sz val="12"/>
    </font>
    <font>
      <name val="Arial Narrow"/>
      <family val="2"/>
      <b val="1"/>
      <sz val="12"/>
    </font>
    <font>
      <name val="Arial Narrow"/>
      <family val="2"/>
      <sz val="10"/>
    </font>
    <font>
      <name val="Arial Narrow"/>
      <family val="2"/>
      <sz val="10"/>
      <u val="single"/>
    </font>
    <font>
      <name val="Arial Narrow"/>
      <family val="2"/>
      <color indexed="12"/>
      <sz val="10"/>
    </font>
    <font>
      <name val="Arial Narrow"/>
      <family val="2"/>
      <b val="1"/>
      <color indexed="8"/>
      <sz val="10"/>
    </font>
    <font>
      <name val="宋体"/>
      <charset val="134"/>
      <family val="3"/>
      <b val="1"/>
      <color indexed="8"/>
      <sz val="10"/>
    </font>
    <font>
      <name val="Arial Narrow"/>
      <family val="2"/>
      <b val="1"/>
      <color indexed="10"/>
      <sz val="10"/>
      <u val="single"/>
    </font>
    <font>
      <name val="宋体"/>
      <charset val="134"/>
      <family val="3"/>
      <color theme="1"/>
      <sz val="11"/>
      <scheme val="minor"/>
    </font>
    <font>
      <name val="宋体"/>
      <charset val="134"/>
      <family val="3"/>
      <sz val="9"/>
      <scheme val="minor"/>
    </font>
    <font>
      <name val="Arial Narrow"/>
      <family val="2"/>
      <color indexed="8"/>
      <sz val="10"/>
    </font>
    <font>
      <name val="宋体"/>
      <charset val="134"/>
      <family val="2"/>
      <sz val="9"/>
      <scheme val="minor"/>
    </font>
    <font>
      <name val="Arial Narrow"/>
      <family val="2"/>
      <i val="1"/>
      <color indexed="12"/>
      <sz val="10"/>
    </font>
    <font>
      <name val="Arial Narrow"/>
      <family val="2"/>
      <b val="1"/>
      <color indexed="12"/>
      <sz val="10"/>
    </font>
    <font>
      <name val="Arial Narrow"/>
      <family val="2"/>
      <sz val="10.5"/>
    </font>
    <font>
      <name val="Arial Narrow"/>
      <family val="2"/>
      <color theme="1"/>
      <sz val="10"/>
    </font>
    <font>
      <name val="Arial Narrow"/>
      <family val="2"/>
      <color theme="1"/>
      <sz val="11"/>
    </font>
    <font>
      <name val="宋体"/>
      <charset val="134"/>
      <family val="3"/>
      <b val="1"/>
      <sz val="14"/>
    </font>
    <font>
      <name val="Arial Narrow"/>
      <family val="2"/>
      <b val="1"/>
      <sz val="14"/>
    </font>
    <font>
      <name val="Arial"/>
      <family val="2"/>
      <b val="1"/>
      <sz val="10"/>
    </font>
    <font>
      <name val="宋体"/>
      <charset val="134"/>
      <family val="3"/>
      <color theme="1" tint="0.1499984740745262"/>
      <sz val="10"/>
    </font>
    <font>
      <name val="Arial Narrow"/>
      <family val="2"/>
      <b val="1"/>
      <color rgb="FFFF0000"/>
      <sz val="10"/>
    </font>
    <font>
      <name val="宋体"/>
      <charset val="134"/>
      <family val="3"/>
      <sz val="10"/>
      <scheme val="minor"/>
    </font>
    <font>
      <name val="Arial"/>
      <family val="2"/>
      <color indexed="10"/>
      <sz val="10"/>
    </font>
    <font>
      <name val="Arial Narrow"/>
      <family val="2"/>
      <color rgb="FFFF0000"/>
      <sz val="10"/>
    </font>
    <font>
      <name val="Arial Narrow"/>
      <family val="2"/>
      <color rgb="FF0070C0"/>
      <sz val="10"/>
    </font>
    <font>
      <name val="Arial Narrow"/>
      <family val="2"/>
      <b val="1"/>
      <color theme="0" tint="-0.499984740745262"/>
      <sz val="10"/>
    </font>
    <font>
      <name val="Arial Narrow"/>
      <family val="2"/>
      <b val="1"/>
      <color theme="1"/>
      <sz val="10"/>
    </font>
    <font>
      <name val="宋体"/>
      <charset val="134"/>
      <family val="3"/>
      <color theme="1"/>
      <sz val="10"/>
    </font>
    <font>
      <name val="Arial Narrow"/>
      <family val="2"/>
      <sz val="11"/>
    </font>
    <font>
      <name val="Arial"/>
      <family val="2"/>
      <color theme="1"/>
      <sz val="10"/>
    </font>
    <font>
      <name val="宋体"/>
      <charset val="134"/>
      <family val="3"/>
      <b val="1"/>
      <color theme="1"/>
      <sz val="10"/>
    </font>
    <font>
      <name val="宋体"/>
      <charset val="134"/>
      <family val="3"/>
      <color rgb="FFFF0000"/>
      <sz val="10"/>
    </font>
    <font>
      <name val="宋体"/>
      <charset val="134"/>
      <family val="2"/>
      <color theme="1"/>
      <sz val="10"/>
    </font>
    <font>
      <name val="宋体"/>
      <charset val="134"/>
      <family val="3"/>
      <b val="1"/>
      <color indexed="81"/>
      <sz val="9"/>
    </font>
    <font>
      <name val="宋体"/>
      <charset val="134"/>
      <family val="3"/>
      <color indexed="81"/>
      <sz val="9"/>
    </font>
    <font>
      <name val="宋体"/>
      <charset val="134"/>
      <family val="3"/>
      <color rgb="FF0000FF"/>
      <sz val="10"/>
    </font>
    <font>
      <name val="Arial Narrow"/>
      <family val="2"/>
      <i val="1"/>
      <color indexed="12"/>
      <sz val="10"/>
      <u val="single"/>
    </font>
    <font>
      <name val="宋体"/>
      <charset val="134"/>
      <family val="3"/>
      <sz val="12"/>
      <scheme val="minor"/>
    </font>
    <font>
      <name val="宋体"/>
      <charset val="134"/>
      <family val="3"/>
      <b val="1"/>
      <color rgb="FF000000"/>
      <sz val="10"/>
      <scheme val="minor"/>
    </font>
    <font>
      <name val="宋体"/>
      <charset val="134"/>
      <family val="3"/>
      <b val="1"/>
      <sz val="10"/>
      <scheme val="minor"/>
    </font>
    <font>
      <name val="宋体"/>
      <charset val="134"/>
      <family val="3"/>
      <color rgb="FF000000"/>
      <sz val="10"/>
      <scheme val="minor"/>
    </font>
    <font>
      <name val="宋体"/>
      <charset val="134"/>
      <family val="3"/>
      <color rgb="FF0000FF"/>
      <sz val="10"/>
      <scheme val="minor"/>
    </font>
    <font>
      <name val="宋体"/>
      <charset val="134"/>
      <family val="3"/>
      <color rgb="FFFF0000"/>
      <sz val="10"/>
      <scheme val="minor"/>
    </font>
    <font>
      <name val="宋体"/>
      <charset val="134"/>
      <family val="3"/>
      <b val="1"/>
      <color rgb="FFFF0000"/>
      <sz val="10"/>
    </font>
    <font>
      <name val="Arial Narrow"/>
      <family val="2"/>
      <color rgb="FF0000FF"/>
      <sz val="10"/>
    </font>
    <font>
      <name val="Arial Narrow"/>
      <family val="2"/>
      <color theme="1" tint="0.1499984740745262"/>
      <sz val="10"/>
    </font>
    <font>
      <name val="Arial Narrow"/>
      <family val="2"/>
      <color indexed="10"/>
      <sz val="10"/>
    </font>
    <font>
      <name val="Arial Narrow"/>
      <family val="2"/>
      <color rgb="FF3333FF"/>
      <sz val="10"/>
    </font>
    <font>
      <name val="宋体"/>
      <charset val="134"/>
      <family val="3"/>
      <color rgb="FF3333FF"/>
      <sz val="10"/>
    </font>
  </fonts>
  <fills count="10">
    <fill>
      <patternFill/>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
        <bgColor rgb="FFB7DEE8"/>
      </patternFill>
    </fill>
  </fills>
  <borders count="19">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thin">
        <color indexed="64"/>
      </bottom>
      <diagonal/>
    </border>
    <border>
      <left style="hair">
        <color indexed="64"/>
      </left>
      <right/>
      <top/>
      <bottom/>
      <diagonal/>
    </border>
    <border>
      <left style="hair">
        <color indexed="64"/>
      </left>
      <right style="hair">
        <color indexed="64"/>
      </right>
      <top/>
      <bottom/>
      <diagonal/>
    </border>
    <border>
      <left/>
      <right style="hair">
        <color indexed="64"/>
      </right>
      <top/>
      <bottom/>
      <diagonal/>
    </border>
    <border>
      <left style="hair">
        <color indexed="64"/>
      </left>
      <right/>
      <top/>
      <bottom style="hair">
        <color indexed="64"/>
      </bottom>
      <diagonal/>
    </border>
  </borders>
  <cellStyleXfs count="59">
    <xf numFmtId="0" fontId="0" fillId="0" borderId="0" applyProtection="1">
      <protection locked="0" hidden="0"/>
    </xf>
    <xf numFmtId="49" fontId="21" fillId="0" borderId="0" applyAlignment="1">
      <alignment horizontal="left"/>
    </xf>
    <xf numFmtId="166" fontId="21" fillId="0" borderId="0" applyAlignment="1">
      <alignment horizontal="right"/>
    </xf>
    <xf numFmtId="167" fontId="21" fillId="0" borderId="0" applyAlignment="1">
      <alignment horizontal="right"/>
    </xf>
    <xf numFmtId="168" fontId="29" fillId="0" borderId="0" applyAlignment="1">
      <alignment horizontal="center"/>
    </xf>
    <xf numFmtId="169" fontId="29" fillId="0" borderId="0" applyAlignment="1">
      <alignment horizontal="center"/>
    </xf>
    <xf numFmtId="170" fontId="30" fillId="0" borderId="0" applyAlignment="1">
      <alignment horizontal="right"/>
    </xf>
    <xf numFmtId="171" fontId="21" fillId="0" borderId="0" applyAlignment="1">
      <alignment horizontal="right"/>
    </xf>
    <xf numFmtId="172" fontId="21" fillId="0" borderId="0" applyAlignment="1">
      <alignment horizontal="right"/>
    </xf>
    <xf numFmtId="173" fontId="21" fillId="0" borderId="0" applyAlignment="1">
      <alignment horizontal="right"/>
    </xf>
    <xf numFmtId="174" fontId="21" fillId="0" borderId="0" applyAlignment="1">
      <alignment horizontal="right"/>
    </xf>
    <xf numFmtId="3" fontId="5" fillId="0" borderId="0"/>
    <xf numFmtId="175" fontId="6" fillId="0" borderId="1"/>
    <xf numFmtId="176" fontId="7" fillId="0" borderId="0"/>
    <xf numFmtId="177" fontId="7" fillId="0" borderId="0"/>
    <xf numFmtId="178" fontId="7" fillId="0" borderId="0"/>
    <xf numFmtId="179" fontId="7" fillId="0" borderId="0"/>
    <xf numFmtId="41" fontId="7" fillId="0" borderId="0"/>
    <xf numFmtId="43" fontId="7" fillId="0" borderId="0"/>
    <xf numFmtId="165" fontId="21" fillId="0" borderId="0"/>
    <xf numFmtId="0" fontId="8" fillId="0" borderId="0" applyAlignment="1" applyProtection="1">
      <alignment vertical="top"/>
      <protection locked="0" hidden="0"/>
    </xf>
    <xf numFmtId="38" fontId="9" fillId="2" borderId="0"/>
    <xf numFmtId="0" fontId="10" fillId="0" borderId="0" applyAlignment="1" applyProtection="1">
      <alignment vertical="top"/>
      <protection locked="0" hidden="0"/>
    </xf>
    <xf numFmtId="10" fontId="9" fillId="3" borderId="2"/>
    <xf numFmtId="180" fontId="11" fillId="0" borderId="0"/>
    <xf numFmtId="181" fontId="11" fillId="0" borderId="0"/>
    <xf numFmtId="0" fontId="12" fillId="0" borderId="0"/>
    <xf numFmtId="182" fontId="11" fillId="0" borderId="0"/>
    <xf numFmtId="0" fontId="13" fillId="0" borderId="0"/>
    <xf numFmtId="10" fontId="7" fillId="0" borderId="0"/>
    <xf numFmtId="3" fontId="14" fillId="0" borderId="0"/>
    <xf numFmtId="9" fontId="11" fillId="0" borderId="0"/>
    <xf numFmtId="0" fontId="11" fillId="0" borderId="0" applyAlignment="1">
      <alignment vertical="center"/>
    </xf>
    <xf numFmtId="0" fontId="24" fillId="0" borderId="0"/>
    <xf numFmtId="0" fontId="11" fillId="0" borderId="0"/>
    <xf numFmtId="0" fontId="11" fillId="0" borderId="0"/>
    <xf numFmtId="0" fontId="15" fillId="0" borderId="0" applyAlignment="1" applyProtection="1">
      <alignment vertical="top"/>
      <protection locked="0" hidden="0"/>
    </xf>
    <xf numFmtId="0" fontId="16" fillId="0" borderId="0"/>
    <xf numFmtId="41" fontId="11" fillId="0" borderId="0"/>
    <xf numFmtId="43" fontId="11" fillId="0" borderId="0"/>
    <xf numFmtId="41" fontId="17" fillId="0" borderId="0"/>
    <xf numFmtId="43" fontId="17" fillId="0" borderId="0"/>
    <xf numFmtId="43" fontId="11" fillId="0" borderId="0"/>
    <xf numFmtId="0" fontId="11" fillId="0" borderId="0" applyProtection="1">
      <protection locked="0" hidden="0"/>
    </xf>
    <xf numFmtId="0" fontId="11" fillId="0" borderId="0" applyAlignment="1">
      <alignment vertical="center"/>
    </xf>
    <xf numFmtId="165" fontId="40" fillId="0" borderId="0" applyAlignment="1">
      <alignment vertical="center"/>
    </xf>
    <xf numFmtId="165" fontId="11" fillId="0" borderId="0"/>
    <xf numFmtId="165" fontId="11" fillId="0" borderId="0" applyAlignment="1">
      <alignment vertical="center"/>
    </xf>
    <xf numFmtId="165" fontId="4" fillId="0" borderId="0" applyAlignment="1">
      <alignment vertical="center"/>
    </xf>
    <xf numFmtId="0" fontId="11" fillId="0" borderId="0" applyProtection="1">
      <protection locked="0" hidden="0"/>
    </xf>
    <xf numFmtId="43" fontId="11" fillId="0" borderId="0"/>
    <xf numFmtId="0" fontId="11" fillId="0" borderId="0" applyProtection="1">
      <protection locked="0" hidden="0"/>
    </xf>
    <xf numFmtId="165" fontId="11" fillId="0" borderId="0"/>
    <xf numFmtId="0" fontId="15" fillId="0" borderId="0" applyAlignment="1" applyProtection="1">
      <alignment vertical="top"/>
      <protection locked="0" hidden="0"/>
    </xf>
    <xf numFmtId="9" fontId="11" fillId="0" borderId="0"/>
    <xf numFmtId="165" fontId="4" fillId="0" borderId="0" applyAlignment="1">
      <alignment vertical="center"/>
    </xf>
    <xf numFmtId="165" fontId="4" fillId="0" borderId="0" applyAlignment="1">
      <alignment vertical="center"/>
    </xf>
    <xf numFmtId="165" fontId="4" fillId="0" borderId="0" applyAlignment="1">
      <alignment vertical="center"/>
    </xf>
    <xf numFmtId="165" fontId="4" fillId="0" borderId="0" applyAlignment="1">
      <alignment vertical="center"/>
    </xf>
  </cellStyleXfs>
  <cellXfs count="494">
    <xf numFmtId="0" fontId="0" fillId="0" borderId="0" applyProtection="1" pivotButton="0" quotePrefix="0" xfId="0">
      <protection locked="0" hidden="0"/>
    </xf>
    <xf numFmtId="164" fontId="32" fillId="0" borderId="0" applyAlignment="1" pivotButton="0" quotePrefix="0" xfId="35">
      <alignment vertical="center"/>
    </xf>
    <xf numFmtId="164" fontId="34" fillId="0" borderId="0" applyAlignment="1" pivotButton="0" quotePrefix="0" xfId="35">
      <alignment vertical="center"/>
    </xf>
    <xf numFmtId="164" fontId="34" fillId="0" borderId="0" applyAlignment="1" pivotButton="0" quotePrefix="0" xfId="35">
      <alignment horizontal="left" vertical="center"/>
    </xf>
    <xf numFmtId="49" fontId="34" fillId="0" borderId="0" applyAlignment="1" pivotButton="0" quotePrefix="0" xfId="35">
      <alignment vertical="center"/>
    </xf>
    <xf numFmtId="0" fontId="34" fillId="0" borderId="0" applyAlignment="1" pivotButton="0" quotePrefix="0" xfId="35">
      <alignment horizontal="center" vertical="center"/>
    </xf>
    <xf numFmtId="0" fontId="34" fillId="0" borderId="0" applyAlignment="1" pivotButton="0" quotePrefix="0" xfId="33">
      <alignment vertical="center"/>
    </xf>
    <xf numFmtId="0" fontId="34" fillId="0" borderId="0" applyAlignment="1" pivotButton="0" quotePrefix="0" xfId="33">
      <alignment horizontal="left" vertical="center"/>
    </xf>
    <xf numFmtId="164" fontId="27" fillId="0" borderId="0" applyAlignment="1" pivotButton="0" quotePrefix="0" xfId="35">
      <alignment vertical="center"/>
    </xf>
    <xf numFmtId="164" fontId="36" fillId="0" borderId="0" applyAlignment="1" pivotButton="0" quotePrefix="0" xfId="35">
      <alignment vertical="center"/>
    </xf>
    <xf numFmtId="164" fontId="25" fillId="0" borderId="0" applyAlignment="1" pivotButton="0" quotePrefix="0" xfId="35">
      <alignment vertical="center"/>
    </xf>
    <xf numFmtId="164" fontId="28" fillId="0" borderId="0" applyAlignment="1" pivotButton="0" quotePrefix="0" xfId="35">
      <alignment vertical="center"/>
    </xf>
    <xf numFmtId="164" fontId="25" fillId="0" borderId="0" applyAlignment="1" pivotButton="0" quotePrefix="0" xfId="35">
      <alignment horizontal="right" vertical="center"/>
    </xf>
    <xf numFmtId="0" fontId="34" fillId="0" borderId="0" applyAlignment="1" applyProtection="1" pivotButton="0" quotePrefix="0" xfId="0">
      <alignment vertical="center"/>
      <protection locked="0" hidden="0"/>
    </xf>
    <xf numFmtId="0" fontId="34" fillId="0" borderId="0" applyAlignment="1" applyProtection="1" pivotButton="0" quotePrefix="0" xfId="0">
      <alignment horizontal="justify" vertical="center" wrapText="1"/>
      <protection locked="0" hidden="0"/>
    </xf>
    <xf numFmtId="0" fontId="34" fillId="0" borderId="3" applyAlignment="1" applyProtection="1" pivotButton="0" quotePrefix="0" xfId="0">
      <alignment vertical="center" wrapText="1"/>
      <protection locked="0" hidden="0"/>
    </xf>
    <xf numFmtId="0" fontId="33" fillId="0" borderId="0" applyAlignment="1" pivotButton="0" quotePrefix="0" xfId="32">
      <alignment vertical="center"/>
    </xf>
    <xf numFmtId="0" fontId="32" fillId="0" borderId="0" applyAlignment="1" pivotButton="0" quotePrefix="0" xfId="32">
      <alignment vertical="center"/>
    </xf>
    <xf numFmtId="164" fontId="34" fillId="0" borderId="3" applyAlignment="1" pivotButton="0" quotePrefix="0" xfId="42">
      <alignment wrapText="1"/>
    </xf>
    <xf numFmtId="164" fontId="31" fillId="0" borderId="3" applyAlignment="1" pivotButton="0" quotePrefix="0" xfId="42">
      <alignment wrapText="1"/>
    </xf>
    <xf numFmtId="164" fontId="34" fillId="0" borderId="3" applyAlignment="1" pivotButton="0" quotePrefix="0" xfId="42">
      <alignment vertical="center"/>
    </xf>
    <xf numFmtId="0" fontId="31" fillId="0" borderId="3" applyAlignment="1" applyProtection="1" pivotButton="0" quotePrefix="0" xfId="0">
      <alignment horizontal="center" wrapText="1"/>
      <protection locked="0" hidden="0"/>
    </xf>
    <xf numFmtId="0" fontId="31" fillId="0" borderId="3" applyAlignment="1" applyProtection="1" pivotButton="0" quotePrefix="0" xfId="0">
      <alignment horizontal="center" vertical="top" wrapText="1"/>
      <protection locked="0" hidden="0"/>
    </xf>
    <xf numFmtId="0" fontId="34" fillId="0" borderId="0" applyProtection="1" pivotButton="0" quotePrefix="0" xfId="0">
      <protection locked="0" hidden="0"/>
    </xf>
    <xf numFmtId="0" fontId="32" fillId="0" borderId="0" applyProtection="1" pivotButton="0" quotePrefix="0" xfId="0">
      <protection locked="0" hidden="0"/>
    </xf>
    <xf numFmtId="0" fontId="34" fillId="0" borderId="5" applyAlignment="1" applyProtection="1" pivotButton="0" quotePrefix="0" xfId="0">
      <alignment vertical="center"/>
      <protection locked="0" hidden="0"/>
    </xf>
    <xf numFmtId="0" fontId="32"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4" fillId="0" borderId="0" applyAlignment="1" applyProtection="1" pivotButton="0" quotePrefix="0" xfId="0">
      <alignment horizontal="left" vertical="center"/>
      <protection locked="0" hidden="0"/>
    </xf>
    <xf numFmtId="0" fontId="31" fillId="0" borderId="0" applyAlignment="1" pivotButton="0" quotePrefix="0" xfId="34">
      <alignment horizontal="left" vertical="center"/>
    </xf>
    <xf numFmtId="0" fontId="34" fillId="0" borderId="0" applyAlignment="1" applyProtection="1" pivotButton="0" quotePrefix="0" xfId="34">
      <alignment vertical="center"/>
      <protection locked="0" hidden="0"/>
    </xf>
    <xf numFmtId="0" fontId="36" fillId="0" borderId="0" applyAlignment="1" applyProtection="1" pivotButton="0" quotePrefix="0" xfId="34">
      <alignment horizontal="center" vertical="center"/>
      <protection locked="1" hidden="1"/>
    </xf>
    <xf numFmtId="0" fontId="34" fillId="0" borderId="0" applyAlignment="1" applyProtection="1" pivotButton="0" quotePrefix="0" xfId="34">
      <alignment horizontal="left" vertical="center"/>
      <protection locked="1" hidden="1"/>
    </xf>
    <xf numFmtId="0" fontId="36" fillId="0" borderId="0" applyAlignment="1" applyProtection="1" pivotButton="0" quotePrefix="0" xfId="34">
      <alignment horizontal="left" vertical="center"/>
      <protection locked="0" hidden="0"/>
    </xf>
    <xf numFmtId="0" fontId="34" fillId="0" borderId="3" applyAlignment="1" applyProtection="1" pivotButton="0" quotePrefix="0" xfId="0">
      <alignment horizontal="left" vertical="center"/>
      <protection locked="0" hidden="0"/>
    </xf>
    <xf numFmtId="164" fontId="34" fillId="0" borderId="3" applyAlignment="1" applyProtection="1" pivotButton="0" quotePrefix="0" xfId="0">
      <alignment horizontal="left" vertical="center"/>
      <protection locked="0" hidden="0"/>
    </xf>
    <xf numFmtId="0" fontId="34" fillId="0" borderId="3" applyAlignment="1" applyProtection="1" pivotButton="0" quotePrefix="0" xfId="0">
      <alignment horizontal="center" vertical="center"/>
      <protection locked="0" hidden="0"/>
    </xf>
    <xf numFmtId="0" fontId="34" fillId="0" borderId="0" applyAlignment="1" applyProtection="1" pivotButton="0" quotePrefix="0" xfId="0">
      <alignment horizontal="center" vertical="center"/>
      <protection locked="0" hidden="0"/>
    </xf>
    <xf numFmtId="0" fontId="31" fillId="0" borderId="0" applyAlignment="1" applyProtection="1" pivotButton="0" quotePrefix="0" xfId="0">
      <alignment vertical="center"/>
      <protection locked="0" hidden="0"/>
    </xf>
    <xf numFmtId="0" fontId="31" fillId="0" borderId="0" applyAlignment="1" applyProtection="1" pivotButton="0" quotePrefix="0" xfId="0">
      <alignment horizontal="left" vertical="center"/>
      <protection locked="0" hidden="0"/>
    </xf>
    <xf numFmtId="0" fontId="36" fillId="0" borderId="0" applyAlignment="1" applyProtection="1" pivotButton="0" quotePrefix="0" xfId="0">
      <alignment vertical="center"/>
      <protection locked="0" hidden="0"/>
    </xf>
    <xf numFmtId="0" fontId="36" fillId="0" borderId="0" applyProtection="1" pivotButton="0" quotePrefix="0" xfId="0">
      <protection locked="0" hidden="0"/>
    </xf>
    <xf numFmtId="0" fontId="36" fillId="0" borderId="0" applyAlignment="1" applyProtection="1" pivotButton="0" quotePrefix="0" xfId="0">
      <alignment horizontal="right"/>
      <protection locked="0" hidden="0"/>
    </xf>
    <xf numFmtId="0" fontId="37" fillId="0" borderId="0" applyAlignment="1" pivotButton="0" quotePrefix="0" xfId="43">
      <alignment vertical="center"/>
    </xf>
    <xf numFmtId="0" fontId="39" fillId="0" borderId="0" applyAlignment="1" pivotButton="0" quotePrefix="0" xfId="43">
      <alignment horizontal="center"/>
    </xf>
    <xf numFmtId="0" fontId="34" fillId="0" borderId="0" applyAlignment="1" applyProtection="1" pivotButton="0" quotePrefix="0" xfId="43">
      <alignment vertical="center"/>
      <protection locked="0" hidden="0"/>
    </xf>
    <xf numFmtId="0" fontId="34" fillId="0" borderId="0" applyAlignment="1" applyProtection="1" pivotButton="0" quotePrefix="0" xfId="43">
      <alignment vertical="center" wrapText="1"/>
      <protection locked="0" hidden="0"/>
    </xf>
    <xf numFmtId="0" fontId="34" fillId="0" borderId="0" applyAlignment="1" applyProtection="1" pivotButton="0" quotePrefix="0" xfId="43">
      <alignment horizontal="right" vertical="center"/>
      <protection locked="0" hidden="0"/>
    </xf>
    <xf numFmtId="0" fontId="34" fillId="0" borderId="0" applyAlignment="1" applyProtection="1" pivotButton="0" quotePrefix="0" xfId="43">
      <alignment horizontal="justify" vertical="center" wrapText="1"/>
      <protection locked="0" hidden="0"/>
    </xf>
    <xf numFmtId="0" fontId="34" fillId="0" borderId="0" applyAlignment="1" pivotButton="0" quotePrefix="0" xfId="44">
      <alignment vertical="center"/>
    </xf>
    <xf numFmtId="0" fontId="34" fillId="0" borderId="3" applyAlignment="1" applyProtection="1" pivotButton="0" quotePrefix="0" xfId="0">
      <alignment horizontal="left" vertical="center" wrapText="1" indent="1"/>
      <protection locked="0" hidden="0"/>
    </xf>
    <xf numFmtId="165" fontId="34" fillId="0" borderId="3" applyAlignment="1" applyProtection="1" pivotButton="0" quotePrefix="0" xfId="45">
      <alignment horizontal="left" vertical="center" wrapText="1"/>
      <protection locked="0" hidden="0"/>
    </xf>
    <xf numFmtId="164" fontId="31" fillId="0" borderId="0" applyAlignment="1" pivotButton="0" quotePrefix="0" xfId="35">
      <alignment horizontal="left" vertical="center"/>
    </xf>
    <xf numFmtId="0" fontId="34" fillId="0" borderId="0" applyAlignment="1" pivotButton="0" quotePrefix="0" xfId="34">
      <alignment vertical="center"/>
    </xf>
    <xf numFmtId="0" fontId="34" fillId="0" borderId="5" applyAlignment="1" applyProtection="1" pivotButton="0" quotePrefix="0" xfId="0">
      <alignment horizontal="left" vertical="center"/>
      <protection locked="0" hidden="0"/>
    </xf>
    <xf numFmtId="0" fontId="34" fillId="0" borderId="0" applyAlignment="1" pivotButton="0" quotePrefix="0" xfId="43">
      <alignment vertical="center"/>
    </xf>
    <xf numFmtId="0" fontId="37" fillId="0" borderId="2" applyAlignment="1" pivotButton="0" quotePrefix="0" xfId="0">
      <alignment horizontal="center" vertical="center"/>
    </xf>
    <xf numFmtId="0" fontId="42" fillId="0" borderId="2" applyAlignment="1" pivotButton="0" quotePrefix="0" xfId="0">
      <alignment vertical="center"/>
    </xf>
    <xf numFmtId="164" fontId="34" fillId="0" borderId="3" applyAlignment="1" pivotButton="0" quotePrefix="0" xfId="42">
      <alignment vertical="center" wrapText="1"/>
    </xf>
    <xf numFmtId="0" fontId="31" fillId="0" borderId="0" applyProtection="1" pivotButton="0" quotePrefix="0" xfId="0">
      <protection locked="0" hidden="0"/>
    </xf>
    <xf numFmtId="165" fontId="31" fillId="0" borderId="3" applyAlignment="1" applyProtection="1" pivotButton="0" quotePrefix="0" xfId="45">
      <alignment horizontal="left" vertical="center" wrapText="1"/>
      <protection locked="0" hidden="0"/>
    </xf>
    <xf numFmtId="164" fontId="31" fillId="0" borderId="0" applyAlignment="1" pivotButton="0" quotePrefix="0" xfId="35">
      <alignment vertical="center"/>
    </xf>
    <xf numFmtId="165" fontId="31" fillId="5" borderId="3" applyAlignment="1" applyProtection="1" pivotButton="0" quotePrefix="0" xfId="45">
      <alignment horizontal="center" vertical="center" wrapText="1"/>
      <protection locked="0" hidden="0"/>
    </xf>
    <xf numFmtId="0" fontId="31" fillId="5" borderId="3" applyAlignment="1" applyProtection="1" pivotButton="0" quotePrefix="0" xfId="0">
      <alignment horizontal="center" vertical="center" wrapText="1"/>
      <protection locked="0" hidden="0"/>
    </xf>
    <xf numFmtId="14" fontId="34" fillId="0" borderId="0" applyAlignment="1" applyProtection="1" pivotButton="0" quotePrefix="0" xfId="0">
      <alignment vertical="center"/>
      <protection locked="0" hidden="0"/>
    </xf>
    <xf numFmtId="14" fontId="34" fillId="0" borderId="3" applyAlignment="1" applyProtection="1" pivotButton="0" quotePrefix="0" xfId="0">
      <alignment horizontal="left" vertical="center"/>
      <protection locked="0" hidden="0"/>
    </xf>
    <xf numFmtId="0" fontId="20" fillId="0" borderId="0" applyAlignment="1" pivotButton="0" quotePrefix="0" xfId="32">
      <alignment vertical="center"/>
    </xf>
    <xf numFmtId="164" fontId="34" fillId="0" borderId="0" applyAlignment="1" pivotButton="0" quotePrefix="0" xfId="35">
      <alignment vertical="center"/>
    </xf>
    <xf numFmtId="164" fontId="34" fillId="0" borderId="0" applyAlignment="1" pivotButton="0" quotePrefix="0" xfId="35">
      <alignment horizontal="left" vertical="center"/>
    </xf>
    <xf numFmtId="14" fontId="34" fillId="0" borderId="0" applyAlignment="1" pivotButton="0" quotePrefix="0" xfId="35">
      <alignment horizontal="left" vertical="center" indent="2"/>
    </xf>
    <xf numFmtId="0" fontId="19" fillId="0" borderId="0" applyAlignment="1" applyProtection="1" pivotButton="0" quotePrefix="0" xfId="0">
      <alignment vertical="center"/>
      <protection locked="0" hidden="0"/>
    </xf>
    <xf numFmtId="164" fontId="34" fillId="0" borderId="0" applyAlignment="1" pivotButton="0" quotePrefix="0" xfId="35">
      <alignment horizontal="left" vertical="center" indent="2"/>
    </xf>
    <xf numFmtId="0" fontId="31" fillId="0" borderId="3" applyAlignment="1" applyProtection="1" pivotButton="0" quotePrefix="0" xfId="0">
      <alignment horizontal="left" vertical="center" wrapText="1"/>
      <protection locked="0" hidden="0"/>
    </xf>
    <xf numFmtId="0" fontId="34" fillId="0" borderId="3" applyAlignment="1" applyProtection="1" pivotButton="0" quotePrefix="0" xfId="0">
      <alignment horizontal="justify" vertical="center" wrapText="1"/>
      <protection locked="0" hidden="0"/>
    </xf>
    <xf numFmtId="0" fontId="31" fillId="0" borderId="3" applyAlignment="1" applyProtection="1" pivotButton="0" quotePrefix="0" xfId="0">
      <alignment horizontal="justify" vertical="center" wrapText="1"/>
      <protection locked="0" hidden="0"/>
    </xf>
    <xf numFmtId="0" fontId="34" fillId="0" borderId="0" applyAlignment="1" pivotButton="0" quotePrefix="0" xfId="34">
      <alignment horizontal="left" vertical="center" indent="1"/>
    </xf>
    <xf numFmtId="0" fontId="31" fillId="0" borderId="5" applyAlignment="1" pivotButton="0" quotePrefix="0" xfId="34">
      <alignment vertical="center"/>
    </xf>
    <xf numFmtId="0" fontId="44" fillId="0" borderId="0" applyAlignment="1" applyProtection="1" pivotButton="0" quotePrefix="0" xfId="0">
      <alignment vertical="center"/>
      <protection locked="0" hidden="0"/>
    </xf>
    <xf numFmtId="0" fontId="45" fillId="0" borderId="0" applyAlignment="1" applyProtection="1" pivotButton="0" quotePrefix="0" xfId="0">
      <alignment horizontal="left"/>
      <protection locked="0" hidden="0"/>
    </xf>
    <xf numFmtId="0" fontId="34" fillId="4" borderId="0" applyAlignment="1" applyProtection="1" pivotButton="0" quotePrefix="0" xfId="0">
      <alignment horizontal="justify" vertical="center" wrapText="1"/>
      <protection locked="0" hidden="0"/>
    </xf>
    <xf numFmtId="0" fontId="46" fillId="0" borderId="0" applyAlignment="1" applyProtection="1" pivotButton="0" quotePrefix="0" xfId="0">
      <alignment horizontal="justify" wrapText="1"/>
      <protection locked="0" hidden="0"/>
    </xf>
    <xf numFmtId="0" fontId="32"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justify" vertical="top" wrapText="1"/>
      <protection locked="0" hidden="0"/>
    </xf>
    <xf numFmtId="0" fontId="33" fillId="0" borderId="0" applyAlignment="1" applyProtection="1" pivotButton="0" quotePrefix="0" xfId="0">
      <alignment horizontal="justify"/>
      <protection locked="0" hidden="0"/>
    </xf>
    <xf numFmtId="165" fontId="47" fillId="0" borderId="0" applyAlignment="1" pivotButton="0" quotePrefix="0" xfId="48">
      <alignment vertical="center"/>
    </xf>
    <xf numFmtId="165" fontId="48" fillId="0" borderId="0" applyAlignment="1" pivotButton="0" quotePrefix="0" xfId="48">
      <alignment vertical="center"/>
    </xf>
    <xf numFmtId="165" fontId="34" fillId="0" borderId="0" applyAlignment="1" applyProtection="1" pivotButton="0" quotePrefix="0" xfId="48">
      <alignment vertical="center"/>
      <protection locked="0" hidden="0"/>
    </xf>
    <xf numFmtId="0" fontId="34" fillId="0" borderId="0" applyAlignment="1" applyProtection="1" pivotButton="0" quotePrefix="0" xfId="49">
      <alignment horizontal="left" vertical="center"/>
      <protection locked="0" hidden="0"/>
    </xf>
    <xf numFmtId="165" fontId="34" fillId="0" borderId="0" applyAlignment="1" applyProtection="1" pivotButton="0" quotePrefix="0" xfId="48">
      <alignment horizontal="center" vertical="center"/>
      <protection locked="0" hidden="0"/>
    </xf>
    <xf numFmtId="165" fontId="34" fillId="0" borderId="0" applyAlignment="1" applyProtection="1" pivotButton="0" quotePrefix="0" xfId="48">
      <alignment vertical="center" wrapText="1"/>
      <protection locked="0" hidden="0"/>
    </xf>
    <xf numFmtId="165" fontId="19" fillId="0" borderId="0" applyAlignment="1" applyProtection="1" pivotButton="0" quotePrefix="0" xfId="48">
      <alignment vertical="center"/>
      <protection locked="0" hidden="0"/>
    </xf>
    <xf numFmtId="165" fontId="52" fillId="0" borderId="0" applyAlignment="1" applyProtection="1" pivotButton="0" quotePrefix="0" xfId="48">
      <alignment vertical="center"/>
      <protection locked="0" hidden="0"/>
    </xf>
    <xf numFmtId="49" fontId="31" fillId="0" borderId="0" applyAlignment="1" applyProtection="1" pivotButton="0" quotePrefix="0" xfId="48">
      <alignment horizontal="left" vertical="center"/>
      <protection locked="0" hidden="0"/>
    </xf>
    <xf numFmtId="165" fontId="31" fillId="0" borderId="0" applyAlignment="1" applyProtection="1" pivotButton="0" quotePrefix="0" xfId="48">
      <alignment horizontal="justify" vertical="center"/>
      <protection locked="0" hidden="0"/>
    </xf>
    <xf numFmtId="165" fontId="53" fillId="0" borderId="0" applyAlignment="1" applyProtection="1" pivotButton="0" quotePrefix="0" xfId="48">
      <alignment horizontal="center" vertical="center"/>
      <protection locked="0" hidden="0"/>
    </xf>
    <xf numFmtId="165" fontId="19" fillId="0" borderId="3" applyAlignment="1" applyProtection="1" pivotButton="0" quotePrefix="0" xfId="48">
      <alignment horizontal="center" vertical="center" wrapText="1"/>
      <protection locked="0" hidden="0"/>
    </xf>
    <xf numFmtId="165" fontId="7" fillId="0" borderId="3" applyAlignment="1" applyProtection="1" pivotButton="0" quotePrefix="0" xfId="48">
      <alignment horizontal="center" vertical="center" wrapText="1"/>
      <protection locked="0" hidden="0"/>
    </xf>
    <xf numFmtId="165" fontId="55" fillId="0" borderId="3" applyAlignment="1" applyProtection="1" pivotButton="0" quotePrefix="0" xfId="48">
      <alignment horizontal="center" vertical="center" wrapText="1"/>
      <protection locked="0" hidden="0"/>
    </xf>
    <xf numFmtId="165" fontId="56" fillId="0" borderId="3" applyAlignment="1" applyProtection="1" pivotButton="0" quotePrefix="0" xfId="48">
      <alignment horizontal="center" vertical="center" wrapText="1"/>
      <protection locked="0" hidden="0"/>
    </xf>
    <xf numFmtId="165" fontId="7" fillId="0" borderId="3" applyAlignment="1" applyProtection="1" pivotButton="0" quotePrefix="0" xfId="48">
      <alignment horizontal="left" vertical="center" wrapText="1"/>
      <protection locked="0" hidden="0"/>
    </xf>
    <xf numFmtId="165" fontId="34" fillId="0" borderId="0" applyAlignment="1" applyProtection="1" pivotButton="0" quotePrefix="0" xfId="48">
      <alignment horizontal="center" vertical="center" wrapText="1"/>
      <protection locked="0" hidden="0"/>
    </xf>
    <xf numFmtId="165" fontId="34" fillId="0" borderId="0" applyAlignment="1" applyProtection="1" pivotButton="0" quotePrefix="0" xfId="48">
      <alignment horizontal="left" vertical="center" wrapText="1"/>
      <protection locked="0" hidden="0"/>
    </xf>
    <xf numFmtId="165" fontId="57" fillId="0" borderId="0" applyAlignment="1" applyProtection="1" pivotButton="0" quotePrefix="0" xfId="48">
      <alignment horizontal="center" vertical="center" wrapText="1"/>
      <protection locked="0" hidden="0"/>
    </xf>
    <xf numFmtId="165" fontId="48" fillId="0" borderId="0" applyAlignment="1" pivotButton="0" quotePrefix="0" xfId="48">
      <alignment horizontal="center" vertical="center"/>
    </xf>
    <xf numFmtId="165" fontId="48" fillId="0" borderId="0" applyAlignment="1" pivotButton="0" quotePrefix="0" xfId="48">
      <alignment vertical="center" wrapText="1"/>
    </xf>
    <xf numFmtId="165" fontId="58" fillId="6" borderId="14" applyAlignment="1" applyProtection="1" pivotButton="0" quotePrefix="0" xfId="48">
      <alignment horizontal="centerContinuous" vertical="center"/>
      <protection locked="0" hidden="0"/>
    </xf>
    <xf numFmtId="165" fontId="48" fillId="6" borderId="14" applyAlignment="1" pivotButton="0" quotePrefix="0" xfId="48">
      <alignment horizontal="centerContinuous" vertical="center"/>
    </xf>
    <xf numFmtId="49" fontId="31" fillId="5" borderId="3" applyAlignment="1" applyProtection="1" pivotButton="0" quotePrefix="0" xfId="48">
      <alignment horizontal="center" vertical="center"/>
      <protection locked="0" hidden="0"/>
    </xf>
    <xf numFmtId="165" fontId="31" fillId="5" borderId="3" applyAlignment="1" applyProtection="1" pivotButton="0" quotePrefix="0" xfId="48">
      <alignment horizontal="center" vertical="center" wrapText="1"/>
      <protection locked="0" hidden="0"/>
    </xf>
    <xf numFmtId="165" fontId="58" fillId="6" borderId="0" applyAlignment="1" applyProtection="1" pivotButton="0" quotePrefix="0" xfId="48">
      <alignment horizontal="center" vertical="center"/>
      <protection locked="0" hidden="0"/>
    </xf>
    <xf numFmtId="49" fontId="22" fillId="5" borderId="7" applyAlignment="1" applyProtection="1" pivotButton="0" quotePrefix="0" xfId="48">
      <alignment horizontal="center" vertical="center"/>
      <protection locked="0" hidden="0"/>
    </xf>
    <xf numFmtId="165" fontId="60" fillId="5" borderId="3" applyAlignment="1" pivotButton="0" quotePrefix="0" xfId="48">
      <alignment horizontal="center" vertical="center" wrapText="1"/>
    </xf>
    <xf numFmtId="165" fontId="34" fillId="6" borderId="0" applyAlignment="1" applyProtection="1" pivotButton="0" quotePrefix="0" xfId="48">
      <alignment horizontal="left" vertical="center"/>
      <protection locked="0" hidden="0"/>
    </xf>
    <xf numFmtId="165" fontId="61" fillId="6" borderId="0" applyAlignment="1" pivotButton="0" quotePrefix="0" xfId="48">
      <alignment horizontal="left" vertical="center"/>
    </xf>
    <xf numFmtId="165" fontId="34" fillId="6" borderId="0" applyAlignment="1" pivotButton="0" quotePrefix="0" xfId="48">
      <alignment horizontal="left" vertical="center"/>
    </xf>
    <xf numFmtId="49" fontId="31" fillId="0" borderId="7" applyAlignment="1" applyProtection="1" pivotButton="0" quotePrefix="0" xfId="48">
      <alignment horizontal="left" vertical="center" indent="1"/>
      <protection locked="0" hidden="0"/>
    </xf>
    <xf numFmtId="165" fontId="60" fillId="0" borderId="3" applyAlignment="1" pivotButton="0" quotePrefix="0" xfId="48">
      <alignment horizontal="center" vertical="center" wrapText="1"/>
    </xf>
    <xf numFmtId="165" fontId="47" fillId="0" borderId="3" applyAlignment="1" pivotButton="0" quotePrefix="0" xfId="48">
      <alignment horizontal="center" vertical="center" wrapText="1"/>
    </xf>
    <xf numFmtId="49" fontId="19" fillId="5" borderId="3" applyAlignment="1" applyProtection="1" pivotButton="0" quotePrefix="0" xfId="48">
      <alignment horizontal="center" vertical="center"/>
      <protection locked="0" hidden="0"/>
    </xf>
    <xf numFmtId="49" fontId="22" fillId="0" borderId="3" applyAlignment="1" applyProtection="1" pivotButton="0" quotePrefix="0" xfId="48">
      <alignment horizontal="center" vertical="center"/>
      <protection locked="0" hidden="0"/>
    </xf>
    <xf numFmtId="49" fontId="19" fillId="5" borderId="7" applyAlignment="1" applyProtection="1" pivotButton="0" quotePrefix="0" xfId="48">
      <alignment horizontal="center" vertical="center"/>
      <protection locked="0" hidden="0"/>
    </xf>
    <xf numFmtId="0" fontId="60" fillId="5" borderId="3" applyAlignment="1" pivotButton="0" quotePrefix="0" xfId="48">
      <alignment horizontal="center" vertical="center" wrapText="1"/>
    </xf>
    <xf numFmtId="49" fontId="34" fillId="0" borderId="7" applyAlignment="1" applyProtection="1" pivotButton="0" quotePrefix="0" xfId="48">
      <alignment horizontal="left" vertical="center" indent="1"/>
      <protection locked="0" hidden="0"/>
    </xf>
    <xf numFmtId="0" fontId="60" fillId="0" borderId="3" applyAlignment="1" pivotButton="0" quotePrefix="0" xfId="48">
      <alignment horizontal="center" vertical="center" wrapText="1"/>
    </xf>
    <xf numFmtId="49" fontId="60" fillId="5" borderId="3" applyAlignment="1" pivotButton="0" quotePrefix="0" xfId="48">
      <alignment horizontal="center" vertical="center"/>
    </xf>
    <xf numFmtId="49" fontId="47" fillId="0" borderId="3" applyAlignment="1" pivotButton="0" quotePrefix="0" xfId="48">
      <alignment horizontal="center" vertical="center"/>
    </xf>
    <xf numFmtId="49" fontId="47" fillId="0" borderId="3" applyAlignment="1" pivotButton="0" quotePrefix="0" xfId="48">
      <alignment horizontal="left" vertical="center" wrapText="1" indent="1"/>
    </xf>
    <xf numFmtId="49" fontId="34" fillId="0" borderId="7" applyAlignment="1" applyProtection="1" pivotButton="0" quotePrefix="0" xfId="48">
      <alignment horizontal="center" vertical="center"/>
      <protection locked="0" hidden="0"/>
    </xf>
    <xf numFmtId="0" fontId="62" fillId="5" borderId="3" applyAlignment="1" pivotButton="0" quotePrefix="0" xfId="48">
      <alignment horizontal="center" vertical="center" wrapText="1"/>
    </xf>
    <xf numFmtId="0" fontId="62" fillId="0" borderId="3" applyAlignment="1" pivotButton="0" quotePrefix="0" xfId="48">
      <alignment horizontal="center" vertical="center" wrapText="1"/>
    </xf>
    <xf numFmtId="49" fontId="63" fillId="5" borderId="3" applyAlignment="1" pivotButton="0" quotePrefix="0" xfId="48">
      <alignment horizontal="center" vertical="center"/>
    </xf>
    <xf numFmtId="164" fontId="31" fillId="0" borderId="0" applyAlignment="1" pivotButton="0" quotePrefix="0" xfId="35">
      <alignment vertical="center"/>
    </xf>
    <xf numFmtId="0" fontId="34" fillId="0" borderId="5" applyAlignment="1" pivotButton="0" quotePrefix="0" xfId="33">
      <alignment vertical="center"/>
    </xf>
    <xf numFmtId="164" fontId="34" fillId="0" borderId="5" applyAlignment="1" pivotButton="0" quotePrefix="0" xfId="35">
      <alignment vertical="center"/>
    </xf>
    <xf numFmtId="164" fontId="31" fillId="7" borderId="0" applyAlignment="1" pivotButton="0" quotePrefix="0" xfId="35">
      <alignment vertical="center"/>
    </xf>
    <xf numFmtId="0" fontId="37" fillId="0" borderId="3" applyAlignment="1" pivotButton="0" quotePrefix="0" xfId="51">
      <alignment horizontal="center" vertical="center"/>
    </xf>
    <xf numFmtId="164" fontId="31" fillId="0" borderId="5" applyAlignment="1" pivotButton="0" quotePrefix="0" xfId="35">
      <alignment horizontal="left" vertical="center"/>
    </xf>
    <xf numFmtId="164" fontId="34" fillId="0" borderId="5" applyAlignment="1" pivotButton="0" quotePrefix="0" xfId="35">
      <alignment horizontal="left" vertical="center"/>
    </xf>
    <xf numFmtId="164" fontId="69" fillId="0" borderId="5" applyAlignment="1" pivotButton="0" quotePrefix="0" xfId="53">
      <alignment horizontal="center" vertical="center"/>
    </xf>
    <xf numFmtId="0" fontId="31" fillId="0" borderId="0" applyAlignment="1" pivotButton="0" quotePrefix="0" xfId="33">
      <alignment vertical="center"/>
    </xf>
    <xf numFmtId="9" fontId="35" fillId="0" borderId="0" applyAlignment="1" pivotButton="0" quotePrefix="0" xfId="54">
      <alignment horizontal="left" vertical="center"/>
    </xf>
    <xf numFmtId="10" fontId="35" fillId="0" borderId="0" applyAlignment="1" pivotButton="0" quotePrefix="0" xfId="54">
      <alignment horizontal="left" vertical="center"/>
    </xf>
    <xf numFmtId="0" fontId="11" fillId="0" borderId="0" applyProtection="1" pivotButton="0" quotePrefix="0" xfId="51">
      <protection locked="0" hidden="0"/>
    </xf>
    <xf numFmtId="0" fontId="70" fillId="0" borderId="0" applyAlignment="1" applyProtection="1" pivotButton="0" quotePrefix="0" xfId="0">
      <alignment horizontal="justify" vertical="center"/>
      <protection locked="0" hidden="0"/>
    </xf>
    <xf numFmtId="0" fontId="70" fillId="0" borderId="0" applyAlignment="1" applyProtection="1" pivotButton="0" quotePrefix="0" xfId="0">
      <alignment horizontal="left" vertical="center"/>
      <protection locked="0" hidden="0"/>
    </xf>
    <xf numFmtId="0" fontId="54" fillId="0" borderId="0" applyAlignment="1" applyProtection="1" pivotButton="0" quotePrefix="0" xfId="0">
      <alignment vertical="center"/>
      <protection locked="0" hidden="0"/>
    </xf>
    <xf numFmtId="0" fontId="54" fillId="0" borderId="0" applyProtection="1" pivotButton="0" quotePrefix="0" xfId="0">
      <protection locked="0" hidden="0"/>
    </xf>
    <xf numFmtId="0" fontId="71" fillId="0" borderId="10" applyAlignment="1" applyProtection="1" pivotButton="0" quotePrefix="0" xfId="0">
      <alignment horizontal="justify" vertical="center" wrapText="1"/>
      <protection locked="0" hidden="0"/>
    </xf>
    <xf numFmtId="0" fontId="72" fillId="0" borderId="10" applyAlignment="1" applyProtection="1" pivotButton="0" quotePrefix="0" xfId="0">
      <alignment horizontal="right" vertical="center" wrapText="1"/>
      <protection locked="0" hidden="0"/>
    </xf>
    <xf numFmtId="0" fontId="71" fillId="0" borderId="10" applyAlignment="1" applyProtection="1" pivotButton="0" quotePrefix="0" xfId="0">
      <alignment horizontal="right" vertical="center" wrapText="1"/>
      <protection locked="0" hidden="0"/>
    </xf>
    <xf numFmtId="0" fontId="73" fillId="0" borderId="0" applyAlignment="1" applyProtection="1" pivotButton="0" quotePrefix="0" xfId="0">
      <alignment horizontal="justify" vertical="center" wrapText="1"/>
      <protection locked="0" hidden="0"/>
    </xf>
    <xf numFmtId="164" fontId="54" fillId="0" borderId="0" applyAlignment="1" applyProtection="1" pivotButton="0" quotePrefix="0" xfId="0">
      <alignment horizontal="right" vertical="center" wrapText="1"/>
      <protection locked="0" hidden="0"/>
    </xf>
    <xf numFmtId="164" fontId="73" fillId="0" borderId="0" applyAlignment="1" applyProtection="1" pivotButton="0" quotePrefix="0" xfId="0">
      <alignment horizontal="right" vertical="center" wrapText="1"/>
      <protection locked="0" hidden="0"/>
    </xf>
    <xf numFmtId="0" fontId="73" fillId="0" borderId="0" applyAlignment="1" applyProtection="1" pivotButton="0" quotePrefix="0" xfId="0">
      <alignment horizontal="right" vertical="center" wrapText="1"/>
      <protection locked="0" hidden="0"/>
    </xf>
    <xf numFmtId="0" fontId="54" fillId="0" borderId="0" applyAlignment="1" applyProtection="1" pivotButton="0" quotePrefix="0" xfId="0">
      <alignment horizontal="right" vertical="center" wrapText="1"/>
      <protection locked="0" hidden="0"/>
    </xf>
    <xf numFmtId="0" fontId="73" fillId="0" borderId="11" applyAlignment="1" applyProtection="1" pivotButton="0" quotePrefix="0" xfId="0">
      <alignment horizontal="justify" vertical="center" wrapText="1"/>
      <protection locked="0" hidden="0"/>
    </xf>
    <xf numFmtId="0" fontId="54" fillId="0" borderId="11" applyAlignment="1" applyProtection="1" pivotButton="0" quotePrefix="0" xfId="0">
      <alignment horizontal="right" vertical="center" wrapText="1"/>
      <protection locked="0" hidden="0"/>
    </xf>
    <xf numFmtId="0" fontId="54" fillId="0" borderId="0" applyAlignment="1" applyProtection="1" pivotButton="0" quotePrefix="0" xfId="0">
      <alignment horizontal="left" vertical="center"/>
      <protection locked="0" hidden="0"/>
    </xf>
    <xf numFmtId="0" fontId="75" fillId="0" borderId="0" applyAlignment="1" applyProtection="1" pivotButton="0" quotePrefix="0" xfId="0">
      <alignment horizontal="left" vertical="center"/>
      <protection locked="0" hidden="0"/>
    </xf>
    <xf numFmtId="0" fontId="74" fillId="0" borderId="0" applyAlignment="1" applyProtection="1" pivotButton="0" quotePrefix="0" xfId="0">
      <alignment horizontal="left" vertical="center"/>
      <protection locked="0" hidden="0"/>
    </xf>
    <xf numFmtId="164" fontId="54" fillId="0" borderId="0" applyProtection="1" pivotButton="0" quotePrefix="0" xfId="42">
      <protection locked="0" hidden="0"/>
    </xf>
    <xf numFmtId="0" fontId="54" fillId="0" borderId="0" applyAlignment="1" applyProtection="1" pivotButton="0" quotePrefix="0" xfId="0">
      <alignment horizontal="justify" vertical="center" wrapText="1"/>
      <protection locked="0" hidden="0"/>
    </xf>
    <xf numFmtId="164" fontId="73" fillId="0" borderId="0" applyAlignment="1" applyProtection="1" pivotButton="0" quotePrefix="0" xfId="42">
      <alignment horizontal="right" vertical="center" wrapText="1"/>
      <protection locked="0" hidden="0"/>
    </xf>
    <xf numFmtId="0" fontId="54" fillId="0" borderId="11" applyAlignment="1" applyProtection="1" pivotButton="0" quotePrefix="0" xfId="0">
      <alignment horizontal="justify" vertical="center" wrapText="1"/>
      <protection locked="0" hidden="0"/>
    </xf>
    <xf numFmtId="164" fontId="73" fillId="0" borderId="11" applyAlignment="1" applyProtection="1" pivotButton="0" quotePrefix="0" xfId="0">
      <alignment horizontal="right" vertical="center" wrapText="1"/>
      <protection locked="0" hidden="0"/>
    </xf>
    <xf numFmtId="165" fontId="31" fillId="0" borderId="0" applyAlignment="1" applyProtection="1" pivotButton="0" quotePrefix="0" xfId="56">
      <alignment horizontal="justify" vertical="center"/>
      <protection locked="0" hidden="0"/>
    </xf>
    <xf numFmtId="165" fontId="34" fillId="0" borderId="0" applyAlignment="1" pivotButton="0" quotePrefix="0" xfId="48">
      <alignment horizontal="left" vertical="center"/>
    </xf>
    <xf numFmtId="165" fontId="61" fillId="0" borderId="0" applyAlignment="1" pivotButton="0" quotePrefix="0" xfId="48">
      <alignment horizontal="left" vertical="center"/>
    </xf>
    <xf numFmtId="165" fontId="47" fillId="0" borderId="3" applyAlignment="1" pivotButton="0" quotePrefix="0" xfId="55">
      <alignment horizontal="center" vertical="center" wrapText="1"/>
    </xf>
    <xf numFmtId="164" fontId="34" fillId="8" borderId="3" applyAlignment="1" pivotButton="0" quotePrefix="0" xfId="42">
      <alignment horizontal="right" vertical="center" wrapText="1"/>
    </xf>
    <xf numFmtId="10" fontId="34" fillId="8" borderId="3" applyAlignment="1" pivotButton="0" quotePrefix="0" xfId="31">
      <alignment horizontal="right" vertical="center" wrapText="1"/>
    </xf>
    <xf numFmtId="164" fontId="31" fillId="8" borderId="3" applyAlignment="1" pivotButton="0" quotePrefix="0" xfId="42">
      <alignment horizontal="right" vertical="center" wrapText="1"/>
    </xf>
    <xf numFmtId="10" fontId="31" fillId="8" borderId="3" applyAlignment="1" pivotButton="0" quotePrefix="0" xfId="31">
      <alignment horizontal="right" vertical="center" wrapText="1"/>
    </xf>
    <xf numFmtId="164" fontId="42" fillId="8" borderId="3" applyAlignment="1" pivotButton="0" quotePrefix="0" xfId="50">
      <alignment horizontal="right" vertical="center"/>
    </xf>
    <xf numFmtId="164" fontId="34" fillId="8" borderId="3" applyAlignment="1" pivotButton="0" quotePrefix="0" xfId="42">
      <alignment vertical="center"/>
    </xf>
    <xf numFmtId="164" fontId="31" fillId="8" borderId="3" applyAlignment="1" pivotButton="0" quotePrefix="0" xfId="42">
      <alignment vertical="center"/>
    </xf>
    <xf numFmtId="164" fontId="42" fillId="0" borderId="0" applyAlignment="1" pivotButton="0" quotePrefix="0" xfId="42">
      <alignment horizontal="center" vertical="center"/>
    </xf>
    <xf numFmtId="165" fontId="34" fillId="0" borderId="3" applyAlignment="1" pivotButton="0" quotePrefix="0" xfId="55">
      <alignment vertical="center" wrapText="1"/>
    </xf>
    <xf numFmtId="165" fontId="77" fillId="6" borderId="0" applyAlignment="1" applyProtection="1" pivotButton="0" quotePrefix="0" xfId="55">
      <alignment horizontal="left" vertical="center" wrapText="1"/>
      <protection locked="0" hidden="0"/>
    </xf>
    <xf numFmtId="0" fontId="34" fillId="0" borderId="0" applyAlignment="1" pivotButton="0" quotePrefix="0" xfId="43">
      <alignment horizontal="left" vertical="center"/>
    </xf>
    <xf numFmtId="165" fontId="78" fillId="0" borderId="0" applyAlignment="1" applyProtection="1" pivotButton="0" quotePrefix="0" xfId="48">
      <alignment vertical="center"/>
      <protection locked="0" hidden="0"/>
    </xf>
    <xf numFmtId="49" fontId="31" fillId="0" borderId="0" applyAlignment="1" applyProtection="1" pivotButton="0" quotePrefix="0" xfId="55">
      <alignment horizontal="left" vertical="center"/>
      <protection locked="0" hidden="0"/>
    </xf>
    <xf numFmtId="165" fontId="31" fillId="5" borderId="3" applyAlignment="1" applyProtection="1" pivotButton="0" quotePrefix="0" xfId="55">
      <alignment horizontal="center" vertical="center" wrapText="1"/>
      <protection locked="0" hidden="0"/>
    </xf>
    <xf numFmtId="0" fontId="47" fillId="0" borderId="3" applyAlignment="1" pivotButton="0" quotePrefix="0" xfId="48">
      <alignment horizontal="center" vertical="center" wrapText="1"/>
    </xf>
    <xf numFmtId="165" fontId="37" fillId="5" borderId="3" applyAlignment="1" applyProtection="1" pivotButton="0" quotePrefix="0" xfId="46">
      <alignment horizontal="center" vertical="center" wrapText="1"/>
      <protection locked="0" hidden="0"/>
    </xf>
    <xf numFmtId="165" fontId="31" fillId="5" borderId="3" applyAlignment="1" applyProtection="1" pivotButton="0" quotePrefix="0" xfId="46">
      <alignment horizontal="center" vertical="center"/>
      <protection locked="0" hidden="0"/>
    </xf>
    <xf numFmtId="164" fontId="31" fillId="5" borderId="3" applyAlignment="1" pivotButton="0" quotePrefix="0" xfId="42">
      <alignment horizontal="center" vertical="center" wrapText="1"/>
    </xf>
    <xf numFmtId="164" fontId="69" fillId="0" borderId="0" applyAlignment="1" pivotButton="0" quotePrefix="0" xfId="36">
      <alignment horizontal="center" vertical="center"/>
    </xf>
    <xf numFmtId="0" fontId="36" fillId="0" borderId="0" applyAlignment="1" pivotButton="0" quotePrefix="0" xfId="33">
      <alignment vertical="center"/>
    </xf>
    <xf numFmtId="0" fontId="31" fillId="0" borderId="0" applyAlignment="1" pivotButton="0" quotePrefix="0" xfId="43">
      <alignment horizontal="left" vertical="center"/>
    </xf>
    <xf numFmtId="165" fontId="31" fillId="5" borderId="3" applyAlignment="1" applyProtection="1" pivotButton="0" quotePrefix="0" xfId="52">
      <alignment horizontal="center" vertical="center" wrapText="1"/>
      <protection locked="0" hidden="0"/>
    </xf>
    <xf numFmtId="0" fontId="42" fillId="0" borderId="3" applyAlignment="1" pivotButton="0" quotePrefix="0" xfId="51">
      <alignment vertical="center"/>
    </xf>
    <xf numFmtId="0" fontId="34" fillId="0" borderId="3" applyAlignment="1" pivotButton="0" quotePrefix="0" xfId="51">
      <alignment vertical="center"/>
    </xf>
    <xf numFmtId="0" fontId="56" fillId="0" borderId="3" applyAlignment="1" pivotButton="0" quotePrefix="0" xfId="51">
      <alignment horizontal="left" vertical="center" indent="1"/>
    </xf>
    <xf numFmtId="14" fontId="34" fillId="0" borderId="0" applyAlignment="1" applyProtection="1" pivotButton="0" quotePrefix="0" xfId="0">
      <alignment horizontal="left" vertical="center"/>
      <protection locked="0" hidden="0"/>
    </xf>
    <xf numFmtId="14" fontId="77" fillId="0" borderId="0" applyAlignment="1" applyProtection="1" pivotButton="0" quotePrefix="0" xfId="51">
      <alignment horizontal="left" vertical="center"/>
      <protection locked="0" hidden="0"/>
    </xf>
    <xf numFmtId="0" fontId="31" fillId="0" borderId="0" applyAlignment="1" applyProtection="1" pivotButton="0" quotePrefix="0" xfId="43">
      <alignment vertical="center"/>
      <protection locked="0" hidden="0"/>
    </xf>
    <xf numFmtId="0" fontId="80" fillId="0" borderId="0" applyAlignment="1" applyProtection="1" pivotButton="0" quotePrefix="0" xfId="0">
      <alignment vertical="top"/>
      <protection locked="0" hidden="0"/>
    </xf>
    <xf numFmtId="0" fontId="74" fillId="0" borderId="0" applyAlignment="1" applyProtection="1" pivotButton="0" quotePrefix="0" xfId="0">
      <alignment vertical="top"/>
      <protection locked="0" hidden="0"/>
    </xf>
    <xf numFmtId="165" fontId="19" fillId="8" borderId="0" applyAlignment="1" pivotButton="0" quotePrefix="0" xfId="57">
      <alignment horizontal="center" vertical="center" wrapText="1"/>
    </xf>
    <xf numFmtId="0" fontId="56" fillId="0" borderId="0" applyAlignment="1" applyProtection="1" pivotButton="0" quotePrefix="0" xfId="0">
      <alignment horizontal="left" vertical="center"/>
      <protection locked="0" hidden="0"/>
    </xf>
    <xf numFmtId="165" fontId="34" fillId="0" borderId="3" applyAlignment="1" pivotButton="0" quotePrefix="0" xfId="56">
      <alignment vertical="center" wrapText="1"/>
    </xf>
    <xf numFmtId="165" fontId="64" fillId="0" borderId="0" applyAlignment="1" pivotButton="0" quotePrefix="0" xfId="48">
      <alignment horizontal="left" vertical="center"/>
    </xf>
    <xf numFmtId="165" fontId="60" fillId="0" borderId="3" applyAlignment="1" pivotButton="0" quotePrefix="0" xfId="55">
      <alignment horizontal="center" vertical="center" wrapText="1"/>
    </xf>
    <xf numFmtId="165" fontId="63" fillId="0" borderId="3" applyAlignment="1" pivotButton="0" quotePrefix="0" xfId="55">
      <alignment horizontal="center" vertical="center" wrapText="1"/>
    </xf>
    <xf numFmtId="165" fontId="63" fillId="0" borderId="3" applyAlignment="1" pivotButton="0" quotePrefix="0" xfId="55">
      <alignment horizontal="center" vertical="center" wrapText="1"/>
    </xf>
    <xf numFmtId="165" fontId="60" fillId="0" borderId="3" applyAlignment="1" pivotButton="0" quotePrefix="0" xfId="55">
      <alignment horizontal="center" vertical="center" wrapText="1"/>
    </xf>
    <xf numFmtId="0" fontId="22" fillId="0" borderId="0" applyAlignment="1" pivotButton="0" quotePrefix="0" xfId="34">
      <alignment vertical="center"/>
    </xf>
    <xf numFmtId="0" fontId="31" fillId="5" borderId="3" applyAlignment="1" applyProtection="1" pivotButton="0" quotePrefix="0" xfId="0">
      <alignment horizontal="center" vertical="center"/>
      <protection locked="0" hidden="0"/>
    </xf>
    <xf numFmtId="0" fontId="42" fillId="0" borderId="2" applyAlignment="1" pivotButton="0" quotePrefix="0" xfId="0">
      <alignment horizontal="center" vertical="center"/>
    </xf>
    <xf numFmtId="0" fontId="32" fillId="0" borderId="0" applyAlignment="1" applyProtection="1" pivotButton="0" quotePrefix="0" xfId="0">
      <alignment horizontal="center"/>
      <protection locked="0" hidden="0"/>
    </xf>
    <xf numFmtId="0" fontId="19" fillId="0" borderId="0" applyProtection="1" pivotButton="0" quotePrefix="0" xfId="0">
      <protection locked="0" hidden="0"/>
    </xf>
    <xf numFmtId="0" fontId="25" fillId="0" borderId="2" applyAlignment="1" pivotButton="0" quotePrefix="0" xfId="36">
      <alignment vertical="center"/>
    </xf>
    <xf numFmtId="165" fontId="34" fillId="0" borderId="0" applyAlignment="1" applyProtection="1" pivotButton="0" quotePrefix="0" xfId="48">
      <alignment horizontal="right" vertical="center"/>
      <protection locked="0" hidden="0"/>
    </xf>
    <xf numFmtId="165" fontId="36" fillId="0" borderId="0" applyAlignment="1" applyProtection="1" pivotButton="0" quotePrefix="0" xfId="36">
      <alignment vertical="center" wrapText="1"/>
      <protection locked="0" hidden="0"/>
    </xf>
    <xf numFmtId="165" fontId="34" fillId="0" borderId="3" applyAlignment="1" pivotButton="0" quotePrefix="0" xfId="48">
      <alignment horizontal="center" vertical="center" wrapText="1"/>
    </xf>
    <xf numFmtId="165" fontId="19" fillId="0" borderId="3" applyAlignment="1" pivotButton="0" quotePrefix="0" xfId="48">
      <alignment vertical="center" wrapText="1"/>
    </xf>
    <xf numFmtId="165" fontId="34" fillId="0" borderId="3" applyAlignment="1" pivotButton="0" quotePrefix="0" xfId="48">
      <alignment vertical="center" wrapText="1"/>
    </xf>
    <xf numFmtId="0" fontId="22" fillId="5" borderId="3" applyAlignment="1" applyProtection="1" pivotButton="0" quotePrefix="0" xfId="43">
      <alignment horizontal="center" vertical="center"/>
      <protection locked="0" hidden="0"/>
    </xf>
    <xf numFmtId="0" fontId="22" fillId="5" borderId="3" applyAlignment="1" applyProtection="1" pivotButton="0" quotePrefix="0" xfId="43">
      <alignment horizontal="center" vertical="center" wrapText="1"/>
      <protection locked="0" hidden="0"/>
    </xf>
    <xf numFmtId="0" fontId="31" fillId="5" borderId="3" applyAlignment="1" pivotButton="0" quotePrefix="0" xfId="51">
      <alignment vertical="center"/>
    </xf>
    <xf numFmtId="0" fontId="31" fillId="5" borderId="3" applyAlignment="1" pivotButton="0" quotePrefix="0" xfId="51">
      <alignment vertical="center" wrapText="1"/>
    </xf>
    <xf numFmtId="0" fontId="31" fillId="5" borderId="3" applyAlignment="1" pivotButton="0" quotePrefix="0" xfId="51">
      <alignment horizontal="center" vertical="center"/>
    </xf>
    <xf numFmtId="165" fontId="56" fillId="0" borderId="3" applyAlignment="1" pivotButton="0" quotePrefix="0" xfId="56">
      <alignment horizontal="center" vertical="center" wrapText="1"/>
    </xf>
    <xf numFmtId="165" fontId="31" fillId="5" borderId="3" applyAlignment="1" applyProtection="1" pivotButton="0" quotePrefix="0" xfId="55">
      <alignment horizontal="center" vertical="center"/>
      <protection locked="0" hidden="0"/>
    </xf>
    <xf numFmtId="0" fontId="19" fillId="4" borderId="0" applyAlignment="1" applyProtection="1" pivotButton="0" quotePrefix="0" xfId="0">
      <alignment horizontal="justify" vertical="center" wrapText="1"/>
      <protection locked="0" hidden="0"/>
    </xf>
    <xf numFmtId="165" fontId="58" fillId="6" borderId="0" applyAlignment="1" applyProtection="1" pivotButton="0" quotePrefix="0" xfId="48">
      <alignment horizontal="centerContinuous" vertical="center"/>
      <protection locked="0" hidden="0"/>
    </xf>
    <xf numFmtId="165" fontId="48" fillId="6" borderId="0" applyAlignment="1" pivotButton="0" quotePrefix="0" xfId="48">
      <alignment horizontal="centerContinuous" vertical="center"/>
    </xf>
    <xf numFmtId="0" fontId="34" fillId="0" borderId="3" applyAlignment="1" applyProtection="1" pivotButton="0" quotePrefix="0" xfId="48">
      <alignment horizontal="center" vertical="center"/>
      <protection locked="0" hidden="0"/>
    </xf>
    <xf numFmtId="165" fontId="34" fillId="0" borderId="3" applyAlignment="1" pivotButton="0" quotePrefix="0" xfId="56">
      <alignment horizontal="center" vertical="center" wrapText="1"/>
    </xf>
    <xf numFmtId="0" fontId="34" fillId="4" borderId="0" applyAlignment="1" applyProtection="1" pivotButton="0" quotePrefix="0" xfId="0">
      <alignment horizontal="justify" vertical="center" wrapText="1"/>
      <protection locked="0" hidden="0"/>
    </xf>
    <xf numFmtId="0" fontId="49" fillId="0" borderId="0" applyAlignment="1" applyProtection="1" pivotButton="0" quotePrefix="0" xfId="0">
      <alignment horizontal="center" vertical="center"/>
      <protection locked="0" hidden="0"/>
    </xf>
    <xf numFmtId="165" fontId="68" fillId="0" borderId="0" applyAlignment="1" pivotButton="0" quotePrefix="0" xfId="58">
      <alignment horizontal="left" vertical="center"/>
    </xf>
    <xf numFmtId="0" fontId="33"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left" vertical="center" wrapText="1"/>
      <protection locked="0" hidden="0"/>
    </xf>
    <xf numFmtId="165" fontId="20" fillId="0" borderId="0" applyAlignment="1" pivotButton="0" quotePrefix="0" xfId="47">
      <alignment horizontal="center" vertical="center"/>
    </xf>
    <xf numFmtId="165" fontId="49" fillId="0" borderId="0" applyAlignment="1" pivotButton="0" quotePrefix="0" xfId="47">
      <alignment horizontal="center" vertical="center"/>
    </xf>
    <xf numFmtId="165" fontId="31" fillId="0" borderId="0" applyAlignment="1" applyProtection="1" pivotButton="0" quotePrefix="0" xfId="48">
      <alignment horizontal="left" vertical="center"/>
      <protection locked="0" hidden="0"/>
    </xf>
    <xf numFmtId="165" fontId="31" fillId="5" borderId="3" applyAlignment="1" applyProtection="1" pivotButton="0" quotePrefix="0" xfId="55">
      <alignment horizontal="center" vertical="center"/>
      <protection locked="0" hidden="0"/>
    </xf>
    <xf numFmtId="165" fontId="19" fillId="0" borderId="3" applyAlignment="1" applyProtection="1" pivotButton="0" quotePrefix="0" xfId="55">
      <alignment horizontal="center" vertical="center" wrapText="1"/>
      <protection locked="0" hidden="0"/>
    </xf>
    <xf numFmtId="165" fontId="31" fillId="5" borderId="3" applyAlignment="1" applyProtection="1" pivotButton="0" quotePrefix="0" xfId="55">
      <alignment horizontal="center" vertical="center" wrapText="1"/>
      <protection locked="0" hidden="0"/>
    </xf>
    <xf numFmtId="165" fontId="34" fillId="0" borderId="3" applyAlignment="1" applyProtection="1" pivotButton="0" quotePrefix="0" xfId="55">
      <alignment horizontal="left" vertical="center" wrapText="1"/>
      <protection locked="0" hidden="0"/>
    </xf>
    <xf numFmtId="165" fontId="31" fillId="5" borderId="3" applyAlignment="1" applyProtection="1" pivotButton="0" quotePrefix="0" xfId="48">
      <alignment horizontal="center" vertical="center" wrapText="1"/>
      <protection locked="0" hidden="0"/>
    </xf>
    <xf numFmtId="49" fontId="31" fillId="5" borderId="3" applyAlignment="1" applyProtection="1" pivotButton="0" quotePrefix="0" xfId="48">
      <alignment horizontal="center" vertical="center"/>
      <protection locked="0" hidden="0"/>
    </xf>
    <xf numFmtId="165" fontId="22" fillId="5" borderId="3" applyAlignment="1" applyProtection="1" pivotButton="0" quotePrefix="0" xfId="55">
      <alignment horizontal="center" vertical="center" wrapText="1"/>
      <protection locked="0" hidden="0"/>
    </xf>
    <xf numFmtId="165" fontId="33" fillId="0" borderId="0" applyAlignment="1" pivotButton="0" quotePrefix="0" xfId="47">
      <alignment horizontal="center" vertical="center"/>
    </xf>
    <xf numFmtId="165" fontId="50" fillId="0" borderId="0" applyAlignment="1" pivotButton="0" quotePrefix="0" xfId="47">
      <alignment horizontal="center" vertical="center"/>
    </xf>
    <xf numFmtId="165" fontId="51" fillId="0" borderId="0" applyAlignment="1" applyProtection="1" pivotButton="0" quotePrefix="0" xfId="48">
      <alignment horizontal="left" vertical="center"/>
      <protection locked="0" hidden="0"/>
    </xf>
    <xf numFmtId="165" fontId="51" fillId="0" borderId="3" applyAlignment="1" applyProtection="1" pivotButton="0" quotePrefix="0" xfId="48">
      <alignment horizontal="left" vertical="center" wrapText="1"/>
      <protection locked="0" hidden="0"/>
    </xf>
    <xf numFmtId="165" fontId="51" fillId="0" borderId="7" applyAlignment="1" applyProtection="1" pivotButton="0" quotePrefix="0" xfId="48">
      <alignment horizontal="center" vertical="center"/>
      <protection locked="0" hidden="0"/>
    </xf>
    <xf numFmtId="165" fontId="51" fillId="0" borderId="8" applyAlignment="1" applyProtection="1" pivotButton="0" quotePrefix="0" xfId="48">
      <alignment horizontal="center" vertical="center"/>
      <protection locked="0" hidden="0"/>
    </xf>
    <xf numFmtId="165" fontId="51" fillId="0" borderId="9" applyAlignment="1" applyProtection="1" pivotButton="0" quotePrefix="0" xfId="48">
      <alignment horizontal="center" vertical="center"/>
      <protection locked="0" hidden="0"/>
    </xf>
    <xf numFmtId="165" fontId="31" fillId="0" borderId="12" applyAlignment="1" applyProtection="1" pivotButton="0" quotePrefix="0" xfId="48">
      <alignment horizontal="center" vertical="center" wrapText="1"/>
      <protection locked="0" hidden="0"/>
    </xf>
    <xf numFmtId="165" fontId="31" fillId="0" borderId="13" applyAlignment="1" applyProtection="1" pivotButton="0" quotePrefix="0" xfId="48">
      <alignment horizontal="center" vertical="center" wrapText="1"/>
      <protection locked="0" hidden="0"/>
    </xf>
    <xf numFmtId="165" fontId="31" fillId="5" borderId="3" applyAlignment="1" pivotButton="0" quotePrefix="0" xfId="48">
      <alignment vertical="center" wrapText="1"/>
    </xf>
    <xf numFmtId="165" fontId="59" fillId="5" borderId="3" applyAlignment="1" pivotButton="0" quotePrefix="0" xfId="48">
      <alignment vertical="center" wrapText="1"/>
    </xf>
    <xf numFmtId="165" fontId="34" fillId="5" borderId="3" applyAlignment="1" pivotButton="0" quotePrefix="0" xfId="48">
      <alignment horizontal="left" vertical="center" wrapText="1"/>
    </xf>
    <xf numFmtId="165" fontId="47" fillId="5" borderId="3" applyAlignment="1" pivotButton="0" quotePrefix="0" xfId="48">
      <alignment horizontal="left" vertical="center" wrapText="1"/>
    </xf>
    <xf numFmtId="165" fontId="56" fillId="5" borderId="7" applyAlignment="1" pivotButton="0" quotePrefix="0" xfId="48">
      <alignment horizontal="center" vertical="center" wrapText="1"/>
    </xf>
    <xf numFmtId="165" fontId="56" fillId="5" borderId="9" applyAlignment="1" pivotButton="0" quotePrefix="0" xfId="48">
      <alignment horizontal="center" vertical="center" wrapText="1"/>
    </xf>
    <xf numFmtId="165" fontId="22" fillId="5" borderId="3" applyAlignment="1" pivotButton="0" quotePrefix="0" xfId="48">
      <alignment vertical="center" wrapText="1"/>
    </xf>
    <xf numFmtId="165" fontId="34" fillId="5" borderId="3" applyAlignment="1" pivotButton="0" quotePrefix="0" xfId="48">
      <alignment horizontal="center" vertical="center" wrapText="1"/>
    </xf>
    <xf numFmtId="165" fontId="54" fillId="0" borderId="3" applyAlignment="1" applyProtection="1" pivotButton="0" quotePrefix="0" xfId="48">
      <alignment horizontal="left" vertical="center" wrapText="1"/>
      <protection locked="0" hidden="0"/>
    </xf>
    <xf numFmtId="165" fontId="54" fillId="0" borderId="7" applyAlignment="1" applyProtection="1" pivotButton="0" quotePrefix="0" xfId="48">
      <alignment horizontal="left" vertical="center" wrapText="1"/>
      <protection locked="0" hidden="0"/>
    </xf>
    <xf numFmtId="165" fontId="54" fillId="0" borderId="9" applyAlignment="1" applyProtection="1" pivotButton="0" quotePrefix="0" xfId="48">
      <alignment horizontal="left" vertical="center" wrapText="1"/>
      <protection locked="0" hidden="0"/>
    </xf>
    <xf numFmtId="165" fontId="22" fillId="5" borderId="3" applyAlignment="1" applyProtection="1" pivotButton="0" quotePrefix="0" xfId="48">
      <alignment horizontal="center" vertical="center" wrapText="1"/>
      <protection locked="0" hidden="0"/>
    </xf>
    <xf numFmtId="165" fontId="31" fillId="5" borderId="3" applyAlignment="1" applyProtection="1" pivotButton="0" quotePrefix="0" xfId="48">
      <alignment horizontal="center" vertical="center"/>
      <protection locked="0" hidden="0"/>
    </xf>
    <xf numFmtId="165" fontId="34" fillId="0" borderId="3" applyAlignment="1" pivotButton="0" quotePrefix="0" xfId="48">
      <alignment vertical="center" wrapText="1"/>
    </xf>
    <xf numFmtId="165" fontId="47" fillId="0" borderId="3" applyAlignment="1" pivotButton="0" quotePrefix="0" xfId="48">
      <alignment vertical="center" wrapText="1"/>
    </xf>
    <xf numFmtId="0" fontId="62" fillId="0" borderId="7" applyAlignment="1" pivotButton="0" quotePrefix="0" xfId="48">
      <alignment horizontal="center" vertical="center" wrapText="1"/>
    </xf>
    <xf numFmtId="0" fontId="62" fillId="0" borderId="8" applyAlignment="1" pivotButton="0" quotePrefix="0" xfId="48">
      <alignment horizontal="center" vertical="center" wrapText="1"/>
    </xf>
    <xf numFmtId="0" fontId="62" fillId="0" borderId="9" applyAlignment="1" pivotButton="0" quotePrefix="0" xfId="48">
      <alignment horizontal="center" vertical="center" wrapText="1"/>
    </xf>
    <xf numFmtId="165" fontId="48" fillId="0" borderId="7" applyAlignment="1" pivotButton="0" quotePrefix="0" xfId="48">
      <alignment horizontal="center" vertical="center"/>
    </xf>
    <xf numFmtId="165" fontId="48" fillId="0" borderId="9" applyAlignment="1" pivotButton="0" quotePrefix="0" xfId="48">
      <alignment horizontal="center" vertical="center"/>
    </xf>
    <xf numFmtId="165" fontId="31" fillId="0" borderId="3" applyAlignment="1" pivotButton="0" quotePrefix="0" xfId="48">
      <alignment vertical="center" wrapText="1"/>
    </xf>
    <xf numFmtId="165" fontId="59" fillId="0" borderId="3" applyAlignment="1" pivotButton="0" quotePrefix="0" xfId="48">
      <alignment vertical="center" wrapText="1"/>
    </xf>
    <xf numFmtId="165" fontId="34" fillId="0" borderId="3" applyAlignment="1" pivotButton="0" quotePrefix="0" xfId="48">
      <alignment horizontal="center" vertical="center" wrapText="1"/>
    </xf>
    <xf numFmtId="165" fontId="60" fillId="5" borderId="7" applyAlignment="1" pivotButton="0" quotePrefix="0" xfId="48">
      <alignment vertical="center" wrapText="1"/>
    </xf>
    <xf numFmtId="165" fontId="47" fillId="5" borderId="9" applyAlignment="1" pivotButton="0" quotePrefix="0" xfId="48">
      <alignment vertical="center" wrapText="1"/>
    </xf>
    <xf numFmtId="165" fontId="47" fillId="5" borderId="7" applyAlignment="1" pivotButton="0" quotePrefix="0" xfId="48">
      <alignment horizontal="center" vertical="center" wrapText="1"/>
    </xf>
    <xf numFmtId="165" fontId="47" fillId="5" borderId="8" applyAlignment="1" pivotButton="0" quotePrefix="0" xfId="48">
      <alignment horizontal="center" vertical="center" wrapText="1"/>
    </xf>
    <xf numFmtId="165" fontId="47" fillId="5" borderId="9" applyAlignment="1" pivotButton="0" quotePrefix="0" xfId="48">
      <alignment horizontal="center" vertical="center" wrapText="1"/>
    </xf>
    <xf numFmtId="165" fontId="60" fillId="0" borderId="7" applyAlignment="1" pivotButton="0" quotePrefix="0" xfId="48">
      <alignment vertical="center" wrapText="1"/>
    </xf>
    <xf numFmtId="165" fontId="47" fillId="0" borderId="9" applyAlignment="1" pivotButton="0" quotePrefix="0" xfId="48">
      <alignment vertical="center" wrapText="1"/>
    </xf>
    <xf numFmtId="165" fontId="19" fillId="0" borderId="3" applyAlignment="1" pivotButton="0" quotePrefix="0" xfId="48">
      <alignment vertical="center" wrapText="1"/>
    </xf>
    <xf numFmtId="165" fontId="22" fillId="0" borderId="3" applyAlignment="1" pivotButton="0" quotePrefix="0" xfId="48">
      <alignment vertical="center" wrapText="1"/>
    </xf>
    <xf numFmtId="165" fontId="60" fillId="0" borderId="3" applyAlignment="1" pivotButton="0" quotePrefix="0" xfId="48">
      <alignment vertical="center" wrapText="1"/>
    </xf>
    <xf numFmtId="165" fontId="19" fillId="5" borderId="3" applyAlignment="1" pivotButton="0" quotePrefix="0" xfId="48">
      <alignment vertical="center" wrapText="1"/>
    </xf>
    <xf numFmtId="165" fontId="47" fillId="5" borderId="3" applyAlignment="1" pivotButton="0" quotePrefix="0" xfId="48">
      <alignment vertical="center" wrapText="1"/>
    </xf>
    <xf numFmtId="0" fontId="62" fillId="0" borderId="3" applyAlignment="1" pivotButton="0" quotePrefix="0" xfId="48">
      <alignment horizontal="left" vertical="center" wrapText="1"/>
    </xf>
    <xf numFmtId="0" fontId="62" fillId="5" borderId="3" applyAlignment="1" pivotButton="0" quotePrefix="0" xfId="48">
      <alignment horizontal="left" vertical="center" wrapText="1"/>
    </xf>
    <xf numFmtId="0" fontId="62" fillId="5" borderId="3" applyAlignment="1" pivotButton="0" quotePrefix="0" xfId="48">
      <alignment horizontal="center" vertical="center" wrapText="1"/>
    </xf>
    <xf numFmtId="0" fontId="65" fillId="0" borderId="3" applyAlignment="1" pivotButton="0" quotePrefix="0" xfId="48">
      <alignment horizontal="left" vertical="center" wrapText="1"/>
    </xf>
    <xf numFmtId="0" fontId="62" fillId="0" borderId="3" applyAlignment="1" pivotButton="0" quotePrefix="0" xfId="48">
      <alignment horizontal="center" vertical="center" wrapText="1"/>
    </xf>
    <xf numFmtId="165" fontId="60" fillId="0" borderId="3" applyAlignment="1" pivotButton="0" quotePrefix="0" xfId="48">
      <alignment horizontal="left" vertical="center" wrapText="1"/>
    </xf>
    <xf numFmtId="165" fontId="47" fillId="0" borderId="3" applyAlignment="1" pivotButton="0" quotePrefix="0" xfId="48">
      <alignment horizontal="left" vertical="center" wrapText="1"/>
    </xf>
    <xf numFmtId="165" fontId="56" fillId="0" borderId="7" applyAlignment="1" pivotButton="0" quotePrefix="0" xfId="48">
      <alignment horizontal="center" vertical="center" wrapText="1"/>
    </xf>
    <xf numFmtId="165" fontId="56" fillId="0" borderId="9" applyAlignment="1" pivotButton="0" quotePrefix="0" xfId="48">
      <alignment horizontal="center" vertical="center" wrapText="1"/>
    </xf>
    <xf numFmtId="165" fontId="56" fillId="5" borderId="7" applyAlignment="1" pivotButton="0" quotePrefix="0" xfId="48">
      <alignment horizontal="left" vertical="center" wrapText="1"/>
    </xf>
    <xf numFmtId="165" fontId="56" fillId="5" borderId="9" applyAlignment="1" pivotButton="0" quotePrefix="0" xfId="48">
      <alignment horizontal="left" vertical="center" wrapText="1"/>
    </xf>
    <xf numFmtId="0" fontId="60" fillId="0" borderId="3" applyAlignment="1" pivotButton="0" quotePrefix="0" xfId="48">
      <alignment horizontal="left" vertical="center" wrapText="1"/>
    </xf>
    <xf numFmtId="165" fontId="56" fillId="0" borderId="7" applyAlignment="1" pivotButton="0" quotePrefix="0" xfId="48">
      <alignment horizontal="left" vertical="center" wrapText="1"/>
    </xf>
    <xf numFmtId="165" fontId="56" fillId="0" borderId="9" applyAlignment="1" pivotButton="0" quotePrefix="0" xfId="48">
      <alignment horizontal="left" vertical="center" wrapText="1"/>
    </xf>
    <xf numFmtId="165" fontId="19" fillId="0" borderId="5" applyAlignment="1" pivotButton="0" quotePrefix="0" xfId="48">
      <alignment horizontal="left" vertical="center" wrapText="1"/>
    </xf>
    <xf numFmtId="165" fontId="19" fillId="0" borderId="0" applyAlignment="1" pivotButton="0" quotePrefix="0" xfId="48">
      <alignment horizontal="left" vertical="center" wrapText="1"/>
    </xf>
    <xf numFmtId="165" fontId="34" fillId="0" borderId="5" applyAlignment="1" pivotButton="0" quotePrefix="0" xfId="56">
      <alignment horizontal="left" vertical="center" wrapText="1"/>
    </xf>
    <xf numFmtId="165" fontId="34" fillId="0" borderId="0" applyAlignment="1" pivotButton="0" quotePrefix="0" xfId="56">
      <alignment horizontal="left" vertical="center" wrapText="1"/>
    </xf>
    <xf numFmtId="165" fontId="19" fillId="0" borderId="5" applyAlignment="1" pivotButton="0" quotePrefix="0" xfId="48">
      <alignment horizontal="center" vertical="center" wrapText="1"/>
    </xf>
    <xf numFmtId="165" fontId="19" fillId="0" borderId="0" applyAlignment="1" pivotButton="0" quotePrefix="0" xfId="48">
      <alignment horizontal="center" vertical="center" wrapText="1"/>
    </xf>
    <xf numFmtId="165" fontId="59" fillId="5" borderId="7" applyAlignment="1" pivotButton="0" quotePrefix="0" xfId="48">
      <alignment vertical="center" wrapText="1"/>
    </xf>
    <xf numFmtId="165" fontId="59" fillId="5" borderId="9" applyAlignment="1" pivotButton="0" quotePrefix="0" xfId="48">
      <alignment vertical="center" wrapText="1"/>
    </xf>
    <xf numFmtId="165" fontId="48" fillId="5" borderId="7" applyAlignment="1" pivotButton="0" quotePrefix="0" xfId="48">
      <alignment horizontal="center" vertical="center"/>
    </xf>
    <xf numFmtId="165" fontId="48" fillId="5" borderId="9" applyAlignment="1" pivotButton="0" quotePrefix="0" xfId="48">
      <alignment horizontal="center" vertical="center"/>
    </xf>
    <xf numFmtId="0" fontId="65" fillId="5" borderId="3" applyAlignment="1" pivotButton="0" quotePrefix="0" xfId="48">
      <alignment horizontal="left" vertical="center" wrapText="1"/>
    </xf>
    <xf numFmtId="10" fontId="35" fillId="0" borderId="0" applyAlignment="1" pivotButton="0" quotePrefix="0" xfId="31">
      <alignment horizontal="left" vertical="center"/>
    </xf>
    <xf numFmtId="165" fontId="31" fillId="5" borderId="3" applyAlignment="1" applyProtection="1" pivotButton="0" quotePrefix="0" xfId="45">
      <alignment horizontal="center" vertical="center" wrapText="1"/>
      <protection locked="0" hidden="0"/>
    </xf>
    <xf numFmtId="165" fontId="31" fillId="5" borderId="7" applyAlignment="1" applyProtection="1" pivotButton="0" quotePrefix="0" xfId="45">
      <alignment horizontal="center" vertical="center" wrapText="1"/>
      <protection locked="0" hidden="0"/>
    </xf>
    <xf numFmtId="165" fontId="31" fillId="5" borderId="8" applyAlignment="1" applyProtection="1" pivotButton="0" quotePrefix="0" xfId="45">
      <alignment horizontal="center" vertical="center" wrapText="1"/>
      <protection locked="0" hidden="0"/>
    </xf>
    <xf numFmtId="165" fontId="31" fillId="5" borderId="9" applyAlignment="1" applyProtection="1" pivotButton="0" quotePrefix="0" xfId="45">
      <alignment horizontal="center" vertical="center" wrapText="1"/>
      <protection locked="0" hidden="0"/>
    </xf>
    <xf numFmtId="165" fontId="31" fillId="8" borderId="7" applyAlignment="1" applyProtection="1" pivotButton="0" quotePrefix="0" xfId="45">
      <alignment horizontal="center" vertical="center" wrapText="1"/>
      <protection locked="0" hidden="0"/>
    </xf>
    <xf numFmtId="165" fontId="31" fillId="8" borderId="8" applyAlignment="1" applyProtection="1" pivotButton="0" quotePrefix="0" xfId="45">
      <alignment horizontal="center" vertical="center" wrapText="1"/>
      <protection locked="0" hidden="0"/>
    </xf>
    <xf numFmtId="165" fontId="31" fillId="8" borderId="9" applyAlignment="1" applyProtection="1" pivotButton="0" quotePrefix="0" xfId="45">
      <alignment horizontal="center" vertical="center" wrapText="1"/>
      <protection locked="0" hidden="0"/>
    </xf>
    <xf numFmtId="165" fontId="37" fillId="5" borderId="3" applyAlignment="1" applyProtection="1" pivotButton="0" quotePrefix="0" xfId="46">
      <alignment horizontal="center" vertical="center" wrapText="1"/>
      <protection locked="0" hidden="0"/>
    </xf>
    <xf numFmtId="165" fontId="31" fillId="5" borderId="3" applyAlignment="1" applyProtection="1" pivotButton="0" quotePrefix="0" xfId="46">
      <alignment horizontal="center" vertical="center" wrapText="1"/>
      <protection locked="0" hidden="0"/>
    </xf>
    <xf numFmtId="165" fontId="31" fillId="5" borderId="6" applyAlignment="1" applyProtection="1" pivotButton="0" quotePrefix="0" xfId="45">
      <alignment horizontal="center" vertical="center" wrapText="1"/>
      <protection locked="0" hidden="0"/>
    </xf>
    <xf numFmtId="165" fontId="31" fillId="5" borderId="4" applyAlignment="1" applyProtection="1" pivotButton="0" quotePrefix="0" xfId="45">
      <alignment horizontal="center" vertical="center" wrapText="1"/>
      <protection locked="0" hidden="0"/>
    </xf>
    <xf numFmtId="0" fontId="20" fillId="0" borderId="0" applyAlignment="1" pivotButton="0" quotePrefix="0" xfId="32">
      <alignment horizontal="center" vertical="center"/>
    </xf>
    <xf numFmtId="0" fontId="31" fillId="5" borderId="12" applyAlignment="1" applyProtection="1" pivotButton="0" quotePrefix="0" xfId="0">
      <alignment horizontal="center" vertical="center" wrapText="1"/>
      <protection locked="0" hidden="0"/>
    </xf>
    <xf numFmtId="0" fontId="31" fillId="5" borderId="13" applyAlignment="1" applyProtection="1" pivotButton="0" quotePrefix="0" xfId="0">
      <alignment horizontal="center" vertical="center" wrapText="1"/>
      <protection locked="0" hidden="0"/>
    </xf>
    <xf numFmtId="0" fontId="31" fillId="5" borderId="7" applyAlignment="1" applyProtection="1" pivotButton="0" quotePrefix="0" xfId="0">
      <alignment horizontal="center" vertical="center" wrapText="1"/>
      <protection locked="0" hidden="0"/>
    </xf>
    <xf numFmtId="0" fontId="31" fillId="5" borderId="8" applyAlignment="1" applyProtection="1" pivotButton="0" quotePrefix="0" xfId="0">
      <alignment horizontal="center" vertical="center" wrapText="1"/>
      <protection locked="0" hidden="0"/>
    </xf>
    <xf numFmtId="0" fontId="31" fillId="5" borderId="9" applyAlignment="1" applyProtection="1" pivotButton="0" quotePrefix="0" xfId="0">
      <alignment horizontal="center" vertical="center" wrapText="1"/>
      <protection locked="0" hidden="0"/>
    </xf>
    <xf numFmtId="0" fontId="31" fillId="9" borderId="3" applyAlignment="1" pivotButton="0" quotePrefix="0" xfId="43">
      <alignment horizontal="center" vertical="center" wrapText="1"/>
    </xf>
    <xf numFmtId="0" fontId="20" fillId="0" borderId="0" applyAlignment="1" applyProtection="1" pivotButton="0" quotePrefix="0" xfId="0">
      <alignment horizontal="center" vertical="center"/>
      <protection locked="0" hidden="0"/>
    </xf>
    <xf numFmtId="0" fontId="49" fillId="0" borderId="0" applyAlignment="1" applyProtection="1" pivotButton="0" quotePrefix="0" xfId="0">
      <alignment horizontal="center" vertical="center"/>
      <protection locked="0" hidden="0"/>
    </xf>
    <xf numFmtId="0" fontId="31" fillId="5" borderId="12" applyAlignment="1" applyProtection="1" pivotButton="0" quotePrefix="0" xfId="51">
      <alignment horizontal="center" vertical="center"/>
      <protection locked="0" hidden="0"/>
    </xf>
    <xf numFmtId="0" fontId="31" fillId="5" borderId="13" applyAlignment="1" applyProtection="1" pivotButton="0" quotePrefix="0" xfId="51">
      <alignment horizontal="center" vertical="center"/>
      <protection locked="0" hidden="0"/>
    </xf>
    <xf numFmtId="0" fontId="22" fillId="5" borderId="3" applyAlignment="1" applyProtection="1" pivotButton="0" quotePrefix="0" xfId="43">
      <alignment horizontal="center" vertical="center"/>
      <protection locked="0" hidden="0"/>
    </xf>
    <xf numFmtId="0" fontId="22" fillId="5" borderId="3" applyAlignment="1" applyProtection="1" pivotButton="0" quotePrefix="0" xfId="51">
      <alignment horizontal="center" vertical="center" wrapText="1"/>
      <protection locked="0" hidden="0"/>
    </xf>
    <xf numFmtId="0" fontId="31" fillId="5" borderId="3" applyAlignment="1" applyProtection="1" pivotButton="0" quotePrefix="0" xfId="51">
      <alignment horizontal="center" vertical="center" wrapText="1"/>
      <protection locked="0" hidden="0"/>
    </xf>
    <xf numFmtId="0" fontId="31" fillId="5" borderId="7" applyAlignment="1" applyProtection="1" pivotButton="0" quotePrefix="0" xfId="0">
      <alignment horizontal="center" vertical="center"/>
      <protection locked="0" hidden="0"/>
    </xf>
    <xf numFmtId="0" fontId="31" fillId="5" borderId="8" applyAlignment="1" applyProtection="1" pivotButton="0" quotePrefix="0" xfId="0">
      <alignment horizontal="center" vertical="center"/>
      <protection locked="0" hidden="0"/>
    </xf>
    <xf numFmtId="0" fontId="22" fillId="9" borderId="12" applyAlignment="1" pivotButton="0" quotePrefix="0" xfId="43">
      <alignment horizontal="center" vertical="center" wrapText="1"/>
    </xf>
    <xf numFmtId="0" fontId="22" fillId="9" borderId="13" applyAlignment="1" pivotButton="0" quotePrefix="0" xfId="43">
      <alignment horizontal="center" vertical="center" wrapText="1"/>
    </xf>
    <xf numFmtId="164" fontId="20" fillId="0" borderId="0" applyAlignment="1" pivotButton="0" quotePrefix="0" xfId="35">
      <alignment horizontal="center" vertical="center"/>
    </xf>
    <xf numFmtId="164" fontId="49" fillId="0" borderId="0" applyAlignment="1" pivotButton="0" quotePrefix="0" xfId="35">
      <alignment horizontal="center" vertical="center"/>
    </xf>
    <xf numFmtId="0" fontId="49" fillId="0" borderId="0" applyAlignment="1" pivotButton="0" quotePrefix="0" xfId="32">
      <alignment horizontal="center" vertical="center"/>
    </xf>
    <xf numFmtId="0" fontId="0" fillId="0" borderId="0" pivotButton="0" quotePrefix="0" xfId="0"/>
    <xf numFmtId="165" fontId="48" fillId="0" borderId="0" applyAlignment="1" pivotButton="0" quotePrefix="0" xfId="48">
      <alignment vertical="center"/>
    </xf>
    <xf numFmtId="165" fontId="48" fillId="0" borderId="0" applyAlignment="1" pivotButton="0" quotePrefix="0" xfId="48">
      <alignment horizontal="center" vertical="center"/>
    </xf>
    <xf numFmtId="165" fontId="47" fillId="0" borderId="0" applyAlignment="1" pivotButton="0" quotePrefix="0" xfId="48">
      <alignment vertical="center"/>
    </xf>
    <xf numFmtId="165" fontId="20" fillId="0" borderId="0" applyAlignment="1" pivotButton="0" quotePrefix="0" xfId="47">
      <alignment horizontal="center" vertical="center"/>
    </xf>
    <xf numFmtId="165" fontId="49" fillId="0" borderId="0" applyAlignment="1" pivotButton="0" quotePrefix="0" xfId="47">
      <alignment horizontal="center" vertical="center"/>
    </xf>
    <xf numFmtId="165" fontId="34" fillId="0" borderId="0" applyAlignment="1" applyProtection="1" pivotButton="0" quotePrefix="0" xfId="48">
      <alignment vertical="center"/>
      <protection locked="0" hidden="0"/>
    </xf>
    <xf numFmtId="165" fontId="34" fillId="0" borderId="0" applyAlignment="1" applyProtection="1" pivotButton="0" quotePrefix="0" xfId="48">
      <alignment horizontal="center" vertical="center"/>
      <protection locked="0" hidden="0"/>
    </xf>
    <xf numFmtId="165" fontId="36" fillId="0" borderId="0" applyAlignment="1" applyProtection="1" pivotButton="0" quotePrefix="0" xfId="36">
      <alignment vertical="center" wrapText="1"/>
      <protection locked="0" hidden="0"/>
    </xf>
    <xf numFmtId="165" fontId="34" fillId="0" borderId="0" applyAlignment="1" applyProtection="1" pivotButton="0" quotePrefix="0" xfId="48">
      <alignment vertical="center" wrapText="1"/>
      <protection locked="0" hidden="0"/>
    </xf>
    <xf numFmtId="165" fontId="31" fillId="0" borderId="0" applyAlignment="1" applyProtection="1" pivotButton="0" quotePrefix="0" xfId="48">
      <alignment horizontal="left" vertical="center"/>
      <protection locked="0" hidden="0"/>
    </xf>
    <xf numFmtId="165" fontId="78" fillId="0" borderId="0" applyAlignment="1" applyProtection="1" pivotButton="0" quotePrefix="0" xfId="48">
      <alignment vertical="center"/>
      <protection locked="0" hidden="0"/>
    </xf>
    <xf numFmtId="165" fontId="31" fillId="0" borderId="0" applyAlignment="1" applyProtection="1" pivotButton="0" quotePrefix="0" xfId="56">
      <alignment horizontal="justify" vertical="center"/>
      <protection locked="0" hidden="0"/>
    </xf>
    <xf numFmtId="165" fontId="53" fillId="0" borderId="0" applyAlignment="1" applyProtection="1" pivotButton="0" quotePrefix="0" xfId="48">
      <alignment horizontal="center" vertical="center"/>
      <protection locked="0" hidden="0"/>
    </xf>
    <xf numFmtId="165" fontId="31" fillId="5" borderId="3" applyAlignment="1" applyProtection="1" pivotButton="0" quotePrefix="0" xfId="55">
      <alignment horizontal="center" vertical="center" wrapText="1"/>
      <protection locked="0" hidden="0"/>
    </xf>
    <xf numFmtId="0" fontId="0" fillId="0" borderId="8" applyProtection="1" pivotButton="0" quotePrefix="0" xfId="0">
      <protection locked="0" hidden="0"/>
    </xf>
    <xf numFmtId="0" fontId="0" fillId="0" borderId="9" applyProtection="1" pivotButton="0" quotePrefix="0" xfId="0">
      <protection locked="0" hidden="0"/>
    </xf>
    <xf numFmtId="165" fontId="31" fillId="5" borderId="3" applyAlignment="1" applyProtection="1" pivotButton="0" quotePrefix="0" xfId="55">
      <alignment horizontal="center" vertical="center"/>
      <protection locked="0" hidden="0"/>
    </xf>
    <xf numFmtId="165" fontId="34" fillId="0" borderId="3" applyAlignment="1" applyProtection="1" pivotButton="0" quotePrefix="0" xfId="55">
      <alignment horizontal="left" vertical="center" wrapText="1"/>
      <protection locked="0" hidden="0"/>
    </xf>
    <xf numFmtId="165" fontId="19" fillId="0" borderId="3" applyAlignment="1" applyProtection="1" pivotButton="0" quotePrefix="0" xfId="55">
      <alignment horizontal="center" vertical="center" wrapText="1"/>
      <protection locked="0" hidden="0"/>
    </xf>
    <xf numFmtId="165" fontId="58" fillId="6" borderId="0" applyAlignment="1" applyProtection="1" pivotButton="0" quotePrefix="0" xfId="48">
      <alignment horizontal="centerContinuous" vertical="center"/>
      <protection locked="0" hidden="0"/>
    </xf>
    <xf numFmtId="165" fontId="48" fillId="6" borderId="0" applyAlignment="1" pivotButton="0" quotePrefix="0" xfId="48">
      <alignment horizontal="centerContinuous" vertical="center"/>
    </xf>
    <xf numFmtId="165" fontId="22" fillId="5" borderId="3" applyAlignment="1" applyProtection="1" pivotButton="0" quotePrefix="0" xfId="55">
      <alignment horizontal="center" vertical="center" wrapText="1"/>
      <protection locked="0" hidden="0"/>
    </xf>
    <xf numFmtId="165" fontId="31" fillId="5" borderId="3" applyAlignment="1" applyProtection="1" pivotButton="0" quotePrefix="0" xfId="48">
      <alignment horizontal="center" vertical="center" wrapText="1"/>
      <protection locked="0" hidden="0"/>
    </xf>
    <xf numFmtId="165" fontId="58" fillId="6" borderId="0" applyAlignment="1" applyProtection="1" pivotButton="0" quotePrefix="0" xfId="48">
      <alignment horizontal="center" vertical="center"/>
      <protection locked="0" hidden="0"/>
    </xf>
    <xf numFmtId="0" fontId="0" fillId="0" borderId="13" applyProtection="1" pivotButton="0" quotePrefix="0" xfId="0">
      <protection locked="0" hidden="0"/>
    </xf>
    <xf numFmtId="165" fontId="68" fillId="0" borderId="0" applyAlignment="1" pivotButton="0" quotePrefix="0" xfId="58">
      <alignment horizontal="left" vertical="center"/>
    </xf>
    <xf numFmtId="165" fontId="34" fillId="6" borderId="0" applyAlignment="1" applyProtection="1" pivotButton="0" quotePrefix="0" xfId="48">
      <alignment horizontal="left" vertical="center"/>
      <protection locked="0" hidden="0"/>
    </xf>
    <xf numFmtId="165" fontId="61" fillId="6" borderId="0" applyAlignment="1" pivotButton="0" quotePrefix="0" xfId="48">
      <alignment horizontal="left" vertical="center"/>
    </xf>
    <xf numFmtId="165" fontId="19" fillId="0" borderId="3" applyAlignment="1" pivotButton="0" quotePrefix="0" xfId="48">
      <alignment vertical="center" wrapText="1"/>
    </xf>
    <xf numFmtId="165" fontId="47" fillId="0" borderId="3" applyAlignment="1" pivotButton="0" quotePrefix="0" xfId="48">
      <alignment horizontal="center" vertical="center" wrapText="1"/>
    </xf>
    <xf numFmtId="165" fontId="60" fillId="0" borderId="3" applyAlignment="1" pivotButton="0" quotePrefix="0" xfId="55">
      <alignment horizontal="center" vertical="center" wrapText="1"/>
    </xf>
    <xf numFmtId="165" fontId="63" fillId="0" borderId="3" applyAlignment="1" pivotButton="0" quotePrefix="0" xfId="55">
      <alignment horizontal="center" vertical="center" wrapText="1"/>
    </xf>
    <xf numFmtId="165" fontId="34" fillId="0" borderId="3" applyAlignment="1" pivotButton="0" quotePrefix="0" xfId="56">
      <alignment vertical="center" wrapText="1"/>
    </xf>
    <xf numFmtId="165" fontId="34" fillId="0" borderId="3" applyAlignment="1" pivotButton="0" quotePrefix="0" xfId="48">
      <alignment horizontal="center" vertical="center" wrapText="1"/>
    </xf>
    <xf numFmtId="165" fontId="34" fillId="0" borderId="0" applyAlignment="1" pivotButton="0" quotePrefix="0" xfId="48">
      <alignment horizontal="left" vertical="center"/>
    </xf>
    <xf numFmtId="165" fontId="61" fillId="0" borderId="0" applyAlignment="1" pivotButton="0" quotePrefix="0" xfId="48">
      <alignment horizontal="left" vertical="center"/>
    </xf>
    <xf numFmtId="165" fontId="47" fillId="0" borderId="3" applyAlignment="1" pivotButton="0" quotePrefix="0" xfId="55">
      <alignment horizontal="center" vertical="center" wrapText="1"/>
    </xf>
    <xf numFmtId="165" fontId="56" fillId="0" borderId="3" applyAlignment="1" pivotButton="0" quotePrefix="0" xfId="56">
      <alignment horizontal="center" vertical="center" wrapText="1"/>
    </xf>
    <xf numFmtId="165" fontId="77" fillId="6" borderId="0" applyAlignment="1" applyProtection="1" pivotButton="0" quotePrefix="0" xfId="55">
      <alignment horizontal="left" vertical="center" wrapText="1"/>
      <protection locked="0" hidden="0"/>
    </xf>
    <xf numFmtId="165" fontId="34" fillId="0" borderId="3" applyAlignment="1" pivotButton="0" quotePrefix="0" xfId="56">
      <alignment horizontal="center" vertical="center" wrapText="1"/>
    </xf>
    <xf numFmtId="165" fontId="64" fillId="0" borderId="0" applyAlignment="1" pivotButton="0" quotePrefix="0" xfId="48">
      <alignment horizontal="left" vertical="center"/>
    </xf>
    <xf numFmtId="165" fontId="34" fillId="0" borderId="3" applyAlignment="1" pivotButton="0" quotePrefix="0" xfId="48">
      <alignment vertical="center" wrapText="1"/>
    </xf>
    <xf numFmtId="165" fontId="34" fillId="0" borderId="3" applyAlignment="1" pivotButton="0" quotePrefix="0" xfId="55">
      <alignment vertical="center" wrapText="1"/>
    </xf>
    <xf numFmtId="165" fontId="48" fillId="0" borderId="0" applyAlignment="1" pivotButton="0" quotePrefix="0" xfId="48">
      <alignment vertical="center" wrapText="1"/>
    </xf>
    <xf numFmtId="165" fontId="33" fillId="0" borderId="0" applyAlignment="1" pivotButton="0" quotePrefix="0" xfId="47">
      <alignment horizontal="center" vertical="center"/>
    </xf>
    <xf numFmtId="165" fontId="19" fillId="0" borderId="0" applyAlignment="1" applyProtection="1" pivotButton="0" quotePrefix="0" xfId="48">
      <alignment vertical="center"/>
      <protection locked="0" hidden="0"/>
    </xf>
    <xf numFmtId="165" fontId="51" fillId="0" borderId="0" applyAlignment="1" applyProtection="1" pivotButton="0" quotePrefix="0" xfId="48">
      <alignment horizontal="left" vertical="center"/>
      <protection locked="0" hidden="0"/>
    </xf>
    <xf numFmtId="165" fontId="52" fillId="0" borderId="0" applyAlignment="1" applyProtection="1" pivotButton="0" quotePrefix="0" xfId="48">
      <alignment vertical="center"/>
      <protection locked="0" hidden="0"/>
    </xf>
    <xf numFmtId="165" fontId="31" fillId="0" borderId="0" applyAlignment="1" applyProtection="1" pivotButton="0" quotePrefix="0" xfId="48">
      <alignment horizontal="justify" vertical="center"/>
      <protection locked="0" hidden="0"/>
    </xf>
    <xf numFmtId="165" fontId="51" fillId="0" borderId="3" applyAlignment="1" applyProtection="1" pivotButton="0" quotePrefix="0" xfId="48">
      <alignment horizontal="left" vertical="center" wrapText="1"/>
      <protection locked="0" hidden="0"/>
    </xf>
    <xf numFmtId="0" fontId="0" fillId="0" borderId="6" applyProtection="1" pivotButton="0" quotePrefix="0" xfId="0">
      <protection locked="0" hidden="0"/>
    </xf>
    <xf numFmtId="165" fontId="51" fillId="0" borderId="3" applyAlignment="1" applyProtection="1" pivotButton="0" quotePrefix="0" xfId="48">
      <alignment horizontal="center" vertical="center"/>
      <protection locked="0" hidden="0"/>
    </xf>
    <xf numFmtId="165" fontId="19" fillId="0" borderId="3" applyAlignment="1" applyProtection="1" pivotButton="0" quotePrefix="0" xfId="48">
      <alignment horizontal="center" vertical="center" wrapText="1"/>
      <protection locked="0" hidden="0"/>
    </xf>
    <xf numFmtId="165" fontId="7" fillId="0" borderId="3" applyAlignment="1" applyProtection="1" pivotButton="0" quotePrefix="0" xfId="48">
      <alignment horizontal="center" vertical="center" wrapText="1"/>
      <protection locked="0" hidden="0"/>
    </xf>
    <xf numFmtId="165" fontId="31" fillId="0" borderId="3" applyAlignment="1" applyProtection="1" pivotButton="0" quotePrefix="0" xfId="48">
      <alignment horizontal="center" vertical="center" wrapText="1"/>
      <protection locked="0" hidden="0"/>
    </xf>
    <xf numFmtId="0" fontId="0" fillId="0" borderId="18" applyProtection="1" pivotButton="0" quotePrefix="0" xfId="0">
      <protection locked="0" hidden="0"/>
    </xf>
    <xf numFmtId="0" fontId="0" fillId="0" borderId="4" applyProtection="1" pivotButton="0" quotePrefix="0" xfId="0">
      <protection locked="0" hidden="0"/>
    </xf>
    <xf numFmtId="165" fontId="54" fillId="0" borderId="3" applyAlignment="1" applyProtection="1" pivotButton="0" quotePrefix="0" xfId="48">
      <alignment horizontal="left" vertical="center" wrapText="1"/>
      <protection locked="0" hidden="0"/>
    </xf>
    <xf numFmtId="165" fontId="55" fillId="0" borderId="3" applyAlignment="1" applyProtection="1" pivotButton="0" quotePrefix="0" xfId="48">
      <alignment horizontal="center" vertical="center" wrapText="1"/>
      <protection locked="0" hidden="0"/>
    </xf>
    <xf numFmtId="165" fontId="56" fillId="0" borderId="3" applyAlignment="1" applyProtection="1" pivotButton="0" quotePrefix="0" xfId="48">
      <alignment horizontal="center" vertical="center" wrapText="1"/>
      <protection locked="0" hidden="0"/>
    </xf>
    <xf numFmtId="165" fontId="7" fillId="0" borderId="3" applyAlignment="1" applyProtection="1" pivotButton="0" quotePrefix="0" xfId="48">
      <alignment horizontal="left" vertical="center" wrapText="1"/>
      <protection locked="0" hidden="0"/>
    </xf>
    <xf numFmtId="165" fontId="34" fillId="0" borderId="0" applyAlignment="1" applyProtection="1" pivotButton="0" quotePrefix="0" xfId="48">
      <alignment horizontal="center" vertical="center" wrapText="1"/>
      <protection locked="0" hidden="0"/>
    </xf>
    <xf numFmtId="165" fontId="34" fillId="0" borderId="0" applyAlignment="1" applyProtection="1" pivotButton="0" quotePrefix="0" xfId="48">
      <alignment horizontal="left" vertical="center" wrapText="1"/>
      <protection locked="0" hidden="0"/>
    </xf>
    <xf numFmtId="165" fontId="57" fillId="0" borderId="0" applyAlignment="1" applyProtection="1" pivotButton="0" quotePrefix="0" xfId="48">
      <alignment horizontal="center" vertical="center" wrapText="1"/>
      <protection locked="0" hidden="0"/>
    </xf>
    <xf numFmtId="165" fontId="58" fillId="6" borderId="14" applyAlignment="1" applyProtection="1" pivotButton="0" quotePrefix="0" xfId="48">
      <alignment horizontal="centerContinuous" vertical="center"/>
      <protection locked="0" hidden="0"/>
    </xf>
    <xf numFmtId="165" fontId="48" fillId="6" borderId="14" applyAlignment="1" pivotButton="0" quotePrefix="0" xfId="48">
      <alignment horizontal="centerContinuous" vertical="center"/>
    </xf>
    <xf numFmtId="165" fontId="22" fillId="5" borderId="3" applyAlignment="1" applyProtection="1" pivotButton="0" quotePrefix="0" xfId="48">
      <alignment horizontal="center" vertical="center" wrapText="1"/>
      <protection locked="0" hidden="0"/>
    </xf>
    <xf numFmtId="165" fontId="31" fillId="5" borderId="3" applyAlignment="1" applyProtection="1" pivotButton="0" quotePrefix="0" xfId="48">
      <alignment horizontal="center" vertical="center"/>
      <protection locked="0" hidden="0"/>
    </xf>
    <xf numFmtId="165" fontId="31" fillId="5" borderId="3" applyAlignment="1" pivotButton="0" quotePrefix="0" xfId="48">
      <alignment vertical="center" wrapText="1"/>
    </xf>
    <xf numFmtId="0" fontId="0" fillId="0" borderId="9" pivotButton="0" quotePrefix="0" xfId="0"/>
    <xf numFmtId="165" fontId="60" fillId="5" borderId="3" applyAlignment="1" pivotButton="0" quotePrefix="0" xfId="48">
      <alignment horizontal="center" vertical="center" wrapText="1"/>
    </xf>
    <xf numFmtId="165" fontId="34" fillId="5" borderId="3" applyAlignment="1" pivotButton="0" quotePrefix="0" xfId="48">
      <alignment horizontal="left" vertical="center" wrapText="1"/>
    </xf>
    <xf numFmtId="0" fontId="0" fillId="0" borderId="8" pivotButton="0" quotePrefix="0" xfId="0"/>
    <xf numFmtId="165" fontId="56" fillId="5" borderId="3" applyAlignment="1" pivotButton="0" quotePrefix="0" xfId="48">
      <alignment horizontal="center" vertical="center" wrapText="1"/>
    </xf>
    <xf numFmtId="165" fontId="19" fillId="8" borderId="0" applyAlignment="1" pivotButton="0" quotePrefix="0" xfId="57">
      <alignment horizontal="center" vertical="center" wrapText="1"/>
    </xf>
    <xf numFmtId="165" fontId="19" fillId="0" borderId="5" applyAlignment="1" pivotButton="0" quotePrefix="0" xfId="48">
      <alignment horizontal="left" vertical="center" wrapText="1"/>
    </xf>
    <xf numFmtId="0" fontId="0" fillId="0" borderId="5" pivotButton="0" quotePrefix="0" xfId="0"/>
    <xf numFmtId="165" fontId="22" fillId="5" borderId="3" applyAlignment="1" pivotButton="0" quotePrefix="0" xfId="48">
      <alignment vertical="center" wrapText="1"/>
    </xf>
    <xf numFmtId="165" fontId="34" fillId="5" borderId="3" applyAlignment="1" pivotButton="0" quotePrefix="0" xfId="48">
      <alignment horizontal="center" vertical="center" wrapText="1"/>
    </xf>
    <xf numFmtId="165" fontId="31" fillId="0" borderId="3" applyAlignment="1" pivotButton="0" quotePrefix="0" xfId="48">
      <alignment vertical="center" wrapText="1"/>
    </xf>
    <xf numFmtId="165" fontId="60" fillId="0" borderId="3" applyAlignment="1" pivotButton="0" quotePrefix="0" xfId="48">
      <alignment horizontal="center" vertical="center" wrapText="1"/>
    </xf>
    <xf numFmtId="165" fontId="48" fillId="0" borderId="3" applyAlignment="1" pivotButton="0" quotePrefix="0" xfId="48">
      <alignment horizontal="center" vertical="center"/>
    </xf>
    <xf numFmtId="165" fontId="22" fillId="0" borderId="3" applyAlignment="1" pivotButton="0" quotePrefix="0" xfId="48">
      <alignment vertical="center" wrapText="1"/>
    </xf>
    <xf numFmtId="165" fontId="60" fillId="5" borderId="3" applyAlignment="1" pivotButton="0" quotePrefix="0" xfId="48">
      <alignment vertical="center" wrapText="1"/>
    </xf>
    <xf numFmtId="165" fontId="47" fillId="5" borderId="3" applyAlignment="1" pivotButton="0" quotePrefix="0" xfId="48">
      <alignment horizontal="center" vertical="center" wrapText="1"/>
    </xf>
    <xf numFmtId="165" fontId="34" fillId="0" borderId="5" applyAlignment="1" pivotButton="0" quotePrefix="0" xfId="56">
      <alignment horizontal="left" vertical="center" wrapText="1"/>
    </xf>
    <xf numFmtId="165" fontId="60" fillId="0" borderId="3" applyAlignment="1" pivotButton="0" quotePrefix="0" xfId="48">
      <alignment vertical="center" wrapText="1"/>
    </xf>
    <xf numFmtId="165" fontId="19" fillId="5" borderId="3" applyAlignment="1" pivotButton="0" quotePrefix="0" xfId="48">
      <alignment vertical="center" wrapText="1"/>
    </xf>
    <xf numFmtId="165" fontId="19" fillId="0" borderId="5" applyAlignment="1" pivotButton="0" quotePrefix="0" xfId="48">
      <alignment horizontal="center" vertical="center" wrapText="1"/>
    </xf>
    <xf numFmtId="165" fontId="47" fillId="0" borderId="3" applyAlignment="1" pivotButton="0" quotePrefix="0" xfId="48">
      <alignment vertical="center" wrapText="1"/>
    </xf>
    <xf numFmtId="165" fontId="34" fillId="6" borderId="0" applyAlignment="1" pivotButton="0" quotePrefix="0" xfId="48">
      <alignment horizontal="left" vertical="center"/>
    </xf>
    <xf numFmtId="165" fontId="60" fillId="0" borderId="3" applyAlignment="1" pivotButton="0" quotePrefix="0" xfId="48">
      <alignment horizontal="left" vertical="center" wrapText="1"/>
    </xf>
    <xf numFmtId="165" fontId="56" fillId="0" borderId="3" applyAlignment="1" pivotButton="0" quotePrefix="0" xfId="48">
      <alignment horizontal="center" vertical="center" wrapText="1"/>
    </xf>
    <xf numFmtId="165" fontId="47" fillId="0" borderId="3" applyAlignment="1" pivotButton="0" quotePrefix="0" xfId="48">
      <alignment horizontal="left" vertical="center" wrapText="1"/>
    </xf>
    <xf numFmtId="165" fontId="56" fillId="5" borderId="3" applyAlignment="1" pivotButton="0" quotePrefix="0" xfId="48">
      <alignment horizontal="left" vertical="center" wrapText="1"/>
    </xf>
    <xf numFmtId="165" fontId="56" fillId="0" borderId="3" applyAlignment="1" pivotButton="0" quotePrefix="0" xfId="48">
      <alignment horizontal="left" vertical="center" wrapText="1"/>
    </xf>
    <xf numFmtId="165" fontId="59" fillId="5" borderId="3" applyAlignment="1" pivotButton="0" quotePrefix="0" xfId="48">
      <alignment vertical="center" wrapText="1"/>
    </xf>
    <xf numFmtId="165" fontId="48" fillId="5" borderId="3" applyAlignment="1" pivotButton="0" quotePrefix="0" xfId="48">
      <alignment horizontal="center" vertical="center"/>
    </xf>
    <xf numFmtId="164" fontId="34" fillId="0" borderId="0" applyAlignment="1" pivotButton="0" quotePrefix="0" xfId="35">
      <alignment vertical="center"/>
    </xf>
    <xf numFmtId="164" fontId="32" fillId="0" borderId="0" applyAlignment="1" pivotButton="0" quotePrefix="0" xfId="35">
      <alignment vertical="center"/>
    </xf>
    <xf numFmtId="164" fontId="20" fillId="0" borderId="0" applyAlignment="1" pivotButton="0" quotePrefix="0" xfId="35">
      <alignment horizontal="center" vertical="center"/>
    </xf>
    <xf numFmtId="164" fontId="49" fillId="0" borderId="0" applyAlignment="1" pivotButton="0" quotePrefix="0" xfId="35">
      <alignment horizontal="center" vertical="center"/>
    </xf>
    <xf numFmtId="164" fontId="34" fillId="0" borderId="0" applyAlignment="1" pivotButton="0" quotePrefix="0" xfId="35">
      <alignment horizontal="left" vertical="center"/>
    </xf>
    <xf numFmtId="165" fontId="34" fillId="0" borderId="0" applyAlignment="1" applyProtection="1" pivotButton="0" quotePrefix="0" xfId="48">
      <alignment horizontal="right" vertical="center"/>
      <protection locked="0" hidden="0"/>
    </xf>
    <xf numFmtId="165" fontId="31" fillId="5" borderId="3" applyAlignment="1" applyProtection="1" pivotButton="0" quotePrefix="0" xfId="45">
      <alignment horizontal="center" vertical="center" wrapText="1"/>
      <protection locked="0" hidden="0"/>
    </xf>
    <xf numFmtId="165" fontId="31" fillId="8" borderId="3" applyAlignment="1" applyProtection="1" pivotButton="0" quotePrefix="0" xfId="45">
      <alignment horizontal="center" vertical="center" wrapText="1"/>
      <protection locked="0" hidden="0"/>
    </xf>
    <xf numFmtId="165" fontId="37" fillId="5" borderId="3" applyAlignment="1" applyProtection="1" pivotButton="0" quotePrefix="0" xfId="46">
      <alignment horizontal="center" vertical="center" wrapText="1"/>
      <protection locked="0" hidden="0"/>
    </xf>
    <xf numFmtId="165" fontId="31" fillId="5" borderId="9" applyAlignment="1" applyProtection="1" pivotButton="0" quotePrefix="0" xfId="45">
      <alignment horizontal="center" vertical="center" wrapText="1"/>
      <protection locked="0" hidden="0"/>
    </xf>
    <xf numFmtId="165" fontId="31" fillId="5" borderId="3" applyAlignment="1" applyProtection="1" pivotButton="0" quotePrefix="0" xfId="46">
      <alignment horizontal="center" vertical="center"/>
      <protection locked="0" hidden="0"/>
    </xf>
    <xf numFmtId="165" fontId="34" fillId="0" borderId="3" applyAlignment="1" applyProtection="1" pivotButton="0" quotePrefix="0" xfId="45">
      <alignment horizontal="left" vertical="center" wrapText="1"/>
      <protection locked="0" hidden="0"/>
    </xf>
    <xf numFmtId="164" fontId="34" fillId="8" borderId="3" applyAlignment="1" pivotButton="0" quotePrefix="0" xfId="42">
      <alignment horizontal="right" vertical="center" wrapText="1"/>
    </xf>
    <xf numFmtId="164" fontId="31" fillId="0" borderId="0" applyAlignment="1" pivotButton="0" quotePrefix="0" xfId="35">
      <alignment vertical="center"/>
    </xf>
    <xf numFmtId="164" fontId="31" fillId="5" borderId="3" applyAlignment="1" pivotButton="0" quotePrefix="0" xfId="42">
      <alignment horizontal="center" vertical="center" wrapText="1"/>
    </xf>
    <xf numFmtId="164" fontId="31" fillId="8" borderId="3" applyAlignment="1" pivotButton="0" quotePrefix="0" xfId="42">
      <alignment horizontal="right" vertical="center" wrapText="1"/>
    </xf>
    <xf numFmtId="165" fontId="31" fillId="0" borderId="3" applyAlignment="1" applyProtection="1" pivotButton="0" quotePrefix="0" xfId="45">
      <alignment horizontal="left" vertical="center" wrapText="1"/>
      <protection locked="0" hidden="0"/>
    </xf>
    <xf numFmtId="164" fontId="31" fillId="7" borderId="0" applyAlignment="1" pivotButton="0" quotePrefix="0" xfId="35">
      <alignment vertical="center"/>
    </xf>
    <xf numFmtId="164" fontId="42" fillId="8" borderId="3" applyAlignment="1" pivotButton="0" quotePrefix="0" xfId="50">
      <alignment horizontal="right" vertical="center"/>
    </xf>
    <xf numFmtId="164" fontId="34" fillId="0" borderId="5" applyAlignment="1" pivotButton="0" quotePrefix="0" xfId="35">
      <alignment vertical="center"/>
    </xf>
    <xf numFmtId="164" fontId="31" fillId="0" borderId="0" applyAlignment="1" pivotButton="0" quotePrefix="0" xfId="35">
      <alignment horizontal="left" vertical="center"/>
    </xf>
    <xf numFmtId="164" fontId="69" fillId="0" borderId="0" applyAlignment="1" pivotButton="0" quotePrefix="0" xfId="36">
      <alignment horizontal="center" vertical="center"/>
    </xf>
    <xf numFmtId="164" fontId="36" fillId="0" borderId="0" applyAlignment="1" pivotButton="0" quotePrefix="0" xfId="35">
      <alignment vertical="center"/>
    </xf>
    <xf numFmtId="164" fontId="27" fillId="0" borderId="0" applyAlignment="1" pivotButton="0" quotePrefix="0" xfId="35">
      <alignment vertical="center"/>
    </xf>
    <xf numFmtId="164" fontId="25" fillId="0" borderId="0" applyAlignment="1" pivotButton="0" quotePrefix="0" xfId="35">
      <alignment vertical="center"/>
    </xf>
    <xf numFmtId="164" fontId="28" fillId="0" borderId="0" applyAlignment="1" pivotButton="0" quotePrefix="0" xfId="35">
      <alignment vertical="center"/>
    </xf>
    <xf numFmtId="164" fontId="25" fillId="0" borderId="0" applyAlignment="1" pivotButton="0" quotePrefix="0" xfId="35">
      <alignment horizontal="right" vertical="center"/>
    </xf>
    <xf numFmtId="164" fontId="54" fillId="0" borderId="0" applyAlignment="1" applyProtection="1" pivotButton="0" quotePrefix="0" xfId="0">
      <alignment horizontal="right" vertical="center" wrapText="1"/>
      <protection locked="0" hidden="0"/>
    </xf>
    <xf numFmtId="164" fontId="73" fillId="0" borderId="0" applyAlignment="1" applyProtection="1" pivotButton="0" quotePrefix="0" xfId="0">
      <alignment horizontal="right" vertical="center" wrapText="1"/>
      <protection locked="0" hidden="0"/>
    </xf>
    <xf numFmtId="164" fontId="34" fillId="0" borderId="0" applyAlignment="1" pivotButton="0" quotePrefix="0" xfId="35">
      <alignment horizontal="left" vertical="center" indent="2"/>
    </xf>
    <xf numFmtId="164" fontId="54" fillId="0" borderId="0" applyProtection="1" pivotButton="0" quotePrefix="0" xfId="42">
      <protection locked="0" hidden="0"/>
    </xf>
    <xf numFmtId="164" fontId="73" fillId="0" borderId="0" applyAlignment="1" applyProtection="1" pivotButton="0" quotePrefix="0" xfId="42">
      <alignment horizontal="right" vertical="center" wrapText="1"/>
      <protection locked="0" hidden="0"/>
    </xf>
    <xf numFmtId="164" fontId="73" fillId="0" borderId="11" applyAlignment="1" applyProtection="1" pivotButton="0" quotePrefix="0" xfId="0">
      <alignment horizontal="right" vertical="center" wrapText="1"/>
      <protection locked="0" hidden="0"/>
    </xf>
    <xf numFmtId="164" fontId="34" fillId="0" borderId="3" applyAlignment="1" pivotButton="0" quotePrefix="0" xfId="42">
      <alignment wrapText="1"/>
    </xf>
    <xf numFmtId="164" fontId="31" fillId="0" borderId="3" applyAlignment="1" pivotButton="0" quotePrefix="0" xfId="42">
      <alignment wrapText="1"/>
    </xf>
    <xf numFmtId="164" fontId="34" fillId="8" borderId="3" applyAlignment="1" pivotButton="0" quotePrefix="0" xfId="42">
      <alignment vertical="center"/>
    </xf>
    <xf numFmtId="164" fontId="34" fillId="0" borderId="3" applyAlignment="1" pivotButton="0" quotePrefix="0" xfId="42">
      <alignment vertical="center"/>
    </xf>
    <xf numFmtId="164" fontId="34" fillId="0" borderId="3" applyAlignment="1" pivotButton="0" quotePrefix="0" xfId="42">
      <alignment vertical="center" wrapText="1"/>
    </xf>
    <xf numFmtId="164" fontId="31" fillId="8" borderId="3" applyAlignment="1" pivotButton="0" quotePrefix="0" xfId="42">
      <alignment vertical="center"/>
    </xf>
    <xf numFmtId="165" fontId="31" fillId="5" borderId="3" applyAlignment="1" applyProtection="1" pivotButton="0" quotePrefix="0" xfId="52">
      <alignment horizontal="center" vertical="center" wrapText="1"/>
      <protection locked="0" hidden="0"/>
    </xf>
    <xf numFmtId="164" fontId="31" fillId="0" borderId="5" applyAlignment="1" pivotButton="0" quotePrefix="0" xfId="35">
      <alignment horizontal="left" vertical="center"/>
    </xf>
    <xf numFmtId="164" fontId="34" fillId="0" borderId="5" applyAlignment="1" pivotButton="0" quotePrefix="0" xfId="35">
      <alignment horizontal="left" vertical="center"/>
    </xf>
    <xf numFmtId="164" fontId="69" fillId="0" borderId="5" applyAlignment="1" pivotButton="0" quotePrefix="0" xfId="53">
      <alignment horizontal="center" vertical="center"/>
    </xf>
    <xf numFmtId="0" fontId="22" fillId="9" borderId="3" applyAlignment="1" pivotButton="0" quotePrefix="0" xfId="43">
      <alignment horizontal="center" vertical="center" wrapText="1"/>
    </xf>
    <xf numFmtId="0" fontId="31" fillId="5" borderId="3" applyAlignment="1" applyProtection="1" pivotButton="0" quotePrefix="0" xfId="51">
      <alignment horizontal="center" vertical="center"/>
      <protection locked="0" hidden="0"/>
    </xf>
    <xf numFmtId="0" fontId="0" fillId="0" borderId="13" pivotButton="0" quotePrefix="0" xfId="0"/>
    <xf numFmtId="164" fontId="34" fillId="0" borderId="3" applyAlignment="1" applyProtection="1" pivotButton="0" quotePrefix="0" xfId="0">
      <alignment horizontal="left" vertical="center"/>
      <protection locked="0" hidden="0"/>
    </xf>
    <xf numFmtId="164" fontId="42" fillId="0" borderId="0" applyAlignment="1" pivotButton="0" quotePrefix="0" xfId="42">
      <alignment horizontal="center" vertical="center"/>
    </xf>
  </cellXfs>
  <cellStyles count="59">
    <cellStyle name="常规" xfId="0" builtinId="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常规_Book1" xfId="32"/>
    <cellStyle name="常规_c-资产类" xfId="33"/>
    <cellStyle name="常规_进一步审计程序--销售与收款循环" xfId="34"/>
    <cellStyle name="常规_新审定表" xfId="35"/>
    <cellStyle name="超链接" xfId="36" builtinId="8"/>
    <cellStyle name="普通_ 外G9(3)" xfId="37"/>
    <cellStyle name="千分位[0]_宁波" xfId="38"/>
    <cellStyle name="千分位_宁波" xfId="39"/>
    <cellStyle name="千位[0]_laroux" xfId="40"/>
    <cellStyle name="千位_laroux" xfId="41"/>
    <cellStyle name="千位分隔" xfId="42" builtinId="3"/>
    <cellStyle name="常规 2" xfId="43"/>
    <cellStyle name="常规_制造费用" xfId="44"/>
    <cellStyle name="常规 4" xfId="45"/>
    <cellStyle name="常规 3" xfId="46"/>
    <cellStyle name="常规_Book1 2" xfId="47"/>
    <cellStyle name="常规 5" xfId="48"/>
    <cellStyle name="常规 3 2" xfId="49"/>
    <cellStyle name="千位分隔 2 4" xfId="50"/>
    <cellStyle name="常规 2 2" xfId="51"/>
    <cellStyle name="常规 4 2" xfId="52"/>
    <cellStyle name="超链接 2" xfId="53"/>
    <cellStyle name="百分比 2 2" xfId="54"/>
    <cellStyle name="常规 7" xfId="55"/>
    <cellStyle name="常规 6" xfId="56"/>
    <cellStyle name="常规 7 2" xfId="57"/>
    <cellStyle name="常规 11 5" xfId="5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1</author>
  </authors>
  <commentList>
    <comment ref="E12" authorId="0" shapeId="0">
      <text>
        <t>1:
存在差异时显示红色，同时显示数据，不存在差异显示绿色，-</t>
      </text>
    </comment>
    <comment ref="I12" authorId="0" shapeId="0">
      <text>
        <t>1:
存在差异时显示红色，同时显示数据，不存在差异显示绿色，-</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H19"/>
  <sheetViews>
    <sheetView tabSelected="1" workbookViewId="0">
      <selection activeCell="A1" sqref="A1"/>
    </sheetView>
  </sheetViews>
  <sheetFormatPr baseColWidth="8" defaultColWidth="9" defaultRowHeight="20.1" customHeight="1"/>
  <cols>
    <col width="77.59765625" customWidth="1" style="24" min="1" max="1"/>
    <col width="2" customWidth="1" style="24" min="2" max="2"/>
    <col width="2.09765625" customWidth="1" style="24" min="3" max="3"/>
    <col width="6.09765625" customWidth="1" style="24" min="4" max="4"/>
    <col width="22.69921875" customWidth="1" style="24" min="5" max="5"/>
    <col width="9.69921875" customWidth="1" style="210" min="6" max="6"/>
    <col width="9" customWidth="1" style="24" min="7" max="16384"/>
  </cols>
  <sheetData>
    <row r="1" ht="20.1" customFormat="1" customHeight="1" s="26">
      <c r="A1" s="27" t="inlineStr">
        <is>
          <t>底稿开列时，可先在以下单元格填写有关内容，以便其他底稿引用有关数据：</t>
        </is>
      </c>
      <c r="F1" s="81" t="n"/>
    </row>
    <row r="2" ht="20.1" customHeight="1" s="347">
      <c r="A2" s="230" t="inlineStr">
        <is>
          <t>被审计单位：</t>
        </is>
      </c>
      <c r="B2" s="80" t="n"/>
      <c r="C2" s="80" t="n"/>
      <c r="D2" s="81" t="n"/>
      <c r="E2" s="81" t="n"/>
      <c r="F2" s="81" t="n"/>
      <c r="G2" s="80" t="n"/>
      <c r="H2" s="80" t="n"/>
    </row>
    <row r="3" ht="20.1" customHeight="1" s="347">
      <c r="A3" s="230" t="inlineStr">
        <is>
          <t>截止日：202X年12月31日</t>
        </is>
      </c>
      <c r="B3" s="80" t="n"/>
      <c r="C3" s="80" t="n"/>
      <c r="D3" s="56" t="inlineStr">
        <is>
          <t>序号</t>
        </is>
      </c>
      <c r="E3" s="56" t="inlineStr">
        <is>
          <t>内容</t>
        </is>
      </c>
      <c r="F3" s="56" t="inlineStr">
        <is>
          <t>索引号</t>
        </is>
      </c>
      <c r="G3" s="56" t="inlineStr">
        <is>
          <t>备注</t>
        </is>
      </c>
      <c r="H3" s="82" t="n"/>
    </row>
    <row r="4" ht="20.1" customHeight="1" s="347">
      <c r="A4" s="225" t="inlineStr">
        <is>
          <t>编制人：</t>
        </is>
      </c>
      <c r="B4" s="80" t="n"/>
      <c r="C4" s="80" t="n"/>
      <c r="D4" s="56" t="n">
        <v>1</v>
      </c>
      <c r="E4" s="212" t="inlineStr">
        <is>
          <t>未分配利润实质性程序表</t>
        </is>
      </c>
      <c r="F4" s="209" t="inlineStr">
        <is>
          <t>M6A</t>
        </is>
      </c>
      <c r="G4" s="57" t="n"/>
      <c r="H4" s="82" t="n"/>
    </row>
    <row r="5" ht="20.1" customHeight="1" s="347">
      <c r="A5" s="225" t="inlineStr">
        <is>
          <t>编制日期：</t>
        </is>
      </c>
      <c r="D5" s="56" t="n">
        <v>2</v>
      </c>
      <c r="E5" s="212" t="inlineStr">
        <is>
          <t>审定表</t>
        </is>
      </c>
      <c r="F5" s="209" t="inlineStr">
        <is>
          <t>M6-1</t>
        </is>
      </c>
      <c r="G5" s="57" t="n"/>
      <c r="H5" s="80" t="n"/>
    </row>
    <row r="6" ht="20.1" customHeight="1" s="347">
      <c r="A6" s="225" t="inlineStr">
        <is>
          <t>复核人：</t>
        </is>
      </c>
      <c r="D6" s="56" t="n">
        <v>3</v>
      </c>
      <c r="E6" s="212" t="inlineStr">
        <is>
          <t>附注披露信息(上市公司)</t>
        </is>
      </c>
      <c r="F6" s="209" t="n"/>
      <c r="G6" s="57" t="n"/>
      <c r="H6" s="146" t="inlineStr">
        <is>
          <t>无需打印</t>
        </is>
      </c>
    </row>
    <row r="7" ht="20.1" customHeight="1" s="347">
      <c r="A7" s="225" t="inlineStr">
        <is>
          <t>复核日期：</t>
        </is>
      </c>
      <c r="D7" s="56" t="n">
        <v>4</v>
      </c>
      <c r="E7" s="212" t="inlineStr">
        <is>
          <t>附注披露信息(国企)</t>
        </is>
      </c>
      <c r="F7" s="209" t="n"/>
      <c r="G7" s="57" t="n"/>
      <c r="H7" s="146" t="inlineStr">
        <is>
          <t>无需打印</t>
        </is>
      </c>
    </row>
    <row r="8" ht="20.1" customHeight="1" s="347">
      <c r="A8" s="83" t="n"/>
      <c r="D8" s="56" t="n">
        <v>5</v>
      </c>
      <c r="E8" s="212" t="inlineStr">
        <is>
          <t>明细表</t>
        </is>
      </c>
      <c r="F8" s="209" t="inlineStr">
        <is>
          <t>M6-2</t>
        </is>
      </c>
      <c r="G8" s="57" t="n"/>
    </row>
    <row r="9" ht="20.1" customHeight="1" s="347">
      <c r="A9" s="334" t="inlineStr">
        <is>
          <t>关于工作底稿与审计程序索引号对应的说明</t>
        </is>
      </c>
      <c r="D9" s="56" t="n">
        <v>6</v>
      </c>
      <c r="E9" s="212" t="inlineStr">
        <is>
          <t>调整分录汇总</t>
        </is>
      </c>
      <c r="F9" s="209" t="inlineStr">
        <is>
          <t>M6-3</t>
        </is>
      </c>
      <c r="G9" s="57" t="n"/>
    </row>
    <row r="10" ht="20.1" customHeight="1" s="347">
      <c r="A10" s="233"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56" t="n">
        <v>7</v>
      </c>
      <c r="E10" s="212" t="inlineStr">
        <is>
          <t>未分配利润检查表</t>
        </is>
      </c>
      <c r="F10" s="209" t="inlineStr">
        <is>
          <t>M6-4</t>
        </is>
      </c>
      <c r="G10" s="57" t="n"/>
    </row>
    <row r="11" ht="20.1" customHeight="1" s="347">
      <c r="A11" s="0" t="n"/>
      <c r="E11" s="211" t="n"/>
    </row>
    <row r="12" ht="20.1" customHeight="1" s="347">
      <c r="A12" s="0" t="n"/>
    </row>
    <row r="13" ht="20.1" customHeight="1" s="347">
      <c r="A13" s="0" t="n"/>
    </row>
    <row r="14" ht="20.1" customHeight="1" s="347">
      <c r="A14" s="233"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ht="20.1" customHeight="1" s="347">
      <c r="A15" s="0" t="n"/>
    </row>
    <row r="16" ht="20.1" customHeight="1" s="347">
      <c r="A16" s="0" t="n"/>
    </row>
    <row r="17" ht="35.25" customHeight="1" s="347">
      <c r="A17" s="234" t="inlineStr">
        <is>
          <t>3.工作底稿索引号的编码规则：实质性程序索引号按循环从“D”到“N”,循环内账户以顺序号排列，模板中底稿索引号按账户顺序+自然数顺序（即模板中索引号按二级自然顺序排列，如D1-1、D1-2、D1-3、……D1-N）。</t>
        </is>
      </c>
    </row>
    <row r="18" ht="15.6" customHeight="1" s="347">
      <c r="A18" s="0" t="n"/>
    </row>
    <row r="19" ht="20.1" customHeight="1" s="347">
      <c r="A19" s="0" t="n"/>
    </row>
  </sheetData>
  <mergeCells count="3">
    <mergeCell ref="A14:A16"/>
    <mergeCell ref="A17:A19"/>
    <mergeCell ref="A10:A13"/>
  </mergeCells>
  <hyperlinks>
    <hyperlink ref="E4" location="'未分配利润实质性程序表 M6A '!A1" display="未分配利润实质性程序表"/>
    <hyperlink ref="E5" location="'审定表M6-1'!A1" display="审定表"/>
    <hyperlink ref="E6" location="'附注披露信息（上市公司）'!A1" display="附注披露信息(上市公司)"/>
    <hyperlink ref="E7" location="'附注披露信息（国有企业）'!A1" display="附注披露信息(国企)"/>
    <hyperlink ref="E8" location="'明细表M6-2'!A1" display="明细表"/>
    <hyperlink ref="E9" location="'调整分录汇总M6-3'!A1" display="调整分录汇总"/>
    <hyperlink ref="E10" location="'未分配利润检查表M6-4'!A1" display="未分配利润检查表"/>
  </hyperlinks>
  <pageMargins left="0.75" right="0.75" top="1" bottom="1" header="0.5" footer="0.5"/>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L23"/>
  <sheetViews>
    <sheetView view="pageBreakPreview" zoomScaleNormal="110" zoomScaleSheetLayoutView="100" workbookViewId="0">
      <selection activeCell="A1" sqref="A1:I1"/>
    </sheetView>
  </sheetViews>
  <sheetFormatPr baseColWidth="8" defaultColWidth="9" defaultRowHeight="13.8"/>
  <cols>
    <col width="5" customWidth="1" style="348" min="1" max="1"/>
    <col width="59" customWidth="1" style="348" min="2" max="2"/>
    <col width="10.3984375" customWidth="1" style="348" min="3" max="3"/>
    <col width="5.59765625" customWidth="1" style="349" min="4" max="4"/>
    <col width="6.59765625" customWidth="1" style="348" min="5" max="5"/>
    <col width="7.3984375" customWidth="1" style="348" min="6" max="6"/>
    <col width="7.5" customWidth="1" style="348" min="7" max="7"/>
    <col width="6.19921875" customWidth="1" style="348" min="8" max="8"/>
    <col width="8.59765625" customWidth="1" style="348" min="9" max="9"/>
    <col width="56.796875" customWidth="1" style="350" min="10" max="10"/>
    <col width="14.69921875" customWidth="1" style="350" min="11" max="11"/>
    <col width="9" customWidth="1" style="348" min="12" max="16384"/>
  </cols>
  <sheetData>
    <row r="1" ht="19.95" customHeight="1" s="347">
      <c r="A1" s="351" t="inlineStr">
        <is>
          <t>致同会计师事务所</t>
        </is>
      </c>
    </row>
    <row r="2" ht="19.95" customHeight="1" s="347">
      <c r="A2" s="352" t="inlineStr">
        <is>
          <t>未分配利润实质性程序</t>
        </is>
      </c>
    </row>
    <row r="3" ht="19.95" customHeight="1" s="347">
      <c r="A3" s="353">
        <f>底稿目录!A2</f>
        <v/>
      </c>
      <c r="B3" s="353" t="n"/>
      <c r="C3" s="87">
        <f>底稿目录!A4</f>
        <v/>
      </c>
      <c r="D3" s="354" t="n"/>
      <c r="E3" s="353">
        <f>底稿目录!A5</f>
        <v/>
      </c>
      <c r="G3" s="353" t="n"/>
      <c r="H3" s="353" t="inlineStr">
        <is>
          <t>索引号：</t>
        </is>
      </c>
      <c r="I3" s="355">
        <f>底稿目录!F4</f>
        <v/>
      </c>
    </row>
    <row r="4" ht="19.95" customHeight="1" s="347">
      <c r="A4" s="353">
        <f>底稿目录!A3</f>
        <v/>
      </c>
      <c r="B4" s="353" t="n"/>
      <c r="C4" s="87">
        <f>底稿目录!A6</f>
        <v/>
      </c>
      <c r="D4" s="354" t="n"/>
      <c r="E4" s="353">
        <f>底稿目录!A7</f>
        <v/>
      </c>
      <c r="G4" s="353" t="n"/>
      <c r="H4" s="353" t="inlineStr">
        <is>
          <t>页  次：</t>
        </is>
      </c>
      <c r="I4" s="356" t="n"/>
    </row>
    <row r="5" ht="19.95" customHeight="1" s="347">
      <c r="A5" s="357" t="inlineStr">
        <is>
          <t>一、本账户涉及的科目</t>
        </is>
      </c>
      <c r="B5" s="0" t="n"/>
      <c r="C5" s="353" t="n"/>
      <c r="D5" s="354" t="n"/>
      <c r="E5" s="353" t="n"/>
      <c r="F5" s="353" t="n"/>
      <c r="G5" s="353" t="n"/>
      <c r="H5" s="353" t="n"/>
      <c r="I5" s="353" t="n"/>
    </row>
    <row r="6" ht="19.95" customHeight="1" s="347">
      <c r="A6" s="358" t="inlineStr">
        <is>
          <t>未分配利润</t>
        </is>
      </c>
      <c r="C6" s="353" t="n"/>
      <c r="D6" s="354" t="n"/>
      <c r="E6" s="353" t="n"/>
      <c r="F6" s="353" t="n"/>
      <c r="G6" s="353" t="n"/>
      <c r="H6" s="353" t="n"/>
      <c r="I6" s="353" t="n"/>
    </row>
    <row r="7" ht="19.95" customHeight="1" s="347">
      <c r="A7" s="181" t="inlineStr">
        <is>
          <t>二、审计目标与认定的对应关系</t>
        </is>
      </c>
      <c r="B7" s="359" t="n"/>
      <c r="C7" s="359" t="n"/>
      <c r="D7" s="354" t="n"/>
      <c r="E7" s="353" t="n"/>
      <c r="F7" s="353" t="n"/>
      <c r="G7" s="353" t="n"/>
      <c r="H7" s="353" t="n"/>
      <c r="I7" s="353" t="n"/>
      <c r="J7" s="360" t="n"/>
      <c r="K7" s="360" t="n"/>
    </row>
    <row r="8" ht="19.95" customHeight="1" s="347">
      <c r="A8" s="361" t="inlineStr">
        <is>
          <t>审计目标</t>
        </is>
      </c>
      <c r="B8" s="362" t="n"/>
      <c r="C8" s="362" t="n"/>
      <c r="D8" s="362" t="n"/>
      <c r="E8" s="362" t="n"/>
      <c r="F8" s="363" t="n"/>
      <c r="G8" s="364" t="inlineStr">
        <is>
          <t xml:space="preserve">财务报表的认定　</t>
        </is>
      </c>
      <c r="H8" s="362" t="n"/>
      <c r="I8" s="363" t="n"/>
      <c r="J8" s="360" t="n"/>
      <c r="K8" s="360" t="n"/>
    </row>
    <row r="9" ht="19.95" customHeight="1" s="347">
      <c r="A9" s="365" t="inlineStr">
        <is>
          <t>A. 资产负债表中记录的资本公积是存在的，且已经记录在恰当的账户中</t>
        </is>
      </c>
      <c r="B9" s="362" t="n"/>
      <c r="C9" s="362" t="n"/>
      <c r="D9" s="362" t="n"/>
      <c r="E9" s="362" t="n"/>
      <c r="F9" s="363" t="n"/>
      <c r="G9" s="366" t="inlineStr">
        <is>
          <t>存在</t>
        </is>
      </c>
      <c r="H9" s="362" t="n"/>
      <c r="I9" s="363" t="n"/>
      <c r="J9" s="360" t="n"/>
      <c r="K9" s="360" t="n"/>
    </row>
    <row r="10" ht="19.95" customHeight="1" s="347">
      <c r="A10" s="365" t="inlineStr">
        <is>
          <t>B. 所有应记录的资本公积均已记录，所有应当包括在财务报表中的相关披露均已包括</t>
        </is>
      </c>
      <c r="B10" s="362" t="n"/>
      <c r="C10" s="362" t="n"/>
      <c r="D10" s="362" t="n"/>
      <c r="E10" s="362" t="n"/>
      <c r="F10" s="363" t="n"/>
      <c r="G10" s="366" t="inlineStr">
        <is>
          <t>完整性</t>
        </is>
      </c>
      <c r="H10" s="362" t="n"/>
      <c r="I10" s="363" t="n"/>
      <c r="J10" s="360" t="n"/>
      <c r="K10" s="360" t="n"/>
    </row>
    <row r="11" ht="19.95" customHeight="1" s="347">
      <c r="A11" s="365" t="inlineStr">
        <is>
          <t>C. 记录的资本公积由被审计单位拥有或控制</t>
        </is>
      </c>
      <c r="B11" s="362" t="n"/>
      <c r="C11" s="362" t="n"/>
      <c r="D11" s="362" t="n"/>
      <c r="E11" s="362" t="n"/>
      <c r="F11" s="363" t="n"/>
      <c r="G11" s="366" t="inlineStr">
        <is>
          <t>权利和义务</t>
        </is>
      </c>
      <c r="H11" s="362" t="n"/>
      <c r="I11" s="363" t="n"/>
      <c r="J11" s="360" t="n"/>
      <c r="K11" s="360" t="n"/>
    </row>
    <row r="12" ht="19.95" customHeight="1" s="347">
      <c r="A12" s="365" t="inlineStr">
        <is>
          <t xml:space="preserve">D. 资本公积以恰当的金额包括在财务报表中，与之相关的计价或分摊调整已恰当记录，相关披露已得到恰当计量和描述 </t>
        </is>
      </c>
      <c r="B12" s="362" t="n"/>
      <c r="C12" s="362" t="n"/>
      <c r="D12" s="362" t="n"/>
      <c r="E12" s="362" t="n"/>
      <c r="F12" s="363" t="n"/>
      <c r="G12" s="366" t="inlineStr">
        <is>
          <t>准确性、计价和分摊</t>
        </is>
      </c>
      <c r="H12" s="362" t="n"/>
      <c r="I12" s="363" t="n"/>
      <c r="J12" s="360" t="n"/>
      <c r="K12" s="360" t="n"/>
    </row>
    <row r="13" ht="19.95" customHeight="1" s="347">
      <c r="A13" s="365" t="inlineStr">
        <is>
          <t>E. 资本公积已被恰当地汇总或分解且表述清楚，相关披露在按照企业会计准则的编制基础下是相关的、可理解的</t>
        </is>
      </c>
      <c r="B13" s="362" t="n"/>
      <c r="C13" s="362" t="n"/>
      <c r="D13" s="362" t="n"/>
      <c r="E13" s="362" t="n"/>
      <c r="F13" s="363" t="n"/>
      <c r="G13" s="366" t="inlineStr">
        <is>
          <t>列报</t>
        </is>
      </c>
      <c r="H13" s="362" t="n"/>
      <c r="I13" s="363" t="n"/>
      <c r="J13" s="360" t="n"/>
      <c r="K13" s="360" t="n"/>
    </row>
    <row r="14" ht="19.95" customHeight="1" s="347">
      <c r="A14" s="92" t="inlineStr">
        <is>
          <t>三、计划实施的实质性程序</t>
        </is>
      </c>
      <c r="J14" s="367" t="n"/>
      <c r="K14" s="368" t="n"/>
      <c r="L14" s="368" t="n"/>
    </row>
    <row r="15" ht="28.5" customHeight="1" s="347">
      <c r="A15" s="243" t="inlineStr">
        <is>
          <t>序号</t>
        </is>
      </c>
      <c r="B15" s="369" t="inlineStr">
        <is>
          <t>审计程序</t>
        </is>
      </c>
      <c r="C15" s="370" t="inlineStr">
        <is>
          <t>程序分类</t>
        </is>
      </c>
      <c r="D15" s="364" t="inlineStr">
        <is>
          <t>财务报表的认定</t>
        </is>
      </c>
      <c r="E15" s="362" t="n"/>
      <c r="F15" s="362" t="n"/>
      <c r="G15" s="362" t="n"/>
      <c r="H15" s="363" t="n"/>
      <c r="I15" s="370" t="inlineStr">
        <is>
          <t>底稿索引号</t>
        </is>
      </c>
      <c r="J15" s="371" t="n"/>
      <c r="K15" s="371" t="n"/>
      <c r="L15" s="371" t="n"/>
    </row>
    <row r="16" ht="38.4" customHeight="1" s="347">
      <c r="A16" s="372" t="n"/>
      <c r="B16" s="372" t="n"/>
      <c r="C16" s="372" t="n"/>
      <c r="D16" s="364" t="inlineStr">
        <is>
          <t>存在</t>
        </is>
      </c>
      <c r="E16" s="364" t="inlineStr">
        <is>
          <t>完整性</t>
        </is>
      </c>
      <c r="F16" s="361" t="inlineStr">
        <is>
          <t>权利和
义务</t>
        </is>
      </c>
      <c r="G16" s="361" t="inlineStr">
        <is>
          <t>准确性、计价和分摊</t>
        </is>
      </c>
      <c r="H16" s="361" t="inlineStr">
        <is>
          <t>列报</t>
        </is>
      </c>
      <c r="I16" s="372" t="n"/>
      <c r="J16" s="373" t="inlineStr">
        <is>
          <t>根据被审计单位实际情况和风险评估情况裁剪、修改或增加审计程序</t>
        </is>
      </c>
      <c r="K16" s="374" t="n"/>
      <c r="L16" s="375" t="n"/>
    </row>
    <row r="17" ht="46.2" customHeight="1" s="347">
      <c r="A17" s="228" t="n">
        <v>1</v>
      </c>
      <c r="B17" s="376" t="inlineStr">
        <is>
          <t>获取或编制实收资本（股本）明细表，完成以下工作，并编制审定表
复核加计是否正确，与总账、明细账合计数核对是否相符，期初余额与上期审定期末余额是否相符；</t>
        </is>
      </c>
      <c r="C17" s="377" t="inlineStr">
        <is>
          <t>常规★</t>
        </is>
      </c>
      <c r="D17" s="378" t="inlineStr">
        <is>
          <t>√</t>
        </is>
      </c>
      <c r="E17" s="378" t="inlineStr">
        <is>
          <t>√</t>
        </is>
      </c>
      <c r="F17" s="379" t="n"/>
      <c r="G17" s="379" t="inlineStr">
        <is>
          <t>√</t>
        </is>
      </c>
      <c r="H17" s="380" t="n"/>
      <c r="I17" s="381" t="inlineStr">
        <is>
          <t>M6-1
/M6-2</t>
        </is>
      </c>
      <c r="J17" s="382" t="n"/>
      <c r="K17" s="382" t="n"/>
      <c r="L17" s="383" t="n"/>
    </row>
    <row r="18" ht="52.8" customHeight="1" s="347">
      <c r="A18" s="228" t="n">
        <v>2</v>
      </c>
      <c r="B18" s="380"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377" t="inlineStr">
        <is>
          <t>常规★</t>
        </is>
      </c>
      <c r="D18" s="378" t="n"/>
      <c r="E18" s="379" t="inlineStr">
        <is>
          <t>√</t>
        </is>
      </c>
      <c r="F18" s="384" t="n"/>
      <c r="G18" s="378" t="inlineStr">
        <is>
          <t>√</t>
        </is>
      </c>
      <c r="H18" s="384" t="n"/>
      <c r="I18" s="385" t="inlineStr">
        <is>
          <t>T1/</t>
        </is>
      </c>
      <c r="J18" s="386"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c r="K18" s="382" t="n"/>
      <c r="L18" s="383" t="n"/>
    </row>
    <row r="19" ht="44.4" customHeight="1" s="347">
      <c r="A19" s="228" t="n">
        <v>3</v>
      </c>
      <c r="B19" s="376" t="inlineStr">
        <is>
          <t>对于上期资本的期末余额，核对期初未分配利润是否正确，检查上期利润分配相关文件以及在本期支付情况。（适用于首次承接）</t>
        </is>
      </c>
      <c r="C19" s="183" t="inlineStr">
        <is>
          <t>备选</t>
        </is>
      </c>
      <c r="D19" s="379" t="inlineStr">
        <is>
          <t>√</t>
        </is>
      </c>
      <c r="E19" s="378" t="inlineStr">
        <is>
          <t>√</t>
        </is>
      </c>
      <c r="F19" s="378" t="inlineStr">
        <is>
          <t>√</t>
        </is>
      </c>
      <c r="G19" s="378" t="inlineStr">
        <is>
          <t>√</t>
        </is>
      </c>
      <c r="H19" s="384" t="n"/>
      <c r="I19" s="387" t="inlineStr">
        <is>
          <t>M6-</t>
        </is>
      </c>
      <c r="J19" s="386"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c r="K19" s="382" t="n"/>
      <c r="L19" s="383" t="n"/>
    </row>
    <row r="20" ht="102.6" customHeight="1" s="347">
      <c r="A20" s="228" t="n">
        <v>4</v>
      </c>
      <c r="B20" s="376" t="inlineStr">
        <is>
          <t>针对本期利润分配：
（1）了解本年利润弥补以前年度亏损的情况；
（2）检查公司章程、股东大会和董事会会议纪要中有关股利的规定，了解股利分配标准和发放方式是否符合有关规定并经法定程序批准；
（3）检查董事会会议纪要、股东会（或股东大会）决议、利润分配方案等资料，对照有关规定确认利润分配的合法性；复核应付股利金额和会计处理是否正确；
（4）结合应付股利检查现金股利是否按公告规定的时间、金额予以发放。</t>
        </is>
      </c>
      <c r="C20" s="183" t="inlineStr">
        <is>
          <t>备选</t>
        </is>
      </c>
      <c r="D20" s="379" t="inlineStr">
        <is>
          <t>√</t>
        </is>
      </c>
      <c r="E20" s="378" t="inlineStr">
        <is>
          <t>√</t>
        </is>
      </c>
      <c r="F20" s="378" t="inlineStr">
        <is>
          <t>√</t>
        </is>
      </c>
      <c r="G20" s="384" t="n"/>
      <c r="H20" s="380" t="n"/>
      <c r="I20" s="381" t="inlineStr">
        <is>
          <t>M6-2
/M6-4</t>
        </is>
      </c>
      <c r="J20" s="386" t="n"/>
      <c r="K20" s="382" t="n"/>
      <c r="L20" s="383" t="n"/>
    </row>
    <row r="21" ht="41.4" customHeight="1" s="347">
      <c r="A21" s="228" t="n">
        <v>5</v>
      </c>
      <c r="B21" s="376" t="inlineStr">
        <is>
          <t>如果存在未分配利润弥补以前年度亏损的情况，检查有关公司章程、董事会/股东会决议、政府批准文件等，确认未分配利润弥补的合法性，检查会计处理是否正确。</t>
        </is>
      </c>
      <c r="C21" s="377" t="inlineStr">
        <is>
          <t>常规★</t>
        </is>
      </c>
      <c r="D21" s="379" t="inlineStr">
        <is>
          <t>√</t>
        </is>
      </c>
      <c r="E21" s="378" t="inlineStr">
        <is>
          <t>√</t>
        </is>
      </c>
      <c r="F21" s="378" t="inlineStr">
        <is>
          <t>√</t>
        </is>
      </c>
      <c r="G21" s="384" t="n"/>
      <c r="H21" s="380" t="n"/>
      <c r="I21" s="381" t="inlineStr">
        <is>
          <t>M6-2</t>
        </is>
      </c>
      <c r="J21" s="388" t="n"/>
      <c r="K21" s="382" t="n"/>
      <c r="L21" s="383" t="n"/>
    </row>
    <row r="22" ht="41.4" customHeight="1" s="347">
      <c r="A22" s="228" t="n">
        <v>6</v>
      </c>
      <c r="B22" s="376" t="inlineStr">
        <is>
          <t>如果存在除净利润转入以外的未分配利润其他变动，结合所获取的文件资料以及其他相关科目的审计，判断其分类为未分配利润是否恰当，确定其会计处理是否正确。</t>
        </is>
      </c>
      <c r="C22" s="183" t="inlineStr">
        <is>
          <t>备选</t>
        </is>
      </c>
      <c r="D22" s="379" t="inlineStr">
        <is>
          <t>√</t>
        </is>
      </c>
      <c r="E22" s="378" t="inlineStr">
        <is>
          <t>√</t>
        </is>
      </c>
      <c r="F22" s="378" t="inlineStr">
        <is>
          <t>√</t>
        </is>
      </c>
      <c r="G22" s="384" t="n"/>
      <c r="H22" s="380" t="n"/>
      <c r="I22" s="381" t="inlineStr">
        <is>
          <t>M6-2</t>
        </is>
      </c>
      <c r="J22" s="388" t="n"/>
      <c r="K22" s="382" t="n"/>
      <c r="L22" s="383" t="n"/>
    </row>
    <row r="23" ht="39" customHeight="1" s="347">
      <c r="A23" s="228" t="n">
        <v>7</v>
      </c>
      <c r="B23" s="389" t="inlineStr">
        <is>
          <t>检查未分配利润是否已按企业会计准则或其他适用的规定在财务报表中做出恰当列报和披露。</t>
        </is>
      </c>
      <c r="C23" s="377" t="inlineStr">
        <is>
          <t>常规★</t>
        </is>
      </c>
      <c r="D23" s="384" t="n"/>
      <c r="E23" s="384" t="n"/>
      <c r="F23" s="384" t="n"/>
      <c r="G23" s="384" t="n"/>
      <c r="H23" s="384" t="inlineStr">
        <is>
          <t>√</t>
        </is>
      </c>
      <c r="I23" s="390" t="inlineStr">
        <is>
          <t>A1-1/A1-15 /A1-16</t>
        </is>
      </c>
      <c r="J23" s="382" t="n"/>
      <c r="K23" s="382" t="n"/>
      <c r="L23" s="383" t="n"/>
    </row>
    <row r="24" ht="28.5" customHeight="1" s="347"/>
  </sheetData>
  <mergeCells count="20">
    <mergeCell ref="G10:I10"/>
    <mergeCell ref="G13:I13"/>
    <mergeCell ref="A12:F12"/>
    <mergeCell ref="A2:I2"/>
    <mergeCell ref="A8:F8"/>
    <mergeCell ref="B15:B16"/>
    <mergeCell ref="A10:F10"/>
    <mergeCell ref="A13:F13"/>
    <mergeCell ref="A9:F9"/>
    <mergeCell ref="A5:B5"/>
    <mergeCell ref="G9:I9"/>
    <mergeCell ref="G12:I12"/>
    <mergeCell ref="G11:I11"/>
    <mergeCell ref="A11:F11"/>
    <mergeCell ref="D15:H15"/>
    <mergeCell ref="A15:A16"/>
    <mergeCell ref="A1:I1"/>
    <mergeCell ref="G8:I8"/>
    <mergeCell ref="C15:C16"/>
    <mergeCell ref="I15:I16"/>
  </mergeCells>
  <hyperlinks>
    <hyperlink ref="I3" location="底稿目录!A1" display="底稿目录!A1"/>
  </hyperlinks>
  <printOptions horizontalCentered="1"/>
  <pageMargins left="0.7086614173228347" right="0.7086614173228347" top="0.7480314960629921" bottom="0.7480314960629921" header="0.3149606299212598" footer="0.3149606299212598"/>
  <pageSetup orientation="portrait" paperSize="9" scale="70" fitToHeight="5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7030A0"/>
    <outlinePr summaryBelow="1" summaryRight="1"/>
    <pageSetUpPr/>
  </sheetPr>
  <dimension ref="A1:M52"/>
  <sheetViews>
    <sheetView view="pageBreakPreview" topLeftCell="A41" zoomScaleNormal="110" zoomScaleSheetLayoutView="100" workbookViewId="0">
      <selection activeCell="L49" sqref="L49"/>
    </sheetView>
  </sheetViews>
  <sheetFormatPr baseColWidth="8" defaultColWidth="9" defaultRowHeight="13.8" outlineLevelRow="1"/>
  <cols>
    <col width="7.796875" customWidth="1" style="348" min="1" max="1"/>
    <col width="42.796875" customWidth="1" style="348" min="2" max="2"/>
    <col width="16.59765625" customWidth="1" style="348" min="3" max="3"/>
    <col width="7.796875" customWidth="1" style="349" min="4" max="4"/>
    <col width="7.796875" customWidth="1" style="348" min="5" max="7"/>
    <col width="11.19921875" customWidth="1" style="348" min="8" max="8"/>
    <col width="11" customWidth="1" style="348" min="9" max="9"/>
    <col width="8.19921875" customWidth="1" style="391" min="10" max="10"/>
    <col width="8.09765625" customWidth="1" style="350" min="11" max="11"/>
    <col width="16.8984375" customWidth="1" style="350" min="12" max="12"/>
    <col width="9" customWidth="1" style="348" min="13" max="16384"/>
  </cols>
  <sheetData>
    <row r="1" ht="15.6" customHeight="1" s="347">
      <c r="A1" s="392" t="inlineStr">
        <is>
          <t>致同会计师事务所</t>
        </is>
      </c>
    </row>
    <row r="2" ht="24" customHeight="1" s="347">
      <c r="A2" s="352" t="inlineStr">
        <is>
          <t>未分配利润实质性程序</t>
        </is>
      </c>
    </row>
    <row r="3" ht="20.25" customHeight="1" s="347">
      <c r="A3" s="353">
        <f>底稿目录!A2</f>
        <v/>
      </c>
      <c r="B3" s="353" t="n"/>
      <c r="C3" s="87">
        <f>底稿目录!A4</f>
        <v/>
      </c>
      <c r="D3" s="354" t="n"/>
      <c r="F3" s="353">
        <f>底稿目录!A5</f>
        <v/>
      </c>
      <c r="G3" s="353" t="n"/>
      <c r="H3" s="353" t="n"/>
      <c r="I3" s="353" t="inlineStr">
        <is>
          <t>索引号：</t>
        </is>
      </c>
      <c r="J3" s="356" t="inlineStr">
        <is>
          <t>QA</t>
        </is>
      </c>
    </row>
    <row r="4" ht="20.25" customHeight="1" s="347">
      <c r="A4" s="353">
        <f>底稿目录!A3</f>
        <v/>
      </c>
      <c r="B4" s="353" t="n"/>
      <c r="C4" s="87">
        <f>底稿目录!A6</f>
        <v/>
      </c>
      <c r="D4" s="354" t="n"/>
      <c r="F4" s="353">
        <f>底稿目录!A7</f>
        <v/>
      </c>
      <c r="G4" s="353" t="n"/>
      <c r="H4" s="353" t="n"/>
      <c r="I4" s="393" t="inlineStr">
        <is>
          <t>页  次：</t>
        </is>
      </c>
      <c r="J4" s="356" t="n"/>
    </row>
    <row r="5" ht="20.25" customHeight="1" s="347">
      <c r="A5" s="394" t="inlineStr">
        <is>
          <t>一、本账户涉及的科目</t>
        </is>
      </c>
      <c r="B5" s="0" t="n"/>
      <c r="C5" s="353" t="n"/>
      <c r="D5" s="354" t="n"/>
      <c r="E5" s="353" t="n"/>
      <c r="F5" s="353" t="n"/>
      <c r="G5" s="353" t="n"/>
      <c r="H5" s="353" t="n"/>
      <c r="I5" s="353" t="n"/>
      <c r="J5" s="356" t="n"/>
    </row>
    <row r="6" ht="20.25" customHeight="1" s="347">
      <c r="A6" s="395" t="inlineStr">
        <is>
          <t>未分配利润</t>
        </is>
      </c>
      <c r="C6" s="353" t="n"/>
      <c r="D6" s="354" t="n"/>
      <c r="E6" s="353" t="n"/>
      <c r="F6" s="353" t="n"/>
      <c r="G6" s="353" t="n"/>
      <c r="H6" s="353" t="n"/>
      <c r="I6" s="353" t="n"/>
      <c r="J6" s="356" t="n"/>
    </row>
    <row r="7" ht="20.25" customHeight="1" s="347">
      <c r="A7" s="92" t="inlineStr">
        <is>
          <t>二、重大错报风险需从实质性程序获取的保证程度</t>
        </is>
      </c>
      <c r="B7" s="396" t="n"/>
      <c r="C7" s="396" t="n"/>
      <c r="D7" s="354" t="n"/>
      <c r="E7" s="353" t="n"/>
      <c r="F7" s="353" t="n"/>
      <c r="G7" s="353" t="n"/>
      <c r="H7" s="353" t="n"/>
      <c r="I7" s="353" t="n"/>
      <c r="J7" s="356" t="n"/>
      <c r="K7" s="360" t="n"/>
      <c r="L7" s="360" t="n"/>
    </row>
    <row r="8" ht="26.25" customHeight="1" s="347">
      <c r="A8" s="397" t="inlineStr">
        <is>
          <t>审计目标与认定对应关系</t>
        </is>
      </c>
      <c r="B8" s="398" t="n"/>
      <c r="C8" s="399" t="inlineStr">
        <is>
          <t xml:space="preserve">财务报表的认定　</t>
        </is>
      </c>
      <c r="D8" s="362" t="n"/>
      <c r="E8" s="362" t="n"/>
      <c r="F8" s="362" t="n"/>
      <c r="G8" s="363" t="n"/>
      <c r="H8" s="400" t="inlineStr">
        <is>
          <t>信赖/不信赖/不适用</t>
        </is>
      </c>
      <c r="I8" s="401" t="inlineStr">
        <is>
          <t>索引号</t>
        </is>
      </c>
      <c r="J8" s="402" t="n"/>
      <c r="K8" s="360" t="n"/>
      <c r="L8" s="360" t="n"/>
    </row>
    <row r="9" ht="30.75" customHeight="1" s="347">
      <c r="A9" s="403" t="n"/>
      <c r="B9" s="404" t="n"/>
      <c r="C9" s="401" t="inlineStr">
        <is>
          <t>存在</t>
        </is>
      </c>
      <c r="D9" s="401" t="inlineStr">
        <is>
          <t>完整性</t>
        </is>
      </c>
      <c r="E9" s="401" t="inlineStr">
        <is>
          <t>权利和义务</t>
        </is>
      </c>
      <c r="F9" s="401" t="inlineStr">
        <is>
          <t>计价和分摊</t>
        </is>
      </c>
      <c r="G9" s="401" t="inlineStr">
        <is>
          <t>列报与披露</t>
        </is>
      </c>
      <c r="H9" s="401" t="n"/>
      <c r="I9" s="401" t="n"/>
      <c r="J9" s="372" t="n"/>
      <c r="K9" s="360" t="n"/>
      <c r="L9" s="360" t="n"/>
    </row>
    <row r="10" ht="23.25" customHeight="1" s="347">
      <c r="A10" s="405" t="inlineStr">
        <is>
          <t>A. 资产负债表中记录的专项储备是存在的。</t>
        </is>
      </c>
      <c r="B10" s="363" t="n"/>
      <c r="C10" s="401" t="inlineStr">
        <is>
          <t>√</t>
        </is>
      </c>
      <c r="D10" s="401" t="n"/>
      <c r="E10" s="401" t="n"/>
      <c r="F10" s="401" t="n"/>
      <c r="G10" s="401" t="n"/>
      <c r="H10" s="401" t="n"/>
      <c r="I10" s="406" t="n"/>
      <c r="J10" s="407" t="n"/>
      <c r="K10" s="360" t="n"/>
      <c r="L10" s="360" t="n"/>
    </row>
    <row r="11" ht="31.5" customHeight="1" s="347">
      <c r="A11" s="405" t="inlineStr">
        <is>
          <t>B. 所有应记录的专项储备均已记录，专项储备的增减变动符合法律、法规和合同、章程的规定。</t>
        </is>
      </c>
      <c r="B11" s="363" t="n"/>
      <c r="C11" s="408" t="n"/>
      <c r="D11" s="401" t="inlineStr">
        <is>
          <t>√</t>
        </is>
      </c>
      <c r="E11" s="401" t="n"/>
      <c r="F11" s="401" t="n"/>
      <c r="G11" s="401" t="n"/>
      <c r="H11" s="401" t="n"/>
      <c r="I11" s="406" t="n"/>
      <c r="J11" s="407" t="n"/>
      <c r="K11" s="360" t="n"/>
      <c r="L11" s="360" t="n"/>
    </row>
    <row r="12" ht="25.5" customHeight="1" s="347">
      <c r="A12" s="405" t="inlineStr">
        <is>
          <t>C. 专项储备以恰当的金额包括在财务报表中。</t>
        </is>
      </c>
      <c r="B12" s="363" t="n"/>
      <c r="C12" s="408" t="n"/>
      <c r="D12" s="401" t="n"/>
      <c r="E12" s="401" t="n"/>
      <c r="F12" s="401" t="inlineStr">
        <is>
          <t>√</t>
        </is>
      </c>
      <c r="G12" s="401" t="n"/>
      <c r="H12" s="401" t="n"/>
      <c r="I12" s="406" t="n"/>
      <c r="J12" s="409" t="n"/>
      <c r="K12" s="360" t="n"/>
      <c r="L12" s="360" t="n"/>
    </row>
    <row r="13" ht="25.5" customHeight="1" s="347">
      <c r="A13" s="405" t="inlineStr">
        <is>
          <t>D. 专项储备已按照企业会计准则的规定在财务报表中作出恰当列报和披露。</t>
        </is>
      </c>
      <c r="B13" s="363" t="n"/>
      <c r="C13" s="408" t="n"/>
      <c r="D13" s="401" t="n"/>
      <c r="E13" s="401" t="n"/>
      <c r="F13" s="401" t="n"/>
      <c r="G13" s="401" t="inlineStr">
        <is>
          <t>√</t>
        </is>
      </c>
      <c r="H13" s="401" t="n"/>
      <c r="I13" s="401" t="n"/>
      <c r="J13" s="409" t="n"/>
      <c r="K13" s="360" t="n"/>
      <c r="L13" s="360" t="n"/>
    </row>
    <row r="14" ht="25.5" customHeight="1" s="347">
      <c r="A14" s="410" t="n"/>
      <c r="B14" s="410" t="n"/>
      <c r="C14" s="410" t="n"/>
      <c r="D14" s="411" t="n"/>
      <c r="E14" s="411" t="n"/>
      <c r="F14" s="411" t="n"/>
      <c r="G14" s="411" t="n"/>
      <c r="H14" s="411" t="n"/>
      <c r="I14" s="409" t="n"/>
      <c r="J14" s="409" t="n"/>
      <c r="K14" s="360" t="n"/>
      <c r="L14" s="360" t="n"/>
    </row>
    <row r="15" ht="20.25" customHeight="1" s="347">
      <c r="A15" s="92" t="inlineStr">
        <is>
          <t>三、计划实施的实质性程序</t>
        </is>
      </c>
      <c r="K15" s="412" t="n"/>
      <c r="L15" s="413" t="n"/>
      <c r="M15" s="413" t="n"/>
    </row>
    <row r="16" ht="28.5" customHeight="1" s="347">
      <c r="A16" s="243" t="inlineStr">
        <is>
          <t>序号</t>
        </is>
      </c>
      <c r="B16" s="414" t="inlineStr">
        <is>
          <t>审计程序</t>
        </is>
      </c>
      <c r="C16" s="363" t="n"/>
      <c r="D16" s="370" t="inlineStr">
        <is>
          <t>程序分类</t>
        </is>
      </c>
      <c r="E16" s="415" t="inlineStr">
        <is>
          <t>对应的认定/风险</t>
        </is>
      </c>
      <c r="F16" s="362" t="n"/>
      <c r="G16" s="362" t="n"/>
      <c r="H16" s="363" t="n"/>
      <c r="I16" s="370" t="inlineStr">
        <is>
          <t>执行情况说明
（含底稿索引）</t>
        </is>
      </c>
      <c r="J16" s="363" t="n"/>
      <c r="K16" s="371" t="n"/>
      <c r="L16" s="371" t="n"/>
      <c r="M16" s="371" t="n"/>
    </row>
    <row r="17" ht="28.5" customHeight="1" s="347">
      <c r="A17" s="110" t="inlineStr">
        <is>
          <t>（一）</t>
        </is>
      </c>
      <c r="B17" s="416" t="inlineStr">
        <is>
          <t xml:space="preserve">编制审定表 </t>
        </is>
      </c>
      <c r="C17" s="417" t="n"/>
      <c r="D17" s="418" t="inlineStr">
        <is>
          <t>常规★</t>
        </is>
      </c>
      <c r="E17" s="419" t="inlineStr">
        <is>
          <t>B</t>
        </is>
      </c>
      <c r="F17" s="420" t="n"/>
      <c r="G17" s="420" t="n"/>
      <c r="H17" s="417" t="n"/>
      <c r="I17" s="421" t="inlineStr">
        <is>
          <t>Q6</t>
        </is>
      </c>
      <c r="J17" s="417" t="n"/>
      <c r="K17" s="422" t="inlineStr">
        <is>
          <t>整合</t>
        </is>
      </c>
      <c r="L17" s="423" t="inlineStr">
        <is>
          <t>获取或编制实收资本（股本）明细表，完成以下工作，并编制审定表
复核加计是否正确，与总账、明细账合计数核对是否相符，期初余额与上期审定期末余额是否相符；</t>
        </is>
      </c>
      <c r="M17" s="424" t="n"/>
    </row>
    <row r="18" ht="43.5" customHeight="1" s="347">
      <c r="A18" s="110" t="inlineStr">
        <is>
          <t>（二）</t>
        </is>
      </c>
      <c r="B18" s="425" t="inlineStr">
        <is>
          <t>获取或编制未分配利润、其他综合收益明细表，并完成以下工作：</t>
        </is>
      </c>
      <c r="C18" s="417" t="n"/>
      <c r="D18" s="418" t="inlineStr">
        <is>
          <t>常规★</t>
        </is>
      </c>
      <c r="E18" s="426" t="inlineStr">
        <is>
          <t>C</t>
        </is>
      </c>
      <c r="F18" s="420" t="n"/>
      <c r="G18" s="420" t="n"/>
      <c r="H18" s="417" t="n"/>
      <c r="I18" s="421" t="inlineStr">
        <is>
          <t>Q6-1</t>
        </is>
      </c>
      <c r="J18" s="417" t="n"/>
      <c r="K18" s="422" t="inlineStr">
        <is>
          <t>整合</t>
        </is>
      </c>
    </row>
    <row r="19" outlineLevel="1" ht="24.75" customHeight="1" s="347">
      <c r="A19" s="115" t="inlineStr">
        <is>
          <t>1</t>
        </is>
      </c>
      <c r="B19" s="427" t="inlineStr">
        <is>
          <t>复核加计正确 。</t>
        </is>
      </c>
      <c r="C19" s="417" t="n"/>
      <c r="D19" s="428" t="inlineStr">
        <is>
          <t>常规★</t>
        </is>
      </c>
      <c r="E19" s="381" t="inlineStr">
        <is>
          <t>C</t>
        </is>
      </c>
      <c r="F19" s="420" t="n"/>
      <c r="G19" s="420" t="n"/>
      <c r="H19" s="417" t="n"/>
      <c r="I19" s="429" t="n"/>
      <c r="J19" s="417" t="n"/>
      <c r="K19" s="422" t="inlineStr">
        <is>
          <t>整合</t>
        </is>
      </c>
    </row>
    <row r="20" outlineLevel="1" ht="24.75" customHeight="1" s="347">
      <c r="A20" s="115" t="inlineStr">
        <is>
          <t>2</t>
        </is>
      </c>
      <c r="B20" s="427" t="inlineStr">
        <is>
          <t xml:space="preserve">将总金额与总账核对。 </t>
        </is>
      </c>
      <c r="C20" s="417" t="n"/>
      <c r="D20" s="428" t="inlineStr">
        <is>
          <t>常规★</t>
        </is>
      </c>
      <c r="E20" s="381" t="inlineStr">
        <is>
          <t>C</t>
        </is>
      </c>
      <c r="F20" s="420" t="n"/>
      <c r="G20" s="420" t="n"/>
      <c r="H20" s="417" t="n"/>
      <c r="I20" s="429" t="n"/>
      <c r="J20" s="417" t="n"/>
      <c r="K20" s="422" t="inlineStr">
        <is>
          <t>整合</t>
        </is>
      </c>
    </row>
    <row r="21" outlineLevel="1" ht="21.75" customHeight="1" s="347">
      <c r="A21" s="115" t="inlineStr">
        <is>
          <t>3</t>
        </is>
      </c>
      <c r="B21" s="389" t="inlineStr">
        <is>
          <t xml:space="preserve">确定计算的准确性。 </t>
        </is>
      </c>
      <c r="C21" s="417" t="n"/>
      <c r="D21" s="377" t="inlineStr">
        <is>
          <t>常规</t>
        </is>
      </c>
      <c r="E21" s="293" t="inlineStr">
        <is>
          <t>C</t>
        </is>
      </c>
      <c r="F21" s="420" t="n"/>
      <c r="G21" s="420" t="n"/>
      <c r="H21" s="417" t="n"/>
      <c r="I21" s="429" t="n"/>
      <c r="J21" s="417" t="n"/>
      <c r="K21" s="422" t="inlineStr">
        <is>
          <t>整合</t>
        </is>
      </c>
    </row>
    <row r="22" outlineLevel="1" ht="21.75" customHeight="1" s="347">
      <c r="A22" s="115" t="inlineStr">
        <is>
          <t>4</t>
        </is>
      </c>
      <c r="B22" s="389" t="inlineStr">
        <is>
          <t xml:space="preserve">将期初额与上年度工作底稿或前期财务报表核对。 </t>
        </is>
      </c>
      <c r="C22" s="417" t="n"/>
      <c r="D22" s="377" t="inlineStr">
        <is>
          <t>常规</t>
        </is>
      </c>
      <c r="E22" s="293" t="inlineStr">
        <is>
          <t>C</t>
        </is>
      </c>
      <c r="F22" s="420" t="n"/>
      <c r="G22" s="420" t="n"/>
      <c r="H22" s="417" t="n"/>
      <c r="I22" s="429" t="n"/>
      <c r="J22" s="417" t="n"/>
      <c r="K22" s="422" t="inlineStr">
        <is>
          <t>整合</t>
        </is>
      </c>
    </row>
    <row r="23" outlineLevel="1" ht="21.75" customHeight="1" s="347">
      <c r="A23" s="115" t="inlineStr">
        <is>
          <t>5</t>
        </is>
      </c>
      <c r="B23" s="376" t="inlineStr">
        <is>
          <t>将期末余额与总分类账核对一致。</t>
        </is>
      </c>
      <c r="C23" s="417" t="n"/>
      <c r="D23" s="377" t="inlineStr">
        <is>
          <t>常规</t>
        </is>
      </c>
      <c r="E23" s="293" t="inlineStr">
        <is>
          <t>C</t>
        </is>
      </c>
      <c r="F23" s="420" t="n"/>
      <c r="G23" s="420" t="n"/>
      <c r="H23" s="417" t="n"/>
      <c r="I23" s="429" t="n"/>
      <c r="J23" s="417" t="n"/>
      <c r="K23" s="422" t="inlineStr">
        <is>
          <t>整合</t>
        </is>
      </c>
    </row>
    <row r="24" outlineLevel="1" ht="24.75" customHeight="1" s="347">
      <c r="A24" s="115" t="inlineStr">
        <is>
          <t>6</t>
        </is>
      </c>
      <c r="B24" s="430" t="inlineStr">
        <is>
          <t>以非记账本位币出资的，检查其折算汇率是否符合规定，折算差额的会计处理是否正确。</t>
        </is>
      </c>
      <c r="C24" s="417" t="n"/>
      <c r="D24" s="428" t="inlineStr">
        <is>
          <t>常规★</t>
        </is>
      </c>
      <c r="E24" s="293" t="inlineStr">
        <is>
          <t>C</t>
        </is>
      </c>
      <c r="F24" s="420" t="n"/>
      <c r="G24" s="420" t="n"/>
      <c r="H24" s="417" t="n"/>
      <c r="I24" s="429" t="n"/>
      <c r="J24" s="417" t="n"/>
      <c r="K24" s="422" t="inlineStr">
        <is>
          <t>整合</t>
        </is>
      </c>
    </row>
    <row r="25" ht="27" customHeight="1" s="347">
      <c r="A25" s="118" t="inlineStr">
        <is>
          <t>（三）</t>
        </is>
      </c>
      <c r="B25" s="431" t="inlineStr">
        <is>
          <t>在使用被审计单位生成的信息（IPE）时，应当评价该信息对实现审计目的是否足够可靠，包括根据具体情况在必要时实施下列程序：</t>
        </is>
      </c>
      <c r="C25" s="417" t="n"/>
      <c r="D25" s="418" t="inlineStr">
        <is>
          <t>常规★</t>
        </is>
      </c>
      <c r="E25" s="432" t="inlineStr">
        <is>
          <t>B</t>
        </is>
      </c>
      <c r="F25" s="420" t="n"/>
      <c r="G25" s="420" t="n"/>
      <c r="H25" s="417" t="n"/>
      <c r="I25" s="432" t="inlineStr">
        <is>
          <t>T1</t>
        </is>
      </c>
      <c r="J25" s="417" t="n"/>
      <c r="K25" s="422" t="inlineStr">
        <is>
          <t>整合</t>
        </is>
      </c>
      <c r="L25" s="433"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M25" s="424" t="n"/>
    </row>
    <row r="26" outlineLevel="1" ht="27" customHeight="1" s="347">
      <c r="A26" s="119" t="inlineStr">
        <is>
          <t>1</t>
        </is>
      </c>
      <c r="B26" s="434" t="inlineStr">
        <is>
          <t>获取有关信息准确性和完整性的审计证据。</t>
        </is>
      </c>
      <c r="C26" s="417" t="n"/>
      <c r="D26" s="428" t="n"/>
      <c r="E26" s="293" t="n"/>
      <c r="F26" s="420" t="n"/>
      <c r="G26" s="420" t="n"/>
      <c r="H26" s="417" t="n"/>
      <c r="I26" s="429" t="n"/>
      <c r="J26" s="417" t="n"/>
      <c r="K26" s="422" t="inlineStr">
        <is>
          <t>整合</t>
        </is>
      </c>
    </row>
    <row r="27" outlineLevel="1" ht="27" customHeight="1" s="347">
      <c r="A27" s="119" t="inlineStr">
        <is>
          <t>2</t>
        </is>
      </c>
      <c r="B27" s="434" t="inlineStr">
        <is>
          <t>评价信息对实现审计目的是否足够准确和详细。</t>
        </is>
      </c>
      <c r="C27" s="417" t="n"/>
      <c r="D27" s="428" t="n"/>
      <c r="E27" s="293" t="n"/>
      <c r="F27" s="420" t="n"/>
      <c r="G27" s="420" t="n"/>
      <c r="H27" s="417" t="n"/>
      <c r="I27" s="429" t="n"/>
      <c r="J27" s="417" t="n"/>
      <c r="K27" s="422" t="inlineStr">
        <is>
          <t>整合</t>
        </is>
      </c>
    </row>
    <row r="28" ht="34.5" customHeight="1" s="347">
      <c r="A28" s="120" t="inlineStr">
        <is>
          <t>（四）</t>
        </is>
      </c>
      <c r="B28" s="435" t="inlineStr">
        <is>
          <t>对于上期未分配利润账户的期末余额（适用于首次承接时对期初余额的审计）：</t>
        </is>
      </c>
      <c r="C28" s="417" t="n"/>
      <c r="D28" s="121" t="inlineStr">
        <is>
          <t>备选</t>
        </is>
      </c>
      <c r="E28" s="426" t="inlineStr">
        <is>
          <t>AB</t>
        </is>
      </c>
      <c r="F28" s="420" t="n"/>
      <c r="G28" s="420" t="n"/>
      <c r="H28" s="417" t="n"/>
      <c r="I28" s="421" t="inlineStr">
        <is>
          <t>Q6-1</t>
        </is>
      </c>
      <c r="J28" s="417" t="n"/>
      <c r="K28" s="422" t="inlineStr">
        <is>
          <t>修改</t>
        </is>
      </c>
      <c r="L28" s="436" t="inlineStr">
        <is>
          <t>对于上期资本的期末余额，核对期初未分配利润是否正确，检查上期利润分配相关文件以及在本期支付情况。（适用于首次承接）</t>
        </is>
      </c>
      <c r="M28" s="424" t="n"/>
    </row>
    <row r="29" outlineLevel="1" ht="28.5" customHeight="1" s="347">
      <c r="A29" s="122" t="inlineStr">
        <is>
          <t>1</t>
        </is>
      </c>
      <c r="B29" s="437" t="inlineStr">
        <is>
          <t>取得企业成立时的文件、合伙协议等并摘录相关章节。</t>
        </is>
      </c>
      <c r="C29" s="417" t="n"/>
      <c r="D29" s="123" t="inlineStr">
        <is>
          <t>备选</t>
        </is>
      </c>
      <c r="E29" s="381" t="inlineStr">
        <is>
          <t>AB</t>
        </is>
      </c>
      <c r="F29" s="420" t="n"/>
      <c r="G29" s="420" t="n"/>
      <c r="H29" s="417" t="n"/>
      <c r="I29" s="429" t="n"/>
      <c r="J29" s="417" t="n"/>
      <c r="K29" s="422" t="inlineStr">
        <is>
          <t>修改</t>
        </is>
      </c>
    </row>
    <row r="30" outlineLevel="1" ht="28.5" customHeight="1" s="347">
      <c r="A30" s="122" t="inlineStr">
        <is>
          <t>2</t>
        </is>
      </c>
      <c r="B30" s="434" t="inlineStr">
        <is>
          <t>向证券结算中介机构并与股票登记簿核对，或向每位合伙人函证以确认股本账户期初金额。</t>
        </is>
      </c>
      <c r="C30" s="417" t="n"/>
      <c r="D30" s="123" t="inlineStr">
        <is>
          <t>备选</t>
        </is>
      </c>
      <c r="E30" s="381" t="inlineStr">
        <is>
          <t>AB</t>
        </is>
      </c>
      <c r="F30" s="420" t="n"/>
      <c r="G30" s="420" t="n"/>
      <c r="H30" s="417" t="n"/>
      <c r="I30" s="429" t="n"/>
      <c r="J30" s="417" t="n"/>
      <c r="K30" s="422" t="inlineStr">
        <is>
          <t>修改</t>
        </is>
      </c>
    </row>
    <row r="31" ht="44.25" customHeight="1" s="347">
      <c r="A31" s="124" t="inlineStr">
        <is>
          <t>（五）</t>
        </is>
      </c>
      <c r="B31" s="290" t="inlineStr">
        <is>
          <t>获取董事会/股东会会议记录，执行下列审计程序。</t>
        </is>
      </c>
      <c r="C31" s="417" t="n"/>
      <c r="D31" s="121" t="inlineStr">
        <is>
          <t>常规</t>
        </is>
      </c>
      <c r="E31" s="291" t="inlineStr">
        <is>
          <t>AB</t>
        </is>
      </c>
      <c r="F31" s="420" t="n"/>
      <c r="G31" s="420" t="n"/>
      <c r="H31" s="417" t="n"/>
      <c r="I31" s="421" t="inlineStr">
        <is>
          <t>Q6-2</t>
        </is>
      </c>
      <c r="J31" s="417" t="n"/>
      <c r="K31" s="422" t="inlineStr">
        <is>
          <t>删除</t>
        </is>
      </c>
      <c r="L31" s="438" t="n"/>
      <c r="M31" s="375" t="n"/>
    </row>
    <row r="32" outlineLevel="1" ht="44.25" customHeight="1" s="347">
      <c r="A32" s="125" t="inlineStr">
        <is>
          <t>1</t>
        </is>
      </c>
      <c r="B32" s="292" t="inlineStr">
        <is>
          <t>确定会议纪要是否包含权益交易。包括：现金股利、股票股利、股票分割；权益回购；已出售的权益性工具。</t>
        </is>
      </c>
      <c r="C32" s="417" t="n"/>
      <c r="D32" s="123" t="inlineStr">
        <is>
          <t>常规</t>
        </is>
      </c>
      <c r="E32" s="293" t="inlineStr">
        <is>
          <t>AB</t>
        </is>
      </c>
      <c r="F32" s="420" t="n"/>
      <c r="G32" s="420" t="n"/>
      <c r="H32" s="417" t="n"/>
      <c r="I32" s="429" t="n"/>
      <c r="J32" s="417" t="n"/>
      <c r="K32" s="422" t="inlineStr">
        <is>
          <t>删除</t>
        </is>
      </c>
      <c r="L32" s="438" t="n"/>
      <c r="M32" s="375" t="n"/>
    </row>
    <row r="33" outlineLevel="1" ht="42.75" customHeight="1" s="347">
      <c r="A33" s="125" t="inlineStr">
        <is>
          <t>2</t>
        </is>
      </c>
      <c r="B33" s="289" t="inlineStr">
        <is>
          <t xml:space="preserve">对于识别出的交易，确认交易是否经过授权并且得到适当会计处理。 </t>
        </is>
      </c>
      <c r="C33" s="417" t="n"/>
      <c r="D33" s="123" t="inlineStr">
        <is>
          <t>常规</t>
        </is>
      </c>
      <c r="E33" s="293" t="inlineStr">
        <is>
          <t>AB</t>
        </is>
      </c>
      <c r="F33" s="420" t="n"/>
      <c r="G33" s="420" t="n"/>
      <c r="H33" s="417" t="n"/>
      <c r="I33" s="429" t="n"/>
      <c r="J33" s="417" t="n"/>
      <c r="K33" s="422" t="inlineStr">
        <is>
          <t>删除</t>
        </is>
      </c>
      <c r="L33" s="438" t="n"/>
      <c r="M33" s="375" t="n"/>
    </row>
    <row r="34" ht="49.5" customHeight="1" s="347">
      <c r="A34" s="110" t="inlineStr">
        <is>
          <t>（六）</t>
        </is>
      </c>
      <c r="B34" s="425" t="inlineStr">
        <is>
          <t>取得未分配利润账户当期交易活动的明细表，检查增减变动的原因，对每一项增加或减少，关注有关交易的性质，检查法律性文件是否齐全，相关的手续是否办理，以及其会计处理是否正确：</t>
        </is>
      </c>
      <c r="C34" s="417" t="n"/>
      <c r="D34" s="418" t="inlineStr">
        <is>
          <t>常规★</t>
        </is>
      </c>
      <c r="E34" s="426" t="inlineStr">
        <is>
          <t>AB</t>
        </is>
      </c>
      <c r="F34" s="420" t="n"/>
      <c r="G34" s="420" t="n"/>
      <c r="H34" s="417" t="n"/>
      <c r="I34" s="421" t="inlineStr">
        <is>
          <t>Q6-2</t>
        </is>
      </c>
      <c r="J34" s="417" t="n"/>
      <c r="K34" s="422" t="inlineStr">
        <is>
          <t>整合</t>
        </is>
      </c>
      <c r="L34" s="436" t="inlineStr">
        <is>
          <t>针对本期利润分配：
（1）了解本年利润弥补以前年度亏损的情况；
（2）审阅公司章程、股东大会和董事会会议纪要中有关股利的规定，了解股利分配标准和发放方式是否符合有关规定并经法定程序批准；
（3）检查董事会会议纪要、股东会（或股东大会）决议、利润分配方案等资料，对照有关规定确认利润分配的合法性；复核应付股利金额和会计处理是否正确；
（4）结合应付股利检查现金股利是否按公告规定的时间、金额予以发放。</t>
        </is>
      </c>
      <c r="M34" s="424" t="n"/>
    </row>
    <row r="35" outlineLevel="1" ht="33.75" customHeight="1" s="347">
      <c r="A35" s="115" t="inlineStr">
        <is>
          <t>1</t>
        </is>
      </c>
      <c r="B35" s="427" t="inlineStr">
        <is>
          <t xml:space="preserve">对于每一增减变动，确定交易的是否恰当，会计处理是否正确。 </t>
        </is>
      </c>
      <c r="C35" s="417" t="n"/>
      <c r="D35" s="428" t="inlineStr">
        <is>
          <t>常规★</t>
        </is>
      </c>
      <c r="E35" s="293" t="inlineStr">
        <is>
          <t>AB</t>
        </is>
      </c>
      <c r="F35" s="420" t="n"/>
      <c r="G35" s="420" t="n"/>
      <c r="H35" s="417" t="n"/>
      <c r="I35" s="429" t="n"/>
      <c r="J35" s="417" t="n"/>
      <c r="K35" s="422" t="inlineStr">
        <is>
          <t>整合</t>
        </is>
      </c>
    </row>
    <row r="36" outlineLevel="1" ht="33.75" customHeight="1" s="347">
      <c r="A36" s="122" t="inlineStr">
        <is>
          <t>2</t>
        </is>
      </c>
      <c r="B36" s="376" t="inlineStr">
        <is>
          <t>通过查阅上述会议记录，确定每笔交易是否都已通过授权。</t>
        </is>
      </c>
      <c r="C36" s="417" t="n"/>
      <c r="D36" s="377" t="inlineStr">
        <is>
          <t>常规</t>
        </is>
      </c>
      <c r="E36" s="293" t="inlineStr">
        <is>
          <t>AB</t>
        </is>
      </c>
      <c r="F36" s="420" t="n"/>
      <c r="G36" s="420" t="n"/>
      <c r="H36" s="417" t="n"/>
      <c r="I36" s="429" t="n"/>
      <c r="J36" s="417" t="n"/>
      <c r="K36" s="422" t="inlineStr">
        <is>
          <t>整合</t>
        </is>
      </c>
    </row>
    <row r="37" outlineLevel="1" ht="49.5" customHeight="1" s="347">
      <c r="A37" s="115" t="inlineStr">
        <is>
          <t>3</t>
        </is>
      </c>
      <c r="B37" s="430" t="inlineStr">
        <is>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is>
      </c>
      <c r="C37" s="417" t="n"/>
      <c r="D37" s="428" t="inlineStr">
        <is>
          <t>常规★</t>
        </is>
      </c>
      <c r="E37" s="293" t="inlineStr">
        <is>
          <t>AB</t>
        </is>
      </c>
      <c r="F37" s="420" t="n"/>
      <c r="G37" s="420" t="n"/>
      <c r="H37" s="417" t="n"/>
      <c r="I37" s="429" t="n"/>
      <c r="J37" s="417" t="n"/>
      <c r="K37" s="422" t="inlineStr">
        <is>
          <t>整合</t>
        </is>
      </c>
    </row>
    <row r="38" outlineLevel="1" ht="28.5" customHeight="1" s="347">
      <c r="A38" s="126" t="inlineStr">
        <is>
          <t>4</t>
        </is>
      </c>
      <c r="B38" s="439" t="inlineStr">
        <is>
          <t>针对利润分配的审计程序：</t>
        </is>
      </c>
      <c r="C38" s="417" t="n"/>
      <c r="D38" s="123" t="inlineStr">
        <is>
          <t>常规</t>
        </is>
      </c>
      <c r="E38" s="293" t="inlineStr">
        <is>
          <t>AB</t>
        </is>
      </c>
      <c r="F38" s="420" t="n"/>
      <c r="G38" s="420" t="n"/>
      <c r="H38" s="417" t="n"/>
      <c r="I38" s="440" t="inlineStr">
        <is>
          <t>Q6-2</t>
        </is>
      </c>
      <c r="J38" s="417" t="n"/>
      <c r="K38" s="422" t="inlineStr">
        <is>
          <t>整合</t>
        </is>
      </c>
    </row>
    <row r="39" outlineLevel="1" ht="19.5" customHeight="1" s="347">
      <c r="A39" s="127" t="inlineStr">
        <is>
          <t>（1）</t>
        </is>
      </c>
      <c r="B39" s="439" t="inlineStr">
        <is>
          <t>了解本年利润弥补以前年度亏损的情况，确定本期末未弥补亏损金额。</t>
        </is>
      </c>
      <c r="C39" s="417" t="n"/>
      <c r="D39" s="123" t="inlineStr">
        <is>
          <t>常规</t>
        </is>
      </c>
      <c r="E39" s="293" t="inlineStr">
        <is>
          <t>AB</t>
        </is>
      </c>
      <c r="F39" s="420" t="n"/>
      <c r="G39" s="420" t="n"/>
      <c r="H39" s="417" t="n"/>
      <c r="I39" s="429" t="n"/>
      <c r="J39" s="417" t="n"/>
      <c r="K39" s="422" t="inlineStr">
        <is>
          <t>整合</t>
        </is>
      </c>
    </row>
    <row r="40" outlineLevel="1" ht="32.25" customHeight="1" s="347">
      <c r="A40" s="127" t="inlineStr">
        <is>
          <t>（2）</t>
        </is>
      </c>
      <c r="B40" s="439" t="inlineStr">
        <is>
          <t>审阅公司章程、股东大会和董事会会议纪要中有关股利的规定，了解股利分配标准和发放方式是否符合有关规定并经法定程序批准。</t>
        </is>
      </c>
      <c r="C40" s="417" t="n"/>
      <c r="D40" s="123" t="inlineStr">
        <is>
          <t>常规</t>
        </is>
      </c>
      <c r="E40" s="293" t="inlineStr">
        <is>
          <t>AB</t>
        </is>
      </c>
      <c r="F40" s="420" t="n"/>
      <c r="G40" s="420" t="n"/>
      <c r="H40" s="417" t="n"/>
      <c r="I40" s="429" t="n"/>
      <c r="J40" s="417" t="n"/>
      <c r="K40" s="422" t="inlineStr">
        <is>
          <t>整合</t>
        </is>
      </c>
    </row>
    <row r="41" outlineLevel="1" ht="32.25" customHeight="1" s="347">
      <c r="A41" s="127" t="inlineStr">
        <is>
          <t>（3）</t>
        </is>
      </c>
      <c r="B41" s="441" t="inlineStr">
        <is>
          <t xml:space="preserve">检查董事会会议纪要、股东会（或股东大会）决议、利润分配方案等资料，对照有关规定确认利润分配的合法性。 </t>
        </is>
      </c>
      <c r="C41" s="417" t="n"/>
      <c r="D41" s="123" t="inlineStr">
        <is>
          <t>常规</t>
        </is>
      </c>
      <c r="E41" s="293" t="inlineStr">
        <is>
          <t>AB</t>
        </is>
      </c>
      <c r="F41" s="420" t="n"/>
      <c r="G41" s="420" t="n"/>
      <c r="H41" s="417" t="n"/>
      <c r="I41" s="429" t="n"/>
      <c r="J41" s="417" t="n"/>
      <c r="K41" s="422" t="inlineStr">
        <is>
          <t>整合</t>
        </is>
      </c>
    </row>
    <row r="42" outlineLevel="1" ht="27" customHeight="1" s="347">
      <c r="A42" s="127" t="inlineStr">
        <is>
          <t>（4）</t>
        </is>
      </c>
      <c r="B42" s="439" t="inlineStr">
        <is>
          <t>复核应付股利计算和会计处理的正确性。</t>
        </is>
      </c>
      <c r="C42" s="417" t="n"/>
      <c r="D42" s="123" t="inlineStr">
        <is>
          <t>常规</t>
        </is>
      </c>
      <c r="E42" s="293" t="inlineStr">
        <is>
          <t>AB</t>
        </is>
      </c>
      <c r="F42" s="420" t="n"/>
      <c r="G42" s="420" t="n"/>
      <c r="H42" s="417" t="n"/>
      <c r="I42" s="429" t="n"/>
      <c r="J42" s="417" t="n"/>
      <c r="K42" s="422" t="inlineStr">
        <is>
          <t>整合</t>
        </is>
      </c>
    </row>
    <row r="43" outlineLevel="1" ht="41.25" customHeight="1" s="347">
      <c r="A43" s="127" t="inlineStr">
        <is>
          <t>（5）</t>
        </is>
      </c>
      <c r="B43" s="439" t="inlineStr">
        <is>
          <t>检查现金股利是否按公告规定的时间、金额予以发放，非标准手之零星股东股利是否采用适当方法结算，对无法结算及委托发放而长期未结的股利是否作出适当处理。</t>
        </is>
      </c>
      <c r="C43" s="417" t="n"/>
      <c r="D43" s="123" t="inlineStr">
        <is>
          <t>常规</t>
        </is>
      </c>
      <c r="E43" s="293" t="inlineStr">
        <is>
          <t>AB</t>
        </is>
      </c>
      <c r="F43" s="420" t="n"/>
      <c r="G43" s="420" t="n"/>
      <c r="H43" s="417" t="n"/>
      <c r="I43" s="429" t="n"/>
      <c r="J43" s="417" t="n"/>
      <c r="K43" s="422" t="inlineStr">
        <is>
          <t>整合</t>
        </is>
      </c>
    </row>
    <row r="44" outlineLevel="1" ht="33" customHeight="1" s="347">
      <c r="A44" s="122" t="inlineStr">
        <is>
          <t>5</t>
        </is>
      </c>
      <c r="B44" s="434" t="inlineStr">
        <is>
          <t>获取未分配利润账户结转明细，并确认入账是否恰当。</t>
        </is>
      </c>
      <c r="C44" s="417" t="n"/>
      <c r="D44" s="377" t="inlineStr">
        <is>
          <t>常规</t>
        </is>
      </c>
      <c r="E44" s="381" t="inlineStr">
        <is>
          <t>AB</t>
        </is>
      </c>
      <c r="F44" s="420" t="n"/>
      <c r="G44" s="420" t="n"/>
      <c r="H44" s="417" t="n"/>
      <c r="I44" s="429" t="n"/>
      <c r="J44" s="417" t="n"/>
      <c r="K44" s="422" t="inlineStr">
        <is>
          <t>整合</t>
        </is>
      </c>
    </row>
    <row r="45" ht="34.5" customHeight="1" s="347">
      <c r="A45" s="124" t="inlineStr">
        <is>
          <t>（七）</t>
        </is>
      </c>
      <c r="B45" s="313" t="inlineStr">
        <is>
          <t>复核普通股基本每股收益和稀释每股收益计算的准确性，将金额和股数与财务报表核对</t>
        </is>
      </c>
      <c r="C45" s="417" t="n"/>
      <c r="D45" s="291" t="inlineStr">
        <is>
          <t>IPO/上市公司</t>
        </is>
      </c>
      <c r="E45" s="291" t="inlineStr">
        <is>
          <t>AB</t>
        </is>
      </c>
      <c r="F45" s="420" t="n"/>
      <c r="G45" s="420" t="n"/>
      <c r="H45" s="417" t="n"/>
      <c r="I45" s="442" t="inlineStr">
        <is>
          <t>Q6-2</t>
        </is>
      </c>
      <c r="J45" s="417" t="n"/>
      <c r="K45" s="422" t="inlineStr">
        <is>
          <t>删除</t>
        </is>
      </c>
      <c r="L45" s="438" t="n"/>
      <c r="M45" s="375" t="n"/>
    </row>
    <row r="46" outlineLevel="1" ht="43.5" customHeight="1" s="347">
      <c r="A46" s="125" t="inlineStr">
        <is>
          <t>1</t>
        </is>
      </c>
      <c r="B46" s="300" t="inlineStr">
        <is>
          <t>考虑可能存在的稀释影响，如可换股优先股，如果可以，获取稀释每股收益的计算过程。</t>
        </is>
      </c>
      <c r="C46" s="417" t="n"/>
      <c r="D46" s="293" t="inlineStr">
        <is>
          <t>IPO/上市公司</t>
        </is>
      </c>
      <c r="E46" s="293" t="inlineStr">
        <is>
          <t>AB</t>
        </is>
      </c>
      <c r="F46" s="420" t="n"/>
      <c r="G46" s="420" t="n"/>
      <c r="H46" s="417" t="n"/>
      <c r="I46" s="443" t="n"/>
      <c r="J46" s="417" t="n"/>
      <c r="K46" s="422" t="inlineStr">
        <is>
          <t>删除</t>
        </is>
      </c>
      <c r="L46" s="438" t="n"/>
      <c r="M46" s="375" t="n"/>
    </row>
    <row r="47" outlineLevel="1" ht="27" customHeight="1" s="347">
      <c r="A47" s="125" t="inlineStr">
        <is>
          <t>2</t>
        </is>
      </c>
      <c r="B47" s="289" t="inlineStr">
        <is>
          <t xml:space="preserve">确定计算的准确性： </t>
        </is>
      </c>
      <c r="C47" s="417" t="n"/>
      <c r="D47" s="293" t="inlineStr">
        <is>
          <t>IPO/上市公司</t>
        </is>
      </c>
      <c r="E47" s="293" t="inlineStr">
        <is>
          <t>AB</t>
        </is>
      </c>
      <c r="F47" s="420" t="n"/>
      <c r="G47" s="420" t="n"/>
      <c r="H47" s="417" t="n"/>
      <c r="I47" s="443" t="n"/>
      <c r="J47" s="417" t="n"/>
      <c r="K47" s="422" t="inlineStr">
        <is>
          <t>删除</t>
        </is>
      </c>
      <c r="L47" s="438" t="n"/>
      <c r="M47" s="375" t="n"/>
    </row>
    <row r="48" outlineLevel="1" ht="27" customHeight="1" s="347">
      <c r="A48" s="127" t="inlineStr">
        <is>
          <t>（1）</t>
        </is>
      </c>
      <c r="B48" s="289" t="inlineStr">
        <is>
          <t xml:space="preserve">流通在外普通股加权平均数 </t>
        </is>
      </c>
      <c r="C48" s="417" t="n"/>
      <c r="D48" s="293" t="inlineStr">
        <is>
          <t>IPO/上市公司</t>
        </is>
      </c>
      <c r="E48" s="293" t="inlineStr">
        <is>
          <t>AB</t>
        </is>
      </c>
      <c r="F48" s="420" t="n"/>
      <c r="G48" s="420" t="n"/>
      <c r="H48" s="417" t="n"/>
      <c r="I48" s="443" t="n"/>
      <c r="J48" s="417" t="n"/>
      <c r="K48" s="422" t="inlineStr">
        <is>
          <t>删除</t>
        </is>
      </c>
      <c r="L48" s="438" t="n"/>
      <c r="M48" s="375" t="n"/>
    </row>
    <row r="49" outlineLevel="1" ht="27" customHeight="1" s="347">
      <c r="A49" s="127" t="inlineStr">
        <is>
          <t>（2）</t>
        </is>
      </c>
      <c r="B49" s="289" t="inlineStr">
        <is>
          <t xml:space="preserve">流通在外稀释的普通股加权平均数 </t>
        </is>
      </c>
      <c r="C49" s="417" t="n"/>
      <c r="D49" s="293" t="inlineStr">
        <is>
          <t>IPO/上市公司</t>
        </is>
      </c>
      <c r="E49" s="293" t="inlineStr">
        <is>
          <t>AB</t>
        </is>
      </c>
      <c r="F49" s="420" t="n"/>
      <c r="G49" s="420" t="n"/>
      <c r="H49" s="417" t="n"/>
      <c r="I49" s="443" t="n"/>
      <c r="J49" s="417" t="n"/>
      <c r="K49" s="422" t="inlineStr">
        <is>
          <t>删除</t>
        </is>
      </c>
      <c r="L49" s="438" t="n"/>
      <c r="M49" s="375" t="n"/>
    </row>
    <row r="50" outlineLevel="1" ht="27" customHeight="1" s="347">
      <c r="A50" s="127" t="inlineStr">
        <is>
          <t>（3）</t>
        </is>
      </c>
      <c r="B50" s="289" t="inlineStr">
        <is>
          <t xml:space="preserve">基本每股收益 </t>
        </is>
      </c>
      <c r="C50" s="417" t="n"/>
      <c r="D50" s="293" t="inlineStr">
        <is>
          <t>IPO/上市公司</t>
        </is>
      </c>
      <c r="E50" s="293" t="inlineStr">
        <is>
          <t>AB</t>
        </is>
      </c>
      <c r="F50" s="420" t="n"/>
      <c r="G50" s="420" t="n"/>
      <c r="H50" s="417" t="n"/>
      <c r="I50" s="443" t="n"/>
      <c r="J50" s="417" t="n"/>
      <c r="K50" s="422" t="inlineStr">
        <is>
          <t>删除</t>
        </is>
      </c>
      <c r="L50" s="438" t="n"/>
      <c r="M50" s="375" t="n"/>
    </row>
    <row r="51" outlineLevel="1" ht="27" customHeight="1" s="347">
      <c r="A51" s="127" t="inlineStr">
        <is>
          <t>（4）</t>
        </is>
      </c>
      <c r="B51" s="289" t="inlineStr">
        <is>
          <t xml:space="preserve">若适用，稀释每股收益 </t>
        </is>
      </c>
      <c r="C51" s="417" t="n"/>
      <c r="D51" s="293" t="inlineStr">
        <is>
          <t>IPO/上市公司</t>
        </is>
      </c>
      <c r="E51" s="293" t="inlineStr">
        <is>
          <t>AB</t>
        </is>
      </c>
      <c r="F51" s="420" t="n"/>
      <c r="G51" s="420" t="n"/>
      <c r="H51" s="417" t="n"/>
      <c r="I51" s="443" t="n"/>
      <c r="J51" s="417" t="n"/>
      <c r="K51" s="422" t="inlineStr">
        <is>
          <t>删除</t>
        </is>
      </c>
      <c r="L51" s="438" t="n"/>
      <c r="M51" s="375" t="n"/>
    </row>
    <row r="52" ht="32.25" customHeight="1" s="347">
      <c r="A52" s="130" t="inlineStr">
        <is>
          <t>（八）</t>
        </is>
      </c>
      <c r="B52" s="444" t="inlineStr">
        <is>
          <t xml:space="preserve">确定需在财务报表中单独披露的信息已被记录。 </t>
        </is>
      </c>
      <c r="C52" s="417" t="n"/>
      <c r="D52" s="418" t="inlineStr">
        <is>
          <t>常规★</t>
        </is>
      </c>
      <c r="E52" s="432" t="inlineStr">
        <is>
          <t>E</t>
        </is>
      </c>
      <c r="F52" s="420" t="n"/>
      <c r="G52" s="420" t="n"/>
      <c r="H52" s="417" t="n"/>
      <c r="I52" s="445" t="n"/>
      <c r="J52" s="417" t="n"/>
      <c r="K52" s="422" t="inlineStr">
        <is>
          <t>保留</t>
        </is>
      </c>
    </row>
    <row r="53" ht="28.5" customHeight="1" s="347"/>
  </sheetData>
  <autoFilter ref="A16:J16">
    <filterColumn colId="1" hiddenButton="0" showButton="0"/>
    <filterColumn colId="4" hiddenButton="0" showButton="0"/>
    <filterColumn colId="5" hiddenButton="0" showButton="0"/>
    <filterColumn colId="6" hiddenButton="0" showButton="0"/>
    <filterColumn colId="8" hiddenButton="0" showButton="0"/>
  </autoFilter>
  <mergeCells count="125">
    <mergeCell ref="B22:C22"/>
    <mergeCell ref="B31:C31"/>
    <mergeCell ref="E32:H32"/>
    <mergeCell ref="I26:J26"/>
    <mergeCell ref="A8:B9"/>
    <mergeCell ref="E37:H37"/>
    <mergeCell ref="B21:C21"/>
    <mergeCell ref="E47:H47"/>
    <mergeCell ref="I16:J16"/>
    <mergeCell ref="I25:J25"/>
    <mergeCell ref="L28:M30"/>
    <mergeCell ref="E24:H24"/>
    <mergeCell ref="I18:J18"/>
    <mergeCell ref="B38:C38"/>
    <mergeCell ref="I42:J42"/>
    <mergeCell ref="E51:H51"/>
    <mergeCell ref="B40:C40"/>
    <mergeCell ref="I52:J52"/>
    <mergeCell ref="B49:C49"/>
    <mergeCell ref="I44:J44"/>
    <mergeCell ref="B24:C24"/>
    <mergeCell ref="L17:M24"/>
    <mergeCell ref="I20:J20"/>
    <mergeCell ref="B33:C33"/>
    <mergeCell ref="B51:C51"/>
    <mergeCell ref="E34:H34"/>
    <mergeCell ref="J8:J9"/>
    <mergeCell ref="B32:C32"/>
    <mergeCell ref="B26:C26"/>
    <mergeCell ref="B41:C41"/>
    <mergeCell ref="E49:H49"/>
    <mergeCell ref="E27:H27"/>
    <mergeCell ref="B35:C35"/>
    <mergeCell ref="E36:H36"/>
    <mergeCell ref="I30:J30"/>
    <mergeCell ref="E45:H45"/>
    <mergeCell ref="B16:C16"/>
    <mergeCell ref="B25:C25"/>
    <mergeCell ref="L34:M44"/>
    <mergeCell ref="I46:J46"/>
    <mergeCell ref="A11:B11"/>
    <mergeCell ref="B27:C27"/>
    <mergeCell ref="B18:C18"/>
    <mergeCell ref="E22:H22"/>
    <mergeCell ref="I32:J32"/>
    <mergeCell ref="I41:J41"/>
    <mergeCell ref="E21:H21"/>
    <mergeCell ref="I43:J43"/>
    <mergeCell ref="E48:H48"/>
    <mergeCell ref="E23:H23"/>
    <mergeCell ref="B29:C29"/>
    <mergeCell ref="I24:J24"/>
    <mergeCell ref="B37:C37"/>
    <mergeCell ref="I33:J33"/>
    <mergeCell ref="E38:H38"/>
    <mergeCell ref="I17:J17"/>
    <mergeCell ref="I35:J35"/>
    <mergeCell ref="E40:H40"/>
    <mergeCell ref="A10:B10"/>
    <mergeCell ref="I19:J19"/>
    <mergeCell ref="A2:J2"/>
    <mergeCell ref="E26:H26"/>
    <mergeCell ref="E16:H16"/>
    <mergeCell ref="I45:J45"/>
    <mergeCell ref="E25:H25"/>
    <mergeCell ref="B43:C43"/>
    <mergeCell ref="B52:C52"/>
    <mergeCell ref="E18:H18"/>
    <mergeCell ref="I47:J47"/>
    <mergeCell ref="E50:H50"/>
    <mergeCell ref="B42:C42"/>
    <mergeCell ref="I37:J37"/>
    <mergeCell ref="B17:C17"/>
    <mergeCell ref="A12:B12"/>
    <mergeCell ref="E52:H52"/>
    <mergeCell ref="I21:J21"/>
    <mergeCell ref="B44:C44"/>
    <mergeCell ref="E39:H39"/>
    <mergeCell ref="B19:C19"/>
    <mergeCell ref="B34:C34"/>
    <mergeCell ref="B28:C28"/>
    <mergeCell ref="E20:H20"/>
    <mergeCell ref="A5:B5"/>
    <mergeCell ref="E29:H29"/>
    <mergeCell ref="I23:J23"/>
    <mergeCell ref="B30:C30"/>
    <mergeCell ref="I51:J51"/>
    <mergeCell ref="E31:H31"/>
    <mergeCell ref="L25:M27"/>
    <mergeCell ref="B20:C20"/>
    <mergeCell ref="B45:C45"/>
    <mergeCell ref="E46:H46"/>
    <mergeCell ref="I50:J50"/>
    <mergeCell ref="I34:J34"/>
    <mergeCell ref="B47:C47"/>
    <mergeCell ref="I49:J49"/>
    <mergeCell ref="B46:C46"/>
    <mergeCell ref="I27:J27"/>
    <mergeCell ref="I36:J36"/>
    <mergeCell ref="E41:H41"/>
    <mergeCell ref="B39:C39"/>
    <mergeCell ref="B48:C48"/>
    <mergeCell ref="E43:H43"/>
    <mergeCell ref="B23:C23"/>
    <mergeCell ref="I22:J22"/>
    <mergeCell ref="I28:J28"/>
    <mergeCell ref="E33:H33"/>
    <mergeCell ref="E42:H42"/>
    <mergeCell ref="A1:J1"/>
    <mergeCell ref="E17:H17"/>
    <mergeCell ref="E35:H35"/>
    <mergeCell ref="E44:H44"/>
    <mergeCell ref="I39:J39"/>
    <mergeCell ref="E19:H19"/>
    <mergeCell ref="I48:J48"/>
    <mergeCell ref="C8:G8"/>
    <mergeCell ref="E28:H28"/>
    <mergeCell ref="I29:J29"/>
    <mergeCell ref="I38:J38"/>
    <mergeCell ref="E30:H30"/>
    <mergeCell ref="B36:C36"/>
    <mergeCell ref="A13:B13"/>
    <mergeCell ref="B50:C50"/>
    <mergeCell ref="I31:J31"/>
    <mergeCell ref="I40:J40"/>
  </mergeCells>
  <printOptions horizontalCentered="1"/>
  <pageMargins left="0.4724409448818898" right="0.3149606299212598" top="0.58" bottom="0.35" header="0.5118110236220472" footer="0.1968503937007874"/>
  <pageSetup orientation="landscape" paperSize="9" scale="16" fitToHeight="50" blackAndWhite="1" cellComments="atEnd"/>
  <headerFooter alignWithMargins="0">
    <oddHeader/>
    <oddFooter>&amp;R&amp;10 &amp;P/&amp;N</oddFooter>
    <evenHeader/>
    <evenFooter/>
    <firstHeader/>
    <firstFooter/>
  </headerFooter>
</worksheet>
</file>

<file path=xl/worksheets/sheet4.xml><?xml version="1.0" encoding="utf-8"?>
<worksheet xmlns="http://schemas.openxmlformats.org/spreadsheetml/2006/main">
  <sheetPr codeName="Sheet2">
    <outlinePr summaryBelow="1" summaryRight="1"/>
    <pageSetUpPr/>
  </sheetPr>
  <dimension ref="A1:L47"/>
  <sheetViews>
    <sheetView view="pageBreakPreview" zoomScaleNormal="130" zoomScaleSheetLayoutView="100" workbookViewId="0">
      <selection activeCell="A1" sqref="A1:L1"/>
    </sheetView>
  </sheetViews>
  <sheetFormatPr baseColWidth="8" defaultColWidth="9" defaultRowHeight="23.25" customHeight="1"/>
  <cols>
    <col width="17.59765625" customWidth="1" style="446" min="1" max="1"/>
    <col width="10.5" customWidth="1" style="446" min="2" max="9"/>
    <col width="9" customWidth="1" style="446" min="10" max="16384"/>
  </cols>
  <sheetData>
    <row r="1" ht="19.95" customFormat="1" customHeight="1" s="447">
      <c r="A1" s="448" t="inlineStr">
        <is>
          <t>致同会计师事务所</t>
        </is>
      </c>
    </row>
    <row r="2" ht="19.95" customFormat="1" customHeight="1" s="447">
      <c r="A2" s="449" t="inlineStr">
        <is>
          <t>未分配利润审定表</t>
        </is>
      </c>
    </row>
    <row r="3" ht="19.95" customHeight="1" s="347">
      <c r="A3" s="446">
        <f>底稿目录!A2</f>
        <v/>
      </c>
      <c r="D3" s="450">
        <f>底稿目录!A4</f>
        <v/>
      </c>
      <c r="I3" s="446">
        <f>底稿目录!A5</f>
        <v/>
      </c>
      <c r="K3" s="451" t="inlineStr">
        <is>
          <t>索引号：</t>
        </is>
      </c>
      <c r="L3" s="355">
        <f>底稿目录!F5</f>
        <v/>
      </c>
    </row>
    <row r="4" ht="19.95" customHeight="1" s="347">
      <c r="A4" s="446">
        <f>底稿目录!A3</f>
        <v/>
      </c>
      <c r="B4" s="4" t="n"/>
      <c r="D4" s="450">
        <f>底稿目录!A6</f>
        <v/>
      </c>
      <c r="I4" s="446">
        <f>底稿目录!A7</f>
        <v/>
      </c>
      <c r="K4" s="451" t="inlineStr">
        <is>
          <t>页   次：</t>
        </is>
      </c>
      <c r="L4" s="5" t="n"/>
    </row>
    <row r="5" ht="19.95" customHeight="1" s="347">
      <c r="A5" s="452" t="inlineStr">
        <is>
          <t>项目名称</t>
        </is>
      </c>
      <c r="B5" s="452" t="inlineStr">
        <is>
          <t>本期数</t>
        </is>
      </c>
      <c r="C5" s="362" t="n"/>
      <c r="D5" s="362" t="n"/>
      <c r="E5" s="363" t="n"/>
      <c r="F5" s="453" t="inlineStr">
        <is>
          <t>上期数</t>
        </is>
      </c>
      <c r="G5" s="362" t="n"/>
      <c r="H5" s="362" t="n"/>
      <c r="I5" s="363" t="n"/>
      <c r="J5" s="454" t="inlineStr">
        <is>
          <t>本期审定数与上期
审定数的比较</t>
        </is>
      </c>
      <c r="K5" s="363" t="n"/>
      <c r="L5" s="455" t="inlineStr">
        <is>
          <t>原因分析</t>
        </is>
      </c>
    </row>
    <row r="6" ht="19.95" customHeight="1" s="347">
      <c r="A6" s="372" t="n"/>
      <c r="B6" s="452" t="inlineStr">
        <is>
          <t>未审数</t>
        </is>
      </c>
      <c r="C6" s="452" t="inlineStr">
        <is>
          <t>账项调整</t>
        </is>
      </c>
      <c r="D6" s="452" t="inlineStr">
        <is>
          <t>重分类调整</t>
        </is>
      </c>
      <c r="E6" s="452" t="inlineStr">
        <is>
          <t>审定数</t>
        </is>
      </c>
      <c r="F6" s="452" t="inlineStr">
        <is>
          <t>未审数</t>
        </is>
      </c>
      <c r="G6" s="452" t="inlineStr">
        <is>
          <t>账项调整</t>
        </is>
      </c>
      <c r="H6" s="452" t="inlineStr">
        <is>
          <t>重分类调整</t>
        </is>
      </c>
      <c r="I6" s="452" t="inlineStr">
        <is>
          <t>审定数</t>
        </is>
      </c>
      <c r="J6" s="456" t="inlineStr">
        <is>
          <t>变动额</t>
        </is>
      </c>
      <c r="K6" s="454" t="inlineStr">
        <is>
          <t>变动率</t>
        </is>
      </c>
      <c r="L6" s="404" t="n"/>
    </row>
    <row r="7" ht="19.95" customHeight="1" s="347">
      <c r="A7" s="457" t="inlineStr">
        <is>
          <t>未分配利润</t>
        </is>
      </c>
      <c r="B7" s="458">
        <f>'明细表M6-2'!B25</f>
        <v/>
      </c>
      <c r="C7" s="458">
        <f>'明细表M6-2'!C25</f>
        <v/>
      </c>
      <c r="D7" s="458">
        <f>'明细表M6-2'!D25</f>
        <v/>
      </c>
      <c r="E7" s="458">
        <f>'明细表M6-2'!E25</f>
        <v/>
      </c>
      <c r="F7" s="458">
        <f>'明细表M6-2'!F25</f>
        <v/>
      </c>
      <c r="G7" s="458">
        <f>'明细表M6-2'!G25</f>
        <v/>
      </c>
      <c r="H7" s="458">
        <f>'明细表M6-2'!H25</f>
        <v/>
      </c>
      <c r="I7" s="458">
        <f>'明细表M6-2'!I25</f>
        <v/>
      </c>
      <c r="J7" s="458">
        <f>E7-I7</f>
        <v/>
      </c>
      <c r="K7" s="170">
        <f>IF(AND(E7=0,J7=0),0,IF(AND(E7=0,J7&gt;0),1,J7/E7))</f>
        <v/>
      </c>
      <c r="L7" s="457" t="n"/>
    </row>
    <row r="8" ht="19.95" customHeight="1" s="347">
      <c r="A8" s="457" t="n"/>
      <c r="B8" s="458" t="n"/>
      <c r="C8" s="458" t="n"/>
      <c r="D8" s="458" t="n"/>
      <c r="E8" s="458" t="n"/>
      <c r="F8" s="458" t="n"/>
      <c r="G8" s="458" t="n"/>
      <c r="H8" s="458" t="n"/>
      <c r="I8" s="458" t="n"/>
      <c r="J8" s="458">
        <f>E8-I8</f>
        <v/>
      </c>
      <c r="K8" s="170">
        <f>IF(AND(E8=0,J8=0),0,IF(AND(E8=0,J8&gt;0),1,J8/E8))</f>
        <v/>
      </c>
      <c r="L8" s="457" t="n"/>
    </row>
    <row r="9" ht="19.95" customHeight="1" s="347">
      <c r="A9" s="457" t="n"/>
      <c r="B9" s="458" t="n"/>
      <c r="C9" s="458" t="n"/>
      <c r="D9" s="458" t="n"/>
      <c r="E9" s="458" t="n"/>
      <c r="F9" s="458" t="n"/>
      <c r="G9" s="458" t="n"/>
      <c r="H9" s="458" t="n"/>
      <c r="I9" s="458" t="n"/>
      <c r="J9" s="458">
        <f>E9-I9</f>
        <v/>
      </c>
      <c r="K9" s="170">
        <f>IF(AND(E9=0,J9=0),0,IF(AND(E9=0,J9&gt;0),1,J9/E9))</f>
        <v/>
      </c>
      <c r="L9" s="457" t="n"/>
    </row>
    <row r="10" ht="19.95" customFormat="1" customHeight="1" s="459">
      <c r="A10" s="460" t="inlineStr">
        <is>
          <t>合计</t>
        </is>
      </c>
      <c r="B10" s="461">
        <f>SUM(B7:B9)</f>
        <v/>
      </c>
      <c r="C10" s="461">
        <f>SUM(C7:C9)</f>
        <v/>
      </c>
      <c r="D10" s="461">
        <f>SUM(D7:D9)</f>
        <v/>
      </c>
      <c r="E10" s="461">
        <f>SUM(E7:E9)</f>
        <v/>
      </c>
      <c r="F10" s="461">
        <f>SUM(F7:F9)</f>
        <v/>
      </c>
      <c r="G10" s="461">
        <f>SUM(G7:G9)</f>
        <v/>
      </c>
      <c r="H10" s="461">
        <f>SUM(H7:H9)</f>
        <v/>
      </c>
      <c r="I10" s="461">
        <f>SUM(I7:I9)</f>
        <v/>
      </c>
      <c r="J10" s="461">
        <f>E10-I10</f>
        <v/>
      </c>
      <c r="K10" s="172">
        <f>IF(AND(E10=0,J10=0),0,IF(AND(E10=0,J10&gt;0),1,J10/E10))</f>
        <v/>
      </c>
      <c r="L10" s="462" t="n"/>
    </row>
    <row r="11" ht="19.95" customFormat="1" customHeight="1" s="463">
      <c r="A11" s="459" t="inlineStr">
        <is>
          <t>试算平衡表数</t>
        </is>
      </c>
      <c r="B11" s="459" t="n"/>
      <c r="C11" s="459" t="n"/>
      <c r="D11" s="459" t="n"/>
      <c r="E11" s="464" t="n"/>
      <c r="F11" s="459" t="n"/>
      <c r="G11" s="459" t="n"/>
      <c r="H11" s="459" t="n"/>
      <c r="I11" s="464" t="n"/>
      <c r="J11" s="465" t="n"/>
      <c r="K11" s="132" t="n"/>
      <c r="L11" s="132" t="n"/>
    </row>
    <row r="12" ht="19.95" customFormat="1" customHeight="1" s="463">
      <c r="A12" s="459" t="inlineStr">
        <is>
          <t>差异数</t>
        </is>
      </c>
      <c r="B12" s="459" t="n"/>
      <c r="C12" s="459" t="n"/>
      <c r="D12" s="459" t="n"/>
      <c r="E12" s="464">
        <f>E10-E11</f>
        <v/>
      </c>
      <c r="F12" s="459" t="n"/>
      <c r="G12" s="459" t="n"/>
      <c r="H12" s="459" t="n"/>
      <c r="I12" s="464">
        <f>I10-I11</f>
        <v/>
      </c>
      <c r="J12" s="465" t="n"/>
      <c r="K12" s="132" t="n"/>
      <c r="L12" s="132" t="n"/>
    </row>
    <row r="13" ht="19.95" customHeight="1" s="347">
      <c r="A13" s="466" t="inlineStr">
        <is>
          <t>1、审计说明</t>
        </is>
      </c>
      <c r="B13" s="450" t="n"/>
      <c r="C13" s="450" t="n"/>
      <c r="D13" s="450" t="n"/>
      <c r="E13" s="450" t="n"/>
      <c r="F13" s="467" t="n"/>
      <c r="G13" s="450" t="n"/>
    </row>
    <row r="14" ht="19.95" customHeight="1" s="347">
      <c r="A14" s="6" t="inlineStr">
        <is>
          <t>（1）期末余额较期初余额增加（负数为减少）：</t>
        </is>
      </c>
      <c r="B14" s="6" t="n"/>
      <c r="C14" s="6" t="n"/>
      <c r="D14" s="314" t="n"/>
      <c r="F14" s="6" t="n"/>
      <c r="G14" s="6" t="n"/>
    </row>
    <row r="15" ht="19.95" customHeight="1" s="347">
      <c r="A15" s="6" t="inlineStr">
        <is>
          <t>主要原因（比例超过30%的）：</t>
        </is>
      </c>
      <c r="B15" s="6" t="n"/>
      <c r="C15" s="6" t="n"/>
      <c r="D15" s="6" t="n"/>
      <c r="E15" s="6" t="n"/>
      <c r="F15" s="6" t="n"/>
      <c r="G15" s="6" t="n"/>
    </row>
    <row r="16" ht="19.95" customHeight="1" s="347">
      <c r="A16" s="6" t="n"/>
      <c r="B16" s="6" t="n"/>
      <c r="C16" s="6" t="n"/>
      <c r="D16" s="6" t="n"/>
      <c r="E16" s="6" t="n"/>
      <c r="F16" s="6" t="n"/>
      <c r="G16" s="6" t="n"/>
    </row>
    <row r="17" ht="19.95" customHeight="1" s="347">
      <c r="A17" s="6" t="n"/>
      <c r="B17" s="6" t="n"/>
      <c r="C17" s="6" t="n"/>
      <c r="D17" s="6" t="n"/>
      <c r="E17" s="6" t="n"/>
      <c r="F17" s="6" t="n"/>
      <c r="G17" s="6" t="n"/>
    </row>
    <row r="18" ht="19.95" customHeight="1" s="347">
      <c r="A18" s="7" t="inlineStr">
        <is>
          <t>（2）利润分配情况及当年利润分配预案情况说明。</t>
        </is>
      </c>
      <c r="B18" s="7" t="n"/>
      <c r="C18" s="7" t="n"/>
      <c r="D18" s="7" t="n"/>
      <c r="E18" s="7" t="n"/>
      <c r="F18" s="7" t="n"/>
      <c r="G18" s="7" t="n"/>
    </row>
    <row r="19" ht="19.95" customHeight="1" s="347">
      <c r="A19" s="7" t="n"/>
      <c r="B19" s="7" t="n"/>
      <c r="C19" s="7" t="n"/>
      <c r="D19" s="7" t="n"/>
      <c r="E19" s="7" t="n"/>
      <c r="F19" s="7" t="n"/>
      <c r="G19" s="7" t="n"/>
    </row>
    <row r="20" ht="19.95" customHeight="1" s="347">
      <c r="A20" s="6" t="n"/>
      <c r="B20" s="6" t="n"/>
      <c r="C20" s="6" t="n"/>
      <c r="D20" s="6" t="n"/>
      <c r="E20" s="6" t="n"/>
      <c r="F20" s="6" t="n"/>
      <c r="G20" s="6" t="n"/>
    </row>
    <row r="21" ht="19.95" customHeight="1" s="347">
      <c r="A21" s="6" t="n"/>
      <c r="B21" s="6" t="n"/>
      <c r="C21" s="6" t="n"/>
      <c r="D21" s="6" t="n"/>
      <c r="E21" s="6" t="n"/>
      <c r="F21" s="6" t="n"/>
      <c r="G21" s="6" t="n"/>
    </row>
    <row r="22" ht="19.95" customHeight="1" s="347">
      <c r="A22" s="139" t="inlineStr">
        <is>
          <t>2、审计结论</t>
        </is>
      </c>
    </row>
    <row r="23" ht="19.95" customHeight="1" s="347">
      <c r="A23" s="139" t="n"/>
      <c r="B23" s="6" t="n"/>
      <c r="C23" s="6" t="n"/>
      <c r="D23" s="6" t="n"/>
      <c r="E23" s="6" t="n"/>
      <c r="F23" s="6" t="n"/>
      <c r="G23" s="6" t="n"/>
    </row>
    <row r="24" ht="19.95" customHeight="1" s="347">
      <c r="A24" s="139" t="n"/>
      <c r="B24" s="6" t="n"/>
      <c r="C24" s="6" t="n"/>
      <c r="D24" s="6" t="n"/>
      <c r="E24" s="6" t="n"/>
      <c r="F24" s="6" t="n"/>
      <c r="G24" s="6" t="n"/>
    </row>
    <row r="25" ht="19.95" customHeight="1" s="347">
      <c r="A25" s="188" t="inlineStr">
        <is>
          <t xml:space="preserve">
</t>
        </is>
      </c>
      <c r="B25" s="6" t="n"/>
      <c r="C25" s="6" t="n"/>
      <c r="D25" s="6" t="n"/>
      <c r="E25" s="6" t="n"/>
      <c r="F25" s="6" t="n"/>
      <c r="G25" s="6" t="n"/>
    </row>
    <row r="27" ht="18" customFormat="1" customHeight="1" s="468">
      <c r="A27" s="469" t="n"/>
    </row>
    <row r="28" ht="18" customFormat="1" customHeight="1" s="468"/>
    <row r="29" ht="18" customFormat="1" customHeight="1" s="468"/>
    <row r="30" ht="18" customFormat="1" customHeight="1" s="468"/>
    <row r="31" ht="18" customFormat="1" customHeight="1" s="468"/>
    <row r="32" ht="18" customFormat="1" customHeight="1" s="468">
      <c r="A32" s="470" t="n"/>
    </row>
    <row r="33" ht="18" customFormat="1" customHeight="1" s="468"/>
    <row r="34" ht="18" customFormat="1" customHeight="1" s="468">
      <c r="A34" s="471" t="n"/>
    </row>
    <row r="35" ht="18" customFormat="1" customHeight="1" s="468"/>
    <row r="36" ht="18" customFormat="1" customHeight="1" s="468">
      <c r="A36" s="470" t="n"/>
    </row>
    <row r="37" ht="18" customHeight="1" s="347">
      <c r="A37" s="470" t="n"/>
    </row>
    <row r="38" ht="18" customHeight="1" s="347">
      <c r="A38" s="470" t="n"/>
    </row>
    <row r="39" ht="18" customHeight="1" s="347">
      <c r="A39" s="470" t="n"/>
    </row>
    <row r="40" ht="18" customHeight="1" s="347">
      <c r="A40" s="470" t="n"/>
    </row>
    <row r="41" ht="18" customHeight="1" s="347">
      <c r="A41" s="468" t="n"/>
    </row>
    <row r="42" ht="18" customHeight="1" s="347"/>
    <row r="43" ht="18" customHeight="1" s="347">
      <c r="A43" s="470" t="n"/>
    </row>
    <row r="44" ht="18" customHeight="1" s="347">
      <c r="A44" s="471" t="n"/>
    </row>
    <row r="45" ht="18" customHeight="1" s="347">
      <c r="A45" s="472" t="n"/>
      <c r="B45" s="468" t="n"/>
    </row>
    <row r="46" ht="18" customHeight="1" s="347">
      <c r="A46" s="472" t="n"/>
      <c r="B46" s="468" t="n"/>
    </row>
    <row r="47" ht="18" customHeight="1" s="347">
      <c r="A47" s="472" t="n"/>
      <c r="B47" s="468" t="n"/>
    </row>
  </sheetData>
  <mergeCells count="8">
    <mergeCell ref="A5:A6"/>
    <mergeCell ref="A2:L2"/>
    <mergeCell ref="J5:K5"/>
    <mergeCell ref="A1:L1"/>
    <mergeCell ref="D14:E14"/>
    <mergeCell ref="B5:E5"/>
    <mergeCell ref="F5:I5"/>
    <mergeCell ref="L5:L6"/>
  </mergeCells>
  <dataValidations count="1">
    <dataValidation sqref="B22" showDropDown="0" showInputMessage="1" showErrorMessage="1" allowBlank="1" type="list">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rintOptions horizontalCentered="1"/>
  <pageMargins left="0.7086614173228347" right="0.7086614173228347" top="0.7480314960629921" bottom="0.7480314960629921" header="0.3149606299212598" footer="0.3149606299212598"/>
  <pageSetup orientation="landscape" paperSize="9" scale="90" blackAndWhite="1"/>
  <legacyDrawing xmlns:r="http://schemas.openxmlformats.org/officeDocument/2006/relationships" r:id="anysvml"/>
</worksheet>
</file>

<file path=xl/worksheets/sheet5.xml><?xml version="1.0" encoding="utf-8"?>
<worksheet xmlns="http://schemas.openxmlformats.org/spreadsheetml/2006/main">
  <sheetPr codeName="Sheet3">
    <outlinePr summaryBelow="1" summaryRight="1"/>
    <pageSetUpPr/>
  </sheetPr>
  <dimension ref="A1:S30"/>
  <sheetViews>
    <sheetView view="pageBreakPreview" zoomScaleSheetLayoutView="100" workbookViewId="0">
      <selection activeCell="F3" sqref="F3"/>
    </sheetView>
  </sheetViews>
  <sheetFormatPr baseColWidth="8" defaultColWidth="9" defaultRowHeight="15.6"/>
  <cols>
    <col width="58.19921875" customWidth="1" style="347" min="1" max="1"/>
    <col width="13.69921875" customWidth="1" style="347" min="2" max="2"/>
    <col width="14.69921875" customWidth="1" style="347" min="3" max="3"/>
    <col width="20.19921875" customWidth="1" style="347" min="4" max="4"/>
    <col width="7" customWidth="1" style="347" min="5" max="5"/>
    <col width="4.296875" customWidth="1" style="347" min="6" max="6"/>
  </cols>
  <sheetData>
    <row r="1" customFormat="1" s="17">
      <c r="A1" s="326" t="inlineStr">
        <is>
          <t>致同会计师事务所</t>
        </is>
      </c>
      <c r="G1" s="66" t="n"/>
      <c r="H1" s="66" t="n"/>
      <c r="I1" s="66" t="n"/>
      <c r="J1" s="66" t="n"/>
      <c r="K1" s="66" t="n"/>
      <c r="L1" s="66" t="n"/>
      <c r="M1" s="16" t="n"/>
      <c r="N1" s="16" t="n"/>
      <c r="O1" s="16" t="n"/>
      <c r="P1" s="16" t="n"/>
      <c r="Q1" s="16" t="n"/>
      <c r="R1" s="16" t="n"/>
      <c r="S1" s="16" t="n"/>
    </row>
    <row r="2" customFormat="1" s="17">
      <c r="A2" s="326" t="inlineStr">
        <is>
          <t>未分配利润附注披露信息（上市公司）</t>
        </is>
      </c>
      <c r="G2" s="66" t="n"/>
      <c r="H2" s="66" t="n"/>
      <c r="I2" s="66" t="n"/>
      <c r="J2" s="66" t="n"/>
      <c r="K2" s="66" t="n"/>
      <c r="L2" s="66" t="n"/>
      <c r="M2" s="66" t="n"/>
      <c r="N2" s="66" t="n"/>
      <c r="O2" s="66" t="n"/>
      <c r="P2" s="66" t="n"/>
      <c r="Q2" s="66" t="n"/>
      <c r="R2" s="66" t="n"/>
      <c r="S2" s="66" t="n"/>
    </row>
    <row r="3" ht="13.8" customFormat="1" customHeight="1" s="13">
      <c r="A3" s="446">
        <f>底稿目录!A2</f>
        <v/>
      </c>
      <c r="B3" s="450">
        <f>底稿目录!A4</f>
        <v/>
      </c>
      <c r="C3" s="69">
        <f>底稿目录!A5</f>
        <v/>
      </c>
      <c r="D3" s="64" t="n"/>
      <c r="E3" s="70" t="inlineStr">
        <is>
          <t>索引号：</t>
        </is>
      </c>
      <c r="Q3" s="70" t="n"/>
      <c r="R3" s="70" t="n"/>
    </row>
    <row r="4" ht="13.8" customFormat="1" customHeight="1" s="13">
      <c r="A4" s="446">
        <f>底稿目录!A3</f>
        <v/>
      </c>
      <c r="B4" s="450">
        <f>底稿目录!A6</f>
        <v/>
      </c>
      <c r="C4" s="69">
        <f>底稿目录!A7</f>
        <v/>
      </c>
      <c r="D4" s="64" t="n"/>
      <c r="E4" s="70" t="inlineStr">
        <is>
          <t>页次：</t>
        </is>
      </c>
      <c r="Q4" s="70" t="n"/>
      <c r="R4" s="70" t="n"/>
    </row>
    <row r="5" ht="16.2" customFormat="1" customHeight="1" s="146" thickBot="1">
      <c r="A5" s="143" t="inlineStr">
        <is>
          <t>未分配利润</t>
        </is>
      </c>
      <c r="B5" s="145" t="n"/>
      <c r="C5" s="145" t="n"/>
      <c r="D5" s="145" t="n"/>
      <c r="E5" s="145" t="n"/>
      <c r="F5" s="145" t="n"/>
    </row>
    <row r="6" ht="12.6" customFormat="1" customHeight="1" s="146" thickBot="1">
      <c r="A6" s="147" t="inlineStr">
        <is>
          <t>项  目</t>
        </is>
      </c>
      <c r="B6" s="148" t="inlineStr">
        <is>
          <t>本期发生额</t>
        </is>
      </c>
      <c r="C6" s="149" t="inlineStr">
        <is>
          <t>上期发生额</t>
        </is>
      </c>
      <c r="D6" s="149" t="inlineStr">
        <is>
          <t>提取或分配比例</t>
        </is>
      </c>
      <c r="E6" s="145" t="n"/>
      <c r="F6" s="145" t="n"/>
    </row>
    <row r="7" ht="16.2" customFormat="1" customHeight="1" s="146">
      <c r="A7" s="150" t="inlineStr">
        <is>
          <t>调整前 上期末未分配利润</t>
        </is>
      </c>
      <c r="B7" s="473">
        <f>'明细表M6-2'!E10</f>
        <v/>
      </c>
      <c r="C7" s="474">
        <f>'明细表M6-2'!I10</f>
        <v/>
      </c>
      <c r="D7" s="153" t="inlineStr">
        <is>
          <t>--</t>
        </is>
      </c>
      <c r="E7" s="145" t="n"/>
      <c r="F7" s="145" t="n"/>
    </row>
    <row r="8" ht="16.2" customFormat="1" customHeight="1" s="146">
      <c r="A8" s="150" t="inlineStr">
        <is>
          <t>调整 期初未分配利润合计数（调增+，调减-）</t>
        </is>
      </c>
      <c r="B8" s="474">
        <f>'明细表M6-2'!E11+'明细表M6-2'!E12</f>
        <v/>
      </c>
      <c r="C8" s="474">
        <f>'明细表M6-2'!I11+'明细表M6-2'!I12</f>
        <v/>
      </c>
      <c r="D8" s="153" t="inlineStr">
        <is>
          <t>--</t>
        </is>
      </c>
      <c r="E8" s="145" t="n"/>
      <c r="F8" s="145" t="n"/>
    </row>
    <row r="9" ht="16.2" customFormat="1" customHeight="1" s="146">
      <c r="A9" s="150" t="inlineStr">
        <is>
          <t>调整后 期初未分配利润</t>
        </is>
      </c>
      <c r="B9" s="474">
        <f>B7+B8</f>
        <v/>
      </c>
      <c r="C9" s="474">
        <f>C7+C8</f>
        <v/>
      </c>
      <c r="D9" s="153" t="n"/>
      <c r="E9" s="145" t="n"/>
      <c r="F9" s="145" t="n"/>
    </row>
    <row r="10" ht="16.2" customFormat="1" customHeight="1" s="146">
      <c r="A10" s="150" t="inlineStr">
        <is>
          <t>加：本期归属于母公司所有者的净利润</t>
        </is>
      </c>
      <c r="B10" s="474">
        <f>'明细表M6-2'!E15</f>
        <v/>
      </c>
      <c r="C10" s="474">
        <f>'明细表M6-2'!I15</f>
        <v/>
      </c>
      <c r="D10" s="153" t="inlineStr">
        <is>
          <t>--</t>
        </is>
      </c>
      <c r="E10" s="145" t="n"/>
      <c r="F10" s="145" t="n"/>
    </row>
    <row r="11" ht="16.2" customFormat="1" customHeight="1" s="146">
      <c r="A11" s="150" t="inlineStr">
        <is>
          <t xml:space="preserve">    其他（例如：盈余公积弥补亏损）</t>
        </is>
      </c>
      <c r="B11" s="474">
        <f>'明细表M6-2'!E14</f>
        <v/>
      </c>
      <c r="C11" s="474">
        <f>'明细表M6-2'!I14</f>
        <v/>
      </c>
      <c r="D11" s="153" t="n"/>
      <c r="E11" s="145" t="n"/>
      <c r="F11" s="145" t="n"/>
    </row>
    <row r="12" ht="16.2" customFormat="1" customHeight="1" s="146">
      <c r="A12" s="150" t="inlineStr">
        <is>
          <t>减：提取法定盈余公积</t>
        </is>
      </c>
      <c r="B12" s="473">
        <f>'明细表M6-2'!E17</f>
        <v/>
      </c>
      <c r="C12" s="474">
        <f>'明细表M6-2'!I17</f>
        <v/>
      </c>
      <c r="D12" s="153" t="n"/>
      <c r="E12" s="145" t="n"/>
      <c r="F12" s="145" t="n"/>
    </row>
    <row r="13" ht="16.2" customFormat="1" customHeight="1" s="146">
      <c r="A13" s="150" t="inlineStr">
        <is>
          <t xml:space="preserve">    提取任意盈余公积</t>
        </is>
      </c>
      <c r="B13" s="473">
        <f>'明细表M6-2'!E18</f>
        <v/>
      </c>
      <c r="C13" s="473">
        <f>'明细表M6-2'!I18</f>
        <v/>
      </c>
      <c r="D13" s="154" t="n"/>
      <c r="E13" s="145" t="n"/>
      <c r="F13" s="145" t="n"/>
    </row>
    <row r="14" ht="16.2" customFormat="1" customHeight="1" s="146">
      <c r="A14" s="150" t="inlineStr">
        <is>
          <t xml:space="preserve">    提取一般风险准备</t>
        </is>
      </c>
      <c r="B14" s="154" t="n"/>
      <c r="C14" s="154" t="n"/>
      <c r="D14" s="154" t="n"/>
      <c r="E14" s="145" t="n"/>
      <c r="F14" s="145" t="n"/>
    </row>
    <row r="15" ht="16.2" customFormat="1" customHeight="1" s="146">
      <c r="A15" s="150" t="inlineStr">
        <is>
          <t xml:space="preserve">    应付普通股股利</t>
        </is>
      </c>
      <c r="B15" s="473">
        <f>'明细表M6-2'!E19</f>
        <v/>
      </c>
      <c r="C15" s="473">
        <f>'明细表M6-2'!I19</f>
        <v/>
      </c>
      <c r="D15" s="154" t="n"/>
      <c r="E15" s="145" t="n"/>
      <c r="F15" s="145" t="n"/>
    </row>
    <row r="16" ht="16.2" customFormat="1" customHeight="1" s="146">
      <c r="A16" s="150" t="inlineStr">
        <is>
          <t xml:space="preserve">    应付其他权益持有者的股利</t>
        </is>
      </c>
      <c r="B16" s="154" t="n"/>
      <c r="C16" s="154" t="n"/>
      <c r="D16" s="154" t="n"/>
      <c r="E16" s="145" t="n"/>
      <c r="F16" s="145" t="n"/>
    </row>
    <row r="17" ht="16.2" customFormat="1" customHeight="1" s="146">
      <c r="A17" s="150" t="inlineStr">
        <is>
          <t xml:space="preserve">    转作股本的普通股股利</t>
        </is>
      </c>
      <c r="B17" s="473">
        <f>'明细表M6-2'!E20</f>
        <v/>
      </c>
      <c r="C17" s="473">
        <f>'明细表M6-2'!I20</f>
        <v/>
      </c>
      <c r="D17" s="154" t="n"/>
      <c r="E17" s="145" t="n"/>
      <c r="F17" s="145" t="n"/>
    </row>
    <row r="18" ht="16.2" customFormat="1" customHeight="1" s="146">
      <c r="A18" s="150" t="inlineStr">
        <is>
          <t xml:space="preserve">    其他</t>
        </is>
      </c>
      <c r="B18" s="473" t="n"/>
      <c r="C18" s="154" t="n"/>
      <c r="D18" s="154" t="n"/>
      <c r="E18" s="145" t="n"/>
      <c r="F18" s="145" t="n"/>
    </row>
    <row r="19" ht="16.2" customFormat="1" customHeight="1" s="146">
      <c r="A19" s="150" t="inlineStr">
        <is>
          <t>期末未分配利润</t>
        </is>
      </c>
      <c r="B19" s="473">
        <f>B9+B10+B11-SUM(B12:B17)</f>
        <v/>
      </c>
      <c r="C19" s="473">
        <f>C9+C10+C11-SUM(C12:C17)</f>
        <v/>
      </c>
      <c r="D19" s="154" t="n"/>
      <c r="E19" s="145" t="n"/>
      <c r="F19" s="145" t="n"/>
    </row>
    <row r="20" ht="16.2" customFormat="1" customHeight="1" s="146" thickBot="1">
      <c r="A20" s="155" t="inlineStr">
        <is>
          <t>其中：子公司当年提取的盈余公积归属于母公司的金额</t>
        </is>
      </c>
      <c r="B20" s="156" t="n"/>
      <c r="C20" s="156" t="n"/>
      <c r="D20" s="156" t="n"/>
      <c r="E20" s="145" t="n"/>
      <c r="F20" s="145" t="n"/>
    </row>
    <row r="21" ht="16.2" customFormat="1" customHeight="1" s="146">
      <c r="A21" s="157" t="inlineStr">
        <is>
          <t>说明：（对期初未分配利润进行调整的，各项调整原因及金额。）</t>
        </is>
      </c>
      <c r="B21" s="145" t="n"/>
      <c r="C21" s="145" t="n"/>
      <c r="D21" s="145" t="n"/>
      <c r="E21" s="145" t="n"/>
      <c r="F21" s="145" t="n"/>
    </row>
    <row r="22" ht="16.2" customFormat="1" customHeight="1" s="146">
      <c r="A22" s="157" t="inlineStr">
        <is>
          <t>调整本期期初未分配利润明细：</t>
        </is>
      </c>
      <c r="B22" s="145" t="n"/>
      <c r="C22" s="145" t="n"/>
      <c r="D22" s="145" t="n"/>
      <c r="E22" s="145" t="n"/>
      <c r="F22" s="145" t="n"/>
    </row>
    <row r="23" ht="16.2" customFormat="1" customHeight="1" s="146">
      <c r="A23" s="157" t="inlineStr">
        <is>
          <t>（1）由于《企业会计准则》及其相关新规定进行追溯调整，影响期初未分配利润XX元。</t>
        </is>
      </c>
      <c r="B23" s="145" t="n"/>
      <c r="C23" s="145" t="n"/>
      <c r="D23" s="145" t="n"/>
      <c r="E23" s="145" t="n"/>
      <c r="F23" s="145" t="n"/>
    </row>
    <row r="24" ht="16.2" customFormat="1" customHeight="1" s="146">
      <c r="A24" s="157" t="inlineStr">
        <is>
          <t>（2）由于会计政策变更，影响期初未分配利润XX元。</t>
        </is>
      </c>
      <c r="B24" s="145" t="n"/>
      <c r="C24" s="145" t="n"/>
      <c r="D24" s="145" t="n"/>
      <c r="E24" s="145" t="n"/>
      <c r="F24" s="145" t="n"/>
    </row>
    <row r="25" ht="16.2" customFormat="1" customHeight="1" s="146">
      <c r="A25" s="157" t="inlineStr">
        <is>
          <t>（3）由于重大会计差错更正，影响期初未分配利润XX元。</t>
        </is>
      </c>
      <c r="B25" s="145" t="n"/>
      <c r="C25" s="145" t="n"/>
      <c r="D25" s="145" t="n"/>
      <c r="E25" s="145" t="n"/>
      <c r="F25" s="145" t="n"/>
    </row>
    <row r="26" ht="16.2" customFormat="1" customHeight="1" s="146">
      <c r="A26" s="157" t="inlineStr">
        <is>
          <t>（4）由于同一控制导致的合并范围变更，影响期初未分配利润XX元。</t>
        </is>
      </c>
      <c r="B26" s="145" t="n"/>
      <c r="C26" s="145" t="n"/>
      <c r="D26" s="145" t="n"/>
      <c r="E26" s="145" t="n"/>
      <c r="F26" s="145" t="n"/>
    </row>
    <row r="27" ht="16.2" customFormat="1" customHeight="1" s="146">
      <c r="A27" s="157" t="inlineStr">
        <is>
          <t>（5）其他调整合计影响期初未分配利润XX元。</t>
        </is>
      </c>
      <c r="B27" s="145" t="n"/>
      <c r="C27" s="145" t="n"/>
      <c r="D27" s="145" t="n"/>
      <c r="E27" s="145" t="n"/>
      <c r="F27" s="145" t="n"/>
    </row>
    <row r="28" ht="16.2" customFormat="1" customHeight="1" s="146">
      <c r="A28" s="157" t="inlineStr">
        <is>
          <t>会计政策变更对期初未分配利润的影响参见附注二、38；前期差错更正对期初未分配利润的影响参见附注十四、1。</t>
        </is>
      </c>
      <c r="B28" s="145" t="n"/>
      <c r="C28" s="145" t="n"/>
      <c r="D28" s="145" t="n"/>
      <c r="E28" s="145" t="n"/>
      <c r="F28" s="145" t="n"/>
    </row>
    <row r="29" ht="16.2" customFormat="1" customHeight="1" s="146">
      <c r="A29" s="158" t="inlineStr">
        <is>
          <t>根据[XX文件]及公司章程的规定，本公司可供股东分配利润为按中国会计准则编制的报表数与按国际财务报告准则编制报表数两者孰低的金额。(请列明利润分配依据。)</t>
        </is>
      </c>
      <c r="B29" s="145" t="n"/>
      <c r="C29" s="145" t="n"/>
      <c r="D29" s="145" t="n"/>
      <c r="E29" s="145" t="n"/>
      <c r="F29" s="145" t="n"/>
    </row>
    <row r="30" ht="16.2" customFormat="1" customHeight="1" s="146">
      <c r="A30" s="159" t="inlineStr">
        <is>
          <t>(对于首次公开发行证券的公司，如果发行前的滚存利润经股东大会决议由新老股东共同享有，应明确予以说明。如果发行前的滚存利润经股东大会决议在发行前进行分配并由老股东享有，公司应明确披露应付股利项目中列示的老股东享有的经审计的利润数。)</t>
        </is>
      </c>
      <c r="B30" s="145" t="n"/>
      <c r="C30" s="145" t="n"/>
      <c r="D30" s="145" t="n"/>
      <c r="E30" s="145" t="n"/>
      <c r="F30" s="145" t="n"/>
    </row>
  </sheetData>
  <mergeCells count="2">
    <mergeCell ref="A2:F2"/>
    <mergeCell ref="A1:F1"/>
  </mergeCells>
  <pageMargins left="0.7086614173228347" right="0.7086614173228347" top="0.7480314960629921" bottom="0.7480314960629921" header="0.3149606299212598" footer="0.3149606299212598"/>
  <pageSetup orientation="portrait" paperSize="9" scale="69" blackAndWhite="1"/>
  <colBreaks count="1" manualBreakCount="1">
    <brk id="6" min="0" max="1048575" man="1"/>
  </colBreaks>
</worksheet>
</file>

<file path=xl/worksheets/sheet6.xml><?xml version="1.0" encoding="utf-8"?>
<worksheet xmlns="http://schemas.openxmlformats.org/spreadsheetml/2006/main">
  <sheetPr>
    <outlinePr summaryBelow="1" summaryRight="1"/>
    <pageSetUpPr/>
  </sheetPr>
  <dimension ref="A1:R19"/>
  <sheetViews>
    <sheetView view="pageBreakPreview" zoomScaleSheetLayoutView="100" workbookViewId="0">
      <selection activeCell="G10" sqref="G10"/>
    </sheetView>
  </sheetViews>
  <sheetFormatPr baseColWidth="8" defaultColWidth="9" defaultRowHeight="15.6"/>
  <cols>
    <col width="43.69921875" customWidth="1" style="347" min="1" max="1"/>
    <col width="13.69921875" customWidth="1" style="347" min="2" max="2"/>
    <col width="19.8984375" customWidth="1" style="347" min="3" max="3"/>
    <col width="7" customWidth="1" style="347" min="4" max="4"/>
    <col width="11.09765625" customWidth="1" style="347" min="5" max="5"/>
  </cols>
  <sheetData>
    <row r="1" ht="20.1" customFormat="1" customHeight="1" s="17">
      <c r="A1" s="326" t="inlineStr">
        <is>
          <t>致同会计师事务所</t>
        </is>
      </c>
      <c r="F1" s="66" t="n"/>
      <c r="G1" s="66" t="n"/>
      <c r="H1" s="66" t="n"/>
      <c r="I1" s="66" t="n"/>
      <c r="J1" s="66" t="n"/>
      <c r="K1" s="66" t="n"/>
      <c r="L1" s="16" t="n"/>
      <c r="M1" s="16" t="n"/>
      <c r="N1" s="16" t="n"/>
      <c r="O1" s="16" t="n"/>
      <c r="P1" s="16" t="n"/>
      <c r="Q1" s="16" t="n"/>
      <c r="R1" s="16" t="n"/>
    </row>
    <row r="2" ht="25.05" customFormat="1" customHeight="1" s="17">
      <c r="A2" s="326" t="inlineStr">
        <is>
          <t>未分配利润附注披露信息（国有企业）</t>
        </is>
      </c>
      <c r="F2" s="66" t="n"/>
      <c r="G2" s="66" t="n"/>
      <c r="H2" s="66" t="n"/>
      <c r="I2" s="66" t="n"/>
      <c r="J2" s="66" t="n"/>
      <c r="K2" s="66" t="n"/>
      <c r="L2" s="66" t="n"/>
      <c r="M2" s="66" t="n"/>
      <c r="N2" s="66" t="n"/>
      <c r="O2" s="66" t="n"/>
      <c r="P2" s="66" t="n"/>
      <c r="Q2" s="66" t="n"/>
      <c r="R2" s="66" t="n"/>
    </row>
    <row r="3" ht="20.1" customFormat="1" customHeight="1" s="13">
      <c r="A3" s="446">
        <f>底稿目录!A2</f>
        <v/>
      </c>
      <c r="B3" s="450">
        <f>底稿目录!A4</f>
        <v/>
      </c>
      <c r="C3" s="475">
        <f>底稿目录!A5</f>
        <v/>
      </c>
      <c r="D3" s="70" t="inlineStr">
        <is>
          <t>索引号：</t>
        </is>
      </c>
      <c r="P3" s="70" t="n"/>
      <c r="Q3" s="70" t="n"/>
    </row>
    <row r="4" ht="20.1" customFormat="1" customHeight="1" s="13">
      <c r="A4" s="446">
        <f>底稿目录!A3</f>
        <v/>
      </c>
      <c r="B4" s="450">
        <f>底稿目录!A6</f>
        <v/>
      </c>
      <c r="C4" s="475">
        <f>底稿目录!A7</f>
        <v/>
      </c>
      <c r="D4" s="70" t="inlineStr">
        <is>
          <t>页次：</t>
        </is>
      </c>
      <c r="P4" s="70" t="n"/>
      <c r="Q4" s="70" t="n"/>
    </row>
    <row r="5" ht="20.1" customFormat="1" customHeight="1" s="146" thickBot="1">
      <c r="A5" s="144" t="inlineStr">
        <is>
          <t>未分配利润</t>
        </is>
      </c>
      <c r="B5" s="145" t="n"/>
      <c r="C5" s="145" t="n"/>
      <c r="D5" s="145" t="n"/>
      <c r="E5" s="145" t="n"/>
    </row>
    <row r="6" ht="20.1" customFormat="1" customHeight="1" s="146" thickBot="1">
      <c r="A6" s="147" t="inlineStr">
        <is>
          <t>项  目</t>
        </is>
      </c>
      <c r="B6" s="148" t="inlineStr">
        <is>
          <t>本期金额</t>
        </is>
      </c>
      <c r="C6" s="148" t="inlineStr">
        <is>
          <t>上期金额</t>
        </is>
      </c>
      <c r="D6" s="145" t="n"/>
      <c r="E6" s="145" t="n"/>
    </row>
    <row r="7" ht="20.1" customFormat="1" customHeight="1" s="146">
      <c r="A7" s="146" t="inlineStr">
        <is>
          <t>上年年末余额</t>
        </is>
      </c>
      <c r="B7" s="476">
        <f>'明细表M6-2'!E10</f>
        <v/>
      </c>
      <c r="C7" s="476">
        <f>'明细表M6-2'!I10</f>
        <v/>
      </c>
      <c r="D7" s="145" t="n"/>
      <c r="E7" s="145" t="n"/>
    </row>
    <row r="8" ht="20.1" customFormat="1" customHeight="1" s="146">
      <c r="A8" s="146" t="inlineStr">
        <is>
          <t>期初调整金额</t>
        </is>
      </c>
      <c r="B8" s="476">
        <f>'明细表M6-2'!E12+'明细表M6-2'!E11</f>
        <v/>
      </c>
      <c r="C8" s="476">
        <f>'明细表M6-2'!I12+'明细表M6-2'!I11</f>
        <v/>
      </c>
      <c r="D8" s="145" t="n"/>
      <c r="E8" s="145" t="n"/>
    </row>
    <row r="9" ht="20.1" customFormat="1" customHeight="1" s="146">
      <c r="A9" s="161" t="inlineStr">
        <is>
          <t>本期年初余额</t>
        </is>
      </c>
      <c r="B9" s="477">
        <f>'明细表M6-2'!E13</f>
        <v/>
      </c>
      <c r="C9" s="477">
        <f>'明细表M6-2'!I13</f>
        <v/>
      </c>
      <c r="D9" s="145" t="n"/>
      <c r="E9" s="145" t="n"/>
    </row>
    <row r="10" ht="20.1" customFormat="1" customHeight="1" s="146">
      <c r="A10" s="161" t="inlineStr">
        <is>
          <t>本期增加额</t>
        </is>
      </c>
      <c r="B10" s="477">
        <f>'明细表M6-2'!E15+'明细表M6-2'!E14</f>
        <v/>
      </c>
      <c r="C10" s="477">
        <f>'明细表M6-2'!I15+'明细表M6-2'!I14</f>
        <v/>
      </c>
      <c r="D10" s="145" t="n"/>
      <c r="E10" s="145" t="n"/>
    </row>
    <row r="11" ht="20.1" customFormat="1" customHeight="1" s="146">
      <c r="A11" s="161" t="inlineStr">
        <is>
          <t>其中：本期净利润转入</t>
        </is>
      </c>
      <c r="B11" s="477">
        <f>'明细表M6-2'!E15</f>
        <v/>
      </c>
      <c r="C11" s="477">
        <f>'明细表M6-2'!I15</f>
        <v/>
      </c>
      <c r="D11" s="145" t="n"/>
      <c r="E11" s="145" t="n"/>
    </row>
    <row r="12" ht="20.1" customFormat="1" customHeight="1" s="146">
      <c r="A12" s="161" t="inlineStr">
        <is>
          <t xml:space="preserve">      其他调整因素</t>
        </is>
      </c>
      <c r="B12" s="477" t="n"/>
      <c r="C12" s="477" t="n"/>
      <c r="D12" s="145" t="n"/>
      <c r="E12" s="145" t="n"/>
    </row>
    <row r="13" ht="20.1" customFormat="1" customHeight="1" s="146">
      <c r="A13" s="161" t="inlineStr">
        <is>
          <t>本期减少额</t>
        </is>
      </c>
      <c r="B13" s="477">
        <f>'明细表M6-2'!E16</f>
        <v/>
      </c>
      <c r="C13" s="477">
        <f>'明细表M6-2'!I16</f>
        <v/>
      </c>
      <c r="D13" s="145" t="n"/>
      <c r="E13" s="145" t="n"/>
    </row>
    <row r="14" ht="20.1" customFormat="1" customHeight="1" s="146">
      <c r="A14" s="161" t="inlineStr">
        <is>
          <t>其中：本期提取盈余公积数</t>
        </is>
      </c>
      <c r="B14" s="477">
        <f>'明细表M6-2'!E17+'明细表M6-2'!E18</f>
        <v/>
      </c>
      <c r="C14" s="477">
        <f>'明细表M6-2'!I17+'明细表M6-2'!I18</f>
        <v/>
      </c>
      <c r="D14" s="145" t="n"/>
      <c r="E14" s="145" t="n"/>
    </row>
    <row r="15" ht="20.1" customFormat="1" customHeight="1" s="146">
      <c r="A15" s="161" t="inlineStr">
        <is>
          <t xml:space="preserve">      本期提取一般风险准备</t>
        </is>
      </c>
      <c r="B15" s="153" t="n"/>
      <c r="C15" s="153" t="n"/>
      <c r="D15" s="145" t="n"/>
      <c r="E15" s="145" t="n"/>
    </row>
    <row r="16" ht="20.1" customFormat="1" customHeight="1" s="146">
      <c r="A16" s="161" t="inlineStr">
        <is>
          <t xml:space="preserve">      本期分配现金股利数</t>
        </is>
      </c>
      <c r="B16" s="474">
        <f>'明细表M6-2'!E19</f>
        <v/>
      </c>
      <c r="C16" s="474">
        <f>'明细表M6-2'!I19</f>
        <v/>
      </c>
      <c r="D16" s="145" t="n"/>
      <c r="E16" s="145" t="n"/>
    </row>
    <row r="17" ht="20.1" customFormat="1" customHeight="1" s="146">
      <c r="A17" s="161" t="inlineStr">
        <is>
          <t xml:space="preserve">      转增资本</t>
        </is>
      </c>
      <c r="B17" s="474">
        <f>'明细表M6-2'!E20</f>
        <v/>
      </c>
      <c r="C17" s="474">
        <f>'明细表M6-2'!I20</f>
        <v/>
      </c>
      <c r="D17" s="145" t="n"/>
      <c r="E17" s="145" t="n"/>
    </row>
    <row r="18" ht="12" customFormat="1" customHeight="1" s="146">
      <c r="A18" s="161" t="inlineStr">
        <is>
          <t xml:space="preserve">      其他减少</t>
        </is>
      </c>
      <c r="B18" s="153" t="n"/>
      <c r="C18" s="153" t="n"/>
    </row>
    <row r="19" ht="12.6" customFormat="1" customHeight="1" s="146" thickBot="1">
      <c r="A19" s="163" t="inlineStr">
        <is>
          <t>本期期末余额</t>
        </is>
      </c>
      <c r="B19" s="478">
        <f>B9+B10-B13</f>
        <v/>
      </c>
      <c r="C19" s="478">
        <f>C9+C10-C13</f>
        <v/>
      </c>
    </row>
  </sheetData>
  <mergeCells count="2">
    <mergeCell ref="A2:E2"/>
    <mergeCell ref="A1:E1"/>
  </mergeCells>
  <pageMargins left="0.7086614173228347" right="0.7086614173228347" top="0.7480314960629921" bottom="0.7480314960629921" header="0.3149606299212598" footer="0.3149606299212598"/>
  <pageSetup orientation="portrait" paperSize="9" scale="79" blackAndWhite="1"/>
</worksheet>
</file>

<file path=xl/worksheets/sheet7.xml><?xml version="1.0" encoding="utf-8"?>
<worksheet xmlns="http://schemas.openxmlformats.org/spreadsheetml/2006/main">
  <sheetPr>
    <outlinePr summaryBelow="1" summaryRight="1"/>
    <pageSetUpPr/>
  </sheetPr>
  <dimension ref="A1:S32"/>
  <sheetViews>
    <sheetView view="pageBreakPreview" zoomScaleSheetLayoutView="100" workbookViewId="0">
      <selection activeCell="A1" sqref="A1:K1"/>
    </sheetView>
  </sheetViews>
  <sheetFormatPr baseColWidth="8" defaultColWidth="9" defaultRowHeight="15.6"/>
  <cols>
    <col width="23.09765625" customWidth="1" style="24" min="1" max="1"/>
    <col width="11" customWidth="1" style="24" min="2" max="9"/>
    <col width="11.19921875" customWidth="1" style="24" min="10" max="10"/>
    <col width="13" customWidth="1" style="24" min="11" max="11"/>
    <col width="12.69921875" customWidth="1" style="24" min="12" max="12"/>
    <col width="9" customWidth="1" style="24" min="13" max="16384"/>
  </cols>
  <sheetData>
    <row r="1" ht="19.95" customFormat="1" customHeight="1" s="17">
      <c r="A1" s="326" t="inlineStr">
        <is>
          <t>致同会计师事务所</t>
        </is>
      </c>
      <c r="L1" s="16" t="n"/>
    </row>
    <row r="2" ht="19.95" customFormat="1" customHeight="1" s="17">
      <c r="A2" s="346" t="inlineStr">
        <is>
          <t>未分配利润明细表</t>
        </is>
      </c>
      <c r="L2" s="16" t="n"/>
    </row>
    <row r="3" ht="19.95" customFormat="1" customHeight="1" s="13">
      <c r="A3" s="13">
        <f>底稿目录!A2</f>
        <v/>
      </c>
      <c r="C3" s="13">
        <f>底稿目录!A4</f>
        <v/>
      </c>
      <c r="G3" s="64">
        <f>底稿目录!A5</f>
        <v/>
      </c>
      <c r="H3" s="64" t="n"/>
      <c r="J3" s="451" t="inlineStr">
        <is>
          <t>索引号：</t>
        </is>
      </c>
      <c r="K3" s="355">
        <f>底稿目录!F8</f>
        <v/>
      </c>
    </row>
    <row r="4" ht="19.95" customFormat="1" customHeight="1" s="13">
      <c r="A4" s="13">
        <f>底稿目录!A3</f>
        <v/>
      </c>
      <c r="C4" s="13">
        <f>底稿目录!A6</f>
        <v/>
      </c>
      <c r="G4" s="64">
        <f>底稿目录!A7</f>
        <v/>
      </c>
      <c r="H4" s="64" t="n"/>
      <c r="J4" s="451" t="inlineStr">
        <is>
          <t>页   次：</t>
        </is>
      </c>
    </row>
    <row r="5" ht="19.95" customFormat="1" customHeight="1" s="45">
      <c r="A5" s="43" t="inlineStr">
        <is>
          <t>一、审计目标:</t>
        </is>
      </c>
      <c r="B5" s="44" t="n"/>
      <c r="L5" s="46" t="n"/>
      <c r="P5" s="47" t="n"/>
      <c r="S5" s="48" t="n"/>
    </row>
    <row r="6" ht="19.95" customFormat="1" customHeight="1" s="45">
      <c r="A6" s="179" t="inlineStr">
        <is>
          <t>1.资本公积已被恰当地汇总或分解且表述清楚，相关披露在按照企业会计准则的编制基础下是相关的、可理解的。</t>
        </is>
      </c>
      <c r="B6" s="55" t="n"/>
      <c r="L6" s="46" t="n"/>
      <c r="P6" s="47" t="n"/>
      <c r="S6" s="48" t="n"/>
    </row>
    <row r="7" ht="19.95" customFormat="1" customHeight="1" s="45">
      <c r="A7" s="189" t="inlineStr">
        <is>
          <t>二、审计过程：</t>
        </is>
      </c>
      <c r="L7" s="49" t="n"/>
      <c r="P7" s="47" t="n"/>
      <c r="S7" s="48" t="n"/>
    </row>
    <row r="8" ht="19.95" customFormat="1" customHeight="1" s="13">
      <c r="A8" s="63" t="inlineStr">
        <is>
          <t>内容</t>
        </is>
      </c>
      <c r="B8" s="63" t="inlineStr">
        <is>
          <t>本期数</t>
        </is>
      </c>
      <c r="C8" s="362" t="n"/>
      <c r="D8" s="362" t="n"/>
      <c r="E8" s="363" t="n"/>
      <c r="F8" s="63" t="inlineStr">
        <is>
          <t>上期数</t>
        </is>
      </c>
      <c r="G8" s="362" t="n"/>
      <c r="H8" s="362" t="n"/>
      <c r="I8" s="363" t="n"/>
      <c r="J8" s="63" t="inlineStr">
        <is>
          <t>索引号</t>
        </is>
      </c>
      <c r="K8" s="63" t="inlineStr">
        <is>
          <t>备注</t>
        </is>
      </c>
      <c r="L8" s="14" t="n"/>
    </row>
    <row r="9" ht="19.95" customFormat="1" customHeight="1" s="13">
      <c r="A9" s="372" t="n"/>
      <c r="B9" s="63" t="inlineStr">
        <is>
          <t>未审数</t>
        </is>
      </c>
      <c r="C9" s="452" t="inlineStr">
        <is>
          <t>账项调整</t>
        </is>
      </c>
      <c r="D9" s="452" t="inlineStr">
        <is>
          <t>重分类调整</t>
        </is>
      </c>
      <c r="E9" s="63" t="inlineStr">
        <is>
          <t>审定数</t>
        </is>
      </c>
      <c r="F9" s="63" t="inlineStr">
        <is>
          <t>未审数</t>
        </is>
      </c>
      <c r="G9" s="452" t="inlineStr">
        <is>
          <t>账项调整</t>
        </is>
      </c>
      <c r="H9" s="452" t="inlineStr">
        <is>
          <t>重分类调整</t>
        </is>
      </c>
      <c r="I9" s="63" t="inlineStr">
        <is>
          <t>审定数</t>
        </is>
      </c>
      <c r="J9" s="372" t="n"/>
      <c r="K9" s="372" t="n"/>
      <c r="L9" s="14" t="n"/>
    </row>
    <row r="10" ht="19.95" customFormat="1" customHeight="1" s="13">
      <c r="A10" s="72" t="inlineStr">
        <is>
          <t>一、上年年末余额</t>
        </is>
      </c>
      <c r="B10" s="479" t="n"/>
      <c r="C10" s="480" t="n"/>
      <c r="D10" s="480" t="n"/>
      <c r="E10" s="481">
        <f>B10+C10+D10</f>
        <v/>
      </c>
      <c r="F10" s="482" t="n"/>
      <c r="G10" s="482" t="n"/>
      <c r="H10" s="482" t="n"/>
      <c r="I10" s="481">
        <f>F10+G10+H10</f>
        <v/>
      </c>
      <c r="J10" s="21" t="n"/>
      <c r="K10" s="21" t="n"/>
      <c r="L10" s="14" t="n"/>
    </row>
    <row r="11" ht="19.95" customFormat="1" customHeight="1" s="13">
      <c r="A11" s="73" t="inlineStr">
        <is>
          <t>加：会计政策变更</t>
        </is>
      </c>
      <c r="B11" s="479" t="n"/>
      <c r="C11" s="480" t="n"/>
      <c r="D11" s="480" t="n"/>
      <c r="E11" s="481">
        <f>B11+C11+D11</f>
        <v/>
      </c>
      <c r="F11" s="482" t="n"/>
      <c r="G11" s="482" t="n"/>
      <c r="H11" s="482" t="n"/>
      <c r="I11" s="481">
        <f>F11+G11+H11</f>
        <v/>
      </c>
      <c r="J11" s="21" t="n"/>
      <c r="K11" s="21" t="n"/>
      <c r="L11" s="14" t="n"/>
    </row>
    <row r="12" ht="19.95" customFormat="1" customHeight="1" s="13">
      <c r="A12" s="50" t="inlineStr">
        <is>
          <t>前期差错更正</t>
        </is>
      </c>
      <c r="B12" s="479" t="n"/>
      <c r="C12" s="479" t="n"/>
      <c r="D12" s="479" t="n"/>
      <c r="E12" s="481">
        <f>B12+C12+D12</f>
        <v/>
      </c>
      <c r="F12" s="482" t="n"/>
      <c r="G12" s="482" t="n"/>
      <c r="H12" s="482" t="n"/>
      <c r="I12" s="481">
        <f>F12+G12+H12</f>
        <v/>
      </c>
      <c r="J12" s="21" t="n"/>
      <c r="K12" s="21" t="n"/>
      <c r="L12" s="14" t="n"/>
    </row>
    <row r="13" ht="19.95" customFormat="1" customHeight="1" s="13">
      <c r="A13" s="72" t="inlineStr">
        <is>
          <t>二、本年年初余额</t>
        </is>
      </c>
      <c r="B13" s="481">
        <f>B10+B11+B12</f>
        <v/>
      </c>
      <c r="C13" s="481">
        <f>C10+C11+C12</f>
        <v/>
      </c>
      <c r="D13" s="481">
        <f>D10+D11+D12</f>
        <v/>
      </c>
      <c r="E13" s="481">
        <f>E10+E11+E12</f>
        <v/>
      </c>
      <c r="F13" s="481">
        <f>F10+F11+F12</f>
        <v/>
      </c>
      <c r="G13" s="481">
        <f>G10+G11+G12</f>
        <v/>
      </c>
      <c r="H13" s="481">
        <f>H10+H11+H12</f>
        <v/>
      </c>
      <c r="I13" s="481">
        <f>F13+G13+H13</f>
        <v/>
      </c>
      <c r="J13" s="21" t="n"/>
      <c r="K13" s="21" t="n"/>
      <c r="L13" s="14" t="n"/>
    </row>
    <row r="14" ht="19.95" customFormat="1" customHeight="1" s="13">
      <c r="A14" s="72" t="inlineStr">
        <is>
          <t>三、盈余公积补亏</t>
        </is>
      </c>
      <c r="B14" s="482" t="n"/>
      <c r="C14" s="482" t="n"/>
      <c r="D14" s="482" t="n"/>
      <c r="E14" s="481">
        <f>B14+C14+D14</f>
        <v/>
      </c>
      <c r="F14" s="482" t="n"/>
      <c r="G14" s="482" t="n"/>
      <c r="H14" s="482" t="n"/>
      <c r="I14" s="481">
        <f>F14+G14+H14</f>
        <v/>
      </c>
      <c r="J14" s="21" t="n"/>
      <c r="K14" s="21" t="n"/>
      <c r="L14" s="14" t="n"/>
    </row>
    <row r="15" ht="19.95" customFormat="1" customHeight="1" s="13">
      <c r="A15" s="72" t="inlineStr">
        <is>
          <t>四、本期净利润</t>
        </is>
      </c>
      <c r="B15" s="483" t="n"/>
      <c r="C15" s="483" t="n"/>
      <c r="D15" s="483" t="n"/>
      <c r="E15" s="481">
        <f>B15+C15+D15</f>
        <v/>
      </c>
      <c r="F15" s="482" t="n"/>
      <c r="G15" s="482" t="n"/>
      <c r="H15" s="482" t="n"/>
      <c r="I15" s="481">
        <f>F15+G15+H15</f>
        <v/>
      </c>
      <c r="J15" s="22" t="n"/>
      <c r="K15" s="22" t="n"/>
      <c r="L15" s="14" t="n"/>
    </row>
    <row r="16" ht="19.95" customFormat="1" customHeight="1" s="13">
      <c r="A16" s="72" t="inlineStr">
        <is>
          <t>五、利润分配</t>
        </is>
      </c>
      <c r="B16" s="481">
        <f>SUM(B17:B21)</f>
        <v/>
      </c>
      <c r="C16" s="481">
        <f>SUM(C17:C21)</f>
        <v/>
      </c>
      <c r="D16" s="481">
        <f>SUM(D17:D21)</f>
        <v/>
      </c>
      <c r="E16" s="481">
        <f>SUM(E17:E21)</f>
        <v/>
      </c>
      <c r="F16" s="481">
        <f>SUM(F17:F21)</f>
        <v/>
      </c>
      <c r="G16" s="481">
        <f>SUM(G17:G21)</f>
        <v/>
      </c>
      <c r="H16" s="481">
        <f>SUM(H17:H21)</f>
        <v/>
      </c>
      <c r="I16" s="481">
        <f>F16+G16+H16</f>
        <v/>
      </c>
      <c r="J16" s="22" t="n"/>
      <c r="K16" s="22" t="n"/>
      <c r="L16" s="14" t="n"/>
    </row>
    <row r="17" ht="19.95" customFormat="1" customHeight="1" s="13">
      <c r="A17" s="50" t="inlineStr">
        <is>
          <t>1、提取法定盈余公积</t>
        </is>
      </c>
      <c r="B17" s="483" t="n"/>
      <c r="C17" s="483" t="n"/>
      <c r="D17" s="483" t="n"/>
      <c r="E17" s="481">
        <f>B17+C17+D17</f>
        <v/>
      </c>
      <c r="F17" s="482" t="n"/>
      <c r="G17" s="482" t="n"/>
      <c r="H17" s="482" t="n"/>
      <c r="I17" s="481">
        <f>F17+G17+H17</f>
        <v/>
      </c>
      <c r="J17" s="22" t="n"/>
      <c r="K17" s="22" t="n"/>
      <c r="L17" s="14" t="n"/>
    </row>
    <row r="18" ht="19.95" customFormat="1" customHeight="1" s="13">
      <c r="A18" s="50" t="inlineStr">
        <is>
          <t>2、提取任意盈余公积</t>
        </is>
      </c>
      <c r="B18" s="483" t="n"/>
      <c r="C18" s="483" t="n"/>
      <c r="D18" s="483" t="n"/>
      <c r="E18" s="481">
        <f>B18+C18+D18</f>
        <v/>
      </c>
      <c r="F18" s="482" t="n"/>
      <c r="G18" s="482" t="n"/>
      <c r="H18" s="482" t="n"/>
      <c r="I18" s="481">
        <f>F18+G18+H18</f>
        <v/>
      </c>
      <c r="J18" s="22" t="n"/>
      <c r="K18" s="22" t="n"/>
      <c r="L18" s="14" t="n"/>
    </row>
    <row r="19" ht="19.95" customFormat="1" customHeight="1" s="13">
      <c r="A19" s="50" t="inlineStr">
        <is>
          <t>3、应付现金股利</t>
        </is>
      </c>
      <c r="B19" s="483" t="n"/>
      <c r="C19" s="483" t="n"/>
      <c r="D19" s="483" t="n"/>
      <c r="E19" s="481">
        <f>B19+C19+D19</f>
        <v/>
      </c>
      <c r="F19" s="482" t="n"/>
      <c r="G19" s="482" t="n"/>
      <c r="H19" s="482" t="n"/>
      <c r="I19" s="481">
        <f>F19+G19+H19</f>
        <v/>
      </c>
      <c r="J19" s="22" t="n"/>
      <c r="K19" s="22" t="n"/>
      <c r="L19" s="14" t="n"/>
    </row>
    <row r="20" ht="19.95" customFormat="1" customHeight="1" s="13">
      <c r="A20" s="50" t="inlineStr">
        <is>
          <t>4、转作股本的股利</t>
        </is>
      </c>
      <c r="B20" s="483" t="n"/>
      <c r="C20" s="483" t="n"/>
      <c r="D20" s="483" t="n"/>
      <c r="E20" s="481">
        <f>B20+C20+D20</f>
        <v/>
      </c>
      <c r="F20" s="482" t="n"/>
      <c r="G20" s="482" t="n"/>
      <c r="H20" s="482" t="n"/>
      <c r="I20" s="481">
        <f>F20+G20+H20</f>
        <v/>
      </c>
      <c r="J20" s="22" t="n"/>
      <c r="K20" s="22" t="n"/>
      <c r="L20" s="14" t="n"/>
    </row>
    <row r="21" ht="19.95" customFormat="1" customHeight="1" s="13">
      <c r="A21" s="50" t="inlineStr">
        <is>
          <t>5、其他</t>
        </is>
      </c>
      <c r="B21" s="483" t="n"/>
      <c r="C21" s="483" t="n"/>
      <c r="D21" s="483" t="n"/>
      <c r="E21" s="481">
        <f>B21+C21+D21</f>
        <v/>
      </c>
      <c r="F21" s="482" t="n"/>
      <c r="G21" s="482" t="n"/>
      <c r="H21" s="482" t="n"/>
      <c r="I21" s="481">
        <f>F21+G21+H21</f>
        <v/>
      </c>
      <c r="J21" s="22" t="n"/>
      <c r="K21" s="22" t="n"/>
      <c r="L21" s="14" t="n"/>
    </row>
    <row r="22" ht="19.95" customFormat="1" customHeight="1" s="13">
      <c r="A22" s="74" t="inlineStr">
        <is>
          <t>六、所有者权益内部结转</t>
        </is>
      </c>
      <c r="B22" s="481">
        <f>SUM(B23:B24)</f>
        <v/>
      </c>
      <c r="C22" s="481">
        <f>SUM(C23:C24)</f>
        <v/>
      </c>
      <c r="D22" s="481">
        <f>SUM(D23:D24)</f>
        <v/>
      </c>
      <c r="E22" s="481">
        <f>SUM(E23:E24)</f>
        <v/>
      </c>
      <c r="F22" s="481">
        <f>SUM(F23:F24)</f>
        <v/>
      </c>
      <c r="G22" s="481">
        <f>SUM(G23:G24)</f>
        <v/>
      </c>
      <c r="H22" s="481">
        <f>SUM(H23:H24)</f>
        <v/>
      </c>
      <c r="I22" s="481">
        <f>F22+G22+H22</f>
        <v/>
      </c>
      <c r="J22" s="22" t="n"/>
      <c r="K22" s="22" t="n"/>
      <c r="L22" s="14" t="n"/>
    </row>
    <row r="23" ht="19.95" customFormat="1" customHeight="1" s="13">
      <c r="A23" s="50" t="inlineStr">
        <is>
          <t>1、盈余公积弥补亏损</t>
        </is>
      </c>
      <c r="B23" s="483" t="n"/>
      <c r="C23" s="483" t="n"/>
      <c r="D23" s="483" t="n"/>
      <c r="E23" s="481">
        <f>B23+C23+D23</f>
        <v/>
      </c>
      <c r="F23" s="482" t="n"/>
      <c r="G23" s="482" t="n"/>
      <c r="H23" s="482" t="n"/>
      <c r="I23" s="481">
        <f>F23+G23+H23</f>
        <v/>
      </c>
      <c r="J23" s="22" t="n"/>
      <c r="K23" s="22" t="n"/>
      <c r="L23" s="14" t="n"/>
    </row>
    <row r="24" ht="19.95" customFormat="1" customHeight="1" s="23">
      <c r="A24" s="50" t="inlineStr">
        <is>
          <t>2、其他</t>
        </is>
      </c>
      <c r="B24" s="483" t="n"/>
      <c r="C24" s="483" t="n"/>
      <c r="D24" s="483" t="n"/>
      <c r="E24" s="481">
        <f>B24+C24+D24</f>
        <v/>
      </c>
      <c r="F24" s="482" t="n"/>
      <c r="G24" s="482" t="n"/>
      <c r="H24" s="482" t="n"/>
      <c r="I24" s="481">
        <f>F24+G24+H24</f>
        <v/>
      </c>
      <c r="J24" s="22" t="n"/>
      <c r="K24" s="22" t="n"/>
    </row>
    <row r="25" ht="19.95" customFormat="1" customHeight="1" s="59">
      <c r="A25" s="72" t="inlineStr">
        <is>
          <t>七、本年年末余额</t>
        </is>
      </c>
      <c r="B25" s="484">
        <f>B13+B14+B15-B16</f>
        <v/>
      </c>
      <c r="C25" s="484">
        <f>C13+C14+C15-C16</f>
        <v/>
      </c>
      <c r="D25" s="484">
        <f>D13+D14+D15-D16</f>
        <v/>
      </c>
      <c r="E25" s="484">
        <f>E13+E14+E15-E16</f>
        <v/>
      </c>
      <c r="F25" s="484">
        <f>F13+F14+F15-F16</f>
        <v/>
      </c>
      <c r="G25" s="484">
        <f>G13+G14+G15-G16</f>
        <v/>
      </c>
      <c r="H25" s="484">
        <f>H13+H14+H15-H16</f>
        <v/>
      </c>
      <c r="I25" s="484">
        <f>F25+G25+H25</f>
        <v/>
      </c>
      <c r="J25" s="22" t="n"/>
      <c r="K25" s="22" t="n"/>
    </row>
    <row r="26" ht="19.95" customFormat="1" customHeight="1" s="23">
      <c r="A26" s="38" t="inlineStr">
        <is>
          <t>三、审计说明：</t>
        </is>
      </c>
      <c r="B26" s="13" t="n"/>
      <c r="C26" s="13" t="n"/>
      <c r="D26" s="13" t="n"/>
      <c r="E26" s="13" t="n"/>
      <c r="F26" s="13" t="n"/>
      <c r="G26" s="13" t="n"/>
      <c r="H26" s="13" t="n"/>
      <c r="I26" s="13" t="n"/>
      <c r="J26" s="13" t="n"/>
      <c r="K26" s="13" t="n"/>
    </row>
    <row r="27" ht="19.95" customHeight="1" s="347">
      <c r="A27" s="13" t="n"/>
      <c r="B27" s="13" t="n"/>
      <c r="C27" s="13" t="n"/>
      <c r="D27" s="13" t="n"/>
      <c r="E27" s="13" t="n"/>
      <c r="F27" s="13" t="n"/>
      <c r="G27" s="13" t="n"/>
      <c r="H27" s="13" t="n"/>
      <c r="I27" s="13" t="n"/>
      <c r="J27" s="13" t="n"/>
      <c r="K27" s="13" t="n"/>
    </row>
    <row r="28" ht="19.95" customHeight="1" s="347">
      <c r="A28" s="13" t="n"/>
      <c r="B28" s="13" t="n"/>
      <c r="C28" s="13" t="n"/>
      <c r="D28" s="13" t="n"/>
      <c r="E28" s="13" t="n"/>
      <c r="F28" s="13" t="n"/>
      <c r="G28" s="13" t="n"/>
      <c r="H28" s="13" t="n"/>
      <c r="I28" s="13" t="n"/>
      <c r="J28" s="13" t="n"/>
      <c r="K28" s="13" t="n"/>
    </row>
    <row r="29" ht="19.95" customHeight="1" s="347">
      <c r="A29" s="38" t="inlineStr">
        <is>
          <t>四、审计结论：</t>
        </is>
      </c>
      <c r="B29" s="26" t="n"/>
      <c r="C29" s="26" t="n"/>
      <c r="D29" s="26" t="n"/>
      <c r="E29" s="26" t="n"/>
      <c r="F29" s="26" t="n"/>
      <c r="G29" s="26" t="n"/>
      <c r="H29" s="26" t="n"/>
      <c r="I29" s="26" t="n"/>
      <c r="J29" s="26" t="n"/>
      <c r="K29" s="26" t="n"/>
    </row>
    <row r="30" ht="19.95" customHeight="1" s="347">
      <c r="A30" s="13" t="n"/>
      <c r="B30" s="26" t="n"/>
      <c r="C30" s="26" t="n"/>
      <c r="D30" s="26" t="n"/>
      <c r="E30" s="26" t="n"/>
      <c r="F30" s="26" t="n"/>
      <c r="G30" s="26" t="n"/>
      <c r="H30" s="26" t="n"/>
      <c r="I30" s="26" t="n"/>
      <c r="J30" s="26" t="n"/>
      <c r="K30" s="26" t="n"/>
    </row>
    <row r="31" ht="18" customHeight="1" s="347">
      <c r="A31" s="197" t="inlineStr">
        <is>
          <t>1、审计说明可以概述：（1）程序的测试情况、结果；（2）拟调整事项及其调整分录、未调整事项及其影响，审计范围受到限制情况及其影响。</t>
        </is>
      </c>
    </row>
    <row r="32">
      <c r="A32" s="198" t="inlineStr">
        <is>
          <t>2、审计结论可参考：A、未见异常。B、除上述重大不符事项应当作为调整事项予以调整外，其余未见异常。C、由于存在以下重大未调整事项(或审计范围受到限制无法获取充分、适当证据），不可确认。</t>
        </is>
      </c>
    </row>
  </sheetData>
  <mergeCells count="7">
    <mergeCell ref="A8:A9"/>
    <mergeCell ref="B8:E8"/>
    <mergeCell ref="F8:I8"/>
    <mergeCell ref="J8:J9"/>
    <mergeCell ref="K8:K9"/>
    <mergeCell ref="A2:K2"/>
    <mergeCell ref="A1:K1"/>
  </mergeCells>
  <hyperlinks>
    <hyperlink ref="K3" location="底稿目录!A1" display="底稿目录!A1"/>
  </hyperlinks>
  <pageMargins left="0.7086614173228347" right="0.7086614173228347" top="0.7480314960629921" bottom="0.7480314960629921" header="0.3149606299212598" footer="0.3149606299212598"/>
  <pageSetup orientation="landscape" paperSize="9" scale="85" blackAndWhite="1"/>
  <headerFooter>
    <oddHeader/>
    <oddFooter>&amp;C&amp;P/&amp;N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32"/>
  <sheetViews>
    <sheetView view="pageBreakPreview" zoomScaleNormal="100" zoomScaleSheetLayoutView="100" workbookViewId="0">
      <selection activeCell="A1" sqref="A1:J1"/>
    </sheetView>
  </sheetViews>
  <sheetFormatPr baseColWidth="8" defaultRowHeight="15.6"/>
  <cols>
    <col width="18.296875" customWidth="1" style="347" min="1" max="1"/>
    <col width="15.59765625" customWidth="1" style="347" min="2" max="2"/>
    <col width="13.5" customWidth="1" style="347" min="3" max="3"/>
    <col width="14.796875" customWidth="1" style="347" min="4" max="4"/>
    <col width="13.19921875" customWidth="1" style="347" min="5" max="5"/>
    <col width="10" customWidth="1" style="347" min="7" max="7"/>
    <col width="10.296875" customWidth="1" style="347" min="8" max="8"/>
    <col width="13.19921875" customWidth="1" style="347" min="10" max="10"/>
  </cols>
  <sheetData>
    <row r="1" ht="19.95" customHeight="1" s="347">
      <c r="A1" s="448" t="inlineStr">
        <is>
          <t>致同会计师事务所</t>
        </is>
      </c>
    </row>
    <row r="2" ht="19.95" customHeight="1" s="347">
      <c r="A2" s="449" t="inlineStr">
        <is>
          <t>未分配利润调整分录汇总表</t>
        </is>
      </c>
    </row>
    <row r="3" ht="19.95" customHeight="1" s="347">
      <c r="A3" s="446">
        <f>底稿目录!A2</f>
        <v/>
      </c>
      <c r="B3" s="446" t="n"/>
      <c r="C3" s="446" t="n"/>
      <c r="D3" s="446">
        <f>底稿目录!A4</f>
        <v/>
      </c>
      <c r="E3" s="446" t="n"/>
      <c r="F3" s="446">
        <f>底稿目录!A5</f>
        <v/>
      </c>
      <c r="H3" s="446" t="n"/>
      <c r="I3" s="451" t="inlineStr">
        <is>
          <t>索引号：</t>
        </is>
      </c>
      <c r="J3" s="355">
        <f>底稿目录!F9</f>
        <v/>
      </c>
    </row>
    <row r="4" ht="19.95" customHeight="1" s="347">
      <c r="A4" s="446">
        <f>底稿目录!A3</f>
        <v/>
      </c>
      <c r="B4" s="446" t="n"/>
      <c r="C4" s="446" t="n"/>
      <c r="D4" s="446">
        <f>底稿目录!A6</f>
        <v/>
      </c>
      <c r="E4" s="446" t="n"/>
      <c r="F4" s="446">
        <f>底稿目录!A7</f>
        <v/>
      </c>
      <c r="H4" s="446" t="n"/>
      <c r="I4" s="451" t="inlineStr">
        <is>
          <t>页   次：</t>
        </is>
      </c>
      <c r="J4" s="13" t="n"/>
    </row>
    <row r="5" ht="34.8" customHeight="1" s="347">
      <c r="A5" s="220" t="inlineStr">
        <is>
          <t>调整事项说明</t>
        </is>
      </c>
      <c r="B5" s="221" t="inlineStr">
        <is>
          <t>类别（报表调整/账项调整/其他）</t>
        </is>
      </c>
      <c r="C5" s="222" t="inlineStr">
        <is>
          <t>报表项目</t>
        </is>
      </c>
      <c r="D5" s="222" t="inlineStr">
        <is>
          <t>科目名称</t>
        </is>
      </c>
      <c r="E5" s="485" t="inlineStr">
        <is>
          <t>附注项目</t>
        </is>
      </c>
      <c r="F5" s="485" t="inlineStr">
        <is>
          <t>……</t>
        </is>
      </c>
      <c r="G5" s="485" t="inlineStr">
        <is>
          <t>借方调整金额</t>
        </is>
      </c>
      <c r="H5" s="485" t="inlineStr">
        <is>
          <t>贷方调整金额</t>
        </is>
      </c>
      <c r="I5" s="485" t="inlineStr">
        <is>
          <t>索引</t>
        </is>
      </c>
      <c r="J5" s="485" t="inlineStr">
        <is>
          <t>备注</t>
        </is>
      </c>
    </row>
    <row r="6" ht="19.95" customHeight="1" s="347">
      <c r="A6" s="191" t="n"/>
      <c r="B6" s="191" t="n"/>
      <c r="C6" s="191" t="n"/>
      <c r="D6" s="191" t="n"/>
      <c r="E6" s="191" t="n"/>
      <c r="F6" s="191" t="n"/>
      <c r="G6" s="191" t="n"/>
      <c r="H6" s="191" t="n"/>
      <c r="I6" s="191" t="n"/>
      <c r="J6" s="191" t="n"/>
    </row>
    <row r="7" ht="19.95" customHeight="1" s="347">
      <c r="A7" s="192" t="n"/>
      <c r="B7" s="191" t="n"/>
      <c r="C7" s="191" t="n"/>
      <c r="D7" s="191" t="n"/>
      <c r="E7" s="191" t="n"/>
      <c r="F7" s="191" t="n"/>
      <c r="G7" s="191" t="n"/>
      <c r="H7" s="191" t="n"/>
      <c r="I7" s="191" t="n"/>
      <c r="J7" s="191" t="n"/>
    </row>
    <row r="8" ht="19.95" customHeight="1" s="347">
      <c r="A8" s="193" t="n"/>
      <c r="B8" s="191" t="n"/>
      <c r="C8" s="191" t="n"/>
      <c r="D8" s="191" t="n"/>
      <c r="E8" s="191" t="n"/>
      <c r="F8" s="191" t="n"/>
      <c r="G8" s="191" t="n"/>
      <c r="H8" s="191" t="n"/>
      <c r="I8" s="191" t="n"/>
      <c r="J8" s="191" t="n"/>
    </row>
    <row r="9" ht="19.95" customHeight="1" s="347">
      <c r="A9" s="193" t="n"/>
      <c r="B9" s="191" t="n"/>
      <c r="C9" s="191" t="n"/>
      <c r="D9" s="191" t="n"/>
      <c r="E9" s="191" t="n"/>
      <c r="F9" s="191" t="n"/>
      <c r="G9" s="191" t="n"/>
      <c r="H9" s="191" t="n"/>
      <c r="I9" s="191" t="n"/>
      <c r="J9" s="191" t="n"/>
    </row>
    <row r="10" ht="19.95" customHeight="1" s="347">
      <c r="A10" s="193" t="n"/>
      <c r="B10" s="191" t="n"/>
      <c r="C10" s="191" t="n"/>
      <c r="D10" s="191" t="n"/>
      <c r="E10" s="191" t="n"/>
      <c r="F10" s="191" t="n"/>
      <c r="G10" s="191" t="n"/>
      <c r="H10" s="191" t="n"/>
      <c r="I10" s="191" t="n"/>
      <c r="J10" s="191" t="n"/>
    </row>
    <row r="11" ht="19.95" customHeight="1" s="347">
      <c r="A11" s="135" t="n"/>
      <c r="B11" s="191" t="n"/>
      <c r="C11" s="191" t="n"/>
      <c r="D11" s="191" t="n"/>
      <c r="E11" s="191" t="n"/>
      <c r="F11" s="191" t="n"/>
      <c r="G11" s="191" t="n"/>
      <c r="H11" s="191" t="n"/>
      <c r="I11" s="191" t="n"/>
      <c r="J11" s="191" t="n"/>
    </row>
    <row r="12" ht="19.95" customHeight="1" s="347">
      <c r="A12" s="193" t="n"/>
      <c r="B12" s="191" t="n"/>
      <c r="C12" s="191" t="n"/>
      <c r="D12" s="191" t="n"/>
      <c r="E12" s="191" t="n"/>
      <c r="F12" s="191" t="n"/>
      <c r="G12" s="191" t="n"/>
      <c r="H12" s="191" t="n"/>
      <c r="I12" s="191" t="n"/>
      <c r="J12" s="191" t="n"/>
    </row>
    <row r="13" ht="19.95" customHeight="1" s="347">
      <c r="A13" s="193" t="n"/>
      <c r="B13" s="191" t="n"/>
      <c r="C13" s="191" t="n"/>
      <c r="D13" s="191" t="n"/>
      <c r="E13" s="191" t="n"/>
      <c r="F13" s="191" t="n"/>
      <c r="G13" s="191" t="n"/>
      <c r="H13" s="191" t="n"/>
      <c r="I13" s="191" t="n"/>
      <c r="J13" s="191" t="n"/>
    </row>
    <row r="14" ht="19.95" customHeight="1" s="347">
      <c r="A14" s="193" t="n"/>
      <c r="B14" s="191" t="n"/>
      <c r="C14" s="191" t="n"/>
      <c r="D14" s="191" t="n"/>
      <c r="E14" s="191" t="n"/>
      <c r="F14" s="191" t="n"/>
      <c r="G14" s="191" t="n"/>
      <c r="H14" s="191" t="n"/>
      <c r="I14" s="191" t="n"/>
      <c r="J14" s="191" t="n"/>
    </row>
    <row r="15" ht="19.95" customHeight="1" s="347">
      <c r="A15" s="193" t="n"/>
      <c r="B15" s="191" t="n"/>
      <c r="C15" s="191" t="n"/>
      <c r="D15" s="191" t="n"/>
      <c r="E15" s="191" t="n"/>
      <c r="F15" s="191" t="n"/>
      <c r="G15" s="191" t="n"/>
      <c r="H15" s="191" t="n"/>
      <c r="I15" s="191" t="n"/>
      <c r="J15" s="191" t="n"/>
    </row>
    <row r="16" ht="19.95" customHeight="1" s="347">
      <c r="A16" s="193" t="n"/>
      <c r="B16" s="191" t="n"/>
      <c r="C16" s="191" t="n"/>
      <c r="D16" s="191" t="n"/>
      <c r="E16" s="191" t="n"/>
      <c r="F16" s="191" t="n"/>
      <c r="G16" s="191" t="n"/>
      <c r="H16" s="191" t="n"/>
      <c r="I16" s="191" t="n"/>
      <c r="J16" s="191" t="n"/>
    </row>
    <row r="17" ht="19.95" customHeight="1" s="347">
      <c r="A17" s="193" t="n"/>
      <c r="B17" s="191" t="n"/>
      <c r="C17" s="191" t="n"/>
      <c r="D17" s="191" t="n"/>
      <c r="E17" s="191" t="n"/>
      <c r="F17" s="191" t="n"/>
      <c r="G17" s="191" t="n"/>
      <c r="H17" s="191" t="n"/>
      <c r="I17" s="191" t="n"/>
      <c r="J17" s="191" t="n"/>
    </row>
    <row r="18" ht="19.95" customHeight="1" s="347">
      <c r="A18" s="193" t="n"/>
      <c r="B18" s="191" t="n"/>
      <c r="C18" s="191" t="n"/>
      <c r="D18" s="191" t="n"/>
      <c r="E18" s="191" t="n"/>
      <c r="F18" s="191" t="n"/>
      <c r="G18" s="191" t="n"/>
      <c r="H18" s="191" t="n"/>
      <c r="I18" s="191" t="n"/>
      <c r="J18" s="191" t="n"/>
    </row>
    <row r="19" ht="19.95" customHeight="1" s="347">
      <c r="A19" s="193" t="n"/>
      <c r="B19" s="191" t="n"/>
      <c r="C19" s="191" t="n"/>
      <c r="D19" s="191" t="n"/>
      <c r="E19" s="191" t="n"/>
      <c r="F19" s="191" t="n"/>
      <c r="G19" s="191" t="n"/>
      <c r="H19" s="191" t="n"/>
      <c r="I19" s="191" t="n"/>
      <c r="J19" s="191" t="n"/>
    </row>
    <row r="20" ht="19.95" customHeight="1" s="347">
      <c r="A20" s="193" t="n"/>
      <c r="B20" s="191" t="n"/>
      <c r="C20" s="191" t="n"/>
      <c r="D20" s="191" t="n"/>
      <c r="E20" s="191" t="n"/>
      <c r="F20" s="191" t="n"/>
      <c r="G20" s="191" t="n"/>
      <c r="H20" s="191" t="n"/>
      <c r="I20" s="191" t="n"/>
      <c r="J20" s="191" t="n"/>
    </row>
    <row r="21" ht="19.95" customHeight="1" s="347">
      <c r="A21" s="486" t="n"/>
      <c r="B21" s="486" t="n"/>
      <c r="C21" s="486" t="n"/>
      <c r="D21" s="487" t="n"/>
      <c r="E21" s="487" t="n"/>
      <c r="F21" s="487" t="n"/>
      <c r="G21" s="488" t="n"/>
      <c r="H21" s="488" t="n"/>
      <c r="I21" s="487" t="n"/>
      <c r="J21" s="139" t="n"/>
    </row>
    <row r="22" ht="19.95" customHeight="1" s="347">
      <c r="A22" s="6" t="n"/>
      <c r="B22" s="6" t="n"/>
      <c r="C22" s="6" t="n"/>
      <c r="D22" s="6" t="n"/>
      <c r="E22" s="140" t="n"/>
      <c r="F22" s="7" t="n"/>
      <c r="G22" s="141" t="n"/>
      <c r="H22" s="141" t="n"/>
      <c r="I22" s="141" t="n"/>
      <c r="J22" s="141" t="n"/>
    </row>
    <row r="23" ht="19.95" customHeight="1" s="347">
      <c r="A23" s="466" t="n"/>
      <c r="B23" s="6" t="n"/>
      <c r="C23" s="6" t="n"/>
      <c r="D23" s="6" t="n"/>
      <c r="E23" s="6" t="n"/>
      <c r="F23" s="6" t="n"/>
      <c r="G23" s="6" t="n"/>
      <c r="H23" s="6" t="n"/>
      <c r="I23" s="6" t="n"/>
      <c r="J23" s="6" t="n"/>
    </row>
    <row r="24" ht="19.95" customHeight="1" s="347">
      <c r="A24" s="6" t="n"/>
      <c r="B24" s="6" t="n"/>
      <c r="C24" s="6" t="n"/>
      <c r="D24" s="6" t="n"/>
      <c r="E24" s="6" t="n"/>
      <c r="F24" s="6" t="n"/>
      <c r="G24" s="6" t="n"/>
      <c r="H24" s="6" t="n"/>
      <c r="I24" s="6" t="n"/>
      <c r="J24" s="6" t="n"/>
    </row>
    <row r="25" ht="19.95" customHeight="1" s="347">
      <c r="A25" s="7" t="n"/>
      <c r="B25" s="7" t="n"/>
      <c r="C25" s="7" t="n"/>
      <c r="D25" s="6" t="n"/>
      <c r="E25" s="6" t="n"/>
      <c r="F25" s="6" t="n"/>
      <c r="G25" s="6" t="n"/>
      <c r="H25" s="6" t="n"/>
      <c r="I25" s="6" t="n"/>
      <c r="J25" s="6" t="n"/>
    </row>
    <row r="26">
      <c r="A26" s="446" t="n"/>
      <c r="B26" s="446" t="n"/>
      <c r="C26" s="446" t="n"/>
      <c r="D26" s="7" t="n"/>
      <c r="E26" s="7" t="n"/>
      <c r="F26" s="7" t="n"/>
      <c r="G26" s="7" t="n"/>
      <c r="H26" s="7" t="n"/>
      <c r="I26" s="7" t="n"/>
      <c r="J26" s="7" t="n"/>
    </row>
    <row r="27">
      <c r="A27" s="139" t="n"/>
      <c r="B27" s="139" t="n"/>
      <c r="C27" s="139" t="n"/>
      <c r="D27" s="7" t="n"/>
      <c r="E27" s="7" t="n"/>
      <c r="F27" s="7" t="n"/>
      <c r="G27" s="7" t="n"/>
      <c r="H27" s="7" t="n"/>
      <c r="I27" s="7" t="n"/>
      <c r="J27" s="7" t="n"/>
    </row>
    <row r="28">
      <c r="A28" s="139" t="n"/>
      <c r="B28" s="139" t="n"/>
      <c r="C28" s="139" t="n"/>
      <c r="D28" s="6" t="n"/>
      <c r="E28" s="6" t="n"/>
      <c r="F28" s="6" t="n"/>
      <c r="G28" s="6" t="n"/>
      <c r="H28" s="6" t="n"/>
      <c r="I28" s="6" t="n"/>
      <c r="J28" s="6" t="n"/>
    </row>
    <row r="29">
      <c r="A29" s="142" t="n"/>
      <c r="B29" s="142" t="n"/>
      <c r="C29" s="142" t="n"/>
      <c r="D29" s="142" t="n"/>
      <c r="E29" s="142" t="n"/>
      <c r="F29" s="142" t="n"/>
      <c r="G29" s="142" t="n"/>
      <c r="H29" s="142" t="n"/>
      <c r="I29" s="142" t="n"/>
      <c r="J29" s="142" t="n"/>
    </row>
    <row r="30">
      <c r="A30" s="142" t="n"/>
      <c r="B30" s="142" t="n"/>
      <c r="C30" s="142" t="n"/>
      <c r="D30" s="142" t="n"/>
      <c r="E30" s="142" t="n"/>
      <c r="F30" s="142" t="n"/>
      <c r="G30" s="142" t="n"/>
      <c r="H30" s="142" t="n"/>
      <c r="I30" s="142" t="n"/>
      <c r="J30" s="142" t="n"/>
    </row>
    <row r="31">
      <c r="A31" s="142" t="n"/>
      <c r="B31" s="142" t="n"/>
      <c r="C31" s="142" t="n"/>
      <c r="D31" s="142" t="n"/>
      <c r="E31" s="142" t="n"/>
      <c r="F31" s="142" t="n"/>
      <c r="G31" s="142" t="n"/>
      <c r="H31" s="142" t="n"/>
      <c r="I31" s="142" t="n"/>
      <c r="J31" s="142" t="n"/>
    </row>
    <row r="32">
      <c r="A32" s="142" t="n"/>
      <c r="B32" s="142" t="n"/>
      <c r="C32" s="142" t="n"/>
      <c r="D32" s="142" t="n"/>
      <c r="E32" s="142" t="n"/>
      <c r="F32" s="142" t="n"/>
      <c r="G32" s="142" t="n"/>
      <c r="H32" s="142" t="n"/>
      <c r="I32" s="142" t="n"/>
      <c r="J32" s="142" t="n"/>
    </row>
  </sheetData>
  <mergeCells count="2">
    <mergeCell ref="A1:J1"/>
    <mergeCell ref="A2:J2"/>
  </mergeCells>
  <dataValidations count="1">
    <dataValidation sqref="B6:C20" showDropDown="0" showInputMessage="1" showErrorMessage="1" allowBlank="1" type="list">
      <formula1>"账项调整,报表调整,其他"</formula1>
    </dataValidation>
  </dataValidations>
  <hyperlinks>
    <hyperlink ref="J3" location="底稿目录!A1" display="底稿目录!A1"/>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5">
    <outlinePr summaryBelow="1" summaryRight="1"/>
    <pageSetUpPr/>
  </sheetPr>
  <dimension ref="A1:P32"/>
  <sheetViews>
    <sheetView view="pageBreakPreview" zoomScaleSheetLayoutView="100" workbookViewId="0">
      <selection activeCell="P3" sqref="P3"/>
    </sheetView>
  </sheetViews>
  <sheetFormatPr baseColWidth="8" defaultColWidth="9" defaultRowHeight="15.6"/>
  <cols>
    <col width="9" customWidth="1" style="26" min="1" max="2"/>
    <col width="21.5" customWidth="1" style="26" min="3" max="3"/>
    <col width="10.8984375" customWidth="1" style="26" min="4" max="6"/>
    <col width="12.5" customWidth="1" style="26" min="7" max="7"/>
    <col width="25.5" customWidth="1" style="26" min="8" max="8"/>
    <col width="4.5" customWidth="1" style="26" min="9" max="13"/>
    <col width="7.59765625" customWidth="1" style="26" min="14" max="15"/>
    <col width="12.69921875" customWidth="1" style="26" min="16" max="16"/>
    <col width="9" customWidth="1" style="26" min="17" max="16384"/>
  </cols>
  <sheetData>
    <row r="1" ht="19.95" customFormat="1" customHeight="1" s="27">
      <c r="A1" s="333" t="inlineStr">
        <is>
          <t>致同会计师事务所</t>
        </is>
      </c>
      <c r="B1" s="0" t="n"/>
      <c r="C1" s="0" t="n"/>
      <c r="D1" s="0" t="n"/>
      <c r="E1" s="0" t="n"/>
      <c r="F1" s="0" t="n"/>
      <c r="G1" s="0" t="n"/>
      <c r="H1" s="0" t="n"/>
      <c r="I1" s="0" t="n"/>
      <c r="J1" s="0" t="n"/>
      <c r="K1" s="0" t="n"/>
      <c r="L1" s="0" t="n"/>
      <c r="M1" s="0" t="n"/>
      <c r="N1" s="0" t="n"/>
      <c r="O1" s="0" t="n"/>
      <c r="P1" s="0" t="n"/>
    </row>
    <row r="2" ht="19.95" customFormat="1" customHeight="1" s="27">
      <c r="A2" s="334" t="inlineStr">
        <is>
          <t>未分配利润检查表</t>
        </is>
      </c>
      <c r="B2" s="0" t="n"/>
      <c r="C2" s="0" t="n"/>
      <c r="D2" s="0" t="n"/>
      <c r="E2" s="0" t="n"/>
      <c r="F2" s="0" t="n"/>
      <c r="G2" s="0" t="n"/>
      <c r="H2" s="0" t="n"/>
      <c r="I2" s="0" t="n"/>
      <c r="J2" s="0" t="n"/>
      <c r="K2" s="0" t="n"/>
      <c r="L2" s="0" t="n"/>
      <c r="M2" s="0" t="n"/>
      <c r="N2" s="0" t="n"/>
      <c r="O2" s="0" t="n"/>
      <c r="P2" s="0" t="n"/>
    </row>
    <row r="3" ht="19.95" customFormat="1" customHeight="1" s="13">
      <c r="A3" s="13">
        <f>底稿目录!A2</f>
        <v/>
      </c>
      <c r="B3" s="28" t="n"/>
      <c r="C3" s="28" t="n"/>
      <c r="E3" s="28">
        <f>底稿目录!A4</f>
        <v/>
      </c>
      <c r="F3" s="28" t="n"/>
      <c r="G3" s="28" t="n"/>
      <c r="I3" s="194">
        <f>底稿目录!A5</f>
        <v/>
      </c>
      <c r="N3" s="451" t="n"/>
      <c r="O3" s="451" t="inlineStr">
        <is>
          <t>索引号：</t>
        </is>
      </c>
      <c r="P3" s="355">
        <f>底稿目录!F10</f>
        <v/>
      </c>
    </row>
    <row r="4" ht="19.95" customFormat="1" customHeight="1" s="13">
      <c r="A4" s="13">
        <f>底稿目录!A3</f>
        <v/>
      </c>
      <c r="B4" s="28" t="n"/>
      <c r="C4" s="28" t="n"/>
      <c r="E4" s="28">
        <f>底稿目录!A6</f>
        <v/>
      </c>
      <c r="F4" s="28" t="n"/>
      <c r="G4" s="28" t="n"/>
      <c r="I4" s="194">
        <f>底稿目录!A7</f>
        <v/>
      </c>
      <c r="N4" s="451" t="n"/>
      <c r="O4" s="451" t="inlineStr">
        <is>
          <t>页   次：</t>
        </is>
      </c>
      <c r="P4" s="28" t="n"/>
    </row>
    <row r="5" ht="19.95" customFormat="1" customHeight="1" s="30">
      <c r="A5" s="29" t="inlineStr">
        <is>
          <t>一、测试目标：</t>
        </is>
      </c>
      <c r="B5" s="29" t="n"/>
      <c r="C5" s="29" t="n"/>
      <c r="D5" s="29" t="n"/>
      <c r="E5" s="29" t="n"/>
      <c r="F5" s="29" t="n"/>
      <c r="G5" s="29" t="n"/>
      <c r="H5" s="29" t="n"/>
      <c r="I5" s="29" t="n"/>
      <c r="J5" s="29" t="n"/>
      <c r="K5" s="29" t="n"/>
      <c r="L5" s="29" t="n"/>
      <c r="M5" s="29" t="n"/>
      <c r="N5" s="29" t="n"/>
      <c r="O5" s="29" t="n"/>
    </row>
    <row r="6" ht="19.95" customFormat="1" customHeight="1" s="30">
      <c r="A6" s="75" t="inlineStr">
        <is>
          <t>通过凭证抽查，验证未分配利润业务的存在/发生、计价和分摊。</t>
        </is>
      </c>
      <c r="C6" s="53" t="n"/>
      <c r="D6" s="53" t="n"/>
      <c r="E6" s="53" t="n"/>
      <c r="F6" s="53" t="n"/>
      <c r="G6" s="53" t="n"/>
      <c r="H6" s="53" t="n"/>
      <c r="I6" s="53" t="n"/>
      <c r="J6" s="53" t="n"/>
      <c r="K6" s="53" t="n"/>
      <c r="L6" s="53" t="n"/>
      <c r="M6" s="53" t="n"/>
      <c r="N6" s="53" t="n"/>
      <c r="O6" s="53" t="n"/>
    </row>
    <row r="7" ht="19.95" customFormat="1" customHeight="1" s="30">
      <c r="A7" s="207" t="inlineStr">
        <is>
          <t>二、测试：</t>
        </is>
      </c>
      <c r="B7" s="31" t="n"/>
      <c r="C7" s="31" t="n"/>
      <c r="D7" s="32" t="n"/>
      <c r="E7" s="33" t="n"/>
      <c r="F7" s="33" t="n"/>
      <c r="G7" s="33" t="n"/>
    </row>
    <row r="8" ht="19.95" customFormat="1" customHeight="1" s="30">
      <c r="A8" s="200" t="inlineStr">
        <is>
          <t>测试内容说明：1.原始凭证是否齐全； 2.记账凭证与原始凭证是否相符；3.账务处理是否正确；4.是否记录于恰当的会计期间；5.……</t>
        </is>
      </c>
      <c r="B8" s="31" t="n"/>
      <c r="C8" s="31" t="n"/>
      <c r="D8" s="32" t="n"/>
      <c r="E8" s="33" t="n"/>
      <c r="F8" s="33" t="n"/>
      <c r="G8" s="33" t="n"/>
    </row>
    <row r="9" ht="19.95" customFormat="1" customHeight="1" s="13">
      <c r="A9" s="337" t="inlineStr">
        <is>
          <t>记账凭证</t>
        </is>
      </c>
      <c r="B9" s="362" t="n"/>
      <c r="C9" s="362" t="n"/>
      <c r="D9" s="362" t="n"/>
      <c r="E9" s="362" t="n"/>
      <c r="F9" s="362" t="n"/>
      <c r="G9" s="363" t="n"/>
      <c r="H9" s="338" t="inlineStr">
        <is>
          <t>支持性文件</t>
        </is>
      </c>
      <c r="I9" s="340" t="inlineStr">
        <is>
          <t>核对内容</t>
        </is>
      </c>
      <c r="J9" s="362" t="n"/>
      <c r="K9" s="362" t="n"/>
      <c r="L9" s="362" t="n"/>
      <c r="M9" s="362" t="n"/>
      <c r="N9" s="332" t="inlineStr">
        <is>
          <t>索引号</t>
        </is>
      </c>
      <c r="O9" s="489" t="inlineStr">
        <is>
          <t>是否异常</t>
        </is>
      </c>
      <c r="P9" s="490" t="inlineStr">
        <is>
          <t>备注说明</t>
        </is>
      </c>
    </row>
    <row r="10" ht="19.95" customFormat="1" customHeight="1" s="13">
      <c r="A10" s="337" t="inlineStr">
        <is>
          <t>日期</t>
        </is>
      </c>
      <c r="B10" s="337" t="inlineStr">
        <is>
          <t>凭证编号</t>
        </is>
      </c>
      <c r="C10" s="337" t="inlineStr">
        <is>
          <t>业务内容</t>
        </is>
      </c>
      <c r="D10" s="337" t="inlineStr">
        <is>
          <t>对方科目</t>
        </is>
      </c>
      <c r="E10" s="337" t="inlineStr">
        <is>
          <t>对方明细科目</t>
        </is>
      </c>
      <c r="F10" s="219" t="inlineStr">
        <is>
          <t>借方金额</t>
        </is>
      </c>
      <c r="G10" s="219" t="inlineStr">
        <is>
          <t>贷方金额</t>
        </is>
      </c>
      <c r="H10" s="372" t="n"/>
      <c r="I10" s="208" t="n">
        <v>1</v>
      </c>
      <c r="J10" s="208" t="n">
        <v>2</v>
      </c>
      <c r="K10" s="208" t="n">
        <v>3</v>
      </c>
      <c r="L10" s="208" t="n">
        <v>4</v>
      </c>
      <c r="M10" s="208" t="n">
        <v>5</v>
      </c>
      <c r="N10" s="491" t="n"/>
      <c r="O10" s="491" t="n"/>
      <c r="P10" s="372" t="n"/>
    </row>
    <row r="11" ht="19.95" customFormat="1" customHeight="1" s="13">
      <c r="A11" s="65" t="n"/>
      <c r="B11" s="34" t="n"/>
      <c r="C11" s="15" t="n"/>
      <c r="D11" s="34" t="n"/>
      <c r="E11" s="34" t="n"/>
      <c r="F11" s="34" t="n"/>
      <c r="G11" s="34" t="n"/>
      <c r="H11" s="492" t="n"/>
      <c r="I11" s="36" t="n"/>
      <c r="J11" s="36" t="n"/>
      <c r="K11" s="36" t="n"/>
      <c r="L11" s="36" t="n"/>
      <c r="M11" s="36" t="n"/>
      <c r="N11" s="36" t="n"/>
      <c r="O11" s="36" t="n"/>
      <c r="P11" s="15" t="n"/>
    </row>
    <row r="12" ht="19.95" customFormat="1" customHeight="1" s="13">
      <c r="A12" s="65" t="n"/>
      <c r="B12" s="34" t="n"/>
      <c r="C12" s="15" t="n"/>
      <c r="D12" s="34" t="n"/>
      <c r="E12" s="34" t="n"/>
      <c r="F12" s="34" t="n"/>
      <c r="G12" s="34" t="n"/>
      <c r="H12" s="492" t="n"/>
      <c r="I12" s="36" t="n"/>
      <c r="J12" s="36" t="n"/>
      <c r="K12" s="36" t="n"/>
      <c r="L12" s="36" t="n"/>
      <c r="M12" s="36" t="n"/>
      <c r="N12" s="36" t="n"/>
      <c r="O12" s="36" t="n"/>
      <c r="P12" s="15" t="n"/>
    </row>
    <row r="13" ht="19.95" customFormat="1" customHeight="1" s="13">
      <c r="A13" s="65" t="n"/>
      <c r="B13" s="34" t="n"/>
      <c r="C13" s="15" t="n"/>
      <c r="D13" s="34" t="n"/>
      <c r="E13" s="34" t="n"/>
      <c r="F13" s="34" t="n"/>
      <c r="G13" s="34" t="n"/>
      <c r="H13" s="492" t="n"/>
      <c r="I13" s="36" t="n"/>
      <c r="J13" s="36" t="n"/>
      <c r="K13" s="36" t="n"/>
      <c r="L13" s="36" t="n"/>
      <c r="M13" s="36" t="n"/>
      <c r="N13" s="36" t="n"/>
      <c r="O13" s="36" t="n"/>
      <c r="P13" s="15" t="n"/>
    </row>
    <row r="14" ht="19.95" customFormat="1" customHeight="1" s="13">
      <c r="A14" s="65" t="n"/>
      <c r="B14" s="34" t="n"/>
      <c r="C14" s="15" t="n"/>
      <c r="D14" s="34" t="n"/>
      <c r="E14" s="34" t="n"/>
      <c r="F14" s="34" t="n"/>
      <c r="G14" s="34" t="n"/>
      <c r="H14" s="492" t="n"/>
      <c r="I14" s="36" t="n"/>
      <c r="J14" s="36" t="n"/>
      <c r="K14" s="36" t="n"/>
      <c r="L14" s="36" t="n"/>
      <c r="M14" s="36" t="n"/>
      <c r="N14" s="36" t="n"/>
      <c r="O14" s="36" t="n"/>
      <c r="P14" s="15" t="n"/>
    </row>
    <row r="15" ht="19.95" customFormat="1" customHeight="1" s="13">
      <c r="A15" s="65" t="n"/>
      <c r="B15" s="34" t="n"/>
      <c r="C15" s="15" t="n"/>
      <c r="D15" s="34" t="n"/>
      <c r="E15" s="34" t="n"/>
      <c r="F15" s="34" t="n"/>
      <c r="G15" s="34" t="n"/>
      <c r="H15" s="492" t="n"/>
      <c r="I15" s="36" t="n"/>
      <c r="J15" s="36" t="n"/>
      <c r="K15" s="36" t="n"/>
      <c r="L15" s="36" t="n"/>
      <c r="M15" s="36" t="n"/>
      <c r="N15" s="36" t="n"/>
      <c r="O15" s="36" t="n"/>
      <c r="P15" s="15" t="n"/>
    </row>
    <row r="16" ht="19.95" customFormat="1" customHeight="1" s="13">
      <c r="A16" s="195" t="n"/>
      <c r="B16" s="34" t="n"/>
      <c r="C16" s="15" t="n"/>
      <c r="D16" s="34" t="n"/>
      <c r="E16" s="34" t="n"/>
      <c r="F16" s="34" t="n"/>
      <c r="G16" s="34" t="n"/>
      <c r="H16" s="492" t="n"/>
      <c r="I16" s="36" t="n"/>
      <c r="J16" s="36" t="n"/>
      <c r="K16" s="36" t="n"/>
      <c r="L16" s="36" t="n"/>
      <c r="M16" s="36" t="n"/>
      <c r="N16" s="36" t="n"/>
      <c r="O16" s="36" t="n"/>
      <c r="P16" s="15" t="n"/>
    </row>
    <row r="17" ht="19.95" customFormat="1" customHeight="1" s="13">
      <c r="A17" s="76" t="inlineStr">
        <is>
          <t>四、审计说明：</t>
        </is>
      </c>
      <c r="B17" s="25" t="n"/>
      <c r="C17" s="25" t="n"/>
      <c r="D17" s="25" t="n"/>
      <c r="E17" s="25" t="n"/>
      <c r="F17" s="25" t="n"/>
      <c r="G17" s="25" t="n"/>
      <c r="K17" s="196" t="n"/>
      <c r="L17" s="23" t="n"/>
      <c r="M17" s="24" t="n"/>
      <c r="N17" s="23" t="n"/>
      <c r="O17" s="23" t="n"/>
      <c r="P17" s="54" t="n"/>
    </row>
    <row r="18" ht="19.95" customFormat="1" customHeight="1" s="13">
      <c r="H18" s="24" t="n"/>
      <c r="I18" s="24" t="n"/>
      <c r="J18" s="24" t="n"/>
      <c r="K18" s="24" t="n"/>
      <c r="L18" s="23" t="n"/>
      <c r="M18" s="24" t="n"/>
      <c r="N18" s="23" t="n"/>
      <c r="O18" s="23" t="n"/>
      <c r="P18" s="28" t="n"/>
    </row>
    <row r="19" ht="19.95" customFormat="1" customHeight="1" s="38">
      <c r="H19" s="24" t="n"/>
      <c r="I19" s="24" t="n"/>
      <c r="J19" s="24" t="n"/>
      <c r="K19" s="24" t="n"/>
      <c r="L19" s="23" t="n"/>
      <c r="M19" s="24" t="n"/>
      <c r="N19" s="24" t="n"/>
      <c r="O19" s="24" t="n"/>
      <c r="P19" s="39" t="n"/>
    </row>
    <row r="20" ht="19.95" customFormat="1" customHeight="1" s="13">
      <c r="M20" s="28" t="n"/>
      <c r="N20" s="28" t="n"/>
      <c r="O20" s="28" t="n"/>
      <c r="P20" s="28" t="n"/>
    </row>
    <row r="21" ht="19.95" customFormat="1" customHeight="1" s="13">
      <c r="M21" s="28" t="n"/>
      <c r="N21" s="28" t="n"/>
      <c r="O21" s="28" t="n"/>
      <c r="P21" s="28" t="n"/>
    </row>
    <row r="22" ht="19.95" customFormat="1" customHeight="1" s="13">
      <c r="A22" s="38" t="inlineStr">
        <is>
          <t>五、审计结论：</t>
        </is>
      </c>
      <c r="L22" s="493" t="n"/>
      <c r="M22" s="28" t="n"/>
      <c r="N22" s="28" t="n"/>
      <c r="O22" s="28" t="n"/>
      <c r="P22" s="28" t="n"/>
    </row>
    <row r="23" ht="19.95" customFormat="1" customHeight="1" s="13">
      <c r="M23" s="28" t="n"/>
      <c r="N23" s="28" t="n"/>
      <c r="O23" s="28" t="n"/>
      <c r="P23" s="28" t="n"/>
    </row>
    <row r="24" ht="22.2" customFormat="1" customHeight="1" s="13">
      <c r="A24" s="37" t="n"/>
      <c r="C24" s="28" t="n"/>
      <c r="D24" s="28" t="n"/>
      <c r="E24" s="28" t="n"/>
      <c r="F24" s="28" t="n"/>
      <c r="G24" s="28" t="n"/>
      <c r="H24" s="28" t="n"/>
      <c r="I24" s="28" t="n"/>
      <c r="J24" s="28" t="n"/>
      <c r="K24" s="28" t="n"/>
      <c r="L24" s="28" t="n"/>
      <c r="M24" s="28" t="n"/>
      <c r="N24" s="28" t="n"/>
      <c r="O24" s="28" t="n"/>
      <c r="P24" s="28" t="n"/>
    </row>
    <row r="25" ht="21" customFormat="1" customHeight="1" s="13">
      <c r="A25" s="37" t="n"/>
      <c r="C25" s="28" t="n"/>
      <c r="D25" s="28" t="n"/>
      <c r="E25" s="28" t="n"/>
      <c r="F25" s="28" t="n"/>
      <c r="G25" s="28" t="n"/>
      <c r="H25" s="28" t="n"/>
      <c r="I25" s="28" t="n"/>
      <c r="J25" s="28" t="n"/>
      <c r="K25" s="28" t="n"/>
      <c r="L25" s="28" t="n"/>
      <c r="M25" s="28" t="n"/>
      <c r="N25" s="28" t="n"/>
      <c r="O25" s="28" t="n"/>
      <c r="P25" s="28" t="n"/>
    </row>
    <row r="26" ht="18" customFormat="1" customHeight="1" s="13">
      <c r="A26" s="77" t="n"/>
    </row>
    <row r="27" ht="18" customHeight="1" s="347">
      <c r="A27" s="40" t="n"/>
      <c r="B27" s="40" t="n"/>
    </row>
    <row r="28" ht="18" customHeight="1" s="347">
      <c r="A28" s="41" t="n"/>
      <c r="B28" s="41" t="n"/>
    </row>
    <row r="29" ht="18" customHeight="1" s="347">
      <c r="A29" s="78" t="n"/>
      <c r="B29" s="41" t="n"/>
    </row>
    <row r="30" ht="18" customHeight="1" s="347">
      <c r="A30" s="42" t="n"/>
      <c r="B30" s="41" t="n"/>
    </row>
    <row r="31" ht="18" customHeight="1" s="347">
      <c r="A31" s="42" t="n"/>
      <c r="B31" s="41" t="n"/>
    </row>
    <row r="32" ht="18" customHeight="1" s="347">
      <c r="A32" s="42" t="n"/>
      <c r="B32" s="41" t="n"/>
    </row>
  </sheetData>
  <mergeCells count="8">
    <mergeCell ref="I9:M9"/>
    <mergeCell ref="H9:H10"/>
    <mergeCell ref="A9:G9"/>
    <mergeCell ref="A1:P1"/>
    <mergeCell ref="N9:N10"/>
    <mergeCell ref="P9:P10"/>
    <mergeCell ref="O9:O10"/>
    <mergeCell ref="A2:P2"/>
  </mergeCells>
  <dataValidations count="2">
    <dataValidation sqref="C22" showDropDown="0" showInputMessage="1" showErrorMessage="1" allowBlank="1" type="list">
      <formula1>"A：未见异常，可以确认。,B：经审计调整可以确认。,C：由于存在上述重大未调整事项（或审计范围受到限制无法获取充分、适当证据），不可确认。"</formula1>
    </dataValidation>
    <dataValidation sqref="I11:M16" showDropDown="0" showInputMessage="1" showErrorMessage="1" allowBlank="1" type="list">
      <formula1>"√,X"</formula1>
    </dataValidation>
  </dataValidations>
  <hyperlinks>
    <hyperlink ref="P3" location="底稿目录!A1" display="底稿目录!A1"/>
  </hyperlinks>
  <printOptions horizontalCentered="1"/>
  <pageMargins left="0.7086614173228347" right="0.7086614173228347" top="0.7480314960629921" bottom="0.7480314960629921" header="0.3149606299212598" footer="0.3149606299212598"/>
  <pageSetup orientation="landscape" paperSize="9" scale="73" blackAndWhite="1"/>
  <headerFooter alignWithMargins="0">
    <oddHeader/>
    <oddFooter>&amp;C&amp;P/&amp;N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2007-05-20T08:51:05Z</dcterms:created>
  <dcterms:modified xmlns:dcterms="http://purl.org/dc/terms/" xmlns:xsi="http://www.w3.org/2001/XMLSchema-instance" xsi:type="dcterms:W3CDTF">2026-10-08T14:27:38Z</dcterms:modified>
  <cp:lastModifiedBy>何先琴</cp:lastModifiedBy>
  <cp:lastPrinted>2025-10-23T02:24:45Z</cp:lastPrinted>
</cp:coreProperties>
</file>