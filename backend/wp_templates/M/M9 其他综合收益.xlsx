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799"/>
  </bookViews>
  <sheets>
    <sheet name="底稿目录" sheetId="1" r:id="rId1"/>
    <sheet name="其他综合收益实质性程序表 M9A" sheetId="21" r:id="rId2"/>
    <sheet name="审定表M9-1" sheetId="16" r:id="rId3"/>
    <sheet name="附注披露信息（上市公司）" sheetId="18" r:id="rId4"/>
    <sheet name="附注披露信息（国有企业）" sheetId="20" r:id="rId5"/>
    <sheet name="明细表M9-2" sheetId="14" r:id="rId6"/>
    <sheet name="调整分录汇总M9-3" sheetId="22" r:id="rId7"/>
    <sheet name="其他综合收益核对表M9-4" sheetId="24" r:id="rId8"/>
    <sheet name="GT_Custom" sheetId="19" state="hidden" r:id="rId9"/>
  </sheets>
  <definedNames>
    <definedName name="_.dbf">#REF!</definedName>
    <definedName name="_00510">#REF!</definedName>
    <definedName name="_1、">#REF!</definedName>
    <definedName name="_1、受本循环影响的相关交易和账户余额">#REF!</definedName>
    <definedName name="_13">#REF!</definedName>
    <definedName name="_1w6_">#REF!</definedName>
    <definedName name="_1固定资产数据库_筛选打印">#REF!</definedName>
    <definedName name="_2、主要业务活动">#REF!</definedName>
    <definedName name="_2、注册会计师通常应在本循环中了解与上述业务活动相关的内部控制_如果计划在其他业务循环中对上述">#REF!</definedName>
    <definedName name="_2其他资产_开办费除外_明细表">#REF!</definedName>
    <definedName name="_3余额表_一级_.dbf">#REF!</definedName>
    <definedName name="_DAT1">#REF!</definedName>
    <definedName name="_DAT10">#REF!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localSheetId="1" hidden="1">'其他综合收益实质性程序表 M9A'!$A$15:$I$15</definedName>
    <definedName name="_xlnm._FilterDatabase" hidden="1">#REF!</definedName>
    <definedName name="_YE1">#REF!</definedName>
    <definedName name="_YS1">#REF!</definedName>
    <definedName name="_YS2">'[1]YS02-02'!#REF!</definedName>
    <definedName name="a">#REF!</definedName>
    <definedName name="a1c1">#REF!,#REF!</definedName>
    <definedName name="aa">#REF!</definedName>
    <definedName name="aaa">#REF!</definedName>
    <definedName name="aas" hidden="1">#REF!</definedName>
    <definedName name="abc" hidden="1">[2]Breakdown!#REF!</definedName>
    <definedName name="abcd" hidden="1">[2]Breakdown!#REF!</definedName>
    <definedName name="abcdefg" hidden="1">#REF!</definedName>
    <definedName name="AFV" localSheetId="7" hidden="1">#REF!</definedName>
    <definedName name="AFV" localSheetId="1" hidden="1">#REF!</definedName>
    <definedName name="AFV" hidden="1">#REF!</definedName>
    <definedName name="agmmt">#REF!</definedName>
    <definedName name="agmt">#REF!</definedName>
    <definedName name="agmt1">#REF!</definedName>
    <definedName name="al">#REF!</definedName>
    <definedName name="AS2DocOpenMode" hidden="1">"AS2DocumentEdit"</definedName>
    <definedName name="avg_days">[3]Sheet3!$A$2</definedName>
    <definedName name="a暗暗">[4]企业表一!$F$20</definedName>
    <definedName name="b">#REF!</definedName>
    <definedName name="BD">#REF!</definedName>
    <definedName name="beg_day">#REF!</definedName>
    <definedName name="beg_day1">#REF!</definedName>
    <definedName name="bs" localSheetId="7" hidden="1">{#N/A,#N/A,FALSE,"BBPREP"}</definedName>
    <definedName name="bs" hidden="1">{#N/A,#N/A,FALSE,"BBPREP"}</definedName>
    <definedName name="bs_1" localSheetId="7"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localSheetId="7" hidden="1">#REF!</definedName>
    <definedName name="CCD" localSheetId="1" hidden="1">#REF!</definedName>
    <definedName name="CCD" hidden="1">#REF!</definedName>
    <definedName name="CDE" localSheetId="7" hidden="1">#REF!</definedName>
    <definedName name="CDE" localSheetId="1"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ata" hidden="1">#REF!</definedName>
    <definedName name="data1">[5]B!#REF!</definedName>
    <definedName name="data2">[5]B!#REF!</definedName>
    <definedName name="data3">[5]B!#REF!</definedName>
    <definedName name="_xlnm.Database">#REF!</definedName>
    <definedName name="Database1">[6]B!#REF!</definedName>
    <definedName name="datarange">#REF!</definedName>
    <definedName name="DEX" localSheetId="7" hidden="1">#REF!</definedName>
    <definedName name="DEX" localSheetId="1" hidden="1">#REF!</definedName>
    <definedName name="DEX" hidden="1">#REF!</definedName>
    <definedName name="EDC" localSheetId="7" hidden="1">#REF!</definedName>
    <definedName name="EDC" localSheetId="1" hidden="1">#REF!</definedName>
    <definedName name="EDC" hidden="1">#REF!</definedName>
    <definedName name="Effective_Tax_Rate">#REF!</definedName>
    <definedName name="end_day">#REF!</definedName>
    <definedName name="ewefw">#REF!</definedName>
    <definedName name="ExRate">#REF!</definedName>
    <definedName name="FAD" localSheetId="7" hidden="1">[2]Breakdown!#REF!</definedName>
    <definedName name="FAD" localSheetId="1" hidden="1">[2]Breakdown!#REF!</definedName>
    <definedName name="FAD" hidden="1">[2]Breakdown!#REF!</definedName>
    <definedName name="FASD" localSheetId="7" hidden="1">#REF!</definedName>
    <definedName name="FASD" localSheetId="1" hidden="1">#REF!</definedName>
    <definedName name="FASD" hidden="1">#REF!</definedName>
    <definedName name="FEDC" localSheetId="7" hidden="1">'[7]2004'!#REF!</definedName>
    <definedName name="FEDC" localSheetId="1" hidden="1">'[7]2004'!#REF!</definedName>
    <definedName name="FEDC" hidden="1">'[7]2004'!#REF!</definedName>
    <definedName name="ffd">[4]企业表一!$E$20</definedName>
    <definedName name="fffdfdfd">#REF!</definedName>
    <definedName name="fix2000.dbf">#REF!</definedName>
    <definedName name="fixlj2000.dbf">#REF!</definedName>
    <definedName name="fl">#REF!</definedName>
    <definedName name="fp">#REF!</definedName>
    <definedName name="frst">#REF!,#REF!</definedName>
    <definedName name="fu">#REF!</definedName>
    <definedName name="instalment">#REF!</definedName>
    <definedName name="interest">#REF!</definedName>
    <definedName name="interest_income">#REF!</definedName>
    <definedName name="kk">#REF!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#REF!</definedName>
    <definedName name="Materiality">#REF!</definedName>
    <definedName name="method">#REF!</definedName>
    <definedName name="Monetary_Precision">#REF!</definedName>
    <definedName name="n">#REF!</definedName>
    <definedName name="neeeeee">#REF!</definedName>
    <definedName name="new">[8]A430!$A$3:$H$48</definedName>
    <definedName name="neww">'[9]loan database'!$A$1:$M$2736</definedName>
    <definedName name="newww">'[9]loan database'!$A$1:$M$2736</definedName>
    <definedName name="newwww">#REF!</definedName>
    <definedName name="newwwwwww">#REF!</definedName>
    <definedName name="no_inst">#REF!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#REF!</definedName>
    <definedName name="OtherConditions">#REF!</definedName>
    <definedName name="pp">#REF!</definedName>
    <definedName name="Pre_tax_materiality">#REF!</definedName>
    <definedName name="Precision">#REF!</definedName>
    <definedName name="_xlnm.Print_Area" localSheetId="6">'调整分录汇总M9-3'!$A$1:$J$23</definedName>
    <definedName name="_xlnm.Print_Area" localSheetId="4">'附注披露信息（国有企业）'!$A$1:$N$65</definedName>
    <definedName name="_xlnm.Print_Area" localSheetId="3">'附注披露信息（上市公司）'!$A$1:$H$25</definedName>
    <definedName name="_xlnm.Print_Area" localSheetId="5">'明细表M9-2'!$A$1:$U$33</definedName>
    <definedName name="_xlnm.Print_Area" localSheetId="7">'其他综合收益核对表M9-4'!$A$1:$I$33</definedName>
    <definedName name="_xlnm.Print_Area" localSheetId="1">'其他综合收益实质性程序表 M9A'!$A$1:$I$21</definedName>
    <definedName name="_xlnm.Print_Area" localSheetId="2">'审定表M9-1'!$A$1:$L$24</definedName>
    <definedName name="_xlnm.Print_Area">#N/A</definedName>
    <definedName name="_xlnm.Print_Titles" localSheetId="1">'其他综合收益实质性程序表 M9A'!$15:$15</definedName>
    <definedName name="_xlnm.Print_Titl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q">#REF!</definedName>
    <definedName name="qqq">#REF!</definedName>
    <definedName name="qqqqqq">#REF!</definedName>
    <definedName name="Qualitative1">#REF!</definedName>
    <definedName name="Qualitative2">#REF!</definedName>
    <definedName name="Qualitative3">#REF!</definedName>
    <definedName name="QualitativeTextBox">#REF!</definedName>
    <definedName name="rate">#REF!</definedName>
    <definedName name="RDES" localSheetId="7" hidden="1">#REF!</definedName>
    <definedName name="RDES" localSheetId="1" hidden="1">#REF!</definedName>
    <definedName name="RDES" hidden="1">#REF!</definedName>
    <definedName name="sa">#REF!</definedName>
    <definedName name="schedule">#REF!</definedName>
    <definedName name="SM_CurrentYearHyplnk">#REF!</definedName>
    <definedName name="SM_PriorYearHyplnk">#REF!</definedName>
    <definedName name="SM_WholeSheet">#REF!</definedName>
    <definedName name="SOD">#REF!</definedName>
    <definedName name="src">#REF!</definedName>
    <definedName name="sssc">#REF!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blFund">#REF!</definedName>
    <definedName name="terms">#REF!</definedName>
    <definedName name="test\">#REF!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01231102643">#REF!</definedName>
    <definedName name="UFPrn20020120153922">#REF!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VFE" localSheetId="7" hidden="1">#REF!</definedName>
    <definedName name="VFE" localSheetId="1" hidden="1">#REF!</definedName>
    <definedName name="VFE" hidden="1">#REF!</definedName>
    <definedName name="vvv">[10]E1020!#REF!</definedName>
    <definedName name="w">#REF!</definedName>
    <definedName name="wer" hidden="1">#REF!</definedName>
    <definedName name="werf">#REF!</definedName>
    <definedName name="werfwe">#REF!</definedName>
    <definedName name="wqqq">#REF!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ww">#REF!</definedName>
    <definedName name="wws">#REF!</definedName>
    <definedName name="www">#REF!</definedName>
    <definedName name="x">#REF!</definedName>
    <definedName name="XAP" localSheetId="7" hidden="1">#REF!</definedName>
    <definedName name="XAP" localSheetId="1" hidden="1">#REF!</definedName>
    <definedName name="XAP" hidden="1">#REF!</definedName>
    <definedName name="XAQ" localSheetId="7" hidden="1">#REF!</definedName>
    <definedName name="XAQ" localSheetId="1" hidden="1">#REF!</definedName>
    <definedName name="XAQ" hidden="1">#REF!</definedName>
    <definedName name="XCD" localSheetId="7" hidden="1">#REF!</definedName>
    <definedName name="XCD" localSheetId="1" hidden="1">#REF!</definedName>
    <definedName name="XCD" hidden="1">#REF!</definedName>
    <definedName name="XREF_COLUMN_1" localSheetId="7" hidden="1">#REF!</definedName>
    <definedName name="XREF_COLUMN_1" localSheetId="1" hidden="1">#REF!</definedName>
    <definedName name="XREF_COLUMN_1" hidden="1">#REF!</definedName>
    <definedName name="XREF_COLUMN_2" localSheetId="7" hidden="1">[2]Breakdown!#REF!</definedName>
    <definedName name="XREF_COLUMN_2" localSheetId="1" hidden="1">[2]Breakdown!#REF!</definedName>
    <definedName name="XREF_COLUMN_2" hidden="1">[2]Breakdown!#REF!</definedName>
    <definedName name="XREF_COLUMN_3" localSheetId="7" hidden="1">#REF!</definedName>
    <definedName name="XREF_COLUMN_3" localSheetId="1" hidden="1">#REF!</definedName>
    <definedName name="XREF_COLUMN_3" hidden="1">#REF!</definedName>
    <definedName name="XREF_COLUMN_5" localSheetId="7" hidden="1">'[7]2004'!#REF!</definedName>
    <definedName name="XREF_COLUMN_5" localSheetId="1" hidden="1">'[7]2004'!#REF!</definedName>
    <definedName name="XREF_COLUMN_5" hidden="1">'[7]2004'!#REF!</definedName>
    <definedName name="XRefActiveRow" localSheetId="7" hidden="1">#REF!</definedName>
    <definedName name="XRefActiveRow" localSheetId="1" hidden="1">#REF!</definedName>
    <definedName name="XRefActiveRow" hidden="1">#REF!</definedName>
    <definedName name="XRefColumnsCount" hidden="1">2</definedName>
    <definedName name="XRefCopy1" localSheetId="7" hidden="1">#REF!</definedName>
    <definedName name="XRefCopy1" localSheetId="1" hidden="1">#REF!</definedName>
    <definedName name="XRefCopy1" hidden="1">#REF!</definedName>
    <definedName name="XRefCopy1Row" localSheetId="7" hidden="1">#REF!</definedName>
    <definedName name="XRefCopy1Row" localSheetId="1" hidden="1">#REF!</definedName>
    <definedName name="XRefCopy1Row" hidden="1">#REF!</definedName>
    <definedName name="XRefCopy2Row" localSheetId="7" hidden="1">#REF!</definedName>
    <definedName name="XRefCopy2Row" localSheetId="1" hidden="1">#REF!</definedName>
    <definedName name="XRefCopy2Row" hidden="1">#REF!</definedName>
    <definedName name="XRefCopyRangeCount" hidden="1">2</definedName>
    <definedName name="XRefPaste1" localSheetId="7" hidden="1">#REF!</definedName>
    <definedName name="XRefPaste1" localSheetId="1" hidden="1">#REF!</definedName>
    <definedName name="XRefPaste1" hidden="1">#REF!</definedName>
    <definedName name="XRefPaste1Row" localSheetId="7" hidden="1">#REF!</definedName>
    <definedName name="XRefPaste1Row" localSheetId="1" hidden="1">#REF!</definedName>
    <definedName name="XRefPaste1Row" hidden="1">#REF!</definedName>
    <definedName name="XRefPaste2" localSheetId="7" hidden="1">#REF!</definedName>
    <definedName name="XRefPaste2" localSheetId="1" hidden="1">#REF!</definedName>
    <definedName name="XRefPaste2" hidden="1">#REF!</definedName>
    <definedName name="XRefPaste2Row" localSheetId="7" hidden="1">#REF!</definedName>
    <definedName name="XRefPaste2Row" localSheetId="1" hidden="1">#REF!</definedName>
    <definedName name="XRefPaste2Row" hidden="1">#REF!</definedName>
    <definedName name="XRefPaste3" localSheetId="7" hidden="1">#REF!</definedName>
    <definedName name="XRefPaste3" localSheetId="1" hidden="1">#REF!</definedName>
    <definedName name="XRefPaste3" hidden="1">#REF!</definedName>
    <definedName name="XRefPaste3Row" localSheetId="7" hidden="1">#REF!</definedName>
    <definedName name="XRefPaste3Row" localSheetId="1" hidden="1">#REF!</definedName>
    <definedName name="XRefPaste3Row" hidden="1">#REF!</definedName>
    <definedName name="XRefPasteRangeCount" hidden="1">2</definedName>
    <definedName name="xw9949xw">#REF!</definedName>
    <definedName name="xxs">#REF!</definedName>
    <definedName name="YE">#REF!</definedName>
    <definedName name="year_end">[3]Sheet3!$A$1</definedName>
    <definedName name="z">#REF!</definedName>
    <definedName name="zjgch2000.dbf">#REF!</definedName>
    <definedName name="zsw">#REF!</definedName>
    <definedName name="zz">#REF!</definedName>
    <definedName name="zzz">#REF!</definedName>
    <definedName name="暗暗审">'[4]M-5A'!$B$10</definedName>
    <definedName name="八">#REF!</definedName>
    <definedName name="保管费清单">#REF!</definedName>
    <definedName name="本循环科目" localSheetId="7" hidden="1">[11]索引!$D$15:$D$76</definedName>
    <definedName name="本循环科目" hidden="1">[12]索引!$D$15:$D$76</definedName>
    <definedName name="编号">#REF!</definedName>
    <definedName name="编制">[13]表头!$B$3</definedName>
    <definedName name="不使用">#REF!</definedName>
    <definedName name="财务费用.dbf">#REF!</definedName>
    <definedName name="查询3">#REF!</definedName>
    <definedName name="陈勇">#REF!</definedName>
    <definedName name="存货93期初">[14]企业表一!$C$7</definedName>
    <definedName name="存货93期末">[14]企业表一!$D$7</definedName>
    <definedName name="存货94期初">[14]企业表一!$E$7</definedName>
    <definedName name="存货94期末">[14]企业表一!$F$7</definedName>
    <definedName name="存货95期初">[14]企业表一!$G$7</definedName>
    <definedName name="存货95期末">[14]企业表一!$H$7</definedName>
    <definedName name="待处理固定资产净损失明细表">#REF!</definedName>
    <definedName name="待摊费用.dbf">#REF!</definedName>
    <definedName name="当前明细帐">#REF!</definedName>
    <definedName name="底稿目录" localSheetId="7" hidden="1">#REF!</definedName>
    <definedName name="底稿目录" localSheetId="1" hidden="1">#REF!</definedName>
    <definedName name="底稿目录" hidden="1">#REF!</definedName>
    <definedName name="短期">#REF!</definedName>
    <definedName name="短期借款.dbf">#REF!</definedName>
    <definedName name="短期投资_债券_明细表">#REF!</definedName>
    <definedName name="短期投资股票投资.dbf">[15]短期投资股票投资.dbf!$A$1:$H$38</definedName>
    <definedName name="短期投资国债投资.dbf">[15]短期投资国债投资.dbf!$A$1:$H$91</definedName>
    <definedName name="二">#REF!</definedName>
    <definedName name="发生额及余额表">#REF!</definedName>
    <definedName name="负债合计93期末">[14]企业表一!$D$17</definedName>
    <definedName name="负债合计94期末">[14]企业表一!$F$17</definedName>
    <definedName name="负债合计95期末">[14]企业表一!$H$17</definedName>
    <definedName name="复核">[13]表头!$B$4</definedName>
    <definedName name="股票投资收益.dbf">[15]股票投资收益.dbf!$A$1:$H$44</definedName>
    <definedName name="固定资产.dbf">#REF!</definedName>
    <definedName name="固定资产及累计折旧明细帐">#REF!</definedName>
    <definedName name="固定资产清单">[16]清单12.31!$A$1:$Q$170</definedName>
    <definedName name="管理费用明细表">#REF!</definedName>
    <definedName name="合并价差明细表">#REF!</definedName>
    <definedName name="和">#REF!</definedName>
    <definedName name="核算项目明细账_1133">#REF!</definedName>
    <definedName name="核算项目明细账_122">#REF!</definedName>
    <definedName name="核算项目明细账_1603">#REF!</definedName>
    <definedName name="汇率">#REF!</definedName>
    <definedName name="会计分录序时簿">#REF!</definedName>
    <definedName name="计划">#REF!</definedName>
    <definedName name="截止">[13]表头!$B$2</definedName>
    <definedName name="净_利_润93">'[14]M-5C'!$B$24</definedName>
    <definedName name="净_利_润94">'[14]M-5C'!$D$24</definedName>
    <definedName name="净_利_润95">'[14]M-5C'!$F$24</definedName>
    <definedName name="净资产合计93期初">[14]企业表一!$C$20</definedName>
    <definedName name="净资产合计93期末">[14]企业表一!$D$20</definedName>
    <definedName name="净资产合计94期初">[14]企业表一!$E$20</definedName>
    <definedName name="净资产合计94期末">[14]企业表一!$F$20</definedName>
    <definedName name="净资产合计95期初">[14]企业表一!$G$20</definedName>
    <definedName name="净资产合计95期末">[14]企业表一!$H$20</definedName>
    <definedName name="开办费明细表">#REF!</definedName>
    <definedName name="科目余额表">[17]科目余额表!$A$2:$F$374</definedName>
    <definedName name="客户">[13]表头!$B$1</definedName>
    <definedName name="累计折旧明细表">#REF!</definedName>
    <definedName name="累计折旧余额表.dbf">#REF!</definedName>
    <definedName name="利_润_总_额93">'[14]M-5A'!$B$10</definedName>
    <definedName name="利_润_总_额94">'[14]M-5A'!$C$10</definedName>
    <definedName name="利_润_总_额95">'[14]M-5A'!$D$10</definedName>
    <definedName name="流_动_资_产93">'[14]M-5A'!$B$15</definedName>
    <definedName name="流_动_资_产94">'[14]M-5A'!$C$15</definedName>
    <definedName name="流_动_资_产95">'[14]M-5A'!$D$15</definedName>
    <definedName name="流动负债93期末">[14]企业表一!$D$15</definedName>
    <definedName name="流动负债94期末">[14]企业表一!$F$15</definedName>
    <definedName name="流动负债95期末">[14]企业表一!$H$15</definedName>
    <definedName name="六">#REF!</definedName>
    <definedName name="_xlnm.Recorder">#REF!</definedName>
    <definedName name="孟傻">#REF!</definedName>
    <definedName name="明细分类账">#REF!</definedName>
    <definedName name="明细账">#REF!</definedName>
    <definedName name="盘点">#REF!</definedName>
    <definedName name="七">#REF!</definedName>
    <definedName name="其他货币海通.dbf">[15]其他货币海通.dbf!$A$1:$H$13</definedName>
    <definedName name="其他货币零领路.dbf">[15]其他货币零领路.dbf!$A$1:$H$149</definedName>
    <definedName name="其他货币资金.dbf">[18]其他货币资金.dbf!$A$1:$H$25</definedName>
    <definedName name="其他货币资金明细表">#REF!</definedName>
    <definedName name="其他未交款明细表">#REF!</definedName>
    <definedName name="其他业务收入.dbf">#REF!</definedName>
    <definedName name="其他业务支出.dbf">#REF!</definedName>
    <definedName name="其他应付款明细表">#REF!</definedName>
    <definedName name="其他应收款明细表">#REF!</definedName>
    <definedName name="全球">#REF!</definedName>
    <definedName name="日期">#REF!</definedName>
    <definedName name="日期1">[13]表头!$B$5</definedName>
    <definedName name="日期2">[13]表头!$B$6</definedName>
    <definedName name="三">#REF!</definedName>
    <definedName name="上海中星_集团_公司开发产品明细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事实上">[19]B!#REF!</definedName>
    <definedName name="四">#REF!</definedName>
    <definedName name="速_动_资_产93">'[14]M-5A'!$B$14</definedName>
    <definedName name="速_动_资_产94">'[14]M-5A'!$C$14</definedName>
    <definedName name="速_动_资_产95">'[14]M-5A'!$D$14</definedName>
    <definedName name="损益余额表.dbf">#REF!</definedName>
    <definedName name="投资收益债券.dbf">[15]投资收益债券.dbf!$A$1:$H$56</definedName>
    <definedName name="委托贷款.dbf">#REF!</definedName>
    <definedName name="未交税金明细表">#REF!</definedName>
    <definedName name="未完流水帐">#REF!</definedName>
    <definedName name="喂喂喂" hidden="1">#REF!</definedName>
    <definedName name="无对应明细表的报表项目">#REF!</definedName>
    <definedName name="五">#REF!</definedName>
    <definedName name="新目录" localSheetId="7" hidden="1">#REF!</definedName>
    <definedName name="新目录" localSheetId="1" hidden="1">#REF!</definedName>
    <definedName name="新目录" hidden="1">#REF!</definedName>
    <definedName name="徐雯990720">#REF!</definedName>
    <definedName name="一">#REF!</definedName>
    <definedName name="银行存款.dbf">[18]银行存款.dbf!$A$1:$H$21</definedName>
    <definedName name="应付福利费.dbf">#REF!</definedName>
    <definedName name="应付工资.dbf">#REF!</definedName>
    <definedName name="应付票据明细表">#REF!</definedName>
    <definedName name="应收帐款93期初">[14]企业表一!$C$6</definedName>
    <definedName name="应收帐款93期末">[14]企业表一!$D$6</definedName>
    <definedName name="应收帐款94期初">[14]企业表一!$E$6</definedName>
    <definedName name="应收帐款94期末">[14]企业表一!$F$6</definedName>
    <definedName name="应收帐款95期初">[14]企业表一!$G$6</definedName>
    <definedName name="应收帐款95期末">[14]企业表一!$H$6</definedName>
    <definedName name="营业外支出明细表">#REF!</definedName>
    <definedName name="余额表.dbf">#REF!</definedName>
    <definedName name="预付帐款明细表">#REF!</definedName>
    <definedName name="预收货款明细表">#REF!</definedName>
    <definedName name="预提费用明细表">#REF!</definedName>
    <definedName name="在建工程.dbf">#REF!</definedName>
    <definedName name="制造费用11">#REF!</definedName>
    <definedName name="资产合计93期初">[14]企业表一!$C$14</definedName>
    <definedName name="资产合计93期末">[14]企业表一!$D$14</definedName>
    <definedName name="资产合计94期初">[14]企业表一!$E$14</definedName>
    <definedName name="资产合计94期末">[14]企业表一!$F$14</definedName>
    <definedName name="资产合计95期初">[14]企业表一!$G$14</definedName>
    <definedName name="资产合计95期末">[14]企业表一!$H$14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 i="14" l="1"/>
  <c r="R17" i="14"/>
  <c r="T11" i="14"/>
  <c r="S11" i="14"/>
  <c r="G11" i="14"/>
  <c r="Q11" i="14"/>
  <c r="P11" i="14"/>
  <c r="P10" i="14"/>
  <c r="I3" i="24" l="1"/>
  <c r="F4" i="24"/>
  <c r="F3" i="24"/>
  <c r="C4" i="24"/>
  <c r="C3" i="24"/>
  <c r="A4" i="24"/>
  <c r="A3" i="24"/>
  <c r="J3" i="22"/>
  <c r="U3" i="14"/>
  <c r="L3" i="16"/>
  <c r="I3" i="21"/>
  <c r="E27" i="24" l="1"/>
  <c r="H27" i="24" s="1"/>
  <c r="H26" i="24"/>
  <c r="H25" i="24"/>
  <c r="E24" i="24"/>
  <c r="H24" i="24" s="1"/>
  <c r="E23" i="24"/>
  <c r="H23" i="24" s="1"/>
  <c r="E22" i="24"/>
  <c r="H22" i="24" s="1"/>
  <c r="E21" i="24"/>
  <c r="H21" i="24" s="1"/>
  <c r="E20" i="24"/>
  <c r="H20" i="24" s="1"/>
  <c r="E19" i="24"/>
  <c r="H19" i="24" s="1"/>
  <c r="G18" i="24"/>
  <c r="D18" i="24"/>
  <c r="C18" i="24"/>
  <c r="B18" i="24"/>
  <c r="E17" i="24"/>
  <c r="H17" i="24" s="1"/>
  <c r="H16" i="24"/>
  <c r="E16" i="24"/>
  <c r="E15" i="24"/>
  <c r="H15" i="24" s="1"/>
  <c r="E14" i="24"/>
  <c r="H14" i="24" s="1"/>
  <c r="E13" i="24"/>
  <c r="H13" i="24" s="1"/>
  <c r="G12" i="24"/>
  <c r="G28" i="24" s="1"/>
  <c r="D12" i="24"/>
  <c r="C12" i="24"/>
  <c r="B12" i="24"/>
  <c r="E12" i="24" s="1"/>
  <c r="C28" i="24" l="1"/>
  <c r="D28" i="24"/>
  <c r="E18" i="24"/>
  <c r="H18" i="24" s="1"/>
  <c r="E28" i="24"/>
  <c r="H28" i="24" s="1"/>
  <c r="H12" i="24"/>
  <c r="B28" i="24"/>
  <c r="D50" i="20"/>
  <c r="H50" i="20"/>
  <c r="J50" i="20"/>
  <c r="D47" i="20"/>
  <c r="H47" i="20"/>
  <c r="J47" i="20"/>
  <c r="D44" i="20"/>
  <c r="H44" i="20"/>
  <c r="J44" i="20"/>
  <c r="D41" i="20"/>
  <c r="F41" i="20"/>
  <c r="H41" i="20"/>
  <c r="J41" i="20"/>
  <c r="L41" i="20"/>
  <c r="F38" i="20"/>
  <c r="D38" i="20"/>
  <c r="H38" i="20"/>
  <c r="J38" i="20"/>
  <c r="L38" i="20"/>
  <c r="B38" i="20"/>
  <c r="D35" i="20"/>
  <c r="H35" i="20"/>
  <c r="J35" i="20"/>
  <c r="D32" i="20"/>
  <c r="H32" i="20"/>
  <c r="J32" i="20"/>
  <c r="D28" i="20"/>
  <c r="F28" i="20"/>
  <c r="H28" i="20"/>
  <c r="J28" i="20"/>
  <c r="L28" i="20"/>
  <c r="B28" i="20"/>
  <c r="D25" i="20"/>
  <c r="F25" i="20"/>
  <c r="H25" i="20"/>
  <c r="J25" i="20"/>
  <c r="J16" i="20" s="1"/>
  <c r="L25" i="20"/>
  <c r="D22" i="20"/>
  <c r="F22" i="20"/>
  <c r="H22" i="20"/>
  <c r="J22" i="20"/>
  <c r="L22" i="20"/>
  <c r="B22" i="20"/>
  <c r="J19" i="20"/>
  <c r="H19" i="20"/>
  <c r="H16" i="20" s="1"/>
  <c r="D19" i="20"/>
  <c r="D16" i="20" s="1"/>
  <c r="B25" i="20"/>
  <c r="B41" i="20" l="1"/>
  <c r="K10" i="14"/>
  <c r="G12" i="14"/>
  <c r="G13" i="14"/>
  <c r="G14" i="14"/>
  <c r="E10" i="14"/>
  <c r="N10" i="14"/>
  <c r="P13" i="14"/>
  <c r="B11" i="18" s="1"/>
  <c r="Q13" i="14"/>
  <c r="S13" i="14"/>
  <c r="D13" i="20" s="1"/>
  <c r="P14" i="14"/>
  <c r="B12" i="18" s="1"/>
  <c r="Q14" i="14"/>
  <c r="C12" i="18" s="1"/>
  <c r="S14" i="14"/>
  <c r="D14" i="20" s="1"/>
  <c r="B13" i="20"/>
  <c r="F15" i="20"/>
  <c r="P18" i="14"/>
  <c r="B16" i="18" s="1"/>
  <c r="Q18" i="14"/>
  <c r="R18" i="14"/>
  <c r="S18" i="14"/>
  <c r="P19" i="14"/>
  <c r="Q19" i="14"/>
  <c r="C17" i="18" s="1"/>
  <c r="R19" i="14"/>
  <c r="D17" i="18" s="1"/>
  <c r="S19" i="14"/>
  <c r="E17" i="18" s="1"/>
  <c r="P20" i="14"/>
  <c r="T20" i="14" s="1"/>
  <c r="Q20" i="14"/>
  <c r="R20" i="14"/>
  <c r="S20" i="14"/>
  <c r="E18" i="18" s="1"/>
  <c r="P21" i="14"/>
  <c r="B19" i="18" s="1"/>
  <c r="H19" i="18" s="1"/>
  <c r="Q21" i="14"/>
  <c r="B29" i="20" s="1"/>
  <c r="R21" i="14"/>
  <c r="S21" i="14"/>
  <c r="E19" i="18" s="1"/>
  <c r="P22" i="14"/>
  <c r="B20" i="18" s="1"/>
  <c r="H20" i="18" s="1"/>
  <c r="Q22" i="14"/>
  <c r="R22" i="14"/>
  <c r="D20" i="18" s="1"/>
  <c r="S22" i="14"/>
  <c r="E20" i="18" s="1"/>
  <c r="P23" i="14"/>
  <c r="Q23" i="14"/>
  <c r="R23" i="14"/>
  <c r="S23" i="14"/>
  <c r="P24" i="14"/>
  <c r="Q24" i="14"/>
  <c r="R24" i="14"/>
  <c r="S24" i="14"/>
  <c r="G18" i="14"/>
  <c r="G19" i="14"/>
  <c r="G20" i="14"/>
  <c r="G21" i="14"/>
  <c r="H21" i="18"/>
  <c r="C16" i="18"/>
  <c r="D16" i="18"/>
  <c r="E16" i="18"/>
  <c r="C18" i="18"/>
  <c r="D18" i="18"/>
  <c r="D19" i="18"/>
  <c r="C20" i="18"/>
  <c r="C11" i="18"/>
  <c r="E11" i="18"/>
  <c r="E12" i="18"/>
  <c r="H13" i="18"/>
  <c r="B18" i="18" l="1"/>
  <c r="T18" i="14"/>
  <c r="T23" i="14"/>
  <c r="T19" i="14"/>
  <c r="T14" i="14"/>
  <c r="C19" i="18"/>
  <c r="T24" i="14"/>
  <c r="T22" i="14"/>
  <c r="B17" i="18"/>
  <c r="T13" i="14"/>
  <c r="F13" i="20"/>
  <c r="B14" i="20"/>
  <c r="F14" i="20" s="1"/>
  <c r="T21" i="14"/>
  <c r="H10" i="20"/>
  <c r="H51" i="20" s="1"/>
  <c r="J10" i="20"/>
  <c r="C16" i="14"/>
  <c r="F4" i="22" l="1"/>
  <c r="F3" i="22"/>
  <c r="D4" i="22"/>
  <c r="D3" i="22"/>
  <c r="A4" i="22"/>
  <c r="A3" i="22"/>
  <c r="L4" i="14" l="1"/>
  <c r="G4" i="20"/>
  <c r="D4" i="18"/>
  <c r="H4" i="16"/>
  <c r="E4" i="21"/>
  <c r="E4" i="14"/>
  <c r="C4" i="20"/>
  <c r="C4" i="18"/>
  <c r="D4" i="16"/>
  <c r="C4" i="21"/>
  <c r="E3" i="21" l="1"/>
  <c r="C3" i="21"/>
  <c r="A4" i="21"/>
  <c r="A3" i="21"/>
  <c r="R25" i="14"/>
  <c r="R26" i="14"/>
  <c r="S25" i="14"/>
  <c r="E23" i="18" s="1"/>
  <c r="S26" i="14"/>
  <c r="S17" i="14"/>
  <c r="E15" i="18" s="1"/>
  <c r="S12" i="14"/>
  <c r="E10" i="18" s="1"/>
  <c r="S15" i="14"/>
  <c r="E9" i="18"/>
  <c r="Q17" i="14"/>
  <c r="Q25" i="14"/>
  <c r="Q26" i="14"/>
  <c r="Q12" i="14"/>
  <c r="C10" i="18" s="1"/>
  <c r="Q15" i="14"/>
  <c r="C9" i="18"/>
  <c r="G17" i="14"/>
  <c r="Q16" i="14" l="1"/>
  <c r="J51" i="20"/>
  <c r="B49" i="20"/>
  <c r="B48" i="20"/>
  <c r="B46" i="20"/>
  <c r="B45" i="20"/>
  <c r="B43" i="20"/>
  <c r="B42" i="20"/>
  <c r="B34" i="20"/>
  <c r="F34" i="20" s="1"/>
  <c r="B33" i="20"/>
  <c r="B30" i="20"/>
  <c r="B32" i="20" s="1"/>
  <c r="B12" i="20"/>
  <c r="B35" i="20" l="1"/>
  <c r="B47" i="20"/>
  <c r="B50" i="20"/>
  <c r="B44" i="20"/>
  <c r="F10" i="14"/>
  <c r="C23" i="18"/>
  <c r="D23" i="18"/>
  <c r="I16" i="14"/>
  <c r="D8" i="16" s="1"/>
  <c r="J16" i="14"/>
  <c r="K16" i="14"/>
  <c r="K27" i="14" s="1"/>
  <c r="L16" i="14"/>
  <c r="M16" i="14"/>
  <c r="N16" i="14"/>
  <c r="N27" i="14" s="1"/>
  <c r="O16" i="14"/>
  <c r="H16" i="14"/>
  <c r="C8" i="16" s="1"/>
  <c r="I10" i="14"/>
  <c r="J10" i="14"/>
  <c r="L10" i="14"/>
  <c r="M10" i="14"/>
  <c r="O10" i="14"/>
  <c r="H10" i="14"/>
  <c r="S10" i="14"/>
  <c r="E8" i="18" s="1"/>
  <c r="P12" i="14"/>
  <c r="B10" i="18" s="1"/>
  <c r="H10" i="18" s="1"/>
  <c r="D12" i="20"/>
  <c r="P15" i="14"/>
  <c r="P17" i="14"/>
  <c r="B15" i="18" s="1"/>
  <c r="B17" i="20"/>
  <c r="B18" i="20"/>
  <c r="P25" i="14"/>
  <c r="B23" i="18" s="1"/>
  <c r="P26" i="14"/>
  <c r="T26" i="14" s="1"/>
  <c r="D16" i="14"/>
  <c r="E16" i="14"/>
  <c r="F16" i="14"/>
  <c r="B8" i="16"/>
  <c r="G15" i="14"/>
  <c r="G22" i="14"/>
  <c r="G23" i="14"/>
  <c r="G24" i="14"/>
  <c r="G25" i="14"/>
  <c r="G26" i="14"/>
  <c r="C10" i="14"/>
  <c r="B19" i="20" l="1"/>
  <c r="B16" i="20" s="1"/>
  <c r="H27" i="14"/>
  <c r="O27" i="14"/>
  <c r="T25" i="14"/>
  <c r="L27" i="14"/>
  <c r="J27" i="14"/>
  <c r="F27" i="14"/>
  <c r="P16" i="14"/>
  <c r="H8" i="16"/>
  <c r="M27" i="14"/>
  <c r="H7" i="16"/>
  <c r="D7" i="16"/>
  <c r="S16" i="14"/>
  <c r="E14" i="18" s="1"/>
  <c r="E24" i="18" s="1"/>
  <c r="G8" i="16"/>
  <c r="D15" i="18"/>
  <c r="T17" i="14"/>
  <c r="C15" i="18"/>
  <c r="C27" i="14"/>
  <c r="G7" i="16"/>
  <c r="C7" i="16"/>
  <c r="Q10" i="14"/>
  <c r="Q27" i="14" s="1"/>
  <c r="B11" i="20"/>
  <c r="B7" i="16"/>
  <c r="B8" i="18"/>
  <c r="H8" i="18" s="1"/>
  <c r="B9" i="18"/>
  <c r="H9" i="18" s="1"/>
  <c r="D11" i="20"/>
  <c r="D10" i="20" s="1"/>
  <c r="D51" i="20" s="1"/>
  <c r="T15" i="14"/>
  <c r="T12" i="14"/>
  <c r="I27" i="14"/>
  <c r="G16" i="14"/>
  <c r="F8" i="16" s="1"/>
  <c r="B10" i="20" l="1"/>
  <c r="B51" i="20" s="1"/>
  <c r="F11" i="20"/>
  <c r="E8" i="16"/>
  <c r="B14" i="18"/>
  <c r="H14" i="18" s="1"/>
  <c r="H24" i="18" s="1"/>
  <c r="D14" i="18"/>
  <c r="D24" i="18" s="1"/>
  <c r="T16" i="14"/>
  <c r="I8" i="16" s="1"/>
  <c r="S27" i="14"/>
  <c r="C14" i="18"/>
  <c r="C8" i="18"/>
  <c r="E7" i="16"/>
  <c r="T10" i="14"/>
  <c r="R27" i="14"/>
  <c r="P27" i="14"/>
  <c r="C24" i="18" l="1"/>
  <c r="B24" i="18"/>
  <c r="T27" i="14"/>
  <c r="I7" i="16"/>
  <c r="I10" i="16" s="1"/>
  <c r="I12" i="16" s="1"/>
  <c r="H3" i="16"/>
  <c r="H10" i="16"/>
  <c r="G10" i="16"/>
  <c r="E10" i="16"/>
  <c r="E12" i="16" s="1"/>
  <c r="D10" i="16"/>
  <c r="C10" i="16"/>
  <c r="B10" i="16"/>
  <c r="J9" i="16"/>
  <c r="K9" i="16" s="1"/>
  <c r="J8" i="16"/>
  <c r="K8" i="16" s="1"/>
  <c r="J7" i="16" l="1"/>
  <c r="K7" i="16" s="1"/>
  <c r="J10" i="16"/>
  <c r="K10" i="16" s="1"/>
  <c r="J59" i="20"/>
  <c r="J60" i="20"/>
  <c r="J61" i="20"/>
  <c r="J58" i="20"/>
  <c r="L49" i="20"/>
  <c r="L48" i="20"/>
  <c r="L50" i="20" s="1"/>
  <c r="L46" i="20"/>
  <c r="L45" i="20"/>
  <c r="L47" i="20" s="1"/>
  <c r="L43" i="20"/>
  <c r="L42" i="20"/>
  <c r="L44" i="20" s="1"/>
  <c r="L34" i="20"/>
  <c r="L33" i="20"/>
  <c r="L35" i="20" s="1"/>
  <c r="L31" i="20"/>
  <c r="L30" i="20"/>
  <c r="L29" i="20"/>
  <c r="L18" i="20"/>
  <c r="L17" i="20"/>
  <c r="L15" i="20"/>
  <c r="L12" i="20"/>
  <c r="L11" i="20"/>
  <c r="L10" i="20" s="1"/>
  <c r="F12" i="20"/>
  <c r="F17" i="20"/>
  <c r="F18" i="20"/>
  <c r="F29" i="20"/>
  <c r="F30" i="20"/>
  <c r="F31" i="20"/>
  <c r="F33" i="20"/>
  <c r="F35" i="20" s="1"/>
  <c r="F42" i="20"/>
  <c r="F43" i="20"/>
  <c r="F45" i="20"/>
  <c r="F46" i="20"/>
  <c r="F48" i="20"/>
  <c r="F50" i="20" s="1"/>
  <c r="F49" i="20"/>
  <c r="H15" i="18"/>
  <c r="H16" i="18"/>
  <c r="H17" i="18"/>
  <c r="H18" i="18"/>
  <c r="H23" i="18"/>
  <c r="A4" i="20"/>
  <c r="G3" i="20"/>
  <c r="C3" i="20"/>
  <c r="A3" i="20"/>
  <c r="A4" i="18"/>
  <c r="D3" i="18"/>
  <c r="C3" i="18"/>
  <c r="A3" i="18"/>
  <c r="L3" i="14"/>
  <c r="E3" i="14"/>
  <c r="D3" i="16"/>
  <c r="A4" i="16"/>
  <c r="A3" i="16"/>
  <c r="D10" i="14"/>
  <c r="D27" i="14" s="1"/>
  <c r="A4" i="14"/>
  <c r="A3" i="14"/>
  <c r="F47" i="20" l="1"/>
  <c r="F19" i="20"/>
  <c r="F32" i="20"/>
  <c r="F44" i="20"/>
  <c r="L19" i="20"/>
  <c r="L32" i="20"/>
  <c r="F10" i="20"/>
  <c r="E27" i="14"/>
  <c r="G10" i="14"/>
  <c r="F16" i="20" l="1"/>
  <c r="F51" i="20" s="1"/>
  <c r="L16" i="20"/>
  <c r="L51" i="20" s="1"/>
  <c r="G27" i="14"/>
  <c r="F7" i="16"/>
  <c r="F10" i="16" l="1"/>
</calcChain>
</file>

<file path=xl/comments1.xml><?xml version="1.0" encoding="utf-8"?>
<comments xmlns="http://schemas.openxmlformats.org/spreadsheetml/2006/main">
  <authors>
    <author>1</author>
  </authors>
  <commentList>
    <comment ref="E12"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2"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2.xml><?xml version="1.0" encoding="utf-8"?>
<comments xmlns="http://schemas.openxmlformats.org/spreadsheetml/2006/main">
  <authors>
    <author>Windows 用户</author>
  </authors>
  <commentList>
    <comment ref="A13"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 ref="A14"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 ref="A18"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 ref="A19"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 ref="A20"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List>
</comments>
</file>

<file path=xl/sharedStrings.xml><?xml version="1.0" encoding="utf-8"?>
<sst xmlns="http://schemas.openxmlformats.org/spreadsheetml/2006/main" count="459" uniqueCount="315">
  <si>
    <t>索引号：</t>
  </si>
  <si>
    <r>
      <t>1</t>
    </r>
    <r>
      <rPr>
        <b/>
        <sz val="10"/>
        <rFont val="宋体"/>
        <family val="3"/>
        <charset val="134"/>
      </rPr>
      <t>、审计说明</t>
    </r>
    <r>
      <rPr>
        <sz val="10"/>
        <color indexed="12"/>
        <rFont val="宋体"/>
        <family val="3"/>
        <charset val="134"/>
      </rPr>
      <t/>
    </r>
    <phoneticPr fontId="18" type="noConversion"/>
  </si>
  <si>
    <t xml:space="preserve">
</t>
    <phoneticPr fontId="18" type="noConversion"/>
  </si>
  <si>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</si>
  <si>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</si>
  <si>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</si>
  <si>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</si>
  <si>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</si>
  <si>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</si>
  <si>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</si>
  <si>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</si>
  <si>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</si>
  <si>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</si>
  <si>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</si>
  <si>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</si>
  <si>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</si>
  <si>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</si>
  <si>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</si>
  <si>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</si>
  <si>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</si>
  <si>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</si>
  <si>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本期发生额</t>
  </si>
  <si>
    <t>上期发生额</t>
  </si>
  <si>
    <t>税前金额</t>
  </si>
  <si>
    <t>所得税</t>
  </si>
  <si>
    <t>税后净额</t>
  </si>
  <si>
    <t>减：前期计入其他综合收益当期转入损益</t>
  </si>
  <si>
    <t>减：前期计入其他综合收益当期转入损益的净额</t>
  </si>
  <si>
    <t>重新计量设定受益计划净负债或净资产的变动</t>
  </si>
  <si>
    <t>权益法下在被投资单位不能重分类进损益的其他综合收益中享有的份额</t>
  </si>
  <si>
    <t>权益法下在被投资单位以后将重分类进损益的其他综合收益中享有的份额</t>
  </si>
  <si>
    <t>现金流量套期损益的有效部分</t>
  </si>
  <si>
    <t>外币财务报表折算差额</t>
  </si>
  <si>
    <t>……</t>
  </si>
  <si>
    <t>其他综合收益合计</t>
  </si>
  <si>
    <t>一、上年年初报告的余额</t>
  </si>
  <si>
    <t>加：会计政策变更</t>
  </si>
  <si>
    <t>二、上年年初重述的余额</t>
  </si>
  <si>
    <t>六、本年年末余额</t>
  </si>
  <si>
    <t>页  次：</t>
    <phoneticPr fontId="18" type="noConversion"/>
  </si>
  <si>
    <t>其他综合收益</t>
  </si>
  <si>
    <t>本期发生金额</t>
  </si>
  <si>
    <t>本期所得税前发生额</t>
  </si>
  <si>
    <t>减：所得税费用</t>
  </si>
  <si>
    <t>税后归属于少数股东</t>
  </si>
  <si>
    <t>一、以后不能重分类进损益的其他综合收益</t>
  </si>
  <si>
    <t>可无限量添加行</t>
  </si>
  <si>
    <t>二、以后将重分类进损益的其他综合收益</t>
  </si>
  <si>
    <t>（说明对现金流量套期损益的有效部分转为被套期项目初始确认金额调整等）</t>
  </si>
  <si>
    <t>【提示：</t>
  </si>
  <si>
    <t>附注披露信息（国企）</t>
    <phoneticPr fontId="18" type="noConversion"/>
  </si>
  <si>
    <t>其中：归属于母公司股东的其他综合收益</t>
  </si>
  <si>
    <t>A=C</t>
  </si>
  <si>
    <t>B=D</t>
  </si>
  <si>
    <t>（注：本表余额应等于资产负债表中“其他综合收益”余额）</t>
  </si>
  <si>
    <t> D</t>
  </si>
  <si>
    <r>
      <rPr>
        <b/>
        <sz val="10"/>
        <color indexed="8"/>
        <rFont val="宋体"/>
        <family val="3"/>
        <charset val="134"/>
      </rPr>
      <t>一、审计目标</t>
    </r>
    <r>
      <rPr>
        <b/>
        <sz val="10"/>
        <color indexed="8"/>
        <rFont val="Arial Narrow"/>
        <family val="2"/>
      </rPr>
      <t>:</t>
    </r>
    <phoneticPr fontId="21" type="noConversion"/>
  </si>
  <si>
    <r>
      <rPr>
        <b/>
        <sz val="10"/>
        <rFont val="宋体"/>
        <family val="3"/>
        <charset val="134"/>
      </rPr>
      <t>二、审计过程：</t>
    </r>
    <phoneticPr fontId="18" type="noConversion"/>
  </si>
  <si>
    <t>其他综合收益附注披露信息（上市公司）</t>
    <phoneticPr fontId="18" type="noConversion"/>
  </si>
  <si>
    <t>其他综合收益附注披露信息（国有企业）</t>
    <phoneticPr fontId="18" type="noConversion"/>
  </si>
  <si>
    <r>
      <rPr>
        <b/>
        <sz val="10"/>
        <rFont val="宋体"/>
        <family val="3"/>
        <charset val="134"/>
      </rPr>
      <t>项目名称</t>
    </r>
    <phoneticPr fontId="18" type="noConversion"/>
  </si>
  <si>
    <t>…</t>
    <phoneticPr fontId="18" type="noConversion"/>
  </si>
  <si>
    <t>…</t>
    <phoneticPr fontId="18" type="noConversion"/>
  </si>
  <si>
    <t>（1）</t>
    <phoneticPr fontId="18" type="noConversion"/>
  </si>
  <si>
    <t>（1）其他综合收益各项目及其所得税影响和转入损益情况</t>
  </si>
  <si>
    <t>项  目</t>
  </si>
  <si>
    <t>1、重新计量设定受益计划净负债或净资产的变动</t>
  </si>
  <si>
    <t>2、权益法下在被投资单位不能重分类进损益的其他综合收益中享有的份额</t>
  </si>
  <si>
    <t>小  计</t>
  </si>
  <si>
    <t>其 他 综 合 收 益 合  计</t>
  </si>
  <si>
    <t xml:space="preserve">      归属于少数股东的其他综合收益</t>
  </si>
  <si>
    <t>（2）其他综合收益各项目的调节情况</t>
  </si>
  <si>
    <t>项    目</t>
  </si>
  <si>
    <t>【提示：1、本表格数据为归属于母公司其他综合收益余额；</t>
  </si>
  <si>
    <t>2、本表格上年及本年增减变动合计分别等于表（1）其他综合收益各项目及其所得税影响和转入损益情况中”归属于母公司股东的其他综合收益”的相应金额。】</t>
  </si>
  <si>
    <r>
      <rPr>
        <b/>
        <sz val="12"/>
        <rFont val="宋体"/>
        <family val="3"/>
        <charset val="134"/>
      </rPr>
      <t>底稿开列时，可先在以下单元格填写有关内容，以便其他底稿引用有关数据：</t>
    </r>
    <phoneticPr fontId="18" type="noConversion"/>
  </si>
  <si>
    <t>序号</t>
  </si>
  <si>
    <t>索引号</t>
  </si>
  <si>
    <t>备注</t>
  </si>
  <si>
    <t>其他综合收益实质性程序</t>
    <phoneticPr fontId="18" type="noConversion"/>
  </si>
  <si>
    <r>
      <rPr>
        <sz val="10"/>
        <rFont val="宋体"/>
        <family val="3"/>
        <charset val="134"/>
      </rPr>
      <t>索引号：</t>
    </r>
  </si>
  <si>
    <r>
      <rPr>
        <b/>
        <sz val="10"/>
        <rFont val="宋体"/>
        <family val="3"/>
        <charset val="134"/>
      </rPr>
      <t>财务报表的认定　</t>
    </r>
  </si>
  <si>
    <r>
      <rPr>
        <b/>
        <sz val="10"/>
        <rFont val="宋体"/>
        <family val="3"/>
        <charset val="134"/>
      </rPr>
      <t>三、计划实施的实质性程序</t>
    </r>
    <phoneticPr fontId="18" type="noConversion"/>
  </si>
  <si>
    <r>
      <rPr>
        <b/>
        <sz val="10"/>
        <rFont val="宋体"/>
        <family val="3"/>
        <charset val="134"/>
      </rPr>
      <t>序号</t>
    </r>
    <phoneticPr fontId="18" type="noConversion"/>
  </si>
  <si>
    <r>
      <rPr>
        <b/>
        <sz val="10"/>
        <rFont val="宋体"/>
        <family val="3"/>
        <charset val="134"/>
      </rPr>
      <t>程序分类</t>
    </r>
    <phoneticPr fontId="18" type="noConversion"/>
  </si>
  <si>
    <t>……</t>
    <phoneticPr fontId="18" type="noConversion"/>
  </si>
  <si>
    <t>【注：本底稿适用于调整分录较多、较复杂的项目，且仅列示与本报表项目相关的审计调整。项目组可根据项目实际情况选择是否使用该底稿。】</t>
    <phoneticPr fontId="18" type="noConversion"/>
  </si>
  <si>
    <t>调整分录汇总</t>
    <phoneticPr fontId="18" type="noConversion"/>
  </si>
  <si>
    <t>10、其他</t>
  </si>
  <si>
    <t>三、其他综合收益合计</t>
  </si>
  <si>
    <t>3、其他权益工具投资公允价值变动</t>
  </si>
  <si>
    <t>——</t>
  </si>
  <si>
    <t>4、企业自身信用风险公允价值变动</t>
  </si>
  <si>
    <t>5、其他</t>
  </si>
  <si>
    <t>2、其他债权投资公允价值变动</t>
  </si>
  <si>
    <t>3、可供出售金融资产公允价值变动损益</t>
  </si>
  <si>
    <t>4、金融工具重分类计入其他综合收益的金额</t>
  </si>
  <si>
    <t>5、持有至到期投资重分类为可供出售金融资产损益</t>
  </si>
  <si>
    <t>6、现金流量套期储备（现金流量套期损益的有效部分）</t>
  </si>
  <si>
    <t>减：转为被套期项目初始确认金额的调整额</t>
  </si>
  <si>
    <t>前期计入其他综合收益当期转入损益</t>
  </si>
  <si>
    <t>7、外币财务报表折算差额</t>
  </si>
  <si>
    <t>8、自用房地产或作为存货的房地产转换为以公允价值计量的投资性房地产在转换日公允价值大于账面价值部分</t>
  </si>
  <si>
    <t>（3）=（1）+（2）</t>
  </si>
  <si>
    <t>说明：其他综合收益的税后净额本期发生额为XXXX。其中，归属于母公司股东的其他综合收益的税后净额本期发生额为XXXX；归属于少数股东的其他综合收益的税后净额的本期发生额为XXXXX。</t>
  </si>
  <si>
    <t>（1）上表中，期初数合计、期末数合计分别对应资产负债表中权益项下的其他综合收益，为归属于母公司的其他综合收益期初、期末余额。</t>
  </si>
  <si>
    <t>税后归属于母公司合计数=利润表中归属于母公司所有者的其他综合收益的税后净额本期发生额；</t>
  </si>
  <si>
    <t>税后归属于少数股东合计数=利润表中归属于少数股东的其他综合收益的税后净额本期发生额；】</t>
  </si>
  <si>
    <r>
      <t>减：</t>
    </r>
    <r>
      <rPr>
        <b/>
        <sz val="10"/>
        <rFont val="宋体"/>
        <family val="3"/>
        <charset val="134"/>
        <scheme val="minor"/>
      </rPr>
      <t>前期计入其他综合收益当期转入损益</t>
    </r>
  </si>
  <si>
    <r>
      <t>税后归属于母公司</t>
    </r>
    <r>
      <rPr>
        <b/>
        <sz val="10"/>
        <color rgb="FF0000FF"/>
        <rFont val="宋体"/>
        <family val="3"/>
        <charset val="134"/>
        <scheme val="minor"/>
      </rPr>
      <t>（2）</t>
    </r>
  </si>
  <si>
    <r>
      <t xml:space="preserve"> </t>
    </r>
    <r>
      <rPr>
        <b/>
        <sz val="10"/>
        <color rgb="FF000000"/>
        <rFont val="宋体"/>
        <family val="3"/>
        <charset val="134"/>
        <scheme val="minor"/>
      </rPr>
      <t>前期差错更正</t>
    </r>
  </si>
  <si>
    <r>
      <t>三、上年增减变动金额（减少以“</t>
    </r>
    <r>
      <rPr>
        <b/>
        <sz val="10"/>
        <color rgb="FF000000"/>
        <rFont val="宋体"/>
        <family val="3"/>
        <charset val="134"/>
        <scheme val="minor"/>
      </rPr>
      <t>-”号填列）</t>
    </r>
  </si>
  <si>
    <r>
      <t> </t>
    </r>
    <r>
      <rPr>
        <b/>
        <sz val="10"/>
        <color rgb="FFFF0000"/>
        <rFont val="宋体"/>
        <family val="3"/>
        <charset val="134"/>
        <scheme val="minor"/>
      </rPr>
      <t>C</t>
    </r>
  </si>
  <si>
    <r>
      <t>四、上年年末余额</t>
    </r>
    <r>
      <rPr>
        <b/>
        <sz val="10"/>
        <color rgb="FF000000"/>
        <rFont val="宋体"/>
        <family val="3"/>
        <charset val="134"/>
        <scheme val="minor"/>
      </rPr>
      <t>/本年年初余额</t>
    </r>
  </si>
  <si>
    <r>
      <t>五、本年增减变动金额（减少以“</t>
    </r>
    <r>
      <rPr>
        <b/>
        <sz val="10"/>
        <color rgb="FF000000"/>
        <rFont val="宋体"/>
        <family val="3"/>
        <charset val="134"/>
        <scheme val="minor"/>
      </rPr>
      <t>-”号填列）</t>
    </r>
  </si>
  <si>
    <t>1.重新计量设定受益计划变动额</t>
    <phoneticPr fontId="18" type="noConversion"/>
  </si>
  <si>
    <t>2.权益法下不能转损益的其他综合收益</t>
    <phoneticPr fontId="18" type="noConversion"/>
  </si>
  <si>
    <t>1.权益法下可转损益的其他综合收益</t>
    <phoneticPr fontId="18" type="noConversion"/>
  </si>
  <si>
    <t>3.其他权益工具投资公允价值变动</t>
    <phoneticPr fontId="18" type="noConversion"/>
  </si>
  <si>
    <t>4.企业自身信用风险公允价值变动</t>
    <phoneticPr fontId="18" type="noConversion"/>
  </si>
  <si>
    <t>2.其他债权投资公允价值变动</t>
    <phoneticPr fontId="18" type="noConversion"/>
  </si>
  <si>
    <t>3.金融资产重分类计入其他综合收益的金额</t>
    <phoneticPr fontId="18" type="noConversion"/>
  </si>
  <si>
    <t>4.其他债权投资信用减值准备</t>
    <phoneticPr fontId="18" type="noConversion"/>
  </si>
  <si>
    <t>5.现金流量套期储备</t>
    <phoneticPr fontId="18" type="noConversion"/>
  </si>
  <si>
    <t>6.外币财务报表折算差额</t>
    <phoneticPr fontId="18" type="noConversion"/>
  </si>
  <si>
    <t>1、重新计量设定受益计划变动额</t>
    <phoneticPr fontId="18" type="noConversion"/>
  </si>
  <si>
    <t>2、权益法下不能转损益的其他综合收益</t>
    <phoneticPr fontId="18" type="noConversion"/>
  </si>
  <si>
    <t>3、其他权益工具投资公允价值变动</t>
    <phoneticPr fontId="18" type="noConversion"/>
  </si>
  <si>
    <t>4、企业自身信用风险公允价值变动</t>
    <phoneticPr fontId="18" type="noConversion"/>
  </si>
  <si>
    <t>5、不能转损益的保险合同金融变动（金融企业适用）</t>
    <phoneticPr fontId="18" type="noConversion"/>
  </si>
  <si>
    <t>1、权益法下可转损益的其他综合收益</t>
    <phoneticPr fontId="18" type="noConversion"/>
  </si>
  <si>
    <t>3、金融工具重分类计入其他综合收益的金额</t>
    <phoneticPr fontId="18" type="noConversion"/>
  </si>
  <si>
    <t>4、其他债权投资信用减值准备</t>
    <phoneticPr fontId="18" type="noConversion"/>
  </si>
  <si>
    <t>5、现金流量套期储备（现金流量套期损益的有效部分）</t>
    <phoneticPr fontId="18" type="noConversion"/>
  </si>
  <si>
    <t>6、外币财务报表折算差额</t>
    <phoneticPr fontId="18" type="noConversion"/>
  </si>
  <si>
    <t>7、可转损益的保险合同金融变动（金融企业适用）</t>
    <phoneticPr fontId="18" type="noConversion"/>
  </si>
  <si>
    <t>减：前期计入其他综合收益当期转入损益</t>
    <phoneticPr fontId="18" type="noConversion"/>
  </si>
  <si>
    <t>8、可转损益的分出再保险合同金融变动（金融企业适用）</t>
    <phoneticPr fontId="18" type="noConversion"/>
  </si>
  <si>
    <t>9、自用房地产或作为存货的房地产转换为以公允价值计量的投资性房地产在转换日公允价值大于账面价值部分</t>
    <phoneticPr fontId="18" type="noConversion"/>
  </si>
  <si>
    <t>10、多次交易分步处置子公司股权构成一揽子交易的，丧失控制权之前各次交易处置价款与对应净资产账面价值份额的差额</t>
    <phoneticPr fontId="18" type="noConversion"/>
  </si>
  <si>
    <t>11、其他</t>
    <phoneticPr fontId="18" type="noConversion"/>
  </si>
  <si>
    <t>期初余额</t>
    <phoneticPr fontId="18" type="noConversion"/>
  </si>
  <si>
    <t>期末余额</t>
    <phoneticPr fontId="18" type="noConversion"/>
  </si>
  <si>
    <t>M9-1</t>
    <phoneticPr fontId="18" type="noConversion"/>
  </si>
  <si>
    <t>B=D</t>
    <phoneticPr fontId="18" type="noConversion"/>
  </si>
  <si>
    <r>
      <t xml:space="preserve">A. </t>
    </r>
    <r>
      <rPr>
        <sz val="10"/>
        <rFont val="宋体"/>
        <family val="3"/>
        <charset val="134"/>
      </rPr>
      <t>资产负债表中记录的其他综合收益是存在的，且已经记录在恰当的账户中</t>
    </r>
    <phoneticPr fontId="18" type="noConversion"/>
  </si>
  <si>
    <r>
      <t xml:space="preserve">B. </t>
    </r>
    <r>
      <rPr>
        <sz val="10"/>
        <rFont val="宋体"/>
        <family val="3"/>
        <charset val="134"/>
      </rPr>
      <t>所有应记录的其他综合收益均已记录，所有应当包括在财务报表中的相关披露均已包括</t>
    </r>
    <phoneticPr fontId="18" type="noConversion"/>
  </si>
  <si>
    <r>
      <t xml:space="preserve">C. </t>
    </r>
    <r>
      <rPr>
        <sz val="10"/>
        <rFont val="宋体"/>
        <family val="3"/>
        <charset val="134"/>
      </rPr>
      <t>记录的其他综合收益由被审计单位拥有或控制</t>
    </r>
    <phoneticPr fontId="18" type="noConversion"/>
  </si>
  <si>
    <r>
      <t xml:space="preserve">E. </t>
    </r>
    <r>
      <rPr>
        <sz val="10"/>
        <rFont val="宋体"/>
        <family val="3"/>
        <charset val="134"/>
      </rPr>
      <t>其他综合收益已被恰当地汇总或分解且表述清楚，相关披露在按照企业会计准则的编制基础下是相关的、可理解的</t>
    </r>
    <phoneticPr fontId="18" type="noConversion"/>
  </si>
  <si>
    <t>无需打印</t>
    <phoneticPr fontId="43" type="noConversion"/>
  </si>
  <si>
    <t>M9-4</t>
    <phoneticPr fontId="43" type="noConversion"/>
  </si>
  <si>
    <t>明细表</t>
    <phoneticPr fontId="18" type="noConversion"/>
  </si>
  <si>
    <t>其他综合收益实质性程序表</t>
    <phoneticPr fontId="18" type="noConversion"/>
  </si>
  <si>
    <t>M9A</t>
    <phoneticPr fontId="43" type="noConversion"/>
  </si>
  <si>
    <t>审定表</t>
    <phoneticPr fontId="18" type="noConversion"/>
  </si>
  <si>
    <t>附注披露信息(上市公司)</t>
    <phoneticPr fontId="18" type="noConversion"/>
  </si>
  <si>
    <t>M9-1</t>
    <phoneticPr fontId="43" type="noConversion"/>
  </si>
  <si>
    <t>附注披露信息(国企)</t>
    <phoneticPr fontId="18" type="noConversion"/>
  </si>
  <si>
    <t>M9-2</t>
    <phoneticPr fontId="43" type="noConversion"/>
  </si>
  <si>
    <t>M9-3</t>
    <phoneticPr fontId="43" type="noConversion"/>
  </si>
  <si>
    <r>
      <t>A1-1/</t>
    </r>
    <r>
      <rPr>
        <sz val="10"/>
        <color rgb="FFFF0000"/>
        <rFont val="Arial Narrow"/>
        <family val="2"/>
      </rPr>
      <t>A1-15 /A1-16</t>
    </r>
    <phoneticPr fontId="43"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</si>
  <si>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3"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</si>
  <si>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3" type="noConversion"/>
  </si>
  <si>
    <r>
      <rPr>
        <b/>
        <sz val="10"/>
        <rFont val="宋体"/>
        <family val="3"/>
        <charset val="134"/>
      </rPr>
      <t>期初数</t>
    </r>
    <phoneticPr fontId="18" type="noConversion"/>
  </si>
  <si>
    <r>
      <rPr>
        <b/>
        <sz val="10"/>
        <rFont val="宋体"/>
        <family val="3"/>
        <charset val="134"/>
      </rPr>
      <t>期末数</t>
    </r>
    <phoneticPr fontId="18" type="noConversion"/>
  </si>
  <si>
    <r>
      <rPr>
        <b/>
        <sz val="10"/>
        <color indexed="8"/>
        <rFont val="宋体"/>
        <family val="3"/>
        <charset val="134"/>
      </rPr>
      <t>本期审定数与上期
审定数的比较</t>
    </r>
    <phoneticPr fontId="18" type="noConversion"/>
  </si>
  <si>
    <r>
      <rPr>
        <b/>
        <sz val="10"/>
        <rFont val="宋体"/>
        <family val="3"/>
        <charset val="134"/>
      </rPr>
      <t>原因分析</t>
    </r>
    <phoneticPr fontId="41"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</si>
  <si>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</si>
  <si>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</si>
  <si>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</si>
  <si>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</si>
  <si>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</si>
  <si>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</si>
  <si>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rPr>
        <sz val="10"/>
        <rFont val="宋体"/>
        <family val="3"/>
        <charset val="134"/>
      </rPr>
      <t>一、以后不能重分类进损益的其他综合收益</t>
    </r>
  </si>
  <si>
    <r>
      <rPr>
        <sz val="10"/>
        <rFont val="宋体"/>
        <family val="3"/>
        <charset val="134"/>
      </rPr>
      <t>二、以后能重分类进损益的其他综合收益</t>
    </r>
    <phoneticPr fontId="18" type="noConversion"/>
  </si>
  <si>
    <r>
      <rPr>
        <b/>
        <sz val="10"/>
        <rFont val="宋体"/>
        <family val="3"/>
        <charset val="134"/>
      </rPr>
      <t>合计</t>
    </r>
    <phoneticPr fontId="18" type="noConversion"/>
  </si>
  <si>
    <r>
      <rPr>
        <b/>
        <sz val="10"/>
        <rFont val="宋体"/>
        <family val="3"/>
        <charset val="134"/>
      </rPr>
      <t>试算平衡表数</t>
    </r>
    <phoneticPr fontId="18" type="noConversion"/>
  </si>
  <si>
    <r>
      <rPr>
        <b/>
        <sz val="10"/>
        <rFont val="宋体"/>
        <family val="3"/>
        <charset val="134"/>
      </rPr>
      <t>差异数</t>
    </r>
    <phoneticPr fontId="18" type="noConversion"/>
  </si>
  <si>
    <r>
      <rPr>
        <sz val="10"/>
        <rFont val="宋体"/>
        <family val="3"/>
        <charset val="134"/>
      </rPr>
      <t>（</t>
    </r>
    <r>
      <rPr>
        <sz val="10"/>
        <rFont val="Arial Narrow"/>
        <family val="2"/>
      </rPr>
      <t>1</t>
    </r>
    <r>
      <rPr>
        <sz val="10"/>
        <rFont val="宋体"/>
        <family val="3"/>
        <charset val="134"/>
      </rPr>
      <t>）期末余额较期初余额增加（负数为减少）：</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</si>
  <si>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</si>
  <si>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t>
    </r>
    <r>
      <rPr>
        <sz val="10"/>
        <rFont val="Arial Narrow"/>
        <family val="2"/>
      </rPr>
      <t>2</t>
    </r>
    <r>
      <rPr>
        <sz val="10"/>
        <rFont val="宋体"/>
        <family val="3"/>
        <charset val="134"/>
      </rPr>
      <t>）其他综合收益变动的原因、依据。</t>
    </r>
    <phoneticPr fontId="18" type="noConversion"/>
  </si>
  <si>
    <r>
      <t>2</t>
    </r>
    <r>
      <rPr>
        <b/>
        <sz val="10"/>
        <rFont val="宋体"/>
        <family val="3"/>
        <charset val="134"/>
      </rPr>
      <t>、审计结论</t>
    </r>
    <phoneticPr fontId="18" type="noConversion"/>
  </si>
  <si>
    <r>
      <rPr>
        <b/>
        <sz val="10"/>
        <rFont val="宋体"/>
        <family val="3"/>
        <charset val="134"/>
      </rPr>
      <t>项目类别</t>
    </r>
  </si>
  <si>
    <r>
      <rPr>
        <b/>
        <sz val="10"/>
        <rFont val="宋体"/>
        <family val="3"/>
        <charset val="134"/>
      </rPr>
      <t>期初调整</t>
    </r>
    <phoneticPr fontId="18" type="noConversion"/>
  </si>
  <si>
    <r>
      <rPr>
        <b/>
        <sz val="10"/>
        <rFont val="宋体"/>
        <family val="3"/>
        <charset val="134"/>
      </rPr>
      <t>备注</t>
    </r>
    <phoneticPr fontId="18" type="noConversion"/>
  </si>
  <si>
    <r>
      <rPr>
        <b/>
        <sz val="8"/>
        <rFont val="宋体"/>
        <family val="3"/>
        <charset val="134"/>
      </rPr>
      <t>期初数</t>
    </r>
    <phoneticPr fontId="18" type="noConversion"/>
  </si>
  <si>
    <r>
      <rPr>
        <b/>
        <sz val="8"/>
        <rFont val="宋体"/>
        <family val="3"/>
        <charset val="134"/>
      </rPr>
      <t>本期所得税前发生额</t>
    </r>
  </si>
  <si>
    <r>
      <rPr>
        <b/>
        <sz val="8"/>
        <rFont val="宋体"/>
        <family val="3"/>
        <charset val="134"/>
      </rPr>
      <t>减：所得税费用</t>
    </r>
  </si>
  <si>
    <r>
      <rPr>
        <b/>
        <sz val="8"/>
        <rFont val="宋体"/>
        <family val="3"/>
        <charset val="134"/>
      </rPr>
      <t>期末数</t>
    </r>
    <phoneticPr fontId="18" type="noConversion"/>
  </si>
  <si>
    <r>
      <rPr>
        <b/>
        <sz val="10"/>
        <color indexed="8"/>
        <rFont val="宋体"/>
        <family val="3"/>
        <charset val="134"/>
      </rPr>
      <t>账项调整</t>
    </r>
    <phoneticPr fontId="18" type="noConversion"/>
  </si>
  <si>
    <r>
      <rPr>
        <b/>
        <sz val="10"/>
        <color indexed="8"/>
        <rFont val="宋体"/>
        <family val="3"/>
        <charset val="134"/>
      </rPr>
      <t>重分类调整</t>
    </r>
    <phoneticPr fontId="18" type="noConversion"/>
  </si>
  <si>
    <r>
      <t>1</t>
    </r>
    <r>
      <rPr>
        <b/>
        <sz val="10"/>
        <rFont val="宋体"/>
        <family val="3"/>
        <charset val="134"/>
      </rPr>
      <t>、以后不能重分类进损益的其他综合收益</t>
    </r>
    <phoneticPr fontId="18" type="noConversion"/>
  </si>
  <si>
    <r>
      <rPr>
        <sz val="10"/>
        <rFont val="宋体"/>
        <family val="3"/>
        <charset val="134"/>
      </rPr>
      <t>（</t>
    </r>
    <r>
      <rPr>
        <sz val="10"/>
        <rFont val="Arial Narrow"/>
        <family val="2"/>
      </rPr>
      <t>1</t>
    </r>
    <r>
      <rPr>
        <sz val="10"/>
        <rFont val="宋体"/>
        <family val="3"/>
        <charset val="134"/>
      </rPr>
      <t>）重新计量设定受益计划变动额；</t>
    </r>
    <phoneticPr fontId="18" type="noConversion"/>
  </si>
  <si>
    <r>
      <rPr>
        <sz val="10"/>
        <rFont val="宋体"/>
        <family val="3"/>
        <charset val="134"/>
      </rPr>
      <t>（</t>
    </r>
    <r>
      <rPr>
        <sz val="10"/>
        <rFont val="Arial Narrow"/>
        <family val="2"/>
      </rPr>
      <t>2</t>
    </r>
    <r>
      <rPr>
        <sz val="10"/>
        <rFont val="宋体"/>
        <family val="3"/>
        <charset val="134"/>
      </rPr>
      <t>）权益法下不能转损益的其他综合收益；</t>
    </r>
    <phoneticPr fontId="18" type="noConversion"/>
  </si>
  <si>
    <r>
      <rPr>
        <sz val="10"/>
        <rFont val="宋体"/>
        <family val="3"/>
        <charset val="134"/>
      </rPr>
      <t>（</t>
    </r>
    <r>
      <rPr>
        <sz val="10"/>
        <rFont val="Arial Narrow"/>
        <family val="2"/>
      </rPr>
      <t>3</t>
    </r>
    <r>
      <rPr>
        <sz val="10"/>
        <rFont val="宋体"/>
        <family val="3"/>
        <charset val="134"/>
      </rPr>
      <t>）其他权益工具投资公允价值变动；</t>
    </r>
    <phoneticPr fontId="18" type="noConversion"/>
  </si>
  <si>
    <r>
      <rPr>
        <sz val="10"/>
        <rFont val="宋体"/>
        <family val="3"/>
        <charset val="134"/>
      </rPr>
      <t>（</t>
    </r>
    <r>
      <rPr>
        <sz val="10"/>
        <rFont val="Arial Narrow"/>
        <family val="2"/>
      </rPr>
      <t>4</t>
    </r>
    <r>
      <rPr>
        <sz val="10"/>
        <rFont val="宋体"/>
        <family val="3"/>
        <charset val="134"/>
      </rPr>
      <t>）企业自身信用风险公允价值变动；</t>
    </r>
    <phoneticPr fontId="18" type="noConversion"/>
  </si>
  <si>
    <r>
      <t>2</t>
    </r>
    <r>
      <rPr>
        <b/>
        <sz val="10"/>
        <rFont val="宋体"/>
        <family val="3"/>
        <charset val="134"/>
      </rPr>
      <t>、以后将重分类进损益的其他综合收益</t>
    </r>
    <phoneticPr fontId="18" type="noConversion"/>
  </si>
  <si>
    <r>
      <rPr>
        <sz val="10"/>
        <rFont val="宋体"/>
        <family val="3"/>
        <charset val="134"/>
      </rPr>
      <t>（</t>
    </r>
    <r>
      <rPr>
        <sz val="10"/>
        <rFont val="Arial Narrow"/>
        <family val="2"/>
      </rPr>
      <t>1</t>
    </r>
    <r>
      <rPr>
        <sz val="10"/>
        <rFont val="宋体"/>
        <family val="3"/>
        <charset val="134"/>
      </rPr>
      <t>）权益法下可转损益的其他综合收益；</t>
    </r>
    <phoneticPr fontId="18" type="noConversion"/>
  </si>
  <si>
    <r>
      <rPr>
        <sz val="10"/>
        <rFont val="宋体"/>
        <family val="3"/>
        <charset val="134"/>
      </rPr>
      <t>（</t>
    </r>
    <r>
      <rPr>
        <sz val="10"/>
        <rFont val="Arial Narrow"/>
        <family val="2"/>
      </rPr>
      <t>2</t>
    </r>
    <r>
      <rPr>
        <sz val="10"/>
        <rFont val="宋体"/>
        <family val="3"/>
        <charset val="134"/>
      </rPr>
      <t>）其他债权投资公允价值变动；</t>
    </r>
    <phoneticPr fontId="18" type="noConversion"/>
  </si>
  <si>
    <r>
      <rPr>
        <sz val="10"/>
        <rFont val="宋体"/>
        <family val="3"/>
        <charset val="134"/>
      </rPr>
      <t>（</t>
    </r>
    <r>
      <rPr>
        <sz val="10"/>
        <rFont val="Arial Narrow"/>
        <family val="2"/>
      </rPr>
      <t>3</t>
    </r>
    <r>
      <rPr>
        <sz val="10"/>
        <rFont val="宋体"/>
        <family val="3"/>
        <charset val="134"/>
      </rPr>
      <t>）金融资产重分类计入其他综合收益的金额；</t>
    </r>
    <phoneticPr fontId="18" type="noConversion"/>
  </si>
  <si>
    <r>
      <rPr>
        <sz val="10"/>
        <rFont val="宋体"/>
        <family val="3"/>
        <charset val="134"/>
      </rPr>
      <t>（</t>
    </r>
    <r>
      <rPr>
        <sz val="10"/>
        <rFont val="Arial Narrow"/>
        <family val="2"/>
      </rPr>
      <t>4</t>
    </r>
    <r>
      <rPr>
        <sz val="10"/>
        <rFont val="宋体"/>
        <family val="3"/>
        <charset val="134"/>
      </rPr>
      <t>）其他债权投资信用减值准备；</t>
    </r>
    <phoneticPr fontId="18" type="noConversion"/>
  </si>
  <si>
    <r>
      <rPr>
        <sz val="10"/>
        <rFont val="宋体"/>
        <family val="3"/>
        <charset val="134"/>
      </rPr>
      <t>（</t>
    </r>
    <r>
      <rPr>
        <sz val="10"/>
        <rFont val="Arial Narrow"/>
        <family val="2"/>
      </rPr>
      <t>5</t>
    </r>
    <r>
      <rPr>
        <sz val="10"/>
        <rFont val="宋体"/>
        <family val="3"/>
        <charset val="134"/>
      </rPr>
      <t>）现金流量套期储备；</t>
    </r>
    <phoneticPr fontId="18" type="noConversion"/>
  </si>
  <si>
    <r>
      <rPr>
        <sz val="10"/>
        <rFont val="宋体"/>
        <family val="3"/>
        <charset val="134"/>
      </rPr>
      <t>（</t>
    </r>
    <r>
      <rPr>
        <sz val="10"/>
        <rFont val="Arial Narrow"/>
        <family val="2"/>
      </rPr>
      <t>6</t>
    </r>
    <r>
      <rPr>
        <sz val="10"/>
        <rFont val="宋体"/>
        <family val="3"/>
        <charset val="134"/>
      </rPr>
      <t>）外币报表折算差额；</t>
    </r>
    <phoneticPr fontId="18" type="noConversion"/>
  </si>
  <si>
    <r>
      <rPr>
        <sz val="10"/>
        <rFont val="宋体"/>
        <family val="3"/>
        <charset val="134"/>
      </rPr>
      <t>（</t>
    </r>
    <r>
      <rPr>
        <sz val="10"/>
        <rFont val="Arial Narrow"/>
        <family val="2"/>
      </rPr>
      <t>7</t>
    </r>
    <r>
      <rPr>
        <sz val="10"/>
        <rFont val="宋体"/>
        <family val="3"/>
        <charset val="134"/>
      </rPr>
      <t>）自用房地产或作为存货的房地产转换为以公允价值计量的投资性房地产在转换日公允价值大于账面价值部分；</t>
    </r>
    <phoneticPr fontId="18" type="noConversion"/>
  </si>
  <si>
    <r>
      <rPr>
        <sz val="10"/>
        <rFont val="宋体"/>
        <family val="3"/>
        <charset val="134"/>
      </rPr>
      <t>（</t>
    </r>
    <r>
      <rPr>
        <sz val="10"/>
        <rFont val="Arial Narrow"/>
        <family val="2"/>
      </rPr>
      <t>8</t>
    </r>
    <r>
      <rPr>
        <sz val="10"/>
        <rFont val="宋体"/>
        <family val="3"/>
        <charset val="134"/>
      </rPr>
      <t>）多次交易分步处置子公司股权构成一揽子交易的，丧失控制权之前各次交易处置价款与对应净资产账面价值份额的差额；</t>
    </r>
    <phoneticPr fontId="18" type="noConversion"/>
  </si>
  <si>
    <r>
      <rPr>
        <b/>
        <sz val="10"/>
        <rFont val="宋体"/>
        <family val="3"/>
        <charset val="134"/>
      </rPr>
      <t>合计</t>
    </r>
  </si>
  <si>
    <r>
      <rPr>
        <b/>
        <sz val="10"/>
        <rFont val="宋体"/>
        <family val="3"/>
        <charset val="134"/>
      </rPr>
      <t>三、审计说明：</t>
    </r>
    <phoneticPr fontId="18" type="noConversion"/>
  </si>
  <si>
    <r>
      <rPr>
        <b/>
        <sz val="10"/>
        <rFont val="宋体"/>
        <family val="3"/>
        <charset val="134"/>
      </rPr>
      <t>四、审计结论：</t>
    </r>
    <phoneticPr fontId="18" type="noConversion"/>
  </si>
  <si>
    <r>
      <rPr>
        <b/>
        <sz val="10"/>
        <rFont val="宋体"/>
        <family val="3"/>
        <charset val="134"/>
      </rPr>
      <t>一、本账户涉及的科目</t>
    </r>
    <phoneticPr fontId="18" type="noConversion"/>
  </si>
  <si>
    <r>
      <rPr>
        <sz val="10"/>
        <color theme="1" tint="0.14999847407452621"/>
        <rFont val="宋体"/>
        <family val="3"/>
        <charset val="134"/>
      </rPr>
      <t>其他综合收益</t>
    </r>
    <phoneticPr fontId="43" type="noConversion"/>
  </si>
  <si>
    <r>
      <rPr>
        <b/>
        <sz val="10"/>
        <rFont val="宋体"/>
        <family val="3"/>
        <charset val="134"/>
      </rPr>
      <t>二、审计目标与认定的对应关系</t>
    </r>
    <phoneticPr fontId="18" type="noConversion"/>
  </si>
  <si>
    <r>
      <rPr>
        <b/>
        <sz val="10"/>
        <rFont val="宋体"/>
        <family val="3"/>
        <charset val="134"/>
      </rPr>
      <t>审计目标</t>
    </r>
    <phoneticPr fontId="18" type="noConversion"/>
  </si>
  <si>
    <r>
      <t xml:space="preserve">D. </t>
    </r>
    <r>
      <rPr>
        <sz val="10"/>
        <rFont val="宋体"/>
        <family val="3"/>
        <charset val="134"/>
      </rPr>
      <t>其他综合收益以恰当的金额包括在财务报表中，与之相关的计价或分摊调整已恰当记录，相关披露已得到恰当计量和描述</t>
    </r>
    <r>
      <rPr>
        <sz val="10"/>
        <rFont val="Arial Narrow"/>
        <family val="2"/>
      </rPr>
      <t xml:space="preserve"> </t>
    </r>
    <phoneticPr fontId="18" type="noConversion"/>
  </si>
  <si>
    <r>
      <rPr>
        <b/>
        <sz val="10"/>
        <rFont val="宋体"/>
        <family val="3"/>
        <charset val="134"/>
      </rPr>
      <t>审计程序</t>
    </r>
    <phoneticPr fontId="43" type="noConversion"/>
  </si>
  <si>
    <r>
      <rPr>
        <b/>
        <sz val="10"/>
        <rFont val="宋体"/>
        <family val="3"/>
        <charset val="134"/>
      </rPr>
      <t>财务报表的认定</t>
    </r>
    <phoneticPr fontId="18" type="noConversion"/>
  </si>
  <si>
    <r>
      <rPr>
        <b/>
        <sz val="10"/>
        <rFont val="宋体"/>
        <family val="3"/>
        <charset val="134"/>
      </rPr>
      <t>底稿索引号</t>
    </r>
    <phoneticPr fontId="18" type="noConversion"/>
  </si>
  <si>
    <r>
      <rPr>
        <b/>
        <sz val="10"/>
        <rFont val="宋体"/>
        <family val="3"/>
        <charset val="134"/>
      </rPr>
      <t>存在</t>
    </r>
    <phoneticPr fontId="18" type="noConversion"/>
  </si>
  <si>
    <r>
      <rPr>
        <b/>
        <sz val="10"/>
        <rFont val="宋体"/>
        <family val="3"/>
        <charset val="134"/>
      </rPr>
      <t>完整性</t>
    </r>
    <phoneticPr fontId="18" type="noConversion"/>
  </si>
  <si>
    <r>
      <rPr>
        <b/>
        <sz val="10"/>
        <rFont val="宋体"/>
        <family val="3"/>
        <charset val="134"/>
      </rPr>
      <t>权利和
义务</t>
    </r>
    <phoneticPr fontId="18" type="noConversion"/>
  </si>
  <si>
    <r>
      <rPr>
        <b/>
        <sz val="10"/>
        <rFont val="宋体"/>
        <family val="3"/>
        <charset val="134"/>
      </rPr>
      <t>准确性、计价和分摊</t>
    </r>
  </si>
  <si>
    <r>
      <rPr>
        <b/>
        <sz val="10"/>
        <rFont val="宋体"/>
        <family val="3"/>
        <charset val="134"/>
      </rPr>
      <t>列报</t>
    </r>
    <phoneticPr fontId="18" type="noConversion"/>
  </si>
  <si>
    <r>
      <rPr>
        <sz val="10"/>
        <color theme="1"/>
        <rFont val="宋体"/>
        <family val="3"/>
        <charset val="134"/>
      </rPr>
      <t>常规★</t>
    </r>
    <phoneticPr fontId="43" type="noConversion"/>
  </si>
  <si>
    <r>
      <rPr>
        <sz val="10"/>
        <color theme="1"/>
        <rFont val="宋体"/>
        <family val="3"/>
        <charset val="134"/>
      </rPr>
      <t>√</t>
    </r>
    <phoneticPr fontId="18"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</si>
  <si>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phoneticPr fontId="18" type="noConversion"/>
  </si>
  <si>
    <r>
      <rPr>
        <sz val="10"/>
        <color theme="1"/>
        <rFont val="宋体"/>
        <family val="3"/>
        <charset val="134"/>
      </rPr>
      <t>备选</t>
    </r>
    <phoneticPr fontId="43" type="noConversion"/>
  </si>
  <si>
    <r>
      <rPr>
        <sz val="10"/>
        <color theme="1"/>
        <rFont val="宋体"/>
        <family val="3"/>
        <charset val="134"/>
      </rPr>
      <t>常规</t>
    </r>
  </si>
  <si>
    <r>
      <rPr>
        <sz val="10"/>
        <color theme="1"/>
        <rFont val="宋体"/>
        <family val="3"/>
        <charset val="134"/>
      </rPr>
      <t>常规★</t>
    </r>
  </si>
  <si>
    <t>获取或编制专项储备明细表，完成以下工作，并编制审定表
复核加计是否正确，与总账、明细账合计数核对是否相符，期初余额与上期审定期末余额是否相符；</t>
    <phoneticPr fontId="43" type="noConversion"/>
  </si>
  <si>
    <r>
      <t>对于上期其他综合收益末余额，取得一般风险储备明细表复核加计是否正确，与总账、明细账合计数是否相符，检查其他综合收益形成原因、依据是否充分、分类是否正确。</t>
    </r>
    <r>
      <rPr>
        <sz val="10"/>
        <color rgb="FFFF0000"/>
        <rFont val="宋体"/>
        <family val="3"/>
        <charset val="134"/>
      </rPr>
      <t>（适用于首次承接）</t>
    </r>
    <phoneticPr fontId="18" type="noConversion"/>
  </si>
  <si>
    <t>针对其他综合收益明细项目，结合长期股权投资、应付职工薪酬等其他科目的审计，检查会计处理是否正确：
（1）检查其他综合收益的分类是否准确完整。是否按照企业会计准则的规定分类为“以后会计期间不能重分类进损益”和“以后期间将重分类进损益”两类列报；
（2）检查当期重分类（原计入其他综合收益，本期入损益）事项，重新计算重分类的金额是否正确；
（3）检查不能重分类进损益的其他综合收益在当期权益内部结转事项，是否符合企业会计准则的规定以及管理层的相关文件规定。
（4）考虑所得税影响，检查其他综合收益税后净额计算是否正确。</t>
    <phoneticPr fontId="18" type="noConversion"/>
  </si>
  <si>
    <t>检查其他综合收益、其他综合收益税后净额是否已按企业会计准则或其他适用的规定在财务报表中做出恰当列报和披露。</t>
    <phoneticPr fontId="43" type="noConversion"/>
  </si>
  <si>
    <t>√</t>
    <phoneticPr fontId="18" type="noConversion"/>
  </si>
  <si>
    <t>√</t>
    <phoneticPr fontId="18" type="noConversion"/>
  </si>
  <si>
    <t>√</t>
    <phoneticPr fontId="18" type="noConversion"/>
  </si>
  <si>
    <t>√</t>
    <phoneticPr fontId="18" type="noConversion"/>
  </si>
  <si>
    <r>
      <rPr>
        <b/>
        <sz val="10"/>
        <color indexed="8"/>
        <rFont val="宋体"/>
        <family val="3"/>
        <charset val="134"/>
      </rPr>
      <t>一、审计目标</t>
    </r>
    <r>
      <rPr>
        <b/>
        <sz val="10"/>
        <color indexed="8"/>
        <rFont val="Arial Narrow"/>
        <family val="2"/>
      </rPr>
      <t>:</t>
    </r>
    <phoneticPr fontId="21" type="noConversion"/>
  </si>
  <si>
    <r>
      <t>1.</t>
    </r>
    <r>
      <rPr>
        <sz val="10"/>
        <rFont val="宋体"/>
        <family val="3"/>
        <charset val="134"/>
      </rPr>
      <t>所有应记录的其他综合收益的税后净额均已记录，所有应当包括在财务报表中的相关披露均已包括；</t>
    </r>
    <phoneticPr fontId="43" type="noConversion"/>
  </si>
  <si>
    <r>
      <t>2.</t>
    </r>
    <r>
      <rPr>
        <sz val="10"/>
        <rFont val="宋体"/>
        <family val="3"/>
        <charset val="134"/>
      </rPr>
      <t>其他综合收益的税后净额以恰当的金额包括在财务报表中，与之相关的计价或分摊调整已恰当记录，相关披露已得到恰当计量和描述。</t>
    </r>
    <phoneticPr fontId="43" type="noConversion"/>
  </si>
  <si>
    <r>
      <rPr>
        <b/>
        <sz val="10"/>
        <rFont val="宋体"/>
        <family val="3"/>
        <charset val="134"/>
      </rPr>
      <t>二、审计过程：</t>
    </r>
    <phoneticPr fontId="21" type="noConversion"/>
  </si>
  <si>
    <r>
      <rPr>
        <b/>
        <sz val="10"/>
        <rFont val="宋体"/>
        <family val="3"/>
        <charset val="134"/>
      </rPr>
      <t>项目</t>
    </r>
    <phoneticPr fontId="18" type="noConversion"/>
  </si>
  <si>
    <t>本期数</t>
    <phoneticPr fontId="18" type="noConversion"/>
  </si>
  <si>
    <t>对应科目</t>
    <phoneticPr fontId="43" type="noConversion"/>
  </si>
  <si>
    <t>核对</t>
    <phoneticPr fontId="43" type="noConversion"/>
  </si>
  <si>
    <t>索引号</t>
    <phoneticPr fontId="43"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</si>
  <si>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</si>
  <si>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</si>
  <si>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</si>
  <si>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</si>
  <si>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t>科目</t>
    <phoneticPr fontId="43" type="noConversion"/>
  </si>
  <si>
    <t>金额</t>
    <phoneticPr fontId="43" type="noConversion"/>
  </si>
  <si>
    <r>
      <rPr>
        <b/>
        <sz val="10"/>
        <rFont val="宋体"/>
        <family val="3"/>
        <charset val="134"/>
      </rPr>
      <t>其他综合收益税后净额：</t>
    </r>
    <phoneticPr fontId="43" type="noConversion"/>
  </si>
  <si>
    <r>
      <t>1</t>
    </r>
    <r>
      <rPr>
        <b/>
        <sz val="10"/>
        <color indexed="8"/>
        <rFont val="宋体"/>
        <family val="3"/>
        <charset val="134"/>
      </rPr>
      <t>、不能重分类进损益的其他综合收益</t>
    </r>
    <phoneticPr fontId="43" type="noConversion"/>
  </si>
  <si>
    <r>
      <t xml:space="preserve">  </t>
    </r>
    <r>
      <rPr>
        <sz val="10"/>
        <color indexed="8"/>
        <rFont val="宋体"/>
        <family val="3"/>
        <charset val="134"/>
      </rPr>
      <t>（</t>
    </r>
    <r>
      <rPr>
        <sz val="10"/>
        <color indexed="8"/>
        <rFont val="Arial Narrow"/>
        <family val="2"/>
      </rPr>
      <t>1</t>
    </r>
    <r>
      <rPr>
        <sz val="10"/>
        <color indexed="8"/>
        <rFont val="宋体"/>
        <family val="3"/>
        <charset val="134"/>
      </rPr>
      <t>）重新计量设定受益计划变动额</t>
    </r>
    <phoneticPr fontId="43" type="noConversion"/>
  </si>
  <si>
    <t>应付职工薪酬-设定受益计划义务</t>
    <phoneticPr fontId="43" type="noConversion"/>
  </si>
  <si>
    <r>
      <t xml:space="preserve">  </t>
    </r>
    <r>
      <rPr>
        <sz val="10"/>
        <color indexed="8"/>
        <rFont val="宋体"/>
        <family val="3"/>
        <charset val="134"/>
      </rPr>
      <t>（</t>
    </r>
    <r>
      <rPr>
        <sz val="10"/>
        <color indexed="8"/>
        <rFont val="Arial Narrow"/>
        <family val="2"/>
      </rPr>
      <t>2</t>
    </r>
    <r>
      <rPr>
        <sz val="10"/>
        <color indexed="8"/>
        <rFont val="宋体"/>
        <family val="3"/>
        <charset val="134"/>
      </rPr>
      <t>）权益法下不能转损益的其他综合收益</t>
    </r>
    <phoneticPr fontId="43" type="noConversion"/>
  </si>
  <si>
    <t>长期股权投资-其他综合收益</t>
    <phoneticPr fontId="43" type="noConversion"/>
  </si>
  <si>
    <r>
      <t xml:space="preserve">  </t>
    </r>
    <r>
      <rPr>
        <sz val="10"/>
        <color indexed="8"/>
        <rFont val="宋体"/>
        <family val="3"/>
        <charset val="134"/>
      </rPr>
      <t>（</t>
    </r>
    <r>
      <rPr>
        <sz val="10"/>
        <color indexed="8"/>
        <rFont val="Arial Narrow"/>
        <family val="2"/>
      </rPr>
      <t>3</t>
    </r>
    <r>
      <rPr>
        <sz val="10"/>
        <color indexed="8"/>
        <rFont val="宋体"/>
        <family val="3"/>
        <charset val="134"/>
      </rPr>
      <t>）其他权益工具投资公允价值变动</t>
    </r>
    <phoneticPr fontId="43" type="noConversion"/>
  </si>
  <si>
    <t>其他权益工具投资-公允价值变动</t>
    <phoneticPr fontId="43" type="noConversion"/>
  </si>
  <si>
    <r>
      <t xml:space="preserve">  </t>
    </r>
    <r>
      <rPr>
        <sz val="10"/>
        <color indexed="8"/>
        <rFont val="宋体"/>
        <family val="3"/>
        <charset val="134"/>
      </rPr>
      <t>（</t>
    </r>
    <r>
      <rPr>
        <sz val="10"/>
        <color indexed="8"/>
        <rFont val="Arial Narrow"/>
        <family val="2"/>
      </rPr>
      <t>4</t>
    </r>
    <r>
      <rPr>
        <sz val="10"/>
        <color indexed="8"/>
        <rFont val="宋体"/>
        <family val="3"/>
        <charset val="134"/>
      </rPr>
      <t>）企业自身信用风险公允价值变动</t>
    </r>
    <phoneticPr fontId="43" type="noConversion"/>
  </si>
  <si>
    <t>交易性负债-公允价值变动</t>
    <phoneticPr fontId="43" type="noConversion"/>
  </si>
  <si>
    <t xml:space="preserve">  ……</t>
    <phoneticPr fontId="43" type="noConversion"/>
  </si>
  <si>
    <r>
      <t>2</t>
    </r>
    <r>
      <rPr>
        <b/>
        <sz val="10"/>
        <color indexed="8"/>
        <rFont val="宋体"/>
        <family val="3"/>
        <charset val="134"/>
      </rPr>
      <t>、将重分类进损益的其他综合收益</t>
    </r>
    <phoneticPr fontId="43" type="noConversion"/>
  </si>
  <si>
    <r>
      <t xml:space="preserve">  </t>
    </r>
    <r>
      <rPr>
        <sz val="10"/>
        <color indexed="8"/>
        <rFont val="宋体"/>
        <family val="3"/>
        <charset val="134"/>
      </rPr>
      <t>（</t>
    </r>
    <r>
      <rPr>
        <sz val="10"/>
        <color indexed="8"/>
        <rFont val="Arial Narrow"/>
        <family val="2"/>
      </rPr>
      <t>1</t>
    </r>
    <r>
      <rPr>
        <sz val="10"/>
        <color indexed="8"/>
        <rFont val="宋体"/>
        <family val="3"/>
        <charset val="134"/>
      </rPr>
      <t>）权益法下可转损益的其他综合收益</t>
    </r>
    <phoneticPr fontId="43" type="noConversion"/>
  </si>
  <si>
    <r>
      <t xml:space="preserve">  </t>
    </r>
    <r>
      <rPr>
        <sz val="10"/>
        <color indexed="8"/>
        <rFont val="宋体"/>
        <family val="3"/>
        <charset val="134"/>
      </rPr>
      <t>（</t>
    </r>
    <r>
      <rPr>
        <sz val="10"/>
        <color indexed="8"/>
        <rFont val="Arial Narrow"/>
        <family val="2"/>
      </rPr>
      <t>2</t>
    </r>
    <r>
      <rPr>
        <sz val="10"/>
        <color indexed="8"/>
        <rFont val="宋体"/>
        <family val="3"/>
        <charset val="134"/>
      </rPr>
      <t>）其他债权投资公允价值变动</t>
    </r>
    <phoneticPr fontId="43" type="noConversion"/>
  </si>
  <si>
    <t>其他债权投资-公允价值变动</t>
    <phoneticPr fontId="43" type="noConversion"/>
  </si>
  <si>
    <r>
      <t xml:space="preserve">  </t>
    </r>
    <r>
      <rPr>
        <sz val="10"/>
        <color indexed="8"/>
        <rFont val="宋体"/>
        <family val="3"/>
        <charset val="134"/>
      </rPr>
      <t>（</t>
    </r>
    <r>
      <rPr>
        <sz val="10"/>
        <color indexed="8"/>
        <rFont val="Arial Narrow"/>
        <family val="2"/>
      </rPr>
      <t>3</t>
    </r>
    <r>
      <rPr>
        <sz val="10"/>
        <color indexed="8"/>
        <rFont val="宋体"/>
        <family val="3"/>
        <charset val="134"/>
      </rPr>
      <t>）金融资产重分类计入其他综合收益的金额</t>
    </r>
    <phoneticPr fontId="43" type="noConversion"/>
  </si>
  <si>
    <t>债权投资</t>
    <phoneticPr fontId="43" type="noConversion"/>
  </si>
  <si>
    <r>
      <t xml:space="preserve">  </t>
    </r>
    <r>
      <rPr>
        <sz val="10"/>
        <color indexed="8"/>
        <rFont val="宋体"/>
        <family val="3"/>
        <charset val="134"/>
      </rPr>
      <t>（</t>
    </r>
    <r>
      <rPr>
        <sz val="10"/>
        <color indexed="8"/>
        <rFont val="Arial Narrow"/>
        <family val="2"/>
      </rPr>
      <t>4</t>
    </r>
    <r>
      <rPr>
        <sz val="10"/>
        <color indexed="8"/>
        <rFont val="宋体"/>
        <family val="3"/>
        <charset val="134"/>
      </rPr>
      <t>）其他债权投资信用减值准备</t>
    </r>
    <phoneticPr fontId="43" type="noConversion"/>
  </si>
  <si>
    <t>信用减值损失-其他权益工具投资</t>
    <phoneticPr fontId="43" type="noConversion"/>
  </si>
  <si>
    <r>
      <t xml:space="preserve">  </t>
    </r>
    <r>
      <rPr>
        <sz val="10"/>
        <color indexed="8"/>
        <rFont val="宋体"/>
        <family val="3"/>
        <charset val="134"/>
      </rPr>
      <t>（</t>
    </r>
    <r>
      <rPr>
        <sz val="10"/>
        <color indexed="8"/>
        <rFont val="Arial Narrow"/>
        <family val="2"/>
      </rPr>
      <t>5</t>
    </r>
    <r>
      <rPr>
        <sz val="10"/>
        <color indexed="8"/>
        <rFont val="宋体"/>
        <family val="3"/>
        <charset val="134"/>
      </rPr>
      <t>）现金流量套期储备</t>
    </r>
    <phoneticPr fontId="43" type="noConversion"/>
  </si>
  <si>
    <t>套期工具</t>
    <phoneticPr fontId="43" type="noConversion"/>
  </si>
  <si>
    <r>
      <t xml:space="preserve">  </t>
    </r>
    <r>
      <rPr>
        <sz val="10"/>
        <color indexed="8"/>
        <rFont val="宋体"/>
        <family val="3"/>
        <charset val="134"/>
      </rPr>
      <t>（</t>
    </r>
    <r>
      <rPr>
        <sz val="10"/>
        <color indexed="8"/>
        <rFont val="Arial Narrow"/>
        <family val="2"/>
      </rPr>
      <t>6</t>
    </r>
    <r>
      <rPr>
        <sz val="10"/>
        <color indexed="8"/>
        <rFont val="宋体"/>
        <family val="3"/>
        <charset val="134"/>
      </rPr>
      <t>）外币财务报表折算差额</t>
    </r>
    <phoneticPr fontId="43" type="noConversion"/>
  </si>
  <si>
    <r>
      <t xml:space="preserve">  </t>
    </r>
    <r>
      <rPr>
        <sz val="10"/>
        <color indexed="8"/>
        <rFont val="宋体"/>
        <family val="3"/>
        <charset val="134"/>
      </rPr>
      <t>（</t>
    </r>
    <r>
      <rPr>
        <sz val="10"/>
        <color indexed="8"/>
        <rFont val="Arial Narrow"/>
        <family val="2"/>
      </rPr>
      <t>7</t>
    </r>
    <r>
      <rPr>
        <sz val="10"/>
        <color indexed="8"/>
        <rFont val="宋体"/>
        <family val="3"/>
        <charset val="134"/>
      </rPr>
      <t>）自用房地产或作为存货的房地产转换为以公允价值计量的投资性房地产在转换日公允价值大于账面价值部分</t>
    </r>
    <phoneticPr fontId="43" type="noConversion"/>
  </si>
  <si>
    <r>
      <t xml:space="preserve">  </t>
    </r>
    <r>
      <rPr>
        <sz val="10"/>
        <color indexed="8"/>
        <rFont val="宋体"/>
        <family val="3"/>
        <charset val="134"/>
      </rPr>
      <t>（</t>
    </r>
    <r>
      <rPr>
        <sz val="10"/>
        <color indexed="8"/>
        <rFont val="Arial Narrow"/>
        <family val="2"/>
      </rPr>
      <t>8</t>
    </r>
    <r>
      <rPr>
        <sz val="10"/>
        <color indexed="8"/>
        <rFont val="宋体"/>
        <family val="3"/>
        <charset val="134"/>
      </rPr>
      <t>）多次交易分步处置子公司股权构成一揽子交易的，丧失控制权之前各次交易处置价款与对应净资产账面价值份额的差额</t>
    </r>
    <phoneticPr fontId="43" type="noConversion"/>
  </si>
  <si>
    <r>
      <rPr>
        <b/>
        <sz val="10"/>
        <rFont val="宋体"/>
        <family val="3"/>
        <charset val="134"/>
      </rPr>
      <t>合计</t>
    </r>
    <phoneticPr fontId="43" type="noConversion"/>
  </si>
  <si>
    <r>
      <rPr>
        <b/>
        <sz val="10"/>
        <rFont val="宋体"/>
        <family val="3"/>
        <charset val="134"/>
      </rPr>
      <t>三、审计说明：</t>
    </r>
    <phoneticPr fontId="18" type="noConversion"/>
  </si>
  <si>
    <t>其他综合收益核对表</t>
    <phoneticPr fontId="18" type="noConversion"/>
  </si>
  <si>
    <t>列报</t>
    <phoneticPr fontId="18" type="noConversion"/>
  </si>
  <si>
    <r>
      <rPr>
        <sz val="10"/>
        <rFont val="宋体"/>
        <family val="3"/>
        <charset val="134"/>
      </rPr>
      <t>页</t>
    </r>
    <r>
      <rPr>
        <sz val="10"/>
        <rFont val="Arial Narrow"/>
        <family val="2"/>
      </rPr>
      <t xml:space="preserve">   </t>
    </r>
    <r>
      <rPr>
        <sz val="10"/>
        <rFont val="宋体"/>
        <family val="3"/>
        <charset val="134"/>
      </rPr>
      <t>次：</t>
    </r>
    <phoneticPr fontId="43" type="noConversion"/>
  </si>
  <si>
    <t>M9-1
/M9-2</t>
    <phoneticPr fontId="18" type="noConversion"/>
  </si>
  <si>
    <t>T1/</t>
    <phoneticPr fontId="43" type="noConversion"/>
  </si>
  <si>
    <t>四、审计结论：</t>
    <phoneticPr fontId="18" type="noConversion"/>
  </si>
  <si>
    <t>致同会计师事务所</t>
    <phoneticPr fontId="43" type="noConversion"/>
  </si>
  <si>
    <t>M9-2
/M9-2</t>
    <phoneticPr fontId="18" type="noConversion"/>
  </si>
  <si>
    <t>其他综合收益核对表</t>
    <phoneticPr fontId="18" type="noConversion"/>
  </si>
  <si>
    <r>
      <rPr>
        <sz val="10"/>
        <rFont val="宋体"/>
        <family val="3"/>
        <charset val="134"/>
      </rPr>
      <t>页</t>
    </r>
    <r>
      <rPr>
        <sz val="10"/>
        <rFont val="Arial Narrow"/>
        <family val="2"/>
      </rPr>
      <t xml:space="preserve">   </t>
    </r>
    <r>
      <rPr>
        <sz val="10"/>
        <rFont val="宋体"/>
        <family val="3"/>
        <charset val="134"/>
      </rPr>
      <t>次：</t>
    </r>
    <phoneticPr fontId="43" type="noConversion"/>
  </si>
  <si>
    <r>
      <rPr>
        <b/>
        <sz val="10"/>
        <rFont val="宋体"/>
        <family val="3"/>
        <charset val="134"/>
      </rPr>
      <t>附注项目</t>
    </r>
    <phoneticPr fontId="18" type="noConversion"/>
  </si>
  <si>
    <r>
      <rPr>
        <b/>
        <sz val="10"/>
        <rFont val="宋体"/>
        <family val="3"/>
        <charset val="134"/>
      </rPr>
      <t>索引</t>
    </r>
    <phoneticPr fontId="18" type="noConversion"/>
  </si>
  <si>
    <r>
      <rPr>
        <b/>
        <sz val="10"/>
        <rFont val="宋体"/>
        <family val="3"/>
        <charset val="134"/>
      </rPr>
      <t>调整事项说明</t>
    </r>
    <phoneticPr fontId="18"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</si>
  <si>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18" type="noConversion"/>
  </si>
  <si>
    <r>
      <rPr>
        <b/>
        <sz val="10"/>
        <rFont val="宋体"/>
        <family val="3"/>
        <charset val="134"/>
      </rPr>
      <t>报表项目</t>
    </r>
    <phoneticPr fontId="18" type="noConversion"/>
  </si>
  <si>
    <r>
      <rPr>
        <b/>
        <sz val="10"/>
        <rFont val="宋体"/>
        <family val="3"/>
        <charset val="134"/>
      </rPr>
      <t>科目名称</t>
    </r>
    <phoneticPr fontId="18" type="noConversion"/>
  </si>
  <si>
    <r>
      <rPr>
        <b/>
        <sz val="10"/>
        <rFont val="宋体"/>
        <family val="3"/>
        <charset val="134"/>
      </rPr>
      <t>借方调整金额</t>
    </r>
    <phoneticPr fontId="18" type="noConversion"/>
  </si>
  <si>
    <r>
      <rPr>
        <b/>
        <sz val="10"/>
        <rFont val="宋体"/>
        <family val="3"/>
        <charset val="134"/>
      </rPr>
      <t>贷方调整金额</t>
    </r>
    <phoneticPr fontId="18" type="noConversion"/>
  </si>
  <si>
    <r>
      <rPr>
        <b/>
        <sz val="10"/>
        <rFont val="宋体"/>
        <family val="3"/>
        <charset val="134"/>
      </rPr>
      <t>备注</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</si>
  <si>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</si>
  <si>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</si>
  <si>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</si>
  <si>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</si>
  <si>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</si>
  <si>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t>准确性、计价和分摊</t>
    <phoneticPr fontId="18" type="noConversion"/>
  </si>
  <si>
    <t>存在</t>
    <phoneticPr fontId="18" type="noConversion"/>
  </si>
  <si>
    <t>完整性</t>
    <phoneticPr fontId="18" type="noConversion"/>
  </si>
  <si>
    <t>权利和义务</t>
    <phoneticPr fontId="18" type="noConversion"/>
  </si>
  <si>
    <t>减：前期计入其他综合收益当期转入损益/留存收益</t>
    <phoneticPr fontId="18" type="noConversion"/>
  </si>
  <si>
    <t>减：前期计入其他综合收益当期转入损益/留存收益</t>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</si>
  <si>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</si>
  <si>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</si>
  <si>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</si>
  <si>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</si>
  <si>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</si>
  <si>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其他综合收益审定表</t>
    <phoneticPr fontId="18" type="noConversion"/>
  </si>
  <si>
    <t>其他综合收益明细表</t>
    <phoneticPr fontId="18" type="noConversion"/>
  </si>
  <si>
    <t>其他综合收益以恰当的金额包括在财务报表中，与之相关的计价或分摊调整已恰当记录，相关披露已得到恰当计量和描述。</t>
    <phoneticPr fontId="18" type="noConversion"/>
  </si>
  <si>
    <t>其他综合收益调整分录汇总表</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</si>
</sst>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0">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0"/>
      <color indexed="10"/>
      <name val="宋体"/>
      <family val="3"/>
      <charset val="134"/>
    </font>
    <font>
      <sz val="12"/>
      <name val="Times New Roman"/>
      <family val="1"/>
    </font>
    <font>
      <sz val="10"/>
      <color indexed="12"/>
      <name val="宋体"/>
      <family val="3"/>
      <charset val="134"/>
    </font>
    <font>
      <b/>
      <sz val="10"/>
      <color indexed="12"/>
      <name val="宋体"/>
      <family val="3"/>
      <charset val="134"/>
    </font>
    <font>
      <i/>
      <sz val="10"/>
      <color indexed="12"/>
      <name val="宋体"/>
      <family val="3"/>
      <charset val="134"/>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u/>
      <sz val="10"/>
      <name val="Arial Narrow"/>
      <family val="2"/>
    </font>
    <font>
      <sz val="10"/>
      <color indexed="12"/>
      <name val="Arial Narrow"/>
      <family val="2"/>
    </font>
    <font>
      <b/>
      <sz val="10"/>
      <color indexed="8"/>
      <name val="Arial Narrow"/>
      <family val="2"/>
    </font>
    <font>
      <b/>
      <sz val="10"/>
      <color indexed="8"/>
      <name val="宋体"/>
      <family val="3"/>
      <charset val="134"/>
    </font>
    <font>
      <b/>
      <u/>
      <sz val="10"/>
      <color indexed="10"/>
      <name val="Arial Narrow"/>
      <family val="2"/>
    </font>
    <font>
      <sz val="10"/>
      <color indexed="8"/>
      <name val="Arial Narrow"/>
      <family val="2"/>
    </font>
    <font>
      <sz val="11"/>
      <color theme="1"/>
      <name val="宋体"/>
      <family val="3"/>
      <charset val="134"/>
      <scheme val="minor"/>
    </font>
    <font>
      <sz val="9"/>
      <name val="宋体"/>
      <family val="3"/>
      <charset val="134"/>
      <scheme val="minor"/>
    </font>
    <font>
      <b/>
      <sz val="8"/>
      <name val="宋体"/>
      <family val="3"/>
      <charset val="134"/>
    </font>
    <font>
      <sz val="9"/>
      <name val="宋体"/>
      <family val="2"/>
      <charset val="134"/>
      <scheme val="minor"/>
    </font>
    <font>
      <sz val="10.5"/>
      <name val="Arial Narrow"/>
      <family val="2"/>
    </font>
    <font>
      <sz val="9"/>
      <color indexed="81"/>
      <name val="宋体"/>
      <family val="3"/>
      <charset val="134"/>
    </font>
    <font>
      <b/>
      <sz val="9"/>
      <color indexed="81"/>
      <name val="宋体"/>
      <family val="3"/>
      <charset val="134"/>
    </font>
    <font>
      <sz val="10"/>
      <color theme="1"/>
      <name val="Arial Narrow"/>
      <family val="2"/>
    </font>
    <font>
      <sz val="11"/>
      <color theme="1"/>
      <name val="Arial Narrow"/>
      <family val="2"/>
    </font>
    <font>
      <b/>
      <sz val="14"/>
      <name val="宋体"/>
      <family val="3"/>
      <charset val="134"/>
    </font>
    <font>
      <sz val="10"/>
      <color theme="1" tint="0.14999847407452621"/>
      <name val="宋体"/>
      <family val="3"/>
      <charset val="134"/>
    </font>
    <font>
      <b/>
      <sz val="10"/>
      <color rgb="FFFF0000"/>
      <name val="Arial Narrow"/>
      <family val="2"/>
    </font>
    <font>
      <sz val="10"/>
      <name val="宋体"/>
      <family val="3"/>
      <charset val="134"/>
      <scheme val="minor"/>
    </font>
    <font>
      <sz val="10"/>
      <color rgb="FFFF0000"/>
      <name val="Arial Narrow"/>
      <family val="2"/>
    </font>
    <font>
      <b/>
      <sz val="10"/>
      <color theme="0" tint="-0.499984740745262"/>
      <name val="Arial Narrow"/>
      <family val="2"/>
    </font>
    <font>
      <sz val="10"/>
      <color theme="1"/>
      <name val="宋体"/>
      <family val="3"/>
      <charset val="134"/>
    </font>
    <font>
      <sz val="11"/>
      <name val="Arial Narrow"/>
      <family val="2"/>
    </font>
    <font>
      <b/>
      <sz val="10"/>
      <color theme="1"/>
      <name val="宋体"/>
      <family val="3"/>
      <charset val="134"/>
    </font>
    <font>
      <sz val="10"/>
      <color rgb="FFFF0000"/>
      <name val="宋体"/>
      <family val="3"/>
      <charset val="134"/>
    </font>
    <font>
      <sz val="10"/>
      <color rgb="FF0000FF"/>
      <name val="宋体"/>
      <family val="3"/>
      <charset val="134"/>
    </font>
    <font>
      <i/>
      <u/>
      <sz val="10"/>
      <color indexed="12"/>
      <name val="Arial Narrow"/>
      <family val="2"/>
    </font>
    <font>
      <sz val="12"/>
      <color indexed="12"/>
      <name val="仿宋_GB2312"/>
      <family val="3"/>
      <charset val="134"/>
    </font>
    <font>
      <sz val="12"/>
      <name val="宋体"/>
      <family val="3"/>
      <charset val="134"/>
      <scheme val="minor"/>
    </font>
    <font>
      <b/>
      <sz val="10"/>
      <color rgb="FF000000"/>
      <name val="宋体"/>
      <family val="3"/>
      <charset val="134"/>
      <scheme val="minor"/>
    </font>
    <font>
      <b/>
      <sz val="10"/>
      <color rgb="FF0000FF"/>
      <name val="宋体"/>
      <family val="3"/>
      <charset val="134"/>
      <scheme val="minor"/>
    </font>
    <font>
      <b/>
      <sz val="10"/>
      <name val="宋体"/>
      <family val="3"/>
      <charset val="134"/>
      <scheme val="minor"/>
    </font>
    <font>
      <sz val="10"/>
      <color rgb="FF000000"/>
      <name val="宋体"/>
      <family val="3"/>
      <charset val="134"/>
      <scheme val="minor"/>
    </font>
    <font>
      <sz val="10"/>
      <color rgb="FF0000FF"/>
      <name val="宋体"/>
      <family val="3"/>
      <charset val="134"/>
      <scheme val="minor"/>
    </font>
    <font>
      <b/>
      <sz val="12"/>
      <color indexed="40"/>
      <name val="宋体"/>
      <family val="3"/>
      <charset val="134"/>
      <scheme val="minor"/>
    </font>
    <font>
      <b/>
      <sz val="10"/>
      <color rgb="FFFF0000"/>
      <name val="宋体"/>
      <family val="3"/>
      <charset val="134"/>
      <scheme val="minor"/>
    </font>
    <font>
      <sz val="11"/>
      <name val="宋体"/>
      <family val="3"/>
      <charset val="134"/>
    </font>
    <font>
      <sz val="10"/>
      <color rgb="FF0000FF"/>
      <name val="Arial Narrow"/>
      <family val="2"/>
    </font>
    <font>
      <b/>
      <sz val="12"/>
      <name val="宋体"/>
      <family val="3"/>
      <charset val="134"/>
      <scheme val="minor"/>
    </font>
    <font>
      <sz val="10"/>
      <color indexed="10"/>
      <name val="Arial Narrow"/>
      <family val="2"/>
    </font>
    <font>
      <b/>
      <sz val="8"/>
      <name val="Arial Narrow"/>
      <family val="2"/>
    </font>
    <font>
      <sz val="10"/>
      <color rgb="FF3333FF"/>
      <name val="Arial Narrow"/>
      <family val="2"/>
    </font>
    <font>
      <b/>
      <sz val="14"/>
      <name val="宋体"/>
      <family val="3"/>
      <charset val="134"/>
      <scheme val="minor"/>
    </font>
    <font>
      <sz val="10"/>
      <color theme="1" tint="0.14999847407452621"/>
      <name val="Arial Narrow"/>
      <family val="2"/>
    </font>
    <font>
      <sz val="10"/>
      <color indexed="8"/>
      <name val="宋体"/>
      <family val="3"/>
      <charset val="134"/>
    </font>
    <font>
      <b/>
      <sz val="10"/>
      <color rgb="FF0000FF"/>
      <name val="宋体"/>
      <family val="3"/>
      <charset val="134"/>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00B050"/>
        <bgColor indexed="64"/>
      </patternFill>
    </fill>
    <fill>
      <patternFill patternType="solid">
        <fgColor rgb="FFE4DFEC"/>
        <bgColor indexed="64"/>
      </patternFill>
    </fill>
  </fills>
  <borders count="18">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right/>
      <top style="medium">
        <color indexed="64"/>
      </top>
      <bottom/>
      <diagonal/>
    </border>
    <border>
      <left style="hair">
        <color indexed="64"/>
      </left>
      <right style="hair">
        <color indexed="64"/>
      </right>
      <top/>
      <bottom style="hair">
        <color indexed="64"/>
      </bottom>
      <diagonal/>
    </border>
    <border>
      <left style="hair">
        <color indexed="64"/>
      </left>
      <right/>
      <top/>
      <bottom/>
      <diagonal/>
    </border>
  </borders>
  <cellStyleXfs count="60">
    <xf numFmtId="0" fontId="0" fillId="0" borderId="0">
      <protection locked="0"/>
    </xf>
    <xf numFmtId="49" fontId="21" fillId="0" borderId="0" applyProtection="0">
      <alignment horizontal="left"/>
    </xf>
    <xf numFmtId="189" fontId="21" fillId="0" borderId="0" applyFill="0" applyBorder="0" applyProtection="0">
      <alignment horizontal="right"/>
    </xf>
    <xf numFmtId="186" fontId="21" fillId="0" borderId="0" applyFill="0" applyBorder="0" applyProtection="0">
      <alignment horizontal="right"/>
    </xf>
    <xf numFmtId="188" fontId="28" fillId="0" borderId="0" applyFill="0" applyBorder="0" applyProtection="0">
      <alignment horizontal="center"/>
    </xf>
    <xf numFmtId="187" fontId="28" fillId="0" borderId="0" applyFill="0" applyBorder="0" applyProtection="0">
      <alignment horizontal="center"/>
    </xf>
    <xf numFmtId="190" fontId="29" fillId="0" borderId="0" applyFill="0" applyBorder="0" applyProtection="0">
      <alignment horizontal="right"/>
    </xf>
    <xf numFmtId="191" fontId="21" fillId="0" borderId="0" applyFill="0" applyBorder="0" applyProtection="0">
      <alignment horizontal="right"/>
    </xf>
    <xf numFmtId="192" fontId="21" fillId="0" borderId="0" applyFill="0" applyBorder="0" applyProtection="0">
      <alignment horizontal="right"/>
    </xf>
    <xf numFmtId="195" fontId="21" fillId="0" borderId="0" applyFill="0" applyBorder="0" applyProtection="0">
      <alignment horizontal="right"/>
    </xf>
    <xf numFmtId="194" fontId="21"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9" fontId="11" fillId="0" borderId="0" applyFont="0" applyFill="0" applyBorder="0" applyAlignment="0" applyProtection="0"/>
    <xf numFmtId="0" fontId="11" fillId="0" borderId="0">
      <alignment vertical="center"/>
    </xf>
    <xf numFmtId="0" fontId="24" fillId="0" borderId="0"/>
    <xf numFmtId="0" fontId="11" fillId="0" borderId="0" applyFill="0" applyBorder="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193" fontId="40" fillId="0" borderId="0">
      <alignment vertical="center"/>
    </xf>
    <xf numFmtId="193" fontId="11" fillId="0" borderId="0"/>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3" fillId="0" borderId="0">
      <alignment vertical="center"/>
    </xf>
    <xf numFmtId="193" fontId="2" fillId="0" borderId="0">
      <alignment vertical="center"/>
    </xf>
    <xf numFmtId="0" fontId="1" fillId="0" borderId="0">
      <alignment vertical="center"/>
    </xf>
    <xf numFmtId="0" fontId="11" fillId="0" borderId="0">
      <protection locked="0"/>
    </xf>
    <xf numFmtId="43" fontId="11" fillId="0" borderId="0" applyFont="0" applyFill="0" applyBorder="0" applyAlignment="0" applyProtection="0"/>
  </cellStyleXfs>
  <cellXfs count="281">
    <xf numFmtId="0" fontId="0" fillId="0" borderId="0" xfId="0">
      <protection locked="0"/>
    </xf>
    <xf numFmtId="0" fontId="19" fillId="0" borderId="0" xfId="0" applyFont="1" applyAlignment="1">
      <alignment vertical="center"/>
      <protection locked="0"/>
    </xf>
    <xf numFmtId="43" fontId="31" fillId="0" borderId="0" xfId="34" applyNumberFormat="1" applyFont="1" applyBorder="1" applyAlignment="1">
      <alignment vertical="center"/>
    </xf>
    <xf numFmtId="43" fontId="33" fillId="0" borderId="0" xfId="34" applyNumberFormat="1" applyFont="1" applyBorder="1" applyAlignment="1">
      <alignment vertical="center"/>
    </xf>
    <xf numFmtId="43" fontId="33" fillId="0" borderId="0" xfId="34" applyNumberFormat="1" applyFont="1" applyBorder="1" applyAlignment="1">
      <alignment horizontal="left" vertical="center"/>
    </xf>
    <xf numFmtId="43" fontId="33" fillId="0" borderId="0" xfId="34" applyNumberFormat="1" applyFont="1" applyBorder="1" applyAlignment="1">
      <alignment horizontal="left" vertical="center" indent="2"/>
    </xf>
    <xf numFmtId="49" fontId="33" fillId="0" borderId="0" xfId="34" applyNumberFormat="1" applyFont="1" applyBorder="1" applyAlignment="1">
      <alignment vertical="center"/>
    </xf>
    <xf numFmtId="0" fontId="33" fillId="0" borderId="0" xfId="33" applyFont="1" applyAlignment="1">
      <alignment vertical="center"/>
    </xf>
    <xf numFmtId="0" fontId="33" fillId="0" borderId="0" xfId="33" applyFont="1" applyAlignment="1">
      <alignment horizontal="left" vertical="center"/>
    </xf>
    <xf numFmtId="43" fontId="27" fillId="0" borderId="0" xfId="34" applyNumberFormat="1" applyFont="1" applyBorder="1" applyAlignment="1">
      <alignment vertical="center"/>
    </xf>
    <xf numFmtId="43" fontId="35" fillId="0" borderId="0" xfId="34" applyNumberFormat="1" applyFont="1" applyBorder="1" applyAlignment="1">
      <alignment vertical="center"/>
    </xf>
    <xf numFmtId="43" fontId="25" fillId="0" borderId="0" xfId="34" applyNumberFormat="1" applyFont="1" applyBorder="1" applyAlignment="1">
      <alignment vertical="center"/>
    </xf>
    <xf numFmtId="43" fontId="26" fillId="0" borderId="0" xfId="34" applyNumberFormat="1" applyFont="1" applyBorder="1" applyAlignment="1">
      <alignment vertical="center"/>
    </xf>
    <xf numFmtId="43" fontId="25" fillId="0" borderId="0" xfId="34" applyNumberFormat="1" applyFont="1" applyBorder="1" applyAlignment="1">
      <alignment horizontal="right" vertical="center"/>
    </xf>
    <xf numFmtId="0" fontId="33" fillId="0" borderId="0" xfId="0" applyFont="1" applyAlignment="1">
      <alignment vertical="center"/>
      <protection locked="0"/>
    </xf>
    <xf numFmtId="43" fontId="33" fillId="0" borderId="3" xfId="41" applyFont="1" applyBorder="1" applyAlignment="1">
      <alignment horizontal="right" vertical="center"/>
    </xf>
    <xf numFmtId="0" fontId="33" fillId="0" borderId="3" xfId="0" applyFont="1" applyBorder="1" applyAlignment="1">
      <alignment horizontal="center" vertical="center" wrapText="1"/>
      <protection locked="0"/>
    </xf>
    <xf numFmtId="0" fontId="33" fillId="0" borderId="7" xfId="0" applyFont="1" applyBorder="1" applyAlignment="1">
      <alignment vertical="center"/>
      <protection locked="0"/>
    </xf>
    <xf numFmtId="0" fontId="31" fillId="0" borderId="0" xfId="32" applyFont="1">
      <alignment vertical="center"/>
    </xf>
    <xf numFmtId="0" fontId="33" fillId="0" borderId="0" xfId="0" applyFont="1">
      <protection locked="0"/>
    </xf>
    <xf numFmtId="43" fontId="33" fillId="0" borderId="3" xfId="41" applyFont="1" applyBorder="1" applyAlignment="1">
      <alignment horizontal="right" vertical="center" wrapText="1"/>
    </xf>
    <xf numFmtId="0" fontId="33" fillId="0" borderId="0" xfId="0" applyFont="1" applyAlignment="1">
      <alignment horizontal="center"/>
      <protection locked="0"/>
    </xf>
    <xf numFmtId="0" fontId="31" fillId="0" borderId="0" xfId="0" applyFont="1">
      <protection locked="0"/>
    </xf>
    <xf numFmtId="0" fontId="31" fillId="0" borderId="0" xfId="0" applyFont="1" applyAlignment="1">
      <alignment horizontal="center"/>
      <protection locked="0"/>
    </xf>
    <xf numFmtId="0" fontId="33" fillId="0" borderId="0" xfId="0" applyFont="1" applyAlignment="1">
      <alignment horizontal="center" vertical="center"/>
      <protection locked="0"/>
    </xf>
    <xf numFmtId="0" fontId="32" fillId="0" borderId="0" xfId="0" applyFont="1" applyAlignment="1">
      <alignment vertical="center"/>
      <protection locked="0"/>
    </xf>
    <xf numFmtId="0" fontId="33" fillId="0" borderId="7" xfId="0" applyFont="1" applyBorder="1" applyAlignment="1">
      <alignment horizontal="center" vertical="center"/>
      <protection locked="0"/>
    </xf>
    <xf numFmtId="0" fontId="30" fillId="0" borderId="0" xfId="0" applyFont="1" applyAlignment="1">
      <alignment vertical="center"/>
      <protection locked="0"/>
    </xf>
    <xf numFmtId="0" fontId="31" fillId="0" borderId="0" xfId="0" applyFont="1" applyAlignment="1">
      <alignment vertical="center"/>
      <protection locked="0"/>
    </xf>
    <xf numFmtId="0" fontId="35" fillId="0" borderId="0" xfId="0" applyFont="1">
      <protection locked="0"/>
    </xf>
    <xf numFmtId="0" fontId="27" fillId="0" borderId="0" xfId="0" applyFont="1">
      <protection locked="0"/>
    </xf>
    <xf numFmtId="0" fontId="25" fillId="0" borderId="0" xfId="0" applyFont="1">
      <protection locked="0"/>
    </xf>
    <xf numFmtId="0" fontId="32" fillId="0" borderId="0" xfId="32" applyFont="1">
      <alignment vertical="center"/>
    </xf>
    <xf numFmtId="0" fontId="20" fillId="0" borderId="0" xfId="32" applyFont="1">
      <alignment vertical="center"/>
    </xf>
    <xf numFmtId="0" fontId="36" fillId="0" borderId="0" xfId="42" applyFont="1" applyAlignment="1" applyProtection="1">
      <alignment vertical="center"/>
    </xf>
    <xf numFmtId="0" fontId="38" fillId="0" borderId="0" xfId="42" applyFont="1" applyAlignment="1" applyProtection="1">
      <alignment horizontal="center"/>
    </xf>
    <xf numFmtId="0" fontId="33" fillId="0" borderId="0" xfId="42" applyFont="1" applyAlignment="1">
      <alignment vertical="center"/>
      <protection locked="0"/>
    </xf>
    <xf numFmtId="0" fontId="33" fillId="0" borderId="0" xfId="42" applyFont="1" applyAlignment="1">
      <alignment vertical="center" wrapText="1"/>
      <protection locked="0"/>
    </xf>
    <xf numFmtId="0" fontId="33" fillId="0" borderId="0" xfId="42" applyFont="1" applyAlignment="1">
      <alignment horizontal="right" vertical="center"/>
      <protection locked="0"/>
    </xf>
    <xf numFmtId="0" fontId="33" fillId="0" borderId="0" xfId="42" applyFont="1" applyAlignment="1">
      <alignment horizontal="justify" vertical="center" wrapText="1"/>
      <protection locked="0"/>
    </xf>
    <xf numFmtId="0" fontId="30" fillId="0" borderId="0" xfId="42" applyFont="1" applyAlignment="1" applyProtection="1">
      <alignment horizontal="left" vertical="center"/>
    </xf>
    <xf numFmtId="0" fontId="33" fillId="0" borderId="0" xfId="43" applyFont="1">
      <alignment vertical="center"/>
    </xf>
    <xf numFmtId="193" fontId="33" fillId="0" borderId="3" xfId="44" applyFont="1" applyBorder="1" applyAlignment="1" applyProtection="1">
      <alignment horizontal="left" vertical="center" wrapText="1"/>
      <protection locked="0"/>
    </xf>
    <xf numFmtId="43" fontId="30" fillId="0" borderId="0" xfId="34" applyNumberFormat="1" applyFont="1" applyBorder="1" applyAlignment="1">
      <alignment horizontal="left" vertical="center"/>
    </xf>
    <xf numFmtId="43" fontId="33" fillId="0" borderId="3" xfId="41" applyFont="1" applyFill="1" applyBorder="1" applyAlignment="1">
      <alignment horizontal="right" vertical="center" wrapText="1"/>
    </xf>
    <xf numFmtId="0" fontId="36" fillId="0" borderId="2" xfId="0" applyFont="1" applyBorder="1" applyAlignment="1" applyProtection="1">
      <alignment horizontal="center" vertical="center"/>
    </xf>
    <xf numFmtId="0" fontId="39" fillId="0" borderId="2" xfId="0" applyFont="1" applyBorder="1" applyAlignment="1" applyProtection="1">
      <alignment vertical="center"/>
    </xf>
    <xf numFmtId="14" fontId="33" fillId="0" borderId="0" xfId="34" applyNumberFormat="1" applyFont="1" applyBorder="1" applyAlignment="1">
      <alignment vertical="center"/>
    </xf>
    <xf numFmtId="14" fontId="33" fillId="0" borderId="0" xfId="34" applyNumberFormat="1" applyFont="1" applyBorder="1" applyAlignment="1">
      <alignment horizontal="left" vertical="center" indent="2"/>
    </xf>
    <xf numFmtId="14" fontId="33" fillId="0" borderId="0" xfId="0" applyNumberFormat="1" applyFont="1" applyAlignment="1">
      <alignment vertical="center"/>
      <protection locked="0"/>
    </xf>
    <xf numFmtId="0" fontId="30" fillId="0" borderId="7" xfId="0" applyFont="1" applyBorder="1" applyAlignment="1">
      <alignment vertical="center"/>
      <protection locked="0"/>
    </xf>
    <xf numFmtId="0" fontId="33" fillId="4" borderId="0" xfId="0" applyFont="1" applyFill="1" applyAlignment="1">
      <alignment horizontal="justify" vertical="center" wrapText="1"/>
      <protection locked="0"/>
    </xf>
    <xf numFmtId="0" fontId="44" fillId="0" borderId="0" xfId="0" applyFont="1" applyAlignment="1">
      <alignment horizontal="justify" wrapText="1"/>
      <protection locked="0"/>
    </xf>
    <xf numFmtId="0" fontId="31" fillId="0" borderId="0" xfId="0" applyFont="1" applyAlignment="1">
      <alignment horizontal="center" vertical="center"/>
      <protection locked="0"/>
    </xf>
    <xf numFmtId="0" fontId="44" fillId="0" borderId="0" xfId="0" applyFont="1" applyAlignment="1">
      <alignment horizontal="justify" vertical="top" wrapText="1"/>
      <protection locked="0"/>
    </xf>
    <xf numFmtId="0" fontId="32" fillId="0" borderId="0" xfId="0" applyFont="1" applyAlignment="1">
      <alignment horizontal="justify"/>
      <protection locked="0"/>
    </xf>
    <xf numFmtId="193" fontId="47" fillId="0" borderId="0" xfId="47" applyFont="1">
      <alignment vertical="center"/>
    </xf>
    <xf numFmtId="193" fontId="48" fillId="0" borderId="0" xfId="47" applyFont="1">
      <alignment vertical="center"/>
    </xf>
    <xf numFmtId="193" fontId="33" fillId="0" borderId="0" xfId="47" applyFont="1" applyProtection="1">
      <alignment vertical="center"/>
      <protection locked="0"/>
    </xf>
    <xf numFmtId="0" fontId="33" fillId="0" borderId="0" xfId="48" applyFont="1" applyAlignment="1">
      <alignment horizontal="left" vertical="center"/>
      <protection locked="0"/>
    </xf>
    <xf numFmtId="193" fontId="33" fillId="0" borderId="0" xfId="47" applyFont="1" applyAlignment="1" applyProtection="1">
      <alignment horizontal="center" vertical="center"/>
      <protection locked="0"/>
    </xf>
    <xf numFmtId="193" fontId="33" fillId="0" borderId="0" xfId="47" applyFont="1" applyAlignment="1" applyProtection="1">
      <alignment vertical="center" wrapText="1"/>
      <protection locked="0"/>
    </xf>
    <xf numFmtId="49" fontId="30" fillId="0" borderId="0" xfId="47" applyNumberFormat="1" applyFont="1" applyAlignment="1" applyProtection="1">
      <alignment horizontal="left" vertical="center"/>
      <protection locked="0"/>
    </xf>
    <xf numFmtId="193" fontId="51" fillId="0" borderId="0" xfId="47" applyFont="1" applyAlignment="1" applyProtection="1">
      <alignment horizontal="center" vertical="center"/>
      <protection locked="0"/>
    </xf>
    <xf numFmtId="193" fontId="48" fillId="0" borderId="0" xfId="47" applyFont="1" applyAlignment="1">
      <alignment horizontal="center" vertical="center"/>
    </xf>
    <xf numFmtId="193" fontId="54" fillId="5" borderId="0" xfId="47" applyFont="1" applyFill="1" applyAlignment="1" applyProtection="1">
      <alignment horizontal="center" vertical="center"/>
      <protection locked="0"/>
    </xf>
    <xf numFmtId="193" fontId="56" fillId="5" borderId="0" xfId="47" applyFont="1" applyFill="1" applyAlignment="1">
      <alignment horizontal="left" vertical="center"/>
    </xf>
    <xf numFmtId="193" fontId="33" fillId="5" borderId="0" xfId="47" applyFont="1" applyFill="1" applyAlignment="1">
      <alignment horizontal="left" vertical="center"/>
    </xf>
    <xf numFmtId="193" fontId="47" fillId="0" borderId="3" xfId="47" applyFont="1" applyBorder="1" applyAlignment="1">
      <alignment horizontal="center" vertical="center" wrapText="1"/>
    </xf>
    <xf numFmtId="43" fontId="30" fillId="0" borderId="0" xfId="34" applyNumberFormat="1" applyFont="1" applyFill="1" applyBorder="1" applyAlignment="1">
      <alignment vertical="center"/>
    </xf>
    <xf numFmtId="0" fontId="33" fillId="0" borderId="7" xfId="33" applyFont="1" applyBorder="1" applyAlignment="1">
      <alignment vertical="center"/>
    </xf>
    <xf numFmtId="43" fontId="33" fillId="0" borderId="7" xfId="34" applyNumberFormat="1" applyFont="1" applyBorder="1" applyAlignment="1">
      <alignment vertical="center"/>
    </xf>
    <xf numFmtId="43" fontId="30" fillId="7" borderId="0" xfId="34" applyNumberFormat="1" applyFont="1" applyFill="1" applyBorder="1" applyAlignment="1">
      <alignment vertical="center"/>
    </xf>
    <xf numFmtId="0" fontId="36" fillId="0" borderId="3" xfId="50" applyFont="1" applyBorder="1" applyAlignment="1" applyProtection="1">
      <alignment horizontal="center" vertical="center"/>
    </xf>
    <xf numFmtId="43" fontId="30" fillId="0" borderId="7" xfId="34" applyNumberFormat="1" applyFont="1" applyBorder="1" applyAlignment="1">
      <alignment horizontal="left" vertical="center"/>
    </xf>
    <xf numFmtId="43" fontId="33" fillId="0" borderId="7" xfId="34" applyNumberFormat="1" applyFont="1" applyBorder="1" applyAlignment="1">
      <alignment horizontal="left" vertical="center"/>
    </xf>
    <xf numFmtId="43" fontId="60" fillId="0" borderId="7" xfId="52" applyNumberFormat="1" applyFont="1" applyBorder="1" applyAlignment="1" applyProtection="1">
      <alignment horizontal="center" vertical="center"/>
    </xf>
    <xf numFmtId="0" fontId="30" fillId="0" borderId="0" xfId="33" applyFont="1" applyAlignment="1">
      <alignment vertical="center"/>
    </xf>
    <xf numFmtId="0" fontId="11" fillId="0" borderId="0" xfId="50">
      <protection locked="0"/>
    </xf>
    <xf numFmtId="0" fontId="62" fillId="0" borderId="0" xfId="0" applyFont="1" applyAlignment="1">
      <alignment horizontal="justify" vertical="center"/>
      <protection locked="0"/>
    </xf>
    <xf numFmtId="0" fontId="52" fillId="0" borderId="0" xfId="0" applyFont="1" applyAlignment="1">
      <alignment horizontal="justify" vertical="center"/>
      <protection locked="0"/>
    </xf>
    <xf numFmtId="0" fontId="52" fillId="0" borderId="0" xfId="0" applyFont="1" applyAlignment="1">
      <alignment vertical="center"/>
      <protection locked="0"/>
    </xf>
    <xf numFmtId="0" fontId="52" fillId="0" borderId="0" xfId="0" applyFont="1">
      <protection locked="0"/>
    </xf>
    <xf numFmtId="0" fontId="63" fillId="0" borderId="15" xfId="0" applyFont="1" applyBorder="1" applyAlignment="1">
      <alignment horizontal="center" vertical="center" wrapText="1"/>
      <protection locked="0"/>
    </xf>
    <xf numFmtId="0" fontId="63" fillId="0" borderId="15" xfId="0" applyFont="1" applyBorder="1" applyAlignment="1">
      <alignment horizontal="right" vertical="center" wrapText="1"/>
      <protection locked="0"/>
    </xf>
    <xf numFmtId="49" fontId="64" fillId="0" borderId="13" xfId="0" applyNumberFormat="1" applyFont="1" applyBorder="1" applyAlignment="1">
      <alignment horizontal="center" vertical="center" wrapText="1"/>
      <protection locked="0"/>
    </xf>
    <xf numFmtId="0" fontId="63" fillId="0" borderId="13" xfId="0" applyFont="1" applyBorder="1" applyAlignment="1">
      <alignment horizontal="right" vertical="center" wrapText="1"/>
      <protection locked="0"/>
    </xf>
    <xf numFmtId="0" fontId="63" fillId="0" borderId="12" xfId="0" applyFont="1" applyBorder="1" applyAlignment="1">
      <alignment horizontal="right" vertical="center" wrapText="1"/>
      <protection locked="0"/>
    </xf>
    <xf numFmtId="0" fontId="64" fillId="0" borderId="13" xfId="0" applyFont="1" applyBorder="1" applyAlignment="1">
      <alignment horizontal="right" vertical="center" wrapText="1"/>
      <protection locked="0"/>
    </xf>
    <xf numFmtId="0" fontId="63" fillId="0" borderId="0" xfId="0" applyFont="1" applyAlignment="1">
      <alignment horizontal="justify" vertical="center" wrapText="1"/>
      <protection locked="0"/>
    </xf>
    <xf numFmtId="43" fontId="66" fillId="0" borderId="0" xfId="0" applyNumberFormat="1" applyFont="1" applyAlignment="1">
      <alignment horizontal="right" vertical="center" wrapText="1"/>
      <protection locked="0"/>
    </xf>
    <xf numFmtId="43" fontId="52" fillId="0" borderId="15" xfId="41" applyFont="1" applyFill="1" applyBorder="1" applyAlignment="1">
      <alignment horizontal="right" vertical="center" wrapText="1"/>
    </xf>
    <xf numFmtId="0" fontId="66" fillId="0" borderId="0" xfId="0" applyFont="1" applyAlignment="1">
      <alignment horizontal="right" vertical="center" wrapText="1"/>
      <protection locked="0"/>
    </xf>
    <xf numFmtId="43" fontId="66" fillId="0" borderId="0" xfId="41" applyFont="1" applyAlignment="1" applyProtection="1">
      <alignment horizontal="right" vertical="center" wrapText="1" shrinkToFit="1"/>
      <protection locked="0"/>
    </xf>
    <xf numFmtId="0" fontId="66" fillId="0" borderId="0" xfId="0" applyFont="1" applyAlignment="1">
      <alignment horizontal="justify" vertical="center" wrapText="1"/>
      <protection locked="0"/>
    </xf>
    <xf numFmtId="43" fontId="52" fillId="0" borderId="0" xfId="41" applyFont="1" applyFill="1" applyBorder="1" applyAlignment="1">
      <alignment horizontal="right" vertical="center" wrapText="1"/>
    </xf>
    <xf numFmtId="0" fontId="67" fillId="0" borderId="0" xfId="0" applyFont="1" applyAlignment="1">
      <alignment horizontal="justify" vertical="center" wrapText="1"/>
      <protection locked="0"/>
    </xf>
    <xf numFmtId="0" fontId="67" fillId="0" borderId="13" xfId="0" applyFont="1" applyBorder="1" applyAlignment="1">
      <alignment horizontal="justify" vertical="center" wrapText="1"/>
      <protection locked="0"/>
    </xf>
    <xf numFmtId="0" fontId="66" fillId="0" borderId="13" xfId="0" applyFont="1" applyBorder="1" applyAlignment="1">
      <alignment horizontal="right" vertical="center" wrapText="1"/>
      <protection locked="0"/>
    </xf>
    <xf numFmtId="0" fontId="63" fillId="0" borderId="13" xfId="0" applyFont="1" applyBorder="1" applyAlignment="1">
      <alignment horizontal="justify" vertical="center" wrapText="1"/>
      <protection locked="0"/>
    </xf>
    <xf numFmtId="43" fontId="63" fillId="0" borderId="12" xfId="41" applyFont="1" applyBorder="1" applyAlignment="1" applyProtection="1">
      <alignment horizontal="right" vertical="center" wrapText="1" shrinkToFit="1"/>
      <protection locked="0"/>
    </xf>
    <xf numFmtId="0" fontId="67" fillId="0" borderId="0" xfId="0" applyFont="1" applyAlignment="1">
      <alignment horizontal="justify" vertical="center"/>
      <protection locked="0"/>
    </xf>
    <xf numFmtId="0" fontId="68" fillId="0" borderId="0" xfId="0" applyFont="1" applyAlignment="1">
      <alignment vertical="center"/>
      <protection locked="0"/>
    </xf>
    <xf numFmtId="0" fontId="52" fillId="0" borderId="0" xfId="0" applyFont="1" applyAlignment="1">
      <alignment horizontal="justify" vertical="center" wrapText="1"/>
      <protection locked="0"/>
    </xf>
    <xf numFmtId="43" fontId="66" fillId="0" borderId="0" xfId="0" applyNumberFormat="1" applyFont="1" applyAlignment="1" applyProtection="1">
      <alignment horizontal="justify" vertical="center" wrapText="1"/>
    </xf>
    <xf numFmtId="0" fontId="63" fillId="0" borderId="12" xfId="0" applyFont="1" applyBorder="1" applyAlignment="1">
      <alignment horizontal="justify" vertical="center" wrapText="1"/>
      <protection locked="0"/>
    </xf>
    <xf numFmtId="0" fontId="52" fillId="0" borderId="13" xfId="0" applyFont="1" applyBorder="1" applyAlignment="1">
      <alignment horizontal="justify" vertical="center" wrapText="1"/>
      <protection locked="0"/>
    </xf>
    <xf numFmtId="0" fontId="65" fillId="0" borderId="12" xfId="0" applyFont="1" applyBorder="1" applyAlignment="1">
      <alignment horizontal="justify" vertical="center" wrapText="1"/>
      <protection locked="0"/>
    </xf>
    <xf numFmtId="0" fontId="63" fillId="0" borderId="12" xfId="0" applyFont="1" applyBorder="1" applyAlignment="1">
      <alignment horizontal="center" vertical="center" wrapText="1"/>
      <protection locked="0"/>
    </xf>
    <xf numFmtId="0" fontId="66" fillId="5" borderId="0" xfId="0" applyFont="1" applyFill="1" applyAlignment="1">
      <alignment vertical="center" wrapText="1"/>
      <protection locked="0"/>
    </xf>
    <xf numFmtId="0" fontId="66" fillId="0" borderId="13" xfId="0" applyFont="1" applyBorder="1" applyAlignment="1">
      <alignment horizontal="justify" vertical="center" wrapText="1"/>
      <protection locked="0"/>
    </xf>
    <xf numFmtId="0" fontId="66" fillId="5" borderId="13" xfId="0" applyFont="1" applyFill="1" applyBorder="1" applyAlignment="1">
      <alignment vertical="center" wrapText="1"/>
      <protection locked="0"/>
    </xf>
    <xf numFmtId="0" fontId="67" fillId="0" borderId="0" xfId="0" applyFont="1" applyAlignment="1">
      <alignment vertical="center"/>
      <protection locked="0"/>
    </xf>
    <xf numFmtId="43" fontId="66" fillId="0" borderId="0" xfId="0" applyNumberFormat="1" applyFont="1" applyAlignment="1" applyProtection="1">
      <alignment horizontal="left" vertical="center" wrapText="1"/>
    </xf>
    <xf numFmtId="193" fontId="30" fillId="0" borderId="0" xfId="55" applyFont="1" applyAlignment="1" applyProtection="1">
      <alignment horizontal="justify" vertical="center"/>
      <protection locked="0"/>
    </xf>
    <xf numFmtId="193" fontId="47" fillId="0" borderId="3" xfId="54" applyFont="1" applyBorder="1" applyAlignment="1">
      <alignment horizontal="center" vertical="center" wrapText="1"/>
    </xf>
    <xf numFmtId="193" fontId="53" fillId="5" borderId="0" xfId="47" applyFont="1" applyFill="1" applyAlignment="1">
      <alignment horizontal="left" vertical="center"/>
    </xf>
    <xf numFmtId="43" fontId="33" fillId="8" borderId="3" xfId="41" applyFont="1" applyFill="1" applyBorder="1" applyAlignment="1">
      <alignment horizontal="right" vertical="center" wrapText="1"/>
    </xf>
    <xf numFmtId="10" fontId="33" fillId="8" borderId="3" xfId="31" applyNumberFormat="1" applyFont="1" applyFill="1" applyBorder="1" applyAlignment="1">
      <alignment horizontal="right" vertical="center" wrapText="1"/>
    </xf>
    <xf numFmtId="10" fontId="30" fillId="8" borderId="3" xfId="31" applyNumberFormat="1" applyFont="1" applyFill="1" applyBorder="1" applyAlignment="1">
      <alignment horizontal="right" vertical="center" wrapText="1"/>
    </xf>
    <xf numFmtId="43" fontId="39" fillId="8" borderId="3" xfId="49" applyFont="1" applyFill="1" applyBorder="1" applyAlignment="1">
      <alignment horizontal="right" vertical="center"/>
    </xf>
    <xf numFmtId="0" fontId="70" fillId="0" borderId="0" xfId="42" applyFont="1">
      <protection locked="0"/>
    </xf>
    <xf numFmtId="193" fontId="30" fillId="6" borderId="3" xfId="44" applyFont="1" applyFill="1" applyBorder="1" applyAlignment="1" applyProtection="1">
      <alignment horizontal="center" vertical="center" wrapText="1"/>
      <protection locked="0"/>
    </xf>
    <xf numFmtId="193" fontId="71" fillId="5" borderId="0" xfId="54" applyFont="1" applyFill="1" applyAlignment="1" applyProtection="1">
      <alignment horizontal="left" vertical="center" wrapText="1"/>
      <protection locked="0"/>
    </xf>
    <xf numFmtId="193" fontId="36" fillId="6" borderId="3" xfId="45" applyFont="1" applyFill="1" applyBorder="1" applyAlignment="1" applyProtection="1">
      <alignment horizontal="center" vertical="center" wrapText="1"/>
      <protection locked="0"/>
    </xf>
    <xf numFmtId="193" fontId="30" fillId="6" borderId="3" xfId="45" applyFont="1" applyFill="1" applyBorder="1" applyAlignment="1" applyProtection="1">
      <alignment horizontal="center" vertical="center"/>
      <protection locked="0"/>
    </xf>
    <xf numFmtId="43" fontId="30" fillId="0" borderId="3" xfId="41" applyFont="1" applyFill="1" applyBorder="1" applyAlignment="1">
      <alignment horizontal="center" vertical="center" wrapText="1"/>
    </xf>
    <xf numFmtId="43" fontId="60" fillId="0" borderId="0" xfId="35" applyNumberFormat="1" applyFont="1" applyBorder="1" applyAlignment="1" applyProtection="1">
      <alignment horizontal="center" vertical="center"/>
    </xf>
    <xf numFmtId="0" fontId="35" fillId="0" borderId="0" xfId="33" applyFont="1" applyAlignment="1">
      <alignment vertical="center"/>
    </xf>
    <xf numFmtId="0" fontId="33" fillId="0" borderId="0" xfId="0" applyFont="1" applyAlignment="1">
      <alignment horizontal="right" vertical="center"/>
      <protection locked="0"/>
    </xf>
    <xf numFmtId="14" fontId="33" fillId="0" borderId="0" xfId="0" applyNumberFormat="1" applyFont="1" applyAlignment="1">
      <alignment horizontal="right" vertical="center"/>
      <protection locked="0"/>
    </xf>
    <xf numFmtId="0" fontId="33" fillId="0" borderId="0" xfId="42" applyFont="1" applyAlignment="1" applyProtection="1">
      <alignment vertical="center"/>
    </xf>
    <xf numFmtId="0" fontId="74" fillId="6" borderId="14" xfId="0" applyFont="1" applyFill="1" applyBorder="1" applyAlignment="1">
      <alignment horizontal="center" vertical="center" wrapText="1"/>
      <protection locked="0"/>
    </xf>
    <xf numFmtId="0" fontId="36" fillId="6" borderId="3" xfId="0" applyFont="1" applyFill="1" applyBorder="1" applyAlignment="1">
      <alignment horizontal="center" vertical="center"/>
      <protection locked="0"/>
    </xf>
    <xf numFmtId="193" fontId="30" fillId="6" borderId="3" xfId="51" applyFont="1" applyFill="1" applyBorder="1" applyAlignment="1" applyProtection="1">
      <alignment horizontal="center" vertical="center" wrapText="1"/>
      <protection locked="0"/>
    </xf>
    <xf numFmtId="0" fontId="39" fillId="0" borderId="3" xfId="50" applyFont="1" applyBorder="1" applyAlignment="1" applyProtection="1">
      <alignment vertical="center"/>
    </xf>
    <xf numFmtId="0" fontId="33" fillId="0" borderId="3" xfId="50" applyFont="1" applyBorder="1" applyAlignment="1" applyProtection="1">
      <alignment vertical="center"/>
    </xf>
    <xf numFmtId="0" fontId="53" fillId="0" borderId="3" xfId="50" applyFont="1" applyBorder="1" applyAlignment="1" applyProtection="1">
      <alignment horizontal="left" vertical="center" indent="1"/>
    </xf>
    <xf numFmtId="0" fontId="31" fillId="0" borderId="0" xfId="50" applyFont="1">
      <protection locked="0"/>
    </xf>
    <xf numFmtId="0" fontId="75" fillId="0" borderId="0" xfId="0" applyFont="1" applyAlignment="1">
      <alignment vertical="top"/>
      <protection locked="0"/>
    </xf>
    <xf numFmtId="0" fontId="67" fillId="0" borderId="0" xfId="0" applyFont="1" applyAlignment="1">
      <alignment vertical="top"/>
      <protection locked="0"/>
    </xf>
    <xf numFmtId="193" fontId="30" fillId="0" borderId="0" xfId="47" applyFont="1" applyProtection="1">
      <alignment vertical="center"/>
      <protection locked="0"/>
    </xf>
    <xf numFmtId="193" fontId="77" fillId="0" borderId="0" xfId="47" applyFont="1" applyProtection="1">
      <alignment vertical="center"/>
      <protection locked="0"/>
    </xf>
    <xf numFmtId="49" fontId="30" fillId="0" borderId="0" xfId="54" applyNumberFormat="1" applyFont="1" applyAlignment="1" applyProtection="1">
      <alignment horizontal="left" vertical="center"/>
      <protection locked="0"/>
    </xf>
    <xf numFmtId="193" fontId="30" fillId="6" borderId="3" xfId="54" applyFont="1" applyFill="1" applyBorder="1" applyAlignment="1" applyProtection="1">
      <alignment horizontal="center" vertical="center" wrapText="1"/>
      <protection locked="0"/>
    </xf>
    <xf numFmtId="0" fontId="47" fillId="0" borderId="3" xfId="47" applyNumberFormat="1" applyFont="1" applyBorder="1" applyAlignment="1">
      <alignment horizontal="center" vertical="center" wrapText="1"/>
    </xf>
    <xf numFmtId="43" fontId="33" fillId="0" borderId="17" xfId="34" applyNumberFormat="1" applyFont="1" applyBorder="1" applyAlignment="1">
      <alignment vertical="center"/>
    </xf>
    <xf numFmtId="193" fontId="55" fillId="0" borderId="3" xfId="54" applyFont="1" applyBorder="1" applyAlignment="1">
      <alignment horizontal="center" vertical="center" wrapText="1"/>
    </xf>
    <xf numFmtId="193" fontId="57" fillId="0" borderId="3" xfId="54" applyFont="1" applyBorder="1" applyAlignment="1">
      <alignment horizontal="center" vertical="center" wrapText="1"/>
    </xf>
    <xf numFmtId="193" fontId="57" fillId="0" borderId="3" xfId="54" applyFont="1" applyFill="1" applyBorder="1" applyAlignment="1">
      <alignment horizontal="center" vertical="center" wrapText="1"/>
    </xf>
    <xf numFmtId="193" fontId="55" fillId="0" borderId="3" xfId="54" applyFont="1" applyFill="1" applyBorder="1" applyAlignment="1">
      <alignment horizontal="center" vertical="center" wrapText="1"/>
    </xf>
    <xf numFmtId="0" fontId="26" fillId="0" borderId="0" xfId="0" applyFont="1">
      <protection locked="0"/>
    </xf>
    <xf numFmtId="0" fontId="30" fillId="6" borderId="3" xfId="0" applyFont="1" applyFill="1" applyBorder="1" applyAlignment="1">
      <alignment horizontal="center" vertical="center"/>
      <protection locked="0"/>
    </xf>
    <xf numFmtId="0" fontId="33" fillId="0" borderId="0" xfId="32" applyFont="1">
      <alignment vertical="center"/>
    </xf>
    <xf numFmtId="0" fontId="36" fillId="0" borderId="0" xfId="57" applyFont="1">
      <alignment vertical="center"/>
    </xf>
    <xf numFmtId="0" fontId="30" fillId="0" borderId="0" xfId="57" applyFont="1" applyProtection="1">
      <alignment vertical="center"/>
      <protection locked="0"/>
    </xf>
    <xf numFmtId="0" fontId="19" fillId="0" borderId="0" xfId="57" applyFont="1" applyAlignment="1">
      <alignment horizontal="left" vertical="center" indent="1"/>
    </xf>
    <xf numFmtId="0" fontId="30" fillId="0" borderId="0" xfId="42" applyFont="1" applyAlignment="1">
      <alignment horizontal="center" vertical="center" wrapText="1"/>
      <protection locked="0"/>
    </xf>
    <xf numFmtId="0" fontId="22" fillId="6" borderId="3" xfId="42" applyFont="1" applyFill="1" applyBorder="1" applyAlignment="1">
      <alignment horizontal="center" vertical="center" wrapText="1"/>
      <protection locked="0"/>
    </xf>
    <xf numFmtId="0" fontId="65" fillId="6" borderId="3" xfId="57" applyFont="1" applyFill="1" applyBorder="1" applyAlignment="1">
      <alignment horizontal="center" vertical="center"/>
    </xf>
    <xf numFmtId="0" fontId="30" fillId="6" borderId="16" xfId="42" applyFont="1" applyFill="1" applyBorder="1" applyAlignment="1">
      <alignment horizontal="left" vertical="center" wrapText="1"/>
      <protection locked="0"/>
    </xf>
    <xf numFmtId="0" fontId="22" fillId="6" borderId="16" xfId="42" applyFont="1" applyFill="1" applyBorder="1" applyAlignment="1">
      <alignment horizontal="center" vertical="center" wrapText="1"/>
      <protection locked="0"/>
    </xf>
    <xf numFmtId="0" fontId="36" fillId="0" borderId="3" xfId="58" applyFont="1" applyBorder="1" applyAlignment="1" applyProtection="1">
      <alignment vertical="center"/>
    </xf>
    <xf numFmtId="43" fontId="39" fillId="8" borderId="3" xfId="59" applyFont="1" applyFill="1" applyBorder="1" applyAlignment="1">
      <alignment horizontal="right" vertical="center"/>
    </xf>
    <xf numFmtId="43" fontId="39" fillId="8" borderId="3" xfId="59" applyFont="1" applyFill="1" applyBorder="1" applyAlignment="1">
      <alignment horizontal="center" vertical="center"/>
    </xf>
    <xf numFmtId="43" fontId="33" fillId="0" borderId="3" xfId="59" applyFont="1" applyBorder="1" applyAlignment="1">
      <alignment vertical="center" wrapText="1"/>
    </xf>
    <xf numFmtId="0" fontId="39" fillId="0" borderId="3" xfId="58" applyFont="1" applyBorder="1" applyAlignment="1" applyProtection="1">
      <alignment vertical="center"/>
    </xf>
    <xf numFmtId="43" fontId="39" fillId="0" borderId="3" xfId="59" applyFont="1" applyFill="1" applyBorder="1" applyAlignment="1">
      <alignment horizontal="right" vertical="center"/>
    </xf>
    <xf numFmtId="43" fontId="19" fillId="0" borderId="3" xfId="59" applyFont="1" applyBorder="1" applyAlignment="1">
      <alignment vertical="center" wrapText="1"/>
    </xf>
    <xf numFmtId="0" fontId="39" fillId="0" borderId="3" xfId="58" applyFont="1" applyBorder="1" applyAlignment="1" applyProtection="1">
      <alignment horizontal="left" vertical="center" wrapText="1"/>
    </xf>
    <xf numFmtId="0" fontId="39" fillId="0" borderId="3" xfId="58" applyFont="1" applyBorder="1" applyAlignment="1" applyProtection="1">
      <alignment vertical="center" wrapText="1"/>
    </xf>
    <xf numFmtId="0" fontId="36" fillId="8" borderId="3" xfId="58" applyFont="1" applyFill="1" applyBorder="1" applyAlignment="1" applyProtection="1">
      <alignment horizontal="center" vertical="center"/>
    </xf>
    <xf numFmtId="43" fontId="36" fillId="8" borderId="3" xfId="59" applyFont="1" applyFill="1" applyBorder="1" applyAlignment="1">
      <alignment horizontal="right" vertical="center"/>
    </xf>
    <xf numFmtId="43" fontId="30" fillId="8" borderId="3" xfId="59" applyFont="1" applyFill="1" applyBorder="1" applyAlignment="1">
      <alignment vertical="center"/>
    </xf>
    <xf numFmtId="43" fontId="36" fillId="8" borderId="3" xfId="59" applyFont="1" applyFill="1" applyBorder="1" applyAlignment="1">
      <alignment horizontal="center" vertical="center"/>
    </xf>
    <xf numFmtId="0" fontId="30" fillId="0" borderId="0" xfId="42" applyFont="1" applyAlignment="1">
      <alignment vertical="center"/>
      <protection locked="0"/>
    </xf>
    <xf numFmtId="43" fontId="79" fillId="0" borderId="0" xfId="34" applyNumberFormat="1" applyFont="1" applyBorder="1" applyAlignment="1">
      <alignment vertical="center"/>
    </xf>
    <xf numFmtId="43" fontId="71" fillId="0" borderId="0" xfId="34" applyNumberFormat="1" applyFont="1" applyBorder="1" applyAlignment="1">
      <alignment vertical="center"/>
    </xf>
    <xf numFmtId="43" fontId="59" fillId="0" borderId="0" xfId="34" applyNumberFormat="1" applyFont="1" applyBorder="1" applyAlignment="1">
      <alignment vertical="center"/>
    </xf>
    <xf numFmtId="193" fontId="19" fillId="0" borderId="3" xfId="47" applyFont="1" applyBorder="1" applyAlignment="1">
      <alignment vertical="center" wrapText="1"/>
    </xf>
    <xf numFmtId="193" fontId="33" fillId="0" borderId="3" xfId="55" applyFont="1" applyBorder="1" applyAlignment="1">
      <alignment vertical="center" wrapText="1"/>
    </xf>
    <xf numFmtId="193" fontId="30" fillId="6" borderId="3" xfId="54" applyFont="1" applyFill="1" applyBorder="1" applyAlignment="1" applyProtection="1">
      <alignment horizontal="center" vertical="center"/>
      <protection locked="0"/>
    </xf>
    <xf numFmtId="193" fontId="55" fillId="0" borderId="3" xfId="47" applyFont="1" applyBorder="1" applyAlignment="1">
      <alignment vertical="center" wrapText="1"/>
    </xf>
    <xf numFmtId="0" fontId="39" fillId="0" borderId="2" xfId="0" applyFont="1" applyBorder="1" applyAlignment="1" applyProtection="1">
      <alignment horizontal="center" vertical="center"/>
    </xf>
    <xf numFmtId="193" fontId="33" fillId="0" borderId="0" xfId="47" applyFont="1" applyAlignment="1" applyProtection="1">
      <alignment horizontal="right" vertical="center"/>
      <protection locked="0"/>
    </xf>
    <xf numFmtId="0" fontId="25" fillId="0" borderId="2" xfId="35" applyFont="1" applyBorder="1" applyAlignment="1" applyProtection="1">
      <alignment vertical="center"/>
    </xf>
    <xf numFmtId="193" fontId="33" fillId="0" borderId="3" xfId="55" applyFont="1" applyBorder="1" applyAlignment="1">
      <alignment horizontal="center" vertical="center" wrapText="1"/>
    </xf>
    <xf numFmtId="0" fontId="22" fillId="0" borderId="0" xfId="42" applyFont="1" applyAlignment="1">
      <alignment vertical="center"/>
      <protection locked="0"/>
    </xf>
    <xf numFmtId="193" fontId="33" fillId="0" borderId="3" xfId="54" applyFont="1" applyBorder="1" applyAlignment="1">
      <alignment horizontal="center" vertical="center" wrapText="1"/>
    </xf>
    <xf numFmtId="0" fontId="33" fillId="0" borderId="3" xfId="47" applyNumberFormat="1" applyFont="1" applyBorder="1" applyAlignment="1" applyProtection="1">
      <alignment horizontal="center" vertical="center"/>
      <protection locked="0"/>
    </xf>
    <xf numFmtId="193" fontId="56" fillId="0" borderId="3" xfId="47" applyFont="1" applyBorder="1" applyAlignment="1">
      <alignment horizontal="center" vertical="center"/>
    </xf>
    <xf numFmtId="193" fontId="56" fillId="0" borderId="3" xfId="47" applyFont="1" applyBorder="1" applyAlignment="1">
      <alignment horizontal="center" vertical="center" wrapText="1"/>
    </xf>
    <xf numFmtId="193" fontId="35" fillId="0" borderId="0" xfId="35" applyNumberFormat="1" applyFont="1" applyAlignment="1" applyProtection="1">
      <alignment vertical="center" wrapText="1"/>
      <protection locked="0"/>
    </xf>
    <xf numFmtId="0" fontId="30" fillId="6" borderId="3" xfId="50" applyFont="1" applyFill="1" applyBorder="1" applyAlignment="1" applyProtection="1">
      <alignment vertical="center"/>
    </xf>
    <xf numFmtId="0" fontId="30" fillId="6" borderId="3" xfId="50" applyFont="1" applyFill="1" applyBorder="1" applyAlignment="1" applyProtection="1">
      <alignment vertical="center" wrapText="1"/>
    </xf>
    <xf numFmtId="0" fontId="30" fillId="6" borderId="3" xfId="50" applyFont="1" applyFill="1" applyBorder="1" applyAlignment="1" applyProtection="1">
      <alignment horizontal="center" vertical="center"/>
    </xf>
    <xf numFmtId="0" fontId="19" fillId="4" borderId="0" xfId="0" applyFont="1" applyFill="1" applyAlignment="1">
      <alignment horizontal="justify" vertical="center" wrapText="1"/>
      <protection locked="0"/>
    </xf>
    <xf numFmtId="0" fontId="42" fillId="6" borderId="14" xfId="0" applyFont="1" applyFill="1" applyBorder="1" applyAlignment="1">
      <alignment horizontal="center" vertical="center" wrapText="1"/>
      <protection locked="0"/>
    </xf>
    <xf numFmtId="43" fontId="30" fillId="6" borderId="3" xfId="41" applyFont="1" applyFill="1" applyBorder="1" applyAlignment="1">
      <alignment horizontal="right" vertical="center" wrapText="1"/>
    </xf>
    <xf numFmtId="0" fontId="30" fillId="6" borderId="0" xfId="0" applyFont="1" applyFill="1">
      <protection locked="0"/>
    </xf>
    <xf numFmtId="0" fontId="33" fillId="4" borderId="0" xfId="0" applyFont="1" applyFill="1" applyBorder="1" applyAlignment="1">
      <alignment horizontal="justify" vertical="center" wrapText="1"/>
      <protection locked="0"/>
    </xf>
    <xf numFmtId="0" fontId="49" fillId="0" borderId="0" xfId="0" applyFont="1" applyAlignment="1">
      <alignment horizontal="center" vertical="center"/>
      <protection locked="0"/>
    </xf>
    <xf numFmtId="193" fontId="54" fillId="5" borderId="0" xfId="47" applyFont="1" applyFill="1" applyBorder="1" applyAlignment="1" applyProtection="1">
      <alignment horizontal="centerContinuous" vertical="center"/>
      <protection locked="0"/>
    </xf>
    <xf numFmtId="193" fontId="48" fillId="5" borderId="0" xfId="47" applyFont="1" applyFill="1" applyBorder="1" applyAlignment="1">
      <alignment horizontal="centerContinuous" vertical="center"/>
    </xf>
    <xf numFmtId="0" fontId="19" fillId="0" borderId="0" xfId="42" applyFont="1" applyAlignment="1" applyProtection="1">
      <alignment horizontal="left" vertical="center"/>
    </xf>
    <xf numFmtId="0" fontId="32" fillId="0" borderId="0" xfId="0" applyFont="1" applyAlignment="1">
      <alignment horizontal="left" vertical="center" wrapText="1"/>
      <protection locked="0"/>
    </xf>
    <xf numFmtId="0" fontId="31" fillId="0" borderId="0" xfId="0" applyFont="1" applyAlignment="1">
      <alignment horizontal="left" vertical="center" wrapText="1"/>
      <protection locked="0"/>
    </xf>
    <xf numFmtId="193" fontId="33" fillId="0" borderId="3" xfId="54" applyFont="1" applyBorder="1" applyAlignment="1" applyProtection="1">
      <alignment horizontal="left" vertical="center" wrapText="1"/>
      <protection locked="0"/>
    </xf>
    <xf numFmtId="193" fontId="30" fillId="6" borderId="3" xfId="47" applyFont="1" applyFill="1" applyBorder="1" applyAlignment="1" applyProtection="1">
      <alignment horizontal="center" vertical="center" wrapText="1"/>
      <protection locked="0"/>
    </xf>
    <xf numFmtId="193" fontId="30" fillId="6" borderId="3" xfId="54" applyFont="1" applyFill="1" applyBorder="1" applyAlignment="1" applyProtection="1">
      <alignment horizontal="center" vertical="center"/>
      <protection locked="0"/>
    </xf>
    <xf numFmtId="193" fontId="72" fillId="0" borderId="0" xfId="46" applyFont="1" applyAlignment="1">
      <alignment horizontal="center" vertical="center"/>
    </xf>
    <xf numFmtId="193" fontId="76" fillId="0" borderId="0" xfId="46" applyFont="1" applyAlignment="1">
      <alignment horizontal="center" vertical="center"/>
    </xf>
    <xf numFmtId="49" fontId="30" fillId="6" borderId="3" xfId="47" applyNumberFormat="1" applyFont="1" applyFill="1" applyBorder="1" applyAlignment="1" applyProtection="1">
      <alignment horizontal="center" vertical="center"/>
      <protection locked="0"/>
    </xf>
    <xf numFmtId="193" fontId="19" fillId="0" borderId="3" xfId="54" applyFont="1" applyBorder="1" applyAlignment="1" applyProtection="1">
      <alignment horizontal="center" vertical="center" wrapText="1"/>
      <protection locked="0"/>
    </xf>
    <xf numFmtId="193" fontId="30" fillId="6" borderId="3" xfId="54" applyFont="1" applyFill="1" applyBorder="1" applyAlignment="1" applyProtection="1">
      <alignment horizontal="center" vertical="center" wrapText="1"/>
      <protection locked="0"/>
    </xf>
    <xf numFmtId="10" fontId="34" fillId="0" borderId="0" xfId="31" applyNumberFormat="1" applyFont="1" applyBorder="1" applyAlignment="1">
      <alignment horizontal="left" vertical="center"/>
    </xf>
    <xf numFmtId="193" fontId="30" fillId="6" borderId="3" xfId="44" applyFont="1" applyFill="1" applyBorder="1" applyAlignment="1" applyProtection="1">
      <alignment horizontal="center" vertical="center" wrapText="1"/>
      <protection locked="0"/>
    </xf>
    <xf numFmtId="43" fontId="49" fillId="0" borderId="0" xfId="34" applyNumberFormat="1" applyFont="1" applyBorder="1" applyAlignment="1">
      <alignment horizontal="center" vertical="center"/>
    </xf>
    <xf numFmtId="43" fontId="20" fillId="0" borderId="0" xfId="34" applyNumberFormat="1" applyFont="1" applyBorder="1" applyAlignment="1">
      <alignment horizontal="center" vertical="center"/>
    </xf>
    <xf numFmtId="193" fontId="30" fillId="6" borderId="9" xfId="44" applyFont="1" applyFill="1" applyBorder="1" applyAlignment="1" applyProtection="1">
      <alignment horizontal="center" vertical="center" wrapText="1"/>
      <protection locked="0"/>
    </xf>
    <xf numFmtId="193" fontId="30" fillId="6" borderId="10" xfId="44" applyFont="1" applyFill="1" applyBorder="1" applyAlignment="1" applyProtection="1">
      <alignment horizontal="center" vertical="center" wrapText="1"/>
      <protection locked="0"/>
    </xf>
    <xf numFmtId="193" fontId="30" fillId="6" borderId="11" xfId="44" applyFont="1" applyFill="1" applyBorder="1" applyAlignment="1" applyProtection="1">
      <alignment horizontal="center" vertical="center" wrapText="1"/>
      <protection locked="0"/>
    </xf>
    <xf numFmtId="193" fontId="30" fillId="8" borderId="9" xfId="44" applyFont="1" applyFill="1" applyBorder="1" applyAlignment="1" applyProtection="1">
      <alignment horizontal="center" vertical="center" wrapText="1"/>
      <protection locked="0"/>
    </xf>
    <xf numFmtId="193" fontId="30" fillId="8" borderId="10" xfId="44" applyFont="1" applyFill="1" applyBorder="1" applyAlignment="1" applyProtection="1">
      <alignment horizontal="center" vertical="center" wrapText="1"/>
      <protection locked="0"/>
    </xf>
    <xf numFmtId="193" fontId="30" fillId="8" borderId="11" xfId="44" applyFont="1" applyFill="1" applyBorder="1" applyAlignment="1" applyProtection="1">
      <alignment horizontal="center" vertical="center" wrapText="1"/>
      <protection locked="0"/>
    </xf>
    <xf numFmtId="193" fontId="36" fillId="6" borderId="3" xfId="45" applyFont="1" applyFill="1" applyBorder="1" applyAlignment="1" applyProtection="1">
      <alignment horizontal="center" vertical="center" wrapText="1"/>
      <protection locked="0"/>
    </xf>
    <xf numFmtId="193" fontId="30" fillId="6" borderId="3" xfId="45" applyFont="1" applyFill="1" applyBorder="1" applyAlignment="1" applyProtection="1">
      <alignment horizontal="center" vertical="center" wrapText="1"/>
      <protection locked="0"/>
    </xf>
    <xf numFmtId="193" fontId="30" fillId="6" borderId="8" xfId="44" applyFont="1" applyFill="1" applyBorder="1" applyAlignment="1" applyProtection="1">
      <alignment horizontal="center" vertical="center" wrapText="1"/>
      <protection locked="0"/>
    </xf>
    <xf numFmtId="193" fontId="30" fillId="6" borderId="5" xfId="44" applyFont="1" applyFill="1" applyBorder="1" applyAlignment="1" applyProtection="1">
      <alignment horizontal="center" vertical="center" wrapText="1"/>
      <protection locked="0"/>
    </xf>
    <xf numFmtId="0" fontId="63" fillId="0" borderId="15" xfId="0" applyFont="1" applyBorder="1" applyAlignment="1">
      <alignment horizontal="center" vertical="center" wrapText="1"/>
      <protection locked="0"/>
    </xf>
    <xf numFmtId="0" fontId="63" fillId="0" borderId="13" xfId="0" applyFont="1" applyBorder="1" applyAlignment="1">
      <alignment horizontal="center" vertical="center" wrapText="1"/>
      <protection locked="0"/>
    </xf>
    <xf numFmtId="0" fontId="20" fillId="0" borderId="0" xfId="32" applyFont="1" applyAlignment="1">
      <alignment horizontal="center" vertical="center"/>
    </xf>
    <xf numFmtId="0" fontId="63" fillId="0" borderId="12" xfId="0" applyFont="1" applyBorder="1" applyAlignment="1">
      <alignment horizontal="center" vertical="center" wrapText="1"/>
      <protection locked="0"/>
    </xf>
    <xf numFmtId="0" fontId="66" fillId="0" borderId="15" xfId="0" applyFont="1" applyBorder="1" applyAlignment="1">
      <alignment horizontal="left" vertical="center" wrapText="1"/>
      <protection locked="0"/>
    </xf>
    <xf numFmtId="0" fontId="67" fillId="0" borderId="0" xfId="0" applyFont="1" applyAlignment="1">
      <alignment horizontal="left" vertical="center"/>
      <protection locked="0"/>
    </xf>
    <xf numFmtId="0" fontId="67" fillId="0" borderId="0" xfId="0" applyFont="1" applyAlignment="1">
      <alignment horizontal="left" vertical="center" wrapText="1"/>
      <protection locked="0"/>
    </xf>
    <xf numFmtId="43" fontId="63" fillId="0" borderId="0" xfId="0" applyNumberFormat="1" applyFont="1" applyAlignment="1">
      <alignment horizontal="right" vertical="center" wrapText="1"/>
      <protection locked="0"/>
    </xf>
    <xf numFmtId="0" fontId="63" fillId="0" borderId="0" xfId="0" applyFont="1" applyAlignment="1">
      <alignment horizontal="right" vertical="center" wrapText="1"/>
      <protection locked="0"/>
    </xf>
    <xf numFmtId="43" fontId="63" fillId="0" borderId="0" xfId="41" applyFont="1" applyFill="1" applyAlignment="1" applyProtection="1">
      <alignment horizontal="right" vertical="center" wrapText="1"/>
      <protection locked="0"/>
    </xf>
    <xf numFmtId="43" fontId="66" fillId="0" borderId="0" xfId="0" applyNumberFormat="1" applyFont="1" applyAlignment="1">
      <alignment horizontal="right" vertical="center" wrapText="1"/>
      <protection locked="0"/>
    </xf>
    <xf numFmtId="0" fontId="66" fillId="0" borderId="0" xfId="0" applyFont="1" applyAlignment="1">
      <alignment horizontal="right" vertical="center" wrapText="1"/>
      <protection locked="0"/>
    </xf>
    <xf numFmtId="43" fontId="66" fillId="0" borderId="0" xfId="41" applyFont="1" applyFill="1" applyBorder="1" applyAlignment="1" applyProtection="1">
      <alignment horizontal="right" vertical="center" wrapText="1" shrinkToFit="1"/>
      <protection locked="0"/>
    </xf>
    <xf numFmtId="43" fontId="66" fillId="0" borderId="0" xfId="41" applyFont="1" applyBorder="1" applyAlignment="1" applyProtection="1">
      <alignment horizontal="right" vertical="center" wrapText="1" shrinkToFit="1"/>
      <protection locked="0"/>
    </xf>
    <xf numFmtId="0" fontId="63" fillId="0" borderId="15" xfId="0" applyFont="1" applyBorder="1" applyAlignment="1">
      <alignment horizontal="justify" vertical="center" wrapText="1"/>
      <protection locked="0"/>
    </xf>
    <xf numFmtId="0" fontId="63" fillId="0" borderId="13" xfId="0" applyFont="1" applyBorder="1" applyAlignment="1">
      <alignment horizontal="justify" vertical="center" wrapText="1"/>
      <protection locked="0"/>
    </xf>
    <xf numFmtId="0" fontId="63" fillId="0" borderId="12" xfId="0" applyFont="1" applyBorder="1" applyAlignment="1">
      <alignment horizontal="right" vertical="center" wrapText="1"/>
      <protection locked="0"/>
    </xf>
    <xf numFmtId="43" fontId="66" fillId="0" borderId="15" xfId="0" applyNumberFormat="1" applyFont="1" applyBorder="1" applyAlignment="1">
      <alignment horizontal="right" vertical="center" wrapText="1"/>
      <protection locked="0"/>
    </xf>
    <xf numFmtId="0" fontId="66" fillId="0" borderId="15" xfId="0" applyFont="1" applyBorder="1" applyAlignment="1">
      <alignment horizontal="right" vertical="center" wrapText="1"/>
      <protection locked="0"/>
    </xf>
    <xf numFmtId="43" fontId="66" fillId="0" borderId="0" xfId="0" applyNumberFormat="1" applyFont="1" applyAlignment="1">
      <alignment horizontal="justify" vertical="center" wrapText="1"/>
      <protection locked="0"/>
    </xf>
    <xf numFmtId="0" fontId="66" fillId="0" borderId="0" xfId="0" applyFont="1" applyAlignment="1">
      <alignment horizontal="justify" vertical="center" wrapText="1"/>
      <protection locked="0"/>
    </xf>
    <xf numFmtId="0" fontId="69" fillId="0" borderId="15" xfId="0" applyFont="1" applyBorder="1" applyAlignment="1">
      <alignment horizontal="right" vertical="center" wrapText="1"/>
      <protection locked="0"/>
    </xf>
    <xf numFmtId="0" fontId="66" fillId="0" borderId="12" xfId="0" applyFont="1" applyBorder="1" applyAlignment="1">
      <alignment horizontal="right" vertical="center" wrapText="1"/>
      <protection locked="0"/>
    </xf>
    <xf numFmtId="0" fontId="65" fillId="0" borderId="12" xfId="0" applyFont="1" applyBorder="1" applyAlignment="1">
      <alignment horizontal="justify" vertical="center" wrapText="1"/>
      <protection locked="0"/>
    </xf>
    <xf numFmtId="0" fontId="69" fillId="0" borderId="12" xfId="0" applyFont="1" applyBorder="1" applyAlignment="1">
      <alignment horizontal="right" vertical="center" wrapText="1"/>
      <protection locked="0"/>
    </xf>
    <xf numFmtId="43" fontId="66" fillId="0" borderId="12" xfId="0" applyNumberFormat="1" applyFont="1" applyBorder="1" applyAlignment="1">
      <alignment horizontal="right" vertical="center" wrapText="1"/>
      <protection locked="0"/>
    </xf>
    <xf numFmtId="0" fontId="33" fillId="0" borderId="9" xfId="0" applyFont="1" applyBorder="1" applyAlignment="1">
      <alignment horizontal="left" vertical="center" wrapText="1"/>
      <protection locked="0"/>
    </xf>
    <xf numFmtId="0" fontId="33" fillId="0" borderId="11" xfId="0" applyFont="1" applyBorder="1" applyAlignment="1">
      <alignment horizontal="left" vertical="center" wrapText="1"/>
      <protection locked="0"/>
    </xf>
    <xf numFmtId="0" fontId="30" fillId="6" borderId="9" xfId="0" applyFont="1" applyFill="1" applyBorder="1" applyAlignment="1">
      <alignment horizontal="center" vertical="center" wrapText="1"/>
      <protection locked="0"/>
    </xf>
    <xf numFmtId="0" fontId="30" fillId="6" borderId="11" xfId="0" applyFont="1" applyFill="1" applyBorder="1" applyAlignment="1">
      <alignment horizontal="center" vertical="center" wrapText="1"/>
      <protection locked="0"/>
    </xf>
    <xf numFmtId="0" fontId="30" fillId="0" borderId="9" xfId="0" applyFont="1" applyBorder="1" applyAlignment="1">
      <alignment horizontal="left" vertical="center" wrapText="1"/>
      <protection locked="0"/>
    </xf>
    <xf numFmtId="0" fontId="30" fillId="0" borderId="11" xfId="0" applyFont="1" applyBorder="1" applyAlignment="1">
      <alignment horizontal="left" vertical="center" wrapText="1"/>
      <protection locked="0"/>
    </xf>
    <xf numFmtId="0" fontId="49" fillId="0" borderId="0" xfId="32" applyFont="1" applyAlignment="1">
      <alignment horizontal="center" vertical="center"/>
    </xf>
    <xf numFmtId="0" fontId="30" fillId="6" borderId="10" xfId="0" applyFont="1" applyFill="1" applyBorder="1" applyAlignment="1">
      <alignment horizontal="center" vertical="center" wrapText="1"/>
      <protection locked="0"/>
    </xf>
    <xf numFmtId="0" fontId="30" fillId="6" borderId="14" xfId="0" applyFont="1" applyFill="1" applyBorder="1" applyAlignment="1">
      <alignment horizontal="center" vertical="center"/>
      <protection locked="0"/>
    </xf>
    <xf numFmtId="0" fontId="30" fillId="6" borderId="16" xfId="0" applyFont="1" applyFill="1" applyBorder="1" applyAlignment="1">
      <alignment horizontal="center" vertical="center"/>
      <protection locked="0"/>
    </xf>
    <xf numFmtId="0" fontId="30" fillId="6" borderId="3" xfId="42" applyFont="1" applyFill="1" applyBorder="1" applyAlignment="1" applyProtection="1">
      <alignment horizontal="center" vertical="center"/>
    </xf>
    <xf numFmtId="0" fontId="30" fillId="6" borderId="6" xfId="0" applyFont="1" applyFill="1" applyBorder="1" applyAlignment="1">
      <alignment horizontal="center" vertical="center"/>
      <protection locked="0"/>
    </xf>
    <xf numFmtId="0" fontId="30" fillId="6" borderId="8" xfId="0" applyFont="1" applyFill="1" applyBorder="1" applyAlignment="1">
      <alignment horizontal="center" vertical="center"/>
      <protection locked="0"/>
    </xf>
    <xf numFmtId="0" fontId="30" fillId="6" borderId="4" xfId="0" applyFont="1" applyFill="1" applyBorder="1" applyAlignment="1">
      <alignment horizontal="center" vertical="center"/>
      <protection locked="0"/>
    </xf>
    <xf numFmtId="0" fontId="30" fillId="6" borderId="5" xfId="0" applyFont="1" applyFill="1" applyBorder="1" applyAlignment="1">
      <alignment horizontal="center" vertical="center"/>
      <protection locked="0"/>
    </xf>
    <xf numFmtId="0" fontId="61" fillId="0" borderId="0" xfId="50" applyFont="1" applyAlignment="1">
      <alignment horizontal="left" vertical="center" wrapText="1"/>
      <protection locked="0"/>
    </xf>
    <xf numFmtId="0" fontId="31" fillId="0" borderId="0" xfId="50" applyFont="1" applyAlignment="1">
      <alignment horizontal="left" vertical="center" wrapText="1"/>
      <protection locked="0"/>
    </xf>
    <xf numFmtId="0" fontId="30" fillId="6" borderId="14" xfId="42" applyFont="1" applyFill="1" applyBorder="1" applyAlignment="1">
      <alignment horizontal="center" vertical="center" wrapText="1"/>
      <protection locked="0"/>
    </xf>
    <xf numFmtId="0" fontId="30" fillId="6" borderId="16" xfId="42" applyFont="1" applyFill="1" applyBorder="1" applyAlignment="1">
      <alignment horizontal="center" vertical="center" wrapText="1"/>
      <protection locked="0"/>
    </xf>
    <xf numFmtId="193" fontId="22" fillId="6" borderId="9" xfId="51" applyFont="1" applyFill="1" applyBorder="1" applyAlignment="1" applyProtection="1">
      <alignment horizontal="center" vertical="center" wrapText="1"/>
      <protection locked="0"/>
    </xf>
    <xf numFmtId="0" fontId="1" fillId="0" borderId="10" xfId="57" applyBorder="1" applyAlignment="1">
      <alignment horizontal="center" vertical="center" wrapText="1"/>
    </xf>
    <xf numFmtId="0" fontId="1" fillId="0" borderId="11" xfId="57" applyBorder="1" applyAlignment="1">
      <alignment horizontal="center" vertical="center" wrapText="1"/>
    </xf>
    <xf numFmtId="0" fontId="22" fillId="6" borderId="3" xfId="42" applyFont="1" applyFill="1" applyBorder="1" applyAlignment="1">
      <alignment horizontal="center" vertical="center" wrapText="1"/>
      <protection locked="0"/>
    </xf>
    <xf numFmtId="0" fontId="1" fillId="0" borderId="3" xfId="57" applyBorder="1" applyAlignment="1">
      <alignment horizontal="center" vertical="center" wrapText="1"/>
    </xf>
    <xf numFmtId="0" fontId="22" fillId="6" borderId="14" xfId="42" applyFont="1" applyFill="1" applyBorder="1" applyAlignment="1">
      <alignment horizontal="center" vertical="center" wrapText="1"/>
      <protection locked="0"/>
    </xf>
    <xf numFmtId="0" fontId="22" fillId="6" borderId="16" xfId="42" applyFont="1" applyFill="1" applyBorder="1" applyAlignment="1">
      <alignment horizontal="center" vertical="center" wrapText="1"/>
      <protection locked="0"/>
    </xf>
  </cellXfs>
  <cellStyles count="6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2" xfId="53"/>
    <cellStyle name="常规" xfId="0" builtinId="0"/>
    <cellStyle name="常规 2" xfId="42"/>
    <cellStyle name="常规 2 2" xfId="50"/>
    <cellStyle name="常规 2 8" xfId="58"/>
    <cellStyle name="常规 3" xfId="45"/>
    <cellStyle name="常规 3 2" xfId="48"/>
    <cellStyle name="常规 4" xfId="44"/>
    <cellStyle name="常规 4 2" xfId="51"/>
    <cellStyle name="常规 5" xfId="47"/>
    <cellStyle name="常规 6" xfId="55"/>
    <cellStyle name="常规 7" xfId="54"/>
    <cellStyle name="常规 7 2" xfId="56"/>
    <cellStyle name="常规 8" xfId="57"/>
    <cellStyle name="常规_Book1" xfId="32"/>
    <cellStyle name="常规_Book1 2" xfId="46"/>
    <cellStyle name="常规_c-资产类" xfId="33"/>
    <cellStyle name="常规_新审定表" xfId="34"/>
    <cellStyle name="常规_制造费用" xfId="43"/>
    <cellStyle name="超链接" xfId="35" builtinId="8"/>
    <cellStyle name="超链接 2" xfId="52"/>
    <cellStyle name="普通_ 外G9(3)" xfId="36"/>
    <cellStyle name="千分位[0]_宁波" xfId="37"/>
    <cellStyle name="千分位_宁波" xfId="38"/>
    <cellStyle name="千位[0]_laroux" xfId="39"/>
    <cellStyle name="千位_laroux" xfId="40"/>
    <cellStyle name="千位分隔" xfId="41" builtinId="3"/>
    <cellStyle name="千位分隔 2 4" xfId="49"/>
    <cellStyle name="千位分隔 3" xfId="59"/>
  </cellStyles>
  <dxfs count="0"/>
  <tableStyles count="0" defaultTableStyle="TableStyleMedium9"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32" Type="http://schemas.openxmlformats.org/officeDocument/2006/relationships/calcChain" Target="calcChain.xml"/><Relationship Id="rId5" Type="http://schemas.openxmlformats.org/officeDocument/2006/relationships/worksheet" Target="worksheets/sheet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30"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22" customWidth="1"/>
    <col min="2" max="2" width="2" style="22" customWidth="1"/>
    <col min="3" max="3" width="2.09765625" style="22" customWidth="1"/>
    <col min="4" max="4" width="6.09765625" style="22" customWidth="1"/>
    <col min="5" max="5" width="26.796875" style="22" customWidth="1"/>
    <col min="6" max="6" width="11.296875" style="23" customWidth="1"/>
    <col min="7" max="16384" width="9" style="22"/>
  </cols>
  <sheetData>
    <row r="1" spans="1:8" s="28" customFormat="1" ht="20.100000000000001" customHeight="1">
      <c r="A1" s="25" t="s">
        <v>75</v>
      </c>
      <c r="F1" s="53"/>
    </row>
    <row r="2" spans="1:8" ht="20.100000000000001" customHeight="1">
      <c r="A2" s="51" t="s">
        <v>295</v>
      </c>
      <c r="B2" s="52"/>
      <c r="C2" s="52"/>
      <c r="D2" s="53"/>
      <c r="E2" s="53"/>
      <c r="F2" s="53"/>
      <c r="G2" s="52"/>
      <c r="H2" s="52"/>
    </row>
    <row r="3" spans="1:8" ht="20.100000000000001" customHeight="1">
      <c r="A3" s="200" t="s">
        <v>306</v>
      </c>
      <c r="B3" s="52"/>
      <c r="C3" s="52"/>
      <c r="D3" s="45" t="s">
        <v>76</v>
      </c>
      <c r="E3" s="45" t="s">
        <v>19</v>
      </c>
      <c r="F3" s="45" t="s">
        <v>77</v>
      </c>
      <c r="G3" s="45" t="s">
        <v>78</v>
      </c>
      <c r="H3" s="54"/>
    </row>
    <row r="4" spans="1:8" ht="20.100000000000001" customHeight="1">
      <c r="A4" s="196" t="s">
        <v>296</v>
      </c>
      <c r="B4" s="52"/>
      <c r="C4" s="52"/>
      <c r="D4" s="45">
        <v>1</v>
      </c>
      <c r="E4" s="185" t="s">
        <v>152</v>
      </c>
      <c r="F4" s="183" t="s">
        <v>153</v>
      </c>
      <c r="G4" s="46"/>
      <c r="H4" s="54"/>
    </row>
    <row r="5" spans="1:8" ht="20.100000000000001" customHeight="1">
      <c r="A5" s="196" t="s">
        <v>297</v>
      </c>
      <c r="D5" s="45">
        <v>2</v>
      </c>
      <c r="E5" s="185" t="s">
        <v>154</v>
      </c>
      <c r="F5" s="183" t="s">
        <v>156</v>
      </c>
      <c r="G5" s="46"/>
      <c r="H5" s="52"/>
    </row>
    <row r="6" spans="1:8" ht="20.100000000000001" customHeight="1">
      <c r="A6" s="196" t="s">
        <v>298</v>
      </c>
      <c r="D6" s="45">
        <v>3</v>
      </c>
      <c r="E6" s="185" t="s">
        <v>155</v>
      </c>
      <c r="F6" s="183"/>
      <c r="G6" s="46"/>
      <c r="H6" s="121" t="s">
        <v>149</v>
      </c>
    </row>
    <row r="7" spans="1:8" ht="20.100000000000001" customHeight="1">
      <c r="A7" s="196" t="s">
        <v>299</v>
      </c>
      <c r="D7" s="45">
        <v>4</v>
      </c>
      <c r="E7" s="185" t="s">
        <v>157</v>
      </c>
      <c r="F7" s="183"/>
      <c r="G7" s="46"/>
      <c r="H7" s="121" t="s">
        <v>149</v>
      </c>
    </row>
    <row r="8" spans="1:8" ht="20.100000000000001" customHeight="1">
      <c r="A8" s="55"/>
      <c r="D8" s="45">
        <v>5</v>
      </c>
      <c r="E8" s="185" t="s">
        <v>151</v>
      </c>
      <c r="F8" s="183" t="s">
        <v>158</v>
      </c>
      <c r="G8" s="46"/>
    </row>
    <row r="9" spans="1:8" ht="20.100000000000001" customHeight="1">
      <c r="A9" s="201" t="s">
        <v>307</v>
      </c>
      <c r="D9" s="45">
        <v>6</v>
      </c>
      <c r="E9" s="185" t="s">
        <v>87</v>
      </c>
      <c r="F9" s="183" t="s">
        <v>159</v>
      </c>
      <c r="G9" s="46"/>
    </row>
    <row r="10" spans="1:8" ht="20.100000000000001" customHeight="1">
      <c r="A10" s="205" t="s">
        <v>308</v>
      </c>
      <c r="D10" s="45">
        <v>7</v>
      </c>
      <c r="E10" s="185" t="s">
        <v>284</v>
      </c>
      <c r="F10" s="183" t="s">
        <v>150</v>
      </c>
      <c r="G10" s="46"/>
    </row>
    <row r="11" spans="1:8" ht="20.100000000000001" customHeight="1">
      <c r="A11" s="205"/>
    </row>
    <row r="12" spans="1:8" ht="20.100000000000001" customHeight="1">
      <c r="A12" s="205"/>
    </row>
    <row r="13" spans="1:8" ht="20.100000000000001" customHeight="1">
      <c r="A13" s="205"/>
    </row>
    <row r="14" spans="1:8" ht="20.100000000000001" customHeight="1">
      <c r="A14" s="205" t="s">
        <v>309</v>
      </c>
    </row>
    <row r="15" spans="1:8" ht="20.100000000000001" customHeight="1">
      <c r="A15" s="205"/>
    </row>
    <row r="16" spans="1:8" ht="20.100000000000001" customHeight="1">
      <c r="A16" s="205"/>
    </row>
    <row r="17" spans="1:1" ht="35.25" customHeight="1">
      <c r="A17" s="206" t="s">
        <v>310</v>
      </c>
    </row>
    <row r="18" spans="1:1" ht="15.6">
      <c r="A18" s="206"/>
    </row>
    <row r="19" spans="1:1" ht="20.100000000000001" customHeight="1">
      <c r="A19" s="206"/>
    </row>
  </sheetData>
  <mergeCells count="3">
    <mergeCell ref="A10:A13"/>
    <mergeCell ref="A14:A16"/>
    <mergeCell ref="A17:A19"/>
  </mergeCells>
  <phoneticPr fontId="43" type="noConversion"/>
  <hyperlinks>
    <hyperlink ref="E6" location="'附注披露信息（上市公司）'!A1" display="附注披露信息(上市公司)"/>
    <hyperlink ref="E7" location="'附注披露信息（国有企业）'!A1" display="附注披露信息(国企)"/>
    <hyperlink ref="E8" location="'明细表M9-2'!A1" display="明细表"/>
    <hyperlink ref="E5" location="'审定表M9-1'!A1" display="审定表"/>
    <hyperlink ref="E10" location="'其他综合收益核对表M9-4-新增'!A1" display="其他综合收益核对表"/>
    <hyperlink ref="E4" location="'其他综合收益实质性程序表 M9A'!A1" display="其他综合收益实质性程序表"/>
    <hyperlink ref="E9" location="'调整分录汇总M9-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view="pageBreakPreview" zoomScaleNormal="110" zoomScaleSheetLayoutView="100" workbookViewId="0">
      <selection sqref="A1:I1"/>
    </sheetView>
  </sheetViews>
  <sheetFormatPr defaultColWidth="9" defaultRowHeight="13.8"/>
  <cols>
    <col min="1" max="1" width="5" style="57" customWidth="1"/>
    <col min="2" max="2" width="62.19921875" style="57" customWidth="1"/>
    <col min="3" max="3" width="10.59765625" style="57" customWidth="1"/>
    <col min="4" max="4" width="6" style="64" customWidth="1"/>
    <col min="5" max="5" width="5.59765625" style="57" customWidth="1"/>
    <col min="6" max="6" width="7" style="57" customWidth="1"/>
    <col min="7" max="7" width="6.8984375" style="57" customWidth="1"/>
    <col min="8" max="8" width="6.09765625" style="57" customWidth="1"/>
    <col min="9" max="9" width="7.796875" style="57" customWidth="1"/>
    <col min="10" max="10" width="57" style="56" customWidth="1"/>
    <col min="11" max="11" width="14.69921875" style="56" customWidth="1"/>
    <col min="12" max="16384" width="9" style="57"/>
  </cols>
  <sheetData>
    <row r="1" spans="1:12" ht="19.95" customHeight="1">
      <c r="A1" s="210" t="s">
        <v>20</v>
      </c>
      <c r="B1" s="210"/>
      <c r="C1" s="210"/>
      <c r="D1" s="210"/>
      <c r="E1" s="210"/>
      <c r="F1" s="210"/>
      <c r="G1" s="210"/>
      <c r="H1" s="210"/>
      <c r="I1" s="210"/>
    </row>
    <row r="2" spans="1:12" ht="19.95" customHeight="1">
      <c r="A2" s="211" t="s">
        <v>79</v>
      </c>
      <c r="B2" s="211"/>
      <c r="C2" s="211"/>
      <c r="D2" s="211"/>
      <c r="E2" s="211"/>
      <c r="F2" s="211"/>
      <c r="G2" s="211"/>
      <c r="H2" s="211"/>
      <c r="I2" s="211"/>
    </row>
    <row r="3" spans="1:12" ht="19.95" customHeight="1">
      <c r="A3" s="58" t="str">
        <f>底稿目录!A2</f>
        <v>被审计单位：</v>
      </c>
      <c r="B3" s="58"/>
      <c r="C3" s="59" t="str">
        <f>底稿目录!A4</f>
        <v>编制人：</v>
      </c>
      <c r="E3" s="58" t="str">
        <f>底稿目录!A5</f>
        <v>编制日期：</v>
      </c>
      <c r="G3" s="58"/>
      <c r="H3" s="184" t="s">
        <v>80</v>
      </c>
      <c r="I3" s="192" t="str">
        <f>底稿目录!F4</f>
        <v>M9A</v>
      </c>
    </row>
    <row r="4" spans="1:12" ht="19.95" customHeight="1">
      <c r="A4" s="58" t="str">
        <f>底稿目录!A3</f>
        <v>截止日：202X年12月31日</v>
      </c>
      <c r="B4" s="58"/>
      <c r="C4" s="59" t="str">
        <f>底稿目录!A6</f>
        <v>复核人：</v>
      </c>
      <c r="E4" s="58" t="str">
        <f>底稿目录!A7</f>
        <v>复核日期：</v>
      </c>
      <c r="G4" s="58"/>
      <c r="H4" s="184" t="s">
        <v>278</v>
      </c>
      <c r="I4" s="61"/>
    </row>
    <row r="5" spans="1:12" ht="19.95" customHeight="1">
      <c r="A5" s="141" t="s">
        <v>208</v>
      </c>
      <c r="B5" s="58"/>
      <c r="C5" s="58"/>
      <c r="D5" s="60"/>
      <c r="E5" s="58"/>
      <c r="F5" s="58"/>
      <c r="G5" s="58"/>
      <c r="H5" s="58"/>
      <c r="I5" s="58"/>
    </row>
    <row r="6" spans="1:12" ht="19.95" customHeight="1">
      <c r="A6" s="142" t="s">
        <v>209</v>
      </c>
      <c r="C6" s="58"/>
      <c r="D6" s="60"/>
      <c r="E6" s="58"/>
      <c r="F6" s="58"/>
      <c r="G6" s="58"/>
      <c r="H6" s="58"/>
      <c r="I6" s="58"/>
    </row>
    <row r="7" spans="1:12" ht="19.95" customHeight="1">
      <c r="A7" s="143" t="s">
        <v>210</v>
      </c>
      <c r="B7" s="114"/>
      <c r="C7" s="114"/>
      <c r="D7" s="60"/>
      <c r="E7" s="58"/>
      <c r="F7" s="58"/>
      <c r="G7" s="58"/>
      <c r="H7" s="58"/>
      <c r="I7" s="58"/>
      <c r="J7" s="63"/>
      <c r="K7" s="63"/>
    </row>
    <row r="8" spans="1:12" ht="19.95" customHeight="1">
      <c r="A8" s="214" t="s">
        <v>211</v>
      </c>
      <c r="B8" s="214"/>
      <c r="C8" s="214"/>
      <c r="D8" s="214"/>
      <c r="E8" s="214"/>
      <c r="F8" s="214"/>
      <c r="G8" s="209" t="s">
        <v>81</v>
      </c>
      <c r="H8" s="209"/>
      <c r="I8" s="209"/>
      <c r="J8" s="63"/>
      <c r="K8" s="63"/>
    </row>
    <row r="9" spans="1:12" ht="19.95" customHeight="1">
      <c r="A9" s="207" t="s">
        <v>145</v>
      </c>
      <c r="B9" s="207"/>
      <c r="C9" s="207"/>
      <c r="D9" s="207"/>
      <c r="E9" s="207"/>
      <c r="F9" s="207"/>
      <c r="G9" s="213" t="s">
        <v>301</v>
      </c>
      <c r="H9" s="213"/>
      <c r="I9" s="213"/>
      <c r="J9" s="63"/>
      <c r="K9" s="63"/>
    </row>
    <row r="10" spans="1:12" ht="19.95" customHeight="1">
      <c r="A10" s="207" t="s">
        <v>146</v>
      </c>
      <c r="B10" s="207"/>
      <c r="C10" s="207"/>
      <c r="D10" s="207"/>
      <c r="E10" s="207"/>
      <c r="F10" s="207"/>
      <c r="G10" s="213" t="s">
        <v>302</v>
      </c>
      <c r="H10" s="213"/>
      <c r="I10" s="213"/>
      <c r="J10" s="63"/>
      <c r="K10" s="63"/>
    </row>
    <row r="11" spans="1:12" ht="19.95" customHeight="1">
      <c r="A11" s="207" t="s">
        <v>147</v>
      </c>
      <c r="B11" s="207"/>
      <c r="C11" s="207"/>
      <c r="D11" s="207"/>
      <c r="E11" s="207"/>
      <c r="F11" s="207"/>
      <c r="G11" s="213" t="s">
        <v>303</v>
      </c>
      <c r="H11" s="213"/>
      <c r="I11" s="213"/>
      <c r="J11" s="63"/>
      <c r="K11" s="63"/>
    </row>
    <row r="12" spans="1:12" ht="19.95" customHeight="1">
      <c r="A12" s="207" t="s">
        <v>212</v>
      </c>
      <c r="B12" s="207"/>
      <c r="C12" s="207"/>
      <c r="D12" s="207"/>
      <c r="E12" s="207"/>
      <c r="F12" s="207"/>
      <c r="G12" s="213" t="s">
        <v>300</v>
      </c>
      <c r="H12" s="213"/>
      <c r="I12" s="213"/>
      <c r="J12" s="63"/>
      <c r="K12" s="63"/>
    </row>
    <row r="13" spans="1:12" ht="19.95" customHeight="1">
      <c r="A13" s="207" t="s">
        <v>148</v>
      </c>
      <c r="B13" s="207"/>
      <c r="C13" s="207"/>
      <c r="D13" s="207"/>
      <c r="E13" s="207"/>
      <c r="F13" s="207"/>
      <c r="G13" s="213" t="s">
        <v>277</v>
      </c>
      <c r="H13" s="213"/>
      <c r="I13" s="213"/>
      <c r="J13" s="63"/>
      <c r="K13" s="63"/>
    </row>
    <row r="14" spans="1:12" ht="20.25" customHeight="1">
      <c r="A14" s="62" t="s">
        <v>82</v>
      </c>
      <c r="J14" s="202"/>
      <c r="K14" s="203"/>
      <c r="L14" s="203"/>
    </row>
    <row r="15" spans="1:12" ht="19.95" customHeight="1">
      <c r="A15" s="212" t="s">
        <v>83</v>
      </c>
      <c r="B15" s="208" t="s">
        <v>213</v>
      </c>
      <c r="C15" s="208" t="s">
        <v>84</v>
      </c>
      <c r="D15" s="209" t="s">
        <v>214</v>
      </c>
      <c r="E15" s="209"/>
      <c r="F15" s="209"/>
      <c r="G15" s="209"/>
      <c r="H15" s="209"/>
      <c r="I15" s="208" t="s">
        <v>215</v>
      </c>
      <c r="J15" s="65"/>
      <c r="K15" s="65"/>
      <c r="L15" s="65"/>
    </row>
    <row r="16" spans="1:12" ht="34.799999999999997" customHeight="1">
      <c r="A16" s="212"/>
      <c r="B16" s="208"/>
      <c r="C16" s="208"/>
      <c r="D16" s="181" t="s">
        <v>216</v>
      </c>
      <c r="E16" s="181" t="s">
        <v>217</v>
      </c>
      <c r="F16" s="144" t="s">
        <v>218</v>
      </c>
      <c r="G16" s="144" t="s">
        <v>219</v>
      </c>
      <c r="H16" s="144" t="s">
        <v>220</v>
      </c>
      <c r="I16" s="208"/>
      <c r="J16" s="65"/>
      <c r="K16" s="65"/>
      <c r="L16" s="65"/>
    </row>
    <row r="17" spans="1:12" ht="42.6" customHeight="1">
      <c r="A17" s="189">
        <v>1</v>
      </c>
      <c r="B17" s="179" t="s">
        <v>227</v>
      </c>
      <c r="C17" s="68" t="s">
        <v>221</v>
      </c>
      <c r="D17" s="147" t="s">
        <v>232</v>
      </c>
      <c r="E17" s="147" t="s">
        <v>232</v>
      </c>
      <c r="F17" s="148"/>
      <c r="G17" s="148" t="s">
        <v>232</v>
      </c>
      <c r="H17" s="115"/>
      <c r="I17" s="186" t="s">
        <v>279</v>
      </c>
      <c r="J17" s="67"/>
      <c r="K17" s="67"/>
      <c r="L17" s="66"/>
    </row>
    <row r="18" spans="1:12" ht="52.8" customHeight="1">
      <c r="A18" s="189">
        <v>2</v>
      </c>
      <c r="B18" s="180" t="s">
        <v>223</v>
      </c>
      <c r="C18" s="68" t="s">
        <v>221</v>
      </c>
      <c r="D18" s="147"/>
      <c r="E18" s="148" t="s">
        <v>232</v>
      </c>
      <c r="F18" s="115"/>
      <c r="G18" s="147" t="s">
        <v>232</v>
      </c>
      <c r="H18" s="115"/>
      <c r="I18" s="186" t="s">
        <v>280</v>
      </c>
      <c r="J18" s="123" t="s">
        <v>161</v>
      </c>
      <c r="K18" s="67"/>
      <c r="L18" s="66"/>
    </row>
    <row r="19" spans="1:12" ht="45" customHeight="1">
      <c r="A19" s="189">
        <v>3</v>
      </c>
      <c r="B19" s="179" t="s">
        <v>228</v>
      </c>
      <c r="C19" s="145" t="s">
        <v>224</v>
      </c>
      <c r="D19" s="149" t="s">
        <v>233</v>
      </c>
      <c r="E19" s="150" t="s">
        <v>234</v>
      </c>
      <c r="F19" s="150" t="s">
        <v>234</v>
      </c>
      <c r="G19" s="150" t="s">
        <v>232</v>
      </c>
      <c r="H19" s="115"/>
      <c r="I19" s="190"/>
      <c r="J19" s="123" t="s">
        <v>162</v>
      </c>
      <c r="K19" s="67"/>
      <c r="L19" s="66"/>
    </row>
    <row r="20" spans="1:12" ht="120" customHeight="1">
      <c r="A20" s="189">
        <v>4</v>
      </c>
      <c r="B20" s="179" t="s">
        <v>229</v>
      </c>
      <c r="C20" s="68" t="s">
        <v>225</v>
      </c>
      <c r="D20" s="147" t="s">
        <v>231</v>
      </c>
      <c r="E20" s="148" t="s">
        <v>234</v>
      </c>
      <c r="F20" s="147" t="s">
        <v>231</v>
      </c>
      <c r="G20" s="149" t="s">
        <v>232</v>
      </c>
      <c r="H20" s="149" t="s">
        <v>232</v>
      </c>
      <c r="I20" s="191" t="s">
        <v>283</v>
      </c>
      <c r="J20" s="116"/>
      <c r="K20" s="67"/>
      <c r="L20" s="66"/>
    </row>
    <row r="21" spans="1:12" ht="36.6" customHeight="1">
      <c r="A21" s="189">
        <v>5</v>
      </c>
      <c r="B21" s="182" t="s">
        <v>230</v>
      </c>
      <c r="C21" s="145" t="s">
        <v>226</v>
      </c>
      <c r="D21" s="115"/>
      <c r="E21" s="115"/>
      <c r="F21" s="115"/>
      <c r="G21" s="115"/>
      <c r="H21" s="115" t="s">
        <v>222</v>
      </c>
      <c r="I21" s="188" t="s">
        <v>160</v>
      </c>
      <c r="J21" s="67"/>
      <c r="K21" s="67"/>
      <c r="L21" s="66"/>
    </row>
    <row r="22" spans="1:12" ht="28.5" customHeight="1"/>
  </sheetData>
  <mergeCells count="19">
    <mergeCell ref="A1:I1"/>
    <mergeCell ref="A2:I2"/>
    <mergeCell ref="A15:A16"/>
    <mergeCell ref="I15:I16"/>
    <mergeCell ref="A13:F13"/>
    <mergeCell ref="G8:I8"/>
    <mergeCell ref="G9:I9"/>
    <mergeCell ref="G10:I10"/>
    <mergeCell ref="G11:I11"/>
    <mergeCell ref="G12:I12"/>
    <mergeCell ref="G13:I13"/>
    <mergeCell ref="A8:F8"/>
    <mergeCell ref="A9:F9"/>
    <mergeCell ref="A10:F10"/>
    <mergeCell ref="A11:F11"/>
    <mergeCell ref="A12:F12"/>
    <mergeCell ref="C15:C16"/>
    <mergeCell ref="D15:H15"/>
    <mergeCell ref="B15:B16"/>
  </mergeCells>
  <phoneticPr fontId="18"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ignoredErrors>
    <ignoredError sqref="C3:C4 A3:A4" unlocked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47"/>
  <sheetViews>
    <sheetView view="pageBreakPreview" zoomScaleNormal="130" zoomScaleSheetLayoutView="100" workbookViewId="0">
      <selection sqref="A1:L1"/>
    </sheetView>
  </sheetViews>
  <sheetFormatPr defaultColWidth="9" defaultRowHeight="23.25" customHeight="1"/>
  <cols>
    <col min="1" max="1" width="33.59765625" style="3" customWidth="1"/>
    <col min="2" max="9" width="10.59765625" style="3" customWidth="1"/>
    <col min="10" max="16384" width="9" style="3"/>
  </cols>
  <sheetData>
    <row r="1" spans="1:12" s="2" customFormat="1" ht="19.95" customHeight="1">
      <c r="A1" s="218" t="s">
        <v>20</v>
      </c>
      <c r="B1" s="218"/>
      <c r="C1" s="218"/>
      <c r="D1" s="218"/>
      <c r="E1" s="218"/>
      <c r="F1" s="218"/>
      <c r="G1" s="218"/>
      <c r="H1" s="218"/>
      <c r="I1" s="218"/>
      <c r="J1" s="218"/>
      <c r="K1" s="218"/>
      <c r="L1" s="218"/>
    </row>
    <row r="2" spans="1:12" s="2" customFormat="1" ht="19.95" customHeight="1">
      <c r="A2" s="217" t="s">
        <v>311</v>
      </c>
      <c r="B2" s="217"/>
      <c r="C2" s="217"/>
      <c r="D2" s="217"/>
      <c r="E2" s="217"/>
      <c r="F2" s="217"/>
      <c r="G2" s="217"/>
      <c r="H2" s="217"/>
      <c r="I2" s="217"/>
      <c r="J2" s="217"/>
      <c r="K2" s="217"/>
      <c r="L2" s="217"/>
    </row>
    <row r="3" spans="1:12" ht="19.95" customHeight="1">
      <c r="A3" s="3" t="str">
        <f>底稿目录!A2</f>
        <v>被审计单位：</v>
      </c>
      <c r="D3" s="4" t="str">
        <f>底稿目录!A4</f>
        <v>编制人：</v>
      </c>
      <c r="H3" s="47" t="str">
        <f>底稿目录!A5</f>
        <v>编制日期：</v>
      </c>
      <c r="I3" s="47"/>
      <c r="K3" s="184" t="s">
        <v>80</v>
      </c>
      <c r="L3" s="192" t="str">
        <f>底稿目录!F5</f>
        <v>M9-1</v>
      </c>
    </row>
    <row r="4" spans="1:12" ht="19.95" customHeight="1">
      <c r="A4" s="3" t="str">
        <f>底稿目录!A3</f>
        <v>截止日：202X年12月31日</v>
      </c>
      <c r="B4" s="6"/>
      <c r="D4" s="4" t="str">
        <f>底稿目录!A6</f>
        <v>复核人：</v>
      </c>
      <c r="H4" s="47" t="str">
        <f>底稿目录!A7</f>
        <v>复核日期：</v>
      </c>
      <c r="I4" s="47"/>
      <c r="K4" s="184" t="s">
        <v>278</v>
      </c>
      <c r="L4" s="61"/>
    </row>
    <row r="5" spans="1:12" ht="27.6" customHeight="1">
      <c r="A5" s="216" t="s">
        <v>60</v>
      </c>
      <c r="B5" s="219" t="s">
        <v>163</v>
      </c>
      <c r="C5" s="220"/>
      <c r="D5" s="220"/>
      <c r="E5" s="221"/>
      <c r="F5" s="222" t="s">
        <v>164</v>
      </c>
      <c r="G5" s="223"/>
      <c r="H5" s="223"/>
      <c r="I5" s="224"/>
      <c r="J5" s="225" t="s">
        <v>165</v>
      </c>
      <c r="K5" s="226"/>
      <c r="L5" s="227" t="s">
        <v>166</v>
      </c>
    </row>
    <row r="6" spans="1:12" ht="19.95" customHeight="1">
      <c r="A6" s="216"/>
      <c r="B6" s="122" t="s">
        <v>167</v>
      </c>
      <c r="C6" s="122" t="s">
        <v>168</v>
      </c>
      <c r="D6" s="122" t="s">
        <v>169</v>
      </c>
      <c r="E6" s="122" t="s">
        <v>170</v>
      </c>
      <c r="F6" s="122" t="s">
        <v>167</v>
      </c>
      <c r="G6" s="122" t="s">
        <v>168</v>
      </c>
      <c r="H6" s="122" t="s">
        <v>169</v>
      </c>
      <c r="I6" s="122" t="s">
        <v>170</v>
      </c>
      <c r="J6" s="125" t="s">
        <v>171</v>
      </c>
      <c r="K6" s="124" t="s">
        <v>172</v>
      </c>
      <c r="L6" s="228"/>
    </row>
    <row r="7" spans="1:12" ht="19.95" customHeight="1">
      <c r="A7" s="42" t="s">
        <v>173</v>
      </c>
      <c r="B7" s="117">
        <f>'明细表M9-2'!C10</f>
        <v>0</v>
      </c>
      <c r="C7" s="117">
        <f>'明细表M9-2'!H10</f>
        <v>0</v>
      </c>
      <c r="D7" s="117">
        <f>'明细表M9-2'!I10</f>
        <v>0</v>
      </c>
      <c r="E7" s="117">
        <f>'明细表M9-2'!P10</f>
        <v>0</v>
      </c>
      <c r="F7" s="117">
        <f>'明细表M9-2'!G10</f>
        <v>0</v>
      </c>
      <c r="G7" s="117">
        <f>'明细表M9-2'!H10+'明细表M9-2'!J10-'明细表M9-2'!K10-'明细表M9-2'!L10</f>
        <v>0</v>
      </c>
      <c r="H7" s="117">
        <f>'明细表M9-2'!I10+'明细表M9-2'!M10-'明细表M9-2'!N10-'明细表M9-2'!O10</f>
        <v>0</v>
      </c>
      <c r="I7" s="117">
        <f>'明细表M9-2'!T10</f>
        <v>0</v>
      </c>
      <c r="J7" s="117">
        <f>I7-E7</f>
        <v>0</v>
      </c>
      <c r="K7" s="118">
        <f>IF(AND(E7=0,J7=0),0,IF(AND(E7=0,J7&gt;0),1,J7/E7))</f>
        <v>0</v>
      </c>
      <c r="L7" s="42"/>
    </row>
    <row r="8" spans="1:12" ht="19.95" customHeight="1">
      <c r="A8" s="42" t="s">
        <v>174</v>
      </c>
      <c r="B8" s="117">
        <f>'明细表M9-2'!C16</f>
        <v>0</v>
      </c>
      <c r="C8" s="117">
        <f>'明细表M9-2'!H16</f>
        <v>0</v>
      </c>
      <c r="D8" s="117">
        <f>'明细表M9-2'!I16</f>
        <v>0</v>
      </c>
      <c r="E8" s="117">
        <f>'明细表M9-2'!P16</f>
        <v>0</v>
      </c>
      <c r="F8" s="117">
        <f>'明细表M9-2'!G16</f>
        <v>0</v>
      </c>
      <c r="G8" s="117">
        <f>'明细表M9-2'!H16+'明细表M9-2'!J16-'明细表M9-2'!K16-'明细表M9-2'!L16</f>
        <v>0</v>
      </c>
      <c r="H8" s="117">
        <f>'明细表M9-2'!I16+'明细表M9-2'!M16-'明细表M9-2'!N16-'明细表M9-2'!O16</f>
        <v>0</v>
      </c>
      <c r="I8" s="117">
        <f>'明细表M9-2'!T16</f>
        <v>0</v>
      </c>
      <c r="J8" s="117">
        <f>I8-E8</f>
        <v>0</v>
      </c>
      <c r="K8" s="118">
        <f>IF(AND(E8=0,J8=0),0,IF(AND(E8=0,J8&gt;0),1,J8/E8))</f>
        <v>0</v>
      </c>
      <c r="L8" s="42"/>
    </row>
    <row r="9" spans="1:12" ht="19.95" customHeight="1">
      <c r="A9" s="42"/>
      <c r="B9" s="117"/>
      <c r="C9" s="117"/>
      <c r="D9" s="117"/>
      <c r="E9" s="117"/>
      <c r="F9" s="117"/>
      <c r="G9" s="117"/>
      <c r="H9" s="117"/>
      <c r="I9" s="117"/>
      <c r="J9" s="117">
        <f>I9-E9</f>
        <v>0</v>
      </c>
      <c r="K9" s="118">
        <f>IF(AND(E9=0,J9=0),0,IF(AND(E9=0,J9&gt;0),1,J9/E9))</f>
        <v>0</v>
      </c>
      <c r="L9" s="42"/>
    </row>
    <row r="10" spans="1:12" ht="19.95" customHeight="1">
      <c r="A10" s="126" t="s">
        <v>175</v>
      </c>
      <c r="B10" s="117">
        <f t="shared" ref="B10:I10" si="0">SUM(B7:B9)</f>
        <v>0</v>
      </c>
      <c r="C10" s="117">
        <f t="shared" si="0"/>
        <v>0</v>
      </c>
      <c r="D10" s="117">
        <f t="shared" si="0"/>
        <v>0</v>
      </c>
      <c r="E10" s="117">
        <f t="shared" si="0"/>
        <v>0</v>
      </c>
      <c r="F10" s="117">
        <f t="shared" si="0"/>
        <v>0</v>
      </c>
      <c r="G10" s="117">
        <f t="shared" si="0"/>
        <v>0</v>
      </c>
      <c r="H10" s="117">
        <f t="shared" si="0"/>
        <v>0</v>
      </c>
      <c r="I10" s="117">
        <f t="shared" si="0"/>
        <v>0</v>
      </c>
      <c r="J10" s="117">
        <f>I10-E10</f>
        <v>0</v>
      </c>
      <c r="K10" s="119">
        <f>IF(AND(E10=0,J10=0),0,IF(AND(E10=0,J10&gt;0),1,J10/E10))</f>
        <v>0</v>
      </c>
      <c r="L10" s="42"/>
    </row>
    <row r="11" spans="1:12" s="72" customFormat="1" ht="19.95" customHeight="1">
      <c r="A11" s="69" t="s">
        <v>176</v>
      </c>
      <c r="B11" s="69"/>
      <c r="C11" s="69"/>
      <c r="D11" s="69"/>
      <c r="E11" s="120"/>
      <c r="F11" s="69"/>
      <c r="G11" s="69"/>
      <c r="H11" s="69"/>
      <c r="I11" s="120"/>
      <c r="J11" s="71"/>
      <c r="K11" s="70"/>
      <c r="L11" s="70"/>
    </row>
    <row r="12" spans="1:12" s="72" customFormat="1" ht="19.95" customHeight="1">
      <c r="A12" s="69" t="s">
        <v>177</v>
      </c>
      <c r="B12" s="69"/>
      <c r="C12" s="69"/>
      <c r="D12" s="69"/>
      <c r="E12" s="120">
        <f>E10-E11</f>
        <v>0</v>
      </c>
      <c r="F12" s="69"/>
      <c r="G12" s="69"/>
      <c r="H12" s="69"/>
      <c r="I12" s="120">
        <f>I10-I11</f>
        <v>0</v>
      </c>
      <c r="J12" s="146"/>
      <c r="K12" s="7"/>
      <c r="L12" s="7"/>
    </row>
    <row r="13" spans="1:12" ht="19.95" customHeight="1">
      <c r="A13" s="43" t="s">
        <v>1</v>
      </c>
      <c r="B13" s="4"/>
      <c r="C13" s="4"/>
      <c r="D13" s="4"/>
      <c r="E13" s="4"/>
      <c r="F13" s="127"/>
      <c r="G13" s="4"/>
    </row>
    <row r="14" spans="1:12" ht="19.95" customHeight="1">
      <c r="A14" s="7" t="s">
        <v>178</v>
      </c>
      <c r="B14" s="7"/>
      <c r="C14" s="7"/>
      <c r="D14" s="215"/>
      <c r="E14" s="215"/>
      <c r="F14" s="7"/>
      <c r="G14" s="7"/>
    </row>
    <row r="15" spans="1:12" ht="19.95" customHeight="1">
      <c r="A15" s="7" t="s">
        <v>179</v>
      </c>
      <c r="B15" s="7"/>
      <c r="C15" s="7"/>
      <c r="D15" s="7"/>
      <c r="E15" s="7"/>
      <c r="F15" s="7"/>
      <c r="G15" s="7"/>
    </row>
    <row r="16" spans="1:12" ht="19.95" customHeight="1">
      <c r="A16" s="7"/>
      <c r="B16" s="7"/>
      <c r="C16" s="7"/>
      <c r="D16" s="7"/>
      <c r="E16" s="7"/>
      <c r="F16" s="7"/>
      <c r="G16" s="7"/>
    </row>
    <row r="17" spans="1:7" ht="19.95" customHeight="1">
      <c r="A17" s="7"/>
      <c r="B17" s="7"/>
      <c r="C17" s="7"/>
      <c r="D17" s="7"/>
      <c r="E17" s="7"/>
      <c r="F17" s="7"/>
      <c r="G17" s="7"/>
    </row>
    <row r="18" spans="1:7" ht="19.95" customHeight="1">
      <c r="A18" s="8" t="s">
        <v>180</v>
      </c>
      <c r="B18" s="8"/>
      <c r="C18" s="8"/>
      <c r="D18" s="8"/>
      <c r="E18" s="8"/>
      <c r="F18" s="8"/>
      <c r="G18" s="8"/>
    </row>
    <row r="19" spans="1:7" ht="19.95" customHeight="1">
      <c r="A19" s="8"/>
      <c r="B19" s="8"/>
      <c r="C19" s="8"/>
      <c r="D19" s="8"/>
      <c r="E19" s="8"/>
      <c r="F19" s="8"/>
      <c r="G19" s="8"/>
    </row>
    <row r="20" spans="1:7" ht="19.95" customHeight="1">
      <c r="A20" s="7"/>
      <c r="B20" s="7"/>
      <c r="C20" s="7"/>
      <c r="D20" s="7"/>
      <c r="E20" s="7"/>
      <c r="F20" s="7"/>
      <c r="G20" s="7"/>
    </row>
    <row r="21" spans="1:7" ht="19.95" customHeight="1">
      <c r="A21" s="7"/>
      <c r="B21" s="7"/>
      <c r="C21" s="7"/>
      <c r="D21" s="7"/>
      <c r="E21" s="7"/>
      <c r="F21" s="7"/>
      <c r="G21" s="7"/>
    </row>
    <row r="22" spans="1:7" ht="19.95" customHeight="1">
      <c r="A22" s="77" t="s">
        <v>181</v>
      </c>
      <c r="B22" s="7"/>
      <c r="C22" s="7"/>
      <c r="D22" s="7"/>
      <c r="E22" s="7"/>
      <c r="F22" s="127"/>
      <c r="G22" s="7"/>
    </row>
    <row r="23" spans="1:7" ht="19.95" customHeight="1">
      <c r="A23" s="77"/>
      <c r="B23" s="7"/>
      <c r="C23" s="7"/>
      <c r="D23" s="7"/>
      <c r="E23" s="7"/>
      <c r="F23" s="7"/>
      <c r="G23" s="7"/>
    </row>
    <row r="24" spans="1:7" ht="19.95" customHeight="1">
      <c r="A24" s="77"/>
      <c r="B24" s="7"/>
      <c r="C24" s="7"/>
      <c r="D24" s="7"/>
      <c r="E24" s="7"/>
      <c r="F24" s="7"/>
      <c r="G24" s="7"/>
    </row>
    <row r="25" spans="1:7" ht="19.95" customHeight="1">
      <c r="A25" s="128" t="s">
        <v>2</v>
      </c>
      <c r="B25" s="7"/>
      <c r="C25" s="7"/>
      <c r="D25" s="7"/>
      <c r="E25" s="7"/>
      <c r="F25" s="7"/>
      <c r="G25" s="7"/>
    </row>
    <row r="27" spans="1:7" s="10" customFormat="1" ht="18" customHeight="1">
      <c r="A27" s="9"/>
    </row>
    <row r="28" spans="1:7" s="10" customFormat="1" ht="18" customHeight="1"/>
    <row r="29" spans="1:7" s="10" customFormat="1" ht="18" customHeight="1"/>
    <row r="30" spans="1:7" s="10" customFormat="1" ht="18" customHeight="1"/>
    <row r="31" spans="1:7" s="10" customFormat="1" ht="18" customHeight="1"/>
    <row r="32" spans="1:7" s="10" customFormat="1" ht="18" customHeight="1">
      <c r="A32" s="11"/>
    </row>
    <row r="33" spans="1:2" s="10" customFormat="1" ht="18" customHeight="1"/>
    <row r="34" spans="1:2" s="10" customFormat="1" ht="18" customHeight="1">
      <c r="A34" s="12"/>
    </row>
    <row r="35" spans="1:2" s="10" customFormat="1" ht="18" customHeight="1"/>
    <row r="36" spans="1:2" s="10" customFormat="1" ht="18" customHeight="1">
      <c r="A36" s="11"/>
    </row>
    <row r="37" spans="1:2" ht="18" customHeight="1">
      <c r="A37" s="11"/>
    </row>
    <row r="38" spans="1:2" ht="18" customHeight="1">
      <c r="A38" s="11"/>
    </row>
    <row r="39" spans="1:2" ht="18" customHeight="1">
      <c r="A39" s="11"/>
    </row>
    <row r="40" spans="1:2" ht="18" customHeight="1">
      <c r="A40" s="11"/>
    </row>
    <row r="41" spans="1:2" ht="18" customHeight="1">
      <c r="A41" s="10"/>
    </row>
    <row r="42" spans="1:2" ht="18" customHeight="1"/>
    <row r="43" spans="1:2" ht="18" customHeight="1">
      <c r="A43" s="11"/>
    </row>
    <row r="44" spans="1:2" ht="18" customHeight="1">
      <c r="A44" s="12"/>
    </row>
    <row r="45" spans="1:2" ht="18" customHeight="1">
      <c r="A45" s="13"/>
      <c r="B45" s="10"/>
    </row>
    <row r="46" spans="1:2" ht="18" customHeight="1">
      <c r="A46" s="13"/>
      <c r="B46" s="10"/>
    </row>
    <row r="47" spans="1:2" ht="18" customHeight="1">
      <c r="A47" s="13"/>
      <c r="B47" s="10"/>
    </row>
  </sheetData>
  <mergeCells count="8">
    <mergeCell ref="D14:E14"/>
    <mergeCell ref="A5:A6"/>
    <mergeCell ref="A2:L2"/>
    <mergeCell ref="A1:L1"/>
    <mergeCell ref="B5:E5"/>
    <mergeCell ref="F5:I5"/>
    <mergeCell ref="J5:K5"/>
    <mergeCell ref="L5:L6"/>
  </mergeCells>
  <phoneticPr fontId="18" type="noConversion"/>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78"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30"/>
  <sheetViews>
    <sheetView view="pageBreakPreview" zoomScaleSheetLayoutView="100" workbookViewId="0">
      <selection activeCell="D7" sqref="D7"/>
    </sheetView>
  </sheetViews>
  <sheetFormatPr defaultRowHeight="15.6"/>
  <cols>
    <col min="1" max="1" width="36.59765625" customWidth="1"/>
    <col min="2" max="2" width="8.69921875" customWidth="1"/>
    <col min="3" max="3" width="12.296875" customWidth="1"/>
    <col min="4" max="4" width="11.796875" customWidth="1"/>
    <col min="6" max="6" width="13.69921875" customWidth="1"/>
    <col min="8" max="8" width="11.5" customWidth="1"/>
  </cols>
  <sheetData>
    <row r="1" spans="1:18" s="18" customFormat="1" ht="20.100000000000001" customHeight="1">
      <c r="A1" s="231" t="s">
        <v>20</v>
      </c>
      <c r="B1" s="231"/>
      <c r="C1" s="231"/>
      <c r="D1" s="231"/>
      <c r="E1" s="231"/>
      <c r="F1" s="231"/>
      <c r="G1" s="231"/>
      <c r="H1" s="231"/>
      <c r="I1" s="33"/>
      <c r="J1" s="33"/>
      <c r="K1" s="33"/>
      <c r="L1" s="32"/>
      <c r="M1" s="32"/>
      <c r="N1" s="32"/>
      <c r="O1" s="32"/>
      <c r="P1" s="32"/>
      <c r="Q1" s="32"/>
      <c r="R1" s="32"/>
    </row>
    <row r="2" spans="1:18" s="18" customFormat="1" ht="25.05" customHeight="1">
      <c r="A2" s="231" t="s">
        <v>58</v>
      </c>
      <c r="B2" s="231"/>
      <c r="C2" s="231"/>
      <c r="D2" s="231"/>
      <c r="E2" s="231"/>
      <c r="F2" s="231"/>
      <c r="G2" s="231"/>
      <c r="H2" s="231"/>
      <c r="I2" s="33"/>
      <c r="J2" s="33"/>
      <c r="K2" s="33"/>
      <c r="L2" s="231"/>
      <c r="M2" s="231"/>
      <c r="N2" s="231"/>
      <c r="O2" s="231"/>
      <c r="P2" s="231"/>
      <c r="Q2" s="231"/>
      <c r="R2" s="231"/>
    </row>
    <row r="3" spans="1:18" s="14" customFormat="1" ht="20.100000000000001" customHeight="1">
      <c r="A3" s="3" t="str">
        <f>底稿目录!A2</f>
        <v>被审计单位：</v>
      </c>
      <c r="B3" s="3"/>
      <c r="C3" s="4" t="str">
        <f>底稿目录!A4</f>
        <v>编制人：</v>
      </c>
      <c r="D3" s="48" t="str">
        <f>底稿目录!A5</f>
        <v>编制日期：</v>
      </c>
      <c r="E3" s="49"/>
      <c r="F3" s="49"/>
      <c r="G3" s="1" t="s">
        <v>0</v>
      </c>
      <c r="P3" s="1"/>
      <c r="Q3" s="1"/>
    </row>
    <row r="4" spans="1:18" s="14" customFormat="1" ht="20.100000000000001" customHeight="1">
      <c r="A4" s="3" t="str">
        <f>底稿目录!A3</f>
        <v>截止日：202X年12月31日</v>
      </c>
      <c r="B4" s="6"/>
      <c r="C4" s="4" t="str">
        <f>底稿目录!A6</f>
        <v>复核人：</v>
      </c>
      <c r="D4" s="48" t="str">
        <f>底稿目录!A7</f>
        <v>复核日期：</v>
      </c>
      <c r="E4" s="49"/>
      <c r="F4" s="49"/>
      <c r="G4" s="1" t="s">
        <v>39</v>
      </c>
      <c r="P4" s="1"/>
      <c r="Q4" s="1"/>
    </row>
    <row r="5" spans="1:18" s="82" customFormat="1" ht="20.100000000000001" customHeight="1" thickBot="1">
      <c r="A5" s="79" t="s">
        <v>40</v>
      </c>
      <c r="B5" s="81"/>
      <c r="C5" s="81"/>
      <c r="D5" s="81"/>
      <c r="E5" s="81"/>
      <c r="F5" s="81"/>
      <c r="G5" s="81"/>
      <c r="H5" s="81"/>
    </row>
    <row r="6" spans="1:18" s="82" customFormat="1" ht="12.6" thickBot="1">
      <c r="A6" s="229" t="s">
        <v>65</v>
      </c>
      <c r="B6" s="83" t="s">
        <v>141</v>
      </c>
      <c r="C6" s="232" t="s">
        <v>41</v>
      </c>
      <c r="D6" s="232"/>
      <c r="E6" s="232"/>
      <c r="F6" s="232"/>
      <c r="G6" s="232"/>
      <c r="H6" s="84" t="s">
        <v>142</v>
      </c>
    </row>
    <row r="7" spans="1:18" s="82" customFormat="1" ht="66" customHeight="1" thickBot="1">
      <c r="A7" s="230"/>
      <c r="B7" s="85" t="s">
        <v>63</v>
      </c>
      <c r="C7" s="86" t="s">
        <v>42</v>
      </c>
      <c r="D7" s="87" t="s">
        <v>108</v>
      </c>
      <c r="E7" s="87" t="s">
        <v>43</v>
      </c>
      <c r="F7" s="87" t="s">
        <v>109</v>
      </c>
      <c r="G7" s="87" t="s">
        <v>44</v>
      </c>
      <c r="H7" s="88" t="s">
        <v>103</v>
      </c>
    </row>
    <row r="8" spans="1:18" s="82" customFormat="1" ht="21.6" customHeight="1">
      <c r="A8" s="89" t="s">
        <v>45</v>
      </c>
      <c r="B8" s="90">
        <f>'明细表M9-2'!P10</f>
        <v>0</v>
      </c>
      <c r="C8" s="90">
        <f>'明细表M9-2'!Q10</f>
        <v>0</v>
      </c>
      <c r="D8" s="91"/>
      <c r="E8" s="90">
        <f>'明细表M9-2'!S10</f>
        <v>0</v>
      </c>
      <c r="F8" s="92"/>
      <c r="G8" s="92"/>
      <c r="H8" s="93">
        <f>B8+F8</f>
        <v>0</v>
      </c>
    </row>
    <row r="9" spans="1:18" s="82" customFormat="1" ht="21.6" customHeight="1">
      <c r="A9" s="94" t="s">
        <v>115</v>
      </c>
      <c r="B9" s="90">
        <f>'明细表M9-2'!P11</f>
        <v>0</v>
      </c>
      <c r="C9" s="90">
        <f>'明细表M9-2'!Q11</f>
        <v>0</v>
      </c>
      <c r="D9" s="95"/>
      <c r="E9" s="90">
        <f>'明细表M9-2'!S11</f>
        <v>0</v>
      </c>
      <c r="F9" s="92"/>
      <c r="G9" s="92"/>
      <c r="H9" s="93">
        <f>B9+F9</f>
        <v>0</v>
      </c>
    </row>
    <row r="10" spans="1:18" s="82" customFormat="1" ht="21.6" customHeight="1">
      <c r="A10" s="94" t="s">
        <v>116</v>
      </c>
      <c r="B10" s="90">
        <f>'明细表M9-2'!P12</f>
        <v>0</v>
      </c>
      <c r="C10" s="90">
        <f>'明细表M9-2'!Q12</f>
        <v>0</v>
      </c>
      <c r="D10" s="95"/>
      <c r="E10" s="90">
        <f>'明细表M9-2'!S12</f>
        <v>0</v>
      </c>
      <c r="F10" s="92"/>
      <c r="G10" s="92"/>
      <c r="H10" s="93">
        <f>B10+F10</f>
        <v>0</v>
      </c>
    </row>
    <row r="11" spans="1:18" s="82" customFormat="1" ht="21.6" customHeight="1">
      <c r="A11" s="94" t="s">
        <v>118</v>
      </c>
      <c r="B11" s="90">
        <f>'明细表M9-2'!P13</f>
        <v>0</v>
      </c>
      <c r="C11" s="90">
        <f>'明细表M9-2'!Q13</f>
        <v>0</v>
      </c>
      <c r="D11" s="95"/>
      <c r="E11" s="90">
        <f>'明细表M9-2'!S13</f>
        <v>0</v>
      </c>
      <c r="F11" s="92"/>
      <c r="G11" s="92"/>
      <c r="H11" s="93"/>
    </row>
    <row r="12" spans="1:18" s="82" customFormat="1" ht="21.6" customHeight="1">
      <c r="A12" s="94" t="s">
        <v>119</v>
      </c>
      <c r="B12" s="90">
        <f>'明细表M9-2'!P14</f>
        <v>0</v>
      </c>
      <c r="C12" s="90">
        <f>'明细表M9-2'!Q14</f>
        <v>0</v>
      </c>
      <c r="D12" s="95"/>
      <c r="E12" s="90">
        <f>'明细表M9-2'!S14</f>
        <v>0</v>
      </c>
      <c r="F12" s="92"/>
      <c r="G12" s="92"/>
      <c r="H12" s="93"/>
    </row>
    <row r="13" spans="1:18" s="82" customFormat="1" ht="21.6" customHeight="1">
      <c r="A13" s="96" t="s">
        <v>46</v>
      </c>
      <c r="B13" s="90"/>
      <c r="C13" s="90"/>
      <c r="D13" s="95"/>
      <c r="E13" s="90"/>
      <c r="F13" s="92"/>
      <c r="G13" s="92"/>
      <c r="H13" s="93">
        <f t="shared" ref="H13:H18" si="0">B13+F13</f>
        <v>0</v>
      </c>
    </row>
    <row r="14" spans="1:18" s="82" customFormat="1" ht="21.6" customHeight="1">
      <c r="A14" s="89" t="s">
        <v>47</v>
      </c>
      <c r="B14" s="90">
        <f>'明细表M9-2'!P16</f>
        <v>0</v>
      </c>
      <c r="C14" s="90">
        <f>'明细表M9-2'!Q16</f>
        <v>0</v>
      </c>
      <c r="D14" s="90">
        <f>'明细表M9-2'!R16</f>
        <v>0</v>
      </c>
      <c r="E14" s="90">
        <f>'明细表M9-2'!S16</f>
        <v>0</v>
      </c>
      <c r="F14" s="92"/>
      <c r="G14" s="92"/>
      <c r="H14" s="93">
        <f t="shared" si="0"/>
        <v>0</v>
      </c>
    </row>
    <row r="15" spans="1:18" s="82" customFormat="1" ht="21.6" customHeight="1">
      <c r="A15" s="94" t="s">
        <v>117</v>
      </c>
      <c r="B15" s="90">
        <f>'明细表M9-2'!P17</f>
        <v>0</v>
      </c>
      <c r="C15" s="90">
        <f>'明细表M9-2'!Q17</f>
        <v>0</v>
      </c>
      <c r="D15" s="90">
        <f>'明细表M9-2'!R17</f>
        <v>0</v>
      </c>
      <c r="E15" s="90">
        <f>'明细表M9-2'!S17</f>
        <v>0</v>
      </c>
      <c r="F15" s="92"/>
      <c r="G15" s="92"/>
      <c r="H15" s="93">
        <f t="shared" si="0"/>
        <v>0</v>
      </c>
    </row>
    <row r="16" spans="1:18" s="82" customFormat="1" ht="21.6" customHeight="1">
      <c r="A16" s="94" t="s">
        <v>120</v>
      </c>
      <c r="B16" s="90">
        <f>'明细表M9-2'!P18</f>
        <v>0</v>
      </c>
      <c r="C16" s="90">
        <f>'明细表M9-2'!Q18</f>
        <v>0</v>
      </c>
      <c r="D16" s="90">
        <f>'明细表M9-2'!R18</f>
        <v>0</v>
      </c>
      <c r="E16" s="90">
        <f>'明细表M9-2'!S18</f>
        <v>0</v>
      </c>
      <c r="F16" s="92"/>
      <c r="G16" s="92"/>
      <c r="H16" s="93">
        <f t="shared" si="0"/>
        <v>0</v>
      </c>
    </row>
    <row r="17" spans="1:8" s="82" customFormat="1" ht="21.6" customHeight="1">
      <c r="A17" s="94" t="s">
        <v>121</v>
      </c>
      <c r="B17" s="90">
        <f>'明细表M9-2'!P19</f>
        <v>0</v>
      </c>
      <c r="C17" s="90">
        <f>'明细表M9-2'!Q19</f>
        <v>0</v>
      </c>
      <c r="D17" s="90">
        <f>'明细表M9-2'!R19</f>
        <v>0</v>
      </c>
      <c r="E17" s="90">
        <f>'明细表M9-2'!S19</f>
        <v>0</v>
      </c>
      <c r="F17" s="92"/>
      <c r="G17" s="92"/>
      <c r="H17" s="93">
        <f t="shared" si="0"/>
        <v>0</v>
      </c>
    </row>
    <row r="18" spans="1:8" s="82" customFormat="1" ht="21.6" customHeight="1">
      <c r="A18" s="94" t="s">
        <v>122</v>
      </c>
      <c r="B18" s="90">
        <f>'明细表M9-2'!P20</f>
        <v>0</v>
      </c>
      <c r="C18" s="90">
        <f>'明细表M9-2'!Q20</f>
        <v>0</v>
      </c>
      <c r="D18" s="90">
        <f>'明细表M9-2'!R20</f>
        <v>0</v>
      </c>
      <c r="E18" s="90">
        <f>'明细表M9-2'!S20</f>
        <v>0</v>
      </c>
      <c r="F18" s="92"/>
      <c r="G18" s="92"/>
      <c r="H18" s="93">
        <f t="shared" si="0"/>
        <v>0</v>
      </c>
    </row>
    <row r="19" spans="1:8" s="82" customFormat="1" ht="21.6" customHeight="1">
      <c r="A19" s="94" t="s">
        <v>123</v>
      </c>
      <c r="B19" s="90">
        <f>'明细表M9-2'!P21</f>
        <v>0</v>
      </c>
      <c r="C19" s="90">
        <f>'明细表M9-2'!Q21</f>
        <v>0</v>
      </c>
      <c r="D19" s="90">
        <f>'明细表M9-2'!R21</f>
        <v>0</v>
      </c>
      <c r="E19" s="90">
        <f>'明细表M9-2'!S21</f>
        <v>0</v>
      </c>
      <c r="F19" s="92"/>
      <c r="G19" s="92"/>
      <c r="H19" s="93">
        <f t="shared" ref="H19:H21" si="1">B19+F19</f>
        <v>0</v>
      </c>
    </row>
    <row r="20" spans="1:8" s="82" customFormat="1" ht="21.6" customHeight="1">
      <c r="A20" s="94" t="s">
        <v>124</v>
      </c>
      <c r="B20" s="90">
        <f>'明细表M9-2'!P22</f>
        <v>0</v>
      </c>
      <c r="C20" s="90">
        <f>'明细表M9-2'!Q22</f>
        <v>0</v>
      </c>
      <c r="D20" s="90">
        <f>'明细表M9-2'!R22</f>
        <v>0</v>
      </c>
      <c r="E20" s="90">
        <f>'明细表M9-2'!S22</f>
        <v>0</v>
      </c>
      <c r="F20" s="92"/>
      <c r="G20" s="92"/>
      <c r="H20" s="93">
        <f t="shared" si="1"/>
        <v>0</v>
      </c>
    </row>
    <row r="21" spans="1:8" s="82" customFormat="1" ht="16.95" customHeight="1">
      <c r="A21" s="94"/>
      <c r="B21" s="90"/>
      <c r="C21" s="90"/>
      <c r="D21" s="90"/>
      <c r="E21" s="90"/>
      <c r="F21" s="92"/>
      <c r="G21" s="92"/>
      <c r="H21" s="93">
        <f t="shared" si="1"/>
        <v>0</v>
      </c>
    </row>
    <row r="22" spans="1:8" s="82" customFormat="1" ht="16.95" customHeight="1">
      <c r="A22" s="94"/>
      <c r="B22" s="90"/>
      <c r="C22" s="90"/>
      <c r="D22" s="90"/>
      <c r="E22" s="90"/>
      <c r="F22" s="92"/>
      <c r="G22" s="92"/>
      <c r="H22" s="93"/>
    </row>
    <row r="23" spans="1:8" s="82" customFormat="1" ht="16.95" customHeight="1" thickBot="1">
      <c r="A23" s="97" t="s">
        <v>46</v>
      </c>
      <c r="B23" s="90">
        <f>'明细表M9-2'!P25</f>
        <v>0</v>
      </c>
      <c r="C23" s="90">
        <f>'明细表M9-2'!Q25</f>
        <v>0</v>
      </c>
      <c r="D23" s="90">
        <f>'明细表M9-2'!R25</f>
        <v>0</v>
      </c>
      <c r="E23" s="90">
        <f>'明细表M9-2'!S25</f>
        <v>0</v>
      </c>
      <c r="F23" s="98"/>
      <c r="G23" s="98"/>
      <c r="H23" s="93">
        <f>B23+F23</f>
        <v>0</v>
      </c>
    </row>
    <row r="24" spans="1:8" s="82" customFormat="1" ht="20.100000000000001" customHeight="1" thickBot="1">
      <c r="A24" s="99" t="s">
        <v>34</v>
      </c>
      <c r="B24" s="100">
        <f>B8+B14</f>
        <v>0</v>
      </c>
      <c r="C24" s="100">
        <f>C8+C14</f>
        <v>0</v>
      </c>
      <c r="D24" s="100">
        <f>D8+D14</f>
        <v>0</v>
      </c>
      <c r="E24" s="100">
        <f>E8+E14</f>
        <v>0</v>
      </c>
      <c r="F24" s="86"/>
      <c r="G24" s="86"/>
      <c r="H24" s="100">
        <f>H8+H14</f>
        <v>0</v>
      </c>
    </row>
    <row r="25" spans="1:8" s="82" customFormat="1" ht="38.549999999999997" customHeight="1">
      <c r="A25" s="233" t="s">
        <v>104</v>
      </c>
      <c r="B25" s="233"/>
      <c r="C25" s="233"/>
      <c r="D25" s="233"/>
      <c r="E25" s="233"/>
      <c r="F25" s="233"/>
      <c r="G25" s="233"/>
      <c r="H25" s="233"/>
    </row>
    <row r="26" spans="1:8" s="82" customFormat="1" ht="23.55" customHeight="1">
      <c r="A26" s="234" t="s">
        <v>48</v>
      </c>
      <c r="B26" s="234"/>
      <c r="C26" s="234"/>
      <c r="D26" s="234"/>
      <c r="E26" s="234"/>
      <c r="F26" s="234"/>
      <c r="G26" s="234"/>
      <c r="H26" s="234"/>
    </row>
    <row r="27" spans="1:8" s="82" customFormat="1" ht="20.100000000000001" customHeight="1">
      <c r="A27" s="101" t="s">
        <v>49</v>
      </c>
      <c r="B27" s="81"/>
      <c r="C27" s="81"/>
      <c r="D27" s="81"/>
      <c r="E27" s="81"/>
      <c r="F27" s="81"/>
      <c r="G27" s="81"/>
      <c r="H27" s="81"/>
    </row>
    <row r="28" spans="1:8" s="82" customFormat="1" ht="25.5" customHeight="1">
      <c r="A28" s="235" t="s">
        <v>105</v>
      </c>
      <c r="B28" s="235"/>
      <c r="C28" s="235"/>
      <c r="D28" s="235"/>
      <c r="E28" s="235"/>
      <c r="F28" s="235"/>
      <c r="G28" s="235"/>
      <c r="H28" s="235"/>
    </row>
    <row r="29" spans="1:8" s="82" customFormat="1" ht="24" customHeight="1">
      <c r="A29" s="234" t="s">
        <v>106</v>
      </c>
      <c r="B29" s="234"/>
      <c r="C29" s="234"/>
      <c r="D29" s="234"/>
      <c r="E29" s="234"/>
      <c r="F29" s="234"/>
      <c r="G29" s="234"/>
      <c r="H29" s="234"/>
    </row>
    <row r="30" spans="1:8" s="82" customFormat="1" ht="21" customHeight="1">
      <c r="A30" s="234" t="s">
        <v>107</v>
      </c>
      <c r="B30" s="234"/>
      <c r="C30" s="234"/>
      <c r="D30" s="234"/>
      <c r="E30" s="234"/>
      <c r="F30" s="234"/>
      <c r="G30" s="234"/>
      <c r="H30" s="234"/>
    </row>
  </sheetData>
  <mergeCells count="10">
    <mergeCell ref="A25:H25"/>
    <mergeCell ref="A26:H26"/>
    <mergeCell ref="A28:H28"/>
    <mergeCell ref="A29:H29"/>
    <mergeCell ref="A30:H30"/>
    <mergeCell ref="A6:A7"/>
    <mergeCell ref="L2:R2"/>
    <mergeCell ref="A1:H1"/>
    <mergeCell ref="A2:H2"/>
    <mergeCell ref="C6:G6"/>
  </mergeCells>
  <phoneticPr fontId="18" type="noConversion"/>
  <dataValidations count="1">
    <dataValidation type="textLength" allowBlank="1" showInputMessage="1" showErrorMessage="1" sqref="D8:D13">
      <formula1>0</formula1>
      <formula2>0</formula2>
    </dataValidation>
  </dataValidations>
  <printOptions horizontalCentered="1"/>
  <pageMargins left="0.70866141732283472" right="0.70866141732283472" top="0.74803149606299213" bottom="0.74803149606299213" header="0.31496062992125984" footer="0.31496062992125984"/>
  <pageSetup paperSize="9" scale="72" orientation="portrait" blackAndWhite="1" r:id="rId1"/>
  <ignoredErrors>
    <ignoredError sqref="B8"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7"/>
  <sheetViews>
    <sheetView view="pageBreakPreview" topLeftCell="A19" zoomScaleSheetLayoutView="100" workbookViewId="0">
      <selection activeCell="L3" sqref="A3:L5"/>
    </sheetView>
  </sheetViews>
  <sheetFormatPr defaultRowHeight="15.6"/>
  <cols>
    <col min="1" max="1" width="36.59765625" customWidth="1"/>
    <col min="2" max="2" width="10.8984375" customWidth="1"/>
    <col min="3" max="4" width="10.796875" customWidth="1"/>
    <col min="5" max="9" width="7.69921875" customWidth="1"/>
    <col min="10" max="10" width="8.3984375" customWidth="1"/>
    <col min="11" max="13" width="7.69921875" customWidth="1"/>
  </cols>
  <sheetData>
    <row r="1" spans="1:21" s="18" customFormat="1" ht="20.100000000000001" customHeight="1">
      <c r="A1" s="231" t="s">
        <v>20</v>
      </c>
      <c r="B1" s="231"/>
      <c r="C1" s="231"/>
      <c r="D1" s="231"/>
      <c r="E1" s="231"/>
      <c r="F1" s="231"/>
      <c r="G1" s="231"/>
      <c r="H1" s="231"/>
      <c r="I1" s="231"/>
      <c r="J1" s="231"/>
      <c r="K1" s="231"/>
      <c r="L1" s="231"/>
      <c r="M1" s="231"/>
      <c r="N1" s="231"/>
      <c r="O1" s="32"/>
      <c r="P1" s="32"/>
      <c r="Q1" s="32"/>
      <c r="R1" s="32"/>
      <c r="S1" s="32"/>
    </row>
    <row r="2" spans="1:21" s="18" customFormat="1" ht="20.100000000000001" customHeight="1">
      <c r="A2" s="231" t="s">
        <v>59</v>
      </c>
      <c r="B2" s="231"/>
      <c r="C2" s="231"/>
      <c r="D2" s="231"/>
      <c r="E2" s="231"/>
      <c r="F2" s="231"/>
      <c r="G2" s="231"/>
      <c r="H2" s="231"/>
      <c r="I2" s="231"/>
      <c r="J2" s="231"/>
      <c r="K2" s="231"/>
      <c r="L2" s="231"/>
      <c r="M2" s="231"/>
      <c r="N2" s="231"/>
      <c r="O2" s="33"/>
      <c r="P2" s="33"/>
      <c r="Q2" s="33"/>
      <c r="R2" s="33"/>
      <c r="S2" s="33"/>
    </row>
    <row r="3" spans="1:21" s="14" customFormat="1" ht="20.100000000000001" customHeight="1">
      <c r="A3" s="3" t="str">
        <f>底稿目录!A2</f>
        <v>被审计单位：</v>
      </c>
      <c r="B3" s="3"/>
      <c r="C3" s="4" t="str">
        <f>底稿目录!A4</f>
        <v>编制人：</v>
      </c>
      <c r="G3" s="5" t="str">
        <f>底稿目录!A5</f>
        <v>编制日期：</v>
      </c>
      <c r="K3" s="1" t="s">
        <v>0</v>
      </c>
      <c r="L3" s="14" t="s">
        <v>143</v>
      </c>
      <c r="Q3" s="1"/>
      <c r="R3" s="1"/>
    </row>
    <row r="4" spans="1:21" s="14" customFormat="1" ht="20.100000000000001" customHeight="1">
      <c r="A4" s="3" t="str">
        <f>底稿目录!A3</f>
        <v>截止日：202X年12月31日</v>
      </c>
      <c r="B4" s="6"/>
      <c r="C4" s="4" t="str">
        <f>底稿目录!A6</f>
        <v>复核人：</v>
      </c>
      <c r="G4" s="5" t="str">
        <f>底稿目录!A7</f>
        <v>复核日期：</v>
      </c>
      <c r="K4" s="1" t="s">
        <v>39</v>
      </c>
      <c r="Q4" s="1"/>
      <c r="R4" s="1"/>
    </row>
    <row r="5" spans="1:21" s="82" customFormat="1" ht="20.100000000000001" customHeight="1">
      <c r="A5" s="102" t="s">
        <v>50</v>
      </c>
      <c r="B5" s="81"/>
      <c r="C5" s="81"/>
      <c r="D5" s="81"/>
      <c r="E5" s="81"/>
      <c r="F5" s="81"/>
      <c r="G5" s="81"/>
      <c r="H5" s="81"/>
      <c r="I5" s="81"/>
      <c r="J5" s="81"/>
      <c r="K5" s="81"/>
      <c r="L5" s="81"/>
      <c r="M5" s="81"/>
      <c r="N5" s="81"/>
    </row>
    <row r="6" spans="1:21" s="82" customFormat="1" ht="20.100000000000001" customHeight="1">
      <c r="A6" s="80" t="s">
        <v>40</v>
      </c>
      <c r="B6" s="81"/>
      <c r="C6" s="81"/>
      <c r="D6" s="81"/>
      <c r="E6" s="81"/>
      <c r="F6" s="81"/>
      <c r="G6" s="81"/>
      <c r="H6" s="81"/>
      <c r="I6" s="81"/>
      <c r="J6" s="81"/>
      <c r="K6" s="81"/>
      <c r="L6" s="81"/>
      <c r="M6" s="81"/>
      <c r="N6" s="81"/>
    </row>
    <row r="7" spans="1:21" s="82" customFormat="1" ht="24.6" thickBot="1">
      <c r="A7" s="80" t="s">
        <v>64</v>
      </c>
      <c r="B7" s="81"/>
      <c r="C7" s="81"/>
      <c r="D7" s="81"/>
      <c r="E7" s="81"/>
      <c r="F7" s="81"/>
      <c r="G7" s="81"/>
      <c r="H7" s="81"/>
      <c r="I7" s="81"/>
      <c r="J7" s="81"/>
      <c r="K7" s="81"/>
      <c r="L7" s="81"/>
      <c r="M7" s="81"/>
      <c r="N7" s="81"/>
    </row>
    <row r="8" spans="1:21" s="82" customFormat="1" ht="20.100000000000001" customHeight="1" thickBot="1">
      <c r="A8" s="243" t="s">
        <v>65</v>
      </c>
      <c r="B8" s="232" t="s">
        <v>21</v>
      </c>
      <c r="C8" s="232"/>
      <c r="D8" s="232"/>
      <c r="E8" s="232"/>
      <c r="F8" s="232"/>
      <c r="G8" s="232"/>
      <c r="H8" s="232" t="s">
        <v>22</v>
      </c>
      <c r="I8" s="232"/>
      <c r="J8" s="232"/>
      <c r="K8" s="232"/>
      <c r="L8" s="232"/>
      <c r="M8" s="232"/>
      <c r="N8" s="103"/>
    </row>
    <row r="9" spans="1:21" s="82" customFormat="1" ht="20.100000000000001" customHeight="1" thickBot="1">
      <c r="A9" s="244"/>
      <c r="B9" s="245" t="s">
        <v>23</v>
      </c>
      <c r="C9" s="245"/>
      <c r="D9" s="245" t="s">
        <v>24</v>
      </c>
      <c r="E9" s="245"/>
      <c r="F9" s="245" t="s">
        <v>25</v>
      </c>
      <c r="G9" s="245"/>
      <c r="H9" s="245" t="s">
        <v>23</v>
      </c>
      <c r="I9" s="245"/>
      <c r="J9" s="245" t="s">
        <v>24</v>
      </c>
      <c r="K9" s="245"/>
      <c r="L9" s="245" t="s">
        <v>25</v>
      </c>
      <c r="M9" s="245"/>
      <c r="N9" s="103"/>
      <c r="O9" s="82" t="s">
        <v>65</v>
      </c>
      <c r="P9" s="82" t="s">
        <v>21</v>
      </c>
      <c r="S9" s="82" t="s">
        <v>22</v>
      </c>
    </row>
    <row r="10" spans="1:21" s="82" customFormat="1" ht="19.2" customHeight="1">
      <c r="A10" s="89" t="s">
        <v>45</v>
      </c>
      <c r="B10" s="246">
        <f>SUM(B11:C15)</f>
        <v>0</v>
      </c>
      <c r="C10" s="247"/>
      <c r="D10" s="246">
        <f>SUM(D11:E15)</f>
        <v>0</v>
      </c>
      <c r="E10" s="247"/>
      <c r="F10" s="246">
        <f t="shared" ref="F10" si="0">SUM(F11:G15)</f>
        <v>0</v>
      </c>
      <c r="G10" s="247"/>
      <c r="H10" s="246">
        <f t="shared" ref="H10" si="1">SUM(H11:I15)</f>
        <v>0</v>
      </c>
      <c r="I10" s="247"/>
      <c r="J10" s="246">
        <f t="shared" ref="J10" si="2">SUM(J11:K15)</f>
        <v>0</v>
      </c>
      <c r="K10" s="247"/>
      <c r="L10" s="246">
        <f t="shared" ref="L10" si="3">SUM(L11:M15)</f>
        <v>0</v>
      </c>
      <c r="M10" s="247"/>
      <c r="N10" s="103"/>
      <c r="P10" s="82" t="s">
        <v>23</v>
      </c>
      <c r="Q10" s="82" t="s">
        <v>24</v>
      </c>
      <c r="R10" s="82" t="s">
        <v>25</v>
      </c>
      <c r="S10" s="82" t="s">
        <v>23</v>
      </c>
      <c r="T10" s="82" t="s">
        <v>24</v>
      </c>
      <c r="U10" s="82" t="s">
        <v>25</v>
      </c>
    </row>
    <row r="11" spans="1:21" s="82" customFormat="1" ht="19.2" customHeight="1">
      <c r="A11" s="94" t="s">
        <v>125</v>
      </c>
      <c r="B11" s="239">
        <f>'明细表M9-2'!Q11-'明细表M9-2'!R11</f>
        <v>0</v>
      </c>
      <c r="C11" s="240"/>
      <c r="D11" s="239">
        <f>'明细表M9-2'!S11</f>
        <v>0</v>
      </c>
      <c r="E11" s="240"/>
      <c r="F11" s="241">
        <f>B11-D11</f>
        <v>0</v>
      </c>
      <c r="G11" s="241"/>
      <c r="H11" s="240"/>
      <c r="I11" s="240"/>
      <c r="J11" s="240"/>
      <c r="K11" s="240"/>
      <c r="L11" s="242">
        <f t="shared" ref="L11:L49" si="4">H11-J11</f>
        <v>0</v>
      </c>
      <c r="M11" s="242"/>
      <c r="N11" s="103"/>
      <c r="O11" s="82" t="s">
        <v>45</v>
      </c>
    </row>
    <row r="12" spans="1:21" s="82" customFormat="1" ht="19.2" customHeight="1">
      <c r="A12" s="94" t="s">
        <v>126</v>
      </c>
      <c r="B12" s="239">
        <f>'明细表M9-2'!Q12-'明细表M9-2'!R12</f>
        <v>0</v>
      </c>
      <c r="C12" s="240"/>
      <c r="D12" s="239">
        <f>'明细表M9-2'!S12</f>
        <v>0</v>
      </c>
      <c r="E12" s="240"/>
      <c r="F12" s="241">
        <f t="shared" ref="F12:F49" si="5">B12-D12</f>
        <v>0</v>
      </c>
      <c r="G12" s="241"/>
      <c r="H12" s="240"/>
      <c r="I12" s="240"/>
      <c r="J12" s="240"/>
      <c r="K12" s="240"/>
      <c r="L12" s="242">
        <f t="shared" si="4"/>
        <v>0</v>
      </c>
      <c r="M12" s="242"/>
      <c r="N12" s="103"/>
      <c r="O12" s="82" t="s">
        <v>66</v>
      </c>
    </row>
    <row r="13" spans="1:21" s="82" customFormat="1" ht="19.2" customHeight="1">
      <c r="A13" s="113" t="s">
        <v>127</v>
      </c>
      <c r="B13" s="239">
        <f>'明细表M9-2'!Q13-'明细表M9-2'!R13</f>
        <v>0</v>
      </c>
      <c r="C13" s="240"/>
      <c r="D13" s="239">
        <f>'明细表M9-2'!S13</f>
        <v>0</v>
      </c>
      <c r="E13" s="240"/>
      <c r="F13" s="241">
        <f t="shared" ref="F13:F14" si="6">B13-D13</f>
        <v>0</v>
      </c>
      <c r="G13" s="241"/>
      <c r="H13" s="240"/>
      <c r="I13" s="240"/>
      <c r="J13" s="240"/>
      <c r="K13" s="240"/>
      <c r="L13" s="242"/>
      <c r="M13" s="242"/>
      <c r="N13" s="103"/>
    </row>
    <row r="14" spans="1:21" s="82" customFormat="1" ht="19.2" customHeight="1">
      <c r="A14" s="113" t="s">
        <v>128</v>
      </c>
      <c r="B14" s="239">
        <f>'明细表M9-2'!Q14-'明细表M9-2'!R14</f>
        <v>0</v>
      </c>
      <c r="C14" s="240"/>
      <c r="D14" s="239">
        <f>'明细表M9-2'!S14</f>
        <v>0</v>
      </c>
      <c r="E14" s="240"/>
      <c r="F14" s="241">
        <f t="shared" si="6"/>
        <v>0</v>
      </c>
      <c r="G14" s="241"/>
      <c r="H14" s="240"/>
      <c r="I14" s="240"/>
      <c r="J14" s="240"/>
      <c r="K14" s="240"/>
      <c r="L14" s="242"/>
      <c r="M14" s="242"/>
      <c r="N14" s="103"/>
    </row>
    <row r="15" spans="1:21" s="82" customFormat="1" ht="33.6" customHeight="1">
      <c r="A15" s="94" t="s">
        <v>129</v>
      </c>
      <c r="B15" s="239"/>
      <c r="C15" s="240"/>
      <c r="D15" s="239"/>
      <c r="E15" s="240"/>
      <c r="F15" s="241">
        <f>B15-D15</f>
        <v>0</v>
      </c>
      <c r="G15" s="241"/>
      <c r="H15" s="240"/>
      <c r="I15" s="240"/>
      <c r="J15" s="240"/>
      <c r="K15" s="240"/>
      <c r="L15" s="242">
        <f t="shared" si="4"/>
        <v>0</v>
      </c>
      <c r="M15" s="242"/>
      <c r="N15" s="103"/>
      <c r="O15" s="82" t="s">
        <v>67</v>
      </c>
    </row>
    <row r="16" spans="1:21" s="82" customFormat="1" ht="19.2" customHeight="1">
      <c r="A16" s="89" t="s">
        <v>47</v>
      </c>
      <c r="B16" s="239">
        <f>B19+B22+B25+B28+B32+B35+B38+B41+B44+B47+B50</f>
        <v>0</v>
      </c>
      <c r="C16" s="240"/>
      <c r="D16" s="239">
        <f>D19+D22+D25+D28+D32+D35+D38+D41+D44+D47+D50</f>
        <v>0</v>
      </c>
      <c r="E16" s="240"/>
      <c r="F16" s="239">
        <f>F19+F22+F25+F28+F32+F35+F38+F41+F44+F47+F50</f>
        <v>0</v>
      </c>
      <c r="G16" s="240"/>
      <c r="H16" s="239">
        <f t="shared" ref="H16" si="7">H19+H22+H25+H28+H32+H35+H38+H41+H44+H47+H50</f>
        <v>0</v>
      </c>
      <c r="I16" s="240"/>
      <c r="J16" s="239">
        <f t="shared" ref="J16" si="8">J19+J22+J25+J28+J32+J35+J38+J41+J44+J47+J50</f>
        <v>0</v>
      </c>
      <c r="K16" s="240"/>
      <c r="L16" s="239">
        <f t="shared" ref="L16" si="9">L19+L22+L25+L28+L32+L35+L38+L41+L44+L47+L50</f>
        <v>0</v>
      </c>
      <c r="M16" s="240"/>
      <c r="N16" s="103"/>
      <c r="O16" s="82" t="s">
        <v>90</v>
      </c>
      <c r="P16" s="82" t="s">
        <v>91</v>
      </c>
      <c r="Q16" s="82" t="s">
        <v>91</v>
      </c>
      <c r="R16" s="82" t="s">
        <v>91</v>
      </c>
    </row>
    <row r="17" spans="1:21" s="82" customFormat="1" ht="19.2" customHeight="1">
      <c r="A17" s="94" t="s">
        <v>130</v>
      </c>
      <c r="B17" s="239">
        <f>'明细表M9-2'!Q17</f>
        <v>0</v>
      </c>
      <c r="C17" s="240"/>
      <c r="D17" s="239"/>
      <c r="E17" s="240"/>
      <c r="F17" s="241">
        <f t="shared" si="5"/>
        <v>0</v>
      </c>
      <c r="G17" s="241"/>
      <c r="H17" s="240"/>
      <c r="I17" s="240"/>
      <c r="J17" s="240"/>
      <c r="K17" s="240"/>
      <c r="L17" s="242">
        <f t="shared" si="4"/>
        <v>0</v>
      </c>
      <c r="M17" s="242"/>
      <c r="N17" s="103"/>
      <c r="O17" s="82" t="s">
        <v>92</v>
      </c>
      <c r="P17" s="82" t="s">
        <v>91</v>
      </c>
      <c r="Q17" s="82" t="s">
        <v>91</v>
      </c>
      <c r="R17" s="82" t="s">
        <v>91</v>
      </c>
    </row>
    <row r="18" spans="1:21" s="82" customFormat="1" ht="19.2" customHeight="1">
      <c r="A18" s="94" t="s">
        <v>26</v>
      </c>
      <c r="B18" s="239">
        <f>'明细表M9-2'!R17</f>
        <v>0</v>
      </c>
      <c r="C18" s="240"/>
      <c r="D18" s="239"/>
      <c r="E18" s="240"/>
      <c r="F18" s="241">
        <f t="shared" si="5"/>
        <v>0</v>
      </c>
      <c r="G18" s="241"/>
      <c r="H18" s="240"/>
      <c r="I18" s="240"/>
      <c r="J18" s="240"/>
      <c r="K18" s="240"/>
      <c r="L18" s="242">
        <f t="shared" si="4"/>
        <v>0</v>
      </c>
      <c r="M18" s="242"/>
      <c r="N18" s="103"/>
      <c r="O18" s="82" t="s">
        <v>93</v>
      </c>
    </row>
    <row r="19" spans="1:21" s="82" customFormat="1" ht="20.100000000000001" customHeight="1">
      <c r="A19" s="89" t="s">
        <v>68</v>
      </c>
      <c r="B19" s="239">
        <f>B17-B18</f>
        <v>0</v>
      </c>
      <c r="C19" s="240"/>
      <c r="D19" s="239">
        <f>D17-D18</f>
        <v>0</v>
      </c>
      <c r="E19" s="240"/>
      <c r="F19" s="239">
        <f>F17-F18</f>
        <v>0</v>
      </c>
      <c r="G19" s="240"/>
      <c r="H19" s="239">
        <f>H17-H18</f>
        <v>0</v>
      </c>
      <c r="I19" s="240"/>
      <c r="J19" s="239">
        <f>J17-J18</f>
        <v>0</v>
      </c>
      <c r="K19" s="240"/>
      <c r="L19" s="239">
        <f>L17-L18</f>
        <v>0</v>
      </c>
      <c r="M19" s="240"/>
      <c r="N19" s="103"/>
      <c r="O19" s="82" t="s">
        <v>47</v>
      </c>
    </row>
    <row r="20" spans="1:21" s="82" customFormat="1" ht="20.100000000000001" customHeight="1">
      <c r="A20" s="104" t="s">
        <v>94</v>
      </c>
      <c r="B20" s="239"/>
      <c r="C20" s="240"/>
      <c r="D20" s="239"/>
      <c r="E20" s="240"/>
      <c r="F20" s="239"/>
      <c r="G20" s="240"/>
      <c r="H20" s="240"/>
      <c r="I20" s="240"/>
      <c r="J20" s="240"/>
      <c r="K20" s="240"/>
      <c r="L20" s="242"/>
      <c r="M20" s="242"/>
      <c r="N20" s="103"/>
    </row>
    <row r="21" spans="1:21" s="82" customFormat="1" ht="20.100000000000001" customHeight="1">
      <c r="A21" s="104" t="s">
        <v>26</v>
      </c>
      <c r="B21" s="239"/>
      <c r="C21" s="240"/>
      <c r="D21" s="239"/>
      <c r="E21" s="240"/>
      <c r="F21" s="239"/>
      <c r="G21" s="239"/>
      <c r="H21" s="240"/>
      <c r="I21" s="240"/>
      <c r="J21" s="240"/>
      <c r="K21" s="240"/>
      <c r="L21" s="242"/>
      <c r="M21" s="242"/>
      <c r="N21" s="103"/>
    </row>
    <row r="22" spans="1:21" s="82" customFormat="1" ht="20.100000000000001" customHeight="1">
      <c r="A22" s="104" t="s">
        <v>68</v>
      </c>
      <c r="B22" s="239">
        <f>B20-B21</f>
        <v>0</v>
      </c>
      <c r="C22" s="240"/>
      <c r="D22" s="239">
        <f t="shared" ref="D22" si="10">D20-D21</f>
        <v>0</v>
      </c>
      <c r="E22" s="240"/>
      <c r="F22" s="239">
        <f t="shared" ref="F22" si="11">F20-F21</f>
        <v>0</v>
      </c>
      <c r="G22" s="240"/>
      <c r="H22" s="239">
        <f t="shared" ref="H22" si="12">H20-H21</f>
        <v>0</v>
      </c>
      <c r="I22" s="240"/>
      <c r="J22" s="239">
        <f t="shared" ref="J22" si="13">J20-J21</f>
        <v>0</v>
      </c>
      <c r="K22" s="240"/>
      <c r="L22" s="239">
        <f t="shared" ref="L22" si="14">L20-L21</f>
        <v>0</v>
      </c>
      <c r="M22" s="240"/>
      <c r="N22" s="103"/>
    </row>
    <row r="23" spans="1:21" s="82" customFormat="1" ht="20.100000000000001" customHeight="1">
      <c r="A23" s="104" t="s">
        <v>131</v>
      </c>
      <c r="B23" s="239"/>
      <c r="C23" s="240"/>
      <c r="D23" s="239"/>
      <c r="E23" s="240"/>
      <c r="F23" s="241"/>
      <c r="G23" s="241"/>
      <c r="H23" s="239"/>
      <c r="I23" s="240"/>
      <c r="J23" s="239"/>
      <c r="K23" s="240"/>
      <c r="L23" s="239"/>
      <c r="M23" s="240"/>
      <c r="N23" s="103"/>
    </row>
    <row r="24" spans="1:21" s="82" customFormat="1" ht="20.100000000000001" customHeight="1">
      <c r="A24" s="104" t="s">
        <v>26</v>
      </c>
      <c r="B24" s="239"/>
      <c r="C24" s="240"/>
      <c r="D24" s="239"/>
      <c r="E24" s="240"/>
      <c r="F24" s="241"/>
      <c r="G24" s="241"/>
      <c r="H24" s="239"/>
      <c r="I24" s="240"/>
      <c r="J24" s="239"/>
      <c r="K24" s="240"/>
      <c r="L24" s="239"/>
      <c r="M24" s="240"/>
      <c r="N24" s="103"/>
    </row>
    <row r="25" spans="1:21" s="82" customFormat="1" ht="20.100000000000001" customHeight="1">
      <c r="A25" s="104" t="s">
        <v>68</v>
      </c>
      <c r="B25" s="239">
        <f>B23-B24</f>
        <v>0</v>
      </c>
      <c r="C25" s="240"/>
      <c r="D25" s="239">
        <f t="shared" ref="D25" si="15">D23-D24</f>
        <v>0</v>
      </c>
      <c r="E25" s="240"/>
      <c r="F25" s="239">
        <f t="shared" ref="F25" si="16">F23-F24</f>
        <v>0</v>
      </c>
      <c r="G25" s="240"/>
      <c r="H25" s="239">
        <f t="shared" ref="H25" si="17">H23-H24</f>
        <v>0</v>
      </c>
      <c r="I25" s="240"/>
      <c r="J25" s="239">
        <f t="shared" ref="J25" si="18">J23-J24</f>
        <v>0</v>
      </c>
      <c r="K25" s="240"/>
      <c r="L25" s="239">
        <f t="shared" ref="L25" si="19">L23-L24</f>
        <v>0</v>
      </c>
      <c r="M25" s="240"/>
      <c r="N25" s="103"/>
    </row>
    <row r="26" spans="1:21" s="82" customFormat="1" ht="12">
      <c r="A26" s="104" t="s">
        <v>132</v>
      </c>
      <c r="B26" s="239"/>
      <c r="C26" s="240"/>
      <c r="D26" s="239"/>
      <c r="E26" s="240"/>
      <c r="F26" s="239"/>
      <c r="G26" s="240"/>
      <c r="H26" s="239"/>
      <c r="I26" s="240"/>
      <c r="J26" s="239"/>
      <c r="K26" s="240"/>
      <c r="L26" s="239"/>
      <c r="M26" s="240"/>
      <c r="N26" s="103"/>
      <c r="O26" s="82" t="s">
        <v>94</v>
      </c>
      <c r="P26" s="82" t="s">
        <v>91</v>
      </c>
      <c r="Q26" s="82" t="s">
        <v>91</v>
      </c>
      <c r="R26" s="82" t="s">
        <v>91</v>
      </c>
    </row>
    <row r="27" spans="1:21" s="82" customFormat="1" ht="20.100000000000001" customHeight="1">
      <c r="A27" s="104" t="s">
        <v>26</v>
      </c>
      <c r="B27" s="239"/>
      <c r="C27" s="240"/>
      <c r="D27" s="239"/>
      <c r="E27" s="240"/>
      <c r="F27" s="239"/>
      <c r="G27" s="240"/>
      <c r="H27" s="240"/>
      <c r="I27" s="240"/>
      <c r="J27" s="240"/>
      <c r="K27" s="240"/>
      <c r="L27" s="242"/>
      <c r="M27" s="242"/>
      <c r="N27" s="103"/>
      <c r="O27" s="82" t="s">
        <v>26</v>
      </c>
      <c r="P27" s="82" t="s">
        <v>91</v>
      </c>
      <c r="Q27" s="82" t="s">
        <v>91</v>
      </c>
      <c r="R27" s="82" t="s">
        <v>91</v>
      </c>
    </row>
    <row r="28" spans="1:21" s="82" customFormat="1" ht="20.100000000000001" customHeight="1">
      <c r="A28" s="104" t="s">
        <v>68</v>
      </c>
      <c r="B28" s="239">
        <f>B26-B27</f>
        <v>0</v>
      </c>
      <c r="C28" s="240"/>
      <c r="D28" s="239">
        <f t="shared" ref="D28" si="20">D26-D27</f>
        <v>0</v>
      </c>
      <c r="E28" s="240"/>
      <c r="F28" s="239">
        <f t="shared" ref="F28" si="21">F26-F27</f>
        <v>0</v>
      </c>
      <c r="G28" s="240"/>
      <c r="H28" s="239">
        <f t="shared" ref="H28" si="22">H26-H27</f>
        <v>0</v>
      </c>
      <c r="I28" s="240"/>
      <c r="J28" s="239">
        <f t="shared" ref="J28" si="23">J26-J27</f>
        <v>0</v>
      </c>
      <c r="K28" s="240"/>
      <c r="L28" s="239">
        <f t="shared" ref="L28" si="24">L26-L27</f>
        <v>0</v>
      </c>
      <c r="M28" s="240"/>
      <c r="N28" s="103"/>
      <c r="O28" s="82" t="s">
        <v>68</v>
      </c>
      <c r="P28" s="82" t="s">
        <v>91</v>
      </c>
      <c r="Q28" s="82" t="s">
        <v>91</v>
      </c>
      <c r="R28" s="82" t="s">
        <v>91</v>
      </c>
    </row>
    <row r="29" spans="1:21" s="82" customFormat="1" ht="20.100000000000001" customHeight="1">
      <c r="A29" s="104" t="s">
        <v>133</v>
      </c>
      <c r="B29" s="248">
        <f>'明细表M9-2'!Q21</f>
        <v>0</v>
      </c>
      <c r="C29" s="249"/>
      <c r="D29" s="249"/>
      <c r="E29" s="249"/>
      <c r="F29" s="241">
        <f t="shared" si="5"/>
        <v>0</v>
      </c>
      <c r="G29" s="241"/>
      <c r="H29" s="249"/>
      <c r="I29" s="249"/>
      <c r="J29" s="249"/>
      <c r="K29" s="249"/>
      <c r="L29" s="242">
        <f t="shared" si="4"/>
        <v>0</v>
      </c>
      <c r="M29" s="242"/>
      <c r="N29" s="103"/>
      <c r="O29" s="82" t="s">
        <v>95</v>
      </c>
      <c r="P29" s="82" t="s">
        <v>91</v>
      </c>
      <c r="Q29" s="82" t="s">
        <v>91</v>
      </c>
      <c r="R29" s="82" t="s">
        <v>91</v>
      </c>
    </row>
    <row r="30" spans="1:21" s="82" customFormat="1" ht="20.100000000000001" customHeight="1">
      <c r="A30" s="104" t="s">
        <v>99</v>
      </c>
      <c r="B30" s="239">
        <f>'明细表M9-2'!R21</f>
        <v>0</v>
      </c>
      <c r="C30" s="240"/>
      <c r="D30" s="240"/>
      <c r="E30" s="240"/>
      <c r="F30" s="241">
        <f t="shared" si="5"/>
        <v>0</v>
      </c>
      <c r="G30" s="241"/>
      <c r="H30" s="240"/>
      <c r="I30" s="240"/>
      <c r="J30" s="240"/>
      <c r="K30" s="240"/>
      <c r="L30" s="242">
        <f t="shared" si="4"/>
        <v>0</v>
      </c>
      <c r="M30" s="242"/>
      <c r="N30" s="103"/>
      <c r="O30" s="82" t="s">
        <v>26</v>
      </c>
      <c r="P30" s="82" t="s">
        <v>91</v>
      </c>
      <c r="Q30" s="82" t="s">
        <v>91</v>
      </c>
      <c r="R30" s="82" t="s">
        <v>91</v>
      </c>
    </row>
    <row r="31" spans="1:21" s="82" customFormat="1" ht="20.100000000000001" customHeight="1">
      <c r="A31" s="104" t="s">
        <v>100</v>
      </c>
      <c r="B31" s="249"/>
      <c r="C31" s="249"/>
      <c r="D31" s="249"/>
      <c r="E31" s="249"/>
      <c r="F31" s="241">
        <f t="shared" si="5"/>
        <v>0</v>
      </c>
      <c r="G31" s="241"/>
      <c r="H31" s="249"/>
      <c r="I31" s="249"/>
      <c r="J31" s="249"/>
      <c r="K31" s="249"/>
      <c r="L31" s="242">
        <f t="shared" si="4"/>
        <v>0</v>
      </c>
      <c r="M31" s="242"/>
      <c r="N31" s="103"/>
      <c r="O31" s="82" t="s">
        <v>68</v>
      </c>
      <c r="P31" s="82" t="s">
        <v>91</v>
      </c>
      <c r="Q31" s="82" t="s">
        <v>91</v>
      </c>
      <c r="R31" s="82" t="s">
        <v>91</v>
      </c>
    </row>
    <row r="32" spans="1:21" s="82" customFormat="1" ht="20.100000000000001" customHeight="1">
      <c r="A32" s="104" t="s">
        <v>68</v>
      </c>
      <c r="B32" s="236">
        <f>B29-B30-B31</f>
        <v>0</v>
      </c>
      <c r="C32" s="237"/>
      <c r="D32" s="236">
        <f t="shared" ref="D32" si="25">D29-D30-D31</f>
        <v>0</v>
      </c>
      <c r="E32" s="237"/>
      <c r="F32" s="236">
        <f t="shared" ref="F32" si="26">F29-F30-F31</f>
        <v>0</v>
      </c>
      <c r="G32" s="237"/>
      <c r="H32" s="236">
        <f t="shared" ref="H32" si="27">H29-H30-H31</f>
        <v>0</v>
      </c>
      <c r="I32" s="237"/>
      <c r="J32" s="236">
        <f t="shared" ref="J32" si="28">J29-J30-J31</f>
        <v>0</v>
      </c>
      <c r="K32" s="237"/>
      <c r="L32" s="236">
        <f t="shared" ref="L32" si="29">L29-L30-L31</f>
        <v>0</v>
      </c>
      <c r="M32" s="237"/>
      <c r="N32" s="103"/>
      <c r="O32" s="82" t="s">
        <v>96</v>
      </c>
      <c r="S32" s="82" t="s">
        <v>91</v>
      </c>
      <c r="T32" s="82" t="s">
        <v>91</v>
      </c>
      <c r="U32" s="82" t="s">
        <v>91</v>
      </c>
    </row>
    <row r="33" spans="1:21" s="82" customFormat="1" ht="20.100000000000001" customHeight="1">
      <c r="A33" s="94" t="s">
        <v>134</v>
      </c>
      <c r="B33" s="239">
        <f>'明细表M9-2'!Q22</f>
        <v>0</v>
      </c>
      <c r="C33" s="240"/>
      <c r="D33" s="240"/>
      <c r="E33" s="240"/>
      <c r="F33" s="241">
        <f t="shared" si="5"/>
        <v>0</v>
      </c>
      <c r="G33" s="241"/>
      <c r="H33" s="240"/>
      <c r="I33" s="240"/>
      <c r="J33" s="240"/>
      <c r="K33" s="240"/>
      <c r="L33" s="242">
        <f t="shared" si="4"/>
        <v>0</v>
      </c>
      <c r="M33" s="242"/>
      <c r="N33" s="103"/>
      <c r="O33" s="82" t="s">
        <v>26</v>
      </c>
      <c r="S33" s="82" t="s">
        <v>91</v>
      </c>
      <c r="T33" s="82" t="s">
        <v>91</v>
      </c>
      <c r="U33" s="82" t="s">
        <v>91</v>
      </c>
    </row>
    <row r="34" spans="1:21" s="82" customFormat="1" ht="20.100000000000001" customHeight="1">
      <c r="A34" s="94" t="s">
        <v>26</v>
      </c>
      <c r="B34" s="239">
        <f>'明细表M9-2'!R22</f>
        <v>0</v>
      </c>
      <c r="C34" s="240"/>
      <c r="D34" s="240"/>
      <c r="E34" s="240"/>
      <c r="F34" s="241">
        <f>B34-D34</f>
        <v>0</v>
      </c>
      <c r="G34" s="241"/>
      <c r="H34" s="240"/>
      <c r="I34" s="240"/>
      <c r="J34" s="240"/>
      <c r="K34" s="240"/>
      <c r="L34" s="242">
        <f t="shared" si="4"/>
        <v>0</v>
      </c>
      <c r="M34" s="242"/>
      <c r="N34" s="103"/>
      <c r="O34" s="82" t="s">
        <v>68</v>
      </c>
      <c r="S34" s="82" t="s">
        <v>91</v>
      </c>
      <c r="U34" s="82" t="s">
        <v>91</v>
      </c>
    </row>
    <row r="35" spans="1:21" s="82" customFormat="1" ht="20.100000000000001" customHeight="1">
      <c r="A35" s="89" t="s">
        <v>68</v>
      </c>
      <c r="B35" s="236">
        <f>B33-B34</f>
        <v>0</v>
      </c>
      <c r="C35" s="237"/>
      <c r="D35" s="236">
        <f t="shared" ref="D35" si="30">D33-D34</f>
        <v>0</v>
      </c>
      <c r="E35" s="237"/>
      <c r="F35" s="236">
        <f t="shared" ref="F35" si="31">F33-F34</f>
        <v>0</v>
      </c>
      <c r="G35" s="237"/>
      <c r="H35" s="236">
        <f t="shared" ref="H35" si="32">H33-H34</f>
        <v>0</v>
      </c>
      <c r="I35" s="237"/>
      <c r="J35" s="236">
        <f t="shared" ref="J35" si="33">J33-J34</f>
        <v>0</v>
      </c>
      <c r="K35" s="237"/>
      <c r="L35" s="236">
        <f t="shared" ref="L35" si="34">L33-L34</f>
        <v>0</v>
      </c>
      <c r="M35" s="237"/>
      <c r="N35" s="103"/>
      <c r="O35" s="82" t="s">
        <v>97</v>
      </c>
      <c r="P35" s="82" t="s">
        <v>91</v>
      </c>
      <c r="Q35" s="82" t="s">
        <v>91</v>
      </c>
      <c r="R35" s="82" t="s">
        <v>91</v>
      </c>
    </row>
    <row r="36" spans="1:21" s="82" customFormat="1" ht="20.100000000000001" customHeight="1">
      <c r="A36" s="94" t="s">
        <v>135</v>
      </c>
      <c r="B36" s="236"/>
      <c r="C36" s="237"/>
      <c r="D36" s="237"/>
      <c r="E36" s="237"/>
      <c r="F36" s="237"/>
      <c r="G36" s="237"/>
      <c r="H36" s="237"/>
      <c r="I36" s="237"/>
      <c r="J36" s="237"/>
      <c r="K36" s="237"/>
      <c r="L36" s="237"/>
      <c r="M36" s="237"/>
      <c r="N36" s="103"/>
    </row>
    <row r="37" spans="1:21" s="82" customFormat="1" ht="20.100000000000001" customHeight="1">
      <c r="A37" s="94" t="s">
        <v>136</v>
      </c>
      <c r="B37" s="236"/>
      <c r="C37" s="237"/>
      <c r="D37" s="237"/>
      <c r="E37" s="237"/>
      <c r="F37" s="237"/>
      <c r="G37" s="237"/>
      <c r="H37" s="237"/>
      <c r="I37" s="237"/>
      <c r="J37" s="237"/>
      <c r="K37" s="237"/>
      <c r="L37" s="237"/>
      <c r="M37" s="237"/>
      <c r="N37" s="103"/>
    </row>
    <row r="38" spans="1:21" s="82" customFormat="1" ht="20.100000000000001" customHeight="1">
      <c r="A38" s="89" t="s">
        <v>68</v>
      </c>
      <c r="B38" s="238">
        <f>B36-B37</f>
        <v>0</v>
      </c>
      <c r="C38" s="238"/>
      <c r="D38" s="238">
        <f t="shared" ref="D38" si="35">D36-D37</f>
        <v>0</v>
      </c>
      <c r="E38" s="238"/>
      <c r="F38" s="238">
        <f>F36-F37</f>
        <v>0</v>
      </c>
      <c r="G38" s="238"/>
      <c r="H38" s="238">
        <f t="shared" ref="H38" si="36">H36-H37</f>
        <v>0</v>
      </c>
      <c r="I38" s="238"/>
      <c r="J38" s="238">
        <f t="shared" ref="J38" si="37">J36-J37</f>
        <v>0</v>
      </c>
      <c r="K38" s="238"/>
      <c r="L38" s="238">
        <f t="shared" ref="L38" si="38">L36-L37</f>
        <v>0</v>
      </c>
      <c r="M38" s="238"/>
      <c r="N38" s="103"/>
    </row>
    <row r="39" spans="1:21" s="82" customFormat="1" ht="28.8" customHeight="1">
      <c r="A39" s="94" t="s">
        <v>137</v>
      </c>
      <c r="B39" s="236"/>
      <c r="C39" s="237"/>
      <c r="D39" s="237"/>
      <c r="E39" s="237"/>
      <c r="F39" s="237"/>
      <c r="G39" s="237"/>
      <c r="H39" s="237"/>
      <c r="I39" s="237"/>
      <c r="J39" s="237"/>
      <c r="K39" s="237"/>
      <c r="L39" s="237"/>
      <c r="M39" s="237"/>
      <c r="N39" s="103"/>
    </row>
    <row r="40" spans="1:21" s="82" customFormat="1" ht="20.100000000000001" customHeight="1">
      <c r="A40" s="94" t="s">
        <v>136</v>
      </c>
      <c r="B40" s="236"/>
      <c r="C40" s="237"/>
      <c r="D40" s="237"/>
      <c r="E40" s="237"/>
      <c r="F40" s="237"/>
      <c r="G40" s="237"/>
      <c r="H40" s="237"/>
      <c r="I40" s="237"/>
      <c r="J40" s="237"/>
      <c r="K40" s="237"/>
      <c r="L40" s="237"/>
      <c r="M40" s="237"/>
      <c r="N40" s="103"/>
    </row>
    <row r="41" spans="1:21" s="82" customFormat="1" ht="20.100000000000001" customHeight="1">
      <c r="A41" s="89" t="s">
        <v>68</v>
      </c>
      <c r="B41" s="238">
        <f>B39-B40</f>
        <v>0</v>
      </c>
      <c r="C41" s="238"/>
      <c r="D41" s="238">
        <f t="shared" ref="D41" si="39">D39-D40</f>
        <v>0</v>
      </c>
      <c r="E41" s="238"/>
      <c r="F41" s="238">
        <f t="shared" ref="F41" si="40">F39-F40</f>
        <v>0</v>
      </c>
      <c r="G41" s="238"/>
      <c r="H41" s="238">
        <f t="shared" ref="H41" si="41">H39-H40</f>
        <v>0</v>
      </c>
      <c r="I41" s="238"/>
      <c r="J41" s="238">
        <f t="shared" ref="J41" si="42">J39-J40</f>
        <v>0</v>
      </c>
      <c r="K41" s="238"/>
      <c r="L41" s="238">
        <f t="shared" ref="L41" si="43">L39-L40</f>
        <v>0</v>
      </c>
      <c r="M41" s="238"/>
      <c r="N41" s="103"/>
    </row>
    <row r="42" spans="1:21" s="82" customFormat="1" ht="36">
      <c r="A42" s="94" t="s">
        <v>138</v>
      </c>
      <c r="B42" s="239">
        <f>'明细表M9-2'!Q23</f>
        <v>0</v>
      </c>
      <c r="C42" s="240"/>
      <c r="D42" s="240"/>
      <c r="E42" s="240"/>
      <c r="F42" s="241">
        <f t="shared" si="5"/>
        <v>0</v>
      </c>
      <c r="G42" s="241"/>
      <c r="H42" s="240"/>
      <c r="I42" s="240"/>
      <c r="J42" s="240"/>
      <c r="K42" s="240"/>
      <c r="L42" s="242">
        <f t="shared" si="4"/>
        <v>0</v>
      </c>
      <c r="M42" s="242"/>
      <c r="N42" s="103"/>
      <c r="O42" s="82" t="s">
        <v>26</v>
      </c>
      <c r="P42" s="82" t="s">
        <v>91</v>
      </c>
      <c r="Q42" s="82" t="s">
        <v>91</v>
      </c>
      <c r="R42" s="82" t="s">
        <v>91</v>
      </c>
    </row>
    <row r="43" spans="1:21" s="82" customFormat="1" ht="20.100000000000001" customHeight="1">
      <c r="A43" s="94" t="s">
        <v>26</v>
      </c>
      <c r="B43" s="239">
        <f>'明细表M9-2'!R23</f>
        <v>0</v>
      </c>
      <c r="C43" s="240"/>
      <c r="D43" s="240"/>
      <c r="E43" s="240"/>
      <c r="F43" s="241">
        <f t="shared" si="5"/>
        <v>0</v>
      </c>
      <c r="G43" s="241"/>
      <c r="H43" s="240"/>
      <c r="I43" s="240"/>
      <c r="J43" s="240"/>
      <c r="K43" s="240"/>
      <c r="L43" s="242">
        <f t="shared" si="4"/>
        <v>0</v>
      </c>
      <c r="M43" s="242"/>
      <c r="N43" s="103"/>
      <c r="O43" s="82" t="s">
        <v>68</v>
      </c>
      <c r="P43" s="82" t="s">
        <v>91</v>
      </c>
      <c r="Q43" s="82" t="s">
        <v>91</v>
      </c>
      <c r="R43" s="82" t="s">
        <v>91</v>
      </c>
    </row>
    <row r="44" spans="1:21" s="82" customFormat="1" ht="20.100000000000001" customHeight="1">
      <c r="A44" s="89" t="s">
        <v>68</v>
      </c>
      <c r="B44" s="236">
        <f>B42-B43</f>
        <v>0</v>
      </c>
      <c r="C44" s="237"/>
      <c r="D44" s="236">
        <f t="shared" ref="D44" si="44">D42-D43</f>
        <v>0</v>
      </c>
      <c r="E44" s="237"/>
      <c r="F44" s="236">
        <f t="shared" ref="F44" si="45">F42-F43</f>
        <v>0</v>
      </c>
      <c r="G44" s="237"/>
      <c r="H44" s="236">
        <f t="shared" ref="H44" si="46">H42-H43</f>
        <v>0</v>
      </c>
      <c r="I44" s="237"/>
      <c r="J44" s="236">
        <f t="shared" ref="J44" si="47">J42-J43</f>
        <v>0</v>
      </c>
      <c r="K44" s="237"/>
      <c r="L44" s="236">
        <f t="shared" ref="L44" si="48">L42-L43</f>
        <v>0</v>
      </c>
      <c r="M44" s="237"/>
      <c r="N44" s="103"/>
      <c r="O44" s="82" t="s">
        <v>98</v>
      </c>
    </row>
    <row r="45" spans="1:21" s="82" customFormat="1" ht="42" customHeight="1">
      <c r="A45" s="94" t="s">
        <v>139</v>
      </c>
      <c r="B45" s="239">
        <f>'明细表M9-2'!Q24</f>
        <v>0</v>
      </c>
      <c r="C45" s="240"/>
      <c r="D45" s="240"/>
      <c r="E45" s="240"/>
      <c r="F45" s="241">
        <f t="shared" si="5"/>
        <v>0</v>
      </c>
      <c r="G45" s="241"/>
      <c r="H45" s="240"/>
      <c r="I45" s="240"/>
      <c r="J45" s="240"/>
      <c r="K45" s="240"/>
      <c r="L45" s="242">
        <f t="shared" si="4"/>
        <v>0</v>
      </c>
      <c r="M45" s="242"/>
      <c r="N45" s="103"/>
      <c r="O45" s="82" t="s">
        <v>99</v>
      </c>
    </row>
    <row r="46" spans="1:21" s="82" customFormat="1" ht="20.100000000000001" customHeight="1">
      <c r="A46" s="94" t="s">
        <v>26</v>
      </c>
      <c r="B46" s="239">
        <f>'明细表M9-2'!R24</f>
        <v>0</v>
      </c>
      <c r="C46" s="240"/>
      <c r="D46" s="240"/>
      <c r="E46" s="240"/>
      <c r="F46" s="241">
        <f t="shared" si="5"/>
        <v>0</v>
      </c>
      <c r="G46" s="241"/>
      <c r="H46" s="240"/>
      <c r="I46" s="240"/>
      <c r="J46" s="240"/>
      <c r="K46" s="240"/>
      <c r="L46" s="242">
        <f t="shared" si="4"/>
        <v>0</v>
      </c>
      <c r="M46" s="242"/>
      <c r="N46" s="103"/>
      <c r="O46" s="82" t="s">
        <v>100</v>
      </c>
    </row>
    <row r="47" spans="1:21" s="82" customFormat="1" ht="20.100000000000001" customHeight="1">
      <c r="A47" s="89" t="s">
        <v>68</v>
      </c>
      <c r="B47" s="236">
        <f>B45-B46</f>
        <v>0</v>
      </c>
      <c r="C47" s="237"/>
      <c r="D47" s="236">
        <f t="shared" ref="D47" si="49">D45-D46</f>
        <v>0</v>
      </c>
      <c r="E47" s="237"/>
      <c r="F47" s="236">
        <f t="shared" ref="F47" si="50">F45-F46</f>
        <v>0</v>
      </c>
      <c r="G47" s="237"/>
      <c r="H47" s="236">
        <f t="shared" ref="H47" si="51">H45-H46</f>
        <v>0</v>
      </c>
      <c r="I47" s="237"/>
      <c r="J47" s="236">
        <f t="shared" ref="J47" si="52">J45-J46</f>
        <v>0</v>
      </c>
      <c r="K47" s="237"/>
      <c r="L47" s="236">
        <f t="shared" ref="L47" si="53">L45-L46</f>
        <v>0</v>
      </c>
      <c r="M47" s="237"/>
      <c r="N47" s="103"/>
      <c r="O47" s="82" t="s">
        <v>68</v>
      </c>
    </row>
    <row r="48" spans="1:21" s="82" customFormat="1" ht="20.100000000000001" customHeight="1">
      <c r="A48" s="94" t="s">
        <v>140</v>
      </c>
      <c r="B48" s="239">
        <f>'明细表M9-2'!Q25</f>
        <v>0</v>
      </c>
      <c r="C48" s="240"/>
      <c r="D48" s="240"/>
      <c r="E48" s="240"/>
      <c r="F48" s="241">
        <f t="shared" si="5"/>
        <v>0</v>
      </c>
      <c r="G48" s="241"/>
      <c r="H48" s="240"/>
      <c r="I48" s="240"/>
      <c r="J48" s="240"/>
      <c r="K48" s="240"/>
      <c r="L48" s="242">
        <f t="shared" si="4"/>
        <v>0</v>
      </c>
      <c r="M48" s="242"/>
      <c r="N48" s="103"/>
      <c r="O48" s="82" t="s">
        <v>101</v>
      </c>
    </row>
    <row r="49" spans="1:21" s="82" customFormat="1" ht="12">
      <c r="A49" s="94" t="s">
        <v>27</v>
      </c>
      <c r="B49" s="239">
        <f>'明细表M9-2'!R25</f>
        <v>0</v>
      </c>
      <c r="C49" s="240"/>
      <c r="D49" s="240"/>
      <c r="E49" s="240"/>
      <c r="F49" s="241">
        <f t="shared" si="5"/>
        <v>0</v>
      </c>
      <c r="G49" s="241"/>
      <c r="H49" s="240"/>
      <c r="I49" s="240"/>
      <c r="J49" s="240"/>
      <c r="K49" s="240"/>
      <c r="L49" s="242">
        <f t="shared" si="4"/>
        <v>0</v>
      </c>
      <c r="M49" s="242"/>
      <c r="N49" s="103"/>
      <c r="O49" s="82" t="s">
        <v>26</v>
      </c>
    </row>
    <row r="50" spans="1:21" s="82" customFormat="1" ht="20.100000000000001" customHeight="1" thickBot="1">
      <c r="A50" s="89" t="s">
        <v>68</v>
      </c>
      <c r="B50" s="239">
        <f>B48-B49</f>
        <v>0</v>
      </c>
      <c r="C50" s="240"/>
      <c r="D50" s="239">
        <f t="shared" ref="D50" si="54">D48-D49</f>
        <v>0</v>
      </c>
      <c r="E50" s="240"/>
      <c r="F50" s="239">
        <f t="shared" ref="F50" si="55">F48-F49</f>
        <v>0</v>
      </c>
      <c r="G50" s="240"/>
      <c r="H50" s="239">
        <f t="shared" ref="H50" si="56">H48-H49</f>
        <v>0</v>
      </c>
      <c r="I50" s="240"/>
      <c r="J50" s="239">
        <f t="shared" ref="J50" si="57">J48-J49</f>
        <v>0</v>
      </c>
      <c r="K50" s="240"/>
      <c r="L50" s="239">
        <f t="shared" ref="L50" si="58">L48-L49</f>
        <v>0</v>
      </c>
      <c r="M50" s="240"/>
      <c r="N50" s="103"/>
      <c r="O50" s="82" t="s">
        <v>68</v>
      </c>
    </row>
    <row r="51" spans="1:21" s="82" customFormat="1" ht="20.100000000000001" customHeight="1" thickBot="1">
      <c r="A51" s="105" t="s">
        <v>69</v>
      </c>
      <c r="B51" s="254">
        <f>B10+B16</f>
        <v>0</v>
      </c>
      <c r="C51" s="251"/>
      <c r="D51" s="254">
        <f>D10+D16</f>
        <v>0</v>
      </c>
      <c r="E51" s="251"/>
      <c r="F51" s="254">
        <f>F10+F16</f>
        <v>0</v>
      </c>
      <c r="G51" s="251"/>
      <c r="H51" s="254">
        <f>H10+H16</f>
        <v>0</v>
      </c>
      <c r="I51" s="251"/>
      <c r="J51" s="254">
        <f>J10+J16</f>
        <v>0</v>
      </c>
      <c r="K51" s="251"/>
      <c r="L51" s="254">
        <f>L10+L16</f>
        <v>0</v>
      </c>
      <c r="M51" s="251"/>
      <c r="N51" s="106"/>
      <c r="O51" s="82" t="s">
        <v>102</v>
      </c>
    </row>
    <row r="52" spans="1:21" s="82" customFormat="1" ht="18" customHeight="1" thickBot="1">
      <c r="A52" s="252" t="s">
        <v>51</v>
      </c>
      <c r="B52" s="252"/>
      <c r="C52" s="251"/>
      <c r="D52" s="251"/>
      <c r="E52" s="251"/>
      <c r="F52" s="251"/>
      <c r="G52" s="253" t="s">
        <v>52</v>
      </c>
      <c r="H52" s="253"/>
      <c r="I52" s="253"/>
      <c r="J52" s="253"/>
      <c r="K52" s="253"/>
      <c r="L52" s="253"/>
      <c r="M52" s="250" t="s">
        <v>144</v>
      </c>
      <c r="N52" s="250"/>
      <c r="O52" s="82" t="s">
        <v>26</v>
      </c>
    </row>
    <row r="53" spans="1:21" s="82" customFormat="1" ht="12.6" thickBot="1">
      <c r="A53" s="107" t="s">
        <v>70</v>
      </c>
      <c r="B53" s="251"/>
      <c r="C53" s="251"/>
      <c r="D53" s="251"/>
      <c r="E53" s="251"/>
      <c r="F53" s="251"/>
      <c r="G53" s="251"/>
      <c r="H53" s="251"/>
      <c r="I53" s="251"/>
      <c r="J53" s="251"/>
      <c r="K53" s="251"/>
      <c r="L53" s="251"/>
      <c r="M53" s="251"/>
      <c r="N53" s="103"/>
      <c r="O53" s="82" t="s">
        <v>68</v>
      </c>
    </row>
    <row r="54" spans="1:21" s="82" customFormat="1" ht="20.100000000000001" customHeight="1">
      <c r="A54" s="81"/>
      <c r="B54" s="81"/>
      <c r="C54" s="81"/>
      <c r="D54" s="81"/>
      <c r="E54" s="81"/>
      <c r="F54" s="81"/>
      <c r="G54" s="81"/>
      <c r="H54" s="81"/>
      <c r="I54" s="81"/>
      <c r="J54" s="81"/>
      <c r="K54" s="81"/>
      <c r="L54" s="81"/>
      <c r="M54" s="81"/>
      <c r="N54" s="81"/>
      <c r="O54" s="82" t="s">
        <v>26</v>
      </c>
    </row>
    <row r="55" spans="1:21" s="82" customFormat="1" ht="20.100000000000001" customHeight="1">
      <c r="A55" s="80" t="s">
        <v>71</v>
      </c>
      <c r="B55" s="81"/>
      <c r="C55" s="81"/>
      <c r="D55" s="81"/>
      <c r="E55" s="81"/>
      <c r="F55" s="81"/>
      <c r="G55" s="81"/>
      <c r="H55" s="81"/>
      <c r="I55" s="81"/>
      <c r="J55" s="81"/>
      <c r="K55" s="81"/>
      <c r="L55" s="81"/>
      <c r="M55" s="81"/>
      <c r="N55" s="81"/>
      <c r="O55" s="82" t="s">
        <v>68</v>
      </c>
    </row>
    <row r="56" spans="1:21" s="82" customFormat="1" ht="24.6" thickBot="1">
      <c r="A56" s="101" t="s">
        <v>54</v>
      </c>
      <c r="B56" s="81"/>
      <c r="C56" s="81"/>
      <c r="D56" s="81"/>
      <c r="E56" s="81"/>
      <c r="F56" s="81"/>
      <c r="G56" s="81"/>
      <c r="H56" s="81"/>
      <c r="I56" s="81"/>
      <c r="J56" s="81"/>
      <c r="K56" s="81"/>
      <c r="L56" s="81"/>
      <c r="M56" s="81"/>
      <c r="N56" s="81"/>
      <c r="O56" s="82" t="s">
        <v>88</v>
      </c>
    </row>
    <row r="57" spans="1:21" s="82" customFormat="1" ht="84.6" thickBot="1">
      <c r="A57" s="108" t="s">
        <v>72</v>
      </c>
      <c r="B57" s="108" t="s">
        <v>28</v>
      </c>
      <c r="C57" s="108" t="s">
        <v>29</v>
      </c>
      <c r="D57" s="108" t="s">
        <v>30</v>
      </c>
      <c r="E57" s="108" t="s">
        <v>31</v>
      </c>
      <c r="F57" s="108" t="s">
        <v>32</v>
      </c>
      <c r="G57" s="108" t="s">
        <v>33</v>
      </c>
      <c r="H57" s="108"/>
      <c r="I57" s="108"/>
      <c r="J57" s="108" t="s">
        <v>34</v>
      </c>
      <c r="K57" s="81"/>
      <c r="L57" s="81"/>
      <c r="M57" s="81"/>
      <c r="N57" s="81"/>
      <c r="O57" s="82" t="s">
        <v>27</v>
      </c>
    </row>
    <row r="58" spans="1:21" s="82" customFormat="1" ht="12">
      <c r="A58" s="94" t="s">
        <v>35</v>
      </c>
      <c r="B58" s="109"/>
      <c r="C58" s="109"/>
      <c r="D58" s="109"/>
      <c r="E58" s="109"/>
      <c r="F58" s="109"/>
      <c r="G58" s="109"/>
      <c r="H58" s="109"/>
      <c r="I58" s="109"/>
      <c r="J58" s="93">
        <f>SUM(B58:I58)</f>
        <v>0</v>
      </c>
      <c r="K58" s="81"/>
      <c r="L58" s="81"/>
      <c r="M58" s="81"/>
      <c r="N58" s="81"/>
      <c r="O58" s="82" t="s">
        <v>68</v>
      </c>
    </row>
    <row r="59" spans="1:21" s="82" customFormat="1" ht="20.100000000000001" customHeight="1">
      <c r="A59" s="94" t="s">
        <v>36</v>
      </c>
      <c r="B59" s="109"/>
      <c r="C59" s="109"/>
      <c r="D59" s="109"/>
      <c r="E59" s="109"/>
      <c r="F59" s="109"/>
      <c r="G59" s="109"/>
      <c r="H59" s="109"/>
      <c r="I59" s="109"/>
      <c r="J59" s="93">
        <f t="shared" ref="J59:J61" si="59">SUM(B59:I59)</f>
        <v>0</v>
      </c>
      <c r="K59" s="81"/>
      <c r="L59" s="81"/>
      <c r="M59" s="81"/>
      <c r="N59" s="81"/>
      <c r="O59" s="82" t="s">
        <v>89</v>
      </c>
      <c r="R59" s="82" t="s">
        <v>52</v>
      </c>
      <c r="U59" s="82" t="s">
        <v>53</v>
      </c>
    </row>
    <row r="60" spans="1:21" s="82" customFormat="1" ht="20.100000000000001" customHeight="1">
      <c r="A60" s="94" t="s">
        <v>110</v>
      </c>
      <c r="B60" s="109"/>
      <c r="C60" s="109"/>
      <c r="D60" s="109"/>
      <c r="E60" s="109"/>
      <c r="F60" s="109"/>
      <c r="G60" s="109"/>
      <c r="H60" s="109"/>
      <c r="I60" s="109"/>
      <c r="J60" s="93">
        <f t="shared" si="59"/>
        <v>0</v>
      </c>
      <c r="K60" s="81"/>
      <c r="L60" s="81"/>
      <c r="M60" s="81"/>
      <c r="N60" s="81"/>
    </row>
    <row r="61" spans="1:21" s="82" customFormat="1" ht="20.100000000000001" customHeight="1">
      <c r="A61" s="94" t="s">
        <v>37</v>
      </c>
      <c r="B61" s="109"/>
      <c r="C61" s="109"/>
      <c r="D61" s="109"/>
      <c r="E61" s="109"/>
      <c r="F61" s="109"/>
      <c r="G61" s="109"/>
      <c r="H61" s="109"/>
      <c r="I61" s="109"/>
      <c r="J61" s="93">
        <f t="shared" si="59"/>
        <v>0</v>
      </c>
      <c r="K61" s="81"/>
      <c r="L61" s="81"/>
      <c r="M61" s="81"/>
      <c r="N61" s="81"/>
    </row>
    <row r="62" spans="1:21" s="82" customFormat="1" ht="12">
      <c r="A62" s="94" t="s">
        <v>111</v>
      </c>
      <c r="B62" s="109"/>
      <c r="C62" s="109"/>
      <c r="D62" s="109"/>
      <c r="E62" s="109"/>
      <c r="F62" s="109"/>
      <c r="G62" s="109"/>
      <c r="H62" s="109"/>
      <c r="I62" s="109"/>
      <c r="J62" s="92" t="s">
        <v>112</v>
      </c>
      <c r="K62" s="81"/>
      <c r="L62" s="81"/>
      <c r="M62" s="81"/>
      <c r="N62" s="81"/>
    </row>
    <row r="63" spans="1:21" s="82" customFormat="1" ht="20.100000000000001" customHeight="1">
      <c r="A63" s="94" t="s">
        <v>113</v>
      </c>
      <c r="B63" s="109"/>
      <c r="C63" s="109"/>
      <c r="D63" s="109"/>
      <c r="E63" s="109"/>
      <c r="F63" s="109"/>
      <c r="G63" s="109"/>
      <c r="H63" s="109"/>
      <c r="I63" s="109"/>
      <c r="J63" s="92"/>
      <c r="K63" s="81"/>
      <c r="L63" s="81"/>
      <c r="M63" s="81"/>
      <c r="N63" s="81"/>
    </row>
    <row r="64" spans="1:21" s="82" customFormat="1" ht="12">
      <c r="A64" s="94" t="s">
        <v>114</v>
      </c>
      <c r="B64" s="109"/>
      <c r="C64" s="109"/>
      <c r="D64" s="109"/>
      <c r="E64" s="109"/>
      <c r="F64" s="109"/>
      <c r="G64" s="109"/>
      <c r="H64" s="109"/>
      <c r="I64" s="109"/>
      <c r="J64" s="92" t="s">
        <v>55</v>
      </c>
      <c r="K64" s="81"/>
      <c r="L64" s="81"/>
      <c r="M64" s="81"/>
      <c r="N64" s="81"/>
    </row>
    <row r="65" spans="1:14" s="82" customFormat="1" ht="20.100000000000001" customHeight="1" thickBot="1">
      <c r="A65" s="110" t="s">
        <v>38</v>
      </c>
      <c r="B65" s="111"/>
      <c r="C65" s="111"/>
      <c r="D65" s="111"/>
      <c r="E65" s="111"/>
      <c r="F65" s="111"/>
      <c r="G65" s="111"/>
      <c r="H65" s="111"/>
      <c r="I65" s="111"/>
      <c r="J65" s="98"/>
      <c r="K65" s="81"/>
      <c r="L65" s="81"/>
      <c r="M65" s="81"/>
      <c r="N65" s="81"/>
    </row>
    <row r="66" spans="1:14" s="82" customFormat="1" ht="24">
      <c r="A66" s="101" t="s">
        <v>73</v>
      </c>
      <c r="B66" s="81"/>
      <c r="C66" s="81"/>
      <c r="D66" s="81"/>
      <c r="E66" s="81"/>
      <c r="F66" s="81"/>
      <c r="G66" s="81"/>
      <c r="H66" s="81"/>
      <c r="I66" s="81"/>
      <c r="J66" s="81"/>
      <c r="K66" s="81"/>
      <c r="L66" s="81"/>
      <c r="M66" s="81"/>
      <c r="N66" s="81"/>
    </row>
    <row r="67" spans="1:14" s="82" customFormat="1" ht="20.100000000000001" customHeight="1">
      <c r="A67" s="112" t="s">
        <v>74</v>
      </c>
      <c r="B67" s="81"/>
      <c r="C67" s="81"/>
      <c r="D67" s="81"/>
      <c r="E67" s="81"/>
      <c r="F67" s="81"/>
      <c r="G67" s="81"/>
      <c r="H67" s="81"/>
      <c r="I67" s="81"/>
      <c r="J67" s="81"/>
      <c r="K67" s="81"/>
      <c r="L67" s="81"/>
      <c r="M67" s="81"/>
      <c r="N67" s="81"/>
    </row>
  </sheetData>
  <mergeCells count="276">
    <mergeCell ref="A1:N1"/>
    <mergeCell ref="A2:N2"/>
    <mergeCell ref="M52:N52"/>
    <mergeCell ref="B53:C53"/>
    <mergeCell ref="D53:E53"/>
    <mergeCell ref="F53:G53"/>
    <mergeCell ref="H53:I53"/>
    <mergeCell ref="J53:K53"/>
    <mergeCell ref="L53:M53"/>
    <mergeCell ref="A52:B52"/>
    <mergeCell ref="C52:D52"/>
    <mergeCell ref="E52:F52"/>
    <mergeCell ref="G52:H52"/>
    <mergeCell ref="I52:J52"/>
    <mergeCell ref="K52:L52"/>
    <mergeCell ref="B51:C51"/>
    <mergeCell ref="D51:E51"/>
    <mergeCell ref="F51:G51"/>
    <mergeCell ref="H51:I51"/>
    <mergeCell ref="J51:K51"/>
    <mergeCell ref="L51:M51"/>
    <mergeCell ref="B50:C50"/>
    <mergeCell ref="D50:E50"/>
    <mergeCell ref="F50:G50"/>
    <mergeCell ref="H50:I50"/>
    <mergeCell ref="J50:K50"/>
    <mergeCell ref="L50:M50"/>
    <mergeCell ref="B49:C49"/>
    <mergeCell ref="D49:E49"/>
    <mergeCell ref="F49:G49"/>
    <mergeCell ref="H49:I49"/>
    <mergeCell ref="J49:K49"/>
    <mergeCell ref="L49:M49"/>
    <mergeCell ref="B48:C48"/>
    <mergeCell ref="D48:E48"/>
    <mergeCell ref="F48:G48"/>
    <mergeCell ref="H48:I48"/>
    <mergeCell ref="J48:K48"/>
    <mergeCell ref="L48:M48"/>
    <mergeCell ref="B47:C47"/>
    <mergeCell ref="D47:E47"/>
    <mergeCell ref="F47:G47"/>
    <mergeCell ref="H47:I47"/>
    <mergeCell ref="J47:K47"/>
    <mergeCell ref="L47:M47"/>
    <mergeCell ref="B46:C46"/>
    <mergeCell ref="D46:E46"/>
    <mergeCell ref="F46:G46"/>
    <mergeCell ref="H46:I46"/>
    <mergeCell ref="J46:K46"/>
    <mergeCell ref="L46:M46"/>
    <mergeCell ref="B45:C45"/>
    <mergeCell ref="D45:E45"/>
    <mergeCell ref="F45:G45"/>
    <mergeCell ref="H45:I45"/>
    <mergeCell ref="J45:K45"/>
    <mergeCell ref="L45:M45"/>
    <mergeCell ref="B44:C44"/>
    <mergeCell ref="D44:E44"/>
    <mergeCell ref="F44:G44"/>
    <mergeCell ref="H44:I44"/>
    <mergeCell ref="J44:K44"/>
    <mergeCell ref="L44:M44"/>
    <mergeCell ref="B43:C43"/>
    <mergeCell ref="D43:E43"/>
    <mergeCell ref="F43:G43"/>
    <mergeCell ref="H43:I43"/>
    <mergeCell ref="J43:K43"/>
    <mergeCell ref="L43:M43"/>
    <mergeCell ref="B42:C42"/>
    <mergeCell ref="D42:E42"/>
    <mergeCell ref="F42:G42"/>
    <mergeCell ref="H42:I42"/>
    <mergeCell ref="J42:K42"/>
    <mergeCell ref="L42:M42"/>
    <mergeCell ref="B35:C35"/>
    <mergeCell ref="D35:E35"/>
    <mergeCell ref="F35:G35"/>
    <mergeCell ref="H35:I35"/>
    <mergeCell ref="J35:K35"/>
    <mergeCell ref="L35:M35"/>
    <mergeCell ref="B36:C36"/>
    <mergeCell ref="B37:C37"/>
    <mergeCell ref="B38:C38"/>
    <mergeCell ref="D36:E36"/>
    <mergeCell ref="D37:E37"/>
    <mergeCell ref="D38:E38"/>
    <mergeCell ref="F36:G36"/>
    <mergeCell ref="F37:G37"/>
    <mergeCell ref="F38:G38"/>
    <mergeCell ref="H36:I36"/>
    <mergeCell ref="H37:I37"/>
    <mergeCell ref="H38:I38"/>
    <mergeCell ref="B34:C34"/>
    <mergeCell ref="D34:E34"/>
    <mergeCell ref="F34:G34"/>
    <mergeCell ref="H34:I34"/>
    <mergeCell ref="J34:K34"/>
    <mergeCell ref="L34:M34"/>
    <mergeCell ref="B33:C33"/>
    <mergeCell ref="D33:E33"/>
    <mergeCell ref="F33:G33"/>
    <mergeCell ref="H33:I33"/>
    <mergeCell ref="J33:K33"/>
    <mergeCell ref="L33:M33"/>
    <mergeCell ref="B32:C32"/>
    <mergeCell ref="D32:E32"/>
    <mergeCell ref="F32:G32"/>
    <mergeCell ref="H32:I32"/>
    <mergeCell ref="J32:K32"/>
    <mergeCell ref="L32:M32"/>
    <mergeCell ref="B31:C31"/>
    <mergeCell ref="D31:E31"/>
    <mergeCell ref="F31:G31"/>
    <mergeCell ref="H31:I31"/>
    <mergeCell ref="J31:K31"/>
    <mergeCell ref="L31:M31"/>
    <mergeCell ref="B30:C30"/>
    <mergeCell ref="D30:E30"/>
    <mergeCell ref="F30:G30"/>
    <mergeCell ref="H30:I30"/>
    <mergeCell ref="J30:K30"/>
    <mergeCell ref="L30:M30"/>
    <mergeCell ref="B29:C29"/>
    <mergeCell ref="D29:E29"/>
    <mergeCell ref="F29:G29"/>
    <mergeCell ref="H29:I29"/>
    <mergeCell ref="J29:K29"/>
    <mergeCell ref="L29:M29"/>
    <mergeCell ref="B28:C28"/>
    <mergeCell ref="D28:E28"/>
    <mergeCell ref="F28:G28"/>
    <mergeCell ref="H28:I28"/>
    <mergeCell ref="J28:K28"/>
    <mergeCell ref="L28:M28"/>
    <mergeCell ref="B27:C27"/>
    <mergeCell ref="D27:E27"/>
    <mergeCell ref="F27:G27"/>
    <mergeCell ref="H27:I27"/>
    <mergeCell ref="J27:K27"/>
    <mergeCell ref="L27:M27"/>
    <mergeCell ref="B26:C26"/>
    <mergeCell ref="D26:E26"/>
    <mergeCell ref="F26:G26"/>
    <mergeCell ref="H26:I26"/>
    <mergeCell ref="J26:K26"/>
    <mergeCell ref="L26:M26"/>
    <mergeCell ref="B24:C24"/>
    <mergeCell ref="D24:E24"/>
    <mergeCell ref="F24:G24"/>
    <mergeCell ref="H24:I24"/>
    <mergeCell ref="J24:K24"/>
    <mergeCell ref="L24:M24"/>
    <mergeCell ref="B25:C25"/>
    <mergeCell ref="D25:E25"/>
    <mergeCell ref="F25:G25"/>
    <mergeCell ref="H25:I25"/>
    <mergeCell ref="J25:K25"/>
    <mergeCell ref="L25:M25"/>
    <mergeCell ref="B19:C19"/>
    <mergeCell ref="D19:E19"/>
    <mergeCell ref="F19:G19"/>
    <mergeCell ref="H19:I19"/>
    <mergeCell ref="J19:K19"/>
    <mergeCell ref="L19:M19"/>
    <mergeCell ref="B18:C18"/>
    <mergeCell ref="D18:E18"/>
    <mergeCell ref="F18:G18"/>
    <mergeCell ref="H18:I18"/>
    <mergeCell ref="J18:K18"/>
    <mergeCell ref="L18:M18"/>
    <mergeCell ref="B17:C17"/>
    <mergeCell ref="D17:E17"/>
    <mergeCell ref="F17:G17"/>
    <mergeCell ref="H17:I17"/>
    <mergeCell ref="J17:K17"/>
    <mergeCell ref="L17:M17"/>
    <mergeCell ref="B16:C16"/>
    <mergeCell ref="D16:E16"/>
    <mergeCell ref="F16:G16"/>
    <mergeCell ref="H16:I16"/>
    <mergeCell ref="J16:K16"/>
    <mergeCell ref="L16:M16"/>
    <mergeCell ref="B15:C15"/>
    <mergeCell ref="D15:E15"/>
    <mergeCell ref="F15:G15"/>
    <mergeCell ref="H15:I15"/>
    <mergeCell ref="J15:K15"/>
    <mergeCell ref="L15:M15"/>
    <mergeCell ref="B12:C12"/>
    <mergeCell ref="D12:E12"/>
    <mergeCell ref="F12:G12"/>
    <mergeCell ref="H12:I12"/>
    <mergeCell ref="J12:K12"/>
    <mergeCell ref="L12:M12"/>
    <mergeCell ref="B13:C13"/>
    <mergeCell ref="D13:E13"/>
    <mergeCell ref="F13:G13"/>
    <mergeCell ref="H13:I13"/>
    <mergeCell ref="J13:K13"/>
    <mergeCell ref="L13:M13"/>
    <mergeCell ref="B14:C14"/>
    <mergeCell ref="D14:E14"/>
    <mergeCell ref="F14:G14"/>
    <mergeCell ref="H14:I14"/>
    <mergeCell ref="J14:K14"/>
    <mergeCell ref="L14:M14"/>
    <mergeCell ref="A8:A9"/>
    <mergeCell ref="B8:G8"/>
    <mergeCell ref="H8:M8"/>
    <mergeCell ref="B9:C9"/>
    <mergeCell ref="D9:E9"/>
    <mergeCell ref="B11:C11"/>
    <mergeCell ref="D11:E11"/>
    <mergeCell ref="F11:G11"/>
    <mergeCell ref="H11:I11"/>
    <mergeCell ref="J11:K11"/>
    <mergeCell ref="L11:M11"/>
    <mergeCell ref="F9:G9"/>
    <mergeCell ref="H9:I9"/>
    <mergeCell ref="J9:K9"/>
    <mergeCell ref="L9:M9"/>
    <mergeCell ref="B10:C10"/>
    <mergeCell ref="D10:E10"/>
    <mergeCell ref="F10:G10"/>
    <mergeCell ref="H10:I10"/>
    <mergeCell ref="J10:K10"/>
    <mergeCell ref="L10:M10"/>
    <mergeCell ref="B20:C20"/>
    <mergeCell ref="D20:E20"/>
    <mergeCell ref="F20:G20"/>
    <mergeCell ref="H20:I20"/>
    <mergeCell ref="J20:K20"/>
    <mergeCell ref="L20:M20"/>
    <mergeCell ref="B21:C21"/>
    <mergeCell ref="D21:E21"/>
    <mergeCell ref="F21:G21"/>
    <mergeCell ref="H21:I21"/>
    <mergeCell ref="J21:K21"/>
    <mergeCell ref="L21:M21"/>
    <mergeCell ref="B22:C22"/>
    <mergeCell ref="D22:E22"/>
    <mergeCell ref="F22:G22"/>
    <mergeCell ref="H22:I22"/>
    <mergeCell ref="J22:K22"/>
    <mergeCell ref="L22:M22"/>
    <mergeCell ref="B23:C23"/>
    <mergeCell ref="D23:E23"/>
    <mergeCell ref="F23:G23"/>
    <mergeCell ref="H23:I23"/>
    <mergeCell ref="J23:K23"/>
    <mergeCell ref="L23:M23"/>
    <mergeCell ref="J36:K36"/>
    <mergeCell ref="L36:M36"/>
    <mergeCell ref="J37:K37"/>
    <mergeCell ref="L37:M37"/>
    <mergeCell ref="J38:K38"/>
    <mergeCell ref="L38:M38"/>
    <mergeCell ref="B39:C39"/>
    <mergeCell ref="D39:E39"/>
    <mergeCell ref="F39:G39"/>
    <mergeCell ref="H39:I39"/>
    <mergeCell ref="J39:K39"/>
    <mergeCell ref="L39:M39"/>
    <mergeCell ref="B40:C40"/>
    <mergeCell ref="D40:E40"/>
    <mergeCell ref="F40:G40"/>
    <mergeCell ref="H40:I40"/>
    <mergeCell ref="J40:K40"/>
    <mergeCell ref="L40:M40"/>
    <mergeCell ref="B41:C41"/>
    <mergeCell ref="D41:E41"/>
    <mergeCell ref="F41:G41"/>
    <mergeCell ref="H41:I41"/>
    <mergeCell ref="J41:K41"/>
    <mergeCell ref="L41:M41"/>
  </mergeCells>
  <phoneticPr fontId="18" type="noConversion"/>
  <pageMargins left="0.70866141732283472" right="0.70866141732283472" top="0.74803149606299213" bottom="0.74803149606299213" header="0.31496062992125984" footer="0.31496062992125984"/>
  <pageSetup paperSize="9" scale="50" orientation="portrait" blackAndWhite="1"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AD46"/>
  <sheetViews>
    <sheetView view="pageBreakPreview" zoomScaleNormal="115" zoomScaleSheetLayoutView="100" workbookViewId="0">
      <selection sqref="A1:U1"/>
    </sheetView>
  </sheetViews>
  <sheetFormatPr defaultColWidth="9" defaultRowHeight="15.6"/>
  <cols>
    <col min="1" max="1" width="15.796875" style="22" customWidth="1"/>
    <col min="2" max="2" width="36.19921875" style="22" customWidth="1"/>
    <col min="3" max="4" width="10" style="22" customWidth="1"/>
    <col min="5" max="5" width="11.59765625" style="22" customWidth="1"/>
    <col min="6" max="9" width="10" style="22" customWidth="1"/>
    <col min="10" max="15" width="9.796875" style="22" customWidth="1"/>
    <col min="16" max="17" width="10" style="22" customWidth="1"/>
    <col min="18" max="18" width="11.59765625" style="22" customWidth="1"/>
    <col min="19" max="20" width="10" style="22" customWidth="1"/>
    <col min="21" max="21" width="15" style="23" customWidth="1"/>
    <col min="22" max="16384" width="9" style="22"/>
  </cols>
  <sheetData>
    <row r="1" spans="1:30" s="18" customFormat="1" ht="19.95" customHeight="1">
      <c r="A1" s="231" t="s">
        <v>20</v>
      </c>
      <c r="B1" s="231"/>
      <c r="C1" s="231"/>
      <c r="D1" s="231"/>
      <c r="E1" s="231"/>
      <c r="F1" s="231"/>
      <c r="G1" s="231"/>
      <c r="H1" s="231"/>
      <c r="I1" s="231"/>
      <c r="J1" s="231"/>
      <c r="K1" s="231"/>
      <c r="L1" s="231"/>
      <c r="M1" s="231"/>
      <c r="N1" s="231"/>
      <c r="O1" s="231"/>
      <c r="P1" s="231"/>
      <c r="Q1" s="231"/>
      <c r="R1" s="231"/>
      <c r="S1" s="231"/>
      <c r="T1" s="231"/>
      <c r="U1" s="231"/>
    </row>
    <row r="2" spans="1:30" s="18" customFormat="1" ht="19.95" customHeight="1">
      <c r="A2" s="261" t="s">
        <v>312</v>
      </c>
      <c r="B2" s="261"/>
      <c r="C2" s="261"/>
      <c r="D2" s="261"/>
      <c r="E2" s="261"/>
      <c r="F2" s="261"/>
      <c r="G2" s="261"/>
      <c r="H2" s="261"/>
      <c r="I2" s="261"/>
      <c r="J2" s="261"/>
      <c r="K2" s="261"/>
      <c r="L2" s="261"/>
      <c r="M2" s="261"/>
      <c r="N2" s="261"/>
      <c r="O2" s="261"/>
      <c r="P2" s="261"/>
      <c r="Q2" s="261"/>
      <c r="R2" s="261"/>
      <c r="S2" s="261"/>
      <c r="T2" s="261"/>
      <c r="U2" s="261"/>
    </row>
    <row r="3" spans="1:30" s="14" customFormat="1" ht="19.95" customHeight="1">
      <c r="A3" s="14" t="str">
        <f>底稿目录!A2</f>
        <v>被审计单位：</v>
      </c>
      <c r="E3" s="14" t="str">
        <f>底稿目录!A4</f>
        <v>编制人：</v>
      </c>
      <c r="G3" s="129"/>
      <c r="H3" s="129"/>
      <c r="I3" s="129"/>
      <c r="J3" s="129"/>
      <c r="K3" s="129"/>
      <c r="L3" s="49" t="str">
        <f>底稿目录!A5</f>
        <v>编制日期：</v>
      </c>
      <c r="M3" s="130"/>
      <c r="N3" s="129"/>
      <c r="O3" s="129"/>
      <c r="T3" s="184" t="s">
        <v>80</v>
      </c>
      <c r="U3" s="192" t="str">
        <f>底稿目录!F8</f>
        <v>M9-2</v>
      </c>
    </row>
    <row r="4" spans="1:30" s="14" customFormat="1" ht="19.95" customHeight="1">
      <c r="A4" s="14" t="str">
        <f>底稿目录!A3</f>
        <v>截止日：202X年12月31日</v>
      </c>
      <c r="E4" s="14" t="str">
        <f>底稿目录!A6</f>
        <v>复核人：</v>
      </c>
      <c r="G4" s="129"/>
      <c r="H4" s="129"/>
      <c r="I4" s="129"/>
      <c r="J4" s="129"/>
      <c r="K4" s="129"/>
      <c r="L4" s="49" t="str">
        <f>底稿目录!A7</f>
        <v>复核日期：</v>
      </c>
      <c r="M4" s="130"/>
      <c r="N4" s="129"/>
      <c r="O4" s="129"/>
      <c r="T4" s="184" t="s">
        <v>278</v>
      </c>
      <c r="U4" s="61"/>
    </row>
    <row r="5" spans="1:30" s="36" customFormat="1" ht="19.95" customHeight="1">
      <c r="A5" s="34" t="s">
        <v>56</v>
      </c>
      <c r="B5" s="34"/>
      <c r="C5" s="35"/>
      <c r="P5" s="35"/>
      <c r="W5" s="37"/>
      <c r="AA5" s="38"/>
      <c r="AD5" s="39"/>
    </row>
    <row r="6" spans="1:30" s="36" customFormat="1" ht="19.95" customHeight="1">
      <c r="A6" s="204" t="s">
        <v>313</v>
      </c>
      <c r="B6" s="131"/>
      <c r="W6" s="37"/>
      <c r="AA6" s="38"/>
      <c r="AD6" s="39"/>
    </row>
    <row r="7" spans="1:30" s="36" customFormat="1" ht="19.95" customHeight="1">
      <c r="A7" s="40" t="s">
        <v>57</v>
      </c>
      <c r="W7" s="41"/>
      <c r="AA7" s="38"/>
      <c r="AD7" s="39"/>
    </row>
    <row r="8" spans="1:30" s="19" customFormat="1" ht="19.95" customHeight="1">
      <c r="A8" s="266" t="s">
        <v>182</v>
      </c>
      <c r="B8" s="267"/>
      <c r="C8" s="257" t="s">
        <v>167</v>
      </c>
      <c r="D8" s="262"/>
      <c r="E8" s="262"/>
      <c r="F8" s="262"/>
      <c r="G8" s="258"/>
      <c r="H8" s="265" t="s">
        <v>183</v>
      </c>
      <c r="I8" s="265"/>
      <c r="J8" s="265" t="s">
        <v>168</v>
      </c>
      <c r="K8" s="265"/>
      <c r="L8" s="265"/>
      <c r="M8" s="265" t="s">
        <v>169</v>
      </c>
      <c r="N8" s="265"/>
      <c r="O8" s="265"/>
      <c r="P8" s="257" t="s">
        <v>170</v>
      </c>
      <c r="Q8" s="262"/>
      <c r="R8" s="262"/>
      <c r="S8" s="262"/>
      <c r="T8" s="258"/>
      <c r="U8" s="263" t="s">
        <v>184</v>
      </c>
    </row>
    <row r="9" spans="1:30" s="19" customFormat="1" ht="41.4" customHeight="1">
      <c r="A9" s="268"/>
      <c r="B9" s="269"/>
      <c r="C9" s="132" t="s">
        <v>185</v>
      </c>
      <c r="D9" s="132" t="s">
        <v>186</v>
      </c>
      <c r="E9" s="197" t="s">
        <v>305</v>
      </c>
      <c r="F9" s="132" t="s">
        <v>187</v>
      </c>
      <c r="G9" s="132" t="s">
        <v>188</v>
      </c>
      <c r="H9" s="133" t="s">
        <v>189</v>
      </c>
      <c r="I9" s="133" t="s">
        <v>190</v>
      </c>
      <c r="J9" s="132" t="s">
        <v>186</v>
      </c>
      <c r="K9" s="197" t="s">
        <v>304</v>
      </c>
      <c r="L9" s="132" t="s">
        <v>187</v>
      </c>
      <c r="M9" s="132" t="s">
        <v>186</v>
      </c>
      <c r="N9" s="197" t="s">
        <v>304</v>
      </c>
      <c r="O9" s="132" t="s">
        <v>187</v>
      </c>
      <c r="P9" s="132" t="s">
        <v>185</v>
      </c>
      <c r="Q9" s="132" t="s">
        <v>186</v>
      </c>
      <c r="R9" s="197" t="s">
        <v>304</v>
      </c>
      <c r="S9" s="132" t="s">
        <v>187</v>
      </c>
      <c r="T9" s="132" t="s">
        <v>188</v>
      </c>
      <c r="U9" s="264"/>
    </row>
    <row r="10" spans="1:30" s="19" customFormat="1" ht="19.95" customHeight="1">
      <c r="A10" s="259" t="s">
        <v>191</v>
      </c>
      <c r="B10" s="260"/>
      <c r="C10" s="117">
        <f>SUM(C11:C15)</f>
        <v>0</v>
      </c>
      <c r="D10" s="117">
        <f>SUM(D11:D15)</f>
        <v>0</v>
      </c>
      <c r="E10" s="117">
        <f>SUM(E11:E15)</f>
        <v>0</v>
      </c>
      <c r="F10" s="117">
        <f>SUM(F11:F15)</f>
        <v>0</v>
      </c>
      <c r="G10" s="117">
        <f>C10+D10-E10-F10</f>
        <v>0</v>
      </c>
      <c r="H10" s="117">
        <f>SUM(H11:H15)</f>
        <v>0</v>
      </c>
      <c r="I10" s="117">
        <f t="shared" ref="I10:O10" si="0">SUM(I11:I15)</f>
        <v>0</v>
      </c>
      <c r="J10" s="117">
        <f t="shared" si="0"/>
        <v>0</v>
      </c>
      <c r="K10" s="117">
        <f t="shared" si="0"/>
        <v>0</v>
      </c>
      <c r="L10" s="117">
        <f t="shared" si="0"/>
        <v>0</v>
      </c>
      <c r="M10" s="117">
        <f t="shared" si="0"/>
        <v>0</v>
      </c>
      <c r="N10" s="117">
        <f t="shared" si="0"/>
        <v>0</v>
      </c>
      <c r="O10" s="117">
        <f t="shared" si="0"/>
        <v>0</v>
      </c>
      <c r="P10" s="117">
        <f>SUM(P11:P15)</f>
        <v>0</v>
      </c>
      <c r="Q10" s="117">
        <f t="shared" ref="Q10" si="1">SUM(Q11:Q15)</f>
        <v>0</v>
      </c>
      <c r="R10" s="117"/>
      <c r="S10" s="117">
        <f t="shared" ref="S10" si="2">SUM(S11:S15)</f>
        <v>0</v>
      </c>
      <c r="T10" s="117">
        <f t="shared" ref="T10" si="3">SUM(T11:T15)</f>
        <v>0</v>
      </c>
      <c r="U10" s="16"/>
    </row>
    <row r="11" spans="1:30" s="19" customFormat="1" ht="19.95" customHeight="1">
      <c r="A11" s="255" t="s">
        <v>192</v>
      </c>
      <c r="B11" s="256"/>
      <c r="C11" s="20"/>
      <c r="D11" s="20"/>
      <c r="E11" s="117"/>
      <c r="F11" s="15"/>
      <c r="G11" s="117">
        <f>C11+D11-E11-F11</f>
        <v>0</v>
      </c>
      <c r="H11" s="44"/>
      <c r="I11" s="44"/>
      <c r="J11" s="44"/>
      <c r="K11" s="117"/>
      <c r="L11" s="44"/>
      <c r="M11" s="44"/>
      <c r="N11" s="117"/>
      <c r="O11" s="44"/>
      <c r="P11" s="117">
        <f>C11+H11+I11</f>
        <v>0</v>
      </c>
      <c r="Q11" s="117">
        <f>D11+J11+M11</f>
        <v>0</v>
      </c>
      <c r="R11" s="117"/>
      <c r="S11" s="117">
        <f>F11+L11+O11</f>
        <v>0</v>
      </c>
      <c r="T11" s="117">
        <f>P11+Q11-R11-S11</f>
        <v>0</v>
      </c>
      <c r="U11" s="16"/>
    </row>
    <row r="12" spans="1:30" s="19" customFormat="1" ht="19.95" customHeight="1">
      <c r="A12" s="255" t="s">
        <v>193</v>
      </c>
      <c r="B12" s="256"/>
      <c r="C12" s="20"/>
      <c r="D12" s="20"/>
      <c r="E12" s="117"/>
      <c r="F12" s="15"/>
      <c r="G12" s="117">
        <f t="shared" ref="G12:G26" si="4">C12+D12-E12-F12</f>
        <v>0</v>
      </c>
      <c r="H12" s="44"/>
      <c r="I12" s="44"/>
      <c r="J12" s="44"/>
      <c r="K12" s="117"/>
      <c r="L12" s="44"/>
      <c r="M12" s="44"/>
      <c r="N12" s="117"/>
      <c r="O12" s="44"/>
      <c r="P12" s="117">
        <f t="shared" ref="P12:P26" si="5">C12+H12+I12</f>
        <v>0</v>
      </c>
      <c r="Q12" s="117">
        <f t="shared" ref="Q12:Q15" si="6">D12+J12+M12</f>
        <v>0</v>
      </c>
      <c r="R12" s="117"/>
      <c r="S12" s="117">
        <f t="shared" ref="S12:S15" si="7">F12+L12+O12</f>
        <v>0</v>
      </c>
      <c r="T12" s="117">
        <f t="shared" ref="T12:T26" si="8">P12+Q12-R12-S12</f>
        <v>0</v>
      </c>
      <c r="U12" s="16"/>
    </row>
    <row r="13" spans="1:30" s="19" customFormat="1" ht="19.95" customHeight="1">
      <c r="A13" s="255" t="s">
        <v>194</v>
      </c>
      <c r="B13" s="256"/>
      <c r="C13" s="20"/>
      <c r="D13" s="20"/>
      <c r="E13" s="117"/>
      <c r="F13" s="15"/>
      <c r="G13" s="117">
        <f t="shared" si="4"/>
        <v>0</v>
      </c>
      <c r="H13" s="44"/>
      <c r="I13" s="44"/>
      <c r="J13" s="44"/>
      <c r="K13" s="117"/>
      <c r="L13" s="44"/>
      <c r="M13" s="44"/>
      <c r="N13" s="117"/>
      <c r="O13" s="44"/>
      <c r="P13" s="117">
        <f t="shared" ref="P13:P14" si="9">C13+H13+I13</f>
        <v>0</v>
      </c>
      <c r="Q13" s="117">
        <f t="shared" ref="Q13:Q14" si="10">D13+J13+M13</f>
        <v>0</v>
      </c>
      <c r="R13" s="117"/>
      <c r="S13" s="117">
        <f t="shared" ref="S13:S14" si="11">F13+L13+O13</f>
        <v>0</v>
      </c>
      <c r="T13" s="117">
        <f t="shared" ref="T13:T14" si="12">P13+Q13-R13-S13</f>
        <v>0</v>
      </c>
      <c r="U13" s="16"/>
    </row>
    <row r="14" spans="1:30" s="19" customFormat="1" ht="19.95" customHeight="1">
      <c r="A14" s="255" t="s">
        <v>195</v>
      </c>
      <c r="B14" s="256"/>
      <c r="C14" s="20"/>
      <c r="D14" s="20"/>
      <c r="E14" s="117"/>
      <c r="F14" s="15"/>
      <c r="G14" s="117">
        <f t="shared" si="4"/>
        <v>0</v>
      </c>
      <c r="H14" s="44"/>
      <c r="I14" s="44"/>
      <c r="J14" s="44"/>
      <c r="K14" s="117"/>
      <c r="L14" s="44"/>
      <c r="M14" s="44"/>
      <c r="N14" s="117"/>
      <c r="O14" s="44"/>
      <c r="P14" s="117">
        <f t="shared" si="9"/>
        <v>0</v>
      </c>
      <c r="Q14" s="117">
        <f t="shared" si="10"/>
        <v>0</v>
      </c>
      <c r="R14" s="117"/>
      <c r="S14" s="117">
        <f t="shared" si="11"/>
        <v>0</v>
      </c>
      <c r="T14" s="117">
        <f t="shared" si="12"/>
        <v>0</v>
      </c>
      <c r="U14" s="16"/>
    </row>
    <row r="15" spans="1:30" s="19" customFormat="1" ht="19.95" customHeight="1">
      <c r="A15" s="255" t="s">
        <v>61</v>
      </c>
      <c r="B15" s="256"/>
      <c r="C15" s="20"/>
      <c r="D15" s="20"/>
      <c r="E15" s="117"/>
      <c r="F15" s="15"/>
      <c r="G15" s="117">
        <f t="shared" si="4"/>
        <v>0</v>
      </c>
      <c r="H15" s="44"/>
      <c r="I15" s="44"/>
      <c r="J15" s="44"/>
      <c r="K15" s="117"/>
      <c r="L15" s="44"/>
      <c r="M15" s="44"/>
      <c r="N15" s="117"/>
      <c r="O15" s="44"/>
      <c r="P15" s="117">
        <f t="shared" si="5"/>
        <v>0</v>
      </c>
      <c r="Q15" s="117">
        <f t="shared" si="6"/>
        <v>0</v>
      </c>
      <c r="R15" s="117"/>
      <c r="S15" s="117">
        <f t="shared" si="7"/>
        <v>0</v>
      </c>
      <c r="T15" s="117">
        <f t="shared" si="8"/>
        <v>0</v>
      </c>
      <c r="U15" s="16"/>
    </row>
    <row r="16" spans="1:30" s="19" customFormat="1" ht="19.95" customHeight="1">
      <c r="A16" s="259" t="s">
        <v>196</v>
      </c>
      <c r="B16" s="260"/>
      <c r="C16" s="117">
        <f t="shared" ref="C16:T16" si="13">SUM(C17:C26)</f>
        <v>0</v>
      </c>
      <c r="D16" s="117">
        <f t="shared" si="13"/>
        <v>0</v>
      </c>
      <c r="E16" s="117">
        <f t="shared" si="13"/>
        <v>0</v>
      </c>
      <c r="F16" s="117">
        <f t="shared" si="13"/>
        <v>0</v>
      </c>
      <c r="G16" s="117">
        <f t="shared" si="13"/>
        <v>0</v>
      </c>
      <c r="H16" s="117">
        <f t="shared" si="13"/>
        <v>0</v>
      </c>
      <c r="I16" s="117">
        <f t="shared" si="13"/>
        <v>0</v>
      </c>
      <c r="J16" s="117">
        <f t="shared" si="13"/>
        <v>0</v>
      </c>
      <c r="K16" s="117">
        <f t="shared" si="13"/>
        <v>0</v>
      </c>
      <c r="L16" s="117">
        <f t="shared" si="13"/>
        <v>0</v>
      </c>
      <c r="M16" s="117">
        <f t="shared" si="13"/>
        <v>0</v>
      </c>
      <c r="N16" s="117">
        <f t="shared" si="13"/>
        <v>0</v>
      </c>
      <c r="O16" s="117">
        <f t="shared" si="13"/>
        <v>0</v>
      </c>
      <c r="P16" s="117">
        <f t="shared" si="13"/>
        <v>0</v>
      </c>
      <c r="Q16" s="117">
        <f t="shared" si="13"/>
        <v>0</v>
      </c>
      <c r="R16" s="117">
        <f>SUM(R17:R26)</f>
        <v>0</v>
      </c>
      <c r="S16" s="117">
        <f t="shared" si="13"/>
        <v>0</v>
      </c>
      <c r="T16" s="117">
        <f t="shared" si="13"/>
        <v>0</v>
      </c>
      <c r="U16" s="16"/>
    </row>
    <row r="17" spans="1:21" s="19" customFormat="1" ht="19.95" customHeight="1">
      <c r="A17" s="255" t="s">
        <v>197</v>
      </c>
      <c r="B17" s="256"/>
      <c r="C17" s="20"/>
      <c r="D17" s="20"/>
      <c r="E17" s="15"/>
      <c r="F17" s="15"/>
      <c r="G17" s="117">
        <f>C17+D17-E17-F17</f>
        <v>0</v>
      </c>
      <c r="H17" s="44"/>
      <c r="I17" s="44"/>
      <c r="J17" s="44"/>
      <c r="K17" s="44"/>
      <c r="L17" s="44"/>
      <c r="M17" s="44"/>
      <c r="N17" s="44"/>
      <c r="O17" s="44"/>
      <c r="P17" s="117">
        <f t="shared" si="5"/>
        <v>0</v>
      </c>
      <c r="Q17" s="117">
        <f>D17+J17+M17</f>
        <v>0</v>
      </c>
      <c r="R17" s="117">
        <f>E17+K17+N17</f>
        <v>0</v>
      </c>
      <c r="S17" s="117">
        <f>F17+L17+O17</f>
        <v>0</v>
      </c>
      <c r="T17" s="117">
        <f t="shared" si="8"/>
        <v>0</v>
      </c>
      <c r="U17" s="16"/>
    </row>
    <row r="18" spans="1:21" s="19" customFormat="1" ht="19.95" customHeight="1">
      <c r="A18" s="255" t="s">
        <v>198</v>
      </c>
      <c r="B18" s="256"/>
      <c r="C18" s="20"/>
      <c r="D18" s="20"/>
      <c r="E18" s="15"/>
      <c r="F18" s="15"/>
      <c r="G18" s="117">
        <f t="shared" ref="G18:G21" si="14">C18+D18-E18-F18</f>
        <v>0</v>
      </c>
      <c r="H18" s="44"/>
      <c r="I18" s="44"/>
      <c r="J18" s="44"/>
      <c r="K18" s="44"/>
      <c r="L18" s="44"/>
      <c r="M18" s="44"/>
      <c r="N18" s="44"/>
      <c r="O18" s="44"/>
      <c r="P18" s="117">
        <f t="shared" ref="P18:P24" si="15">C18+H18+I18</f>
        <v>0</v>
      </c>
      <c r="Q18" s="117">
        <f t="shared" ref="Q18:Q24" si="16">D18+J18+M18</f>
        <v>0</v>
      </c>
      <c r="R18" s="117">
        <f t="shared" ref="R18:R24" si="17">E18+K18+N18</f>
        <v>0</v>
      </c>
      <c r="S18" s="117">
        <f t="shared" ref="S18:S24" si="18">F18+L18+O18</f>
        <v>0</v>
      </c>
      <c r="T18" s="117">
        <f t="shared" ref="T18:T24" si="19">P18+Q18-R18-S18</f>
        <v>0</v>
      </c>
      <c r="U18" s="16"/>
    </row>
    <row r="19" spans="1:21" s="19" customFormat="1" ht="19.95" customHeight="1">
      <c r="A19" s="255" t="s">
        <v>199</v>
      </c>
      <c r="B19" s="256"/>
      <c r="C19" s="20"/>
      <c r="D19" s="20"/>
      <c r="E19" s="15"/>
      <c r="F19" s="15"/>
      <c r="G19" s="117">
        <f t="shared" si="14"/>
        <v>0</v>
      </c>
      <c r="H19" s="44"/>
      <c r="I19" s="44"/>
      <c r="J19" s="44"/>
      <c r="K19" s="44"/>
      <c r="L19" s="44"/>
      <c r="M19" s="44"/>
      <c r="N19" s="44"/>
      <c r="O19" s="44"/>
      <c r="P19" s="117">
        <f t="shared" si="15"/>
        <v>0</v>
      </c>
      <c r="Q19" s="117">
        <f t="shared" si="16"/>
        <v>0</v>
      </c>
      <c r="R19" s="117">
        <f t="shared" si="17"/>
        <v>0</v>
      </c>
      <c r="S19" s="117">
        <f t="shared" si="18"/>
        <v>0</v>
      </c>
      <c r="T19" s="117">
        <f t="shared" si="19"/>
        <v>0</v>
      </c>
      <c r="U19" s="16"/>
    </row>
    <row r="20" spans="1:21" s="19" customFormat="1" ht="19.95" customHeight="1">
      <c r="A20" s="255" t="s">
        <v>200</v>
      </c>
      <c r="B20" s="256"/>
      <c r="C20" s="20"/>
      <c r="D20" s="20"/>
      <c r="E20" s="15"/>
      <c r="F20" s="15"/>
      <c r="G20" s="117">
        <f t="shared" si="14"/>
        <v>0</v>
      </c>
      <c r="H20" s="44"/>
      <c r="I20" s="44"/>
      <c r="J20" s="44"/>
      <c r="K20" s="44"/>
      <c r="L20" s="44"/>
      <c r="M20" s="44"/>
      <c r="N20" s="44"/>
      <c r="O20" s="44"/>
      <c r="P20" s="117">
        <f t="shared" si="15"/>
        <v>0</v>
      </c>
      <c r="Q20" s="117">
        <f t="shared" si="16"/>
        <v>0</v>
      </c>
      <c r="R20" s="117">
        <f t="shared" si="17"/>
        <v>0</v>
      </c>
      <c r="S20" s="117">
        <f t="shared" si="18"/>
        <v>0</v>
      </c>
      <c r="T20" s="117">
        <f t="shared" si="19"/>
        <v>0</v>
      </c>
      <c r="U20" s="16"/>
    </row>
    <row r="21" spans="1:21" s="19" customFormat="1" ht="19.95" customHeight="1">
      <c r="A21" s="255" t="s">
        <v>201</v>
      </c>
      <c r="B21" s="256"/>
      <c r="C21" s="20"/>
      <c r="D21" s="20"/>
      <c r="E21" s="15"/>
      <c r="F21" s="15"/>
      <c r="G21" s="117">
        <f t="shared" si="14"/>
        <v>0</v>
      </c>
      <c r="H21" s="44"/>
      <c r="I21" s="44"/>
      <c r="J21" s="44"/>
      <c r="K21" s="44"/>
      <c r="L21" s="44"/>
      <c r="M21" s="44"/>
      <c r="N21" s="44"/>
      <c r="O21" s="44"/>
      <c r="P21" s="117">
        <f t="shared" si="15"/>
        <v>0</v>
      </c>
      <c r="Q21" s="117">
        <f t="shared" si="16"/>
        <v>0</v>
      </c>
      <c r="R21" s="117">
        <f t="shared" si="17"/>
        <v>0</v>
      </c>
      <c r="S21" s="117">
        <f t="shared" si="18"/>
        <v>0</v>
      </c>
      <c r="T21" s="117">
        <f t="shared" si="19"/>
        <v>0</v>
      </c>
      <c r="U21" s="16"/>
    </row>
    <row r="22" spans="1:21" s="19" customFormat="1" ht="19.95" customHeight="1">
      <c r="A22" s="255" t="s">
        <v>202</v>
      </c>
      <c r="B22" s="256"/>
      <c r="C22" s="20"/>
      <c r="D22" s="20"/>
      <c r="E22" s="15"/>
      <c r="F22" s="15"/>
      <c r="G22" s="117">
        <f t="shared" si="4"/>
        <v>0</v>
      </c>
      <c r="H22" s="44"/>
      <c r="I22" s="44"/>
      <c r="J22" s="44"/>
      <c r="K22" s="44"/>
      <c r="L22" s="44"/>
      <c r="M22" s="44"/>
      <c r="N22" s="44"/>
      <c r="O22" s="44"/>
      <c r="P22" s="117">
        <f t="shared" si="15"/>
        <v>0</v>
      </c>
      <c r="Q22" s="117">
        <f t="shared" si="16"/>
        <v>0</v>
      </c>
      <c r="R22" s="117">
        <f t="shared" si="17"/>
        <v>0</v>
      </c>
      <c r="S22" s="117">
        <f t="shared" si="18"/>
        <v>0</v>
      </c>
      <c r="T22" s="117">
        <f t="shared" si="19"/>
        <v>0</v>
      </c>
      <c r="U22" s="16"/>
    </row>
    <row r="23" spans="1:21" s="19" customFormat="1" ht="32.4" customHeight="1">
      <c r="A23" s="255" t="s">
        <v>203</v>
      </c>
      <c r="B23" s="256"/>
      <c r="C23" s="20"/>
      <c r="D23" s="20"/>
      <c r="E23" s="15"/>
      <c r="F23" s="15"/>
      <c r="G23" s="117">
        <f t="shared" si="4"/>
        <v>0</v>
      </c>
      <c r="H23" s="44"/>
      <c r="I23" s="44"/>
      <c r="J23" s="44"/>
      <c r="K23" s="44"/>
      <c r="L23" s="44"/>
      <c r="M23" s="44"/>
      <c r="N23" s="44"/>
      <c r="O23" s="44"/>
      <c r="P23" s="117">
        <f t="shared" si="15"/>
        <v>0</v>
      </c>
      <c r="Q23" s="117">
        <f t="shared" si="16"/>
        <v>0</v>
      </c>
      <c r="R23" s="117">
        <f t="shared" si="17"/>
        <v>0</v>
      </c>
      <c r="S23" s="117">
        <f t="shared" si="18"/>
        <v>0</v>
      </c>
      <c r="T23" s="117">
        <f t="shared" si="19"/>
        <v>0</v>
      </c>
      <c r="U23" s="16"/>
    </row>
    <row r="24" spans="1:21" s="19" customFormat="1" ht="32.4" customHeight="1">
      <c r="A24" s="255" t="s">
        <v>204</v>
      </c>
      <c r="B24" s="256"/>
      <c r="C24" s="20"/>
      <c r="D24" s="20"/>
      <c r="E24" s="15"/>
      <c r="F24" s="15"/>
      <c r="G24" s="117">
        <f t="shared" si="4"/>
        <v>0</v>
      </c>
      <c r="H24" s="44"/>
      <c r="I24" s="44"/>
      <c r="J24" s="44"/>
      <c r="K24" s="44"/>
      <c r="L24" s="44"/>
      <c r="M24" s="44"/>
      <c r="N24" s="44"/>
      <c r="O24" s="44"/>
      <c r="P24" s="117">
        <f t="shared" si="15"/>
        <v>0</v>
      </c>
      <c r="Q24" s="117">
        <f t="shared" si="16"/>
        <v>0</v>
      </c>
      <c r="R24" s="117">
        <f t="shared" si="17"/>
        <v>0</v>
      </c>
      <c r="S24" s="117">
        <f t="shared" si="18"/>
        <v>0</v>
      </c>
      <c r="T24" s="117">
        <f t="shared" si="19"/>
        <v>0</v>
      </c>
      <c r="U24" s="16"/>
    </row>
    <row r="25" spans="1:21" s="19" customFormat="1" ht="19.95" customHeight="1">
      <c r="A25" s="255" t="s">
        <v>62</v>
      </c>
      <c r="B25" s="256"/>
      <c r="C25" s="20"/>
      <c r="D25" s="20"/>
      <c r="E25" s="15"/>
      <c r="F25" s="15"/>
      <c r="G25" s="117">
        <f t="shared" si="4"/>
        <v>0</v>
      </c>
      <c r="H25" s="44"/>
      <c r="I25" s="44"/>
      <c r="J25" s="44"/>
      <c r="K25" s="44"/>
      <c r="L25" s="44"/>
      <c r="M25" s="44"/>
      <c r="N25" s="44"/>
      <c r="O25" s="44"/>
      <c r="P25" s="117">
        <f t="shared" si="5"/>
        <v>0</v>
      </c>
      <c r="Q25" s="117">
        <f t="shared" ref="Q25:Q26" si="20">D25+J25+M25</f>
        <v>0</v>
      </c>
      <c r="R25" s="117">
        <f t="shared" ref="R25:R26" si="21">E25+K25+N25</f>
        <v>0</v>
      </c>
      <c r="S25" s="117">
        <f t="shared" ref="S25:S26" si="22">F25+L25+O25</f>
        <v>0</v>
      </c>
      <c r="T25" s="117">
        <f t="shared" si="8"/>
        <v>0</v>
      </c>
      <c r="U25" s="16"/>
    </row>
    <row r="26" spans="1:21" s="19" customFormat="1" ht="19.95" customHeight="1">
      <c r="A26" s="255"/>
      <c r="B26" s="256"/>
      <c r="C26" s="20"/>
      <c r="D26" s="20"/>
      <c r="E26" s="15"/>
      <c r="F26" s="15"/>
      <c r="G26" s="117">
        <f t="shared" si="4"/>
        <v>0</v>
      </c>
      <c r="H26" s="44"/>
      <c r="I26" s="44"/>
      <c r="J26" s="44"/>
      <c r="K26" s="44"/>
      <c r="L26" s="44"/>
      <c r="M26" s="44"/>
      <c r="N26" s="44"/>
      <c r="O26" s="44"/>
      <c r="P26" s="117">
        <f t="shared" si="5"/>
        <v>0</v>
      </c>
      <c r="Q26" s="117">
        <f t="shared" si="20"/>
        <v>0</v>
      </c>
      <c r="R26" s="117">
        <f t="shared" si="21"/>
        <v>0</v>
      </c>
      <c r="S26" s="117">
        <f t="shared" si="22"/>
        <v>0</v>
      </c>
      <c r="T26" s="117">
        <f t="shared" si="8"/>
        <v>0</v>
      </c>
      <c r="U26" s="16"/>
    </row>
    <row r="27" spans="1:21" s="199" customFormat="1" ht="19.95" customHeight="1">
      <c r="A27" s="257" t="s">
        <v>205</v>
      </c>
      <c r="B27" s="258"/>
      <c r="C27" s="198">
        <f t="shared" ref="C27:O27" si="23">C10+C16</f>
        <v>0</v>
      </c>
      <c r="D27" s="198">
        <f t="shared" si="23"/>
        <v>0</v>
      </c>
      <c r="E27" s="198">
        <f t="shared" si="23"/>
        <v>0</v>
      </c>
      <c r="F27" s="198">
        <f t="shared" si="23"/>
        <v>0</v>
      </c>
      <c r="G27" s="198">
        <f t="shared" si="23"/>
        <v>0</v>
      </c>
      <c r="H27" s="198">
        <f t="shared" si="23"/>
        <v>0</v>
      </c>
      <c r="I27" s="198">
        <f t="shared" si="23"/>
        <v>0</v>
      </c>
      <c r="J27" s="198">
        <f t="shared" si="23"/>
        <v>0</v>
      </c>
      <c r="K27" s="198">
        <f t="shared" si="23"/>
        <v>0</v>
      </c>
      <c r="L27" s="198">
        <f t="shared" si="23"/>
        <v>0</v>
      </c>
      <c r="M27" s="198">
        <f t="shared" si="23"/>
        <v>0</v>
      </c>
      <c r="N27" s="198">
        <f t="shared" si="23"/>
        <v>0</v>
      </c>
      <c r="O27" s="198">
        <f t="shared" si="23"/>
        <v>0</v>
      </c>
      <c r="P27" s="198">
        <f>P10+P16</f>
        <v>0</v>
      </c>
      <c r="Q27" s="198">
        <f>Q10+Q16</f>
        <v>0</v>
      </c>
      <c r="R27" s="198">
        <f t="shared" ref="R27:T27" si="24">R10+R16</f>
        <v>0</v>
      </c>
      <c r="S27" s="198">
        <f t="shared" si="24"/>
        <v>0</v>
      </c>
      <c r="T27" s="198">
        <f t="shared" si="24"/>
        <v>0</v>
      </c>
      <c r="U27" s="152"/>
    </row>
    <row r="28" spans="1:21" s="19" customFormat="1" ht="19.95" customHeight="1">
      <c r="A28" s="50" t="s">
        <v>206</v>
      </c>
      <c r="B28" s="50"/>
      <c r="C28" s="17"/>
      <c r="D28" s="17"/>
      <c r="E28" s="17"/>
      <c r="F28" s="17"/>
      <c r="G28" s="17"/>
      <c r="H28" s="17"/>
      <c r="I28" s="17"/>
      <c r="J28" s="17"/>
      <c r="K28" s="17"/>
      <c r="L28" s="17"/>
      <c r="M28" s="17"/>
      <c r="N28" s="17"/>
      <c r="O28" s="17"/>
      <c r="P28" s="17"/>
      <c r="Q28" s="17"/>
      <c r="R28" s="17"/>
      <c r="S28" s="17"/>
      <c r="T28" s="17"/>
      <c r="U28" s="26"/>
    </row>
    <row r="29" spans="1:21" s="19" customFormat="1" ht="19.95" customHeight="1">
      <c r="A29" s="14"/>
      <c r="B29" s="14"/>
      <c r="C29" s="14"/>
      <c r="D29" s="14"/>
      <c r="E29" s="14"/>
      <c r="F29" s="14"/>
      <c r="G29" s="14"/>
      <c r="H29" s="14"/>
      <c r="I29" s="14"/>
      <c r="J29" s="14"/>
      <c r="K29" s="14"/>
      <c r="L29" s="14"/>
      <c r="M29" s="14"/>
      <c r="N29" s="14"/>
      <c r="O29" s="14"/>
      <c r="P29" s="14"/>
      <c r="Q29" s="14"/>
      <c r="R29" s="14"/>
      <c r="S29" s="14"/>
      <c r="T29" s="14"/>
      <c r="U29" s="24"/>
    </row>
    <row r="30" spans="1:21" s="19" customFormat="1" ht="19.95" customHeight="1">
      <c r="A30" s="14"/>
      <c r="B30" s="14"/>
      <c r="C30" s="14"/>
      <c r="D30" s="14"/>
      <c r="E30" s="14"/>
      <c r="F30" s="14"/>
      <c r="G30" s="14"/>
      <c r="H30" s="14"/>
      <c r="I30" s="14"/>
      <c r="J30" s="14"/>
      <c r="K30" s="14"/>
      <c r="L30" s="14"/>
      <c r="M30" s="14"/>
      <c r="N30" s="14"/>
      <c r="O30" s="14"/>
      <c r="P30" s="14"/>
      <c r="Q30" s="14"/>
      <c r="R30" s="14"/>
      <c r="S30" s="14"/>
      <c r="T30" s="14"/>
      <c r="U30" s="24"/>
    </row>
    <row r="31" spans="1:21" s="19" customFormat="1" ht="19.95" customHeight="1">
      <c r="A31" s="27" t="s">
        <v>207</v>
      </c>
      <c r="B31" s="27"/>
      <c r="C31" s="14"/>
      <c r="D31" s="14"/>
      <c r="E31" s="14"/>
      <c r="F31" s="14"/>
      <c r="G31" s="14"/>
      <c r="H31" s="14"/>
      <c r="I31" s="14"/>
      <c r="J31" s="14"/>
      <c r="K31" s="14"/>
      <c r="L31" s="14"/>
      <c r="M31" s="14"/>
      <c r="N31" s="14"/>
      <c r="O31" s="14"/>
      <c r="P31" s="14"/>
      <c r="Q31" s="14"/>
      <c r="R31" s="14"/>
      <c r="S31" s="14"/>
      <c r="T31" s="14"/>
      <c r="U31" s="24"/>
    </row>
    <row r="32" spans="1:21" s="19" customFormat="1" ht="19.95" customHeight="1">
      <c r="A32" s="14"/>
      <c r="B32" s="14"/>
      <c r="C32" s="14"/>
      <c r="D32" s="14"/>
      <c r="E32" s="14"/>
      <c r="F32" s="14"/>
      <c r="G32" s="14"/>
      <c r="H32" s="14"/>
      <c r="I32" s="14"/>
      <c r="J32" s="14"/>
      <c r="K32" s="14"/>
      <c r="L32" s="14"/>
      <c r="M32" s="14"/>
      <c r="N32" s="14"/>
      <c r="O32" s="14"/>
      <c r="P32" s="14"/>
      <c r="Q32" s="14"/>
      <c r="R32" s="14"/>
      <c r="S32" s="14"/>
      <c r="T32" s="14"/>
      <c r="U32" s="24"/>
    </row>
    <row r="33" spans="1:21" s="19" customFormat="1" ht="19.95" customHeight="1">
      <c r="A33" s="14"/>
      <c r="B33" s="14"/>
      <c r="C33" s="14"/>
      <c r="D33" s="14"/>
      <c r="E33" s="14"/>
      <c r="F33" s="14"/>
      <c r="G33" s="14"/>
      <c r="H33" s="14"/>
      <c r="I33" s="14"/>
      <c r="J33" s="14"/>
      <c r="K33" s="14"/>
      <c r="L33" s="14"/>
      <c r="M33" s="14"/>
      <c r="N33" s="14"/>
      <c r="O33" s="14"/>
      <c r="P33" s="14"/>
      <c r="Q33" s="14"/>
      <c r="R33" s="14"/>
      <c r="S33" s="14"/>
      <c r="T33" s="14"/>
      <c r="U33" s="24"/>
    </row>
    <row r="34" spans="1:21" s="19" customFormat="1" ht="13.8">
      <c r="A34" s="151"/>
      <c r="B34" s="30"/>
      <c r="U34" s="21"/>
    </row>
    <row r="35" spans="1:21" s="19" customFormat="1" ht="13.8">
      <c r="A35" s="29"/>
      <c r="B35" s="29"/>
      <c r="U35" s="21"/>
    </row>
    <row r="36" spans="1:21" s="19" customFormat="1" ht="13.8">
      <c r="A36" s="29"/>
      <c r="B36" s="29"/>
      <c r="U36" s="21"/>
    </row>
    <row r="37" spans="1:21" s="19" customFormat="1" ht="13.8">
      <c r="A37" s="29"/>
      <c r="B37" s="29"/>
      <c r="U37" s="21"/>
    </row>
    <row r="38" spans="1:21" s="19" customFormat="1" ht="13.8">
      <c r="A38" s="29"/>
      <c r="B38" s="29"/>
      <c r="U38" s="21"/>
    </row>
    <row r="39" spans="1:21">
      <c r="A39" s="29"/>
      <c r="B39" s="29"/>
    </row>
    <row r="40" spans="1:21">
      <c r="A40" s="29"/>
      <c r="B40" s="29"/>
    </row>
    <row r="41" spans="1:21">
      <c r="A41" s="31"/>
      <c r="B41" s="31"/>
    </row>
    <row r="42" spans="1:21">
      <c r="A42" s="29"/>
      <c r="B42" s="29"/>
    </row>
    <row r="43" spans="1:21">
      <c r="A43" s="31"/>
      <c r="B43" s="31"/>
    </row>
    <row r="44" spans="1:21">
      <c r="A44" s="139"/>
      <c r="B44" s="29"/>
    </row>
    <row r="45" spans="1:21">
      <c r="A45" s="140"/>
      <c r="B45" s="29"/>
    </row>
    <row r="46" spans="1:21">
      <c r="A46" s="29"/>
      <c r="B46" s="29"/>
    </row>
  </sheetData>
  <mergeCells count="27">
    <mergeCell ref="A1:U1"/>
    <mergeCell ref="A2:U2"/>
    <mergeCell ref="C8:G8"/>
    <mergeCell ref="U8:U9"/>
    <mergeCell ref="H8:I8"/>
    <mergeCell ref="J8:L8"/>
    <mergeCell ref="M8:O8"/>
    <mergeCell ref="A8:B9"/>
    <mergeCell ref="P8:T8"/>
    <mergeCell ref="A10:B10"/>
    <mergeCell ref="A11:B11"/>
    <mergeCell ref="A12:B12"/>
    <mergeCell ref="A15:B15"/>
    <mergeCell ref="A16:B16"/>
    <mergeCell ref="A13:B13"/>
    <mergeCell ref="A14:B14"/>
    <mergeCell ref="A17:B17"/>
    <mergeCell ref="A21:B21"/>
    <mergeCell ref="A22:B22"/>
    <mergeCell ref="A18:B18"/>
    <mergeCell ref="A19:B19"/>
    <mergeCell ref="A20:B20"/>
    <mergeCell ref="A23:B23"/>
    <mergeCell ref="A24:B24"/>
    <mergeCell ref="A25:B25"/>
    <mergeCell ref="A26:B26"/>
    <mergeCell ref="A27:B27"/>
  </mergeCells>
  <phoneticPr fontId="18" type="noConversion"/>
  <dataValidations count="1">
    <dataValidation type="textLength" allowBlank="1" showInputMessage="1" showErrorMessage="1" sqref="N11:N15 E11:E15 R10:R15 K11:K15">
      <formula1>0</formula1>
      <formula2>0</formula2>
    </dataValidation>
  </dataValidations>
  <hyperlinks>
    <hyperlink ref="U3" location="底稿目录!A1" display="底稿目录!A1"/>
  </hyperlinks>
  <printOptions horizontalCentered="1"/>
  <pageMargins left="0.70866141732283472" right="0.70866141732283472" top="0.74803149606299213" bottom="0.74803149606299213" header="0.31496062992125984" footer="0.31496062992125984"/>
  <pageSetup paperSize="9" scale="49" orientation="landscape" blackAndWhite="1" r:id="rId1"/>
  <headerFooter alignWithMargins="0">
    <oddFooter>&amp;C&amp;P/&amp;N</oddFooter>
  </headerFooter>
  <ignoredErrors>
    <ignoredError sqref="A3:L4" unlockedFormula="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view="pageBreakPreview" zoomScaleNormal="100" zoomScaleSheetLayoutView="100" workbookViewId="0">
      <selection sqref="A1:J1"/>
    </sheetView>
  </sheetViews>
  <sheetFormatPr defaultRowHeight="15.6"/>
  <cols>
    <col min="1" max="1" width="13.3984375" customWidth="1"/>
    <col min="2" max="2" width="14.296875" customWidth="1"/>
    <col min="3" max="3" width="10.796875" customWidth="1"/>
    <col min="4" max="4" width="13.59765625" customWidth="1"/>
    <col min="5" max="5" width="14.69921875" customWidth="1"/>
    <col min="7" max="7" width="10.8984375" customWidth="1"/>
    <col min="8" max="8" width="10.09765625" customWidth="1"/>
    <col min="10" max="10" width="12.5" customWidth="1"/>
  </cols>
  <sheetData>
    <row r="1" spans="1:10" ht="19.95" customHeight="1">
      <c r="A1" s="218" t="s">
        <v>20</v>
      </c>
      <c r="B1" s="218"/>
      <c r="C1" s="218"/>
      <c r="D1" s="218"/>
      <c r="E1" s="218"/>
      <c r="F1" s="218"/>
      <c r="G1" s="218"/>
      <c r="H1" s="218"/>
      <c r="I1" s="218"/>
      <c r="J1" s="218"/>
    </row>
    <row r="2" spans="1:10" ht="19.95" customHeight="1">
      <c r="A2" s="217" t="s">
        <v>314</v>
      </c>
      <c r="B2" s="217"/>
      <c r="C2" s="217"/>
      <c r="D2" s="217"/>
      <c r="E2" s="217"/>
      <c r="F2" s="217"/>
      <c r="G2" s="217"/>
      <c r="H2" s="217"/>
      <c r="I2" s="217"/>
      <c r="J2" s="217"/>
    </row>
    <row r="3" spans="1:10" ht="19.95" customHeight="1">
      <c r="A3" s="3" t="str">
        <f>底稿目录!A2</f>
        <v>被审计单位：</v>
      </c>
      <c r="B3" s="3"/>
      <c r="C3" s="3"/>
      <c r="D3" s="3" t="str">
        <f>底稿目录!A4</f>
        <v>编制人：</v>
      </c>
      <c r="E3" s="3"/>
      <c r="F3" s="3" t="str">
        <f>底稿目录!A5</f>
        <v>编制日期：</v>
      </c>
      <c r="H3" s="3"/>
      <c r="I3" s="184" t="s">
        <v>80</v>
      </c>
      <c r="J3" s="192" t="str">
        <f>底稿目录!F9</f>
        <v>M9-3</v>
      </c>
    </row>
    <row r="4" spans="1:10" ht="19.95" customHeight="1">
      <c r="A4" s="3" t="str">
        <f>底稿目录!A3</f>
        <v>截止日：202X年12月31日</v>
      </c>
      <c r="B4" s="3"/>
      <c r="C4" s="3"/>
      <c r="D4" s="3" t="str">
        <f>底稿目录!A6</f>
        <v>复核人：</v>
      </c>
      <c r="E4" s="3"/>
      <c r="F4" s="3" t="str">
        <f>底稿目录!A7</f>
        <v>复核日期：</v>
      </c>
      <c r="H4" s="3"/>
      <c r="I4" s="184" t="s">
        <v>278</v>
      </c>
      <c r="J4" s="61"/>
    </row>
    <row r="5" spans="1:10" ht="27" customHeight="1">
      <c r="A5" s="193" t="s">
        <v>288</v>
      </c>
      <c r="B5" s="194" t="s">
        <v>289</v>
      </c>
      <c r="C5" s="195" t="s">
        <v>290</v>
      </c>
      <c r="D5" s="195" t="s">
        <v>291</v>
      </c>
      <c r="E5" s="134" t="s">
        <v>286</v>
      </c>
      <c r="F5" s="134" t="s">
        <v>85</v>
      </c>
      <c r="G5" s="134" t="s">
        <v>292</v>
      </c>
      <c r="H5" s="134" t="s">
        <v>293</v>
      </c>
      <c r="I5" s="134" t="s">
        <v>287</v>
      </c>
      <c r="J5" s="134" t="s">
        <v>294</v>
      </c>
    </row>
    <row r="6" spans="1:10" ht="19.95" customHeight="1">
      <c r="A6" s="135"/>
      <c r="B6" s="135"/>
      <c r="C6" s="135"/>
      <c r="D6" s="135"/>
      <c r="E6" s="135"/>
      <c r="F6" s="135"/>
      <c r="G6" s="135"/>
      <c r="H6" s="135"/>
      <c r="I6" s="135"/>
      <c r="J6" s="135"/>
    </row>
    <row r="7" spans="1:10" ht="19.95" customHeight="1">
      <c r="A7" s="136"/>
      <c r="B7" s="135"/>
      <c r="C7" s="135"/>
      <c r="D7" s="135"/>
      <c r="E7" s="135"/>
      <c r="F7" s="135"/>
      <c r="G7" s="135"/>
      <c r="H7" s="135"/>
      <c r="I7" s="135"/>
      <c r="J7" s="135"/>
    </row>
    <row r="8" spans="1:10" ht="19.95" customHeight="1">
      <c r="A8" s="137"/>
      <c r="B8" s="135"/>
      <c r="C8" s="135"/>
      <c r="D8" s="135"/>
      <c r="E8" s="135"/>
      <c r="F8" s="135"/>
      <c r="G8" s="135"/>
      <c r="H8" s="135"/>
      <c r="I8" s="135"/>
      <c r="J8" s="135"/>
    </row>
    <row r="9" spans="1:10" ht="19.95" customHeight="1">
      <c r="A9" s="137"/>
      <c r="B9" s="135"/>
      <c r="C9" s="135"/>
      <c r="D9" s="135"/>
      <c r="E9" s="135"/>
      <c r="F9" s="135"/>
      <c r="G9" s="135"/>
      <c r="H9" s="135"/>
      <c r="I9" s="135"/>
      <c r="J9" s="135"/>
    </row>
    <row r="10" spans="1:10" ht="19.95" customHeight="1">
      <c r="A10" s="137"/>
      <c r="B10" s="135"/>
      <c r="C10" s="135"/>
      <c r="D10" s="135"/>
      <c r="E10" s="135"/>
      <c r="F10" s="135"/>
      <c r="G10" s="135"/>
      <c r="H10" s="135"/>
      <c r="I10" s="135"/>
      <c r="J10" s="135"/>
    </row>
    <row r="11" spans="1:10" ht="19.95" customHeight="1">
      <c r="A11" s="73"/>
      <c r="B11" s="135"/>
      <c r="C11" s="135"/>
      <c r="D11" s="135"/>
      <c r="E11" s="135"/>
      <c r="F11" s="135"/>
      <c r="G11" s="135"/>
      <c r="H11" s="135"/>
      <c r="I11" s="135"/>
      <c r="J11" s="135"/>
    </row>
    <row r="12" spans="1:10" ht="19.95" customHeight="1">
      <c r="A12" s="137"/>
      <c r="B12" s="135"/>
      <c r="C12" s="135"/>
      <c r="D12" s="135"/>
      <c r="E12" s="135"/>
      <c r="F12" s="135"/>
      <c r="G12" s="135"/>
      <c r="H12" s="135"/>
      <c r="I12" s="135"/>
      <c r="J12" s="135"/>
    </row>
    <row r="13" spans="1:10" ht="19.95" customHeight="1">
      <c r="A13" s="137"/>
      <c r="B13" s="135"/>
      <c r="C13" s="135"/>
      <c r="D13" s="135"/>
      <c r="E13" s="135"/>
      <c r="F13" s="135"/>
      <c r="G13" s="135"/>
      <c r="H13" s="135"/>
      <c r="I13" s="135"/>
      <c r="J13" s="135"/>
    </row>
    <row r="14" spans="1:10" ht="19.95" customHeight="1">
      <c r="A14" s="137"/>
      <c r="B14" s="135"/>
      <c r="C14" s="135"/>
      <c r="D14" s="135"/>
      <c r="E14" s="135"/>
      <c r="F14" s="135"/>
      <c r="G14" s="135"/>
      <c r="H14" s="135"/>
      <c r="I14" s="135"/>
      <c r="J14" s="135"/>
    </row>
    <row r="15" spans="1:10" ht="19.95" customHeight="1">
      <c r="A15" s="137"/>
      <c r="B15" s="135"/>
      <c r="C15" s="135"/>
      <c r="D15" s="135"/>
      <c r="E15" s="135"/>
      <c r="F15" s="135"/>
      <c r="G15" s="135"/>
      <c r="H15" s="135"/>
      <c r="I15" s="135"/>
      <c r="J15" s="135"/>
    </row>
    <row r="16" spans="1:10" ht="19.95" customHeight="1">
      <c r="A16" s="137"/>
      <c r="B16" s="135"/>
      <c r="C16" s="135"/>
      <c r="D16" s="135"/>
      <c r="E16" s="135"/>
      <c r="F16" s="135"/>
      <c r="G16" s="135"/>
      <c r="H16" s="135"/>
      <c r="I16" s="135"/>
      <c r="J16" s="135"/>
    </row>
    <row r="17" spans="1:10" ht="19.95" customHeight="1">
      <c r="A17" s="137"/>
      <c r="B17" s="135"/>
      <c r="C17" s="135"/>
      <c r="D17" s="135"/>
      <c r="E17" s="135"/>
      <c r="F17" s="135"/>
      <c r="G17" s="135"/>
      <c r="H17" s="135"/>
      <c r="I17" s="135"/>
      <c r="J17" s="135"/>
    </row>
    <row r="18" spans="1:10" ht="19.95" customHeight="1">
      <c r="A18" s="137"/>
      <c r="B18" s="135"/>
      <c r="C18" s="135"/>
      <c r="D18" s="135"/>
      <c r="E18" s="135"/>
      <c r="F18" s="135"/>
      <c r="G18" s="135"/>
      <c r="H18" s="135"/>
      <c r="I18" s="135"/>
      <c r="J18" s="135"/>
    </row>
    <row r="19" spans="1:10" ht="19.95" customHeight="1">
      <c r="A19" s="137"/>
      <c r="B19" s="135"/>
      <c r="C19" s="135"/>
      <c r="D19" s="135"/>
      <c r="E19" s="135"/>
      <c r="F19" s="135"/>
      <c r="G19" s="135"/>
      <c r="H19" s="135"/>
      <c r="I19" s="135"/>
      <c r="J19" s="135"/>
    </row>
    <row r="20" spans="1:10" ht="19.95" customHeight="1">
      <c r="A20" s="137"/>
      <c r="B20" s="135"/>
      <c r="C20" s="135"/>
      <c r="D20" s="135"/>
      <c r="E20" s="135"/>
      <c r="F20" s="135"/>
      <c r="G20" s="135"/>
      <c r="H20" s="135"/>
      <c r="I20" s="135"/>
      <c r="J20" s="135"/>
    </row>
    <row r="21" spans="1:10" ht="19.95" customHeight="1">
      <c r="A21" s="74"/>
      <c r="B21" s="74"/>
      <c r="C21" s="74"/>
      <c r="D21" s="75"/>
      <c r="E21" s="75"/>
      <c r="F21" s="75"/>
      <c r="G21" s="76"/>
      <c r="H21" s="76"/>
      <c r="I21" s="75"/>
      <c r="J21" s="77"/>
    </row>
    <row r="22" spans="1:10" ht="19.95" customHeight="1">
      <c r="A22" s="138"/>
      <c r="B22" s="138"/>
      <c r="C22" s="138"/>
      <c r="D22" s="138"/>
      <c r="E22" s="138"/>
      <c r="F22" s="138"/>
      <c r="G22" s="138"/>
      <c r="H22" s="138"/>
      <c r="I22" s="138"/>
      <c r="J22" s="138"/>
    </row>
    <row r="23" spans="1:10" ht="19.95" customHeight="1">
      <c r="A23" s="138"/>
      <c r="B23" s="138"/>
      <c r="C23" s="138"/>
      <c r="D23" s="138"/>
      <c r="E23" s="138"/>
      <c r="F23" s="138"/>
      <c r="G23" s="138"/>
      <c r="H23" s="138"/>
      <c r="I23" s="138"/>
      <c r="J23" s="138"/>
    </row>
    <row r="24" spans="1:10">
      <c r="A24" s="270" t="s">
        <v>86</v>
      </c>
      <c r="B24" s="271"/>
      <c r="C24" s="271"/>
      <c r="D24" s="271"/>
      <c r="E24" s="271"/>
      <c r="F24" s="271"/>
      <c r="G24" s="271"/>
      <c r="H24" s="271"/>
      <c r="I24" s="271"/>
      <c r="J24" s="271"/>
    </row>
    <row r="25" spans="1:10">
      <c r="A25" s="78"/>
      <c r="B25" s="78"/>
      <c r="C25" s="78"/>
      <c r="D25" s="78"/>
      <c r="E25" s="78"/>
      <c r="F25" s="78"/>
      <c r="G25" s="78"/>
      <c r="H25" s="78"/>
      <c r="I25" s="78"/>
      <c r="J25" s="78"/>
    </row>
    <row r="26" spans="1:10">
      <c r="A26" s="78"/>
      <c r="B26" s="78"/>
      <c r="C26" s="78"/>
      <c r="D26" s="78"/>
      <c r="E26" s="78"/>
      <c r="F26" s="78"/>
      <c r="G26" s="78"/>
      <c r="H26" s="78"/>
      <c r="I26" s="78"/>
      <c r="J26" s="78"/>
    </row>
  </sheetData>
  <mergeCells count="3">
    <mergeCell ref="A1:J1"/>
    <mergeCell ref="A2:J2"/>
    <mergeCell ref="A24:J24"/>
  </mergeCells>
  <phoneticPr fontId="18"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showZeros="0" view="pageBreakPreview" zoomScaleNormal="115" zoomScaleSheetLayoutView="100" workbookViewId="0">
      <selection sqref="A1:I1"/>
    </sheetView>
  </sheetViews>
  <sheetFormatPr defaultColWidth="8.09765625" defaultRowHeight="13.8"/>
  <cols>
    <col min="1" max="1" width="38.69921875" style="36" customWidth="1"/>
    <col min="2" max="2" width="9.8984375" style="36" customWidth="1"/>
    <col min="3" max="3" width="8.3984375" style="36" customWidth="1"/>
    <col min="4" max="4" width="10.5" style="36" customWidth="1"/>
    <col min="5" max="5" width="11.8984375" style="36" customWidth="1"/>
    <col min="6" max="6" width="26.796875" style="36" customWidth="1"/>
    <col min="7" max="7" width="14.59765625" style="36" customWidth="1"/>
    <col min="8" max="8" width="7" style="36" customWidth="1"/>
    <col min="9" max="9" width="11.69921875" style="36" customWidth="1"/>
    <col min="10" max="16384" width="8.09765625" style="36"/>
  </cols>
  <sheetData>
    <row r="1" spans="1:9" s="153" customFormat="1" ht="19.95" customHeight="1">
      <c r="A1" s="231" t="s">
        <v>282</v>
      </c>
      <c r="B1" s="231"/>
      <c r="C1" s="231"/>
      <c r="D1" s="231"/>
      <c r="E1" s="231"/>
      <c r="F1" s="231"/>
      <c r="G1" s="231"/>
      <c r="H1" s="231"/>
      <c r="I1" s="231"/>
    </row>
    <row r="2" spans="1:9" s="18" customFormat="1" ht="19.95" customHeight="1">
      <c r="A2" s="261" t="s">
        <v>276</v>
      </c>
      <c r="B2" s="261"/>
      <c r="C2" s="261"/>
      <c r="D2" s="261"/>
      <c r="E2" s="261"/>
      <c r="F2" s="261"/>
      <c r="G2" s="261"/>
      <c r="H2" s="261"/>
      <c r="I2" s="261"/>
    </row>
    <row r="3" spans="1:9" ht="19.95" customHeight="1">
      <c r="A3" s="3" t="str">
        <f>底稿目录!A2</f>
        <v>被审计单位：</v>
      </c>
      <c r="B3" s="3"/>
      <c r="C3" s="4" t="str">
        <f>底稿目录!A4</f>
        <v>编制人：</v>
      </c>
      <c r="F3" s="47" t="str">
        <f>底稿目录!A5</f>
        <v>编制日期：</v>
      </c>
      <c r="H3" s="184" t="s">
        <v>80</v>
      </c>
      <c r="I3" s="192" t="str">
        <f>底稿目录!F10</f>
        <v>M9-4</v>
      </c>
    </row>
    <row r="4" spans="1:9" ht="19.95" customHeight="1">
      <c r="A4" s="3" t="str">
        <f>底稿目录!A3</f>
        <v>截止日：202X年12月31日</v>
      </c>
      <c r="B4" s="6"/>
      <c r="C4" s="4" t="str">
        <f>底稿目录!A4</f>
        <v>编制人：</v>
      </c>
      <c r="F4" s="47" t="str">
        <f>底稿目录!A7</f>
        <v>复核日期：</v>
      </c>
      <c r="H4" s="184" t="s">
        <v>285</v>
      </c>
      <c r="I4" s="61"/>
    </row>
    <row r="5" spans="1:9" ht="19.95" customHeight="1">
      <c r="A5" s="154" t="s">
        <v>235</v>
      </c>
      <c r="B5" s="6"/>
      <c r="C5" s="4"/>
      <c r="D5" s="4"/>
      <c r="E5" s="4"/>
      <c r="F5" s="4"/>
      <c r="H5" s="3"/>
    </row>
    <row r="6" spans="1:9" ht="19.95" customHeight="1">
      <c r="A6" s="36" t="s">
        <v>236</v>
      </c>
      <c r="B6" s="6"/>
      <c r="C6" s="4"/>
      <c r="D6" s="4"/>
      <c r="E6" s="4"/>
      <c r="F6" s="4"/>
      <c r="H6" s="3"/>
    </row>
    <row r="7" spans="1:9" ht="19.95" customHeight="1">
      <c r="A7" s="36" t="s">
        <v>237</v>
      </c>
      <c r="B7" s="6"/>
      <c r="C7" s="4"/>
      <c r="D7" s="4"/>
      <c r="E7" s="4"/>
      <c r="F7" s="4"/>
      <c r="H7" s="3"/>
    </row>
    <row r="8" spans="1:9" ht="19.95" customHeight="1">
      <c r="A8" s="155" t="s">
        <v>238</v>
      </c>
      <c r="B8" s="6"/>
      <c r="C8" s="4"/>
      <c r="D8" s="4"/>
      <c r="E8" s="156"/>
      <c r="F8" s="4"/>
      <c r="H8" s="3"/>
    </row>
    <row r="9" spans="1:9" s="157" customFormat="1" ht="19.95" customHeight="1">
      <c r="A9" s="272" t="s">
        <v>239</v>
      </c>
      <c r="B9" s="274" t="s">
        <v>240</v>
      </c>
      <c r="C9" s="275"/>
      <c r="D9" s="275"/>
      <c r="E9" s="276"/>
      <c r="F9" s="277" t="s">
        <v>241</v>
      </c>
      <c r="G9" s="278"/>
      <c r="H9" s="279" t="s">
        <v>242</v>
      </c>
      <c r="I9" s="279" t="s">
        <v>243</v>
      </c>
    </row>
    <row r="10" spans="1:9" s="157" customFormat="1" ht="19.95" customHeight="1">
      <c r="A10" s="273"/>
      <c r="B10" s="134" t="s">
        <v>244</v>
      </c>
      <c r="C10" s="134" t="s">
        <v>245</v>
      </c>
      <c r="D10" s="134" t="s">
        <v>246</v>
      </c>
      <c r="E10" s="134" t="s">
        <v>247</v>
      </c>
      <c r="F10" s="158" t="s">
        <v>248</v>
      </c>
      <c r="G10" s="159" t="s">
        <v>249</v>
      </c>
      <c r="H10" s="280"/>
      <c r="I10" s="280"/>
    </row>
    <row r="11" spans="1:9" s="157" customFormat="1" ht="19.95" customHeight="1">
      <c r="A11" s="160" t="s">
        <v>250</v>
      </c>
      <c r="B11" s="134"/>
      <c r="C11" s="134"/>
      <c r="D11" s="134"/>
      <c r="E11" s="134"/>
      <c r="F11" s="158"/>
      <c r="G11" s="159"/>
      <c r="H11" s="161"/>
      <c r="I11" s="161"/>
    </row>
    <row r="12" spans="1:9" ht="19.95" customHeight="1">
      <c r="A12" s="162" t="s">
        <v>251</v>
      </c>
      <c r="B12" s="163">
        <f>SUM(B13:B17)</f>
        <v>0</v>
      </c>
      <c r="C12" s="163">
        <f t="shared" ref="C12:D12" si="0">SUM(C13:C17)</f>
        <v>0</v>
      </c>
      <c r="D12" s="163">
        <f t="shared" si="0"/>
        <v>0</v>
      </c>
      <c r="E12" s="163">
        <f>B12+C12+D12</f>
        <v>0</v>
      </c>
      <c r="F12" s="163"/>
      <c r="G12" s="163">
        <f t="shared" ref="G12" si="1">SUM(G13:G17)</f>
        <v>0</v>
      </c>
      <c r="H12" s="164" t="b">
        <f>E12=G12</f>
        <v>1</v>
      </c>
      <c r="I12" s="165"/>
    </row>
    <row r="13" spans="1:9" ht="19.95" customHeight="1">
      <c r="A13" s="166" t="s">
        <v>252</v>
      </c>
      <c r="B13" s="167"/>
      <c r="C13" s="167"/>
      <c r="D13" s="167"/>
      <c r="E13" s="163">
        <f>B13+C13+D13</f>
        <v>0</v>
      </c>
      <c r="F13" s="168" t="s">
        <v>253</v>
      </c>
      <c r="G13" s="165"/>
      <c r="H13" s="164" t="b">
        <f t="shared" ref="H13:H28" si="2">E13=G13</f>
        <v>1</v>
      </c>
      <c r="I13" s="165"/>
    </row>
    <row r="14" spans="1:9" ht="19.95" customHeight="1">
      <c r="A14" s="166" t="s">
        <v>254</v>
      </c>
      <c r="B14" s="167"/>
      <c r="C14" s="167"/>
      <c r="D14" s="167"/>
      <c r="E14" s="163">
        <f t="shared" ref="E14:E27" si="3">B14+C14+D14</f>
        <v>0</v>
      </c>
      <c r="F14" s="168" t="s">
        <v>255</v>
      </c>
      <c r="G14" s="165"/>
      <c r="H14" s="164" t="b">
        <f t="shared" si="2"/>
        <v>1</v>
      </c>
      <c r="I14" s="165"/>
    </row>
    <row r="15" spans="1:9" ht="19.95" customHeight="1">
      <c r="A15" s="166" t="s">
        <v>256</v>
      </c>
      <c r="B15" s="167"/>
      <c r="C15" s="167"/>
      <c r="D15" s="167"/>
      <c r="E15" s="163">
        <f t="shared" si="3"/>
        <v>0</v>
      </c>
      <c r="F15" s="168" t="s">
        <v>257</v>
      </c>
      <c r="G15" s="165"/>
      <c r="H15" s="164" t="b">
        <f t="shared" si="2"/>
        <v>1</v>
      </c>
      <c r="I15" s="165"/>
    </row>
    <row r="16" spans="1:9" ht="19.95" customHeight="1">
      <c r="A16" s="166" t="s">
        <v>258</v>
      </c>
      <c r="B16" s="167"/>
      <c r="C16" s="167"/>
      <c r="D16" s="167"/>
      <c r="E16" s="163">
        <f t="shared" si="3"/>
        <v>0</v>
      </c>
      <c r="F16" s="168" t="s">
        <v>259</v>
      </c>
      <c r="G16" s="165"/>
      <c r="H16" s="164" t="b">
        <f t="shared" si="2"/>
        <v>1</v>
      </c>
      <c r="I16" s="165"/>
    </row>
    <row r="17" spans="1:9" ht="19.95" customHeight="1">
      <c r="A17" s="166" t="s">
        <v>260</v>
      </c>
      <c r="B17" s="167"/>
      <c r="C17" s="167"/>
      <c r="D17" s="167"/>
      <c r="E17" s="163">
        <f t="shared" si="3"/>
        <v>0</v>
      </c>
      <c r="F17" s="165"/>
      <c r="G17" s="165"/>
      <c r="H17" s="164" t="b">
        <f t="shared" si="2"/>
        <v>1</v>
      </c>
      <c r="I17" s="165"/>
    </row>
    <row r="18" spans="1:9" ht="19.95" customHeight="1">
      <c r="A18" s="162" t="s">
        <v>261</v>
      </c>
      <c r="B18" s="163">
        <f>SUM(B19:B27)</f>
        <v>0</v>
      </c>
      <c r="C18" s="163">
        <f t="shared" ref="C18:D18" si="4">SUM(C19:C27)</f>
        <v>0</v>
      </c>
      <c r="D18" s="163">
        <f t="shared" si="4"/>
        <v>0</v>
      </c>
      <c r="E18" s="163">
        <f t="shared" si="3"/>
        <v>0</v>
      </c>
      <c r="F18" s="163"/>
      <c r="G18" s="163">
        <f t="shared" ref="G18" si="5">SUM(G19:G27)</f>
        <v>0</v>
      </c>
      <c r="H18" s="164" t="b">
        <f t="shared" si="2"/>
        <v>1</v>
      </c>
      <c r="I18" s="165"/>
    </row>
    <row r="19" spans="1:9" ht="19.95" customHeight="1">
      <c r="A19" s="166" t="s">
        <v>262</v>
      </c>
      <c r="B19" s="167"/>
      <c r="C19" s="167"/>
      <c r="D19" s="167"/>
      <c r="E19" s="163">
        <f t="shared" si="3"/>
        <v>0</v>
      </c>
      <c r="F19" s="168" t="s">
        <v>255</v>
      </c>
      <c r="G19" s="165"/>
      <c r="H19" s="164" t="b">
        <f t="shared" si="2"/>
        <v>1</v>
      </c>
      <c r="I19" s="165"/>
    </row>
    <row r="20" spans="1:9" ht="19.95" customHeight="1">
      <c r="A20" s="166" t="s">
        <v>263</v>
      </c>
      <c r="B20" s="167"/>
      <c r="C20" s="167"/>
      <c r="D20" s="167"/>
      <c r="E20" s="163">
        <f t="shared" si="3"/>
        <v>0</v>
      </c>
      <c r="F20" s="168" t="s">
        <v>264</v>
      </c>
      <c r="G20" s="165"/>
      <c r="H20" s="164" t="b">
        <f t="shared" si="2"/>
        <v>1</v>
      </c>
      <c r="I20" s="165"/>
    </row>
    <row r="21" spans="1:9" ht="19.95" customHeight="1">
      <c r="A21" s="166" t="s">
        <v>265</v>
      </c>
      <c r="B21" s="167"/>
      <c r="C21" s="167"/>
      <c r="D21" s="167"/>
      <c r="E21" s="163">
        <f t="shared" si="3"/>
        <v>0</v>
      </c>
      <c r="F21" s="168" t="s">
        <v>266</v>
      </c>
      <c r="G21" s="165"/>
      <c r="H21" s="164" t="b">
        <f t="shared" si="2"/>
        <v>1</v>
      </c>
      <c r="I21" s="165"/>
    </row>
    <row r="22" spans="1:9" ht="19.95" customHeight="1">
      <c r="A22" s="166" t="s">
        <v>267</v>
      </c>
      <c r="B22" s="167"/>
      <c r="C22" s="167"/>
      <c r="D22" s="167"/>
      <c r="E22" s="163">
        <f t="shared" si="3"/>
        <v>0</v>
      </c>
      <c r="F22" s="168" t="s">
        <v>268</v>
      </c>
      <c r="G22" s="165"/>
      <c r="H22" s="164" t="b">
        <f t="shared" si="2"/>
        <v>1</v>
      </c>
      <c r="I22" s="165"/>
    </row>
    <row r="23" spans="1:9" ht="19.95" customHeight="1">
      <c r="A23" s="166" t="s">
        <v>269</v>
      </c>
      <c r="B23" s="167"/>
      <c r="C23" s="167"/>
      <c r="D23" s="167"/>
      <c r="E23" s="163">
        <f t="shared" si="3"/>
        <v>0</v>
      </c>
      <c r="F23" s="168" t="s">
        <v>270</v>
      </c>
      <c r="G23" s="165"/>
      <c r="H23" s="164" t="b">
        <f t="shared" si="2"/>
        <v>1</v>
      </c>
      <c r="I23" s="165"/>
    </row>
    <row r="24" spans="1:9" ht="19.95" customHeight="1">
      <c r="A24" s="166" t="s">
        <v>271</v>
      </c>
      <c r="B24" s="167"/>
      <c r="C24" s="167"/>
      <c r="D24" s="167"/>
      <c r="E24" s="163">
        <f t="shared" si="3"/>
        <v>0</v>
      </c>
      <c r="F24" s="165"/>
      <c r="G24" s="165"/>
      <c r="H24" s="164" t="b">
        <f t="shared" si="2"/>
        <v>1</v>
      </c>
      <c r="I24" s="165"/>
    </row>
    <row r="25" spans="1:9" ht="37.799999999999997">
      <c r="A25" s="169" t="s">
        <v>272</v>
      </c>
      <c r="B25" s="167"/>
      <c r="C25" s="167"/>
      <c r="D25" s="167"/>
      <c r="E25" s="163"/>
      <c r="F25" s="165"/>
      <c r="G25" s="165"/>
      <c r="H25" s="164" t="b">
        <f t="shared" si="2"/>
        <v>1</v>
      </c>
      <c r="I25" s="165"/>
    </row>
    <row r="26" spans="1:9" ht="37.799999999999997">
      <c r="A26" s="170" t="s">
        <v>273</v>
      </c>
      <c r="B26" s="167"/>
      <c r="C26" s="167"/>
      <c r="D26" s="167"/>
      <c r="E26" s="163"/>
      <c r="F26" s="165"/>
      <c r="G26" s="165"/>
      <c r="H26" s="164" t="b">
        <f t="shared" si="2"/>
        <v>1</v>
      </c>
      <c r="I26" s="165"/>
    </row>
    <row r="27" spans="1:9" ht="19.95" customHeight="1">
      <c r="A27" s="166" t="s">
        <v>260</v>
      </c>
      <c r="B27" s="167"/>
      <c r="C27" s="167"/>
      <c r="D27" s="167"/>
      <c r="E27" s="163">
        <f t="shared" si="3"/>
        <v>0</v>
      </c>
      <c r="F27" s="165"/>
      <c r="G27" s="165"/>
      <c r="H27" s="164" t="b">
        <f t="shared" si="2"/>
        <v>1</v>
      </c>
      <c r="I27" s="165"/>
    </row>
    <row r="28" spans="1:9" ht="19.95" customHeight="1">
      <c r="A28" s="171" t="s">
        <v>274</v>
      </c>
      <c r="B28" s="172">
        <f>SUM(B12,B18)</f>
        <v>0</v>
      </c>
      <c r="C28" s="172">
        <f t="shared" ref="C28:G28" si="6">SUM(C12,C18)</f>
        <v>0</v>
      </c>
      <c r="D28" s="172">
        <f t="shared" si="6"/>
        <v>0</v>
      </c>
      <c r="E28" s="172">
        <f t="shared" si="6"/>
        <v>0</v>
      </c>
      <c r="F28" s="173"/>
      <c r="G28" s="172">
        <f t="shared" si="6"/>
        <v>0</v>
      </c>
      <c r="H28" s="174" t="b">
        <f t="shared" si="2"/>
        <v>1</v>
      </c>
      <c r="I28" s="173"/>
    </row>
    <row r="29" spans="1:9" ht="19.95" customHeight="1">
      <c r="A29" s="175" t="s">
        <v>275</v>
      </c>
    </row>
    <row r="30" spans="1:9" ht="19.95" customHeight="1"/>
    <row r="31" spans="1:9" ht="19.95" customHeight="1"/>
    <row r="32" spans="1:9" ht="19.95" customHeight="1">
      <c r="A32" s="187" t="s">
        <v>281</v>
      </c>
    </row>
    <row r="33" spans="1:1" ht="19.95" customHeight="1"/>
    <row r="34" spans="1:1" ht="15" customHeight="1">
      <c r="A34" s="10"/>
    </row>
    <row r="35" spans="1:1" ht="18" customHeight="1">
      <c r="A35" s="176"/>
    </row>
    <row r="36" spans="1:1" ht="18" customHeight="1">
      <c r="A36" s="177"/>
    </row>
    <row r="37" spans="1:1" ht="18" customHeight="1">
      <c r="A37" s="178"/>
    </row>
    <row r="38" spans="1:1" ht="18" customHeight="1">
      <c r="A38" s="177"/>
    </row>
    <row r="39" spans="1:1" ht="18" customHeight="1">
      <c r="A39" s="178"/>
    </row>
    <row r="40" spans="1:1" ht="18" customHeight="1">
      <c r="A40" s="177"/>
    </row>
    <row r="41" spans="1:1" ht="18" customHeight="1">
      <c r="A41" s="177"/>
    </row>
    <row r="42" spans="1:1" ht="18" customHeight="1">
      <c r="A42" s="178"/>
    </row>
  </sheetData>
  <mergeCells count="7">
    <mergeCell ref="A1:I1"/>
    <mergeCell ref="A2:I2"/>
    <mergeCell ref="A9:A10"/>
    <mergeCell ref="B9:E9"/>
    <mergeCell ref="F9:G9"/>
    <mergeCell ref="H9:H10"/>
    <mergeCell ref="I9:I10"/>
  </mergeCells>
  <phoneticPr fontId="18"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58" orientation="portrait"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3</v>
      </c>
      <c r="B1" t="s">
        <v>4</v>
      </c>
    </row>
    <row r="2" spans="1:2">
      <c r="A2" t="s">
        <v>5</v>
      </c>
      <c r="B2" t="s">
        <v>6</v>
      </c>
    </row>
    <row r="3" spans="1:2">
      <c r="A3" t="s">
        <v>7</v>
      </c>
      <c r="B3" t="s">
        <v>8</v>
      </c>
    </row>
    <row r="4" spans="1:2">
      <c r="A4" t="s">
        <v>9</v>
      </c>
      <c r="B4" t="s">
        <v>10</v>
      </c>
    </row>
    <row r="5" spans="1:2">
      <c r="A5" t="s">
        <v>11</v>
      </c>
      <c r="B5" t="s">
        <v>12</v>
      </c>
    </row>
    <row r="6" spans="1:2">
      <c r="A6" t="s">
        <v>13</v>
      </c>
      <c r="B6" t="s">
        <v>14</v>
      </c>
    </row>
    <row r="7" spans="1:2">
      <c r="A7" t="s">
        <v>15</v>
      </c>
      <c r="B7" t="s">
        <v>16</v>
      </c>
    </row>
    <row r="8" spans="1:2">
      <c r="A8" t="s">
        <v>17</v>
      </c>
      <c r="B8" t="s">
        <v>18</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8</vt:i4>
      </vt:variant>
    </vt:vector>
  </HeadingPairs>
  <TitlesOfParts>
    <vt:vector size="17" baseType="lpstr">
      <vt:lpstr>底稿目录</vt:lpstr>
      <vt:lpstr>其他综合收益实质性程序表 M9A</vt:lpstr>
      <vt:lpstr>审定表M9-1</vt:lpstr>
      <vt:lpstr>附注披露信息（上市公司）</vt:lpstr>
      <vt:lpstr>附注披露信息（国有企业）</vt:lpstr>
      <vt:lpstr>明细表M9-2</vt:lpstr>
      <vt:lpstr>调整分录汇总M9-3</vt:lpstr>
      <vt:lpstr>其他综合收益核对表M9-4</vt:lpstr>
      <vt:lpstr>GT_Custom</vt:lpstr>
      <vt:lpstr>'调整分录汇总M9-3'!Print_Area</vt:lpstr>
      <vt:lpstr>'附注披露信息（国有企业）'!Print_Area</vt:lpstr>
      <vt:lpstr>'附注披露信息（上市公司）'!Print_Area</vt:lpstr>
      <vt:lpstr>'明细表M9-2'!Print_Area</vt:lpstr>
      <vt:lpstr>'其他综合收益核对表M9-4'!Print_Area</vt:lpstr>
      <vt:lpstr>'其他综合收益实质性程序表 M9A'!Print_Area</vt:lpstr>
      <vt:lpstr>'审定表M9-1'!Print_Area</vt:lpstr>
      <vt:lpstr>'其他综合收益实质性程序表 M9A'!Print_Titles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2025-10-23T02:49:49Z</cp:lastPrinted>
  <dcterms:created xsi:type="dcterms:W3CDTF">2007-05-20T08:51:05Z</dcterms:created>
  <dcterms:modified xsi:type="dcterms:W3CDTF">2025-11-05T08:33:06Z</dcterms:modified>
</cp:coreProperties>
</file>