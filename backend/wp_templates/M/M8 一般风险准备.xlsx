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32"/>
  </bookViews>
  <sheets>
    <sheet name="底稿目录" sheetId="1" r:id="rId1"/>
    <sheet name="一般风险准备实质性程序表 M8A " sheetId="21" r:id="rId2"/>
    <sheet name="一般风险准备实质性程序表 Q8A  (修订前)" sheetId="23" state="hidden" r:id="rId3"/>
    <sheet name="审定表M8-1" sheetId="12" r:id="rId4"/>
    <sheet name="附注披露信息（上市公司）" sheetId="18" r:id="rId5"/>
    <sheet name="附注披露信息（国有企业）" sheetId="20" r:id="rId6"/>
    <sheet name="明细表M8-2" sheetId="13" r:id="rId7"/>
    <sheet name="调整分录汇总M8-3" sheetId="22" r:id="rId8"/>
    <sheet name="一般风险准备测试表M8-4" sheetId="17" r:id="rId9"/>
    <sheet name="针对性测试M8-5-删除" sheetId="16" state="hidden" r:id="rId10"/>
    <sheet name="GT_Custom" sheetId="19" state="hidden" r:id="rId11"/>
  </sheets>
  <definedNames>
    <definedName name="_xlnm._FilterDatabase" localSheetId="1" hidden="1">'一般风险准备实质性程序表 M8A '!$A$15:$I$15</definedName>
    <definedName name="_xlnm._FilterDatabase" localSheetId="2" hidden="1">'一般风险准备实质性程序表 Q8A  (修订前)'!$A$16:$J$16</definedName>
    <definedName name="AFV" localSheetId="1" hidden="1">#REF!</definedName>
    <definedName name="AFV" localSheetId="2"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localSheetId="2" hidden="1">#REF!</definedName>
    <definedName name="CCD" hidden="1">#REF!</definedName>
    <definedName name="CDE" localSheetId="1" hidden="1">#REF!</definedName>
    <definedName name="CDE" localSheetId="2" hidden="1">#REF!</definedName>
    <definedName name="CDE" hidden="1">#REF!</definedName>
    <definedName name="DEX" localSheetId="1" hidden="1">#REF!</definedName>
    <definedName name="DEX" localSheetId="2" hidden="1">#REF!</definedName>
    <definedName name="DEX" hidden="1">#REF!</definedName>
    <definedName name="EDC" localSheetId="1" hidden="1">#REF!</definedName>
    <definedName name="EDC" localSheetId="2" hidden="1">#REF!</definedName>
    <definedName name="EDC" hidden="1">#REF!</definedName>
    <definedName name="FAD" localSheetId="1" hidden="1">[1]Breakdown!#REF!</definedName>
    <definedName name="FAD" localSheetId="2" hidden="1">[1]Breakdown!#REF!</definedName>
    <definedName name="FAD" hidden="1">[1]Breakdown!#REF!</definedName>
    <definedName name="FASD" localSheetId="1" hidden="1">#REF!</definedName>
    <definedName name="FASD" localSheetId="2" hidden="1">#REF!</definedName>
    <definedName name="FASD" hidden="1">#REF!</definedName>
    <definedName name="FEDC" localSheetId="1" hidden="1">'[2]2004'!#REF!</definedName>
    <definedName name="FEDC" localSheetId="2" hidden="1">'[2]2004'!#REF!</definedName>
    <definedName name="FEDC" hidden="1">'[2]2004'!#REF!</definedName>
    <definedName name="_xlnm.Print_Area" localSheetId="7">'调整分录汇总M8-3'!$A$1:$J$23</definedName>
    <definedName name="_xlnm.Print_Area" localSheetId="4">'附注披露信息（上市公司）'!$A$1:$G$11</definedName>
    <definedName name="_xlnm.Print_Area" localSheetId="6">'明细表M8-2'!$A$1:$R$22</definedName>
    <definedName name="_xlnm.Print_Area" localSheetId="3">'审定表M8-1'!$A$1:$L$25</definedName>
    <definedName name="_xlnm.Print_Area" localSheetId="8">'一般风险准备测试表M8-4'!$A$1:$K$27</definedName>
    <definedName name="_xlnm.Print_Area" localSheetId="1">'一般风险准备实质性程序表 M8A '!$A$1:$I$21</definedName>
    <definedName name="_xlnm.Print_Area" localSheetId="2">'一般风险准备实质性程序表 Q8A  (修订前)'!$A$1:$J$39</definedName>
    <definedName name="_xlnm.Print_Area" localSheetId="9">'针对性测试M8-5-删除'!$A$1:$L$32</definedName>
    <definedName name="_xlnm.Print_Titles" localSheetId="1">'一般风险准备实质性程序表 M8A '!$15:$15</definedName>
    <definedName name="_xlnm.Print_Titles" localSheetId="2">'一般风险准备实质性程序表 Q8A  (修订前)'!$16:$16</definedName>
    <definedName name="RDES" localSheetId="1" hidden="1">#REF!</definedName>
    <definedName name="RDES" localSheetId="2" hidden="1">#REF!</definedName>
    <definedName name="RDES" hidden="1">#REF!</definedName>
    <definedName name="TextRefCopyRangeCount" hidden="1">136</definedName>
    <definedName name="VFE" localSheetId="1" hidden="1">#REF!</definedName>
    <definedName name="VFE" localSheetId="2" hidden="1">#REF!</definedName>
    <definedName name="VFE" hidden="1">#REF!</definedName>
    <definedName name="XAP" localSheetId="1" hidden="1">#REF!</definedName>
    <definedName name="XAP" localSheetId="2" hidden="1">#REF!</definedName>
    <definedName name="XAP" hidden="1">#REF!</definedName>
    <definedName name="XAQ" localSheetId="1" hidden="1">#REF!</definedName>
    <definedName name="XAQ" localSheetId="2" hidden="1">#REF!</definedName>
    <definedName name="XAQ" hidden="1">#REF!</definedName>
    <definedName name="XCD" localSheetId="1" hidden="1">#REF!</definedName>
    <definedName name="XCD" localSheetId="2" hidden="1">#REF!</definedName>
    <definedName name="XCD" hidden="1">#REF!</definedName>
    <definedName name="XREF_COLUMN_1" localSheetId="1" hidden="1">#REF!</definedName>
    <definedName name="XREF_COLUMN_1" localSheetId="2" hidden="1">#REF!</definedName>
    <definedName name="XREF_COLUMN_1" hidden="1">#REF!</definedName>
    <definedName name="XREF_COLUMN_2" localSheetId="1" hidden="1">[1]Breakdown!#REF!</definedName>
    <definedName name="XREF_COLUMN_2" localSheetId="2" hidden="1">[1]Breakdown!#REF!</definedName>
    <definedName name="XREF_COLUMN_2" hidden="1">[1]Breakdown!#REF!</definedName>
    <definedName name="XREF_COLUMN_3" localSheetId="1" hidden="1">#REF!</definedName>
    <definedName name="XREF_COLUMN_3" localSheetId="2" hidden="1">#REF!</definedName>
    <definedName name="XREF_COLUMN_3" hidden="1">#REF!</definedName>
    <definedName name="XREF_COLUMN_5" localSheetId="1" hidden="1">'[2]2004'!#REF!</definedName>
    <definedName name="XREF_COLUMN_5" localSheetId="2" hidden="1">'[2]2004'!#REF!</definedName>
    <definedName name="XREF_COLUMN_5" hidden="1">'[2]2004'!#REF!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1" hidden="1">#REF!</definedName>
    <definedName name="XRefCopy1" localSheetId="2" hidden="1">#REF!</definedName>
    <definedName name="XRefCopy1" hidden="1">#REF!</definedName>
    <definedName name="XRefCopy1Row" localSheetId="1" hidden="1">#REF!</definedName>
    <definedName name="XRefCopy1Row" localSheetId="2" hidden="1">#REF!</definedName>
    <definedName name="XRefCopy1Row"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localSheetId="2" hidden="1">#REF!</definedName>
    <definedName name="底稿目录" hidden="1">#REF!</definedName>
    <definedName name="新目录" localSheetId="1"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c r="J3" i="22"/>
  <c r="R3" i="13"/>
  <c r="L3" i="12"/>
  <c r="I3" i="21"/>
  <c r="A4" i="13" l="1"/>
  <c r="A3" i="13"/>
  <c r="A4" i="17"/>
  <c r="G3" i="17"/>
  <c r="D3" i="17"/>
  <c r="A3" i="17"/>
  <c r="K3" i="13"/>
  <c r="E3" i="13"/>
  <c r="F4" i="23"/>
  <c r="C4" i="23"/>
  <c r="A4" i="23"/>
  <c r="F3" i="23"/>
  <c r="C3" i="23"/>
  <c r="A3" i="23"/>
  <c r="F4" i="22"/>
  <c r="F3" i="22"/>
  <c r="D4" i="22"/>
  <c r="D3" i="22"/>
  <c r="A4" i="22"/>
  <c r="A3" i="22"/>
  <c r="H4" i="16" l="1"/>
  <c r="G4" i="17"/>
  <c r="K4" i="13"/>
  <c r="E4" i="20"/>
  <c r="E4" i="18"/>
  <c r="G4" i="12"/>
  <c r="E4" i="21"/>
  <c r="E4" i="16"/>
  <c r="D4" i="17"/>
  <c r="E4" i="13"/>
  <c r="C4" i="20"/>
  <c r="C4" i="18"/>
  <c r="D4" i="12"/>
  <c r="C4" i="21"/>
  <c r="E3" i="21" l="1"/>
  <c r="C3" i="21"/>
  <c r="A4" i="21"/>
  <c r="A3" i="21"/>
  <c r="E8" i="18"/>
  <c r="E9" i="18"/>
  <c r="E9" i="20"/>
  <c r="E8" i="20"/>
  <c r="C19" i="17" l="1"/>
  <c r="B19" i="17"/>
  <c r="G10" i="17"/>
  <c r="H10" i="17" l="1"/>
  <c r="B8" i="12"/>
  <c r="C8" i="12"/>
  <c r="D8" i="12"/>
  <c r="G8" i="12"/>
  <c r="H8" i="12"/>
  <c r="B9" i="12"/>
  <c r="C9" i="12"/>
  <c r="D9" i="12"/>
  <c r="G9" i="12"/>
  <c r="H9" i="12"/>
  <c r="B10" i="12"/>
  <c r="C10" i="12"/>
  <c r="D10" i="12"/>
  <c r="G10" i="12"/>
  <c r="H10" i="12"/>
  <c r="B11" i="12"/>
  <c r="C11" i="12"/>
  <c r="D11" i="12"/>
  <c r="G11" i="12"/>
  <c r="H11" i="12"/>
  <c r="B12" i="12"/>
  <c r="C12" i="12"/>
  <c r="D12" i="12"/>
  <c r="G12" i="12"/>
  <c r="H12" i="12"/>
  <c r="H7" i="12"/>
  <c r="G7" i="12"/>
  <c r="D7" i="12"/>
  <c r="C7" i="12"/>
  <c r="B7" i="12"/>
  <c r="A8" i="12"/>
  <c r="A9" i="12"/>
  <c r="A10" i="12"/>
  <c r="A11" i="12"/>
  <c r="A7" i="12"/>
  <c r="K17" i="13"/>
  <c r="J17" i="13"/>
  <c r="I17" i="13"/>
  <c r="H17" i="13"/>
  <c r="G17" i="13"/>
  <c r="F17" i="13"/>
  <c r="D17" i="13"/>
  <c r="C17" i="13"/>
  <c r="B17" i="13"/>
  <c r="N16" i="13"/>
  <c r="M16" i="13"/>
  <c r="L16" i="13"/>
  <c r="E16" i="13"/>
  <c r="N15" i="13"/>
  <c r="M15" i="13"/>
  <c r="L15" i="13"/>
  <c r="E12" i="12" s="1"/>
  <c r="E15" i="13"/>
  <c r="F12" i="12" s="1"/>
  <c r="N14" i="13"/>
  <c r="M14" i="13"/>
  <c r="L14" i="13"/>
  <c r="E11" i="12" s="1"/>
  <c r="E14" i="13"/>
  <c r="F11" i="12" s="1"/>
  <c r="N13" i="13"/>
  <c r="M13" i="13"/>
  <c r="L13" i="13"/>
  <c r="E10" i="12" s="1"/>
  <c r="E13" i="13"/>
  <c r="F10" i="12" s="1"/>
  <c r="N12" i="13"/>
  <c r="M12" i="13"/>
  <c r="L12" i="13"/>
  <c r="E9" i="12" s="1"/>
  <c r="E12" i="13"/>
  <c r="F9" i="12" s="1"/>
  <c r="N11" i="13"/>
  <c r="M11" i="13"/>
  <c r="L11" i="13"/>
  <c r="E8" i="12" s="1"/>
  <c r="E11" i="13"/>
  <c r="F8" i="12" s="1"/>
  <c r="N10" i="13"/>
  <c r="D7" i="18" s="1"/>
  <c r="M10" i="13"/>
  <c r="C7" i="18" s="1"/>
  <c r="L10" i="13"/>
  <c r="E10" i="13"/>
  <c r="F7" i="12" s="1"/>
  <c r="O12" i="13" l="1"/>
  <c r="I9" i="12" s="1"/>
  <c r="J9" i="12" s="1"/>
  <c r="K9" i="12" s="1"/>
  <c r="O15" i="13"/>
  <c r="I12" i="12" s="1"/>
  <c r="J12" i="12" s="1"/>
  <c r="K12" i="12" s="1"/>
  <c r="O11" i="13"/>
  <c r="I8" i="12" s="1"/>
  <c r="B13" i="12"/>
  <c r="C7" i="20"/>
  <c r="O10" i="13"/>
  <c r="I7" i="12" s="1"/>
  <c r="D7" i="20"/>
  <c r="B7" i="20"/>
  <c r="E7" i="12"/>
  <c r="B7" i="18"/>
  <c r="E7" i="18" s="1"/>
  <c r="F13" i="12"/>
  <c r="D13" i="12"/>
  <c r="H13" i="12"/>
  <c r="C13" i="12"/>
  <c r="G13" i="12"/>
  <c r="E17" i="13"/>
  <c r="O16" i="13"/>
  <c r="N17" i="13"/>
  <c r="M17" i="13"/>
  <c r="O13" i="13"/>
  <c r="I10" i="12" s="1"/>
  <c r="J10" i="12" s="1"/>
  <c r="K10" i="12" s="1"/>
  <c r="O14" i="13"/>
  <c r="I11" i="12" s="1"/>
  <c r="J11" i="12" s="1"/>
  <c r="K11" i="12" s="1"/>
  <c r="L17" i="13"/>
  <c r="G18" i="17"/>
  <c r="H18" i="17" s="1"/>
  <c r="G17" i="17"/>
  <c r="H17" i="17" s="1"/>
  <c r="G16" i="17"/>
  <c r="H16" i="17" s="1"/>
  <c r="G15" i="17"/>
  <c r="H15" i="17" s="1"/>
  <c r="G14" i="17"/>
  <c r="H14" i="17" s="1"/>
  <c r="G13" i="17"/>
  <c r="H13" i="17" s="1"/>
  <c r="G12" i="17"/>
  <c r="H12" i="17" s="1"/>
  <c r="G11" i="17"/>
  <c r="H11" i="17" l="1"/>
  <c r="H19" i="17" s="1"/>
  <c r="G19" i="17"/>
  <c r="I13" i="12"/>
  <c r="I15" i="12" s="1"/>
  <c r="E13" i="12"/>
  <c r="E15" i="12" s="1"/>
  <c r="J8" i="12"/>
  <c r="K8" i="12" s="1"/>
  <c r="E7" i="20"/>
  <c r="O17" i="13"/>
  <c r="J7" i="12"/>
  <c r="K7" i="12" s="1"/>
  <c r="J13" i="12" l="1"/>
  <c r="K13" i="12" s="1"/>
  <c r="D10" i="20"/>
  <c r="C10" i="20"/>
  <c r="B10" i="20"/>
  <c r="C10" i="18"/>
  <c r="D10" i="18"/>
  <c r="B10" i="18"/>
  <c r="E10" i="18"/>
  <c r="A4" i="20"/>
  <c r="E3" i="20"/>
  <c r="C3" i="20"/>
  <c r="A3" i="20"/>
  <c r="A4" i="18"/>
  <c r="E3" i="18"/>
  <c r="C3" i="18"/>
  <c r="A3" i="18"/>
  <c r="H3" i="16"/>
  <c r="E3" i="16"/>
  <c r="A4" i="16"/>
  <c r="A3" i="16"/>
  <c r="G3" i="12"/>
  <c r="D3" i="12"/>
  <c r="A4" i="12"/>
  <c r="A3" i="12"/>
  <c r="E10" i="20"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5"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<sst xmlns="http://schemas.openxmlformats.org/spreadsheetml/2006/main" count="423" uniqueCount="290">
  <si>
    <t>底稿开列时，可先在以下单元格填写有关内容，以便其他底稿引用有关数据：</t>
    <phoneticPr fontId="18" type="noConversion"/>
  </si>
  <si>
    <t>本期增加</t>
  </si>
  <si>
    <t>本期减少</t>
  </si>
  <si>
    <t>说明：</t>
  </si>
  <si>
    <t>一般风险准备</t>
  </si>
  <si>
    <t>C1</t>
  </si>
  <si>
    <t>Custom 1</t>
  </si>
  <si>
    <t>C2</t>
  </si>
  <si>
    <t>Custom 2</t>
  </si>
  <si>
    <t>C3</t>
  </si>
  <si>
    <t>Custom 3</t>
  </si>
  <si>
    <t>C4</t>
  </si>
  <si>
    <t>Custom 4</t>
  </si>
  <si>
    <t>C5</t>
  </si>
  <si>
    <t>Custom 5</t>
  </si>
  <si>
    <t>C6</t>
  </si>
  <si>
    <t>Custom 6</t>
  </si>
  <si>
    <t>C7</t>
  </si>
  <si>
    <t>Custom 7</t>
  </si>
  <si>
    <t>C8</t>
  </si>
  <si>
    <t>Custom 8</t>
  </si>
  <si>
    <t>内容</t>
  </si>
  <si>
    <t>页次：</t>
  </si>
  <si>
    <t>合计</t>
  </si>
  <si>
    <t>致同会计师事务所</t>
  </si>
  <si>
    <t>项目</t>
  </si>
  <si>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</si>
  <si>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</si>
  <si>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t>一般风险准备附注披露信息（上市公司）</t>
    <phoneticPr fontId="18" type="noConversion"/>
  </si>
  <si>
    <t>一般风险准备附注披露信息（国有企业）</t>
    <phoneticPr fontId="18" type="noConversion"/>
  </si>
  <si>
    <r>
      <rPr>
        <b/>
        <sz val="10"/>
        <rFont val="宋体"/>
        <family val="3"/>
        <charset val="134"/>
      </rPr>
      <t>项目名称</t>
    </r>
    <phoneticPr fontId="18" type="noConversion"/>
  </si>
  <si>
    <r>
      <t>1</t>
    </r>
    <r>
      <rPr>
        <b/>
        <sz val="10"/>
        <rFont val="宋体"/>
        <family val="3"/>
        <charset val="134"/>
      </rPr>
      <t>、审计说明</t>
    </r>
    <r>
      <rPr>
        <sz val="10"/>
        <color indexed="12"/>
        <rFont val="宋体"/>
        <family val="3"/>
        <charset val="134"/>
      </rPr>
      <t/>
    </r>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</si>
  <si>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</si>
  <si>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</si>
  <si>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</si>
  <si>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附注披露信息(上市公司)</t>
    <phoneticPr fontId="53" type="noConversion"/>
  </si>
  <si>
    <t>附注披露信息(国企)</t>
    <phoneticPr fontId="53" type="noConversion"/>
  </si>
  <si>
    <r>
      <rPr>
        <b/>
        <sz val="12"/>
        <rFont val="宋体"/>
        <family val="3"/>
        <charset val="134"/>
      </rPr>
      <t>致同会计师事务所</t>
    </r>
  </si>
  <si>
    <t>一般风险准备实质性程序</t>
    <phoneticPr fontId="18" type="noConversion"/>
  </si>
  <si>
    <r>
      <rPr>
        <sz val="10"/>
        <rFont val="宋体"/>
        <family val="3"/>
        <charset val="134"/>
      </rPr>
      <t>索引号：</t>
    </r>
  </si>
  <si>
    <t>QA</t>
    <phoneticPr fontId="18" type="noConversion"/>
  </si>
  <si>
    <t>页  次：</t>
    <phoneticPr fontId="53" type="noConversion"/>
  </si>
  <si>
    <r>
      <rPr>
        <b/>
        <sz val="10"/>
        <rFont val="宋体"/>
        <family val="3"/>
        <charset val="134"/>
      </rPr>
      <t>一、本账户涉及的科目</t>
    </r>
    <phoneticPr fontId="18" type="noConversion"/>
  </si>
  <si>
    <t>一般风险准备</t>
    <phoneticPr fontId="53" type="noConversion"/>
  </si>
  <si>
    <r>
      <rPr>
        <b/>
        <sz val="10"/>
        <rFont val="宋体"/>
        <family val="3"/>
        <charset val="134"/>
      </rPr>
      <t>二、重大错报风险需从实质性程序获取的保证程度</t>
    </r>
    <phoneticPr fontId="18" type="noConversion"/>
  </si>
  <si>
    <r>
      <rPr>
        <b/>
        <sz val="10"/>
        <rFont val="宋体"/>
        <family val="3"/>
        <charset val="134"/>
      </rPr>
      <t>审计目标与认定对应关系</t>
    </r>
    <phoneticPr fontId="18" type="noConversion"/>
  </si>
  <si>
    <r>
      <rPr>
        <b/>
        <sz val="10"/>
        <rFont val="宋体"/>
        <family val="3"/>
        <charset val="134"/>
      </rPr>
      <t>财务报表的认定　</t>
    </r>
  </si>
  <si>
    <t>信赖/不信赖/不适用</t>
    <phoneticPr fontId="18" type="noConversion"/>
  </si>
  <si>
    <r>
      <rPr>
        <sz val="10"/>
        <rFont val="宋体"/>
        <family val="3"/>
        <charset val="134"/>
      </rPr>
      <t>索引号</t>
    </r>
  </si>
  <si>
    <r>
      <rPr>
        <sz val="10"/>
        <rFont val="宋体"/>
        <family val="3"/>
        <charset val="134"/>
      </rPr>
      <t>存在</t>
    </r>
    <phoneticPr fontId="18" type="noConversion"/>
  </si>
  <si>
    <r>
      <rPr>
        <sz val="10"/>
        <rFont val="宋体"/>
        <family val="3"/>
        <charset val="134"/>
      </rPr>
      <t>完整性</t>
    </r>
    <phoneticPr fontId="18" type="noConversion"/>
  </si>
  <si>
    <r>
      <rPr>
        <sz val="10"/>
        <rFont val="宋体"/>
        <family val="3"/>
        <charset val="134"/>
      </rPr>
      <t>权利和义务</t>
    </r>
    <phoneticPr fontId="18" type="noConversion"/>
  </si>
  <si>
    <r>
      <rPr>
        <sz val="10"/>
        <rFont val="宋体"/>
        <family val="3"/>
        <charset val="134"/>
      </rPr>
      <t>计价和分摊</t>
    </r>
    <phoneticPr fontId="18" type="noConversion"/>
  </si>
  <si>
    <r>
      <rPr>
        <sz val="10"/>
        <rFont val="宋体"/>
        <family val="3"/>
        <charset val="134"/>
      </rPr>
      <t>列报与披露</t>
    </r>
    <phoneticPr fontId="18" type="noConversion"/>
  </si>
  <si>
    <t>A. 资产负债表中记录的一般风险准备是存在的。</t>
  </si>
  <si>
    <r>
      <rPr>
        <sz val="10"/>
        <rFont val="宋体"/>
        <family val="3"/>
        <charset val="134"/>
      </rPr>
      <t>√</t>
    </r>
    <phoneticPr fontId="18" type="noConversion"/>
  </si>
  <si>
    <t>B. 所有应记录的一般风险准备均已记录，一般风险准备的增减变动符合法律、法规和合同、章程的规定。</t>
  </si>
  <si>
    <t>C. 一般风险准备以恰当的金额包括在财务报表中。</t>
  </si>
  <si>
    <t>D. 一般风险准备已按照企业会计准则的规定在财务报表中作出恰当列报和披露。</t>
  </si>
  <si>
    <r>
      <rPr>
        <b/>
        <sz val="10"/>
        <rFont val="宋体"/>
        <family val="3"/>
        <charset val="134"/>
      </rPr>
      <t>三、计划实施的实质性程序</t>
    </r>
    <phoneticPr fontId="18" type="noConversion"/>
  </si>
  <si>
    <r>
      <rPr>
        <b/>
        <sz val="10"/>
        <rFont val="宋体"/>
        <family val="3"/>
        <charset val="134"/>
      </rPr>
      <t>序号</t>
    </r>
    <phoneticPr fontId="18" type="noConversion"/>
  </si>
  <si>
    <t>审计程序</t>
    <phoneticPr fontId="53" type="noConversion"/>
  </si>
  <si>
    <r>
      <rPr>
        <b/>
        <sz val="10"/>
        <rFont val="宋体"/>
        <family val="3"/>
        <charset val="134"/>
      </rPr>
      <t>程序分类</t>
    </r>
    <phoneticPr fontId="18" type="noConversion"/>
  </si>
  <si>
    <r>
      <rPr>
        <b/>
        <sz val="10"/>
        <rFont val="宋体"/>
        <family val="3"/>
        <charset val="134"/>
      </rPr>
      <t>对应的认定</t>
    </r>
    <r>
      <rPr>
        <b/>
        <sz val="10"/>
        <rFont val="Arial Narrow"/>
        <family val="2"/>
      </rPr>
      <t>/</t>
    </r>
    <r>
      <rPr>
        <b/>
        <sz val="10"/>
        <rFont val="宋体"/>
        <family val="3"/>
        <charset val="134"/>
      </rPr>
      <t>风险</t>
    </r>
    <phoneticPr fontId="18" type="noConversion"/>
  </si>
  <si>
    <r>
      <rPr>
        <b/>
        <sz val="10"/>
        <rFont val="宋体"/>
        <family val="3"/>
        <charset val="134"/>
      </rPr>
      <t>执行情况说明
（含底稿索引）</t>
    </r>
    <phoneticPr fontId="18" type="noConversion"/>
  </si>
  <si>
    <t>（一）</t>
    <phoneticPr fontId="53" type="noConversion"/>
  </si>
  <si>
    <r>
      <rPr>
        <b/>
        <sz val="10"/>
        <rFont val="宋体"/>
        <family val="3"/>
        <charset val="134"/>
      </rPr>
      <t>编制审定表</t>
    </r>
    <r>
      <rPr>
        <b/>
        <sz val="10"/>
        <rFont val="Arial Narrow"/>
        <family val="2"/>
      </rPr>
      <t xml:space="preserve"> </t>
    </r>
    <phoneticPr fontId="53" type="noConversion"/>
  </si>
  <si>
    <t>常规★</t>
    <phoneticPr fontId="53" type="noConversion"/>
  </si>
  <si>
    <t>B</t>
    <phoneticPr fontId="53" type="noConversion"/>
  </si>
  <si>
    <t>Q8</t>
    <phoneticPr fontId="53" type="noConversion"/>
  </si>
  <si>
    <t>（二）</t>
    <phoneticPr fontId="53" type="noConversion"/>
  </si>
  <si>
    <t>获取或编制一般风险准备明细表，并完成以下工作：</t>
    <phoneticPr fontId="53" type="noConversion"/>
  </si>
  <si>
    <t>C</t>
    <phoneticPr fontId="53" type="noConversion"/>
  </si>
  <si>
    <t>Q8-1</t>
    <phoneticPr fontId="53" type="noConversion"/>
  </si>
  <si>
    <t>1</t>
    <phoneticPr fontId="53" type="noConversion"/>
  </si>
  <si>
    <r>
      <rPr>
        <b/>
        <sz val="10"/>
        <rFont val="宋体"/>
        <family val="3"/>
        <charset val="134"/>
      </rPr>
      <t>复核加计正确</t>
    </r>
    <r>
      <rPr>
        <b/>
        <sz val="10"/>
        <rFont val="Arial Narrow"/>
        <family val="2"/>
      </rPr>
      <t xml:space="preserve"> </t>
    </r>
    <r>
      <rPr>
        <b/>
        <sz val="10"/>
        <rFont val="宋体"/>
        <family val="3"/>
        <charset val="134"/>
      </rPr>
      <t>。</t>
    </r>
    <phoneticPr fontId="53" type="noConversion"/>
  </si>
  <si>
    <t>C</t>
  </si>
  <si>
    <t>2</t>
    <phoneticPr fontId="53" type="noConversion"/>
  </si>
  <si>
    <r>
      <rPr>
        <b/>
        <sz val="10"/>
        <rFont val="宋体"/>
        <family val="3"/>
        <charset val="134"/>
      </rPr>
      <t>将总金额与总账核对。</t>
    </r>
    <r>
      <rPr>
        <b/>
        <sz val="10"/>
        <rFont val="Arial Narrow"/>
        <family val="2"/>
      </rPr>
      <t xml:space="preserve"> </t>
    </r>
    <phoneticPr fontId="53" type="noConversion"/>
  </si>
  <si>
    <t>3</t>
  </si>
  <si>
    <r>
      <rPr>
        <sz val="10"/>
        <rFont val="宋体"/>
        <family val="3"/>
        <charset val="134"/>
      </rPr>
      <t>确定计算的准确性。</t>
    </r>
    <r>
      <rPr>
        <sz val="10"/>
        <rFont val="Arial Narrow"/>
        <family val="2"/>
      </rPr>
      <t xml:space="preserve"> </t>
    </r>
    <phoneticPr fontId="53" type="noConversion"/>
  </si>
  <si>
    <t>常规</t>
  </si>
  <si>
    <t>4</t>
  </si>
  <si>
    <r>
      <rPr>
        <sz val="10"/>
        <rFont val="宋体"/>
        <family val="3"/>
        <charset val="134"/>
      </rPr>
      <t>将期初额与上年度工作底稿或前期财务报表核对。</t>
    </r>
    <r>
      <rPr>
        <sz val="10"/>
        <rFont val="Arial Narrow"/>
        <family val="2"/>
      </rPr>
      <t xml:space="preserve"> </t>
    </r>
    <phoneticPr fontId="53" type="noConversion"/>
  </si>
  <si>
    <t>5</t>
  </si>
  <si>
    <t>将期末余额与总分类账核对一致。</t>
    <phoneticPr fontId="53" type="noConversion"/>
  </si>
  <si>
    <t>6</t>
  </si>
  <si>
    <t>以非记账本位币出资的，检查其折算汇率是否符合规定，折算差额的会计处理是否正确。</t>
    <phoneticPr fontId="53" type="noConversion"/>
  </si>
  <si>
    <t>（三）</t>
    <phoneticPr fontId="53" type="noConversion"/>
  </si>
  <si>
    <t>在使用被审计单位生成的信息（IPE）时，应当评价该信息对实现审计目的是否足够可靠，包括根据具体情况在必要时实施下列程序：</t>
    <phoneticPr fontId="53" type="noConversion"/>
  </si>
  <si>
    <r>
      <rPr>
        <b/>
        <sz val="10"/>
        <color theme="1"/>
        <rFont val="宋体"/>
        <family val="3"/>
        <charset val="134"/>
      </rPr>
      <t>常规★</t>
    </r>
    <phoneticPr fontId="53" type="noConversion"/>
  </si>
  <si>
    <t>T1</t>
    <phoneticPr fontId="53" type="noConversion"/>
  </si>
  <si>
    <t>1</t>
  </si>
  <si>
    <t>获取有关信息准确性和完整性的审计证据。</t>
    <phoneticPr fontId="53" type="noConversion"/>
  </si>
  <si>
    <t>2</t>
  </si>
  <si>
    <t>评价信息对实现审计目的是否足够准确和详细。</t>
    <phoneticPr fontId="53" type="noConversion"/>
  </si>
  <si>
    <t>（四）</t>
    <phoneticPr fontId="18" type="noConversion"/>
  </si>
  <si>
    <r>
      <rPr>
        <sz val="10"/>
        <color theme="1"/>
        <rFont val="宋体"/>
        <family val="3"/>
        <charset val="134"/>
      </rPr>
      <t>对于上期一般风险准备账户的期末余额（</t>
    </r>
    <r>
      <rPr>
        <sz val="10"/>
        <color rgb="FFFF0000"/>
        <rFont val="宋体"/>
        <family val="3"/>
        <charset val="134"/>
      </rPr>
      <t>适用于首次承接时对期初余额的审计</t>
    </r>
    <r>
      <rPr>
        <sz val="10"/>
        <color theme="1"/>
        <rFont val="宋体"/>
        <family val="3"/>
        <charset val="134"/>
      </rPr>
      <t>）：</t>
    </r>
    <phoneticPr fontId="53" type="noConversion"/>
  </si>
  <si>
    <t>备选</t>
    <phoneticPr fontId="53" type="noConversion"/>
  </si>
  <si>
    <t>AB</t>
    <phoneticPr fontId="53" type="noConversion"/>
  </si>
  <si>
    <r>
      <rPr>
        <sz val="10"/>
        <color theme="1"/>
        <rFont val="宋体"/>
        <family val="3"/>
        <charset val="134"/>
      </rPr>
      <t>取得企业成立时的文件、合伙协议等并摘录相关章节。</t>
    </r>
    <r>
      <rPr>
        <sz val="10"/>
        <color theme="1"/>
        <rFont val="Arial"/>
        <family val="2"/>
      </rPr>
      <t/>
    </r>
    <phoneticPr fontId="53" type="noConversion"/>
  </si>
  <si>
    <t>AB</t>
  </si>
  <si>
    <t>向证券结算中介机构并与股票登记簿核对，或向每位合伙人函证以确认股本账户期初金额。</t>
    <phoneticPr fontId="53" type="noConversion"/>
  </si>
  <si>
    <t>（五）</t>
    <phoneticPr fontId="53" type="noConversion"/>
  </si>
  <si>
    <r>
      <rPr>
        <sz val="10"/>
        <color theme="1"/>
        <rFont val="宋体"/>
        <family val="2"/>
        <charset val="134"/>
      </rPr>
      <t>获取董事会</t>
    </r>
    <r>
      <rPr>
        <sz val="10"/>
        <color theme="1"/>
        <rFont val="Arial"/>
        <family val="2"/>
      </rPr>
      <t>/</t>
    </r>
    <r>
      <rPr>
        <sz val="10"/>
        <color theme="1"/>
        <rFont val="宋体"/>
        <family val="2"/>
        <charset val="134"/>
      </rPr>
      <t>股东会会议记录，执行下列审计程序。</t>
    </r>
    <r>
      <rPr>
        <sz val="10"/>
        <color theme="1"/>
        <rFont val="Arial"/>
        <family val="2"/>
      </rPr>
      <t/>
    </r>
    <phoneticPr fontId="53" type="noConversion"/>
  </si>
  <si>
    <t>常规</t>
    <phoneticPr fontId="53" type="noConversion"/>
  </si>
  <si>
    <t>Q8-2</t>
    <phoneticPr fontId="53" type="noConversion"/>
  </si>
  <si>
    <t>确定会议纪要是否包含权益交易。包括：现金股利、股票股利、股票分割；权益回购；已出售的权益性工具。</t>
    <phoneticPr fontId="53" type="noConversion"/>
  </si>
  <si>
    <r>
      <rPr>
        <sz val="10"/>
        <color theme="1"/>
        <rFont val="宋体"/>
        <family val="2"/>
        <charset val="134"/>
      </rPr>
      <t>对于识别出的交易，确认交易是否经过授权并且得到适当会计处理。</t>
    </r>
    <r>
      <rPr>
        <sz val="10"/>
        <color theme="1"/>
        <rFont val="Arial"/>
        <family val="2"/>
      </rPr>
      <t xml:space="preserve"> </t>
    </r>
    <phoneticPr fontId="53" type="noConversion"/>
  </si>
  <si>
    <t>（六）</t>
    <phoneticPr fontId="53" type="noConversion"/>
  </si>
  <si>
    <t>取得一般风险准备账户当期交易活动的明细表，检查增减变动的原因，对每一项增加或减少，关注有关交易的性质，检查法律性文件是否齐全，相关的手续是否办理，以及其会计处理是否正确：</t>
    <phoneticPr fontId="53" type="noConversion"/>
  </si>
  <si>
    <r>
      <rPr>
        <b/>
        <sz val="10"/>
        <rFont val="宋体"/>
        <family val="3"/>
        <charset val="134"/>
      </rPr>
      <t>对于每一增减变动，确定交易的是否恰当，会计处理是否正确。</t>
    </r>
    <r>
      <rPr>
        <b/>
        <sz val="10"/>
        <rFont val="Arial Narrow"/>
        <family val="2"/>
      </rPr>
      <t xml:space="preserve"> </t>
    </r>
    <phoneticPr fontId="53" type="noConversion"/>
  </si>
  <si>
    <t>通过查阅上述会议记录，确定每笔交易是否都已通过授权。</t>
    <phoneticPr fontId="53"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</si>
  <si>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53" type="noConversion"/>
  </si>
  <si>
    <t>4</t>
    <phoneticPr fontId="53" type="noConversion"/>
  </si>
  <si>
    <t>获取所有者权益账户结转明细，并确认入账是否恰当。</t>
    <phoneticPr fontId="53" type="noConversion"/>
  </si>
  <si>
    <t>（七）</t>
    <phoneticPr fontId="53" type="noConversion"/>
  </si>
  <si>
    <r>
      <rPr>
        <b/>
        <sz val="10"/>
        <color theme="1"/>
        <rFont val="宋体"/>
        <family val="3"/>
        <charset val="134"/>
      </rPr>
      <t>确定需在财务报表中单独披露的信息已被记录。</t>
    </r>
    <r>
      <rPr>
        <b/>
        <sz val="10"/>
        <color theme="1"/>
        <rFont val="Arial Narrow"/>
        <family val="2"/>
      </rPr>
      <t xml:space="preserve"> </t>
    </r>
    <phoneticPr fontId="53" type="noConversion"/>
  </si>
  <si>
    <t>E</t>
  </si>
  <si>
    <t>审定表</t>
    <phoneticPr fontId="53" type="noConversion"/>
  </si>
  <si>
    <t>一般风险准备实质性程序表</t>
    <phoneticPr fontId="53" type="noConversion"/>
  </si>
  <si>
    <r>
      <rPr>
        <b/>
        <sz val="10"/>
        <rFont val="宋体"/>
        <family val="3"/>
        <charset val="134"/>
      </rPr>
      <t>致同会计师事务所</t>
    </r>
  </si>
  <si>
    <t>……</t>
    <phoneticPr fontId="18" type="noConversion"/>
  </si>
  <si>
    <t>期初余额</t>
    <phoneticPr fontId="18" type="noConversion"/>
  </si>
  <si>
    <t>期末余额</t>
    <phoneticPr fontId="18" type="noConversion"/>
  </si>
  <si>
    <t>期初余额</t>
    <phoneticPr fontId="18" type="noConversion"/>
  </si>
  <si>
    <t>期末余额</t>
    <phoneticPr fontId="18" type="noConversion"/>
  </si>
  <si>
    <t>二、审计目标与认定的对应关系</t>
    <phoneticPr fontId="18" type="noConversion"/>
  </si>
  <si>
    <t>审计目标</t>
    <phoneticPr fontId="18" type="noConversion"/>
  </si>
  <si>
    <t>存在</t>
    <phoneticPr fontId="18" type="noConversion"/>
  </si>
  <si>
    <t>完整性</t>
    <phoneticPr fontId="18" type="noConversion"/>
  </si>
  <si>
    <t>权利和义务</t>
    <phoneticPr fontId="18" type="noConversion"/>
  </si>
  <si>
    <t>列报</t>
    <phoneticPr fontId="18" type="noConversion"/>
  </si>
  <si>
    <t>底稿索引号</t>
    <phoneticPr fontId="18" type="noConversion"/>
  </si>
  <si>
    <t>财务报表的认定</t>
    <phoneticPr fontId="18" type="noConversion"/>
  </si>
  <si>
    <t>准确性、计价和分摊</t>
  </si>
  <si>
    <t>√</t>
    <phoneticPr fontId="18" type="noConversion"/>
  </si>
  <si>
    <t>常规★</t>
  </si>
  <si>
    <t>检查一般风险准备是否已按企业会计准则或其他适用的规定在财务报表中做出恰当列报和披露。</t>
    <phoneticPr fontId="53" type="noConversion"/>
  </si>
  <si>
    <r>
      <t xml:space="preserve">A. </t>
    </r>
    <r>
      <rPr>
        <sz val="10"/>
        <rFont val="宋体"/>
        <family val="3"/>
        <charset val="134"/>
      </rPr>
      <t>资产负债表中记录的一般风险准备是存在的，且已经记录在恰当的账户中</t>
    </r>
    <phoneticPr fontId="18" type="noConversion"/>
  </si>
  <si>
    <r>
      <t xml:space="preserve">C. </t>
    </r>
    <r>
      <rPr>
        <sz val="10"/>
        <rFont val="宋体"/>
        <family val="3"/>
        <charset val="134"/>
      </rPr>
      <t>记录的一般风险准备由被审计单位拥有或控制</t>
    </r>
    <phoneticPr fontId="18" type="noConversion"/>
  </si>
  <si>
    <r>
      <t xml:space="preserve">D. </t>
    </r>
    <r>
      <rPr>
        <sz val="10"/>
        <rFont val="宋体"/>
        <family val="3"/>
        <charset val="134"/>
      </rPr>
      <t>一般风险准备以恰当的金额包括在财务报表中，与之相关的计价或分摊调整已恰当记录，相关披露已得到恰当计量和描述</t>
    </r>
    <r>
      <rPr>
        <sz val="10"/>
        <rFont val="Arial"/>
        <family val="2"/>
      </rPr>
      <t xml:space="preserve"> </t>
    </r>
    <phoneticPr fontId="18" type="noConversion"/>
  </si>
  <si>
    <t>M8A</t>
    <phoneticPr fontId="53" type="noConversion"/>
  </si>
  <si>
    <t>M8-1</t>
    <phoneticPr fontId="53" type="noConversion"/>
  </si>
  <si>
    <t>明细表</t>
    <phoneticPr fontId="53" type="noConversion"/>
  </si>
  <si>
    <t>M8-2</t>
    <phoneticPr fontId="53" type="noConversion"/>
  </si>
  <si>
    <t>调整分录汇总</t>
    <phoneticPr fontId="53" type="noConversion"/>
  </si>
  <si>
    <t>M8-3</t>
    <phoneticPr fontId="53" type="noConversion"/>
  </si>
  <si>
    <t>一般风险准备测试表</t>
    <phoneticPr fontId="53" type="noConversion"/>
  </si>
  <si>
    <t>M8-4</t>
    <phoneticPr fontId="53" type="noConversion"/>
  </si>
  <si>
    <t>无需打印</t>
  </si>
  <si>
    <r>
      <t>A1-1/</t>
    </r>
    <r>
      <rPr>
        <sz val="10"/>
        <color rgb="FFFF0000"/>
        <rFont val="Arial Narrow"/>
        <family val="2"/>
      </rPr>
      <t>A1-15 /A1-16</t>
    </r>
    <phoneticPr fontId="5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</si>
  <si>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53"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</si>
  <si>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53" type="noConversion"/>
  </si>
  <si>
    <t>索引号：</t>
    <phoneticPr fontId="18" type="noConversion"/>
  </si>
  <si>
    <t>整合</t>
    <phoneticPr fontId="18" type="noConversion"/>
  </si>
  <si>
    <t>保留</t>
    <phoneticPr fontId="18" type="noConversion"/>
  </si>
  <si>
    <r>
      <rPr>
        <sz val="10"/>
        <rFont val="宋体"/>
        <family val="3"/>
        <charset val="134"/>
      </rPr>
      <t>页次：</t>
    </r>
  </si>
  <si>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</si>
  <si>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</si>
  <si>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</si>
  <si>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8"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</si>
  <si>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</si>
  <si>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</si>
  <si>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</si>
  <si>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</si>
  <si>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</si>
  <si>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</si>
  <si>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</si>
  <si>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</si>
  <si>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</si>
  <si>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</si>
  <si>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</si>
  <si>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）一般风险准备变动的原因、依据。</t>
    </r>
    <phoneticPr fontId="18" type="noConversion"/>
  </si>
  <si>
    <r>
      <t>2</t>
    </r>
    <r>
      <rPr>
        <b/>
        <sz val="10"/>
        <rFont val="宋体"/>
        <family val="3"/>
        <charset val="134"/>
      </rPr>
      <t>、审计结论</t>
    </r>
    <phoneticPr fontId="18" type="noConversion"/>
  </si>
  <si>
    <r>
      <t>1.</t>
    </r>
    <r>
      <rPr>
        <sz val="10"/>
        <rFont val="宋体"/>
        <family val="3"/>
        <charset val="134"/>
      </rPr>
      <t>一般风险准备以恰当的金额包括在财务报表中，与之相关的计价或分摊调整已恰当记录，相关披露已得到恰当计量和描述。</t>
    </r>
    <phoneticPr fontId="18" type="noConversion"/>
  </si>
  <si>
    <r>
      <rPr>
        <b/>
        <sz val="10"/>
        <color indexed="8"/>
        <rFont val="宋体"/>
        <family val="3"/>
        <charset val="134"/>
      </rPr>
      <t>项目</t>
    </r>
  </si>
  <si>
    <r>
      <rPr>
        <b/>
        <sz val="10"/>
        <rFont val="宋体"/>
        <family val="3"/>
        <charset val="134"/>
      </rPr>
      <t>期初调整</t>
    </r>
    <phoneticPr fontId="18" type="noConversion"/>
  </si>
  <si>
    <r>
      <rPr>
        <b/>
        <sz val="10"/>
        <color indexed="8"/>
        <rFont val="宋体"/>
        <family val="3"/>
        <charset val="134"/>
      </rPr>
      <t>文件依据</t>
    </r>
    <phoneticPr fontId="18" type="noConversion"/>
  </si>
  <si>
    <r>
      <rPr>
        <b/>
        <sz val="10"/>
        <color indexed="8"/>
        <rFont val="宋体"/>
        <family val="3"/>
        <charset val="134"/>
      </rPr>
      <t>期初数</t>
    </r>
    <phoneticPr fontId="18"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</si>
  <si>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</si>
  <si>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</si>
  <si>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r>
      <rPr>
        <b/>
        <sz val="10"/>
        <color indexed="8"/>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</si>
  <si>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</si>
  <si>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18" type="noConversion"/>
  </si>
  <si>
    <r>
      <rPr>
        <b/>
        <sz val="10"/>
        <color indexed="8"/>
        <rFont val="宋体"/>
        <family val="3"/>
        <charset val="134"/>
      </rPr>
      <t>索引号</t>
    </r>
    <phoneticPr fontId="18" type="noConversion"/>
  </si>
  <si>
    <r>
      <rPr>
        <b/>
        <sz val="10"/>
        <rFont val="宋体"/>
        <family val="3"/>
        <charset val="134"/>
      </rPr>
      <t>备注</t>
    </r>
    <phoneticPr fontId="18" type="noConversion"/>
  </si>
  <si>
    <r>
      <rPr>
        <sz val="10"/>
        <color indexed="8"/>
        <rFont val="宋体"/>
        <family val="3"/>
        <charset val="134"/>
      </rPr>
      <t>一般风险准备</t>
    </r>
    <phoneticPr fontId="18" type="noConversion"/>
  </si>
  <si>
    <r>
      <rPr>
        <b/>
        <sz val="10"/>
        <color indexed="8"/>
        <rFont val="宋体"/>
        <family val="3"/>
        <charset val="134"/>
      </rPr>
      <t>合计</t>
    </r>
  </si>
  <si>
    <r>
      <rPr>
        <b/>
        <sz val="10"/>
        <rFont val="宋体"/>
        <family val="3"/>
        <charset val="134"/>
      </rPr>
      <t>三、审计说明：</t>
    </r>
    <phoneticPr fontId="18" type="noConversion"/>
  </si>
  <si>
    <r>
      <rPr>
        <b/>
        <sz val="10"/>
        <rFont val="宋体"/>
        <family val="3"/>
        <charset val="134"/>
      </rPr>
      <t>四、审计结论：</t>
    </r>
    <phoneticPr fontId="18" type="noConversion"/>
  </si>
  <si>
    <r>
      <rPr>
        <b/>
        <sz val="10"/>
        <rFont val="宋体"/>
        <family val="3"/>
        <charset val="134"/>
      </rPr>
      <t>一、审计目标：</t>
    </r>
    <phoneticPr fontId="28" type="noConversion"/>
  </si>
  <si>
    <r>
      <rPr>
        <b/>
        <sz val="10"/>
        <rFont val="宋体"/>
        <family val="3"/>
        <charset val="134"/>
      </rPr>
      <t>二、审计过程：</t>
    </r>
    <phoneticPr fontId="28" type="noConversion"/>
  </si>
  <si>
    <r>
      <rPr>
        <b/>
        <sz val="10"/>
        <rFont val="宋体"/>
        <family val="3"/>
        <charset val="134"/>
      </rPr>
      <t>项目</t>
    </r>
    <phoneticPr fontId="18" type="noConversion"/>
  </si>
  <si>
    <r>
      <rPr>
        <b/>
        <sz val="10"/>
        <rFont val="宋体"/>
        <family val="3"/>
        <charset val="134"/>
      </rPr>
      <t>本期增加额</t>
    </r>
  </si>
  <si>
    <r>
      <rPr>
        <b/>
        <sz val="10"/>
        <rFont val="宋体"/>
        <family val="3"/>
        <charset val="134"/>
      </rPr>
      <t>提取</t>
    </r>
    <phoneticPr fontId="18" type="noConversion"/>
  </si>
  <si>
    <r>
      <rPr>
        <b/>
        <sz val="10"/>
        <rFont val="宋体"/>
        <family val="3"/>
        <charset val="134"/>
      </rPr>
      <t>应计金额</t>
    </r>
    <phoneticPr fontId="18" type="noConversion"/>
  </si>
  <si>
    <r>
      <rPr>
        <b/>
        <sz val="10"/>
        <rFont val="宋体"/>
        <family val="3"/>
        <charset val="134"/>
      </rPr>
      <t>差异</t>
    </r>
    <phoneticPr fontId="18" type="noConversion"/>
  </si>
  <si>
    <r>
      <rPr>
        <b/>
        <sz val="10"/>
        <rFont val="宋体"/>
        <family val="3"/>
        <charset val="134"/>
      </rPr>
      <t>差异原因</t>
    </r>
    <phoneticPr fontId="18" type="noConversion"/>
  </si>
  <si>
    <r>
      <rPr>
        <b/>
        <sz val="10"/>
        <rFont val="宋体"/>
        <family val="3"/>
        <charset val="134"/>
      </rPr>
      <t>相关依据索引号</t>
    </r>
    <phoneticPr fontId="18" type="noConversion"/>
  </si>
  <si>
    <r>
      <rPr>
        <b/>
        <sz val="10"/>
        <rFont val="宋体"/>
        <family val="3"/>
        <charset val="134"/>
      </rPr>
      <t>相关数据来源索引号</t>
    </r>
    <phoneticPr fontId="18" type="noConversion"/>
  </si>
  <si>
    <r>
      <rPr>
        <b/>
        <sz val="10"/>
        <rFont val="宋体"/>
        <family val="3"/>
        <charset val="134"/>
      </rPr>
      <t>计提</t>
    </r>
    <phoneticPr fontId="18" type="noConversion"/>
  </si>
  <si>
    <r>
      <rPr>
        <b/>
        <sz val="10"/>
        <rFont val="宋体"/>
        <family val="3"/>
        <charset val="134"/>
      </rPr>
      <t>其它</t>
    </r>
  </si>
  <si>
    <r>
      <rPr>
        <b/>
        <sz val="10"/>
        <rFont val="宋体"/>
        <family val="3"/>
        <charset val="134"/>
      </rPr>
      <t>标准</t>
    </r>
    <phoneticPr fontId="18" type="noConversion"/>
  </si>
  <si>
    <r>
      <rPr>
        <b/>
        <sz val="10"/>
        <rFont val="宋体"/>
        <family val="3"/>
        <charset val="134"/>
      </rPr>
      <t>基数</t>
    </r>
    <phoneticPr fontId="18" type="noConversion"/>
  </si>
  <si>
    <r>
      <rPr>
        <b/>
        <sz val="10"/>
        <rFont val="宋体"/>
        <family val="3"/>
        <charset val="134"/>
      </rPr>
      <t>比例（注）</t>
    </r>
    <phoneticPr fontId="18" type="noConversion"/>
  </si>
  <si>
    <r>
      <rPr>
        <b/>
        <sz val="10"/>
        <rFont val="宋体"/>
        <family val="3"/>
        <charset val="134"/>
      </rPr>
      <t>合</t>
    </r>
    <r>
      <rPr>
        <b/>
        <sz val="10"/>
        <rFont val="Arial Narrow"/>
        <family val="2"/>
      </rPr>
      <t xml:space="preserve">   </t>
    </r>
    <r>
      <rPr>
        <b/>
        <sz val="10"/>
        <rFont val="宋体"/>
        <family val="3"/>
        <charset val="134"/>
      </rPr>
      <t>计</t>
    </r>
  </si>
  <si>
    <r>
      <rPr>
        <b/>
        <sz val="10"/>
        <rFont val="宋体"/>
        <family val="3"/>
        <charset val="134"/>
      </rPr>
      <t>三、审计说明：</t>
    </r>
    <phoneticPr fontId="28" type="noConversion"/>
  </si>
  <si>
    <r>
      <rPr>
        <b/>
        <sz val="12"/>
        <rFont val="宋体"/>
        <family val="3"/>
        <charset val="134"/>
      </rPr>
      <t>针对性测试</t>
    </r>
  </si>
  <si>
    <r>
      <rPr>
        <sz val="10"/>
        <rFont val="宋体"/>
        <family val="3"/>
        <charset val="134"/>
      </rPr>
      <t>索引号：</t>
    </r>
    <r>
      <rPr>
        <sz val="10"/>
        <rFont val="Arial Narrow"/>
        <family val="2"/>
      </rPr>
      <t>M8-5</t>
    </r>
    <phoneticPr fontId="18" type="noConversion"/>
  </si>
  <si>
    <r>
      <rPr>
        <b/>
        <sz val="10"/>
        <rFont val="宋体"/>
        <family val="3"/>
        <charset val="134"/>
      </rPr>
      <t>一、测试目标：</t>
    </r>
    <phoneticPr fontId="28" type="noConversion"/>
  </si>
  <si>
    <r>
      <t>1.</t>
    </r>
    <r>
      <rPr>
        <sz val="10"/>
        <rFont val="宋体"/>
        <family val="3"/>
        <charset val="134"/>
      </rPr>
      <t>通过选取一般风险准备的样本进行测试检查，验证一般风险准备项目的存在</t>
    </r>
    <r>
      <rPr>
        <sz val="10"/>
        <rFont val="Arial Narrow"/>
        <family val="2"/>
      </rPr>
      <t>/</t>
    </r>
    <r>
      <rPr>
        <sz val="10"/>
        <rFont val="宋体"/>
        <family val="3"/>
        <charset val="134"/>
      </rPr>
      <t>发生、计价和分摊。</t>
    </r>
    <phoneticPr fontId="18" type="noConversion"/>
  </si>
  <si>
    <r>
      <rPr>
        <b/>
        <sz val="10"/>
        <rFont val="宋体"/>
        <family val="3"/>
        <charset val="134"/>
      </rPr>
      <t>二、样本选取标准与规模：</t>
    </r>
    <phoneticPr fontId="28" type="noConversion"/>
  </si>
  <si>
    <r>
      <rPr>
        <sz val="10"/>
        <rFont val="宋体"/>
        <family val="3"/>
        <charset val="134"/>
      </rPr>
      <t>测试总体：</t>
    </r>
    <phoneticPr fontId="18" type="noConversion"/>
  </si>
  <si>
    <r>
      <rPr>
        <sz val="10"/>
        <color rgb="FF0000FF"/>
        <rFont val="宋体"/>
        <family val="3"/>
        <charset val="134"/>
      </rPr>
      <t>如盈余公积借方发生额所有凭证共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</si>
  <si>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r>
      <rPr>
        <sz val="10"/>
        <rFont val="宋体"/>
        <family val="3"/>
        <charset val="134"/>
      </rPr>
      <t>特定样本：</t>
    </r>
    <phoneticPr fontId="18"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</si>
  <si>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8" type="noConversion"/>
  </si>
  <si>
    <r>
      <rPr>
        <sz val="10"/>
        <rFont val="宋体"/>
        <family val="3"/>
        <charset val="134"/>
      </rPr>
      <t>抽样总体：</t>
    </r>
    <phoneticPr fontId="18"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</si>
  <si>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8" type="noConversion"/>
  </si>
  <si>
    <r>
      <rPr>
        <sz val="10"/>
        <rFont val="宋体"/>
        <family val="3"/>
        <charset val="134"/>
      </rPr>
      <t>确定的抽样样本量：</t>
    </r>
    <phoneticPr fontId="18"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</si>
  <si>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8"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</si>
  <si>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8" type="noConversion"/>
  </si>
  <si>
    <r>
      <rPr>
        <sz val="10"/>
        <rFont val="宋体"/>
        <family val="3"/>
        <charset val="134"/>
      </rPr>
      <t>抽样方法：</t>
    </r>
    <phoneticPr fontId="18" type="noConversion"/>
  </si>
  <si>
    <r>
      <rPr>
        <sz val="10"/>
        <color rgb="FF0000FF"/>
        <rFont val="宋体"/>
        <family val="3"/>
        <charset val="134"/>
      </rPr>
      <t>随机选样</t>
    </r>
    <r>
      <rPr>
        <sz val="10"/>
        <color rgb="FF0000FF"/>
        <rFont val="Arial Narrow"/>
        <family val="2"/>
      </rPr>
      <t>/</t>
    </r>
    <r>
      <rPr>
        <sz val="10"/>
        <color rgb="FF0000FF"/>
        <rFont val="宋体"/>
        <family val="3"/>
        <charset val="134"/>
      </rPr>
      <t>系统选样</t>
    </r>
    <r>
      <rPr>
        <sz val="10"/>
        <color rgb="FF0000FF"/>
        <rFont val="Arial Narrow"/>
        <family val="2"/>
      </rPr>
      <t>/</t>
    </r>
    <r>
      <rPr>
        <sz val="10"/>
        <color rgb="FF0000FF"/>
        <rFont val="宋体"/>
        <family val="3"/>
        <charset val="134"/>
      </rPr>
      <t>货币单元抽样</t>
    </r>
    <r>
      <rPr>
        <sz val="10"/>
        <color rgb="FF0000FF"/>
        <rFont val="Arial Narrow"/>
        <family val="2"/>
      </rPr>
      <t>/</t>
    </r>
    <r>
      <rPr>
        <sz val="10"/>
        <color rgb="FF0000FF"/>
        <rFont val="宋体"/>
        <family val="3"/>
        <charset val="134"/>
      </rPr>
      <t>随意选样</t>
    </r>
    <phoneticPr fontId="18" type="noConversion"/>
  </si>
  <si>
    <r>
      <rPr>
        <sz val="10"/>
        <rFont val="宋体"/>
        <family val="3"/>
        <charset val="134"/>
      </rPr>
      <t>抽样过程：</t>
    </r>
    <phoneticPr fontId="18"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</si>
  <si>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8" type="noConversion"/>
  </si>
  <si>
    <r>
      <rPr>
        <b/>
        <sz val="10"/>
        <rFont val="宋体"/>
        <family val="3"/>
        <charset val="134"/>
      </rPr>
      <t>三、测试：</t>
    </r>
    <phoneticPr fontId="28" type="noConversion"/>
  </si>
  <si>
    <r>
      <rPr>
        <b/>
        <sz val="10"/>
        <rFont val="宋体"/>
        <family val="3"/>
        <charset val="134"/>
      </rPr>
      <t>记账凭证</t>
    </r>
    <phoneticPr fontId="18" type="noConversion"/>
  </si>
  <si>
    <r>
      <rPr>
        <b/>
        <sz val="10"/>
        <color rgb="FF000000"/>
        <rFont val="宋体"/>
        <family val="3"/>
        <charset val="134"/>
      </rPr>
      <t>董事会</t>
    </r>
    <r>
      <rPr>
        <b/>
        <sz val="10"/>
        <color rgb="FF000000"/>
        <rFont val="Arial Narrow"/>
        <family val="2"/>
      </rPr>
      <t>/</t>
    </r>
    <r>
      <rPr>
        <b/>
        <sz val="10"/>
        <color rgb="FF000000"/>
        <rFont val="宋体"/>
        <family val="3"/>
        <charset val="134"/>
      </rPr>
      <t>股东会会议纪要</t>
    </r>
    <phoneticPr fontId="18" type="noConversion"/>
  </si>
  <si>
    <r>
      <rPr>
        <b/>
        <sz val="10"/>
        <color rgb="FFFF0000"/>
        <rFont val="宋体"/>
        <family val="3"/>
        <charset val="134"/>
      </rPr>
      <t>索引号</t>
    </r>
  </si>
  <si>
    <r>
      <rPr>
        <b/>
        <sz val="10"/>
        <rFont val="宋体"/>
        <family val="3"/>
        <charset val="134"/>
      </rPr>
      <t>备注说明</t>
    </r>
    <phoneticPr fontId="18" type="noConversion"/>
  </si>
  <si>
    <r>
      <rPr>
        <b/>
        <sz val="10"/>
        <rFont val="宋体"/>
        <family val="3"/>
        <charset val="134"/>
      </rPr>
      <t>日期</t>
    </r>
  </si>
  <si>
    <r>
      <rPr>
        <b/>
        <sz val="10"/>
        <rFont val="宋体"/>
        <family val="3"/>
        <charset val="134"/>
      </rPr>
      <t>凭证编号</t>
    </r>
  </si>
  <si>
    <r>
      <rPr>
        <b/>
        <sz val="10"/>
        <rFont val="宋体"/>
        <family val="3"/>
        <charset val="134"/>
      </rPr>
      <t>业务内容</t>
    </r>
    <phoneticPr fontId="18" type="noConversion"/>
  </si>
  <si>
    <r>
      <rPr>
        <b/>
        <sz val="10"/>
        <rFont val="宋体"/>
        <family val="3"/>
        <charset val="134"/>
      </rPr>
      <t>对方科目</t>
    </r>
    <phoneticPr fontId="18" type="noConversion"/>
  </si>
  <si>
    <r>
      <rPr>
        <b/>
        <sz val="10"/>
        <rFont val="宋体"/>
        <family val="3"/>
        <charset val="134"/>
      </rPr>
      <t>明细科目</t>
    </r>
  </si>
  <si>
    <r>
      <rPr>
        <b/>
        <sz val="10"/>
        <rFont val="宋体"/>
        <family val="3"/>
        <charset val="134"/>
      </rPr>
      <t>借</t>
    </r>
    <r>
      <rPr>
        <b/>
        <sz val="10"/>
        <rFont val="Arial Narrow"/>
        <family val="2"/>
      </rPr>
      <t>/</t>
    </r>
    <r>
      <rPr>
        <b/>
        <sz val="10"/>
        <rFont val="宋体"/>
        <family val="3"/>
        <charset val="134"/>
      </rPr>
      <t>贷方金额</t>
    </r>
    <phoneticPr fontId="18" type="noConversion"/>
  </si>
  <si>
    <r>
      <rPr>
        <b/>
        <sz val="10"/>
        <rFont val="宋体"/>
        <family val="3"/>
        <charset val="134"/>
      </rPr>
      <t>日期</t>
    </r>
    <phoneticPr fontId="18" type="noConversion"/>
  </si>
  <si>
    <r>
      <rPr>
        <b/>
        <sz val="10"/>
        <rFont val="宋体"/>
        <family val="3"/>
        <charset val="134"/>
      </rPr>
      <t>会议编号</t>
    </r>
    <phoneticPr fontId="18" type="noConversion"/>
  </si>
  <si>
    <r>
      <rPr>
        <b/>
        <sz val="10"/>
        <rFont val="宋体"/>
        <family val="3"/>
        <charset val="134"/>
      </rPr>
      <t>一般风险准备计提方案</t>
    </r>
    <phoneticPr fontId="18" type="noConversion"/>
  </si>
  <si>
    <r>
      <rPr>
        <sz val="10"/>
        <color rgb="FF0000FF"/>
        <rFont val="宋体"/>
        <family val="3"/>
        <charset val="134"/>
      </rPr>
      <t>【注：</t>
    </r>
    <r>
      <rPr>
        <sz val="10"/>
        <color rgb="FF0000FF"/>
        <rFont val="Arial Narrow"/>
        <family val="2"/>
      </rPr>
      <t>“</t>
    </r>
    <r>
      <rPr>
        <sz val="10"/>
        <color rgb="FF0000FF"/>
        <rFont val="宋体"/>
        <family val="3"/>
        <charset val="134"/>
      </rPr>
      <t>备注说明</t>
    </r>
    <r>
      <rPr>
        <sz val="10"/>
        <color rgb="FF0000FF"/>
        <rFont val="Arial Narrow"/>
        <family val="2"/>
      </rPr>
      <t>”</t>
    </r>
    <r>
      <rPr>
        <sz val="10"/>
        <color rgb="FF0000FF"/>
        <rFont val="宋体"/>
        <family val="3"/>
        <charset val="134"/>
      </rPr>
      <t>栏主要填写有必要做出进一步说明，且其他字段和审计证据中未记录的内容；由项目组根据需要选择是否需要填写。】</t>
    </r>
    <phoneticPr fontId="18" type="noConversion"/>
  </si>
  <si>
    <r>
      <rPr>
        <b/>
        <sz val="10"/>
        <rFont val="宋体"/>
        <family val="3"/>
        <charset val="134"/>
      </rPr>
      <t>四、审计说明：</t>
    </r>
    <phoneticPr fontId="28" type="noConversion"/>
  </si>
  <si>
    <r>
      <rPr>
        <b/>
        <sz val="10"/>
        <rFont val="宋体"/>
        <family val="3"/>
        <charset val="134"/>
      </rPr>
      <t>五、审计结论：</t>
    </r>
    <phoneticPr fontId="18" type="noConversion"/>
  </si>
  <si>
    <r>
      <t>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</si>
  <si>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t>2、审计结论可参考：A、未见异常。B、除上述重大不符事项应当作为调整事项予以调整外，其余未见异常。C、由于存在以下重大未调整事项(或审计范围受到限制无法获取充分、适当证据），不可确认。</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</si>
  <si>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</si>
  <si>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获取或编制专项储备明细表，完成以下工作，并编制审定表
复核加计是否正确，与总账、明细账合计数核对是否相符，期初余额与上期审定期末余额是否相符；</t>
    <phoneticPr fontId="53" type="noConversion"/>
  </si>
  <si>
    <t>常规★</t>
    <phoneticPr fontId="53"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</si>
  <si>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18" type="noConversion"/>
  </si>
  <si>
    <t>获取一般风险储备的计提及标准的相关文件，检查是否已按照相关行业规定计提一般风险储备，判断其分类为是否恰当、计提金额是否正确、会计处理是否正确。</t>
    <phoneticPr fontId="18" type="noConversion"/>
  </si>
  <si>
    <r>
      <t>对于上期一般风险储备末余额，取得一般风险储备明细表复核加计是否正确，与总账、明细账合计数是否相符，检查被审计单位一般风险储备计提政策等文件。</t>
    </r>
    <r>
      <rPr>
        <sz val="10"/>
        <color rgb="FFFF0000"/>
        <rFont val="宋体"/>
        <family val="3"/>
        <charset val="134"/>
      </rPr>
      <t>（适用于首次承接）</t>
    </r>
    <phoneticPr fontId="18" type="noConversion"/>
  </si>
  <si>
    <t>√</t>
    <phoneticPr fontId="18" type="noConversion"/>
  </si>
  <si>
    <t>√</t>
    <phoneticPr fontId="18" type="noConversion"/>
  </si>
  <si>
    <t>删除</t>
    <phoneticPr fontId="18" type="noConversion"/>
  </si>
  <si>
    <t>修改</t>
    <phoneticPr fontId="18" type="noConversion"/>
  </si>
  <si>
    <t>M8-1
/M8-2</t>
    <phoneticPr fontId="18" type="noConversion"/>
  </si>
  <si>
    <t>T1/</t>
    <phoneticPr fontId="53" type="noConversion"/>
  </si>
  <si>
    <t>M8-4</t>
    <phoneticPr fontId="18" type="noConversion"/>
  </si>
  <si>
    <t>一般风险准备审定表</t>
  </si>
  <si>
    <t>一般风险准备测试表</t>
    <phoneticPr fontId="18" type="noConversion"/>
  </si>
  <si>
    <r>
      <rPr>
        <b/>
        <sz val="10"/>
        <rFont val="宋体"/>
        <family val="3"/>
        <charset val="134"/>
      </rPr>
      <t>附注项目</t>
    </r>
    <phoneticPr fontId="18" type="noConversion"/>
  </si>
  <si>
    <r>
      <rPr>
        <b/>
        <sz val="10"/>
        <rFont val="宋体"/>
        <family val="3"/>
        <charset val="134"/>
      </rPr>
      <t>备注</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</si>
  <si>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</si>
  <si>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</si>
  <si>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</si>
  <si>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</si>
  <si>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</si>
  <si>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</si>
  <si>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</si>
  <si>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</si>
  <si>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</si>
  <si>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</si>
  <si>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</si>
  <si>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</si>
  <si>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准确性、计价和分摊</t>
    <phoneticPr fontId="18" type="noConversion"/>
  </si>
  <si>
    <t>存在</t>
    <phoneticPr fontId="18" type="noConversion"/>
  </si>
  <si>
    <t>完整性</t>
    <phoneticPr fontId="18" type="noConversion"/>
  </si>
  <si>
    <t>权利和义务</t>
    <phoneticPr fontId="18" type="noConversion"/>
  </si>
  <si>
    <r>
      <t xml:space="preserve">B. </t>
    </r>
    <r>
      <rPr>
        <sz val="10"/>
        <rFont val="宋体"/>
        <family val="3"/>
        <charset val="134"/>
      </rPr>
      <t>所有应记录的一般风险准备均已记录，所有应当包括在财务报表中的相关披露均已包括</t>
    </r>
    <phoneticPr fontId="18" type="noConversion"/>
  </si>
  <si>
    <r>
      <t xml:space="preserve">E. </t>
    </r>
    <r>
      <rPr>
        <sz val="10"/>
        <rFont val="宋体"/>
        <family val="3"/>
        <charset val="134"/>
      </rPr>
      <t>一般风险准备已被恰当地汇总或分解且表述清楚，相关披露在按照企业会计准则的编制基础下是相关的、可理解的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</si>
  <si>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</si>
  <si>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</si>
  <si>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</si>
  <si>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</si>
  <si>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</si>
  <si>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</si>
  <si>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53" type="noConversion"/>
  </si>
  <si>
    <t>一般风险准备调整分录汇总表</t>
    <phoneticPr fontId="18" type="noConversion"/>
  </si>
  <si>
    <t>致同会计师事务所</t>
    <phoneticPr fontId="18" type="noConversion"/>
  </si>
  <si>
    <t>一般风险准备明细表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</si>
</sst>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8">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2"/>
      <name val="宋体"/>
      <family val="3"/>
      <charset val="134"/>
    </font>
    <font>
      <b/>
      <sz val="10"/>
      <color indexed="8"/>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b/>
      <sz val="12"/>
      <name val="Arial"/>
      <family val="2"/>
    </font>
    <font>
      <b/>
      <sz val="12"/>
      <name val="Arial Narrow"/>
      <family val="2"/>
    </font>
    <font>
      <sz val="12"/>
      <name val="Arial Narrow"/>
      <family val="2"/>
    </font>
    <font>
      <sz val="10"/>
      <name val="Arial Narrow"/>
      <family val="2"/>
    </font>
    <font>
      <b/>
      <sz val="10"/>
      <name val="Arial Narrow"/>
      <family val="2"/>
    </font>
    <font>
      <b/>
      <sz val="10"/>
      <color indexed="8"/>
      <name val="Arial Narrow"/>
      <family val="2"/>
    </font>
    <font>
      <sz val="10"/>
      <color indexed="12"/>
      <name val="Arial Narrow"/>
      <family val="2"/>
    </font>
    <font>
      <u val="singleAccounting"/>
      <vertAlign val="subscript"/>
      <sz val="10"/>
      <name val="Times New Roman"/>
      <family val="1"/>
    </font>
    <font>
      <i/>
      <sz val="9"/>
      <name val="Times New Roman"/>
      <family val="1"/>
    </font>
    <font>
      <sz val="10"/>
      <color indexed="8"/>
      <name val="Arial Narrow"/>
      <family val="2"/>
    </font>
    <font>
      <b/>
      <u/>
      <sz val="10"/>
      <color indexed="10"/>
      <name val="Arial Narrow"/>
      <family val="2"/>
    </font>
    <font>
      <sz val="10"/>
      <color indexed="8"/>
      <name val="宋体"/>
      <family val="3"/>
      <charset val="134"/>
    </font>
    <font>
      <b/>
      <sz val="10"/>
      <name val="宋体"/>
      <family val="3"/>
      <charset val="134"/>
      <scheme val="minor"/>
    </font>
    <font>
      <sz val="10"/>
      <name val="宋体"/>
      <family val="3"/>
      <charset val="134"/>
      <scheme val="minor"/>
    </font>
    <font>
      <sz val="12"/>
      <name val="宋体"/>
      <family val="3"/>
      <charset val="134"/>
      <scheme val="minor"/>
    </font>
    <font>
      <sz val="12"/>
      <name val="宋体"/>
      <family val="3"/>
      <charset val="134"/>
    </font>
    <font>
      <sz val="9"/>
      <name val="宋体"/>
      <family val="3"/>
      <charset val="134"/>
      <scheme val="minor"/>
    </font>
    <font>
      <sz val="11"/>
      <color theme="1"/>
      <name val="宋体"/>
      <family val="3"/>
      <charset val="134"/>
      <scheme val="minor"/>
    </font>
    <font>
      <sz val="12"/>
      <name val="Times New Roman"/>
      <family val="1"/>
    </font>
    <font>
      <u/>
      <sz val="10"/>
      <name val="Arial Narrow"/>
      <family val="2"/>
    </font>
    <font>
      <sz val="10"/>
      <color indexed="10"/>
      <name val="宋体"/>
      <family val="3"/>
      <charset val="134"/>
    </font>
    <font>
      <sz val="9"/>
      <name val="宋体"/>
      <family val="2"/>
      <charset val="134"/>
      <scheme val="minor"/>
    </font>
    <font>
      <sz val="10"/>
      <color theme="1"/>
      <name val="Arial Narrow"/>
      <family val="2"/>
    </font>
    <font>
      <sz val="11"/>
      <color theme="1"/>
      <name val="Arial Narrow"/>
      <family val="2"/>
    </font>
    <font>
      <b/>
      <sz val="14"/>
      <name val="宋体"/>
      <family val="3"/>
      <charset val="134"/>
    </font>
    <font>
      <b/>
      <sz val="14"/>
      <name val="Arial Narrow"/>
      <family val="2"/>
    </font>
    <font>
      <b/>
      <sz val="10"/>
      <name val="Arial"/>
      <family val="2"/>
    </font>
    <font>
      <sz val="10"/>
      <color theme="1" tint="0.14999847407452621"/>
      <name val="宋体"/>
      <family val="3"/>
      <charset val="134"/>
    </font>
    <font>
      <b/>
      <sz val="10"/>
      <color rgb="FFFF0000"/>
      <name val="Arial Narrow"/>
      <family val="2"/>
    </font>
    <font>
      <sz val="10"/>
      <color indexed="10"/>
      <name val="Arial"/>
      <family val="2"/>
    </font>
    <font>
      <sz val="10"/>
      <color rgb="FFFF0000"/>
      <name val="Arial Narrow"/>
      <family val="2"/>
    </font>
    <font>
      <sz val="10"/>
      <color rgb="FF0070C0"/>
      <name val="Arial Narrow"/>
      <family val="2"/>
    </font>
    <font>
      <b/>
      <sz val="10"/>
      <color theme="0" tint="-0.499984740745262"/>
      <name val="Arial Narrow"/>
      <family val="2"/>
    </font>
    <font>
      <b/>
      <sz val="10"/>
      <color theme="1"/>
      <name val="Arial Narrow"/>
      <family val="2"/>
    </font>
    <font>
      <sz val="10"/>
      <color theme="1"/>
      <name val="宋体"/>
      <family val="3"/>
      <charset val="134"/>
    </font>
    <font>
      <sz val="11"/>
      <name val="Arial Narrow"/>
      <family val="2"/>
    </font>
    <font>
      <sz val="10"/>
      <color theme="1"/>
      <name val="Arial"/>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sz val="10"/>
      <color rgb="FF0000FF"/>
      <name val="宋体"/>
      <family val="3"/>
      <charset val="134"/>
    </font>
    <font>
      <i/>
      <u/>
      <sz val="10"/>
      <color indexed="12"/>
      <name val="Arial Narrow"/>
      <family val="2"/>
    </font>
    <font>
      <b/>
      <sz val="10"/>
      <color rgb="FF000000"/>
      <name val="宋体"/>
      <family val="3"/>
      <charset val="134"/>
      <scheme val="minor"/>
    </font>
    <font>
      <sz val="10"/>
      <color rgb="FF000000"/>
      <name val="宋体"/>
      <family val="3"/>
      <charset val="134"/>
      <scheme val="minor"/>
    </font>
    <font>
      <sz val="10"/>
      <name val="宋体"/>
      <family val="2"/>
      <charset val="134"/>
    </font>
    <font>
      <b/>
      <sz val="10"/>
      <name val="Arial Narrow"/>
      <family val="3"/>
      <charset val="134"/>
    </font>
    <font>
      <b/>
      <sz val="10"/>
      <color rgb="FFFF0000"/>
      <name val="宋体"/>
      <family val="3"/>
      <charset val="134"/>
    </font>
    <font>
      <b/>
      <sz val="10"/>
      <color rgb="FF000000"/>
      <name val="宋体"/>
      <family val="3"/>
      <charset val="134"/>
    </font>
    <font>
      <sz val="10"/>
      <color rgb="FF0000FF"/>
      <name val="Arial Narrow"/>
      <family val="2"/>
    </font>
    <font>
      <sz val="10"/>
      <color indexed="10"/>
      <name val="Arial Narrow"/>
      <family val="2"/>
    </font>
    <font>
      <sz val="10"/>
      <color rgb="FF0000FF"/>
      <name val="宋体"/>
      <family val="3"/>
      <charset val="134"/>
      <scheme val="minor"/>
    </font>
    <font>
      <b/>
      <sz val="10"/>
      <color rgb="FF000000"/>
      <name val="Arial Narrow"/>
      <family val="2"/>
    </font>
    <font>
      <sz val="10"/>
      <color rgb="FF3333FF"/>
      <name val="Arial Narrow"/>
      <family val="2"/>
    </font>
    <font>
      <sz val="10"/>
      <color rgb="FF3333FF"/>
      <name val="宋体"/>
      <family val="3"/>
      <charset val="134"/>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9"/>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rgb="FFE4DFEC"/>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indexed="64"/>
      </bottom>
      <diagonal/>
    </border>
    <border>
      <left style="hair">
        <color indexed="64"/>
      </left>
      <right/>
      <top/>
      <bottom/>
      <diagonal/>
    </border>
  </borders>
  <cellStyleXfs count="60">
    <xf numFmtId="0" fontId="0" fillId="0" borderId="0">
      <protection locked="0"/>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39" fillId="0" borderId="0" applyFill="0" applyBorder="0" applyProtection="0">
      <alignment horizontal="center"/>
    </xf>
    <xf numFmtId="187" fontId="39" fillId="0" borderId="0" applyFill="0" applyBorder="0" applyProtection="0">
      <alignment horizontal="center"/>
    </xf>
    <xf numFmtId="190" fontId="40"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0" fontId="11" fillId="0" borderId="0">
      <alignment vertical="center"/>
    </xf>
    <xf numFmtId="0" fontId="11" fillId="0" borderId="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0" fontId="11" fillId="0" borderId="0"/>
    <xf numFmtId="9" fontId="47" fillId="0" borderId="0" applyFont="0" applyFill="0" applyBorder="0" applyAlignment="0" applyProtection="0">
      <alignment vertical="center"/>
    </xf>
    <xf numFmtId="0" fontId="11" fillId="0" borderId="0">
      <alignment vertical="center"/>
    </xf>
    <xf numFmtId="193" fontId="49" fillId="0" borderId="0">
      <alignment vertical="center"/>
    </xf>
    <xf numFmtId="193" fontId="11" fillId="0" borderId="0"/>
    <xf numFmtId="0" fontId="11" fillId="0" borderId="0" applyFill="0" applyBorder="0"/>
    <xf numFmtId="0" fontId="50"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2" fillId="0" borderId="0">
      <alignment vertical="center"/>
    </xf>
    <xf numFmtId="193" fontId="1" fillId="0" borderId="0">
      <alignment vertical="center"/>
    </xf>
  </cellStyleXfs>
  <cellXfs count="338">
    <xf numFmtId="0" fontId="0" fillId="0" borderId="0" xfId="0">
      <protection locked="0"/>
    </xf>
    <xf numFmtId="0" fontId="21" fillId="0" borderId="0" xfId="0" applyFont="1" applyAlignment="1">
      <alignment horizontal="justify" wrapText="1"/>
      <protection locked="0"/>
    </xf>
    <xf numFmtId="0" fontId="21" fillId="0" borderId="0" xfId="0" applyFont="1" applyAlignment="1">
      <alignment horizontal="justify" vertical="top" wrapText="1"/>
      <protection locked="0"/>
    </xf>
    <xf numFmtId="0" fontId="20"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lignment vertical="center"/>
      <protection locked="0"/>
    </xf>
    <xf numFmtId="0" fontId="11" fillId="0" borderId="0" xfId="0" applyFont="1" applyAlignment="1">
      <alignment vertical="center"/>
      <protection locked="0"/>
    </xf>
    <xf numFmtId="0" fontId="30" fillId="0" borderId="0" xfId="0" applyFont="1" applyAlignment="1">
      <alignment horizontal="justify" wrapText="1"/>
      <protection locked="0"/>
    </xf>
    <xf numFmtId="0" fontId="11" fillId="0" borderId="0" xfId="0" applyFont="1" applyAlignment="1">
      <alignment horizontal="center" vertical="center"/>
      <protection locked="0"/>
    </xf>
    <xf numFmtId="0" fontId="29" fillId="0" borderId="0" xfId="0" applyFont="1">
      <protection locked="0"/>
    </xf>
    <xf numFmtId="0" fontId="31" fillId="0" borderId="0" xfId="0" applyFont="1" applyAlignment="1">
      <alignment horizontal="justify" wrapText="1"/>
      <protection locked="0"/>
    </xf>
    <xf numFmtId="0" fontId="32" fillId="0" borderId="0" xfId="0" applyFont="1" applyAlignment="1">
      <alignment horizontal="justify"/>
      <protection locked="0"/>
    </xf>
    <xf numFmtId="0" fontId="11" fillId="0" borderId="0" xfId="0" applyFont="1" applyAlignment="1">
      <alignment horizontal="left"/>
      <protection locked="0"/>
    </xf>
    <xf numFmtId="0" fontId="34" fillId="0" borderId="0" xfId="31" applyFont="1" applyAlignment="1">
      <alignment vertical="center" wrapText="1"/>
    </xf>
    <xf numFmtId="0" fontId="35" fillId="0" borderId="0" xfId="0" applyFont="1" applyAlignment="1">
      <alignment vertical="center"/>
      <protection locked="0"/>
    </xf>
    <xf numFmtId="0" fontId="35" fillId="0" borderId="0" xfId="0" applyFont="1" applyAlignment="1">
      <alignment vertical="center" wrapText="1"/>
      <protection locked="0"/>
    </xf>
    <xf numFmtId="0" fontId="36" fillId="0" borderId="0" xfId="0" applyFont="1" applyAlignment="1">
      <alignment vertical="center" wrapText="1"/>
      <protection locked="0"/>
    </xf>
    <xf numFmtId="0" fontId="34" fillId="0" borderId="0" xfId="0" applyFont="1" applyAlignment="1">
      <alignment vertical="center" wrapText="1"/>
      <protection locked="0"/>
    </xf>
    <xf numFmtId="0" fontId="34" fillId="0" borderId="0" xfId="31" applyFont="1">
      <alignment vertical="center"/>
    </xf>
    <xf numFmtId="0" fontId="35" fillId="0" borderId="0" xfId="0" applyFont="1">
      <protection locked="0"/>
    </xf>
    <xf numFmtId="0" fontId="36" fillId="0" borderId="0" xfId="0" applyFont="1">
      <protection locked="0"/>
    </xf>
    <xf numFmtId="0" fontId="34" fillId="0" borderId="0" xfId="0" applyFont="1">
      <protection locked="0"/>
    </xf>
    <xf numFmtId="43" fontId="41" fillId="5" borderId="3" xfId="39" applyFont="1" applyFill="1" applyBorder="1" applyAlignment="1">
      <alignment horizontal="right" vertical="center"/>
    </xf>
    <xf numFmtId="0" fontId="41" fillId="5" borderId="3" xfId="0" applyFont="1" applyFill="1" applyBorder="1" applyAlignment="1">
      <alignment horizontal="center" vertical="center"/>
      <protection locked="0"/>
    </xf>
    <xf numFmtId="0" fontId="35" fillId="0" borderId="3" xfId="0" applyFont="1" applyBorder="1" applyAlignment="1">
      <alignment horizontal="center" vertical="center"/>
      <protection locked="0"/>
    </xf>
    <xf numFmtId="0" fontId="35" fillId="0" borderId="4" xfId="0" applyFont="1" applyBorder="1" applyAlignment="1">
      <alignment vertical="center"/>
      <protection locked="0"/>
    </xf>
    <xf numFmtId="0" fontId="33" fillId="0" borderId="0" xfId="0" applyFont="1" applyAlignment="1">
      <alignment vertical="center"/>
      <protection locked="0"/>
    </xf>
    <xf numFmtId="0" fontId="35" fillId="0" borderId="0" xfId="0" applyFont="1" applyAlignment="1">
      <alignment horizontal="left" vertical="center"/>
      <protection locked="0"/>
    </xf>
    <xf numFmtId="0" fontId="19" fillId="0" borderId="0" xfId="0" applyFont="1" applyAlignment="1">
      <alignment horizontal="left" vertical="center"/>
      <protection locked="0"/>
    </xf>
    <xf numFmtId="0" fontId="36" fillId="0" borderId="0" xfId="32" applyFont="1" applyAlignment="1">
      <alignment horizontal="left" vertical="center"/>
    </xf>
    <xf numFmtId="0" fontId="35" fillId="0" borderId="0" xfId="32" applyFont="1" applyAlignment="1" applyProtection="1">
      <alignment vertical="center"/>
      <protection locked="0"/>
    </xf>
    <xf numFmtId="0" fontId="35" fillId="0" borderId="5" xfId="32" applyFont="1" applyBorder="1" applyAlignment="1" applyProtection="1">
      <alignment vertical="center"/>
      <protection locked="0"/>
    </xf>
    <xf numFmtId="0" fontId="38" fillId="0" borderId="0" xfId="32" applyFont="1" applyAlignment="1" applyProtection="1">
      <alignment horizontal="center" vertical="center"/>
      <protection hidden="1"/>
    </xf>
    <xf numFmtId="0" fontId="38" fillId="0" borderId="0" xfId="32" applyFont="1" applyAlignment="1" applyProtection="1">
      <alignment horizontal="left" vertical="center"/>
      <protection locked="0"/>
    </xf>
    <xf numFmtId="0" fontId="35" fillId="0" borderId="3" xfId="0" applyFont="1" applyBorder="1" applyAlignment="1">
      <alignment horizontal="left" vertical="center"/>
      <protection locked="0"/>
    </xf>
    <xf numFmtId="0" fontId="35" fillId="0" borderId="3" xfId="0" applyFont="1" applyBorder="1" applyAlignment="1">
      <alignment vertical="center" wrapText="1"/>
      <protection locked="0"/>
    </xf>
    <xf numFmtId="43" fontId="35" fillId="0" borderId="3" xfId="0" applyNumberFormat="1" applyFont="1" applyBorder="1" applyAlignment="1">
      <alignment horizontal="left" vertical="center"/>
      <protection locked="0"/>
    </xf>
    <xf numFmtId="0" fontId="35" fillId="0" borderId="4" xfId="0" applyFont="1" applyBorder="1" applyAlignment="1">
      <alignment horizontal="center" vertical="center"/>
      <protection locked="0"/>
    </xf>
    <xf numFmtId="0" fontId="35" fillId="0" borderId="0" xfId="0" applyFont="1" applyAlignment="1">
      <alignment horizontal="center" vertical="center"/>
      <protection locked="0"/>
    </xf>
    <xf numFmtId="0" fontId="36" fillId="0" borderId="0" xfId="0" applyFont="1" applyAlignment="1">
      <alignment vertical="center"/>
      <protection locked="0"/>
    </xf>
    <xf numFmtId="0" fontId="36" fillId="0" borderId="0" xfId="0" applyFont="1" applyAlignment="1">
      <alignment horizontal="left" vertical="center"/>
      <protection locked="0"/>
    </xf>
    <xf numFmtId="0" fontId="27" fillId="0" borderId="0" xfId="0" applyFont="1" applyAlignment="1">
      <alignment vertical="center"/>
      <protection locked="0"/>
    </xf>
    <xf numFmtId="0" fontId="38" fillId="0" borderId="0" xfId="0" applyFont="1" applyAlignment="1">
      <alignment vertical="center"/>
      <protection locked="0"/>
    </xf>
    <xf numFmtId="0" fontId="34" fillId="0" borderId="0" xfId="0" applyFont="1" applyAlignment="1">
      <alignment vertical="center"/>
      <protection locked="0"/>
    </xf>
    <xf numFmtId="0" fontId="38" fillId="0" borderId="0" xfId="0" applyFont="1">
      <protection locked="0"/>
    </xf>
    <xf numFmtId="0" fontId="26" fillId="0" borderId="0" xfId="0" applyFont="1" applyAlignment="1">
      <alignment horizontal="left"/>
      <protection locked="0"/>
    </xf>
    <xf numFmtId="0" fontId="38" fillId="0" borderId="0" xfId="0" applyFont="1" applyAlignment="1">
      <alignment horizontal="right"/>
      <protection locked="0"/>
    </xf>
    <xf numFmtId="0" fontId="24" fillId="0" borderId="0" xfId="0" applyFont="1">
      <protection locked="0"/>
    </xf>
    <xf numFmtId="0" fontId="35" fillId="0" borderId="0" xfId="32" applyFont="1" applyAlignment="1">
      <alignment vertical="center"/>
    </xf>
    <xf numFmtId="0" fontId="37" fillId="0" borderId="0" xfId="40" applyFont="1" applyAlignment="1" applyProtection="1">
      <alignment vertical="center"/>
    </xf>
    <xf numFmtId="0" fontId="42" fillId="0" borderId="0" xfId="40" applyFont="1" applyAlignment="1" applyProtection="1">
      <alignment horizontal="center"/>
    </xf>
    <xf numFmtId="0" fontId="35" fillId="0" borderId="0" xfId="40" applyFont="1" applyAlignment="1">
      <alignment vertical="center"/>
      <protection locked="0"/>
    </xf>
    <xf numFmtId="0" fontId="35" fillId="0" borderId="0" xfId="40" applyFont="1" applyAlignment="1">
      <alignment vertical="center" wrapText="1"/>
      <protection locked="0"/>
    </xf>
    <xf numFmtId="0" fontId="35" fillId="0" borderId="0" xfId="40" applyFont="1" applyAlignment="1">
      <alignment horizontal="right" vertical="center"/>
      <protection locked="0"/>
    </xf>
    <xf numFmtId="0" fontId="35" fillId="0" borderId="0" xfId="40" applyFont="1" applyAlignment="1">
      <alignment horizontal="justify" vertical="center" wrapText="1"/>
      <protection locked="0"/>
    </xf>
    <xf numFmtId="0" fontId="36" fillId="0" borderId="0" xfId="40" applyFont="1" applyAlignment="1" applyProtection="1">
      <alignment horizontal="left" vertical="center"/>
    </xf>
    <xf numFmtId="0" fontId="35" fillId="0" borderId="0" xfId="41" applyFont="1">
      <alignment vertical="center"/>
    </xf>
    <xf numFmtId="43" fontId="41" fillId="0" borderId="3" xfId="39" applyFont="1" applyFill="1" applyBorder="1" applyAlignment="1">
      <alignment horizontal="right" vertical="center"/>
    </xf>
    <xf numFmtId="0" fontId="41" fillId="0" borderId="3" xfId="0" applyFont="1" applyBorder="1" applyAlignment="1">
      <alignment horizontal="center" vertical="center"/>
      <protection locked="0"/>
    </xf>
    <xf numFmtId="0" fontId="35" fillId="6" borderId="3" xfId="40" applyFont="1" applyFill="1" applyBorder="1" applyAlignment="1">
      <alignment vertical="center"/>
      <protection locked="0"/>
    </xf>
    <xf numFmtId="0" fontId="35" fillId="6" borderId="3" xfId="41" applyFont="1" applyFill="1" applyBorder="1">
      <alignment vertical="center"/>
    </xf>
    <xf numFmtId="0" fontId="35" fillId="0" borderId="4" xfId="0" applyFont="1" applyBorder="1">
      <protection locked="0"/>
    </xf>
    <xf numFmtId="193" fontId="35" fillId="0" borderId="3" xfId="45" applyFont="1" applyBorder="1" applyAlignment="1" applyProtection="1">
      <alignment horizontal="left" vertical="center" wrapText="1"/>
      <protection locked="0"/>
    </xf>
    <xf numFmtId="43" fontId="36" fillId="0" borderId="0" xfId="47" applyNumberFormat="1" applyFont="1" applyBorder="1" applyAlignment="1">
      <alignment horizontal="left" vertical="center"/>
    </xf>
    <xf numFmtId="43" fontId="35" fillId="0" borderId="0" xfId="47" applyNumberFormat="1" applyFont="1" applyBorder="1" applyAlignment="1">
      <alignment horizontal="left" vertical="center"/>
    </xf>
    <xf numFmtId="43" fontId="35" fillId="0" borderId="0" xfId="47" applyNumberFormat="1" applyFont="1" applyBorder="1" applyAlignment="1">
      <alignment vertical="center"/>
    </xf>
    <xf numFmtId="0" fontId="35" fillId="0" borderId="0" xfId="48" applyFont="1" applyAlignment="1">
      <alignment vertical="center"/>
    </xf>
    <xf numFmtId="0" fontId="35" fillId="0" borderId="0" xfId="48" applyFont="1" applyAlignment="1">
      <alignment horizontal="left" vertical="center"/>
    </xf>
    <xf numFmtId="0" fontId="37" fillId="0" borderId="2" xfId="0" applyFont="1" applyBorder="1" applyAlignment="1" applyProtection="1">
      <alignment horizontal="center" vertical="center"/>
    </xf>
    <xf numFmtId="0" fontId="41" fillId="0" borderId="2" xfId="0" applyFont="1" applyBorder="1" applyAlignment="1" applyProtection="1">
      <alignment vertical="center"/>
    </xf>
    <xf numFmtId="0" fontId="38" fillId="0" borderId="5" xfId="32" applyFont="1" applyBorder="1" applyAlignment="1" applyProtection="1">
      <alignment horizontal="center" vertical="center"/>
      <protection hidden="1"/>
    </xf>
    <xf numFmtId="0" fontId="35" fillId="0" borderId="5" xfId="32" applyFont="1" applyBorder="1" applyAlignment="1" applyProtection="1">
      <alignment horizontal="left" vertical="center"/>
      <protection hidden="1"/>
    </xf>
    <xf numFmtId="0" fontId="38" fillId="0" borderId="5" xfId="32" applyFont="1" applyBorder="1" applyAlignment="1" applyProtection="1">
      <alignment horizontal="left" vertical="center"/>
      <protection locked="0"/>
    </xf>
    <xf numFmtId="193" fontId="36" fillId="0" borderId="3" xfId="45" applyFont="1" applyBorder="1" applyAlignment="1" applyProtection="1">
      <alignment horizontal="left" vertical="center" wrapText="1"/>
      <protection locked="0"/>
    </xf>
    <xf numFmtId="14" fontId="35" fillId="0" borderId="0" xfId="0" applyNumberFormat="1" applyFont="1" applyAlignment="1">
      <alignment vertical="center"/>
      <protection locked="0"/>
    </xf>
    <xf numFmtId="14" fontId="35" fillId="0" borderId="0" xfId="0" applyNumberFormat="1" applyFont="1" applyAlignment="1">
      <alignment horizontal="left" vertical="center"/>
      <protection locked="0"/>
    </xf>
    <xf numFmtId="14" fontId="19" fillId="0" borderId="0" xfId="0" applyNumberFormat="1" applyFont="1" applyAlignment="1">
      <alignment horizontal="left" vertical="center"/>
      <protection locked="0"/>
    </xf>
    <xf numFmtId="0" fontId="37" fillId="0" borderId="3" xfId="0" applyFont="1" applyBorder="1" applyAlignment="1">
      <alignment horizontal="center" vertical="center"/>
      <protection locked="0"/>
    </xf>
    <xf numFmtId="14" fontId="35" fillId="0" borderId="3" xfId="0" applyNumberFormat="1" applyFont="1" applyBorder="1" applyAlignment="1">
      <alignment horizontal="left" vertical="center"/>
      <protection locked="0"/>
    </xf>
    <xf numFmtId="43" fontId="37" fillId="0" borderId="3" xfId="39" applyFont="1" applyFill="1" applyBorder="1" applyAlignment="1">
      <alignment horizontal="right" vertical="center"/>
    </xf>
    <xf numFmtId="193" fontId="54" fillId="0" borderId="0" xfId="50" applyFont="1">
      <alignment vertical="center"/>
    </xf>
    <xf numFmtId="193" fontId="55" fillId="0" borderId="0" xfId="50" applyFont="1">
      <alignment vertical="center"/>
    </xf>
    <xf numFmtId="193" fontId="35" fillId="0" borderId="0" xfId="50" applyFont="1" applyProtection="1">
      <alignment vertical="center"/>
      <protection locked="0"/>
    </xf>
    <xf numFmtId="0" fontId="35" fillId="0" borderId="0" xfId="51" applyFont="1" applyAlignment="1">
      <alignment horizontal="left" vertical="center"/>
      <protection locked="0"/>
    </xf>
    <xf numFmtId="193" fontId="35" fillId="0" borderId="0" xfId="50" applyFont="1" applyAlignment="1" applyProtection="1">
      <alignment horizontal="center" vertical="center"/>
      <protection locked="0"/>
    </xf>
    <xf numFmtId="193" fontId="35" fillId="0" borderId="0" xfId="50" applyFont="1" applyAlignment="1" applyProtection="1">
      <alignment vertical="center" wrapText="1"/>
      <protection locked="0"/>
    </xf>
    <xf numFmtId="193" fontId="19" fillId="0" borderId="0" xfId="50" applyFont="1" applyProtection="1">
      <alignment vertical="center"/>
      <protection locked="0"/>
    </xf>
    <xf numFmtId="193" fontId="59" fillId="0" borderId="0" xfId="50" applyFont="1" applyProtection="1">
      <alignment vertical="center"/>
      <protection locked="0"/>
    </xf>
    <xf numFmtId="49" fontId="36" fillId="0" borderId="0" xfId="50" applyNumberFormat="1" applyFont="1" applyAlignment="1" applyProtection="1">
      <alignment horizontal="left" vertical="center"/>
      <protection locked="0"/>
    </xf>
    <xf numFmtId="193" fontId="36" fillId="0" borderId="0" xfId="50" applyFont="1" applyAlignment="1" applyProtection="1">
      <alignment horizontal="justify" vertical="center"/>
      <protection locked="0"/>
    </xf>
    <xf numFmtId="193" fontId="60" fillId="0" borderId="0" xfId="50" applyFont="1" applyAlignment="1" applyProtection="1">
      <alignment horizontal="center" vertical="center"/>
      <protection locked="0"/>
    </xf>
    <xf numFmtId="193" fontId="19" fillId="0" borderId="3" xfId="50" applyFont="1" applyBorder="1" applyAlignment="1" applyProtection="1">
      <alignment horizontal="center" vertical="center" wrapText="1"/>
      <protection locked="0"/>
    </xf>
    <xf numFmtId="193" fontId="7" fillId="0" borderId="3" xfId="50" applyFont="1" applyBorder="1" applyAlignment="1" applyProtection="1">
      <alignment horizontal="center" vertical="center" wrapText="1"/>
      <protection locked="0"/>
    </xf>
    <xf numFmtId="193" fontId="61" fillId="0" borderId="3" xfId="50" applyFont="1" applyBorder="1" applyAlignment="1" applyProtection="1">
      <alignment horizontal="center" vertical="center" wrapText="1"/>
      <protection locked="0"/>
    </xf>
    <xf numFmtId="193" fontId="62" fillId="0" borderId="3" xfId="50" applyFont="1" applyBorder="1" applyAlignment="1" applyProtection="1">
      <alignment horizontal="center" vertical="center" wrapText="1"/>
      <protection locked="0"/>
    </xf>
    <xf numFmtId="193" fontId="7" fillId="0" borderId="3" xfId="50" applyFont="1" applyBorder="1" applyAlignment="1" applyProtection="1">
      <alignment horizontal="left" vertical="center" wrapText="1"/>
      <protection locked="0"/>
    </xf>
    <xf numFmtId="193" fontId="35" fillId="0" borderId="0" xfId="50" applyFont="1" applyAlignment="1" applyProtection="1">
      <alignment horizontal="center" vertical="center" wrapText="1"/>
      <protection locked="0"/>
    </xf>
    <xf numFmtId="193" fontId="35" fillId="0" borderId="0" xfId="50" applyFont="1" applyAlignment="1" applyProtection="1">
      <alignment horizontal="left" vertical="center" wrapText="1"/>
      <protection locked="0"/>
    </xf>
    <xf numFmtId="193" fontId="63" fillId="0" borderId="0" xfId="50" applyFont="1" applyAlignment="1" applyProtection="1">
      <alignment horizontal="center" vertical="center" wrapText="1"/>
      <protection locked="0"/>
    </xf>
    <xf numFmtId="193" fontId="55" fillId="0" borderId="0" xfId="50" applyFont="1" applyAlignment="1">
      <alignment horizontal="center" vertical="center"/>
    </xf>
    <xf numFmtId="193" fontId="55" fillId="0" borderId="0" xfId="50" applyFont="1" applyAlignment="1">
      <alignment vertical="center" wrapText="1"/>
    </xf>
    <xf numFmtId="193" fontId="64" fillId="7" borderId="13" xfId="50" applyFont="1" applyFill="1" applyBorder="1" applyAlignment="1" applyProtection="1">
      <alignment horizontal="centerContinuous" vertical="center"/>
      <protection locked="0"/>
    </xf>
    <xf numFmtId="193" fontId="55" fillId="7" borderId="13" xfId="50" applyFont="1" applyFill="1" applyBorder="1" applyAlignment="1">
      <alignment horizontal="centerContinuous" vertical="center"/>
    </xf>
    <xf numFmtId="49" fontId="36" fillId="6" borderId="3" xfId="50" applyNumberFormat="1" applyFont="1" applyFill="1" applyBorder="1" applyAlignment="1" applyProtection="1">
      <alignment horizontal="center" vertical="center"/>
      <protection locked="0"/>
    </xf>
    <xf numFmtId="193" fontId="36" fillId="6" borderId="3" xfId="50" applyFont="1" applyFill="1" applyBorder="1" applyAlignment="1" applyProtection="1">
      <alignment horizontal="center" vertical="center" wrapText="1"/>
      <protection locked="0"/>
    </xf>
    <xf numFmtId="193" fontId="64" fillId="7" borderId="0" xfId="50" applyFont="1" applyFill="1" applyAlignment="1" applyProtection="1">
      <alignment horizontal="center" vertical="center"/>
      <protection locked="0"/>
    </xf>
    <xf numFmtId="49" fontId="23" fillId="6" borderId="6" xfId="50" applyNumberFormat="1" applyFont="1" applyFill="1" applyBorder="1" applyAlignment="1" applyProtection="1">
      <alignment horizontal="center" vertical="center"/>
      <protection locked="0"/>
    </xf>
    <xf numFmtId="193" fontId="66" fillId="6" borderId="3" xfId="50" applyFont="1" applyFill="1" applyBorder="1" applyAlignment="1">
      <alignment horizontal="center" vertical="center" wrapText="1"/>
    </xf>
    <xf numFmtId="193" fontId="35" fillId="7" borderId="0" xfId="50" applyFont="1" applyFill="1" applyAlignment="1" applyProtection="1">
      <alignment horizontal="left" vertical="center"/>
      <protection locked="0"/>
    </xf>
    <xf numFmtId="193" fontId="67" fillId="7" borderId="0" xfId="50" applyFont="1" applyFill="1" applyAlignment="1">
      <alignment horizontal="left" vertical="center"/>
    </xf>
    <xf numFmtId="193" fontId="35" fillId="7" borderId="0" xfId="50" applyFont="1" applyFill="1" applyAlignment="1">
      <alignment horizontal="left" vertical="center"/>
    </xf>
    <xf numFmtId="49" fontId="36" fillId="0" borderId="6" xfId="50" applyNumberFormat="1" applyFont="1" applyBorder="1" applyAlignment="1" applyProtection="1">
      <alignment horizontal="center" vertical="center"/>
      <protection locked="0"/>
    </xf>
    <xf numFmtId="193" fontId="66" fillId="0" borderId="3" xfId="50" applyFont="1" applyBorder="1" applyAlignment="1">
      <alignment horizontal="center" vertical="center" wrapText="1"/>
    </xf>
    <xf numFmtId="193" fontId="54" fillId="0" borderId="3" xfId="50" applyFont="1" applyBorder="1" applyAlignment="1">
      <alignment horizontal="center" vertical="center" wrapText="1"/>
    </xf>
    <xf numFmtId="49" fontId="19" fillId="6" borderId="3" xfId="50" applyNumberFormat="1" applyFont="1" applyFill="1" applyBorder="1" applyAlignment="1" applyProtection="1">
      <alignment horizontal="center" vertical="center"/>
      <protection locked="0"/>
    </xf>
    <xf numFmtId="49" fontId="23" fillId="0" borderId="3" xfId="50" applyNumberFormat="1" applyFont="1" applyBorder="1" applyAlignment="1" applyProtection="1">
      <alignment horizontal="center" vertical="center"/>
      <protection locked="0"/>
    </xf>
    <xf numFmtId="49" fontId="19" fillId="6" borderId="6" xfId="50" applyNumberFormat="1" applyFont="1" applyFill="1" applyBorder="1" applyAlignment="1" applyProtection="1">
      <alignment horizontal="center" vertical="center"/>
      <protection locked="0"/>
    </xf>
    <xf numFmtId="0" fontId="66" fillId="6" borderId="3" xfId="50" applyNumberFormat="1" applyFont="1" applyFill="1" applyBorder="1" applyAlignment="1">
      <alignment horizontal="center" vertical="center" wrapText="1"/>
    </xf>
    <xf numFmtId="49" fontId="35" fillId="0" borderId="6" xfId="50" applyNumberFormat="1" applyFont="1" applyBorder="1" applyAlignment="1" applyProtection="1">
      <alignment horizontal="center" vertical="center"/>
      <protection locked="0"/>
    </xf>
    <xf numFmtId="0" fontId="66" fillId="0" borderId="3" xfId="50" applyNumberFormat="1" applyFont="1" applyBorder="1" applyAlignment="1">
      <alignment horizontal="center" vertical="center" wrapText="1"/>
    </xf>
    <xf numFmtId="49" fontId="66" fillId="6" borderId="3" xfId="50" applyNumberFormat="1" applyFont="1" applyFill="1" applyBorder="1" applyAlignment="1">
      <alignment horizontal="center" vertical="center"/>
    </xf>
    <xf numFmtId="49" fontId="54" fillId="0" borderId="3" xfId="50" applyNumberFormat="1" applyFont="1" applyBorder="1" applyAlignment="1">
      <alignment horizontal="center" vertical="center"/>
    </xf>
    <xf numFmtId="49" fontId="69" fillId="6" borderId="3" xfId="50" applyNumberFormat="1" applyFont="1" applyFill="1" applyBorder="1" applyAlignment="1">
      <alignment horizontal="center" vertical="center"/>
    </xf>
    <xf numFmtId="43" fontId="36" fillId="0" borderId="0" xfId="47" applyNumberFormat="1" applyFont="1" applyFill="1" applyBorder="1" applyAlignment="1">
      <alignment vertical="center"/>
    </xf>
    <xf numFmtId="0" fontId="35" fillId="0" borderId="4" xfId="48" applyFont="1" applyBorder="1" applyAlignment="1">
      <alignment vertical="center"/>
    </xf>
    <xf numFmtId="43" fontId="35" fillId="0" borderId="4" xfId="47" applyNumberFormat="1" applyFont="1" applyBorder="1" applyAlignment="1">
      <alignment vertical="center"/>
    </xf>
    <xf numFmtId="43" fontId="36" fillId="8" borderId="0" xfId="47" applyNumberFormat="1" applyFont="1" applyFill="1" applyBorder="1" applyAlignment="1">
      <alignment vertical="center"/>
    </xf>
    <xf numFmtId="0" fontId="37" fillId="0" borderId="3" xfId="53" applyFont="1" applyBorder="1" applyAlignment="1" applyProtection="1">
      <alignment horizontal="center" vertical="center"/>
    </xf>
    <xf numFmtId="43" fontId="36" fillId="0" borderId="4" xfId="47" applyNumberFormat="1" applyFont="1" applyBorder="1" applyAlignment="1">
      <alignment horizontal="left" vertical="center"/>
    </xf>
    <xf numFmtId="43" fontId="35" fillId="0" borderId="4" xfId="47" applyNumberFormat="1" applyFont="1" applyBorder="1" applyAlignment="1">
      <alignment horizontal="left" vertical="center"/>
    </xf>
    <xf numFmtId="43" fontId="75" fillId="0" borderId="4" xfId="55" applyNumberFormat="1" applyFont="1" applyBorder="1" applyAlignment="1" applyProtection="1">
      <alignment horizontal="center" vertical="center"/>
    </xf>
    <xf numFmtId="0" fontId="36" fillId="0" borderId="0" xfId="48" applyFont="1" applyAlignment="1">
      <alignment vertical="center"/>
    </xf>
    <xf numFmtId="9" fontId="51" fillId="0" borderId="0" xfId="56" applyFont="1" applyBorder="1" applyAlignment="1">
      <alignment horizontal="left" vertical="center"/>
    </xf>
    <xf numFmtId="10" fontId="51" fillId="0" borderId="0" xfId="56" applyNumberFormat="1" applyFont="1" applyBorder="1" applyAlignment="1">
      <alignment horizontal="left" vertical="center"/>
    </xf>
    <xf numFmtId="0" fontId="11" fillId="0" borderId="0" xfId="53">
      <protection locked="0"/>
    </xf>
    <xf numFmtId="0" fontId="46" fillId="0" borderId="0" xfId="0" applyFont="1" applyAlignment="1">
      <alignment horizontal="justify" vertical="center"/>
      <protection locked="0"/>
    </xf>
    <xf numFmtId="0" fontId="45" fillId="0" borderId="0" xfId="0" applyFont="1" applyAlignment="1">
      <alignment horizontal="justify" vertical="center"/>
      <protection locked="0"/>
    </xf>
    <xf numFmtId="0" fontId="45" fillId="0" borderId="0" xfId="0" applyFont="1" applyAlignment="1">
      <alignment vertical="center"/>
      <protection locked="0"/>
    </xf>
    <xf numFmtId="0" fontId="44" fillId="0" borderId="9" xfId="0" applyFont="1" applyBorder="1" applyAlignment="1">
      <alignment horizontal="justify" vertical="center" wrapText="1"/>
      <protection locked="0"/>
    </xf>
    <xf numFmtId="0" fontId="76" fillId="0" borderId="9" xfId="0" applyFont="1" applyBorder="1" applyAlignment="1">
      <alignment horizontal="right" vertical="center" wrapText="1"/>
      <protection locked="0"/>
    </xf>
    <xf numFmtId="0" fontId="44" fillId="0" borderId="9" xfId="0" applyFont="1" applyBorder="1" applyAlignment="1">
      <alignment horizontal="right" vertical="center" wrapText="1"/>
      <protection locked="0"/>
    </xf>
    <xf numFmtId="0" fontId="77" fillId="0" borderId="0" xfId="0" applyFont="1" applyAlignment="1">
      <alignment horizontal="justify" vertical="center" wrapText="1"/>
      <protection locked="0"/>
    </xf>
    <xf numFmtId="43" fontId="45" fillId="0" borderId="0" xfId="0" applyNumberFormat="1" applyFont="1" applyAlignment="1">
      <alignment horizontal="right" vertical="center" wrapText="1"/>
      <protection locked="0"/>
    </xf>
    <xf numFmtId="43" fontId="45" fillId="0" borderId="0" xfId="39" applyFont="1" applyAlignment="1" applyProtection="1">
      <alignment horizontal="right" vertical="center" wrapText="1" shrinkToFit="1"/>
      <protection locked="0"/>
    </xf>
    <xf numFmtId="0" fontId="45" fillId="0" borderId="0" xfId="0" applyFont="1" applyAlignment="1">
      <alignment horizontal="right" vertical="center" wrapText="1"/>
      <protection locked="0"/>
    </xf>
    <xf numFmtId="0" fontId="77" fillId="0" borderId="10" xfId="0" applyFont="1" applyBorder="1" applyAlignment="1">
      <alignment horizontal="justify" vertical="center" wrapText="1"/>
      <protection locked="0"/>
    </xf>
    <xf numFmtId="0" fontId="45" fillId="0" borderId="10" xfId="0" applyFont="1" applyBorder="1" applyAlignment="1">
      <alignment horizontal="right" vertical="center" wrapText="1"/>
      <protection locked="0"/>
    </xf>
    <xf numFmtId="0" fontId="76" fillId="0" borderId="10" xfId="0" applyFont="1" applyBorder="1" applyAlignment="1">
      <alignment horizontal="justify" vertical="center" wrapText="1"/>
      <protection locked="0"/>
    </xf>
    <xf numFmtId="43" fontId="44" fillId="0" borderId="10" xfId="39" applyFont="1" applyBorder="1" applyAlignment="1" applyProtection="1">
      <alignment horizontal="right" vertical="center" wrapText="1" shrinkToFit="1"/>
      <protection locked="0"/>
    </xf>
    <xf numFmtId="43" fontId="44" fillId="0" borderId="9" xfId="39" applyFont="1" applyBorder="1" applyAlignment="1" applyProtection="1">
      <alignment horizontal="right" vertical="center" wrapText="1" shrinkToFit="1"/>
      <protection locked="0"/>
    </xf>
    <xf numFmtId="49" fontId="23" fillId="0" borderId="0" xfId="57" applyNumberFormat="1" applyFont="1" applyAlignment="1" applyProtection="1">
      <alignment horizontal="left" vertical="center"/>
      <protection locked="0"/>
    </xf>
    <xf numFmtId="193" fontId="66" fillId="0" borderId="3" xfId="57" applyFont="1" applyBorder="1" applyAlignment="1">
      <alignment horizontal="center" vertical="center" wrapText="1"/>
    </xf>
    <xf numFmtId="193" fontId="69" fillId="0" borderId="3" xfId="57" applyFont="1" applyBorder="1" applyAlignment="1">
      <alignment horizontal="center" vertical="center" wrapText="1"/>
    </xf>
    <xf numFmtId="193" fontId="54" fillId="0" borderId="3" xfId="57" applyFont="1" applyBorder="1" applyAlignment="1">
      <alignment horizontal="center" vertical="center" wrapText="1"/>
    </xf>
    <xf numFmtId="0" fontId="66" fillId="0" borderId="3" xfId="44" applyFont="1" applyBorder="1" applyAlignment="1">
      <alignment horizontal="center" vertical="center" wrapText="1"/>
    </xf>
    <xf numFmtId="43" fontId="35" fillId="9" borderId="3" xfId="39" applyFont="1" applyFill="1" applyBorder="1" applyAlignment="1">
      <alignment horizontal="right" vertical="center" wrapText="1"/>
    </xf>
    <xf numFmtId="10" fontId="35" fillId="9" borderId="3" xfId="43" applyNumberFormat="1" applyFont="1" applyFill="1" applyBorder="1" applyAlignment="1">
      <alignment horizontal="right" vertical="center" wrapText="1"/>
    </xf>
    <xf numFmtId="43" fontId="36" fillId="9" borderId="3" xfId="39" applyFont="1" applyFill="1" applyBorder="1" applyAlignment="1">
      <alignment horizontal="right" vertical="center" wrapText="1"/>
    </xf>
    <xf numFmtId="10" fontId="36" fillId="9" borderId="3" xfId="43" applyNumberFormat="1" applyFont="1" applyFill="1" applyBorder="1" applyAlignment="1">
      <alignment horizontal="right" vertical="center" wrapText="1"/>
    </xf>
    <xf numFmtId="43" fontId="41" fillId="9" borderId="3" xfId="52" applyFont="1" applyFill="1" applyBorder="1" applyAlignment="1">
      <alignment horizontal="right" vertical="center"/>
    </xf>
    <xf numFmtId="43" fontId="41" fillId="0" borderId="0" xfId="39" applyFont="1" applyFill="1" applyBorder="1" applyAlignment="1">
      <alignment horizontal="center" vertical="center"/>
    </xf>
    <xf numFmtId="193" fontId="36" fillId="6" borderId="3" xfId="45" applyFont="1" applyFill="1" applyBorder="1" applyAlignment="1" applyProtection="1">
      <alignment horizontal="center" vertical="center" wrapText="1"/>
      <protection locked="0"/>
    </xf>
    <xf numFmtId="0" fontId="19" fillId="0" borderId="0" xfId="0" applyFont="1">
      <protection locked="0"/>
    </xf>
    <xf numFmtId="193" fontId="35" fillId="0" borderId="3" xfId="57" applyFont="1" applyBorder="1" applyAlignment="1">
      <alignment vertical="center" wrapText="1"/>
    </xf>
    <xf numFmtId="193" fontId="82" fillId="7" borderId="0" xfId="57" applyFont="1" applyFill="1" applyAlignment="1" applyProtection="1">
      <alignment horizontal="left" vertical="center" wrapText="1"/>
      <protection locked="0"/>
    </xf>
    <xf numFmtId="0" fontId="45" fillId="0" borderId="0" xfId="0" applyFont="1" applyAlignment="1">
      <alignment horizontal="left" vertical="center"/>
      <protection locked="0"/>
    </xf>
    <xf numFmtId="14" fontId="45" fillId="0" borderId="0" xfId="0" applyNumberFormat="1" applyFont="1" applyAlignment="1">
      <alignment horizontal="left" vertical="center"/>
      <protection locked="0"/>
    </xf>
    <xf numFmtId="0" fontId="35" fillId="0" borderId="0" xfId="40" applyFont="1" applyAlignment="1" applyProtection="1">
      <alignment horizontal="left" vertical="center"/>
    </xf>
    <xf numFmtId="193" fontId="19" fillId="9" borderId="0" xfId="58" applyFont="1" applyFill="1" applyAlignment="1">
      <alignment horizontal="center" vertical="center" wrapText="1"/>
    </xf>
    <xf numFmtId="193" fontId="37" fillId="6" borderId="3" xfId="46" applyFont="1" applyFill="1" applyBorder="1" applyAlignment="1" applyProtection="1">
      <alignment horizontal="center" vertical="center" wrapText="1"/>
      <protection locked="0"/>
    </xf>
    <xf numFmtId="193" fontId="36" fillId="6" borderId="3" xfId="46" applyFont="1" applyFill="1" applyBorder="1" applyAlignment="1" applyProtection="1">
      <alignment horizontal="center" vertical="center"/>
      <protection locked="0"/>
    </xf>
    <xf numFmtId="43" fontId="35" fillId="0" borderId="3" xfId="39" applyFont="1" applyFill="1" applyBorder="1" applyAlignment="1" applyProtection="1">
      <alignment horizontal="left" vertical="center" wrapText="1" shrinkToFit="1"/>
      <protection locked="0"/>
    </xf>
    <xf numFmtId="43" fontId="36" fillId="0" borderId="3" xfId="39" applyFont="1" applyFill="1" applyBorder="1" applyAlignment="1">
      <alignment horizontal="center" vertical="center" wrapText="1"/>
    </xf>
    <xf numFmtId="43" fontId="75" fillId="0" borderId="0" xfId="33" applyNumberFormat="1" applyFont="1" applyBorder="1" applyAlignment="1" applyProtection="1">
      <alignment horizontal="center" vertical="center"/>
    </xf>
    <xf numFmtId="43" fontId="35" fillId="0" borderId="14" xfId="47" applyNumberFormat="1" applyFont="1" applyBorder="1" applyAlignment="1">
      <alignment vertical="center"/>
    </xf>
    <xf numFmtId="0" fontId="35" fillId="0" borderId="0" xfId="40" applyFont="1" applyAlignment="1" applyProtection="1">
      <alignment vertical="center"/>
    </xf>
    <xf numFmtId="0" fontId="37" fillId="6" borderId="3" xfId="0" applyFont="1" applyFill="1" applyBorder="1" applyAlignment="1">
      <alignment horizontal="center" vertical="center"/>
      <protection locked="0"/>
    </xf>
    <xf numFmtId="0" fontId="36" fillId="6" borderId="3" xfId="0" applyFont="1" applyFill="1" applyBorder="1" applyAlignment="1">
      <alignment horizontal="center" vertical="center"/>
      <protection locked="0"/>
    </xf>
    <xf numFmtId="0" fontId="41" fillId="0" borderId="3" xfId="0" applyFont="1" applyBorder="1" applyAlignment="1">
      <alignment horizontal="left" vertical="center"/>
      <protection locked="0"/>
    </xf>
    <xf numFmtId="0" fontId="37" fillId="5" borderId="3" xfId="0" applyFont="1" applyFill="1" applyBorder="1" applyAlignment="1">
      <alignment horizontal="center" vertical="center"/>
      <protection locked="0"/>
    </xf>
    <xf numFmtId="0" fontId="36" fillId="0" borderId="3" xfId="0" applyFont="1" applyBorder="1" applyAlignment="1">
      <alignment horizontal="center" vertical="center"/>
      <protection locked="0"/>
    </xf>
    <xf numFmtId="0" fontId="36" fillId="0" borderId="4" xfId="0" applyFont="1" applyBorder="1" applyAlignment="1">
      <alignment vertical="center"/>
      <protection locked="0"/>
    </xf>
    <xf numFmtId="193" fontId="36" fillId="6" borderId="3" xfId="54" applyFont="1" applyFill="1" applyBorder="1" applyAlignment="1" applyProtection="1">
      <alignment horizontal="center" vertical="center" wrapText="1"/>
      <protection locked="0"/>
    </xf>
    <xf numFmtId="0" fontId="41" fillId="0" borderId="3" xfId="53" applyFont="1" applyBorder="1" applyAlignment="1" applyProtection="1">
      <alignment vertical="center"/>
    </xf>
    <xf numFmtId="0" fontId="35" fillId="0" borderId="3" xfId="53" applyFont="1" applyBorder="1" applyAlignment="1" applyProtection="1">
      <alignment vertical="center"/>
    </xf>
    <xf numFmtId="0" fontId="62" fillId="0" borderId="3" xfId="53" applyFont="1" applyBorder="1" applyAlignment="1" applyProtection="1">
      <alignment horizontal="left" vertical="center" indent="1"/>
    </xf>
    <xf numFmtId="0" fontId="34" fillId="0" borderId="0" xfId="53" applyFont="1">
      <protection locked="0"/>
    </xf>
    <xf numFmtId="0" fontId="36" fillId="0" borderId="0" xfId="32" applyFont="1" applyAlignment="1">
      <alignment vertical="center"/>
    </xf>
    <xf numFmtId="0" fontId="36" fillId="6" borderId="3" xfId="0" applyFont="1" applyFill="1" applyBorder="1" applyAlignment="1" applyProtection="1">
      <alignment horizontal="center" vertical="center"/>
    </xf>
    <xf numFmtId="0" fontId="34" fillId="0" borderId="3" xfId="42" applyFont="1" applyBorder="1"/>
    <xf numFmtId="14" fontId="35" fillId="5" borderId="3" xfId="0" applyNumberFormat="1" applyFont="1" applyFill="1" applyBorder="1" applyAlignment="1" applyProtection="1">
      <alignment vertical="center"/>
    </xf>
    <xf numFmtId="0" fontId="35" fillId="5" borderId="3" xfId="0" applyFont="1" applyFill="1" applyBorder="1" applyAlignment="1" applyProtection="1">
      <alignment vertical="center"/>
    </xf>
    <xf numFmtId="0" fontId="35" fillId="0" borderId="3" xfId="0" applyFont="1" applyBorder="1" applyAlignment="1" applyProtection="1">
      <alignment vertical="center"/>
    </xf>
    <xf numFmtId="43" fontId="35" fillId="5" borderId="3" xfId="39" applyFont="1" applyFill="1" applyBorder="1" applyAlignment="1">
      <alignment vertical="center"/>
    </xf>
    <xf numFmtId="0" fontId="35" fillId="0" borderId="0" xfId="32" applyFont="1" applyAlignment="1">
      <alignment horizontal="left" vertical="center"/>
    </xf>
    <xf numFmtId="0" fontId="82" fillId="0" borderId="0" xfId="32" applyFont="1" applyAlignment="1">
      <alignment horizontal="left" vertical="center"/>
    </xf>
    <xf numFmtId="0" fontId="36" fillId="0" borderId="5" xfId="32" applyFont="1" applyBorder="1" applyAlignment="1">
      <alignment vertical="center"/>
    </xf>
    <xf numFmtId="0" fontId="36" fillId="6" borderId="3" xfId="40" applyFont="1" applyFill="1" applyBorder="1" applyAlignment="1">
      <alignment horizontal="center" vertical="center"/>
      <protection locked="0"/>
    </xf>
    <xf numFmtId="0" fontId="36" fillId="10" borderId="3" xfId="40" applyFont="1" applyFill="1" applyBorder="1" applyAlignment="1" applyProtection="1">
      <alignment horizontal="center" vertical="center" wrapText="1"/>
    </xf>
    <xf numFmtId="0" fontId="36" fillId="6" borderId="3" xfId="40" applyFont="1" applyFill="1" applyBorder="1" applyAlignment="1">
      <alignment horizontal="center" vertical="center" wrapText="1"/>
      <protection locked="0"/>
    </xf>
    <xf numFmtId="0" fontId="36" fillId="10" borderId="3" xfId="40" applyFont="1" applyFill="1" applyBorder="1" applyAlignment="1" applyProtection="1">
      <alignment horizontal="center" vertical="center"/>
    </xf>
    <xf numFmtId="14" fontId="82" fillId="0" borderId="0" xfId="53" applyNumberFormat="1" applyFont="1" applyAlignment="1">
      <alignment horizontal="left" vertical="center"/>
      <protection locked="0"/>
    </xf>
    <xf numFmtId="0" fontId="36" fillId="0" borderId="4" xfId="32" applyFont="1" applyBorder="1" applyAlignment="1">
      <alignment vertical="center"/>
    </xf>
    <xf numFmtId="0" fontId="36" fillId="0" borderId="0" xfId="40" applyFont="1" applyAlignment="1">
      <alignment vertical="center"/>
      <protection locked="0"/>
    </xf>
    <xf numFmtId="0" fontId="84" fillId="0" borderId="0" xfId="0" applyFont="1" applyAlignment="1">
      <alignment vertical="top"/>
      <protection locked="0"/>
    </xf>
    <xf numFmtId="0" fontId="86" fillId="0" borderId="0" xfId="0" applyFont="1" applyAlignment="1">
      <alignment vertical="top"/>
      <protection locked="0"/>
    </xf>
    <xf numFmtId="0" fontId="62" fillId="0" borderId="0" xfId="0" applyFont="1" applyAlignment="1">
      <alignment horizontal="left" vertical="center"/>
      <protection locked="0"/>
    </xf>
    <xf numFmtId="193" fontId="69" fillId="0" borderId="3" xfId="57" applyFont="1" applyFill="1" applyBorder="1" applyAlignment="1">
      <alignment horizontal="center" vertical="center" wrapText="1"/>
    </xf>
    <xf numFmtId="193" fontId="66" fillId="0" borderId="3" xfId="57" applyFont="1" applyFill="1" applyBorder="1" applyAlignment="1">
      <alignment horizontal="center" vertical="center" wrapText="1"/>
    </xf>
    <xf numFmtId="193" fontId="78" fillId="0" borderId="3" xfId="50" applyFont="1" applyBorder="1" applyAlignment="1">
      <alignment vertical="center" wrapText="1"/>
    </xf>
    <xf numFmtId="0" fontId="19" fillId="0" borderId="3" xfId="44" applyFont="1" applyBorder="1" applyAlignment="1">
      <alignment vertical="center" wrapText="1"/>
    </xf>
    <xf numFmtId="193" fontId="23" fillId="6" borderId="3" xfId="57" applyFont="1" applyFill="1" applyBorder="1" applyAlignment="1" applyProtection="1">
      <alignment horizontal="center" vertical="center"/>
      <protection locked="0"/>
    </xf>
    <xf numFmtId="0" fontId="36" fillId="6" borderId="3" xfId="0" applyFont="1" applyFill="1" applyBorder="1" applyAlignment="1" applyProtection="1">
      <alignment horizontal="center" vertical="center"/>
    </xf>
    <xf numFmtId="0" fontId="35" fillId="4" borderId="0" xfId="0" applyFont="1" applyFill="1" applyAlignment="1">
      <alignment horizontal="justify" vertical="center" wrapText="1"/>
      <protection locked="0"/>
    </xf>
    <xf numFmtId="0" fontId="36" fillId="6" borderId="3" xfId="0" applyFont="1" applyFill="1" applyBorder="1" applyAlignment="1" applyProtection="1">
      <alignment vertical="center"/>
    </xf>
    <xf numFmtId="43" fontId="35" fillId="6" borderId="3" xfId="39" applyFont="1" applyFill="1" applyBorder="1" applyAlignment="1">
      <alignment horizontal="right" vertical="center" wrapText="1"/>
    </xf>
    <xf numFmtId="14" fontId="36" fillId="6" borderId="3" xfId="0" applyNumberFormat="1" applyFont="1" applyFill="1" applyBorder="1" applyAlignment="1" applyProtection="1">
      <alignment vertical="center"/>
    </xf>
    <xf numFmtId="0" fontId="33" fillId="6" borderId="3" xfId="42" applyFont="1" applyFill="1" applyBorder="1"/>
    <xf numFmtId="0" fontId="24" fillId="0" borderId="2" xfId="33" applyFont="1" applyBorder="1" applyAlignment="1" applyProtection="1">
      <alignment vertical="center"/>
    </xf>
    <xf numFmtId="0" fontId="41" fillId="0" borderId="2" xfId="0" applyFont="1" applyBorder="1" applyAlignment="1" applyProtection="1">
      <alignment horizontal="center" vertical="center"/>
    </xf>
    <xf numFmtId="0" fontId="11" fillId="0" borderId="0" xfId="0" applyFont="1" applyAlignment="1">
      <alignment horizontal="center"/>
      <protection locked="0"/>
    </xf>
    <xf numFmtId="0" fontId="29" fillId="0" borderId="0" xfId="0" applyFont="1" applyAlignment="1">
      <alignment horizontal="center"/>
      <protection locked="0"/>
    </xf>
    <xf numFmtId="193" fontId="38" fillId="0" borderId="0" xfId="33" applyNumberFormat="1" applyFont="1" applyAlignment="1" applyProtection="1">
      <alignment vertical="center" wrapText="1"/>
      <protection locked="0"/>
    </xf>
    <xf numFmtId="193" fontId="35" fillId="0" borderId="0" xfId="50" applyFont="1" applyAlignment="1" applyProtection="1">
      <alignment horizontal="right" vertical="center"/>
      <protection locked="0"/>
    </xf>
    <xf numFmtId="193" fontId="19" fillId="0" borderId="0" xfId="50" applyFont="1" applyAlignment="1" applyProtection="1">
      <alignment horizontal="right" vertical="center"/>
      <protection locked="0"/>
    </xf>
    <xf numFmtId="0" fontId="36" fillId="6" borderId="3" xfId="53" applyFont="1" applyFill="1" applyBorder="1" applyAlignment="1" applyProtection="1">
      <alignment vertical="center"/>
    </xf>
    <xf numFmtId="0" fontId="36" fillId="6" borderId="3" xfId="53" applyFont="1" applyFill="1" applyBorder="1" applyAlignment="1" applyProtection="1">
      <alignment vertical="center" wrapText="1"/>
    </xf>
    <xf numFmtId="0" fontId="36" fillId="6" borderId="3" xfId="53" applyFont="1" applyFill="1" applyBorder="1" applyAlignment="1" applyProtection="1">
      <alignment horizontal="center" vertical="center"/>
    </xf>
    <xf numFmtId="193" fontId="62" fillId="0" borderId="3" xfId="50" applyFont="1" applyBorder="1" applyAlignment="1">
      <alignment horizontal="center" vertical="center" wrapText="1"/>
    </xf>
    <xf numFmtId="0" fontId="19" fillId="4" borderId="0" xfId="0" applyFont="1" applyFill="1" applyAlignment="1">
      <alignment horizontal="justify" vertical="center" wrapText="1"/>
      <protection locked="0"/>
    </xf>
    <xf numFmtId="193" fontId="35" fillId="0" borderId="3" xfId="50" applyFont="1" applyBorder="1" applyAlignment="1">
      <alignment horizontal="center" vertical="center" wrapText="1"/>
    </xf>
    <xf numFmtId="193" fontId="35" fillId="0" borderId="3" xfId="50" applyFont="1" applyBorder="1" applyAlignment="1">
      <alignment vertical="center" wrapText="1"/>
    </xf>
    <xf numFmtId="193" fontId="19" fillId="0" borderId="3" xfId="50" applyFont="1" applyBorder="1" applyAlignment="1">
      <alignment vertical="center" wrapText="1"/>
    </xf>
    <xf numFmtId="0" fontId="56" fillId="0" borderId="0" xfId="0" applyFont="1" applyAlignment="1">
      <alignment horizontal="center" vertical="center"/>
      <protection locked="0"/>
    </xf>
    <xf numFmtId="193" fontId="23" fillId="6" borderId="3" xfId="57" applyFont="1" applyFill="1" applyBorder="1" applyAlignment="1" applyProtection="1">
      <alignment horizontal="center" vertical="center" wrapText="1"/>
      <protection locked="0"/>
    </xf>
    <xf numFmtId="0" fontId="35" fillId="4" borderId="0" xfId="0" applyFont="1" applyFill="1" applyBorder="1" applyAlignment="1">
      <alignment horizontal="justify" vertical="center" wrapText="1"/>
      <protection locked="0"/>
    </xf>
    <xf numFmtId="193" fontId="64" fillId="7" borderId="0" xfId="50" applyFont="1" applyFill="1" applyBorder="1" applyAlignment="1" applyProtection="1">
      <alignment horizontal="centerContinuous" vertical="center"/>
      <protection locked="0"/>
    </xf>
    <xf numFmtId="193" fontId="55" fillId="7" borderId="0" xfId="50" applyFont="1" applyFill="1" applyBorder="1" applyAlignment="1">
      <alignment horizontal="centerContinuous" vertical="center"/>
    </xf>
    <xf numFmtId="193" fontId="74" fillId="0" borderId="0" xfId="59" applyFont="1" applyFill="1" applyAlignment="1">
      <alignment horizontal="left" vertical="center"/>
    </xf>
    <xf numFmtId="0" fontId="35" fillId="0" borderId="3" xfId="50" applyNumberFormat="1" applyFont="1" applyBorder="1" applyAlignment="1" applyProtection="1">
      <alignment horizontal="center" vertical="center"/>
      <protection locked="0"/>
    </xf>
    <xf numFmtId="193" fontId="67" fillId="0" borderId="3" xfId="50" applyFont="1" applyBorder="1" applyAlignment="1">
      <alignment horizontal="center" vertical="center"/>
    </xf>
    <xf numFmtId="0" fontId="66" fillId="0" borderId="3" xfId="44" applyFont="1" applyBorder="1" applyAlignment="1">
      <alignment vertical="center" wrapText="1"/>
    </xf>
    <xf numFmtId="0" fontId="33" fillId="0" borderId="0" xfId="0" applyFont="1" applyAlignment="1">
      <alignment horizontal="left" vertical="center" wrapText="1"/>
      <protection locked="0"/>
    </xf>
    <xf numFmtId="0" fontId="34" fillId="0" borderId="0" xfId="0" applyFont="1" applyAlignment="1">
      <alignment horizontal="left" vertical="center" wrapText="1"/>
      <protection locked="0"/>
    </xf>
    <xf numFmtId="193" fontId="33" fillId="0" borderId="0" xfId="49" applyFont="1" applyAlignment="1">
      <alignment horizontal="center" vertical="center"/>
    </xf>
    <xf numFmtId="193" fontId="56" fillId="0" borderId="0" xfId="49" applyFont="1" applyAlignment="1">
      <alignment horizontal="center" vertical="center"/>
    </xf>
    <xf numFmtId="193" fontId="57" fillId="0" borderId="0" xfId="49" applyFont="1" applyAlignment="1">
      <alignment horizontal="center" vertical="center"/>
    </xf>
    <xf numFmtId="193" fontId="58" fillId="0" borderId="0" xfId="50" applyFont="1" applyAlignment="1" applyProtection="1">
      <alignment horizontal="left" vertical="center"/>
      <protection locked="0"/>
    </xf>
    <xf numFmtId="193" fontId="23" fillId="6" borderId="3" xfId="57" applyFont="1" applyFill="1" applyBorder="1" applyAlignment="1" applyProtection="1">
      <alignment horizontal="center" vertical="center" wrapText="1"/>
      <protection locked="0"/>
    </xf>
    <xf numFmtId="193" fontId="7" fillId="0" borderId="3" xfId="57" applyFont="1" applyBorder="1" applyAlignment="1" applyProtection="1">
      <alignment horizontal="left" vertical="center" wrapText="1"/>
      <protection locked="0"/>
    </xf>
    <xf numFmtId="49" fontId="36" fillId="6" borderId="3" xfId="50" applyNumberFormat="1" applyFont="1" applyFill="1" applyBorder="1" applyAlignment="1" applyProtection="1">
      <alignment horizontal="center" vertical="center"/>
      <protection locked="0"/>
    </xf>
    <xf numFmtId="193" fontId="36" fillId="6" borderId="3" xfId="50" applyFont="1" applyFill="1" applyBorder="1" applyAlignment="1" applyProtection="1">
      <alignment horizontal="center" vertical="center" wrapText="1"/>
      <protection locked="0"/>
    </xf>
    <xf numFmtId="193" fontId="23" fillId="6" borderId="3" xfId="57" applyFont="1" applyFill="1" applyBorder="1" applyAlignment="1" applyProtection="1">
      <alignment horizontal="center" vertical="center"/>
      <protection locked="0"/>
    </xf>
    <xf numFmtId="193" fontId="23" fillId="6" borderId="3" xfId="50" applyFont="1" applyFill="1" applyBorder="1" applyAlignment="1" applyProtection="1">
      <alignment horizontal="center" vertical="center" wrapText="1"/>
      <protection locked="0"/>
    </xf>
    <xf numFmtId="193" fontId="19" fillId="0" borderId="3" xfId="57" applyFont="1" applyBorder="1" applyAlignment="1" applyProtection="1">
      <alignment horizontal="center" vertical="center" wrapText="1"/>
      <protection locked="0"/>
    </xf>
    <xf numFmtId="193" fontId="36" fillId="6" borderId="3" xfId="57" applyFont="1" applyFill="1" applyBorder="1" applyAlignment="1" applyProtection="1">
      <alignment horizontal="center" vertical="center"/>
      <protection locked="0"/>
    </xf>
    <xf numFmtId="193" fontId="58" fillId="0" borderId="3" xfId="50" applyFont="1" applyBorder="1" applyAlignment="1" applyProtection="1">
      <alignment horizontal="left" vertical="center" wrapText="1"/>
      <protection locked="0"/>
    </xf>
    <xf numFmtId="193" fontId="58" fillId="0" borderId="6" xfId="50" applyFont="1" applyBorder="1" applyAlignment="1" applyProtection="1">
      <alignment horizontal="center" vertical="center"/>
      <protection locked="0"/>
    </xf>
    <xf numFmtId="193" fontId="58" fillId="0" borderId="7" xfId="50" applyFont="1" applyBorder="1" applyAlignment="1" applyProtection="1">
      <alignment horizontal="center" vertical="center"/>
      <protection locked="0"/>
    </xf>
    <xf numFmtId="193" fontId="58" fillId="0" borderId="8" xfId="50" applyFont="1" applyBorder="1" applyAlignment="1" applyProtection="1">
      <alignment horizontal="center" vertical="center"/>
      <protection locked="0"/>
    </xf>
    <xf numFmtId="193" fontId="36" fillId="0" borderId="11" xfId="50" applyFont="1" applyBorder="1" applyAlignment="1" applyProtection="1">
      <alignment horizontal="center" vertical="center" wrapText="1"/>
      <protection locked="0"/>
    </xf>
    <xf numFmtId="193" fontId="36" fillId="0" borderId="12" xfId="50" applyFont="1" applyBorder="1" applyAlignment="1" applyProtection="1">
      <alignment horizontal="center" vertical="center" wrapText="1"/>
      <protection locked="0"/>
    </xf>
    <xf numFmtId="193" fontId="45" fillId="0" borderId="3" xfId="50" applyFont="1" applyBorder="1" applyAlignment="1" applyProtection="1">
      <alignment horizontal="left" vertical="center" wrapText="1"/>
      <protection locked="0"/>
    </xf>
    <xf numFmtId="193" fontId="45" fillId="0" borderId="6" xfId="50" applyFont="1" applyBorder="1" applyAlignment="1" applyProtection="1">
      <alignment horizontal="left" vertical="center" wrapText="1"/>
      <protection locked="0"/>
    </xf>
    <xf numFmtId="193" fontId="45" fillId="0" borderId="8" xfId="50" applyFont="1" applyBorder="1" applyAlignment="1" applyProtection="1">
      <alignment horizontal="left" vertical="center" wrapText="1"/>
      <protection locked="0"/>
    </xf>
    <xf numFmtId="193" fontId="36" fillId="6" borderId="3" xfId="50" applyFont="1" applyFill="1" applyBorder="1" applyAlignment="1">
      <alignment vertical="center" wrapText="1"/>
    </xf>
    <xf numFmtId="193" fontId="65" fillId="6" borderId="3" xfId="50" applyFont="1" applyFill="1" applyBorder="1" applyAlignment="1">
      <alignment vertical="center" wrapText="1"/>
    </xf>
    <xf numFmtId="193" fontId="35" fillId="6" borderId="3" xfId="50" applyFont="1" applyFill="1" applyBorder="1" applyAlignment="1">
      <alignment horizontal="left" vertical="center" wrapText="1"/>
    </xf>
    <xf numFmtId="193" fontId="54" fillId="6" borderId="3" xfId="50" applyFont="1" applyFill="1" applyBorder="1" applyAlignment="1">
      <alignment horizontal="left" vertical="center" wrapText="1"/>
    </xf>
    <xf numFmtId="193" fontId="62" fillId="6" borderId="6" xfId="50" applyFont="1" applyFill="1" applyBorder="1" applyAlignment="1">
      <alignment horizontal="center" vertical="center" wrapText="1"/>
    </xf>
    <xf numFmtId="193" fontId="62" fillId="6" borderId="8" xfId="50" applyFont="1" applyFill="1" applyBorder="1" applyAlignment="1">
      <alignment horizontal="center" vertical="center" wrapText="1"/>
    </xf>
    <xf numFmtId="193" fontId="23" fillId="6" borderId="3" xfId="50" applyFont="1" applyFill="1" applyBorder="1" applyAlignment="1">
      <alignment vertical="center" wrapText="1"/>
    </xf>
    <xf numFmtId="193" fontId="35" fillId="6" borderId="3" xfId="50" applyFont="1" applyFill="1" applyBorder="1" applyAlignment="1">
      <alignment horizontal="center" vertical="center" wrapText="1"/>
    </xf>
    <xf numFmtId="193" fontId="36" fillId="6" borderId="3" xfId="50" applyFont="1" applyFill="1" applyBorder="1" applyAlignment="1" applyProtection="1">
      <alignment horizontal="center" vertical="center"/>
      <protection locked="0"/>
    </xf>
    <xf numFmtId="193" fontId="36" fillId="0" borderId="3" xfId="50" applyFont="1" applyBorder="1" applyAlignment="1">
      <alignment vertical="center" wrapText="1"/>
    </xf>
    <xf numFmtId="193" fontId="65" fillId="0" borderId="3" xfId="50" applyFont="1" applyBorder="1" applyAlignment="1">
      <alignment vertical="center" wrapText="1"/>
    </xf>
    <xf numFmtId="193" fontId="35" fillId="0" borderId="3" xfId="50" applyFont="1" applyBorder="1" applyAlignment="1">
      <alignment horizontal="center" vertical="center" wrapText="1"/>
    </xf>
    <xf numFmtId="193" fontId="55" fillId="0" borderId="6" xfId="50" applyFont="1" applyBorder="1" applyAlignment="1">
      <alignment horizontal="center" vertical="center"/>
    </xf>
    <xf numFmtId="193" fontId="55" fillId="0" borderId="8" xfId="50" applyFont="1" applyBorder="1" applyAlignment="1">
      <alignment horizontal="center" vertical="center"/>
    </xf>
    <xf numFmtId="193" fontId="35" fillId="0" borderId="3" xfId="50" applyFont="1" applyBorder="1" applyAlignment="1">
      <alignment vertical="center" wrapText="1"/>
    </xf>
    <xf numFmtId="193" fontId="54" fillId="0" borderId="3" xfId="50" applyFont="1" applyBorder="1" applyAlignment="1">
      <alignment vertical="center" wrapText="1"/>
    </xf>
    <xf numFmtId="0" fontId="68" fillId="0" borderId="6" xfId="50" applyNumberFormat="1" applyFont="1" applyBorder="1" applyAlignment="1">
      <alignment horizontal="center" vertical="center" wrapText="1"/>
    </xf>
    <xf numFmtId="0" fontId="68" fillId="0" borderId="7" xfId="50" applyNumberFormat="1" applyFont="1" applyBorder="1" applyAlignment="1">
      <alignment horizontal="center" vertical="center" wrapText="1"/>
    </xf>
    <xf numFmtId="0" fontId="68" fillId="0" borderId="8" xfId="50" applyNumberFormat="1" applyFont="1" applyBorder="1" applyAlignment="1">
      <alignment horizontal="center" vertical="center" wrapText="1"/>
    </xf>
    <xf numFmtId="193" fontId="19" fillId="0" borderId="3" xfId="50" applyFont="1" applyBorder="1" applyAlignment="1">
      <alignment vertical="center" wrapText="1"/>
    </xf>
    <xf numFmtId="193" fontId="23" fillId="0" borderId="3" xfId="50" applyFont="1" applyBorder="1" applyAlignment="1">
      <alignment vertical="center" wrapText="1"/>
    </xf>
    <xf numFmtId="193" fontId="66" fillId="6" borderId="6" xfId="50" applyFont="1" applyFill="1" applyBorder="1" applyAlignment="1">
      <alignment vertical="center" wrapText="1"/>
    </xf>
    <xf numFmtId="193" fontId="54" fillId="6" borderId="8" xfId="50" applyFont="1" applyFill="1" applyBorder="1" applyAlignment="1">
      <alignment vertical="center" wrapText="1"/>
    </xf>
    <xf numFmtId="193" fontId="54" fillId="6" borderId="6" xfId="50" applyFont="1" applyFill="1" applyBorder="1" applyAlignment="1">
      <alignment horizontal="center" vertical="center" wrapText="1"/>
    </xf>
    <xf numFmtId="193" fontId="54" fillId="6" borderId="7" xfId="50" applyFont="1" applyFill="1" applyBorder="1" applyAlignment="1">
      <alignment horizontal="center" vertical="center" wrapText="1"/>
    </xf>
    <xf numFmtId="193" fontId="54" fillId="6" borderId="8" xfId="50" applyFont="1" applyFill="1" applyBorder="1" applyAlignment="1">
      <alignment horizontal="center" vertical="center" wrapText="1"/>
    </xf>
    <xf numFmtId="193" fontId="66" fillId="0" borderId="6" xfId="50" applyFont="1" applyBorder="1" applyAlignment="1">
      <alignment vertical="center" wrapText="1"/>
    </xf>
    <xf numFmtId="193" fontId="54" fillId="0" borderId="8" xfId="50" applyFont="1" applyBorder="1" applyAlignment="1">
      <alignment vertical="center" wrapText="1"/>
    </xf>
    <xf numFmtId="193" fontId="19" fillId="6" borderId="3" xfId="50" applyFont="1" applyFill="1" applyBorder="1" applyAlignment="1">
      <alignment vertical="center" wrapText="1"/>
    </xf>
    <xf numFmtId="193" fontId="54" fillId="6" borderId="3" xfId="50" applyFont="1" applyFill="1" applyBorder="1" applyAlignment="1">
      <alignment vertical="center" wrapText="1"/>
    </xf>
    <xf numFmtId="193" fontId="66" fillId="0" borderId="3" xfId="50" applyFont="1" applyBorder="1" applyAlignment="1">
      <alignment vertical="center" wrapText="1"/>
    </xf>
    <xf numFmtId="0" fontId="68" fillId="6" borderId="3" xfId="50" applyNumberFormat="1" applyFont="1" applyFill="1" applyBorder="1" applyAlignment="1">
      <alignment horizontal="left" vertical="center" wrapText="1"/>
    </xf>
    <xf numFmtId="0" fontId="68" fillId="6" borderId="3" xfId="50" applyNumberFormat="1" applyFont="1" applyFill="1" applyBorder="1" applyAlignment="1">
      <alignment horizontal="center" vertical="center" wrapText="1"/>
    </xf>
    <xf numFmtId="0" fontId="71" fillId="0" borderId="3" xfId="50" applyNumberFormat="1" applyFont="1" applyBorder="1" applyAlignment="1">
      <alignment horizontal="left" vertical="center" wrapText="1"/>
    </xf>
    <xf numFmtId="0" fontId="68" fillId="0" borderId="3" xfId="50" applyNumberFormat="1" applyFont="1" applyBorder="1" applyAlignment="1">
      <alignment horizontal="left" vertical="center" wrapText="1"/>
    </xf>
    <xf numFmtId="0" fontId="68" fillId="0" borderId="3" xfId="50" applyNumberFormat="1" applyFont="1" applyBorder="1" applyAlignment="1">
      <alignment horizontal="center" vertical="center" wrapText="1"/>
    </xf>
    <xf numFmtId="193" fontId="78" fillId="0" borderId="4" xfId="50" applyFont="1" applyBorder="1" applyAlignment="1">
      <alignment horizontal="left" vertical="center" wrapText="1"/>
    </xf>
    <xf numFmtId="193" fontId="78" fillId="0" borderId="0" xfId="50" applyFont="1" applyBorder="1" applyAlignment="1">
      <alignment horizontal="left" vertical="center" wrapText="1"/>
    </xf>
    <xf numFmtId="0" fontId="19" fillId="0" borderId="4" xfId="44" applyFont="1" applyBorder="1" applyAlignment="1">
      <alignment horizontal="left" vertical="center" wrapText="1"/>
    </xf>
    <xf numFmtId="0" fontId="19" fillId="0" borderId="0" xfId="44" applyFont="1" applyBorder="1" applyAlignment="1">
      <alignment horizontal="left" vertical="center" wrapText="1"/>
    </xf>
    <xf numFmtId="193" fontId="19" fillId="0" borderId="4" xfId="50" applyFont="1" applyBorder="1" applyAlignment="1">
      <alignment horizontal="left" vertical="center" wrapText="1"/>
    </xf>
    <xf numFmtId="193" fontId="19" fillId="0" borderId="0" xfId="50" applyFont="1" applyBorder="1" applyAlignment="1">
      <alignment horizontal="left" vertical="center" wrapText="1"/>
    </xf>
    <xf numFmtId="193" fontId="65" fillId="6" borderId="6" xfId="50" applyFont="1" applyFill="1" applyBorder="1" applyAlignment="1">
      <alignment vertical="center" wrapText="1"/>
    </xf>
    <xf numFmtId="193" fontId="65" fillId="6" borderId="8" xfId="50" applyFont="1" applyFill="1" applyBorder="1" applyAlignment="1">
      <alignment vertical="center" wrapText="1"/>
    </xf>
    <xf numFmtId="193" fontId="55" fillId="6" borderId="6" xfId="50" applyFont="1" applyFill="1" applyBorder="1" applyAlignment="1">
      <alignment horizontal="center" vertical="center"/>
    </xf>
    <xf numFmtId="193" fontId="55" fillId="6" borderId="8" xfId="50" applyFont="1" applyFill="1" applyBorder="1" applyAlignment="1">
      <alignment horizontal="center" vertical="center"/>
    </xf>
    <xf numFmtId="193" fontId="79" fillId="0" borderId="3" xfId="50" applyFont="1" applyBorder="1" applyAlignment="1">
      <alignment vertical="center" wrapText="1"/>
    </xf>
    <xf numFmtId="10" fontId="51" fillId="0" borderId="0" xfId="43" applyNumberFormat="1" applyFont="1" applyBorder="1" applyAlignment="1">
      <alignment horizontal="left" vertical="center"/>
    </xf>
    <xf numFmtId="193" fontId="37" fillId="6" borderId="3" xfId="46" applyFont="1" applyFill="1" applyBorder="1" applyAlignment="1" applyProtection="1">
      <alignment horizontal="center" vertical="center" wrapText="1"/>
      <protection locked="0"/>
    </xf>
    <xf numFmtId="193" fontId="36" fillId="6" borderId="3" xfId="46" applyFont="1" applyFill="1" applyBorder="1" applyAlignment="1" applyProtection="1">
      <alignment horizontal="center" vertical="center" wrapText="1"/>
      <protection locked="0"/>
    </xf>
    <xf numFmtId="193" fontId="36" fillId="6" borderId="3" xfId="45" applyFont="1" applyFill="1" applyBorder="1" applyAlignment="1" applyProtection="1">
      <alignment horizontal="center" vertical="center" wrapText="1"/>
      <protection locked="0"/>
    </xf>
    <xf numFmtId="0" fontId="20" fillId="0" borderId="0" xfId="31" applyFont="1" applyAlignment="1">
      <alignment horizontal="center" vertical="center" wrapText="1"/>
    </xf>
    <xf numFmtId="0" fontId="56" fillId="0" borderId="0" xfId="31" applyFont="1" applyAlignment="1">
      <alignment horizontal="center" vertical="center" wrapText="1"/>
    </xf>
    <xf numFmtId="193" fontId="36" fillId="9" borderId="3" xfId="45" applyFont="1" applyFill="1" applyBorder="1" applyAlignment="1" applyProtection="1">
      <alignment horizontal="center" vertical="center" wrapText="1"/>
      <protection locked="0"/>
    </xf>
    <xf numFmtId="0" fontId="20" fillId="0" borderId="0" xfId="0" applyFont="1" applyAlignment="1">
      <alignment horizontal="center" vertical="center"/>
      <protection locked="0"/>
    </xf>
    <xf numFmtId="0" fontId="36" fillId="6" borderId="3" xfId="40" applyFont="1" applyFill="1" applyBorder="1" applyAlignment="1" applyProtection="1">
      <alignment horizontal="center" vertical="center"/>
    </xf>
    <xf numFmtId="0" fontId="20" fillId="0" borderId="0" xfId="31" applyFont="1" applyAlignment="1">
      <alignment horizontal="center" vertical="center"/>
    </xf>
    <xf numFmtId="0" fontId="56" fillId="0" borderId="0" xfId="31" applyFont="1" applyAlignment="1">
      <alignment horizontal="center" vertical="center"/>
    </xf>
    <xf numFmtId="0" fontId="37" fillId="6" borderId="11" xfId="0" applyFont="1" applyFill="1" applyBorder="1" applyAlignment="1">
      <alignment horizontal="center" vertical="center"/>
      <protection locked="0"/>
    </xf>
    <xf numFmtId="0" fontId="37" fillId="6" borderId="12" xfId="0" applyFont="1" applyFill="1" applyBorder="1" applyAlignment="1">
      <alignment horizontal="center" vertical="center"/>
      <protection locked="0"/>
    </xf>
    <xf numFmtId="43" fontId="20" fillId="0" borderId="0" xfId="47" applyNumberFormat="1" applyFont="1" applyBorder="1" applyAlignment="1">
      <alignment horizontal="center" vertical="center"/>
    </xf>
    <xf numFmtId="43" fontId="56" fillId="0" borderId="0" xfId="47" applyNumberFormat="1" applyFont="1" applyBorder="1" applyAlignment="1">
      <alignment horizontal="center" vertical="center"/>
    </xf>
    <xf numFmtId="0" fontId="56" fillId="0" borderId="0" xfId="0" applyFont="1" applyAlignment="1">
      <alignment horizontal="center" vertical="center"/>
      <protection locked="0"/>
    </xf>
    <xf numFmtId="0" fontId="36" fillId="6" borderId="3" xfId="0" applyFont="1" applyFill="1" applyBorder="1" applyAlignment="1" applyProtection="1">
      <alignment horizontal="center" vertical="center" wrapText="1"/>
    </xf>
    <xf numFmtId="0" fontId="36" fillId="6" borderId="3" xfId="0" applyFont="1" applyFill="1" applyBorder="1" applyAlignment="1" applyProtection="1">
      <alignment horizontal="center" vertical="center"/>
    </xf>
    <xf numFmtId="0" fontId="60" fillId="10" borderId="3" xfId="40" applyFont="1" applyFill="1" applyBorder="1" applyAlignment="1" applyProtection="1">
      <alignment horizontal="center" vertical="center" wrapText="1"/>
    </xf>
    <xf numFmtId="0" fontId="36" fillId="10" borderId="3" xfId="40" applyFont="1" applyFill="1" applyBorder="1" applyAlignment="1" applyProtection="1">
      <alignment horizontal="center" vertical="center" wrapText="1"/>
    </xf>
    <xf numFmtId="0" fontId="36" fillId="0" borderId="0" xfId="0" applyFont="1" applyAlignment="1">
      <alignment horizontal="center" vertical="center"/>
      <protection locked="0"/>
    </xf>
    <xf numFmtId="0" fontId="33" fillId="0" borderId="0" xfId="0" applyFont="1" applyAlignment="1">
      <alignment horizontal="center" vertical="center"/>
      <protection locked="0"/>
    </xf>
    <xf numFmtId="0" fontId="36" fillId="6" borderId="3" xfId="40" applyFont="1" applyFill="1" applyBorder="1" applyAlignment="1">
      <alignment horizontal="center" vertical="center"/>
      <protection locked="0"/>
    </xf>
    <xf numFmtId="0" fontId="85" fillId="10" borderId="6" xfId="40" applyFont="1" applyFill="1" applyBorder="1" applyAlignment="1" applyProtection="1">
      <alignment horizontal="center" vertical="center" wrapText="1"/>
    </xf>
    <xf numFmtId="0" fontId="85" fillId="10" borderId="7" xfId="40" applyFont="1" applyFill="1" applyBorder="1" applyAlignment="1" applyProtection="1">
      <alignment horizontal="center" vertical="center" wrapText="1"/>
    </xf>
    <xf numFmtId="0" fontId="85" fillId="10" borderId="8" xfId="40" applyFont="1" applyFill="1" applyBorder="1" applyAlignment="1" applyProtection="1">
      <alignment horizontal="center" vertical="center" wrapText="1"/>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43" builtinId="5"/>
    <cellStyle name="百分比 2 2" xfId="56"/>
    <cellStyle name="常规" xfId="0" builtinId="0"/>
    <cellStyle name="常规 11 5" xfId="59"/>
    <cellStyle name="常规 2" xfId="40"/>
    <cellStyle name="常规 2 2" xfId="53"/>
    <cellStyle name="常规 3" xfId="46"/>
    <cellStyle name="常规 3 2" xfId="51"/>
    <cellStyle name="常规 4" xfId="45"/>
    <cellStyle name="常规 4 2" xfId="54"/>
    <cellStyle name="常规 5" xfId="44"/>
    <cellStyle name="常规 6" xfId="50"/>
    <cellStyle name="常规 7" xfId="57"/>
    <cellStyle name="常规 7 2" xfId="58"/>
    <cellStyle name="常规_Book1" xfId="31"/>
    <cellStyle name="常规_Book1 2" xfId="49"/>
    <cellStyle name="常规_c-资产类" xfId="48"/>
    <cellStyle name="常规_进一步审计程序--销售与收款循环" xfId="32"/>
    <cellStyle name="常规_立信2007年10月版(资产类)-－丁文娟" xfId="42"/>
    <cellStyle name="常规_新审定表" xfId="47"/>
    <cellStyle name="常规_制造费用" xfId="41"/>
    <cellStyle name="超链接" xfId="33" builtinId="8"/>
    <cellStyle name="超链接 2" xfId="55"/>
    <cellStyle name="普通_ 外G9(3)" xfId="34"/>
    <cellStyle name="千分位[0]_宁波" xfId="35"/>
    <cellStyle name="千分位_宁波" xfId="36"/>
    <cellStyle name="千位[0]_laroux" xfId="37"/>
    <cellStyle name="千位_laroux" xfId="38"/>
    <cellStyle name="千位分隔" xfId="39" builtinId="3"/>
    <cellStyle name="千位分隔 2 4" xfId="52"/>
  </cellStyles>
  <dxfs count="0"/>
  <tableStyles count="0" defaultTableStyle="TableStyleMedium9" defaultPivotStyle="PivotStyleLight16"/>
  <colors>
    <mruColors>
      <color rgb="FF0000FF"/>
      <color rgb="FF3333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tabSelected="1" zoomScale="96" zoomScaleNormal="96" workbookViewId="0"/>
  </sheetViews>
  <sheetFormatPr defaultRowHeight="20.100000000000001" customHeight="1"/>
  <cols>
    <col min="1" max="1" width="77.59765625" style="9" customWidth="1"/>
    <col min="2" max="2" width="2" style="9" customWidth="1"/>
    <col min="3" max="3" width="2.09765625" style="9" customWidth="1"/>
    <col min="4" max="4" width="6.09765625" style="9" customWidth="1"/>
    <col min="5" max="5" width="22.796875" style="9" customWidth="1"/>
    <col min="6" max="6" width="10.19921875" style="221" customWidth="1"/>
    <col min="8" max="8" width="10.3984375" customWidth="1"/>
  </cols>
  <sheetData>
    <row r="1" spans="1:8" s="4" customFormat="1" ht="20.100000000000001" customHeight="1">
      <c r="A1" s="3" t="s">
        <v>0</v>
      </c>
      <c r="B1" s="5"/>
      <c r="C1" s="5"/>
      <c r="D1" s="6"/>
      <c r="E1" s="6"/>
      <c r="F1" s="8"/>
    </row>
    <row r="2" spans="1:8" ht="20.100000000000001" customHeight="1">
      <c r="A2" s="213" t="s">
        <v>269</v>
      </c>
      <c r="B2" s="7"/>
      <c r="C2" s="7"/>
      <c r="D2" s="8"/>
      <c r="E2" s="8"/>
      <c r="F2" s="8"/>
      <c r="G2" s="1"/>
      <c r="H2" s="1"/>
    </row>
    <row r="3" spans="1:8" ht="20.100000000000001" customHeight="1">
      <c r="A3" s="235" t="s">
        <v>280</v>
      </c>
      <c r="B3" s="7"/>
      <c r="C3" s="7"/>
      <c r="D3" s="68" t="s">
        <v>32</v>
      </c>
      <c r="E3" s="68" t="s">
        <v>21</v>
      </c>
      <c r="F3" s="68" t="s">
        <v>33</v>
      </c>
      <c r="G3" s="68" t="s">
        <v>34</v>
      </c>
      <c r="H3" s="2"/>
    </row>
    <row r="4" spans="1:8" ht="20.100000000000001" customHeight="1">
      <c r="A4" s="229" t="s">
        <v>270</v>
      </c>
      <c r="B4" s="7"/>
      <c r="C4" s="7"/>
      <c r="D4" s="68">
        <v>1</v>
      </c>
      <c r="E4" s="218" t="s">
        <v>120</v>
      </c>
      <c r="F4" s="219" t="s">
        <v>142</v>
      </c>
      <c r="G4" s="68"/>
      <c r="H4" s="2"/>
    </row>
    <row r="5" spans="1:8" ht="20.100000000000001" customHeight="1">
      <c r="A5" s="229" t="s">
        <v>271</v>
      </c>
      <c r="D5" s="68">
        <v>2</v>
      </c>
      <c r="E5" s="218" t="s">
        <v>119</v>
      </c>
      <c r="F5" s="219" t="s">
        <v>143</v>
      </c>
      <c r="G5" s="68"/>
      <c r="H5" s="10"/>
    </row>
    <row r="6" spans="1:8" ht="20.100000000000001" customHeight="1">
      <c r="A6" s="229" t="s">
        <v>272</v>
      </c>
      <c r="D6" s="68">
        <v>3</v>
      </c>
      <c r="E6" s="218" t="s">
        <v>35</v>
      </c>
      <c r="F6" s="219"/>
      <c r="G6" s="68"/>
      <c r="H6" s="162" t="s">
        <v>150</v>
      </c>
    </row>
    <row r="7" spans="1:8" ht="20.100000000000001" customHeight="1">
      <c r="A7" s="229" t="s">
        <v>273</v>
      </c>
      <c r="D7" s="68">
        <v>3</v>
      </c>
      <c r="E7" s="218" t="s">
        <v>36</v>
      </c>
      <c r="F7" s="219"/>
      <c r="G7" s="69"/>
      <c r="H7" s="162" t="s">
        <v>150</v>
      </c>
    </row>
    <row r="8" spans="1:8" ht="20.100000000000001" customHeight="1">
      <c r="A8" s="11"/>
      <c r="D8" s="68">
        <v>4</v>
      </c>
      <c r="E8" s="218" t="s">
        <v>144</v>
      </c>
      <c r="F8" s="219" t="s">
        <v>145</v>
      </c>
      <c r="G8" s="69"/>
    </row>
    <row r="9" spans="1:8" ht="20.100000000000001" customHeight="1">
      <c r="A9" s="233" t="s">
        <v>281</v>
      </c>
      <c r="D9" s="68">
        <v>5</v>
      </c>
      <c r="E9" s="218" t="s">
        <v>146</v>
      </c>
      <c r="F9" s="219" t="s">
        <v>147</v>
      </c>
      <c r="G9" s="69"/>
    </row>
    <row r="10" spans="1:8" ht="20.100000000000001" customHeight="1">
      <c r="A10" s="242" t="s">
        <v>282</v>
      </c>
      <c r="D10" s="68">
        <v>6</v>
      </c>
      <c r="E10" s="218" t="s">
        <v>148</v>
      </c>
      <c r="F10" s="219" t="s">
        <v>149</v>
      </c>
      <c r="G10" s="69"/>
    </row>
    <row r="11" spans="1:8" ht="20.100000000000001" customHeight="1">
      <c r="A11" s="242"/>
      <c r="E11" s="162"/>
      <c r="F11" s="220"/>
    </row>
    <row r="12" spans="1:8" ht="20.100000000000001" customHeight="1">
      <c r="A12" s="242"/>
      <c r="F12" s="220"/>
    </row>
    <row r="13" spans="1:8" ht="20.100000000000001" customHeight="1">
      <c r="A13" s="242"/>
      <c r="F13" s="220"/>
    </row>
    <row r="14" spans="1:8" ht="20.100000000000001" customHeight="1">
      <c r="A14" s="242" t="s">
        <v>283</v>
      </c>
    </row>
    <row r="15" spans="1:8" ht="20.100000000000001" customHeight="1">
      <c r="A15" s="242"/>
      <c r="F15" s="220"/>
    </row>
    <row r="16" spans="1:8" ht="20.100000000000001" customHeight="1">
      <c r="A16" s="242"/>
      <c r="F16" s="220"/>
    </row>
    <row r="17" spans="1:1" ht="20.100000000000001" customHeight="1">
      <c r="A17" s="243" t="s">
        <v>284</v>
      </c>
    </row>
    <row r="18" spans="1:1" ht="35.25" customHeight="1">
      <c r="A18" s="243"/>
    </row>
    <row r="19" spans="1:1" ht="15.6">
      <c r="A19" s="243"/>
    </row>
    <row r="20" spans="1:1" ht="20.100000000000001" customHeight="1">
      <c r="A20" s="12"/>
    </row>
  </sheetData>
  <mergeCells count="3">
    <mergeCell ref="A10:A13"/>
    <mergeCell ref="A14:A16"/>
    <mergeCell ref="A17:A19"/>
  </mergeCells>
  <phoneticPr fontId="53" type="noConversion"/>
  <hyperlinks>
    <hyperlink ref="E6" location="'附注披露信息（上市公司）'!A1" display="附注披露信息(上市公司)"/>
    <hyperlink ref="E7" location="'附注披露信息（国有企业）'!A1" display="附注披露信息(国企)"/>
    <hyperlink ref="E8" location="'明细表M8-2'!A1" display="明细表"/>
    <hyperlink ref="E10" location="'一般风险准备测试表M8-4'!A1" display="一般风险准备测试表"/>
    <hyperlink ref="E5" location="'审定表M8-1'!A1" display="审定表"/>
    <hyperlink ref="E4" location="'一般风险准备实质性程序表 M8A '!A1" display="一般风险准备实质性程序表"/>
    <hyperlink ref="E9" location="'调整分录汇总M8-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2"/>
  <sheetViews>
    <sheetView view="pageBreakPreview" zoomScaleNormal="110" zoomScaleSheetLayoutView="100" workbookViewId="0">
      <selection sqref="A1:I1"/>
    </sheetView>
  </sheetViews>
  <sheetFormatPr defaultColWidth="9" defaultRowHeight="13.8"/>
  <cols>
    <col min="1" max="1" width="4.5" style="81" customWidth="1"/>
    <col min="2" max="2" width="63.19921875" style="81" customWidth="1"/>
    <col min="3" max="3" width="9.09765625" style="81" customWidth="1"/>
    <col min="4" max="4" width="6.09765625" style="99" customWidth="1"/>
    <col min="5" max="6" width="6.69921875" style="81" customWidth="1"/>
    <col min="7" max="7" width="6.8984375" style="81" customWidth="1"/>
    <col min="8" max="8" width="5.296875" style="81" customWidth="1"/>
    <col min="9" max="9" width="7.296875" style="81" customWidth="1"/>
    <col min="10" max="10" width="55.296875" style="80" customWidth="1"/>
    <col min="11" max="11" width="14.69921875" style="80" customWidth="1"/>
    <col min="12" max="16384" width="9" style="81"/>
  </cols>
  <sheetData>
    <row r="1" spans="1:12" ht="19.95" customHeight="1">
      <c r="A1" s="244" t="s">
        <v>37</v>
      </c>
      <c r="B1" s="244"/>
      <c r="C1" s="244"/>
      <c r="D1" s="244"/>
      <c r="E1" s="244"/>
      <c r="F1" s="244"/>
      <c r="G1" s="244"/>
      <c r="H1" s="244"/>
      <c r="I1" s="244"/>
    </row>
    <row r="2" spans="1:12" ht="19.95" customHeight="1">
      <c r="A2" s="245" t="s">
        <v>38</v>
      </c>
      <c r="B2" s="246"/>
      <c r="C2" s="246"/>
      <c r="D2" s="246"/>
      <c r="E2" s="246"/>
      <c r="F2" s="246"/>
      <c r="G2" s="246"/>
      <c r="H2" s="246"/>
      <c r="I2" s="246"/>
    </row>
    <row r="3" spans="1:12" ht="19.95" customHeight="1">
      <c r="A3" s="82" t="str">
        <f>底稿目录!A2</f>
        <v>被审计单位：</v>
      </c>
      <c r="B3" s="82"/>
      <c r="C3" s="83" t="str">
        <f>底稿目录!A4</f>
        <v>编制人：</v>
      </c>
      <c r="E3" s="82" t="str">
        <f>底稿目录!A5</f>
        <v>编制日期：</v>
      </c>
      <c r="G3" s="82"/>
      <c r="H3" s="82" t="s">
        <v>39</v>
      </c>
      <c r="I3" s="222" t="str">
        <f>底稿目录!F4</f>
        <v>M8A</v>
      </c>
    </row>
    <row r="4" spans="1:12" ht="19.95" customHeight="1">
      <c r="A4" s="82" t="str">
        <f>底稿目录!A3</f>
        <v>截止日：202X年12月31日</v>
      </c>
      <c r="B4" s="82"/>
      <c r="C4" s="83" t="str">
        <f>底稿目录!A6</f>
        <v>复核人：</v>
      </c>
      <c r="E4" s="82" t="str">
        <f>底稿目录!A7</f>
        <v>复核日期：</v>
      </c>
      <c r="G4" s="82"/>
      <c r="H4" s="86" t="s">
        <v>41</v>
      </c>
      <c r="I4" s="85"/>
    </row>
    <row r="5" spans="1:12" ht="19.95" customHeight="1">
      <c r="A5" s="247" t="s">
        <v>42</v>
      </c>
      <c r="B5" s="247"/>
      <c r="C5" s="82"/>
      <c r="D5" s="84"/>
      <c r="E5" s="82"/>
      <c r="F5" s="82"/>
      <c r="G5" s="82"/>
      <c r="H5" s="82"/>
      <c r="I5" s="82"/>
    </row>
    <row r="6" spans="1:12" ht="19.95" customHeight="1">
      <c r="A6" s="87" t="s">
        <v>43</v>
      </c>
      <c r="C6" s="82"/>
      <c r="D6" s="84"/>
      <c r="E6" s="82"/>
      <c r="F6" s="82"/>
      <c r="G6" s="82"/>
      <c r="H6" s="82"/>
      <c r="I6" s="82"/>
    </row>
    <row r="7" spans="1:12" ht="19.95" customHeight="1">
      <c r="A7" s="150" t="s">
        <v>127</v>
      </c>
      <c r="B7" s="89"/>
      <c r="C7" s="89"/>
      <c r="D7" s="84"/>
      <c r="E7" s="82"/>
      <c r="F7" s="82"/>
      <c r="G7" s="82"/>
      <c r="H7" s="82"/>
      <c r="I7" s="82"/>
      <c r="J7" s="90"/>
      <c r="K7" s="90"/>
    </row>
    <row r="8" spans="1:12" ht="19.95" customHeight="1">
      <c r="A8" s="248" t="s">
        <v>128</v>
      </c>
      <c r="B8" s="248"/>
      <c r="C8" s="248"/>
      <c r="D8" s="248"/>
      <c r="E8" s="248"/>
      <c r="F8" s="248"/>
      <c r="G8" s="255" t="s">
        <v>46</v>
      </c>
      <c r="H8" s="255"/>
      <c r="I8" s="255"/>
      <c r="J8" s="90"/>
      <c r="K8" s="90"/>
    </row>
    <row r="9" spans="1:12" ht="19.95" customHeight="1">
      <c r="A9" s="249" t="s">
        <v>139</v>
      </c>
      <c r="B9" s="249"/>
      <c r="C9" s="249"/>
      <c r="D9" s="249"/>
      <c r="E9" s="249"/>
      <c r="F9" s="249"/>
      <c r="G9" s="254" t="s">
        <v>275</v>
      </c>
      <c r="H9" s="254"/>
      <c r="I9" s="254"/>
      <c r="J9" s="90"/>
      <c r="K9" s="90"/>
    </row>
    <row r="10" spans="1:12" ht="19.95" customHeight="1">
      <c r="A10" s="249" t="s">
        <v>278</v>
      </c>
      <c r="B10" s="249"/>
      <c r="C10" s="249"/>
      <c r="D10" s="249"/>
      <c r="E10" s="249"/>
      <c r="F10" s="249"/>
      <c r="G10" s="254" t="s">
        <v>276</v>
      </c>
      <c r="H10" s="254"/>
      <c r="I10" s="254"/>
      <c r="J10" s="90"/>
      <c r="K10" s="90"/>
    </row>
    <row r="11" spans="1:12" ht="19.95" customHeight="1">
      <c r="A11" s="249" t="s">
        <v>140</v>
      </c>
      <c r="B11" s="249"/>
      <c r="C11" s="249"/>
      <c r="D11" s="249"/>
      <c r="E11" s="249"/>
      <c r="F11" s="249"/>
      <c r="G11" s="254" t="s">
        <v>277</v>
      </c>
      <c r="H11" s="254"/>
      <c r="I11" s="254"/>
      <c r="J11" s="90"/>
      <c r="K11" s="90"/>
    </row>
    <row r="12" spans="1:12" ht="19.95" customHeight="1">
      <c r="A12" s="249" t="s">
        <v>141</v>
      </c>
      <c r="B12" s="249"/>
      <c r="C12" s="249"/>
      <c r="D12" s="249"/>
      <c r="E12" s="249"/>
      <c r="F12" s="249"/>
      <c r="G12" s="254" t="s">
        <v>274</v>
      </c>
      <c r="H12" s="254"/>
      <c r="I12" s="254"/>
      <c r="J12" s="90"/>
      <c r="K12" s="90"/>
    </row>
    <row r="13" spans="1:12" ht="19.95" customHeight="1">
      <c r="A13" s="249" t="s">
        <v>279</v>
      </c>
      <c r="B13" s="249"/>
      <c r="C13" s="249"/>
      <c r="D13" s="249"/>
      <c r="E13" s="249"/>
      <c r="F13" s="249"/>
      <c r="G13" s="254" t="s">
        <v>132</v>
      </c>
      <c r="H13" s="254"/>
      <c r="I13" s="254"/>
      <c r="J13" s="90"/>
      <c r="K13" s="90"/>
    </row>
    <row r="14" spans="1:12" ht="19.95" customHeight="1">
      <c r="A14" s="88" t="s">
        <v>59</v>
      </c>
      <c r="J14" s="236"/>
      <c r="K14" s="237"/>
      <c r="L14" s="237"/>
    </row>
    <row r="15" spans="1:12" ht="19.95" customHeight="1">
      <c r="A15" s="250" t="s">
        <v>60</v>
      </c>
      <c r="B15" s="248" t="s">
        <v>286</v>
      </c>
      <c r="C15" s="251" t="s">
        <v>62</v>
      </c>
      <c r="D15" s="252" t="s">
        <v>134</v>
      </c>
      <c r="E15" s="252"/>
      <c r="F15" s="252"/>
      <c r="G15" s="252"/>
      <c r="H15" s="252"/>
      <c r="I15" s="253" t="s">
        <v>133</v>
      </c>
      <c r="J15" s="105"/>
      <c r="K15" s="105"/>
      <c r="L15" s="105"/>
    </row>
    <row r="16" spans="1:12" ht="35.4" customHeight="1">
      <c r="A16" s="250"/>
      <c r="B16" s="248"/>
      <c r="C16" s="251"/>
      <c r="D16" s="211" t="s">
        <v>129</v>
      </c>
      <c r="E16" s="211" t="s">
        <v>130</v>
      </c>
      <c r="F16" s="234" t="s">
        <v>131</v>
      </c>
      <c r="G16" s="234" t="s">
        <v>135</v>
      </c>
      <c r="H16" s="234" t="s">
        <v>132</v>
      </c>
      <c r="I16" s="253"/>
      <c r="J16" s="238" t="s">
        <v>285</v>
      </c>
      <c r="K16" s="108"/>
      <c r="L16" s="109"/>
    </row>
    <row r="17" spans="1:12" ht="40.799999999999997" customHeight="1">
      <c r="A17" s="239">
        <v>1</v>
      </c>
      <c r="B17" s="210" t="s">
        <v>246</v>
      </c>
      <c r="C17" s="112" t="s">
        <v>247</v>
      </c>
      <c r="D17" s="151" t="s">
        <v>251</v>
      </c>
      <c r="E17" s="151" t="s">
        <v>251</v>
      </c>
      <c r="F17" s="152"/>
      <c r="G17" s="152" t="s">
        <v>251</v>
      </c>
      <c r="H17" s="231"/>
      <c r="I17" s="230" t="s">
        <v>255</v>
      </c>
      <c r="J17" s="110"/>
      <c r="K17" s="110"/>
      <c r="L17" s="109"/>
    </row>
    <row r="18" spans="1:12" ht="63" customHeight="1">
      <c r="A18" s="239">
        <v>2</v>
      </c>
      <c r="B18" s="232" t="s">
        <v>248</v>
      </c>
      <c r="C18" s="112" t="s">
        <v>247</v>
      </c>
      <c r="D18" s="151"/>
      <c r="E18" s="152" t="s">
        <v>136</v>
      </c>
      <c r="F18" s="153"/>
      <c r="G18" s="151" t="s">
        <v>136</v>
      </c>
      <c r="H18" s="153"/>
      <c r="I18" s="228" t="s">
        <v>256</v>
      </c>
      <c r="J18" s="164" t="s">
        <v>152</v>
      </c>
      <c r="K18" s="110"/>
      <c r="L18" s="109"/>
    </row>
    <row r="19" spans="1:12" ht="43.8" customHeight="1">
      <c r="A19" s="239">
        <v>3</v>
      </c>
      <c r="B19" s="210" t="s">
        <v>250</v>
      </c>
      <c r="C19" s="119" t="s">
        <v>98</v>
      </c>
      <c r="D19" s="207" t="s">
        <v>136</v>
      </c>
      <c r="E19" s="208" t="s">
        <v>136</v>
      </c>
      <c r="F19" s="208" t="s">
        <v>136</v>
      </c>
      <c r="G19" s="208" t="s">
        <v>136</v>
      </c>
      <c r="H19" s="153"/>
      <c r="I19" s="240"/>
      <c r="J19" s="164" t="s">
        <v>153</v>
      </c>
      <c r="K19" s="110"/>
      <c r="L19" s="109"/>
    </row>
    <row r="20" spans="1:12" ht="42" customHeight="1">
      <c r="A20" s="239">
        <v>4</v>
      </c>
      <c r="B20" s="209" t="s">
        <v>249</v>
      </c>
      <c r="C20" s="112" t="s">
        <v>247</v>
      </c>
      <c r="D20" s="151" t="s">
        <v>136</v>
      </c>
      <c r="E20" s="152" t="s">
        <v>136</v>
      </c>
      <c r="F20" s="207" t="s">
        <v>136</v>
      </c>
      <c r="G20" s="207" t="s">
        <v>252</v>
      </c>
      <c r="H20" s="208" t="s">
        <v>136</v>
      </c>
      <c r="I20" s="240" t="s">
        <v>257</v>
      </c>
      <c r="J20" s="110"/>
      <c r="K20" s="110"/>
      <c r="L20" s="109"/>
    </row>
    <row r="21" spans="1:12" ht="30" customHeight="1">
      <c r="A21" s="239">
        <v>5</v>
      </c>
      <c r="B21" s="241" t="s">
        <v>138</v>
      </c>
      <c r="C21" s="154" t="s">
        <v>137</v>
      </c>
      <c r="D21" s="151"/>
      <c r="E21" s="151"/>
      <c r="F21" s="153"/>
      <c r="G21" s="151"/>
      <c r="H21" s="151" t="s">
        <v>136</v>
      </c>
      <c r="I21" s="163" t="s">
        <v>151</v>
      </c>
      <c r="J21" s="110"/>
      <c r="K21" s="110"/>
      <c r="L21" s="109"/>
    </row>
    <row r="22" spans="1:12" ht="28.5" customHeight="1"/>
  </sheetData>
  <mergeCells count="20">
    <mergeCell ref="G13:I13"/>
    <mergeCell ref="A10:F10"/>
    <mergeCell ref="A11:F11"/>
    <mergeCell ref="A12:F12"/>
    <mergeCell ref="A13:F13"/>
    <mergeCell ref="G10:I10"/>
    <mergeCell ref="G11:I11"/>
    <mergeCell ref="G12:I12"/>
    <mergeCell ref="A15:A16"/>
    <mergeCell ref="B15:B16"/>
    <mergeCell ref="C15:C16"/>
    <mergeCell ref="D15:H15"/>
    <mergeCell ref="I15:I16"/>
    <mergeCell ref="A1:I1"/>
    <mergeCell ref="A2:I2"/>
    <mergeCell ref="A5:B5"/>
    <mergeCell ref="A8:F8"/>
    <mergeCell ref="A9:F9"/>
    <mergeCell ref="G8:I8"/>
    <mergeCell ref="G9:I9"/>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40"/>
  <sheetViews>
    <sheetView view="pageBreakPreview" topLeftCell="A30" zoomScaleNormal="110" zoomScaleSheetLayoutView="100" workbookViewId="0">
      <selection activeCell="B37" sqref="B37:C37"/>
    </sheetView>
  </sheetViews>
  <sheetFormatPr defaultColWidth="9" defaultRowHeight="13.8" outlineLevelRow="1"/>
  <cols>
    <col min="1" max="1" width="7.796875" style="81" customWidth="1"/>
    <col min="2" max="2" width="42.796875" style="81" customWidth="1"/>
    <col min="3" max="3" width="16.59765625" style="81" customWidth="1"/>
    <col min="4" max="4" width="5.19921875" style="99" customWidth="1"/>
    <col min="5" max="5" width="5.59765625" style="81" customWidth="1"/>
    <col min="6" max="6" width="5.69921875" style="81" customWidth="1"/>
    <col min="7" max="7" width="4.296875" style="81" customWidth="1"/>
    <col min="8" max="8" width="11.19921875" style="81" customWidth="1"/>
    <col min="9" max="9" width="11" style="81" customWidth="1"/>
    <col min="10" max="10" width="8.19921875" style="100" customWidth="1"/>
    <col min="11" max="11" width="13.5" style="80" customWidth="1"/>
    <col min="12" max="12" width="32.59765625" style="80" customWidth="1"/>
    <col min="13" max="16384" width="9" style="81"/>
  </cols>
  <sheetData>
    <row r="1" spans="1:13" ht="15.6">
      <c r="A1" s="244" t="s">
        <v>37</v>
      </c>
      <c r="B1" s="244"/>
      <c r="C1" s="244"/>
      <c r="D1" s="244"/>
      <c r="E1" s="244"/>
      <c r="F1" s="244"/>
      <c r="G1" s="244"/>
      <c r="H1" s="244"/>
      <c r="I1" s="244"/>
      <c r="J1" s="244"/>
    </row>
    <row r="2" spans="1:13" ht="24" customHeight="1">
      <c r="A2" s="245" t="s">
        <v>38</v>
      </c>
      <c r="B2" s="246"/>
      <c r="C2" s="246"/>
      <c r="D2" s="246"/>
      <c r="E2" s="246"/>
      <c r="F2" s="246"/>
      <c r="G2" s="246"/>
      <c r="H2" s="246"/>
      <c r="I2" s="246"/>
      <c r="J2" s="246"/>
    </row>
    <row r="3" spans="1:13" ht="20.25" customHeight="1">
      <c r="A3" s="82" t="str">
        <f>底稿目录!A2</f>
        <v>被审计单位：</v>
      </c>
      <c r="B3" s="82"/>
      <c r="C3" s="83" t="str">
        <f>底稿目录!A4</f>
        <v>编制人：</v>
      </c>
      <c r="D3" s="84"/>
      <c r="F3" s="82" t="str">
        <f>底稿目录!A5</f>
        <v>编制日期：</v>
      </c>
      <c r="G3" s="82"/>
      <c r="H3" s="82"/>
      <c r="I3" s="82" t="s">
        <v>39</v>
      </c>
      <c r="J3" s="85" t="s">
        <v>40</v>
      </c>
    </row>
    <row r="4" spans="1:13" ht="20.25" customHeight="1">
      <c r="A4" s="82" t="str">
        <f>底稿目录!A3</f>
        <v>截止日：202X年12月31日</v>
      </c>
      <c r="B4" s="82"/>
      <c r="C4" s="83" t="str">
        <f>底稿目录!A6</f>
        <v>复核人：</v>
      </c>
      <c r="D4" s="84"/>
      <c r="F4" s="82" t="str">
        <f>底稿目录!A7</f>
        <v>复核日期：</v>
      </c>
      <c r="G4" s="82"/>
      <c r="H4" s="82"/>
      <c r="I4" s="86" t="s">
        <v>41</v>
      </c>
      <c r="J4" s="85"/>
    </row>
    <row r="5" spans="1:13" ht="20.25" customHeight="1">
      <c r="A5" s="247" t="s">
        <v>42</v>
      </c>
      <c r="B5" s="247"/>
      <c r="C5" s="82"/>
      <c r="D5" s="84"/>
      <c r="E5" s="82"/>
      <c r="F5" s="82"/>
      <c r="G5" s="82"/>
      <c r="H5" s="82"/>
      <c r="I5" s="82"/>
      <c r="J5" s="85"/>
    </row>
    <row r="6" spans="1:13" ht="20.25" customHeight="1">
      <c r="A6" s="87" t="s">
        <v>43</v>
      </c>
      <c r="C6" s="82"/>
      <c r="D6" s="84"/>
      <c r="E6" s="82"/>
      <c r="F6" s="82"/>
      <c r="G6" s="82"/>
      <c r="H6" s="82"/>
      <c r="I6" s="82"/>
      <c r="J6" s="85"/>
    </row>
    <row r="7" spans="1:13" ht="20.25" customHeight="1">
      <c r="A7" s="88" t="s">
        <v>44</v>
      </c>
      <c r="B7" s="89"/>
      <c r="C7" s="89"/>
      <c r="D7" s="84"/>
      <c r="E7" s="82"/>
      <c r="F7" s="82"/>
      <c r="G7" s="82"/>
      <c r="H7" s="82"/>
      <c r="I7" s="82"/>
      <c r="J7" s="85"/>
      <c r="K7" s="90"/>
      <c r="L7" s="90"/>
    </row>
    <row r="8" spans="1:13" ht="26.25" customHeight="1">
      <c r="A8" s="256" t="s">
        <v>45</v>
      </c>
      <c r="B8" s="256"/>
      <c r="C8" s="257" t="s">
        <v>46</v>
      </c>
      <c r="D8" s="258"/>
      <c r="E8" s="258"/>
      <c r="F8" s="258"/>
      <c r="G8" s="259"/>
      <c r="H8" s="91" t="s">
        <v>47</v>
      </c>
      <c r="I8" s="92" t="s">
        <v>48</v>
      </c>
      <c r="J8" s="260"/>
      <c r="K8" s="90"/>
      <c r="L8" s="90"/>
    </row>
    <row r="9" spans="1:13" ht="30.75" customHeight="1">
      <c r="A9" s="256"/>
      <c r="B9" s="256"/>
      <c r="C9" s="92" t="s">
        <v>49</v>
      </c>
      <c r="D9" s="92" t="s">
        <v>50</v>
      </c>
      <c r="E9" s="92" t="s">
        <v>51</v>
      </c>
      <c r="F9" s="92" t="s">
        <v>52</v>
      </c>
      <c r="G9" s="92" t="s">
        <v>53</v>
      </c>
      <c r="H9" s="92"/>
      <c r="I9" s="92"/>
      <c r="J9" s="261"/>
      <c r="K9" s="90"/>
      <c r="L9" s="90"/>
    </row>
    <row r="10" spans="1:13" ht="23.25" customHeight="1">
      <c r="A10" s="262" t="s">
        <v>54</v>
      </c>
      <c r="B10" s="262"/>
      <c r="C10" s="92" t="s">
        <v>55</v>
      </c>
      <c r="D10" s="92"/>
      <c r="E10" s="92"/>
      <c r="F10" s="92"/>
      <c r="G10" s="92"/>
      <c r="H10" s="92"/>
      <c r="I10" s="93"/>
      <c r="J10" s="94"/>
      <c r="K10" s="90"/>
      <c r="L10" s="90"/>
    </row>
    <row r="11" spans="1:13" ht="31.5" customHeight="1">
      <c r="A11" s="263" t="s">
        <v>56</v>
      </c>
      <c r="B11" s="264"/>
      <c r="C11" s="95"/>
      <c r="D11" s="92" t="s">
        <v>55</v>
      </c>
      <c r="E11" s="92"/>
      <c r="F11" s="92"/>
      <c r="G11" s="92"/>
      <c r="H11" s="92"/>
      <c r="I11" s="93"/>
      <c r="J11" s="94"/>
      <c r="K11" s="90"/>
      <c r="L11" s="90"/>
    </row>
    <row r="12" spans="1:13" ht="25.5" customHeight="1">
      <c r="A12" s="263" t="s">
        <v>57</v>
      </c>
      <c r="B12" s="264"/>
      <c r="C12" s="95"/>
      <c r="D12" s="92"/>
      <c r="E12" s="92"/>
      <c r="F12" s="92" t="s">
        <v>55</v>
      </c>
      <c r="G12" s="92"/>
      <c r="H12" s="92"/>
      <c r="I12" s="93"/>
      <c r="J12" s="96"/>
      <c r="K12" s="90"/>
      <c r="L12" s="90"/>
    </row>
    <row r="13" spans="1:13" ht="25.5" customHeight="1">
      <c r="A13" s="263" t="s">
        <v>58</v>
      </c>
      <c r="B13" s="264"/>
      <c r="C13" s="95"/>
      <c r="D13" s="92"/>
      <c r="E13" s="92"/>
      <c r="F13" s="92"/>
      <c r="G13" s="92" t="s">
        <v>55</v>
      </c>
      <c r="H13" s="92"/>
      <c r="I13" s="92"/>
      <c r="J13" s="96"/>
      <c r="K13" s="90"/>
      <c r="L13" s="90"/>
    </row>
    <row r="14" spans="1:13" ht="25.5" customHeight="1">
      <c r="A14" s="97"/>
      <c r="B14" s="97"/>
      <c r="C14" s="97"/>
      <c r="D14" s="98"/>
      <c r="E14" s="98"/>
      <c r="F14" s="98"/>
      <c r="G14" s="98"/>
      <c r="H14" s="98"/>
      <c r="I14" s="96"/>
      <c r="J14" s="96"/>
      <c r="K14" s="90"/>
      <c r="L14" s="90"/>
    </row>
    <row r="15" spans="1:13" ht="20.25" customHeight="1">
      <c r="A15" s="88" t="s">
        <v>59</v>
      </c>
      <c r="K15" s="101"/>
      <c r="L15" s="102"/>
      <c r="M15" s="102"/>
    </row>
    <row r="16" spans="1:13" ht="28.5" customHeight="1">
      <c r="A16" s="103" t="s">
        <v>60</v>
      </c>
      <c r="B16" s="253" t="s">
        <v>61</v>
      </c>
      <c r="C16" s="251"/>
      <c r="D16" s="104" t="s">
        <v>62</v>
      </c>
      <c r="E16" s="273" t="s">
        <v>63</v>
      </c>
      <c r="F16" s="273"/>
      <c r="G16" s="273"/>
      <c r="H16" s="273"/>
      <c r="I16" s="251" t="s">
        <v>64</v>
      </c>
      <c r="J16" s="251"/>
      <c r="K16" s="105"/>
      <c r="L16" s="105"/>
      <c r="M16" s="105"/>
    </row>
    <row r="17" spans="1:13" ht="28.5" customHeight="1">
      <c r="A17" s="106" t="s">
        <v>65</v>
      </c>
      <c r="B17" s="265" t="s">
        <v>66</v>
      </c>
      <c r="C17" s="266"/>
      <c r="D17" s="107" t="s">
        <v>67</v>
      </c>
      <c r="E17" s="267" t="s">
        <v>68</v>
      </c>
      <c r="F17" s="268"/>
      <c r="G17" s="268"/>
      <c r="H17" s="268"/>
      <c r="I17" s="269" t="s">
        <v>69</v>
      </c>
      <c r="J17" s="270"/>
      <c r="K17" s="168" t="s">
        <v>155</v>
      </c>
      <c r="L17" s="303" t="s">
        <v>246</v>
      </c>
      <c r="M17" s="303"/>
    </row>
    <row r="18" spans="1:13" ht="43.5" customHeight="1">
      <c r="A18" s="106" t="s">
        <v>70</v>
      </c>
      <c r="B18" s="271" t="s">
        <v>71</v>
      </c>
      <c r="C18" s="266"/>
      <c r="D18" s="107" t="s">
        <v>67</v>
      </c>
      <c r="E18" s="272" t="s">
        <v>72</v>
      </c>
      <c r="F18" s="272"/>
      <c r="G18" s="272"/>
      <c r="H18" s="272"/>
      <c r="I18" s="269" t="s">
        <v>73</v>
      </c>
      <c r="J18" s="270"/>
      <c r="K18" s="168" t="s">
        <v>155</v>
      </c>
      <c r="L18" s="304"/>
      <c r="M18" s="304"/>
    </row>
    <row r="19" spans="1:13" ht="24.75" customHeight="1" outlineLevel="1">
      <c r="A19" s="111" t="s">
        <v>74</v>
      </c>
      <c r="B19" s="274" t="s">
        <v>75</v>
      </c>
      <c r="C19" s="275"/>
      <c r="D19" s="112" t="s">
        <v>67</v>
      </c>
      <c r="E19" s="276" t="s">
        <v>76</v>
      </c>
      <c r="F19" s="276"/>
      <c r="G19" s="276"/>
      <c r="H19" s="276"/>
      <c r="I19" s="277"/>
      <c r="J19" s="278"/>
      <c r="K19" s="168" t="s">
        <v>155</v>
      </c>
      <c r="L19" s="304"/>
      <c r="M19" s="304"/>
    </row>
    <row r="20" spans="1:13" ht="24.75" customHeight="1" outlineLevel="1">
      <c r="A20" s="111" t="s">
        <v>77</v>
      </c>
      <c r="B20" s="274" t="s">
        <v>78</v>
      </c>
      <c r="C20" s="275"/>
      <c r="D20" s="112" t="s">
        <v>67</v>
      </c>
      <c r="E20" s="276" t="s">
        <v>76</v>
      </c>
      <c r="F20" s="276"/>
      <c r="G20" s="276"/>
      <c r="H20" s="276"/>
      <c r="I20" s="277"/>
      <c r="J20" s="278"/>
      <c r="K20" s="168" t="s">
        <v>155</v>
      </c>
      <c r="L20" s="304"/>
      <c r="M20" s="304"/>
    </row>
    <row r="21" spans="1:13" ht="21.75" customHeight="1" outlineLevel="1">
      <c r="A21" s="111" t="s">
        <v>79</v>
      </c>
      <c r="B21" s="279" t="s">
        <v>80</v>
      </c>
      <c r="C21" s="280"/>
      <c r="D21" s="113" t="s">
        <v>81</v>
      </c>
      <c r="E21" s="281" t="s">
        <v>76</v>
      </c>
      <c r="F21" s="282"/>
      <c r="G21" s="282"/>
      <c r="H21" s="283"/>
      <c r="I21" s="277"/>
      <c r="J21" s="278"/>
      <c r="K21" s="168" t="s">
        <v>155</v>
      </c>
      <c r="L21" s="304"/>
      <c r="M21" s="304"/>
    </row>
    <row r="22" spans="1:13" ht="21.75" customHeight="1" outlineLevel="1">
      <c r="A22" s="111" t="s">
        <v>82</v>
      </c>
      <c r="B22" s="279" t="s">
        <v>83</v>
      </c>
      <c r="C22" s="280"/>
      <c r="D22" s="113" t="s">
        <v>81</v>
      </c>
      <c r="E22" s="281" t="s">
        <v>76</v>
      </c>
      <c r="F22" s="282"/>
      <c r="G22" s="282"/>
      <c r="H22" s="283"/>
      <c r="I22" s="277"/>
      <c r="J22" s="278"/>
      <c r="K22" s="168" t="s">
        <v>155</v>
      </c>
      <c r="L22" s="304"/>
      <c r="M22" s="304"/>
    </row>
    <row r="23" spans="1:13" ht="21.75" customHeight="1" outlineLevel="1">
      <c r="A23" s="111" t="s">
        <v>84</v>
      </c>
      <c r="B23" s="284" t="s">
        <v>85</v>
      </c>
      <c r="C23" s="280"/>
      <c r="D23" s="113" t="s">
        <v>81</v>
      </c>
      <c r="E23" s="281" t="s">
        <v>76</v>
      </c>
      <c r="F23" s="282"/>
      <c r="G23" s="282"/>
      <c r="H23" s="283"/>
      <c r="I23" s="277"/>
      <c r="J23" s="278"/>
      <c r="K23" s="168" t="s">
        <v>155</v>
      </c>
      <c r="L23" s="304"/>
      <c r="M23" s="304"/>
    </row>
    <row r="24" spans="1:13" ht="21.75" customHeight="1" outlineLevel="1">
      <c r="A24" s="111" t="s">
        <v>86</v>
      </c>
      <c r="B24" s="285" t="s">
        <v>87</v>
      </c>
      <c r="C24" s="275"/>
      <c r="D24" s="112" t="s">
        <v>67</v>
      </c>
      <c r="E24" s="281" t="s">
        <v>76</v>
      </c>
      <c r="F24" s="282"/>
      <c r="G24" s="282"/>
      <c r="H24" s="283"/>
      <c r="I24" s="277"/>
      <c r="J24" s="278"/>
      <c r="K24" s="168" t="s">
        <v>155</v>
      </c>
      <c r="L24" s="304"/>
      <c r="M24" s="304"/>
    </row>
    <row r="25" spans="1:13" ht="27" customHeight="1">
      <c r="A25" s="114" t="s">
        <v>88</v>
      </c>
      <c r="B25" s="286" t="s">
        <v>89</v>
      </c>
      <c r="C25" s="287"/>
      <c r="D25" s="107" t="s">
        <v>90</v>
      </c>
      <c r="E25" s="288" t="s">
        <v>68</v>
      </c>
      <c r="F25" s="289"/>
      <c r="G25" s="289"/>
      <c r="H25" s="290"/>
      <c r="I25" s="288" t="s">
        <v>91</v>
      </c>
      <c r="J25" s="290"/>
      <c r="K25" s="168" t="s">
        <v>156</v>
      </c>
      <c r="L25" s="305" t="s">
        <v>248</v>
      </c>
      <c r="M25" s="305"/>
    </row>
    <row r="26" spans="1:13" ht="27" customHeight="1" outlineLevel="1">
      <c r="A26" s="115" t="s">
        <v>92</v>
      </c>
      <c r="B26" s="291" t="s">
        <v>93</v>
      </c>
      <c r="C26" s="292"/>
      <c r="D26" s="112"/>
      <c r="E26" s="281"/>
      <c r="F26" s="282"/>
      <c r="G26" s="282"/>
      <c r="H26" s="283"/>
      <c r="I26" s="277"/>
      <c r="J26" s="278"/>
      <c r="K26" s="168" t="s">
        <v>156</v>
      </c>
      <c r="L26" s="306"/>
      <c r="M26" s="306"/>
    </row>
    <row r="27" spans="1:13" ht="27" customHeight="1" outlineLevel="1">
      <c r="A27" s="115" t="s">
        <v>94</v>
      </c>
      <c r="B27" s="291" t="s">
        <v>95</v>
      </c>
      <c r="C27" s="292"/>
      <c r="D27" s="112"/>
      <c r="E27" s="281"/>
      <c r="F27" s="282"/>
      <c r="G27" s="282"/>
      <c r="H27" s="283"/>
      <c r="I27" s="277"/>
      <c r="J27" s="278"/>
      <c r="K27" s="168" t="s">
        <v>156</v>
      </c>
      <c r="L27" s="306"/>
      <c r="M27" s="306"/>
    </row>
    <row r="28" spans="1:13" ht="34.5" customHeight="1">
      <c r="A28" s="116" t="s">
        <v>96</v>
      </c>
      <c r="B28" s="293" t="s">
        <v>97</v>
      </c>
      <c r="C28" s="294"/>
      <c r="D28" s="117" t="s">
        <v>98</v>
      </c>
      <c r="E28" s="272" t="s">
        <v>99</v>
      </c>
      <c r="F28" s="272"/>
      <c r="G28" s="272"/>
      <c r="H28" s="272"/>
      <c r="I28" s="269" t="s">
        <v>73</v>
      </c>
      <c r="J28" s="270"/>
      <c r="K28" s="168" t="s">
        <v>156</v>
      </c>
      <c r="L28" s="303" t="s">
        <v>250</v>
      </c>
      <c r="M28" s="303"/>
    </row>
    <row r="29" spans="1:13" ht="28.5" customHeight="1" outlineLevel="1">
      <c r="A29" s="118" t="s">
        <v>74</v>
      </c>
      <c r="B29" s="280" t="s">
        <v>100</v>
      </c>
      <c r="C29" s="280"/>
      <c r="D29" s="119" t="s">
        <v>98</v>
      </c>
      <c r="E29" s="276" t="s">
        <v>101</v>
      </c>
      <c r="F29" s="276"/>
      <c r="G29" s="276"/>
      <c r="H29" s="276"/>
      <c r="I29" s="277"/>
      <c r="J29" s="278"/>
      <c r="K29" s="168" t="s">
        <v>156</v>
      </c>
      <c r="L29" s="304"/>
      <c r="M29" s="304"/>
    </row>
    <row r="30" spans="1:13" ht="28.5" customHeight="1" outlineLevel="1">
      <c r="A30" s="118" t="s">
        <v>77</v>
      </c>
      <c r="B30" s="295" t="s">
        <v>102</v>
      </c>
      <c r="C30" s="280"/>
      <c r="D30" s="119" t="s">
        <v>98</v>
      </c>
      <c r="E30" s="276" t="s">
        <v>101</v>
      </c>
      <c r="F30" s="276"/>
      <c r="G30" s="276"/>
      <c r="H30" s="276"/>
      <c r="I30" s="277"/>
      <c r="J30" s="278"/>
      <c r="K30" s="168" t="s">
        <v>156</v>
      </c>
      <c r="L30" s="304"/>
      <c r="M30" s="304"/>
    </row>
    <row r="31" spans="1:13" ht="44.25" customHeight="1">
      <c r="A31" s="120" t="s">
        <v>103</v>
      </c>
      <c r="B31" s="296" t="s">
        <v>104</v>
      </c>
      <c r="C31" s="296"/>
      <c r="D31" s="117" t="s">
        <v>105</v>
      </c>
      <c r="E31" s="297" t="s">
        <v>101</v>
      </c>
      <c r="F31" s="297"/>
      <c r="G31" s="297"/>
      <c r="H31" s="297"/>
      <c r="I31" s="269" t="s">
        <v>106</v>
      </c>
      <c r="J31" s="270"/>
      <c r="K31" s="168" t="s">
        <v>253</v>
      </c>
      <c r="L31" s="110"/>
      <c r="M31" s="109"/>
    </row>
    <row r="32" spans="1:13" ht="44.25" customHeight="1" outlineLevel="1">
      <c r="A32" s="121" t="s">
        <v>74</v>
      </c>
      <c r="B32" s="298" t="s">
        <v>107</v>
      </c>
      <c r="C32" s="299"/>
      <c r="D32" s="119" t="s">
        <v>105</v>
      </c>
      <c r="E32" s="300" t="s">
        <v>101</v>
      </c>
      <c r="F32" s="300"/>
      <c r="G32" s="300"/>
      <c r="H32" s="300"/>
      <c r="I32" s="277"/>
      <c r="J32" s="278"/>
      <c r="K32" s="168" t="s">
        <v>253</v>
      </c>
      <c r="L32" s="110"/>
      <c r="M32" s="109"/>
    </row>
    <row r="33" spans="1:13" ht="42.75" customHeight="1" outlineLevel="1">
      <c r="A33" s="121" t="s">
        <v>77</v>
      </c>
      <c r="B33" s="299" t="s">
        <v>108</v>
      </c>
      <c r="C33" s="299"/>
      <c r="D33" s="119" t="s">
        <v>105</v>
      </c>
      <c r="E33" s="281" t="s">
        <v>101</v>
      </c>
      <c r="F33" s="282"/>
      <c r="G33" s="282"/>
      <c r="H33" s="283"/>
      <c r="I33" s="277"/>
      <c r="J33" s="278"/>
      <c r="K33" s="168" t="s">
        <v>253</v>
      </c>
      <c r="L33" s="110"/>
      <c r="M33" s="109"/>
    </row>
    <row r="34" spans="1:13" ht="49.5" customHeight="1">
      <c r="A34" s="106" t="s">
        <v>109</v>
      </c>
      <c r="B34" s="271" t="s">
        <v>110</v>
      </c>
      <c r="C34" s="266"/>
      <c r="D34" s="107" t="s">
        <v>67</v>
      </c>
      <c r="E34" s="272" t="s">
        <v>101</v>
      </c>
      <c r="F34" s="272"/>
      <c r="G34" s="272"/>
      <c r="H34" s="272"/>
      <c r="I34" s="269" t="s">
        <v>106</v>
      </c>
      <c r="J34" s="270"/>
      <c r="K34" s="168" t="s">
        <v>254</v>
      </c>
      <c r="L34" s="301" t="s">
        <v>249</v>
      </c>
      <c r="M34" s="301"/>
    </row>
    <row r="35" spans="1:13" ht="33.75" customHeight="1" outlineLevel="1">
      <c r="A35" s="111" t="s">
        <v>74</v>
      </c>
      <c r="B35" s="311" t="s">
        <v>111</v>
      </c>
      <c r="C35" s="275"/>
      <c r="D35" s="112" t="s">
        <v>67</v>
      </c>
      <c r="E35" s="281" t="s">
        <v>101</v>
      </c>
      <c r="F35" s="282"/>
      <c r="G35" s="282"/>
      <c r="H35" s="283"/>
      <c r="I35" s="277"/>
      <c r="J35" s="278"/>
      <c r="K35" s="168" t="s">
        <v>254</v>
      </c>
      <c r="L35" s="302"/>
      <c r="M35" s="302"/>
    </row>
    <row r="36" spans="1:13" ht="33.75" customHeight="1" outlineLevel="1">
      <c r="A36" s="118" t="s">
        <v>77</v>
      </c>
      <c r="B36" s="284" t="s">
        <v>112</v>
      </c>
      <c r="C36" s="280"/>
      <c r="D36" s="113" t="s">
        <v>81</v>
      </c>
      <c r="E36" s="281" t="s">
        <v>101</v>
      </c>
      <c r="F36" s="282"/>
      <c r="G36" s="282"/>
      <c r="H36" s="283"/>
      <c r="I36" s="277"/>
      <c r="J36" s="278"/>
      <c r="K36" s="168" t="s">
        <v>254</v>
      </c>
      <c r="L36" s="302"/>
      <c r="M36" s="302"/>
    </row>
    <row r="37" spans="1:13" ht="43.5" customHeight="1" outlineLevel="1">
      <c r="A37" s="111" t="s">
        <v>79</v>
      </c>
      <c r="B37" s="285" t="s">
        <v>113</v>
      </c>
      <c r="C37" s="275"/>
      <c r="D37" s="112" t="s">
        <v>67</v>
      </c>
      <c r="E37" s="281" t="s">
        <v>101</v>
      </c>
      <c r="F37" s="282"/>
      <c r="G37" s="282"/>
      <c r="H37" s="283"/>
      <c r="I37" s="277"/>
      <c r="J37" s="278"/>
      <c r="K37" s="168" t="s">
        <v>254</v>
      </c>
      <c r="L37" s="302"/>
      <c r="M37" s="302"/>
    </row>
    <row r="38" spans="1:13" ht="33" customHeight="1" outlineLevel="1">
      <c r="A38" s="118" t="s">
        <v>114</v>
      </c>
      <c r="B38" s="295" t="s">
        <v>115</v>
      </c>
      <c r="C38" s="280"/>
      <c r="D38" s="113" t="s">
        <v>81</v>
      </c>
      <c r="E38" s="276" t="s">
        <v>101</v>
      </c>
      <c r="F38" s="276"/>
      <c r="G38" s="276"/>
      <c r="H38" s="276"/>
      <c r="I38" s="277"/>
      <c r="J38" s="278"/>
      <c r="K38" s="168" t="s">
        <v>254</v>
      </c>
      <c r="L38" s="302"/>
      <c r="M38" s="302"/>
    </row>
    <row r="39" spans="1:13" ht="32.25" customHeight="1">
      <c r="A39" s="122" t="s">
        <v>116</v>
      </c>
      <c r="B39" s="307" t="s">
        <v>117</v>
      </c>
      <c r="C39" s="308"/>
      <c r="D39" s="107" t="s">
        <v>67</v>
      </c>
      <c r="E39" s="288" t="s">
        <v>118</v>
      </c>
      <c r="F39" s="289"/>
      <c r="G39" s="289"/>
      <c r="H39" s="290"/>
      <c r="I39" s="309"/>
      <c r="J39" s="310"/>
      <c r="K39" s="168" t="s">
        <v>156</v>
      </c>
    </row>
    <row r="40" spans="1:13" ht="28.5" customHeight="1"/>
  </sheetData>
  <autoFilter ref="A16:J16">
    <filterColumn colId="1" showButton="0"/>
    <filterColumn colId="4" showButton="0"/>
    <filterColumn colId="5" showButton="0"/>
    <filterColumn colId="6" showButton="0"/>
    <filterColumn colId="8" showButton="0"/>
  </autoFilter>
  <mergeCells count="86">
    <mergeCell ref="L34:M38"/>
    <mergeCell ref="L17:M24"/>
    <mergeCell ref="L25:M27"/>
    <mergeCell ref="L28:M30"/>
    <mergeCell ref="B39:C39"/>
    <mergeCell ref="E39:H39"/>
    <mergeCell ref="I39:J39"/>
    <mergeCell ref="B37:C37"/>
    <mergeCell ref="E37:H37"/>
    <mergeCell ref="I37:J37"/>
    <mergeCell ref="B38:C38"/>
    <mergeCell ref="E38:H38"/>
    <mergeCell ref="I38:J38"/>
    <mergeCell ref="B35:C35"/>
    <mergeCell ref="E35:H35"/>
    <mergeCell ref="I35:J35"/>
    <mergeCell ref="B36:C36"/>
    <mergeCell ref="E36:H36"/>
    <mergeCell ref="I36:J36"/>
    <mergeCell ref="B33:C33"/>
    <mergeCell ref="E33:H33"/>
    <mergeCell ref="I33:J33"/>
    <mergeCell ref="B34:C34"/>
    <mergeCell ref="E34:H34"/>
    <mergeCell ref="I34:J34"/>
    <mergeCell ref="B31:C31"/>
    <mergeCell ref="E31:H31"/>
    <mergeCell ref="I31:J31"/>
    <mergeCell ref="B32:C32"/>
    <mergeCell ref="E32:H32"/>
    <mergeCell ref="I32:J32"/>
    <mergeCell ref="B29:C29"/>
    <mergeCell ref="E29:H29"/>
    <mergeCell ref="I29:J29"/>
    <mergeCell ref="B30:C30"/>
    <mergeCell ref="E30:H30"/>
    <mergeCell ref="I30:J30"/>
    <mergeCell ref="B27:C27"/>
    <mergeCell ref="E27:H27"/>
    <mergeCell ref="I27:J27"/>
    <mergeCell ref="B28:C28"/>
    <mergeCell ref="E28:H28"/>
    <mergeCell ref="I28:J28"/>
    <mergeCell ref="B25:C25"/>
    <mergeCell ref="E25:H25"/>
    <mergeCell ref="I25:J25"/>
    <mergeCell ref="B26:C26"/>
    <mergeCell ref="E26:H26"/>
    <mergeCell ref="I26:J26"/>
    <mergeCell ref="B23:C23"/>
    <mergeCell ref="E23:H23"/>
    <mergeCell ref="I23:J23"/>
    <mergeCell ref="B24:C24"/>
    <mergeCell ref="E24:H24"/>
    <mergeCell ref="I24:J24"/>
    <mergeCell ref="B21:C21"/>
    <mergeCell ref="E21:H21"/>
    <mergeCell ref="I21:J21"/>
    <mergeCell ref="B22:C22"/>
    <mergeCell ref="E22:H22"/>
    <mergeCell ref="I22:J22"/>
    <mergeCell ref="B19:C19"/>
    <mergeCell ref="E19:H19"/>
    <mergeCell ref="I19:J19"/>
    <mergeCell ref="B20:C20"/>
    <mergeCell ref="E20:H20"/>
    <mergeCell ref="I20:J20"/>
    <mergeCell ref="I16:J16"/>
    <mergeCell ref="B17:C17"/>
    <mergeCell ref="E17:H17"/>
    <mergeCell ref="I17:J17"/>
    <mergeCell ref="B18:C18"/>
    <mergeCell ref="E18:H18"/>
    <mergeCell ref="I18:J18"/>
    <mergeCell ref="E16:H16"/>
    <mergeCell ref="A10:B10"/>
    <mergeCell ref="A11:B11"/>
    <mergeCell ref="A12:B12"/>
    <mergeCell ref="A13:B13"/>
    <mergeCell ref="B16:C16"/>
    <mergeCell ref="A1:J1"/>
    <mergeCell ref="A2:J2"/>
    <mergeCell ref="A5:B5"/>
    <mergeCell ref="A8:B9"/>
    <mergeCell ref="C8:G8"/>
    <mergeCell ref="J8:J9"/>
  </mergeCells>
  <phoneticPr fontId="18" type="noConversion"/>
  <printOptions horizontalCentered="1"/>
  <pageMargins left="0.47244094488188981" right="0.31496062992125984" top="0.57999999999999996" bottom="0.35" header="0.51181102362204722" footer="0.19685039370078741"/>
  <pageSetup paperSize="9" scale="16"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5"/>
  <sheetViews>
    <sheetView view="pageBreakPreview" zoomScaleSheetLayoutView="100" workbookViewId="0">
      <selection sqref="A1:L1"/>
    </sheetView>
  </sheetViews>
  <sheetFormatPr defaultColWidth="9" defaultRowHeight="15.6"/>
  <cols>
    <col min="1" max="1" width="17" style="17" customWidth="1"/>
    <col min="2" max="9" width="11.09765625" style="17" customWidth="1"/>
    <col min="10" max="10" width="9" style="17"/>
    <col min="11" max="11" width="10.59765625" style="17" customWidth="1"/>
    <col min="12" max="12" width="10.796875" style="17" customWidth="1"/>
    <col min="13" max="16384" width="9" style="17"/>
  </cols>
  <sheetData>
    <row r="1" spans="1:12" s="13" customFormat="1" ht="19.95" customHeight="1">
      <c r="A1" s="316" t="s">
        <v>24</v>
      </c>
      <c r="B1" s="316"/>
      <c r="C1" s="316"/>
      <c r="D1" s="316"/>
      <c r="E1" s="316"/>
      <c r="F1" s="316"/>
      <c r="G1" s="316"/>
      <c r="H1" s="316"/>
      <c r="I1" s="316"/>
      <c r="J1" s="316"/>
      <c r="K1" s="316"/>
      <c r="L1" s="316"/>
    </row>
    <row r="2" spans="1:12" s="13" customFormat="1" ht="19.95" customHeight="1">
      <c r="A2" s="317" t="s">
        <v>258</v>
      </c>
      <c r="B2" s="317"/>
      <c r="C2" s="317"/>
      <c r="D2" s="317"/>
      <c r="E2" s="317"/>
      <c r="F2" s="317"/>
      <c r="G2" s="317"/>
      <c r="H2" s="317"/>
      <c r="I2" s="317"/>
      <c r="J2" s="317"/>
      <c r="K2" s="317"/>
      <c r="L2" s="317"/>
    </row>
    <row r="3" spans="1:12" s="15" customFormat="1" ht="19.95" customHeight="1">
      <c r="A3" s="14" t="str">
        <f>底稿目录!A2</f>
        <v>被审计单位：</v>
      </c>
      <c r="B3" s="14"/>
      <c r="C3" s="14"/>
      <c r="D3" s="14" t="str">
        <f>底稿目录!A4</f>
        <v>编制人：</v>
      </c>
      <c r="E3" s="14"/>
      <c r="F3" s="14"/>
      <c r="G3" s="74" t="str">
        <f>底稿目录!A5</f>
        <v>编制日期：</v>
      </c>
      <c r="H3" s="74"/>
      <c r="K3" s="223" t="s">
        <v>39</v>
      </c>
      <c r="L3" s="222" t="str">
        <f>底稿目录!F5</f>
        <v>M8-1</v>
      </c>
    </row>
    <row r="4" spans="1:12" s="15" customFormat="1" ht="19.95" customHeight="1">
      <c r="A4" s="14" t="str">
        <f>底稿目录!A3</f>
        <v>截止日：202X年12月31日</v>
      </c>
      <c r="B4" s="14"/>
      <c r="C4" s="14"/>
      <c r="D4" s="14" t="str">
        <f>底稿目录!A6</f>
        <v>复核人：</v>
      </c>
      <c r="E4" s="14"/>
      <c r="F4" s="14"/>
      <c r="G4" s="74" t="str">
        <f>底稿目录!A7</f>
        <v>复核日期：</v>
      </c>
      <c r="H4" s="74"/>
      <c r="K4" s="224" t="s">
        <v>41</v>
      </c>
      <c r="L4" s="85"/>
    </row>
    <row r="5" spans="1:12" s="15" customFormat="1" ht="25.8" customHeight="1">
      <c r="A5" s="315" t="s">
        <v>30</v>
      </c>
      <c r="B5" s="315" t="s">
        <v>158</v>
      </c>
      <c r="C5" s="315"/>
      <c r="D5" s="315"/>
      <c r="E5" s="315"/>
      <c r="F5" s="318" t="s">
        <v>159</v>
      </c>
      <c r="G5" s="318"/>
      <c r="H5" s="318"/>
      <c r="I5" s="318"/>
      <c r="J5" s="313" t="s">
        <v>160</v>
      </c>
      <c r="K5" s="314"/>
      <c r="L5" s="315" t="s">
        <v>161</v>
      </c>
    </row>
    <row r="6" spans="1:12" s="15" customFormat="1" ht="19.95" customHeight="1">
      <c r="A6" s="315"/>
      <c r="B6" s="161" t="s">
        <v>162</v>
      </c>
      <c r="C6" s="161" t="s">
        <v>163</v>
      </c>
      <c r="D6" s="161" t="s">
        <v>164</v>
      </c>
      <c r="E6" s="161" t="s">
        <v>165</v>
      </c>
      <c r="F6" s="161" t="s">
        <v>162</v>
      </c>
      <c r="G6" s="161" t="s">
        <v>163</v>
      </c>
      <c r="H6" s="161" t="s">
        <v>164</v>
      </c>
      <c r="I6" s="161" t="s">
        <v>165</v>
      </c>
      <c r="J6" s="170" t="s">
        <v>166</v>
      </c>
      <c r="K6" s="169" t="s">
        <v>167</v>
      </c>
      <c r="L6" s="315"/>
    </row>
    <row r="7" spans="1:12" s="15" customFormat="1" ht="19.95" customHeight="1">
      <c r="A7" s="62" t="str">
        <f>'明细表M8-2'!A10</f>
        <v>一般风险准备</v>
      </c>
      <c r="B7" s="155">
        <f>'明细表M8-2'!B10</f>
        <v>0</v>
      </c>
      <c r="C7" s="155">
        <f>'明细表M8-2'!F10</f>
        <v>0</v>
      </c>
      <c r="D7" s="155">
        <f>'明细表M8-2'!G10</f>
        <v>0</v>
      </c>
      <c r="E7" s="155">
        <f>'明细表M8-2'!L10</f>
        <v>0</v>
      </c>
      <c r="F7" s="155">
        <f>'明细表M8-2'!E10</f>
        <v>0</v>
      </c>
      <c r="G7" s="155">
        <f>'明细表M8-2'!F10+'明细表M8-2'!H10-'明细表M8-2'!I10</f>
        <v>0</v>
      </c>
      <c r="H7" s="155">
        <f>'明细表M8-2'!G10+'明细表M8-2'!J10-'明细表M8-2'!K10</f>
        <v>0</v>
      </c>
      <c r="I7" s="155">
        <f>'明细表M8-2'!O10</f>
        <v>0</v>
      </c>
      <c r="J7" s="155">
        <f t="shared" ref="J7:J13" si="0">I7-E7</f>
        <v>0</v>
      </c>
      <c r="K7" s="156">
        <f t="shared" ref="K7:K13" si="1">IF(AND(E7=0,J7=0),0,IF(AND(E7=0,J7&gt;0),1,J7/E7))</f>
        <v>0</v>
      </c>
      <c r="L7" s="62"/>
    </row>
    <row r="8" spans="1:12" s="15" customFormat="1" ht="19.95" customHeight="1">
      <c r="A8" s="171">
        <f>'明细表M8-2'!A11</f>
        <v>0</v>
      </c>
      <c r="B8" s="155">
        <f>'明细表M8-2'!B11</f>
        <v>0</v>
      </c>
      <c r="C8" s="155">
        <f>'明细表M8-2'!F11</f>
        <v>0</v>
      </c>
      <c r="D8" s="155">
        <f>'明细表M8-2'!G11</f>
        <v>0</v>
      </c>
      <c r="E8" s="155">
        <f>'明细表M8-2'!L11</f>
        <v>0</v>
      </c>
      <c r="F8" s="155">
        <f>'明细表M8-2'!E11</f>
        <v>0</v>
      </c>
      <c r="G8" s="155">
        <f>'明细表M8-2'!F11+'明细表M8-2'!H11-'明细表M8-2'!I11</f>
        <v>0</v>
      </c>
      <c r="H8" s="155">
        <f>'明细表M8-2'!G11+'明细表M8-2'!J11-'明细表M8-2'!K11</f>
        <v>0</v>
      </c>
      <c r="I8" s="155">
        <f>'明细表M8-2'!O11</f>
        <v>0</v>
      </c>
      <c r="J8" s="155">
        <f t="shared" si="0"/>
        <v>0</v>
      </c>
      <c r="K8" s="156">
        <f t="shared" si="1"/>
        <v>0</v>
      </c>
      <c r="L8" s="35"/>
    </row>
    <row r="9" spans="1:12" s="15" customFormat="1" ht="19.95" customHeight="1">
      <c r="A9" s="171">
        <f>'明细表M8-2'!A12</f>
        <v>0</v>
      </c>
      <c r="B9" s="155">
        <f>'明细表M8-2'!B12</f>
        <v>0</v>
      </c>
      <c r="C9" s="155">
        <f>'明细表M8-2'!F12</f>
        <v>0</v>
      </c>
      <c r="D9" s="155">
        <f>'明细表M8-2'!G12</f>
        <v>0</v>
      </c>
      <c r="E9" s="155">
        <f>'明细表M8-2'!L12</f>
        <v>0</v>
      </c>
      <c r="F9" s="155">
        <f>'明细表M8-2'!E12</f>
        <v>0</v>
      </c>
      <c r="G9" s="155">
        <f>'明细表M8-2'!F12+'明细表M8-2'!H12-'明细表M8-2'!I12</f>
        <v>0</v>
      </c>
      <c r="H9" s="155">
        <f>'明细表M8-2'!G12+'明细表M8-2'!J12-'明细表M8-2'!K12</f>
        <v>0</v>
      </c>
      <c r="I9" s="155">
        <f>'明细表M8-2'!O12</f>
        <v>0</v>
      </c>
      <c r="J9" s="155">
        <f t="shared" si="0"/>
        <v>0</v>
      </c>
      <c r="K9" s="156">
        <f t="shared" si="1"/>
        <v>0</v>
      </c>
      <c r="L9" s="62"/>
    </row>
    <row r="10" spans="1:12" s="15" customFormat="1" ht="19.95" customHeight="1">
      <c r="A10" s="171">
        <f>'明细表M8-2'!A13</f>
        <v>0</v>
      </c>
      <c r="B10" s="155">
        <f>'明细表M8-2'!B13</f>
        <v>0</v>
      </c>
      <c r="C10" s="155">
        <f>'明细表M8-2'!F13</f>
        <v>0</v>
      </c>
      <c r="D10" s="155">
        <f>'明细表M8-2'!G13</f>
        <v>0</v>
      </c>
      <c r="E10" s="155">
        <f>'明细表M8-2'!L13</f>
        <v>0</v>
      </c>
      <c r="F10" s="155">
        <f>'明细表M8-2'!E13</f>
        <v>0</v>
      </c>
      <c r="G10" s="155">
        <f>'明细表M8-2'!F13+'明细表M8-2'!H13-'明细表M8-2'!I13</f>
        <v>0</v>
      </c>
      <c r="H10" s="155">
        <f>'明细表M8-2'!G13+'明细表M8-2'!J13-'明细表M8-2'!K13</f>
        <v>0</v>
      </c>
      <c r="I10" s="155">
        <f>'明细表M8-2'!O13</f>
        <v>0</v>
      </c>
      <c r="J10" s="155">
        <f t="shared" si="0"/>
        <v>0</v>
      </c>
      <c r="K10" s="156">
        <f t="shared" si="1"/>
        <v>0</v>
      </c>
      <c r="L10" s="62"/>
    </row>
    <row r="11" spans="1:12" s="15" customFormat="1" ht="19.95" customHeight="1">
      <c r="A11" s="171">
        <f>'明细表M8-2'!A14</f>
        <v>0</v>
      </c>
      <c r="B11" s="155">
        <f>'明细表M8-2'!B14</f>
        <v>0</v>
      </c>
      <c r="C11" s="155">
        <f>'明细表M8-2'!F14</f>
        <v>0</v>
      </c>
      <c r="D11" s="155">
        <f>'明细表M8-2'!G14</f>
        <v>0</v>
      </c>
      <c r="E11" s="155">
        <f>'明细表M8-2'!L14</f>
        <v>0</v>
      </c>
      <c r="F11" s="155">
        <f>'明细表M8-2'!E14</f>
        <v>0</v>
      </c>
      <c r="G11" s="155">
        <f>'明细表M8-2'!F14+'明细表M8-2'!H14-'明细表M8-2'!I14</f>
        <v>0</v>
      </c>
      <c r="H11" s="155">
        <f>'明细表M8-2'!G14+'明细表M8-2'!J14-'明细表M8-2'!K14</f>
        <v>0</v>
      </c>
      <c r="I11" s="155">
        <f>'明细表M8-2'!O14</f>
        <v>0</v>
      </c>
      <c r="J11" s="155">
        <f t="shared" si="0"/>
        <v>0</v>
      </c>
      <c r="K11" s="156">
        <f t="shared" si="1"/>
        <v>0</v>
      </c>
      <c r="L11" s="62"/>
    </row>
    <row r="12" spans="1:12" s="15" customFormat="1" ht="19.95" customHeight="1">
      <c r="A12" s="62"/>
      <c r="B12" s="155">
        <f>'明细表M8-2'!B15</f>
        <v>0</v>
      </c>
      <c r="C12" s="155">
        <f>'明细表M8-2'!F15</f>
        <v>0</v>
      </c>
      <c r="D12" s="155">
        <f>'明细表M8-2'!G15</f>
        <v>0</v>
      </c>
      <c r="E12" s="155">
        <f>'明细表M8-2'!L15</f>
        <v>0</v>
      </c>
      <c r="F12" s="155">
        <f>'明细表M8-2'!E15</f>
        <v>0</v>
      </c>
      <c r="G12" s="155">
        <f>'明细表M8-2'!F15+'明细表M8-2'!H15-'明细表M8-2'!I15</f>
        <v>0</v>
      </c>
      <c r="H12" s="155">
        <f>'明细表M8-2'!G15+'明细表M8-2'!J15-'明细表M8-2'!K15</f>
        <v>0</v>
      </c>
      <c r="I12" s="155">
        <f>'明细表M8-2'!O15</f>
        <v>0</v>
      </c>
      <c r="J12" s="155">
        <f t="shared" si="0"/>
        <v>0</v>
      </c>
      <c r="K12" s="156">
        <f t="shared" si="1"/>
        <v>0</v>
      </c>
      <c r="L12" s="62"/>
    </row>
    <row r="13" spans="1:12" s="16" customFormat="1" ht="19.95" customHeight="1">
      <c r="A13" s="172" t="s">
        <v>168</v>
      </c>
      <c r="B13" s="157">
        <f>SUM(B7:B12)</f>
        <v>0</v>
      </c>
      <c r="C13" s="157">
        <f t="shared" ref="C13:I13" si="2">SUM(C7:C12)</f>
        <v>0</v>
      </c>
      <c r="D13" s="157">
        <f t="shared" si="2"/>
        <v>0</v>
      </c>
      <c r="E13" s="157">
        <f t="shared" si="2"/>
        <v>0</v>
      </c>
      <c r="F13" s="157">
        <f t="shared" si="2"/>
        <v>0</v>
      </c>
      <c r="G13" s="157">
        <f t="shared" si="2"/>
        <v>0</v>
      </c>
      <c r="H13" s="157">
        <f t="shared" si="2"/>
        <v>0</v>
      </c>
      <c r="I13" s="157">
        <f t="shared" si="2"/>
        <v>0</v>
      </c>
      <c r="J13" s="157">
        <f t="shared" si="0"/>
        <v>0</v>
      </c>
      <c r="K13" s="158">
        <f t="shared" si="1"/>
        <v>0</v>
      </c>
      <c r="L13" s="73"/>
    </row>
    <row r="14" spans="1:12" s="126" customFormat="1" ht="19.95" customHeight="1">
      <c r="A14" s="123" t="s">
        <v>169</v>
      </c>
      <c r="B14" s="123"/>
      <c r="C14" s="123"/>
      <c r="D14" s="123"/>
      <c r="E14" s="159"/>
      <c r="F14" s="123"/>
      <c r="G14" s="123"/>
      <c r="H14" s="123"/>
      <c r="I14" s="159"/>
      <c r="J14" s="125"/>
      <c r="K14" s="124"/>
      <c r="L14" s="124"/>
    </row>
    <row r="15" spans="1:12" s="126" customFormat="1" ht="19.95" customHeight="1">
      <c r="A15" s="123" t="s">
        <v>170</v>
      </c>
      <c r="B15" s="123"/>
      <c r="C15" s="123"/>
      <c r="D15" s="123"/>
      <c r="E15" s="159">
        <f>E13-E14</f>
        <v>0</v>
      </c>
      <c r="F15" s="123"/>
      <c r="G15" s="123"/>
      <c r="H15" s="123"/>
      <c r="I15" s="159">
        <f>I13-I14</f>
        <v>0</v>
      </c>
      <c r="J15" s="174"/>
      <c r="K15" s="66"/>
      <c r="L15" s="66"/>
    </row>
    <row r="16" spans="1:12" s="65" customFormat="1" ht="19.95" customHeight="1">
      <c r="A16" s="63" t="s">
        <v>31</v>
      </c>
      <c r="B16" s="64"/>
      <c r="C16" s="64"/>
      <c r="D16" s="64"/>
      <c r="E16" s="64"/>
      <c r="F16" s="173"/>
      <c r="G16" s="64"/>
    </row>
    <row r="17" spans="1:7" s="65" customFormat="1" ht="19.95" customHeight="1">
      <c r="A17" s="66" t="s">
        <v>171</v>
      </c>
      <c r="B17" s="66"/>
      <c r="C17" s="66"/>
      <c r="D17" s="312"/>
      <c r="E17" s="312"/>
      <c r="F17" s="66"/>
      <c r="G17" s="66"/>
    </row>
    <row r="18" spans="1:7" s="65" customFormat="1" ht="19.95" customHeight="1">
      <c r="A18" s="66" t="s">
        <v>172</v>
      </c>
      <c r="B18" s="66"/>
      <c r="C18" s="66"/>
      <c r="D18" s="66"/>
      <c r="E18" s="66"/>
      <c r="F18" s="66"/>
      <c r="G18" s="66"/>
    </row>
    <row r="19" spans="1:7" s="65" customFormat="1" ht="19.95" customHeight="1">
      <c r="A19" s="66"/>
      <c r="B19" s="66"/>
      <c r="C19" s="66"/>
      <c r="D19" s="66"/>
      <c r="E19" s="66"/>
      <c r="F19" s="66"/>
      <c r="G19" s="66"/>
    </row>
    <row r="20" spans="1:7" s="65" customFormat="1" ht="19.95" customHeight="1">
      <c r="A20" s="66"/>
      <c r="B20" s="66"/>
      <c r="C20" s="66"/>
      <c r="D20" s="66"/>
      <c r="E20" s="66"/>
      <c r="F20" s="66"/>
      <c r="G20" s="66"/>
    </row>
    <row r="21" spans="1:7" s="65" customFormat="1" ht="19.95" customHeight="1">
      <c r="A21" s="67" t="s">
        <v>173</v>
      </c>
      <c r="B21" s="67"/>
      <c r="C21" s="67"/>
      <c r="D21" s="67"/>
      <c r="E21" s="67"/>
      <c r="F21" s="67"/>
      <c r="G21" s="67"/>
    </row>
    <row r="22" spans="1:7" s="65" customFormat="1" ht="19.95" customHeight="1">
      <c r="A22" s="67"/>
      <c r="B22" s="67"/>
      <c r="C22" s="67"/>
      <c r="D22" s="67"/>
      <c r="E22" s="67"/>
      <c r="F22" s="67"/>
      <c r="G22" s="67"/>
    </row>
    <row r="23" spans="1:7" s="65" customFormat="1" ht="19.95" customHeight="1">
      <c r="A23" s="66"/>
      <c r="B23" s="66"/>
      <c r="C23" s="66"/>
      <c r="D23" s="66"/>
      <c r="E23" s="66"/>
      <c r="F23" s="66"/>
      <c r="G23" s="66"/>
    </row>
    <row r="24" spans="1:7" s="65" customFormat="1" ht="19.95" customHeight="1">
      <c r="A24" s="131" t="s">
        <v>174</v>
      </c>
      <c r="B24" s="66"/>
      <c r="C24" s="66"/>
      <c r="D24" s="66"/>
      <c r="E24" s="66"/>
      <c r="F24" s="173"/>
      <c r="G24" s="66"/>
    </row>
    <row r="25" spans="1:7" s="65" customFormat="1" ht="19.95" customHeight="1">
      <c r="A25" s="131"/>
      <c r="B25" s="66"/>
      <c r="C25" s="66"/>
      <c r="D25" s="66"/>
      <c r="E25" s="66"/>
      <c r="F25" s="66"/>
      <c r="G25" s="66"/>
    </row>
  </sheetData>
  <mergeCells count="8">
    <mergeCell ref="D17:E17"/>
    <mergeCell ref="J5:K5"/>
    <mergeCell ref="L5:L6"/>
    <mergeCell ref="A1:L1"/>
    <mergeCell ref="A2:L2"/>
    <mergeCell ref="B5:E5"/>
    <mergeCell ref="F5:I5"/>
    <mergeCell ref="A5:A6"/>
  </mergeCells>
  <phoneticPr fontId="18"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view="pageBreakPreview" zoomScaleSheetLayoutView="100" workbookViewId="0">
      <selection activeCell="D10" sqref="D10"/>
    </sheetView>
  </sheetViews>
  <sheetFormatPr defaultRowHeight="15.6"/>
  <cols>
    <col min="1" max="1" width="21.796875" customWidth="1"/>
    <col min="3" max="3" width="12.09765625" customWidth="1"/>
    <col min="4" max="4" width="12" customWidth="1"/>
    <col min="7" max="7" width="13.69921875" customWidth="1"/>
    <col min="8" max="8" width="7.69921875" customWidth="1"/>
  </cols>
  <sheetData>
    <row r="1" spans="1:14" s="26" customFormat="1" ht="20.100000000000001" customHeight="1">
      <c r="A1" s="319" t="s">
        <v>24</v>
      </c>
      <c r="B1" s="319"/>
      <c r="C1" s="319"/>
      <c r="D1" s="319"/>
      <c r="E1" s="319"/>
      <c r="F1" s="319"/>
      <c r="G1" s="319"/>
      <c r="H1" s="39"/>
      <c r="I1" s="39"/>
      <c r="J1" s="39"/>
      <c r="K1" s="39"/>
      <c r="L1" s="39"/>
      <c r="M1" s="39"/>
      <c r="N1" s="39"/>
    </row>
    <row r="2" spans="1:14" s="26" customFormat="1" ht="25.05" customHeight="1">
      <c r="A2" s="319" t="s">
        <v>28</v>
      </c>
      <c r="B2" s="319"/>
      <c r="C2" s="319"/>
      <c r="D2" s="319"/>
      <c r="E2" s="319"/>
      <c r="F2" s="319"/>
      <c r="G2" s="319"/>
    </row>
    <row r="3" spans="1:14" s="14" customFormat="1" ht="20.100000000000001" customHeight="1">
      <c r="A3" s="137" t="str">
        <f>底稿目录!A2</f>
        <v>被审计单位：</v>
      </c>
      <c r="B3" s="165"/>
      <c r="C3" s="165" t="str">
        <f>底稿目录!A4</f>
        <v>编制人：</v>
      </c>
      <c r="D3" s="137"/>
      <c r="E3" s="166" t="str">
        <f>底稿目录!A5</f>
        <v>编制日期：</v>
      </c>
      <c r="F3" s="74"/>
      <c r="G3" s="28" t="s">
        <v>154</v>
      </c>
    </row>
    <row r="4" spans="1:14" s="14" customFormat="1" ht="20.100000000000001" customHeight="1">
      <c r="A4" s="14" t="str">
        <f>底稿目录!A3</f>
        <v>截止日：202X年12月31日</v>
      </c>
      <c r="B4" s="27"/>
      <c r="C4" s="28" t="str">
        <f>底稿目录!A6</f>
        <v>复核人：</v>
      </c>
      <c r="E4" s="76" t="str">
        <f>底稿目录!A7</f>
        <v>复核日期：</v>
      </c>
      <c r="F4" s="74"/>
      <c r="G4" s="28" t="s">
        <v>22</v>
      </c>
    </row>
    <row r="5" spans="1:14" ht="20.100000000000001" customHeight="1" thickBot="1">
      <c r="A5" s="136" t="s">
        <v>4</v>
      </c>
      <c r="B5" s="137"/>
      <c r="C5" s="137"/>
      <c r="D5" s="137"/>
      <c r="E5" s="137"/>
      <c r="F5" s="137"/>
      <c r="G5" s="4"/>
    </row>
    <row r="6" spans="1:14" ht="20.100000000000001" customHeight="1" thickBot="1">
      <c r="A6" s="138" t="s">
        <v>25</v>
      </c>
      <c r="B6" s="139" t="s">
        <v>123</v>
      </c>
      <c r="C6" s="140" t="s">
        <v>1</v>
      </c>
      <c r="D6" s="140" t="s">
        <v>2</v>
      </c>
      <c r="E6" s="139" t="s">
        <v>124</v>
      </c>
      <c r="F6" s="137"/>
      <c r="G6" s="4"/>
    </row>
    <row r="7" spans="1:14" ht="20.100000000000001" customHeight="1">
      <c r="A7" s="141"/>
      <c r="B7" s="142">
        <f>'明细表M8-2'!L10</f>
        <v>0</v>
      </c>
      <c r="C7" s="142">
        <f>'明细表M8-2'!M10</f>
        <v>0</v>
      </c>
      <c r="D7" s="142">
        <f>'明细表M8-2'!N10</f>
        <v>0</v>
      </c>
      <c r="E7" s="143">
        <f>B7+C7-D7</f>
        <v>0</v>
      </c>
      <c r="F7" s="137"/>
      <c r="G7" s="4"/>
    </row>
    <row r="8" spans="1:14" ht="20.100000000000001" customHeight="1">
      <c r="A8" s="141"/>
      <c r="B8" s="144"/>
      <c r="C8" s="144"/>
      <c r="D8" s="144"/>
      <c r="E8" s="143">
        <f t="shared" ref="E8:E9" si="0">B8+C8-D8</f>
        <v>0</v>
      </c>
      <c r="F8" s="137"/>
      <c r="G8" s="4"/>
    </row>
    <row r="9" spans="1:14" ht="20.100000000000001" customHeight="1" thickBot="1">
      <c r="A9" s="145"/>
      <c r="B9" s="146"/>
      <c r="C9" s="146"/>
      <c r="D9" s="146"/>
      <c r="E9" s="143">
        <f t="shared" si="0"/>
        <v>0</v>
      </c>
      <c r="F9" s="137"/>
      <c r="G9" s="4"/>
    </row>
    <row r="10" spans="1:14" ht="20.100000000000001" customHeight="1" thickBot="1">
      <c r="A10" s="147" t="s">
        <v>23</v>
      </c>
      <c r="B10" s="148">
        <f>SUM(B7:B9)</f>
        <v>0</v>
      </c>
      <c r="C10" s="148">
        <f t="shared" ref="C10:E10" si="1">SUM(C7:C9)</f>
        <v>0</v>
      </c>
      <c r="D10" s="148">
        <f t="shared" si="1"/>
        <v>0</v>
      </c>
      <c r="E10" s="149">
        <f t="shared" si="1"/>
        <v>0</v>
      </c>
      <c r="F10" s="137"/>
      <c r="G10" s="4"/>
    </row>
    <row r="11" spans="1:14" ht="20.100000000000001" customHeight="1">
      <c r="A11" s="136" t="s">
        <v>3</v>
      </c>
      <c r="B11" s="137"/>
      <c r="C11" s="137"/>
      <c r="D11" s="137"/>
      <c r="E11" s="137"/>
      <c r="F11" s="137"/>
      <c r="G11" s="4"/>
    </row>
  </sheetData>
  <mergeCells count="2">
    <mergeCell ref="A1:G1"/>
    <mergeCell ref="A2:G2"/>
  </mergeCells>
  <phoneticPr fontId="18" type="noConversion"/>
  <printOptions horizontalCentered="1"/>
  <pageMargins left="0.70866141732283472" right="0.70866141732283472" top="0.74803149606299213" bottom="0.74803149606299213" header="0.31496062992125984" footer="0.31496062992125984"/>
  <pageSetup paperSize="9" scale="95" orientation="portrait" blackAndWhite="1" r:id="rId1"/>
  <ignoredErrors>
    <ignoredError sqref="C3:E3 C4:E4 A3 B7 E7:E10 B10:D10"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view="pageBreakPreview" zoomScaleSheetLayoutView="100" workbookViewId="0">
      <selection activeCell="L10" sqref="L10"/>
    </sheetView>
  </sheetViews>
  <sheetFormatPr defaultRowHeight="15.6"/>
  <cols>
    <col min="1" max="1" width="21.796875" customWidth="1"/>
    <col min="3" max="3" width="12.09765625" customWidth="1"/>
    <col min="4" max="4" width="12" customWidth="1"/>
    <col min="7" max="7" width="13.69921875" customWidth="1"/>
    <col min="8" max="8" width="7.69921875" customWidth="1"/>
  </cols>
  <sheetData>
    <row r="1" spans="1:14" s="26" customFormat="1" ht="20.100000000000001" customHeight="1">
      <c r="A1" s="319" t="s">
        <v>24</v>
      </c>
      <c r="B1" s="319"/>
      <c r="C1" s="319"/>
      <c r="D1" s="319"/>
      <c r="E1" s="319"/>
      <c r="F1" s="319"/>
      <c r="G1" s="319"/>
      <c r="H1" s="39"/>
      <c r="I1" s="39"/>
      <c r="J1" s="39"/>
      <c r="K1" s="39"/>
      <c r="L1" s="39"/>
      <c r="M1" s="39"/>
      <c r="N1" s="39"/>
    </row>
    <row r="2" spans="1:14" s="26" customFormat="1" ht="25.05" customHeight="1">
      <c r="A2" s="319" t="s">
        <v>29</v>
      </c>
      <c r="B2" s="319"/>
      <c r="C2" s="319"/>
      <c r="D2" s="319"/>
      <c r="E2" s="319"/>
      <c r="F2" s="319"/>
      <c r="G2" s="319"/>
    </row>
    <row r="3" spans="1:14" s="14" customFormat="1" ht="20.100000000000001" customHeight="1">
      <c r="A3" s="14" t="str">
        <f>底稿目录!A2</f>
        <v>被审计单位：</v>
      </c>
      <c r="B3" s="27"/>
      <c r="C3" s="27" t="str">
        <f>底稿目录!A4</f>
        <v>编制人：</v>
      </c>
      <c r="E3" s="75" t="str">
        <f>底稿目录!A5</f>
        <v>编制日期：</v>
      </c>
      <c r="F3" s="74"/>
      <c r="G3" s="28" t="s">
        <v>154</v>
      </c>
    </row>
    <row r="4" spans="1:14" s="14" customFormat="1" ht="20.100000000000001" customHeight="1">
      <c r="A4" s="14" t="str">
        <f>底稿目录!A3</f>
        <v>截止日：202X年12月31日</v>
      </c>
      <c r="B4" s="27"/>
      <c r="C4" s="28" t="str">
        <f>底稿目录!A6</f>
        <v>复核人：</v>
      </c>
      <c r="E4" s="76" t="str">
        <f>底稿目录!A7</f>
        <v>复核日期：</v>
      </c>
      <c r="F4" s="74"/>
      <c r="G4" s="28" t="s">
        <v>22</v>
      </c>
    </row>
    <row r="5" spans="1:14" s="4" customFormat="1" ht="20.100000000000001" customHeight="1" thickBot="1">
      <c r="A5" s="135" t="s">
        <v>4</v>
      </c>
      <c r="B5" s="137"/>
      <c r="C5" s="137"/>
      <c r="D5" s="137"/>
      <c r="E5" s="137"/>
    </row>
    <row r="6" spans="1:14" s="4" customFormat="1" ht="20.100000000000001" customHeight="1" thickBot="1">
      <c r="A6" s="138" t="s">
        <v>25</v>
      </c>
      <c r="B6" s="139" t="s">
        <v>125</v>
      </c>
      <c r="C6" s="140" t="s">
        <v>1</v>
      </c>
      <c r="D6" s="140" t="s">
        <v>2</v>
      </c>
      <c r="E6" s="139" t="s">
        <v>126</v>
      </c>
    </row>
    <row r="7" spans="1:14" s="4" customFormat="1" ht="20.100000000000001" customHeight="1">
      <c r="A7" s="141"/>
      <c r="B7" s="142">
        <f>'明细表M8-2'!L10</f>
        <v>0</v>
      </c>
      <c r="C7" s="142">
        <f>'明细表M8-2'!M10</f>
        <v>0</v>
      </c>
      <c r="D7" s="142">
        <f>'明细表M8-2'!N10</f>
        <v>0</v>
      </c>
      <c r="E7" s="143">
        <f>B7+C7-D7</f>
        <v>0</v>
      </c>
    </row>
    <row r="8" spans="1:14" s="4" customFormat="1" ht="20.100000000000001" customHeight="1">
      <c r="A8" s="141"/>
      <c r="B8" s="144"/>
      <c r="C8" s="144"/>
      <c r="D8" s="144"/>
      <c r="E8" s="143">
        <f>B8+C8-D8</f>
        <v>0</v>
      </c>
    </row>
    <row r="9" spans="1:14" s="4" customFormat="1" ht="20.100000000000001" customHeight="1" thickBot="1">
      <c r="A9" s="145"/>
      <c r="B9" s="146"/>
      <c r="C9" s="146"/>
      <c r="D9" s="146"/>
      <c r="E9" s="143">
        <f>B9+C9-D9</f>
        <v>0</v>
      </c>
    </row>
    <row r="10" spans="1:14" s="4" customFormat="1" ht="20.100000000000001" customHeight="1" thickBot="1">
      <c r="A10" s="147" t="s">
        <v>23</v>
      </c>
      <c r="B10" s="148">
        <f>SUM(B7:B9)</f>
        <v>0</v>
      </c>
      <c r="C10" s="148">
        <f t="shared" ref="C10:E10" si="0">SUM(C7:C9)</f>
        <v>0</v>
      </c>
      <c r="D10" s="148">
        <f t="shared" si="0"/>
        <v>0</v>
      </c>
      <c r="E10" s="149">
        <f t="shared" si="0"/>
        <v>0</v>
      </c>
    </row>
    <row r="11" spans="1:14" s="4" customFormat="1" ht="20.100000000000001" customHeight="1">
      <c r="A11" s="136" t="s">
        <v>3</v>
      </c>
      <c r="B11" s="137"/>
      <c r="C11" s="137"/>
      <c r="D11" s="137"/>
      <c r="E11" s="137"/>
    </row>
  </sheetData>
  <mergeCells count="2">
    <mergeCell ref="A1:G1"/>
    <mergeCell ref="A2:G2"/>
  </mergeCells>
  <phoneticPr fontId="18" type="noConversion"/>
  <pageMargins left="0.70866141732283472" right="0.70866141732283472" top="0.74803149606299213" bottom="0.74803149606299213" header="0.31496062992125984" footer="0.31496062992125984"/>
  <pageSetup paperSize="9" scale="94" orientation="portrait" blackAndWhite="1" r:id="rId1"/>
  <ignoredErrors>
    <ignoredError sqref="A3:E4 B7:E10"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view="pageBreakPreview" zoomScaleNormal="115" zoomScaleSheetLayoutView="100" workbookViewId="0">
      <selection sqref="A1:R1"/>
    </sheetView>
  </sheetViews>
  <sheetFormatPr defaultColWidth="9" defaultRowHeight="15.6"/>
  <cols>
    <col min="1" max="1" width="15.19921875" style="21" customWidth="1"/>
    <col min="2" max="5" width="8.296875" style="21" customWidth="1"/>
    <col min="6" max="7" width="10.09765625" style="21" customWidth="1"/>
    <col min="8" max="15" width="8.296875" style="21" customWidth="1"/>
    <col min="16" max="16384" width="9" style="21"/>
  </cols>
  <sheetData>
    <row r="1" spans="1:18" s="18" customFormat="1" ht="19.95" customHeight="1">
      <c r="A1" s="321" t="s">
        <v>288</v>
      </c>
      <c r="B1" s="321"/>
      <c r="C1" s="321"/>
      <c r="D1" s="321"/>
      <c r="E1" s="321"/>
      <c r="F1" s="321"/>
      <c r="G1" s="321"/>
      <c r="H1" s="321"/>
      <c r="I1" s="321"/>
      <c r="J1" s="321"/>
      <c r="K1" s="321"/>
      <c r="L1" s="321"/>
      <c r="M1" s="321"/>
      <c r="N1" s="321"/>
      <c r="O1" s="321"/>
      <c r="P1" s="321"/>
      <c r="Q1" s="321"/>
      <c r="R1" s="321"/>
    </row>
    <row r="2" spans="1:18" s="18" customFormat="1" ht="19.95" customHeight="1">
      <c r="A2" s="322" t="s">
        <v>289</v>
      </c>
      <c r="B2" s="322"/>
      <c r="C2" s="322"/>
      <c r="D2" s="322"/>
      <c r="E2" s="322"/>
      <c r="F2" s="322"/>
      <c r="G2" s="322"/>
      <c r="H2" s="322"/>
      <c r="I2" s="322"/>
      <c r="J2" s="322"/>
      <c r="K2" s="322"/>
      <c r="L2" s="322"/>
      <c r="M2" s="322"/>
      <c r="N2" s="322"/>
      <c r="O2" s="322"/>
      <c r="P2" s="322"/>
      <c r="Q2" s="322"/>
      <c r="R2" s="322"/>
    </row>
    <row r="3" spans="1:18" s="14" customFormat="1" ht="19.95" customHeight="1">
      <c r="A3" s="14" t="str">
        <f>底稿目录!A2</f>
        <v>被审计单位：</v>
      </c>
      <c r="E3" s="51" t="str">
        <f>底稿目录!A4</f>
        <v>编制人：</v>
      </c>
      <c r="F3" s="51"/>
      <c r="G3" s="51"/>
      <c r="H3" s="51"/>
      <c r="I3" s="51"/>
      <c r="J3" s="51"/>
      <c r="K3" s="51" t="str">
        <f>底稿目录!A5</f>
        <v>编制日期：</v>
      </c>
      <c r="L3" s="74"/>
      <c r="Q3" s="223" t="s">
        <v>39</v>
      </c>
      <c r="R3" s="222" t="str">
        <f>底稿目录!F8</f>
        <v>M8-2</v>
      </c>
    </row>
    <row r="4" spans="1:18" s="14" customFormat="1" ht="19.95" customHeight="1">
      <c r="A4" s="14" t="str">
        <f>底稿目录!A3</f>
        <v>截止日：202X年12月31日</v>
      </c>
      <c r="E4" s="51" t="str">
        <f>底稿目录!A6</f>
        <v>复核人：</v>
      </c>
      <c r="F4" s="51"/>
      <c r="G4" s="51"/>
      <c r="H4" s="51"/>
      <c r="I4" s="51"/>
      <c r="J4" s="51"/>
      <c r="K4" s="51" t="str">
        <f>底稿目录!A7</f>
        <v>复核日期：</v>
      </c>
      <c r="L4" s="74"/>
      <c r="Q4" s="224" t="s">
        <v>41</v>
      </c>
      <c r="R4" s="85"/>
    </row>
    <row r="5" spans="1:18" s="51" customFormat="1" ht="19.95" customHeight="1">
      <c r="A5" s="49" t="s">
        <v>26</v>
      </c>
      <c r="B5" s="50"/>
      <c r="H5" s="52"/>
      <c r="L5" s="53"/>
      <c r="O5" s="54"/>
    </row>
    <row r="6" spans="1:18" s="51" customFormat="1" ht="19.95" customHeight="1">
      <c r="A6" s="167" t="s">
        <v>175</v>
      </c>
      <c r="B6" s="175"/>
      <c r="H6" s="52"/>
      <c r="L6" s="53"/>
      <c r="O6" s="54"/>
    </row>
    <row r="7" spans="1:18" s="51" customFormat="1" ht="19.95" customHeight="1">
      <c r="A7" s="55" t="s">
        <v>27</v>
      </c>
      <c r="H7" s="56"/>
      <c r="L7" s="53"/>
      <c r="O7" s="54"/>
    </row>
    <row r="8" spans="1:18" s="19" customFormat="1" ht="19.95" customHeight="1">
      <c r="A8" s="323" t="s">
        <v>176</v>
      </c>
      <c r="B8" s="320" t="s">
        <v>162</v>
      </c>
      <c r="C8" s="320"/>
      <c r="D8" s="320"/>
      <c r="E8" s="320"/>
      <c r="F8" s="320" t="s">
        <v>177</v>
      </c>
      <c r="G8" s="320"/>
      <c r="H8" s="320" t="s">
        <v>163</v>
      </c>
      <c r="I8" s="320"/>
      <c r="J8" s="320" t="s">
        <v>164</v>
      </c>
      <c r="K8" s="320"/>
      <c r="L8" s="320" t="s">
        <v>165</v>
      </c>
      <c r="M8" s="320"/>
      <c r="N8" s="320"/>
      <c r="O8" s="320"/>
      <c r="P8" s="323" t="s">
        <v>178</v>
      </c>
      <c r="Q8" s="59"/>
      <c r="R8" s="60"/>
    </row>
    <row r="9" spans="1:18" s="19" customFormat="1" ht="19.95" customHeight="1">
      <c r="A9" s="324"/>
      <c r="B9" s="176" t="s">
        <v>179</v>
      </c>
      <c r="C9" s="176" t="s">
        <v>180</v>
      </c>
      <c r="D9" s="176" t="s">
        <v>181</v>
      </c>
      <c r="E9" s="176" t="s">
        <v>182</v>
      </c>
      <c r="F9" s="176" t="s">
        <v>183</v>
      </c>
      <c r="G9" s="176" t="s">
        <v>184</v>
      </c>
      <c r="H9" s="176" t="s">
        <v>180</v>
      </c>
      <c r="I9" s="176" t="s">
        <v>181</v>
      </c>
      <c r="J9" s="176" t="s">
        <v>180</v>
      </c>
      <c r="K9" s="176" t="s">
        <v>181</v>
      </c>
      <c r="L9" s="176" t="s">
        <v>179</v>
      </c>
      <c r="M9" s="176" t="s">
        <v>180</v>
      </c>
      <c r="N9" s="176" t="s">
        <v>181</v>
      </c>
      <c r="O9" s="176" t="s">
        <v>182</v>
      </c>
      <c r="P9" s="324"/>
      <c r="Q9" s="176" t="s">
        <v>185</v>
      </c>
      <c r="R9" s="177" t="s">
        <v>186</v>
      </c>
    </row>
    <row r="10" spans="1:18" s="19" customFormat="1" ht="19.95" customHeight="1">
      <c r="A10" s="178" t="s">
        <v>187</v>
      </c>
      <c r="B10" s="57"/>
      <c r="C10" s="57"/>
      <c r="D10" s="57"/>
      <c r="E10" s="155">
        <f>B10+C10-D10</f>
        <v>0</v>
      </c>
      <c r="F10" s="57"/>
      <c r="G10" s="57"/>
      <c r="H10" s="57"/>
      <c r="I10" s="57"/>
      <c r="J10" s="57"/>
      <c r="K10" s="57"/>
      <c r="L10" s="155">
        <f>B10+F10+G10</f>
        <v>0</v>
      </c>
      <c r="M10" s="155">
        <f>C10+H10+J10</f>
        <v>0</v>
      </c>
      <c r="N10" s="155">
        <f>D10+I10+K10</f>
        <v>0</v>
      </c>
      <c r="O10" s="155">
        <f>L10+M10-N10</f>
        <v>0</v>
      </c>
      <c r="P10" s="179"/>
      <c r="Q10" s="179"/>
      <c r="R10" s="180"/>
    </row>
    <row r="11" spans="1:18" s="19" customFormat="1" ht="19.95" customHeight="1">
      <c r="A11" s="178"/>
      <c r="B11" s="57"/>
      <c r="C11" s="57"/>
      <c r="D11" s="57"/>
      <c r="E11" s="155">
        <f t="shared" ref="E11:E16" si="0">B11+C11-D11</f>
        <v>0</v>
      </c>
      <c r="F11" s="57"/>
      <c r="G11" s="57"/>
      <c r="H11" s="57"/>
      <c r="I11" s="57"/>
      <c r="J11" s="57"/>
      <c r="K11" s="57"/>
      <c r="L11" s="155">
        <f t="shared" ref="L11:L16" si="1">B11+F11+G11</f>
        <v>0</v>
      </c>
      <c r="M11" s="155">
        <f t="shared" ref="M11:N16" si="2">C11+H11+J11</f>
        <v>0</v>
      </c>
      <c r="N11" s="155">
        <f t="shared" si="2"/>
        <v>0</v>
      </c>
      <c r="O11" s="155">
        <f t="shared" ref="O11:O16" si="3">L11+M11-N11</f>
        <v>0</v>
      </c>
      <c r="P11" s="58"/>
      <c r="Q11" s="58"/>
      <c r="R11" s="24"/>
    </row>
    <row r="12" spans="1:18" s="19" customFormat="1" ht="19.95" customHeight="1">
      <c r="A12" s="178"/>
      <c r="B12" s="22"/>
      <c r="C12" s="22"/>
      <c r="D12" s="22"/>
      <c r="E12" s="155">
        <f t="shared" si="0"/>
        <v>0</v>
      </c>
      <c r="F12" s="22"/>
      <c r="G12" s="22"/>
      <c r="H12" s="22"/>
      <c r="I12" s="22"/>
      <c r="J12" s="22"/>
      <c r="K12" s="22"/>
      <c r="L12" s="155">
        <f t="shared" si="1"/>
        <v>0</v>
      </c>
      <c r="M12" s="155">
        <f t="shared" si="2"/>
        <v>0</v>
      </c>
      <c r="N12" s="155">
        <f t="shared" si="2"/>
        <v>0</v>
      </c>
      <c r="O12" s="155">
        <f t="shared" si="3"/>
        <v>0</v>
      </c>
      <c r="P12" s="23"/>
      <c r="Q12" s="23"/>
      <c r="R12" s="24"/>
    </row>
    <row r="13" spans="1:18" s="19" customFormat="1" ht="19.95" customHeight="1">
      <c r="A13" s="77"/>
      <c r="B13" s="22"/>
      <c r="C13" s="22"/>
      <c r="D13" s="22"/>
      <c r="E13" s="155">
        <f t="shared" si="0"/>
        <v>0</v>
      </c>
      <c r="F13" s="22"/>
      <c r="G13" s="22"/>
      <c r="H13" s="22"/>
      <c r="I13" s="22"/>
      <c r="J13" s="22"/>
      <c r="K13" s="22"/>
      <c r="L13" s="155">
        <f t="shared" si="1"/>
        <v>0</v>
      </c>
      <c r="M13" s="155">
        <f t="shared" si="2"/>
        <v>0</v>
      </c>
      <c r="N13" s="155">
        <f t="shared" si="2"/>
        <v>0</v>
      </c>
      <c r="O13" s="155">
        <f t="shared" si="3"/>
        <v>0</v>
      </c>
      <c r="P13" s="23"/>
      <c r="Q13" s="23"/>
      <c r="R13" s="24"/>
    </row>
    <row r="14" spans="1:18" s="19" customFormat="1" ht="19.95" customHeight="1">
      <c r="A14" s="77"/>
      <c r="B14" s="22"/>
      <c r="C14" s="22"/>
      <c r="D14" s="22"/>
      <c r="E14" s="155">
        <f t="shared" si="0"/>
        <v>0</v>
      </c>
      <c r="F14" s="22"/>
      <c r="G14" s="22"/>
      <c r="H14" s="22"/>
      <c r="I14" s="22"/>
      <c r="J14" s="22"/>
      <c r="K14" s="22"/>
      <c r="L14" s="155">
        <f t="shared" si="1"/>
        <v>0</v>
      </c>
      <c r="M14" s="155">
        <f t="shared" si="2"/>
        <v>0</v>
      </c>
      <c r="N14" s="155">
        <f t="shared" si="2"/>
        <v>0</v>
      </c>
      <c r="O14" s="155">
        <f t="shared" si="3"/>
        <v>0</v>
      </c>
      <c r="P14" s="23"/>
      <c r="Q14" s="23"/>
      <c r="R14" s="24"/>
    </row>
    <row r="15" spans="1:18" s="19" customFormat="1" ht="19.95" customHeight="1">
      <c r="A15" s="77"/>
      <c r="B15" s="22"/>
      <c r="C15" s="22"/>
      <c r="D15" s="22"/>
      <c r="E15" s="155">
        <f t="shared" si="0"/>
        <v>0</v>
      </c>
      <c r="F15" s="22"/>
      <c r="G15" s="22"/>
      <c r="H15" s="22"/>
      <c r="I15" s="22"/>
      <c r="J15" s="22"/>
      <c r="K15" s="22"/>
      <c r="L15" s="155">
        <f t="shared" si="1"/>
        <v>0</v>
      </c>
      <c r="M15" s="155">
        <f t="shared" si="2"/>
        <v>0</v>
      </c>
      <c r="N15" s="155">
        <f t="shared" si="2"/>
        <v>0</v>
      </c>
      <c r="O15" s="155">
        <f t="shared" si="3"/>
        <v>0</v>
      </c>
      <c r="P15" s="23"/>
      <c r="Q15" s="23"/>
      <c r="R15" s="24"/>
    </row>
    <row r="16" spans="1:18" s="19" customFormat="1" ht="19.95" customHeight="1">
      <c r="A16" s="77"/>
      <c r="B16" s="22"/>
      <c r="C16" s="22"/>
      <c r="D16" s="22"/>
      <c r="E16" s="155">
        <f t="shared" si="0"/>
        <v>0</v>
      </c>
      <c r="F16" s="22"/>
      <c r="G16" s="22"/>
      <c r="H16" s="22"/>
      <c r="I16" s="22"/>
      <c r="J16" s="22"/>
      <c r="K16" s="22"/>
      <c r="L16" s="155">
        <f t="shared" si="1"/>
        <v>0</v>
      </c>
      <c r="M16" s="155">
        <f t="shared" si="2"/>
        <v>0</v>
      </c>
      <c r="N16" s="155">
        <f t="shared" si="2"/>
        <v>0</v>
      </c>
      <c r="O16" s="155">
        <f t="shared" si="3"/>
        <v>0</v>
      </c>
      <c r="P16" s="23"/>
      <c r="Q16" s="23"/>
      <c r="R16" s="24"/>
    </row>
    <row r="17" spans="1:18" s="20" customFormat="1" ht="19.95" customHeight="1">
      <c r="A17" s="77" t="s">
        <v>188</v>
      </c>
      <c r="B17" s="157">
        <f>SUM(B10:B16)</f>
        <v>0</v>
      </c>
      <c r="C17" s="157">
        <f t="shared" ref="C17:O17" si="4">SUM(C10:C16)</f>
        <v>0</v>
      </c>
      <c r="D17" s="157">
        <f t="shared" si="4"/>
        <v>0</v>
      </c>
      <c r="E17" s="157">
        <f t="shared" si="4"/>
        <v>0</v>
      </c>
      <c r="F17" s="157">
        <f t="shared" si="4"/>
        <v>0</v>
      </c>
      <c r="G17" s="157">
        <f t="shared" si="4"/>
        <v>0</v>
      </c>
      <c r="H17" s="157">
        <f t="shared" si="4"/>
        <v>0</v>
      </c>
      <c r="I17" s="157">
        <f t="shared" si="4"/>
        <v>0</v>
      </c>
      <c r="J17" s="157">
        <f t="shared" si="4"/>
        <v>0</v>
      </c>
      <c r="K17" s="157">
        <f t="shared" si="4"/>
        <v>0</v>
      </c>
      <c r="L17" s="157">
        <f t="shared" si="4"/>
        <v>0</v>
      </c>
      <c r="M17" s="157">
        <f t="shared" si="4"/>
        <v>0</v>
      </c>
      <c r="N17" s="157">
        <f t="shared" si="4"/>
        <v>0</v>
      </c>
      <c r="O17" s="157">
        <f t="shared" si="4"/>
        <v>0</v>
      </c>
      <c r="P17" s="79"/>
      <c r="Q17" s="79"/>
      <c r="R17" s="79"/>
    </row>
    <row r="18" spans="1:18" s="19" customFormat="1" ht="19.95" customHeight="1">
      <c r="A18" s="181" t="s">
        <v>189</v>
      </c>
      <c r="B18" s="25"/>
      <c r="C18" s="25"/>
      <c r="D18" s="25"/>
      <c r="E18" s="25"/>
      <c r="F18" s="25"/>
      <c r="G18" s="25"/>
      <c r="H18" s="25"/>
      <c r="I18" s="61"/>
      <c r="J18" s="61"/>
      <c r="K18" s="61"/>
      <c r="L18" s="61"/>
      <c r="M18" s="61"/>
      <c r="N18" s="61"/>
      <c r="O18" s="61"/>
      <c r="P18" s="61"/>
      <c r="Q18" s="61"/>
      <c r="R18" s="61"/>
    </row>
    <row r="19" spans="1:18" s="19" customFormat="1" ht="19.95" customHeight="1">
      <c r="A19" s="14"/>
      <c r="B19" s="14"/>
      <c r="C19" s="14"/>
      <c r="D19" s="14"/>
      <c r="E19" s="14"/>
      <c r="F19" s="14"/>
      <c r="G19" s="14"/>
      <c r="H19" s="14"/>
    </row>
    <row r="20" spans="1:18" s="19" customFormat="1" ht="19.95" customHeight="1">
      <c r="A20" s="39" t="s">
        <v>190</v>
      </c>
      <c r="B20" s="14"/>
      <c r="C20" s="14"/>
      <c r="D20" s="14"/>
      <c r="E20" s="14"/>
      <c r="F20" s="14"/>
      <c r="G20" s="14"/>
      <c r="H20" s="14"/>
    </row>
    <row r="21" spans="1:18" s="19" customFormat="1" ht="19.95" customHeight="1">
      <c r="A21" s="39"/>
      <c r="B21" s="14"/>
      <c r="C21" s="14"/>
      <c r="D21" s="14"/>
      <c r="E21" s="14"/>
      <c r="F21" s="14"/>
      <c r="G21" s="14"/>
      <c r="H21" s="14"/>
    </row>
    <row r="22" spans="1:18" s="19" customFormat="1" ht="19.95" customHeight="1">
      <c r="A22" s="14"/>
      <c r="B22" s="14"/>
      <c r="C22" s="14"/>
      <c r="D22" s="14"/>
      <c r="E22" s="14"/>
      <c r="F22" s="14"/>
      <c r="G22" s="14"/>
      <c r="H22" s="14"/>
    </row>
    <row r="23" spans="1:18" s="19" customFormat="1" ht="18" customHeight="1">
      <c r="A23" s="205" t="s">
        <v>243</v>
      </c>
    </row>
    <row r="24" spans="1:18" s="19" customFormat="1" ht="18" customHeight="1">
      <c r="A24" s="204" t="s">
        <v>244</v>
      </c>
    </row>
    <row r="25" spans="1:18" s="19" customFormat="1" ht="15" customHeight="1"/>
    <row r="26" spans="1:18" s="19" customFormat="1" ht="15" customHeight="1"/>
    <row r="27" spans="1:18" s="19" customFormat="1" ht="15" customHeight="1"/>
    <row r="28" spans="1:18" s="19" customFormat="1" ht="15" customHeight="1"/>
    <row r="29" spans="1:18" s="19" customFormat="1" ht="15" customHeight="1"/>
  </sheetData>
  <mergeCells count="9">
    <mergeCell ref="J8:K8"/>
    <mergeCell ref="L8:O8"/>
    <mergeCell ref="A1:R1"/>
    <mergeCell ref="A2:R2"/>
    <mergeCell ref="A8:A9"/>
    <mergeCell ref="P8:P9"/>
    <mergeCell ref="B8:E8"/>
    <mergeCell ref="F8:G8"/>
    <mergeCell ref="H8:I8"/>
  </mergeCells>
  <phoneticPr fontId="18" type="noConversion"/>
  <hyperlinks>
    <hyperlink ref="R3" location="底稿目录!A1" display="底稿目录!A1"/>
  </hyperlinks>
  <printOptions horizontalCentered="1"/>
  <pageMargins left="0.70866141732283472" right="0.70866141732283472" top="0.74803149606299213" bottom="0.74803149606299213" header="0.31496062992125984" footer="0.31496062992125984"/>
  <pageSetup paperSize="9" scale="76" orientation="landscape" blackAndWhite="1" r:id="rId1"/>
  <headerFooter alignWithMargins="0">
    <oddFooter>&amp;C&amp;P/&amp;N</oddFooter>
  </headerFooter>
  <rowBreaks count="1" manualBreakCount="1">
    <brk id="19" max="17" man="1"/>
  </rowBreaks>
  <ignoredErrors>
    <ignoredError sqref="K4 E4"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BreakPreview" zoomScaleNormal="100" zoomScaleSheetLayoutView="100" workbookViewId="0">
      <selection sqref="A1:J1"/>
    </sheetView>
  </sheetViews>
  <sheetFormatPr defaultRowHeight="15.6"/>
  <cols>
    <col min="1" max="1" width="15.59765625" customWidth="1"/>
    <col min="2" max="2" width="14.3984375" customWidth="1"/>
    <col min="3" max="3" width="11.19921875" customWidth="1"/>
    <col min="4" max="4" width="13.69921875" customWidth="1"/>
    <col min="5" max="5" width="13.09765625" customWidth="1"/>
    <col min="7" max="7" width="11.5" customWidth="1"/>
    <col min="8" max="8" width="10.796875" customWidth="1"/>
    <col min="10" max="10" width="14.59765625" customWidth="1"/>
  </cols>
  <sheetData>
    <row r="1" spans="1:10" ht="19.95" customHeight="1">
      <c r="A1" s="325" t="s">
        <v>24</v>
      </c>
      <c r="B1" s="325"/>
      <c r="C1" s="325"/>
      <c r="D1" s="325"/>
      <c r="E1" s="325"/>
      <c r="F1" s="325"/>
      <c r="G1" s="325"/>
      <c r="H1" s="325"/>
      <c r="I1" s="325"/>
      <c r="J1" s="325"/>
    </row>
    <row r="2" spans="1:10" ht="19.95" customHeight="1">
      <c r="A2" s="326" t="s">
        <v>287</v>
      </c>
      <c r="B2" s="326"/>
      <c r="C2" s="326"/>
      <c r="D2" s="326"/>
      <c r="E2" s="326"/>
      <c r="F2" s="326"/>
      <c r="G2" s="326"/>
      <c r="H2" s="326"/>
      <c r="I2" s="326"/>
      <c r="J2" s="326"/>
    </row>
    <row r="3" spans="1:10" ht="19.95" customHeight="1">
      <c r="A3" s="64" t="str">
        <f>底稿目录!A2</f>
        <v>被审计单位：</v>
      </c>
      <c r="B3" s="65"/>
      <c r="C3" s="65"/>
      <c r="D3" s="65" t="str">
        <f>底稿目录!A4</f>
        <v>编制人：</v>
      </c>
      <c r="E3" s="65"/>
      <c r="F3" s="65" t="str">
        <f>底稿目录!A5</f>
        <v>编制日期：</v>
      </c>
      <c r="H3" s="65"/>
      <c r="I3" s="223" t="s">
        <v>39</v>
      </c>
      <c r="J3" s="222" t="str">
        <f>底稿目录!F9</f>
        <v>M8-3</v>
      </c>
    </row>
    <row r="4" spans="1:10" ht="19.95" customHeight="1">
      <c r="A4" s="65" t="str">
        <f>底稿目录!A3</f>
        <v>截止日：202X年12月31日</v>
      </c>
      <c r="B4" s="65"/>
      <c r="C4" s="65"/>
      <c r="D4" s="65" t="str">
        <f>底稿目录!A6</f>
        <v>复核人：</v>
      </c>
      <c r="E4" s="65"/>
      <c r="F4" s="65" t="str">
        <f>底稿目录!A7</f>
        <v>复核日期：</v>
      </c>
      <c r="H4" s="65"/>
      <c r="I4" s="224" t="s">
        <v>41</v>
      </c>
      <c r="J4" s="85"/>
    </row>
    <row r="5" spans="1:10" ht="28.8" customHeight="1">
      <c r="A5" s="225" t="s">
        <v>262</v>
      </c>
      <c r="B5" s="226" t="s">
        <v>263</v>
      </c>
      <c r="C5" s="227" t="s">
        <v>264</v>
      </c>
      <c r="D5" s="227" t="s">
        <v>265</v>
      </c>
      <c r="E5" s="182" t="s">
        <v>260</v>
      </c>
      <c r="F5" s="182" t="s">
        <v>122</v>
      </c>
      <c r="G5" s="182" t="s">
        <v>266</v>
      </c>
      <c r="H5" s="182" t="s">
        <v>267</v>
      </c>
      <c r="I5" s="182" t="s">
        <v>268</v>
      </c>
      <c r="J5" s="182" t="s">
        <v>261</v>
      </c>
    </row>
    <row r="6" spans="1:10" ht="19.95" customHeight="1">
      <c r="A6" s="183"/>
      <c r="B6" s="183"/>
      <c r="C6" s="183"/>
      <c r="D6" s="183"/>
      <c r="E6" s="183"/>
      <c r="F6" s="183"/>
      <c r="G6" s="183"/>
      <c r="H6" s="183"/>
      <c r="I6" s="183"/>
      <c r="J6" s="183"/>
    </row>
    <row r="7" spans="1:10" ht="19.95" customHeight="1">
      <c r="A7" s="184"/>
      <c r="B7" s="183"/>
      <c r="C7" s="183"/>
      <c r="D7" s="183"/>
      <c r="E7" s="183"/>
      <c r="F7" s="183"/>
      <c r="G7" s="183"/>
      <c r="H7" s="183"/>
      <c r="I7" s="183"/>
      <c r="J7" s="183"/>
    </row>
    <row r="8" spans="1:10" ht="19.95" customHeight="1">
      <c r="A8" s="185"/>
      <c r="B8" s="183"/>
      <c r="C8" s="183"/>
      <c r="D8" s="183"/>
      <c r="E8" s="183"/>
      <c r="F8" s="183"/>
      <c r="G8" s="183"/>
      <c r="H8" s="183"/>
      <c r="I8" s="183"/>
      <c r="J8" s="183"/>
    </row>
    <row r="9" spans="1:10" ht="19.95" customHeight="1">
      <c r="A9" s="185"/>
      <c r="B9" s="183"/>
      <c r="C9" s="183"/>
      <c r="D9" s="183"/>
      <c r="E9" s="183"/>
      <c r="F9" s="183"/>
      <c r="G9" s="183"/>
      <c r="H9" s="183"/>
      <c r="I9" s="183"/>
      <c r="J9" s="183"/>
    </row>
    <row r="10" spans="1:10" ht="19.95" customHeight="1">
      <c r="A10" s="185"/>
      <c r="B10" s="183"/>
      <c r="C10" s="183"/>
      <c r="D10" s="183"/>
      <c r="E10" s="183"/>
      <c r="F10" s="183"/>
      <c r="G10" s="183"/>
      <c r="H10" s="183"/>
      <c r="I10" s="183"/>
      <c r="J10" s="183"/>
    </row>
    <row r="11" spans="1:10" ht="19.95" customHeight="1">
      <c r="A11" s="127"/>
      <c r="B11" s="183"/>
      <c r="C11" s="183"/>
      <c r="D11" s="183"/>
      <c r="E11" s="183"/>
      <c r="F11" s="183"/>
      <c r="G11" s="183"/>
      <c r="H11" s="183"/>
      <c r="I11" s="183"/>
      <c r="J11" s="183"/>
    </row>
    <row r="12" spans="1:10" ht="19.95" customHeight="1">
      <c r="A12" s="185"/>
      <c r="B12" s="183"/>
      <c r="C12" s="183"/>
      <c r="D12" s="183"/>
      <c r="E12" s="183"/>
      <c r="F12" s="183"/>
      <c r="G12" s="183"/>
      <c r="H12" s="183"/>
      <c r="I12" s="183"/>
      <c r="J12" s="183"/>
    </row>
    <row r="13" spans="1:10" ht="19.95" customHeight="1">
      <c r="A13" s="185"/>
      <c r="B13" s="183"/>
      <c r="C13" s="183"/>
      <c r="D13" s="183"/>
      <c r="E13" s="183"/>
      <c r="F13" s="183"/>
      <c r="G13" s="183"/>
      <c r="H13" s="183"/>
      <c r="I13" s="183"/>
      <c r="J13" s="183"/>
    </row>
    <row r="14" spans="1:10" ht="19.95" customHeight="1">
      <c r="A14" s="185"/>
      <c r="B14" s="183"/>
      <c r="C14" s="183"/>
      <c r="D14" s="183"/>
      <c r="E14" s="183"/>
      <c r="F14" s="183"/>
      <c r="G14" s="183"/>
      <c r="H14" s="183"/>
      <c r="I14" s="183"/>
      <c r="J14" s="183"/>
    </row>
    <row r="15" spans="1:10" ht="19.95" customHeight="1">
      <c r="A15" s="185"/>
      <c r="B15" s="183"/>
      <c r="C15" s="183"/>
      <c r="D15" s="183"/>
      <c r="E15" s="183"/>
      <c r="F15" s="183"/>
      <c r="G15" s="183"/>
      <c r="H15" s="183"/>
      <c r="I15" s="183"/>
      <c r="J15" s="183"/>
    </row>
    <row r="16" spans="1:10" ht="19.95" customHeight="1">
      <c r="A16" s="185"/>
      <c r="B16" s="183"/>
      <c r="C16" s="183"/>
      <c r="D16" s="183"/>
      <c r="E16" s="183"/>
      <c r="F16" s="183"/>
      <c r="G16" s="183"/>
      <c r="H16" s="183"/>
      <c r="I16" s="183"/>
      <c r="J16" s="183"/>
    </row>
    <row r="17" spans="1:10" ht="19.95" customHeight="1">
      <c r="A17" s="185"/>
      <c r="B17" s="183"/>
      <c r="C17" s="183"/>
      <c r="D17" s="183"/>
      <c r="E17" s="183"/>
      <c r="F17" s="183"/>
      <c r="G17" s="183"/>
      <c r="H17" s="183"/>
      <c r="I17" s="183"/>
      <c r="J17" s="183"/>
    </row>
    <row r="18" spans="1:10" ht="19.95" customHeight="1">
      <c r="A18" s="185"/>
      <c r="B18" s="183"/>
      <c r="C18" s="183"/>
      <c r="D18" s="183"/>
      <c r="E18" s="183"/>
      <c r="F18" s="183"/>
      <c r="G18" s="183"/>
      <c r="H18" s="183"/>
      <c r="I18" s="183"/>
      <c r="J18" s="183"/>
    </row>
    <row r="19" spans="1:10" ht="19.95" customHeight="1">
      <c r="A19" s="185"/>
      <c r="B19" s="183"/>
      <c r="C19" s="183"/>
      <c r="D19" s="183"/>
      <c r="E19" s="183"/>
      <c r="F19" s="183"/>
      <c r="G19" s="183"/>
      <c r="H19" s="183"/>
      <c r="I19" s="183"/>
      <c r="J19" s="183"/>
    </row>
    <row r="20" spans="1:10" ht="19.95" customHeight="1">
      <c r="A20" s="185"/>
      <c r="B20" s="183"/>
      <c r="C20" s="183"/>
      <c r="D20" s="183"/>
      <c r="E20" s="183"/>
      <c r="F20" s="183"/>
      <c r="G20" s="183"/>
      <c r="H20" s="183"/>
      <c r="I20" s="183"/>
      <c r="J20" s="183"/>
    </row>
    <row r="21" spans="1:10" ht="19.95" customHeight="1">
      <c r="A21" s="128"/>
      <c r="B21" s="128"/>
      <c r="C21" s="128"/>
      <c r="D21" s="129"/>
      <c r="E21" s="129"/>
      <c r="F21" s="129"/>
      <c r="G21" s="130"/>
      <c r="H21" s="130"/>
      <c r="I21" s="129"/>
      <c r="J21" s="131"/>
    </row>
    <row r="22" spans="1:10" ht="19.95" customHeight="1">
      <c r="A22" s="66"/>
      <c r="B22" s="66"/>
      <c r="C22" s="66"/>
      <c r="D22" s="66"/>
      <c r="E22" s="132"/>
      <c r="F22" s="67"/>
      <c r="G22" s="133"/>
      <c r="H22" s="133"/>
      <c r="I22" s="133"/>
      <c r="J22" s="133"/>
    </row>
    <row r="23" spans="1:10" ht="19.95" customHeight="1">
      <c r="A23" s="186"/>
      <c r="B23" s="186"/>
      <c r="C23" s="186"/>
      <c r="D23" s="186"/>
      <c r="E23" s="186"/>
      <c r="F23" s="186"/>
      <c r="G23" s="186"/>
      <c r="H23" s="186"/>
      <c r="I23" s="186"/>
      <c r="J23" s="186"/>
    </row>
    <row r="24" spans="1:10">
      <c r="A24" s="134"/>
      <c r="B24" s="134"/>
      <c r="C24" s="134"/>
      <c r="D24" s="134"/>
      <c r="E24" s="134"/>
      <c r="F24" s="134"/>
      <c r="G24" s="134"/>
      <c r="H24" s="134"/>
      <c r="I24" s="134"/>
      <c r="J24" s="134"/>
    </row>
  </sheetData>
  <mergeCells count="2">
    <mergeCell ref="A1:J1"/>
    <mergeCell ref="A2:J2"/>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view="pageBreakPreview" zoomScaleNormal="115" zoomScaleSheetLayoutView="100" workbookViewId="0">
      <selection activeCell="K3" sqref="K3"/>
    </sheetView>
  </sheetViews>
  <sheetFormatPr defaultColWidth="9" defaultRowHeight="15.6"/>
  <cols>
    <col min="1" max="1" width="14.796875" style="43" customWidth="1"/>
    <col min="2" max="3" width="12.796875" style="43" customWidth="1"/>
    <col min="4" max="4" width="9.59765625" style="43" customWidth="1"/>
    <col min="5" max="5" width="9.796875" style="43" customWidth="1"/>
    <col min="6" max="6" width="15.296875" style="43" customWidth="1"/>
    <col min="7" max="7" width="15.09765625" style="43" customWidth="1"/>
    <col min="8" max="8" width="15.19921875" style="43" customWidth="1"/>
    <col min="9" max="10" width="9" style="43"/>
    <col min="11" max="11" width="11.69921875" style="43" customWidth="1"/>
    <col min="12" max="16384" width="9" style="43"/>
  </cols>
  <sheetData>
    <row r="1" spans="1:11" s="26" customFormat="1" ht="19.95" customHeight="1">
      <c r="A1" s="319" t="s">
        <v>24</v>
      </c>
      <c r="B1" s="319"/>
      <c r="C1" s="319"/>
      <c r="D1" s="319"/>
      <c r="E1" s="319"/>
      <c r="F1" s="319"/>
      <c r="G1" s="319"/>
      <c r="H1" s="319"/>
      <c r="I1" s="319"/>
      <c r="J1" s="319"/>
      <c r="K1" s="319"/>
    </row>
    <row r="2" spans="1:11" s="26" customFormat="1" ht="19.95" customHeight="1">
      <c r="A2" s="327" t="s">
        <v>259</v>
      </c>
      <c r="B2" s="327"/>
      <c r="C2" s="327"/>
      <c r="D2" s="327"/>
      <c r="E2" s="327"/>
      <c r="F2" s="327"/>
      <c r="G2" s="327"/>
      <c r="H2" s="327"/>
      <c r="I2" s="327"/>
      <c r="J2" s="327"/>
      <c r="K2" s="327"/>
    </row>
    <row r="3" spans="1:11" s="14" customFormat="1" ht="19.95" customHeight="1">
      <c r="A3" s="14" t="str">
        <f>底稿目录!A2</f>
        <v>被审计单位：</v>
      </c>
      <c r="B3" s="27"/>
      <c r="C3" s="27"/>
      <c r="D3" s="27" t="str">
        <f>底稿目录!A4</f>
        <v>编制人：</v>
      </c>
      <c r="G3" s="75" t="str">
        <f>底稿目录!A5</f>
        <v>编制日期：</v>
      </c>
      <c r="H3" s="74"/>
      <c r="J3" s="223" t="s">
        <v>39</v>
      </c>
      <c r="K3" s="222" t="str">
        <f>底稿目录!F10</f>
        <v>M8-4</v>
      </c>
    </row>
    <row r="4" spans="1:11" s="14" customFormat="1" ht="19.95" customHeight="1">
      <c r="A4" s="14" t="str">
        <f>底稿目录!A3</f>
        <v>截止日：202X年12月31日</v>
      </c>
      <c r="B4" s="27"/>
      <c r="C4" s="27"/>
      <c r="D4" s="27" t="str">
        <f>底稿目录!A6</f>
        <v>复核人：</v>
      </c>
      <c r="G4" s="75" t="str">
        <f>底稿目录!A7</f>
        <v>复核日期：</v>
      </c>
      <c r="H4" s="74"/>
      <c r="J4" s="224" t="s">
        <v>41</v>
      </c>
      <c r="K4" s="85"/>
    </row>
    <row r="5" spans="1:11" s="30" customFormat="1" ht="19.95" customHeight="1">
      <c r="A5" s="29" t="s">
        <v>191</v>
      </c>
      <c r="B5" s="29"/>
      <c r="C5" s="29"/>
      <c r="D5" s="29"/>
      <c r="E5" s="29"/>
      <c r="G5" s="29"/>
    </row>
    <row r="6" spans="1:11" s="30" customFormat="1" ht="19.95" customHeight="1">
      <c r="A6" s="167" t="s">
        <v>175</v>
      </c>
      <c r="B6" s="175"/>
      <c r="C6" s="48"/>
      <c r="D6" s="48"/>
      <c r="E6" s="48"/>
      <c r="F6" s="48"/>
    </row>
    <row r="7" spans="1:11" s="30" customFormat="1" ht="19.95" customHeight="1">
      <c r="A7" s="187" t="s">
        <v>192</v>
      </c>
      <c r="B7" s="32"/>
      <c r="C7" s="32"/>
      <c r="D7" s="33"/>
    </row>
    <row r="8" spans="1:11" s="30" customFormat="1" ht="19.95" customHeight="1">
      <c r="A8" s="328" t="s">
        <v>193</v>
      </c>
      <c r="B8" s="329" t="s">
        <v>194</v>
      </c>
      <c r="C8" s="329"/>
      <c r="D8" s="329" t="s">
        <v>195</v>
      </c>
      <c r="E8" s="329"/>
      <c r="F8" s="329"/>
      <c r="G8" s="329" t="s">
        <v>196</v>
      </c>
      <c r="H8" s="329" t="s">
        <v>197</v>
      </c>
      <c r="I8" s="329" t="s">
        <v>198</v>
      </c>
      <c r="J8" s="328" t="s">
        <v>199</v>
      </c>
      <c r="K8" s="328" t="s">
        <v>200</v>
      </c>
    </row>
    <row r="9" spans="1:11" s="30" customFormat="1" ht="19.95" customHeight="1">
      <c r="A9" s="328"/>
      <c r="B9" s="188" t="s">
        <v>201</v>
      </c>
      <c r="C9" s="188" t="s">
        <v>202</v>
      </c>
      <c r="D9" s="188" t="s">
        <v>203</v>
      </c>
      <c r="E9" s="188" t="s">
        <v>204</v>
      </c>
      <c r="F9" s="188" t="s">
        <v>205</v>
      </c>
      <c r="G9" s="329"/>
      <c r="H9" s="329"/>
      <c r="I9" s="329"/>
      <c r="J9" s="328"/>
      <c r="K9" s="328"/>
    </row>
    <row r="10" spans="1:11" s="30" customFormat="1" ht="19.95" customHeight="1">
      <c r="A10" s="178" t="s">
        <v>187</v>
      </c>
      <c r="B10" s="189"/>
      <c r="C10" s="189"/>
      <c r="D10" s="190"/>
      <c r="E10" s="190"/>
      <c r="F10" s="190"/>
      <c r="G10" s="155">
        <f>E10*F10</f>
        <v>0</v>
      </c>
      <c r="H10" s="155">
        <f>B10-G10</f>
        <v>0</v>
      </c>
      <c r="I10" s="191"/>
      <c r="J10" s="189"/>
      <c r="K10" s="189"/>
    </row>
    <row r="11" spans="1:11" s="30" customFormat="1" ht="19.95" customHeight="1">
      <c r="A11" s="192"/>
      <c r="B11" s="193"/>
      <c r="C11" s="189"/>
      <c r="D11" s="190"/>
      <c r="E11" s="190"/>
      <c r="F11" s="190"/>
      <c r="G11" s="155">
        <f t="shared" ref="G11:G18" si="0">E11*F11</f>
        <v>0</v>
      </c>
      <c r="H11" s="155">
        <f t="shared" ref="H11:H18" si="1">B11-G11</f>
        <v>0</v>
      </c>
      <c r="I11" s="191"/>
      <c r="J11" s="189"/>
      <c r="K11" s="189"/>
    </row>
    <row r="12" spans="1:11" s="30" customFormat="1" ht="19.95" customHeight="1">
      <c r="A12" s="192"/>
      <c r="B12" s="193"/>
      <c r="C12" s="189"/>
      <c r="D12" s="190"/>
      <c r="E12" s="190"/>
      <c r="F12" s="190"/>
      <c r="G12" s="155">
        <f t="shared" si="0"/>
        <v>0</v>
      </c>
      <c r="H12" s="155">
        <f t="shared" si="1"/>
        <v>0</v>
      </c>
      <c r="I12" s="191"/>
      <c r="J12" s="189"/>
      <c r="K12" s="189"/>
    </row>
    <row r="13" spans="1:11" s="30" customFormat="1" ht="19.95" customHeight="1">
      <c r="A13" s="192"/>
      <c r="B13" s="193"/>
      <c r="C13" s="189"/>
      <c r="D13" s="190"/>
      <c r="E13" s="190"/>
      <c r="F13" s="190"/>
      <c r="G13" s="155">
        <f t="shared" si="0"/>
        <v>0</v>
      </c>
      <c r="H13" s="155">
        <f t="shared" si="1"/>
        <v>0</v>
      </c>
      <c r="I13" s="191"/>
      <c r="J13" s="189"/>
      <c r="K13" s="189"/>
    </row>
    <row r="14" spans="1:11" s="30" customFormat="1" ht="19.95" customHeight="1">
      <c r="A14" s="192"/>
      <c r="B14" s="193"/>
      <c r="C14" s="189"/>
      <c r="D14" s="190"/>
      <c r="E14" s="190"/>
      <c r="F14" s="190"/>
      <c r="G14" s="155">
        <f t="shared" si="0"/>
        <v>0</v>
      </c>
      <c r="H14" s="155">
        <f t="shared" si="1"/>
        <v>0</v>
      </c>
      <c r="I14" s="191"/>
      <c r="J14" s="189"/>
      <c r="K14" s="189"/>
    </row>
    <row r="15" spans="1:11" s="14" customFormat="1" ht="19.95" customHeight="1">
      <c r="A15" s="192"/>
      <c r="B15" s="193"/>
      <c r="C15" s="189"/>
      <c r="D15" s="190"/>
      <c r="E15" s="190"/>
      <c r="F15" s="190"/>
      <c r="G15" s="155">
        <f t="shared" si="0"/>
        <v>0</v>
      </c>
      <c r="H15" s="155">
        <f t="shared" si="1"/>
        <v>0</v>
      </c>
      <c r="I15" s="191"/>
      <c r="J15" s="189"/>
      <c r="K15" s="189"/>
    </row>
    <row r="16" spans="1:11" s="14" customFormat="1" ht="19.95" customHeight="1">
      <c r="A16" s="192"/>
      <c r="B16" s="193"/>
      <c r="C16" s="189"/>
      <c r="D16" s="190"/>
      <c r="E16" s="190"/>
      <c r="F16" s="190"/>
      <c r="G16" s="155">
        <f t="shared" si="0"/>
        <v>0</v>
      </c>
      <c r="H16" s="155">
        <f t="shared" si="1"/>
        <v>0</v>
      </c>
      <c r="I16" s="191"/>
      <c r="J16" s="189"/>
      <c r="K16" s="189"/>
    </row>
    <row r="17" spans="1:11" s="39" customFormat="1" ht="19.95" customHeight="1">
      <c r="A17" s="192"/>
      <c r="B17" s="193"/>
      <c r="C17" s="189"/>
      <c r="D17" s="190"/>
      <c r="E17" s="190"/>
      <c r="F17" s="190"/>
      <c r="G17" s="155">
        <f t="shared" si="0"/>
        <v>0</v>
      </c>
      <c r="H17" s="155">
        <f t="shared" si="1"/>
        <v>0</v>
      </c>
      <c r="I17" s="191"/>
      <c r="J17" s="189"/>
      <c r="K17" s="189"/>
    </row>
    <row r="18" spans="1:11" s="14" customFormat="1" ht="19.95" customHeight="1">
      <c r="A18" s="192"/>
      <c r="B18" s="193"/>
      <c r="C18" s="189"/>
      <c r="D18" s="190"/>
      <c r="E18" s="190"/>
      <c r="F18" s="190"/>
      <c r="G18" s="155">
        <f t="shared" si="0"/>
        <v>0</v>
      </c>
      <c r="H18" s="155">
        <f t="shared" si="1"/>
        <v>0</v>
      </c>
      <c r="I18" s="191"/>
      <c r="J18" s="189"/>
      <c r="K18" s="189"/>
    </row>
    <row r="19" spans="1:11" s="14" customFormat="1" ht="19.95" customHeight="1">
      <c r="A19" s="212" t="s">
        <v>206</v>
      </c>
      <c r="B19" s="215">
        <f>SUM(B10:B18)</f>
        <v>0</v>
      </c>
      <c r="C19" s="215">
        <f>SUM(C10:C18)</f>
        <v>0</v>
      </c>
      <c r="D19" s="216"/>
      <c r="E19" s="216"/>
      <c r="F19" s="216"/>
      <c r="G19" s="215">
        <f>SUM(G10:G18)</f>
        <v>0</v>
      </c>
      <c r="H19" s="215">
        <f>SUM(H10:H18)</f>
        <v>0</v>
      </c>
      <c r="I19" s="214"/>
      <c r="J19" s="217"/>
      <c r="K19" s="217"/>
    </row>
    <row r="20" spans="1:11" s="14" customFormat="1" ht="19.95" customHeight="1">
      <c r="A20" s="187" t="s">
        <v>207</v>
      </c>
      <c r="F20" s="39"/>
      <c r="G20" s="27"/>
    </row>
    <row r="21" spans="1:11" s="14" customFormat="1" ht="19.95" customHeight="1">
      <c r="F21" s="27"/>
      <c r="G21" s="27"/>
    </row>
    <row r="22" spans="1:11" s="14" customFormat="1" ht="19.95" customHeight="1">
      <c r="A22" s="39"/>
      <c r="B22" s="39"/>
      <c r="C22" s="39"/>
      <c r="D22" s="39"/>
      <c r="E22" s="39"/>
      <c r="F22" s="27"/>
      <c r="G22" s="40"/>
      <c r="H22" s="39"/>
      <c r="I22" s="39"/>
      <c r="J22" s="39"/>
      <c r="K22" s="39"/>
    </row>
    <row r="23" spans="1:11" s="14" customFormat="1" ht="19.95" customHeight="1">
      <c r="F23" s="27"/>
      <c r="G23" s="27"/>
    </row>
    <row r="24" spans="1:11" s="14" customFormat="1" ht="19.95" customHeight="1">
      <c r="F24" s="27"/>
      <c r="G24" s="27"/>
    </row>
    <row r="25" spans="1:11" ht="19.95" customHeight="1">
      <c r="A25" s="39" t="s">
        <v>190</v>
      </c>
      <c r="B25" s="14"/>
      <c r="C25" s="14"/>
      <c r="D25" s="14"/>
      <c r="E25" s="14"/>
      <c r="F25" s="27"/>
      <c r="G25" s="27"/>
      <c r="H25" s="14"/>
      <c r="I25" s="14"/>
      <c r="J25" s="14"/>
      <c r="K25" s="14"/>
    </row>
    <row r="26" spans="1:11" ht="19.95" customHeight="1">
      <c r="A26" s="14"/>
      <c r="B26" s="14"/>
      <c r="C26" s="14"/>
      <c r="D26" s="14"/>
      <c r="E26" s="14"/>
      <c r="F26" s="27"/>
      <c r="G26" s="27"/>
      <c r="H26" s="14"/>
      <c r="I26" s="14"/>
      <c r="J26" s="14"/>
      <c r="K26" s="14"/>
    </row>
    <row r="27" spans="1:11" ht="19.95" customHeight="1">
      <c r="A27" s="38"/>
      <c r="B27" s="14"/>
      <c r="C27" s="27"/>
      <c r="D27" s="27"/>
      <c r="E27" s="27"/>
      <c r="F27" s="27"/>
      <c r="G27" s="27"/>
      <c r="H27" s="14"/>
      <c r="I27" s="14"/>
      <c r="J27" s="14"/>
      <c r="K27" s="14"/>
    </row>
    <row r="28" spans="1:11" ht="18" customHeight="1">
      <c r="A28" s="46"/>
      <c r="B28" s="47"/>
    </row>
    <row r="29" spans="1:11" ht="18" customHeight="1">
      <c r="A29" s="46"/>
      <c r="B29" s="47"/>
    </row>
    <row r="30" spans="1:11" ht="18" customHeight="1">
      <c r="A30" s="46"/>
      <c r="B30" s="47"/>
    </row>
  </sheetData>
  <mergeCells count="10">
    <mergeCell ref="A1:K1"/>
    <mergeCell ref="A2:K2"/>
    <mergeCell ref="A8:A9"/>
    <mergeCell ref="B8:C8"/>
    <mergeCell ref="D8:F8"/>
    <mergeCell ref="G8:G9"/>
    <mergeCell ref="H8:H9"/>
    <mergeCell ref="I8:I9"/>
    <mergeCell ref="J8:J9"/>
    <mergeCell ref="K8:K9"/>
  </mergeCells>
  <phoneticPr fontId="18" type="noConversion"/>
  <hyperlinks>
    <hyperlink ref="K3" location="底稿目录!A1" display="底稿目录!A1"/>
  </hyperlinks>
  <printOptions horizontalCentered="1"/>
  <pageMargins left="0.70866141732283472" right="0.70866141732283472" top="0.74803149606299213" bottom="0.74803149606299213" header="0.31496062992125984" footer="0.31496062992125984"/>
  <pageSetup paperSize="9" scale="91" orientation="landscape" blackAndWhite="1" r:id="rId1"/>
  <headerFooter alignWithMargins="0">
    <oddFooter>&amp;C&amp;P/&amp;N</oddFooter>
  </headerFooter>
  <rowBreaks count="1" manualBreakCount="1">
    <brk id="16"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41"/>
  <sheetViews>
    <sheetView view="pageBreakPreview" zoomScaleSheetLayoutView="100" workbookViewId="0">
      <selection activeCell="I22" sqref="I22"/>
    </sheetView>
  </sheetViews>
  <sheetFormatPr defaultColWidth="9" defaultRowHeight="15.6"/>
  <cols>
    <col min="1" max="2" width="9" style="43"/>
    <col min="3" max="3" width="21.5" style="43" customWidth="1"/>
    <col min="4" max="5" width="10.69921875" style="43" customWidth="1"/>
    <col min="6" max="6" width="13.59765625" style="43" customWidth="1"/>
    <col min="7" max="7" width="15.296875" style="43" customWidth="1"/>
    <col min="8" max="8" width="12.19921875" style="43" customWidth="1"/>
    <col min="9" max="9" width="23.69921875" style="43" customWidth="1"/>
    <col min="10" max="10" width="9.19921875" style="43" customWidth="1"/>
    <col min="11" max="11" width="14.3984375" style="43" customWidth="1"/>
    <col min="12" max="12" width="19.8984375" style="43" customWidth="1"/>
    <col min="13" max="16384" width="9" style="43"/>
  </cols>
  <sheetData>
    <row r="1" spans="1:12" s="26" customFormat="1" ht="19.95" customHeight="1">
      <c r="A1" s="332" t="s">
        <v>121</v>
      </c>
      <c r="B1" s="332"/>
      <c r="C1" s="332"/>
      <c r="D1" s="332"/>
      <c r="E1" s="332"/>
      <c r="F1" s="332"/>
      <c r="G1" s="332"/>
      <c r="H1" s="332"/>
      <c r="I1" s="332"/>
      <c r="J1" s="332"/>
      <c r="K1" s="332"/>
      <c r="L1" s="332"/>
    </row>
    <row r="2" spans="1:12" s="26" customFormat="1" ht="19.95" customHeight="1">
      <c r="A2" s="333" t="s">
        <v>208</v>
      </c>
      <c r="B2" s="333"/>
      <c r="C2" s="333"/>
      <c r="D2" s="333"/>
      <c r="E2" s="333"/>
      <c r="F2" s="333"/>
      <c r="G2" s="333"/>
      <c r="H2" s="333"/>
      <c r="I2" s="333"/>
      <c r="J2" s="333"/>
      <c r="K2" s="333"/>
      <c r="L2" s="333"/>
    </row>
    <row r="3" spans="1:12" s="14" customFormat="1" ht="19.95" customHeight="1">
      <c r="A3" s="14" t="str">
        <f>底稿目录!A2</f>
        <v>被审计单位：</v>
      </c>
      <c r="B3" s="27"/>
      <c r="C3" s="27"/>
      <c r="E3" s="27" t="str">
        <f>底稿目录!A4</f>
        <v>编制人：</v>
      </c>
      <c r="F3" s="27"/>
      <c r="H3" s="75" t="str">
        <f>底稿目录!A5</f>
        <v>编制日期：</v>
      </c>
      <c r="J3" s="74"/>
      <c r="K3" s="74"/>
      <c r="L3" s="27" t="s">
        <v>209</v>
      </c>
    </row>
    <row r="4" spans="1:12" s="14" customFormat="1" ht="19.95" customHeight="1">
      <c r="A4" s="14" t="str">
        <f>底稿目录!A3</f>
        <v>截止日：202X年12月31日</v>
      </c>
      <c r="B4" s="27"/>
      <c r="C4" s="27"/>
      <c r="E4" s="27" t="str">
        <f>底稿目录!A6</f>
        <v>复核人：</v>
      </c>
      <c r="F4" s="27"/>
      <c r="H4" s="75" t="str">
        <f>底稿目录!A7</f>
        <v>复核日期：</v>
      </c>
      <c r="J4" s="74"/>
      <c r="K4" s="74"/>
      <c r="L4" s="27" t="s">
        <v>157</v>
      </c>
    </row>
    <row r="5" spans="1:12" s="30" customFormat="1" ht="19.95" customHeight="1">
      <c r="A5" s="29" t="s">
        <v>210</v>
      </c>
      <c r="B5" s="29"/>
      <c r="C5" s="29"/>
      <c r="D5" s="29"/>
      <c r="E5" s="29"/>
      <c r="F5" s="29"/>
      <c r="G5" s="29"/>
      <c r="H5" s="29"/>
      <c r="I5" s="29"/>
      <c r="J5" s="29"/>
      <c r="K5" s="29"/>
      <c r="L5" s="29"/>
    </row>
    <row r="6" spans="1:12" s="30" customFormat="1" ht="19.95" customHeight="1">
      <c r="A6" s="48" t="s">
        <v>211</v>
      </c>
      <c r="B6" s="48"/>
      <c r="C6" s="48"/>
      <c r="D6" s="48"/>
      <c r="E6" s="48"/>
      <c r="F6" s="48"/>
      <c r="G6" s="48"/>
      <c r="H6" s="48"/>
      <c r="I6" s="48"/>
      <c r="J6" s="48"/>
      <c r="K6" s="48"/>
      <c r="L6" s="48"/>
    </row>
    <row r="7" spans="1:12" s="30" customFormat="1" ht="19.95" customHeight="1">
      <c r="A7" s="29" t="s">
        <v>212</v>
      </c>
      <c r="B7" s="29"/>
      <c r="C7" s="29"/>
      <c r="D7" s="29"/>
      <c r="E7" s="29"/>
      <c r="F7" s="29"/>
      <c r="G7" s="29"/>
      <c r="H7" s="29"/>
      <c r="I7" s="29"/>
      <c r="J7" s="29"/>
      <c r="K7" s="29"/>
      <c r="L7" s="29"/>
    </row>
    <row r="8" spans="1:12" s="30" customFormat="1" ht="19.95" customHeight="1">
      <c r="A8" s="194" t="s">
        <v>213</v>
      </c>
      <c r="B8" s="195" t="s">
        <v>214</v>
      </c>
      <c r="C8" s="21"/>
      <c r="D8" s="21"/>
      <c r="E8" s="194"/>
      <c r="F8" s="195"/>
      <c r="G8" s="194" t="s">
        <v>215</v>
      </c>
      <c r="H8" s="195" t="s">
        <v>216</v>
      </c>
      <c r="I8" s="29"/>
      <c r="J8" s="29"/>
      <c r="K8" s="29"/>
      <c r="L8" s="29"/>
    </row>
    <row r="9" spans="1:12" s="30" customFormat="1" ht="19.95" customHeight="1">
      <c r="A9" s="194" t="s">
        <v>217</v>
      </c>
      <c r="B9" s="195" t="s">
        <v>218</v>
      </c>
      <c r="C9" s="21"/>
      <c r="D9" s="21"/>
      <c r="E9" s="194"/>
      <c r="F9" s="195"/>
      <c r="G9" s="194" t="s">
        <v>219</v>
      </c>
      <c r="H9" s="195" t="s">
        <v>220</v>
      </c>
      <c r="I9" s="195" t="s">
        <v>221</v>
      </c>
      <c r="J9" s="29"/>
      <c r="K9" s="29"/>
      <c r="L9" s="29"/>
    </row>
    <row r="10" spans="1:12" s="30" customFormat="1" ht="19.95" customHeight="1">
      <c r="A10" s="194" t="s">
        <v>222</v>
      </c>
      <c r="B10" s="195" t="s">
        <v>223</v>
      </c>
      <c r="D10" s="21"/>
      <c r="E10" s="194"/>
      <c r="F10" s="195"/>
      <c r="G10" s="194" t="s">
        <v>224</v>
      </c>
      <c r="H10" s="195" t="s">
        <v>225</v>
      </c>
      <c r="I10" s="21"/>
      <c r="J10" s="29"/>
      <c r="K10" s="29"/>
      <c r="L10" s="29"/>
    </row>
    <row r="11" spans="1:12" s="30" customFormat="1" ht="19.95" customHeight="1">
      <c r="A11" s="196" t="s">
        <v>226</v>
      </c>
      <c r="B11" s="70"/>
      <c r="C11" s="70"/>
      <c r="D11" s="71"/>
      <c r="E11" s="72"/>
      <c r="F11" s="72"/>
      <c r="G11" s="31"/>
      <c r="H11" s="31"/>
      <c r="I11" s="31"/>
      <c r="J11" s="31"/>
      <c r="K11" s="31"/>
      <c r="L11" s="31"/>
    </row>
    <row r="12" spans="1:12" s="30" customFormat="1" ht="19.95" customHeight="1">
      <c r="A12" s="206" t="s">
        <v>245</v>
      </c>
      <c r="B12" s="70"/>
      <c r="C12" s="70"/>
      <c r="D12" s="71"/>
      <c r="E12" s="72"/>
      <c r="F12" s="72"/>
      <c r="G12" s="31"/>
      <c r="H12" s="31"/>
      <c r="I12" s="31"/>
      <c r="J12" s="31"/>
      <c r="K12" s="31"/>
      <c r="L12" s="31"/>
    </row>
    <row r="13" spans="1:12" s="14" customFormat="1" ht="19.95" customHeight="1">
      <c r="A13" s="334" t="s">
        <v>227</v>
      </c>
      <c r="B13" s="334"/>
      <c r="C13" s="334"/>
      <c r="D13" s="334"/>
      <c r="E13" s="334"/>
      <c r="F13" s="334"/>
      <c r="G13" s="335" t="s">
        <v>228</v>
      </c>
      <c r="H13" s="336"/>
      <c r="I13" s="337"/>
      <c r="J13" s="330" t="s">
        <v>122</v>
      </c>
      <c r="K13" s="330" t="s">
        <v>229</v>
      </c>
      <c r="L13" s="331" t="s">
        <v>230</v>
      </c>
    </row>
    <row r="14" spans="1:12" s="14" customFormat="1" ht="19.95" customHeight="1">
      <c r="A14" s="197" t="s">
        <v>231</v>
      </c>
      <c r="B14" s="197" t="s">
        <v>232</v>
      </c>
      <c r="C14" s="197" t="s">
        <v>233</v>
      </c>
      <c r="D14" s="197" t="s">
        <v>234</v>
      </c>
      <c r="E14" s="197" t="s">
        <v>235</v>
      </c>
      <c r="F14" s="199" t="s">
        <v>236</v>
      </c>
      <c r="G14" s="200" t="s">
        <v>237</v>
      </c>
      <c r="H14" s="200" t="s">
        <v>238</v>
      </c>
      <c r="I14" s="198" t="s">
        <v>239</v>
      </c>
      <c r="J14" s="330"/>
      <c r="K14" s="330"/>
      <c r="L14" s="331"/>
    </row>
    <row r="15" spans="1:12" s="14" customFormat="1" ht="19.95" customHeight="1">
      <c r="A15" s="78"/>
      <c r="B15" s="34"/>
      <c r="C15" s="35"/>
      <c r="D15" s="34"/>
      <c r="E15" s="34"/>
      <c r="F15" s="34"/>
      <c r="G15" s="36"/>
      <c r="H15" s="36"/>
      <c r="I15" s="24"/>
      <c r="J15" s="36"/>
      <c r="K15" s="36"/>
      <c r="L15" s="36"/>
    </row>
    <row r="16" spans="1:12" s="14" customFormat="1" ht="19.95" customHeight="1">
      <c r="A16" s="78"/>
      <c r="B16" s="34"/>
      <c r="C16" s="35"/>
      <c r="D16" s="34"/>
      <c r="E16" s="34"/>
      <c r="F16" s="34"/>
      <c r="G16" s="36"/>
      <c r="H16" s="36"/>
      <c r="I16" s="24"/>
      <c r="J16" s="36"/>
      <c r="K16" s="36"/>
      <c r="L16" s="36"/>
    </row>
    <row r="17" spans="1:12" s="14" customFormat="1" ht="19.95" customHeight="1">
      <c r="A17" s="78"/>
      <c r="B17" s="34"/>
      <c r="C17" s="35"/>
      <c r="D17" s="34"/>
      <c r="E17" s="34"/>
      <c r="F17" s="34"/>
      <c r="G17" s="36"/>
      <c r="H17" s="36"/>
      <c r="I17" s="24"/>
      <c r="J17" s="36"/>
      <c r="K17" s="36"/>
      <c r="L17" s="36"/>
    </row>
    <row r="18" spans="1:12" s="14" customFormat="1" ht="19.95" customHeight="1">
      <c r="A18" s="78"/>
      <c r="B18" s="34"/>
      <c r="C18" s="35"/>
      <c r="D18" s="34"/>
      <c r="E18" s="34"/>
      <c r="F18" s="34"/>
      <c r="G18" s="36"/>
      <c r="H18" s="36"/>
      <c r="I18" s="24"/>
      <c r="J18" s="36"/>
      <c r="K18" s="36"/>
      <c r="L18" s="36"/>
    </row>
    <row r="19" spans="1:12" s="14" customFormat="1" ht="19.95" customHeight="1">
      <c r="A19" s="78"/>
      <c r="B19" s="34"/>
      <c r="C19" s="35"/>
      <c r="D19" s="34"/>
      <c r="E19" s="34"/>
      <c r="F19" s="34"/>
      <c r="G19" s="36"/>
      <c r="H19" s="36"/>
      <c r="I19" s="24"/>
      <c r="J19" s="36"/>
      <c r="K19" s="36"/>
      <c r="L19" s="36"/>
    </row>
    <row r="20" spans="1:12" s="14" customFormat="1" ht="19.95" customHeight="1">
      <c r="A20" s="78"/>
      <c r="B20" s="34"/>
      <c r="C20" s="35"/>
      <c r="D20" s="34"/>
      <c r="E20" s="34"/>
      <c r="F20" s="34"/>
      <c r="G20" s="36"/>
      <c r="H20" s="36"/>
      <c r="I20" s="24"/>
      <c r="J20" s="36"/>
      <c r="K20" s="36"/>
      <c r="L20" s="36"/>
    </row>
    <row r="21" spans="1:12" s="14" customFormat="1" ht="19.95" customHeight="1">
      <c r="A21" s="78"/>
      <c r="B21" s="34"/>
      <c r="C21" s="35"/>
      <c r="D21" s="34"/>
      <c r="E21" s="34"/>
      <c r="F21" s="34"/>
      <c r="G21" s="36"/>
      <c r="H21" s="36"/>
      <c r="I21" s="24"/>
      <c r="J21" s="36"/>
      <c r="K21" s="36"/>
      <c r="L21" s="36"/>
    </row>
    <row r="22" spans="1:12" s="14" customFormat="1" ht="19.95" customHeight="1">
      <c r="A22" s="78"/>
      <c r="B22" s="34"/>
      <c r="C22" s="35"/>
      <c r="D22" s="34"/>
      <c r="E22" s="34"/>
      <c r="F22" s="34"/>
      <c r="G22" s="36"/>
      <c r="H22" s="36"/>
      <c r="I22" s="24"/>
      <c r="J22" s="36"/>
      <c r="K22" s="36"/>
      <c r="L22" s="36"/>
    </row>
    <row r="23" spans="1:12" s="14" customFormat="1" ht="19.95" customHeight="1">
      <c r="A23" s="78"/>
      <c r="B23" s="34"/>
      <c r="C23" s="35"/>
      <c r="D23" s="34"/>
      <c r="E23" s="34"/>
      <c r="F23" s="34"/>
      <c r="G23" s="36"/>
      <c r="H23" s="36"/>
      <c r="I23" s="24"/>
      <c r="J23" s="36"/>
      <c r="K23" s="36"/>
      <c r="L23" s="36"/>
    </row>
    <row r="24" spans="1:12" s="14" customFormat="1" ht="19.95" customHeight="1">
      <c r="A24" s="201"/>
      <c r="B24" s="34"/>
      <c r="C24" s="35"/>
      <c r="D24" s="34"/>
      <c r="E24" s="34"/>
      <c r="F24" s="34"/>
      <c r="G24" s="36"/>
      <c r="H24" s="36"/>
      <c r="I24" s="24"/>
      <c r="J24" s="36"/>
      <c r="K24" s="36"/>
      <c r="L24" s="36"/>
    </row>
    <row r="25" spans="1:12" s="14" customFormat="1" ht="19.95" customHeight="1">
      <c r="A25" s="201" t="s">
        <v>240</v>
      </c>
      <c r="B25" s="34"/>
      <c r="C25" s="35"/>
      <c r="D25" s="34"/>
      <c r="E25" s="34"/>
      <c r="F25" s="34"/>
      <c r="G25" s="36"/>
      <c r="H25" s="36"/>
      <c r="I25" s="24"/>
      <c r="J25" s="36"/>
      <c r="K25" s="36"/>
      <c r="L25" s="36"/>
    </row>
    <row r="26" spans="1:12" s="14" customFormat="1" ht="19.95" customHeight="1">
      <c r="A26" s="202" t="s">
        <v>241</v>
      </c>
      <c r="B26" s="25"/>
      <c r="C26" s="25"/>
      <c r="D26" s="25"/>
      <c r="E26" s="25"/>
      <c r="F26" s="25"/>
      <c r="G26" s="25"/>
      <c r="H26" s="203"/>
      <c r="I26" s="19"/>
      <c r="J26" s="21"/>
      <c r="K26" s="19"/>
      <c r="L26" s="37"/>
    </row>
    <row r="27" spans="1:12" s="14" customFormat="1" ht="19.95" customHeight="1">
      <c r="I27" s="19"/>
      <c r="J27" s="21"/>
      <c r="K27" s="19"/>
      <c r="L27" s="38"/>
    </row>
    <row r="28" spans="1:12" s="39" customFormat="1" ht="19.95" customHeight="1">
      <c r="I28" s="19"/>
      <c r="J28" s="21"/>
      <c r="K28" s="21"/>
      <c r="L28" s="40"/>
    </row>
    <row r="29" spans="1:12" s="14" customFormat="1" ht="19.95" customHeight="1">
      <c r="I29" s="27"/>
      <c r="J29" s="27"/>
      <c r="K29" s="27"/>
      <c r="L29" s="27"/>
    </row>
    <row r="30" spans="1:12" s="14" customFormat="1" ht="19.95" customHeight="1">
      <c r="I30" s="27"/>
      <c r="J30" s="27"/>
      <c r="K30" s="27"/>
      <c r="L30" s="27"/>
    </row>
    <row r="31" spans="1:12" s="14" customFormat="1" ht="19.95" customHeight="1">
      <c r="A31" s="39" t="s">
        <v>242</v>
      </c>
      <c r="H31" s="160"/>
      <c r="I31" s="27"/>
      <c r="J31" s="27"/>
      <c r="K31" s="27"/>
      <c r="L31" s="27"/>
    </row>
    <row r="32" spans="1:12" s="14" customFormat="1" ht="19.95" customHeight="1">
      <c r="I32" s="27"/>
      <c r="J32" s="27"/>
      <c r="K32" s="27"/>
      <c r="L32" s="27"/>
    </row>
    <row r="33" spans="1:12" s="14" customFormat="1" ht="18" customHeight="1">
      <c r="A33" s="38"/>
      <c r="C33" s="27"/>
      <c r="D33" s="27"/>
      <c r="E33" s="27"/>
      <c r="F33" s="27"/>
      <c r="G33" s="27"/>
      <c r="H33" s="27"/>
      <c r="I33" s="27"/>
      <c r="J33" s="27"/>
      <c r="K33" s="27"/>
      <c r="L33" s="27"/>
    </row>
    <row r="34" spans="1:12" s="14" customFormat="1" ht="18" customHeight="1">
      <c r="A34" s="38"/>
      <c r="C34" s="27"/>
      <c r="D34" s="27"/>
      <c r="E34" s="27"/>
      <c r="F34" s="27"/>
      <c r="G34" s="27"/>
      <c r="H34" s="27"/>
      <c r="I34" s="27"/>
      <c r="J34" s="27"/>
      <c r="K34" s="27"/>
      <c r="L34" s="27"/>
    </row>
    <row r="35" spans="1:12" s="14" customFormat="1" ht="18" customHeight="1">
      <c r="A35" s="41"/>
    </row>
    <row r="36" spans="1:12" ht="18" customHeight="1">
      <c r="A36" s="42"/>
      <c r="B36" s="42"/>
    </row>
    <row r="37" spans="1:12" ht="18" customHeight="1">
      <c r="A37" s="44"/>
      <c r="B37" s="44"/>
    </row>
    <row r="38" spans="1:12" ht="18" customHeight="1">
      <c r="A38" s="45"/>
      <c r="B38" s="44"/>
    </row>
    <row r="39" spans="1:12" ht="18" customHeight="1">
      <c r="A39" s="46"/>
      <c r="B39" s="47"/>
    </row>
    <row r="40" spans="1:12" ht="18" customHeight="1">
      <c r="A40" s="46"/>
      <c r="B40" s="47"/>
    </row>
    <row r="41" spans="1:12" ht="18" customHeight="1">
      <c r="A41" s="46"/>
      <c r="B41" s="47"/>
    </row>
  </sheetData>
  <mergeCells count="7">
    <mergeCell ref="K13:K14"/>
    <mergeCell ref="L13:L14"/>
    <mergeCell ref="A1:L1"/>
    <mergeCell ref="A2:L2"/>
    <mergeCell ref="A13:F13"/>
    <mergeCell ref="G13:I13"/>
    <mergeCell ref="J13:J14"/>
  </mergeCells>
  <phoneticPr fontId="18" type="noConversion"/>
  <dataValidations count="2">
    <dataValidation type="list" allowBlank="1" showInputMessage="1" showErrorMessage="1" sqref="I15:I25">
      <formula1>"√,X"</formula1>
    </dataValidation>
    <dataValidation type="list" allowBlank="1" showInputMessage="1" showErrorMessage="1" sqref="C31">
      <formula1>"A：未见异常，可以确认。,B：经审计调整可以确认。,C：由于存在上述重大未调整事项（或审计范围受到限制无法获取充分、适当证据），不可确认。"</formula1>
    </dataValidation>
  </dataValidations>
  <printOptions horizontalCentered="1"/>
  <pageMargins left="0.70866141732283472" right="0.70866141732283472" top="0.74803149606299213" bottom="0.74803149606299213" header="0.31496062992125984" footer="0.31496062992125984"/>
  <pageSetup paperSize="9" scale="72" orientation="landscape" blackAndWhite="1" r:id="rId1"/>
  <headerFooter alignWithMargins="0">
    <oddFooter>&amp;C&amp;P/&amp;N</oddFooter>
  </headerFooter>
  <ignoredErrors>
    <ignoredError sqref="A3:H4"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10</vt:i4>
      </vt:variant>
    </vt:vector>
  </HeadingPairs>
  <TitlesOfParts>
    <vt:vector size="21" baseType="lpstr">
      <vt:lpstr>底稿目录</vt:lpstr>
      <vt:lpstr>一般风险准备实质性程序表 M8A </vt:lpstr>
      <vt:lpstr>一般风险准备实质性程序表 Q8A  (修订前)</vt:lpstr>
      <vt:lpstr>审定表M8-1</vt:lpstr>
      <vt:lpstr>附注披露信息（上市公司）</vt:lpstr>
      <vt:lpstr>附注披露信息（国有企业）</vt:lpstr>
      <vt:lpstr>明细表M8-2</vt:lpstr>
      <vt:lpstr>调整分录汇总M8-3</vt:lpstr>
      <vt:lpstr>一般风险准备测试表M8-4</vt:lpstr>
      <vt:lpstr>针对性测试M8-5-删除</vt:lpstr>
      <vt:lpstr>GT_Custom</vt:lpstr>
      <vt:lpstr>'调整分录汇总M8-3'!Print_Area</vt:lpstr>
      <vt:lpstr>'附注披露信息（上市公司）'!Print_Area</vt:lpstr>
      <vt:lpstr>'明细表M8-2'!Print_Area</vt:lpstr>
      <vt:lpstr>'审定表M8-1'!Print_Area</vt:lpstr>
      <vt:lpstr>'一般风险准备测试表M8-4'!Print_Area</vt:lpstr>
      <vt:lpstr>'一般风险准备实质性程序表 M8A '!Print_Area</vt:lpstr>
      <vt:lpstr>'一般风险准备实质性程序表 Q8A  (修订前)'!Print_Area</vt:lpstr>
      <vt:lpstr>'针对性测试M8-5-删除'!Print_Area</vt:lpstr>
      <vt:lpstr>'一般风险准备实质性程序表 M8A '!Print_Titles</vt:lpstr>
      <vt:lpstr>'一般风险准备实质性程序表 Q8A  (修订前)'!Print_Titles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2025-10-23T02:46:49Z</cp:lastPrinted>
  <dcterms:created xsi:type="dcterms:W3CDTF">2007-05-20T08:51:05Z</dcterms:created>
  <dcterms:modified xsi:type="dcterms:W3CDTF">2025-11-05T08:30:00Z</dcterms:modified>
</cp:coreProperties>
</file>