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D:\5.底稿模板\2025年底稿修订\1.已修订底稿\2025年底稿模板-10.31\M 权益循环\"/>
    </mc:Choice>
  </mc:AlternateContent>
  <bookViews>
    <workbookView xWindow="-108" yWindow="-108" windowWidth="23256" windowHeight="12576" tabRatio="836"/>
  </bookViews>
  <sheets>
    <sheet name="底稿目录" sheetId="1" r:id="rId1"/>
    <sheet name=" 实收资本实质性程序表 M2A" sheetId="23" r:id="rId2"/>
    <sheet name="审定表M2-1" sheetId="15" r:id="rId3"/>
    <sheet name="附注披露信息（上市公司）" sheetId="17" r:id="rId4"/>
    <sheet name="附注披露信息（国有企业）" sheetId="19" r:id="rId5"/>
    <sheet name="明细表（上市公司）M2-2" sheetId="22" r:id="rId6"/>
    <sheet name="明细表（非上市公司）M2-2" sheetId="21" r:id="rId7"/>
    <sheet name="调整分录汇总M2-3" sheetId="24" r:id="rId8"/>
    <sheet name="外币投资汇率测算表M2-4" sheetId="20" r:id="rId9"/>
    <sheet name="实收资本（股本）检查表M2-5" sheetId="16" r:id="rId10"/>
    <sheet name="GT_Custom" sheetId="18" state="hidden" r:id="rId11"/>
  </sheets>
  <definedNames>
    <definedName name="_xlnm._FilterDatabase" localSheetId="1" hidden="1">' 实收资本实质性程序表 M2A'!$A$15:$I$15</definedName>
    <definedName name="AFV" localSheetId="1" hidden="1">#REF!</definedName>
    <definedName name="AFV" hidden="1">#REF!</definedName>
    <definedName name="AS2DocOpenMode" hidden="1">"AS2DocumentEdit"</definedName>
    <definedName name="bs" hidden="1">{#N/A,#N/A,FALSE,"BBPREP"}</definedName>
    <definedName name="bs_1" hidden="1">{#N/A,#N/A,FALSE,"BBPREP"}</definedName>
    <definedName name="CCD" localSheetId="1" hidden="1">#REF!</definedName>
    <definedName name="CCD" hidden="1">#REF!</definedName>
    <definedName name="CDE" localSheetId="1" hidden="1">#REF!</definedName>
    <definedName name="CDE" hidden="1">#REF!</definedName>
    <definedName name="DEX" localSheetId="1" hidden="1">#REF!</definedName>
    <definedName name="DEX" hidden="1">#REF!</definedName>
    <definedName name="EDC" localSheetId="1" hidden="1">#REF!</definedName>
    <definedName name="EDC" hidden="1">#REF!</definedName>
    <definedName name="FASD" localSheetId="1" hidden="1">#REF!</definedName>
    <definedName name="FASD" hidden="1">#REF!</definedName>
    <definedName name="_xlnm.Print_Area" localSheetId="1">' 实收资本实质性程序表 M2A'!$A$1:$I$29</definedName>
    <definedName name="_xlnm.Print_Area" localSheetId="7">'调整分录汇总M2-3'!$A$1:$J$20</definedName>
    <definedName name="_xlnm.Print_Area" localSheetId="4">'附注披露信息（国有企业）'!$A$1:$G$20</definedName>
    <definedName name="_xlnm.Print_Area" localSheetId="3">'附注披露信息（上市公司）'!$A$1:$H$15</definedName>
    <definedName name="_xlnm.Print_Area" localSheetId="6">'明细表（非上市公司）M2-2'!$A$1:$X$30</definedName>
    <definedName name="_xlnm.Print_Area" localSheetId="5">'明细表（上市公司）M2-2'!$A$1:$AJ$30</definedName>
    <definedName name="_xlnm.Print_Area" localSheetId="2">'审定表M2-1'!$A$1:$L$26</definedName>
    <definedName name="_xlnm.Print_Area" localSheetId="9">'实收资本（股本）检查表M2-5'!$A$1:$P$24</definedName>
    <definedName name="_xlnm.Print_Area" localSheetId="8">'外币投资汇率测算表M2-4'!$A$1:$G$20</definedName>
    <definedName name="_xlnm.Print_Titles" localSheetId="1">' 实收资本实质性程序表 M2A'!$15:$15</definedName>
    <definedName name="RDES" localSheetId="1" hidden="1">#REF!</definedName>
    <definedName name="RDES" hidden="1">#REF!</definedName>
    <definedName name="TextRefCopyRangeCount" hidden="1">136</definedName>
    <definedName name="VFE" localSheetId="1" hidden="1">#REF!</definedName>
    <definedName name="VFE" hidden="1">#REF!</definedName>
    <definedName name="XAP" localSheetId="1" hidden="1">#REF!</definedName>
    <definedName name="XAP" hidden="1">#REF!</definedName>
    <definedName name="XAQ" localSheetId="1" hidden="1">#REF!</definedName>
    <definedName name="XAQ" hidden="1">#REF!</definedName>
    <definedName name="XCD" localSheetId="1" hidden="1">#REF!</definedName>
    <definedName name="XCD" hidden="1">#REF!</definedName>
    <definedName name="XREF_COLUMN_1" localSheetId="1" hidden="1">#REF!</definedName>
    <definedName name="XREF_COLUMN_1" hidden="1">#REF!</definedName>
    <definedName name="XREF_COLUMN_3" localSheetId="1" hidden="1">#REF!</definedName>
    <definedName name="XREF_COLUMN_3" hidden="1">#REF!</definedName>
    <definedName name="XRefActiveRow" localSheetId="1" hidden="1">#REF!</definedName>
    <definedName name="XRefActiveRow" hidden="1">#REF!</definedName>
    <definedName name="XRefColumnsCount" hidden="1">2</definedName>
    <definedName name="XRefCopy1" localSheetId="1" hidden="1">#REF!</definedName>
    <definedName name="XRefCopy1" hidden="1">#REF!</definedName>
    <definedName name="XRefCopy1Row" localSheetId="1" hidden="1">#REF!</definedName>
    <definedName name="XRefCopy1Row" hidden="1">#REF!</definedName>
    <definedName name="XRefCopy2Row" localSheetId="1" hidden="1">#REF!</definedName>
    <definedName name="XRefCopy2Row" hidden="1">#REF!</definedName>
    <definedName name="XRefCopyRangeCount" hidden="1">2</definedName>
    <definedName name="XRefPaste1" localSheetId="1" hidden="1">#REF!</definedName>
    <definedName name="XRefPaste1" hidden="1">#REF!</definedName>
    <definedName name="XRefPaste1Row" localSheetId="1" hidden="1">#REF!</definedName>
    <definedName name="XRefPaste1Row" hidden="1">#REF!</definedName>
    <definedName name="XRefPaste2" localSheetId="1" hidden="1">#REF!</definedName>
    <definedName name="XRefPaste2" hidden="1">#REF!</definedName>
    <definedName name="XRefPaste2Row" localSheetId="1" hidden="1">#REF!</definedName>
    <definedName name="XRefPaste2Row" hidden="1">#REF!</definedName>
    <definedName name="XRefPaste3" localSheetId="1" hidden="1">#REF!</definedName>
    <definedName name="XRefPaste3" hidden="1">#REF!</definedName>
    <definedName name="XRefPaste3Row" localSheetId="1" hidden="1">#REF!</definedName>
    <definedName name="XRefPaste3Row" hidden="1">#REF!</definedName>
    <definedName name="XRefPasteRangeCount" hidden="1">2</definedName>
    <definedName name="底稿目录" localSheetId="1" hidden="1">#REF!</definedName>
    <definedName name="底稿目录" hidden="1">#REF!</definedName>
    <definedName name="新目录" localSheetId="1" hidden="1">#REF!</definedName>
    <definedName name="新目录" hidden="1">#REF!</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3" i="16" l="1"/>
  <c r="G3" i="20"/>
  <c r="J3" i="24"/>
  <c r="X3" i="21"/>
  <c r="AJ3" i="22"/>
  <c r="L3" i="15"/>
  <c r="I3" i="23"/>
  <c r="F18" i="16" l="1"/>
  <c r="G18" i="16" l="1"/>
  <c r="A4" i="23" l="1"/>
  <c r="G4" i="24" l="1"/>
  <c r="G3" i="24"/>
  <c r="D4" i="24"/>
  <c r="D3" i="24"/>
  <c r="A4" i="24"/>
  <c r="A3" i="24"/>
  <c r="H4" i="16" l="1"/>
  <c r="E4" i="20"/>
  <c r="O4" i="21"/>
  <c r="X4" i="22"/>
  <c r="E4" i="19"/>
  <c r="E4" i="17"/>
  <c r="H4" i="15"/>
  <c r="E4" i="23"/>
  <c r="E4" i="16"/>
  <c r="C4" i="20"/>
  <c r="F4" i="21"/>
  <c r="G4" i="22"/>
  <c r="C4" i="19"/>
  <c r="C4" i="17"/>
  <c r="E4" i="15"/>
  <c r="C4" i="23"/>
  <c r="E3" i="23" l="1"/>
  <c r="C3" i="23"/>
  <c r="A3" i="23"/>
  <c r="Y13" i="22"/>
  <c r="Z13" i="22" s="1"/>
  <c r="AA14" i="22"/>
  <c r="AB14" i="22"/>
  <c r="AC14" i="22"/>
  <c r="AD14" i="22"/>
  <c r="AA15" i="22"/>
  <c r="AB15" i="22"/>
  <c r="AC15" i="22"/>
  <c r="AD15" i="22"/>
  <c r="AA16" i="22"/>
  <c r="AB16" i="22"/>
  <c r="AC16" i="22"/>
  <c r="AD16" i="22"/>
  <c r="AA17" i="22"/>
  <c r="AB17" i="22"/>
  <c r="AC17" i="22"/>
  <c r="AD17" i="22"/>
  <c r="AA18" i="22"/>
  <c r="AB18" i="22"/>
  <c r="AC18" i="22"/>
  <c r="AD18" i="22"/>
  <c r="AA19" i="22"/>
  <c r="AB19" i="22"/>
  <c r="AC19" i="22"/>
  <c r="AD19" i="22"/>
  <c r="AA20" i="22"/>
  <c r="AB20" i="22"/>
  <c r="AC20" i="22"/>
  <c r="AD20" i="22"/>
  <c r="AA21" i="22"/>
  <c r="AB21" i="22"/>
  <c r="AC21" i="22"/>
  <c r="AD21" i="22"/>
  <c r="AA22" i="22"/>
  <c r="AB22" i="22"/>
  <c r="AC22" i="22"/>
  <c r="AD22" i="22"/>
  <c r="AD13" i="22"/>
  <c r="AB13" i="22"/>
  <c r="AC13" i="22"/>
  <c r="AA13" i="22"/>
  <c r="T23" i="22"/>
  <c r="U23" i="22"/>
  <c r="V23" i="22"/>
  <c r="W23" i="22"/>
  <c r="X14" i="22"/>
  <c r="X15" i="22"/>
  <c r="X16" i="22"/>
  <c r="X17" i="22"/>
  <c r="X18" i="22"/>
  <c r="X19" i="22"/>
  <c r="X20" i="22"/>
  <c r="X21" i="22"/>
  <c r="X22" i="22"/>
  <c r="X13" i="22"/>
  <c r="P23" i="22"/>
  <c r="Q23" i="22"/>
  <c r="R23" i="22"/>
  <c r="S14" i="22"/>
  <c r="S15" i="22"/>
  <c r="S16" i="22"/>
  <c r="S17" i="22"/>
  <c r="S18" i="22"/>
  <c r="S19" i="22"/>
  <c r="S20" i="22"/>
  <c r="S21" i="22"/>
  <c r="S22" i="22"/>
  <c r="S13" i="22"/>
  <c r="F23" i="22"/>
  <c r="G23" i="22"/>
  <c r="H23" i="22"/>
  <c r="I23" i="22"/>
  <c r="J14" i="22"/>
  <c r="K14" i="22" s="1"/>
  <c r="L14" i="22" s="1"/>
  <c r="J15" i="22"/>
  <c r="K15" i="22" s="1"/>
  <c r="J16" i="22"/>
  <c r="K16" i="22" s="1"/>
  <c r="L16" i="22" s="1"/>
  <c r="J17" i="22"/>
  <c r="K17" i="22" s="1"/>
  <c r="L17" i="22" s="1"/>
  <c r="J18" i="22"/>
  <c r="K18" i="22" s="1"/>
  <c r="L18" i="22" s="1"/>
  <c r="J19" i="22"/>
  <c r="K19" i="22" s="1"/>
  <c r="L19" i="22" s="1"/>
  <c r="J20" i="22"/>
  <c r="K20" i="22" s="1"/>
  <c r="L20" i="22" s="1"/>
  <c r="J21" i="22"/>
  <c r="J22" i="22"/>
  <c r="K22" i="22" s="1"/>
  <c r="L22" i="22" s="1"/>
  <c r="J13" i="22"/>
  <c r="K13" i="22" s="1"/>
  <c r="D13" i="21"/>
  <c r="H13" i="21"/>
  <c r="I13" i="21" s="1"/>
  <c r="P13" i="21"/>
  <c r="Q13" i="21" s="1"/>
  <c r="R13" i="21"/>
  <c r="S13" i="21"/>
  <c r="D14" i="21"/>
  <c r="H14" i="21"/>
  <c r="I14" i="21" s="1"/>
  <c r="P14" i="21"/>
  <c r="Q14" i="21" s="1"/>
  <c r="R14" i="21"/>
  <c r="S14" i="21"/>
  <c r="D15" i="21"/>
  <c r="H15" i="21"/>
  <c r="I15" i="21" s="1"/>
  <c r="P15" i="21"/>
  <c r="Q15" i="21" s="1"/>
  <c r="R15" i="21"/>
  <c r="S15" i="21"/>
  <c r="D16" i="21"/>
  <c r="H16" i="21"/>
  <c r="I16" i="21" s="1"/>
  <c r="P16" i="21"/>
  <c r="R16" i="21"/>
  <c r="S16" i="21"/>
  <c r="D17" i="21"/>
  <c r="H17" i="21"/>
  <c r="I17" i="21" s="1"/>
  <c r="P17" i="21"/>
  <c r="Q17" i="21" s="1"/>
  <c r="R17" i="21"/>
  <c r="S17" i="21"/>
  <c r="D18" i="21"/>
  <c r="H18" i="21"/>
  <c r="I18" i="21" s="1"/>
  <c r="P18" i="21"/>
  <c r="Q18" i="21" s="1"/>
  <c r="R18" i="21"/>
  <c r="S18" i="21"/>
  <c r="D19" i="21"/>
  <c r="H19" i="21"/>
  <c r="I19" i="21" s="1"/>
  <c r="P19" i="21"/>
  <c r="Q19" i="21" s="1"/>
  <c r="R19" i="21"/>
  <c r="S19" i="21"/>
  <c r="D20" i="21"/>
  <c r="H20" i="21"/>
  <c r="I20" i="21" s="1"/>
  <c r="P20" i="21"/>
  <c r="R20" i="21"/>
  <c r="S20" i="21"/>
  <c r="D21" i="21"/>
  <c r="H21" i="21"/>
  <c r="I21" i="21" s="1"/>
  <c r="P21" i="21"/>
  <c r="Q21" i="21" s="1"/>
  <c r="R21" i="21"/>
  <c r="S21" i="21"/>
  <c r="D22" i="21"/>
  <c r="H22" i="21"/>
  <c r="I22" i="21" s="1"/>
  <c r="P22" i="21"/>
  <c r="Q22" i="21" s="1"/>
  <c r="R22" i="21"/>
  <c r="S22" i="21"/>
  <c r="C23" i="21"/>
  <c r="E23" i="21"/>
  <c r="G23" i="21"/>
  <c r="J23" i="21"/>
  <c r="K23" i="21"/>
  <c r="L23" i="21"/>
  <c r="M23" i="21"/>
  <c r="N23" i="21"/>
  <c r="O23" i="21"/>
  <c r="O23" i="22"/>
  <c r="N23" i="22"/>
  <c r="M23" i="22"/>
  <c r="D23" i="22"/>
  <c r="Y22" i="22"/>
  <c r="Z22" i="22" s="1"/>
  <c r="E22" i="22"/>
  <c r="Y21" i="22"/>
  <c r="E21" i="22"/>
  <c r="Y20" i="22"/>
  <c r="Z20" i="22" s="1"/>
  <c r="E20" i="22"/>
  <c r="Y19" i="22"/>
  <c r="Z19" i="22" s="1"/>
  <c r="E19" i="22"/>
  <c r="Y18" i="22"/>
  <c r="Z18" i="22" s="1"/>
  <c r="E18" i="22"/>
  <c r="Y17" i="22"/>
  <c r="E17" i="22"/>
  <c r="Y16" i="22"/>
  <c r="Z16" i="22" s="1"/>
  <c r="E16" i="22"/>
  <c r="Y15" i="22"/>
  <c r="Z15" i="22" s="1"/>
  <c r="E15" i="22"/>
  <c r="Y14" i="22"/>
  <c r="Z14" i="22" s="1"/>
  <c r="E14" i="22"/>
  <c r="E13" i="22"/>
  <c r="A4" i="22"/>
  <c r="X3" i="22"/>
  <c r="G3" i="22"/>
  <c r="A3" i="22"/>
  <c r="AB23" i="22" l="1"/>
  <c r="D8" i="17" s="1"/>
  <c r="AC23" i="22"/>
  <c r="E8" i="17" s="1"/>
  <c r="AD23" i="22"/>
  <c r="F8" i="17" s="1"/>
  <c r="S23" i="22"/>
  <c r="T13" i="21"/>
  <c r="U13" i="21" s="1"/>
  <c r="S23" i="21"/>
  <c r="T17" i="21"/>
  <c r="U17" i="21" s="1"/>
  <c r="P23" i="21"/>
  <c r="T21" i="21"/>
  <c r="U21" i="21" s="1"/>
  <c r="Z17" i="22"/>
  <c r="AE17" i="22"/>
  <c r="AF17" i="22" s="1"/>
  <c r="AG17" i="22" s="1"/>
  <c r="AE15" i="22"/>
  <c r="AF15" i="22" s="1"/>
  <c r="AG15" i="22" s="1"/>
  <c r="AE14" i="22"/>
  <c r="AF14" i="22" s="1"/>
  <c r="AG14" i="22" s="1"/>
  <c r="AE21" i="22"/>
  <c r="AF21" i="22" s="1"/>
  <c r="AG21" i="22" s="1"/>
  <c r="Z21" i="22"/>
  <c r="AA23" i="22"/>
  <c r="H23" i="21"/>
  <c r="R23" i="21"/>
  <c r="T22" i="21"/>
  <c r="U22" i="21" s="1"/>
  <c r="T19" i="21"/>
  <c r="U19" i="21" s="1"/>
  <c r="T18" i="21"/>
  <c r="U18" i="21" s="1"/>
  <c r="T15" i="21"/>
  <c r="U15" i="21" s="1"/>
  <c r="T14" i="21"/>
  <c r="U14" i="21" s="1"/>
  <c r="D23" i="21"/>
  <c r="T20" i="21"/>
  <c r="U20" i="21" s="1"/>
  <c r="T16" i="21"/>
  <c r="U16" i="21" s="1"/>
  <c r="G11" i="19" s="1"/>
  <c r="J23" i="22"/>
  <c r="AE16" i="22"/>
  <c r="AF16" i="22" s="1"/>
  <c r="AG16" i="22" s="1"/>
  <c r="X23" i="22"/>
  <c r="Y23" i="22"/>
  <c r="B8" i="17" s="1"/>
  <c r="AE13" i="22"/>
  <c r="E23" i="22"/>
  <c r="AE22" i="22"/>
  <c r="AF22" i="22" s="1"/>
  <c r="AG22" i="22" s="1"/>
  <c r="AE20" i="22"/>
  <c r="AF20" i="22" s="1"/>
  <c r="AG20" i="22" s="1"/>
  <c r="AE19" i="22"/>
  <c r="AF19" i="22" s="1"/>
  <c r="AG19" i="22" s="1"/>
  <c r="AE18" i="22"/>
  <c r="AF18" i="22" s="1"/>
  <c r="AG18" i="22" s="1"/>
  <c r="K21" i="22"/>
  <c r="L21" i="22" s="1"/>
  <c r="I23" i="21"/>
  <c r="Q20" i="21"/>
  <c r="Q16" i="21"/>
  <c r="L15" i="22"/>
  <c r="L13" i="22"/>
  <c r="A9" i="19"/>
  <c r="A10" i="19"/>
  <c r="A11" i="19"/>
  <c r="A12" i="19"/>
  <c r="A13" i="19"/>
  <c r="A14" i="19"/>
  <c r="A15" i="19"/>
  <c r="A16" i="19"/>
  <c r="A17" i="19"/>
  <c r="A8" i="19"/>
  <c r="C8" i="17" l="1"/>
  <c r="G19" i="16"/>
  <c r="G20" i="16" s="1"/>
  <c r="Z23" i="22"/>
  <c r="U23" i="21"/>
  <c r="T23" i="21"/>
  <c r="K23" i="22"/>
  <c r="Q23" i="21"/>
  <c r="AE23" i="22"/>
  <c r="G8" i="17" s="1"/>
  <c r="AF13" i="22"/>
  <c r="L23" i="22"/>
  <c r="H3" i="16"/>
  <c r="O3" i="21"/>
  <c r="AF23" i="22" l="1"/>
  <c r="H8" i="17" s="1"/>
  <c r="G8" i="15"/>
  <c r="H8" i="15"/>
  <c r="G9" i="15"/>
  <c r="H9" i="15"/>
  <c r="G10" i="15"/>
  <c r="H10" i="15"/>
  <c r="G11" i="15"/>
  <c r="H11" i="15"/>
  <c r="G12" i="15"/>
  <c r="H12" i="15"/>
  <c r="G13" i="15"/>
  <c r="H13" i="15"/>
  <c r="G14" i="15"/>
  <c r="H14" i="15"/>
  <c r="G15" i="15"/>
  <c r="H15" i="15"/>
  <c r="G16" i="15"/>
  <c r="H16" i="15"/>
  <c r="H7" i="15"/>
  <c r="G7" i="15"/>
  <c r="D11" i="15"/>
  <c r="B8" i="15"/>
  <c r="C8" i="15"/>
  <c r="D8" i="15"/>
  <c r="B9" i="15"/>
  <c r="C9" i="15"/>
  <c r="D9" i="15"/>
  <c r="B10" i="15"/>
  <c r="C10" i="15"/>
  <c r="D10" i="15"/>
  <c r="B11" i="15"/>
  <c r="C11" i="15"/>
  <c r="B12" i="15"/>
  <c r="C12" i="15"/>
  <c r="D12" i="15"/>
  <c r="B13" i="15"/>
  <c r="C13" i="15"/>
  <c r="D13" i="15"/>
  <c r="B14" i="15"/>
  <c r="C14" i="15"/>
  <c r="D14" i="15"/>
  <c r="B15" i="15"/>
  <c r="C15" i="15"/>
  <c r="D15" i="15"/>
  <c r="B16" i="15"/>
  <c r="C16" i="15"/>
  <c r="D16" i="15"/>
  <c r="D7" i="15"/>
  <c r="C7" i="15"/>
  <c r="B7" i="15"/>
  <c r="A8" i="15"/>
  <c r="A9" i="15"/>
  <c r="A10" i="15"/>
  <c r="A11" i="15"/>
  <c r="A12" i="15"/>
  <c r="A13" i="15"/>
  <c r="A14" i="15"/>
  <c r="A15" i="15"/>
  <c r="A16" i="15"/>
  <c r="A7" i="15"/>
  <c r="AG13" i="22" l="1"/>
  <c r="AG23" i="22" s="1"/>
  <c r="H17" i="15"/>
  <c r="E8" i="19"/>
  <c r="D8" i="19"/>
  <c r="B8" i="19"/>
  <c r="E7" i="15" l="1"/>
  <c r="E17" i="19" l="1"/>
  <c r="D17" i="19"/>
  <c r="B17" i="19"/>
  <c r="E16" i="19"/>
  <c r="D16" i="19"/>
  <c r="B16" i="19"/>
  <c r="E15" i="19"/>
  <c r="D15" i="19"/>
  <c r="B15" i="19"/>
  <c r="E14" i="19"/>
  <c r="D14" i="19"/>
  <c r="B14" i="19"/>
  <c r="E13" i="19"/>
  <c r="D13" i="19"/>
  <c r="B13" i="19"/>
  <c r="E12" i="19"/>
  <c r="D12" i="19"/>
  <c r="B12" i="19"/>
  <c r="E11" i="19"/>
  <c r="D11" i="19"/>
  <c r="B11" i="19"/>
  <c r="E10" i="19"/>
  <c r="D10" i="19"/>
  <c r="B10" i="19"/>
  <c r="E9" i="19"/>
  <c r="D9" i="19"/>
  <c r="B9" i="19"/>
  <c r="F7" i="15"/>
  <c r="A4" i="21"/>
  <c r="F3" i="21"/>
  <c r="A3" i="21"/>
  <c r="C17" i="15"/>
  <c r="D17" i="15"/>
  <c r="G17" i="15"/>
  <c r="B17" i="15"/>
  <c r="E18" i="19" l="1"/>
  <c r="D18" i="19"/>
  <c r="B18" i="19"/>
  <c r="F8" i="15"/>
  <c r="F9" i="15"/>
  <c r="F10" i="15"/>
  <c r="F11" i="15"/>
  <c r="F12" i="15"/>
  <c r="F13" i="15"/>
  <c r="F14" i="15"/>
  <c r="F15" i="15"/>
  <c r="F16" i="15"/>
  <c r="E8" i="15"/>
  <c r="C10" i="19"/>
  <c r="E9" i="15"/>
  <c r="E10" i="15"/>
  <c r="C11" i="19"/>
  <c r="C13" i="19"/>
  <c r="E12" i="15"/>
  <c r="E13" i="15"/>
  <c r="C14" i="19"/>
  <c r="C15" i="19"/>
  <c r="E14" i="15"/>
  <c r="C16" i="19"/>
  <c r="E15" i="15"/>
  <c r="C17" i="19"/>
  <c r="E16" i="15"/>
  <c r="E11" i="15"/>
  <c r="C12" i="19"/>
  <c r="F9" i="19"/>
  <c r="F16" i="20"/>
  <c r="C16" i="20"/>
  <c r="E11" i="20"/>
  <c r="G11" i="20" s="1"/>
  <c r="E12" i="20"/>
  <c r="G12" i="20" s="1"/>
  <c r="E13" i="20"/>
  <c r="G13" i="20" s="1"/>
  <c r="E14" i="20"/>
  <c r="G14" i="20" s="1"/>
  <c r="E15" i="20"/>
  <c r="G15" i="20" s="1"/>
  <c r="E10" i="20"/>
  <c r="G10" i="20" s="1"/>
  <c r="F13" i="19" l="1"/>
  <c r="F14" i="19"/>
  <c r="F17" i="19"/>
  <c r="F12" i="19"/>
  <c r="F16" i="19"/>
  <c r="G9" i="19"/>
  <c r="F11" i="19"/>
  <c r="F10" i="19"/>
  <c r="F15" i="19"/>
  <c r="C8" i="19"/>
  <c r="G8" i="19"/>
  <c r="C9" i="19"/>
  <c r="I7" i="15"/>
  <c r="J7" i="15" s="1"/>
  <c r="K7" i="15" s="1"/>
  <c r="F8" i="19"/>
  <c r="F17" i="15"/>
  <c r="I13" i="15"/>
  <c r="J13" i="15" s="1"/>
  <c r="K13" i="15" s="1"/>
  <c r="G14" i="19"/>
  <c r="I16" i="15"/>
  <c r="J16" i="15" s="1"/>
  <c r="K16" i="15" s="1"/>
  <c r="G17" i="19"/>
  <c r="G12" i="19"/>
  <c r="I11" i="15"/>
  <c r="J11" i="15" s="1"/>
  <c r="K11" i="15" s="1"/>
  <c r="G16" i="19"/>
  <c r="I15" i="15"/>
  <c r="J15" i="15" s="1"/>
  <c r="K15" i="15" s="1"/>
  <c r="I10" i="15"/>
  <c r="J10" i="15" s="1"/>
  <c r="K10" i="15" s="1"/>
  <c r="G10" i="19"/>
  <c r="I9" i="15"/>
  <c r="J9" i="15" s="1"/>
  <c r="K9" i="15" s="1"/>
  <c r="G15" i="19"/>
  <c r="I14" i="15"/>
  <c r="J14" i="15" s="1"/>
  <c r="K14" i="15" s="1"/>
  <c r="I12" i="15"/>
  <c r="J12" i="15" s="1"/>
  <c r="K12" i="15" s="1"/>
  <c r="G13" i="19"/>
  <c r="I8" i="15"/>
  <c r="J8" i="15" s="1"/>
  <c r="K8" i="15" s="1"/>
  <c r="E17" i="15"/>
  <c r="E19" i="15" s="1"/>
  <c r="E16" i="20"/>
  <c r="G16" i="20"/>
  <c r="A4" i="20"/>
  <c r="E3" i="20"/>
  <c r="C3" i="20"/>
  <c r="A3" i="20"/>
  <c r="C18" i="19" l="1"/>
  <c r="F18" i="19"/>
  <c r="G18" i="19"/>
  <c r="I17" i="15"/>
  <c r="A4" i="19"/>
  <c r="E3" i="19"/>
  <c r="C3" i="19"/>
  <c r="A3" i="19"/>
  <c r="A4" i="16"/>
  <c r="E3" i="16"/>
  <c r="A3" i="16"/>
  <c r="A4" i="17"/>
  <c r="E3" i="17"/>
  <c r="C3" i="17"/>
  <c r="A3" i="17"/>
  <c r="H3" i="15"/>
  <c r="E3" i="15"/>
  <c r="A4" i="15"/>
  <c r="A3" i="15"/>
  <c r="J17" i="15" l="1"/>
  <c r="K17" i="15" s="1"/>
  <c r="I19" i="15"/>
</calcChain>
</file>

<file path=xl/comments1.xml><?xml version="1.0" encoding="utf-8"?>
<comments xmlns="http://schemas.openxmlformats.org/spreadsheetml/2006/main">
  <authors>
    <author>何先琴</author>
  </authors>
  <commentList>
    <comment ref="B15" authorId="0" shapeId="0">
      <text>
        <r>
          <rPr>
            <b/>
            <sz val="9"/>
            <color indexed="81"/>
            <rFont val="宋体"/>
            <family val="3"/>
            <charset val="134"/>
          </rPr>
          <t>专业技术部:</t>
        </r>
        <r>
          <rPr>
            <sz val="9"/>
            <color indexed="81"/>
            <rFont val="宋体"/>
            <family val="3"/>
            <charset val="134"/>
          </rPr>
          <t xml:space="preserve">
根据被审计单位实际情况和风险评估情况裁剪、修改或增加审计程序</t>
        </r>
      </text>
    </comment>
  </commentList>
</comments>
</file>

<file path=xl/comments2.xml><?xml version="1.0" encoding="utf-8"?>
<comments xmlns="http://schemas.openxmlformats.org/spreadsheetml/2006/main">
  <authors>
    <author>1</author>
  </authors>
  <commentList>
    <comment ref="E19" authorId="0" shapeId="0">
      <text>
        <r>
          <rPr>
            <b/>
            <sz val="9"/>
            <color indexed="81"/>
            <rFont val="宋体"/>
            <family val="3"/>
            <charset val="134"/>
          </rPr>
          <t>1:</t>
        </r>
        <r>
          <rPr>
            <sz val="9"/>
            <color indexed="81"/>
            <rFont val="宋体"/>
            <family val="3"/>
            <charset val="134"/>
          </rPr>
          <t xml:space="preserve">
存在差异时显示红色，同时显示数据，不存在差异显示绿色，-</t>
        </r>
      </text>
    </comment>
    <comment ref="I19" authorId="0" shapeId="0">
      <text>
        <r>
          <rPr>
            <b/>
            <sz val="9"/>
            <color indexed="81"/>
            <rFont val="宋体"/>
            <family val="3"/>
            <charset val="134"/>
          </rPr>
          <t>1:</t>
        </r>
        <r>
          <rPr>
            <sz val="9"/>
            <color indexed="81"/>
            <rFont val="宋体"/>
            <family val="3"/>
            <charset val="134"/>
          </rPr>
          <t xml:space="preserve">
存在差异时显示红色，同时显示数据，不存在差异显示绿色，-</t>
        </r>
      </text>
    </comment>
  </commentList>
</comments>
</file>

<file path=xl/comments3.xml><?xml version="1.0" encoding="utf-8"?>
<comments xmlns="http://schemas.openxmlformats.org/spreadsheetml/2006/main">
  <authors>
    <author>Windows 用户</author>
  </authors>
  <commentList>
    <comment ref="B10" authorId="0" shapeId="0">
      <text>
        <r>
          <rPr>
            <b/>
            <sz val="9"/>
            <color indexed="81"/>
            <rFont val="宋体"/>
            <family val="3"/>
            <charset val="134"/>
          </rPr>
          <t>Windows 用户:</t>
        </r>
        <r>
          <rPr>
            <sz val="9"/>
            <color indexed="81"/>
            <rFont val="宋体"/>
            <family val="3"/>
            <charset val="134"/>
          </rPr>
          <t xml:space="preserve">
可填写投资方的唯一识别编码，如被审计单位财务或业务系统中的公司编码</t>
        </r>
      </text>
    </comment>
  </commentList>
</comments>
</file>

<file path=xl/sharedStrings.xml><?xml version="1.0" encoding="utf-8"?>
<sst xmlns="http://schemas.openxmlformats.org/spreadsheetml/2006/main" count="393" uniqueCount="258">
  <si>
    <t>索引号：</t>
  </si>
  <si>
    <t>实收资本（或股本）审定表</t>
    <phoneticPr fontId="18" type="noConversion"/>
  </si>
  <si>
    <t>备注</t>
    <phoneticPr fontId="18" type="noConversion"/>
  </si>
  <si>
    <t>合计</t>
    <phoneticPr fontId="18" type="noConversion"/>
  </si>
  <si>
    <t>底稿开列时，可先在以下单元格填写有关内容，以便其他底稿引用有关数据：</t>
    <phoneticPr fontId="18" type="noConversion"/>
  </si>
  <si>
    <t>本期增加</t>
  </si>
  <si>
    <t>本期减少</t>
  </si>
  <si>
    <r>
      <t>1</t>
    </r>
    <r>
      <rPr>
        <b/>
        <sz val="10"/>
        <rFont val="宋体"/>
        <family val="3"/>
        <charset val="134"/>
      </rPr>
      <t>、审计说明</t>
    </r>
    <r>
      <rPr>
        <sz val="10"/>
        <color indexed="12"/>
        <rFont val="宋体"/>
        <family val="3"/>
        <charset val="134"/>
      </rPr>
      <t/>
    </r>
    <phoneticPr fontId="18" type="noConversion"/>
  </si>
  <si>
    <r>
      <t>（</t>
    </r>
    <r>
      <rPr>
        <sz val="10"/>
        <rFont val="Arial Narrow"/>
        <family val="2"/>
      </rPr>
      <t>1</t>
    </r>
    <r>
      <rPr>
        <sz val="10"/>
        <rFont val="宋体"/>
        <family val="3"/>
        <charset val="134"/>
      </rPr>
      <t>）期末余额较期初余额增加（负数为减少）：</t>
    </r>
    <phoneticPr fontId="18" type="noConversion"/>
  </si>
  <si>
    <r>
      <t>主要原因</t>
    </r>
    <r>
      <rPr>
        <sz val="10"/>
        <color indexed="10"/>
        <rFont val="宋体"/>
        <family val="3"/>
        <charset val="134"/>
      </rPr>
      <t>（比例超过30%的）</t>
    </r>
    <r>
      <rPr>
        <sz val="10"/>
        <rFont val="宋体"/>
        <family val="3"/>
        <charset val="134"/>
      </rPr>
      <t>：</t>
    </r>
    <phoneticPr fontId="18" type="noConversion"/>
  </si>
  <si>
    <r>
      <t>（</t>
    </r>
    <r>
      <rPr>
        <sz val="10"/>
        <rFont val="Arial Narrow"/>
        <family val="2"/>
      </rPr>
      <t>2</t>
    </r>
    <r>
      <rPr>
        <sz val="10"/>
        <rFont val="宋体"/>
        <family val="3"/>
        <charset val="134"/>
      </rPr>
      <t>）情况说明。</t>
    </r>
    <phoneticPr fontId="18" type="noConversion"/>
  </si>
  <si>
    <t>2、审计结论</t>
    <phoneticPr fontId="18" type="noConversion"/>
  </si>
  <si>
    <t xml:space="preserve">
</t>
    <phoneticPr fontId="18" type="noConversion"/>
  </si>
  <si>
    <t>送股</t>
  </si>
  <si>
    <t>其他</t>
  </si>
  <si>
    <t>小计</t>
  </si>
  <si>
    <t>股份总数</t>
  </si>
  <si>
    <t>实收资本</t>
  </si>
  <si>
    <t>投资者名称</t>
  </si>
  <si>
    <t>投资金额</t>
  </si>
  <si>
    <t>（企业所有者权益中，国家所有者权益各项目的变化数额及其变化原因（参照国有资产变动情况表）</t>
  </si>
  <si>
    <t>C1</t>
  </si>
  <si>
    <t>Custom 1</t>
  </si>
  <si>
    <t>C2</t>
  </si>
  <si>
    <t>Custom 2</t>
  </si>
  <si>
    <t>C3</t>
  </si>
  <si>
    <t>Custom 3</t>
  </si>
  <si>
    <t>C4</t>
  </si>
  <si>
    <t>Custom 4</t>
  </si>
  <si>
    <t>C5</t>
  </si>
  <si>
    <t>Custom 5</t>
  </si>
  <si>
    <t>C6</t>
  </si>
  <si>
    <t>Custom 6</t>
  </si>
  <si>
    <t>C7</t>
  </si>
  <si>
    <t>Custom 7</t>
  </si>
  <si>
    <t>C8</t>
  </si>
  <si>
    <t>Custom 8</t>
  </si>
  <si>
    <t>内容</t>
  </si>
  <si>
    <t>致同会计师事务所</t>
  </si>
  <si>
    <t>页次：</t>
  </si>
  <si>
    <t>股本（单位：万股）</t>
  </si>
  <si>
    <t>年初余额</t>
  </si>
  <si>
    <t>期末余额</t>
  </si>
  <si>
    <t>（如果报告期内有增减变动行为的，应披露执行验资的会计师事务所名称和验资报告文号。）</t>
  </si>
  <si>
    <r>
      <rPr>
        <b/>
        <sz val="10"/>
        <color indexed="8"/>
        <rFont val="宋体"/>
        <family val="3"/>
        <charset val="134"/>
      </rPr>
      <t>一、审计目标</t>
    </r>
    <r>
      <rPr>
        <b/>
        <sz val="10"/>
        <color indexed="8"/>
        <rFont val="Arial Narrow"/>
        <family val="2"/>
      </rPr>
      <t>:</t>
    </r>
    <phoneticPr fontId="21" type="noConversion"/>
  </si>
  <si>
    <r>
      <rPr>
        <b/>
        <sz val="10"/>
        <rFont val="宋体"/>
        <family val="3"/>
        <charset val="134"/>
      </rPr>
      <t>二、审计过程：</t>
    </r>
    <phoneticPr fontId="18" type="noConversion"/>
  </si>
  <si>
    <t>实收资本（股本）附注披露信息（国有企业）</t>
    <phoneticPr fontId="18" type="noConversion"/>
  </si>
  <si>
    <t>实收资本（股本）附注披露信息（上市公司）</t>
    <phoneticPr fontId="18" type="noConversion"/>
  </si>
  <si>
    <t>致同会计师事务所</t>
    <phoneticPr fontId="18" type="noConversion"/>
  </si>
  <si>
    <r>
      <rPr>
        <b/>
        <sz val="10"/>
        <rFont val="宋体"/>
        <family val="3"/>
        <charset val="134"/>
      </rPr>
      <t>项目名称</t>
    </r>
    <phoneticPr fontId="18" type="noConversion"/>
  </si>
  <si>
    <t>期初数</t>
    <phoneticPr fontId="18" type="noConversion"/>
  </si>
  <si>
    <t>期末数</t>
    <phoneticPr fontId="18" type="noConversion"/>
  </si>
  <si>
    <t>本期审定数与上期
审定数的比较</t>
    <phoneticPr fontId="18" type="noConversion"/>
  </si>
  <si>
    <t>原因分析</t>
    <phoneticPr fontId="46" type="noConversion"/>
  </si>
  <si>
    <t>未审数</t>
    <phoneticPr fontId="18" type="noConversion"/>
  </si>
  <si>
    <t>账项调整</t>
    <phoneticPr fontId="18" type="noConversion"/>
  </si>
  <si>
    <t>重分类调整</t>
    <phoneticPr fontId="18" type="noConversion"/>
  </si>
  <si>
    <t>审定数</t>
    <phoneticPr fontId="18" type="noConversion"/>
  </si>
  <si>
    <t>变动率</t>
    <phoneticPr fontId="18" type="noConversion"/>
  </si>
  <si>
    <t>变动额</t>
    <phoneticPr fontId="18" type="noConversion"/>
  </si>
  <si>
    <r>
      <rPr>
        <b/>
        <sz val="10"/>
        <color indexed="8"/>
        <rFont val="宋体"/>
        <family val="3"/>
        <charset val="134"/>
      </rPr>
      <t>本期增加</t>
    </r>
    <phoneticPr fontId="18" type="noConversion"/>
  </si>
  <si>
    <r>
      <rPr>
        <b/>
        <sz val="10"/>
        <color indexed="8"/>
        <rFont val="宋体"/>
        <family val="3"/>
        <charset val="134"/>
      </rPr>
      <t>本期减少</t>
    </r>
    <phoneticPr fontId="18" type="noConversion"/>
  </si>
  <si>
    <r>
      <rPr>
        <b/>
        <sz val="10"/>
        <rFont val="宋体"/>
        <family val="3"/>
        <charset val="134"/>
      </rPr>
      <t>比例</t>
    </r>
    <r>
      <rPr>
        <b/>
        <sz val="10"/>
        <rFont val="Arial Narrow"/>
        <family val="2"/>
      </rPr>
      <t>%</t>
    </r>
    <phoneticPr fontId="18" type="noConversion"/>
  </si>
  <si>
    <r>
      <rPr>
        <b/>
        <sz val="10"/>
        <color indexed="8"/>
        <rFont val="宋体"/>
        <family val="3"/>
        <charset val="134"/>
      </rPr>
      <t>序号</t>
    </r>
  </si>
  <si>
    <r>
      <rPr>
        <b/>
        <sz val="10"/>
        <color indexed="8"/>
        <rFont val="宋体"/>
        <family val="3"/>
        <charset val="134"/>
      </rPr>
      <t>索引号</t>
    </r>
  </si>
  <si>
    <r>
      <rPr>
        <b/>
        <sz val="10"/>
        <color indexed="8"/>
        <rFont val="宋体"/>
        <family val="3"/>
        <charset val="134"/>
      </rPr>
      <t>备注</t>
    </r>
  </si>
  <si>
    <t>附注披露信息(上市公司)</t>
    <phoneticPr fontId="49" type="noConversion"/>
  </si>
  <si>
    <t>附注披露信息(国企)</t>
    <phoneticPr fontId="49" type="noConversion"/>
  </si>
  <si>
    <t>发行新股</t>
    <phoneticPr fontId="18" type="noConversion"/>
  </si>
  <si>
    <t>公积金转股</t>
    <phoneticPr fontId="18" type="noConversion"/>
  </si>
  <si>
    <r>
      <rPr>
        <b/>
        <sz val="10"/>
        <rFont val="宋体"/>
        <family val="3"/>
        <charset val="134"/>
      </rPr>
      <t>致同会计师事务所</t>
    </r>
  </si>
  <si>
    <r>
      <rPr>
        <sz val="10"/>
        <rFont val="宋体"/>
        <family val="3"/>
        <charset val="134"/>
      </rPr>
      <t>页次：</t>
    </r>
  </si>
  <si>
    <r>
      <rPr>
        <b/>
        <sz val="10"/>
        <rFont val="宋体"/>
        <family val="3"/>
        <charset val="134"/>
      </rPr>
      <t>一、测试目标：</t>
    </r>
    <phoneticPr fontId="28" type="noConversion"/>
  </si>
  <si>
    <r>
      <rPr>
        <b/>
        <sz val="12"/>
        <rFont val="宋体"/>
        <family val="3"/>
        <charset val="134"/>
      </rPr>
      <t>致同会计师事务所</t>
    </r>
  </si>
  <si>
    <t>实收资本实质性程序</t>
    <phoneticPr fontId="18" type="noConversion"/>
  </si>
  <si>
    <r>
      <rPr>
        <sz val="10"/>
        <rFont val="宋体"/>
        <family val="3"/>
        <charset val="134"/>
      </rPr>
      <t>索引号：</t>
    </r>
  </si>
  <si>
    <t>页  次：</t>
    <phoneticPr fontId="49" type="noConversion"/>
  </si>
  <si>
    <r>
      <rPr>
        <b/>
        <sz val="10"/>
        <rFont val="宋体"/>
        <family val="3"/>
        <charset val="134"/>
      </rPr>
      <t>一、本账户涉及的科目</t>
    </r>
    <phoneticPr fontId="18" type="noConversion"/>
  </si>
  <si>
    <t>实收资本</t>
    <phoneticPr fontId="49" type="noConversion"/>
  </si>
  <si>
    <r>
      <rPr>
        <b/>
        <sz val="10"/>
        <rFont val="宋体"/>
        <family val="3"/>
        <charset val="134"/>
      </rPr>
      <t>财务报表的认定　</t>
    </r>
  </si>
  <si>
    <r>
      <rPr>
        <sz val="10"/>
        <rFont val="宋体"/>
        <family val="3"/>
        <charset val="134"/>
      </rPr>
      <t>存在</t>
    </r>
    <phoneticPr fontId="18" type="noConversion"/>
  </si>
  <si>
    <r>
      <rPr>
        <b/>
        <sz val="10"/>
        <rFont val="宋体"/>
        <family val="3"/>
        <charset val="134"/>
      </rPr>
      <t>三、计划实施的实质性程序</t>
    </r>
    <phoneticPr fontId="18" type="noConversion"/>
  </si>
  <si>
    <r>
      <rPr>
        <b/>
        <sz val="10"/>
        <rFont val="宋体"/>
        <family val="3"/>
        <charset val="134"/>
      </rPr>
      <t>序号</t>
    </r>
    <phoneticPr fontId="18" type="noConversion"/>
  </si>
  <si>
    <r>
      <rPr>
        <b/>
        <sz val="10"/>
        <rFont val="宋体"/>
        <family val="3"/>
        <charset val="134"/>
      </rPr>
      <t>程序分类</t>
    </r>
    <phoneticPr fontId="18" type="noConversion"/>
  </si>
  <si>
    <t>常规★</t>
    <phoneticPr fontId="49" type="noConversion"/>
  </si>
  <si>
    <t>备选</t>
    <phoneticPr fontId="49" type="noConversion"/>
  </si>
  <si>
    <t>审定表</t>
    <phoneticPr fontId="49" type="noConversion"/>
  </si>
  <si>
    <t>实收资本实质性程序表</t>
    <phoneticPr fontId="49" type="noConversion"/>
  </si>
  <si>
    <t>试算平衡表数</t>
    <phoneticPr fontId="18" type="noConversion"/>
  </si>
  <si>
    <t>差异数</t>
    <phoneticPr fontId="18" type="noConversion"/>
  </si>
  <si>
    <t>调整事项说明</t>
    <phoneticPr fontId="18" type="noConversion"/>
  </si>
  <si>
    <t>类别（报表调整/账项调整/其他）</t>
    <phoneticPr fontId="18" type="noConversion"/>
  </si>
  <si>
    <t>科目名称</t>
    <phoneticPr fontId="18" type="noConversion"/>
  </si>
  <si>
    <t>附注项目</t>
    <phoneticPr fontId="18" type="noConversion"/>
  </si>
  <si>
    <t>……</t>
    <phoneticPr fontId="18" type="noConversion"/>
  </si>
  <si>
    <t>借方调整金额</t>
    <phoneticPr fontId="18" type="noConversion"/>
  </si>
  <si>
    <t>贷方调整金额</t>
    <phoneticPr fontId="18" type="noConversion"/>
  </si>
  <si>
    <t>索引</t>
    <phoneticPr fontId="18" type="noConversion"/>
  </si>
  <si>
    <t>【注：本底稿适用于调整分录较多、较复杂的项目，且仅列示与本报表项目相关的审计调整。项目组可根据项目实际情况选择是否使用该底稿。】</t>
    <phoneticPr fontId="18" type="noConversion"/>
  </si>
  <si>
    <t>实收资本调整分录汇总表</t>
    <phoneticPr fontId="18" type="noConversion"/>
  </si>
  <si>
    <t>项  目</t>
  </si>
  <si>
    <t>本期增减（+、-）</t>
  </si>
  <si>
    <r>
      <t>说明：</t>
    </r>
    <r>
      <rPr>
        <sz val="10"/>
        <color rgb="FF0000FF"/>
        <rFont val="宋体"/>
        <family val="3"/>
        <charset val="134"/>
        <scheme val="minor"/>
      </rPr>
      <t>（如果报告期内有增资或减资行为的，应披露执行验资的会计师事务所名称和验资报告文号；运行不足3年的股份有限公司，设立前的年份只需说明净资产情况；有限责任公司整体变更为股份公司应说明公司设立时的验资情况。）</t>
    </r>
  </si>
  <si>
    <t>所占比例（%）</t>
  </si>
  <si>
    <t>合  计</t>
  </si>
  <si>
    <t>期初余额</t>
    <phoneticPr fontId="18" type="noConversion"/>
  </si>
  <si>
    <t>期末余额</t>
    <phoneticPr fontId="18" type="noConversion"/>
  </si>
  <si>
    <t>财务报表的认定</t>
    <phoneticPr fontId="18" type="noConversion"/>
  </si>
  <si>
    <t>存在</t>
    <phoneticPr fontId="18" type="noConversion"/>
  </si>
  <si>
    <t>完整性</t>
    <phoneticPr fontId="18" type="noConversion"/>
  </si>
  <si>
    <t>权利和
义务</t>
    <phoneticPr fontId="18" type="noConversion"/>
  </si>
  <si>
    <t>准确性、计价和分摊</t>
  </si>
  <si>
    <t>列报</t>
    <phoneticPr fontId="18" type="noConversion"/>
  </si>
  <si>
    <t>审计目标</t>
    <phoneticPr fontId="18" type="noConversion"/>
  </si>
  <si>
    <t>准确性、计价和分摊</t>
    <phoneticPr fontId="18" type="noConversion"/>
  </si>
  <si>
    <t>√</t>
    <phoneticPr fontId="18" type="noConversion"/>
  </si>
  <si>
    <t>在使用手工编制、自定义信息报告、系统生成的非固定格式报告等由被审计单位生成的信息时，测试有关信息准确性和完整性，并考虑针对编制和维护由被审计单位生成的信息的相关控制实施控制测试，以评价该信息是否能够为实现审计目的提供基础。</t>
  </si>
  <si>
    <t>检查实收资本是否已按企业会计准则或其他适用的规定在财务报表中做出恰当列报和披露。</t>
    <phoneticPr fontId="18" type="noConversion"/>
  </si>
  <si>
    <t>M2-1</t>
    <phoneticPr fontId="18" type="noConversion"/>
  </si>
  <si>
    <t>索引号：M2-1</t>
    <phoneticPr fontId="18" type="noConversion"/>
  </si>
  <si>
    <t>报表项目</t>
    <phoneticPr fontId="18" type="noConversion"/>
  </si>
  <si>
    <r>
      <t xml:space="preserve">A. </t>
    </r>
    <r>
      <rPr>
        <sz val="10"/>
        <rFont val="宋体"/>
        <family val="3"/>
        <charset val="134"/>
      </rPr>
      <t>资产负债表中记录的实收资本是存在的，且已经记录在恰当的账户中</t>
    </r>
    <phoneticPr fontId="18" type="noConversion"/>
  </si>
  <si>
    <r>
      <t xml:space="preserve">B. </t>
    </r>
    <r>
      <rPr>
        <sz val="10"/>
        <rFont val="宋体"/>
        <family val="3"/>
        <charset val="134"/>
      </rPr>
      <t>所有应记录的实收资本均已记录，所有应当包括在财务报表中的相关披露均已包括</t>
    </r>
    <phoneticPr fontId="18" type="noConversion"/>
  </si>
  <si>
    <t>记账凭证</t>
    <phoneticPr fontId="18" type="noConversion"/>
  </si>
  <si>
    <t>日期</t>
  </si>
  <si>
    <t>凭证编号</t>
  </si>
  <si>
    <t>业务内容</t>
    <phoneticPr fontId="18" type="noConversion"/>
  </si>
  <si>
    <t>对方科目</t>
    <phoneticPr fontId="18" type="noConversion"/>
  </si>
  <si>
    <t>索引号</t>
  </si>
  <si>
    <t>二、审计目标与认定的对应关系</t>
    <phoneticPr fontId="18" type="noConversion"/>
  </si>
  <si>
    <t>对重组债务转为资本和形成的资本溢价，结合债务重组的审计，检查相关合同协议，并确定会计处理是否正确。</t>
    <phoneticPr fontId="49" type="noConversion"/>
  </si>
  <si>
    <t>对可转换公司债券持有人行使转换权利转为股本和形成的股本溢价，结合长期债券的审计，检查相关的法律文件，手续是否办理，检查入账金额和会计处理是否正确。</t>
    <phoneticPr fontId="49" type="noConversion"/>
  </si>
  <si>
    <t xml:space="preserve">检查股权协议，考虑是否有需要单独确认的嵌入式衍生工具。如果有，完成金融工具审计程序。 </t>
    <phoneticPr fontId="49" type="noConversion"/>
  </si>
  <si>
    <t>审阅公司章程、股东（大）会、董事会会议记录中相关规定。收集与所有者权益账户变动有关的董股东（大）会决议、事会会议纪要、合同、协议、公司章程及营业执照，公司设立批文、验资报告以及政府主管部门、财政部门批复、资产评估报告等文件资料，并更新永久性档案。</t>
    <phoneticPr fontId="18" type="noConversion"/>
  </si>
  <si>
    <t>M2-3</t>
    <phoneticPr fontId="49" type="noConversion"/>
  </si>
  <si>
    <t>M2-4</t>
    <phoneticPr fontId="49" type="noConversion"/>
  </si>
  <si>
    <t>M2-5</t>
    <phoneticPr fontId="49" type="noConversion"/>
  </si>
  <si>
    <t>明细表（上市公司）</t>
    <phoneticPr fontId="49" type="noConversion"/>
  </si>
  <si>
    <t>明细表（非上市公司）</t>
    <phoneticPr fontId="49" type="noConversion"/>
  </si>
  <si>
    <t>调整分录汇总</t>
    <phoneticPr fontId="49" type="noConversion"/>
  </si>
  <si>
    <t>外币投资汇率测算表</t>
    <phoneticPr fontId="49" type="noConversion"/>
  </si>
  <si>
    <t>M2-2</t>
    <phoneticPr fontId="49" type="noConversion"/>
  </si>
  <si>
    <t>M2-1</t>
    <phoneticPr fontId="49" type="noConversion"/>
  </si>
  <si>
    <t xml:space="preserve"> M2A</t>
    <phoneticPr fontId="49" type="noConversion"/>
  </si>
  <si>
    <t>无需打印</t>
  </si>
  <si>
    <r>
      <rPr>
        <sz val="10"/>
        <color rgb="FF0000FF"/>
        <rFont val="宋体"/>
        <family val="3"/>
        <charset val="134"/>
      </rPr>
      <t>可参见《审计手册》</t>
    </r>
    <r>
      <rPr>
        <sz val="10"/>
        <color rgb="FF0000FF"/>
        <rFont val="Arial Narrow"/>
        <family val="2"/>
      </rPr>
      <t>4.2.6</t>
    </r>
    <r>
      <rPr>
        <sz val="10"/>
        <color rgb="FF0000FF"/>
        <rFont val="宋体"/>
        <family val="3"/>
        <charset val="134"/>
      </rPr>
      <t xml:space="preserve">，由被审计单位生成的信息可能是由系统生成的、或手工编制的、或二者兼而有之的方式生成的。例如，由被审计单位生成的信息可能包括：
</t>
    </r>
    <r>
      <rPr>
        <sz val="10"/>
        <color rgb="FF0000FF"/>
        <rFont val="Arial Narrow"/>
        <family val="2"/>
      </rPr>
      <t xml:space="preserve">• </t>
    </r>
    <r>
      <rPr>
        <sz val="10"/>
        <color rgb="FF0000FF"/>
        <rFont val="宋体"/>
        <family val="3"/>
        <charset val="134"/>
      </rPr>
      <t xml:space="preserve">不涉及自定义的、由系统生成的报告（如，固定格式报告）；
</t>
    </r>
    <r>
      <rPr>
        <sz val="10"/>
        <color rgb="FF0000FF"/>
        <rFont val="Arial Narrow"/>
        <family val="2"/>
      </rPr>
      <t xml:space="preserve">• </t>
    </r>
    <r>
      <rPr>
        <sz val="10"/>
        <color rgb="FF0000FF"/>
        <rFont val="宋体"/>
        <family val="3"/>
        <charset val="134"/>
      </rPr>
      <t xml:space="preserve">可能通过人工自定义的、由系统生成的报告，例如，（计算机）查询信息或特别定制的报告；
</t>
    </r>
    <r>
      <rPr>
        <sz val="10"/>
        <color rgb="FF0000FF"/>
        <rFont val="Arial Narrow"/>
        <family val="2"/>
      </rPr>
      <t xml:space="preserve">• </t>
    </r>
    <r>
      <rPr>
        <sz val="10"/>
        <color rgb="FF0000FF"/>
        <rFont val="宋体"/>
        <family val="3"/>
        <charset val="134"/>
      </rPr>
      <t xml:space="preserve">手工编制的信息，例如，汇总信息的电子表格或用以支持分配、计算以及调节的电子表格；
</t>
    </r>
    <r>
      <rPr>
        <sz val="10"/>
        <color rgb="FF0000FF"/>
        <rFont val="Arial Narrow"/>
        <family val="2"/>
      </rPr>
      <t xml:space="preserve">• </t>
    </r>
    <r>
      <rPr>
        <sz val="10"/>
        <color rgb="FF0000FF"/>
        <rFont val="宋体"/>
        <family val="3"/>
        <charset val="134"/>
      </rPr>
      <t xml:space="preserve">其他系统生成或手工编制的信息，例如，由被审计单位编制的客户发票；
</t>
    </r>
    <r>
      <rPr>
        <sz val="10"/>
        <color rgb="FF0000FF"/>
        <rFont val="Arial Narrow"/>
        <family val="2"/>
      </rPr>
      <t xml:space="preserve">• </t>
    </r>
    <r>
      <rPr>
        <sz val="10"/>
        <color rgb="FF0000FF"/>
        <rFont val="宋体"/>
        <family val="3"/>
        <charset val="134"/>
      </rPr>
      <t>通过影印、拍摄、扫描或其他方式转换成电子形式的文件记录。</t>
    </r>
    <phoneticPr fontId="49" type="noConversion"/>
  </si>
  <si>
    <r>
      <rPr>
        <b/>
        <sz val="12"/>
        <rFont val="宋体"/>
        <family val="3"/>
        <charset val="134"/>
      </rPr>
      <t>实收资本（或股本）明细表</t>
    </r>
    <phoneticPr fontId="18" type="noConversion"/>
  </si>
  <si>
    <r>
      <rPr>
        <sz val="10"/>
        <rFont val="宋体"/>
        <family val="3"/>
        <charset val="134"/>
      </rPr>
      <t>索引号：</t>
    </r>
    <phoneticPr fontId="18" type="noConversion"/>
  </si>
  <si>
    <r>
      <rPr>
        <b/>
        <sz val="10"/>
        <rFont val="宋体"/>
        <family val="3"/>
        <charset val="134"/>
      </rPr>
      <t>投资方名称</t>
    </r>
    <phoneticPr fontId="18" type="noConversion"/>
  </si>
  <si>
    <r>
      <rPr>
        <b/>
        <sz val="10"/>
        <rFont val="宋体"/>
        <family val="3"/>
        <charset val="134"/>
      </rPr>
      <t>未审数</t>
    </r>
    <phoneticPr fontId="18" type="noConversion"/>
  </si>
  <si>
    <r>
      <rPr>
        <b/>
        <sz val="10"/>
        <color indexed="8"/>
        <rFont val="宋体"/>
        <family val="3"/>
        <charset val="134"/>
      </rPr>
      <t>期初调整（本位币）</t>
    </r>
    <phoneticPr fontId="46" type="noConversion"/>
  </si>
  <si>
    <r>
      <rPr>
        <b/>
        <sz val="10"/>
        <color indexed="8"/>
        <rFont val="宋体"/>
        <family val="3"/>
        <charset val="134"/>
      </rPr>
      <t>账项调整（本位币）</t>
    </r>
    <phoneticPr fontId="46" type="noConversion"/>
  </si>
  <si>
    <r>
      <rPr>
        <b/>
        <sz val="10"/>
        <color indexed="8"/>
        <rFont val="宋体"/>
        <family val="3"/>
        <charset val="134"/>
      </rPr>
      <t>重分类调整（本位币）</t>
    </r>
    <phoneticPr fontId="46" type="noConversion"/>
  </si>
  <si>
    <r>
      <rPr>
        <b/>
        <sz val="10"/>
        <rFont val="宋体"/>
        <family val="3"/>
        <charset val="134"/>
      </rPr>
      <t>审定数（本位币）</t>
    </r>
    <phoneticPr fontId="18" type="noConversion"/>
  </si>
  <si>
    <r>
      <rPr>
        <b/>
        <sz val="10"/>
        <rFont val="宋体"/>
        <family val="3"/>
        <charset val="134"/>
      </rPr>
      <t>是否经过验资</t>
    </r>
    <phoneticPr fontId="18" type="noConversion"/>
  </si>
  <si>
    <r>
      <rPr>
        <b/>
        <sz val="10"/>
        <rFont val="宋体"/>
        <family val="3"/>
        <charset val="134"/>
      </rPr>
      <t>验资报告索引号</t>
    </r>
    <phoneticPr fontId="18" type="noConversion"/>
  </si>
  <si>
    <r>
      <rPr>
        <b/>
        <sz val="10"/>
        <rFont val="宋体"/>
        <family val="3"/>
        <charset val="134"/>
      </rPr>
      <t>备注</t>
    </r>
    <phoneticPr fontId="18" type="noConversion"/>
  </si>
  <si>
    <r>
      <rPr>
        <b/>
        <sz val="10"/>
        <rFont val="宋体"/>
        <family val="3"/>
        <charset val="134"/>
      </rPr>
      <t>期初数</t>
    </r>
    <phoneticPr fontId="18" type="noConversion"/>
  </si>
  <si>
    <r>
      <rPr>
        <b/>
        <sz val="10"/>
        <rFont val="宋体"/>
        <family val="3"/>
        <charset val="134"/>
      </rPr>
      <t>本期增减（</t>
    </r>
    <r>
      <rPr>
        <b/>
        <sz val="10"/>
        <color rgb="FF000000"/>
        <rFont val="Arial Narrow"/>
        <family val="2"/>
      </rPr>
      <t>+</t>
    </r>
    <r>
      <rPr>
        <b/>
        <sz val="10"/>
        <color rgb="FF000000"/>
        <rFont val="宋体"/>
        <family val="3"/>
        <charset val="134"/>
      </rPr>
      <t>、</t>
    </r>
    <r>
      <rPr>
        <b/>
        <sz val="10"/>
        <color rgb="FF000000"/>
        <rFont val="Arial Narrow"/>
        <family val="2"/>
      </rPr>
      <t>-</t>
    </r>
    <r>
      <rPr>
        <b/>
        <sz val="10"/>
        <color rgb="FF000000"/>
        <rFont val="宋体"/>
        <family val="3"/>
        <charset val="134"/>
      </rPr>
      <t>）</t>
    </r>
    <phoneticPr fontId="18" type="noConversion"/>
  </si>
  <si>
    <r>
      <rPr>
        <b/>
        <sz val="10"/>
        <rFont val="宋体"/>
        <family val="3"/>
        <charset val="134"/>
      </rPr>
      <t>期末数</t>
    </r>
    <phoneticPr fontId="18" type="noConversion"/>
  </si>
  <si>
    <r>
      <rPr>
        <b/>
        <sz val="10"/>
        <color indexed="8"/>
        <rFont val="宋体"/>
        <family val="3"/>
        <charset val="134"/>
      </rPr>
      <t>账项调整</t>
    </r>
    <phoneticPr fontId="18" type="noConversion"/>
  </si>
  <si>
    <r>
      <rPr>
        <b/>
        <sz val="10"/>
        <color indexed="8"/>
        <rFont val="宋体"/>
        <family val="3"/>
        <charset val="134"/>
      </rPr>
      <t>重分类调整</t>
    </r>
    <phoneticPr fontId="46" type="noConversion"/>
  </si>
  <si>
    <r>
      <rPr>
        <b/>
        <sz val="10"/>
        <rFont val="宋体"/>
        <family val="3"/>
        <charset val="134"/>
      </rPr>
      <t>出资方式</t>
    </r>
    <phoneticPr fontId="18" type="noConversion"/>
  </si>
  <si>
    <r>
      <rPr>
        <b/>
        <sz val="10"/>
        <rFont val="宋体"/>
        <family val="3"/>
        <charset val="134"/>
      </rPr>
      <t>出资金额</t>
    </r>
    <phoneticPr fontId="18" type="noConversion"/>
  </si>
  <si>
    <r>
      <rPr>
        <b/>
        <sz val="10"/>
        <rFont val="宋体"/>
        <family val="3"/>
        <charset val="134"/>
      </rPr>
      <t>发行新股</t>
    </r>
    <phoneticPr fontId="18" type="noConversion"/>
  </si>
  <si>
    <r>
      <rPr>
        <b/>
        <sz val="10"/>
        <rFont val="宋体"/>
        <family val="3"/>
        <charset val="134"/>
      </rPr>
      <t>送股</t>
    </r>
    <phoneticPr fontId="18" type="noConversion"/>
  </si>
  <si>
    <r>
      <rPr>
        <b/>
        <sz val="10"/>
        <rFont val="宋体"/>
        <family val="3"/>
        <charset val="134"/>
      </rPr>
      <t>公积金转股</t>
    </r>
    <phoneticPr fontId="18" type="noConversion"/>
  </si>
  <si>
    <r>
      <rPr>
        <b/>
        <sz val="10"/>
        <rFont val="宋体"/>
        <family val="3"/>
        <charset val="134"/>
      </rPr>
      <t>其他</t>
    </r>
    <phoneticPr fontId="18" type="noConversion"/>
  </si>
  <si>
    <r>
      <rPr>
        <b/>
        <sz val="10"/>
        <rFont val="宋体"/>
        <family val="3"/>
        <charset val="134"/>
      </rPr>
      <t>小计</t>
    </r>
    <phoneticPr fontId="18" type="noConversion"/>
  </si>
  <si>
    <r>
      <rPr>
        <b/>
        <sz val="10"/>
        <rFont val="宋体"/>
        <family val="3"/>
        <charset val="134"/>
      </rPr>
      <t>合计</t>
    </r>
    <phoneticPr fontId="18" type="noConversion"/>
  </si>
  <si>
    <r>
      <rPr>
        <b/>
        <sz val="10"/>
        <rFont val="宋体"/>
        <family val="3"/>
        <charset val="134"/>
      </rPr>
      <t>三、审计说明：</t>
    </r>
    <phoneticPr fontId="18" type="noConversion"/>
  </si>
  <si>
    <r>
      <t>1</t>
    </r>
    <r>
      <rPr>
        <sz val="10"/>
        <rFont val="宋体"/>
        <family val="3"/>
        <charset val="134"/>
      </rPr>
      <t>、章程中重要条款：</t>
    </r>
    <phoneticPr fontId="18" type="noConversion"/>
  </si>
  <si>
    <r>
      <t>2</t>
    </r>
    <r>
      <rPr>
        <sz val="10"/>
        <rFont val="宋体"/>
        <family val="3"/>
        <charset val="134"/>
      </rPr>
      <t>、期间变更情况：</t>
    </r>
    <phoneticPr fontId="18" type="noConversion"/>
  </si>
  <si>
    <r>
      <rPr>
        <b/>
        <sz val="10"/>
        <rFont val="宋体"/>
        <family val="3"/>
        <charset val="134"/>
      </rPr>
      <t>四、审计结论：</t>
    </r>
    <phoneticPr fontId="18" type="noConversion"/>
  </si>
  <si>
    <r>
      <rPr>
        <b/>
        <sz val="10"/>
        <rFont val="宋体"/>
        <family val="3"/>
        <charset val="134"/>
      </rPr>
      <t>本期增加</t>
    </r>
    <phoneticPr fontId="18" type="noConversion"/>
  </si>
  <si>
    <r>
      <rPr>
        <b/>
        <sz val="10"/>
        <rFont val="宋体"/>
        <family val="3"/>
        <charset val="134"/>
      </rPr>
      <t>本期减少</t>
    </r>
    <phoneticPr fontId="18" type="noConversion"/>
  </si>
  <si>
    <r>
      <rPr>
        <b/>
        <sz val="10"/>
        <rFont val="宋体"/>
        <family val="3"/>
        <charset val="134"/>
      </rPr>
      <t>投资者</t>
    </r>
    <phoneticPr fontId="18" type="noConversion"/>
  </si>
  <si>
    <r>
      <rPr>
        <b/>
        <sz val="10"/>
        <rFont val="宋体"/>
        <family val="3"/>
        <charset val="134"/>
      </rPr>
      <t>币种</t>
    </r>
    <phoneticPr fontId="18" type="noConversion"/>
  </si>
  <si>
    <r>
      <rPr>
        <b/>
        <sz val="10"/>
        <rFont val="宋体"/>
        <family val="3"/>
        <charset val="134"/>
      </rPr>
      <t>期末投资额</t>
    </r>
    <phoneticPr fontId="18" type="noConversion"/>
  </si>
  <si>
    <r>
      <rPr>
        <b/>
        <sz val="10"/>
        <rFont val="宋体"/>
        <family val="3"/>
        <charset val="134"/>
      </rPr>
      <t>原币金额</t>
    </r>
    <phoneticPr fontId="18" type="noConversion"/>
  </si>
  <si>
    <r>
      <rPr>
        <b/>
        <sz val="10"/>
        <rFont val="宋体"/>
        <family val="3"/>
        <charset val="134"/>
      </rPr>
      <t>折算汇率</t>
    </r>
  </si>
  <si>
    <r>
      <rPr>
        <b/>
        <sz val="10"/>
        <rFont val="宋体"/>
        <family val="3"/>
        <charset val="134"/>
      </rPr>
      <t>折合人民币</t>
    </r>
  </si>
  <si>
    <r>
      <rPr>
        <b/>
        <sz val="10"/>
        <rFont val="宋体"/>
        <family val="3"/>
        <charset val="134"/>
      </rPr>
      <t>账面数</t>
    </r>
    <phoneticPr fontId="18" type="noConversion"/>
  </si>
  <si>
    <r>
      <rPr>
        <b/>
        <sz val="10"/>
        <rFont val="宋体"/>
        <family val="3"/>
        <charset val="134"/>
      </rPr>
      <t>差额</t>
    </r>
    <phoneticPr fontId="18" type="noConversion"/>
  </si>
  <si>
    <r>
      <t>1.</t>
    </r>
    <r>
      <rPr>
        <sz val="10"/>
        <rFont val="宋体"/>
        <family val="3"/>
        <charset val="134"/>
      </rPr>
      <t>实收资本以恰当的金额包括在财务报表中，与之相关的计价或分摊调整已恰当记录，相关披露已得到恰当计量和描述。</t>
    </r>
    <phoneticPr fontId="18" type="noConversion"/>
  </si>
  <si>
    <t>公司代码</t>
    <phoneticPr fontId="18" type="noConversion"/>
  </si>
  <si>
    <r>
      <rPr>
        <b/>
        <sz val="10"/>
        <color rgb="FFFF0000"/>
        <rFont val="宋体"/>
        <family val="3"/>
        <charset val="134"/>
      </rPr>
      <t>测试内容说明：</t>
    </r>
    <r>
      <rPr>
        <sz val="10"/>
        <color rgb="FFFF0000"/>
        <rFont val="Arial Narrow"/>
        <family val="2"/>
      </rPr>
      <t>1.</t>
    </r>
    <r>
      <rPr>
        <sz val="10"/>
        <color rgb="FFFF0000"/>
        <rFont val="宋体"/>
        <family val="3"/>
        <charset val="134"/>
      </rPr>
      <t>原始凭证是否齐全；</t>
    </r>
    <r>
      <rPr>
        <sz val="10"/>
        <color rgb="FFFF0000"/>
        <rFont val="Arial Narrow"/>
        <family val="2"/>
      </rPr>
      <t xml:space="preserve"> 2.</t>
    </r>
    <r>
      <rPr>
        <sz val="10"/>
        <color rgb="FFFF0000"/>
        <rFont val="宋体"/>
        <family val="3"/>
        <charset val="134"/>
      </rPr>
      <t>记账凭证与原始凭证是否相符；</t>
    </r>
    <r>
      <rPr>
        <sz val="10"/>
        <color rgb="FFFF0000"/>
        <rFont val="Arial Narrow"/>
        <family val="2"/>
      </rPr>
      <t>3.</t>
    </r>
    <r>
      <rPr>
        <sz val="10"/>
        <color rgb="FFFF0000"/>
        <rFont val="宋体"/>
        <family val="3"/>
        <charset val="134"/>
      </rPr>
      <t>账务处理是否正确；</t>
    </r>
    <r>
      <rPr>
        <sz val="10"/>
        <color rgb="FFFF0000"/>
        <rFont val="Arial Narrow"/>
        <family val="2"/>
      </rPr>
      <t>4.</t>
    </r>
    <r>
      <rPr>
        <sz val="10"/>
        <color rgb="FFFF0000"/>
        <rFont val="宋体"/>
        <family val="3"/>
        <charset val="134"/>
      </rPr>
      <t>是否记录于恰当的会计期间；</t>
    </r>
    <r>
      <rPr>
        <sz val="10"/>
        <color rgb="FFFF0000"/>
        <rFont val="Arial Narrow"/>
        <family val="2"/>
      </rPr>
      <t>5.……</t>
    </r>
    <phoneticPr fontId="18" type="noConversion"/>
  </si>
  <si>
    <t>√</t>
    <phoneticPr fontId="18" type="noConversion"/>
  </si>
  <si>
    <t>如果存在库存股交易：
（1）检查股票回购的交易活动。检查的内容包括已发行股票的登记簿、回购的股票、银行对账单、会计账面记录等； 
（2）以回购股票以及其他法定程序报经批准减资的，检查股东会决议以及相关的法律文件，手续是否办理，检查其是否按注销的股票面值总额和所注销的库存股的账面余额，冲减资本公积，会计处理是否正确.</t>
    <phoneticPr fontId="49" type="noConversion"/>
  </si>
  <si>
    <t>中外合资经营企业在合作期间归还投资的，获取与归还投资变动有关的公司章程、合同、董事会会议纪要、政府部门的批准文件等资料，查明其是否合规、合法，并更新永久性档案，并对已归还投资的发生额逐项审计至原始凭证，检查应用的折算汇率和会计处理是否符合相关规定。</t>
    <phoneticPr fontId="49" type="noConversion"/>
  </si>
  <si>
    <t>复核普通股基本每股收益和稀释每股收益计算的准确性，将金额和股数与财务报表核对。</t>
    <phoneticPr fontId="49" type="noConversion"/>
  </si>
  <si>
    <t>考虑PE等投资者入股价格的合理性，关注是否存在PE等投资者串通发行人虚增收入、代垫成本费用等利益输送行为。</t>
    <phoneticPr fontId="18" type="noConversion"/>
  </si>
  <si>
    <t>底稿索引号</t>
    <phoneticPr fontId="18" type="noConversion"/>
  </si>
  <si>
    <r>
      <t>2.</t>
    </r>
    <r>
      <rPr>
        <sz val="10"/>
        <color indexed="12"/>
        <rFont val="宋体"/>
        <family val="3"/>
        <charset val="134"/>
      </rPr>
      <t>企业收到投资者出资超过其在注册资本或股本中所占份额的部分，作为资本溢价或股本溢价，在</t>
    </r>
    <r>
      <rPr>
        <sz val="10"/>
        <color indexed="12"/>
        <rFont val="Arial Narrow"/>
        <family val="2"/>
      </rPr>
      <t>“</t>
    </r>
    <r>
      <rPr>
        <sz val="10"/>
        <color indexed="12"/>
        <rFont val="宋体"/>
        <family val="3"/>
        <charset val="134"/>
      </rPr>
      <t>资本公积</t>
    </r>
    <r>
      <rPr>
        <sz val="10"/>
        <color indexed="12"/>
        <rFont val="Arial Narrow"/>
        <family val="2"/>
      </rPr>
      <t>”</t>
    </r>
    <r>
      <rPr>
        <sz val="10"/>
        <color indexed="12"/>
        <rFont val="宋体"/>
        <family val="3"/>
        <charset val="134"/>
      </rPr>
      <t>科目核算。</t>
    </r>
    <phoneticPr fontId="18" type="noConversion"/>
  </si>
  <si>
    <r>
      <t>1.</t>
    </r>
    <r>
      <rPr>
        <sz val="10"/>
        <color indexed="12"/>
        <rFont val="宋体"/>
        <family val="3"/>
        <charset val="134"/>
      </rPr>
      <t>本科目核算企业接受投资者投入的实收资本。股份有限公司应将本科目改为</t>
    </r>
    <r>
      <rPr>
        <sz val="10"/>
        <color indexed="12"/>
        <rFont val="Arial Narrow"/>
        <family val="2"/>
      </rPr>
      <t>“</t>
    </r>
    <r>
      <rPr>
        <sz val="10"/>
        <color indexed="12"/>
        <rFont val="宋体"/>
        <family val="3"/>
        <charset val="134"/>
      </rPr>
      <t>股本</t>
    </r>
    <r>
      <rPr>
        <sz val="10"/>
        <color indexed="12"/>
        <rFont val="Arial Narrow"/>
        <family val="2"/>
      </rPr>
      <t>”</t>
    </r>
    <r>
      <rPr>
        <sz val="10"/>
        <color indexed="12"/>
        <rFont val="宋体"/>
        <family val="3"/>
        <charset val="134"/>
      </rPr>
      <t>科目。</t>
    </r>
    <phoneticPr fontId="18" type="noConversion"/>
  </si>
  <si>
    <r>
      <t>3.</t>
    </r>
    <r>
      <rPr>
        <sz val="10"/>
        <color indexed="12"/>
        <rFont val="宋体"/>
        <family val="3"/>
        <charset val="134"/>
      </rPr>
      <t>对于股票发行检查的文件包括已发行股票的登记簿、募股清单、银行对账单、会计账面记录等，可向证券交易所和金融机构函证股票发行的数量。关注股票发行费用的会计处理是否正确。</t>
    </r>
    <phoneticPr fontId="18" type="noConversion"/>
  </si>
  <si>
    <r>
      <t>4.</t>
    </r>
    <r>
      <rPr>
        <sz val="10"/>
        <color indexed="12"/>
        <rFont val="宋体"/>
        <family val="3"/>
        <charset val="134"/>
      </rPr>
      <t>以交付商品和劳务为对价的股票发行（如股份支付），完成股份支付底稿；</t>
    </r>
    <phoneticPr fontId="18" type="noConversion"/>
  </si>
  <si>
    <r>
      <t>5.</t>
    </r>
    <r>
      <rPr>
        <sz val="10"/>
        <color indexed="12"/>
        <rFont val="宋体"/>
        <family val="3"/>
        <charset val="134"/>
      </rPr>
      <t>关注是否权益为负、经营性业务是否连续亏损或资不抵债的情况，考虑对持续经营的影响。</t>
    </r>
    <phoneticPr fontId="18" type="noConversion"/>
  </si>
  <si>
    <r>
      <t>6.</t>
    </r>
    <r>
      <rPr>
        <sz val="10"/>
        <color rgb="FF3333FF"/>
        <rFont val="宋体"/>
        <family val="3"/>
        <charset val="134"/>
      </rPr>
      <t>审计说明可以概述：（</t>
    </r>
    <r>
      <rPr>
        <sz val="10"/>
        <color rgb="FF3333FF"/>
        <rFont val="Arial Narrow"/>
        <family val="2"/>
      </rPr>
      <t>1</t>
    </r>
    <r>
      <rPr>
        <sz val="10"/>
        <color rgb="FF3333FF"/>
        <rFont val="宋体"/>
        <family val="3"/>
        <charset val="134"/>
      </rPr>
      <t>）程序的测试情况、结果；（</t>
    </r>
    <r>
      <rPr>
        <sz val="10"/>
        <color rgb="FF3333FF"/>
        <rFont val="Arial Narrow"/>
        <family val="2"/>
      </rPr>
      <t>2</t>
    </r>
    <r>
      <rPr>
        <sz val="10"/>
        <color rgb="FF3333FF"/>
        <rFont val="宋体"/>
        <family val="3"/>
        <charset val="134"/>
      </rPr>
      <t>）拟调整事项及其调整分录、未调整事项及其影响，审计范围受到限制情况及其影响。</t>
    </r>
    <phoneticPr fontId="18" type="noConversion"/>
  </si>
  <si>
    <r>
      <t>7.</t>
    </r>
    <r>
      <rPr>
        <sz val="10"/>
        <color rgb="FF0000FF"/>
        <rFont val="宋体"/>
        <family val="3"/>
        <charset val="134"/>
      </rPr>
      <t>审计结论可参考：</t>
    </r>
    <r>
      <rPr>
        <sz val="10"/>
        <color rgb="FF0000FF"/>
        <rFont val="Arial Narrow"/>
        <family val="2"/>
      </rPr>
      <t>A</t>
    </r>
    <r>
      <rPr>
        <sz val="10"/>
        <color rgb="FF0000FF"/>
        <rFont val="宋体"/>
        <family val="3"/>
        <charset val="134"/>
      </rPr>
      <t>、未见异常。</t>
    </r>
    <r>
      <rPr>
        <sz val="10"/>
        <color rgb="FF0000FF"/>
        <rFont val="Arial Narrow"/>
        <family val="2"/>
      </rPr>
      <t>B</t>
    </r>
    <r>
      <rPr>
        <sz val="10"/>
        <color rgb="FF0000FF"/>
        <rFont val="宋体"/>
        <family val="3"/>
        <charset val="134"/>
      </rPr>
      <t>、除上述重大不符事项应当作为调整事项予以调整外，其余未见异常。</t>
    </r>
    <r>
      <rPr>
        <sz val="10"/>
        <color rgb="FF0000FF"/>
        <rFont val="Arial Narrow"/>
        <family val="2"/>
      </rPr>
      <t>C</t>
    </r>
    <r>
      <rPr>
        <sz val="10"/>
        <color rgb="FF0000FF"/>
        <rFont val="宋体"/>
        <family val="3"/>
        <charset val="134"/>
      </rPr>
      <t>、由于存在以下重大未调整事项</t>
    </r>
    <r>
      <rPr>
        <sz val="10"/>
        <color rgb="FF0000FF"/>
        <rFont val="Arial Narrow"/>
        <family val="2"/>
      </rPr>
      <t>(</t>
    </r>
    <r>
      <rPr>
        <sz val="10"/>
        <color rgb="FF0000FF"/>
        <rFont val="宋体"/>
        <family val="3"/>
        <charset val="134"/>
      </rPr>
      <t>或审计范围受到限制无法获取充分、适当证据），不可确认。</t>
    </r>
    <phoneticPr fontId="18" type="noConversion"/>
  </si>
  <si>
    <t>提示：</t>
    <phoneticPr fontId="18" type="noConversion"/>
  </si>
  <si>
    <r>
      <t>3.</t>
    </r>
    <r>
      <rPr>
        <sz val="10"/>
        <color indexed="12"/>
        <rFont val="宋体"/>
        <family val="3"/>
        <charset val="134"/>
      </rPr>
      <t>以交付商品和劳务为对价的股票发行（如股份支付），完成股份支付底稿；</t>
    </r>
    <phoneticPr fontId="18" type="noConversion"/>
  </si>
  <si>
    <r>
      <t>4.</t>
    </r>
    <r>
      <rPr>
        <sz val="10"/>
        <color indexed="12"/>
        <rFont val="宋体"/>
        <family val="3"/>
        <charset val="134"/>
      </rPr>
      <t>关注是否权益为负、经营性业务是否连续亏损或资不抵债的情况，考虑对持续经营的影响。</t>
    </r>
    <phoneticPr fontId="18" type="noConversion"/>
  </si>
  <si>
    <r>
      <t>5.</t>
    </r>
    <r>
      <rPr>
        <sz val="10"/>
        <color rgb="FF3333FF"/>
        <rFont val="宋体"/>
        <family val="3"/>
        <charset val="134"/>
      </rPr>
      <t>审计说明可以概述：（</t>
    </r>
    <r>
      <rPr>
        <sz val="10"/>
        <color rgb="FF3333FF"/>
        <rFont val="Arial Narrow"/>
        <family val="2"/>
      </rPr>
      <t>1</t>
    </r>
    <r>
      <rPr>
        <sz val="10"/>
        <color rgb="FF3333FF"/>
        <rFont val="宋体"/>
        <family val="3"/>
        <charset val="134"/>
      </rPr>
      <t>）程序的测试情况、结果；（</t>
    </r>
    <r>
      <rPr>
        <sz val="10"/>
        <color rgb="FF3333FF"/>
        <rFont val="Arial Narrow"/>
        <family val="2"/>
      </rPr>
      <t>2</t>
    </r>
    <r>
      <rPr>
        <sz val="10"/>
        <color rgb="FF3333FF"/>
        <rFont val="宋体"/>
        <family val="3"/>
        <charset val="134"/>
      </rPr>
      <t>）拟调整事项及其调整分录、未调整事项及其影响，审计范围受到限制情况及其影响。</t>
    </r>
    <phoneticPr fontId="18" type="noConversion"/>
  </si>
  <si>
    <r>
      <t>6.</t>
    </r>
    <r>
      <rPr>
        <sz val="10"/>
        <color rgb="FF0000FF"/>
        <rFont val="宋体"/>
        <family val="3"/>
        <charset val="134"/>
      </rPr>
      <t>审计结论可参考：</t>
    </r>
    <r>
      <rPr>
        <sz val="10"/>
        <color rgb="FF0000FF"/>
        <rFont val="Arial Narrow"/>
        <family val="2"/>
      </rPr>
      <t>A</t>
    </r>
    <r>
      <rPr>
        <sz val="10"/>
        <color rgb="FF0000FF"/>
        <rFont val="宋体"/>
        <family val="3"/>
        <charset val="134"/>
      </rPr>
      <t>、未见异常。</t>
    </r>
    <r>
      <rPr>
        <sz val="10"/>
        <color rgb="FF0000FF"/>
        <rFont val="Arial Narrow"/>
        <family val="2"/>
      </rPr>
      <t>B</t>
    </r>
    <r>
      <rPr>
        <sz val="10"/>
        <color rgb="FF0000FF"/>
        <rFont val="宋体"/>
        <family val="3"/>
        <charset val="134"/>
      </rPr>
      <t>、除上述重大不符事项应当作为调整事项予以调整外，其余未见异常。</t>
    </r>
    <r>
      <rPr>
        <sz val="10"/>
        <color rgb="FF0000FF"/>
        <rFont val="Arial Narrow"/>
        <family val="2"/>
      </rPr>
      <t>C</t>
    </r>
    <r>
      <rPr>
        <sz val="10"/>
        <color rgb="FF0000FF"/>
        <rFont val="宋体"/>
        <family val="3"/>
        <charset val="134"/>
      </rPr>
      <t>、由于存在以下重大未调整事项</t>
    </r>
    <r>
      <rPr>
        <sz val="10"/>
        <color rgb="FF0000FF"/>
        <rFont val="Arial Narrow"/>
        <family val="2"/>
      </rPr>
      <t>(</t>
    </r>
    <r>
      <rPr>
        <sz val="10"/>
        <color rgb="FF0000FF"/>
        <rFont val="宋体"/>
        <family val="3"/>
        <charset val="134"/>
      </rPr>
      <t>或审计范围受到限制无法获取充分、适当证据），不可确认。</t>
    </r>
    <phoneticPr fontId="18" type="noConversion"/>
  </si>
  <si>
    <t>提示：</t>
    <phoneticPr fontId="18" type="noConversion"/>
  </si>
  <si>
    <t>对方明细科目</t>
    <phoneticPr fontId="18" type="noConversion"/>
  </si>
  <si>
    <t>贷方金额</t>
    <phoneticPr fontId="18" type="noConversion"/>
  </si>
  <si>
    <t>借方金额</t>
    <phoneticPr fontId="18" type="noConversion"/>
  </si>
  <si>
    <t>1.资产负债表中记录的实收资本（股本）是存在的，且已经记录在恰当的账户中；</t>
    <phoneticPr fontId="18" type="noConversion"/>
  </si>
  <si>
    <t>2.所有应记录的实收资本（股本）均已记录，所有应当包括在财务报表中的相关披露均已包括；</t>
    <phoneticPr fontId="18" type="noConversion"/>
  </si>
  <si>
    <t>3.实收资本（股本）以恰当的金额包括在财务报表中，与之相关的计价或分摊调整已恰当记录，相关披露已得到恰当计量和描述 ；</t>
    <phoneticPr fontId="18" type="noConversion"/>
  </si>
  <si>
    <t>二、测试：</t>
    <phoneticPr fontId="28" type="noConversion"/>
  </si>
  <si>
    <t>三、审计说明：</t>
    <phoneticPr fontId="28" type="noConversion"/>
  </si>
  <si>
    <t>四、审计结论：</t>
    <phoneticPr fontId="18" type="noConversion"/>
  </si>
  <si>
    <t>支持性文件</t>
    <phoneticPr fontId="18" type="noConversion"/>
  </si>
  <si>
    <r>
      <rPr>
        <b/>
        <sz val="10"/>
        <rFont val="宋体"/>
        <family val="3"/>
        <charset val="134"/>
      </rPr>
      <t>核对内容</t>
    </r>
  </si>
  <si>
    <t>备注说明</t>
    <phoneticPr fontId="18" type="noConversion"/>
  </si>
  <si>
    <r>
      <t>对于上期实收资本的期末余额，取得企业成立时的文件、投资/合伙协议、历次股本变化相关文件、验资报告等，检查与账面记录是否相符；必要时与证券结算中介机构股票登记簿核对、向每位股东函证出资金额及比例。</t>
    </r>
    <r>
      <rPr>
        <sz val="10"/>
        <color rgb="FFFF0000"/>
        <rFont val="宋体"/>
        <family val="3"/>
        <charset val="134"/>
      </rPr>
      <t>（适用于首次承接）</t>
    </r>
    <phoneticPr fontId="49" type="noConversion"/>
  </si>
  <si>
    <t>对本期实收资本（股本）发生的增减变动：
（1）对本期发生的实收资本（股本）的增减变动，获取公司章程、股东（大）会/董事会决议、验资报告、政府主管部门批复等相关文件，检查出资期限和出资方式、出资额，检查投资者是否按合同、协议、章程约定的时间和方式缴付出资额，实物资产是否转移、是否为生产经营所需。
（2）检查与投入资本有关的原始凭证、会计处理是否正确，必要时，向投资者函证实缴资本额，对有关财产和实物价值进行鉴定，以确定投入资本的真实性。结合往来款审计等关注有无抽资或变相抽资的情况。</t>
    <phoneticPr fontId="49" type="noConversion"/>
  </si>
  <si>
    <t>根据评估的舞弊风险等因素增加的审计程序。</t>
    <phoneticPr fontId="18" type="noConversion"/>
  </si>
  <si>
    <t>获取或编制实收资本（股本）明细表，完成以下工作，并编制审定表
（1）复核加计是否正确，与总账、明细账合计数核对是否相符，期初余额与上期审定期末余额是否相符；
（2）以非记账本位币出资的，检查其折算汇率是否符合规定，折算差额的会计处理是否正确。</t>
    <phoneticPr fontId="49" type="noConversion"/>
  </si>
  <si>
    <t>M2-2
/M2-5</t>
    <phoneticPr fontId="49" type="noConversion"/>
  </si>
  <si>
    <t>M2-1
/M2-2
/M2-4</t>
    <phoneticPr fontId="49" type="noConversion"/>
  </si>
  <si>
    <r>
      <t>A1-1</t>
    </r>
    <r>
      <rPr>
        <sz val="11"/>
        <color rgb="FFFF0000"/>
        <rFont val="Arial Narrow"/>
        <family val="2"/>
      </rPr>
      <t>/A1-15 /A1-16</t>
    </r>
    <phoneticPr fontId="49" type="noConversion"/>
  </si>
  <si>
    <t>实收资本（或股本）检查表</t>
    <phoneticPr fontId="18" type="noConversion"/>
  </si>
  <si>
    <t>实收资本（股本）检查表</t>
    <phoneticPr fontId="49" type="noConversion"/>
  </si>
  <si>
    <r>
      <rPr>
        <sz val="10"/>
        <rFont val="宋体"/>
        <family val="3"/>
        <charset val="134"/>
      </rPr>
      <t>截止日：</t>
    </r>
    <r>
      <rPr>
        <sz val="10"/>
        <rFont val="Arial Narrow"/>
        <family val="2"/>
      </rPr>
      <t>202X</t>
    </r>
    <r>
      <rPr>
        <sz val="10"/>
        <rFont val="宋体"/>
        <family val="3"/>
        <charset val="134"/>
      </rPr>
      <t>年</t>
    </r>
    <r>
      <rPr>
        <sz val="10"/>
        <rFont val="Arial Narrow"/>
        <family val="2"/>
      </rPr>
      <t>12</t>
    </r>
    <r>
      <rPr>
        <sz val="10"/>
        <rFont val="宋体"/>
        <family val="3"/>
        <charset val="134"/>
      </rPr>
      <t>月</t>
    </r>
    <r>
      <rPr>
        <sz val="10"/>
        <rFont val="Arial Narrow"/>
        <family val="2"/>
      </rPr>
      <t>31</t>
    </r>
    <r>
      <rPr>
        <sz val="10"/>
        <rFont val="宋体"/>
        <family val="3"/>
        <charset val="134"/>
      </rPr>
      <t>日</t>
    </r>
    <phoneticPr fontId="18" type="noConversion"/>
  </si>
  <si>
    <t>页 次：</t>
    <phoneticPr fontId="18" type="noConversion"/>
  </si>
  <si>
    <t>页  次：</t>
    <phoneticPr fontId="18" type="noConversion"/>
  </si>
  <si>
    <r>
      <rPr>
        <sz val="10"/>
        <color rgb="FF0000FF"/>
        <rFont val="宋体"/>
        <family val="3"/>
        <charset val="134"/>
      </rPr>
      <t xml:space="preserve">由被审计单位生成的信息不包括：
</t>
    </r>
    <r>
      <rPr>
        <sz val="10"/>
        <color rgb="FF0000FF"/>
        <rFont val="Arial Narrow"/>
        <family val="2"/>
      </rPr>
      <t xml:space="preserve">• </t>
    </r>
    <r>
      <rPr>
        <sz val="10"/>
        <color rgb="FF0000FF"/>
        <rFont val="宋体"/>
        <family val="3"/>
        <charset val="134"/>
      </rPr>
      <t xml:space="preserve">总分类账或明细分类账、试算平衡表、或经审计的财务报表；
</t>
    </r>
    <r>
      <rPr>
        <sz val="10"/>
        <color rgb="FF0000FF"/>
        <rFont val="Arial Narrow"/>
        <family val="2"/>
      </rPr>
      <t xml:space="preserve">• </t>
    </r>
    <r>
      <rPr>
        <sz val="10"/>
        <color rgb="FF0000FF"/>
        <rFont val="宋体"/>
        <family val="3"/>
        <charset val="134"/>
      </rPr>
      <t xml:space="preserve">第三方（除了服务机构）的报表或报告，例如，原始银行对账单，或函证的回函；
</t>
    </r>
    <r>
      <rPr>
        <sz val="10"/>
        <color rgb="FF0000FF"/>
        <rFont val="Arial Narrow"/>
        <family val="2"/>
      </rPr>
      <t xml:space="preserve">• </t>
    </r>
    <r>
      <rPr>
        <sz val="10"/>
        <color rgb="FF0000FF"/>
        <rFont val="宋体"/>
        <family val="3"/>
        <charset val="134"/>
      </rPr>
      <t>外部数据（例如，第三方发布的数据，如，定价来源）。</t>
    </r>
    <phoneticPr fontId="49" type="noConversion"/>
  </si>
  <si>
    <t>是否异常</t>
    <phoneticPr fontId="18" type="noConversion"/>
  </si>
  <si>
    <r>
      <t>3.</t>
    </r>
    <r>
      <rPr>
        <sz val="10"/>
        <rFont val="宋体"/>
        <family val="3"/>
        <charset val="134"/>
      </rPr>
      <t>实收资本以恰当的金额包括在财务报表中，与之相关的计价或分摊调整已恰当记录，相关披露已得到恰当计量和描述。</t>
    </r>
    <phoneticPr fontId="18" type="noConversion"/>
  </si>
  <si>
    <r>
      <t>1.</t>
    </r>
    <r>
      <rPr>
        <sz val="10"/>
        <rFont val="宋体"/>
        <family val="3"/>
        <charset val="134"/>
      </rPr>
      <t>资产负债表中记录的实收资本是存在的；</t>
    </r>
    <phoneticPr fontId="18" type="noConversion"/>
  </si>
  <si>
    <r>
      <t>2.</t>
    </r>
    <r>
      <rPr>
        <sz val="10"/>
        <rFont val="宋体"/>
        <family val="3"/>
        <charset val="134"/>
      </rPr>
      <t>记录的实收资本由被审计单位拥有或控制；</t>
    </r>
    <phoneticPr fontId="18" type="noConversion"/>
  </si>
  <si>
    <t>IPO/上市/新三板/重组/舞弊应对</t>
    <phoneticPr fontId="49" type="noConversion"/>
  </si>
  <si>
    <t>IPO/上市/新三板/重组/舞弊应对</t>
    <phoneticPr fontId="49" type="noConversion"/>
  </si>
  <si>
    <t>列报</t>
    <phoneticPr fontId="18" type="noConversion"/>
  </si>
  <si>
    <t>完整性</t>
    <phoneticPr fontId="18" type="noConversion"/>
  </si>
  <si>
    <t>权利和义务</t>
    <phoneticPr fontId="18" type="noConversion"/>
  </si>
  <si>
    <r>
      <t xml:space="preserve">C. </t>
    </r>
    <r>
      <rPr>
        <sz val="10"/>
        <rFont val="宋体"/>
        <family val="3"/>
        <charset val="134"/>
      </rPr>
      <t>记录的实收资本由被审计单位拥有或控制</t>
    </r>
    <phoneticPr fontId="18" type="noConversion"/>
  </si>
  <si>
    <r>
      <t xml:space="preserve">D. </t>
    </r>
    <r>
      <rPr>
        <sz val="10"/>
        <rFont val="宋体"/>
        <family val="3"/>
        <charset val="134"/>
      </rPr>
      <t>实收资本以恰当的金额包括在财务报表中，与之相关的计价或分摊调整已恰当记录，相关披露已得到恰当计量和描述</t>
    </r>
    <r>
      <rPr>
        <sz val="10"/>
        <rFont val="Arial"/>
        <family val="2"/>
      </rPr>
      <t xml:space="preserve"> </t>
    </r>
    <phoneticPr fontId="18" type="noConversion"/>
  </si>
  <si>
    <r>
      <t xml:space="preserve">E. </t>
    </r>
    <r>
      <rPr>
        <sz val="10"/>
        <rFont val="宋体"/>
        <family val="3"/>
        <charset val="134"/>
      </rPr>
      <t>实收资本已被恰当地汇总或分解且表述清楚，相关披露在按照企业会计准则的编制基础下是相关的、可理解的</t>
    </r>
    <phoneticPr fontId="18" type="noConversion"/>
  </si>
  <si>
    <r>
      <rPr>
        <sz val="10"/>
        <rFont val="宋体"/>
        <family val="3"/>
        <charset val="134"/>
      </rPr>
      <t>被审计单位：</t>
    </r>
    <r>
      <rPr>
        <sz val="10"/>
        <rFont val="Arial Narrow"/>
        <family val="2"/>
      </rPr>
      <t/>
    </r>
    <phoneticPr fontId="18" type="noConversion"/>
  </si>
  <si>
    <t>编制人：</t>
    <phoneticPr fontId="18" type="noConversion"/>
  </si>
  <si>
    <t>编制日期：</t>
    <phoneticPr fontId="18" type="noConversion"/>
  </si>
  <si>
    <t>复核人：</t>
    <phoneticPr fontId="18" type="noConversion"/>
  </si>
  <si>
    <t>复核日期：</t>
    <phoneticPr fontId="18" type="noConversion"/>
  </si>
  <si>
    <t>关于工作底稿与审计程序索引号对应的说明</t>
    <phoneticPr fontId="18" type="noConversion"/>
  </si>
  <si>
    <r>
      <t>1.</t>
    </r>
    <r>
      <rPr>
        <b/>
        <sz val="12"/>
        <rFont val="宋体"/>
        <family val="3"/>
        <charset val="134"/>
      </rPr>
      <t>编制的审计工作底稿应与审计程序对应。</t>
    </r>
    <r>
      <rPr>
        <sz val="12"/>
        <rFont val="宋体"/>
        <family val="3"/>
        <charset val="134"/>
      </rPr>
      <t>审计项目组应根据被审计单位实际情况和风险评估情况在实质性程序表中裁剪、修改或增加审计程序，根据实际执行的审计程序完成相应审计工作底稿，编制的工作底稿中应按自然顺序依次编制索引号，并通过唯一的索引号将与实质性程序表中的程序对应关联（即将工作底稿的索引号填入实质性程序表中的底稿索引号列）。</t>
    </r>
    <phoneticPr fontId="18" type="noConversion"/>
  </si>
  <si>
    <r>
      <t>2.</t>
    </r>
    <r>
      <rPr>
        <b/>
        <sz val="12"/>
        <rFont val="宋体"/>
        <family val="3"/>
        <charset val="134"/>
      </rPr>
      <t>获取的支持性证据应与审计底稿或程序对应。</t>
    </r>
    <r>
      <rPr>
        <sz val="12"/>
        <rFont val="宋体"/>
        <family val="3"/>
        <charset val="134"/>
      </rPr>
      <t>审计项目组在完成底稿时获取的支持性证据应根据底稿索引号编制下一级按自然顺序排序的索引号（如</t>
    </r>
    <r>
      <rPr>
        <sz val="12"/>
        <rFont val="Arial Narrow"/>
        <family val="2"/>
      </rPr>
      <t>D1-2-1</t>
    </r>
    <r>
      <rPr>
        <sz val="12"/>
        <rFont val="宋体"/>
        <family val="3"/>
        <charset val="134"/>
      </rPr>
      <t>、</t>
    </r>
    <r>
      <rPr>
        <sz val="12"/>
        <rFont val="Arial Narrow"/>
        <family val="2"/>
      </rPr>
      <t>D1-2-2</t>
    </r>
    <r>
      <rPr>
        <sz val="12"/>
        <rFont val="宋体"/>
        <family val="3"/>
        <charset val="134"/>
      </rPr>
      <t>、</t>
    </r>
    <r>
      <rPr>
        <sz val="12"/>
        <rFont val="Arial Narrow"/>
        <family val="2"/>
      </rPr>
      <t>……</t>
    </r>
    <r>
      <rPr>
        <sz val="12"/>
        <rFont val="宋体"/>
        <family val="3"/>
        <charset val="134"/>
      </rPr>
      <t>），并在底稿中说明引用的支持性证据、关联索引号。</t>
    </r>
    <phoneticPr fontId="18" type="noConversion"/>
  </si>
  <si>
    <r>
      <rPr>
        <b/>
        <sz val="12"/>
        <rFont val="Arial Narrow"/>
        <family val="2"/>
      </rPr>
      <t>3.</t>
    </r>
    <r>
      <rPr>
        <b/>
        <sz val="12"/>
        <rFont val="宋体"/>
        <family val="3"/>
        <charset val="134"/>
      </rPr>
      <t>工作底稿索引号的编码规则：</t>
    </r>
    <r>
      <rPr>
        <sz val="12"/>
        <rFont val="宋体"/>
        <family val="3"/>
        <charset val="134"/>
      </rPr>
      <t>实质性程序索引号按循环从</t>
    </r>
    <r>
      <rPr>
        <sz val="12"/>
        <rFont val="Arial Narrow"/>
        <family val="2"/>
      </rPr>
      <t>“D”</t>
    </r>
    <r>
      <rPr>
        <sz val="12"/>
        <rFont val="宋体"/>
        <family val="3"/>
        <charset val="134"/>
      </rPr>
      <t>到</t>
    </r>
    <r>
      <rPr>
        <sz val="12"/>
        <rFont val="Arial Narrow"/>
        <family val="2"/>
      </rPr>
      <t>“N”,</t>
    </r>
    <r>
      <rPr>
        <sz val="12"/>
        <rFont val="宋体"/>
        <family val="3"/>
        <charset val="134"/>
      </rPr>
      <t>循环内账户以顺序号排列，模板中底稿索引号按账户顺序</t>
    </r>
    <r>
      <rPr>
        <sz val="12"/>
        <rFont val="Arial Narrow"/>
        <family val="2"/>
      </rPr>
      <t>+</t>
    </r>
    <r>
      <rPr>
        <sz val="12"/>
        <rFont val="宋体"/>
        <family val="3"/>
        <charset val="134"/>
      </rPr>
      <t>自然数顺序（即模板中索引号按二级自然顺序排列，如</t>
    </r>
    <r>
      <rPr>
        <sz val="12"/>
        <rFont val="Arial Narrow"/>
        <family val="2"/>
      </rPr>
      <t>D1-1</t>
    </r>
    <r>
      <rPr>
        <sz val="12"/>
        <rFont val="宋体"/>
        <family val="3"/>
        <charset val="134"/>
      </rPr>
      <t>、</t>
    </r>
    <r>
      <rPr>
        <sz val="12"/>
        <rFont val="Arial Narrow"/>
        <family val="2"/>
      </rPr>
      <t>D1-2</t>
    </r>
    <r>
      <rPr>
        <sz val="12"/>
        <rFont val="宋体"/>
        <family val="3"/>
        <charset val="134"/>
      </rPr>
      <t>、</t>
    </r>
    <r>
      <rPr>
        <sz val="12"/>
        <rFont val="Arial Narrow"/>
        <family val="2"/>
      </rPr>
      <t>D1-3</t>
    </r>
    <r>
      <rPr>
        <sz val="12"/>
        <rFont val="宋体"/>
        <family val="3"/>
        <charset val="134"/>
      </rPr>
      <t>、</t>
    </r>
    <r>
      <rPr>
        <sz val="12"/>
        <rFont val="Arial Narrow"/>
        <family val="2"/>
      </rPr>
      <t>……D1-N</t>
    </r>
    <r>
      <rPr>
        <sz val="12"/>
        <rFont val="宋体"/>
        <family val="3"/>
        <charset val="134"/>
      </rPr>
      <t>）。</t>
    </r>
    <phoneticPr fontId="18" type="noConversion"/>
  </si>
  <si>
    <t>根据被审计单位实际情况和风险评估情况裁剪、修改或增加审计程序</t>
    <phoneticPr fontId="18" type="noConversion"/>
  </si>
  <si>
    <t>审计程序</t>
    <phoneticPr fontId="49" type="noConversion"/>
  </si>
  <si>
    <t>T1
/</t>
    <phoneticPr fontId="49" type="noConversion"/>
  </si>
  <si>
    <t>本期增加金额</t>
    <phoneticPr fontId="18" type="noConversion"/>
  </si>
  <si>
    <t>检查比例</t>
    <phoneticPr fontId="18" type="noConversion"/>
  </si>
  <si>
    <t>外币投资汇率测算表</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</si>
</sst>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2">
    <numFmt numFmtId="41" formatCode="_ * #,##0_ ;_ * \-#,##0_ ;_ * &quot;-&quot;_ ;_ @_ "/>
    <numFmt numFmtId="43" formatCode="_ * #,##0.00_ ;_ * \-#,##0.00_ ;_ * &quot;-&quot;??_ ;_ @_ "/>
    <numFmt numFmtId="176" formatCode="_-* #,##0_-;\-* #,##0_-;_-* &quot;-&quot;_-;_-@_-"/>
    <numFmt numFmtId="177" formatCode="_-* #,##0.00_-;\-* #,##0.00_-;_-* &quot;-&quot;??_-;_-@_-"/>
    <numFmt numFmtId="178" formatCode="_(* #,##0_);_(* \(#,##0\);_(* &quot;-&quot;_);_(@_)"/>
    <numFmt numFmtId="179" formatCode="_(* #,##0.00_);_(* \(#,##0.00\);_(* &quot;-&quot;??_);_(@_)"/>
    <numFmt numFmtId="180" formatCode="&quot;$&quot;#,##0_);\(&quot;$&quot;#,##0\)"/>
    <numFmt numFmtId="181" formatCode="_-&quot;$&quot;* #,##0_-;\-&quot;$&quot;* #,##0_-;_-&quot;$&quot;* &quot;-&quot;_-;_-@_-"/>
    <numFmt numFmtId="182" formatCode="_-&quot;$&quot;* #,##0.00_-;\-&quot;$&quot;* #,##0.00_-;_-&quot;$&quot;* &quot;-&quot;??_-;_-@_-"/>
    <numFmt numFmtId="183" formatCode="&quot;\&quot;#,##0;&quot;\&quot;&quot;\&quot;\-#,##0"/>
    <numFmt numFmtId="184" formatCode="&quot;\&quot;#,##0;[Red]&quot;\&quot;&quot;\&quot;\-#,##0"/>
    <numFmt numFmtId="185" formatCode="&quot;\&quot;#,##0.00;[Red]&quot;\&quot;&quot;\&quot;\-#,##0.00"/>
    <numFmt numFmtId="186" formatCode="_-#,##0.00_-;\(#,##0.00\);_-\ \ &quot;-&quot;_-;_-@_-"/>
    <numFmt numFmtId="187" formatCode="mmm/yyyy;_-\ &quot;N/A&quot;_-;_-\ &quot;-&quot;_-"/>
    <numFmt numFmtId="188" formatCode="mmm/dd/yyyy;_-\ &quot;N/A&quot;_-;_-\ &quot;-&quot;_-"/>
    <numFmt numFmtId="189" formatCode="_-#,##0_-;\(#,##0\);_-\ \ &quot;-&quot;_-;_-@_-"/>
    <numFmt numFmtId="190" formatCode="_-#,##0%_-;\(#,##0%\);_-\ &quot;-&quot;_-"/>
    <numFmt numFmtId="191" formatCode="_-#,###,_-;\(#,###,\);_-\ \ &quot;-&quot;_-;_-@_-"/>
    <numFmt numFmtId="192" formatCode="_-#,###.00,_-;\(#,###.00,\);_-\ \ &quot;-&quot;_-;_-@_-"/>
    <numFmt numFmtId="193" formatCode="_([$€-2]* #,##0.00_);_([$€-2]* \(#,##0.00\);_([$€-2]* &quot;-&quot;??_)"/>
    <numFmt numFmtId="194" formatCode="_-#0&quot;.&quot;0000_-;\(#0&quot;.&quot;0000\);_-\ \ &quot;-&quot;_-;_-@_-"/>
    <numFmt numFmtId="195" formatCode="_-#0&quot;.&quot;0,_-;\(#0&quot;.&quot;0,\);_-\ \ &quot;-&quot;_-;_-@_-"/>
  </numFmts>
  <fonts count="89">
    <font>
      <sz val="12"/>
      <name val="宋体"/>
      <charset val="134"/>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7"/>
      <name val="Helv"/>
      <family val="2"/>
    </font>
    <font>
      <b/>
      <sz val="10"/>
      <name val="MS Sans Serif"/>
      <family val="2"/>
    </font>
    <font>
      <sz val="10"/>
      <name val="Arial"/>
      <family val="2"/>
    </font>
    <font>
      <u/>
      <sz val="7.5"/>
      <color indexed="36"/>
      <name val="Arial"/>
      <family val="2"/>
    </font>
    <font>
      <sz val="8"/>
      <name val="Arial"/>
      <family val="2"/>
    </font>
    <font>
      <u/>
      <sz val="7.5"/>
      <color indexed="12"/>
      <name val="Arial"/>
      <family val="2"/>
    </font>
    <font>
      <sz val="12"/>
      <name val="宋体"/>
      <family val="3"/>
      <charset val="134"/>
    </font>
    <font>
      <sz val="10"/>
      <name val="Courier"/>
      <family val="3"/>
    </font>
    <font>
      <sz val="12"/>
      <name val="Garamond"/>
      <family val="1"/>
    </font>
    <font>
      <sz val="7"/>
      <color indexed="10"/>
      <name val="Helv"/>
      <family val="2"/>
    </font>
    <font>
      <u/>
      <sz val="12"/>
      <color indexed="12"/>
      <name val="宋体"/>
      <family val="3"/>
      <charset val="134"/>
    </font>
    <font>
      <sz val="12"/>
      <name val="楷体"/>
      <family val="3"/>
      <charset val="134"/>
    </font>
    <font>
      <sz val="12"/>
      <name val="楷体_GB2312"/>
      <family val="3"/>
      <charset val="134"/>
    </font>
    <font>
      <sz val="9"/>
      <name val="宋体"/>
      <family val="3"/>
      <charset val="134"/>
    </font>
    <font>
      <sz val="10"/>
      <name val="宋体"/>
      <family val="3"/>
      <charset val="134"/>
    </font>
    <font>
      <b/>
      <sz val="12"/>
      <name val="宋体"/>
      <family val="3"/>
      <charset val="134"/>
    </font>
    <font>
      <sz val="10"/>
      <name val="Times New Roman"/>
      <family val="1"/>
    </font>
    <font>
      <b/>
      <sz val="10"/>
      <name val="宋体"/>
      <family val="3"/>
      <charset val="134"/>
    </font>
    <font>
      <sz val="10"/>
      <color indexed="10"/>
      <name val="宋体"/>
      <family val="3"/>
      <charset val="134"/>
    </font>
    <font>
      <sz val="12"/>
      <name val="Times New Roman"/>
      <family val="1"/>
    </font>
    <font>
      <sz val="10"/>
      <color indexed="12"/>
      <name val="宋体"/>
      <family val="3"/>
      <charset val="134"/>
    </font>
    <font>
      <b/>
      <sz val="10"/>
      <color indexed="12"/>
      <name val="宋体"/>
      <family val="3"/>
      <charset val="134"/>
    </font>
    <font>
      <i/>
      <sz val="10"/>
      <color indexed="12"/>
      <name val="宋体"/>
      <family val="3"/>
      <charset val="134"/>
    </font>
    <font>
      <sz val="18"/>
      <color indexed="48"/>
      <name val="魏碑"/>
      <family val="3"/>
      <charset val="134"/>
    </font>
    <font>
      <sz val="12"/>
      <name val="Arial"/>
      <family val="2"/>
    </font>
    <font>
      <sz val="10.5"/>
      <name val="Arial"/>
      <family val="2"/>
    </font>
    <font>
      <b/>
      <sz val="12"/>
      <name val="Arial"/>
      <family val="2"/>
    </font>
    <font>
      <b/>
      <sz val="12"/>
      <name val="Arial Narrow"/>
      <family val="2"/>
    </font>
    <font>
      <sz val="12"/>
      <name val="Arial Narrow"/>
      <family val="2"/>
    </font>
    <font>
      <sz val="10"/>
      <name val="Arial Narrow"/>
      <family val="2"/>
    </font>
    <font>
      <b/>
      <sz val="10"/>
      <name val="Arial Narrow"/>
      <family val="2"/>
    </font>
    <font>
      <sz val="10"/>
      <color indexed="12"/>
      <name val="Arial Narrow"/>
      <family val="2"/>
    </font>
    <font>
      <u val="singleAccounting"/>
      <vertAlign val="subscript"/>
      <sz val="10"/>
      <name val="Times New Roman"/>
      <family val="1"/>
    </font>
    <font>
      <i/>
      <sz val="9"/>
      <name val="Times New Roman"/>
      <family val="1"/>
    </font>
    <font>
      <i/>
      <u/>
      <sz val="10"/>
      <color indexed="12"/>
      <name val="宋体"/>
      <family val="3"/>
      <charset val="134"/>
    </font>
    <font>
      <u/>
      <sz val="10"/>
      <name val="Arial Narrow"/>
      <family val="2"/>
    </font>
    <font>
      <b/>
      <sz val="10"/>
      <color indexed="8"/>
      <name val="Arial Narrow"/>
      <family val="2"/>
    </font>
    <font>
      <b/>
      <sz val="10"/>
      <color indexed="8"/>
      <name val="宋体"/>
      <family val="3"/>
      <charset val="134"/>
    </font>
    <font>
      <b/>
      <u/>
      <sz val="10"/>
      <color indexed="10"/>
      <name val="Arial Narrow"/>
      <family val="2"/>
    </font>
    <font>
      <sz val="11"/>
      <color theme="1"/>
      <name val="宋体"/>
      <family val="3"/>
      <charset val="134"/>
      <scheme val="minor"/>
    </font>
    <font>
      <sz val="9"/>
      <name val="Arial Narrow"/>
      <family val="2"/>
    </font>
    <font>
      <sz val="9"/>
      <name val="宋体"/>
      <family val="3"/>
      <charset val="134"/>
      <scheme val="minor"/>
    </font>
    <font>
      <b/>
      <sz val="9"/>
      <name val="Arial Narrow"/>
      <family val="2"/>
    </font>
    <font>
      <sz val="10"/>
      <color indexed="8"/>
      <name val="Arial Narrow"/>
      <family val="2"/>
    </font>
    <font>
      <sz val="9"/>
      <name val="宋体"/>
      <family val="2"/>
      <charset val="134"/>
      <scheme val="minor"/>
    </font>
    <font>
      <b/>
      <sz val="10"/>
      <name val="宋体"/>
      <family val="3"/>
      <charset val="134"/>
      <scheme val="minor"/>
    </font>
    <font>
      <b/>
      <sz val="10"/>
      <color rgb="FF000000"/>
      <name val="宋体"/>
      <family val="3"/>
      <charset val="134"/>
      <scheme val="minor"/>
    </font>
    <font>
      <i/>
      <sz val="10"/>
      <color indexed="12"/>
      <name val="Arial Narrow"/>
      <family val="2"/>
    </font>
    <font>
      <sz val="10"/>
      <color theme="1"/>
      <name val="Arial Narrow"/>
      <family val="2"/>
    </font>
    <font>
      <sz val="11"/>
      <color theme="1"/>
      <name val="Arial Narrow"/>
      <family val="2"/>
    </font>
    <font>
      <b/>
      <sz val="14"/>
      <name val="宋体"/>
      <family val="3"/>
      <charset val="134"/>
    </font>
    <font>
      <b/>
      <sz val="14"/>
      <name val="Arial Narrow"/>
      <family val="2"/>
    </font>
    <font>
      <b/>
      <sz val="10"/>
      <name val="Arial"/>
      <family val="2"/>
    </font>
    <font>
      <sz val="10"/>
      <color theme="1" tint="0.14999847407452621"/>
      <name val="宋体"/>
      <family val="3"/>
      <charset val="134"/>
    </font>
    <font>
      <b/>
      <sz val="10"/>
      <color rgb="FFFF0000"/>
      <name val="Arial Narrow"/>
      <family val="2"/>
    </font>
    <font>
      <sz val="10"/>
      <color rgb="FFFF0000"/>
      <name val="Arial Narrow"/>
      <family val="2"/>
    </font>
    <font>
      <b/>
      <sz val="10"/>
      <color theme="0" tint="-0.499984740745262"/>
      <name val="Arial Narrow"/>
      <family val="2"/>
    </font>
    <font>
      <sz val="10"/>
      <color theme="1"/>
      <name val="宋体"/>
      <family val="3"/>
      <charset val="134"/>
    </font>
    <font>
      <sz val="11"/>
      <name val="Arial Narrow"/>
      <family val="2"/>
    </font>
    <font>
      <sz val="10"/>
      <color theme="1"/>
      <name val="Arial"/>
      <family val="2"/>
    </font>
    <font>
      <b/>
      <sz val="10"/>
      <color theme="1"/>
      <name val="宋体"/>
      <family val="3"/>
      <charset val="134"/>
    </font>
    <font>
      <sz val="10"/>
      <color rgb="FFFF0000"/>
      <name val="宋体"/>
      <family val="3"/>
      <charset val="134"/>
    </font>
    <font>
      <sz val="10"/>
      <color theme="1"/>
      <name val="宋体"/>
      <family val="2"/>
      <charset val="134"/>
    </font>
    <font>
      <b/>
      <sz val="9"/>
      <color indexed="81"/>
      <name val="宋体"/>
      <family val="3"/>
      <charset val="134"/>
    </font>
    <font>
      <sz val="9"/>
      <color indexed="81"/>
      <name val="宋体"/>
      <family val="3"/>
      <charset val="134"/>
    </font>
    <font>
      <sz val="10"/>
      <color rgb="FF0000FF"/>
      <name val="宋体"/>
      <family val="3"/>
      <charset val="134"/>
    </font>
    <font>
      <b/>
      <sz val="10"/>
      <color rgb="FFE92841"/>
      <name val="Arial Narrow"/>
      <family val="2"/>
    </font>
    <font>
      <sz val="10"/>
      <color indexed="8"/>
      <name val="宋体"/>
      <family val="3"/>
      <charset val="134"/>
    </font>
    <font>
      <sz val="12"/>
      <color indexed="12"/>
      <name val="仿宋_GB2312"/>
      <family val="3"/>
      <charset val="134"/>
    </font>
    <font>
      <sz val="12"/>
      <name val="宋体"/>
      <family val="3"/>
      <charset val="134"/>
      <scheme val="minor"/>
    </font>
    <font>
      <sz val="10"/>
      <name val="宋体"/>
      <family val="3"/>
      <charset val="134"/>
      <scheme val="minor"/>
    </font>
    <font>
      <sz val="10"/>
      <color rgb="FF0000FF"/>
      <name val="宋体"/>
      <family val="3"/>
      <charset val="134"/>
      <scheme val="minor"/>
    </font>
    <font>
      <sz val="10"/>
      <color rgb="FF000000"/>
      <name val="宋体"/>
      <family val="3"/>
      <charset val="134"/>
      <scheme val="minor"/>
    </font>
    <font>
      <b/>
      <sz val="10"/>
      <color rgb="FFFF0000"/>
      <name val="宋体"/>
      <family val="3"/>
      <charset val="134"/>
    </font>
    <font>
      <b/>
      <sz val="10"/>
      <color rgb="FF000000"/>
      <name val="宋体"/>
      <family val="3"/>
      <charset val="134"/>
    </font>
    <font>
      <sz val="12"/>
      <color rgb="FF0000FF"/>
      <name val="宋体"/>
      <family val="3"/>
      <charset val="134"/>
    </font>
    <font>
      <sz val="10"/>
      <color theme="1"/>
      <name val="宋体"/>
      <family val="3"/>
      <charset val="134"/>
      <scheme val="minor"/>
    </font>
    <font>
      <b/>
      <sz val="10"/>
      <color rgb="FF0000FF"/>
      <name val="Arial Narrow"/>
      <family val="2"/>
    </font>
    <font>
      <sz val="10"/>
      <color rgb="FF0000FF"/>
      <name val="Arial Narrow"/>
      <family val="2"/>
    </font>
    <font>
      <sz val="11"/>
      <color rgb="FFFF0000"/>
      <name val="Arial Narrow"/>
      <family val="2"/>
    </font>
    <font>
      <sz val="10"/>
      <color rgb="FF3333FF"/>
      <name val="Arial Narrow"/>
      <family val="2"/>
    </font>
    <font>
      <sz val="10"/>
      <color rgb="FF3333FF"/>
      <name val="宋体"/>
      <family val="3"/>
      <charset val="134"/>
    </font>
    <font>
      <b/>
      <sz val="10"/>
      <color rgb="FF000000"/>
      <name val="Arial Narrow"/>
      <family val="2"/>
    </font>
    <font>
      <b/>
      <sz val="10"/>
      <color rgb="FF0000FF"/>
      <name val="宋体"/>
      <family val="3"/>
      <charset val="134"/>
    </font>
  </fonts>
  <fills count="11">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14"/>
        <bgColor indexed="64"/>
      </patternFill>
    </fill>
    <fill>
      <patternFill patternType="solid">
        <fgColor theme="7" tint="0.79998168889431442"/>
        <bgColor indexed="64"/>
      </patternFill>
    </fill>
    <fill>
      <patternFill patternType="solid">
        <fgColor indexed="9"/>
        <bgColor indexed="64"/>
      </patternFill>
    </fill>
    <fill>
      <patternFill patternType="solid">
        <fgColor theme="0" tint="-0.14999847407452621"/>
        <bgColor indexed="64"/>
      </patternFill>
    </fill>
    <fill>
      <patternFill patternType="solid">
        <fgColor rgb="FF00B050"/>
        <bgColor indexed="64"/>
      </patternFill>
    </fill>
    <fill>
      <patternFill patternType="solid">
        <fgColor rgb="FFE4DFEC"/>
        <bgColor indexed="64"/>
      </patternFill>
    </fill>
    <fill>
      <patternFill patternType="solid">
        <fgColor theme="7" tint="0.79998168889431442"/>
        <bgColor rgb="FFB7DEE8"/>
      </patternFill>
    </fill>
  </fills>
  <borders count="16">
    <border>
      <left/>
      <right/>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hair">
        <color indexed="64"/>
      </left>
      <right style="hair">
        <color indexed="64"/>
      </right>
      <top style="hair">
        <color indexed="64"/>
      </top>
      <bottom style="hair">
        <color indexed="64"/>
      </bottom>
      <diagonal/>
    </border>
    <border>
      <left/>
      <right/>
      <top style="hair">
        <color indexed="64"/>
      </top>
      <bottom/>
      <diagonal/>
    </border>
    <border>
      <left/>
      <right style="hair">
        <color indexed="64"/>
      </right>
      <top style="hair">
        <color indexed="64"/>
      </top>
      <bottom/>
      <diagonal/>
    </border>
    <border>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right/>
      <top/>
      <bottom style="medium">
        <color indexed="64"/>
      </bottom>
      <diagonal/>
    </border>
    <border>
      <left/>
      <right/>
      <top style="medium">
        <color indexed="64"/>
      </top>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medium">
        <color indexed="64"/>
      </top>
      <bottom style="medium">
        <color indexed="64"/>
      </bottom>
      <diagonal/>
    </border>
    <border>
      <left style="hair">
        <color indexed="64"/>
      </left>
      <right style="hair">
        <color indexed="64"/>
      </right>
      <top/>
      <bottom/>
      <diagonal/>
    </border>
  </borders>
  <cellStyleXfs count="59">
    <xf numFmtId="0" fontId="0" fillId="0" borderId="0">
      <protection locked="0"/>
    </xf>
    <xf numFmtId="49" fontId="21" fillId="0" borderId="0" applyProtection="0">
      <alignment horizontal="left"/>
    </xf>
    <xf numFmtId="189" fontId="21" fillId="0" borderId="0" applyFill="0" applyBorder="0" applyProtection="0">
      <alignment horizontal="right"/>
    </xf>
    <xf numFmtId="186" fontId="21" fillId="0" borderId="0" applyFill="0" applyBorder="0" applyProtection="0">
      <alignment horizontal="right"/>
    </xf>
    <xf numFmtId="188" fontId="37" fillId="0" borderId="0" applyFill="0" applyBorder="0" applyProtection="0">
      <alignment horizontal="center"/>
    </xf>
    <xf numFmtId="187" fontId="37" fillId="0" borderId="0" applyFill="0" applyBorder="0" applyProtection="0">
      <alignment horizontal="center"/>
    </xf>
    <xf numFmtId="190" fontId="38" fillId="0" borderId="0" applyFill="0" applyBorder="0" applyProtection="0">
      <alignment horizontal="right"/>
    </xf>
    <xf numFmtId="191" fontId="21" fillId="0" borderId="0" applyFill="0" applyBorder="0" applyProtection="0">
      <alignment horizontal="right"/>
    </xf>
    <xf numFmtId="192" fontId="21" fillId="0" borderId="0" applyFill="0" applyBorder="0" applyProtection="0">
      <alignment horizontal="right"/>
    </xf>
    <xf numFmtId="195" fontId="21" fillId="0" borderId="0" applyFill="0" applyBorder="0" applyProtection="0">
      <alignment horizontal="right"/>
    </xf>
    <xf numFmtId="194" fontId="21" fillId="0" borderId="0" applyFill="0" applyBorder="0" applyProtection="0">
      <alignment horizontal="right"/>
    </xf>
    <xf numFmtId="3" fontId="5" fillId="0" borderId="0"/>
    <xf numFmtId="180" fontId="6" fillId="0" borderId="1" applyAlignment="0" applyProtection="0"/>
    <xf numFmtId="176" fontId="7" fillId="0" borderId="0" applyFont="0" applyFill="0" applyBorder="0" applyAlignment="0" applyProtection="0"/>
    <xf numFmtId="177" fontId="7" fillId="0" borderId="0" applyFont="0" applyFill="0" applyBorder="0" applyAlignment="0" applyProtection="0"/>
    <xf numFmtId="181" fontId="7" fillId="0" borderId="0" applyFont="0" applyFill="0" applyBorder="0" applyAlignment="0" applyProtection="0"/>
    <xf numFmtId="182" fontId="7" fillId="0" borderId="0" applyFont="0" applyFill="0" applyBorder="0" applyAlignment="0" applyProtection="0"/>
    <xf numFmtId="41" fontId="7" fillId="0" borderId="0" applyFont="0" applyFill="0" applyBorder="0" applyAlignment="0" applyProtection="0"/>
    <xf numFmtId="43" fontId="7" fillId="0" borderId="0" applyFont="0" applyFill="0" applyBorder="0" applyAlignment="0" applyProtection="0"/>
    <xf numFmtId="193" fontId="21" fillId="0" borderId="0" applyFont="0" applyFill="0" applyBorder="0" applyAlignment="0" applyProtection="0"/>
    <xf numFmtId="0" fontId="8" fillId="0" borderId="0" applyNumberFormat="0" applyFill="0" applyBorder="0" applyAlignment="0" applyProtection="0">
      <alignment vertical="top"/>
      <protection locked="0"/>
    </xf>
    <xf numFmtId="38" fontId="9" fillId="2" borderId="0" applyNumberFormat="0" applyBorder="0" applyAlignment="0" applyProtection="0"/>
    <xf numFmtId="0" fontId="10" fillId="0" borderId="0" applyNumberFormat="0" applyFill="0" applyBorder="0" applyAlignment="0" applyProtection="0">
      <alignment vertical="top"/>
      <protection locked="0"/>
    </xf>
    <xf numFmtId="10" fontId="9" fillId="3" borderId="2" applyNumberFormat="0" applyBorder="0" applyAlignment="0" applyProtection="0"/>
    <xf numFmtId="184" fontId="11" fillId="0" borderId="0" applyFont="0" applyFill="0" applyBorder="0" applyAlignment="0" applyProtection="0"/>
    <xf numFmtId="185" fontId="11" fillId="0" borderId="0" applyFont="0" applyFill="0" applyBorder="0" applyAlignment="0" applyProtection="0"/>
    <xf numFmtId="0" fontId="12" fillId="0" borderId="0"/>
    <xf numFmtId="183" fontId="11" fillId="0" borderId="0"/>
    <xf numFmtId="0" fontId="13" fillId="0" borderId="0"/>
    <xf numFmtId="10" fontId="7" fillId="0" borderId="0" applyFont="0" applyFill="0" applyBorder="0" applyAlignment="0" applyProtection="0"/>
    <xf numFmtId="3" fontId="14" fillId="0" borderId="0"/>
    <xf numFmtId="9" fontId="11" fillId="0" borderId="0" applyFont="0" applyFill="0" applyBorder="0" applyAlignment="0" applyProtection="0"/>
    <xf numFmtId="0" fontId="11" fillId="0" borderId="0">
      <alignment vertical="center"/>
    </xf>
    <xf numFmtId="0" fontId="24" fillId="0" borderId="0"/>
    <xf numFmtId="0" fontId="11" fillId="0" borderId="0"/>
    <xf numFmtId="0" fontId="11" fillId="0" borderId="0" applyFill="0" applyBorder="0"/>
    <xf numFmtId="0" fontId="15" fillId="0" borderId="0" applyNumberFormat="0" applyFill="0" applyBorder="0" applyAlignment="0" applyProtection="0">
      <alignment vertical="top"/>
      <protection locked="0"/>
    </xf>
    <xf numFmtId="0" fontId="16" fillId="0" borderId="0"/>
    <xf numFmtId="178" fontId="11" fillId="0" borderId="0" applyFont="0" applyFill="0" applyBorder="0" applyAlignment="0" applyProtection="0"/>
    <xf numFmtId="179" fontId="11" fillId="0" borderId="0" applyFont="0" applyFill="0" applyBorder="0" applyAlignment="0" applyProtection="0"/>
    <xf numFmtId="41" fontId="17" fillId="0" borderId="0" applyFont="0" applyFill="0" applyBorder="0" applyAlignment="0" applyProtection="0"/>
    <xf numFmtId="43" fontId="17" fillId="0" borderId="0" applyFont="0" applyFill="0" applyBorder="0" applyAlignment="0" applyProtection="0"/>
    <xf numFmtId="43" fontId="11" fillId="0" borderId="0" applyFont="0" applyFill="0" applyBorder="0" applyAlignment="0" applyProtection="0"/>
    <xf numFmtId="0" fontId="11" fillId="0" borderId="0">
      <protection locked="0"/>
    </xf>
    <xf numFmtId="0" fontId="11" fillId="0" borderId="0">
      <alignment vertical="center"/>
    </xf>
    <xf numFmtId="193" fontId="44" fillId="0" borderId="0">
      <alignment vertical="center"/>
    </xf>
    <xf numFmtId="0" fontId="11" fillId="0" borderId="0">
      <alignment vertical="center"/>
    </xf>
    <xf numFmtId="193" fontId="11" fillId="0" borderId="0"/>
    <xf numFmtId="193" fontId="11" fillId="0" borderId="0">
      <alignment vertical="center"/>
    </xf>
    <xf numFmtId="193" fontId="4" fillId="0" borderId="0">
      <alignment vertical="center"/>
    </xf>
    <xf numFmtId="0" fontId="11" fillId="0" borderId="0">
      <protection locked="0"/>
    </xf>
    <xf numFmtId="43" fontId="11" fillId="0" borderId="0" applyFont="0" applyFill="0" applyBorder="0" applyAlignment="0" applyProtection="0"/>
    <xf numFmtId="0" fontId="11" fillId="0" borderId="0">
      <protection locked="0"/>
    </xf>
    <xf numFmtId="193" fontId="11" fillId="0" borderId="0"/>
    <xf numFmtId="0" fontId="15" fillId="0" borderId="0" applyNumberFormat="0" applyFill="0" applyBorder="0" applyAlignment="0" applyProtection="0">
      <alignment vertical="top"/>
      <protection locked="0"/>
    </xf>
    <xf numFmtId="9" fontId="11" fillId="0" borderId="0" applyFont="0" applyFill="0" applyBorder="0" applyAlignment="0" applyProtection="0"/>
    <xf numFmtId="193" fontId="3" fillId="0" borderId="0">
      <alignment vertical="center"/>
    </xf>
    <xf numFmtId="193" fontId="2" fillId="0" borderId="0">
      <alignment vertical="center"/>
    </xf>
    <xf numFmtId="193" fontId="1" fillId="0" borderId="0">
      <alignment vertical="center"/>
    </xf>
  </cellStyleXfs>
  <cellXfs count="321">
    <xf numFmtId="0" fontId="0" fillId="0" borderId="0" xfId="0">
      <protection locked="0"/>
    </xf>
    <xf numFmtId="0" fontId="20" fillId="0" borderId="0" xfId="0" applyFont="1" applyAlignment="1">
      <alignment vertical="center"/>
      <protection locked="0"/>
    </xf>
    <xf numFmtId="0" fontId="0" fillId="0" borderId="0" xfId="0" applyAlignment="1">
      <alignment vertical="center"/>
      <protection locked="0"/>
    </xf>
    <xf numFmtId="0" fontId="29" fillId="0" borderId="0" xfId="0" applyFont="1" applyAlignment="1">
      <alignment vertical="center"/>
      <protection locked="0"/>
    </xf>
    <xf numFmtId="0" fontId="11" fillId="0" borderId="0" xfId="0" applyFont="1" applyAlignment="1">
      <alignment vertical="center"/>
      <protection locked="0"/>
    </xf>
    <xf numFmtId="0" fontId="30" fillId="0" borderId="0" xfId="0" applyFont="1" applyAlignment="1">
      <alignment horizontal="justify" wrapText="1"/>
      <protection locked="0"/>
    </xf>
    <xf numFmtId="0" fontId="29" fillId="0" borderId="0" xfId="0" applyFont="1">
      <protection locked="0"/>
    </xf>
    <xf numFmtId="0" fontId="11" fillId="0" borderId="0" xfId="0" applyFont="1">
      <protection locked="0"/>
    </xf>
    <xf numFmtId="0" fontId="31" fillId="0" borderId="0" xfId="0" applyFont="1" applyAlignment="1">
      <alignment horizontal="justify"/>
      <protection locked="0"/>
    </xf>
    <xf numFmtId="0" fontId="19" fillId="0" borderId="0" xfId="0" applyFont="1" applyAlignment="1">
      <alignment vertical="center"/>
      <protection locked="0"/>
    </xf>
    <xf numFmtId="0" fontId="33" fillId="0" borderId="0" xfId="32" applyFont="1" applyAlignment="1">
      <alignment vertical="center" wrapText="1"/>
    </xf>
    <xf numFmtId="0" fontId="34" fillId="0" borderId="0" xfId="0" applyFont="1" applyAlignment="1">
      <alignment vertical="center"/>
      <protection locked="0"/>
    </xf>
    <xf numFmtId="0" fontId="34" fillId="0" borderId="0" xfId="0" applyFont="1" applyAlignment="1">
      <alignment vertical="center" wrapText="1"/>
      <protection locked="0"/>
    </xf>
    <xf numFmtId="43" fontId="34" fillId="0" borderId="3" xfId="42" applyFont="1" applyBorder="1" applyAlignment="1">
      <alignment horizontal="right" vertical="center" wrapText="1"/>
    </xf>
    <xf numFmtId="0" fontId="34" fillId="0" borderId="3" xfId="0" applyFont="1" applyBorder="1" applyAlignment="1">
      <alignment horizontal="center" vertical="center" wrapText="1"/>
      <protection locked="0"/>
    </xf>
    <xf numFmtId="0" fontId="33" fillId="0" borderId="0" xfId="0" applyFont="1" applyAlignment="1">
      <alignment vertical="center" wrapText="1"/>
      <protection locked="0"/>
    </xf>
    <xf numFmtId="0" fontId="34" fillId="0" borderId="4" xfId="0" applyFont="1" applyBorder="1" applyAlignment="1">
      <alignment vertical="center"/>
      <protection locked="0"/>
    </xf>
    <xf numFmtId="43" fontId="33" fillId="0" borderId="0" xfId="35" applyNumberFormat="1" applyFont="1" applyBorder="1" applyAlignment="1">
      <alignment vertical="center"/>
    </xf>
    <xf numFmtId="43" fontId="34" fillId="0" borderId="0" xfId="35" applyNumberFormat="1" applyFont="1" applyBorder="1" applyAlignment="1">
      <alignment vertical="center"/>
    </xf>
    <xf numFmtId="43" fontId="34" fillId="0" borderId="0" xfId="35" applyNumberFormat="1" applyFont="1" applyBorder="1" applyAlignment="1">
      <alignment horizontal="left" vertical="center"/>
    </xf>
    <xf numFmtId="49" fontId="34" fillId="0" borderId="0" xfId="35" applyNumberFormat="1" applyFont="1" applyBorder="1" applyAlignment="1">
      <alignment vertical="center"/>
    </xf>
    <xf numFmtId="0" fontId="34" fillId="0" borderId="0" xfId="33" applyFont="1" applyAlignment="1">
      <alignment vertical="center"/>
    </xf>
    <xf numFmtId="0" fontId="34" fillId="0" borderId="0" xfId="33" applyFont="1" applyAlignment="1">
      <alignment horizontal="left" vertical="center"/>
    </xf>
    <xf numFmtId="43" fontId="39" fillId="0" borderId="0" xfId="36" applyNumberFormat="1" applyFont="1" applyBorder="1" applyAlignment="1" applyProtection="1">
      <alignment horizontal="center" vertical="center"/>
    </xf>
    <xf numFmtId="43" fontId="27" fillId="0" borderId="0" xfId="35" applyNumberFormat="1" applyFont="1" applyBorder="1" applyAlignment="1">
      <alignment vertical="center"/>
    </xf>
    <xf numFmtId="43" fontId="36" fillId="0" borderId="0" xfId="35" applyNumberFormat="1" applyFont="1" applyBorder="1" applyAlignment="1">
      <alignment vertical="center"/>
    </xf>
    <xf numFmtId="43" fontId="25" fillId="0" borderId="0" xfId="35" applyNumberFormat="1" applyFont="1" applyBorder="1" applyAlignment="1">
      <alignment vertical="center"/>
    </xf>
    <xf numFmtId="43" fontId="26" fillId="0" borderId="0" xfId="35" applyNumberFormat="1" applyFont="1" applyBorder="1" applyAlignment="1">
      <alignment vertical="center"/>
    </xf>
    <xf numFmtId="43" fontId="25" fillId="0" borderId="0" xfId="35" applyNumberFormat="1" applyFont="1" applyBorder="1" applyAlignment="1">
      <alignment horizontal="right" vertical="center"/>
    </xf>
    <xf numFmtId="0" fontId="33" fillId="0" borderId="0" xfId="0" applyFont="1" applyAlignment="1">
      <alignment vertical="center"/>
      <protection locked="0"/>
    </xf>
    <xf numFmtId="0" fontId="34" fillId="0" borderId="3" xfId="0" applyFont="1" applyBorder="1" applyAlignment="1">
      <alignment horizontal="justify" vertical="center" wrapText="1"/>
      <protection locked="0"/>
    </xf>
    <xf numFmtId="43" fontId="34" fillId="0" borderId="3" xfId="42" applyFont="1" applyBorder="1" applyAlignment="1">
      <alignment vertical="center" wrapText="1"/>
    </xf>
    <xf numFmtId="0" fontId="34" fillId="0" borderId="3" xfId="0" applyFont="1" applyBorder="1" applyAlignment="1">
      <alignment horizontal="right" vertical="center" wrapText="1"/>
      <protection locked="0"/>
    </xf>
    <xf numFmtId="43" fontId="35" fillId="0" borderId="3" xfId="42" applyFont="1" applyBorder="1" applyAlignment="1">
      <alignment horizontal="justify" vertical="center" wrapText="1"/>
    </xf>
    <xf numFmtId="43" fontId="35" fillId="0" borderId="3" xfId="42" applyFont="1" applyBorder="1" applyAlignment="1">
      <alignment horizontal="center" vertical="center" wrapText="1"/>
    </xf>
    <xf numFmtId="43" fontId="35" fillId="0" borderId="0" xfId="42" applyFont="1" applyAlignment="1">
      <alignment vertical="center" wrapText="1"/>
    </xf>
    <xf numFmtId="0" fontId="33" fillId="0" borderId="0" xfId="0" applyFont="1" applyAlignment="1">
      <alignment horizontal="center" vertical="center" wrapText="1"/>
      <protection locked="0"/>
    </xf>
    <xf numFmtId="0" fontId="32" fillId="0" borderId="0" xfId="0" applyFont="1" applyAlignment="1">
      <alignment vertical="center"/>
      <protection locked="0"/>
    </xf>
    <xf numFmtId="0" fontId="34" fillId="0" borderId="0" xfId="0" applyFont="1" applyAlignment="1">
      <alignment horizontal="left" vertical="center"/>
      <protection locked="0"/>
    </xf>
    <xf numFmtId="0" fontId="35" fillId="0" borderId="0" xfId="34" applyFont="1" applyAlignment="1">
      <alignment horizontal="left" vertical="center"/>
    </xf>
    <xf numFmtId="0" fontId="34" fillId="0" borderId="0" xfId="34" applyFont="1" applyAlignment="1" applyProtection="1">
      <alignment vertical="center"/>
      <protection locked="0"/>
    </xf>
    <xf numFmtId="0" fontId="36" fillId="0" borderId="0" xfId="34" applyFont="1" applyAlignment="1" applyProtection="1">
      <alignment horizontal="center" vertical="center"/>
      <protection hidden="1"/>
    </xf>
    <xf numFmtId="0" fontId="34" fillId="0" borderId="0" xfId="34" applyFont="1" applyAlignment="1" applyProtection="1">
      <alignment horizontal="left" vertical="center"/>
      <protection hidden="1"/>
    </xf>
    <xf numFmtId="0" fontId="36" fillId="0" borderId="0" xfId="34" applyFont="1" applyAlignment="1" applyProtection="1">
      <alignment horizontal="left" vertical="center"/>
      <protection locked="0"/>
    </xf>
    <xf numFmtId="0" fontId="34" fillId="0" borderId="0" xfId="0" applyFont="1" applyAlignment="1">
      <alignment horizontal="center" vertical="center"/>
      <protection locked="0"/>
    </xf>
    <xf numFmtId="0" fontId="35" fillId="0" borderId="0" xfId="0" applyFont="1" applyAlignment="1">
      <alignment vertical="center"/>
      <protection locked="0"/>
    </xf>
    <xf numFmtId="0" fontId="35" fillId="0" borderId="0" xfId="0" applyFont="1" applyAlignment="1">
      <alignment horizontal="left" vertical="center"/>
      <protection locked="0"/>
    </xf>
    <xf numFmtId="0" fontId="36" fillId="0" borderId="0" xfId="0" applyFont="1" applyAlignment="1">
      <alignment vertical="center"/>
      <protection locked="0"/>
    </xf>
    <xf numFmtId="43" fontId="19" fillId="0" borderId="0" xfId="35" applyNumberFormat="1" applyFont="1" applyBorder="1" applyAlignment="1">
      <alignment horizontal="left" vertical="center"/>
    </xf>
    <xf numFmtId="0" fontId="19" fillId="0" borderId="0" xfId="0" applyFont="1">
      <protection locked="0"/>
    </xf>
    <xf numFmtId="0" fontId="41" fillId="0" borderId="0" xfId="43" applyFont="1" applyAlignment="1" applyProtection="1">
      <alignment vertical="center"/>
    </xf>
    <xf numFmtId="0" fontId="43" fillId="0" borderId="0" xfId="43" applyFont="1" applyAlignment="1" applyProtection="1">
      <alignment horizontal="center"/>
    </xf>
    <xf numFmtId="0" fontId="34" fillId="0" borderId="0" xfId="43" applyFont="1" applyAlignment="1">
      <alignment vertical="center"/>
      <protection locked="0"/>
    </xf>
    <xf numFmtId="0" fontId="34" fillId="0" borderId="0" xfId="43" applyFont="1" applyAlignment="1">
      <alignment vertical="center" wrapText="1"/>
      <protection locked="0"/>
    </xf>
    <xf numFmtId="0" fontId="34" fillId="0" borderId="0" xfId="43" applyFont="1" applyAlignment="1">
      <alignment horizontal="right" vertical="center"/>
      <protection locked="0"/>
    </xf>
    <xf numFmtId="0" fontId="34" fillId="0" borderId="0" xfId="43" applyFont="1" applyAlignment="1">
      <alignment horizontal="justify" vertical="center" wrapText="1"/>
      <protection locked="0"/>
    </xf>
    <xf numFmtId="0" fontId="19" fillId="0" borderId="0" xfId="43" applyFont="1" applyAlignment="1" applyProtection="1">
      <alignment vertical="center"/>
    </xf>
    <xf numFmtId="0" fontId="35" fillId="0" borderId="0" xfId="43" applyFont="1" applyAlignment="1" applyProtection="1">
      <alignment horizontal="left" vertical="center"/>
    </xf>
    <xf numFmtId="0" fontId="34" fillId="0" borderId="0" xfId="44" applyFont="1">
      <alignment vertical="center"/>
    </xf>
    <xf numFmtId="0" fontId="34" fillId="0" borderId="0" xfId="0" applyFont="1" applyAlignment="1">
      <alignment horizontal="left" vertical="center" wrapText="1"/>
      <protection locked="0"/>
    </xf>
    <xf numFmtId="0" fontId="34" fillId="0" borderId="0" xfId="34" applyFont="1" applyAlignment="1">
      <alignment vertical="center"/>
    </xf>
    <xf numFmtId="193" fontId="22" fillId="5" borderId="3" xfId="45" applyFont="1" applyFill="1" applyBorder="1" applyAlignment="1" applyProtection="1">
      <alignment horizontal="center" vertical="center" wrapText="1"/>
      <protection locked="0"/>
    </xf>
    <xf numFmtId="193" fontId="22" fillId="5" borderId="3" xfId="47" applyFont="1" applyFill="1" applyBorder="1" applyAlignment="1" applyProtection="1">
      <alignment horizontal="center" vertical="center"/>
      <protection locked="0"/>
    </xf>
    <xf numFmtId="193" fontId="42" fillId="5" borderId="3" xfId="47" applyFont="1" applyFill="1" applyBorder="1" applyAlignment="1" applyProtection="1">
      <alignment horizontal="center" vertical="center" wrapText="1"/>
      <protection locked="0"/>
    </xf>
    <xf numFmtId="193" fontId="34" fillId="0" borderId="3" xfId="45" applyFont="1" applyBorder="1" applyAlignment="1" applyProtection="1">
      <alignment horizontal="left" vertical="center" wrapText="1"/>
      <protection locked="0"/>
    </xf>
    <xf numFmtId="43" fontId="35" fillId="0" borderId="0" xfId="35" applyNumberFormat="1" applyFont="1" applyBorder="1" applyAlignment="1">
      <alignment horizontal="left" vertical="center"/>
    </xf>
    <xf numFmtId="0" fontId="19" fillId="0" borderId="0" xfId="33" applyFont="1" applyAlignment="1">
      <alignment vertical="center"/>
    </xf>
    <xf numFmtId="0" fontId="19" fillId="0" borderId="0" xfId="33" applyFont="1" applyAlignment="1">
      <alignment horizontal="left" vertical="center"/>
    </xf>
    <xf numFmtId="0" fontId="22" fillId="0" borderId="0" xfId="33" applyFont="1" applyAlignment="1">
      <alignment vertical="center"/>
    </xf>
    <xf numFmtId="0" fontId="25" fillId="0" borderId="0" xfId="33" applyFont="1" applyAlignment="1">
      <alignment vertical="center"/>
    </xf>
    <xf numFmtId="43" fontId="48" fillId="6" borderId="3" xfId="0" applyNumberFormat="1" applyFont="1" applyFill="1" applyBorder="1" applyAlignment="1">
      <alignment horizontal="right" vertical="center"/>
      <protection locked="0"/>
    </xf>
    <xf numFmtId="0" fontId="34" fillId="0" borderId="0" xfId="0" applyFont="1" applyAlignment="1">
      <alignment horizontal="left" vertical="top"/>
      <protection locked="0"/>
    </xf>
    <xf numFmtId="0" fontId="41" fillId="0" borderId="2" xfId="0" applyFont="1" applyBorder="1" applyAlignment="1" applyProtection="1">
      <alignment horizontal="center" vertical="center"/>
    </xf>
    <xf numFmtId="0" fontId="48" fillId="0" borderId="2" xfId="0" applyFont="1" applyBorder="1" applyAlignment="1" applyProtection="1">
      <alignment vertical="center"/>
    </xf>
    <xf numFmtId="0" fontId="41" fillId="0" borderId="2" xfId="0" applyFont="1" applyBorder="1" applyAlignment="1" applyProtection="1">
      <alignment vertical="center"/>
    </xf>
    <xf numFmtId="0" fontId="7" fillId="0" borderId="0" xfId="0" applyFont="1">
      <protection locked="0"/>
    </xf>
    <xf numFmtId="193" fontId="35" fillId="5" borderId="3" xfId="45" applyFont="1" applyFill="1" applyBorder="1" applyAlignment="1" applyProtection="1">
      <alignment horizontal="center" vertical="center"/>
      <protection locked="0"/>
    </xf>
    <xf numFmtId="193" fontId="35" fillId="5" borderId="12" xfId="45" applyFont="1" applyFill="1" applyBorder="1" applyAlignment="1" applyProtection="1">
      <alignment horizontal="center" vertical="center"/>
      <protection locked="0"/>
    </xf>
    <xf numFmtId="193" fontId="35" fillId="5" borderId="9" xfId="45" applyFont="1" applyFill="1" applyBorder="1" applyAlignment="1" applyProtection="1">
      <alignment horizontal="center" vertical="center"/>
      <protection locked="0"/>
    </xf>
    <xf numFmtId="0" fontId="19" fillId="0" borderId="0" xfId="0" applyFont="1" applyAlignment="1">
      <alignment horizontal="center" vertical="center"/>
      <protection locked="0"/>
    </xf>
    <xf numFmtId="0" fontId="19" fillId="0" borderId="0" xfId="0" applyFont="1" applyAlignment="1">
      <alignment horizontal="justify" wrapText="1"/>
      <protection locked="0"/>
    </xf>
    <xf numFmtId="0" fontId="19" fillId="0" borderId="0" xfId="0" applyFont="1" applyAlignment="1">
      <alignment horizontal="justify" vertical="top" wrapText="1"/>
      <protection locked="0"/>
    </xf>
    <xf numFmtId="0" fontId="21" fillId="0" borderId="0" xfId="0" applyFont="1" applyAlignment="1">
      <alignment horizontal="justify" wrapText="1"/>
      <protection locked="0"/>
    </xf>
    <xf numFmtId="14" fontId="34" fillId="0" borderId="0" xfId="35" applyNumberFormat="1" applyFont="1" applyBorder="1" applyAlignment="1">
      <alignment vertical="center"/>
    </xf>
    <xf numFmtId="14" fontId="34" fillId="0" borderId="0" xfId="0" applyNumberFormat="1" applyFont="1" applyAlignment="1">
      <alignment vertical="center"/>
      <protection locked="0"/>
    </xf>
    <xf numFmtId="0" fontId="20" fillId="0" borderId="0" xfId="32" applyFont="1">
      <alignment vertical="center"/>
    </xf>
    <xf numFmtId="0" fontId="32" fillId="0" borderId="0" xfId="32" applyFont="1">
      <alignment vertical="center"/>
    </xf>
    <xf numFmtId="0" fontId="33" fillId="0" borderId="0" xfId="32" applyFont="1">
      <alignment vertical="center"/>
    </xf>
    <xf numFmtId="43" fontId="34" fillId="0" borderId="0" xfId="35" applyNumberFormat="1" applyFont="1" applyFill="1" applyBorder="1" applyAlignment="1">
      <alignment vertical="center"/>
    </xf>
    <xf numFmtId="43" fontId="34" fillId="0" borderId="0" xfId="35" applyNumberFormat="1" applyFont="1" applyFill="1" applyBorder="1" applyAlignment="1">
      <alignment horizontal="left" vertical="center"/>
    </xf>
    <xf numFmtId="14" fontId="34" fillId="0" borderId="0" xfId="35" applyNumberFormat="1" applyFont="1" applyFill="1" applyBorder="1" applyAlignment="1">
      <alignment horizontal="left" vertical="center" indent="2"/>
    </xf>
    <xf numFmtId="49" fontId="34" fillId="0" borderId="0" xfId="35" applyNumberFormat="1" applyFont="1" applyFill="1" applyBorder="1" applyAlignment="1">
      <alignment vertical="center"/>
    </xf>
    <xf numFmtId="43" fontId="19" fillId="0" borderId="0" xfId="35" applyNumberFormat="1" applyFont="1" applyFill="1" applyBorder="1" applyAlignment="1">
      <alignment horizontal="left" vertical="center"/>
    </xf>
    <xf numFmtId="0" fontId="22" fillId="0" borderId="0" xfId="32" applyFont="1">
      <alignment vertical="center"/>
    </xf>
    <xf numFmtId="0" fontId="35" fillId="0" borderId="0" xfId="32" applyFont="1">
      <alignment vertical="center"/>
    </xf>
    <xf numFmtId="0" fontId="34" fillId="0" borderId="0" xfId="32" applyFont="1">
      <alignment vertical="center"/>
    </xf>
    <xf numFmtId="14" fontId="34" fillId="0" borderId="0" xfId="35" applyNumberFormat="1" applyFont="1" applyFill="1" applyBorder="1" applyAlignment="1">
      <alignment vertical="center"/>
    </xf>
    <xf numFmtId="0" fontId="34" fillId="0" borderId="0" xfId="0" applyFont="1" applyAlignment="1">
      <alignment horizontal="left" vertical="center" indent="2"/>
      <protection locked="0"/>
    </xf>
    <xf numFmtId="0" fontId="52" fillId="0" borderId="0" xfId="0" applyFont="1" applyAlignment="1">
      <alignment vertical="center"/>
      <protection locked="0"/>
    </xf>
    <xf numFmtId="193" fontId="53" fillId="0" borderId="0" xfId="49" applyFont="1">
      <alignment vertical="center"/>
    </xf>
    <xf numFmtId="193" fontId="54" fillId="0" borderId="0" xfId="49" applyFont="1">
      <alignment vertical="center"/>
    </xf>
    <xf numFmtId="193" fontId="34" fillId="0" borderId="0" xfId="49" applyFont="1" applyAlignment="1" applyProtection="1">
      <alignment horizontal="center" vertical="center"/>
      <protection locked="0"/>
    </xf>
    <xf numFmtId="193" fontId="34" fillId="0" borderId="0" xfId="49" applyFont="1" applyProtection="1">
      <alignment vertical="center"/>
      <protection locked="0"/>
    </xf>
    <xf numFmtId="0" fontId="34" fillId="0" borderId="0" xfId="50" applyFont="1" applyAlignment="1">
      <alignment horizontal="left" vertical="center"/>
      <protection locked="0"/>
    </xf>
    <xf numFmtId="193" fontId="34" fillId="0" borderId="0" xfId="49" applyFont="1" applyAlignment="1" applyProtection="1">
      <alignment vertical="center" wrapText="1"/>
      <protection locked="0"/>
    </xf>
    <xf numFmtId="193" fontId="34" fillId="0" borderId="0" xfId="49" applyFont="1" applyAlignment="1" applyProtection="1">
      <alignment horizontal="left" vertical="center"/>
      <protection locked="0"/>
    </xf>
    <xf numFmtId="193" fontId="19" fillId="0" borderId="0" xfId="49" applyFont="1" applyProtection="1">
      <alignment vertical="center"/>
      <protection locked="0"/>
    </xf>
    <xf numFmtId="193" fontId="58" fillId="0" borderId="0" xfId="49" applyFont="1" applyProtection="1">
      <alignment vertical="center"/>
      <protection locked="0"/>
    </xf>
    <xf numFmtId="49" fontId="35" fillId="0" borderId="0" xfId="49" applyNumberFormat="1" applyFont="1" applyAlignment="1" applyProtection="1">
      <alignment horizontal="left" vertical="center"/>
      <protection locked="0"/>
    </xf>
    <xf numFmtId="193" fontId="35" fillId="0" borderId="0" xfId="49" applyFont="1" applyAlignment="1" applyProtection="1">
      <alignment horizontal="justify" vertical="center"/>
      <protection locked="0"/>
    </xf>
    <xf numFmtId="193" fontId="59" fillId="0" borderId="0" xfId="49" applyFont="1" applyAlignment="1" applyProtection="1">
      <alignment horizontal="center" vertical="center"/>
      <protection locked="0"/>
    </xf>
    <xf numFmtId="193" fontId="54" fillId="0" borderId="0" xfId="49" applyFont="1" applyAlignment="1">
      <alignment horizontal="center" vertical="center"/>
    </xf>
    <xf numFmtId="193" fontId="61" fillId="7" borderId="0" xfId="49" applyFont="1" applyFill="1" applyAlignment="1" applyProtection="1">
      <alignment horizontal="center" vertical="center"/>
      <protection locked="0"/>
    </xf>
    <xf numFmtId="193" fontId="63" fillId="7" borderId="0" xfId="49" applyFont="1" applyFill="1" applyAlignment="1">
      <alignment horizontal="left" vertical="center"/>
    </xf>
    <xf numFmtId="193" fontId="34" fillId="7" borderId="0" xfId="49" applyFont="1" applyFill="1" applyAlignment="1">
      <alignment horizontal="left" vertical="center"/>
    </xf>
    <xf numFmtId="193" fontId="62" fillId="0" borderId="3" xfId="49" applyFont="1" applyBorder="1" applyAlignment="1">
      <alignment horizontal="center" vertical="center" wrapText="1"/>
    </xf>
    <xf numFmtId="0" fontId="62" fillId="0" borderId="3" xfId="49" applyNumberFormat="1" applyFont="1" applyBorder="1" applyAlignment="1">
      <alignment horizontal="center" vertical="center" wrapText="1"/>
    </xf>
    <xf numFmtId="43" fontId="22" fillId="0" borderId="0" xfId="35" applyNumberFormat="1" applyFont="1" applyFill="1" applyBorder="1" applyAlignment="1">
      <alignment vertical="center"/>
    </xf>
    <xf numFmtId="43" fontId="35" fillId="0" borderId="0" xfId="35" applyNumberFormat="1" applyFont="1" applyFill="1" applyBorder="1" applyAlignment="1">
      <alignment vertical="center"/>
    </xf>
    <xf numFmtId="0" fontId="34" fillId="0" borderId="4" xfId="33" applyFont="1" applyBorder="1" applyAlignment="1">
      <alignment vertical="center"/>
    </xf>
    <xf numFmtId="43" fontId="34" fillId="0" borderId="4" xfId="35" applyNumberFormat="1" applyFont="1" applyBorder="1" applyAlignment="1">
      <alignment vertical="center"/>
    </xf>
    <xf numFmtId="43" fontId="35" fillId="8" borderId="0" xfId="35" applyNumberFormat="1" applyFont="1" applyFill="1" applyBorder="1" applyAlignment="1">
      <alignment vertical="center"/>
    </xf>
    <xf numFmtId="0" fontId="42" fillId="5" borderId="3" xfId="52" applyFont="1" applyFill="1" applyBorder="1" applyAlignment="1" applyProtection="1">
      <alignment vertical="center"/>
    </xf>
    <xf numFmtId="193" fontId="22" fillId="5" borderId="3" xfId="53" applyFont="1" applyFill="1" applyBorder="1" applyAlignment="1" applyProtection="1">
      <alignment horizontal="center" vertical="center" wrapText="1"/>
      <protection locked="0"/>
    </xf>
    <xf numFmtId="193" fontId="71" fillId="5" borderId="3" xfId="53" applyFont="1" applyFill="1" applyBorder="1" applyAlignment="1" applyProtection="1">
      <alignment horizontal="center" vertical="center" wrapText="1"/>
      <protection locked="0"/>
    </xf>
    <xf numFmtId="0" fontId="72" fillId="0" borderId="3" xfId="52" applyFont="1" applyBorder="1" applyAlignment="1" applyProtection="1">
      <alignment vertical="center"/>
    </xf>
    <xf numFmtId="0" fontId="19" fillId="0" borderId="3" xfId="52" applyFont="1" applyBorder="1" applyAlignment="1" applyProtection="1">
      <alignment vertical="center"/>
    </xf>
    <xf numFmtId="0" fontId="66" fillId="0" borderId="3" xfId="52" applyFont="1" applyBorder="1" applyAlignment="1" applyProtection="1">
      <alignment horizontal="left" vertical="center" indent="1"/>
    </xf>
    <xf numFmtId="0" fontId="41" fillId="0" borderId="3" xfId="52" applyFont="1" applyBorder="1" applyAlignment="1" applyProtection="1">
      <alignment horizontal="center" vertical="center"/>
    </xf>
    <xf numFmtId="0" fontId="11" fillId="0" borderId="0" xfId="52">
      <protection locked="0"/>
    </xf>
    <xf numFmtId="0" fontId="74" fillId="0" borderId="0" xfId="0" applyFont="1" applyAlignment="1">
      <alignment horizontal="left" vertical="center"/>
      <protection locked="0"/>
    </xf>
    <xf numFmtId="0" fontId="75" fillId="0" borderId="0" xfId="0" applyFont="1" applyAlignment="1">
      <alignment vertical="center"/>
      <protection locked="0"/>
    </xf>
    <xf numFmtId="0" fontId="75" fillId="0" borderId="0" xfId="0" applyFont="1">
      <protection locked="0"/>
    </xf>
    <xf numFmtId="0" fontId="50" fillId="0" borderId="0" xfId="0" applyFont="1" applyAlignment="1">
      <alignment horizontal="right" vertical="center" wrapText="1"/>
      <protection locked="0"/>
    </xf>
    <xf numFmtId="0" fontId="50" fillId="0" borderId="14" xfId="0" applyFont="1" applyBorder="1" applyAlignment="1">
      <alignment horizontal="justify" vertical="center" wrapText="1"/>
      <protection locked="0"/>
    </xf>
    <xf numFmtId="43" fontId="51" fillId="0" borderId="14" xfId="0" applyNumberFormat="1" applyFont="1" applyBorder="1" applyAlignment="1">
      <alignment horizontal="right" vertical="center" wrapText="1"/>
      <protection locked="0"/>
    </xf>
    <xf numFmtId="43" fontId="50" fillId="0" borderId="14" xfId="0" applyNumberFormat="1" applyFont="1" applyBorder="1" applyAlignment="1">
      <alignment horizontal="right" vertical="center" wrapText="1"/>
      <protection locked="0"/>
    </xf>
    <xf numFmtId="0" fontId="50" fillId="0" borderId="10" xfId="0" applyFont="1" applyBorder="1" applyAlignment="1">
      <alignment horizontal="center" vertical="center" wrapText="1"/>
      <protection locked="0"/>
    </xf>
    <xf numFmtId="0" fontId="50" fillId="0" borderId="10" xfId="0" applyFont="1" applyBorder="1" applyAlignment="1">
      <alignment horizontal="right" vertical="center" wrapText="1"/>
      <protection locked="0"/>
    </xf>
    <xf numFmtId="0" fontId="77" fillId="0" borderId="11" xfId="0" applyFont="1" applyBorder="1" applyAlignment="1">
      <alignment horizontal="justify" vertical="center" wrapText="1"/>
      <protection locked="0"/>
    </xf>
    <xf numFmtId="43" fontId="77" fillId="0" borderId="11" xfId="0" applyNumberFormat="1" applyFont="1" applyBorder="1" applyAlignment="1">
      <alignment horizontal="right" vertical="center" wrapText="1"/>
      <protection locked="0"/>
    </xf>
    <xf numFmtId="10" fontId="77" fillId="0" borderId="11" xfId="31" applyNumberFormat="1" applyFont="1" applyFill="1" applyBorder="1" applyAlignment="1" applyProtection="1">
      <alignment horizontal="right" vertical="center" wrapText="1"/>
      <protection locked="0"/>
    </xf>
    <xf numFmtId="0" fontId="77" fillId="0" borderId="0" xfId="0" applyFont="1" applyAlignment="1">
      <alignment horizontal="justify" vertical="center" wrapText="1"/>
      <protection locked="0"/>
    </xf>
    <xf numFmtId="43" fontId="77" fillId="0" borderId="0" xfId="0" applyNumberFormat="1" applyFont="1" applyAlignment="1">
      <alignment horizontal="right" vertical="center" wrapText="1"/>
      <protection locked="0"/>
    </xf>
    <xf numFmtId="10" fontId="77" fillId="0" borderId="0" xfId="31" applyNumberFormat="1" applyFont="1" applyFill="1" applyBorder="1" applyAlignment="1" applyProtection="1">
      <alignment horizontal="right" vertical="center" wrapText="1"/>
      <protection locked="0"/>
    </xf>
    <xf numFmtId="0" fontId="77" fillId="0" borderId="10" xfId="0" applyFont="1" applyBorder="1" applyAlignment="1">
      <alignment horizontal="justify" vertical="center" wrapText="1"/>
      <protection locked="0"/>
    </xf>
    <xf numFmtId="43" fontId="77" fillId="0" borderId="10" xfId="0" applyNumberFormat="1" applyFont="1" applyBorder="1" applyAlignment="1">
      <alignment horizontal="right" vertical="center" wrapText="1"/>
      <protection locked="0"/>
    </xf>
    <xf numFmtId="10" fontId="77" fillId="0" borderId="10" xfId="31" applyNumberFormat="1" applyFont="1" applyFill="1" applyBorder="1" applyAlignment="1" applyProtection="1">
      <alignment horizontal="right" vertical="center" wrapText="1"/>
      <protection locked="0"/>
    </xf>
    <xf numFmtId="0" fontId="50" fillId="0" borderId="10" xfId="0" applyFont="1" applyBorder="1" applyAlignment="1">
      <alignment horizontal="justify" vertical="center" wrapText="1"/>
      <protection locked="0"/>
    </xf>
    <xf numFmtId="43" fontId="50" fillId="0" borderId="10" xfId="42" applyFont="1" applyFill="1" applyBorder="1" applyAlignment="1" applyProtection="1">
      <alignment horizontal="right" vertical="center" wrapText="1" shrinkToFit="1"/>
      <protection locked="0"/>
    </xf>
    <xf numFmtId="10" fontId="50" fillId="0" borderId="10" xfId="31" applyNumberFormat="1" applyFont="1" applyFill="1" applyBorder="1" applyAlignment="1" applyProtection="1">
      <alignment horizontal="right" vertical="center" wrapText="1" shrinkToFit="1"/>
      <protection locked="0"/>
    </xf>
    <xf numFmtId="0" fontId="76" fillId="0" borderId="0" xfId="0" applyFont="1" applyAlignment="1">
      <alignment horizontal="left" vertical="center"/>
      <protection locked="0"/>
    </xf>
    <xf numFmtId="193" fontId="63" fillId="0" borderId="0" xfId="49" applyFont="1" applyAlignment="1">
      <alignment horizontal="left" vertical="center"/>
    </xf>
    <xf numFmtId="193" fontId="34" fillId="0" borderId="0" xfId="49" applyFont="1" applyAlignment="1">
      <alignment horizontal="left" vertical="center"/>
    </xf>
    <xf numFmtId="193" fontId="62" fillId="0" borderId="3" xfId="56" applyFont="1" applyBorder="1" applyAlignment="1">
      <alignment horizontal="center" vertical="center" wrapText="1"/>
    </xf>
    <xf numFmtId="193" fontId="53" fillId="0" borderId="3" xfId="56" applyFont="1" applyBorder="1" applyAlignment="1">
      <alignment horizontal="center" vertical="center" wrapText="1"/>
    </xf>
    <xf numFmtId="193" fontId="65" fillId="0" borderId="3" xfId="56" applyFont="1" applyBorder="1" applyAlignment="1">
      <alignment horizontal="center" vertical="center" wrapText="1"/>
    </xf>
    <xf numFmtId="43" fontId="34" fillId="9" borderId="3" xfId="42" applyFont="1" applyFill="1" applyBorder="1" applyAlignment="1">
      <alignment horizontal="right" vertical="center" wrapText="1"/>
    </xf>
    <xf numFmtId="10" fontId="34" fillId="9" borderId="3" xfId="31" applyNumberFormat="1" applyFont="1" applyFill="1" applyBorder="1" applyAlignment="1">
      <alignment horizontal="right" vertical="center" wrapText="1"/>
    </xf>
    <xf numFmtId="43" fontId="22" fillId="9" borderId="3" xfId="42" applyFont="1" applyFill="1" applyBorder="1" applyAlignment="1">
      <alignment horizontal="center" vertical="center" wrapText="1"/>
    </xf>
    <xf numFmtId="43" fontId="48" fillId="9" borderId="3" xfId="51" applyFont="1" applyFill="1" applyBorder="1" applyAlignment="1">
      <alignment horizontal="right" vertical="center"/>
    </xf>
    <xf numFmtId="10" fontId="48" fillId="9" borderId="3" xfId="31" applyNumberFormat="1" applyFont="1" applyFill="1" applyBorder="1" applyAlignment="1">
      <alignment horizontal="right" vertical="center"/>
    </xf>
    <xf numFmtId="10" fontId="45" fillId="9" borderId="3" xfId="31" applyNumberFormat="1" applyFont="1" applyFill="1" applyBorder="1" applyAlignment="1" applyProtection="1">
      <alignment horizontal="right" vertical="center" shrinkToFit="1"/>
    </xf>
    <xf numFmtId="43" fontId="48" fillId="9" borderId="3" xfId="42" applyFont="1" applyFill="1" applyBorder="1" applyAlignment="1">
      <alignment horizontal="right" vertical="center"/>
    </xf>
    <xf numFmtId="43" fontId="45" fillId="9" borderId="3" xfId="45" applyNumberFormat="1" applyFont="1" applyFill="1" applyBorder="1" applyAlignment="1">
      <alignment horizontal="right" vertical="center" shrinkToFit="1"/>
    </xf>
    <xf numFmtId="43" fontId="47" fillId="9" borderId="3" xfId="45" applyNumberFormat="1" applyFont="1" applyFill="1" applyBorder="1" applyAlignment="1">
      <alignment horizontal="right" vertical="center" shrinkToFit="1"/>
    </xf>
    <xf numFmtId="0" fontId="22" fillId="0" borderId="0" xfId="34" applyFont="1" applyAlignment="1">
      <alignment vertical="center"/>
    </xf>
    <xf numFmtId="0" fontId="80" fillId="0" borderId="0" xfId="0" applyFont="1" applyAlignment="1">
      <alignment horizontal="left"/>
      <protection locked="0"/>
    </xf>
    <xf numFmtId="0" fontId="19" fillId="0" borderId="0" xfId="0" applyFont="1" applyAlignment="1">
      <alignment horizontal="center"/>
      <protection locked="0"/>
    </xf>
    <xf numFmtId="0" fontId="19" fillId="0" borderId="3" xfId="0" applyFont="1" applyBorder="1">
      <protection locked="0"/>
    </xf>
    <xf numFmtId="43" fontId="34" fillId="0" borderId="3" xfId="42" applyFont="1" applyBorder="1" applyAlignment="1" applyProtection="1">
      <protection locked="0"/>
    </xf>
    <xf numFmtId="0" fontId="19" fillId="5" borderId="3" xfId="0" applyFont="1" applyFill="1" applyBorder="1">
      <protection locked="0"/>
    </xf>
    <xf numFmtId="43" fontId="34" fillId="5" borderId="3" xfId="42" applyFont="1" applyFill="1" applyBorder="1" applyAlignment="1" applyProtection="1">
      <protection locked="0"/>
    </xf>
    <xf numFmtId="49" fontId="22" fillId="0" borderId="0" xfId="56" applyNumberFormat="1" applyFont="1" applyAlignment="1" applyProtection="1">
      <alignment horizontal="left" vertical="center"/>
      <protection locked="0"/>
    </xf>
    <xf numFmtId="0" fontId="34" fillId="0" borderId="0" xfId="35" applyFont="1" applyBorder="1" applyAlignment="1">
      <alignment horizontal="left" vertical="center"/>
    </xf>
    <xf numFmtId="0" fontId="34" fillId="0" borderId="0" xfId="43" applyFont="1" applyAlignment="1" applyProtection="1">
      <alignment horizontal="left" vertical="center"/>
    </xf>
    <xf numFmtId="0" fontId="75" fillId="0" borderId="0" xfId="0" applyFont="1" applyAlignment="1">
      <alignment horizontal="left" vertical="center"/>
      <protection locked="0"/>
    </xf>
    <xf numFmtId="193" fontId="82" fillId="0" borderId="0" xfId="56" applyFont="1" applyAlignment="1" applyProtection="1">
      <alignment horizontal="left" vertical="center"/>
      <protection locked="0"/>
    </xf>
    <xf numFmtId="193" fontId="83" fillId="7" borderId="0" xfId="56" applyFont="1" applyFill="1" applyAlignment="1" applyProtection="1">
      <alignment horizontal="left" vertical="center" wrapText="1"/>
      <protection locked="0"/>
    </xf>
    <xf numFmtId="193" fontId="83" fillId="7" borderId="0" xfId="56" applyFont="1" applyFill="1" applyAlignment="1" applyProtection="1">
      <alignment horizontal="left" vertical="top" wrapText="1"/>
      <protection locked="0"/>
    </xf>
    <xf numFmtId="0" fontId="35" fillId="5" borderId="3" xfId="0" applyFont="1" applyFill="1" applyBorder="1" applyAlignment="1">
      <alignment horizontal="center" vertical="center" wrapText="1"/>
      <protection locked="0"/>
    </xf>
    <xf numFmtId="0" fontId="85" fillId="0" borderId="0" xfId="0" applyFont="1" applyAlignment="1">
      <alignment vertical="top"/>
      <protection locked="0"/>
    </xf>
    <xf numFmtId="0" fontId="83" fillId="0" borderId="0" xfId="0" applyFont="1" applyAlignment="1">
      <alignment vertical="top"/>
      <protection locked="0"/>
    </xf>
    <xf numFmtId="0" fontId="34" fillId="0" borderId="0" xfId="43" applyFont="1" applyAlignment="1" applyProtection="1">
      <alignment vertical="center"/>
    </xf>
    <xf numFmtId="43" fontId="35" fillId="5" borderId="3" xfId="42" applyFont="1" applyFill="1" applyBorder="1" applyAlignment="1">
      <alignment horizontal="center" vertical="center" wrapText="1"/>
    </xf>
    <xf numFmtId="0" fontId="35" fillId="0" borderId="4" xfId="0" applyFont="1" applyBorder="1" applyAlignment="1">
      <alignment vertical="center"/>
      <protection locked="0"/>
    </xf>
    <xf numFmtId="0" fontId="35" fillId="5" borderId="7" xfId="0" applyFont="1" applyFill="1" applyBorder="1" applyAlignment="1">
      <alignment horizontal="center" vertical="center" wrapText="1"/>
      <protection locked="0"/>
    </xf>
    <xf numFmtId="0" fontId="34" fillId="0" borderId="0" xfId="0" applyFont="1" applyAlignment="1">
      <alignment horizontal="right" vertical="center"/>
      <protection locked="0"/>
    </xf>
    <xf numFmtId="0" fontId="60" fillId="0" borderId="0" xfId="0" applyFont="1" applyAlignment="1">
      <alignment horizontal="left" vertical="center"/>
      <protection locked="0"/>
    </xf>
    <xf numFmtId="193" fontId="65" fillId="0" borderId="3" xfId="56" applyFont="1" applyFill="1" applyBorder="1" applyAlignment="1">
      <alignment horizontal="center" vertical="center" wrapText="1"/>
    </xf>
    <xf numFmtId="193" fontId="62" fillId="0" borderId="3" xfId="56" applyFont="1" applyFill="1" applyBorder="1" applyAlignment="1">
      <alignment horizontal="center" vertical="center" wrapText="1"/>
    </xf>
    <xf numFmtId="43" fontId="19" fillId="0" borderId="0" xfId="35" applyNumberFormat="1" applyFont="1" applyBorder="1" applyAlignment="1">
      <alignment vertical="center"/>
    </xf>
    <xf numFmtId="0" fontId="75" fillId="0" borderId="0" xfId="43" applyFont="1" applyAlignment="1" applyProtection="1">
      <alignment vertical="center"/>
    </xf>
    <xf numFmtId="0" fontId="26" fillId="0" borderId="0" xfId="0" applyFont="1" applyAlignment="1">
      <alignment vertical="center"/>
      <protection locked="0"/>
    </xf>
    <xf numFmtId="0" fontId="88" fillId="0" borderId="0" xfId="0" applyFont="1" applyAlignment="1">
      <alignment vertical="center"/>
      <protection locked="0"/>
    </xf>
    <xf numFmtId="43" fontId="35" fillId="9" borderId="3" xfId="42" applyFont="1" applyFill="1" applyBorder="1" applyAlignment="1">
      <alignment horizontal="center" vertical="center" wrapText="1"/>
    </xf>
    <xf numFmtId="43" fontId="35" fillId="9" borderId="3" xfId="42" applyFont="1" applyFill="1" applyBorder="1" applyAlignment="1">
      <alignment vertical="center"/>
    </xf>
    <xf numFmtId="0" fontId="22" fillId="0" borderId="0" xfId="34" applyFont="1" applyBorder="1" applyAlignment="1">
      <alignment vertical="center"/>
    </xf>
    <xf numFmtId="0" fontId="22" fillId="0" borderId="0" xfId="0" applyFont="1" applyAlignment="1">
      <alignment vertical="center"/>
      <protection locked="0"/>
    </xf>
    <xf numFmtId="0" fontId="35" fillId="5" borderId="3" xfId="0" applyFont="1" applyFill="1" applyBorder="1" applyAlignment="1">
      <alignment horizontal="center" vertical="center"/>
      <protection locked="0"/>
    </xf>
    <xf numFmtId="0" fontId="34" fillId="0" borderId="3" xfId="0" applyFont="1" applyBorder="1" applyAlignment="1">
      <alignment horizontal="center" vertical="center"/>
      <protection locked="0"/>
    </xf>
    <xf numFmtId="193" fontId="19" fillId="0" borderId="3" xfId="49" applyFont="1" applyBorder="1" applyAlignment="1">
      <alignment vertical="center" wrapText="1"/>
    </xf>
    <xf numFmtId="193" fontId="22" fillId="5" borderId="3" xfId="56" applyFont="1" applyFill="1" applyBorder="1" applyAlignment="1" applyProtection="1">
      <alignment horizontal="center" vertical="center"/>
      <protection locked="0"/>
    </xf>
    <xf numFmtId="193" fontId="22" fillId="5" borderId="3" xfId="56" applyFont="1" applyFill="1" applyBorder="1" applyAlignment="1" applyProtection="1">
      <alignment horizontal="center" vertical="center" wrapText="1"/>
      <protection locked="0"/>
    </xf>
    <xf numFmtId="193" fontId="62" fillId="0" borderId="3" xfId="49" applyFont="1" applyBorder="1" applyAlignment="1">
      <alignment vertical="center" wrapText="1"/>
    </xf>
    <xf numFmtId="0" fontId="64" fillId="0" borderId="3" xfId="49" applyNumberFormat="1" applyFont="1" applyBorder="1" applyAlignment="1">
      <alignment horizontal="center" vertical="center" wrapText="1"/>
    </xf>
    <xf numFmtId="193" fontId="34" fillId="0" borderId="3" xfId="49" applyFont="1" applyBorder="1" applyAlignment="1">
      <alignment horizontal="center" vertical="center" wrapText="1"/>
    </xf>
    <xf numFmtId="43" fontId="35" fillId="5" borderId="3" xfId="42" applyFont="1" applyFill="1" applyBorder="1" applyAlignment="1">
      <alignment horizontal="center" vertical="center"/>
    </xf>
    <xf numFmtId="0" fontId="67" fillId="0" borderId="3" xfId="49" applyNumberFormat="1" applyFont="1" applyBorder="1" applyAlignment="1">
      <alignment vertical="center" wrapText="1"/>
    </xf>
    <xf numFmtId="0" fontId="81" fillId="0" borderId="3" xfId="49" applyNumberFormat="1" applyFont="1" applyBorder="1" applyAlignment="1">
      <alignment vertical="center" wrapText="1"/>
    </xf>
    <xf numFmtId="193" fontId="63" fillId="0" borderId="3" xfId="49" applyFont="1" applyBorder="1" applyAlignment="1">
      <alignment horizontal="center" vertical="center" wrapText="1"/>
    </xf>
    <xf numFmtId="0" fontId="25" fillId="0" borderId="2" xfId="36" applyFont="1" applyBorder="1" applyAlignment="1" applyProtection="1">
      <alignment vertical="center"/>
    </xf>
    <xf numFmtId="0" fontId="48" fillId="0" borderId="2" xfId="0" applyFont="1" applyBorder="1" applyAlignment="1" applyProtection="1">
      <alignment horizontal="center" vertical="center"/>
    </xf>
    <xf numFmtId="0" fontId="34" fillId="4" borderId="0" xfId="0" applyFont="1" applyFill="1" applyAlignment="1">
      <alignment horizontal="justify" vertical="center" wrapText="1"/>
      <protection locked="0"/>
    </xf>
    <xf numFmtId="193" fontId="34" fillId="0" borderId="0" xfId="49" applyFont="1" applyAlignment="1" applyProtection="1">
      <alignment horizontal="right" vertical="center"/>
      <protection locked="0"/>
    </xf>
    <xf numFmtId="193" fontId="19" fillId="0" borderId="0" xfId="49" applyFont="1" applyAlignment="1" applyProtection="1">
      <alignment horizontal="right" vertical="center"/>
      <protection locked="0"/>
    </xf>
    <xf numFmtId="14" fontId="19" fillId="0" borderId="0" xfId="35" applyNumberFormat="1" applyFont="1" applyBorder="1" applyAlignment="1">
      <alignment vertical="center"/>
    </xf>
    <xf numFmtId="14" fontId="34" fillId="0" borderId="0" xfId="35" applyNumberFormat="1" applyFont="1" applyBorder="1" applyAlignment="1">
      <alignment horizontal="right" vertical="center"/>
    </xf>
    <xf numFmtId="14" fontId="19" fillId="0" borderId="0" xfId="35" applyNumberFormat="1" applyFont="1" applyBorder="1" applyAlignment="1">
      <alignment horizontal="right" vertical="center"/>
    </xf>
    <xf numFmtId="0" fontId="19" fillId="0" borderId="0" xfId="0" applyFont="1" applyAlignment="1">
      <alignment horizontal="right" vertical="center"/>
      <protection locked="0"/>
    </xf>
    <xf numFmtId="0" fontId="36" fillId="0" borderId="0" xfId="36" applyFont="1" applyAlignment="1">
      <alignment vertical="center"/>
      <protection locked="0"/>
    </xf>
    <xf numFmtId="193" fontId="61" fillId="7" borderId="0" xfId="49" applyFont="1" applyFill="1" applyBorder="1" applyAlignment="1" applyProtection="1">
      <alignment horizontal="centerContinuous" vertical="center"/>
      <protection locked="0"/>
    </xf>
    <xf numFmtId="193" fontId="54" fillId="7" borderId="0" xfId="49" applyFont="1" applyFill="1" applyBorder="1" applyAlignment="1">
      <alignment horizontal="centerContinuous" vertical="center"/>
    </xf>
    <xf numFmtId="0" fontId="22" fillId="5" borderId="3" xfId="43" applyFont="1" applyFill="1" applyBorder="1" applyAlignment="1">
      <alignment horizontal="center" vertical="center"/>
      <protection locked="0"/>
    </xf>
    <xf numFmtId="0" fontId="22" fillId="5" borderId="3" xfId="43" applyFont="1" applyFill="1" applyBorder="1" applyAlignment="1">
      <alignment horizontal="center" vertical="center" wrapText="1"/>
      <protection locked="0"/>
    </xf>
    <xf numFmtId="0" fontId="42" fillId="5" borderId="3" xfId="52" applyFont="1" applyFill="1" applyBorder="1" applyAlignment="1" applyProtection="1">
      <alignment vertical="center" wrapText="1"/>
    </xf>
    <xf numFmtId="0" fontId="22" fillId="5" borderId="3" xfId="52" applyFont="1" applyFill="1" applyBorder="1" applyAlignment="1" applyProtection="1">
      <alignment horizontal="center" vertical="center"/>
    </xf>
    <xf numFmtId="0" fontId="19" fillId="4" borderId="0" xfId="0" applyFont="1" applyFill="1" applyAlignment="1">
      <alignment horizontal="justify" vertical="center" wrapText="1"/>
      <protection locked="0"/>
    </xf>
    <xf numFmtId="0" fontId="55" fillId="0" borderId="0" xfId="0" applyFont="1" applyAlignment="1">
      <alignment horizontal="center" vertical="center"/>
      <protection locked="0"/>
    </xf>
    <xf numFmtId="0" fontId="34" fillId="0" borderId="3" xfId="49" applyNumberFormat="1" applyFont="1" applyBorder="1" applyAlignment="1" applyProtection="1">
      <alignment horizontal="center" vertical="center"/>
      <protection locked="0"/>
    </xf>
    <xf numFmtId="193" fontId="70" fillId="0" borderId="0" xfId="58" applyFont="1" applyFill="1" applyAlignment="1">
      <alignment horizontal="left" vertical="center"/>
    </xf>
    <xf numFmtId="193" fontId="60" fillId="0" borderId="3" xfId="49" applyFont="1" applyBorder="1" applyAlignment="1">
      <alignment horizontal="center" vertical="center" wrapText="1"/>
    </xf>
    <xf numFmtId="43" fontId="45" fillId="5" borderId="3" xfId="45" applyNumberFormat="1" applyFont="1" applyFill="1" applyBorder="1" applyAlignment="1">
      <alignment horizontal="right" vertical="center" shrinkToFit="1"/>
    </xf>
    <xf numFmtId="10" fontId="45" fillId="5" borderId="3" xfId="31" applyNumberFormat="1" applyFont="1" applyFill="1" applyBorder="1" applyAlignment="1" applyProtection="1">
      <alignment horizontal="right" vertical="center" shrinkToFit="1"/>
    </xf>
    <xf numFmtId="43" fontId="48" fillId="5" borderId="3" xfId="42" applyFont="1" applyFill="1" applyBorder="1" applyAlignment="1">
      <alignment horizontal="right" vertical="center"/>
    </xf>
    <xf numFmtId="10" fontId="48" fillId="5" borderId="3" xfId="31" applyNumberFormat="1" applyFont="1" applyFill="1" applyBorder="1" applyAlignment="1">
      <alignment horizontal="right" vertical="center"/>
    </xf>
    <xf numFmtId="0" fontId="34" fillId="5" borderId="3" xfId="0" applyFont="1" applyFill="1" applyBorder="1" applyAlignment="1">
      <alignment horizontal="justify" vertical="center" wrapText="1"/>
      <protection locked="0"/>
    </xf>
    <xf numFmtId="43" fontId="35" fillId="5" borderId="3" xfId="42" applyFont="1" applyFill="1" applyBorder="1" applyAlignment="1">
      <alignment horizontal="justify" vertical="center" wrapText="1"/>
    </xf>
    <xf numFmtId="43" fontId="35" fillId="5" borderId="0" xfId="42" applyFont="1" applyFill="1" applyAlignment="1">
      <alignment vertical="center" wrapText="1"/>
    </xf>
    <xf numFmtId="14" fontId="22" fillId="9" borderId="3" xfId="43" applyNumberFormat="1" applyFont="1" applyFill="1" applyBorder="1" applyAlignment="1">
      <alignment vertical="center"/>
      <protection locked="0"/>
    </xf>
    <xf numFmtId="43" fontId="35" fillId="5" borderId="3" xfId="42" applyFont="1" applyFill="1" applyBorder="1" applyAlignment="1" applyProtection="1">
      <protection locked="0"/>
    </xf>
    <xf numFmtId="0" fontId="32" fillId="0" borderId="0" xfId="0" applyFont="1" applyAlignment="1">
      <alignment horizontal="left" vertical="center" wrapText="1"/>
      <protection locked="0"/>
    </xf>
    <xf numFmtId="0" fontId="33" fillId="0" borderId="0" xfId="0" applyFont="1" applyAlignment="1">
      <alignment horizontal="left" vertical="center" wrapText="1"/>
      <protection locked="0"/>
    </xf>
    <xf numFmtId="193" fontId="7" fillId="0" borderId="3" xfId="56" applyFont="1" applyBorder="1" applyAlignment="1" applyProtection="1">
      <alignment horizontal="left" vertical="center" wrapText="1"/>
      <protection locked="0"/>
    </xf>
    <xf numFmtId="193" fontId="19" fillId="0" borderId="3" xfId="56" applyFont="1" applyBorder="1" applyAlignment="1" applyProtection="1">
      <alignment horizontal="center" vertical="center" wrapText="1"/>
      <protection locked="0"/>
    </xf>
    <xf numFmtId="193" fontId="32" fillId="0" borderId="0" xfId="48" applyFont="1" applyAlignment="1">
      <alignment horizontal="center" vertical="center"/>
    </xf>
    <xf numFmtId="193" fontId="55" fillId="0" borderId="0" xfId="48" applyFont="1" applyAlignment="1">
      <alignment horizontal="center" vertical="center"/>
    </xf>
    <xf numFmtId="193" fontId="56" fillId="0" borderId="0" xfId="48" applyFont="1" applyAlignment="1">
      <alignment horizontal="center" vertical="center"/>
    </xf>
    <xf numFmtId="193" fontId="57" fillId="0" borderId="0" xfId="49" applyFont="1" applyAlignment="1" applyProtection="1">
      <alignment horizontal="left" vertical="center"/>
      <protection locked="0"/>
    </xf>
    <xf numFmtId="49" fontId="35" fillId="5" borderId="3" xfId="49" applyNumberFormat="1" applyFont="1" applyFill="1" applyBorder="1" applyAlignment="1" applyProtection="1">
      <alignment horizontal="center" vertical="center"/>
      <protection locked="0"/>
    </xf>
    <xf numFmtId="193" fontId="22" fillId="5" borderId="3" xfId="56" applyFont="1" applyFill="1" applyBorder="1" applyAlignment="1" applyProtection="1">
      <alignment horizontal="center" vertical="center" wrapText="1"/>
      <protection locked="0"/>
    </xf>
    <xf numFmtId="193" fontId="35" fillId="5" borderId="3" xfId="56" applyFont="1" applyFill="1" applyBorder="1" applyAlignment="1" applyProtection="1">
      <alignment horizontal="center" vertical="center" wrapText="1"/>
      <protection locked="0"/>
    </xf>
    <xf numFmtId="193" fontId="22" fillId="5" borderId="3" xfId="56" applyFont="1" applyFill="1" applyBorder="1" applyAlignment="1" applyProtection="1">
      <alignment horizontal="center" vertical="center"/>
      <protection locked="0"/>
    </xf>
    <xf numFmtId="193" fontId="35" fillId="5" borderId="3" xfId="49" applyFont="1" applyFill="1" applyBorder="1" applyAlignment="1" applyProtection="1">
      <alignment horizontal="center" vertical="center" wrapText="1"/>
      <protection locked="0"/>
    </xf>
    <xf numFmtId="193" fontId="35" fillId="5" borderId="3" xfId="56" applyFont="1" applyFill="1" applyBorder="1" applyAlignment="1" applyProtection="1">
      <alignment horizontal="center" vertical="center"/>
      <protection locked="0"/>
    </xf>
    <xf numFmtId="193" fontId="34" fillId="0" borderId="3" xfId="56" applyFont="1" applyBorder="1" applyAlignment="1" applyProtection="1">
      <alignment horizontal="center" vertical="center" wrapText="1"/>
      <protection locked="0"/>
    </xf>
    <xf numFmtId="193" fontId="22" fillId="5" borderId="5" xfId="45" applyFont="1" applyFill="1" applyBorder="1" applyAlignment="1" applyProtection="1">
      <alignment horizontal="center" vertical="center" wrapText="1"/>
      <protection locked="0"/>
    </xf>
    <xf numFmtId="193" fontId="35" fillId="5" borderId="6" xfId="45" applyFont="1" applyFill="1" applyBorder="1" applyAlignment="1" applyProtection="1">
      <alignment horizontal="center" vertical="center" wrapText="1"/>
      <protection locked="0"/>
    </xf>
    <xf numFmtId="43" fontId="22" fillId="0" borderId="0" xfId="35" applyNumberFormat="1" applyFont="1" applyBorder="1" applyAlignment="1">
      <alignment horizontal="center" vertical="center"/>
    </xf>
    <xf numFmtId="43" fontId="20" fillId="0" borderId="0" xfId="35" applyNumberFormat="1" applyFont="1" applyBorder="1" applyAlignment="1">
      <alignment horizontal="center" vertical="center"/>
    </xf>
    <xf numFmtId="10" fontId="40" fillId="0" borderId="0" xfId="31" applyNumberFormat="1" applyFont="1" applyBorder="1" applyAlignment="1">
      <alignment horizontal="left" vertical="center"/>
    </xf>
    <xf numFmtId="193" fontId="35" fillId="9" borderId="3" xfId="45" applyFont="1" applyFill="1" applyBorder="1" applyAlignment="1" applyProtection="1">
      <alignment horizontal="center" vertical="center" wrapText="1"/>
      <protection locked="0"/>
    </xf>
    <xf numFmtId="193" fontId="22" fillId="5" borderId="7" xfId="45" applyFont="1" applyFill="1" applyBorder="1" applyAlignment="1" applyProtection="1">
      <alignment horizontal="center" vertical="center" wrapText="1"/>
      <protection locked="0"/>
    </xf>
    <xf numFmtId="193" fontId="35" fillId="5" borderId="8" xfId="45" applyFont="1" applyFill="1" applyBorder="1" applyAlignment="1" applyProtection="1">
      <alignment horizontal="center" vertical="center" wrapText="1"/>
      <protection locked="0"/>
    </xf>
    <xf numFmtId="193" fontId="35" fillId="5" borderId="9" xfId="45" applyFont="1" applyFill="1" applyBorder="1" applyAlignment="1" applyProtection="1">
      <alignment horizontal="center" vertical="center" wrapText="1"/>
      <protection locked="0"/>
    </xf>
    <xf numFmtId="193" fontId="42" fillId="5" borderId="3" xfId="47" applyFont="1" applyFill="1" applyBorder="1" applyAlignment="1" applyProtection="1">
      <alignment horizontal="center" vertical="center" wrapText="1"/>
      <protection locked="0"/>
    </xf>
    <xf numFmtId="193" fontId="22" fillId="5" borderId="3" xfId="47" applyFont="1" applyFill="1" applyBorder="1" applyAlignment="1" applyProtection="1">
      <alignment horizontal="center" vertical="center" wrapText="1"/>
      <protection locked="0"/>
    </xf>
    <xf numFmtId="0" fontId="20" fillId="0" borderId="0" xfId="32" applyFont="1" applyAlignment="1">
      <alignment horizontal="center" vertical="center"/>
    </xf>
    <xf numFmtId="0" fontId="75" fillId="0" borderId="11" xfId="0" applyFont="1" applyBorder="1" applyAlignment="1">
      <alignment horizontal="left" vertical="center" wrapText="1"/>
      <protection locked="0"/>
    </xf>
    <xf numFmtId="0" fontId="50" fillId="0" borderId="11" xfId="0" applyFont="1" applyBorder="1" applyAlignment="1">
      <alignment horizontal="justify" vertical="center" wrapText="1"/>
      <protection locked="0"/>
    </xf>
    <xf numFmtId="0" fontId="50" fillId="0" borderId="0" xfId="0" applyFont="1" applyAlignment="1">
      <alignment horizontal="justify" vertical="center" wrapText="1"/>
      <protection locked="0"/>
    </xf>
    <xf numFmtId="0" fontId="51" fillId="0" borderId="11" xfId="0" applyFont="1" applyBorder="1" applyAlignment="1">
      <alignment horizontal="right" vertical="center" wrapText="1"/>
      <protection locked="0"/>
    </xf>
    <xf numFmtId="0" fontId="51" fillId="0" borderId="0" xfId="0" applyFont="1" applyAlignment="1">
      <alignment horizontal="right" vertical="center" wrapText="1"/>
      <protection locked="0"/>
    </xf>
    <xf numFmtId="0" fontId="51" fillId="0" borderId="11" xfId="0" applyFont="1" applyBorder="1" applyAlignment="1">
      <alignment horizontal="center" vertical="center" wrapText="1"/>
      <protection locked="0"/>
    </xf>
    <xf numFmtId="0" fontId="50" fillId="0" borderId="10" xfId="0" applyFont="1" applyBorder="1" applyAlignment="1">
      <alignment horizontal="justify" vertical="center" wrapText="1"/>
      <protection locked="0"/>
    </xf>
    <xf numFmtId="0" fontId="50" fillId="0" borderId="11" xfId="0" applyFont="1" applyBorder="1" applyAlignment="1">
      <alignment horizontal="center" vertical="center" wrapText="1"/>
      <protection locked="0"/>
    </xf>
    <xf numFmtId="0" fontId="50" fillId="0" borderId="11" xfId="0" applyFont="1" applyBorder="1" applyAlignment="1">
      <alignment horizontal="right" vertical="center" wrapText="1"/>
      <protection locked="0"/>
    </xf>
    <xf numFmtId="0" fontId="50" fillId="0" borderId="10" xfId="0" applyFont="1" applyBorder="1" applyAlignment="1">
      <alignment horizontal="right" vertical="center" wrapText="1"/>
      <protection locked="0"/>
    </xf>
    <xf numFmtId="0" fontId="35" fillId="0" borderId="0" xfId="32" applyFont="1" applyAlignment="1">
      <alignment horizontal="center" vertical="center" wrapText="1"/>
    </xf>
    <xf numFmtId="0" fontId="32" fillId="0" borderId="0" xfId="32" applyFont="1" applyAlignment="1">
      <alignment horizontal="center" vertical="center" wrapText="1"/>
    </xf>
    <xf numFmtId="0" fontId="35" fillId="5" borderId="3" xfId="0" applyFont="1" applyFill="1" applyBorder="1" applyAlignment="1">
      <alignment horizontal="center" vertical="center" wrapText="1"/>
      <protection locked="0"/>
    </xf>
    <xf numFmtId="193" fontId="35" fillId="5" borderId="7" xfId="45" applyFont="1" applyFill="1" applyBorder="1" applyAlignment="1" applyProtection="1">
      <alignment horizontal="center" vertical="center"/>
      <protection locked="0"/>
    </xf>
    <xf numFmtId="193" fontId="35" fillId="5" borderId="8" xfId="45" applyFont="1" applyFill="1" applyBorder="1" applyAlignment="1" applyProtection="1">
      <alignment horizontal="center" vertical="center"/>
      <protection locked="0"/>
    </xf>
    <xf numFmtId="193" fontId="35" fillId="5" borderId="9" xfId="45" applyFont="1" applyFill="1" applyBorder="1" applyAlignment="1" applyProtection="1">
      <alignment horizontal="center" vertical="center"/>
      <protection locked="0"/>
    </xf>
    <xf numFmtId="193" fontId="41" fillId="5" borderId="3" xfId="45" applyFont="1" applyFill="1" applyBorder="1" applyAlignment="1" applyProtection="1">
      <alignment horizontal="center" vertical="center"/>
      <protection locked="0"/>
    </xf>
    <xf numFmtId="193" fontId="41" fillId="5" borderId="7" xfId="45" applyFont="1" applyFill="1" applyBorder="1" applyAlignment="1" applyProtection="1">
      <alignment horizontal="center" vertical="center"/>
      <protection locked="0"/>
    </xf>
    <xf numFmtId="193" fontId="41" fillId="5" borderId="8" xfId="45" applyFont="1" applyFill="1" applyBorder="1" applyAlignment="1" applyProtection="1">
      <alignment horizontal="center" vertical="center"/>
      <protection locked="0"/>
    </xf>
    <xf numFmtId="193" fontId="41" fillId="5" borderId="12" xfId="45" applyFont="1" applyFill="1" applyBorder="1" applyAlignment="1" applyProtection="1">
      <alignment horizontal="center" vertical="center"/>
      <protection locked="0"/>
    </xf>
    <xf numFmtId="193" fontId="41" fillId="5" borderId="13" xfId="45" applyFont="1" applyFill="1" applyBorder="1" applyAlignment="1" applyProtection="1">
      <alignment horizontal="center" vertical="center"/>
      <protection locked="0"/>
    </xf>
    <xf numFmtId="193" fontId="35" fillId="5" borderId="3" xfId="45" applyFont="1" applyFill="1" applyBorder="1" applyAlignment="1" applyProtection="1">
      <alignment horizontal="center" vertical="center"/>
      <protection locked="0"/>
    </xf>
    <xf numFmtId="0" fontId="22" fillId="5" borderId="12" xfId="0" applyFont="1" applyFill="1" applyBorder="1" applyAlignment="1">
      <alignment horizontal="center" vertical="center" wrapText="1"/>
      <protection locked="0"/>
    </xf>
    <xf numFmtId="0" fontId="22" fillId="5" borderId="15" xfId="0" applyFont="1" applyFill="1" applyBorder="1" applyAlignment="1">
      <alignment horizontal="center" vertical="center" wrapText="1"/>
      <protection locked="0"/>
    </xf>
    <xf numFmtId="0" fontId="22" fillId="5" borderId="13" xfId="0" applyFont="1" applyFill="1" applyBorder="1" applyAlignment="1">
      <alignment horizontal="center" vertical="center" wrapText="1"/>
      <protection locked="0"/>
    </xf>
    <xf numFmtId="0" fontId="35" fillId="5" borderId="12" xfId="0" applyFont="1" applyFill="1" applyBorder="1" applyAlignment="1">
      <alignment horizontal="center" vertical="center" wrapText="1"/>
      <protection locked="0"/>
    </xf>
    <xf numFmtId="0" fontId="35" fillId="5" borderId="15" xfId="0" applyFont="1" applyFill="1" applyBorder="1" applyAlignment="1">
      <alignment horizontal="center" vertical="center" wrapText="1"/>
      <protection locked="0"/>
    </xf>
    <xf numFmtId="0" fontId="35" fillId="5" borderId="13" xfId="0" applyFont="1" applyFill="1" applyBorder="1" applyAlignment="1">
      <alignment horizontal="center" vertical="center" wrapText="1"/>
      <protection locked="0"/>
    </xf>
    <xf numFmtId="193" fontId="41" fillId="5" borderId="9" xfId="45" applyFont="1" applyFill="1" applyBorder="1" applyAlignment="1" applyProtection="1">
      <alignment horizontal="center" vertical="center"/>
      <protection locked="0"/>
    </xf>
    <xf numFmtId="193" fontId="35" fillId="5" borderId="12" xfId="45" applyFont="1" applyFill="1" applyBorder="1" applyAlignment="1" applyProtection="1">
      <alignment horizontal="center" vertical="center"/>
      <protection locked="0"/>
    </xf>
    <xf numFmtId="193" fontId="35" fillId="5" borderId="13" xfId="45" applyFont="1" applyFill="1" applyBorder="1" applyAlignment="1" applyProtection="1">
      <alignment horizontal="center" vertical="center"/>
      <protection locked="0"/>
    </xf>
    <xf numFmtId="0" fontId="73" fillId="0" borderId="0" xfId="52" applyFont="1" applyAlignment="1">
      <alignment horizontal="left" vertical="center" wrapText="1"/>
      <protection locked="0"/>
    </xf>
    <xf numFmtId="0" fontId="35" fillId="5" borderId="7" xfId="0" applyFont="1" applyFill="1" applyBorder="1" applyAlignment="1">
      <alignment horizontal="center" vertical="center" wrapText="1"/>
      <protection locked="0"/>
    </xf>
    <xf numFmtId="0" fontId="35" fillId="5" borderId="8" xfId="0" applyFont="1" applyFill="1" applyBorder="1" applyAlignment="1">
      <alignment horizontal="center" vertical="center" wrapText="1"/>
      <protection locked="0"/>
    </xf>
    <xf numFmtId="0" fontId="35" fillId="5" borderId="9" xfId="0" applyFont="1" applyFill="1" applyBorder="1" applyAlignment="1">
      <alignment horizontal="center" vertical="center" wrapText="1"/>
      <protection locked="0"/>
    </xf>
    <xf numFmtId="0" fontId="22" fillId="5" borderId="3" xfId="52" applyFont="1" applyFill="1" applyBorder="1" applyAlignment="1">
      <alignment horizontal="center" vertical="center" wrapText="1"/>
      <protection locked="0"/>
    </xf>
    <xf numFmtId="0" fontId="35" fillId="5" borderId="3" xfId="52" applyFont="1" applyFill="1" applyBorder="1" applyAlignment="1">
      <alignment horizontal="center" vertical="center" wrapText="1"/>
      <protection locked="0"/>
    </xf>
    <xf numFmtId="0" fontId="35" fillId="5" borderId="7" xfId="0" applyFont="1" applyFill="1" applyBorder="1" applyAlignment="1">
      <alignment horizontal="center" vertical="center"/>
      <protection locked="0"/>
    </xf>
    <xf numFmtId="0" fontId="35" fillId="5" borderId="8" xfId="0" applyFont="1" applyFill="1" applyBorder="1" applyAlignment="1">
      <alignment horizontal="center" vertical="center"/>
      <protection locked="0"/>
    </xf>
    <xf numFmtId="0" fontId="25" fillId="0" borderId="0" xfId="0" applyFont="1" applyAlignment="1">
      <alignment horizontal="left" vertical="center" wrapText="1"/>
      <protection locked="0"/>
    </xf>
    <xf numFmtId="0" fontId="20" fillId="0" borderId="0" xfId="0" applyFont="1" applyAlignment="1">
      <alignment horizontal="center" vertical="center"/>
      <protection locked="0"/>
    </xf>
    <xf numFmtId="0" fontId="22" fillId="5" borderId="3" xfId="52" applyFont="1" applyFill="1" applyBorder="1" applyAlignment="1">
      <alignment horizontal="center" vertical="center"/>
      <protection locked="0"/>
    </xf>
    <xf numFmtId="0" fontId="35" fillId="5" borderId="3" xfId="52" applyFont="1" applyFill="1" applyBorder="1" applyAlignment="1">
      <alignment horizontal="center" vertical="center"/>
      <protection locked="0"/>
    </xf>
    <xf numFmtId="0" fontId="22" fillId="5" borderId="3" xfId="43" applyFont="1" applyFill="1" applyBorder="1" applyAlignment="1">
      <alignment horizontal="center" vertical="center"/>
      <protection locked="0"/>
    </xf>
    <xf numFmtId="0" fontId="22" fillId="10" borderId="3" xfId="43" applyFont="1" applyFill="1" applyBorder="1" applyAlignment="1" applyProtection="1">
      <alignment horizontal="center" vertical="center" wrapText="1"/>
    </xf>
    <xf numFmtId="0" fontId="22" fillId="5" borderId="3" xfId="0" applyFont="1" applyFill="1" applyBorder="1" applyAlignment="1">
      <alignment horizontal="center" vertical="center"/>
      <protection locked="0"/>
    </xf>
    <xf numFmtId="0" fontId="22" fillId="10" borderId="12" xfId="43" applyFont="1" applyFill="1" applyBorder="1" applyAlignment="1" applyProtection="1">
      <alignment horizontal="center" vertical="center" wrapText="1"/>
    </xf>
    <xf numFmtId="0" fontId="22" fillId="10" borderId="13" xfId="43" applyFont="1" applyFill="1" applyBorder="1" applyAlignment="1" applyProtection="1">
      <alignment horizontal="center" vertical="center" wrapText="1"/>
    </xf>
    <xf numFmtId="14" fontId="22" fillId="9" borderId="3" xfId="43" applyNumberFormat="1" applyFont="1" applyFill="1" applyBorder="1" applyAlignment="1">
      <alignment horizontal="center" vertical="center"/>
      <protection locked="0"/>
    </xf>
    <xf numFmtId="43" fontId="55" fillId="0" borderId="0" xfId="35" applyNumberFormat="1" applyFont="1" applyBorder="1" applyAlignment="1">
      <alignment horizontal="center" vertical="center"/>
    </xf>
    <xf numFmtId="0" fontId="20" fillId="0" borderId="0" xfId="32" applyFont="1" applyAlignment="1">
      <alignment horizontal="center" vertical="center" wrapText="1"/>
    </xf>
    <xf numFmtId="0" fontId="55" fillId="0" borderId="0" xfId="32" applyFont="1" applyAlignment="1">
      <alignment horizontal="center" vertical="center" wrapText="1"/>
    </xf>
    <xf numFmtId="0" fontId="55" fillId="0" borderId="0" xfId="0" applyFont="1" applyAlignment="1">
      <alignment horizontal="center" vertical="center"/>
      <protection locked="0"/>
    </xf>
  </cellXfs>
  <cellStyles count="59">
    <cellStyle name="@_text" xfId="1"/>
    <cellStyle name="{Comma [0]}" xfId="2"/>
    <cellStyle name="{Comma}" xfId="3"/>
    <cellStyle name="{Date}" xfId="4"/>
    <cellStyle name="{Month}" xfId="5"/>
    <cellStyle name="{Percent}" xfId="6"/>
    <cellStyle name="{Thousand [0]}" xfId="7"/>
    <cellStyle name="{Thousand}" xfId="8"/>
    <cellStyle name="{Z'0000(1 dec)}" xfId="9"/>
    <cellStyle name="{Z'0000(4 dec)}" xfId="10"/>
    <cellStyle name="Black" xfId="11"/>
    <cellStyle name="Border" xfId="12"/>
    <cellStyle name="Comma [0]_1995" xfId="13"/>
    <cellStyle name="Comma_1995" xfId="14"/>
    <cellStyle name="Currency [0]_1995" xfId="15"/>
    <cellStyle name="Currency_1995" xfId="16"/>
    <cellStyle name="Dezimal [0]_laroux" xfId="17"/>
    <cellStyle name="Dezimal_laroux" xfId="18"/>
    <cellStyle name="Euro" xfId="19"/>
    <cellStyle name="Followed Hyperlink_AheadBehind.xls Chart 23" xfId="20"/>
    <cellStyle name="Grey" xfId="21"/>
    <cellStyle name="Hyperlink_AheadBehind.xls Chart 23" xfId="22"/>
    <cellStyle name="Input [yellow]" xfId="23"/>
    <cellStyle name="Milliers [0]_laroux" xfId="24"/>
    <cellStyle name="Milliers_laroux" xfId="25"/>
    <cellStyle name="Non défini" xfId="26"/>
    <cellStyle name="Normal - Style1" xfId="27"/>
    <cellStyle name="Normal_22-Jun EUS Forecasts" xfId="28"/>
    <cellStyle name="Percent [2]" xfId="29"/>
    <cellStyle name="Red" xfId="30"/>
    <cellStyle name="百分比" xfId="31" builtinId="5"/>
    <cellStyle name="百分比 2 2" xfId="55"/>
    <cellStyle name="常规" xfId="0" builtinId="0"/>
    <cellStyle name="常规 11 5" xfId="58"/>
    <cellStyle name="常规 2" xfId="43"/>
    <cellStyle name="常规 2 2" xfId="52"/>
    <cellStyle name="常规 3" xfId="47"/>
    <cellStyle name="常规 3 2" xfId="50"/>
    <cellStyle name="常规 4" xfId="45"/>
    <cellStyle name="常规 4 2" xfId="53"/>
    <cellStyle name="常规 5" xfId="46"/>
    <cellStyle name="常规 6" xfId="49"/>
    <cellStyle name="常规 7" xfId="56"/>
    <cellStyle name="常规 7 2" xfId="57"/>
    <cellStyle name="常规_Book1" xfId="32"/>
    <cellStyle name="常规_Book1 2" xfId="48"/>
    <cellStyle name="常规_c-资产类" xfId="33"/>
    <cellStyle name="常规_进一步审计程序--销售与收款循环" xfId="34"/>
    <cellStyle name="常规_新审定表" xfId="35"/>
    <cellStyle name="常规_制造费用" xfId="44"/>
    <cellStyle name="超链接" xfId="36" builtinId="8"/>
    <cellStyle name="超链接 2" xfId="54"/>
    <cellStyle name="普通_ 外G9(3)" xfId="37"/>
    <cellStyle name="千分位[0]_宁波" xfId="38"/>
    <cellStyle name="千分位_宁波" xfId="39"/>
    <cellStyle name="千位[0]_laroux" xfId="40"/>
    <cellStyle name="千位_laroux" xfId="41"/>
    <cellStyle name="千位分隔" xfId="42" builtinId="3"/>
    <cellStyle name="千位分隔 2 4" xfId="51"/>
  </cellStyles>
  <dxfs count="0"/>
  <tableStyles count="0" defaultTableStyle="TableStyleMedium9" defaultPivotStyle="PivotStyleLight16"/>
  <colors>
    <mruColors>
      <color rgb="FFE4DFEC"/>
      <color rgb="FF0000FF"/>
      <color rgb="FFFFFF99"/>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I19"/>
  <sheetViews>
    <sheetView tabSelected="1" workbookViewId="0"/>
  </sheetViews>
  <sheetFormatPr defaultRowHeight="20.100000000000001" customHeight="1"/>
  <cols>
    <col min="1" max="1" width="77.59765625" style="6" customWidth="1"/>
    <col min="2" max="2" width="2" style="6" customWidth="1"/>
    <col min="3" max="3" width="2.09765625" style="6" customWidth="1"/>
    <col min="4" max="4" width="6.09765625" style="6" customWidth="1"/>
    <col min="5" max="5" width="29.69921875" style="6" customWidth="1"/>
    <col min="6" max="6" width="9" style="6" customWidth="1"/>
  </cols>
  <sheetData>
    <row r="1" spans="1:9" s="2" customFormat="1" ht="20.100000000000001" customHeight="1">
      <c r="A1" s="1" t="s">
        <v>4</v>
      </c>
      <c r="B1" s="3"/>
      <c r="C1" s="3"/>
      <c r="D1" s="4"/>
      <c r="E1" s="4"/>
      <c r="F1" s="4"/>
    </row>
    <row r="2" spans="1:9" ht="20.100000000000001" customHeight="1">
      <c r="A2" s="213" t="s">
        <v>243</v>
      </c>
      <c r="B2" s="5"/>
      <c r="C2" s="5"/>
      <c r="D2" s="79"/>
      <c r="E2" s="79"/>
      <c r="F2" s="79"/>
      <c r="G2" s="80"/>
      <c r="H2" s="80"/>
      <c r="I2" s="49"/>
    </row>
    <row r="3" spans="1:9" ht="20.100000000000001" customHeight="1">
      <c r="A3" s="213" t="s">
        <v>227</v>
      </c>
      <c r="B3" s="5"/>
      <c r="C3" s="5"/>
      <c r="D3" s="72" t="s">
        <v>63</v>
      </c>
      <c r="E3" s="72" t="s">
        <v>37</v>
      </c>
      <c r="F3" s="72" t="s">
        <v>64</v>
      </c>
      <c r="G3" s="72" t="s">
        <v>65</v>
      </c>
      <c r="H3" s="81"/>
      <c r="I3" s="49"/>
    </row>
    <row r="4" spans="1:9" ht="20.100000000000001" customHeight="1">
      <c r="A4" s="227" t="s">
        <v>244</v>
      </c>
      <c r="B4" s="5"/>
      <c r="C4" s="5"/>
      <c r="D4" s="72">
        <v>1</v>
      </c>
      <c r="E4" s="211" t="s">
        <v>87</v>
      </c>
      <c r="F4" s="212" t="s">
        <v>143</v>
      </c>
      <c r="G4" s="72"/>
      <c r="H4" s="81"/>
      <c r="I4" s="49"/>
    </row>
    <row r="5" spans="1:9" ht="20.100000000000001" customHeight="1">
      <c r="A5" s="227" t="s">
        <v>245</v>
      </c>
      <c r="D5" s="72">
        <v>2</v>
      </c>
      <c r="E5" s="211" t="s">
        <v>86</v>
      </c>
      <c r="F5" s="212" t="s">
        <v>142</v>
      </c>
      <c r="G5" s="74"/>
      <c r="H5" s="82"/>
      <c r="I5" s="49"/>
    </row>
    <row r="6" spans="1:9" ht="20.100000000000001" customHeight="1">
      <c r="A6" s="227" t="s">
        <v>246</v>
      </c>
      <c r="D6" s="72">
        <v>3</v>
      </c>
      <c r="E6" s="211" t="s">
        <v>66</v>
      </c>
      <c r="F6" s="212"/>
      <c r="G6" s="73"/>
      <c r="H6" s="49" t="s">
        <v>144</v>
      </c>
      <c r="I6" s="49"/>
    </row>
    <row r="7" spans="1:9" ht="20.100000000000001" customHeight="1">
      <c r="A7" s="227" t="s">
        <v>247</v>
      </c>
      <c r="D7" s="72">
        <v>4</v>
      </c>
      <c r="E7" s="211" t="s">
        <v>67</v>
      </c>
      <c r="F7" s="212"/>
      <c r="G7" s="73"/>
      <c r="H7" s="49" t="s">
        <v>144</v>
      </c>
      <c r="I7" s="49"/>
    </row>
    <row r="8" spans="1:9" ht="20.100000000000001" customHeight="1">
      <c r="A8" s="8"/>
      <c r="D8" s="72">
        <v>5</v>
      </c>
      <c r="E8" s="211" t="s">
        <v>137</v>
      </c>
      <c r="F8" s="212" t="s">
        <v>141</v>
      </c>
      <c r="G8" s="73"/>
      <c r="H8" s="49"/>
      <c r="I8" s="49"/>
    </row>
    <row r="9" spans="1:9" ht="19.95" customHeight="1">
      <c r="A9" s="228" t="s">
        <v>248</v>
      </c>
      <c r="D9" s="72">
        <v>6</v>
      </c>
      <c r="E9" s="211" t="s">
        <v>138</v>
      </c>
      <c r="F9" s="212" t="s">
        <v>141</v>
      </c>
      <c r="G9" s="73"/>
      <c r="H9" s="49"/>
      <c r="I9" s="49"/>
    </row>
    <row r="10" spans="1:9" ht="19.95" customHeight="1">
      <c r="A10" s="241" t="s">
        <v>249</v>
      </c>
      <c r="D10" s="72">
        <v>7</v>
      </c>
      <c r="E10" s="211" t="s">
        <v>139</v>
      </c>
      <c r="F10" s="212" t="s">
        <v>134</v>
      </c>
      <c r="G10" s="73"/>
      <c r="H10" s="49"/>
      <c r="I10" s="49"/>
    </row>
    <row r="11" spans="1:9" ht="19.95" customHeight="1">
      <c r="A11" s="241"/>
      <c r="D11" s="72">
        <v>8</v>
      </c>
      <c r="E11" s="211" t="s">
        <v>140</v>
      </c>
      <c r="F11" s="212" t="s">
        <v>135</v>
      </c>
      <c r="G11" s="73"/>
      <c r="H11" s="49"/>
      <c r="I11" s="49"/>
    </row>
    <row r="12" spans="1:9" ht="19.95" customHeight="1">
      <c r="A12" s="241"/>
      <c r="D12" s="72">
        <v>9</v>
      </c>
      <c r="E12" s="211" t="s">
        <v>226</v>
      </c>
      <c r="F12" s="212" t="s">
        <v>136</v>
      </c>
      <c r="G12" s="73"/>
      <c r="H12" s="49"/>
      <c r="I12" s="49"/>
    </row>
    <row r="13" spans="1:9" ht="19.95" customHeight="1">
      <c r="A13" s="241"/>
      <c r="D13" s="75"/>
      <c r="E13" s="75"/>
      <c r="F13" s="49"/>
      <c r="G13" s="49"/>
      <c r="H13" s="49"/>
      <c r="I13" s="49"/>
    </row>
    <row r="14" spans="1:9" ht="19.95" customHeight="1">
      <c r="A14" s="241" t="s">
        <v>250</v>
      </c>
      <c r="D14" s="75"/>
      <c r="E14" s="75"/>
      <c r="F14" s="75"/>
      <c r="G14" s="49"/>
    </row>
    <row r="15" spans="1:9" ht="19.95" customHeight="1">
      <c r="A15" s="241"/>
      <c r="F15" s="7"/>
    </row>
    <row r="16" spans="1:9" ht="19.95" customHeight="1">
      <c r="A16" s="241"/>
      <c r="F16" s="7"/>
    </row>
    <row r="17" spans="1:1" ht="19.95" customHeight="1">
      <c r="A17" s="242" t="s">
        <v>251</v>
      </c>
    </row>
    <row r="18" spans="1:1" ht="19.95" customHeight="1">
      <c r="A18" s="242"/>
    </row>
    <row r="19" spans="1:1" ht="19.95" customHeight="1">
      <c r="A19" s="242"/>
    </row>
  </sheetData>
  <mergeCells count="3">
    <mergeCell ref="A10:A13"/>
    <mergeCell ref="A14:A16"/>
    <mergeCell ref="A17:A19"/>
  </mergeCells>
  <phoneticPr fontId="49" type="noConversion"/>
  <hyperlinks>
    <hyperlink ref="E6" location="'附注披露信息（上市公司）'!A1" display="附注披露信息(上市公司)"/>
    <hyperlink ref="E7" location="'附注披露信息（国有企业）'!A1" display="附注披露信息(国企)"/>
    <hyperlink ref="E8" location="'明细表（上市公司）M2-2'!A1" display="明细表（上市公司）"/>
    <hyperlink ref="E11" location="'外币投资汇率测算表M2-4'!A1" display="外币投资汇率测算表"/>
    <hyperlink ref="E12" location="'实收资本（股本）检查表M2-5'!A1" display="实收资本（股本）检查表"/>
    <hyperlink ref="E5" location="'审定表M2-1'!A1" display="审定表"/>
    <hyperlink ref="E9" location="'明细表（非上市公司）M2-2'!A1" display="明细表（非上市公司）"/>
    <hyperlink ref="E4" location="' 实收资本实质性程序表 M2A'!A1" display="实收资本实质性程序表"/>
    <hyperlink ref="E10" location="'调整分录汇总M2-3'!A1" display="调整分录汇总"/>
  </hyperlinks>
  <pageMargins left="0.75" right="0.75" top="1" bottom="1" header="0.5" footer="0.5"/>
  <pageSetup paperSize="9" orientation="portrait" horizontalDpi="1200" verticalDpi="1200" r:id="rId1"/>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L30"/>
  <sheetViews>
    <sheetView view="pageBreakPreview" zoomScaleNormal="110" zoomScaleSheetLayoutView="100" workbookViewId="0">
      <selection sqref="A1:I1"/>
    </sheetView>
  </sheetViews>
  <sheetFormatPr defaultColWidth="9" defaultRowHeight="13.8"/>
  <cols>
    <col min="1" max="1" width="6" style="111" customWidth="1"/>
    <col min="2" max="2" width="58.3984375" style="100" customWidth="1"/>
    <col min="3" max="3" width="8.59765625" style="100" customWidth="1"/>
    <col min="4" max="4" width="5" style="111" customWidth="1"/>
    <col min="5" max="6" width="7.59765625" style="100" customWidth="1"/>
    <col min="7" max="7" width="8.69921875" style="100" customWidth="1"/>
    <col min="8" max="8" width="6.19921875" style="100" customWidth="1"/>
    <col min="9" max="9" width="7.59765625" style="100" customWidth="1"/>
    <col min="10" max="10" width="58.09765625" style="99" customWidth="1"/>
    <col min="11" max="11" width="14.69921875" style="99" customWidth="1"/>
    <col min="12" max="16384" width="9" style="100"/>
  </cols>
  <sheetData>
    <row r="1" spans="1:12" ht="19.95" customHeight="1">
      <c r="A1" s="245" t="s">
        <v>73</v>
      </c>
      <c r="B1" s="245"/>
      <c r="C1" s="245"/>
      <c r="D1" s="245"/>
      <c r="E1" s="245"/>
      <c r="F1" s="245"/>
      <c r="G1" s="245"/>
      <c r="H1" s="245"/>
      <c r="I1" s="245"/>
    </row>
    <row r="2" spans="1:12" ht="19.95" customHeight="1">
      <c r="A2" s="246" t="s">
        <v>74</v>
      </c>
      <c r="B2" s="247"/>
      <c r="C2" s="247"/>
      <c r="D2" s="247"/>
      <c r="E2" s="247"/>
      <c r="F2" s="247"/>
      <c r="G2" s="247"/>
      <c r="H2" s="247"/>
      <c r="I2" s="247"/>
    </row>
    <row r="3" spans="1:12" ht="19.95" customHeight="1">
      <c r="A3" s="101" t="str">
        <f>底稿目录!A2</f>
        <v>被审计单位：</v>
      </c>
      <c r="B3" s="102"/>
      <c r="C3" s="103" t="str">
        <f>底稿目录!A4</f>
        <v>编制人：</v>
      </c>
      <c r="E3" s="102" t="str">
        <f>底稿目录!A5</f>
        <v>编制日期：</v>
      </c>
      <c r="G3" s="102"/>
      <c r="H3" s="102" t="s">
        <v>75</v>
      </c>
      <c r="I3" s="220" t="str">
        <f>底稿目录!F4</f>
        <v xml:space="preserve"> M2A</v>
      </c>
    </row>
    <row r="4" spans="1:12" ht="19.95" customHeight="1">
      <c r="A4" s="105" t="str">
        <f>底稿目录!A3</f>
        <v>截止日：202X年12月31日</v>
      </c>
      <c r="B4" s="102"/>
      <c r="C4" s="103" t="str">
        <f>底稿目录!A6</f>
        <v>复核人：</v>
      </c>
      <c r="E4" s="102" t="str">
        <f>底稿目录!A7</f>
        <v>复核日期：</v>
      </c>
      <c r="G4" s="102"/>
      <c r="H4" s="106" t="s">
        <v>76</v>
      </c>
      <c r="I4" s="104"/>
    </row>
    <row r="5" spans="1:12" ht="19.95" customHeight="1">
      <c r="A5" s="248" t="s">
        <v>77</v>
      </c>
      <c r="B5" s="248"/>
      <c r="C5" s="102"/>
      <c r="D5" s="101"/>
      <c r="E5" s="102"/>
      <c r="F5" s="102"/>
      <c r="G5" s="102"/>
      <c r="H5" s="102"/>
      <c r="I5" s="102"/>
    </row>
    <row r="6" spans="1:12" ht="19.95" customHeight="1">
      <c r="A6" s="107" t="s">
        <v>78</v>
      </c>
      <c r="C6" s="102"/>
      <c r="D6" s="101"/>
      <c r="E6" s="102"/>
      <c r="F6" s="102"/>
      <c r="G6" s="102"/>
      <c r="H6" s="102"/>
      <c r="I6" s="102"/>
    </row>
    <row r="7" spans="1:12" ht="19.95" customHeight="1">
      <c r="A7" s="173" t="s">
        <v>129</v>
      </c>
      <c r="B7" s="109"/>
      <c r="C7" s="109"/>
      <c r="D7" s="101"/>
      <c r="E7" s="102"/>
      <c r="F7" s="102"/>
      <c r="G7" s="102"/>
      <c r="H7" s="102"/>
      <c r="I7" s="102"/>
      <c r="J7" s="110"/>
      <c r="K7" s="110"/>
    </row>
    <row r="8" spans="1:12" ht="19.95" customHeight="1">
      <c r="A8" s="250" t="s">
        <v>113</v>
      </c>
      <c r="B8" s="250"/>
      <c r="C8" s="250"/>
      <c r="D8" s="250"/>
      <c r="E8" s="250"/>
      <c r="F8" s="250"/>
      <c r="G8" s="254" t="s">
        <v>79</v>
      </c>
      <c r="H8" s="254"/>
      <c r="I8" s="254"/>
      <c r="J8" s="110"/>
      <c r="K8" s="110"/>
    </row>
    <row r="9" spans="1:12" ht="19.95" customHeight="1">
      <c r="A9" s="243" t="s">
        <v>121</v>
      </c>
      <c r="B9" s="243"/>
      <c r="C9" s="243"/>
      <c r="D9" s="243"/>
      <c r="E9" s="243"/>
      <c r="F9" s="243"/>
      <c r="G9" s="255" t="s">
        <v>80</v>
      </c>
      <c r="H9" s="255"/>
      <c r="I9" s="255"/>
      <c r="J9" s="110"/>
      <c r="K9" s="110"/>
    </row>
    <row r="10" spans="1:12" ht="19.95" customHeight="1">
      <c r="A10" s="243" t="s">
        <v>122</v>
      </c>
      <c r="B10" s="243"/>
      <c r="C10" s="243"/>
      <c r="D10" s="243"/>
      <c r="E10" s="243"/>
      <c r="F10" s="243"/>
      <c r="G10" s="244" t="s">
        <v>238</v>
      </c>
      <c r="H10" s="244"/>
      <c r="I10" s="244"/>
      <c r="J10" s="110"/>
      <c r="K10" s="110"/>
    </row>
    <row r="11" spans="1:12" ht="19.95" customHeight="1">
      <c r="A11" s="243" t="s">
        <v>240</v>
      </c>
      <c r="B11" s="243"/>
      <c r="C11" s="243"/>
      <c r="D11" s="243"/>
      <c r="E11" s="243"/>
      <c r="F11" s="243"/>
      <c r="G11" s="244" t="s">
        <v>239</v>
      </c>
      <c r="H11" s="244"/>
      <c r="I11" s="244"/>
      <c r="J11" s="110"/>
      <c r="K11" s="110"/>
    </row>
    <row r="12" spans="1:12" ht="19.95" customHeight="1">
      <c r="A12" s="243" t="s">
        <v>241</v>
      </c>
      <c r="B12" s="243"/>
      <c r="C12" s="243"/>
      <c r="D12" s="243"/>
      <c r="E12" s="243"/>
      <c r="F12" s="243"/>
      <c r="G12" s="244" t="s">
        <v>114</v>
      </c>
      <c r="H12" s="244"/>
      <c r="I12" s="244"/>
      <c r="J12" s="110"/>
      <c r="K12" s="110"/>
    </row>
    <row r="13" spans="1:12" ht="19.95" customHeight="1">
      <c r="A13" s="243" t="s">
        <v>242</v>
      </c>
      <c r="B13" s="243"/>
      <c r="C13" s="243"/>
      <c r="D13" s="243"/>
      <c r="E13" s="243"/>
      <c r="F13" s="243"/>
      <c r="G13" s="244" t="s">
        <v>237</v>
      </c>
      <c r="H13" s="244"/>
      <c r="I13" s="244"/>
      <c r="J13" s="110"/>
      <c r="K13" s="110"/>
    </row>
    <row r="14" spans="1:12" ht="20.25" customHeight="1">
      <c r="A14" s="108" t="s">
        <v>81</v>
      </c>
      <c r="J14" s="221"/>
      <c r="K14" s="222"/>
      <c r="L14" s="222"/>
    </row>
    <row r="15" spans="1:12" ht="24" customHeight="1">
      <c r="A15" s="249" t="s">
        <v>82</v>
      </c>
      <c r="B15" s="250" t="s">
        <v>253</v>
      </c>
      <c r="C15" s="253" t="s">
        <v>83</v>
      </c>
      <c r="D15" s="252" t="s">
        <v>107</v>
      </c>
      <c r="E15" s="252"/>
      <c r="F15" s="252"/>
      <c r="G15" s="252"/>
      <c r="H15" s="252"/>
      <c r="I15" s="250" t="s">
        <v>192</v>
      </c>
      <c r="J15" s="112"/>
      <c r="K15" s="112"/>
      <c r="L15" s="112"/>
    </row>
    <row r="16" spans="1:12" ht="38.4" customHeight="1">
      <c r="A16" s="249"/>
      <c r="B16" s="250"/>
      <c r="C16" s="253"/>
      <c r="D16" s="202" t="s">
        <v>108</v>
      </c>
      <c r="E16" s="202" t="s">
        <v>109</v>
      </c>
      <c r="F16" s="203" t="s">
        <v>110</v>
      </c>
      <c r="G16" s="203" t="s">
        <v>111</v>
      </c>
      <c r="H16" s="203" t="s">
        <v>112</v>
      </c>
      <c r="I16" s="251"/>
      <c r="J16" s="230" t="s">
        <v>252</v>
      </c>
      <c r="K16" s="112"/>
      <c r="L16" s="112"/>
    </row>
    <row r="17" spans="1:12" ht="64.8" customHeight="1">
      <c r="A17" s="229">
        <v>1</v>
      </c>
      <c r="B17" s="201" t="s">
        <v>221</v>
      </c>
      <c r="C17" s="115" t="s">
        <v>84</v>
      </c>
      <c r="D17" s="154" t="s">
        <v>115</v>
      </c>
      <c r="E17" s="154" t="s">
        <v>115</v>
      </c>
      <c r="F17" s="156"/>
      <c r="G17" s="156" t="s">
        <v>115</v>
      </c>
      <c r="H17" s="155"/>
      <c r="I17" s="206" t="s">
        <v>223</v>
      </c>
      <c r="J17" s="105"/>
      <c r="K17" s="105"/>
      <c r="L17" s="152"/>
    </row>
    <row r="18" spans="1:12" ht="55.8" customHeight="1">
      <c r="A18" s="229">
        <v>2</v>
      </c>
      <c r="B18" s="201" t="s">
        <v>116</v>
      </c>
      <c r="C18" s="115" t="s">
        <v>84</v>
      </c>
      <c r="D18" s="154"/>
      <c r="E18" s="156" t="s">
        <v>115</v>
      </c>
      <c r="F18" s="155"/>
      <c r="G18" s="154" t="s">
        <v>115</v>
      </c>
      <c r="H18" s="155"/>
      <c r="I18" s="231" t="s">
        <v>254</v>
      </c>
      <c r="J18" s="179" t="s">
        <v>145</v>
      </c>
      <c r="K18" s="114"/>
      <c r="L18" s="113"/>
    </row>
    <row r="19" spans="1:12" ht="52.2" customHeight="1">
      <c r="A19" s="229">
        <v>3</v>
      </c>
      <c r="B19" s="204" t="s">
        <v>218</v>
      </c>
      <c r="C19" s="116" t="s">
        <v>85</v>
      </c>
      <c r="D19" s="189" t="s">
        <v>115</v>
      </c>
      <c r="E19" s="190" t="s">
        <v>115</v>
      </c>
      <c r="F19" s="190" t="s">
        <v>115</v>
      </c>
      <c r="G19" s="190" t="s">
        <v>187</v>
      </c>
      <c r="H19" s="155"/>
      <c r="I19" s="206"/>
      <c r="J19" s="178" t="s">
        <v>230</v>
      </c>
      <c r="K19" s="114"/>
      <c r="L19" s="113"/>
    </row>
    <row r="20" spans="1:12" ht="101.4" customHeight="1">
      <c r="A20" s="229">
        <v>4</v>
      </c>
      <c r="B20" s="201" t="s">
        <v>219</v>
      </c>
      <c r="C20" s="115" t="s">
        <v>84</v>
      </c>
      <c r="D20" s="156" t="s">
        <v>115</v>
      </c>
      <c r="E20" s="154" t="s">
        <v>115</v>
      </c>
      <c r="F20" s="154" t="s">
        <v>115</v>
      </c>
      <c r="G20" s="156"/>
      <c r="H20" s="155"/>
      <c r="I20" s="206" t="s">
        <v>222</v>
      </c>
      <c r="J20" s="153"/>
      <c r="K20" s="153"/>
      <c r="L20" s="152"/>
    </row>
    <row r="21" spans="1:12" ht="37.799999999999997" customHeight="1">
      <c r="A21" s="229">
        <v>5</v>
      </c>
      <c r="B21" s="208" t="s">
        <v>132</v>
      </c>
      <c r="C21" s="116" t="s">
        <v>85</v>
      </c>
      <c r="D21" s="154" t="s">
        <v>115</v>
      </c>
      <c r="E21" s="154" t="s">
        <v>115</v>
      </c>
      <c r="F21" s="154" t="s">
        <v>115</v>
      </c>
      <c r="G21" s="156"/>
      <c r="H21" s="155"/>
      <c r="I21" s="206"/>
      <c r="J21" s="153"/>
      <c r="K21" s="153"/>
      <c r="L21" s="152"/>
    </row>
    <row r="22" spans="1:12" ht="75" customHeight="1">
      <c r="A22" s="229">
        <v>6</v>
      </c>
      <c r="B22" s="208" t="s">
        <v>188</v>
      </c>
      <c r="C22" s="116" t="s">
        <v>85</v>
      </c>
      <c r="D22" s="154" t="s">
        <v>115</v>
      </c>
      <c r="E22" s="154" t="s">
        <v>115</v>
      </c>
      <c r="F22" s="154" t="s">
        <v>115</v>
      </c>
      <c r="G22" s="156"/>
      <c r="H22" s="155"/>
      <c r="I22" s="206"/>
      <c r="J22" s="153"/>
      <c r="K22" s="153"/>
      <c r="L22" s="152"/>
    </row>
    <row r="23" spans="1:12" ht="37.799999999999997" customHeight="1">
      <c r="A23" s="229">
        <v>7</v>
      </c>
      <c r="B23" s="208" t="s">
        <v>131</v>
      </c>
      <c r="C23" s="116" t="s">
        <v>85</v>
      </c>
      <c r="D23" s="154" t="s">
        <v>115</v>
      </c>
      <c r="E23" s="154" t="s">
        <v>115</v>
      </c>
      <c r="F23" s="154" t="s">
        <v>115</v>
      </c>
      <c r="G23" s="156"/>
      <c r="H23" s="155"/>
      <c r="I23" s="206"/>
      <c r="J23" s="153"/>
      <c r="K23" s="153"/>
      <c r="L23" s="152"/>
    </row>
    <row r="24" spans="1:12" ht="33.6" customHeight="1">
      <c r="A24" s="229">
        <v>8</v>
      </c>
      <c r="B24" s="208" t="s">
        <v>130</v>
      </c>
      <c r="C24" s="116" t="s">
        <v>85</v>
      </c>
      <c r="D24" s="154" t="s">
        <v>115</v>
      </c>
      <c r="E24" s="154" t="s">
        <v>115</v>
      </c>
      <c r="F24" s="154" t="s">
        <v>115</v>
      </c>
      <c r="G24" s="156"/>
      <c r="H24" s="155"/>
      <c r="I24" s="206"/>
      <c r="J24" s="153"/>
      <c r="K24" s="153"/>
      <c r="L24" s="152"/>
    </row>
    <row r="25" spans="1:12" ht="52.2" customHeight="1">
      <c r="A25" s="229">
        <v>9</v>
      </c>
      <c r="B25" s="208" t="s">
        <v>189</v>
      </c>
      <c r="C25" s="116" t="s">
        <v>85</v>
      </c>
      <c r="D25" s="154" t="s">
        <v>115</v>
      </c>
      <c r="E25" s="154" t="s">
        <v>115</v>
      </c>
      <c r="F25" s="154" t="s">
        <v>115</v>
      </c>
      <c r="G25" s="154" t="s">
        <v>115</v>
      </c>
      <c r="H25" s="155"/>
      <c r="I25" s="206"/>
      <c r="J25" s="153"/>
      <c r="K25" s="153"/>
      <c r="L25" s="152"/>
    </row>
    <row r="26" spans="1:12" ht="30.6" customHeight="1">
      <c r="A26" s="229">
        <v>10</v>
      </c>
      <c r="B26" s="208" t="s">
        <v>190</v>
      </c>
      <c r="C26" s="116" t="s">
        <v>85</v>
      </c>
      <c r="D26" s="154"/>
      <c r="E26" s="154"/>
      <c r="F26" s="156"/>
      <c r="G26" s="154" t="s">
        <v>115</v>
      </c>
      <c r="H26" s="205"/>
      <c r="I26" s="206"/>
      <c r="J26" s="177"/>
      <c r="K26" s="153"/>
      <c r="L26" s="152"/>
    </row>
    <row r="27" spans="1:12" ht="49.8" customHeight="1">
      <c r="A27" s="229">
        <v>11</v>
      </c>
      <c r="B27" s="208" t="s">
        <v>191</v>
      </c>
      <c r="C27" s="190" t="s">
        <v>236</v>
      </c>
      <c r="D27" s="156"/>
      <c r="E27" s="154"/>
      <c r="F27" s="156"/>
      <c r="G27" s="156"/>
      <c r="H27" s="205"/>
      <c r="I27" s="206"/>
      <c r="J27" s="177"/>
      <c r="K27" s="114"/>
      <c r="L27" s="113"/>
    </row>
    <row r="28" spans="1:12" ht="41.4" customHeight="1">
      <c r="A28" s="229">
        <v>12</v>
      </c>
      <c r="B28" s="208" t="s">
        <v>220</v>
      </c>
      <c r="C28" s="190" t="s">
        <v>235</v>
      </c>
      <c r="D28" s="154"/>
      <c r="E28" s="154"/>
      <c r="F28" s="156"/>
      <c r="G28" s="156"/>
      <c r="H28" s="205"/>
      <c r="I28" s="206"/>
      <c r="J28" s="177"/>
      <c r="K28" s="114"/>
      <c r="L28" s="113"/>
    </row>
    <row r="29" spans="1:12" ht="33.75" customHeight="1">
      <c r="A29" s="229">
        <v>13</v>
      </c>
      <c r="B29" s="209" t="s">
        <v>117</v>
      </c>
      <c r="C29" s="154" t="s">
        <v>84</v>
      </c>
      <c r="D29" s="154"/>
      <c r="E29" s="154"/>
      <c r="F29" s="156"/>
      <c r="G29" s="156"/>
      <c r="H29" s="154" t="s">
        <v>115</v>
      </c>
      <c r="I29" s="210" t="s">
        <v>224</v>
      </c>
      <c r="J29" s="114"/>
      <c r="K29" s="114"/>
      <c r="L29" s="113"/>
    </row>
    <row r="30" spans="1:12" ht="28.5" customHeight="1"/>
  </sheetData>
  <mergeCells count="20">
    <mergeCell ref="A1:I1"/>
    <mergeCell ref="A2:I2"/>
    <mergeCell ref="A5:B5"/>
    <mergeCell ref="A15:A16"/>
    <mergeCell ref="I15:I16"/>
    <mergeCell ref="D15:H15"/>
    <mergeCell ref="C15:C16"/>
    <mergeCell ref="B15:B16"/>
    <mergeCell ref="A13:F13"/>
    <mergeCell ref="G8:I8"/>
    <mergeCell ref="G9:I9"/>
    <mergeCell ref="G10:I10"/>
    <mergeCell ref="G11:I11"/>
    <mergeCell ref="G12:I12"/>
    <mergeCell ref="A8:F8"/>
    <mergeCell ref="A9:F9"/>
    <mergeCell ref="A10:F10"/>
    <mergeCell ref="A11:F11"/>
    <mergeCell ref="A12:F12"/>
    <mergeCell ref="G13:I13"/>
  </mergeCells>
  <phoneticPr fontId="49" type="noConversion"/>
  <hyperlinks>
    <hyperlink ref="I3" location="底稿目录!A1" display="底稿目录!A1"/>
  </hyperlinks>
  <printOptions horizontalCentered="1"/>
  <pageMargins left="0.70866141732283472" right="0.70866141732283472" top="0.74803149606299213" bottom="0.74803149606299213" header="0.31496062992125984" footer="0.31496062992125984"/>
  <pageSetup paperSize="9" scale="70" fitToHeight="50" orientation="portrait" blackAndWhite="1" r:id="rId1"/>
  <headerFooter alignWithMargins="0">
    <oddFooter>&amp;C&amp;P/&amp;N</oddFooter>
  </headerFooter>
  <ignoredErrors>
    <ignoredError sqref="A3:C4" unlockedFormula="1"/>
  </ignoredErrors>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dimension ref="A1:L49"/>
  <sheetViews>
    <sheetView view="pageBreakPreview" zoomScaleSheetLayoutView="100" workbookViewId="0">
      <selection sqref="A1:L1"/>
    </sheetView>
  </sheetViews>
  <sheetFormatPr defaultColWidth="9" defaultRowHeight="23.25" customHeight="1"/>
  <cols>
    <col min="1" max="1" width="25.09765625" style="18" customWidth="1"/>
    <col min="2" max="3" width="9.5" style="18" customWidth="1"/>
    <col min="4" max="4" width="11.796875" style="18" customWidth="1"/>
    <col min="5" max="7" width="9.5" style="18" customWidth="1"/>
    <col min="8" max="8" width="11.796875" style="18" customWidth="1"/>
    <col min="9" max="9" width="9.5" style="18" customWidth="1"/>
    <col min="10" max="16384" width="9" style="18"/>
  </cols>
  <sheetData>
    <row r="1" spans="1:12" s="17" customFormat="1" ht="19.95" customHeight="1">
      <c r="A1" s="258" t="s">
        <v>38</v>
      </c>
      <c r="B1" s="258"/>
      <c r="C1" s="258"/>
      <c r="D1" s="258"/>
      <c r="E1" s="258"/>
      <c r="F1" s="258"/>
      <c r="G1" s="258"/>
      <c r="H1" s="258"/>
      <c r="I1" s="258"/>
      <c r="J1" s="258"/>
      <c r="K1" s="258"/>
      <c r="L1" s="258"/>
    </row>
    <row r="2" spans="1:12" s="17" customFormat="1" ht="19.95" customHeight="1">
      <c r="A2" s="259" t="s">
        <v>1</v>
      </c>
      <c r="B2" s="259"/>
      <c r="C2" s="259"/>
      <c r="D2" s="259"/>
      <c r="E2" s="259"/>
      <c r="F2" s="259"/>
      <c r="G2" s="259"/>
      <c r="H2" s="259"/>
      <c r="I2" s="259"/>
      <c r="J2" s="259"/>
      <c r="K2" s="259"/>
      <c r="L2" s="259"/>
    </row>
    <row r="3" spans="1:12" ht="19.95" customHeight="1">
      <c r="A3" s="18" t="str">
        <f>底稿目录!A2</f>
        <v>被审计单位：</v>
      </c>
      <c r="E3" s="19" t="str">
        <f>底稿目录!A4</f>
        <v>编制人：</v>
      </c>
      <c r="H3" s="18" t="str">
        <f>底稿目录!A5</f>
        <v>编制日期：</v>
      </c>
      <c r="K3" s="214" t="s">
        <v>75</v>
      </c>
      <c r="L3" s="220" t="str">
        <f>底稿目录!F5</f>
        <v>M2-1</v>
      </c>
    </row>
    <row r="4" spans="1:12" ht="19.95" customHeight="1">
      <c r="A4" s="18" t="str">
        <f>底稿目录!A3</f>
        <v>截止日：202X年12月31日</v>
      </c>
      <c r="B4" s="20"/>
      <c r="E4" s="19" t="str">
        <f>底稿目录!A6</f>
        <v>复核人：</v>
      </c>
      <c r="H4" s="18" t="str">
        <f>底稿目录!A7</f>
        <v>复核日期：</v>
      </c>
      <c r="K4" s="215" t="s">
        <v>76</v>
      </c>
      <c r="L4" s="174"/>
    </row>
    <row r="5" spans="1:12" ht="19.95" customHeight="1">
      <c r="A5" s="261" t="s">
        <v>49</v>
      </c>
      <c r="B5" s="262" t="s">
        <v>50</v>
      </c>
      <c r="C5" s="263"/>
      <c r="D5" s="263"/>
      <c r="E5" s="264"/>
      <c r="F5" s="262" t="s">
        <v>51</v>
      </c>
      <c r="G5" s="263"/>
      <c r="H5" s="263"/>
      <c r="I5" s="264"/>
      <c r="J5" s="265" t="s">
        <v>52</v>
      </c>
      <c r="K5" s="266"/>
      <c r="L5" s="256" t="s">
        <v>53</v>
      </c>
    </row>
    <row r="6" spans="1:12" ht="19.95" customHeight="1">
      <c r="A6" s="261"/>
      <c r="B6" s="61" t="s">
        <v>54</v>
      </c>
      <c r="C6" s="61" t="s">
        <v>55</v>
      </c>
      <c r="D6" s="61" t="s">
        <v>56</v>
      </c>
      <c r="E6" s="61" t="s">
        <v>57</v>
      </c>
      <c r="F6" s="61" t="s">
        <v>54</v>
      </c>
      <c r="G6" s="61" t="s">
        <v>55</v>
      </c>
      <c r="H6" s="61" t="s">
        <v>56</v>
      </c>
      <c r="I6" s="61" t="s">
        <v>57</v>
      </c>
      <c r="J6" s="62" t="s">
        <v>59</v>
      </c>
      <c r="K6" s="63" t="s">
        <v>58</v>
      </c>
      <c r="L6" s="257"/>
    </row>
    <row r="7" spans="1:12" ht="19.95" customHeight="1">
      <c r="A7" s="157">
        <f>'明细表（非上市公司）M2-2'!A13</f>
        <v>0</v>
      </c>
      <c r="B7" s="157">
        <f>'明细表（非上市公司）M2-2'!C13</f>
        <v>0</v>
      </c>
      <c r="C7" s="157">
        <f>'明细表（非上市公司）M2-2'!J13</f>
        <v>0</v>
      </c>
      <c r="D7" s="157">
        <f>'明细表（非上市公司）M2-2'!K13</f>
        <v>0</v>
      </c>
      <c r="E7" s="157">
        <f>'明细表（非上市公司）M2-2'!P13</f>
        <v>0</v>
      </c>
      <c r="F7" s="157">
        <f>'明细表（非上市公司）M2-2'!H13</f>
        <v>0</v>
      </c>
      <c r="G7" s="157">
        <f>'明细表（非上市公司）M2-2'!J13+'明细表（非上市公司）M2-2'!L13-'明细表（非上市公司）M2-2'!M13</f>
        <v>0</v>
      </c>
      <c r="H7" s="157">
        <f>'明细表（非上市公司）M2-2'!K13+'明细表（非上市公司）M2-2'!N13-'明细表（非上市公司）M2-2'!O13</f>
        <v>0</v>
      </c>
      <c r="I7" s="157">
        <f>'明细表（非上市公司）M2-2'!T13</f>
        <v>0</v>
      </c>
      <c r="J7" s="157">
        <f>I7-E7</f>
        <v>0</v>
      </c>
      <c r="K7" s="158">
        <f t="shared" ref="K7:K17" si="0">IF(AND(E7=0,J7=0),0,IF(AND(E7=0,J7&gt;0),1,J7/E7))</f>
        <v>0</v>
      </c>
      <c r="L7" s="64"/>
    </row>
    <row r="8" spans="1:12" ht="19.95" customHeight="1">
      <c r="A8" s="157">
        <f>'明细表（非上市公司）M2-2'!A14</f>
        <v>0</v>
      </c>
      <c r="B8" s="157">
        <f>'明细表（非上市公司）M2-2'!C14</f>
        <v>0</v>
      </c>
      <c r="C8" s="157">
        <f>'明细表（非上市公司）M2-2'!J14</f>
        <v>0</v>
      </c>
      <c r="D8" s="157">
        <f>'明细表（非上市公司）M2-2'!K14</f>
        <v>0</v>
      </c>
      <c r="E8" s="157">
        <f>'明细表（非上市公司）M2-2'!P14</f>
        <v>0</v>
      </c>
      <c r="F8" s="157">
        <f>'明细表（非上市公司）M2-2'!H14</f>
        <v>0</v>
      </c>
      <c r="G8" s="157">
        <f>'明细表（非上市公司）M2-2'!J14+'明细表（非上市公司）M2-2'!L14-'明细表（非上市公司）M2-2'!M14</f>
        <v>0</v>
      </c>
      <c r="H8" s="157">
        <f>'明细表（非上市公司）M2-2'!K14+'明细表（非上市公司）M2-2'!N14-'明细表（非上市公司）M2-2'!O14</f>
        <v>0</v>
      </c>
      <c r="I8" s="157">
        <f>'明细表（非上市公司）M2-2'!T14</f>
        <v>0</v>
      </c>
      <c r="J8" s="157">
        <f>I8-E8</f>
        <v>0</v>
      </c>
      <c r="K8" s="158">
        <f t="shared" si="0"/>
        <v>0</v>
      </c>
      <c r="L8" s="64"/>
    </row>
    <row r="9" spans="1:12" ht="19.95" customHeight="1">
      <c r="A9" s="157">
        <f>'明细表（非上市公司）M2-2'!A15</f>
        <v>0</v>
      </c>
      <c r="B9" s="157">
        <f>'明细表（非上市公司）M2-2'!C15</f>
        <v>0</v>
      </c>
      <c r="C9" s="157">
        <f>'明细表（非上市公司）M2-2'!J15</f>
        <v>0</v>
      </c>
      <c r="D9" s="157">
        <f>'明细表（非上市公司）M2-2'!K15</f>
        <v>0</v>
      </c>
      <c r="E9" s="157">
        <f>'明细表（非上市公司）M2-2'!P15</f>
        <v>0</v>
      </c>
      <c r="F9" s="157">
        <f>'明细表（非上市公司）M2-2'!H15</f>
        <v>0</v>
      </c>
      <c r="G9" s="157">
        <f>'明细表（非上市公司）M2-2'!J15+'明细表（非上市公司）M2-2'!L15-'明细表（非上市公司）M2-2'!M15</f>
        <v>0</v>
      </c>
      <c r="H9" s="157">
        <f>'明细表（非上市公司）M2-2'!K15+'明细表（非上市公司）M2-2'!N15-'明细表（非上市公司）M2-2'!O15</f>
        <v>0</v>
      </c>
      <c r="I9" s="157">
        <f>'明细表（非上市公司）M2-2'!T15</f>
        <v>0</v>
      </c>
      <c r="J9" s="157">
        <f>I9-E9</f>
        <v>0</v>
      </c>
      <c r="K9" s="158">
        <f t="shared" si="0"/>
        <v>0</v>
      </c>
      <c r="L9" s="64"/>
    </row>
    <row r="10" spans="1:12" ht="19.95" customHeight="1">
      <c r="A10" s="157">
        <f>'明细表（非上市公司）M2-2'!A16</f>
        <v>0</v>
      </c>
      <c r="B10" s="157">
        <f>'明细表（非上市公司）M2-2'!C16</f>
        <v>0</v>
      </c>
      <c r="C10" s="157">
        <f>'明细表（非上市公司）M2-2'!J16</f>
        <v>0</v>
      </c>
      <c r="D10" s="157">
        <f>'明细表（非上市公司）M2-2'!K16</f>
        <v>0</v>
      </c>
      <c r="E10" s="157">
        <f>'明细表（非上市公司）M2-2'!P16</f>
        <v>0</v>
      </c>
      <c r="F10" s="157">
        <f>'明细表（非上市公司）M2-2'!H16</f>
        <v>0</v>
      </c>
      <c r="G10" s="157">
        <f>'明细表（非上市公司）M2-2'!J16+'明细表（非上市公司）M2-2'!L16-'明细表（非上市公司）M2-2'!M16</f>
        <v>0</v>
      </c>
      <c r="H10" s="157">
        <f>'明细表（非上市公司）M2-2'!K16+'明细表（非上市公司）M2-2'!N16-'明细表（非上市公司）M2-2'!O16</f>
        <v>0</v>
      </c>
      <c r="I10" s="157">
        <f>'明细表（非上市公司）M2-2'!T16</f>
        <v>0</v>
      </c>
      <c r="J10" s="157">
        <f>I10-E10</f>
        <v>0</v>
      </c>
      <c r="K10" s="158">
        <f t="shared" si="0"/>
        <v>0</v>
      </c>
      <c r="L10" s="64"/>
    </row>
    <row r="11" spans="1:12" ht="19.95" customHeight="1">
      <c r="A11" s="157">
        <f>'明细表（非上市公司）M2-2'!A17</f>
        <v>0</v>
      </c>
      <c r="B11" s="157">
        <f>'明细表（非上市公司）M2-2'!C17</f>
        <v>0</v>
      </c>
      <c r="C11" s="157">
        <f>'明细表（非上市公司）M2-2'!J17</f>
        <v>0</v>
      </c>
      <c r="D11" s="157">
        <f>'明细表（非上市公司）M2-2'!K17</f>
        <v>0</v>
      </c>
      <c r="E11" s="157">
        <f>'明细表（非上市公司）M2-2'!P17</f>
        <v>0</v>
      </c>
      <c r="F11" s="157">
        <f>'明细表（非上市公司）M2-2'!H17</f>
        <v>0</v>
      </c>
      <c r="G11" s="157">
        <f>'明细表（非上市公司）M2-2'!J17+'明细表（非上市公司）M2-2'!L17-'明细表（非上市公司）M2-2'!M17</f>
        <v>0</v>
      </c>
      <c r="H11" s="157">
        <f>'明细表（非上市公司）M2-2'!K17+'明细表（非上市公司）M2-2'!N17-'明细表（非上市公司）M2-2'!O17</f>
        <v>0</v>
      </c>
      <c r="I11" s="157">
        <f>'明细表（非上市公司）M2-2'!T17</f>
        <v>0</v>
      </c>
      <c r="J11" s="157">
        <f t="shared" ref="J11:J15" si="1">I11-E11</f>
        <v>0</v>
      </c>
      <c r="K11" s="158">
        <f t="shared" si="0"/>
        <v>0</v>
      </c>
      <c r="L11" s="64"/>
    </row>
    <row r="12" spans="1:12" ht="19.95" customHeight="1">
      <c r="A12" s="157">
        <f>'明细表（非上市公司）M2-2'!A18</f>
        <v>0</v>
      </c>
      <c r="B12" s="157">
        <f>'明细表（非上市公司）M2-2'!C18</f>
        <v>0</v>
      </c>
      <c r="C12" s="157">
        <f>'明细表（非上市公司）M2-2'!J18</f>
        <v>0</v>
      </c>
      <c r="D12" s="157">
        <f>'明细表（非上市公司）M2-2'!K18</f>
        <v>0</v>
      </c>
      <c r="E12" s="157">
        <f>'明细表（非上市公司）M2-2'!P18</f>
        <v>0</v>
      </c>
      <c r="F12" s="157">
        <f>'明细表（非上市公司）M2-2'!H18</f>
        <v>0</v>
      </c>
      <c r="G12" s="157">
        <f>'明细表（非上市公司）M2-2'!J18+'明细表（非上市公司）M2-2'!L18-'明细表（非上市公司）M2-2'!M18</f>
        <v>0</v>
      </c>
      <c r="H12" s="157">
        <f>'明细表（非上市公司）M2-2'!K18+'明细表（非上市公司）M2-2'!N18-'明细表（非上市公司）M2-2'!O18</f>
        <v>0</v>
      </c>
      <c r="I12" s="157">
        <f>'明细表（非上市公司）M2-2'!T18</f>
        <v>0</v>
      </c>
      <c r="J12" s="157">
        <f t="shared" si="1"/>
        <v>0</v>
      </c>
      <c r="K12" s="158">
        <f t="shared" si="0"/>
        <v>0</v>
      </c>
      <c r="L12" s="64"/>
    </row>
    <row r="13" spans="1:12" ht="19.95" customHeight="1">
      <c r="A13" s="157">
        <f>'明细表（非上市公司）M2-2'!A19</f>
        <v>0</v>
      </c>
      <c r="B13" s="157">
        <f>'明细表（非上市公司）M2-2'!C19</f>
        <v>0</v>
      </c>
      <c r="C13" s="157">
        <f>'明细表（非上市公司）M2-2'!J19</f>
        <v>0</v>
      </c>
      <c r="D13" s="157">
        <f>'明细表（非上市公司）M2-2'!K19</f>
        <v>0</v>
      </c>
      <c r="E13" s="157">
        <f>'明细表（非上市公司）M2-2'!P19</f>
        <v>0</v>
      </c>
      <c r="F13" s="157">
        <f>'明细表（非上市公司）M2-2'!H19</f>
        <v>0</v>
      </c>
      <c r="G13" s="157">
        <f>'明细表（非上市公司）M2-2'!J19+'明细表（非上市公司）M2-2'!L19-'明细表（非上市公司）M2-2'!M19</f>
        <v>0</v>
      </c>
      <c r="H13" s="157">
        <f>'明细表（非上市公司）M2-2'!K19+'明细表（非上市公司）M2-2'!N19-'明细表（非上市公司）M2-2'!O19</f>
        <v>0</v>
      </c>
      <c r="I13" s="157">
        <f>'明细表（非上市公司）M2-2'!T19</f>
        <v>0</v>
      </c>
      <c r="J13" s="157">
        <f t="shared" si="1"/>
        <v>0</v>
      </c>
      <c r="K13" s="158">
        <f t="shared" si="0"/>
        <v>0</v>
      </c>
      <c r="L13" s="64"/>
    </row>
    <row r="14" spans="1:12" ht="19.95" customHeight="1">
      <c r="A14" s="157">
        <f>'明细表（非上市公司）M2-2'!A20</f>
        <v>0</v>
      </c>
      <c r="B14" s="157">
        <f>'明细表（非上市公司）M2-2'!C20</f>
        <v>0</v>
      </c>
      <c r="C14" s="157">
        <f>'明细表（非上市公司）M2-2'!J20</f>
        <v>0</v>
      </c>
      <c r="D14" s="157">
        <f>'明细表（非上市公司）M2-2'!K20</f>
        <v>0</v>
      </c>
      <c r="E14" s="157">
        <f>'明细表（非上市公司）M2-2'!P20</f>
        <v>0</v>
      </c>
      <c r="F14" s="157">
        <f>'明细表（非上市公司）M2-2'!H20</f>
        <v>0</v>
      </c>
      <c r="G14" s="157">
        <f>'明细表（非上市公司）M2-2'!J20+'明细表（非上市公司）M2-2'!L20-'明细表（非上市公司）M2-2'!M20</f>
        <v>0</v>
      </c>
      <c r="H14" s="157">
        <f>'明细表（非上市公司）M2-2'!K20+'明细表（非上市公司）M2-2'!N20-'明细表（非上市公司）M2-2'!O20</f>
        <v>0</v>
      </c>
      <c r="I14" s="157">
        <f>'明细表（非上市公司）M2-2'!T20</f>
        <v>0</v>
      </c>
      <c r="J14" s="157">
        <f t="shared" si="1"/>
        <v>0</v>
      </c>
      <c r="K14" s="158">
        <f t="shared" si="0"/>
        <v>0</v>
      </c>
      <c r="L14" s="64"/>
    </row>
    <row r="15" spans="1:12" ht="19.95" customHeight="1">
      <c r="A15" s="157">
        <f>'明细表（非上市公司）M2-2'!A21</f>
        <v>0</v>
      </c>
      <c r="B15" s="157">
        <f>'明细表（非上市公司）M2-2'!C21</f>
        <v>0</v>
      </c>
      <c r="C15" s="157">
        <f>'明细表（非上市公司）M2-2'!J21</f>
        <v>0</v>
      </c>
      <c r="D15" s="157">
        <f>'明细表（非上市公司）M2-2'!K21</f>
        <v>0</v>
      </c>
      <c r="E15" s="157">
        <f>'明细表（非上市公司）M2-2'!P21</f>
        <v>0</v>
      </c>
      <c r="F15" s="157">
        <f>'明细表（非上市公司）M2-2'!H21</f>
        <v>0</v>
      </c>
      <c r="G15" s="157">
        <f>'明细表（非上市公司）M2-2'!J21+'明细表（非上市公司）M2-2'!L21-'明细表（非上市公司）M2-2'!M21</f>
        <v>0</v>
      </c>
      <c r="H15" s="157">
        <f>'明细表（非上市公司）M2-2'!K21+'明细表（非上市公司）M2-2'!N21-'明细表（非上市公司）M2-2'!O21</f>
        <v>0</v>
      </c>
      <c r="I15" s="157">
        <f>'明细表（非上市公司）M2-2'!T21</f>
        <v>0</v>
      </c>
      <c r="J15" s="157">
        <f t="shared" si="1"/>
        <v>0</v>
      </c>
      <c r="K15" s="158">
        <f t="shared" si="0"/>
        <v>0</v>
      </c>
      <c r="L15" s="64"/>
    </row>
    <row r="16" spans="1:12" ht="19.95" customHeight="1">
      <c r="A16" s="157">
        <f>'明细表（非上市公司）M2-2'!A22</f>
        <v>0</v>
      </c>
      <c r="B16" s="157">
        <f>'明细表（非上市公司）M2-2'!C22</f>
        <v>0</v>
      </c>
      <c r="C16" s="157">
        <f>'明细表（非上市公司）M2-2'!J22</f>
        <v>0</v>
      </c>
      <c r="D16" s="157">
        <f>'明细表（非上市公司）M2-2'!K22</f>
        <v>0</v>
      </c>
      <c r="E16" s="157">
        <f>'明细表（非上市公司）M2-2'!P22</f>
        <v>0</v>
      </c>
      <c r="F16" s="157">
        <f>'明细表（非上市公司）M2-2'!H22</f>
        <v>0</v>
      </c>
      <c r="G16" s="157">
        <f>'明细表（非上市公司）M2-2'!J22+'明细表（非上市公司）M2-2'!L22-'明细表（非上市公司）M2-2'!M22</f>
        <v>0</v>
      </c>
      <c r="H16" s="157">
        <f>'明细表（非上市公司）M2-2'!K22+'明细表（非上市公司）M2-2'!N22-'明细表（非上市公司）M2-2'!O22</f>
        <v>0</v>
      </c>
      <c r="I16" s="157">
        <f>'明细表（非上市公司）M2-2'!T22</f>
        <v>0</v>
      </c>
      <c r="J16" s="157">
        <f t="shared" ref="J16:J17" si="2">I16-E16</f>
        <v>0</v>
      </c>
      <c r="K16" s="158">
        <f t="shared" si="0"/>
        <v>0</v>
      </c>
      <c r="L16" s="64"/>
    </row>
    <row r="17" spans="1:12" ht="19.95" customHeight="1">
      <c r="A17" s="159" t="s">
        <v>3</v>
      </c>
      <c r="B17" s="157">
        <f>SUM(B7:B16)</f>
        <v>0</v>
      </c>
      <c r="C17" s="157">
        <f t="shared" ref="C17:I17" si="3">SUM(C7:C16)</f>
        <v>0</v>
      </c>
      <c r="D17" s="157">
        <f t="shared" si="3"/>
        <v>0</v>
      </c>
      <c r="E17" s="157">
        <f t="shared" si="3"/>
        <v>0</v>
      </c>
      <c r="F17" s="157">
        <f t="shared" si="3"/>
        <v>0</v>
      </c>
      <c r="G17" s="157">
        <f t="shared" si="3"/>
        <v>0</v>
      </c>
      <c r="H17" s="157">
        <f>SUM(H7:H16)</f>
        <v>0</v>
      </c>
      <c r="I17" s="157">
        <f t="shared" si="3"/>
        <v>0</v>
      </c>
      <c r="J17" s="157">
        <f t="shared" si="2"/>
        <v>0</v>
      </c>
      <c r="K17" s="158">
        <f t="shared" si="0"/>
        <v>0</v>
      </c>
      <c r="L17" s="64"/>
    </row>
    <row r="18" spans="1:12" s="121" customFormat="1" ht="19.95" customHeight="1">
      <c r="A18" s="117" t="s">
        <v>88</v>
      </c>
      <c r="B18" s="118"/>
      <c r="C18" s="118"/>
      <c r="D18" s="118"/>
      <c r="E18" s="160"/>
      <c r="F18" s="118"/>
      <c r="G18" s="118"/>
      <c r="H18" s="118"/>
      <c r="I18" s="160"/>
      <c r="J18" s="120"/>
      <c r="K18" s="119"/>
      <c r="L18" s="119"/>
    </row>
    <row r="19" spans="1:12" s="121" customFormat="1" ht="19.95" customHeight="1">
      <c r="A19" s="117" t="s">
        <v>89</v>
      </c>
      <c r="B19" s="118"/>
      <c r="C19" s="118"/>
      <c r="D19" s="118"/>
      <c r="E19" s="160">
        <f>E17-E18</f>
        <v>0</v>
      </c>
      <c r="F19" s="118"/>
      <c r="G19" s="118"/>
      <c r="H19" s="118"/>
      <c r="I19" s="160">
        <f>I17-I18</f>
        <v>0</v>
      </c>
      <c r="J19" s="120"/>
      <c r="K19" s="119"/>
      <c r="L19" s="119"/>
    </row>
    <row r="20" spans="1:12" ht="19.95" customHeight="1">
      <c r="A20" s="65" t="s">
        <v>7</v>
      </c>
      <c r="B20" s="19"/>
      <c r="C20" s="19"/>
      <c r="D20" s="19"/>
      <c r="E20" s="19"/>
      <c r="F20" s="23"/>
      <c r="G20" s="19"/>
    </row>
    <row r="21" spans="1:12" ht="19.95" customHeight="1">
      <c r="A21" s="66" t="s">
        <v>8</v>
      </c>
      <c r="B21" s="21"/>
      <c r="C21" s="21"/>
      <c r="D21" s="260"/>
      <c r="E21" s="260"/>
      <c r="F21" s="21"/>
      <c r="G21" s="21"/>
    </row>
    <row r="22" spans="1:12" ht="19.95" customHeight="1">
      <c r="A22" s="66" t="s">
        <v>9</v>
      </c>
      <c r="B22" s="21"/>
      <c r="C22" s="21"/>
      <c r="D22" s="21"/>
      <c r="E22" s="21"/>
      <c r="F22" s="21"/>
      <c r="G22" s="21"/>
    </row>
    <row r="23" spans="1:12" ht="19.95" customHeight="1">
      <c r="A23" s="67" t="s">
        <v>10</v>
      </c>
      <c r="B23" s="22"/>
      <c r="C23" s="22"/>
      <c r="D23" s="22"/>
      <c r="E23" s="22"/>
      <c r="F23" s="22"/>
      <c r="G23" s="22"/>
    </row>
    <row r="24" spans="1:12" ht="19.95" customHeight="1">
      <c r="A24" s="68" t="s">
        <v>11</v>
      </c>
    </row>
    <row r="25" spans="1:12" ht="19.95" customHeight="1">
      <c r="A25" s="68"/>
      <c r="B25" s="21"/>
      <c r="C25" s="21"/>
      <c r="D25" s="21"/>
      <c r="E25" s="21"/>
      <c r="F25" s="21"/>
      <c r="G25" s="21"/>
    </row>
    <row r="26" spans="1:12" ht="19.95" customHeight="1">
      <c r="A26" s="69" t="s">
        <v>12</v>
      </c>
      <c r="B26" s="21"/>
      <c r="C26" s="21"/>
      <c r="D26" s="21"/>
      <c r="E26" s="21"/>
      <c r="F26" s="21"/>
      <c r="G26" s="21"/>
    </row>
    <row r="27" spans="1:12" ht="23.25" customHeight="1">
      <c r="A27" s="191"/>
    </row>
    <row r="28" spans="1:12" s="25" customFormat="1" ht="18" customHeight="1">
      <c r="A28" s="24"/>
    </row>
    <row r="29" spans="1:12" s="25" customFormat="1" ht="18" customHeight="1"/>
    <row r="30" spans="1:12" s="25" customFormat="1" ht="18" customHeight="1"/>
    <row r="31" spans="1:12" s="25" customFormat="1" ht="18" customHeight="1"/>
    <row r="32" spans="1:12" s="25" customFormat="1" ht="18" customHeight="1"/>
    <row r="33" spans="1:2" s="25" customFormat="1" ht="18" customHeight="1"/>
    <row r="34" spans="1:2" s="25" customFormat="1" ht="18" customHeight="1">
      <c r="A34" s="26"/>
    </row>
    <row r="35" spans="1:2" s="25" customFormat="1" ht="18" customHeight="1"/>
    <row r="36" spans="1:2" s="25" customFormat="1" ht="18" customHeight="1">
      <c r="A36" s="27"/>
    </row>
    <row r="37" spans="1:2" s="25" customFormat="1" ht="18" customHeight="1"/>
    <row r="38" spans="1:2" s="25" customFormat="1" ht="18" customHeight="1">
      <c r="A38" s="26"/>
    </row>
    <row r="39" spans="1:2" ht="18" customHeight="1">
      <c r="A39" s="26"/>
    </row>
    <row r="40" spans="1:2" ht="18" customHeight="1">
      <c r="A40" s="26"/>
    </row>
    <row r="41" spans="1:2" ht="18" customHeight="1">
      <c r="A41" s="26"/>
    </row>
    <row r="42" spans="1:2" ht="18" customHeight="1">
      <c r="A42" s="26"/>
    </row>
    <row r="43" spans="1:2" ht="18" customHeight="1">
      <c r="A43" s="25"/>
    </row>
    <row r="44" spans="1:2" ht="18" customHeight="1"/>
    <row r="45" spans="1:2" ht="18" customHeight="1">
      <c r="A45" s="26"/>
    </row>
    <row r="46" spans="1:2" ht="18" customHeight="1">
      <c r="A46" s="27"/>
    </row>
    <row r="47" spans="1:2" ht="18" customHeight="1">
      <c r="A47" s="28"/>
      <c r="B47" s="25"/>
    </row>
    <row r="48" spans="1:2" ht="18" customHeight="1">
      <c r="A48" s="28"/>
      <c r="B48" s="25"/>
    </row>
    <row r="49" spans="1:2" ht="18" customHeight="1">
      <c r="A49" s="28"/>
      <c r="B49" s="25"/>
    </row>
  </sheetData>
  <mergeCells count="8">
    <mergeCell ref="L5:L6"/>
    <mergeCell ref="A1:L1"/>
    <mergeCell ref="A2:L2"/>
    <mergeCell ref="D21:E21"/>
    <mergeCell ref="A5:A6"/>
    <mergeCell ref="B5:E5"/>
    <mergeCell ref="F5:I5"/>
    <mergeCell ref="J5:K5"/>
  </mergeCells>
  <phoneticPr fontId="18" type="noConversion"/>
  <dataValidations count="1">
    <dataValidation type="list" allowBlank="1" showInputMessage="1" showErrorMessage="1" sqref="B24">
      <formula1>"A：未见异常，可以确认。,B：经审计调整可以确认。,C：由于存在上述重大未调整事项（或审计范围受到限制无法获取充分、适当证据），不可确认。"</formula1>
    </dataValidation>
  </dataValidations>
  <hyperlinks>
    <hyperlink ref="L3" location="底稿目录!A1" display="底稿目录!A1"/>
  </hyperlinks>
  <printOptions horizontalCentered="1"/>
  <pageMargins left="0.70866141732283472" right="0.70866141732283472" top="0.74803149606299213" bottom="0.74803149606299213" header="0.31496062992125984" footer="0.31496062992125984"/>
  <pageSetup paperSize="9" scale="90" orientation="landscape" blackAndWhite="1" r:id="rId1"/>
  <headerFooter alignWithMargins="0">
    <oddFooter>&amp;C&amp;P/&amp;N</oddFooter>
  </headerFooter>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S15"/>
  <sheetViews>
    <sheetView view="pageBreakPreview" zoomScaleSheetLayoutView="100" workbookViewId="0">
      <selection activeCell="F11" sqref="F11"/>
    </sheetView>
  </sheetViews>
  <sheetFormatPr defaultColWidth="9" defaultRowHeight="15.6"/>
  <cols>
    <col min="1" max="8" width="14.296875" customWidth="1"/>
  </cols>
  <sheetData>
    <row r="1" spans="1:19" s="87" customFormat="1" ht="20.100000000000001" customHeight="1">
      <c r="A1" s="267" t="s">
        <v>38</v>
      </c>
      <c r="B1" s="267"/>
      <c r="C1" s="267"/>
      <c r="D1" s="267"/>
      <c r="E1" s="267"/>
      <c r="F1" s="267"/>
      <c r="G1" s="267"/>
      <c r="H1" s="267"/>
      <c r="I1" s="85"/>
      <c r="J1" s="85"/>
      <c r="K1" s="85"/>
      <c r="L1" s="85"/>
      <c r="M1" s="86"/>
      <c r="N1" s="86"/>
      <c r="O1" s="86"/>
      <c r="P1" s="86"/>
      <c r="Q1" s="86"/>
      <c r="R1" s="86"/>
      <c r="S1" s="86"/>
    </row>
    <row r="2" spans="1:19" s="87" customFormat="1" ht="25.05" customHeight="1">
      <c r="A2" s="267" t="s">
        <v>47</v>
      </c>
      <c r="B2" s="267"/>
      <c r="C2" s="267"/>
      <c r="D2" s="267"/>
      <c r="E2" s="267"/>
      <c r="F2" s="267"/>
      <c r="G2" s="267"/>
      <c r="H2" s="267"/>
      <c r="I2" s="85"/>
      <c r="J2" s="85"/>
      <c r="K2" s="85"/>
      <c r="L2" s="85"/>
      <c r="M2" s="267"/>
      <c r="N2" s="267"/>
      <c r="O2" s="267"/>
      <c r="P2" s="267"/>
      <c r="Q2" s="267"/>
      <c r="R2" s="267"/>
      <c r="S2" s="267"/>
    </row>
    <row r="3" spans="1:19" s="11" customFormat="1" ht="20.100000000000001" customHeight="1">
      <c r="A3" s="88" t="str">
        <f>底稿目录!A2</f>
        <v>被审计单位：</v>
      </c>
      <c r="B3" s="88"/>
      <c r="C3" s="89" t="str">
        <f>底稿目录!A4</f>
        <v>编制人：</v>
      </c>
      <c r="E3" s="90" t="str">
        <f>底稿目录!A5</f>
        <v>编制日期：</v>
      </c>
      <c r="F3" s="84"/>
      <c r="G3" s="9" t="s">
        <v>0</v>
      </c>
      <c r="H3" s="11" t="s">
        <v>118</v>
      </c>
      <c r="Q3" s="9"/>
      <c r="R3" s="9"/>
    </row>
    <row r="4" spans="1:19" s="11" customFormat="1" ht="20.100000000000001" customHeight="1">
      <c r="A4" s="88" t="str">
        <f>底稿目录!A3</f>
        <v>截止日：202X年12月31日</v>
      </c>
      <c r="B4" s="91"/>
      <c r="C4" s="92" t="str">
        <f>底稿目录!A6</f>
        <v>复核人：</v>
      </c>
      <c r="E4" s="90" t="str">
        <f>底稿目录!A7</f>
        <v>复核日期：</v>
      </c>
      <c r="F4" s="84"/>
      <c r="G4" s="9" t="s">
        <v>39</v>
      </c>
      <c r="Q4" s="9"/>
      <c r="R4" s="9"/>
    </row>
    <row r="5" spans="1:19" s="132" customFormat="1" ht="34.5" customHeight="1" thickBot="1">
      <c r="A5" s="130" t="s">
        <v>40</v>
      </c>
      <c r="B5" s="131"/>
      <c r="C5" s="131"/>
      <c r="D5" s="131"/>
      <c r="E5" s="131"/>
      <c r="F5" s="131"/>
      <c r="G5" s="131"/>
      <c r="H5" s="131"/>
    </row>
    <row r="6" spans="1:19" s="131" customFormat="1" ht="20.100000000000001" customHeight="1">
      <c r="A6" s="269" t="s">
        <v>100</v>
      </c>
      <c r="B6" s="271" t="s">
        <v>105</v>
      </c>
      <c r="C6" s="273" t="s">
        <v>101</v>
      </c>
      <c r="D6" s="273"/>
      <c r="E6" s="273"/>
      <c r="F6" s="273"/>
      <c r="G6" s="273"/>
      <c r="H6" s="271" t="s">
        <v>106</v>
      </c>
    </row>
    <row r="7" spans="1:19" s="131" customFormat="1" ht="20.100000000000001" customHeight="1" thickBot="1">
      <c r="A7" s="270"/>
      <c r="B7" s="272"/>
      <c r="C7" s="133" t="s">
        <v>68</v>
      </c>
      <c r="D7" s="133" t="s">
        <v>13</v>
      </c>
      <c r="E7" s="133" t="s">
        <v>69</v>
      </c>
      <c r="F7" s="133" t="s">
        <v>14</v>
      </c>
      <c r="G7" s="133" t="s">
        <v>15</v>
      </c>
      <c r="H7" s="272"/>
    </row>
    <row r="8" spans="1:19" s="132" customFormat="1" ht="20.100000000000001" customHeight="1" thickBot="1">
      <c r="A8" s="134" t="s">
        <v>16</v>
      </c>
      <c r="B8" s="135">
        <f>'明细表（上市公司）M2-2'!Y23</f>
        <v>0</v>
      </c>
      <c r="C8" s="136">
        <f>'明细表（上市公司）M2-2'!AA23</f>
        <v>0</v>
      </c>
      <c r="D8" s="136">
        <f>'明细表（上市公司）M2-2'!AB23</f>
        <v>0</v>
      </c>
      <c r="E8" s="136">
        <f>'明细表（上市公司）M2-2'!AC23</f>
        <v>0</v>
      </c>
      <c r="F8" s="136">
        <f>'明细表（上市公司）M2-2'!AD23</f>
        <v>0</v>
      </c>
      <c r="G8" s="136">
        <f>'明细表（上市公司）M2-2'!AE23</f>
        <v>0</v>
      </c>
      <c r="H8" s="136">
        <f>'明细表（上市公司）M2-2'!AF23</f>
        <v>0</v>
      </c>
    </row>
    <row r="9" spans="1:19" s="132" customFormat="1" ht="39" customHeight="1">
      <c r="A9" s="268" t="s">
        <v>102</v>
      </c>
      <c r="B9" s="268"/>
      <c r="C9" s="268"/>
      <c r="D9" s="268"/>
      <c r="E9" s="268"/>
      <c r="F9" s="268"/>
      <c r="G9" s="268"/>
      <c r="H9" s="268"/>
    </row>
    <row r="10" spans="1:19" ht="20.100000000000001" customHeight="1">
      <c r="A10" s="4"/>
      <c r="B10" s="4"/>
      <c r="C10" s="4"/>
      <c r="D10" s="4"/>
      <c r="E10" s="4"/>
      <c r="F10" s="4"/>
      <c r="G10" s="4"/>
      <c r="H10" s="4"/>
    </row>
    <row r="11" spans="1:19" ht="20.100000000000001" customHeight="1">
      <c r="A11" s="4"/>
      <c r="B11" s="4"/>
      <c r="C11" s="4"/>
      <c r="D11" s="4"/>
      <c r="E11" s="4"/>
      <c r="F11" s="4"/>
      <c r="G11" s="4"/>
      <c r="H11" s="4"/>
    </row>
    <row r="12" spans="1:19" ht="20.100000000000001" customHeight="1">
      <c r="A12" s="4"/>
      <c r="B12" s="4"/>
      <c r="C12" s="4"/>
      <c r="D12" s="4"/>
      <c r="E12" s="4"/>
      <c r="F12" s="4"/>
      <c r="G12" s="4"/>
      <c r="H12" s="4"/>
    </row>
    <row r="13" spans="1:19" ht="20.100000000000001" customHeight="1">
      <c r="A13" s="4"/>
      <c r="B13" s="4"/>
      <c r="C13" s="4"/>
      <c r="D13" s="4"/>
      <c r="E13" s="4"/>
      <c r="F13" s="4"/>
      <c r="G13" s="4"/>
      <c r="H13" s="4"/>
    </row>
    <row r="14" spans="1:19" ht="20.100000000000001" customHeight="1">
      <c r="A14" s="4"/>
      <c r="B14" s="4"/>
      <c r="C14" s="4"/>
      <c r="D14" s="4"/>
      <c r="E14" s="4"/>
      <c r="F14" s="4"/>
      <c r="G14" s="4"/>
      <c r="H14" s="4"/>
    </row>
    <row r="15" spans="1:19" ht="20.100000000000001" customHeight="1">
      <c r="A15" s="4"/>
      <c r="B15" s="4"/>
      <c r="C15" s="4"/>
      <c r="D15" s="4"/>
      <c r="E15" s="4"/>
      <c r="F15" s="4"/>
      <c r="G15" s="4"/>
      <c r="H15" s="4"/>
    </row>
  </sheetData>
  <mergeCells count="8">
    <mergeCell ref="A1:H1"/>
    <mergeCell ref="A2:H2"/>
    <mergeCell ref="A9:H9"/>
    <mergeCell ref="M2:S2"/>
    <mergeCell ref="A6:A7"/>
    <mergeCell ref="B6:B7"/>
    <mergeCell ref="C6:G6"/>
    <mergeCell ref="H6:H7"/>
  </mergeCells>
  <phoneticPr fontId="18" type="noConversion"/>
  <printOptions horizontalCentered="1"/>
  <pageMargins left="0.70866141732283472" right="0.70866141732283472" top="0.74803149606299213" bottom="0.74803149606299213" header="0.31496062992125984" footer="0.31496062992125984"/>
  <pageSetup paperSize="9" scale="95" orientation="landscape" blackAndWhite="1"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0"/>
  <sheetViews>
    <sheetView view="pageBreakPreview" zoomScaleSheetLayoutView="100" workbookViewId="0">
      <selection activeCell="J6" sqref="J6"/>
    </sheetView>
  </sheetViews>
  <sheetFormatPr defaultColWidth="9" defaultRowHeight="15.6"/>
  <cols>
    <col min="1" max="7" width="17" customWidth="1"/>
  </cols>
  <sheetData>
    <row r="1" spans="1:19" s="95" customFormat="1" ht="20.100000000000001" customHeight="1">
      <c r="A1" s="267" t="s">
        <v>48</v>
      </c>
      <c r="B1" s="267"/>
      <c r="C1" s="267"/>
      <c r="D1" s="267"/>
      <c r="E1" s="267"/>
      <c r="F1" s="267"/>
      <c r="G1" s="267"/>
      <c r="H1" s="93"/>
      <c r="I1" s="93"/>
      <c r="J1" s="93"/>
      <c r="K1" s="93"/>
      <c r="L1" s="93"/>
      <c r="M1" s="94"/>
      <c r="N1" s="94"/>
      <c r="O1" s="94"/>
      <c r="P1" s="94"/>
      <c r="Q1" s="94"/>
      <c r="R1" s="94"/>
      <c r="S1" s="94"/>
    </row>
    <row r="2" spans="1:19" s="87" customFormat="1" ht="25.05" customHeight="1">
      <c r="A2" s="267" t="s">
        <v>46</v>
      </c>
      <c r="B2" s="267"/>
      <c r="C2" s="267"/>
      <c r="D2" s="267"/>
      <c r="E2" s="267"/>
      <c r="F2" s="267"/>
      <c r="G2" s="267"/>
      <c r="H2" s="85"/>
      <c r="I2" s="85"/>
      <c r="J2" s="85"/>
      <c r="K2" s="85"/>
      <c r="L2" s="85"/>
      <c r="M2" s="267"/>
      <c r="N2" s="267"/>
      <c r="O2" s="267"/>
      <c r="P2" s="267"/>
      <c r="Q2" s="267"/>
      <c r="R2" s="267"/>
      <c r="S2" s="267"/>
    </row>
    <row r="3" spans="1:19" s="11" customFormat="1" ht="20.100000000000001" customHeight="1">
      <c r="A3" s="88" t="str">
        <f>底稿目录!A2</f>
        <v>被审计单位：</v>
      </c>
      <c r="B3" s="88"/>
      <c r="C3" s="89" t="str">
        <f>底稿目录!A4</f>
        <v>编制人：</v>
      </c>
      <c r="E3" s="96" t="str">
        <f>底稿目录!A5</f>
        <v>编制日期：</v>
      </c>
      <c r="F3" s="84"/>
      <c r="G3" s="9" t="s">
        <v>119</v>
      </c>
      <c r="Q3" s="9"/>
      <c r="R3" s="9"/>
    </row>
    <row r="4" spans="1:19" s="11" customFormat="1" ht="20.100000000000001" customHeight="1">
      <c r="A4" s="88" t="str">
        <f>底稿目录!A3</f>
        <v>截止日：202X年12月31日</v>
      </c>
      <c r="B4" s="91"/>
      <c r="C4" s="92" t="str">
        <f>底稿目录!A6</f>
        <v>复核人：</v>
      </c>
      <c r="E4" s="96" t="str">
        <f>底稿目录!A7</f>
        <v>复核日期：</v>
      </c>
      <c r="F4" s="84"/>
      <c r="G4" s="9" t="s">
        <v>39</v>
      </c>
      <c r="Q4" s="9"/>
      <c r="R4" s="9"/>
    </row>
    <row r="5" spans="1:19" s="131" customFormat="1" ht="20.100000000000001" customHeight="1" thickBot="1">
      <c r="A5" s="130" t="s">
        <v>17</v>
      </c>
    </row>
    <row r="6" spans="1:19" s="131" customFormat="1" ht="20.100000000000001" customHeight="1">
      <c r="A6" s="269" t="s">
        <v>18</v>
      </c>
      <c r="B6" s="275" t="s">
        <v>41</v>
      </c>
      <c r="C6" s="275"/>
      <c r="D6" s="276" t="s">
        <v>5</v>
      </c>
      <c r="E6" s="276" t="s">
        <v>6</v>
      </c>
      <c r="F6" s="275" t="s">
        <v>42</v>
      </c>
      <c r="G6" s="275"/>
    </row>
    <row r="7" spans="1:19" s="131" customFormat="1" ht="20.100000000000001" customHeight="1" thickBot="1">
      <c r="A7" s="274"/>
      <c r="B7" s="137" t="s">
        <v>19</v>
      </c>
      <c r="C7" s="138" t="s">
        <v>103</v>
      </c>
      <c r="D7" s="277"/>
      <c r="E7" s="277"/>
      <c r="F7" s="138" t="s">
        <v>19</v>
      </c>
      <c r="G7" s="138" t="s">
        <v>103</v>
      </c>
    </row>
    <row r="8" spans="1:19" s="132" customFormat="1" ht="20.100000000000001" customHeight="1">
      <c r="A8" s="139">
        <f>'明细表（非上市公司）M2-2'!A13</f>
        <v>0</v>
      </c>
      <c r="B8" s="140">
        <f>'明细表（非上市公司）M2-2'!P13</f>
        <v>0</v>
      </c>
      <c r="C8" s="141">
        <f>'明细表（非上市公司）M2-2'!Q13</f>
        <v>0</v>
      </c>
      <c r="D8" s="140">
        <f>'明细表（非上市公司）M2-2'!R13</f>
        <v>0</v>
      </c>
      <c r="E8" s="140">
        <f>'明细表（非上市公司）M2-2'!S13</f>
        <v>0</v>
      </c>
      <c r="F8" s="140">
        <f>'明细表（非上市公司）M2-2'!T13</f>
        <v>0</v>
      </c>
      <c r="G8" s="141">
        <f>'明细表（非上市公司）M2-2'!U13</f>
        <v>0</v>
      </c>
    </row>
    <row r="9" spans="1:19" s="132" customFormat="1" ht="20.100000000000001" customHeight="1">
      <c r="A9" s="142">
        <f>'明细表（非上市公司）M2-2'!A14</f>
        <v>0</v>
      </c>
      <c r="B9" s="143">
        <f>'明细表（非上市公司）M2-2'!P14</f>
        <v>0</v>
      </c>
      <c r="C9" s="144">
        <f>'明细表（非上市公司）M2-2'!Q14</f>
        <v>0</v>
      </c>
      <c r="D9" s="143">
        <f>'明细表（非上市公司）M2-2'!R14</f>
        <v>0</v>
      </c>
      <c r="E9" s="143">
        <f>'明细表（非上市公司）M2-2'!S14</f>
        <v>0</v>
      </c>
      <c r="F9" s="143">
        <f>'明细表（非上市公司）M2-2'!T14</f>
        <v>0</v>
      </c>
      <c r="G9" s="144">
        <f>'明细表（非上市公司）M2-2'!U14</f>
        <v>0</v>
      </c>
    </row>
    <row r="10" spans="1:19" s="132" customFormat="1" ht="20.100000000000001" customHeight="1">
      <c r="A10" s="142">
        <f>'明细表（非上市公司）M2-2'!A15</f>
        <v>0</v>
      </c>
      <c r="B10" s="143">
        <f>'明细表（非上市公司）M2-2'!P15</f>
        <v>0</v>
      </c>
      <c r="C10" s="144">
        <f>'明细表（非上市公司）M2-2'!Q15</f>
        <v>0</v>
      </c>
      <c r="D10" s="143">
        <f>'明细表（非上市公司）M2-2'!R15</f>
        <v>0</v>
      </c>
      <c r="E10" s="143">
        <f>'明细表（非上市公司）M2-2'!S15</f>
        <v>0</v>
      </c>
      <c r="F10" s="143">
        <f>'明细表（非上市公司）M2-2'!T15</f>
        <v>0</v>
      </c>
      <c r="G10" s="144">
        <f>'明细表（非上市公司）M2-2'!U15</f>
        <v>0</v>
      </c>
    </row>
    <row r="11" spans="1:19" s="132" customFormat="1" ht="20.100000000000001" customHeight="1">
      <c r="A11" s="142">
        <f>'明细表（非上市公司）M2-2'!A16</f>
        <v>0</v>
      </c>
      <c r="B11" s="143">
        <f>'明细表（非上市公司）M2-2'!P16</f>
        <v>0</v>
      </c>
      <c r="C11" s="144">
        <f>'明细表（非上市公司）M2-2'!Q16</f>
        <v>0</v>
      </c>
      <c r="D11" s="143">
        <f>'明细表（非上市公司）M2-2'!R16</f>
        <v>0</v>
      </c>
      <c r="E11" s="143">
        <f>'明细表（非上市公司）M2-2'!S16</f>
        <v>0</v>
      </c>
      <c r="F11" s="143">
        <f>'明细表（非上市公司）M2-2'!T16</f>
        <v>0</v>
      </c>
      <c r="G11" s="144">
        <f>'明细表（非上市公司）M2-2'!U16</f>
        <v>0</v>
      </c>
    </row>
    <row r="12" spans="1:19" s="132" customFormat="1" ht="20.100000000000001" customHeight="1">
      <c r="A12" s="142">
        <f>'明细表（非上市公司）M2-2'!A17</f>
        <v>0</v>
      </c>
      <c r="B12" s="143">
        <f>'明细表（非上市公司）M2-2'!P17</f>
        <v>0</v>
      </c>
      <c r="C12" s="144">
        <f>'明细表（非上市公司）M2-2'!Q17</f>
        <v>0</v>
      </c>
      <c r="D12" s="143">
        <f>'明细表（非上市公司）M2-2'!R17</f>
        <v>0</v>
      </c>
      <c r="E12" s="143">
        <f>'明细表（非上市公司）M2-2'!S17</f>
        <v>0</v>
      </c>
      <c r="F12" s="143">
        <f>'明细表（非上市公司）M2-2'!T17</f>
        <v>0</v>
      </c>
      <c r="G12" s="144">
        <f>'明细表（非上市公司）M2-2'!U17</f>
        <v>0</v>
      </c>
    </row>
    <row r="13" spans="1:19" s="132" customFormat="1" ht="20.100000000000001" customHeight="1">
      <c r="A13" s="142">
        <f>'明细表（非上市公司）M2-2'!A18</f>
        <v>0</v>
      </c>
      <c r="B13" s="143">
        <f>'明细表（非上市公司）M2-2'!P18</f>
        <v>0</v>
      </c>
      <c r="C13" s="144">
        <f>'明细表（非上市公司）M2-2'!Q18</f>
        <v>0</v>
      </c>
      <c r="D13" s="143">
        <f>'明细表（非上市公司）M2-2'!R18</f>
        <v>0</v>
      </c>
      <c r="E13" s="143">
        <f>'明细表（非上市公司）M2-2'!S18</f>
        <v>0</v>
      </c>
      <c r="F13" s="143">
        <f>'明细表（非上市公司）M2-2'!T18</f>
        <v>0</v>
      </c>
      <c r="G13" s="144">
        <f>'明细表（非上市公司）M2-2'!U18</f>
        <v>0</v>
      </c>
    </row>
    <row r="14" spans="1:19" s="132" customFormat="1" ht="20.100000000000001" customHeight="1">
      <c r="A14" s="142">
        <f>'明细表（非上市公司）M2-2'!A19</f>
        <v>0</v>
      </c>
      <c r="B14" s="143">
        <f>'明细表（非上市公司）M2-2'!P19</f>
        <v>0</v>
      </c>
      <c r="C14" s="144">
        <f>'明细表（非上市公司）M2-2'!Q19</f>
        <v>0</v>
      </c>
      <c r="D14" s="143">
        <f>'明细表（非上市公司）M2-2'!R19</f>
        <v>0</v>
      </c>
      <c r="E14" s="143">
        <f>'明细表（非上市公司）M2-2'!S19</f>
        <v>0</v>
      </c>
      <c r="F14" s="143">
        <f>'明细表（非上市公司）M2-2'!T19</f>
        <v>0</v>
      </c>
      <c r="G14" s="144">
        <f>'明细表（非上市公司）M2-2'!U19</f>
        <v>0</v>
      </c>
    </row>
    <row r="15" spans="1:19" s="132" customFormat="1" ht="20.100000000000001" customHeight="1">
      <c r="A15" s="142">
        <f>'明细表（非上市公司）M2-2'!A20</f>
        <v>0</v>
      </c>
      <c r="B15" s="143">
        <f>'明细表（非上市公司）M2-2'!P20</f>
        <v>0</v>
      </c>
      <c r="C15" s="144">
        <f>'明细表（非上市公司）M2-2'!Q20</f>
        <v>0</v>
      </c>
      <c r="D15" s="143">
        <f>'明细表（非上市公司）M2-2'!R20</f>
        <v>0</v>
      </c>
      <c r="E15" s="143">
        <f>'明细表（非上市公司）M2-2'!S20</f>
        <v>0</v>
      </c>
      <c r="F15" s="143">
        <f>'明细表（非上市公司）M2-2'!T20</f>
        <v>0</v>
      </c>
      <c r="G15" s="144">
        <f>'明细表（非上市公司）M2-2'!U20</f>
        <v>0</v>
      </c>
    </row>
    <row r="16" spans="1:19" s="132" customFormat="1" ht="20.100000000000001" customHeight="1">
      <c r="A16" s="142">
        <f>'明细表（非上市公司）M2-2'!A21</f>
        <v>0</v>
      </c>
      <c r="B16" s="143">
        <f>'明细表（非上市公司）M2-2'!P21</f>
        <v>0</v>
      </c>
      <c r="C16" s="144">
        <f>'明细表（非上市公司）M2-2'!Q21</f>
        <v>0</v>
      </c>
      <c r="D16" s="143">
        <f>'明细表（非上市公司）M2-2'!R21</f>
        <v>0</v>
      </c>
      <c r="E16" s="143">
        <f>'明细表（非上市公司）M2-2'!S21</f>
        <v>0</v>
      </c>
      <c r="F16" s="143">
        <f>'明细表（非上市公司）M2-2'!T21</f>
        <v>0</v>
      </c>
      <c r="G16" s="144">
        <f>'明细表（非上市公司）M2-2'!U21</f>
        <v>0</v>
      </c>
    </row>
    <row r="17" spans="1:7" s="132" customFormat="1" ht="20.100000000000001" customHeight="1" thickBot="1">
      <c r="A17" s="145">
        <f>'明细表（非上市公司）M2-2'!A22</f>
        <v>0</v>
      </c>
      <c r="B17" s="146">
        <f>'明细表（非上市公司）M2-2'!P22</f>
        <v>0</v>
      </c>
      <c r="C17" s="147">
        <f>'明细表（非上市公司）M2-2'!Q22</f>
        <v>0</v>
      </c>
      <c r="D17" s="146">
        <f>'明细表（非上市公司）M2-2'!R22</f>
        <v>0</v>
      </c>
      <c r="E17" s="146">
        <f>'明细表（非上市公司）M2-2'!S22</f>
        <v>0</v>
      </c>
      <c r="F17" s="146">
        <f>'明细表（非上市公司）M2-2'!T22</f>
        <v>0</v>
      </c>
      <c r="G17" s="147">
        <f>'明细表（非上市公司）M2-2'!U22</f>
        <v>0</v>
      </c>
    </row>
    <row r="18" spans="1:7" s="132" customFormat="1" ht="20.100000000000001" customHeight="1" thickBot="1">
      <c r="A18" s="148" t="s">
        <v>104</v>
      </c>
      <c r="B18" s="149">
        <f>SUM(B8:B17)</f>
        <v>0</v>
      </c>
      <c r="C18" s="150">
        <f t="shared" ref="C18:G18" si="0">SUM(C8:C17)</f>
        <v>0</v>
      </c>
      <c r="D18" s="149">
        <f t="shared" si="0"/>
        <v>0</v>
      </c>
      <c r="E18" s="149">
        <f>SUM(E8:E17)</f>
        <v>0</v>
      </c>
      <c r="F18" s="149">
        <f t="shared" si="0"/>
        <v>0</v>
      </c>
      <c r="G18" s="150">
        <f t="shared" si="0"/>
        <v>0</v>
      </c>
    </row>
    <row r="19" spans="1:7" s="132" customFormat="1" ht="20.100000000000001" customHeight="1">
      <c r="A19" s="151" t="s">
        <v>43</v>
      </c>
      <c r="B19" s="131"/>
      <c r="C19" s="131"/>
      <c r="D19" s="131"/>
      <c r="E19" s="131"/>
      <c r="F19" s="131"/>
      <c r="G19" s="131"/>
    </row>
    <row r="20" spans="1:7" s="132" customFormat="1" ht="20.100000000000001" customHeight="1">
      <c r="A20" s="151" t="s">
        <v>20</v>
      </c>
      <c r="B20" s="131"/>
      <c r="C20" s="131"/>
      <c r="D20" s="131"/>
      <c r="E20" s="131"/>
      <c r="F20" s="131"/>
      <c r="G20" s="131"/>
    </row>
  </sheetData>
  <mergeCells count="8">
    <mergeCell ref="A1:G1"/>
    <mergeCell ref="A2:G2"/>
    <mergeCell ref="M2:S2"/>
    <mergeCell ref="A6:A7"/>
    <mergeCell ref="B6:C6"/>
    <mergeCell ref="D6:D7"/>
    <mergeCell ref="E6:E7"/>
    <mergeCell ref="F6:G6"/>
  </mergeCells>
  <phoneticPr fontId="18" type="noConversion"/>
  <printOptions horizontalCentered="1"/>
  <pageMargins left="0.70866141732283472" right="0.70866141732283472" top="0.74803149606299213" bottom="0.74803149606299213" header="0.31496062992125984" footer="0.31496062992125984"/>
  <pageSetup paperSize="9" orientation="landscape" blackAndWhite="1"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J38"/>
  <sheetViews>
    <sheetView view="pageBreakPreview" zoomScaleSheetLayoutView="100" workbookViewId="0">
      <selection sqref="A1:AJ1"/>
    </sheetView>
  </sheetViews>
  <sheetFormatPr defaultColWidth="9" defaultRowHeight="15.6"/>
  <cols>
    <col min="1" max="1" width="11.09765625" style="15" customWidth="1"/>
    <col min="2" max="2" width="10.8984375" style="15" customWidth="1"/>
    <col min="3" max="7" width="9" style="15"/>
    <col min="8" max="8" width="10.19921875" style="15" customWidth="1"/>
    <col min="9" max="9" width="9" style="15"/>
    <col min="10" max="10" width="7" style="15" customWidth="1"/>
    <col min="11" max="12" width="9" style="15"/>
    <col min="13" max="13" width="8.796875" style="15" customWidth="1"/>
    <col min="14" max="14" width="10.296875" style="15" customWidth="1"/>
    <col min="15" max="24" width="9.19921875" style="15" customWidth="1"/>
    <col min="25" max="25" width="8.296875" style="15" customWidth="1"/>
    <col min="26" max="26" width="7" style="15" customWidth="1"/>
    <col min="27" max="27" width="9.19921875" style="15" customWidth="1"/>
    <col min="28" max="33" width="9" style="15"/>
    <col min="34" max="34" width="7.296875" style="15" customWidth="1"/>
    <col min="35" max="35" width="8.59765625" style="15" customWidth="1"/>
    <col min="36" max="36" width="6.796875" style="36" customWidth="1"/>
    <col min="37" max="16384" width="9" style="15"/>
  </cols>
  <sheetData>
    <row r="1" spans="1:36" s="10" customFormat="1" ht="19.95" customHeight="1">
      <c r="A1" s="278" t="s">
        <v>70</v>
      </c>
      <c r="B1" s="278"/>
      <c r="C1" s="278"/>
      <c r="D1" s="278"/>
      <c r="E1" s="278"/>
      <c r="F1" s="278"/>
      <c r="G1" s="278"/>
      <c r="H1" s="278"/>
      <c r="I1" s="278"/>
      <c r="J1" s="278"/>
      <c r="K1" s="278"/>
      <c r="L1" s="278"/>
      <c r="M1" s="278"/>
      <c r="N1" s="278"/>
      <c r="O1" s="278"/>
      <c r="P1" s="278"/>
      <c r="Q1" s="278"/>
      <c r="R1" s="278"/>
      <c r="S1" s="278"/>
      <c r="T1" s="278"/>
      <c r="U1" s="278"/>
      <c r="V1" s="278"/>
      <c r="W1" s="278"/>
      <c r="X1" s="278"/>
      <c r="Y1" s="278"/>
      <c r="Z1" s="278"/>
      <c r="AA1" s="278"/>
      <c r="AB1" s="278"/>
      <c r="AC1" s="278"/>
      <c r="AD1" s="278"/>
      <c r="AE1" s="278"/>
      <c r="AF1" s="278"/>
      <c r="AG1" s="278"/>
      <c r="AH1" s="278"/>
      <c r="AI1" s="278"/>
      <c r="AJ1" s="278"/>
    </row>
    <row r="2" spans="1:36" s="10" customFormat="1" ht="19.95" customHeight="1">
      <c r="A2" s="279" t="s">
        <v>146</v>
      </c>
      <c r="B2" s="279"/>
      <c r="C2" s="279"/>
      <c r="D2" s="279"/>
      <c r="E2" s="279"/>
      <c r="F2" s="279"/>
      <c r="G2" s="279"/>
      <c r="H2" s="279"/>
      <c r="I2" s="279"/>
      <c r="J2" s="279"/>
      <c r="K2" s="279"/>
      <c r="L2" s="279"/>
      <c r="M2" s="279"/>
      <c r="N2" s="279"/>
      <c r="O2" s="279"/>
      <c r="P2" s="279"/>
      <c r="Q2" s="279"/>
      <c r="R2" s="279"/>
      <c r="S2" s="279"/>
      <c r="T2" s="279"/>
      <c r="U2" s="279"/>
      <c r="V2" s="279"/>
      <c r="W2" s="279"/>
      <c r="X2" s="279"/>
      <c r="Y2" s="279"/>
      <c r="Z2" s="279"/>
      <c r="AA2" s="279"/>
      <c r="AB2" s="279"/>
      <c r="AC2" s="279"/>
      <c r="AD2" s="279"/>
      <c r="AE2" s="279"/>
      <c r="AF2" s="279"/>
      <c r="AG2" s="279"/>
      <c r="AH2" s="279"/>
      <c r="AI2" s="279"/>
      <c r="AJ2" s="279"/>
    </row>
    <row r="3" spans="1:36" s="12" customFormat="1" ht="19.95" customHeight="1">
      <c r="A3" s="18" t="str">
        <f>底稿目录!A2</f>
        <v>被审计单位：</v>
      </c>
      <c r="B3" s="18"/>
      <c r="E3" s="19"/>
      <c r="G3" s="18" t="str">
        <f>底稿目录!A4</f>
        <v>编制人：</v>
      </c>
      <c r="H3" s="19"/>
      <c r="I3" s="19"/>
      <c r="K3" s="59"/>
      <c r="L3" s="59"/>
      <c r="M3" s="11"/>
      <c r="N3" s="11"/>
      <c r="T3" s="11"/>
      <c r="U3" s="11"/>
      <c r="V3" s="11"/>
      <c r="W3" s="11"/>
      <c r="X3" s="18" t="str">
        <f>底稿目录!A5</f>
        <v>编制日期：</v>
      </c>
      <c r="Y3" s="83"/>
      <c r="Z3" s="18"/>
      <c r="AA3" s="29"/>
      <c r="AB3" s="29"/>
      <c r="AC3" s="29"/>
      <c r="AD3" s="29"/>
      <c r="AE3" s="29"/>
      <c r="AF3" s="29"/>
      <c r="AG3" s="29"/>
      <c r="AH3" s="29"/>
      <c r="AI3" s="83" t="s">
        <v>147</v>
      </c>
      <c r="AJ3" s="220" t="str">
        <f>底稿目录!F9</f>
        <v>M2-2</v>
      </c>
    </row>
    <row r="4" spans="1:36" s="12" customFormat="1" ht="19.95" customHeight="1">
      <c r="A4" s="18" t="str">
        <f>底稿目录!A3</f>
        <v>截止日：202X年12月31日</v>
      </c>
      <c r="B4" s="18"/>
      <c r="E4" s="19"/>
      <c r="G4" s="18" t="str">
        <f>底稿目录!A6</f>
        <v>复核人：</v>
      </c>
      <c r="H4" s="19"/>
      <c r="I4" s="19"/>
      <c r="K4" s="59"/>
      <c r="L4" s="59"/>
      <c r="M4" s="11"/>
      <c r="N4" s="11"/>
      <c r="T4" s="11"/>
      <c r="U4" s="11"/>
      <c r="V4" s="11"/>
      <c r="W4" s="11"/>
      <c r="X4" s="18" t="str">
        <f>底稿目录!A7</f>
        <v>复核日期：</v>
      </c>
      <c r="Y4" s="83"/>
      <c r="Z4" s="18"/>
      <c r="AA4" s="29"/>
      <c r="AB4" s="29"/>
      <c r="AC4" s="29"/>
      <c r="AD4" s="29"/>
      <c r="AE4" s="29"/>
      <c r="AF4" s="29"/>
      <c r="AG4" s="29"/>
      <c r="AH4" s="29"/>
      <c r="AI4" s="216" t="s">
        <v>228</v>
      </c>
      <c r="AJ4" s="29"/>
    </row>
    <row r="5" spans="1:36" s="52" customFormat="1" ht="19.95" customHeight="1">
      <c r="A5" s="50" t="s">
        <v>44</v>
      </c>
      <c r="B5" s="50"/>
      <c r="F5" s="53"/>
      <c r="G5" s="53"/>
      <c r="H5" s="53"/>
      <c r="I5" s="53"/>
      <c r="N5" s="54"/>
      <c r="X5" s="54"/>
      <c r="AB5" s="55"/>
      <c r="AC5" s="55"/>
      <c r="AD5" s="55"/>
      <c r="AE5" s="55"/>
    </row>
    <row r="6" spans="1:36" s="52" customFormat="1" ht="19.95" customHeight="1">
      <c r="A6" s="192" t="s">
        <v>209</v>
      </c>
      <c r="B6" s="175"/>
      <c r="C6" s="183"/>
      <c r="F6" s="53"/>
      <c r="G6" s="53"/>
      <c r="H6" s="53"/>
      <c r="I6" s="53"/>
      <c r="N6" s="54"/>
      <c r="X6" s="54"/>
      <c r="AB6" s="55"/>
      <c r="AC6" s="55"/>
      <c r="AD6" s="55"/>
      <c r="AE6" s="55"/>
    </row>
    <row r="7" spans="1:36" s="52" customFormat="1" ht="19.95" customHeight="1">
      <c r="A7" s="192" t="s">
        <v>210</v>
      </c>
      <c r="B7" s="175"/>
      <c r="C7" s="183"/>
      <c r="F7" s="53"/>
      <c r="G7" s="53"/>
      <c r="H7" s="53"/>
      <c r="I7" s="53"/>
      <c r="N7" s="54"/>
      <c r="X7" s="54"/>
      <c r="AB7" s="55"/>
      <c r="AC7" s="55"/>
      <c r="AD7" s="55"/>
      <c r="AE7" s="55"/>
    </row>
    <row r="8" spans="1:36" s="52" customFormat="1" ht="19.95" customHeight="1">
      <c r="A8" s="192" t="s">
        <v>211</v>
      </c>
      <c r="B8" s="175"/>
      <c r="C8" s="183"/>
      <c r="F8" s="53"/>
      <c r="G8" s="53"/>
      <c r="H8" s="53"/>
      <c r="I8" s="53"/>
      <c r="N8" s="54"/>
      <c r="X8" s="54"/>
      <c r="AB8" s="55"/>
      <c r="AC8" s="55"/>
      <c r="AD8" s="55"/>
      <c r="AE8" s="55"/>
    </row>
    <row r="9" spans="1:36" s="52" customFormat="1" ht="19.95" customHeight="1">
      <c r="A9" s="57" t="s">
        <v>45</v>
      </c>
      <c r="B9" s="57"/>
      <c r="F9" s="58"/>
      <c r="G9" s="58"/>
      <c r="H9" s="58"/>
      <c r="I9" s="58"/>
      <c r="N9" s="54"/>
      <c r="X9" s="54"/>
      <c r="AB9" s="55"/>
      <c r="AC9" s="55"/>
      <c r="AD9" s="55"/>
      <c r="AE9" s="55"/>
    </row>
    <row r="10" spans="1:36" s="12" customFormat="1" ht="19.95" customHeight="1">
      <c r="A10" s="280" t="s">
        <v>148</v>
      </c>
      <c r="B10" s="290" t="s">
        <v>185</v>
      </c>
      <c r="C10" s="281" t="s">
        <v>149</v>
      </c>
      <c r="D10" s="282"/>
      <c r="E10" s="282"/>
      <c r="F10" s="282"/>
      <c r="G10" s="282"/>
      <c r="H10" s="282"/>
      <c r="I10" s="282"/>
      <c r="J10" s="282"/>
      <c r="K10" s="282"/>
      <c r="L10" s="283"/>
      <c r="M10" s="284" t="s">
        <v>150</v>
      </c>
      <c r="N10" s="284"/>
      <c r="O10" s="284" t="s">
        <v>151</v>
      </c>
      <c r="P10" s="284"/>
      <c r="Q10" s="284"/>
      <c r="R10" s="284"/>
      <c r="S10" s="284"/>
      <c r="T10" s="285" t="s">
        <v>152</v>
      </c>
      <c r="U10" s="286"/>
      <c r="V10" s="286"/>
      <c r="W10" s="286"/>
      <c r="X10" s="286"/>
      <c r="Y10" s="281" t="s">
        <v>153</v>
      </c>
      <c r="Z10" s="282"/>
      <c r="AA10" s="282"/>
      <c r="AB10" s="282"/>
      <c r="AC10" s="282"/>
      <c r="AD10" s="282"/>
      <c r="AE10" s="282"/>
      <c r="AF10" s="283"/>
      <c r="AG10" s="78"/>
      <c r="AH10" s="280" t="s">
        <v>154</v>
      </c>
      <c r="AI10" s="280" t="s">
        <v>155</v>
      </c>
      <c r="AJ10" s="280" t="s">
        <v>156</v>
      </c>
    </row>
    <row r="11" spans="1:36" s="12" customFormat="1" ht="19.95" customHeight="1">
      <c r="A11" s="280"/>
      <c r="B11" s="291"/>
      <c r="C11" s="281" t="s">
        <v>157</v>
      </c>
      <c r="D11" s="282"/>
      <c r="E11" s="283"/>
      <c r="F11" s="281" t="s">
        <v>158</v>
      </c>
      <c r="G11" s="282"/>
      <c r="H11" s="282"/>
      <c r="I11" s="282"/>
      <c r="J11" s="283"/>
      <c r="K11" s="281" t="s">
        <v>159</v>
      </c>
      <c r="L11" s="283"/>
      <c r="M11" s="287" t="s">
        <v>160</v>
      </c>
      <c r="N11" s="287" t="s">
        <v>161</v>
      </c>
      <c r="O11" s="281" t="s">
        <v>158</v>
      </c>
      <c r="P11" s="282"/>
      <c r="Q11" s="282"/>
      <c r="R11" s="282"/>
      <c r="S11" s="283"/>
      <c r="T11" s="281" t="s">
        <v>158</v>
      </c>
      <c r="U11" s="282"/>
      <c r="V11" s="282"/>
      <c r="W11" s="282"/>
      <c r="X11" s="283"/>
      <c r="Y11" s="289" t="s">
        <v>157</v>
      </c>
      <c r="Z11" s="289"/>
      <c r="AA11" s="281" t="s">
        <v>158</v>
      </c>
      <c r="AB11" s="282"/>
      <c r="AC11" s="282"/>
      <c r="AD11" s="282"/>
      <c r="AE11" s="283"/>
      <c r="AF11" s="289" t="s">
        <v>159</v>
      </c>
      <c r="AG11" s="289"/>
      <c r="AH11" s="280"/>
      <c r="AI11" s="280"/>
      <c r="AJ11" s="280"/>
    </row>
    <row r="12" spans="1:36" s="12" customFormat="1" ht="19.95" customHeight="1">
      <c r="A12" s="280"/>
      <c r="B12" s="292"/>
      <c r="C12" s="180" t="s">
        <v>162</v>
      </c>
      <c r="D12" s="76" t="s">
        <v>163</v>
      </c>
      <c r="E12" s="76" t="s">
        <v>62</v>
      </c>
      <c r="F12" s="76" t="s">
        <v>164</v>
      </c>
      <c r="G12" s="76" t="s">
        <v>165</v>
      </c>
      <c r="H12" s="76" t="s">
        <v>166</v>
      </c>
      <c r="I12" s="76" t="s">
        <v>167</v>
      </c>
      <c r="J12" s="76" t="s">
        <v>168</v>
      </c>
      <c r="K12" s="76" t="s">
        <v>163</v>
      </c>
      <c r="L12" s="77" t="s">
        <v>62</v>
      </c>
      <c r="M12" s="288"/>
      <c r="N12" s="288"/>
      <c r="O12" s="76" t="s">
        <v>164</v>
      </c>
      <c r="P12" s="76" t="s">
        <v>165</v>
      </c>
      <c r="Q12" s="76" t="s">
        <v>166</v>
      </c>
      <c r="R12" s="76" t="s">
        <v>167</v>
      </c>
      <c r="S12" s="76" t="s">
        <v>168</v>
      </c>
      <c r="T12" s="76" t="s">
        <v>164</v>
      </c>
      <c r="U12" s="76" t="s">
        <v>165</v>
      </c>
      <c r="V12" s="76" t="s">
        <v>166</v>
      </c>
      <c r="W12" s="76" t="s">
        <v>167</v>
      </c>
      <c r="X12" s="76" t="s">
        <v>168</v>
      </c>
      <c r="Y12" s="76" t="s">
        <v>163</v>
      </c>
      <c r="Z12" s="76" t="s">
        <v>62</v>
      </c>
      <c r="AA12" s="76" t="s">
        <v>164</v>
      </c>
      <c r="AB12" s="76" t="s">
        <v>165</v>
      </c>
      <c r="AC12" s="76" t="s">
        <v>166</v>
      </c>
      <c r="AD12" s="76" t="s">
        <v>167</v>
      </c>
      <c r="AE12" s="76" t="s">
        <v>168</v>
      </c>
      <c r="AF12" s="76" t="s">
        <v>163</v>
      </c>
      <c r="AG12" s="76" t="s">
        <v>62</v>
      </c>
      <c r="AH12" s="280"/>
      <c r="AI12" s="280"/>
      <c r="AJ12" s="280"/>
    </row>
    <row r="13" spans="1:36" s="12" customFormat="1" ht="19.95" customHeight="1">
      <c r="A13" s="14"/>
      <c r="B13" s="14"/>
      <c r="C13" s="32"/>
      <c r="D13" s="70"/>
      <c r="E13" s="161">
        <f>IF(D13=0,0,D13/$D$23)</f>
        <v>0</v>
      </c>
      <c r="F13" s="70"/>
      <c r="G13" s="70"/>
      <c r="H13" s="70"/>
      <c r="I13" s="70"/>
      <c r="J13" s="163">
        <f>SUM(F13:I13)</f>
        <v>0</v>
      </c>
      <c r="K13" s="163">
        <f>D13+F13-J13</f>
        <v>0</v>
      </c>
      <c r="L13" s="161">
        <f>IF(K13=0,0,K13/$K$23)</f>
        <v>0</v>
      </c>
      <c r="M13" s="70"/>
      <c r="N13" s="70"/>
      <c r="O13" s="70"/>
      <c r="P13" s="70"/>
      <c r="Q13" s="70"/>
      <c r="R13" s="70"/>
      <c r="S13" s="163">
        <f>SUM(O13:R13)</f>
        <v>0</v>
      </c>
      <c r="T13" s="70"/>
      <c r="U13" s="70"/>
      <c r="V13" s="70"/>
      <c r="W13" s="70"/>
      <c r="X13" s="163">
        <f>SUM(T13:W13)</f>
        <v>0</v>
      </c>
      <c r="Y13" s="163">
        <f>D13+M13+N13</f>
        <v>0</v>
      </c>
      <c r="Z13" s="161">
        <f>IF(Y13=0,0,Y13/$Y$23)</f>
        <v>0</v>
      </c>
      <c r="AA13" s="163">
        <f>F13+O13+T13</f>
        <v>0</v>
      </c>
      <c r="AB13" s="163">
        <f t="shared" ref="AB13:AC13" si="0">G13+P13+U13</f>
        <v>0</v>
      </c>
      <c r="AC13" s="163">
        <f t="shared" si="0"/>
        <v>0</v>
      </c>
      <c r="AD13" s="163">
        <f>I13+R13+W13</f>
        <v>0</v>
      </c>
      <c r="AE13" s="163">
        <f>SUM(AA13:AD13)</f>
        <v>0</v>
      </c>
      <c r="AF13" s="163">
        <f>Y13+AE13</f>
        <v>0</v>
      </c>
      <c r="AG13" s="161">
        <f>IF(AF13=0,0,AF13/$AF$23)</f>
        <v>0</v>
      </c>
      <c r="AH13" s="30"/>
      <c r="AI13" s="30"/>
      <c r="AJ13" s="14"/>
    </row>
    <row r="14" spans="1:36" s="12" customFormat="1" ht="19.95" customHeight="1">
      <c r="A14" s="14"/>
      <c r="B14" s="14"/>
      <c r="C14" s="32"/>
      <c r="D14" s="70"/>
      <c r="E14" s="161">
        <f t="shared" ref="E14:E22" si="1">IF(D14=0,0,D14/$D$23)</f>
        <v>0</v>
      </c>
      <c r="F14" s="70"/>
      <c r="G14" s="70"/>
      <c r="H14" s="70"/>
      <c r="I14" s="70"/>
      <c r="J14" s="163">
        <f t="shared" ref="J14:J22" si="2">SUM(F14:I14)</f>
        <v>0</v>
      </c>
      <c r="K14" s="163">
        <f t="shared" ref="K14:K22" si="3">D14+F14-J14</f>
        <v>0</v>
      </c>
      <c r="L14" s="161">
        <f t="shared" ref="L14:L22" si="4">IF(K14=0,0,K14/$K$23)</f>
        <v>0</v>
      </c>
      <c r="M14" s="70"/>
      <c r="N14" s="70"/>
      <c r="O14" s="70"/>
      <c r="P14" s="70"/>
      <c r="Q14" s="70"/>
      <c r="R14" s="70"/>
      <c r="S14" s="163">
        <f t="shared" ref="S14:S22" si="5">SUM(O14:R14)</f>
        <v>0</v>
      </c>
      <c r="T14" s="70"/>
      <c r="U14" s="70"/>
      <c r="V14" s="70"/>
      <c r="W14" s="70"/>
      <c r="X14" s="163">
        <f t="shared" ref="X14:X22" si="6">SUM(T14:W14)</f>
        <v>0</v>
      </c>
      <c r="Y14" s="163">
        <f t="shared" ref="Y14:Y22" si="7">D14+M14+N14</f>
        <v>0</v>
      </c>
      <c r="Z14" s="161">
        <f t="shared" ref="Z14:Z22" si="8">IF(Y14=0,0,Y14/$Y$23)</f>
        <v>0</v>
      </c>
      <c r="AA14" s="163">
        <f t="shared" ref="AA14:AA22" si="9">F14+O14+T14</f>
        <v>0</v>
      </c>
      <c r="AB14" s="163">
        <f t="shared" ref="AB14:AB22" si="10">G14+P14+U14</f>
        <v>0</v>
      </c>
      <c r="AC14" s="163">
        <f t="shared" ref="AC14:AC22" si="11">H14+Q14+V14</f>
        <v>0</v>
      </c>
      <c r="AD14" s="163">
        <f t="shared" ref="AD14:AD22" si="12">I14+R14+W14</f>
        <v>0</v>
      </c>
      <c r="AE14" s="163">
        <f t="shared" ref="AE14:AE22" si="13">SUM(AA14:AD14)</f>
        <v>0</v>
      </c>
      <c r="AF14" s="163">
        <f t="shared" ref="AF14:AF22" si="14">Y14+AE14</f>
        <v>0</v>
      </c>
      <c r="AG14" s="161">
        <f t="shared" ref="AG14:AG22" si="15">IF(AF14=0,0,AF14/$AF$23)</f>
        <v>0</v>
      </c>
      <c r="AH14" s="30"/>
      <c r="AI14" s="30"/>
      <c r="AJ14" s="14"/>
    </row>
    <row r="15" spans="1:36" s="12" customFormat="1" ht="19.95" customHeight="1">
      <c r="A15" s="14"/>
      <c r="B15" s="14"/>
      <c r="C15" s="32"/>
      <c r="D15" s="70"/>
      <c r="E15" s="161">
        <f t="shared" si="1"/>
        <v>0</v>
      </c>
      <c r="F15" s="70"/>
      <c r="G15" s="70"/>
      <c r="H15" s="70"/>
      <c r="I15" s="70"/>
      <c r="J15" s="163">
        <f t="shared" si="2"/>
        <v>0</v>
      </c>
      <c r="K15" s="163">
        <f t="shared" si="3"/>
        <v>0</v>
      </c>
      <c r="L15" s="161">
        <f t="shared" si="4"/>
        <v>0</v>
      </c>
      <c r="M15" s="70"/>
      <c r="N15" s="70"/>
      <c r="O15" s="70"/>
      <c r="P15" s="70"/>
      <c r="Q15" s="70"/>
      <c r="R15" s="70"/>
      <c r="S15" s="163">
        <f t="shared" si="5"/>
        <v>0</v>
      </c>
      <c r="T15" s="70"/>
      <c r="U15" s="70"/>
      <c r="V15" s="70"/>
      <c r="W15" s="70"/>
      <c r="X15" s="163">
        <f t="shared" si="6"/>
        <v>0</v>
      </c>
      <c r="Y15" s="163">
        <f t="shared" si="7"/>
        <v>0</v>
      </c>
      <c r="Z15" s="161">
        <f t="shared" si="8"/>
        <v>0</v>
      </c>
      <c r="AA15" s="163">
        <f t="shared" si="9"/>
        <v>0</v>
      </c>
      <c r="AB15" s="163">
        <f t="shared" si="10"/>
        <v>0</v>
      </c>
      <c r="AC15" s="163">
        <f t="shared" si="11"/>
        <v>0</v>
      </c>
      <c r="AD15" s="163">
        <f t="shared" si="12"/>
        <v>0</v>
      </c>
      <c r="AE15" s="163">
        <f t="shared" si="13"/>
        <v>0</v>
      </c>
      <c r="AF15" s="163">
        <f t="shared" si="14"/>
        <v>0</v>
      </c>
      <c r="AG15" s="161">
        <f t="shared" si="15"/>
        <v>0</v>
      </c>
      <c r="AH15" s="30"/>
      <c r="AI15" s="30"/>
      <c r="AJ15" s="14"/>
    </row>
    <row r="16" spans="1:36" s="12" customFormat="1" ht="19.95" customHeight="1">
      <c r="A16" s="14"/>
      <c r="B16" s="14"/>
      <c r="C16" s="32"/>
      <c r="D16" s="70"/>
      <c r="E16" s="161">
        <f t="shared" si="1"/>
        <v>0</v>
      </c>
      <c r="F16" s="70"/>
      <c r="G16" s="70"/>
      <c r="H16" s="70"/>
      <c r="I16" s="70"/>
      <c r="J16" s="163">
        <f t="shared" si="2"/>
        <v>0</v>
      </c>
      <c r="K16" s="163">
        <f t="shared" si="3"/>
        <v>0</v>
      </c>
      <c r="L16" s="161">
        <f t="shared" si="4"/>
        <v>0</v>
      </c>
      <c r="M16" s="70"/>
      <c r="N16" s="70"/>
      <c r="O16" s="70"/>
      <c r="P16" s="70"/>
      <c r="Q16" s="70"/>
      <c r="R16" s="70"/>
      <c r="S16" s="163">
        <f t="shared" si="5"/>
        <v>0</v>
      </c>
      <c r="T16" s="70"/>
      <c r="U16" s="70"/>
      <c r="V16" s="70"/>
      <c r="W16" s="70"/>
      <c r="X16" s="163">
        <f t="shared" si="6"/>
        <v>0</v>
      </c>
      <c r="Y16" s="163">
        <f t="shared" si="7"/>
        <v>0</v>
      </c>
      <c r="Z16" s="161">
        <f t="shared" si="8"/>
        <v>0</v>
      </c>
      <c r="AA16" s="163">
        <f t="shared" si="9"/>
        <v>0</v>
      </c>
      <c r="AB16" s="163">
        <f t="shared" si="10"/>
        <v>0</v>
      </c>
      <c r="AC16" s="163">
        <f t="shared" si="11"/>
        <v>0</v>
      </c>
      <c r="AD16" s="163">
        <f t="shared" si="12"/>
        <v>0</v>
      </c>
      <c r="AE16" s="163">
        <f t="shared" si="13"/>
        <v>0</v>
      </c>
      <c r="AF16" s="163">
        <f t="shared" si="14"/>
        <v>0</v>
      </c>
      <c r="AG16" s="161">
        <f t="shared" si="15"/>
        <v>0</v>
      </c>
      <c r="AH16" s="30"/>
      <c r="AI16" s="30"/>
      <c r="AJ16" s="14"/>
    </row>
    <row r="17" spans="1:36" s="12" customFormat="1" ht="19.95" customHeight="1">
      <c r="A17" s="14"/>
      <c r="B17" s="14"/>
      <c r="C17" s="32"/>
      <c r="D17" s="70"/>
      <c r="E17" s="161">
        <f t="shared" si="1"/>
        <v>0</v>
      </c>
      <c r="F17" s="70"/>
      <c r="G17" s="70"/>
      <c r="H17" s="70"/>
      <c r="I17" s="70"/>
      <c r="J17" s="163">
        <f t="shared" si="2"/>
        <v>0</v>
      </c>
      <c r="K17" s="163">
        <f t="shared" si="3"/>
        <v>0</v>
      </c>
      <c r="L17" s="161">
        <f t="shared" si="4"/>
        <v>0</v>
      </c>
      <c r="M17" s="70"/>
      <c r="N17" s="70"/>
      <c r="O17" s="70"/>
      <c r="P17" s="70"/>
      <c r="Q17" s="70"/>
      <c r="R17" s="70"/>
      <c r="S17" s="163">
        <f t="shared" si="5"/>
        <v>0</v>
      </c>
      <c r="T17" s="70"/>
      <c r="U17" s="70"/>
      <c r="V17" s="70"/>
      <c r="W17" s="70"/>
      <c r="X17" s="163">
        <f t="shared" si="6"/>
        <v>0</v>
      </c>
      <c r="Y17" s="163">
        <f t="shared" si="7"/>
        <v>0</v>
      </c>
      <c r="Z17" s="161">
        <f t="shared" si="8"/>
        <v>0</v>
      </c>
      <c r="AA17" s="163">
        <f t="shared" si="9"/>
        <v>0</v>
      </c>
      <c r="AB17" s="163">
        <f t="shared" si="10"/>
        <v>0</v>
      </c>
      <c r="AC17" s="163">
        <f t="shared" si="11"/>
        <v>0</v>
      </c>
      <c r="AD17" s="163">
        <f t="shared" si="12"/>
        <v>0</v>
      </c>
      <c r="AE17" s="163">
        <f t="shared" si="13"/>
        <v>0</v>
      </c>
      <c r="AF17" s="163">
        <f t="shared" si="14"/>
        <v>0</v>
      </c>
      <c r="AG17" s="161">
        <f t="shared" si="15"/>
        <v>0</v>
      </c>
      <c r="AH17" s="30"/>
      <c r="AI17" s="30"/>
      <c r="AJ17" s="14"/>
    </row>
    <row r="18" spans="1:36" s="12" customFormat="1" ht="19.95" customHeight="1">
      <c r="A18" s="14"/>
      <c r="B18" s="14"/>
      <c r="C18" s="32"/>
      <c r="D18" s="70"/>
      <c r="E18" s="161">
        <f t="shared" si="1"/>
        <v>0</v>
      </c>
      <c r="F18" s="70"/>
      <c r="G18" s="70"/>
      <c r="H18" s="70"/>
      <c r="I18" s="70"/>
      <c r="J18" s="163">
        <f t="shared" si="2"/>
        <v>0</v>
      </c>
      <c r="K18" s="163">
        <f t="shared" si="3"/>
        <v>0</v>
      </c>
      <c r="L18" s="161">
        <f t="shared" si="4"/>
        <v>0</v>
      </c>
      <c r="M18" s="70"/>
      <c r="N18" s="70"/>
      <c r="O18" s="70"/>
      <c r="P18" s="70"/>
      <c r="Q18" s="70"/>
      <c r="R18" s="70"/>
      <c r="S18" s="163">
        <f t="shared" si="5"/>
        <v>0</v>
      </c>
      <c r="T18" s="70"/>
      <c r="U18" s="70"/>
      <c r="V18" s="70"/>
      <c r="W18" s="70"/>
      <c r="X18" s="163">
        <f t="shared" si="6"/>
        <v>0</v>
      </c>
      <c r="Y18" s="163">
        <f t="shared" si="7"/>
        <v>0</v>
      </c>
      <c r="Z18" s="161">
        <f t="shared" si="8"/>
        <v>0</v>
      </c>
      <c r="AA18" s="163">
        <f t="shared" si="9"/>
        <v>0</v>
      </c>
      <c r="AB18" s="163">
        <f t="shared" si="10"/>
        <v>0</v>
      </c>
      <c r="AC18" s="163">
        <f t="shared" si="11"/>
        <v>0</v>
      </c>
      <c r="AD18" s="163">
        <f t="shared" si="12"/>
        <v>0</v>
      </c>
      <c r="AE18" s="163">
        <f t="shared" si="13"/>
        <v>0</v>
      </c>
      <c r="AF18" s="163">
        <f t="shared" si="14"/>
        <v>0</v>
      </c>
      <c r="AG18" s="161">
        <f t="shared" si="15"/>
        <v>0</v>
      </c>
      <c r="AH18" s="30"/>
      <c r="AI18" s="30"/>
      <c r="AJ18" s="14"/>
    </row>
    <row r="19" spans="1:36" s="12" customFormat="1" ht="19.95" customHeight="1">
      <c r="A19" s="14"/>
      <c r="B19" s="14"/>
      <c r="C19" s="32"/>
      <c r="D19" s="70"/>
      <c r="E19" s="161">
        <f t="shared" si="1"/>
        <v>0</v>
      </c>
      <c r="F19" s="70"/>
      <c r="G19" s="70"/>
      <c r="H19" s="70"/>
      <c r="I19" s="70"/>
      <c r="J19" s="163">
        <f t="shared" si="2"/>
        <v>0</v>
      </c>
      <c r="K19" s="163">
        <f t="shared" si="3"/>
        <v>0</v>
      </c>
      <c r="L19" s="161">
        <f t="shared" si="4"/>
        <v>0</v>
      </c>
      <c r="M19" s="70"/>
      <c r="N19" s="70"/>
      <c r="O19" s="70"/>
      <c r="P19" s="70"/>
      <c r="Q19" s="70"/>
      <c r="R19" s="70"/>
      <c r="S19" s="163">
        <f t="shared" si="5"/>
        <v>0</v>
      </c>
      <c r="T19" s="70"/>
      <c r="U19" s="70"/>
      <c r="V19" s="70"/>
      <c r="W19" s="70"/>
      <c r="X19" s="163">
        <f t="shared" si="6"/>
        <v>0</v>
      </c>
      <c r="Y19" s="163">
        <f t="shared" si="7"/>
        <v>0</v>
      </c>
      <c r="Z19" s="161">
        <f t="shared" si="8"/>
        <v>0</v>
      </c>
      <c r="AA19" s="163">
        <f t="shared" si="9"/>
        <v>0</v>
      </c>
      <c r="AB19" s="163">
        <f t="shared" si="10"/>
        <v>0</v>
      </c>
      <c r="AC19" s="163">
        <f t="shared" si="11"/>
        <v>0</v>
      </c>
      <c r="AD19" s="163">
        <f t="shared" si="12"/>
        <v>0</v>
      </c>
      <c r="AE19" s="163">
        <f t="shared" si="13"/>
        <v>0</v>
      </c>
      <c r="AF19" s="163">
        <f t="shared" si="14"/>
        <v>0</v>
      </c>
      <c r="AG19" s="161">
        <f t="shared" si="15"/>
        <v>0</v>
      </c>
      <c r="AH19" s="30"/>
      <c r="AI19" s="30"/>
      <c r="AJ19" s="14"/>
    </row>
    <row r="20" spans="1:36" s="12" customFormat="1" ht="19.95" customHeight="1">
      <c r="A20" s="14"/>
      <c r="B20" s="14"/>
      <c r="C20" s="32"/>
      <c r="D20" s="70"/>
      <c r="E20" s="161">
        <f t="shared" si="1"/>
        <v>0</v>
      </c>
      <c r="F20" s="70"/>
      <c r="G20" s="70"/>
      <c r="H20" s="70"/>
      <c r="I20" s="70"/>
      <c r="J20" s="163">
        <f t="shared" si="2"/>
        <v>0</v>
      </c>
      <c r="K20" s="163">
        <f t="shared" si="3"/>
        <v>0</v>
      </c>
      <c r="L20" s="161">
        <f t="shared" si="4"/>
        <v>0</v>
      </c>
      <c r="M20" s="70"/>
      <c r="N20" s="70"/>
      <c r="O20" s="70"/>
      <c r="P20" s="70"/>
      <c r="Q20" s="70"/>
      <c r="R20" s="70"/>
      <c r="S20" s="163">
        <f t="shared" si="5"/>
        <v>0</v>
      </c>
      <c r="T20" s="70"/>
      <c r="U20" s="70"/>
      <c r="V20" s="70"/>
      <c r="W20" s="70"/>
      <c r="X20" s="163">
        <f t="shared" si="6"/>
        <v>0</v>
      </c>
      <c r="Y20" s="163">
        <f t="shared" si="7"/>
        <v>0</v>
      </c>
      <c r="Z20" s="161">
        <f t="shared" si="8"/>
        <v>0</v>
      </c>
      <c r="AA20" s="163">
        <f t="shared" si="9"/>
        <v>0</v>
      </c>
      <c r="AB20" s="163">
        <f t="shared" si="10"/>
        <v>0</v>
      </c>
      <c r="AC20" s="163">
        <f t="shared" si="11"/>
        <v>0</v>
      </c>
      <c r="AD20" s="163">
        <f t="shared" si="12"/>
        <v>0</v>
      </c>
      <c r="AE20" s="163">
        <f t="shared" si="13"/>
        <v>0</v>
      </c>
      <c r="AF20" s="163">
        <f t="shared" si="14"/>
        <v>0</v>
      </c>
      <c r="AG20" s="161">
        <f t="shared" si="15"/>
        <v>0</v>
      </c>
      <c r="AH20" s="30"/>
      <c r="AI20" s="30"/>
      <c r="AJ20" s="14"/>
    </row>
    <row r="21" spans="1:36" s="12" customFormat="1" ht="19.95" customHeight="1">
      <c r="A21" s="14"/>
      <c r="B21" s="14"/>
      <c r="C21" s="32"/>
      <c r="D21" s="70"/>
      <c r="E21" s="161">
        <f t="shared" si="1"/>
        <v>0</v>
      </c>
      <c r="F21" s="70"/>
      <c r="G21" s="70"/>
      <c r="H21" s="70"/>
      <c r="I21" s="70"/>
      <c r="J21" s="163">
        <f t="shared" si="2"/>
        <v>0</v>
      </c>
      <c r="K21" s="163">
        <f t="shared" si="3"/>
        <v>0</v>
      </c>
      <c r="L21" s="161">
        <f t="shared" si="4"/>
        <v>0</v>
      </c>
      <c r="M21" s="70"/>
      <c r="N21" s="70"/>
      <c r="O21" s="70"/>
      <c r="P21" s="70"/>
      <c r="Q21" s="70"/>
      <c r="R21" s="70"/>
      <c r="S21" s="163">
        <f t="shared" si="5"/>
        <v>0</v>
      </c>
      <c r="T21" s="70"/>
      <c r="U21" s="70"/>
      <c r="V21" s="70"/>
      <c r="W21" s="70"/>
      <c r="X21" s="163">
        <f t="shared" si="6"/>
        <v>0</v>
      </c>
      <c r="Y21" s="163">
        <f t="shared" si="7"/>
        <v>0</v>
      </c>
      <c r="Z21" s="161">
        <f t="shared" si="8"/>
        <v>0</v>
      </c>
      <c r="AA21" s="163">
        <f t="shared" si="9"/>
        <v>0</v>
      </c>
      <c r="AB21" s="163">
        <f t="shared" si="10"/>
        <v>0</v>
      </c>
      <c r="AC21" s="163">
        <f t="shared" si="11"/>
        <v>0</v>
      </c>
      <c r="AD21" s="163">
        <f t="shared" si="12"/>
        <v>0</v>
      </c>
      <c r="AE21" s="163">
        <f>SUM(AA21:AD21)</f>
        <v>0</v>
      </c>
      <c r="AF21" s="163">
        <f t="shared" si="14"/>
        <v>0</v>
      </c>
      <c r="AG21" s="161">
        <f t="shared" si="15"/>
        <v>0</v>
      </c>
      <c r="AH21" s="30"/>
      <c r="AI21" s="30"/>
      <c r="AJ21" s="14"/>
    </row>
    <row r="22" spans="1:36" s="12" customFormat="1" ht="19.95" customHeight="1">
      <c r="A22" s="14"/>
      <c r="B22" s="14"/>
      <c r="C22" s="32"/>
      <c r="D22" s="70"/>
      <c r="E22" s="161">
        <f t="shared" si="1"/>
        <v>0</v>
      </c>
      <c r="F22" s="70"/>
      <c r="G22" s="70"/>
      <c r="H22" s="70"/>
      <c r="I22" s="70"/>
      <c r="J22" s="163">
        <f t="shared" si="2"/>
        <v>0</v>
      </c>
      <c r="K22" s="163">
        <f t="shared" si="3"/>
        <v>0</v>
      </c>
      <c r="L22" s="161">
        <f t="shared" si="4"/>
        <v>0</v>
      </c>
      <c r="M22" s="70"/>
      <c r="N22" s="70"/>
      <c r="O22" s="70"/>
      <c r="P22" s="70"/>
      <c r="Q22" s="70"/>
      <c r="R22" s="70"/>
      <c r="S22" s="163">
        <f t="shared" si="5"/>
        <v>0</v>
      </c>
      <c r="T22" s="70"/>
      <c r="U22" s="70"/>
      <c r="V22" s="70"/>
      <c r="W22" s="70"/>
      <c r="X22" s="163">
        <f t="shared" si="6"/>
        <v>0</v>
      </c>
      <c r="Y22" s="163">
        <f t="shared" si="7"/>
        <v>0</v>
      </c>
      <c r="Z22" s="161">
        <f t="shared" si="8"/>
        <v>0</v>
      </c>
      <c r="AA22" s="163">
        <f t="shared" si="9"/>
        <v>0</v>
      </c>
      <c r="AB22" s="163">
        <f t="shared" si="10"/>
        <v>0</v>
      </c>
      <c r="AC22" s="163">
        <f t="shared" si="11"/>
        <v>0</v>
      </c>
      <c r="AD22" s="163">
        <f t="shared" si="12"/>
        <v>0</v>
      </c>
      <c r="AE22" s="163">
        <f t="shared" si="13"/>
        <v>0</v>
      </c>
      <c r="AF22" s="163">
        <f t="shared" si="14"/>
        <v>0</v>
      </c>
      <c r="AG22" s="161">
        <f t="shared" si="15"/>
        <v>0</v>
      </c>
      <c r="AH22" s="30"/>
      <c r="AI22" s="30"/>
      <c r="AJ22" s="14"/>
    </row>
    <row r="23" spans="1:36" s="35" customFormat="1" ht="19.95" customHeight="1">
      <c r="A23" s="184" t="s">
        <v>169</v>
      </c>
      <c r="B23" s="184"/>
      <c r="C23" s="207"/>
      <c r="D23" s="164">
        <f>SUM(D13:D22)</f>
        <v>0</v>
      </c>
      <c r="E23" s="162">
        <f>SUM(E13:E22)</f>
        <v>0</v>
      </c>
      <c r="F23" s="164">
        <f t="shared" ref="F23:I23" si="16">SUM(F13:F22)</f>
        <v>0</v>
      </c>
      <c r="G23" s="164">
        <f t="shared" si="16"/>
        <v>0</v>
      </c>
      <c r="H23" s="164">
        <f t="shared" si="16"/>
        <v>0</v>
      </c>
      <c r="I23" s="164">
        <f t="shared" si="16"/>
        <v>0</v>
      </c>
      <c r="J23" s="164">
        <f>SUM(J13:J22)</f>
        <v>0</v>
      </c>
      <c r="K23" s="164">
        <f t="shared" ref="K23:AE23" si="17">SUM(K13:K22)</f>
        <v>0</v>
      </c>
      <c r="L23" s="162">
        <f t="shared" si="17"/>
        <v>0</v>
      </c>
      <c r="M23" s="164">
        <f t="shared" si="17"/>
        <v>0</v>
      </c>
      <c r="N23" s="164">
        <f t="shared" si="17"/>
        <v>0</v>
      </c>
      <c r="O23" s="164">
        <f t="shared" si="17"/>
        <v>0</v>
      </c>
      <c r="P23" s="164">
        <f t="shared" si="17"/>
        <v>0</v>
      </c>
      <c r="Q23" s="164">
        <f t="shared" si="17"/>
        <v>0</v>
      </c>
      <c r="R23" s="164">
        <f t="shared" si="17"/>
        <v>0</v>
      </c>
      <c r="S23" s="164">
        <f t="shared" si="17"/>
        <v>0</v>
      </c>
      <c r="T23" s="164">
        <f t="shared" si="17"/>
        <v>0</v>
      </c>
      <c r="U23" s="164">
        <f t="shared" si="17"/>
        <v>0</v>
      </c>
      <c r="V23" s="164">
        <f t="shared" si="17"/>
        <v>0</v>
      </c>
      <c r="W23" s="164">
        <f t="shared" si="17"/>
        <v>0</v>
      </c>
      <c r="X23" s="164">
        <f t="shared" si="17"/>
        <v>0</v>
      </c>
      <c r="Y23" s="164">
        <f t="shared" si="17"/>
        <v>0</v>
      </c>
      <c r="Z23" s="161">
        <f>SUM(Z13:Z22)</f>
        <v>0</v>
      </c>
      <c r="AA23" s="164">
        <f t="shared" si="17"/>
        <v>0</v>
      </c>
      <c r="AB23" s="164">
        <f t="shared" si="17"/>
        <v>0</v>
      </c>
      <c r="AC23" s="164">
        <f t="shared" si="17"/>
        <v>0</v>
      </c>
      <c r="AD23" s="164">
        <f t="shared" si="17"/>
        <v>0</v>
      </c>
      <c r="AE23" s="164">
        <f t="shared" si="17"/>
        <v>0</v>
      </c>
      <c r="AF23" s="164">
        <f>SUM(AF13:AF22)</f>
        <v>0</v>
      </c>
      <c r="AG23" s="161">
        <f>SUM(AG13:AG22)</f>
        <v>0</v>
      </c>
      <c r="AH23" s="30"/>
      <c r="AI23" s="33"/>
      <c r="AJ23" s="34"/>
    </row>
    <row r="24" spans="1:36" s="12" customFormat="1" ht="19.95" customHeight="1">
      <c r="A24" s="185" t="s">
        <v>170</v>
      </c>
      <c r="B24" s="185"/>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c r="AI24" s="16"/>
      <c r="AJ24" s="16"/>
    </row>
    <row r="25" spans="1:36" ht="19.95" customHeight="1">
      <c r="A25" s="11" t="s">
        <v>171</v>
      </c>
      <c r="B25" s="11"/>
      <c r="C25" s="11"/>
      <c r="D25" s="29"/>
      <c r="E25" s="29"/>
      <c r="F25" s="29"/>
      <c r="G25" s="29"/>
      <c r="H25" s="29"/>
      <c r="I25" s="29"/>
      <c r="J25" s="29"/>
      <c r="K25" s="11"/>
      <c r="L25" s="11"/>
      <c r="M25" s="11"/>
      <c r="N25" s="11"/>
      <c r="O25" s="11"/>
      <c r="P25" s="11"/>
      <c r="Q25" s="11"/>
      <c r="R25" s="11"/>
      <c r="S25" s="29"/>
      <c r="T25" s="11"/>
      <c r="U25" s="11"/>
      <c r="V25" s="11"/>
      <c r="W25" s="11"/>
      <c r="X25" s="11"/>
      <c r="Y25" s="11"/>
      <c r="Z25" s="11"/>
      <c r="AA25" s="29"/>
      <c r="AB25" s="29"/>
      <c r="AC25" s="29"/>
      <c r="AD25" s="29"/>
      <c r="AE25" s="29"/>
      <c r="AF25" s="29"/>
      <c r="AG25" s="29"/>
      <c r="AH25" s="29"/>
      <c r="AI25" s="29"/>
      <c r="AJ25" s="29"/>
    </row>
    <row r="26" spans="1:36" ht="19.95" customHeight="1">
      <c r="A26" s="29"/>
      <c r="B26" s="29"/>
      <c r="C26" s="29"/>
      <c r="D26" s="29"/>
      <c r="E26" s="29"/>
      <c r="F26" s="29"/>
      <c r="G26" s="29"/>
      <c r="H26" s="29"/>
      <c r="I26" s="29"/>
      <c r="J26" s="29"/>
      <c r="K26" s="29"/>
      <c r="L26" s="29"/>
      <c r="M26" s="29"/>
      <c r="N26" s="29"/>
      <c r="O26" s="29"/>
      <c r="P26" s="29"/>
      <c r="Q26" s="29"/>
      <c r="R26" s="29"/>
      <c r="S26" s="29"/>
      <c r="T26" s="29"/>
      <c r="U26" s="29"/>
      <c r="V26" s="29"/>
      <c r="W26" s="29"/>
      <c r="X26" s="29"/>
      <c r="Y26" s="29"/>
      <c r="Z26" s="29"/>
      <c r="AA26" s="29"/>
      <c r="AB26" s="29"/>
      <c r="AC26" s="29"/>
      <c r="AD26" s="29"/>
      <c r="AE26" s="29"/>
      <c r="AF26" s="29"/>
      <c r="AG26" s="29"/>
      <c r="AH26" s="29"/>
      <c r="AI26" s="29"/>
      <c r="AJ26" s="29"/>
    </row>
    <row r="27" spans="1:36" ht="19.95" customHeight="1">
      <c r="A27" s="11" t="s">
        <v>172</v>
      </c>
      <c r="B27" s="11"/>
      <c r="C27" s="29"/>
      <c r="D27" s="29"/>
      <c r="E27" s="29"/>
      <c r="F27" s="29"/>
      <c r="G27" s="29"/>
      <c r="H27" s="29"/>
      <c r="I27" s="29"/>
      <c r="J27" s="29"/>
      <c r="K27" s="29"/>
      <c r="L27" s="29"/>
      <c r="M27" s="29"/>
      <c r="N27" s="29"/>
      <c r="O27" s="29"/>
      <c r="P27" s="29"/>
      <c r="Q27" s="29"/>
      <c r="R27" s="29"/>
      <c r="S27" s="29"/>
      <c r="T27" s="29"/>
      <c r="U27" s="29"/>
      <c r="V27" s="29"/>
      <c r="W27" s="29"/>
      <c r="X27" s="29"/>
      <c r="Y27" s="29"/>
      <c r="Z27" s="29"/>
      <c r="AA27" s="29"/>
      <c r="AB27" s="29"/>
      <c r="AC27" s="29"/>
      <c r="AD27" s="29"/>
      <c r="AE27" s="29"/>
      <c r="AF27" s="29"/>
      <c r="AG27" s="29"/>
      <c r="AH27" s="29"/>
      <c r="AI27" s="29"/>
      <c r="AJ27" s="29"/>
    </row>
    <row r="28" spans="1:36" ht="19.95" customHeight="1">
      <c r="A28" s="11"/>
      <c r="B28" s="11"/>
      <c r="C28" s="71"/>
      <c r="D28" s="29"/>
      <c r="E28" s="29"/>
      <c r="F28" s="29"/>
      <c r="G28" s="29"/>
      <c r="H28" s="29"/>
      <c r="I28" s="29"/>
      <c r="J28" s="29"/>
      <c r="K28" s="29"/>
      <c r="L28" s="29"/>
      <c r="M28" s="29"/>
      <c r="N28" s="29"/>
      <c r="O28" s="29"/>
      <c r="P28" s="29"/>
      <c r="Q28" s="29"/>
      <c r="R28" s="29"/>
      <c r="S28" s="29"/>
      <c r="T28" s="29"/>
      <c r="U28" s="29"/>
      <c r="V28" s="29"/>
      <c r="W28" s="29"/>
      <c r="X28" s="29"/>
      <c r="Y28" s="29"/>
      <c r="Z28" s="29"/>
      <c r="AA28" s="29"/>
      <c r="AB28" s="29"/>
      <c r="AC28" s="29"/>
      <c r="AD28" s="29"/>
      <c r="AE28" s="29"/>
      <c r="AF28" s="29"/>
      <c r="AG28" s="29"/>
      <c r="AH28" s="29"/>
      <c r="AI28" s="29"/>
      <c r="AJ28" s="29"/>
    </row>
    <row r="29" spans="1:36" ht="19.95" customHeight="1">
      <c r="A29" s="45" t="s">
        <v>173</v>
      </c>
      <c r="B29" s="45"/>
      <c r="C29" s="29"/>
      <c r="D29" s="29"/>
      <c r="E29" s="29"/>
      <c r="F29" s="29"/>
      <c r="G29" s="29"/>
      <c r="H29" s="29"/>
      <c r="I29" s="29"/>
      <c r="J29" s="29"/>
      <c r="K29" s="29"/>
      <c r="L29" s="29"/>
      <c r="M29" s="29"/>
      <c r="N29" s="29"/>
      <c r="O29" s="29"/>
      <c r="P29" s="29"/>
      <c r="Q29" s="29"/>
      <c r="R29" s="29"/>
      <c r="S29" s="29"/>
      <c r="T29" s="29"/>
      <c r="U29" s="29"/>
      <c r="V29" s="29"/>
      <c r="W29" s="29"/>
      <c r="X29" s="29"/>
      <c r="Y29" s="29"/>
      <c r="Z29" s="29"/>
      <c r="AA29" s="29"/>
      <c r="AB29" s="29"/>
      <c r="AC29" s="29"/>
      <c r="AD29" s="29"/>
      <c r="AE29" s="29"/>
      <c r="AF29" s="29"/>
      <c r="AG29" s="29"/>
      <c r="AH29" s="29"/>
      <c r="AI29" s="29"/>
      <c r="AJ29" s="29"/>
    </row>
    <row r="30" spans="1:36" ht="19.95" customHeight="1">
      <c r="A30" s="29"/>
      <c r="B30" s="29"/>
      <c r="C30" s="29"/>
      <c r="D30" s="29"/>
      <c r="E30" s="29"/>
      <c r="F30" s="29"/>
      <c r="G30" s="29"/>
      <c r="H30" s="29"/>
      <c r="I30" s="29"/>
      <c r="J30" s="29"/>
      <c r="K30" s="29"/>
      <c r="L30" s="29"/>
      <c r="M30" s="29"/>
      <c r="N30" s="29"/>
      <c r="O30" s="29"/>
      <c r="P30" s="29"/>
      <c r="Q30" s="29"/>
      <c r="R30" s="29"/>
      <c r="S30" s="29"/>
      <c r="T30" s="29"/>
      <c r="U30" s="29"/>
      <c r="V30" s="29"/>
      <c r="W30" s="29"/>
      <c r="X30" s="29"/>
      <c r="Y30" s="29"/>
      <c r="Z30" s="29"/>
      <c r="AA30" s="29"/>
      <c r="AB30" s="29"/>
      <c r="AC30" s="29"/>
      <c r="AD30" s="29"/>
      <c r="AE30" s="29"/>
      <c r="AF30" s="29"/>
      <c r="AG30" s="29"/>
      <c r="AH30" s="29"/>
      <c r="AI30" s="29"/>
      <c r="AJ30" s="29"/>
    </row>
    <row r="31" spans="1:36" ht="18" customHeight="1">
      <c r="A31" s="193" t="s">
        <v>200</v>
      </c>
      <c r="B31" s="98"/>
    </row>
    <row r="32" spans="1:36" ht="18" customHeight="1">
      <c r="A32" s="47" t="s">
        <v>194</v>
      </c>
      <c r="B32" s="47"/>
    </row>
    <row r="33" spans="1:2">
      <c r="A33" s="47" t="s">
        <v>193</v>
      </c>
      <c r="B33" s="47"/>
    </row>
    <row r="34" spans="1:2">
      <c r="A34" s="47" t="s">
        <v>195</v>
      </c>
      <c r="B34" s="47"/>
    </row>
    <row r="35" spans="1:2">
      <c r="A35" s="47" t="s">
        <v>196</v>
      </c>
      <c r="B35" s="47"/>
    </row>
    <row r="36" spans="1:2">
      <c r="A36" s="47" t="s">
        <v>197</v>
      </c>
      <c r="B36" s="47"/>
    </row>
    <row r="37" spans="1:2">
      <c r="A37" s="181" t="s">
        <v>198</v>
      </c>
      <c r="B37" s="181"/>
    </row>
    <row r="38" spans="1:2">
      <c r="A38" s="182" t="s">
        <v>199</v>
      </c>
      <c r="B38" s="182"/>
    </row>
  </sheetData>
  <mergeCells count="22">
    <mergeCell ref="B10:B12"/>
    <mergeCell ref="AF11:AG11"/>
    <mergeCell ref="F11:J11"/>
    <mergeCell ref="O11:S11"/>
    <mergeCell ref="T11:X11"/>
    <mergeCell ref="AA11:AE11"/>
    <mergeCell ref="A1:AJ1"/>
    <mergeCell ref="A2:AJ2"/>
    <mergeCell ref="A10:A12"/>
    <mergeCell ref="C10:L10"/>
    <mergeCell ref="M10:N10"/>
    <mergeCell ref="O10:S10"/>
    <mergeCell ref="T10:X10"/>
    <mergeCell ref="Y10:AF10"/>
    <mergeCell ref="AH10:AH12"/>
    <mergeCell ref="AI10:AI12"/>
    <mergeCell ref="AJ10:AJ12"/>
    <mergeCell ref="C11:E11"/>
    <mergeCell ref="K11:L11"/>
    <mergeCell ref="M11:M12"/>
    <mergeCell ref="N11:N12"/>
    <mergeCell ref="Y11:Z11"/>
  </mergeCells>
  <phoneticPr fontId="18" type="noConversion"/>
  <dataValidations count="1">
    <dataValidation type="list" allowBlank="1" showInputMessage="1" showErrorMessage="1" sqref="AH13:AH23">
      <formula1>"√,X"</formula1>
    </dataValidation>
  </dataValidations>
  <hyperlinks>
    <hyperlink ref="AJ3" location="底稿目录!A1" display="底稿目录!A1"/>
  </hyperlinks>
  <pageMargins left="0.70866141732283472" right="0.70866141732283472" top="0.74803149606299213" bottom="0.74803149606299213" header="0.31496062992125984" footer="0.31496062992125984"/>
  <pageSetup paperSize="9" scale="38" orientation="landscape" blackAndWhite="1" horizontalDpi="1200" verticalDpi="1200" r:id="rId1"/>
  <headerFooter>
    <oddFooter>&amp;C&amp;P/&amp;N</oddFoot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37"/>
  <sheetViews>
    <sheetView view="pageBreakPreview" zoomScaleSheetLayoutView="100" workbookViewId="0">
      <selection sqref="A1:X1"/>
    </sheetView>
  </sheetViews>
  <sheetFormatPr defaultColWidth="9" defaultRowHeight="15.6"/>
  <cols>
    <col min="1" max="1" width="16.796875" style="15" customWidth="1"/>
    <col min="2" max="6" width="9" style="15"/>
    <col min="7" max="7" width="7" style="15" customWidth="1"/>
    <col min="8" max="9" width="9" style="15"/>
    <col min="10" max="10" width="8.796875" style="15" customWidth="1"/>
    <col min="11" max="11" width="10.296875" style="15" customWidth="1"/>
    <col min="12" max="15" width="9.19921875" style="15" customWidth="1"/>
    <col min="16" max="16" width="8.296875" style="15" customWidth="1"/>
    <col min="17" max="17" width="7" style="15" customWidth="1"/>
    <col min="18" max="18" width="9.19921875" style="15" customWidth="1"/>
    <col min="19" max="21" width="9" style="15"/>
    <col min="22" max="22" width="7.296875" style="15" customWidth="1"/>
    <col min="23" max="23" width="8.59765625" style="15" customWidth="1"/>
    <col min="24" max="24" width="6.796875" style="36" customWidth="1"/>
    <col min="25" max="16384" width="9" style="15"/>
  </cols>
  <sheetData>
    <row r="1" spans="1:24" s="10" customFormat="1" ht="19.95" customHeight="1">
      <c r="A1" s="278" t="s">
        <v>70</v>
      </c>
      <c r="B1" s="278"/>
      <c r="C1" s="278"/>
      <c r="D1" s="278"/>
      <c r="E1" s="278"/>
      <c r="F1" s="278"/>
      <c r="G1" s="278"/>
      <c r="H1" s="278"/>
      <c r="I1" s="278"/>
      <c r="J1" s="278"/>
      <c r="K1" s="278"/>
      <c r="L1" s="278"/>
      <c r="M1" s="278"/>
      <c r="N1" s="278"/>
      <c r="O1" s="278"/>
      <c r="P1" s="278"/>
      <c r="Q1" s="278"/>
      <c r="R1" s="278"/>
      <c r="S1" s="278"/>
      <c r="T1" s="278"/>
      <c r="U1" s="278"/>
      <c r="V1" s="278"/>
      <c r="W1" s="278"/>
      <c r="X1" s="278"/>
    </row>
    <row r="2" spans="1:24" s="10" customFormat="1" ht="19.95" customHeight="1">
      <c r="A2" s="279" t="s">
        <v>146</v>
      </c>
      <c r="B2" s="279"/>
      <c r="C2" s="279"/>
      <c r="D2" s="279"/>
      <c r="E2" s="279"/>
      <c r="F2" s="279"/>
      <c r="G2" s="279"/>
      <c r="H2" s="279"/>
      <c r="I2" s="279"/>
      <c r="J2" s="279"/>
      <c r="K2" s="279"/>
      <c r="L2" s="279"/>
      <c r="M2" s="279"/>
      <c r="N2" s="279"/>
      <c r="O2" s="279"/>
      <c r="P2" s="279"/>
      <c r="Q2" s="279"/>
      <c r="R2" s="279"/>
      <c r="S2" s="279"/>
      <c r="T2" s="279"/>
      <c r="U2" s="279"/>
      <c r="V2" s="279"/>
      <c r="W2" s="279"/>
      <c r="X2" s="279"/>
    </row>
    <row r="3" spans="1:24" s="12" customFormat="1" ht="19.95" customHeight="1">
      <c r="A3" s="18" t="str">
        <f>底稿目录!A2</f>
        <v>被审计单位：</v>
      </c>
      <c r="D3" s="19"/>
      <c r="F3" s="18" t="str">
        <f>底稿目录!A4</f>
        <v>编制人：</v>
      </c>
      <c r="H3" s="59"/>
      <c r="I3" s="59"/>
      <c r="J3" s="11"/>
      <c r="K3" s="11"/>
      <c r="N3" s="11"/>
      <c r="O3" s="83" t="str">
        <f>底稿目录!A5</f>
        <v>编制日期：</v>
      </c>
      <c r="P3" s="83"/>
      <c r="Q3" s="18"/>
      <c r="R3" s="29"/>
      <c r="S3" s="29"/>
      <c r="T3" s="29"/>
      <c r="U3" s="29"/>
      <c r="V3" s="29"/>
      <c r="W3" s="52" t="s">
        <v>75</v>
      </c>
      <c r="X3" s="220" t="str">
        <f>底稿目录!F9</f>
        <v>M2-2</v>
      </c>
    </row>
    <row r="4" spans="1:24" s="12" customFormat="1" ht="19.95" customHeight="1">
      <c r="A4" s="18" t="str">
        <f>底稿目录!A3</f>
        <v>截止日：202X年12月31日</v>
      </c>
      <c r="D4" s="19"/>
      <c r="F4" s="18" t="str">
        <f>底稿目录!A6</f>
        <v>复核人：</v>
      </c>
      <c r="H4" s="59"/>
      <c r="I4" s="59"/>
      <c r="J4" s="11"/>
      <c r="K4" s="11"/>
      <c r="N4" s="11"/>
      <c r="O4" s="83" t="str">
        <f>底稿目录!A7</f>
        <v>复核日期：</v>
      </c>
      <c r="P4" s="83"/>
      <c r="Q4" s="18"/>
      <c r="R4" s="29"/>
      <c r="S4" s="29"/>
      <c r="T4" s="29"/>
      <c r="U4" s="29"/>
      <c r="V4" s="29"/>
      <c r="W4" s="52" t="s">
        <v>71</v>
      </c>
      <c r="X4" s="29"/>
    </row>
    <row r="5" spans="1:24" s="52" customFormat="1" ht="19.95" customHeight="1">
      <c r="A5" s="50" t="s">
        <v>44</v>
      </c>
      <c r="E5" s="53"/>
      <c r="F5" s="53"/>
      <c r="K5" s="54"/>
      <c r="O5" s="54"/>
      <c r="S5" s="55"/>
    </row>
    <row r="6" spans="1:24" s="52" customFormat="1" ht="19.95" customHeight="1">
      <c r="A6" s="192" t="s">
        <v>209</v>
      </c>
      <c r="B6" s="183"/>
      <c r="E6" s="53"/>
      <c r="F6" s="53"/>
      <c r="K6" s="54"/>
      <c r="O6" s="54"/>
      <c r="S6" s="55"/>
    </row>
    <row r="7" spans="1:24" s="52" customFormat="1" ht="19.95" customHeight="1">
      <c r="A7" s="192" t="s">
        <v>210</v>
      </c>
      <c r="B7" s="183"/>
      <c r="E7" s="53"/>
      <c r="F7" s="53"/>
      <c r="K7" s="54"/>
      <c r="O7" s="54"/>
      <c r="S7" s="55"/>
    </row>
    <row r="8" spans="1:24" s="52" customFormat="1" ht="19.95" customHeight="1">
      <c r="A8" s="192" t="s">
        <v>211</v>
      </c>
      <c r="B8" s="183"/>
      <c r="E8" s="53"/>
      <c r="F8" s="53"/>
      <c r="K8" s="54"/>
      <c r="O8" s="54"/>
      <c r="S8" s="55"/>
    </row>
    <row r="9" spans="1:24" s="52" customFormat="1" ht="19.95" customHeight="1">
      <c r="A9" s="57" t="s">
        <v>45</v>
      </c>
      <c r="E9" s="58"/>
      <c r="F9" s="58"/>
      <c r="K9" s="54"/>
      <c r="O9" s="54"/>
      <c r="S9" s="55"/>
    </row>
    <row r="10" spans="1:24" s="12" customFormat="1" ht="19.95" customHeight="1">
      <c r="A10" s="293" t="s">
        <v>148</v>
      </c>
      <c r="B10" s="281" t="s">
        <v>149</v>
      </c>
      <c r="C10" s="282"/>
      <c r="D10" s="282"/>
      <c r="E10" s="282"/>
      <c r="F10" s="282"/>
      <c r="G10" s="282"/>
      <c r="H10" s="282"/>
      <c r="I10" s="283"/>
      <c r="J10" s="285" t="s">
        <v>150</v>
      </c>
      <c r="K10" s="296"/>
      <c r="L10" s="285" t="s">
        <v>151</v>
      </c>
      <c r="M10" s="296"/>
      <c r="N10" s="285" t="s">
        <v>152</v>
      </c>
      <c r="O10" s="296"/>
      <c r="P10" s="281" t="s">
        <v>153</v>
      </c>
      <c r="Q10" s="282"/>
      <c r="R10" s="282"/>
      <c r="S10" s="282"/>
      <c r="T10" s="283"/>
      <c r="U10" s="78"/>
      <c r="V10" s="293" t="s">
        <v>154</v>
      </c>
      <c r="W10" s="293" t="s">
        <v>155</v>
      </c>
      <c r="X10" s="293" t="s">
        <v>156</v>
      </c>
    </row>
    <row r="11" spans="1:24" s="12" customFormat="1" ht="19.95" customHeight="1">
      <c r="A11" s="294"/>
      <c r="B11" s="281" t="s">
        <v>157</v>
      </c>
      <c r="C11" s="282"/>
      <c r="D11" s="283"/>
      <c r="E11" s="281" t="s">
        <v>174</v>
      </c>
      <c r="F11" s="283"/>
      <c r="G11" s="297" t="s">
        <v>175</v>
      </c>
      <c r="H11" s="281" t="s">
        <v>159</v>
      </c>
      <c r="I11" s="283"/>
      <c r="J11" s="287" t="s">
        <v>160</v>
      </c>
      <c r="K11" s="287" t="s">
        <v>161</v>
      </c>
      <c r="L11" s="287" t="s">
        <v>60</v>
      </c>
      <c r="M11" s="287" t="s">
        <v>61</v>
      </c>
      <c r="N11" s="287" t="s">
        <v>60</v>
      </c>
      <c r="O11" s="287" t="s">
        <v>61</v>
      </c>
      <c r="P11" s="281" t="s">
        <v>157</v>
      </c>
      <c r="Q11" s="283"/>
      <c r="R11" s="297" t="s">
        <v>174</v>
      </c>
      <c r="S11" s="297" t="s">
        <v>175</v>
      </c>
      <c r="T11" s="281" t="s">
        <v>159</v>
      </c>
      <c r="U11" s="283"/>
      <c r="V11" s="294"/>
      <c r="W11" s="294"/>
      <c r="X11" s="294"/>
    </row>
    <row r="12" spans="1:24" s="12" customFormat="1" ht="19.95" customHeight="1">
      <c r="A12" s="295"/>
      <c r="B12" s="180" t="s">
        <v>162</v>
      </c>
      <c r="C12" s="76" t="s">
        <v>163</v>
      </c>
      <c r="D12" s="76" t="s">
        <v>62</v>
      </c>
      <c r="E12" s="76" t="s">
        <v>163</v>
      </c>
      <c r="F12" s="186" t="s">
        <v>162</v>
      </c>
      <c r="G12" s="298"/>
      <c r="H12" s="76" t="s">
        <v>163</v>
      </c>
      <c r="I12" s="77" t="s">
        <v>62</v>
      </c>
      <c r="J12" s="288"/>
      <c r="K12" s="288"/>
      <c r="L12" s="288"/>
      <c r="M12" s="288"/>
      <c r="N12" s="288"/>
      <c r="O12" s="288"/>
      <c r="P12" s="76" t="s">
        <v>163</v>
      </c>
      <c r="Q12" s="76" t="s">
        <v>62</v>
      </c>
      <c r="R12" s="298"/>
      <c r="S12" s="298"/>
      <c r="T12" s="76" t="s">
        <v>163</v>
      </c>
      <c r="U12" s="76" t="s">
        <v>62</v>
      </c>
      <c r="V12" s="295"/>
      <c r="W12" s="295"/>
      <c r="X12" s="295"/>
    </row>
    <row r="13" spans="1:24" s="12" customFormat="1" ht="19.95" customHeight="1">
      <c r="A13" s="14"/>
      <c r="B13" s="32"/>
      <c r="C13" s="70"/>
      <c r="D13" s="161">
        <f>IF(C13=0,0,C13/$C$23)</f>
        <v>0</v>
      </c>
      <c r="E13" s="70"/>
      <c r="F13" s="70"/>
      <c r="G13" s="70"/>
      <c r="H13" s="163">
        <f t="shared" ref="H13:H22" si="0">C13+E13-G13</f>
        <v>0</v>
      </c>
      <c r="I13" s="161">
        <f>IF(H13=0,0,H13/$H$23)</f>
        <v>0</v>
      </c>
      <c r="J13" s="70"/>
      <c r="K13" s="70"/>
      <c r="L13" s="70"/>
      <c r="M13" s="70"/>
      <c r="N13" s="70"/>
      <c r="O13" s="70"/>
      <c r="P13" s="163">
        <f t="shared" ref="P13:P23" si="1">C13+J13+K13</f>
        <v>0</v>
      </c>
      <c r="Q13" s="161">
        <f>IF(P13=0,0,P13/$P$23)</f>
        <v>0</v>
      </c>
      <c r="R13" s="163">
        <f t="shared" ref="R13:R23" si="2">E13+L13+N13</f>
        <v>0</v>
      </c>
      <c r="S13" s="163">
        <f t="shared" ref="S13:S23" si="3">G13+M13+O13</f>
        <v>0</v>
      </c>
      <c r="T13" s="163">
        <f>P13+R13-S13</f>
        <v>0</v>
      </c>
      <c r="U13" s="161">
        <f>IF(T13=0,0,T13/$T$23)</f>
        <v>0</v>
      </c>
      <c r="V13" s="30"/>
      <c r="W13" s="30"/>
      <c r="X13" s="14"/>
    </row>
    <row r="14" spans="1:24" s="12" customFormat="1" ht="19.95" customHeight="1">
      <c r="A14" s="14"/>
      <c r="B14" s="32"/>
      <c r="C14" s="70"/>
      <c r="D14" s="161">
        <f t="shared" ref="D14:D22" si="4">IF(C14=0,0,C14/$C$23)</f>
        <v>0</v>
      </c>
      <c r="E14" s="70"/>
      <c r="F14" s="70"/>
      <c r="G14" s="70"/>
      <c r="H14" s="163">
        <f t="shared" si="0"/>
        <v>0</v>
      </c>
      <c r="I14" s="161">
        <f t="shared" ref="I14:I22" si="5">IF(H14=0,0,H14/$H$23)</f>
        <v>0</v>
      </c>
      <c r="J14" s="70"/>
      <c r="K14" s="70"/>
      <c r="L14" s="70"/>
      <c r="M14" s="70"/>
      <c r="N14" s="70"/>
      <c r="O14" s="70"/>
      <c r="P14" s="163">
        <f t="shared" si="1"/>
        <v>0</v>
      </c>
      <c r="Q14" s="161">
        <f t="shared" ref="Q14:Q22" si="6">IF(P14=0,0,P14/$P$23)</f>
        <v>0</v>
      </c>
      <c r="R14" s="163">
        <f t="shared" si="2"/>
        <v>0</v>
      </c>
      <c r="S14" s="163">
        <f t="shared" si="3"/>
        <v>0</v>
      </c>
      <c r="T14" s="163">
        <f t="shared" ref="T14:T22" si="7">P14+R14-S14</f>
        <v>0</v>
      </c>
      <c r="U14" s="161">
        <f t="shared" ref="U14:U22" si="8">IF(T14=0,0,T14/$T$23)</f>
        <v>0</v>
      </c>
      <c r="V14" s="30"/>
      <c r="W14" s="30"/>
      <c r="X14" s="14"/>
    </row>
    <row r="15" spans="1:24" s="12" customFormat="1" ht="19.95" customHeight="1">
      <c r="A15" s="14"/>
      <c r="B15" s="32"/>
      <c r="C15" s="70"/>
      <c r="D15" s="161">
        <f t="shared" si="4"/>
        <v>0</v>
      </c>
      <c r="E15" s="70"/>
      <c r="F15" s="70"/>
      <c r="G15" s="70"/>
      <c r="H15" s="163">
        <f t="shared" si="0"/>
        <v>0</v>
      </c>
      <c r="I15" s="161">
        <f t="shared" si="5"/>
        <v>0</v>
      </c>
      <c r="J15" s="70"/>
      <c r="K15" s="70"/>
      <c r="L15" s="70"/>
      <c r="M15" s="70"/>
      <c r="N15" s="70"/>
      <c r="O15" s="70"/>
      <c r="P15" s="163">
        <f t="shared" si="1"/>
        <v>0</v>
      </c>
      <c r="Q15" s="161">
        <f t="shared" si="6"/>
        <v>0</v>
      </c>
      <c r="R15" s="163">
        <f t="shared" si="2"/>
        <v>0</v>
      </c>
      <c r="S15" s="163">
        <f t="shared" si="3"/>
        <v>0</v>
      </c>
      <c r="T15" s="163">
        <f t="shared" si="7"/>
        <v>0</v>
      </c>
      <c r="U15" s="161">
        <f t="shared" si="8"/>
        <v>0</v>
      </c>
      <c r="V15" s="30"/>
      <c r="W15" s="30"/>
      <c r="X15" s="14"/>
    </row>
    <row r="16" spans="1:24" s="12" customFormat="1" ht="19.95" customHeight="1">
      <c r="A16" s="14"/>
      <c r="B16" s="32"/>
      <c r="C16" s="70"/>
      <c r="D16" s="161">
        <f t="shared" si="4"/>
        <v>0</v>
      </c>
      <c r="E16" s="70"/>
      <c r="F16" s="70"/>
      <c r="G16" s="70"/>
      <c r="H16" s="163">
        <f t="shared" si="0"/>
        <v>0</v>
      </c>
      <c r="I16" s="161">
        <f t="shared" si="5"/>
        <v>0</v>
      </c>
      <c r="J16" s="70"/>
      <c r="K16" s="70"/>
      <c r="L16" s="70"/>
      <c r="M16" s="70"/>
      <c r="N16" s="70"/>
      <c r="O16" s="70"/>
      <c r="P16" s="163">
        <f t="shared" si="1"/>
        <v>0</v>
      </c>
      <c r="Q16" s="161">
        <f t="shared" si="6"/>
        <v>0</v>
      </c>
      <c r="R16" s="163">
        <f t="shared" si="2"/>
        <v>0</v>
      </c>
      <c r="S16" s="163">
        <f t="shared" si="3"/>
        <v>0</v>
      </c>
      <c r="T16" s="163">
        <f t="shared" si="7"/>
        <v>0</v>
      </c>
      <c r="U16" s="161">
        <f t="shared" si="8"/>
        <v>0</v>
      </c>
      <c r="V16" s="30"/>
      <c r="W16" s="30"/>
      <c r="X16" s="14"/>
    </row>
    <row r="17" spans="1:24" s="12" customFormat="1" ht="19.95" customHeight="1">
      <c r="A17" s="14"/>
      <c r="B17" s="32"/>
      <c r="C17" s="70"/>
      <c r="D17" s="161">
        <f t="shared" si="4"/>
        <v>0</v>
      </c>
      <c r="E17" s="70"/>
      <c r="F17" s="70"/>
      <c r="G17" s="70"/>
      <c r="H17" s="163">
        <f t="shared" si="0"/>
        <v>0</v>
      </c>
      <c r="I17" s="161">
        <f t="shared" si="5"/>
        <v>0</v>
      </c>
      <c r="J17" s="70"/>
      <c r="K17" s="70"/>
      <c r="L17" s="70"/>
      <c r="M17" s="70"/>
      <c r="N17" s="70"/>
      <c r="O17" s="70"/>
      <c r="P17" s="163">
        <f t="shared" si="1"/>
        <v>0</v>
      </c>
      <c r="Q17" s="161">
        <f t="shared" si="6"/>
        <v>0</v>
      </c>
      <c r="R17" s="163">
        <f t="shared" si="2"/>
        <v>0</v>
      </c>
      <c r="S17" s="163">
        <f t="shared" si="3"/>
        <v>0</v>
      </c>
      <c r="T17" s="163">
        <f t="shared" si="7"/>
        <v>0</v>
      </c>
      <c r="U17" s="161">
        <f t="shared" si="8"/>
        <v>0</v>
      </c>
      <c r="V17" s="30"/>
      <c r="W17" s="30"/>
      <c r="X17" s="14"/>
    </row>
    <row r="18" spans="1:24" s="12" customFormat="1" ht="19.95" customHeight="1">
      <c r="A18" s="14"/>
      <c r="B18" s="32"/>
      <c r="C18" s="70"/>
      <c r="D18" s="161">
        <f t="shared" si="4"/>
        <v>0</v>
      </c>
      <c r="E18" s="70"/>
      <c r="F18" s="70"/>
      <c r="G18" s="70"/>
      <c r="H18" s="163">
        <f t="shared" si="0"/>
        <v>0</v>
      </c>
      <c r="I18" s="161">
        <f t="shared" si="5"/>
        <v>0</v>
      </c>
      <c r="J18" s="70"/>
      <c r="K18" s="70"/>
      <c r="L18" s="70"/>
      <c r="M18" s="70"/>
      <c r="N18" s="70"/>
      <c r="O18" s="70"/>
      <c r="P18" s="163">
        <f t="shared" si="1"/>
        <v>0</v>
      </c>
      <c r="Q18" s="161">
        <f t="shared" si="6"/>
        <v>0</v>
      </c>
      <c r="R18" s="163">
        <f t="shared" si="2"/>
        <v>0</v>
      </c>
      <c r="S18" s="163">
        <f t="shared" si="3"/>
        <v>0</v>
      </c>
      <c r="T18" s="163">
        <f t="shared" si="7"/>
        <v>0</v>
      </c>
      <c r="U18" s="161">
        <f t="shared" si="8"/>
        <v>0</v>
      </c>
      <c r="V18" s="30"/>
      <c r="W18" s="30"/>
      <c r="X18" s="14"/>
    </row>
    <row r="19" spans="1:24" s="12" customFormat="1" ht="19.95" customHeight="1">
      <c r="A19" s="14"/>
      <c r="B19" s="32"/>
      <c r="C19" s="70"/>
      <c r="D19" s="161">
        <f t="shared" si="4"/>
        <v>0</v>
      </c>
      <c r="E19" s="70"/>
      <c r="F19" s="70"/>
      <c r="G19" s="70"/>
      <c r="H19" s="163">
        <f t="shared" si="0"/>
        <v>0</v>
      </c>
      <c r="I19" s="161">
        <f t="shared" si="5"/>
        <v>0</v>
      </c>
      <c r="J19" s="70"/>
      <c r="K19" s="70"/>
      <c r="L19" s="70"/>
      <c r="M19" s="70"/>
      <c r="N19" s="70"/>
      <c r="O19" s="70"/>
      <c r="P19" s="163">
        <f t="shared" si="1"/>
        <v>0</v>
      </c>
      <c r="Q19" s="161">
        <f t="shared" si="6"/>
        <v>0</v>
      </c>
      <c r="R19" s="163">
        <f t="shared" si="2"/>
        <v>0</v>
      </c>
      <c r="S19" s="163">
        <f t="shared" si="3"/>
        <v>0</v>
      </c>
      <c r="T19" s="163">
        <f t="shared" si="7"/>
        <v>0</v>
      </c>
      <c r="U19" s="161">
        <f t="shared" si="8"/>
        <v>0</v>
      </c>
      <c r="V19" s="30"/>
      <c r="W19" s="30"/>
      <c r="X19" s="14"/>
    </row>
    <row r="20" spans="1:24" s="12" customFormat="1" ht="19.95" customHeight="1">
      <c r="A20" s="14"/>
      <c r="B20" s="32"/>
      <c r="C20" s="70"/>
      <c r="D20" s="161">
        <f t="shared" si="4"/>
        <v>0</v>
      </c>
      <c r="E20" s="70"/>
      <c r="F20" s="70"/>
      <c r="G20" s="70"/>
      <c r="H20" s="163">
        <f t="shared" si="0"/>
        <v>0</v>
      </c>
      <c r="I20" s="161">
        <f t="shared" si="5"/>
        <v>0</v>
      </c>
      <c r="J20" s="70"/>
      <c r="K20" s="70"/>
      <c r="L20" s="70"/>
      <c r="M20" s="70"/>
      <c r="N20" s="70"/>
      <c r="O20" s="70"/>
      <c r="P20" s="163">
        <f t="shared" si="1"/>
        <v>0</v>
      </c>
      <c r="Q20" s="161">
        <f t="shared" si="6"/>
        <v>0</v>
      </c>
      <c r="R20" s="163">
        <f t="shared" si="2"/>
        <v>0</v>
      </c>
      <c r="S20" s="163">
        <f t="shared" si="3"/>
        <v>0</v>
      </c>
      <c r="T20" s="163">
        <f t="shared" si="7"/>
        <v>0</v>
      </c>
      <c r="U20" s="161">
        <f t="shared" si="8"/>
        <v>0</v>
      </c>
      <c r="V20" s="30"/>
      <c r="W20" s="30"/>
      <c r="X20" s="14"/>
    </row>
    <row r="21" spans="1:24" s="12" customFormat="1" ht="19.95" customHeight="1">
      <c r="A21" s="14"/>
      <c r="B21" s="32"/>
      <c r="C21" s="70"/>
      <c r="D21" s="161">
        <f t="shared" si="4"/>
        <v>0</v>
      </c>
      <c r="E21" s="70"/>
      <c r="F21" s="70"/>
      <c r="G21" s="70"/>
      <c r="H21" s="163">
        <f t="shared" si="0"/>
        <v>0</v>
      </c>
      <c r="I21" s="161">
        <f t="shared" si="5"/>
        <v>0</v>
      </c>
      <c r="J21" s="70"/>
      <c r="K21" s="70"/>
      <c r="L21" s="70"/>
      <c r="M21" s="70"/>
      <c r="N21" s="70"/>
      <c r="O21" s="70"/>
      <c r="P21" s="163">
        <f t="shared" si="1"/>
        <v>0</v>
      </c>
      <c r="Q21" s="161">
        <f t="shared" si="6"/>
        <v>0</v>
      </c>
      <c r="R21" s="163">
        <f t="shared" si="2"/>
        <v>0</v>
      </c>
      <c r="S21" s="163">
        <f t="shared" si="3"/>
        <v>0</v>
      </c>
      <c r="T21" s="163">
        <f t="shared" si="7"/>
        <v>0</v>
      </c>
      <c r="U21" s="161">
        <f t="shared" si="8"/>
        <v>0</v>
      </c>
      <c r="V21" s="30"/>
      <c r="W21" s="30"/>
      <c r="X21" s="14"/>
    </row>
    <row r="22" spans="1:24" s="12" customFormat="1" ht="19.95" customHeight="1">
      <c r="A22" s="14"/>
      <c r="B22" s="32"/>
      <c r="C22" s="70"/>
      <c r="D22" s="161">
        <f t="shared" si="4"/>
        <v>0</v>
      </c>
      <c r="E22" s="70"/>
      <c r="F22" s="70"/>
      <c r="G22" s="70"/>
      <c r="H22" s="163">
        <f t="shared" si="0"/>
        <v>0</v>
      </c>
      <c r="I22" s="161">
        <f t="shared" si="5"/>
        <v>0</v>
      </c>
      <c r="J22" s="70"/>
      <c r="K22" s="70"/>
      <c r="L22" s="70"/>
      <c r="M22" s="70"/>
      <c r="N22" s="70"/>
      <c r="O22" s="70"/>
      <c r="P22" s="163">
        <f t="shared" si="1"/>
        <v>0</v>
      </c>
      <c r="Q22" s="161">
        <f t="shared" si="6"/>
        <v>0</v>
      </c>
      <c r="R22" s="163">
        <f t="shared" si="2"/>
        <v>0</v>
      </c>
      <c r="S22" s="163">
        <f t="shared" si="3"/>
        <v>0</v>
      </c>
      <c r="T22" s="163">
        <f t="shared" si="7"/>
        <v>0</v>
      </c>
      <c r="U22" s="161">
        <f t="shared" si="8"/>
        <v>0</v>
      </c>
      <c r="V22" s="30"/>
      <c r="W22" s="30"/>
      <c r="X22" s="14"/>
    </row>
    <row r="23" spans="1:24" s="238" customFormat="1" ht="19.95" customHeight="1">
      <c r="A23" s="184" t="s">
        <v>169</v>
      </c>
      <c r="B23" s="207"/>
      <c r="C23" s="232">
        <f>SUM(C13:C22)</f>
        <v>0</v>
      </c>
      <c r="D23" s="233">
        <f>SUM(D13:D22)</f>
        <v>0</v>
      </c>
      <c r="E23" s="232">
        <f t="shared" ref="E23:O23" si="9">SUM(E13:E22)</f>
        <v>0</v>
      </c>
      <c r="F23" s="232"/>
      <c r="G23" s="232">
        <f t="shared" si="9"/>
        <v>0</v>
      </c>
      <c r="H23" s="232">
        <f t="shared" si="9"/>
        <v>0</v>
      </c>
      <c r="I23" s="233">
        <f t="shared" si="9"/>
        <v>0</v>
      </c>
      <c r="J23" s="232">
        <f t="shared" si="9"/>
        <v>0</v>
      </c>
      <c r="K23" s="232">
        <f t="shared" si="9"/>
        <v>0</v>
      </c>
      <c r="L23" s="232">
        <f t="shared" si="9"/>
        <v>0</v>
      </c>
      <c r="M23" s="232">
        <f t="shared" si="9"/>
        <v>0</v>
      </c>
      <c r="N23" s="232">
        <f t="shared" si="9"/>
        <v>0</v>
      </c>
      <c r="O23" s="232">
        <f t="shared" si="9"/>
        <v>0</v>
      </c>
      <c r="P23" s="234">
        <f t="shared" si="1"/>
        <v>0</v>
      </c>
      <c r="Q23" s="235">
        <f>SUM(Q13:Q22)</f>
        <v>0</v>
      </c>
      <c r="R23" s="234">
        <f t="shared" si="2"/>
        <v>0</v>
      </c>
      <c r="S23" s="234">
        <f t="shared" si="3"/>
        <v>0</v>
      </c>
      <c r="T23" s="234">
        <f>P23+R23-S23</f>
        <v>0</v>
      </c>
      <c r="U23" s="235">
        <f>SUM(U13:U22)</f>
        <v>0</v>
      </c>
      <c r="V23" s="236"/>
      <c r="W23" s="237"/>
      <c r="X23" s="184"/>
    </row>
    <row r="24" spans="1:24" s="12" customFormat="1" ht="19.95" customHeight="1">
      <c r="A24" s="185" t="s">
        <v>170</v>
      </c>
      <c r="B24" s="16"/>
      <c r="C24" s="16"/>
      <c r="D24" s="16"/>
      <c r="E24" s="16"/>
      <c r="F24" s="16"/>
      <c r="G24" s="16"/>
      <c r="H24" s="16"/>
      <c r="I24" s="16"/>
      <c r="J24" s="16"/>
      <c r="K24" s="16"/>
      <c r="L24" s="16"/>
      <c r="M24" s="16"/>
      <c r="N24" s="16"/>
      <c r="O24" s="16"/>
      <c r="P24" s="16"/>
      <c r="Q24" s="16"/>
      <c r="R24" s="16"/>
      <c r="S24" s="16"/>
      <c r="T24" s="16"/>
      <c r="U24" s="16"/>
      <c r="V24" s="16"/>
      <c r="W24" s="16"/>
      <c r="X24" s="16"/>
    </row>
    <row r="25" spans="1:24" ht="19.95" customHeight="1">
      <c r="A25" s="11" t="s">
        <v>171</v>
      </c>
      <c r="B25" s="11"/>
      <c r="C25" s="29"/>
      <c r="D25" s="29"/>
      <c r="E25" s="29"/>
      <c r="F25" s="29"/>
      <c r="G25" s="29"/>
      <c r="H25" s="11"/>
      <c r="I25" s="11"/>
      <c r="J25" s="11"/>
      <c r="K25" s="11"/>
      <c r="L25" s="11"/>
      <c r="M25" s="29"/>
      <c r="N25" s="11"/>
      <c r="O25" s="11"/>
      <c r="P25" s="11"/>
      <c r="Q25" s="11"/>
      <c r="R25" s="29"/>
      <c r="S25" s="29"/>
      <c r="T25" s="29"/>
      <c r="U25" s="29"/>
      <c r="V25" s="29"/>
      <c r="W25" s="29"/>
      <c r="X25" s="29"/>
    </row>
    <row r="26" spans="1:24" ht="19.95" customHeight="1">
      <c r="A26" s="29"/>
      <c r="B26" s="29"/>
      <c r="C26" s="29"/>
      <c r="D26" s="29"/>
      <c r="E26" s="29"/>
      <c r="F26" s="29"/>
      <c r="G26" s="29"/>
      <c r="H26" s="29"/>
      <c r="I26" s="29"/>
      <c r="J26" s="29"/>
      <c r="K26" s="29"/>
      <c r="L26" s="29"/>
      <c r="M26" s="29"/>
      <c r="N26" s="29"/>
      <c r="O26" s="29"/>
      <c r="P26" s="29"/>
      <c r="Q26" s="29"/>
      <c r="R26" s="29"/>
      <c r="S26" s="29"/>
      <c r="T26" s="29"/>
      <c r="U26" s="29"/>
      <c r="V26" s="29"/>
      <c r="W26" s="29"/>
      <c r="X26" s="29"/>
    </row>
    <row r="27" spans="1:24" ht="19.95" customHeight="1">
      <c r="A27" s="11" t="s">
        <v>172</v>
      </c>
      <c r="B27" s="29"/>
      <c r="C27" s="29"/>
      <c r="D27" s="29"/>
      <c r="E27" s="29"/>
      <c r="F27" s="29"/>
      <c r="G27" s="29"/>
      <c r="H27" s="29"/>
      <c r="I27" s="29"/>
      <c r="J27" s="29"/>
      <c r="K27" s="29"/>
      <c r="L27" s="29"/>
      <c r="M27" s="29"/>
      <c r="N27" s="29"/>
      <c r="O27" s="29"/>
      <c r="P27" s="29"/>
      <c r="Q27" s="29"/>
      <c r="R27" s="29"/>
      <c r="S27" s="29"/>
      <c r="T27" s="29"/>
      <c r="U27" s="29"/>
      <c r="V27" s="29"/>
      <c r="W27" s="29"/>
      <c r="X27" s="29"/>
    </row>
    <row r="28" spans="1:24" ht="19.95" customHeight="1">
      <c r="A28" s="11"/>
      <c r="B28" s="71"/>
      <c r="C28" s="29"/>
      <c r="D28" s="29"/>
      <c r="E28" s="29"/>
      <c r="F28" s="29"/>
      <c r="G28" s="29"/>
      <c r="H28" s="29"/>
      <c r="I28" s="29"/>
      <c r="J28" s="29"/>
      <c r="K28" s="29"/>
      <c r="L28" s="29"/>
      <c r="M28" s="29"/>
      <c r="N28" s="29"/>
      <c r="O28" s="29"/>
      <c r="P28" s="29"/>
      <c r="Q28" s="29"/>
      <c r="R28" s="29"/>
      <c r="S28" s="29"/>
      <c r="T28" s="29"/>
      <c r="U28" s="29"/>
      <c r="V28" s="29"/>
      <c r="W28" s="29"/>
      <c r="X28" s="29"/>
    </row>
    <row r="29" spans="1:24" ht="19.95" customHeight="1">
      <c r="A29" s="45" t="s">
        <v>173</v>
      </c>
      <c r="B29" s="29"/>
      <c r="C29" s="29"/>
      <c r="D29" s="29"/>
      <c r="E29" s="29"/>
      <c r="F29" s="29"/>
      <c r="G29" s="29"/>
      <c r="H29" s="29"/>
      <c r="I29" s="29"/>
      <c r="J29" s="29"/>
      <c r="K29" s="29"/>
      <c r="L29" s="29"/>
      <c r="M29" s="29"/>
      <c r="N29" s="29"/>
      <c r="O29" s="29"/>
      <c r="P29" s="29"/>
      <c r="Q29" s="29"/>
      <c r="R29" s="29"/>
      <c r="S29" s="29"/>
      <c r="T29" s="29"/>
      <c r="U29" s="29"/>
      <c r="V29" s="29"/>
      <c r="W29" s="29"/>
      <c r="X29" s="29"/>
    </row>
    <row r="30" spans="1:24" ht="19.95" customHeight="1">
      <c r="A30" s="29"/>
      <c r="B30" s="29"/>
      <c r="C30" s="29"/>
      <c r="D30" s="29"/>
      <c r="E30" s="29"/>
      <c r="F30" s="29"/>
      <c r="G30" s="29"/>
      <c r="H30" s="29"/>
      <c r="I30" s="29"/>
      <c r="J30" s="29"/>
      <c r="K30" s="29"/>
      <c r="L30" s="29"/>
      <c r="M30" s="29"/>
      <c r="N30" s="29"/>
      <c r="O30" s="29"/>
      <c r="P30" s="29"/>
      <c r="Q30" s="29"/>
      <c r="R30" s="29"/>
      <c r="S30" s="29"/>
      <c r="T30" s="29"/>
      <c r="U30" s="29"/>
      <c r="V30" s="29"/>
      <c r="W30" s="29"/>
      <c r="X30" s="29"/>
    </row>
    <row r="31" spans="1:24" ht="18" customHeight="1">
      <c r="A31" s="193" t="s">
        <v>200</v>
      </c>
    </row>
    <row r="32" spans="1:24" ht="18" customHeight="1">
      <c r="A32" s="47" t="s">
        <v>194</v>
      </c>
    </row>
    <row r="33" spans="1:1" ht="18" customHeight="1">
      <c r="A33" s="47" t="s">
        <v>193</v>
      </c>
    </row>
    <row r="34" spans="1:1">
      <c r="A34" s="47" t="s">
        <v>201</v>
      </c>
    </row>
    <row r="35" spans="1:1">
      <c r="A35" s="47" t="s">
        <v>202</v>
      </c>
    </row>
    <row r="36" spans="1:1">
      <c r="A36" s="181" t="s">
        <v>203</v>
      </c>
    </row>
    <row r="37" spans="1:1">
      <c r="A37" s="182" t="s">
        <v>204</v>
      </c>
    </row>
  </sheetData>
  <mergeCells count="25">
    <mergeCell ref="M11:M12"/>
    <mergeCell ref="O11:O12"/>
    <mergeCell ref="R11:R12"/>
    <mergeCell ref="S11:S12"/>
    <mergeCell ref="E11:F11"/>
    <mergeCell ref="G11:G12"/>
    <mergeCell ref="J11:J12"/>
    <mergeCell ref="K11:K12"/>
    <mergeCell ref="L11:L12"/>
    <mergeCell ref="A1:X1"/>
    <mergeCell ref="A2:X2"/>
    <mergeCell ref="A10:A12"/>
    <mergeCell ref="J10:K10"/>
    <mergeCell ref="L10:M10"/>
    <mergeCell ref="N10:O10"/>
    <mergeCell ref="P10:T10"/>
    <mergeCell ref="V10:V12"/>
    <mergeCell ref="H11:I11"/>
    <mergeCell ref="P11:Q11"/>
    <mergeCell ref="T11:U11"/>
    <mergeCell ref="N11:N12"/>
    <mergeCell ref="W10:W12"/>
    <mergeCell ref="X10:X12"/>
    <mergeCell ref="B11:D11"/>
    <mergeCell ref="B10:I10"/>
  </mergeCells>
  <phoneticPr fontId="18" type="noConversion"/>
  <dataValidations count="1">
    <dataValidation type="list" allowBlank="1" showInputMessage="1" showErrorMessage="1" sqref="V13:V23">
      <formula1>"√,X"</formula1>
    </dataValidation>
  </dataValidations>
  <hyperlinks>
    <hyperlink ref="X3" location="底稿目录!A1" display="底稿目录!A1"/>
  </hyperlinks>
  <pageMargins left="0.70866141732283472" right="0.70866141732283472" top="0.74803149606299213" bottom="0.74803149606299213" header="0.31496062992125984" footer="0.31496062992125984"/>
  <pageSetup paperSize="9" scale="55" orientation="landscape" blackAndWhite="1" r:id="rId1"/>
  <headerFooter>
    <oddFooter>&amp;C&amp;P/&amp;N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3"/>
  <sheetViews>
    <sheetView view="pageBreakPreview" zoomScaleNormal="100" zoomScaleSheetLayoutView="100" workbookViewId="0">
      <selection sqref="A1:J1"/>
    </sheetView>
  </sheetViews>
  <sheetFormatPr defaultRowHeight="15.6"/>
  <cols>
    <col min="1" max="1" width="16.796875" customWidth="1"/>
    <col min="2" max="2" width="14.69921875" customWidth="1"/>
    <col min="3" max="3" width="12.19921875" customWidth="1"/>
    <col min="7" max="8" width="12.09765625" customWidth="1"/>
    <col min="10" max="10" width="11.59765625" customWidth="1"/>
  </cols>
  <sheetData>
    <row r="1" spans="1:10" ht="19.95" customHeight="1">
      <c r="A1" s="259" t="s">
        <v>38</v>
      </c>
      <c r="B1" s="259"/>
      <c r="C1" s="259"/>
      <c r="D1" s="259"/>
      <c r="E1" s="259"/>
      <c r="F1" s="259"/>
      <c r="G1" s="259"/>
      <c r="H1" s="259"/>
      <c r="I1" s="259"/>
      <c r="J1" s="259"/>
    </row>
    <row r="2" spans="1:10" ht="19.95" customHeight="1">
      <c r="A2" s="317" t="s">
        <v>99</v>
      </c>
      <c r="B2" s="317"/>
      <c r="C2" s="317"/>
      <c r="D2" s="317"/>
      <c r="E2" s="317"/>
      <c r="F2" s="317"/>
      <c r="G2" s="317"/>
      <c r="H2" s="317"/>
      <c r="I2" s="317"/>
      <c r="J2" s="317"/>
    </row>
    <row r="3" spans="1:10" ht="19.95" customHeight="1">
      <c r="A3" s="18" t="str">
        <f>底稿目录!A2</f>
        <v>被审计单位：</v>
      </c>
      <c r="B3" s="18"/>
      <c r="C3" s="18"/>
      <c r="D3" s="18" t="str">
        <f>底稿目录!A4</f>
        <v>编制人：</v>
      </c>
      <c r="E3" s="18"/>
      <c r="F3" s="19"/>
      <c r="G3" s="18" t="str">
        <f>底稿目录!A5</f>
        <v>编制日期：</v>
      </c>
      <c r="H3" s="18"/>
      <c r="I3" s="217" t="s">
        <v>147</v>
      </c>
      <c r="J3" s="220" t="str">
        <f>底稿目录!F10</f>
        <v>M2-3</v>
      </c>
    </row>
    <row r="4" spans="1:10" ht="19.95" customHeight="1">
      <c r="A4" s="18" t="str">
        <f>底稿目录!A3</f>
        <v>截止日：202X年12月31日</v>
      </c>
      <c r="B4" s="18"/>
      <c r="C4" s="18"/>
      <c r="D4" s="18" t="str">
        <f>底稿目录!A6</f>
        <v>复核人：</v>
      </c>
      <c r="E4" s="18"/>
      <c r="F4" s="19"/>
      <c r="G4" s="18" t="str">
        <f>底稿目录!A7</f>
        <v>复核日期：</v>
      </c>
      <c r="H4" s="18"/>
      <c r="I4" s="218" t="s">
        <v>228</v>
      </c>
      <c r="J4" s="48"/>
    </row>
    <row r="5" spans="1:10" ht="27.6" customHeight="1">
      <c r="A5" s="122" t="s">
        <v>90</v>
      </c>
      <c r="B5" s="225" t="s">
        <v>91</v>
      </c>
      <c r="C5" s="226" t="s">
        <v>120</v>
      </c>
      <c r="D5" s="226" t="s">
        <v>92</v>
      </c>
      <c r="E5" s="123" t="s">
        <v>93</v>
      </c>
      <c r="F5" s="124" t="s">
        <v>94</v>
      </c>
      <c r="G5" s="123" t="s">
        <v>95</v>
      </c>
      <c r="H5" s="123" t="s">
        <v>96</v>
      </c>
      <c r="I5" s="123" t="s">
        <v>97</v>
      </c>
      <c r="J5" s="123" t="s">
        <v>2</v>
      </c>
    </row>
    <row r="6" spans="1:10" ht="19.95" customHeight="1">
      <c r="A6" s="125"/>
      <c r="B6" s="125"/>
      <c r="C6" s="125"/>
      <c r="D6" s="125"/>
      <c r="E6" s="125"/>
      <c r="F6" s="125"/>
      <c r="G6" s="125"/>
      <c r="H6" s="125"/>
      <c r="I6" s="125"/>
      <c r="J6" s="125"/>
    </row>
    <row r="7" spans="1:10" ht="19.95" customHeight="1">
      <c r="A7" s="126"/>
      <c r="B7" s="125"/>
      <c r="C7" s="125"/>
      <c r="D7" s="125"/>
      <c r="E7" s="125"/>
      <c r="F7" s="125"/>
      <c r="G7" s="125"/>
      <c r="H7" s="125"/>
      <c r="I7" s="125"/>
      <c r="J7" s="125"/>
    </row>
    <row r="8" spans="1:10" ht="19.95" customHeight="1">
      <c r="A8" s="127"/>
      <c r="B8" s="125"/>
      <c r="C8" s="125"/>
      <c r="D8" s="125"/>
      <c r="E8" s="125"/>
      <c r="F8" s="125"/>
      <c r="G8" s="125"/>
      <c r="H8" s="125"/>
      <c r="I8" s="125"/>
      <c r="J8" s="125"/>
    </row>
    <row r="9" spans="1:10" ht="19.95" customHeight="1">
      <c r="A9" s="127"/>
      <c r="B9" s="125"/>
      <c r="C9" s="125"/>
      <c r="D9" s="125"/>
      <c r="E9" s="125"/>
      <c r="F9" s="125"/>
      <c r="G9" s="125"/>
      <c r="H9" s="125"/>
      <c r="I9" s="125"/>
      <c r="J9" s="125"/>
    </row>
    <row r="10" spans="1:10" ht="19.95" customHeight="1">
      <c r="A10" s="127"/>
      <c r="B10" s="125"/>
      <c r="C10" s="125"/>
      <c r="D10" s="125"/>
      <c r="E10" s="125"/>
      <c r="F10" s="125"/>
      <c r="G10" s="125"/>
      <c r="H10" s="125"/>
      <c r="I10" s="125"/>
      <c r="J10" s="125"/>
    </row>
    <row r="11" spans="1:10" ht="19.95" customHeight="1">
      <c r="A11" s="128"/>
      <c r="B11" s="125"/>
      <c r="C11" s="125"/>
      <c r="D11" s="125"/>
      <c r="E11" s="125"/>
      <c r="F11" s="125"/>
      <c r="G11" s="125"/>
      <c r="H11" s="125"/>
      <c r="I11" s="125"/>
      <c r="J11" s="125"/>
    </row>
    <row r="12" spans="1:10" ht="19.95" customHeight="1">
      <c r="A12" s="127"/>
      <c r="B12" s="125"/>
      <c r="C12" s="125"/>
      <c r="D12" s="125"/>
      <c r="E12" s="125"/>
      <c r="F12" s="125"/>
      <c r="G12" s="125"/>
      <c r="H12" s="125"/>
      <c r="I12" s="125"/>
      <c r="J12" s="125"/>
    </row>
    <row r="13" spans="1:10" ht="19.95" customHeight="1">
      <c r="A13" s="127"/>
      <c r="B13" s="125"/>
      <c r="C13" s="125"/>
      <c r="D13" s="125"/>
      <c r="E13" s="125"/>
      <c r="F13" s="125"/>
      <c r="G13" s="125"/>
      <c r="H13" s="125"/>
      <c r="I13" s="125"/>
      <c r="J13" s="125"/>
    </row>
    <row r="14" spans="1:10" ht="19.95" customHeight="1">
      <c r="A14" s="127"/>
      <c r="B14" s="125"/>
      <c r="C14" s="125"/>
      <c r="D14" s="125"/>
      <c r="E14" s="125"/>
      <c r="F14" s="125"/>
      <c r="G14" s="125"/>
      <c r="H14" s="125"/>
      <c r="I14" s="125"/>
      <c r="J14" s="125"/>
    </row>
    <row r="15" spans="1:10" ht="19.95" customHeight="1">
      <c r="A15" s="127"/>
      <c r="B15" s="125"/>
      <c r="C15" s="125"/>
      <c r="D15" s="125"/>
      <c r="E15" s="125"/>
      <c r="F15" s="125"/>
      <c r="G15" s="125"/>
      <c r="H15" s="125"/>
      <c r="I15" s="125"/>
      <c r="J15" s="125"/>
    </row>
    <row r="16" spans="1:10" ht="19.95" customHeight="1">
      <c r="A16" s="127"/>
      <c r="B16" s="125"/>
      <c r="C16" s="125"/>
      <c r="D16" s="125"/>
      <c r="E16" s="125"/>
      <c r="F16" s="125"/>
      <c r="G16" s="125"/>
      <c r="H16" s="125"/>
      <c r="I16" s="125"/>
      <c r="J16" s="125"/>
    </row>
    <row r="17" spans="1:10" ht="19.95" customHeight="1">
      <c r="A17" s="127"/>
      <c r="B17" s="125"/>
      <c r="C17" s="125"/>
      <c r="D17" s="125"/>
      <c r="E17" s="125"/>
      <c r="F17" s="125"/>
      <c r="G17" s="125"/>
      <c r="H17" s="125"/>
      <c r="I17" s="125"/>
      <c r="J17" s="125"/>
    </row>
    <row r="18" spans="1:10" ht="19.95" customHeight="1">
      <c r="A18" s="127"/>
      <c r="B18" s="125"/>
      <c r="C18" s="125"/>
      <c r="D18" s="125"/>
      <c r="E18" s="125"/>
      <c r="F18" s="125"/>
      <c r="G18" s="125"/>
      <c r="H18" s="125"/>
      <c r="I18" s="125"/>
      <c r="J18" s="125"/>
    </row>
    <row r="19" spans="1:10" ht="19.95" customHeight="1">
      <c r="A19" s="127"/>
      <c r="B19" s="125"/>
      <c r="C19" s="125"/>
      <c r="D19" s="125"/>
      <c r="E19" s="125"/>
      <c r="F19" s="125"/>
      <c r="G19" s="125"/>
      <c r="H19" s="125"/>
      <c r="I19" s="125"/>
      <c r="J19" s="125"/>
    </row>
    <row r="20" spans="1:10" ht="19.95" customHeight="1">
      <c r="A20" s="127"/>
      <c r="B20" s="125"/>
      <c r="C20" s="125"/>
      <c r="D20" s="125"/>
      <c r="E20" s="125"/>
      <c r="F20" s="125"/>
      <c r="G20" s="125"/>
      <c r="H20" s="125"/>
      <c r="I20" s="125"/>
      <c r="J20" s="125"/>
    </row>
    <row r="21" spans="1:10">
      <c r="A21" s="299" t="s">
        <v>98</v>
      </c>
      <c r="B21" s="299"/>
      <c r="C21" s="299"/>
      <c r="D21" s="299"/>
      <c r="E21" s="299"/>
      <c r="F21" s="299"/>
      <c r="G21" s="299"/>
      <c r="H21" s="299"/>
      <c r="I21" s="299"/>
      <c r="J21" s="299"/>
    </row>
    <row r="22" spans="1:10">
      <c r="A22" s="129"/>
      <c r="B22" s="129"/>
      <c r="C22" s="129"/>
      <c r="D22" s="129"/>
      <c r="E22" s="129"/>
      <c r="F22" s="129"/>
      <c r="G22" s="129"/>
      <c r="H22" s="129"/>
      <c r="I22" s="129"/>
      <c r="J22" s="129"/>
    </row>
    <row r="23" spans="1:10">
      <c r="A23" s="129"/>
      <c r="B23" s="129"/>
      <c r="C23" s="129"/>
      <c r="D23" s="129"/>
      <c r="E23" s="129"/>
      <c r="F23" s="129"/>
      <c r="G23" s="129"/>
      <c r="H23" s="129"/>
      <c r="I23" s="129"/>
      <c r="J23" s="129"/>
    </row>
  </sheetData>
  <mergeCells count="3">
    <mergeCell ref="A1:J1"/>
    <mergeCell ref="A2:J2"/>
    <mergeCell ref="A21:J21"/>
  </mergeCells>
  <phoneticPr fontId="18" type="noConversion"/>
  <dataValidations count="1">
    <dataValidation type="list" allowBlank="1" showInputMessage="1" showErrorMessage="1" sqref="B6:C20">
      <formula1>"账项调整,报表调整,其他"</formula1>
    </dataValidation>
  </dataValidations>
  <hyperlinks>
    <hyperlink ref="J3" location="底稿目录!A1" display="底稿目录!A1"/>
  </hyperlinks>
  <printOptions horizontalCentered="1"/>
  <pageMargins left="0.70866141732283472" right="0.70866141732283472" top="0.74803149606299213" bottom="0.74803149606299213" header="0.31496062992125984" footer="0.31496062992125984"/>
  <pageSetup paperSize="9" orientation="landscape" blackAndWhite="1" r:id="rId1"/>
  <headerFooter>
    <oddFooter>&amp;C&amp;P/&amp;N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1"/>
  <sheetViews>
    <sheetView view="pageBreakPreview" zoomScaleSheetLayoutView="100" workbookViewId="0">
      <selection sqref="A1:G1"/>
    </sheetView>
  </sheetViews>
  <sheetFormatPr defaultColWidth="9" defaultRowHeight="15.6"/>
  <cols>
    <col min="1" max="1" width="16.796875" style="15" customWidth="1"/>
    <col min="2" max="7" width="15.5" style="15" customWidth="1"/>
    <col min="8" max="16384" width="9" style="15"/>
  </cols>
  <sheetData>
    <row r="1" spans="1:7" s="10" customFormat="1" ht="19.95" customHeight="1">
      <c r="A1" s="318" t="s">
        <v>38</v>
      </c>
      <c r="B1" s="318"/>
      <c r="C1" s="318"/>
      <c r="D1" s="318"/>
      <c r="E1" s="318"/>
      <c r="F1" s="318"/>
      <c r="G1" s="318"/>
    </row>
    <row r="2" spans="1:7" s="10" customFormat="1" ht="19.95" customHeight="1">
      <c r="A2" s="319" t="s">
        <v>257</v>
      </c>
      <c r="B2" s="319"/>
      <c r="C2" s="319"/>
      <c r="D2" s="319"/>
      <c r="E2" s="319"/>
      <c r="F2" s="319"/>
      <c r="G2" s="319"/>
    </row>
    <row r="3" spans="1:7" s="12" customFormat="1" ht="19.95" customHeight="1">
      <c r="A3" s="19" t="str">
        <f>底稿目录!A2</f>
        <v>被审计单位：</v>
      </c>
      <c r="C3" s="19" t="str">
        <f>底稿目录!A4</f>
        <v>编制人：</v>
      </c>
      <c r="D3" s="19"/>
      <c r="E3" s="19" t="str">
        <f>底稿目录!A5</f>
        <v>编制日期：</v>
      </c>
      <c r="F3" s="187" t="s">
        <v>75</v>
      </c>
      <c r="G3" s="220" t="str">
        <f>底稿目录!F11</f>
        <v>M2-4</v>
      </c>
    </row>
    <row r="4" spans="1:7" s="12" customFormat="1" ht="19.95" customHeight="1">
      <c r="A4" s="19" t="str">
        <f>底稿目录!A3</f>
        <v>截止日：202X年12月31日</v>
      </c>
      <c r="C4" s="19" t="str">
        <f>底稿目录!A6</f>
        <v>复核人：</v>
      </c>
      <c r="D4" s="19"/>
      <c r="E4" s="19" t="str">
        <f>底稿目录!A7</f>
        <v>复核日期：</v>
      </c>
      <c r="F4" s="219" t="s">
        <v>229</v>
      </c>
      <c r="G4" s="29"/>
    </row>
    <row r="5" spans="1:7" s="52" customFormat="1" ht="19.95" customHeight="1">
      <c r="A5" s="50" t="s">
        <v>44</v>
      </c>
      <c r="B5" s="51"/>
      <c r="F5" s="53"/>
    </row>
    <row r="6" spans="1:7" s="52" customFormat="1" ht="19.95" customHeight="1">
      <c r="A6" s="175" t="s">
        <v>184</v>
      </c>
      <c r="B6" s="183"/>
      <c r="F6" s="53"/>
    </row>
    <row r="7" spans="1:7" s="52" customFormat="1" ht="19.95" customHeight="1">
      <c r="A7" s="57" t="s">
        <v>45</v>
      </c>
      <c r="F7" s="58"/>
    </row>
    <row r="8" spans="1:7" s="12" customFormat="1" ht="19.95" customHeight="1">
      <c r="A8" s="293" t="s">
        <v>176</v>
      </c>
      <c r="B8" s="293" t="s">
        <v>177</v>
      </c>
      <c r="C8" s="300" t="s">
        <v>178</v>
      </c>
      <c r="D8" s="301"/>
      <c r="E8" s="301"/>
      <c r="F8" s="301"/>
      <c r="G8" s="302"/>
    </row>
    <row r="9" spans="1:7" s="12" customFormat="1" ht="19.95" customHeight="1">
      <c r="A9" s="295"/>
      <c r="B9" s="295"/>
      <c r="C9" s="180" t="s">
        <v>179</v>
      </c>
      <c r="D9" s="180" t="s">
        <v>180</v>
      </c>
      <c r="E9" s="180" t="s">
        <v>181</v>
      </c>
      <c r="F9" s="180" t="s">
        <v>182</v>
      </c>
      <c r="G9" s="180" t="s">
        <v>183</v>
      </c>
    </row>
    <row r="10" spans="1:7" s="12" customFormat="1" ht="19.95" customHeight="1">
      <c r="A10" s="30"/>
      <c r="B10" s="31"/>
      <c r="C10" s="31"/>
      <c r="D10" s="32"/>
      <c r="E10" s="164">
        <f>C10*D10</f>
        <v>0</v>
      </c>
      <c r="F10" s="13"/>
      <c r="G10" s="164">
        <f>E10-F10</f>
        <v>0</v>
      </c>
    </row>
    <row r="11" spans="1:7" s="12" customFormat="1" ht="19.95" customHeight="1">
      <c r="A11" s="30"/>
      <c r="B11" s="31"/>
      <c r="C11" s="31"/>
      <c r="D11" s="32"/>
      <c r="E11" s="164">
        <f t="shared" ref="E11:E15" si="0">C11*D11</f>
        <v>0</v>
      </c>
      <c r="F11" s="13"/>
      <c r="G11" s="164">
        <f t="shared" ref="G11:G15" si="1">E11-F11</f>
        <v>0</v>
      </c>
    </row>
    <row r="12" spans="1:7" s="12" customFormat="1" ht="19.95" customHeight="1">
      <c r="A12" s="30"/>
      <c r="B12" s="31"/>
      <c r="C12" s="31"/>
      <c r="D12" s="32"/>
      <c r="E12" s="164">
        <f t="shared" si="0"/>
        <v>0</v>
      </c>
      <c r="F12" s="13"/>
      <c r="G12" s="164">
        <f t="shared" si="1"/>
        <v>0</v>
      </c>
    </row>
    <row r="13" spans="1:7" s="12" customFormat="1" ht="19.95" customHeight="1">
      <c r="A13" s="30"/>
      <c r="B13" s="31"/>
      <c r="C13" s="31"/>
      <c r="D13" s="32"/>
      <c r="E13" s="164">
        <f t="shared" si="0"/>
        <v>0</v>
      </c>
      <c r="F13" s="13"/>
      <c r="G13" s="164">
        <f t="shared" si="1"/>
        <v>0</v>
      </c>
    </row>
    <row r="14" spans="1:7" s="12" customFormat="1" ht="19.95" customHeight="1">
      <c r="A14" s="30"/>
      <c r="B14" s="31"/>
      <c r="C14" s="31"/>
      <c r="D14" s="32"/>
      <c r="E14" s="164">
        <f t="shared" si="0"/>
        <v>0</v>
      </c>
      <c r="F14" s="13"/>
      <c r="G14" s="164">
        <f t="shared" si="1"/>
        <v>0</v>
      </c>
    </row>
    <row r="15" spans="1:7" s="12" customFormat="1" ht="19.95" customHeight="1">
      <c r="A15" s="30"/>
      <c r="B15" s="31"/>
      <c r="C15" s="31"/>
      <c r="D15" s="32"/>
      <c r="E15" s="164">
        <f t="shared" si="0"/>
        <v>0</v>
      </c>
      <c r="F15" s="13"/>
      <c r="G15" s="164">
        <f t="shared" si="1"/>
        <v>0</v>
      </c>
    </row>
    <row r="16" spans="1:7" s="35" customFormat="1" ht="19.95" customHeight="1">
      <c r="A16" s="195" t="s">
        <v>169</v>
      </c>
      <c r="B16" s="196"/>
      <c r="C16" s="165">
        <f>SUM(C10:C15)</f>
        <v>0</v>
      </c>
      <c r="D16" s="196"/>
      <c r="E16" s="165">
        <f>SUM(E10:E15)</f>
        <v>0</v>
      </c>
      <c r="F16" s="165">
        <f>SUM(F10:F15)</f>
        <v>0</v>
      </c>
      <c r="G16" s="165">
        <f>SUM(G10:G15)</f>
        <v>0</v>
      </c>
    </row>
    <row r="17" spans="1:7" s="12" customFormat="1" ht="19.95" customHeight="1">
      <c r="A17" s="185" t="s">
        <v>170</v>
      </c>
      <c r="B17" s="16"/>
      <c r="C17" s="16"/>
      <c r="D17" s="16"/>
      <c r="E17" s="16"/>
      <c r="F17" s="16"/>
      <c r="G17" s="16"/>
    </row>
    <row r="18" spans="1:7" ht="19.95" customHeight="1">
      <c r="A18" s="29"/>
      <c r="B18" s="29"/>
      <c r="C18" s="29"/>
      <c r="D18" s="29"/>
      <c r="E18" s="29"/>
      <c r="F18" s="29"/>
      <c r="G18" s="29"/>
    </row>
    <row r="19" spans="1:7" ht="19.95" customHeight="1">
      <c r="A19" s="45" t="s">
        <v>173</v>
      </c>
      <c r="B19" s="29"/>
      <c r="C19" s="29"/>
      <c r="D19" s="29"/>
      <c r="E19" s="29"/>
      <c r="F19" s="29"/>
      <c r="G19" s="29"/>
    </row>
    <row r="20" spans="1:7" ht="19.95" customHeight="1">
      <c r="A20" s="29"/>
      <c r="B20" s="29"/>
      <c r="C20" s="29"/>
      <c r="D20" s="29"/>
      <c r="E20" s="29"/>
      <c r="F20" s="29"/>
      <c r="G20" s="29"/>
    </row>
    <row r="21" spans="1:7" ht="18" customHeight="1"/>
  </sheetData>
  <mergeCells count="5">
    <mergeCell ref="B8:B9"/>
    <mergeCell ref="A8:A9"/>
    <mergeCell ref="C8:G8"/>
    <mergeCell ref="A1:G1"/>
    <mergeCell ref="A2:G2"/>
  </mergeCells>
  <phoneticPr fontId="18" type="noConversion"/>
  <hyperlinks>
    <hyperlink ref="G3" location="底稿目录!A1" display="底稿目录!A1"/>
  </hyperlinks>
  <printOptions horizontalCentered="1"/>
  <pageMargins left="0.70866141732283472" right="0.70866141732283472" top="0.74803149606299213" bottom="0.74803149606299213" header="0.31496062992125984" footer="0.31496062992125984"/>
  <pageSetup paperSize="9" orientation="landscape" blackAndWhite="1" r:id="rId1"/>
  <headerFooter>
    <oddFooter>&amp;C&amp;P/&amp;N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R27"/>
  <sheetViews>
    <sheetView view="pageBreakPreview" zoomScaleSheetLayoutView="100" workbookViewId="0">
      <selection activeCell="P3" sqref="P3"/>
    </sheetView>
  </sheetViews>
  <sheetFormatPr defaultColWidth="9" defaultRowHeight="15.6"/>
  <cols>
    <col min="1" max="2" width="9" style="29"/>
    <col min="3" max="3" width="18" style="29" customWidth="1"/>
    <col min="4" max="4" width="9.59765625" style="29" customWidth="1"/>
    <col min="5" max="6" width="11.3984375" style="29" customWidth="1"/>
    <col min="7" max="7" width="11.69921875" style="29" customWidth="1"/>
    <col min="8" max="8" width="21.8984375" style="29" customWidth="1"/>
    <col min="9" max="13" width="4.3984375" style="29" customWidth="1"/>
    <col min="14" max="14" width="9.59765625" style="29" customWidth="1"/>
    <col min="15" max="15" width="6.296875" style="29" customWidth="1"/>
    <col min="16" max="16" width="18" style="29" customWidth="1"/>
    <col min="17" max="16384" width="9" style="29"/>
  </cols>
  <sheetData>
    <row r="1" spans="1:18" s="37" customFormat="1" ht="19.95" customHeight="1">
      <c r="A1" s="308" t="s">
        <v>38</v>
      </c>
      <c r="B1" s="308"/>
      <c r="C1" s="308"/>
      <c r="D1" s="308"/>
      <c r="E1" s="308"/>
      <c r="F1" s="308"/>
      <c r="G1" s="308"/>
      <c r="H1" s="308"/>
      <c r="I1" s="308"/>
      <c r="J1" s="308"/>
      <c r="K1" s="308"/>
      <c r="L1" s="308"/>
      <c r="M1" s="308"/>
      <c r="N1" s="308"/>
      <c r="O1" s="308"/>
      <c r="P1" s="308"/>
    </row>
    <row r="2" spans="1:18" s="37" customFormat="1" ht="19.95" customHeight="1">
      <c r="A2" s="320" t="s">
        <v>225</v>
      </c>
      <c r="B2" s="320"/>
      <c r="C2" s="320"/>
      <c r="D2" s="320"/>
      <c r="E2" s="320"/>
      <c r="F2" s="320"/>
      <c r="G2" s="320"/>
      <c r="H2" s="320"/>
      <c r="I2" s="320"/>
      <c r="J2" s="320"/>
      <c r="K2" s="320"/>
      <c r="L2" s="320"/>
      <c r="M2" s="320"/>
      <c r="N2" s="320"/>
      <c r="O2" s="320"/>
      <c r="P2" s="320"/>
    </row>
    <row r="3" spans="1:18" s="11" customFormat="1" ht="19.95" customHeight="1">
      <c r="A3" s="18" t="str">
        <f>底稿目录!A2</f>
        <v>被审计单位：</v>
      </c>
      <c r="B3" s="18"/>
      <c r="E3" s="19" t="str">
        <f>底稿目录!A4</f>
        <v>编制人：</v>
      </c>
      <c r="F3" s="19"/>
      <c r="H3" s="84" t="str">
        <f>底稿目录!A5</f>
        <v>编制日期：</v>
      </c>
      <c r="O3" s="187" t="s">
        <v>75</v>
      </c>
      <c r="P3" s="220" t="str">
        <f>底稿目录!F12</f>
        <v>M2-5</v>
      </c>
    </row>
    <row r="4" spans="1:18" s="11" customFormat="1" ht="19.95" customHeight="1">
      <c r="A4" s="18" t="str">
        <f>底稿目录!A3</f>
        <v>截止日：202X年12月31日</v>
      </c>
      <c r="B4" s="20"/>
      <c r="E4" s="19" t="str">
        <f>底稿目录!A6</f>
        <v>复核人：</v>
      </c>
      <c r="F4" s="19"/>
      <c r="H4" s="84" t="str">
        <f>底稿目录!A7</f>
        <v>复核日期：</v>
      </c>
      <c r="O4" s="219" t="s">
        <v>229</v>
      </c>
      <c r="P4" s="97"/>
    </row>
    <row r="5" spans="1:18" s="40" customFormat="1" ht="19.95" customHeight="1">
      <c r="A5" s="39" t="s">
        <v>72</v>
      </c>
      <c r="B5" s="39"/>
      <c r="C5" s="39"/>
      <c r="D5" s="39"/>
      <c r="E5" s="39"/>
      <c r="F5" s="39"/>
      <c r="G5" s="39"/>
      <c r="H5" s="39"/>
      <c r="I5" s="39"/>
      <c r="J5" s="39"/>
      <c r="K5" s="39"/>
      <c r="L5" s="39"/>
      <c r="M5" s="39"/>
    </row>
    <row r="6" spans="1:18" s="40" customFormat="1" ht="19.95" customHeight="1">
      <c r="A6" s="60" t="s">
        <v>233</v>
      </c>
      <c r="B6" s="56"/>
      <c r="C6" s="60"/>
      <c r="D6" s="60"/>
      <c r="E6" s="60" t="s">
        <v>234</v>
      </c>
      <c r="F6" s="60"/>
      <c r="G6" s="60"/>
      <c r="H6" s="60"/>
      <c r="I6" s="60"/>
      <c r="J6" s="60"/>
      <c r="K6" s="60"/>
      <c r="L6" s="60"/>
      <c r="M6" s="60"/>
    </row>
    <row r="7" spans="1:18" s="40" customFormat="1" ht="19.95" customHeight="1">
      <c r="A7" s="60" t="s">
        <v>232</v>
      </c>
      <c r="B7" s="56"/>
      <c r="C7" s="60"/>
      <c r="D7" s="60"/>
      <c r="E7" s="60"/>
      <c r="F7" s="60"/>
      <c r="G7" s="60"/>
      <c r="H7" s="60"/>
      <c r="I7" s="60"/>
      <c r="J7" s="60"/>
      <c r="K7" s="60"/>
      <c r="L7" s="60"/>
      <c r="M7" s="60"/>
    </row>
    <row r="8" spans="1:18" s="40" customFormat="1" ht="19.95" customHeight="1">
      <c r="A8" s="166" t="s">
        <v>212</v>
      </c>
      <c r="B8" s="41"/>
      <c r="C8" s="41"/>
      <c r="D8" s="42"/>
      <c r="E8" s="43"/>
      <c r="F8" s="43"/>
      <c r="G8" s="43"/>
    </row>
    <row r="9" spans="1:18" s="40" customFormat="1" ht="19.95" customHeight="1">
      <c r="A9" s="188" t="s">
        <v>186</v>
      </c>
      <c r="B9" s="41"/>
      <c r="C9" s="41"/>
      <c r="D9" s="42"/>
      <c r="E9" s="43"/>
      <c r="F9" s="43"/>
      <c r="G9" s="43"/>
    </row>
    <row r="10" spans="1:18" s="49" customFormat="1" ht="19.95" customHeight="1">
      <c r="A10" s="311" t="s">
        <v>123</v>
      </c>
      <c r="B10" s="311"/>
      <c r="C10" s="311"/>
      <c r="D10" s="311"/>
      <c r="E10" s="311"/>
      <c r="F10" s="311"/>
      <c r="G10" s="311"/>
      <c r="H10" s="303" t="s">
        <v>215</v>
      </c>
      <c r="I10" s="305" t="s">
        <v>216</v>
      </c>
      <c r="J10" s="306"/>
      <c r="K10" s="306"/>
      <c r="L10" s="306"/>
      <c r="M10" s="306"/>
      <c r="N10" s="312" t="s">
        <v>128</v>
      </c>
      <c r="O10" s="314" t="s">
        <v>231</v>
      </c>
      <c r="P10" s="309" t="s">
        <v>217</v>
      </c>
      <c r="Q10" s="40"/>
    </row>
    <row r="11" spans="1:18" s="168" customFormat="1" ht="19.95" customHeight="1">
      <c r="A11" s="223" t="s">
        <v>124</v>
      </c>
      <c r="B11" s="223" t="s">
        <v>125</v>
      </c>
      <c r="C11" s="223" t="s">
        <v>126</v>
      </c>
      <c r="D11" s="223" t="s">
        <v>127</v>
      </c>
      <c r="E11" s="223" t="s">
        <v>206</v>
      </c>
      <c r="F11" s="224" t="s">
        <v>208</v>
      </c>
      <c r="G11" s="224" t="s">
        <v>207</v>
      </c>
      <c r="H11" s="304"/>
      <c r="I11" s="199">
        <v>1</v>
      </c>
      <c r="J11" s="199">
        <v>2</v>
      </c>
      <c r="K11" s="199">
        <v>3</v>
      </c>
      <c r="L11" s="199">
        <v>4</v>
      </c>
      <c r="M11" s="199">
        <v>5</v>
      </c>
      <c r="N11" s="312"/>
      <c r="O11" s="315"/>
      <c r="P11" s="310"/>
      <c r="Q11" s="40"/>
      <c r="R11" s="167"/>
    </row>
    <row r="12" spans="1:18" s="49" customFormat="1" ht="19.95" customHeight="1">
      <c r="A12" s="169"/>
      <c r="B12" s="169"/>
      <c r="C12" s="169"/>
      <c r="D12" s="169"/>
      <c r="E12" s="169"/>
      <c r="F12" s="169"/>
      <c r="G12" s="170"/>
      <c r="H12" s="169"/>
      <c r="I12" s="200"/>
      <c r="J12" s="200"/>
      <c r="K12" s="200"/>
      <c r="L12" s="200"/>
      <c r="M12" s="200"/>
      <c r="N12" s="169"/>
      <c r="O12" s="169"/>
      <c r="P12" s="169"/>
      <c r="Q12" s="40"/>
    </row>
    <row r="13" spans="1:18" s="49" customFormat="1" ht="19.95" customHeight="1">
      <c r="A13" s="169"/>
      <c r="B13" s="169"/>
      <c r="C13" s="169"/>
      <c r="D13" s="169"/>
      <c r="E13" s="169"/>
      <c r="F13" s="169"/>
      <c r="G13" s="170"/>
      <c r="H13" s="169"/>
      <c r="I13" s="200"/>
      <c r="J13" s="200"/>
      <c r="K13" s="200"/>
      <c r="L13" s="200"/>
      <c r="M13" s="200"/>
      <c r="N13" s="169"/>
      <c r="O13" s="169"/>
      <c r="P13" s="169"/>
      <c r="Q13" s="40"/>
    </row>
    <row r="14" spans="1:18" s="49" customFormat="1" ht="19.95" customHeight="1">
      <c r="A14" s="169"/>
      <c r="B14" s="169"/>
      <c r="C14" s="169"/>
      <c r="D14" s="169"/>
      <c r="E14" s="169"/>
      <c r="F14" s="169"/>
      <c r="G14" s="170"/>
      <c r="H14" s="169"/>
      <c r="I14" s="200"/>
      <c r="J14" s="200"/>
      <c r="K14" s="200"/>
      <c r="L14" s="200"/>
      <c r="M14" s="200"/>
      <c r="N14" s="169"/>
      <c r="O14" s="169"/>
      <c r="P14" s="169"/>
      <c r="Q14" s="40"/>
    </row>
    <row r="15" spans="1:18" s="49" customFormat="1" ht="19.95" customHeight="1">
      <c r="A15" s="169"/>
      <c r="B15" s="169"/>
      <c r="C15" s="169"/>
      <c r="D15" s="169"/>
      <c r="E15" s="169"/>
      <c r="F15" s="169"/>
      <c r="G15" s="170"/>
      <c r="H15" s="169"/>
      <c r="I15" s="200"/>
      <c r="J15" s="200"/>
      <c r="K15" s="200"/>
      <c r="L15" s="200"/>
      <c r="M15" s="200"/>
      <c r="N15" s="169"/>
      <c r="O15" s="169"/>
      <c r="P15" s="169"/>
      <c r="Q15" s="40"/>
    </row>
    <row r="16" spans="1:18" s="49" customFormat="1" ht="19.95" customHeight="1">
      <c r="A16" s="169"/>
      <c r="B16" s="169"/>
      <c r="C16" s="169"/>
      <c r="D16" s="169"/>
      <c r="E16" s="169"/>
      <c r="F16" s="169"/>
      <c r="G16" s="170"/>
      <c r="H16" s="169"/>
      <c r="I16" s="200"/>
      <c r="J16" s="200"/>
      <c r="K16" s="200"/>
      <c r="L16" s="200"/>
      <c r="M16" s="200"/>
      <c r="N16" s="169"/>
      <c r="O16" s="169"/>
      <c r="P16" s="169"/>
      <c r="Q16" s="40"/>
    </row>
    <row r="17" spans="1:17" s="49" customFormat="1" ht="19.95" customHeight="1">
      <c r="A17" s="169"/>
      <c r="B17" s="169"/>
      <c r="C17" s="169"/>
      <c r="D17" s="169"/>
      <c r="E17" s="169"/>
      <c r="F17" s="169"/>
      <c r="G17" s="170"/>
      <c r="H17" s="169"/>
      <c r="I17" s="200"/>
      <c r="J17" s="200"/>
      <c r="K17" s="200"/>
      <c r="L17" s="200"/>
      <c r="M17" s="200"/>
      <c r="N17" s="169"/>
      <c r="O17" s="169"/>
      <c r="P17" s="169"/>
      <c r="Q17" s="40"/>
    </row>
    <row r="18" spans="1:17" s="49" customFormat="1" ht="19.95" customHeight="1">
      <c r="A18" s="313" t="s">
        <v>3</v>
      </c>
      <c r="B18" s="313"/>
      <c r="C18" s="313"/>
      <c r="D18" s="171"/>
      <c r="E18" s="171"/>
      <c r="F18" s="172">
        <f>SUM(F12:F17)</f>
        <v>0</v>
      </c>
      <c r="G18" s="240">
        <f>SUM(G12:G17)</f>
        <v>0</v>
      </c>
      <c r="H18" s="171"/>
      <c r="I18" s="171"/>
      <c r="J18" s="171"/>
      <c r="K18" s="171"/>
      <c r="L18" s="171"/>
      <c r="M18" s="171"/>
      <c r="N18" s="171"/>
      <c r="O18" s="171"/>
      <c r="P18" s="171"/>
      <c r="Q18" s="40"/>
    </row>
    <row r="19" spans="1:17" s="49" customFormat="1" ht="19.95" customHeight="1">
      <c r="A19" s="313" t="s">
        <v>255</v>
      </c>
      <c r="B19" s="313"/>
      <c r="C19" s="313"/>
      <c r="D19" s="171"/>
      <c r="E19" s="171"/>
      <c r="F19" s="172"/>
      <c r="G19" s="240">
        <f>'明细表（上市公司）M2-2'!AA23</f>
        <v>0</v>
      </c>
      <c r="H19" s="171"/>
      <c r="I19" s="171"/>
      <c r="J19" s="171"/>
      <c r="K19" s="171"/>
      <c r="L19" s="171"/>
      <c r="M19" s="171"/>
      <c r="N19" s="171"/>
      <c r="O19" s="171"/>
      <c r="P19" s="171"/>
      <c r="Q19" s="40"/>
    </row>
    <row r="20" spans="1:17" s="49" customFormat="1" ht="19.95" customHeight="1">
      <c r="A20" s="316" t="s">
        <v>256</v>
      </c>
      <c r="B20" s="316"/>
      <c r="C20" s="316"/>
      <c r="D20" s="239"/>
      <c r="E20" s="171"/>
      <c r="F20" s="172"/>
      <c r="G20" s="240" t="e">
        <f>G18/G19</f>
        <v>#DIV/0!</v>
      </c>
      <c r="H20" s="171"/>
      <c r="I20" s="171"/>
      <c r="J20" s="171"/>
      <c r="K20" s="171"/>
      <c r="L20" s="171"/>
      <c r="M20" s="171"/>
      <c r="N20" s="171"/>
      <c r="O20" s="171"/>
      <c r="P20" s="171"/>
      <c r="Q20" s="40"/>
    </row>
    <row r="21" spans="1:17" s="45" customFormat="1" ht="19.95" customHeight="1">
      <c r="A21" s="197" t="s">
        <v>213</v>
      </c>
      <c r="J21"/>
      <c r="K21"/>
      <c r="L21"/>
      <c r="M21" s="132"/>
      <c r="N21" s="46"/>
      <c r="O21" s="46"/>
      <c r="P21" s="46"/>
    </row>
    <row r="22" spans="1:17" s="11" customFormat="1" ht="19.95" customHeight="1">
      <c r="J22" s="176"/>
      <c r="K22" s="38"/>
      <c r="L22" s="38"/>
      <c r="M22" s="38"/>
      <c r="N22" s="38"/>
      <c r="O22" s="38"/>
      <c r="P22" s="38"/>
    </row>
    <row r="23" spans="1:17" s="11" customFormat="1" ht="19.95" customHeight="1">
      <c r="A23" s="198" t="s">
        <v>214</v>
      </c>
      <c r="C23" s="38"/>
      <c r="D23" s="38"/>
      <c r="E23" s="38"/>
      <c r="F23" s="38"/>
      <c r="G23" s="38"/>
      <c r="H23" s="38"/>
      <c r="I23" s="38"/>
      <c r="J23" s="38"/>
      <c r="K23" s="38"/>
      <c r="L23" s="38"/>
      <c r="M23" s="38"/>
      <c r="N23" s="38"/>
      <c r="O23" s="38"/>
      <c r="P23" s="38"/>
    </row>
    <row r="24" spans="1:17" s="11" customFormat="1" ht="19.95" customHeight="1">
      <c r="C24" s="38"/>
      <c r="D24" s="38"/>
      <c r="E24" s="38"/>
      <c r="F24" s="38"/>
      <c r="G24" s="38"/>
      <c r="H24" s="38"/>
      <c r="J24" s="38"/>
      <c r="K24" s="38"/>
      <c r="L24" s="38"/>
      <c r="M24" s="38"/>
      <c r="N24" s="38"/>
      <c r="O24" s="38"/>
      <c r="P24" s="38"/>
    </row>
    <row r="25" spans="1:17" s="11" customFormat="1" ht="19.95" customHeight="1">
      <c r="A25" s="194" t="s">
        <v>205</v>
      </c>
      <c r="C25" s="38"/>
      <c r="D25" s="38"/>
      <c r="E25" s="38"/>
      <c r="F25" s="38"/>
      <c r="G25" s="38"/>
      <c r="H25" s="38"/>
      <c r="J25" s="38"/>
      <c r="K25" s="38"/>
      <c r="L25" s="38"/>
      <c r="M25" s="38"/>
      <c r="N25" s="38"/>
      <c r="O25" s="38"/>
      <c r="P25" s="38"/>
    </row>
    <row r="26" spans="1:17" s="11" customFormat="1" ht="34.200000000000003" customHeight="1">
      <c r="A26" s="307" t="s">
        <v>133</v>
      </c>
      <c r="B26" s="307"/>
      <c r="C26" s="307"/>
      <c r="D26" s="307"/>
      <c r="E26" s="307"/>
      <c r="F26" s="307"/>
      <c r="G26" s="307"/>
      <c r="H26" s="307"/>
      <c r="I26" s="307"/>
      <c r="J26" s="307"/>
      <c r="K26" s="307"/>
      <c r="L26" s="307"/>
      <c r="M26" s="307"/>
      <c r="N26" s="307"/>
      <c r="O26" s="307"/>
      <c r="P26" s="307"/>
    </row>
    <row r="27" spans="1:17" s="11" customFormat="1" ht="18" customHeight="1">
      <c r="A27" s="44"/>
      <c r="C27" s="38"/>
      <c r="D27" s="38"/>
      <c r="E27" s="38"/>
      <c r="F27" s="38"/>
      <c r="G27" s="38"/>
      <c r="H27" s="38"/>
      <c r="I27" s="38"/>
      <c r="J27" s="38"/>
      <c r="K27" s="38"/>
      <c r="L27" s="38"/>
      <c r="M27" s="38"/>
      <c r="N27" s="38"/>
      <c r="O27" s="38"/>
      <c r="P27" s="38"/>
    </row>
  </sheetData>
  <mergeCells count="12">
    <mergeCell ref="H10:H11"/>
    <mergeCell ref="I10:M10"/>
    <mergeCell ref="A26:P26"/>
    <mergeCell ref="A1:P1"/>
    <mergeCell ref="A2:P2"/>
    <mergeCell ref="P10:P11"/>
    <mergeCell ref="A10:G10"/>
    <mergeCell ref="N10:N11"/>
    <mergeCell ref="A18:C18"/>
    <mergeCell ref="O10:O11"/>
    <mergeCell ref="A19:C19"/>
    <mergeCell ref="A20:C20"/>
  </mergeCells>
  <phoneticPr fontId="18" type="noConversion"/>
  <dataValidations count="2">
    <dataValidation type="list" allowBlank="1" showInputMessage="1" showErrorMessage="1" sqref="C23">
      <formula1>"A：未见异常，可以确认。,B：经审计调整可以确认。,C：由于存在上述重大未调整事项（或审计范围受到限制无法获取充分、适当证据），不可确认。"</formula1>
    </dataValidation>
    <dataValidation type="list" allowBlank="1" showInputMessage="1" showErrorMessage="1" sqref="J18:O20 I12:M17">
      <formula1>"√,X"</formula1>
    </dataValidation>
  </dataValidations>
  <hyperlinks>
    <hyperlink ref="P3" location="底稿目录!A1" display="底稿目录!A1"/>
  </hyperlinks>
  <printOptions horizontalCentered="1"/>
  <pageMargins left="0.70866141732283472" right="0.70866141732283472" top="0.74803149606299213" bottom="0.74803149606299213" header="0.31496062992125984" footer="0.31496062992125984"/>
  <pageSetup paperSize="9" scale="66" orientation="landscape" blackAndWhite="1" r:id="rId1"/>
  <headerFooter>
    <oddFooter>&amp;C&amp;P/&amp;N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sheetViews>
  <sheetFormatPr defaultRowHeight="15.6"/>
  <sheetData>
    <row r="1" spans="1:2">
      <c r="A1" t="s">
        <v>21</v>
      </c>
      <c r="B1" t="s">
        <v>22</v>
      </c>
    </row>
    <row r="2" spans="1:2">
      <c r="A2" t="s">
        <v>23</v>
      </c>
      <c r="B2" t="s">
        <v>24</v>
      </c>
    </row>
    <row r="3" spans="1:2">
      <c r="A3" t="s">
        <v>25</v>
      </c>
      <c r="B3" t="s">
        <v>26</v>
      </c>
    </row>
    <row r="4" spans="1:2">
      <c r="A4" t="s">
        <v>27</v>
      </c>
      <c r="B4" t="s">
        <v>28</v>
      </c>
    </row>
    <row r="5" spans="1:2">
      <c r="A5" t="s">
        <v>29</v>
      </c>
      <c r="B5" t="s">
        <v>30</v>
      </c>
    </row>
    <row r="6" spans="1:2">
      <c r="A6" t="s">
        <v>31</v>
      </c>
      <c r="B6" t="s">
        <v>32</v>
      </c>
    </row>
    <row r="7" spans="1:2">
      <c r="A7" t="s">
        <v>33</v>
      </c>
      <c r="B7" t="s">
        <v>34</v>
      </c>
    </row>
    <row r="8" spans="1:2">
      <c r="A8" t="s">
        <v>35</v>
      </c>
      <c r="B8" t="s">
        <v>36</v>
      </c>
    </row>
  </sheetData>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11</vt:i4>
      </vt:variant>
      <vt:variant>
        <vt:lpstr>命名范围</vt:lpstr>
      </vt:variant>
      <vt:variant>
        <vt:i4>10</vt:i4>
      </vt:variant>
    </vt:vector>
  </HeadingPairs>
  <TitlesOfParts>
    <vt:vector size="21" baseType="lpstr">
      <vt:lpstr>底稿目录</vt:lpstr>
      <vt:lpstr> 实收资本实质性程序表 M2A</vt:lpstr>
      <vt:lpstr>审定表M2-1</vt:lpstr>
      <vt:lpstr>附注披露信息（上市公司）</vt:lpstr>
      <vt:lpstr>附注披露信息（国有企业）</vt:lpstr>
      <vt:lpstr>明细表（上市公司）M2-2</vt:lpstr>
      <vt:lpstr>明细表（非上市公司）M2-2</vt:lpstr>
      <vt:lpstr>调整分录汇总M2-3</vt:lpstr>
      <vt:lpstr>外币投资汇率测算表M2-4</vt:lpstr>
      <vt:lpstr>实收资本（股本）检查表M2-5</vt:lpstr>
      <vt:lpstr>GT_Custom</vt:lpstr>
      <vt:lpstr>' 实收资本实质性程序表 M2A'!Print_Area</vt:lpstr>
      <vt:lpstr>'调整分录汇总M2-3'!Print_Area</vt:lpstr>
      <vt:lpstr>'附注披露信息（国有企业）'!Print_Area</vt:lpstr>
      <vt:lpstr>'附注披露信息（上市公司）'!Print_Area</vt:lpstr>
      <vt:lpstr>'明细表（非上市公司）M2-2'!Print_Area</vt:lpstr>
      <vt:lpstr>'明细表（上市公司）M2-2'!Print_Area</vt:lpstr>
      <vt:lpstr>'审定表M2-1'!Print_Area</vt:lpstr>
      <vt:lpstr>'实收资本（股本）检查表M2-5'!Print_Area</vt:lpstr>
      <vt:lpstr>'外币投资汇率测算表M2-4'!Print_Area</vt:lpstr>
      <vt:lpstr>' 实收资本实质性程序表 M2A'!Print_Titles</vt:lpstr>
    </vt:vector>
  </TitlesOfParts>
  <Company>北京京都会计师事务所</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Liufs</dc:creator>
  <cp:lastModifiedBy>何先琴</cp:lastModifiedBy>
  <cp:lastPrinted>2025-10-22T09:34:46Z</cp:lastPrinted>
  <dcterms:created xsi:type="dcterms:W3CDTF">2007-05-20T08:51:05Z</dcterms:created>
  <dcterms:modified xsi:type="dcterms:W3CDTF">2025-11-05T08:19:45Z</dcterms:modified>
</cp:coreProperties>
</file>