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firstSheet="1" activeTab="4"/>
  </bookViews>
  <sheets>
    <sheet name="资产负债表" sheetId="1" r:id="rId1"/>
    <sheet name="资产负债表续" sheetId="2" r:id="rId2"/>
    <sheet name="利润表" sheetId="3" r:id="rId3"/>
    <sheet name="现金流量表" sheetId="4" r:id="rId4"/>
    <sheet name="股东权益变动表" sheetId="5" r:id="rId5"/>
    <sheet name="GT_Custom" sheetId="6" state="hidden" r:id="rId6"/>
  </sheets>
  <definedNames>
    <definedName name="Z_11225121_1664_11D5_91ED_001060808604_.wvu.PrintArea" localSheetId="0" hidden="1">资产负债表!$A$1:$D$46</definedName>
    <definedName name="Z_38A85FE0_3960_11D5_8724_5254293012F4_.wvu.PrintArea" localSheetId="0" hidden="1">资产负债表!$A$1:$D$46</definedName>
    <definedName name="Z_74D759C8_22AF_4BF8_98E4_973AB9CC8AD4_.wvu.PrintArea" localSheetId="0" hidden="1">资产负债表!$A$1:$D$46</definedName>
    <definedName name="Z_B17549A0_198B_11D5_A231_0080C88DD54C_.wvu.PrintArea" localSheetId="0" hidden="1">资产负债表!$A$1:$D$48</definedName>
    <definedName name="Z_B238A4E0_5F40_11D5_A601_00A0C939A085_.wvu.PrintArea" localSheetId="0" hidden="1">资产负债表!$A$1:$D$46</definedName>
    <definedName name="_xlnm.Print_Area" localSheetId="0">资产负债表!$A$1:$D$46</definedName>
    <definedName name="Z_11225121_1664_11D5_91ED_001060808604_.wvu.PrintArea" localSheetId="1" hidden="1">资产负债表续!$A$1:$D$51</definedName>
    <definedName name="Z_38A85FE0_3960_11D5_8724_5254293012F4_.wvu.PrintArea" localSheetId="1" hidden="1">资产负债表续!$A$1:$D$51</definedName>
    <definedName name="Z_74D759C8_22AF_4BF8_98E4_973AB9CC8AD4_.wvu.PrintArea" localSheetId="1" hidden="1">资产负债表续!$A$1:$D$51</definedName>
    <definedName name="Z_B238A4E0_5F40_11D5_A601_00A0C939A085_.wvu.PrintArea" localSheetId="1" hidden="1">资产负债表续!$A$1:$D$51</definedName>
    <definedName name="_xlnm.Print_Area" localSheetId="1">资产负债表续!$A$1:$D$51</definedName>
    <definedName name="Z_74D759C8_22AF_4BF8_98E4_973AB9CC8AD4_.wvu.PrintArea" localSheetId="2" hidden="1">利润表!$A$1:$D$60</definedName>
    <definedName name="Z_74D759C8_22AF_4BF8_98E4_973AB9CC8AD4_.wvu.PrintTitles" localSheetId="2" hidden="1">利润表!$1:$4</definedName>
    <definedName name="_xlnm.Print_Titles" localSheetId="2">利润表!$1:$4</definedName>
    <definedName name="_xlnm.Print_Area" localSheetId="2">利润表!$A$1:$D$60</definedName>
    <definedName name="_xlnm.Print_Area" localSheetId="3">现金流量表!$A$1:$D$47</definedName>
    <definedName name="Z_74D759C8_22AF_4BF8_98E4_973AB9CC8AD4_.wvu.PrintTitles" localSheetId="4" hidden="1">股东权益变动表!$A:$A</definedName>
    <definedName name="_xlnm.Print_Titles" localSheetId="4">股东权益变动表!$A:$A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Chu Yantao 储燕涛</author>
  </authors>
  <commentList>
    <comment ref="A13" authorId="0">
      <text>
        <r>
          <rPr>
            <sz val="10"/>
            <rFont val="宋体"/>
            <charset val="134"/>
          </rPr>
          <t>Chu Yantao 储燕涛:
其他应收款+应收利息+应收股利</t>
        </r>
      </text>
    </comment>
    <comment ref="A32" authorId="0">
      <text>
        <r>
          <rPr>
            <sz val="10"/>
            <rFont val="宋体"/>
            <charset val="134"/>
          </rPr>
          <t>Chu Yantao 储燕涛:
固定资产+固定资产清理</t>
        </r>
      </text>
    </comment>
    <comment ref="A33" authorId="0">
      <text>
        <r>
          <rPr>
            <sz val="10"/>
            <rFont val="宋体"/>
            <charset val="134"/>
          </rPr>
          <t>Chu Yantao 储燕涛:
在建工程+工程物资</t>
        </r>
      </text>
    </comment>
  </commentList>
</comments>
</file>

<file path=xl/comments2.xml><?xml version="1.0" encoding="utf-8"?>
<comments xmlns="http://schemas.openxmlformats.org/spreadsheetml/2006/main">
  <authors>
    <author>Chu Yantao 储燕涛</author>
    <author>nielin</author>
  </authors>
  <commentList>
    <comment ref="A15" authorId="0">
      <text>
        <r>
          <rPr>
            <sz val="10"/>
            <rFont val="宋体"/>
            <charset val="134"/>
          </rPr>
          <t>Chu Yantao 储燕涛:
其他应付款+应付利息+应付股利</t>
        </r>
      </text>
    </comment>
    <comment ref="A25" authorId="1">
      <text>
        <r>
          <rPr>
            <sz val="10"/>
            <rFont val="宋体"/>
            <charset val="134"/>
          </rPr>
          <t>nielin:
金融负债与权益工具区分 六、（四）1</t>
        </r>
      </text>
    </comment>
    <comment ref="A28" authorId="0">
      <text>
        <r>
          <rPr>
            <sz val="10"/>
            <rFont val="宋体"/>
            <charset val="134"/>
          </rPr>
          <t>Chu Yantao 储燕涛:
长期应付款+专项应付款</t>
        </r>
      </text>
    </comment>
    <comment ref="A39" authorId="1">
      <text>
        <r>
          <rPr>
            <sz val="10"/>
            <rFont val="宋体"/>
            <charset val="134"/>
          </rPr>
          <t xml:space="preserve">nielin:
金融负债与权益工具区分 六、（四）1
</t>
        </r>
      </text>
    </comment>
  </commentList>
</comments>
</file>

<file path=xl/comments3.xml><?xml version="1.0" encoding="utf-8"?>
<comments xmlns="http://schemas.openxmlformats.org/spreadsheetml/2006/main">
  <authors>
    <author>Shen Xiaoying 申晓颖</author>
    <author>yantao.chu</author>
    <author>xiaoying.shen</author>
    <author>nielin</author>
  </authors>
  <commentList>
    <comment ref="A13" authorId="0">
      <text>
        <r>
          <rPr>
            <sz val="10"/>
            <rFont val="宋体"/>
            <charset val="134"/>
          </rPr>
          <t>Shen Xiaoying 申晓颖:
以正数填列</t>
        </r>
      </text>
    </comment>
    <comment ref="C29" authorId="1">
      <text>
        <r>
          <rPr>
            <sz val="10"/>
            <rFont val="宋体"/>
            <charset val="134"/>
          </rPr>
          <t>yantao.chu:
此行不填数</t>
        </r>
      </text>
    </comment>
    <comment ref="C32" authorId="1">
      <text>
        <r>
          <rPr>
            <sz val="10"/>
            <rFont val="宋体"/>
            <charset val="134"/>
          </rPr>
          <t>yantao.chu:
此行不填数</t>
        </r>
      </text>
    </comment>
    <comment ref="A36" authorId="2">
      <text>
        <r>
          <rPr>
            <sz val="10"/>
            <rFont val="宋体"/>
            <charset val="134"/>
          </rPr>
          <t>xiaoying.shen:
指南33P108
区分其他综合收益按归属母公司所有者的OCI税后金额和归属少数股东的OCI税后金额，单独列示。</t>
        </r>
      </text>
    </comment>
    <comment ref="A37" authorId="3">
      <text>
        <r>
          <rPr>
            <sz val="10"/>
            <rFont val="宋体"/>
            <charset val="134"/>
          </rPr>
          <t>nielin:
CAS30.33
指南30P52</t>
        </r>
      </text>
    </comment>
  </commentList>
</comments>
</file>

<file path=xl/comments4.xml><?xml version="1.0" encoding="utf-8"?>
<comments xmlns="http://schemas.openxmlformats.org/spreadsheetml/2006/main">
  <authors>
    <author>1</author>
  </authors>
  <commentList>
    <comment ref="A33" authorId="0">
      <text>
        <r>
          <rPr>
            <sz val="10"/>
            <rFont val="宋体"/>
            <charset val="134"/>
          </rPr>
          <t>1:
不适用的，删除</t>
        </r>
      </text>
    </comment>
  </commentList>
</comments>
</file>

<file path=xl/comments5.xml><?xml version="1.0" encoding="utf-8"?>
<comments xmlns="http://schemas.openxmlformats.org/spreadsheetml/2006/main">
  <authors>
    <author>nielin</author>
  </authors>
  <commentList>
    <comment ref="C5" authorId="0">
      <text>
        <r>
          <rPr>
            <sz val="10"/>
            <rFont val="宋体"/>
            <charset val="134"/>
          </rPr>
          <t>nielin:
金融负债与权益工具区分 六、（四）1</t>
        </r>
      </text>
    </comment>
    <comment ref="H5" authorId="0">
      <text>
        <r>
          <rPr>
            <sz val="10"/>
            <rFont val="宋体"/>
            <charset val="134"/>
          </rPr>
          <t>nielin:
指南30P57</t>
        </r>
      </text>
    </comment>
    <comment ref="N5" authorId="0">
      <text>
        <r>
          <rPr>
            <sz val="10"/>
            <rFont val="宋体"/>
            <charset val="134"/>
          </rPr>
          <t>nielin:
金融负债与权益工具区分 六、（四）1</t>
        </r>
      </text>
    </comment>
    <comment ref="S5" authorId="0">
      <text>
        <r>
          <rPr>
            <sz val="10"/>
            <rFont val="宋体"/>
            <charset val="134"/>
          </rPr>
          <t>nielin:
程华列报slide18</t>
        </r>
      </text>
    </comment>
    <comment ref="A16" authorId="0">
      <text>
        <r>
          <rPr>
            <sz val="10"/>
            <rFont val="宋体"/>
            <charset val="134"/>
          </rPr>
          <t>nielin:
金融负债与权益工具区分 六、（四）1</t>
        </r>
      </text>
    </comment>
    <comment ref="A28" authorId="0">
      <text>
        <r>
          <rPr>
            <sz val="10"/>
            <rFont val="宋体"/>
            <charset val="134"/>
          </rPr>
          <t>nielin:
指南9P45</t>
        </r>
      </text>
    </comment>
  </commentList>
</comments>
</file>

<file path=xl/sharedStrings.xml><?xml version="1.0" encoding="utf-8"?>
<sst xmlns="http://schemas.openxmlformats.org/spreadsheetml/2006/main" count="1070" uniqueCount="1014">
  <si>
    <t>资产负债表</t>
  </si>
  <si>
    <t>{{period_end_date}}</t>
  </si>
  <si>
    <t>编制单位：{{company_full_name}}</t>
  </si>
  <si>
    <t>单位：{{currency_unit}}</t>
  </si>
  <si>
    <t xml:space="preserve">  项   目</t>
  </si>
  <si>
    <t>附注</t>
  </si>
  <si>
    <t>期末余额</t>
  </si>
  <si>
    <t>上年年末余额</t>
  </si>
  <si>
    <t>流动资产：</t>
  </si>
  <si>
    <t xml:space="preserve">  货币资金</t>
  </si>
  <si>
    <t>{{note_ref:BS-002}}</t>
  </si>
  <si>
    <t>{{row:BS-002:current}}</t>
  </si>
  <si>
    <t>{{row:BS-002:prior}}</t>
  </si>
  <si>
    <t xml:space="preserve">  交易性金融资产</t>
  </si>
  <si>
    <t>{{note_ref:BS-003}}</t>
  </si>
  <si>
    <t>{{row:BS-003:current}}</t>
  </si>
  <si>
    <t>{{row:BS-003:prior}}</t>
  </si>
  <si>
    <t xml:space="preserve">  衍生金融资产</t>
  </si>
  <si>
    <t>{{note_ref:BS-004}}</t>
  </si>
  <si>
    <t>{{row:BS-004:current}}</t>
  </si>
  <si>
    <t>{{row:BS-004:prior}}</t>
  </si>
  <si>
    <t xml:space="preserve">  应收票据</t>
  </si>
  <si>
    <t>{{note_ref:BS-005}}</t>
  </si>
  <si>
    <t>{{row:BS-005:current}}</t>
  </si>
  <si>
    <t>{{row:BS-005:prior}}</t>
  </si>
  <si>
    <t xml:space="preserve">  应收账款</t>
  </si>
  <si>
    <t>{{note_ref:BS-006}}</t>
  </si>
  <si>
    <t>{{row:BS-006:current}}</t>
  </si>
  <si>
    <t>{{row:BS-006:prior}}</t>
  </si>
  <si>
    <t xml:space="preserve">  应收款项融资</t>
  </si>
  <si>
    <t>{{note_ref:BS-007}}</t>
  </si>
  <si>
    <t>{{row:BS-007:current}}</t>
  </si>
  <si>
    <t>{{row:BS-007:prior}}</t>
  </si>
  <si>
    <t xml:space="preserve">  预付款项</t>
  </si>
  <si>
    <t>{{note_ref:BS-008}}</t>
  </si>
  <si>
    <t>{{row:BS-008:current}}</t>
  </si>
  <si>
    <t>{{row:BS-008:prior}}</t>
  </si>
  <si>
    <t xml:space="preserve">  其他应收款</t>
  </si>
  <si>
    <t>{{note_ref:BS-009}}</t>
  </si>
  <si>
    <t>{{row:BS-009:current}}</t>
  </si>
  <si>
    <t>{{row:BS-009:prior}}</t>
  </si>
  <si>
    <t xml:space="preserve">   其中：应收利息</t>
  </si>
  <si>
    <t>{{row:BS-010:current}}</t>
  </si>
  <si>
    <t>{{row:BS-010:prior}}</t>
  </si>
  <si>
    <t xml:space="preserve">               应收股利</t>
  </si>
  <si>
    <t>{{row:BS-011:current}}</t>
  </si>
  <si>
    <t>{{row:BS-011:prior}}</t>
  </si>
  <si>
    <t xml:space="preserve">  存货</t>
  </si>
  <si>
    <t>{{note_ref:BS-012}}</t>
  </si>
  <si>
    <t>{{row:BS-012:current}}</t>
  </si>
  <si>
    <t>{{row:BS-012:prior}}</t>
  </si>
  <si>
    <t xml:space="preserve">   其中：数据资源</t>
  </si>
  <si>
    <t>{{row:BS-013:current}}</t>
  </si>
  <si>
    <t>{{row:BS-013:prior}}</t>
  </si>
  <si>
    <t xml:space="preserve">  合同资产</t>
  </si>
  <si>
    <t>{{note_ref:BS-014}}</t>
  </si>
  <si>
    <t>{{row:BS-014:current}}</t>
  </si>
  <si>
    <t>{{row:BS-014:prior}}</t>
  </si>
  <si>
    <t xml:space="preserve">  持有待售资产</t>
  </si>
  <si>
    <t>{{row:BS-015:current}}</t>
  </si>
  <si>
    <t>{{row:BS-015:prior}}</t>
  </si>
  <si>
    <t xml:space="preserve">  一年内到期的非流动资产</t>
  </si>
  <si>
    <t>{{note_ref:BS-016}}</t>
  </si>
  <si>
    <t>{{row:BS-016:current}}</t>
  </si>
  <si>
    <t>{{row:BS-016:prior}}</t>
  </si>
  <si>
    <t xml:space="preserve">  其他流动资产</t>
  </si>
  <si>
    <t>{{note_ref:BS-017}}</t>
  </si>
  <si>
    <t>{{row:BS-017:current}}</t>
  </si>
  <si>
    <t>{{row:BS-017:prior}}</t>
  </si>
  <si>
    <t xml:space="preserve">    流动资产合计</t>
  </si>
  <si>
    <t>非流动资产：</t>
  </si>
  <si>
    <t xml:space="preserve">  债权投资</t>
  </si>
  <si>
    <t>{{note_ref:BS-020}}</t>
  </si>
  <si>
    <t>{{row:BS-020:current}}</t>
  </si>
  <si>
    <t>{{row:BS-020:prior}}</t>
  </si>
  <si>
    <t xml:space="preserve">  其他债权投资</t>
  </si>
  <si>
    <t>{{note_ref:BS-021}}</t>
  </si>
  <si>
    <t>{{row:BS-021:current}}</t>
  </si>
  <si>
    <t>{{row:BS-021:prior}}</t>
  </si>
  <si>
    <t xml:space="preserve">  长期应收款</t>
  </si>
  <si>
    <t>{{note_ref:BS-022}}</t>
  </si>
  <si>
    <t>{{row:BS-022:current}}</t>
  </si>
  <si>
    <t>{{row:BS-022:prior}}</t>
  </si>
  <si>
    <t xml:space="preserve"> 设定受益计划净资产</t>
  </si>
  <si>
    <t>{{note_ref:BS-023}}</t>
  </si>
  <si>
    <t>{{row:BS-023:current}}</t>
  </si>
  <si>
    <t>{{row:BS-023:prior}}</t>
  </si>
  <si>
    <t xml:space="preserve">  长期股权投资</t>
  </si>
  <si>
    <t>{{note_ref:BS-024}}</t>
  </si>
  <si>
    <t>{{row:BS-024:current}}</t>
  </si>
  <si>
    <t>{{row:BS-024:prior}}</t>
  </si>
  <si>
    <t xml:space="preserve">  其他权益工具投资</t>
  </si>
  <si>
    <t>{{note_ref:BS-025}}</t>
  </si>
  <si>
    <t>{{row:BS-025:current}}</t>
  </si>
  <si>
    <t>{{row:BS-025:prior}}</t>
  </si>
  <si>
    <t xml:space="preserve">  其他非流动金融资产</t>
  </si>
  <si>
    <t>{{note_ref:BS-026}}</t>
  </si>
  <si>
    <t>{{row:BS-026:current}}</t>
  </si>
  <si>
    <t>{{row:BS-026:prior}}</t>
  </si>
  <si>
    <t xml:space="preserve">  投资性房地产</t>
  </si>
  <si>
    <t>{{note_ref:BS-027}}</t>
  </si>
  <si>
    <t>{{row:BS-027:current}}</t>
  </si>
  <si>
    <t>{{row:BS-027:prior}}</t>
  </si>
  <si>
    <t xml:space="preserve">  固定资产</t>
  </si>
  <si>
    <t>{{note_ref:BS-028}}</t>
  </si>
  <si>
    <t>{{row:BS-028:current}}</t>
  </si>
  <si>
    <t>{{row:BS-028:prior}}</t>
  </si>
  <si>
    <t xml:space="preserve">  在建工程</t>
  </si>
  <si>
    <t>{{note_ref:BS-029}}</t>
  </si>
  <si>
    <t>{{row:BS-029:current}}</t>
  </si>
  <si>
    <t>{{row:BS-029:prior}}</t>
  </si>
  <si>
    <t xml:space="preserve">  生产性生物资产 </t>
  </si>
  <si>
    <t>{{note_ref:BS-030}}</t>
  </si>
  <si>
    <t>{{row:BS-030:current}}</t>
  </si>
  <si>
    <t>{{row:BS-030:prior}}</t>
  </si>
  <si>
    <t xml:space="preserve">  油气资产</t>
  </si>
  <si>
    <t>{{row:BS-031:current}}</t>
  </si>
  <si>
    <t>{{row:BS-031:prior}}</t>
  </si>
  <si>
    <t xml:space="preserve"> 使用权资产</t>
  </si>
  <si>
    <t>{{note_ref:BS-032}}</t>
  </si>
  <si>
    <t>{{row:BS-032:current}}</t>
  </si>
  <si>
    <t>{{row:BS-032:prior}}</t>
  </si>
  <si>
    <t xml:space="preserve">  无形资产</t>
  </si>
  <si>
    <t>{{note_ref:BS-033}}</t>
  </si>
  <si>
    <t>{{row:BS-033:current}}</t>
  </si>
  <si>
    <t>{{row:BS-033:prior}}</t>
  </si>
  <si>
    <t>{{row:BS-034:current}}</t>
  </si>
  <si>
    <t>{{row:BS-034:prior}}</t>
  </si>
  <si>
    <t xml:space="preserve">  开发支出</t>
  </si>
  <si>
    <t>{{note_ref:BS-035}}</t>
  </si>
  <si>
    <t>{{row:BS-035:current}}</t>
  </si>
  <si>
    <t>{{row:BS-035:prior}}</t>
  </si>
  <si>
    <t>{{row:BS-036:current}}</t>
  </si>
  <si>
    <t>{{row:BS-036:prior}}</t>
  </si>
  <si>
    <t xml:space="preserve">  商誉</t>
  </si>
  <si>
    <t>{{note_ref:BS-037}}</t>
  </si>
  <si>
    <t>{{row:BS-037:current}}</t>
  </si>
  <si>
    <t>{{row:BS-037:prior}}</t>
  </si>
  <si>
    <t xml:space="preserve">  长期待摊费用</t>
  </si>
  <si>
    <t>{{note_ref:BS-038}}</t>
  </si>
  <si>
    <t>{{row:BS-038:current}}</t>
  </si>
  <si>
    <t>{{row:BS-038:prior}}</t>
  </si>
  <si>
    <t xml:space="preserve">  递延所得税资产</t>
  </si>
  <si>
    <t>{{row:BS-039:current}}</t>
  </si>
  <si>
    <t>{{row:BS-039:prior}}</t>
  </si>
  <si>
    <t xml:space="preserve">  其他非流动资产</t>
  </si>
  <si>
    <t>{{note_ref:BS-040}}</t>
  </si>
  <si>
    <t>{{row:BS-040:current}}</t>
  </si>
  <si>
    <t>{{row:BS-040:prior}}</t>
  </si>
  <si>
    <t xml:space="preserve">    非流动资产合计</t>
  </si>
  <si>
    <t xml:space="preserve">      资产总计</t>
  </si>
  <si>
    <t>资产负债表（续）</t>
  </si>
  <si>
    <t>流动负债：</t>
  </si>
  <si>
    <t>　</t>
  </si>
  <si>
    <t xml:space="preserve">  短期借款</t>
  </si>
  <si>
    <t>{{note_ref:BS-044}}</t>
  </si>
  <si>
    <t>{{row:BS-044:current}}</t>
  </si>
  <si>
    <t>{{row:BS-044:prior}}</t>
  </si>
  <si>
    <t xml:space="preserve">  交易性金融负债</t>
  </si>
  <si>
    <t>{{note_ref:BS-045}}</t>
  </si>
  <si>
    <t>{{row:BS-045:current}}</t>
  </si>
  <si>
    <t>{{row:BS-045:prior}}</t>
  </si>
  <si>
    <t xml:space="preserve"> 衍生金融负债</t>
  </si>
  <si>
    <t>{{note_ref:BS-046}}</t>
  </si>
  <si>
    <t>{{row:BS-046:current}}</t>
  </si>
  <si>
    <t>{{row:BS-046:prior}}</t>
  </si>
  <si>
    <t xml:space="preserve">  应付票据</t>
  </si>
  <si>
    <t>{{note_ref:BS-047}}</t>
  </si>
  <si>
    <t>{{row:BS-047:current}}</t>
  </si>
  <si>
    <t>{{row:BS-047:prior}}</t>
  </si>
  <si>
    <t xml:space="preserve">  应付账款</t>
  </si>
  <si>
    <t>{{note_ref:BS-048}}</t>
  </si>
  <si>
    <t>{{row:BS-048:current}}</t>
  </si>
  <si>
    <t>{{row:BS-048:prior}}</t>
  </si>
  <si>
    <t xml:space="preserve">  预收款项</t>
  </si>
  <si>
    <t>{{note_ref:BS-049}}</t>
  </si>
  <si>
    <t>{{row:BS-049:current}}</t>
  </si>
  <si>
    <t>{{row:BS-049:prior}}</t>
  </si>
  <si>
    <t xml:space="preserve">  合同负债</t>
  </si>
  <si>
    <t>{{note_ref:BS-050}}</t>
  </si>
  <si>
    <t>{{row:BS-050:current}}</t>
  </si>
  <si>
    <t>{{row:BS-050:prior}}</t>
  </si>
  <si>
    <t xml:space="preserve">  应付职工薪酬</t>
  </si>
  <si>
    <t>{{note_ref:BS-051}}</t>
  </si>
  <si>
    <t>{{row:BS-051:current}}</t>
  </si>
  <si>
    <t>{{row:BS-051:prior}}</t>
  </si>
  <si>
    <t xml:space="preserve">  应交税费</t>
  </si>
  <si>
    <t>{{note_ref:BS-052}}</t>
  </si>
  <si>
    <t>{{row:BS-052:current}}</t>
  </si>
  <si>
    <t>{{row:BS-052:prior}}</t>
  </si>
  <si>
    <t xml:space="preserve">  其他应付款</t>
  </si>
  <si>
    <t>{{note_ref:BS-053}}</t>
  </si>
  <si>
    <t>{{row:BS-053:current}}</t>
  </si>
  <si>
    <t>{{row:BS-053:prior}}</t>
  </si>
  <si>
    <t xml:space="preserve">  其中：应付利息</t>
  </si>
  <si>
    <t>{{row:BS-054:current}}</t>
  </si>
  <si>
    <t>{{row:BS-054:prior}}</t>
  </si>
  <si>
    <t xml:space="preserve">                应付股利</t>
  </si>
  <si>
    <t>{{row:BS-055:current}}</t>
  </si>
  <si>
    <t>{{row:BS-055:prior}}</t>
  </si>
  <si>
    <t xml:space="preserve">  持有待售负债</t>
  </si>
  <si>
    <t>{{row:BS-056:current}}</t>
  </si>
  <si>
    <t>{{row:BS-056:prior}}</t>
  </si>
  <si>
    <t xml:space="preserve">  一年内到期的非流动负债</t>
  </si>
  <si>
    <t>{{note_ref:BS-057}}</t>
  </si>
  <si>
    <t>{{row:BS-057:current}}</t>
  </si>
  <si>
    <t>{{row:BS-057:prior}}</t>
  </si>
  <si>
    <t xml:space="preserve">  其他流动负债</t>
  </si>
  <si>
    <t>{{note_ref:BS-058}}</t>
  </si>
  <si>
    <t>{{row:BS-058:current}}</t>
  </si>
  <si>
    <t>{{row:BS-058:prior}}</t>
  </si>
  <si>
    <t>在一年或一个正常营业周期内清偿的应付退货款应在“其他流动负债”项目反映</t>
  </si>
  <si>
    <t xml:space="preserve">    流动负债合计</t>
  </si>
  <si>
    <t>非流动负债：</t>
  </si>
  <si>
    <t xml:space="preserve">  长期借款</t>
  </si>
  <si>
    <t>{{note_ref:BS-061}}</t>
  </si>
  <si>
    <t>{{row:BS-061:current}}</t>
  </si>
  <si>
    <t>{{row:BS-061:prior}}</t>
  </si>
  <si>
    <t xml:space="preserve">  应付债券</t>
  </si>
  <si>
    <t>{{note_ref:BS-062}}</t>
  </si>
  <si>
    <t>{{row:BS-062:current}}</t>
  </si>
  <si>
    <t>{{row:BS-062:prior}}</t>
  </si>
  <si>
    <t xml:space="preserve"> 其中：优先股</t>
  </si>
  <si>
    <t>{{row:BS-063:current}}</t>
  </si>
  <si>
    <t>{{row:BS-063:prior}}</t>
  </si>
  <si>
    <t xml:space="preserve">       永续债</t>
  </si>
  <si>
    <t>{{row:BS-064:current}}</t>
  </si>
  <si>
    <t>{{row:BS-064:prior}}</t>
  </si>
  <si>
    <t xml:space="preserve"> 租赁负债</t>
  </si>
  <si>
    <t>{{note_ref:BS-065}}</t>
  </si>
  <si>
    <t>{{row:BS-065:current}}</t>
  </si>
  <si>
    <t>{{row:BS-065:prior}}</t>
  </si>
  <si>
    <t xml:space="preserve">  长期应付款</t>
  </si>
  <si>
    <t>{{note_ref:BS-066}}</t>
  </si>
  <si>
    <t>{{row:BS-066:current}}</t>
  </si>
  <si>
    <t>{{row:BS-066:prior}}</t>
  </si>
  <si>
    <t xml:space="preserve"> 长期应付职工薪酬</t>
  </si>
  <si>
    <t>{{note_ref:BS-067}}</t>
  </si>
  <si>
    <t>{{row:BS-067:current}}</t>
  </si>
  <si>
    <t>{{row:BS-067:prior}}</t>
  </si>
  <si>
    <t xml:space="preserve">  预计负债</t>
  </si>
  <si>
    <t>{{note_ref:BS-068}}</t>
  </si>
  <si>
    <t>{{row:BS-068:current}}</t>
  </si>
  <si>
    <t>{{row:BS-068:prior}}</t>
  </si>
  <si>
    <t>不能在一年或一个正常营业周期内清偿的应付退货款在“预计负债”项目反映</t>
  </si>
  <si>
    <t xml:space="preserve">  递延收益</t>
  </si>
  <si>
    <t>{{note_ref:BS-069}}</t>
  </si>
  <si>
    <t>{{row:BS-069:current}}</t>
  </si>
  <si>
    <t>{{row:BS-069:prior}}</t>
  </si>
  <si>
    <t xml:space="preserve">  递延所得税负债</t>
  </si>
  <si>
    <t>{{row:BS-070:current}}</t>
  </si>
  <si>
    <t>{{row:BS-070:prior}}</t>
  </si>
  <si>
    <t xml:space="preserve">  其他非流动负债</t>
  </si>
  <si>
    <t>{{note_ref:BS-071}}</t>
  </si>
  <si>
    <t>{{row:BS-071:current}}</t>
  </si>
  <si>
    <t>{{row:BS-071:prior}}</t>
  </si>
  <si>
    <t xml:space="preserve">    非流动负债合计</t>
  </si>
  <si>
    <t xml:space="preserve">      负债合计</t>
  </si>
  <si>
    <t>股东权益：</t>
  </si>
  <si>
    <t xml:space="preserve">  股本</t>
  </si>
  <si>
    <t>{{note_ref:BS-075}}</t>
  </si>
  <si>
    <t>{{row:BS-075:current}}</t>
  </si>
  <si>
    <t>{{row:BS-075:prior}}</t>
  </si>
  <si>
    <t xml:space="preserve"> 其他权益工具</t>
  </si>
  <si>
    <t>{{note_ref:BS-076}}</t>
  </si>
  <si>
    <t>{{row:BS-076:current}}</t>
  </si>
  <si>
    <t>{{row:BS-076:prior}}</t>
  </si>
  <si>
    <t>其中：优先股</t>
  </si>
  <si>
    <t>{{row:BS-077:current}}</t>
  </si>
  <si>
    <t>{{row:BS-077:prior}}</t>
  </si>
  <si>
    <t xml:space="preserve">            永续债</t>
  </si>
  <si>
    <t>{{row:BS-078:current}}</t>
  </si>
  <si>
    <t>{{row:BS-078:prior}}</t>
  </si>
  <si>
    <t xml:space="preserve">  资本公积</t>
  </si>
  <si>
    <t>{{note_ref:BS-079}}</t>
  </si>
  <si>
    <t>{{row:BS-079:current}}</t>
  </si>
  <si>
    <t>{{row:BS-079:prior}}</t>
  </si>
  <si>
    <t xml:space="preserve">  减：库存股</t>
  </si>
  <si>
    <t>{{row:BS-080:current}}</t>
  </si>
  <si>
    <t>{{row:BS-080:prior}}</t>
  </si>
  <si>
    <t xml:space="preserve"> 其他综合收益</t>
  </si>
  <si>
    <t>{{note_ref:BS-081}}</t>
  </si>
  <si>
    <t>{{row:BS-081:current}}</t>
  </si>
  <si>
    <t>{{row:BS-081:prior}}</t>
  </si>
  <si>
    <t xml:space="preserve">  专项储备</t>
  </si>
  <si>
    <t>{{note_ref:BS-082}}</t>
  </si>
  <si>
    <t>{{row:BS-082:current}}</t>
  </si>
  <si>
    <t>{{row:BS-082:prior}}</t>
  </si>
  <si>
    <t xml:space="preserve">  盈余公积</t>
  </si>
  <si>
    <t>{{note_ref:BS-083}}</t>
  </si>
  <si>
    <t>{{row:BS-083:current}}</t>
  </si>
  <si>
    <t>{{row:BS-083:prior}}</t>
  </si>
  <si>
    <t xml:space="preserve">  未分配利润</t>
  </si>
  <si>
    <t>{{note_ref:BS-084}}</t>
  </si>
  <si>
    <t>{{row:BS-084:current}}</t>
  </si>
  <si>
    <t>{{row:BS-084:prior}}</t>
  </si>
  <si>
    <t xml:space="preserve">    股东权益合计</t>
  </si>
  <si>
    <t xml:space="preserve">    负债和股东权益总计</t>
  </si>
  <si>
    <t>公司法定代表人：</t>
  </si>
  <si>
    <t xml:space="preserve">主管会计工作的公司负责人：          </t>
  </si>
  <si>
    <t>公司会计机构负责人：</t>
  </si>
  <si>
    <t>利润表</t>
  </si>
  <si>
    <t>2025年度</t>
  </si>
  <si>
    <t xml:space="preserve">          单位：{{currency_unit}}</t>
  </si>
  <si>
    <t>本期金额</t>
  </si>
  <si>
    <t>上期金额</t>
  </si>
  <si>
    <t>一、营业收入</t>
  </si>
  <si>
    <t>{{row:IS-001:current}}</t>
  </si>
  <si>
    <t>{{row:IS-001:prior}}</t>
  </si>
  <si>
    <t xml:space="preserve">    减：营业成本</t>
  </si>
  <si>
    <t>{{row:IS-002:current}}</t>
  </si>
  <si>
    <t>{{row:IS-002:prior}}</t>
  </si>
  <si>
    <t xml:space="preserve">             税金及附加</t>
  </si>
  <si>
    <t>{{note_ref:IS-003}}</t>
  </si>
  <si>
    <t>{{row:IS-003:current}}</t>
  </si>
  <si>
    <t>{{row:IS-003:prior}}</t>
  </si>
  <si>
    <t xml:space="preserve">             销售费用</t>
  </si>
  <si>
    <t>{{note_ref:IS-004}}</t>
  </si>
  <si>
    <t>{{row:IS-004:current}}</t>
  </si>
  <si>
    <t>{{row:IS-004:prior}}</t>
  </si>
  <si>
    <t xml:space="preserve">             管理费用</t>
  </si>
  <si>
    <t>{{note_ref:IS-005}}</t>
  </si>
  <si>
    <t>{{row:IS-005:current}}</t>
  </si>
  <si>
    <t>{{row:IS-005:prior}}</t>
  </si>
  <si>
    <t xml:space="preserve">             研发费用</t>
  </si>
  <si>
    <t>{{note_ref:IS-006}}</t>
  </si>
  <si>
    <t>{{row:IS-006:current}}</t>
  </si>
  <si>
    <t>{{row:IS-006:prior}}</t>
  </si>
  <si>
    <t xml:space="preserve">             财务费用</t>
  </si>
  <si>
    <t>{{note_ref:IS-007}}</t>
  </si>
  <si>
    <t>{{row:IS-007:current}}</t>
  </si>
  <si>
    <t>{{row:IS-007:prior}}</t>
  </si>
  <si>
    <t>　　　    其中：利息费用</t>
  </si>
  <si>
    <t>{{row:IS-008:current}}</t>
  </si>
  <si>
    <t>{{row:IS-008:prior}}</t>
  </si>
  <si>
    <t>　　　                 利息收入</t>
  </si>
  <si>
    <t>{{row:IS-009:current}}</t>
  </si>
  <si>
    <t>{{row:IS-009:prior}}</t>
  </si>
  <si>
    <t xml:space="preserve">    加：其他收益</t>
  </si>
  <si>
    <t>{{row:IS-010:current}}</t>
  </si>
  <si>
    <t>{{row:IS-010:prior}}</t>
  </si>
  <si>
    <t xml:space="preserve">            投资收益(损失以“-”号填列）</t>
  </si>
  <si>
    <t>{{note_ref:IS-011}}</t>
  </si>
  <si>
    <t>{{row:IS-011:current}}</t>
  </si>
  <si>
    <t>{{row:IS-011:prior}}</t>
  </si>
  <si>
    <t>　　　    其中：对联营企业和合营企业的投资收益</t>
  </si>
  <si>
    <t>{{row:IS-012:current}}</t>
  </si>
  <si>
    <t>{{row:IS-012:prior}}</t>
  </si>
  <si>
    <t xml:space="preserve">                            以摊余成本计量的金融资产终止确认收益（损失以“-”号填列）</t>
  </si>
  <si>
    <t>{{row:IS-013:current}}</t>
  </si>
  <si>
    <t>{{row:IS-013:prior}}</t>
  </si>
  <si>
    <t xml:space="preserve">            净敞口套期收益(损失以“-”号填列）</t>
  </si>
  <si>
    <t>{{note_ref:IS-014}}</t>
  </si>
  <si>
    <t>{{row:IS-014:current}}</t>
  </si>
  <si>
    <t>{{row:IS-014:prior}}</t>
  </si>
  <si>
    <t xml:space="preserve">            公允价值变动收益(损失以“-”号填列）</t>
  </si>
  <si>
    <t>{{note_ref:IS-015}}</t>
  </si>
  <si>
    <t>{{row:IS-015:current}}</t>
  </si>
  <si>
    <t>{{row:IS-015:prior}}</t>
  </si>
  <si>
    <t xml:space="preserve">            信用减值损失(损失以“-”号填列）</t>
  </si>
  <si>
    <t>{{note_ref:IS-016}}</t>
  </si>
  <si>
    <t>{{row:IS-016:current}}</t>
  </si>
  <si>
    <t>{{row:IS-016:prior}}</t>
  </si>
  <si>
    <t xml:space="preserve">            资产减值损失(损失以“-”号填列）</t>
  </si>
  <si>
    <t>{{note_ref:IS-017}}</t>
  </si>
  <si>
    <t>{{row:IS-017:current}}</t>
  </si>
  <si>
    <t>{{row:IS-017:prior}}</t>
  </si>
  <si>
    <t xml:space="preserve">            资产处置收益(损失以“-”号填列）</t>
  </si>
  <si>
    <t>{{note_ref:IS-018}}</t>
  </si>
  <si>
    <t>{{row:IS-018:current}}</t>
  </si>
  <si>
    <t>{{row:IS-018:prior}}</t>
  </si>
  <si>
    <t>二、营业利润(亏损以“-”号填列）</t>
  </si>
  <si>
    <t xml:space="preserve">    加：营业外收入</t>
  </si>
  <si>
    <t>{{row:IS-020:current}}</t>
  </si>
  <si>
    <t>{{row:IS-020:prior}}</t>
  </si>
  <si>
    <t xml:space="preserve">    减：营业外支出</t>
  </si>
  <si>
    <t>{{row:IS-021:current}}</t>
  </si>
  <si>
    <t>{{row:IS-021:prior}}</t>
  </si>
  <si>
    <t>三、利润总额(亏损总额以“-”号填列）</t>
  </si>
  <si>
    <t xml:space="preserve">    减：所得税费用</t>
  </si>
  <si>
    <t>{{row:IS-023:current}}</t>
  </si>
  <si>
    <t>{{row:IS-023:prior}}</t>
  </si>
  <si>
    <t>四、净利润(净亏损以“-”号填列）</t>
  </si>
  <si>
    <t xml:space="preserve">  （一）按经营持续性分类：</t>
  </si>
  <si>
    <t xml:space="preserve">    其中：持续经营净利润（净亏损以“-”号填列）</t>
  </si>
  <si>
    <t xml:space="preserve">                 终止经营净利润（净亏损以“-”号填列）</t>
  </si>
  <si>
    <t>{{row:IS-027:current}}</t>
  </si>
  <si>
    <t>{{row:IS-027:prior}}</t>
  </si>
  <si>
    <t xml:space="preserve">  （二）按所有权归属分类：</t>
  </si>
  <si>
    <t xml:space="preserve">     其中：归属于母公司股东的净利润（净亏损以“-”号填列）</t>
  </si>
  <si>
    <t>{{row:IS-029:current}}</t>
  </si>
  <si>
    <t>{{row:IS-029:prior}}</t>
  </si>
  <si>
    <t xml:space="preserve">                   少数股东损益（净亏损以“-”号填列）</t>
  </si>
  <si>
    <t>{{row:IS-030:current}}</t>
  </si>
  <si>
    <t>{{row:IS-030:prior}}</t>
  </si>
  <si>
    <t>五、其他综合收益的税后净额</t>
  </si>
  <si>
    <t xml:space="preserve">    归属于母公司股东的其他综合收益的税后净额</t>
  </si>
  <si>
    <t>{{row:IS-032:current}}</t>
  </si>
  <si>
    <t>{{row:IS-032:prior}}</t>
  </si>
  <si>
    <t>（一）不能重分类进损益的其他综合收益</t>
  </si>
  <si>
    <t>1. 重新计量设定受益计划变动额</t>
  </si>
  <si>
    <t>{{row:IS-034:current}}</t>
  </si>
  <si>
    <t>{{row:IS-034:prior}}</t>
  </si>
  <si>
    <t>2. 权益法下不能转损益的其他综合收益</t>
  </si>
  <si>
    <t>{{row:IS-035:current}}</t>
  </si>
  <si>
    <t>{{row:IS-035:prior}}</t>
  </si>
  <si>
    <t>3. 其他权益工具投资公允价值变动</t>
  </si>
  <si>
    <t>{{row:IS-036:current}}</t>
  </si>
  <si>
    <t>{{row:IS-036:prior}}</t>
  </si>
  <si>
    <t>4. 企业自身信用风险公允价值变动</t>
  </si>
  <si>
    <t>{{row:IS-037:current}}</t>
  </si>
  <si>
    <t>{{row:IS-037:prior}}</t>
  </si>
  <si>
    <t>5. 其他</t>
  </si>
  <si>
    <t>{{row:IS-038:current}}</t>
  </si>
  <si>
    <t>{{row:IS-038:prior}}</t>
  </si>
  <si>
    <t>（二）将重分类进损益的其他综合收益</t>
  </si>
  <si>
    <t>1. 权益法下可转损益的其他综合收益</t>
  </si>
  <si>
    <t>{{row:IS-040:current}}</t>
  </si>
  <si>
    <t>{{row:IS-040:prior}}</t>
  </si>
  <si>
    <t>2. 其他债权投资公允价值变动</t>
  </si>
  <si>
    <t>{{row:IS-041:current}}</t>
  </si>
  <si>
    <t>{{row:IS-041:prior}}</t>
  </si>
  <si>
    <t>3. 金融资产重分类计入其他综合收益的金额</t>
  </si>
  <si>
    <t>{{row:IS-042:current}}</t>
  </si>
  <si>
    <t>{{row:IS-042:prior}}</t>
  </si>
  <si>
    <t>4. 其他债权投资信用减值准备</t>
  </si>
  <si>
    <t>{{row:IS-043:current}}</t>
  </si>
  <si>
    <t>{{row:IS-043:prior}}</t>
  </si>
  <si>
    <t>5. 现金流量套期储备</t>
  </si>
  <si>
    <t>{{row:IS-044:current}}</t>
  </si>
  <si>
    <t>{{row:IS-044:prior}}</t>
  </si>
  <si>
    <t>6. 外币财务报表折算差额</t>
  </si>
  <si>
    <t>{{row:IS-045:current}}</t>
  </si>
  <si>
    <t>{{row:IS-045:prior}}</t>
  </si>
  <si>
    <t>7. 自用房地产或作为存货的房地产转换为以公允价值计量的投资性房地产在转换日公允价值大于账面价值部分</t>
  </si>
  <si>
    <t>{{row:IS-046:current}}</t>
  </si>
  <si>
    <t>{{row:IS-046:prior}}</t>
  </si>
  <si>
    <t>8. 多次交易分步处置子公司股权构成一揽子交易的，丧失控制权之前各次交易处置价款与对应净资产账面价值份额的差额</t>
  </si>
  <si>
    <t>{{row:IS-047:current}}</t>
  </si>
  <si>
    <t>{{row:IS-047:prior}}</t>
  </si>
  <si>
    <t>9. 其他</t>
  </si>
  <si>
    <t>{{row:IS-048:current}}</t>
  </si>
  <si>
    <t>{{row:IS-048:prior}}</t>
  </si>
  <si>
    <t xml:space="preserve">    归属于少数股东的其他综合收益的税后净额</t>
  </si>
  <si>
    <t>{{row:IS-049:current}}</t>
  </si>
  <si>
    <t>{{row:IS-049:prior}}</t>
  </si>
  <si>
    <t>六、综合收益总额</t>
  </si>
  <si>
    <t xml:space="preserve">    归属于母公司股东的综合收益总额</t>
  </si>
  <si>
    <t>{{row:IS-051:current}}</t>
  </si>
  <si>
    <t>{{row:IS-051:prior}}</t>
  </si>
  <si>
    <t xml:space="preserve">    归属于少数股东的综合收益总额</t>
  </si>
  <si>
    <t>{{row:IS-052:current}}</t>
  </si>
  <si>
    <t>{{row:IS-052:prior}}</t>
  </si>
  <si>
    <t>七、每股收益</t>
  </si>
  <si>
    <t>{{row:IS-053:current}}</t>
  </si>
  <si>
    <t>{{row:IS-053:prior}}</t>
  </si>
  <si>
    <t xml:space="preserve">   （一）基本每股收益</t>
  </si>
  <si>
    <t>{{row:IS-054:current}}</t>
  </si>
  <si>
    <t>{{row:IS-054:prior}}</t>
  </si>
  <si>
    <t xml:space="preserve">   （二）稀释每股收益</t>
  </si>
  <si>
    <t>{{row:IS-055:current}}</t>
  </si>
  <si>
    <t>{{row:IS-055:prior}}</t>
  </si>
  <si>
    <t xml:space="preserve">主管会计工作的公司负责人：         </t>
  </si>
  <si>
    <t>提示：“编制合并报表的公司，只需计算、列报合并口径的基本每股收益和稀释每股收益，无需计算、列报母公司口径的基本每股收益和稀释每股收益。”</t>
  </si>
  <si>
    <t>现金流量表</t>
  </si>
  <si>
    <t>项      目</t>
  </si>
  <si>
    <t>一、经营活动产生的现金流量：</t>
  </si>
  <si>
    <t xml:space="preserve">    销售商品、提供劳务收到的现金</t>
  </si>
  <si>
    <t>{{row:CFS-002:current}}</t>
  </si>
  <si>
    <t>{{row:CFS-002:prior}}</t>
  </si>
  <si>
    <t xml:space="preserve">    收到的税费返还</t>
  </si>
  <si>
    <t>{{row:CFS-003:current}}</t>
  </si>
  <si>
    <t>{{row:CFS-003:prior}}</t>
  </si>
  <si>
    <t xml:space="preserve">    收到其他与经营活动有关的现金</t>
  </si>
  <si>
    <t xml:space="preserve"> </t>
  </si>
  <si>
    <t>{{row:CFS-004:current}}</t>
  </si>
  <si>
    <t>{{row:CFS-004:prior}}</t>
  </si>
  <si>
    <t xml:space="preserve">       经营活动现金流入小计</t>
  </si>
  <si>
    <t xml:space="preserve">    购买商品、接受劳务支付的现金</t>
  </si>
  <si>
    <t>{{row:CFS-006:current}}</t>
  </si>
  <si>
    <t>{{row:CFS-006:prior}}</t>
  </si>
  <si>
    <t xml:space="preserve">    支付给职工以及为职工支付的现金</t>
  </si>
  <si>
    <t>{{row:CFS-007:current}}</t>
  </si>
  <si>
    <t>{{row:CFS-007:prior}}</t>
  </si>
  <si>
    <t xml:space="preserve">    支付的各项税费</t>
  </si>
  <si>
    <t>{{row:CFS-008:current}}</t>
  </si>
  <si>
    <t>{{row:CFS-008:prior}}</t>
  </si>
  <si>
    <t xml:space="preserve">    支付其他与经营活动有关的现金</t>
  </si>
  <si>
    <t>{{row:CFS-009:current}}</t>
  </si>
  <si>
    <t>{{row:CFS-009:prior}}</t>
  </si>
  <si>
    <t xml:space="preserve">       经营活动现金流出小计</t>
  </si>
  <si>
    <t xml:space="preserve">       经营活动产生的现金流量净额</t>
  </si>
  <si>
    <t>二、投资活动产生的现金流量：</t>
  </si>
  <si>
    <t xml:space="preserve">    收回投资收到的现金</t>
  </si>
  <si>
    <t>{{row:CFS-013:current}}</t>
  </si>
  <si>
    <t>{{row:CFS-013:prior}}</t>
  </si>
  <si>
    <t xml:space="preserve">    取得投资收益收到的现金</t>
  </si>
  <si>
    <t>{{row:CFS-014:current}}</t>
  </si>
  <si>
    <t>{{row:CFS-014:prior}}</t>
  </si>
  <si>
    <t xml:space="preserve">    处置固定资产、无形资产和其他长期资产收回的
    现金净额</t>
  </si>
  <si>
    <t>{{row:CFS-015:current}}</t>
  </si>
  <si>
    <t>{{row:CFS-015:prior}}</t>
  </si>
  <si>
    <t xml:space="preserve">    处置子公司及其他营业单位收到的现金净额</t>
  </si>
  <si>
    <t>{{row:CFS-016:current}}</t>
  </si>
  <si>
    <t>{{row:CFS-016:prior}}</t>
  </si>
  <si>
    <t xml:space="preserve">    收到其他与投资活动有关的现金</t>
  </si>
  <si>
    <t>{{row:CFS-017:current}}</t>
  </si>
  <si>
    <t>{{row:CFS-017:prior}}</t>
  </si>
  <si>
    <t xml:space="preserve">       投资活动现金流入小计</t>
  </si>
  <si>
    <t xml:space="preserve">    购建固定资产、无形资产和其他长期资产支付的现金 </t>
  </si>
  <si>
    <t>{{row:CFS-019:current}}</t>
  </si>
  <si>
    <t>{{row:CFS-019:prior}}</t>
  </si>
  <si>
    <t xml:space="preserve">    投资支付的现金</t>
  </si>
  <si>
    <t>{{row:CFS-020:current}}</t>
  </si>
  <si>
    <t>{{row:CFS-020:prior}}</t>
  </si>
  <si>
    <t xml:space="preserve">    取得子公司及其他营业单位支付的现金净额</t>
  </si>
  <si>
    <t>{{row:CFS-021:current}}</t>
  </si>
  <si>
    <t>{{row:CFS-021:prior}}</t>
  </si>
  <si>
    <t xml:space="preserve">    支付其他与投资活动有关的现金</t>
  </si>
  <si>
    <t>{{row:CFS-022:current}}</t>
  </si>
  <si>
    <t>{{row:CFS-022:prior}}</t>
  </si>
  <si>
    <t xml:space="preserve">       投资活动现金流出小计</t>
  </si>
  <si>
    <t xml:space="preserve">       投资活动产生的现金流量净额</t>
  </si>
  <si>
    <t>三、筹资活动产生的现金流量：</t>
  </si>
  <si>
    <t xml:space="preserve">    吸收投资收到的现金</t>
  </si>
  <si>
    <t>{{row:CFS-026:current}}</t>
  </si>
  <si>
    <t>{{row:CFS-026:prior}}</t>
  </si>
  <si>
    <t xml:space="preserve">      其中：子公司吸收少数股东投资收到的现金</t>
  </si>
  <si>
    <t>{{row:CFS-027:current}}</t>
  </si>
  <si>
    <t>{{row:CFS-027:prior}}</t>
  </si>
  <si>
    <t xml:space="preserve">    取得借款收到的现金</t>
  </si>
  <si>
    <t>{{row:CFS-028:current}}</t>
  </si>
  <si>
    <t>{{row:CFS-028:prior}}</t>
  </si>
  <si>
    <t xml:space="preserve">  发行债券收到的现金</t>
  </si>
  <si>
    <t>{{row:CFS-029:current}}</t>
  </si>
  <si>
    <t>{{row:CFS-029:prior}}</t>
  </si>
  <si>
    <t xml:space="preserve">    收到其他与筹资活动有关的现金</t>
  </si>
  <si>
    <t>{{row:CFS-030:current}}</t>
  </si>
  <si>
    <t>{{row:CFS-030:prior}}</t>
  </si>
  <si>
    <t xml:space="preserve">       筹资活动现金流入小计</t>
  </si>
  <si>
    <t xml:space="preserve">    偿还债务支付的现金</t>
  </si>
  <si>
    <t>{{row:CFS-032:current}}</t>
  </si>
  <si>
    <t>{{row:CFS-032:prior}}</t>
  </si>
  <si>
    <t xml:space="preserve">    分配股利、利润或偿付利息支付的现金</t>
  </si>
  <si>
    <t>{{row:CFS-033:current}}</t>
  </si>
  <si>
    <t>{{row:CFS-033:prior}}</t>
  </si>
  <si>
    <t xml:space="preserve">      其中：子公司支付少数股东的股利、利润</t>
  </si>
  <si>
    <t>{{row:CFS-034:current}}</t>
  </si>
  <si>
    <t>{{row:CFS-034:prior}}</t>
  </si>
  <si>
    <t xml:space="preserve">    支付其他与筹资活动有关的现金</t>
  </si>
  <si>
    <t>{{row:CFS-035:current}}</t>
  </si>
  <si>
    <t>{{row:CFS-035:prior}}</t>
  </si>
  <si>
    <t xml:space="preserve">       筹资活动现金流出小计</t>
  </si>
  <si>
    <t xml:space="preserve">       筹资活动产生的现金流量净额</t>
  </si>
  <si>
    <t>四、汇率变动对现金及现金等价物的影响</t>
  </si>
  <si>
    <t>{{row:CFS-038:current}}</t>
  </si>
  <si>
    <t>{{row:CFS-038:prior}}</t>
  </si>
  <si>
    <t>五、现金及现金等价物净增加额</t>
  </si>
  <si>
    <t>{{row:CFS-039:current}}</t>
  </si>
  <si>
    <t>{{row:CFS-039:prior}}</t>
  </si>
  <si>
    <t xml:space="preserve">    加：期初现金及现金等价物余额</t>
  </si>
  <si>
    <t>{{row:CFS-040:current}}</t>
  </si>
  <si>
    <t>{{row:CFS-040:prior}}</t>
  </si>
  <si>
    <t>六、期末现金及现金等价物余额</t>
  </si>
  <si>
    <t>公司法定代表人：         主管会计工作的公司负责人：          公司会计机构负责人：</t>
  </si>
  <si>
    <t>【提示：根据财政部2020年报通知（财会〔2021〕2号）：企业对不存在相应业务的报表项目可结合本企业的实际情况进行必要删减，企业根据重要性原则并结合本企业的实际情况，对确需单独列示的内容可增加报表项目。例如，可以在合并现金流量表中“筹资活动产生的现金流量”项下增加“发行债券收到的现金”项目。】</t>
  </si>
  <si>
    <t>【提示：根据《关于严格执行企业会计准则切实做好企业2022年年报工作的通知》（财会〔2022〕32号），企业收到或缴回留抵退税款项产生的现金流量，属于经营活动产生的现金流量，应将收到的留抵退税款项有关现金流量在“收到的税费返还”项目列示。】</t>
  </si>
  <si>
    <t>【提示：对于因收购的标的公司未达业绩承诺而支付的业绩补偿款，应分类为投资活动现金流量。对一般非金融企业而言，如果定期存款质押目的是为了获取短期借款，相关现金流量应被分类为筹资活动现金流量。】</t>
  </si>
  <si>
    <t xml:space="preserve">                    公司股东（或所有者）权益变动表</t>
  </si>
  <si>
    <t xml:space="preserve">                    公司股东权益变动表</t>
  </si>
  <si>
    <t>{{audit_year}}年度</t>
  </si>
  <si>
    <t>单位：人民币元</t>
  </si>
  <si>
    <t>项  目</t>
  </si>
  <si>
    <t>本年金额</t>
  </si>
  <si>
    <t>上年金额</t>
  </si>
  <si>
    <t>股本</t>
  </si>
  <si>
    <t>其他权益工具</t>
  </si>
  <si>
    <t>资本公积</t>
  </si>
  <si>
    <t>减：库存股</t>
  </si>
  <si>
    <t>其他综合
收益</t>
  </si>
  <si>
    <t>专项储备</t>
  </si>
  <si>
    <t>盈余公积</t>
  </si>
  <si>
    <t>未分配利润</t>
  </si>
  <si>
    <t>股东权益合计</t>
  </si>
  <si>
    <t>优先股</t>
  </si>
  <si>
    <t>永续债</t>
  </si>
  <si>
    <t>其他</t>
  </si>
  <si>
    <t>一、上年年末余额</t>
  </si>
  <si>
    <t>{{eq:EQ-001:current_year:share_capital}}</t>
  </si>
  <si>
    <t>{{eq:EQ-001:current_year:other_equity_instrument}}</t>
  </si>
  <si>
    <t>{{eq:EQ-001:current_year:perpetual_bond}}</t>
  </si>
  <si>
    <t>{{eq:EQ-001:current_year:capital_reserve}}</t>
  </si>
  <si>
    <t>{{eq:EQ-001:current_year:treasury_stock}}</t>
  </si>
  <si>
    <t>{{eq:EQ-001:current_year:other_comprehensive_income}}</t>
  </si>
  <si>
    <t>{{eq:EQ-001:current_year:special_reserve}}</t>
  </si>
  <si>
    <t>{{eq:EQ-001:current_year:surplus_reserve}}</t>
  </si>
  <si>
    <t>{{eq:EQ-001:current_year:retained_earnings}}</t>
  </si>
  <si>
    <t>{{eq:EQ-001:prior_year:share_capital}}</t>
  </si>
  <si>
    <t>{{eq:EQ-001:prior_year:other_equity_instrument}}</t>
  </si>
  <si>
    <t>{{eq:EQ-001:prior_year:perpetual_bond}}</t>
  </si>
  <si>
    <t>{{eq:EQ-001:prior_year:capital_reserve}}</t>
  </si>
  <si>
    <t>{{eq:EQ-001:prior_year:treasury_stock}}</t>
  </si>
  <si>
    <t>{{eq:EQ-001:prior_year:other_comprehensive_income}}</t>
  </si>
  <si>
    <t>{{eq:EQ-001:prior_year:special_reserve}}</t>
  </si>
  <si>
    <t>{{eq:EQ-001:prior_year:surplus_reserve}}</t>
  </si>
  <si>
    <t>{{eq:EQ-001:prior_year:retained_earnings}}</t>
  </si>
  <si>
    <t xml:space="preserve">  加：会计政策变更</t>
  </si>
  <si>
    <t>{{eq:EQ-002:current_year:share_capital}}</t>
  </si>
  <si>
    <t>{{eq:EQ-002:current_year:other_equity_instrument}}</t>
  </si>
  <si>
    <t>{{eq:EQ-002:current_year:perpetual_bond}}</t>
  </si>
  <si>
    <t>{{eq:EQ-002:current_year:capital_reserve}}</t>
  </si>
  <si>
    <t>{{eq:EQ-002:current_year:treasury_stock}}</t>
  </si>
  <si>
    <t>{{eq:EQ-002:current_year:other_comprehensive_income}}</t>
  </si>
  <si>
    <t>{{eq:EQ-002:current_year:special_reserve}}</t>
  </si>
  <si>
    <t>{{eq:EQ-002:current_year:surplus_reserve}}</t>
  </si>
  <si>
    <t>{{eq:EQ-002:current_year:retained_earnings}}</t>
  </si>
  <si>
    <t>{{eq:EQ-002:prior_year:share_capital}}</t>
  </si>
  <si>
    <t>{{eq:EQ-002:prior_year:other_equity_instrument}}</t>
  </si>
  <si>
    <t>{{eq:EQ-002:prior_year:perpetual_bond}}</t>
  </si>
  <si>
    <t>{{eq:EQ-002:prior_year:capital_reserve}}</t>
  </si>
  <si>
    <t>{{eq:EQ-002:prior_year:treasury_stock}}</t>
  </si>
  <si>
    <t>{{eq:EQ-002:prior_year:other_comprehensive_income}}</t>
  </si>
  <si>
    <t>{{eq:EQ-002:prior_year:special_reserve}}</t>
  </si>
  <si>
    <t>{{eq:EQ-002:prior_year:surplus_reserve}}</t>
  </si>
  <si>
    <t>{{eq:EQ-002:prior_year:retained_earnings}}</t>
  </si>
  <si>
    <t xml:space="preserve">           前期差错更正</t>
  </si>
  <si>
    <t>{{eq:EQ-003:current_year:share_capital}}</t>
  </si>
  <si>
    <t>{{eq:EQ-003:current_year:other_equity_instrument}}</t>
  </si>
  <si>
    <t>{{eq:EQ-003:current_year:perpetual_bond}}</t>
  </si>
  <si>
    <t>{{eq:EQ-003:current_year:capital_reserve}}</t>
  </si>
  <si>
    <t>{{eq:EQ-003:current_year:treasury_stock}}</t>
  </si>
  <si>
    <t>{{eq:EQ-003:current_year:other_comprehensive_income}}</t>
  </si>
  <si>
    <t>{{eq:EQ-003:current_year:special_reserve}}</t>
  </si>
  <si>
    <t>{{eq:EQ-003:current_year:surplus_reserve}}</t>
  </si>
  <si>
    <t>{{eq:EQ-003:current_year:retained_earnings}}</t>
  </si>
  <si>
    <t>{{eq:EQ-003:prior_year:share_capital}}</t>
  </si>
  <si>
    <t>{{eq:EQ-003:prior_year:other_equity_instrument}}</t>
  </si>
  <si>
    <t>{{eq:EQ-003:prior_year:perpetual_bond}}</t>
  </si>
  <si>
    <t>{{eq:EQ-003:prior_year:capital_reserve}}</t>
  </si>
  <si>
    <t>{{eq:EQ-003:prior_year:treasury_stock}}</t>
  </si>
  <si>
    <t>{{eq:EQ-003:prior_year:other_comprehensive_income}}</t>
  </si>
  <si>
    <t>{{eq:EQ-003:prior_year:special_reserve}}</t>
  </si>
  <si>
    <t>{{eq:EQ-003:prior_year:surplus_reserve}}</t>
  </si>
  <si>
    <t>{{eq:EQ-003:prior_year:retained_earnings}}</t>
  </si>
  <si>
    <t xml:space="preserve">           其他</t>
  </si>
  <si>
    <t>{{eq:EQ-004:current_year:share_capital}}</t>
  </si>
  <si>
    <t>{{eq:EQ-004:current_year:other_equity_instrument}}</t>
  </si>
  <si>
    <t>{{eq:EQ-004:current_year:perpetual_bond}}</t>
  </si>
  <si>
    <t>{{eq:EQ-004:current_year:capital_reserve}}</t>
  </si>
  <si>
    <t>{{eq:EQ-004:current_year:treasury_stock}}</t>
  </si>
  <si>
    <t>{{eq:EQ-004:current_year:other_comprehensive_income}}</t>
  </si>
  <si>
    <t>{{eq:EQ-004:current_year:special_reserve}}</t>
  </si>
  <si>
    <t>{{eq:EQ-004:current_year:surplus_reserve}}</t>
  </si>
  <si>
    <t>{{eq:EQ-004:current_year:retained_earnings}}</t>
  </si>
  <si>
    <t>{{eq:EQ-004:prior_year:share_capital}}</t>
  </si>
  <si>
    <t>{{eq:EQ-004:prior_year:other_equity_instrument}}</t>
  </si>
  <si>
    <t>{{eq:EQ-004:prior_year:perpetual_bond}}</t>
  </si>
  <si>
    <t>{{eq:EQ-004:prior_year:capital_reserve}}</t>
  </si>
  <si>
    <t>{{eq:EQ-004:prior_year:treasury_stock}}</t>
  </si>
  <si>
    <t>{{eq:EQ-004:prior_year:other_comprehensive_income}}</t>
  </si>
  <si>
    <t>{{eq:EQ-004:prior_year:special_reserve}}</t>
  </si>
  <si>
    <t>{{eq:EQ-004:prior_year:surplus_reserve}}</t>
  </si>
  <si>
    <t>{{eq:EQ-004:prior_year:retained_earnings}}</t>
  </si>
  <si>
    <t>二、本年年初余额</t>
  </si>
  <si>
    <t>三、本年增减变动金额（减少以“-”号填列）</t>
  </si>
  <si>
    <t>（一）综合收益总额</t>
  </si>
  <si>
    <t>{{eq:EQ-007:current_year:share_capital}}</t>
  </si>
  <si>
    <t>{{eq:EQ-007:current_year:other_equity_instrument}}</t>
  </si>
  <si>
    <t>{{eq:EQ-007:current_year:perpetual_bond}}</t>
  </si>
  <si>
    <t>{{eq:EQ-007:current_year:capital_reserve}}</t>
  </si>
  <si>
    <t>{{eq:EQ-007:current_year:treasury_stock}}</t>
  </si>
  <si>
    <t>{{eq:EQ-007:current_year:other_comprehensive_income}}</t>
  </si>
  <si>
    <t>{{eq:EQ-007:current_year:special_reserve}}</t>
  </si>
  <si>
    <t>{{eq:EQ-007:current_year:surplus_reserve}}</t>
  </si>
  <si>
    <t>{{eq:EQ-007:current_year:retained_earnings}}</t>
  </si>
  <si>
    <t>{{eq:EQ-007:prior_year:share_capital}}</t>
  </si>
  <si>
    <t>{{eq:EQ-007:prior_year:other_equity_instrument}}</t>
  </si>
  <si>
    <t>{{eq:EQ-007:prior_year:perpetual_bond}}</t>
  </si>
  <si>
    <t>{{eq:EQ-007:prior_year:capital_reserve}}</t>
  </si>
  <si>
    <t>{{eq:EQ-007:prior_year:treasury_stock}}</t>
  </si>
  <si>
    <t>{{eq:EQ-007:prior_year:other_comprehensive_income}}</t>
  </si>
  <si>
    <t>{{eq:EQ-007:prior_year:special_reserve}}</t>
  </si>
  <si>
    <t>{{eq:EQ-007:prior_year:surplus_reserve}}</t>
  </si>
  <si>
    <t>{{eq:EQ-007:prior_year:retained_earnings}}</t>
  </si>
  <si>
    <t>（二）股东（或所有者）投入和减少资本</t>
  </si>
  <si>
    <t xml:space="preserve"> 1．股东投入的普通股</t>
  </si>
  <si>
    <t>{{eq:EQ-009:current_year:share_capital}}</t>
  </si>
  <si>
    <t>{{eq:EQ-009:current_year:other_equity_instrument}}</t>
  </si>
  <si>
    <t>{{eq:EQ-009:current_year:perpetual_bond}}</t>
  </si>
  <si>
    <t>{{eq:EQ-009:current_year:capital_reserve}}</t>
  </si>
  <si>
    <t>{{eq:EQ-009:current_year:treasury_stock}}</t>
  </si>
  <si>
    <t>{{eq:EQ-009:current_year:other_comprehensive_income}}</t>
  </si>
  <si>
    <t>{{eq:EQ-009:current_year:special_reserve}}</t>
  </si>
  <si>
    <t>{{eq:EQ-009:current_year:surplus_reserve}}</t>
  </si>
  <si>
    <t>{{eq:EQ-009:current_year:retained_earnings}}</t>
  </si>
  <si>
    <t>{{eq:EQ-009:prior_year:share_capital}}</t>
  </si>
  <si>
    <t>{{eq:EQ-009:prior_year:other_equity_instrument}}</t>
  </si>
  <si>
    <t>{{eq:EQ-009:prior_year:perpetual_bond}}</t>
  </si>
  <si>
    <t>{{eq:EQ-009:prior_year:capital_reserve}}</t>
  </si>
  <si>
    <t>{{eq:EQ-009:prior_year:treasury_stock}}</t>
  </si>
  <si>
    <t>{{eq:EQ-009:prior_year:other_comprehensive_income}}</t>
  </si>
  <si>
    <t>{{eq:EQ-009:prior_year:special_reserve}}</t>
  </si>
  <si>
    <t>{{eq:EQ-009:prior_year:surplus_reserve}}</t>
  </si>
  <si>
    <t>{{eq:EQ-009:prior_year:retained_earnings}}</t>
  </si>
  <si>
    <t xml:space="preserve"> 2.  其他权益工具持有者投入资本</t>
  </si>
  <si>
    <t>{{eq:EQ-010:current_year:share_capital}}</t>
  </si>
  <si>
    <t>{{eq:EQ-010:current_year:other_equity_instrument}}</t>
  </si>
  <si>
    <t>{{eq:EQ-010:current_year:perpetual_bond}}</t>
  </si>
  <si>
    <t>{{eq:EQ-010:current_year:capital_reserve}}</t>
  </si>
  <si>
    <t>{{eq:EQ-010:current_year:treasury_stock}}</t>
  </si>
  <si>
    <t>{{eq:EQ-010:current_year:other_comprehensive_income}}</t>
  </si>
  <si>
    <t>{{eq:EQ-010:current_year:special_reserve}}</t>
  </si>
  <si>
    <t>{{eq:EQ-010:current_year:surplus_reserve}}</t>
  </si>
  <si>
    <t>{{eq:EQ-010:current_year:retained_earnings}}</t>
  </si>
  <si>
    <t>{{eq:EQ-010:prior_year:share_capital}}</t>
  </si>
  <si>
    <t>{{eq:EQ-010:prior_year:other_equity_instrument}}</t>
  </si>
  <si>
    <t>{{eq:EQ-010:prior_year:perpetual_bond}}</t>
  </si>
  <si>
    <t>{{eq:EQ-010:prior_year:capital_reserve}}</t>
  </si>
  <si>
    <t>{{eq:EQ-010:prior_year:treasury_stock}}</t>
  </si>
  <si>
    <t>{{eq:EQ-010:prior_year:other_comprehensive_income}}</t>
  </si>
  <si>
    <t>{{eq:EQ-010:prior_year:special_reserve}}</t>
  </si>
  <si>
    <t>{{eq:EQ-010:prior_year:surplus_reserve}}</t>
  </si>
  <si>
    <t>{{eq:EQ-010:prior_year:retained_earnings}}</t>
  </si>
  <si>
    <t xml:space="preserve"> 3．股份支付计入股东权益的金额</t>
  </si>
  <si>
    <t>{{eq:EQ-011:current_year:share_capital}}</t>
  </si>
  <si>
    <t>{{eq:EQ-011:current_year:other_equity_instrument}}</t>
  </si>
  <si>
    <t>{{eq:EQ-011:current_year:perpetual_bond}}</t>
  </si>
  <si>
    <t>{{eq:EQ-011:current_year:capital_reserve}}</t>
  </si>
  <si>
    <t>{{eq:EQ-011:current_year:treasury_stock}}</t>
  </si>
  <si>
    <t>{{eq:EQ-011:current_year:other_comprehensive_income}}</t>
  </si>
  <si>
    <t>{{eq:EQ-011:current_year:special_reserve}}</t>
  </si>
  <si>
    <t>{{eq:EQ-011:current_year:surplus_reserve}}</t>
  </si>
  <si>
    <t>{{eq:EQ-011:current_year:retained_earnings}}</t>
  </si>
  <si>
    <t>{{eq:EQ-011:prior_year:share_capital}}</t>
  </si>
  <si>
    <t>{{eq:EQ-011:prior_year:other_equity_instrument}}</t>
  </si>
  <si>
    <t>{{eq:EQ-011:prior_year:perpetual_bond}}</t>
  </si>
  <si>
    <t>{{eq:EQ-011:prior_year:capital_reserve}}</t>
  </si>
  <si>
    <t>{{eq:EQ-011:prior_year:treasury_stock}}</t>
  </si>
  <si>
    <t>{{eq:EQ-011:prior_year:other_comprehensive_income}}</t>
  </si>
  <si>
    <t>{{eq:EQ-011:prior_year:special_reserve}}</t>
  </si>
  <si>
    <t>{{eq:EQ-011:prior_year:surplus_reserve}}</t>
  </si>
  <si>
    <t>{{eq:EQ-011:prior_year:retained_earnings}}</t>
  </si>
  <si>
    <t xml:space="preserve"> 4．其他</t>
  </si>
  <si>
    <t>{{eq:EQ-012:current_year:share_capital}}</t>
  </si>
  <si>
    <t>{{eq:EQ-012:current_year:other_equity_instrument}}</t>
  </si>
  <si>
    <t>{{eq:EQ-012:current_year:perpetual_bond}}</t>
  </si>
  <si>
    <t>{{eq:EQ-012:current_year:capital_reserve}}</t>
  </si>
  <si>
    <t>{{eq:EQ-012:current_year:treasury_stock}}</t>
  </si>
  <si>
    <t>{{eq:EQ-012:current_year:other_comprehensive_income}}</t>
  </si>
  <si>
    <t>{{eq:EQ-012:current_year:special_reserve}}</t>
  </si>
  <si>
    <t>{{eq:EQ-012:current_year:surplus_reserve}}</t>
  </si>
  <si>
    <t>{{eq:EQ-012:current_year:retained_earnings}}</t>
  </si>
  <si>
    <t>{{eq:EQ-012:prior_year:share_capital}}</t>
  </si>
  <si>
    <t>{{eq:EQ-012:prior_year:other_equity_instrument}}</t>
  </si>
  <si>
    <t>{{eq:EQ-012:prior_year:perpetual_bond}}</t>
  </si>
  <si>
    <t>{{eq:EQ-012:prior_year:capital_reserve}}</t>
  </si>
  <si>
    <t>{{eq:EQ-012:prior_year:treasury_stock}}</t>
  </si>
  <si>
    <t>{{eq:EQ-012:prior_year:other_comprehensive_income}}</t>
  </si>
  <si>
    <t>{{eq:EQ-012:prior_year:special_reserve}}</t>
  </si>
  <si>
    <t>{{eq:EQ-012:prior_year:surplus_reserve}}</t>
  </si>
  <si>
    <t>{{eq:EQ-012:prior_year:retained_earnings}}</t>
  </si>
  <si>
    <t>（三）利润分配</t>
  </si>
  <si>
    <t xml:space="preserve"> 1．提取盈余公积</t>
  </si>
  <si>
    <t>{{eq:EQ-014:current_year:share_capital}}</t>
  </si>
  <si>
    <t>{{eq:EQ-014:current_year:other_equity_instrument}}</t>
  </si>
  <si>
    <t>{{eq:EQ-014:current_year:perpetual_bond}}</t>
  </si>
  <si>
    <t>{{eq:EQ-014:current_year:capital_reserve}}</t>
  </si>
  <si>
    <t>{{eq:EQ-014:current_year:treasury_stock}}</t>
  </si>
  <si>
    <t>{{eq:EQ-014:current_year:other_comprehensive_income}}</t>
  </si>
  <si>
    <t>{{eq:EQ-014:current_year:special_reserve}}</t>
  </si>
  <si>
    <t>{{eq:EQ-014:current_year:surplus_reserve}}</t>
  </si>
  <si>
    <t>{{eq:EQ-014:current_year:retained_earnings}}</t>
  </si>
  <si>
    <t>{{eq:EQ-014:prior_year:share_capital}}</t>
  </si>
  <si>
    <t>{{eq:EQ-014:prior_year:other_equity_instrument}}</t>
  </si>
  <si>
    <t>{{eq:EQ-014:prior_year:perpetual_bond}}</t>
  </si>
  <si>
    <t>{{eq:EQ-014:prior_year:capital_reserve}}</t>
  </si>
  <si>
    <t>{{eq:EQ-014:prior_year:treasury_stock}}</t>
  </si>
  <si>
    <t>{{eq:EQ-014:prior_year:other_comprehensive_income}}</t>
  </si>
  <si>
    <t>{{eq:EQ-014:prior_year:special_reserve}}</t>
  </si>
  <si>
    <t>{{eq:EQ-014:prior_year:surplus_reserve}}</t>
  </si>
  <si>
    <t>{{eq:EQ-014:prior_year:retained_earnings}}</t>
  </si>
  <si>
    <t xml:space="preserve"> 2．提取一般风险准备</t>
  </si>
  <si>
    <t>{{eq:EQ-015:current_year:share_capital}}</t>
  </si>
  <si>
    <t>{{eq:EQ-015:current_year:other_equity_instrument}}</t>
  </si>
  <si>
    <t>{{eq:EQ-015:current_year:perpetual_bond}}</t>
  </si>
  <si>
    <t>{{eq:EQ-015:current_year:capital_reserve}}</t>
  </si>
  <si>
    <t>{{eq:EQ-015:current_year:treasury_stock}}</t>
  </si>
  <si>
    <t>{{eq:EQ-015:current_year:other_comprehensive_income}}</t>
  </si>
  <si>
    <t>{{eq:EQ-015:current_year:special_reserve}}</t>
  </si>
  <si>
    <t>{{eq:EQ-015:current_year:surplus_reserve}}</t>
  </si>
  <si>
    <t>{{eq:EQ-015:current_year:retained_earnings}}</t>
  </si>
  <si>
    <t>{{eq:EQ-015:current_year:total_equity}}</t>
  </si>
  <si>
    <t>{{eq:EQ-015:prior_year:share_capital}}</t>
  </si>
  <si>
    <t>{{eq:EQ-015:prior_year:other_equity_instrument}}</t>
  </si>
  <si>
    <t>{{eq:EQ-015:prior_year:perpetual_bond}}</t>
  </si>
  <si>
    <t>{{eq:EQ-015:prior_year:capital_reserve}}</t>
  </si>
  <si>
    <t>{{eq:EQ-015:prior_year:treasury_stock}}</t>
  </si>
  <si>
    <t>{{eq:EQ-015:prior_year:other_comprehensive_income}}</t>
  </si>
  <si>
    <t>{{eq:EQ-015:prior_year:special_reserve}}</t>
  </si>
  <si>
    <t>{{eq:EQ-015:prior_year:surplus_reserve}}</t>
  </si>
  <si>
    <t>{{eq:EQ-015:prior_year:retained_earnings}}</t>
  </si>
  <si>
    <t>{{eq:EQ-015:prior_year:total_equity}}</t>
  </si>
  <si>
    <t xml:space="preserve"> 3．对股东（或所有者）的分配</t>
  </si>
  <si>
    <t>{{eq:EQ-016:current_year:share_capital}}</t>
  </si>
  <si>
    <t>{{eq:EQ-016:current_year:other_equity_instrument}}</t>
  </si>
  <si>
    <t>{{eq:EQ-016:current_year:perpetual_bond}}</t>
  </si>
  <si>
    <t>{{eq:EQ-016:current_year:capital_reserve}}</t>
  </si>
  <si>
    <t>{{eq:EQ-016:current_year:treasury_stock}}</t>
  </si>
  <si>
    <t>{{eq:EQ-016:current_year:other_comprehensive_income}}</t>
  </si>
  <si>
    <t>{{eq:EQ-016:current_year:special_reserve}}</t>
  </si>
  <si>
    <t>{{eq:EQ-016:current_year:surplus_reserve}}</t>
  </si>
  <si>
    <t>{{eq:EQ-016:current_year:retained_earnings}}</t>
  </si>
  <si>
    <t>{{eq:EQ-016:prior_year:share_capital}}</t>
  </si>
  <si>
    <t>{{eq:EQ-016:prior_year:other_equity_instrument}}</t>
  </si>
  <si>
    <t>{{eq:EQ-016:prior_year:perpetual_bond}}</t>
  </si>
  <si>
    <t>{{eq:EQ-016:prior_year:capital_reserve}}</t>
  </si>
  <si>
    <t>{{eq:EQ-016:prior_year:treasury_stock}}</t>
  </si>
  <si>
    <t>{{eq:EQ-016:prior_year:other_comprehensive_income}}</t>
  </si>
  <si>
    <t>{{eq:EQ-016:prior_year:special_reserve}}</t>
  </si>
  <si>
    <t>{{eq:EQ-016:prior_year:surplus_reserve}}</t>
  </si>
  <si>
    <t>{{eq:EQ-016:prior_year:retained_earnings}}</t>
  </si>
  <si>
    <t>（四）股东权益内部结转</t>
  </si>
  <si>
    <t xml:space="preserve"> 1．资本公积转增股本（或资本）</t>
  </si>
  <si>
    <t>{{eq:EQ-019:current_year:share_capital}}</t>
  </si>
  <si>
    <t>{{eq:EQ-019:current_year:other_equity_instrument}}</t>
  </si>
  <si>
    <t>{{eq:EQ-019:current_year:perpetual_bond}}</t>
  </si>
  <si>
    <t>{{eq:EQ-019:current_year:capital_reserve}}</t>
  </si>
  <si>
    <t>{{eq:EQ-019:current_year:treasury_stock}}</t>
  </si>
  <si>
    <t>{{eq:EQ-019:current_year:other_comprehensive_income}}</t>
  </si>
  <si>
    <t>{{eq:EQ-019:current_year:special_reserve}}</t>
  </si>
  <si>
    <t>{{eq:EQ-019:current_year:surplus_reserve}}</t>
  </si>
  <si>
    <t>{{eq:EQ-019:current_year:retained_earnings}}</t>
  </si>
  <si>
    <t>{{eq:EQ-019:prior_year:share_capital}}</t>
  </si>
  <si>
    <t>{{eq:EQ-019:prior_year:other_equity_instrument}}</t>
  </si>
  <si>
    <t>{{eq:EQ-019:prior_year:perpetual_bond}}</t>
  </si>
  <si>
    <t>{{eq:EQ-019:prior_year:capital_reserve}}</t>
  </si>
  <si>
    <t>{{eq:EQ-019:prior_year:treasury_stock}}</t>
  </si>
  <si>
    <t>{{eq:EQ-019:prior_year:other_comprehensive_income}}</t>
  </si>
  <si>
    <t>{{eq:EQ-019:prior_year:special_reserve}}</t>
  </si>
  <si>
    <t>{{eq:EQ-019:prior_year:surplus_reserve}}</t>
  </si>
  <si>
    <t>{{eq:EQ-019:prior_year:retained_earnings}}</t>
  </si>
  <si>
    <t xml:space="preserve"> 2．盈余公积转增股本（或资本）</t>
  </si>
  <si>
    <t>{{eq:EQ-020:current_year:share_capital}}</t>
  </si>
  <si>
    <t>{{eq:EQ-020:current_year:other_equity_instrument}}</t>
  </si>
  <si>
    <t>{{eq:EQ-020:current_year:perpetual_bond}}</t>
  </si>
  <si>
    <t>{{eq:EQ-020:current_year:capital_reserve}}</t>
  </si>
  <si>
    <t>{{eq:EQ-020:current_year:treasury_stock}}</t>
  </si>
  <si>
    <t>{{eq:EQ-020:current_year:other_comprehensive_income}}</t>
  </si>
  <si>
    <t>{{eq:EQ-020:current_year:special_reserve}}</t>
  </si>
  <si>
    <t>{{eq:EQ-020:current_year:surplus_reserve}}</t>
  </si>
  <si>
    <t>{{eq:EQ-020:current_year:retained_earnings}}</t>
  </si>
  <si>
    <t>{{eq:EQ-020:prior_year:share_capital}}</t>
  </si>
  <si>
    <t>{{eq:EQ-020:prior_year:other_equity_instrument}}</t>
  </si>
  <si>
    <t>{{eq:EQ-020:prior_year:perpetual_bond}}</t>
  </si>
  <si>
    <t>{{eq:EQ-020:prior_year:capital_reserve}}</t>
  </si>
  <si>
    <t>{{eq:EQ-020:prior_year:treasury_stock}}</t>
  </si>
  <si>
    <t>{{eq:EQ-020:prior_year:other_comprehensive_income}}</t>
  </si>
  <si>
    <t>{{eq:EQ-020:prior_year:special_reserve}}</t>
  </si>
  <si>
    <t>{{eq:EQ-020:prior_year:surplus_reserve}}</t>
  </si>
  <si>
    <t>{{eq:EQ-020:prior_year:retained_earnings}}</t>
  </si>
  <si>
    <t xml:space="preserve"> 3．弥补亏损</t>
  </si>
  <si>
    <t>{{eq:EQ-021:current_year:share_capital}}</t>
  </si>
  <si>
    <t>{{eq:EQ-021:current_year:other_equity_instrument}}</t>
  </si>
  <si>
    <t>{{eq:EQ-021:current_year:perpetual_bond}}</t>
  </si>
  <si>
    <t>{{eq:EQ-021:current_year:capital_reserve}}</t>
  </si>
  <si>
    <t>{{eq:EQ-021:current_year:treasury_stock}}</t>
  </si>
  <si>
    <t>{{eq:EQ-021:current_year:other_comprehensive_income}}</t>
  </si>
  <si>
    <t>{{eq:EQ-021:current_year:special_reserve}}</t>
  </si>
  <si>
    <t>{{eq:EQ-021:current_year:surplus_reserve}}</t>
  </si>
  <si>
    <t>{{eq:EQ-021:current_year:retained_earnings}}</t>
  </si>
  <si>
    <t>{{eq:EQ-021:prior_year:share_capital}}</t>
  </si>
  <si>
    <t>{{eq:EQ-021:prior_year:other_equity_instrument}}</t>
  </si>
  <si>
    <t>{{eq:EQ-021:prior_year:perpetual_bond}}</t>
  </si>
  <si>
    <t>{{eq:EQ-021:prior_year:capital_reserve}}</t>
  </si>
  <si>
    <t>{{eq:EQ-021:prior_year:treasury_stock}}</t>
  </si>
  <si>
    <t>{{eq:EQ-021:prior_year:other_comprehensive_income}}</t>
  </si>
  <si>
    <t>{{eq:EQ-021:prior_year:special_reserve}}</t>
  </si>
  <si>
    <t>{{eq:EQ-021:prior_year:surplus_reserve}}</t>
  </si>
  <si>
    <t>{{eq:EQ-021:prior_year:retained_earnings}}</t>
  </si>
  <si>
    <t xml:space="preserve"> 4.  设定受益计划变动额结转留存收益</t>
  </si>
  <si>
    <t>{{eq:EQ-022:current_year:share_capital}}</t>
  </si>
  <si>
    <t>{{eq:EQ-022:current_year:other_equity_instrument}}</t>
  </si>
  <si>
    <t>{{eq:EQ-022:current_year:perpetual_bond}}</t>
  </si>
  <si>
    <t>{{eq:EQ-022:current_year:capital_reserve}}</t>
  </si>
  <si>
    <t>{{eq:EQ-022:current_year:treasury_stock}}</t>
  </si>
  <si>
    <t>{{eq:EQ-022:current_year:other_comprehensive_income}}</t>
  </si>
  <si>
    <t>{{eq:EQ-022:current_year:special_reserve}}</t>
  </si>
  <si>
    <t>{{eq:EQ-022:current_year:surplus_reserve}}</t>
  </si>
  <si>
    <t>{{eq:EQ-022:current_year:retained_earnings}}</t>
  </si>
  <si>
    <t>{{eq:EQ-022:prior_year:share_capital}}</t>
  </si>
  <si>
    <t>{{eq:EQ-022:prior_year:other_equity_instrument}}</t>
  </si>
  <si>
    <t>{{eq:EQ-022:prior_year:perpetual_bond}}</t>
  </si>
  <si>
    <t>{{eq:EQ-022:prior_year:capital_reserve}}</t>
  </si>
  <si>
    <t>{{eq:EQ-022:prior_year:treasury_stock}}</t>
  </si>
  <si>
    <t>{{eq:EQ-022:prior_year:other_comprehensive_income}}</t>
  </si>
  <si>
    <t>{{eq:EQ-022:prior_year:special_reserve}}</t>
  </si>
  <si>
    <t>{{eq:EQ-022:prior_year:surplus_reserve}}</t>
  </si>
  <si>
    <t>{{eq:EQ-022:prior_year:retained_earnings}}</t>
  </si>
  <si>
    <t xml:space="preserve"> 5．其他综合收益结转留存收益</t>
  </si>
  <si>
    <t>{{eq:EQ-023:current_year:share_capital}}</t>
  </si>
  <si>
    <t>{{eq:EQ-023:current_year:other_equity_instrument}}</t>
  </si>
  <si>
    <t>{{eq:EQ-023:current_year:perpetual_bond}}</t>
  </si>
  <si>
    <t>{{eq:EQ-023:current_year:capital_reserve}}</t>
  </si>
  <si>
    <t>{{eq:EQ-023:current_year:treasury_stock}}</t>
  </si>
  <si>
    <t>{{eq:EQ-023:current_year:other_comprehensive_income}}</t>
  </si>
  <si>
    <t>{{eq:EQ-023:current_year:special_reserve}}</t>
  </si>
  <si>
    <t>{{eq:EQ-023:current_year:surplus_reserve}}</t>
  </si>
  <si>
    <t>{{eq:EQ-023:current_year:retained_earnings}}</t>
  </si>
  <si>
    <t>{{eq:EQ-023:current_year:total_equity}}</t>
  </si>
  <si>
    <t>{{eq:EQ-023:prior_year:share_capital}}</t>
  </si>
  <si>
    <t>{{eq:EQ-023:prior_year:other_equity_instrument}}</t>
  </si>
  <si>
    <t>{{eq:EQ-023:prior_year:perpetual_bond}}</t>
  </si>
  <si>
    <t>{{eq:EQ-023:prior_year:capital_reserve}}</t>
  </si>
  <si>
    <t>{{eq:EQ-023:prior_year:treasury_stock}}</t>
  </si>
  <si>
    <t>{{eq:EQ-023:prior_year:other_comprehensive_income}}</t>
  </si>
  <si>
    <t>{{eq:EQ-023:prior_year:special_reserve}}</t>
  </si>
  <si>
    <t>{{eq:EQ-023:prior_year:surplus_reserve}}</t>
  </si>
  <si>
    <t>{{eq:EQ-023:prior_year:retained_earnings}}</t>
  </si>
  <si>
    <t>{{eq:EQ-023:prior_year:total_equity}}</t>
  </si>
  <si>
    <t xml:space="preserve"> 6．其他</t>
  </si>
  <si>
    <t>{{eq:EQ-024:current_year:share_capital}}</t>
  </si>
  <si>
    <t>{{eq:EQ-024:current_year:other_equity_instrument}}</t>
  </si>
  <si>
    <t>{{eq:EQ-024:current_year:perpetual_bond}}</t>
  </si>
  <si>
    <t>{{eq:EQ-024:current_year:capital_reserve}}</t>
  </si>
  <si>
    <t>{{eq:EQ-024:current_year:treasury_stock}}</t>
  </si>
  <si>
    <t>{{eq:EQ-024:current_year:other_comprehensive_income}}</t>
  </si>
  <si>
    <t>{{eq:EQ-024:current_year:special_reserve}}</t>
  </si>
  <si>
    <t>{{eq:EQ-024:current_year:surplus_reserve}}</t>
  </si>
  <si>
    <t>{{eq:EQ-024:current_year:retained_earnings}}</t>
  </si>
  <si>
    <t>{{eq:EQ-024:prior_year:share_capital}}</t>
  </si>
  <si>
    <t>{{eq:EQ-024:prior_year:other_equity_instrument}}</t>
  </si>
  <si>
    <t>{{eq:EQ-024:prior_year:perpetual_bond}}</t>
  </si>
  <si>
    <t>{{eq:EQ-024:prior_year:capital_reserve}}</t>
  </si>
  <si>
    <t>{{eq:EQ-024:prior_year:treasury_stock}}</t>
  </si>
  <si>
    <t>{{eq:EQ-024:prior_year:other_comprehensive_income}}</t>
  </si>
  <si>
    <t>{{eq:EQ-024:prior_year:special_reserve}}</t>
  </si>
  <si>
    <t>{{eq:EQ-024:prior_year:surplus_reserve}}</t>
  </si>
  <si>
    <t>{{eq:EQ-024:prior_year:retained_earnings}}</t>
  </si>
  <si>
    <t>（五）专项储备</t>
  </si>
  <si>
    <t xml:space="preserve"> 1．本期提取</t>
  </si>
  <si>
    <t>{{eq:EQ-026:current_year:share_capital}}</t>
  </si>
  <si>
    <t>{{eq:EQ-026:current_year:other_equity_instrument}}</t>
  </si>
  <si>
    <t>{{eq:EQ-026:current_year:perpetual_bond}}</t>
  </si>
  <si>
    <t>{{eq:EQ-026:current_year:capital_reserve}}</t>
  </si>
  <si>
    <t>{{eq:EQ-026:current_year:treasury_stock}}</t>
  </si>
  <si>
    <t>{{eq:EQ-026:current_year:other_comprehensive_income}}</t>
  </si>
  <si>
    <t>{{eq:EQ-026:current_year:special_reserve}}</t>
  </si>
  <si>
    <t>{{eq:EQ-026:current_year:surplus_reserve}}</t>
  </si>
  <si>
    <t>{{eq:EQ-026:current_year:retained_earnings}}</t>
  </si>
  <si>
    <t>{{eq:EQ-026:prior_year:share_capital}}</t>
  </si>
  <si>
    <t>{{eq:EQ-026:prior_year:other_equity_instrument}}</t>
  </si>
  <si>
    <t>{{eq:EQ-026:prior_year:perpetual_bond}}</t>
  </si>
  <si>
    <t>{{eq:EQ-026:prior_year:capital_reserve}}</t>
  </si>
  <si>
    <t>{{eq:EQ-026:prior_year:treasury_stock}}</t>
  </si>
  <si>
    <t>{{eq:EQ-026:prior_year:other_comprehensive_income}}</t>
  </si>
  <si>
    <t>{{eq:EQ-026:prior_year:special_reserve}}</t>
  </si>
  <si>
    <t>{{eq:EQ-026:prior_year:surplus_reserve}}</t>
  </si>
  <si>
    <t>{{eq:EQ-026:prior_year:retained_earnings}}</t>
  </si>
  <si>
    <t xml:space="preserve"> 2．本期使用（以负号填列）</t>
  </si>
  <si>
    <t>{{eq:EQ-027:current_year:share_capital}}</t>
  </si>
  <si>
    <t>{{eq:EQ-027:current_year:other_equity_instrument}}</t>
  </si>
  <si>
    <t>{{eq:EQ-027:current_year:perpetual_bond}}</t>
  </si>
  <si>
    <t>{{eq:EQ-027:current_year:capital_reserve}}</t>
  </si>
  <si>
    <t>{{eq:EQ-027:current_year:treasury_stock}}</t>
  </si>
  <si>
    <t>{{eq:EQ-027:current_year:other_comprehensive_income}}</t>
  </si>
  <si>
    <t>{{eq:EQ-027:current_year:special_reserve}}</t>
  </si>
  <si>
    <t>{{eq:EQ-027:current_year:surplus_reserve}}</t>
  </si>
  <si>
    <t>{{eq:EQ-027:current_year:retained_earnings}}</t>
  </si>
  <si>
    <t>{{eq:EQ-027:prior_year:share_capital}}</t>
  </si>
  <si>
    <t>{{eq:EQ-027:prior_year:other_equity_instrument}}</t>
  </si>
  <si>
    <t>{{eq:EQ-027:prior_year:perpetual_bond}}</t>
  </si>
  <si>
    <t>{{eq:EQ-027:prior_year:capital_reserve}}</t>
  </si>
  <si>
    <t>{{eq:EQ-027:prior_year:treasury_stock}}</t>
  </si>
  <si>
    <t>{{eq:EQ-027:prior_year:other_comprehensive_income}}</t>
  </si>
  <si>
    <t>{{eq:EQ-027:prior_year:special_reserve}}</t>
  </si>
  <si>
    <t>{{eq:EQ-027:prior_year:surplus_reserve}}</t>
  </si>
  <si>
    <t>{{eq:EQ-027:prior_year:retained_earnings}}</t>
  </si>
  <si>
    <t>（六）其他</t>
  </si>
  <si>
    <t>{{eq:EQ-028:current_year:share_capital}}</t>
  </si>
  <si>
    <t>{{eq:EQ-028:current_year:other_equity_instrument}}</t>
  </si>
  <si>
    <t>{{eq:EQ-028:current_year:perpetual_bond}}</t>
  </si>
  <si>
    <t>{{eq:EQ-028:current_year:capital_reserve}}</t>
  </si>
  <si>
    <t>{{eq:EQ-028:current_year:treasury_stock}}</t>
  </si>
  <si>
    <t>{{eq:EQ-028:current_year:other_comprehensive_income}}</t>
  </si>
  <si>
    <t>{{eq:EQ-028:current_year:special_reserve}}</t>
  </si>
  <si>
    <t>{{eq:EQ-028:current_year:surplus_reserve}}</t>
  </si>
  <si>
    <t>{{eq:EQ-028:current_year:retained_earnings}}</t>
  </si>
  <si>
    <t>{{eq:EQ-028:prior_year:share_capital}}</t>
  </si>
  <si>
    <t>{{eq:EQ-028:prior_year:other_equity_instrument}}</t>
  </si>
  <si>
    <t>{{eq:EQ-028:prior_year:perpetual_bond}}</t>
  </si>
  <si>
    <t>{{eq:EQ-028:prior_year:capital_reserve}}</t>
  </si>
  <si>
    <t>{{eq:EQ-028:prior_year:treasury_stock}}</t>
  </si>
  <si>
    <t>{{eq:EQ-028:prior_year:other_comprehensive_income}}</t>
  </si>
  <si>
    <t>{{eq:EQ-028:prior_year:special_reserve}}</t>
  </si>
  <si>
    <t>{{eq:EQ-028:prior_year:surplus_reserve}}</t>
  </si>
  <si>
    <t>{{eq:EQ-028:prior_year:retained_earnings}}</t>
  </si>
  <si>
    <t>四、本年年末余额</t>
  </si>
  <si>
    <t xml:space="preserve">公司法定代表人：                                                                           </t>
  </si>
  <si>
    <t>C1</t>
  </si>
  <si>
    <t>Custom 1</t>
  </si>
  <si>
    <t>C2</t>
  </si>
  <si>
    <t>Custom 2</t>
  </si>
  <si>
    <t>C3</t>
  </si>
  <si>
    <t>Custom 3</t>
  </si>
  <si>
    <t>C4</t>
  </si>
  <si>
    <t>Custom 4</t>
  </si>
  <si>
    <t>C5</t>
  </si>
  <si>
    <t>Custom 5</t>
  </si>
  <si>
    <t>C6</t>
  </si>
  <si>
    <t>Custom 6</t>
  </si>
  <si>
    <t>C7</t>
  </si>
  <si>
    <t>Custom 7</t>
  </si>
  <si>
    <t>C8</t>
  </si>
  <si>
    <t>Custom 8</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</si>
</sst>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00_ "/>
    <numFmt numFmtId="179" formatCode="#,##0.00_-"/>
    <numFmt numFmtId="180" formatCode="_ * #,##0.0000_ ;_ * \-#,##0.0000_ ;_ * &quot;-&quot;??_ ;_ @_ "/>
  </numFmts>
  <fonts count="38">
    <font>
      <sz val="12"/>
      <name val="Times New Roman"/>
      <charset val="0"/>
    </font>
    <font>
      <sz val="12"/>
      <name val="仿宋_GB2312"/>
      <charset val="134"/>
    </font>
    <font>
      <sz val="12"/>
      <name val="Arial Narrow"/>
      <charset val="0"/>
    </font>
    <font>
      <sz val="12"/>
      <name val="仿宋_GB2312"/>
      <charset val="0"/>
    </font>
    <font>
      <b/>
      <sz val="16"/>
      <name val="仿宋_GB2312"/>
      <charset val="134"/>
    </font>
    <font>
      <b/>
      <sz val="16"/>
      <name val="Arial Narrow"/>
      <charset val="0"/>
    </font>
    <font>
      <b/>
      <sz val="12"/>
      <name val="仿宋_GB2312"/>
      <charset val="134"/>
    </font>
    <font>
      <b/>
      <sz val="12"/>
      <name val="仿宋_GB2312"/>
      <charset val="0"/>
    </font>
    <font>
      <sz val="12"/>
      <color rgb="FFFF0000"/>
      <name val="仿宋_GB2312"/>
      <charset val="134"/>
    </font>
    <font>
      <b/>
      <sz val="12"/>
      <name val="Arial Narrow"/>
      <charset val="0"/>
    </font>
    <font>
      <b/>
      <sz val="16"/>
      <name val="仿宋_GB2312"/>
      <charset val="0"/>
    </font>
    <font>
      <sz val="11"/>
      <name val="仿宋_GB2312"/>
      <charset val="0"/>
    </font>
    <font>
      <sz val="12"/>
      <color rgb="FF0000FF"/>
      <name val="仿宋_GB2312"/>
      <charset val="134"/>
    </font>
    <font>
      <b/>
      <sz val="12"/>
      <color indexed="12"/>
      <name val="仿宋_GB2312"/>
      <charset val="0"/>
    </font>
    <font>
      <sz val="12"/>
      <name val="楷体_GB2312"/>
      <charset val="134"/>
    </font>
    <font>
      <sz val="12"/>
      <color indexed="9"/>
      <name val="Arial Narrow"/>
      <charset val="0"/>
    </font>
    <font>
      <u/>
      <sz val="9"/>
      <color indexed="12"/>
      <name val="Times New Roman"/>
      <charset val="0"/>
    </font>
    <font>
      <u/>
      <sz val="9"/>
      <color indexed="36"/>
      <name val="Times New Roman"/>
      <charset val="0"/>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2"/>
      <name val="宋体"/>
      <charset val="134"/>
    </font>
    <font>
      <sz val="12"/>
      <name val="楷体"/>
      <charset val="134"/>
    </font>
    <font>
      <sz val="10"/>
      <name val="宋体"/>
      <charset val="134"/>
    </font>
  </fonts>
  <fills count="3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399975585192419"/>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25">
    <border>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xf numFmtId="176" fontId="0" fillId="0" borderId="0"/>
    <xf numFmtId="9" fontId="0" fillId="0" borderId="0"/>
    <xf numFmtId="41" fontId="0" fillId="0" borderId="0"/>
    <xf numFmtId="177" fontId="0" fillId="0" borderId="0"/>
    <xf numFmtId="0" fontId="16" fillId="0" borderId="0">
      <alignment vertical="top"/>
      <protection locked="0"/>
    </xf>
    <xf numFmtId="0" fontId="17" fillId="0" borderId="0">
      <alignment vertical="top"/>
      <protection locked="0"/>
    </xf>
    <xf numFmtId="0" fontId="0" fillId="6" borderId="16">
      <alignment vertical="center"/>
    </xf>
    <xf numFmtId="0" fontId="18" fillId="0" borderId="0">
      <alignment vertical="center"/>
    </xf>
    <xf numFmtId="0" fontId="19" fillId="0" borderId="0">
      <alignment vertical="center"/>
    </xf>
    <xf numFmtId="0" fontId="20" fillId="0" borderId="0">
      <alignment vertical="center"/>
    </xf>
    <xf numFmtId="0" fontId="21" fillId="0" borderId="17">
      <alignment vertical="center"/>
    </xf>
    <xf numFmtId="0" fontId="22" fillId="0" borderId="18">
      <alignment vertical="center"/>
    </xf>
    <xf numFmtId="0" fontId="23" fillId="0" borderId="19">
      <alignment vertical="center"/>
    </xf>
    <xf numFmtId="0" fontId="23" fillId="0" borderId="0">
      <alignment vertical="center"/>
    </xf>
    <xf numFmtId="0" fontId="24" fillId="7" borderId="20">
      <alignment vertical="center"/>
    </xf>
    <xf numFmtId="0" fontId="25" fillId="8" borderId="21">
      <alignment vertical="center"/>
    </xf>
    <xf numFmtId="0" fontId="26" fillId="8" borderId="20">
      <alignment vertical="center"/>
    </xf>
    <xf numFmtId="0" fontId="27" fillId="9" borderId="22">
      <alignment vertical="center"/>
    </xf>
    <xf numFmtId="0" fontId="28" fillId="0" borderId="23">
      <alignment vertical="center"/>
    </xf>
    <xf numFmtId="0" fontId="29" fillId="0" borderId="24">
      <alignment vertical="center"/>
    </xf>
    <xf numFmtId="0" fontId="30" fillId="10" borderId="0">
      <alignment vertical="center"/>
    </xf>
    <xf numFmtId="0" fontId="31" fillId="11" borderId="0">
      <alignment vertical="center"/>
    </xf>
    <xf numFmtId="0" fontId="32" fillId="12" borderId="0">
      <alignment vertical="center"/>
    </xf>
    <xf numFmtId="0" fontId="33" fillId="13" borderId="0">
      <alignment vertical="center"/>
    </xf>
    <xf numFmtId="0" fontId="34" fillId="14" borderId="0">
      <alignment vertical="center"/>
    </xf>
    <xf numFmtId="0" fontId="34" fillId="15" borderId="0">
      <alignment vertical="center"/>
    </xf>
    <xf numFmtId="0" fontId="33" fillId="16" borderId="0">
      <alignment vertical="center"/>
    </xf>
    <xf numFmtId="0" fontId="33" fillId="17" borderId="0">
      <alignment vertical="center"/>
    </xf>
    <xf numFmtId="0" fontId="34" fillId="18" borderId="0">
      <alignment vertical="center"/>
    </xf>
    <xf numFmtId="0" fontId="34" fillId="19" borderId="0">
      <alignment vertical="center"/>
    </xf>
    <xf numFmtId="0" fontId="33" fillId="20" borderId="0">
      <alignment vertical="center"/>
    </xf>
    <xf numFmtId="0" fontId="33" fillId="21" borderId="0">
      <alignment vertical="center"/>
    </xf>
    <xf numFmtId="0" fontId="34" fillId="22" borderId="0">
      <alignment vertical="center"/>
    </xf>
    <xf numFmtId="0" fontId="34" fillId="23" borderId="0">
      <alignment vertical="center"/>
    </xf>
    <xf numFmtId="0" fontId="33" fillId="24" borderId="0">
      <alignment vertical="center"/>
    </xf>
    <xf numFmtId="0" fontId="33" fillId="25" borderId="0">
      <alignment vertical="center"/>
    </xf>
    <xf numFmtId="0" fontId="34" fillId="26" borderId="0">
      <alignment vertical="center"/>
    </xf>
    <xf numFmtId="0" fontId="34" fillId="27" borderId="0">
      <alignment vertical="center"/>
    </xf>
    <xf numFmtId="0" fontId="33" fillId="28" borderId="0">
      <alignment vertical="center"/>
    </xf>
    <xf numFmtId="0" fontId="33" fillId="29" borderId="0">
      <alignment vertical="center"/>
    </xf>
    <xf numFmtId="0" fontId="34" fillId="30" borderId="0">
      <alignment vertical="center"/>
    </xf>
    <xf numFmtId="0" fontId="34" fillId="31" borderId="0">
      <alignment vertical="center"/>
    </xf>
    <xf numFmtId="0" fontId="33" fillId="32" borderId="0">
      <alignment vertical="center"/>
    </xf>
    <xf numFmtId="0" fontId="33" fillId="33" borderId="0">
      <alignment vertical="center"/>
    </xf>
    <xf numFmtId="0" fontId="34" fillId="34" borderId="0">
      <alignment vertical="center"/>
    </xf>
    <xf numFmtId="0" fontId="34" fillId="35" borderId="0">
      <alignment vertical="center"/>
    </xf>
    <xf numFmtId="0" fontId="33" fillId="4" borderId="0">
      <alignment vertical="center"/>
    </xf>
    <xf numFmtId="0" fontId="35" fillId="0" borderId="0"/>
    <xf numFmtId="0" fontId="36" fillId="0" borderId="0"/>
    <xf numFmtId="0" fontId="0" fillId="0" borderId="0"/>
    <xf numFmtId="43" fontId="0" fillId="0" borderId="0"/>
    <xf numFmtId="41" fontId="0" fillId="0" borderId="0"/>
  </cellStyleXfs>
  <cellXfs count="157">
    <xf numFmtId="0" fontId="0" fillId="0" borderId="0" xfId="0"/>
    <xf numFmtId="0" fontId="1" fillId="0" borderId="0" xfId="50" applyAlignment="1">
      <alignment vertical="center"/>
    </xf>
    <xf numFmtId="0" fontId="2" fillId="0" borderId="0" xfId="50" applyFont="1" applyAlignment="1">
      <alignment vertical="center"/>
    </xf>
    <xf numFmtId="0" fontId="3" fillId="0" borderId="0" xfId="50" applyFont="1" applyAlignment="1">
      <alignment vertical="center"/>
    </xf>
    <xf numFmtId="0" fontId="1" fillId="0" borderId="0" xfId="50" applyFont="1" applyAlignment="1">
      <alignment vertical="center"/>
    </xf>
    <xf numFmtId="0" fontId="4" fillId="0" borderId="0" xfId="50" applyFont="1" applyAlignment="1">
      <alignment horizontal="left" vertical="center"/>
    </xf>
    <xf numFmtId="0" fontId="5" fillId="0" borderId="0" xfId="50" applyFont="1" applyAlignment="1">
      <alignment horizontal="center" vertical="center"/>
    </xf>
    <xf numFmtId="0" fontId="2" fillId="0" borderId="0" xfId="49" applyFont="1" applyAlignment="1">
      <alignment horizontal="center" vertical="center"/>
    </xf>
    <xf numFmtId="0" fontId="3" fillId="0" borderId="0" xfId="49" applyFont="1" applyAlignment="1">
      <alignment vertical="center"/>
    </xf>
    <xf numFmtId="0" fontId="3" fillId="0" borderId="0" xfId="50" applyFont="1" applyAlignment="1">
      <alignment horizontal="right" vertical="center"/>
    </xf>
    <xf numFmtId="0" fontId="6" fillId="0" borderId="1" xfId="50" applyFont="1" applyBorder="1" applyAlignment="1">
      <alignment horizontal="center" vertical="center"/>
    </xf>
    <xf numFmtId="49" fontId="6" fillId="0" borderId="2" xfId="50" applyNumberFormat="1" applyFont="1" applyBorder="1" applyAlignment="1">
      <alignment horizontal="center" vertical="center"/>
    </xf>
    <xf numFmtId="0" fontId="3" fillId="0" borderId="3" xfId="0" applyFont="1" applyBorder="1"/>
    <xf numFmtId="49" fontId="6" fillId="0" borderId="3" xfId="50" applyNumberFormat="1" applyFont="1" applyBorder="1" applyAlignment="1">
      <alignment horizontal="center" vertical="center"/>
    </xf>
    <xf numFmtId="0" fontId="3" fillId="0" borderId="4" xfId="0" applyFont="1" applyBorder="1"/>
    <xf numFmtId="0" fontId="7" fillId="0" borderId="5" xfId="50" applyFont="1" applyBorder="1" applyAlignment="1">
      <alignment horizontal="center" vertical="center" wrapText="1"/>
    </xf>
    <xf numFmtId="0" fontId="6" fillId="0" borderId="5" xfId="50" applyFont="1" applyBorder="1" applyAlignment="1">
      <alignment horizontal="center" vertical="center" wrapText="1"/>
    </xf>
    <xf numFmtId="0" fontId="3" fillId="0" borderId="1" xfId="0" applyFont="1" applyBorder="1"/>
    <xf numFmtId="0" fontId="7" fillId="0" borderId="1" xfId="50" applyFont="1" applyBorder="1" applyAlignment="1">
      <alignment horizontal="center" vertical="center" wrapText="1"/>
    </xf>
    <xf numFmtId="0" fontId="7" fillId="0" borderId="2" xfId="50" applyFont="1" applyBorder="1" applyAlignment="1">
      <alignment horizontal="center" vertical="center" wrapText="1"/>
    </xf>
    <xf numFmtId="0" fontId="3" fillId="0" borderId="6" xfId="0" applyFont="1" applyBorder="1"/>
    <xf numFmtId="0" fontId="3" fillId="0" borderId="7" xfId="0" applyFont="1" applyBorder="1"/>
    <xf numFmtId="0" fontId="7" fillId="0" borderId="6" xfId="50" applyFont="1" applyBorder="1" applyAlignment="1">
      <alignment horizontal="center" vertical="center" wrapText="1"/>
    </xf>
    <xf numFmtId="0" fontId="3" fillId="0" borderId="8" xfId="0" applyFont="1" applyBorder="1"/>
    <xf numFmtId="0" fontId="6" fillId="0" borderId="4" xfId="50" applyFont="1" applyBorder="1" applyAlignment="1">
      <alignment vertical="center"/>
    </xf>
    <xf numFmtId="43" fontId="2" fillId="0" borderId="9" xfId="50" applyNumberFormat="1" applyFont="1" applyBorder="1" applyAlignment="1">
      <alignment vertical="center"/>
    </xf>
    <xf numFmtId="43" fontId="2" fillId="0" borderId="4" xfId="50" applyNumberFormat="1" applyFont="1" applyBorder="1" applyAlignment="1">
      <alignment vertical="center"/>
    </xf>
    <xf numFmtId="43" fontId="2" fillId="0" borderId="10" xfId="50" applyNumberFormat="1" applyFont="1" applyBorder="1" applyAlignment="1">
      <alignment vertical="center"/>
    </xf>
    <xf numFmtId="43" fontId="2" fillId="0" borderId="11" xfId="50" applyNumberFormat="1" applyFont="1" applyBorder="1" applyAlignment="1">
      <alignment vertical="center"/>
    </xf>
    <xf numFmtId="43" fontId="2" fillId="0" borderId="12" xfId="50" applyNumberFormat="1" applyFont="1" applyBorder="1" applyAlignment="1">
      <alignment vertical="center"/>
    </xf>
    <xf numFmtId="0" fontId="1" fillId="0" borderId="4" xfId="50" applyFont="1" applyBorder="1" applyAlignment="1">
      <alignment vertical="center"/>
    </xf>
    <xf numFmtId="43" fontId="2" fillId="0" borderId="9" xfId="50" applyNumberFormat="1" applyFont="1" applyBorder="1" applyAlignment="1">
      <alignment horizontal="center" vertical="center"/>
    </xf>
    <xf numFmtId="43" fontId="2" fillId="0" borderId="4" xfId="50" applyNumberFormat="1" applyFont="1" applyBorder="1" applyAlignment="1">
      <alignment horizontal="center" vertical="center"/>
    </xf>
    <xf numFmtId="43" fontId="2" fillId="0" borderId="12" xfId="50" applyNumberFormat="1" applyFont="1" applyBorder="1" applyAlignment="1">
      <alignment horizontal="center" vertical="center"/>
    </xf>
    <xf numFmtId="43" fontId="2" fillId="0" borderId="0" xfId="50" applyNumberFormat="1" applyFont="1" applyAlignment="1">
      <alignment vertical="center"/>
    </xf>
    <xf numFmtId="0" fontId="6" fillId="0" borderId="4" xfId="50" applyFont="1" applyBorder="1" applyAlignment="1">
      <alignment vertical="center" wrapText="1"/>
    </xf>
    <xf numFmtId="0" fontId="8" fillId="0" borderId="4" xfId="50" applyFont="1" applyBorder="1" applyAlignment="1">
      <alignment vertical="center"/>
    </xf>
    <xf numFmtId="0" fontId="1" fillId="2" borderId="4" xfId="50" applyFont="1" applyFill="1" applyBorder="1" applyAlignment="1">
      <alignment vertical="center"/>
    </xf>
    <xf numFmtId="0" fontId="1" fillId="3" borderId="4" xfId="50" applyFont="1" applyFill="1" applyBorder="1" applyAlignment="1">
      <alignment vertical="center" wrapText="1"/>
    </xf>
    <xf numFmtId="0" fontId="1" fillId="3" borderId="4" xfId="50" applyFont="1" applyFill="1" applyBorder="1" applyAlignment="1">
      <alignment vertical="center"/>
    </xf>
    <xf numFmtId="0" fontId="6" fillId="0" borderId="6" xfId="50" applyFont="1" applyBorder="1" applyAlignment="1">
      <alignment vertical="center"/>
    </xf>
    <xf numFmtId="43" fontId="2" fillId="0" borderId="7" xfId="50" applyNumberFormat="1" applyFont="1" applyBorder="1" applyAlignment="1">
      <alignment vertical="center"/>
    </xf>
    <xf numFmtId="43" fontId="2" fillId="0" borderId="6" xfId="50" applyNumberFormat="1" applyFont="1" applyBorder="1" applyAlignment="1">
      <alignment vertical="center"/>
    </xf>
    <xf numFmtId="43" fontId="2" fillId="0" borderId="8" xfId="50" applyNumberFormat="1" applyFont="1" applyBorder="1" applyAlignment="1">
      <alignment vertical="center"/>
    </xf>
    <xf numFmtId="0" fontId="2" fillId="0" borderId="13" xfId="50" applyFont="1" applyBorder="1" applyAlignment="1">
      <alignment vertical="center"/>
    </xf>
    <xf numFmtId="178" fontId="6" fillId="0" borderId="0" xfId="50" applyNumberFormat="1" applyFont="1" applyAlignment="1">
      <alignment vertical="center"/>
    </xf>
    <xf numFmtId="178" fontId="9" fillId="0" borderId="0" xfId="50" applyNumberFormat="1" applyFont="1" applyAlignment="1">
      <alignment vertical="center"/>
    </xf>
    <xf numFmtId="4" fontId="2" fillId="0" borderId="0" xfId="50" applyNumberFormat="1" applyFont="1" applyAlignment="1">
      <alignment vertical="center"/>
    </xf>
    <xf numFmtId="0" fontId="9" fillId="0" borderId="0" xfId="50" applyFont="1" applyAlignment="1">
      <alignment vertical="center"/>
    </xf>
    <xf numFmtId="0" fontId="2" fillId="0" borderId="0" xfId="0" applyAlignment="1">
      <alignment vertical="center"/>
    </xf>
    <xf numFmtId="0" fontId="3" fillId="0" borderId="0" xfId="0" applyFont="1" applyAlignment="1">
      <alignment vertical="center"/>
    </xf>
    <xf numFmtId="0" fontId="1" fillId="0" borderId="0" xfId="4" applyNumberFormat="1" applyFont="1" applyAlignment="1">
      <alignment vertical="center"/>
    </xf>
    <xf numFmtId="43" fontId="2" fillId="0" borderId="0" xfId="0" applyNumberFormat="1" applyAlignment="1">
      <alignment horizontal="center" vertical="center"/>
    </xf>
    <xf numFmtId="43" fontId="2" fillId="0" borderId="0" xfId="0" applyNumberFormat="1" applyAlignment="1">
      <alignment vertical="center"/>
    </xf>
    <xf numFmtId="0" fontId="10" fillId="0" borderId="0" xfId="0" applyFont="1" applyAlignment="1">
      <alignment horizontal="center" vertical="center"/>
    </xf>
    <xf numFmtId="0" fontId="3" fillId="0" borderId="0" xfId="4" applyNumberFormat="1" applyFont="1" applyAlignment="1">
      <alignment horizontal="center" vertical="center"/>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9" fillId="0" borderId="5" xfId="0" applyFont="1" applyBorder="1" applyAlignment="1">
      <alignment horizontal="center" vertical="center"/>
    </xf>
    <xf numFmtId="0" fontId="9" fillId="0" borderId="2" xfId="0" applyFont="1" applyBorder="1" applyAlignment="1">
      <alignment horizontal="center" vertical="center"/>
    </xf>
    <xf numFmtId="0" fontId="7" fillId="0" borderId="4" xfId="0" applyFont="1" applyBorder="1" applyAlignment="1">
      <alignment vertical="center"/>
    </xf>
    <xf numFmtId="43" fontId="2" fillId="0" borderId="9" xfId="0" applyNumberFormat="1" applyBorder="1" applyAlignment="1">
      <alignment horizontal="center" vertical="center"/>
    </xf>
    <xf numFmtId="43" fontId="2" fillId="0" borderId="12" xfId="0" applyNumberFormat="1" applyBorder="1" applyAlignment="1">
      <alignment horizontal="center" vertical="center"/>
    </xf>
    <xf numFmtId="0" fontId="3" fillId="0" borderId="4" xfId="0" applyFont="1" applyBorder="1" applyAlignment="1">
      <alignment vertical="center"/>
    </xf>
    <xf numFmtId="43" fontId="2" fillId="0" borderId="9" xfId="0" applyNumberFormat="1" applyBorder="1" applyAlignment="1">
      <alignment vertical="center"/>
    </xf>
    <xf numFmtId="43" fontId="9" fillId="0" borderId="9" xfId="0" applyNumberFormat="1" applyFont="1" applyBorder="1" applyAlignment="1">
      <alignment horizontal="center" vertical="center"/>
    </xf>
    <xf numFmtId="43" fontId="9" fillId="0" borderId="12" xfId="0" applyNumberFormat="1" applyFont="1" applyBorder="1" applyAlignment="1">
      <alignment horizontal="center" vertical="center"/>
    </xf>
    <xf numFmtId="0" fontId="3" fillId="0" borderId="4" xfId="0" applyFont="1" applyBorder="1" applyAlignment="1">
      <alignment vertical="center" wrapText="1"/>
    </xf>
    <xf numFmtId="0" fontId="11" fillId="0" borderId="4" xfId="0" applyFont="1" applyBorder="1" applyAlignment="1">
      <alignment vertical="center" wrapText="1"/>
    </xf>
    <xf numFmtId="0" fontId="11" fillId="4" borderId="4" xfId="0" applyFont="1" applyFill="1" applyBorder="1" applyAlignment="1">
      <alignment vertical="center"/>
    </xf>
    <xf numFmtId="0" fontId="8" fillId="2" borderId="0" xfId="0" applyFont="1" applyFill="1"/>
    <xf numFmtId="0" fontId="3" fillId="4" borderId="4" xfId="0" applyFont="1" applyFill="1" applyBorder="1" applyAlignment="1">
      <alignment vertical="center"/>
    </xf>
    <xf numFmtId="0" fontId="7" fillId="0" borderId="6" xfId="0" applyFont="1" applyBorder="1" applyAlignment="1">
      <alignment vertical="center"/>
    </xf>
    <xf numFmtId="43" fontId="2" fillId="0" borderId="7" xfId="0" applyNumberFormat="1" applyBorder="1" applyAlignment="1">
      <alignment horizontal="center" vertical="center"/>
    </xf>
    <xf numFmtId="43" fontId="2" fillId="0" borderId="8" xfId="0" applyNumberFormat="1" applyBorder="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6" fillId="0" borderId="0" xfId="0" applyFont="1" applyAlignment="1">
      <alignment vertical="center"/>
    </xf>
    <xf numFmtId="0" fontId="6" fillId="0" borderId="0" xfId="0" applyFont="1" applyAlignment="1">
      <alignment horizontal="left" vertical="center"/>
    </xf>
    <xf numFmtId="0" fontId="12" fillId="0" borderId="0" xfId="0" applyFont="1" applyAlignment="1">
      <alignment horizontal="left" vertical="center" wrapText="1"/>
    </xf>
    <xf numFmtId="0" fontId="2" fillId="0" borderId="0" xfId="4" applyNumberFormat="1" applyAlignment="1">
      <alignment vertical="center"/>
    </xf>
    <xf numFmtId="0" fontId="3" fillId="0" borderId="0" xfId="4" applyNumberFormat="1" applyFont="1" applyAlignment="1">
      <alignment vertical="center"/>
    </xf>
    <xf numFmtId="43" fontId="9" fillId="0" borderId="0" xfId="4" applyNumberFormat="1" applyFont="1" applyAlignment="1">
      <alignment vertical="center"/>
    </xf>
    <xf numFmtId="43" fontId="2" fillId="2" borderId="0" xfId="4" applyNumberFormat="1" applyFill="1" applyAlignment="1">
      <alignment vertical="center"/>
    </xf>
    <xf numFmtId="43" fontId="2" fillId="0" borderId="0" xfId="4" applyNumberFormat="1" applyAlignment="1">
      <alignment vertical="center" wrapText="1"/>
    </xf>
    <xf numFmtId="43" fontId="9" fillId="0" borderId="0" xfId="0" applyNumberFormat="1" applyFont="1" applyAlignment="1">
      <alignment vertical="center"/>
    </xf>
    <xf numFmtId="43" fontId="1" fillId="0" borderId="0" xfId="4" applyNumberFormat="1" applyFont="1" applyAlignment="1">
      <alignment vertical="center"/>
    </xf>
    <xf numFmtId="43" fontId="3" fillId="0" borderId="0" xfId="4" applyNumberFormat="1" applyFont="1" applyAlignment="1">
      <alignment vertical="center"/>
    </xf>
    <xf numFmtId="43" fontId="2" fillId="0" borderId="0" xfId="4" applyNumberFormat="1" applyAlignment="1">
      <alignment horizontal="center" vertical="center"/>
    </xf>
    <xf numFmtId="43" fontId="2" fillId="0" borderId="0" xfId="4" applyNumberFormat="1" applyAlignment="1">
      <alignment vertical="center"/>
    </xf>
    <xf numFmtId="0" fontId="3" fillId="0" borderId="14" xfId="4" applyNumberFormat="1" applyFont="1" applyBorder="1" applyAlignment="1">
      <alignment horizontal="center" vertical="center"/>
    </xf>
    <xf numFmtId="0" fontId="3" fillId="0" borderId="14" xfId="0" applyFont="1" applyBorder="1"/>
    <xf numFmtId="0" fontId="3" fillId="0" borderId="0" xfId="4" applyNumberFormat="1" applyFont="1" applyAlignment="1">
      <alignment horizontal="right" vertical="center"/>
    </xf>
    <xf numFmtId="0" fontId="9" fillId="0" borderId="15" xfId="0" applyFont="1" applyBorder="1" applyAlignment="1">
      <alignment horizontal="center" vertical="center"/>
    </xf>
    <xf numFmtId="0" fontId="9" fillId="0" borderId="2" xfId="4" applyNumberFormat="1" applyFont="1" applyBorder="1" applyAlignment="1">
      <alignment horizontal="center" vertical="center"/>
    </xf>
    <xf numFmtId="4" fontId="7" fillId="0" borderId="4" xfId="0" applyNumberFormat="1" applyFont="1" applyBorder="1" applyAlignment="1">
      <alignment vertical="center"/>
    </xf>
    <xf numFmtId="43" fontId="9" fillId="0" borderId="10" xfId="4" applyNumberFormat="1" applyFont="1" applyBorder="1" applyAlignment="1">
      <alignment vertical="center"/>
    </xf>
    <xf numFmtId="4" fontId="3" fillId="0" borderId="4" xfId="0" applyNumberFormat="1" applyFont="1" applyBorder="1" applyAlignment="1">
      <alignment vertical="center"/>
    </xf>
    <xf numFmtId="49" fontId="2" fillId="0" borderId="9" xfId="0" applyNumberFormat="1" applyBorder="1" applyAlignment="1">
      <alignment horizontal="center" vertical="center"/>
    </xf>
    <xf numFmtId="4" fontId="3" fillId="0" borderId="4" xfId="0" applyNumberFormat="1" applyFont="1" applyBorder="1" applyAlignment="1">
      <alignment vertical="center" wrapText="1"/>
    </xf>
    <xf numFmtId="4" fontId="7" fillId="0" borderId="4" xfId="0" applyNumberFormat="1" applyFont="1" applyBorder="1" applyAlignment="1">
      <alignment vertical="center" wrapText="1"/>
    </xf>
    <xf numFmtId="43" fontId="2" fillId="0" borderId="0" xfId="4" applyNumberFormat="1" applyAlignment="1">
      <alignment horizontal="left" vertical="center"/>
    </xf>
    <xf numFmtId="43" fontId="2" fillId="2" borderId="12" xfId="0" applyNumberFormat="1" applyFill="1" applyBorder="1" applyAlignment="1">
      <alignment horizontal="center" vertical="center"/>
    </xf>
    <xf numFmtId="49" fontId="2" fillId="0" borderId="9" xfId="0" applyNumberFormat="1" applyBorder="1" applyAlignment="1">
      <alignment horizontal="center" vertical="center" wrapText="1"/>
    </xf>
    <xf numFmtId="43" fontId="2" fillId="0" borderId="12" xfId="0" applyNumberFormat="1" applyBorder="1" applyAlignment="1">
      <alignment horizontal="center" vertical="center" wrapText="1"/>
    </xf>
    <xf numFmtId="43" fontId="2" fillId="0" borderId="9" xfId="4" applyNumberFormat="1" applyBorder="1" applyAlignment="1">
      <alignment horizontal="left" vertical="center"/>
    </xf>
    <xf numFmtId="43" fontId="9" fillId="0" borderId="0" xfId="4" applyNumberFormat="1" applyFont="1" applyAlignment="1">
      <alignment horizontal="left" vertical="center"/>
    </xf>
    <xf numFmtId="4" fontId="3" fillId="0" borderId="4" xfId="0" applyNumberFormat="1" applyFont="1" applyBorder="1" applyAlignment="1">
      <alignment horizontal="left" vertical="center" indent="4"/>
    </xf>
    <xf numFmtId="4" fontId="3" fillId="0" borderId="4" xfId="0" applyNumberFormat="1" applyFont="1" applyBorder="1" applyAlignment="1">
      <alignment horizontal="left" vertical="center" wrapText="1" indent="4"/>
    </xf>
    <xf numFmtId="43" fontId="9" fillId="0" borderId="9" xfId="0" applyNumberFormat="1" applyFont="1" applyBorder="1" applyAlignment="1">
      <alignment vertical="center"/>
    </xf>
    <xf numFmtId="43" fontId="9" fillId="0" borderId="9" xfId="0" applyNumberFormat="1" applyFont="1" applyBorder="1" applyAlignment="1">
      <alignment horizontal="left" vertical="center"/>
    </xf>
    <xf numFmtId="4" fontId="3" fillId="0" borderId="6" xfId="0" applyNumberFormat="1" applyFont="1" applyBorder="1" applyAlignment="1">
      <alignment vertical="center"/>
    </xf>
    <xf numFmtId="43" fontId="2" fillId="0" borderId="7" xfId="4" applyNumberFormat="1" applyBorder="1" applyAlignment="1">
      <alignment horizontal="left" vertical="center"/>
    </xf>
    <xf numFmtId="43" fontId="6" fillId="0" borderId="0" xfId="0" applyNumberFormat="1" applyFont="1" applyAlignment="1">
      <alignment vertical="center"/>
    </xf>
    <xf numFmtId="43" fontId="6" fillId="0" borderId="0" xfId="0" applyNumberFormat="1" applyFont="1" applyAlignment="1">
      <alignment vertical="center"/>
    </xf>
    <xf numFmtId="43" fontId="6" fillId="0" borderId="0" xfId="0" applyNumberFormat="1" applyFont="1" applyAlignment="1">
      <alignment horizontal="left" vertical="center"/>
    </xf>
    <xf numFmtId="43" fontId="13" fillId="0" borderId="0" xfId="4" applyNumberFormat="1" applyFont="1" applyAlignment="1">
      <alignment horizontal="left" vertical="center" wrapText="1"/>
    </xf>
    <xf numFmtId="43" fontId="3" fillId="0" borderId="0" xfId="0" applyNumberFormat="1" applyFont="1" applyAlignment="1">
      <alignment vertical="center"/>
    </xf>
    <xf numFmtId="43" fontId="14" fillId="0" borderId="0" xfId="0" applyNumberFormat="1" applyFont="1" applyAlignment="1">
      <alignment vertical="center"/>
    </xf>
    <xf numFmtId="43" fontId="15" fillId="0" borderId="0" xfId="0" applyNumberFormat="1" applyFont="1" applyAlignment="1">
      <alignment vertical="center"/>
    </xf>
    <xf numFmtId="0" fontId="9" fillId="0" borderId="0" xfId="0" applyFont="1" applyAlignment="1">
      <alignment vertical="center"/>
    </xf>
    <xf numFmtId="31" fontId="3" fillId="0" borderId="0" xfId="0" applyNumberFormat="1" applyFont="1" applyAlignment="1">
      <alignment horizontal="center" vertical="center"/>
    </xf>
    <xf numFmtId="49" fontId="3" fillId="0" borderId="14" xfId="0" applyNumberFormat="1" applyFont="1" applyBorder="1" applyAlignment="1">
      <alignment horizontal="centerContinuous" vertical="center"/>
    </xf>
    <xf numFmtId="0" fontId="0" fillId="0" borderId="14" xfId="0" applyBorder="1"/>
    <xf numFmtId="31" fontId="7" fillId="0" borderId="1" xfId="0" applyNumberFormat="1" applyFont="1" applyBorder="1" applyAlignment="1">
      <alignment horizontal="center" vertical="center"/>
    </xf>
    <xf numFmtId="31" fontId="7" fillId="0" borderId="5" xfId="0" applyNumberFormat="1" applyFont="1" applyBorder="1" applyAlignment="1">
      <alignment horizontal="center" vertical="center"/>
    </xf>
    <xf numFmtId="49" fontId="6" fillId="0" borderId="2" xfId="0" applyNumberFormat="1" applyFont="1" applyBorder="1" applyAlignment="1">
      <alignment horizontal="center" vertical="center"/>
    </xf>
    <xf numFmtId="178" fontId="3" fillId="0" borderId="4" xfId="0" applyNumberFormat="1" applyFont="1" applyBorder="1" applyAlignment="1">
      <alignment vertical="center"/>
    </xf>
    <xf numFmtId="178" fontId="2" fillId="0" borderId="9" xfId="0" applyNumberFormat="1" applyBorder="1" applyAlignment="1">
      <alignment vertical="center"/>
    </xf>
    <xf numFmtId="178" fontId="3" fillId="0" borderId="4" xfId="0" applyNumberFormat="1" applyFont="1" applyBorder="1" applyAlignment="1">
      <alignment vertical="center" wrapText="1"/>
    </xf>
    <xf numFmtId="178" fontId="1" fillId="0" borderId="4" xfId="0" applyNumberFormat="1" applyFont="1" applyBorder="1" applyAlignment="1">
      <alignment vertical="center" wrapText="1"/>
    </xf>
    <xf numFmtId="0" fontId="1" fillId="0" borderId="0" xfId="0" applyFont="1" applyAlignment="1">
      <alignment vertical="center"/>
    </xf>
    <xf numFmtId="4" fontId="1" fillId="0" borderId="4" xfId="0" applyNumberFormat="1" applyFont="1" applyBorder="1" applyAlignment="1">
      <alignment vertical="center" wrapText="1"/>
    </xf>
    <xf numFmtId="178" fontId="1" fillId="0" borderId="4" xfId="0" applyNumberFormat="1" applyFont="1" applyBorder="1" applyAlignment="1">
      <alignment vertical="center"/>
    </xf>
    <xf numFmtId="178" fontId="7" fillId="0" borderId="4" xfId="0" applyNumberFormat="1" applyFont="1" applyBorder="1" applyAlignment="1">
      <alignment vertical="center"/>
    </xf>
    <xf numFmtId="178" fontId="3" fillId="0" borderId="4" xfId="0" applyNumberFormat="1" applyFont="1" applyBorder="1" applyAlignment="1">
      <alignment vertical="center"/>
    </xf>
    <xf numFmtId="178" fontId="7" fillId="0" borderId="6" xfId="0" applyNumberFormat="1" applyFont="1" applyBorder="1" applyAlignment="1">
      <alignment horizontal="center" vertical="center"/>
    </xf>
    <xf numFmtId="178" fontId="2" fillId="0" borderId="7" xfId="0" applyNumberFormat="1" applyBorder="1" applyAlignment="1">
      <alignment vertical="center"/>
    </xf>
    <xf numFmtId="178" fontId="7" fillId="0" borderId="0" xfId="0" applyNumberFormat="1" applyFont="1" applyAlignment="1">
      <alignment horizontal="center" vertical="center"/>
    </xf>
    <xf numFmtId="178" fontId="2" fillId="0" borderId="0" xfId="0" applyNumberFormat="1" applyAlignment="1">
      <alignment vertical="center"/>
    </xf>
    <xf numFmtId="179" fontId="2" fillId="0" borderId="0" xfId="0" applyNumberFormat="1" applyAlignment="1">
      <alignment vertical="center"/>
    </xf>
    <xf numFmtId="0" fontId="7" fillId="0" borderId="0" xfId="0" applyFont="1" applyAlignment="1">
      <alignment vertical="center"/>
    </xf>
    <xf numFmtId="0" fontId="9" fillId="0" borderId="0" xfId="0" applyFont="1" applyAlignment="1">
      <alignment horizontal="left" vertical="center"/>
    </xf>
    <xf numFmtId="43" fontId="1" fillId="0" borderId="0" xfId="0" applyNumberFormat="1" applyFont="1" applyAlignment="1">
      <alignment vertical="center"/>
    </xf>
    <xf numFmtId="0" fontId="10" fillId="0" borderId="0" xfId="0" applyFont="1" applyAlignment="1">
      <alignment horizontal="center" vertical="center"/>
    </xf>
    <xf numFmtId="31" fontId="2" fillId="0" borderId="0" xfId="0" applyNumberFormat="1" applyAlignment="1">
      <alignment horizontal="center" vertical="center"/>
    </xf>
    <xf numFmtId="0" fontId="2" fillId="0" borderId="0" xfId="0" applyAlignment="1">
      <alignment horizontal="center" vertical="center"/>
    </xf>
    <xf numFmtId="0" fontId="2" fillId="0" borderId="14" xfId="0" applyBorder="1" applyAlignment="1">
      <alignment horizontal="center" vertical="center"/>
    </xf>
    <xf numFmtId="0" fontId="3" fillId="0" borderId="14" xfId="0" applyFont="1" applyBorder="1" applyAlignment="1">
      <alignment horizontal="right" vertical="center" wrapText="1"/>
    </xf>
    <xf numFmtId="0" fontId="7" fillId="5" borderId="10" xfId="0" applyFont="1" applyFill="1" applyBorder="1" applyAlignment="1">
      <alignment horizontal="center" vertical="center"/>
    </xf>
    <xf numFmtId="178" fontId="2" fillId="0" borderId="10" xfId="0" applyNumberFormat="1" applyBorder="1" applyAlignment="1">
      <alignment vertical="center"/>
    </xf>
    <xf numFmtId="0" fontId="1" fillId="0" borderId="4" xfId="0" applyFont="1" applyBorder="1" applyAlignment="1">
      <alignment vertical="center"/>
    </xf>
    <xf numFmtId="0" fontId="7" fillId="0" borderId="6" xfId="0" applyFont="1" applyBorder="1" applyAlignment="1">
      <alignment horizontal="left" vertical="center"/>
    </xf>
    <xf numFmtId="180" fontId="2" fillId="0" borderId="0" xfId="0" applyNumberFormat="1" applyAlignment="1">
      <alignmen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附件1：决算表式（后会签稿）--1008" xfId="49"/>
    <cellStyle name="常规_新会计准则财务报表" xfId="50"/>
    <cellStyle name="普通_损益表" xfId="51"/>
    <cellStyle name="千位分隔 2" xfId="52"/>
    <cellStyle name="千位分隔[0] 2"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51"/>
  <sheetViews>
    <sheetView showGridLines="0" showZeros="0" view="pageBreakPreview" zoomScaleNormal="110" workbookViewId="0">
      <selection activeCell="D6" sqref="D6"/>
    </sheetView>
  </sheetViews>
  <sheetFormatPr defaultColWidth="13.375" defaultRowHeight="20.25" customHeight="1"/>
  <cols>
    <col min="1" max="1" width="35.6" style="49" customWidth="1"/>
    <col min="2" max="2" width="15.6" style="52" customWidth="1"/>
    <col min="3" max="4" width="25.2" style="53" customWidth="1"/>
    <col min="5" max="5" width="19.125" style="146" customWidth="1"/>
    <col min="6" max="19" width="13.375" style="146" customWidth="1"/>
    <col min="20" max="16384" width="13.375" style="53" customWidth="1"/>
  </cols>
  <sheetData>
    <row r="1" s="49" customFormat="1" ht="32.1" customHeight="1" spans="1:19">
      <c r="A1" s="147" t="s">
        <v>0</v>
      </c>
      <c r="E1" s="134"/>
      <c r="F1" s="134"/>
      <c r="G1" s="134"/>
      <c r="H1" s="134"/>
      <c r="I1" s="134"/>
      <c r="J1" s="134"/>
      <c r="K1" s="134"/>
      <c r="L1" s="134"/>
      <c r="M1" s="134"/>
      <c r="N1" s="134"/>
      <c r="O1" s="134"/>
      <c r="P1" s="134"/>
      <c r="Q1" s="134"/>
      <c r="R1" s="134"/>
      <c r="S1" s="134"/>
    </row>
    <row r="2" spans="1:19">
      <c r="A2" s="148" t="s">
        <v>1</v>
      </c>
    </row>
    <row r="3" s="49" customFormat="1" ht="24" customHeight="1" spans="1:19">
      <c r="A3" s="56" t="s">
        <v>2</v>
      </c>
      <c r="B3" s="149"/>
      <c r="C3" s="150"/>
      <c r="D3" s="151" t="s">
        <v>3</v>
      </c>
      <c r="E3" s="134"/>
      <c r="F3" s="134"/>
      <c r="G3" s="134"/>
      <c r="H3" s="134"/>
      <c r="I3" s="134"/>
      <c r="J3" s="134"/>
      <c r="K3" s="134"/>
      <c r="L3" s="134"/>
      <c r="M3" s="134"/>
      <c r="N3" s="134"/>
      <c r="O3" s="134"/>
      <c r="P3" s="134"/>
      <c r="Q3" s="134"/>
      <c r="R3" s="134"/>
      <c r="S3" s="134"/>
    </row>
    <row r="4" ht="21" customHeight="1" spans="1:19">
      <c r="A4" s="59" t="s">
        <v>4</v>
      </c>
      <c r="B4" s="152" t="s">
        <v>5</v>
      </c>
      <c r="C4" s="129" t="s">
        <v>6</v>
      </c>
      <c r="D4" s="129" t="s">
        <v>7</v>
      </c>
    </row>
    <row r="5" ht="21" customHeight="1" spans="1:19">
      <c r="A5" s="66" t="s">
        <v>8</v>
      </c>
      <c r="B5" s="153"/>
      <c r="C5" s="65"/>
      <c r="D5" s="65"/>
    </row>
    <row r="6" ht="21" customHeight="1" spans="1:19">
      <c r="A6" s="66" t="s">
        <v>9</v>
      </c>
      <c r="B6" s="131" t="s">
        <v>10</v>
      </c>
      <c r="C6" s="65" t="s">
        <v>11</v>
      </c>
      <c r="D6" s="65" t="s">
        <v>12</v>
      </c>
    </row>
    <row r="7" ht="21" customHeight="1" spans="1:19">
      <c r="A7" s="66" t="s">
        <v>13</v>
      </c>
      <c r="B7" s="131" t="s">
        <v>14</v>
      </c>
      <c r="C7" s="65" t="s">
        <v>15</v>
      </c>
      <c r="D7" s="65" t="s">
        <v>16</v>
      </c>
    </row>
    <row r="8" ht="26" customHeight="1" spans="1:19">
      <c r="A8" s="70" t="s">
        <v>17</v>
      </c>
      <c r="B8" s="131" t="s">
        <v>18</v>
      </c>
      <c r="C8" s="65" t="s">
        <v>19</v>
      </c>
      <c r="D8" s="65" t="s">
        <v>20</v>
      </c>
    </row>
    <row r="9" ht="21" customHeight="1" spans="1:19">
      <c r="A9" s="66" t="s">
        <v>21</v>
      </c>
      <c r="B9" s="131" t="s">
        <v>22</v>
      </c>
      <c r="C9" s="65" t="s">
        <v>23</v>
      </c>
      <c r="D9" s="65" t="s">
        <v>24</v>
      </c>
    </row>
    <row r="10" ht="21" customHeight="1" spans="1:19">
      <c r="A10" s="66" t="s">
        <v>25</v>
      </c>
      <c r="B10" s="131" t="s">
        <v>26</v>
      </c>
      <c r="C10" s="65" t="s">
        <v>27</v>
      </c>
      <c r="D10" s="65" t="s">
        <v>28</v>
      </c>
    </row>
    <row r="11" ht="21" customHeight="1" spans="1:19">
      <c r="A11" s="70" t="s">
        <v>29</v>
      </c>
      <c r="B11" s="131" t="s">
        <v>30</v>
      </c>
      <c r="C11" s="65" t="s">
        <v>31</v>
      </c>
      <c r="D11" s="65" t="s">
        <v>32</v>
      </c>
    </row>
    <row r="12" ht="21" customHeight="1" spans="1:19">
      <c r="A12" s="66" t="s">
        <v>33</v>
      </c>
      <c r="B12" s="131" t="s">
        <v>34</v>
      </c>
      <c r="C12" s="65" t="s">
        <v>35</v>
      </c>
      <c r="D12" s="65" t="s">
        <v>36</v>
      </c>
    </row>
    <row r="13" ht="21" customHeight="1" spans="1:19">
      <c r="A13" s="66" t="s">
        <v>37</v>
      </c>
      <c r="B13" s="131" t="s">
        <v>38</v>
      </c>
      <c r="C13" s="65" t="s">
        <v>39</v>
      </c>
      <c r="D13" s="65" t="s">
        <v>40</v>
      </c>
    </row>
    <row r="14" ht="21" customHeight="1" spans="1:19">
      <c r="A14" s="66" t="s">
        <v>41</v>
      </c>
      <c r="B14" s="131"/>
      <c r="C14" s="65" t="s">
        <v>42</v>
      </c>
      <c r="D14" s="65" t="s">
        <v>43</v>
      </c>
    </row>
    <row r="15" ht="21" customHeight="1" spans="1:19">
      <c r="A15" s="66" t="s">
        <v>44</v>
      </c>
      <c r="B15" s="131"/>
      <c r="C15" s="65" t="s">
        <v>45</v>
      </c>
      <c r="D15" s="65" t="s">
        <v>46</v>
      </c>
    </row>
    <row r="16" ht="21" customHeight="1" spans="1:19">
      <c r="A16" s="66" t="s">
        <v>47</v>
      </c>
      <c r="B16" s="131" t="s">
        <v>48</v>
      </c>
      <c r="C16" s="65" t="s">
        <v>49</v>
      </c>
      <c r="D16" s="65" t="s">
        <v>50</v>
      </c>
    </row>
    <row r="17" ht="21" customHeight="1" spans="1:19">
      <c r="A17" s="66" t="s">
        <v>51</v>
      </c>
      <c r="B17" s="131"/>
      <c r="C17" s="65" t="s">
        <v>52</v>
      </c>
      <c r="D17" s="65" t="s">
        <v>53</v>
      </c>
    </row>
    <row r="18" ht="21" customHeight="1" spans="1:19">
      <c r="A18" s="66" t="s">
        <v>54</v>
      </c>
      <c r="B18" s="131" t="s">
        <v>55</v>
      </c>
      <c r="C18" s="65" t="s">
        <v>56</v>
      </c>
      <c r="D18" s="65" t="s">
        <v>57</v>
      </c>
    </row>
    <row r="19" spans="1:19">
      <c r="A19" s="70" t="s">
        <v>58</v>
      </c>
      <c r="B19" s="131"/>
      <c r="C19" s="65" t="s">
        <v>59</v>
      </c>
      <c r="D19" s="65" t="s">
        <v>60</v>
      </c>
    </row>
    <row r="20" ht="21" customHeight="1" spans="1:19">
      <c r="A20" s="66" t="s">
        <v>61</v>
      </c>
      <c r="B20" s="131" t="s">
        <v>62</v>
      </c>
      <c r="C20" s="65" t="s">
        <v>63</v>
      </c>
      <c r="D20" s="65" t="s">
        <v>64</v>
      </c>
    </row>
    <row r="21" ht="21" customHeight="1" spans="1:19">
      <c r="A21" s="66" t="s">
        <v>65</v>
      </c>
      <c r="B21" s="131" t="s">
        <v>66</v>
      </c>
      <c r="C21" s="65" t="s">
        <v>67</v>
      </c>
      <c r="D21" s="65" t="s">
        <v>68</v>
      </c>
    </row>
    <row r="22" ht="21" customHeight="1" spans="1:19">
      <c r="A22" s="63" t="s">
        <v>69</v>
      </c>
      <c r="B22" s="131"/>
      <c r="C22" s="65" t="e">
        <f>SUM(C6:C21)-C14-C15</f>
        <v>#VALUE!</v>
      </c>
      <c r="D22" s="65" t="e">
        <f>SUM(D6:D21)-D14-D15</f>
        <v>#VALUE!</v>
      </c>
    </row>
    <row r="23" ht="21" customHeight="1" spans="1:19">
      <c r="A23" s="66" t="s">
        <v>70</v>
      </c>
      <c r="B23" s="131"/>
      <c r="C23" s="65"/>
      <c r="D23" s="65"/>
    </row>
    <row r="24" ht="21" customHeight="1" spans="1:19">
      <c r="A24" s="66" t="s">
        <v>71</v>
      </c>
      <c r="B24" s="131" t="s">
        <v>72</v>
      </c>
      <c r="C24" s="65" t="s">
        <v>73</v>
      </c>
      <c r="D24" s="65" t="s">
        <v>74</v>
      </c>
    </row>
    <row r="25" s="88" customFormat="1" ht="21" customHeight="1" spans="1:19">
      <c r="A25" s="66" t="s">
        <v>75</v>
      </c>
      <c r="B25" s="131" t="s">
        <v>76</v>
      </c>
      <c r="C25" s="65" t="s">
        <v>77</v>
      </c>
      <c r="D25" s="65" t="s">
        <v>78</v>
      </c>
      <c r="E25" s="146"/>
      <c r="F25" s="146"/>
      <c r="G25" s="146"/>
      <c r="H25" s="146"/>
      <c r="I25" s="146"/>
      <c r="J25" s="146"/>
      <c r="K25" s="146"/>
      <c r="L25" s="146"/>
      <c r="M25" s="146"/>
      <c r="N25" s="146"/>
      <c r="O25" s="146"/>
      <c r="P25" s="146"/>
      <c r="Q25" s="146"/>
      <c r="R25" s="146"/>
      <c r="S25" s="146"/>
    </row>
    <row r="26" ht="21" customHeight="1" spans="1:19">
      <c r="A26" s="66" t="s">
        <v>79</v>
      </c>
      <c r="B26" s="131" t="s">
        <v>80</v>
      </c>
      <c r="C26" s="65" t="s">
        <v>81</v>
      </c>
      <c r="D26" s="65" t="s">
        <v>82</v>
      </c>
    </row>
    <row r="27" ht="22" customHeight="1" spans="1:19">
      <c r="A27" s="154" t="s">
        <v>83</v>
      </c>
      <c r="B27" s="131" t="s">
        <v>84</v>
      </c>
      <c r="C27" s="65" t="s">
        <v>85</v>
      </c>
      <c r="D27" s="65" t="s">
        <v>86</v>
      </c>
    </row>
    <row r="28" ht="21" customHeight="1" spans="1:19">
      <c r="A28" s="66" t="s">
        <v>87</v>
      </c>
      <c r="B28" s="131" t="s">
        <v>88</v>
      </c>
      <c r="C28" s="65" t="s">
        <v>89</v>
      </c>
      <c r="D28" s="65" t="s">
        <v>90</v>
      </c>
    </row>
    <row r="29" ht="21" customHeight="1" spans="1:19">
      <c r="A29" s="66" t="s">
        <v>91</v>
      </c>
      <c r="B29" s="131" t="s">
        <v>92</v>
      </c>
      <c r="C29" s="65" t="s">
        <v>93</v>
      </c>
      <c r="D29" s="65" t="s">
        <v>94</v>
      </c>
    </row>
    <row r="30" ht="21" customHeight="1" spans="1:19">
      <c r="A30" s="66" t="s">
        <v>95</v>
      </c>
      <c r="B30" s="131" t="s">
        <v>96</v>
      </c>
      <c r="C30" s="65" t="s">
        <v>97</v>
      </c>
      <c r="D30" s="65" t="s">
        <v>98</v>
      </c>
    </row>
    <row r="31" ht="21" customHeight="1" spans="1:19">
      <c r="A31" s="66" t="s">
        <v>99</v>
      </c>
      <c r="B31" s="131" t="s">
        <v>100</v>
      </c>
      <c r="C31" s="65" t="s">
        <v>101</v>
      </c>
      <c r="D31" s="65" t="s">
        <v>102</v>
      </c>
    </row>
    <row r="32" s="88" customFormat="1" ht="21" customHeight="1" spans="1:19">
      <c r="A32" s="66" t="s">
        <v>103</v>
      </c>
      <c r="B32" s="131" t="s">
        <v>104</v>
      </c>
      <c r="C32" s="65" t="s">
        <v>105</v>
      </c>
      <c r="D32" s="65" t="s">
        <v>106</v>
      </c>
      <c r="E32" s="146"/>
      <c r="F32" s="146"/>
      <c r="G32" s="146"/>
      <c r="H32" s="146"/>
      <c r="I32" s="146"/>
      <c r="J32" s="146"/>
      <c r="K32" s="146"/>
      <c r="L32" s="146"/>
      <c r="M32" s="146"/>
      <c r="N32" s="146"/>
      <c r="O32" s="146"/>
      <c r="P32" s="146"/>
      <c r="Q32" s="146"/>
      <c r="R32" s="146"/>
      <c r="S32" s="146"/>
    </row>
    <row r="33" ht="21" customHeight="1" spans="1:19">
      <c r="A33" s="66" t="s">
        <v>107</v>
      </c>
      <c r="B33" s="131" t="s">
        <v>108</v>
      </c>
      <c r="C33" s="65" t="s">
        <v>109</v>
      </c>
      <c r="D33" s="65" t="s">
        <v>110</v>
      </c>
    </row>
    <row r="34" ht="21" customHeight="1" spans="1:19">
      <c r="A34" s="66" t="s">
        <v>111</v>
      </c>
      <c r="B34" s="131" t="s">
        <v>112</v>
      </c>
      <c r="C34" s="65" t="s">
        <v>113</v>
      </c>
      <c r="D34" s="65" t="s">
        <v>114</v>
      </c>
    </row>
    <row r="35" ht="21" customHeight="1" spans="1:19">
      <c r="A35" s="66" t="s">
        <v>115</v>
      </c>
      <c r="B35" s="131"/>
      <c r="C35" s="65" t="s">
        <v>116</v>
      </c>
      <c r="D35" s="65" t="s">
        <v>117</v>
      </c>
    </row>
    <row r="36" ht="21" customHeight="1" spans="1:19">
      <c r="A36" s="154" t="s">
        <v>118</v>
      </c>
      <c r="B36" s="131" t="s">
        <v>119</v>
      </c>
      <c r="C36" s="65" t="s">
        <v>120</v>
      </c>
      <c r="D36" s="65" t="s">
        <v>121</v>
      </c>
    </row>
    <row r="37" ht="21" customHeight="1" spans="1:19">
      <c r="A37" s="66" t="s">
        <v>122</v>
      </c>
      <c r="B37" s="131" t="s">
        <v>123</v>
      </c>
      <c r="C37" s="65" t="s">
        <v>124</v>
      </c>
      <c r="D37" s="65" t="s">
        <v>125</v>
      </c>
    </row>
    <row r="38" ht="21" customHeight="1" spans="1:19">
      <c r="A38" s="66" t="s">
        <v>51</v>
      </c>
      <c r="B38" s="131"/>
      <c r="C38" s="65" t="s">
        <v>126</v>
      </c>
      <c r="D38" s="65" t="s">
        <v>127</v>
      </c>
    </row>
    <row r="39" ht="21" customHeight="1" spans="1:19">
      <c r="A39" s="66" t="s">
        <v>128</v>
      </c>
      <c r="B39" s="131" t="s">
        <v>129</v>
      </c>
      <c r="C39" s="65" t="s">
        <v>130</v>
      </c>
      <c r="D39" s="65" t="s">
        <v>131</v>
      </c>
    </row>
    <row r="40" ht="21" customHeight="1" spans="1:19">
      <c r="A40" s="66" t="s">
        <v>51</v>
      </c>
      <c r="B40" s="131"/>
      <c r="C40" s="65" t="s">
        <v>132</v>
      </c>
      <c r="D40" s="65" t="s">
        <v>133</v>
      </c>
    </row>
    <row r="41" ht="21" customHeight="1" spans="1:19">
      <c r="A41" s="66" t="s">
        <v>134</v>
      </c>
      <c r="B41" s="131" t="s">
        <v>135</v>
      </c>
      <c r="C41" s="65" t="s">
        <v>136</v>
      </c>
      <c r="D41" s="65" t="s">
        <v>137</v>
      </c>
    </row>
    <row r="42" ht="21" customHeight="1" spans="1:19">
      <c r="A42" s="66" t="s">
        <v>138</v>
      </c>
      <c r="B42" s="131" t="s">
        <v>139</v>
      </c>
      <c r="C42" s="65" t="s">
        <v>140</v>
      </c>
      <c r="D42" s="65" t="s">
        <v>141</v>
      </c>
    </row>
    <row r="43" ht="21" customHeight="1" spans="1:19">
      <c r="A43" s="66" t="s">
        <v>142</v>
      </c>
      <c r="B43" s="131"/>
      <c r="C43" s="65" t="s">
        <v>143</v>
      </c>
      <c r="D43" s="65" t="s">
        <v>144</v>
      </c>
    </row>
    <row r="44" ht="21" customHeight="1" spans="1:19">
      <c r="A44" s="66" t="s">
        <v>145</v>
      </c>
      <c r="B44" s="131" t="s">
        <v>146</v>
      </c>
      <c r="C44" s="65" t="s">
        <v>147</v>
      </c>
      <c r="D44" s="65" t="s">
        <v>148</v>
      </c>
    </row>
    <row r="45" ht="21" customHeight="1" spans="1:19">
      <c r="A45" s="63" t="s">
        <v>149</v>
      </c>
      <c r="B45" s="131"/>
      <c r="C45" s="65">
        <f>SUM(C24:C44)</f>
        <v>0</v>
      </c>
      <c r="D45" s="65">
        <f>SUM(D24:D44)</f>
        <v>0</v>
      </c>
    </row>
    <row r="46" s="88" customFormat="1" ht="21" customHeight="1" spans="1:19">
      <c r="A46" s="155" t="s">
        <v>150</v>
      </c>
      <c r="B46" s="140"/>
      <c r="C46" s="76" t="e">
        <f>C22+C45</f>
        <v>#VALUE!</v>
      </c>
      <c r="D46" s="77" t="e">
        <f>D22+D45</f>
        <v>#VALUE!</v>
      </c>
      <c r="E46" s="146"/>
      <c r="F46" s="146"/>
      <c r="G46" s="146"/>
      <c r="H46" s="146"/>
      <c r="I46" s="146"/>
      <c r="J46" s="146"/>
      <c r="K46" s="146"/>
      <c r="L46" s="146"/>
      <c r="M46" s="146"/>
      <c r="N46" s="146"/>
      <c r="O46" s="146"/>
      <c r="P46" s="146"/>
      <c r="Q46" s="146"/>
      <c r="R46" s="146"/>
      <c r="S46" s="146"/>
    </row>
    <row r="47" spans="1:19">
      <c r="C47" s="143"/>
    </row>
    <row r="48" ht="15.6" spans="1:19">
      <c r="C48" s="143"/>
    </row>
    <row r="49" ht="15.6" spans="3:4">
      <c r="C49" s="143"/>
      <c r="D49" s="156"/>
    </row>
    <row r="50" ht="15.6" spans="3:4">
      <c r="C50" s="143"/>
    </row>
    <row r="51" ht="15.6" spans="3:4">
      <c r="C51" s="143"/>
    </row>
  </sheetData>
  <mergeCells count="2">
    <mergeCell ref="A1:D1"/>
    <mergeCell ref="A2:D2"/>
  </mergeCells>
  <printOptions horizontalCentered="1"/>
  <pageMargins left="0.708661417322835" right="0.708661417322835" top="0.905511811023622" bottom="0.78740157480315" header="0.511811023622047" footer="0.511811023622047"/>
  <pageSetup paperSize="9" scale="75" orientation="portrait" horizontalDpi="360" verticalDpi="600"/>
  <headerFooter alignWithMargins="0">
    <oddFooter>&amp;C&amp;"Arial Narrow,常规"1</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56"/>
  <sheetViews>
    <sheetView showGridLines="0" showZeros="0" view="pageBreakPreview" zoomScaleNormal="85" workbookViewId="0">
      <selection activeCell="A4" sqref="$A4:$XFD4"/>
    </sheetView>
  </sheetViews>
  <sheetFormatPr defaultColWidth="14" defaultRowHeight="15.6" outlineLevelCol="4"/>
  <cols>
    <col min="1" max="1" width="38.7" style="120" customWidth="1"/>
    <col min="2" max="2" width="16.3" style="52" customWidth="1"/>
    <col min="3" max="4" width="27.9" style="53" customWidth="1"/>
    <col min="5" max="5" width="18.125" style="53" customWidth="1"/>
    <col min="6" max="16384" width="14" style="53" customWidth="1"/>
  </cols>
  <sheetData>
    <row r="1" s="49" customFormat="1" ht="32.1" customHeight="1" spans="1:4">
      <c r="A1" s="54" t="s">
        <v>151</v>
      </c>
    </row>
    <row r="2" ht="25.5" customHeight="1" spans="1:4">
      <c r="A2" s="124" t="s">
        <v>1</v>
      </c>
    </row>
    <row r="3" ht="20.1" customHeight="1" spans="1:4">
      <c r="A3" s="125"/>
      <c r="B3" s="126"/>
      <c r="C3" s="126"/>
      <c r="D3" s="126"/>
    </row>
    <row r="4" s="120" customFormat="1" ht="20.1" customHeight="1" spans="1:4">
      <c r="A4" s="127" t="s">
        <v>4</v>
      </c>
      <c r="B4" s="128" t="s">
        <v>5</v>
      </c>
      <c r="C4" s="129" t="s">
        <v>6</v>
      </c>
      <c r="D4" s="129" t="s">
        <v>7</v>
      </c>
    </row>
    <row r="5" s="53" customFormat="1" ht="20.1" customHeight="1" spans="1:4">
      <c r="A5" s="130" t="s">
        <v>152</v>
      </c>
      <c r="B5" s="131" t="s">
        <v>153</v>
      </c>
      <c r="C5" s="65"/>
      <c r="D5" s="65"/>
    </row>
    <row r="6" ht="20.1" customHeight="1" spans="1:4">
      <c r="A6" s="130" t="s">
        <v>154</v>
      </c>
      <c r="B6" s="131" t="s">
        <v>155</v>
      </c>
      <c r="C6" s="65" t="s">
        <v>156</v>
      </c>
      <c r="D6" s="65" t="s">
        <v>157</v>
      </c>
    </row>
    <row r="7" ht="20.1" customHeight="1" spans="1:4">
      <c r="A7" s="132" t="s">
        <v>158</v>
      </c>
      <c r="B7" s="131" t="s">
        <v>159</v>
      </c>
      <c r="C7" s="65" t="s">
        <v>160</v>
      </c>
      <c r="D7" s="65" t="s">
        <v>161</v>
      </c>
    </row>
    <row r="8" ht="25" customHeight="1" spans="1:4">
      <c r="A8" s="133" t="s">
        <v>162</v>
      </c>
      <c r="B8" s="131" t="s">
        <v>163</v>
      </c>
      <c r="C8" s="65" t="s">
        <v>164</v>
      </c>
      <c r="D8" s="65" t="s">
        <v>165</v>
      </c>
    </row>
    <row r="9" ht="18.75" customHeight="1" spans="1:4">
      <c r="A9" s="130" t="s">
        <v>166</v>
      </c>
      <c r="B9" s="131" t="s">
        <v>167</v>
      </c>
      <c r="C9" s="65" t="s">
        <v>168</v>
      </c>
      <c r="D9" s="65" t="s">
        <v>169</v>
      </c>
    </row>
    <row r="10" ht="20.1" customHeight="1" spans="1:4">
      <c r="A10" s="130" t="s">
        <v>170</v>
      </c>
      <c r="B10" s="131" t="s">
        <v>171</v>
      </c>
      <c r="C10" s="65" t="s">
        <v>172</v>
      </c>
      <c r="D10" s="65" t="s">
        <v>173</v>
      </c>
    </row>
    <row r="11" ht="20.1" customHeight="1" spans="1:4">
      <c r="A11" s="130" t="s">
        <v>174</v>
      </c>
      <c r="B11" s="131" t="s">
        <v>175</v>
      </c>
      <c r="C11" s="65" t="s">
        <v>176</v>
      </c>
      <c r="D11" s="65" t="s">
        <v>177</v>
      </c>
    </row>
    <row r="12" ht="20.1" customHeight="1" spans="1:4">
      <c r="A12" s="130" t="s">
        <v>178</v>
      </c>
      <c r="B12" s="131" t="s">
        <v>179</v>
      </c>
      <c r="C12" s="65" t="s">
        <v>180</v>
      </c>
      <c r="D12" s="65" t="s">
        <v>181</v>
      </c>
    </row>
    <row r="13" ht="20.1" customHeight="1" spans="1:4">
      <c r="A13" s="130" t="s">
        <v>182</v>
      </c>
      <c r="B13" s="131" t="s">
        <v>183</v>
      </c>
      <c r="C13" s="65" t="s">
        <v>184</v>
      </c>
      <c r="D13" s="65" t="s">
        <v>185</v>
      </c>
    </row>
    <row r="14" ht="20.1" customHeight="1" spans="1:4">
      <c r="A14" s="130" t="s">
        <v>186</v>
      </c>
      <c r="B14" s="131" t="s">
        <v>187</v>
      </c>
      <c r="C14" s="65" t="s">
        <v>188</v>
      </c>
      <c r="D14" s="65" t="s">
        <v>189</v>
      </c>
    </row>
    <row r="15" ht="20.1" customHeight="1" spans="1:4">
      <c r="A15" s="132" t="s">
        <v>190</v>
      </c>
      <c r="B15" s="131" t="s">
        <v>191</v>
      </c>
      <c r="C15" s="65" t="s">
        <v>192</v>
      </c>
      <c r="D15" s="65" t="s">
        <v>193</v>
      </c>
    </row>
    <row r="16" ht="20.1" customHeight="1" spans="1:4">
      <c r="A16" s="130" t="s">
        <v>194</v>
      </c>
      <c r="B16" s="131"/>
      <c r="C16" s="65" t="s">
        <v>195</v>
      </c>
      <c r="D16" s="65" t="s">
        <v>196</v>
      </c>
    </row>
    <row r="17" ht="20.1" customHeight="1" spans="1:5">
      <c r="A17" s="130" t="s">
        <v>197</v>
      </c>
      <c r="B17" s="131"/>
      <c r="C17" s="65" t="s">
        <v>198</v>
      </c>
      <c r="D17" s="65" t="s">
        <v>199</v>
      </c>
    </row>
    <row r="18" ht="24" customHeight="1" spans="1:5">
      <c r="A18" s="132" t="s">
        <v>200</v>
      </c>
      <c r="B18" s="131"/>
      <c r="C18" s="65" t="s">
        <v>201</v>
      </c>
      <c r="D18" s="65" t="s">
        <v>202</v>
      </c>
    </row>
    <row r="19" ht="20.1" customHeight="1" spans="1:5">
      <c r="A19" s="130" t="s">
        <v>203</v>
      </c>
      <c r="B19" s="131" t="s">
        <v>204</v>
      </c>
      <c r="C19" s="65" t="s">
        <v>205</v>
      </c>
      <c r="D19" s="65" t="s">
        <v>206</v>
      </c>
    </row>
    <row r="20" ht="20.1" customHeight="1" spans="1:5">
      <c r="A20" s="130" t="s">
        <v>207</v>
      </c>
      <c r="B20" s="131" t="s">
        <v>208</v>
      </c>
      <c r="C20" s="65" t="s">
        <v>209</v>
      </c>
      <c r="D20" s="65" t="s">
        <v>210</v>
      </c>
      <c r="E20" s="134" t="s">
        <v>211</v>
      </c>
    </row>
    <row r="21" ht="20.1" customHeight="1" spans="1:5">
      <c r="A21" s="130" t="s">
        <v>212</v>
      </c>
      <c r="B21" s="131"/>
      <c r="C21" s="65" t="e">
        <f>SUM(C6:C20)-C16-C17</f>
        <v>#VALUE!</v>
      </c>
      <c r="D21" s="65" t="e">
        <f>SUM(D6:D20)-D16-D17</f>
        <v>#VALUE!</v>
      </c>
    </row>
    <row r="22" ht="20.1" customHeight="1" spans="1:5">
      <c r="A22" s="130" t="s">
        <v>213</v>
      </c>
      <c r="B22" s="131"/>
      <c r="C22" s="65"/>
      <c r="D22" s="65"/>
    </row>
    <row r="23" ht="20.1" customHeight="1" spans="1:5">
      <c r="A23" s="130" t="s">
        <v>214</v>
      </c>
      <c r="B23" s="131" t="s">
        <v>215</v>
      </c>
      <c r="C23" s="65" t="s">
        <v>216</v>
      </c>
      <c r="D23" s="65" t="s">
        <v>217</v>
      </c>
    </row>
    <row r="24" ht="20.1" customHeight="1" spans="1:5">
      <c r="A24" s="130" t="s">
        <v>218</v>
      </c>
      <c r="B24" s="131" t="s">
        <v>219</v>
      </c>
      <c r="C24" s="65" t="s">
        <v>220</v>
      </c>
      <c r="D24" s="65" t="s">
        <v>221</v>
      </c>
    </row>
    <row r="25" ht="20.1" customHeight="1" spans="1:5">
      <c r="A25" s="135" t="s">
        <v>222</v>
      </c>
      <c r="B25" s="131"/>
      <c r="C25" s="65" t="s">
        <v>223</v>
      </c>
      <c r="D25" s="65" t="s">
        <v>224</v>
      </c>
    </row>
    <row r="26" ht="20.1" customHeight="1" spans="1:5">
      <c r="A26" s="135" t="s">
        <v>225</v>
      </c>
      <c r="B26" s="131"/>
      <c r="C26" s="65" t="s">
        <v>226</v>
      </c>
      <c r="D26" s="65" t="s">
        <v>227</v>
      </c>
    </row>
    <row r="27" s="121" customFormat="1" ht="20.1" customHeight="1" spans="1:5">
      <c r="A27" s="136" t="s">
        <v>228</v>
      </c>
      <c r="B27" s="131" t="s">
        <v>229</v>
      </c>
      <c r="C27" s="65" t="s">
        <v>230</v>
      </c>
      <c r="D27" s="65" t="s">
        <v>231</v>
      </c>
    </row>
    <row r="28" ht="20.1" customHeight="1" spans="1:5">
      <c r="A28" s="130" t="s">
        <v>232</v>
      </c>
      <c r="B28" s="131" t="s">
        <v>233</v>
      </c>
      <c r="C28" s="65" t="s">
        <v>234</v>
      </c>
      <c r="D28" s="65" t="s">
        <v>235</v>
      </c>
    </row>
    <row r="29" ht="20.1" customHeight="1" spans="1:5">
      <c r="A29" s="135" t="s">
        <v>236</v>
      </c>
      <c r="B29" s="131" t="s">
        <v>237</v>
      </c>
      <c r="C29" s="65" t="s">
        <v>238</v>
      </c>
      <c r="D29" s="65" t="s">
        <v>239</v>
      </c>
    </row>
    <row r="30" s="88" customFormat="1" ht="20.1" customHeight="1" spans="1:5">
      <c r="A30" s="130" t="s">
        <v>240</v>
      </c>
      <c r="B30" s="131" t="s">
        <v>241</v>
      </c>
      <c r="C30" s="65" t="s">
        <v>242</v>
      </c>
      <c r="D30" s="65" t="s">
        <v>243</v>
      </c>
      <c r="E30" s="134" t="s">
        <v>244</v>
      </c>
    </row>
    <row r="31" s="88" customFormat="1" ht="20.1" customHeight="1" spans="1:5">
      <c r="A31" s="130" t="s">
        <v>245</v>
      </c>
      <c r="B31" s="131" t="s">
        <v>246</v>
      </c>
      <c r="C31" s="65" t="s">
        <v>247</v>
      </c>
      <c r="D31" s="65" t="s">
        <v>248</v>
      </c>
    </row>
    <row r="32" ht="20.1" customHeight="1" spans="1:5">
      <c r="A32" s="130" t="s">
        <v>249</v>
      </c>
      <c r="B32" s="131"/>
      <c r="C32" s="65" t="s">
        <v>250</v>
      </c>
      <c r="D32" s="65" t="s">
        <v>251</v>
      </c>
    </row>
    <row r="33" ht="20.1" customHeight="1" spans="1:5">
      <c r="A33" s="130" t="s">
        <v>252</v>
      </c>
      <c r="B33" s="131" t="s">
        <v>253</v>
      </c>
      <c r="C33" s="65" t="s">
        <v>254</v>
      </c>
      <c r="D33" s="65" t="s">
        <v>255</v>
      </c>
    </row>
    <row r="34" ht="20.1" customHeight="1" spans="1:5">
      <c r="A34" s="130" t="s">
        <v>256</v>
      </c>
      <c r="B34" s="131"/>
      <c r="C34" s="65" t="e">
        <f>SUM(C23:C33)-C25-C26</f>
        <v>#VALUE!</v>
      </c>
      <c r="D34" s="65" t="e">
        <f>SUM(D23:D33)-D25-D26</f>
        <v>#VALUE!</v>
      </c>
    </row>
    <row r="35" ht="20.1" customHeight="1" spans="1:5">
      <c r="A35" s="137" t="s">
        <v>257</v>
      </c>
      <c r="B35" s="131"/>
      <c r="C35" s="65" t="e">
        <f>C21+C34</f>
        <v>#VALUE!</v>
      </c>
      <c r="D35" s="65" t="e">
        <f>D21+D34</f>
        <v>#VALUE!</v>
      </c>
    </row>
    <row r="36" ht="20.1" customHeight="1" spans="1:5">
      <c r="A36" s="138"/>
      <c r="B36" s="131"/>
      <c r="C36" s="65"/>
      <c r="D36" s="65"/>
    </row>
    <row r="37" ht="20.1" customHeight="1" spans="1:5">
      <c r="A37" s="138" t="s">
        <v>258</v>
      </c>
      <c r="B37" s="131"/>
      <c r="C37" s="65"/>
      <c r="D37" s="65"/>
    </row>
    <row r="38" ht="20.1" customHeight="1" spans="1:5">
      <c r="A38" s="130" t="s">
        <v>259</v>
      </c>
      <c r="B38" s="131" t="s">
        <v>260</v>
      </c>
      <c r="C38" s="65" t="s">
        <v>261</v>
      </c>
      <c r="D38" s="65" t="s">
        <v>262</v>
      </c>
    </row>
    <row r="39" ht="20.1" customHeight="1" spans="1:5">
      <c r="A39" s="135" t="s">
        <v>263</v>
      </c>
      <c r="B39" s="131" t="s">
        <v>264</v>
      </c>
      <c r="C39" s="65" t="s">
        <v>265</v>
      </c>
      <c r="D39" s="65" t="s">
        <v>266</v>
      </c>
    </row>
    <row r="40" ht="20.1" customHeight="1" spans="1:5">
      <c r="A40" s="111" t="s">
        <v>267</v>
      </c>
      <c r="B40" s="131"/>
      <c r="C40" s="65" t="s">
        <v>268</v>
      </c>
      <c r="D40" s="65" t="s">
        <v>269</v>
      </c>
    </row>
    <row r="41" ht="20.1" customHeight="1" spans="1:5">
      <c r="A41" s="135" t="s">
        <v>270</v>
      </c>
      <c r="B41" s="131"/>
      <c r="C41" s="65" t="s">
        <v>271</v>
      </c>
      <c r="D41" s="65" t="s">
        <v>272</v>
      </c>
    </row>
    <row r="42" s="88" customFormat="1" ht="20.1" customHeight="1" spans="1:5">
      <c r="A42" s="130" t="s">
        <v>273</v>
      </c>
      <c r="B42" s="131" t="s">
        <v>274</v>
      </c>
      <c r="C42" s="65" t="s">
        <v>275</v>
      </c>
      <c r="D42" s="65" t="s">
        <v>276</v>
      </c>
    </row>
    <row r="43" s="88" customFormat="1" ht="20.1" customHeight="1" spans="1:5">
      <c r="A43" s="130" t="s">
        <v>277</v>
      </c>
      <c r="B43" s="131"/>
      <c r="C43" s="65" t="s">
        <v>278</v>
      </c>
      <c r="D43" s="65" t="s">
        <v>279</v>
      </c>
    </row>
    <row r="44" s="88" customFormat="1" ht="20.1" customHeight="1" spans="1:5">
      <c r="A44" s="136" t="s">
        <v>280</v>
      </c>
      <c r="B44" s="131" t="s">
        <v>281</v>
      </c>
      <c r="C44" s="65" t="s">
        <v>282</v>
      </c>
      <c r="D44" s="65" t="s">
        <v>283</v>
      </c>
      <c r="E44" s="53"/>
    </row>
    <row r="45" s="88" customFormat="1" ht="20.1" customHeight="1" spans="1:5">
      <c r="A45" s="130" t="s">
        <v>284</v>
      </c>
      <c r="B45" s="131" t="s">
        <v>285</v>
      </c>
      <c r="C45" s="65" t="s">
        <v>286</v>
      </c>
      <c r="D45" s="65" t="s">
        <v>287</v>
      </c>
    </row>
    <row r="46" ht="20.1" customHeight="1" spans="1:5">
      <c r="A46" s="130" t="s">
        <v>288</v>
      </c>
      <c r="B46" s="131" t="s">
        <v>289</v>
      </c>
      <c r="C46" s="65" t="s">
        <v>290</v>
      </c>
      <c r="D46" s="65" t="s">
        <v>291</v>
      </c>
    </row>
    <row r="47" ht="20.1" customHeight="1" spans="1:5">
      <c r="A47" s="130" t="s">
        <v>292</v>
      </c>
      <c r="B47" s="131" t="s">
        <v>293</v>
      </c>
      <c r="C47" s="65" t="s">
        <v>294</v>
      </c>
      <c r="D47" s="65" t="s">
        <v>295</v>
      </c>
    </row>
    <row r="48" s="88" customFormat="1" ht="20.1" customHeight="1" spans="1:5">
      <c r="A48" s="137" t="s">
        <v>296</v>
      </c>
      <c r="B48" s="131"/>
      <c r="C48" s="65" t="e">
        <f>C38+C39+C42-C43+C44+C45+C46+C47</f>
        <v>#VALUE!</v>
      </c>
      <c r="D48" s="65" t="e">
        <f>D38+D39+D42-D43+D44+D45+D46+D47</f>
        <v>#VALUE!</v>
      </c>
    </row>
    <row r="49" s="122" customFormat="1" ht="20.1" customHeight="1" spans="1:4">
      <c r="A49" s="139" t="s">
        <v>297</v>
      </c>
      <c r="B49" s="140"/>
      <c r="C49" s="77" t="e">
        <f>C48+C35</f>
        <v>#VALUE!</v>
      </c>
      <c r="D49" s="77" t="e">
        <f>D48+D35</f>
        <v>#VALUE!</v>
      </c>
    </row>
    <row r="50" s="122" customFormat="1" ht="20.1" customHeight="1" spans="1:4">
      <c r="A50" s="141"/>
      <c r="B50" s="142"/>
      <c r="C50" s="143"/>
      <c r="D50" s="143"/>
    </row>
    <row r="51" s="123" customFormat="1" ht="20.1" customHeight="1" spans="1:4">
      <c r="A51" s="144" t="s">
        <v>298</v>
      </c>
      <c r="B51" s="145" t="s">
        <v>299</v>
      </c>
      <c r="D51" s="145" t="s">
        <v>300</v>
      </c>
    </row>
    <row r="56" spans="1:4">
      <c r="C56" s="143">
        <f>资产负债表!C52-资产负债表续!C55</f>
        <v>0</v>
      </c>
      <c r="D56" s="143">
        <f>资产负债表!D52-资产负债表续!D55</f>
        <v>0</v>
      </c>
    </row>
  </sheetData>
  <mergeCells count="3">
    <mergeCell ref="A1:D1"/>
    <mergeCell ref="A2:D2"/>
    <mergeCell ref="A3:D3"/>
  </mergeCells>
  <printOptions horizontalCentered="1"/>
  <pageMargins left="0.708661417322835" right="0.708661417322835" top="0.905511811023622" bottom="0.78740157480315" header="0.511811023622047" footer="0.511811023622047"/>
  <pageSetup paperSize="9" scale="71" orientation="portrait" horizontalDpi="360" verticalDpi="600"/>
  <headerFooter alignWithMargins="0">
    <oddFooter>&amp;C&amp;"Arial Narrow,常规"2</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2"/>
  <sheetViews>
    <sheetView showGridLines="0" showZeros="0" view="pageBreakPreview" zoomScaleNormal="85" workbookViewId="0">
      <selection activeCell="A10" sqref="A10"/>
    </sheetView>
  </sheetViews>
  <sheetFormatPr defaultColWidth="14.5" defaultRowHeight="15.6" outlineLevelCol="4"/>
  <cols>
    <col min="1" max="1" width="50.625" style="90" customWidth="1"/>
    <col min="2" max="2" width="19" style="91" customWidth="1"/>
    <col min="3" max="4" width="27.8" style="92" customWidth="1"/>
    <col min="5" max="5" width="15.1" style="92" customWidth="1"/>
    <col min="6" max="16384" width="14.5" style="92" customWidth="1"/>
  </cols>
  <sheetData>
    <row r="1" s="83" customFormat="1" ht="32.1" customHeight="1" spans="1:5">
      <c r="A1" s="54" t="s">
        <v>301</v>
      </c>
    </row>
    <row r="2" ht="17.25" customHeight="1" spans="1:5">
      <c r="A2" s="55" t="s">
        <v>302</v>
      </c>
    </row>
    <row r="3" s="84" customFormat="1" ht="25.5" customHeight="1" spans="1:5">
      <c r="A3" s="56" t="s">
        <v>2</v>
      </c>
      <c r="B3" s="93"/>
      <c r="C3" s="94"/>
      <c r="D3" s="95" t="s">
        <v>303</v>
      </c>
    </row>
    <row r="4" s="83" customFormat="1" ht="18" customHeight="1" spans="1:5">
      <c r="A4" s="59" t="s">
        <v>4</v>
      </c>
      <c r="B4" s="96" t="s">
        <v>5</v>
      </c>
      <c r="C4" s="97" t="s">
        <v>304</v>
      </c>
      <c r="D4" s="97" t="s">
        <v>305</v>
      </c>
    </row>
    <row r="5" s="85" customFormat="1" ht="18" customHeight="1" spans="1:5">
      <c r="A5" s="98" t="s">
        <v>306</v>
      </c>
      <c r="B5" s="99"/>
      <c r="C5" s="65" t="s">
        <v>307</v>
      </c>
      <c r="D5" s="65" t="s">
        <v>308</v>
      </c>
    </row>
    <row r="6" ht="18" customHeight="1" spans="1:5">
      <c r="A6" s="100" t="s">
        <v>309</v>
      </c>
      <c r="B6" s="101"/>
      <c r="C6" s="65" t="s">
        <v>310</v>
      </c>
      <c r="D6" s="65" t="s">
        <v>311</v>
      </c>
      <c r="E6" s="85"/>
    </row>
    <row r="7" ht="18" customHeight="1" spans="1:5">
      <c r="A7" s="100" t="s">
        <v>312</v>
      </c>
      <c r="B7" s="101" t="s">
        <v>313</v>
      </c>
      <c r="C7" s="65" t="s">
        <v>314</v>
      </c>
      <c r="D7" s="65" t="s">
        <v>315</v>
      </c>
    </row>
    <row r="8" ht="18" customHeight="1" spans="1:5">
      <c r="A8" s="100" t="s">
        <v>316</v>
      </c>
      <c r="B8" s="101" t="s">
        <v>317</v>
      </c>
      <c r="C8" s="65" t="s">
        <v>318</v>
      </c>
      <c r="D8" s="65" t="s">
        <v>319</v>
      </c>
    </row>
    <row r="9" s="85" customFormat="1" ht="18" customHeight="1" spans="1:5">
      <c r="A9" s="100" t="s">
        <v>320</v>
      </c>
      <c r="B9" s="101" t="s">
        <v>321</v>
      </c>
      <c r="C9" s="65" t="s">
        <v>322</v>
      </c>
      <c r="D9" s="65" t="s">
        <v>323</v>
      </c>
    </row>
    <row r="10" s="85" customFormat="1" ht="18" customHeight="1" spans="1:5">
      <c r="A10" s="100" t="s">
        <v>324</v>
      </c>
      <c r="B10" s="101" t="s">
        <v>325</v>
      </c>
      <c r="C10" s="65" t="s">
        <v>326</v>
      </c>
      <c r="D10" s="65" t="s">
        <v>327</v>
      </c>
    </row>
    <row r="11" ht="18" customHeight="1" spans="1:5">
      <c r="A11" s="100" t="s">
        <v>328</v>
      </c>
      <c r="B11" s="101" t="s">
        <v>329</v>
      </c>
      <c r="C11" s="65" t="s">
        <v>330</v>
      </c>
      <c r="D11" s="65" t="s">
        <v>331</v>
      </c>
    </row>
    <row r="12" ht="18" customHeight="1" spans="1:5">
      <c r="A12" s="100" t="s">
        <v>332</v>
      </c>
      <c r="B12" s="101"/>
      <c r="C12" s="65" t="s">
        <v>333</v>
      </c>
      <c r="D12" s="65" t="s">
        <v>334</v>
      </c>
    </row>
    <row r="13" ht="18" customHeight="1" spans="1:5">
      <c r="A13" s="100" t="s">
        <v>335</v>
      </c>
      <c r="B13" s="101"/>
      <c r="C13" s="65" t="s">
        <v>336</v>
      </c>
      <c r="D13" s="65" t="s">
        <v>337</v>
      </c>
    </row>
    <row r="14" ht="18.6" customHeight="1" spans="1:5">
      <c r="A14" s="100" t="s">
        <v>338</v>
      </c>
      <c r="B14" s="101"/>
      <c r="C14" s="65" t="s">
        <v>339</v>
      </c>
      <c r="D14" s="65" t="s">
        <v>340</v>
      </c>
    </row>
    <row r="15" ht="18" customHeight="1" spans="1:5">
      <c r="A15" s="100" t="s">
        <v>341</v>
      </c>
      <c r="B15" s="101" t="s">
        <v>342</v>
      </c>
      <c r="C15" s="65" t="s">
        <v>343</v>
      </c>
      <c r="D15" s="65" t="s">
        <v>344</v>
      </c>
    </row>
    <row r="16" ht="18" customHeight="1" spans="1:5">
      <c r="A16" s="100" t="s">
        <v>345</v>
      </c>
      <c r="B16" s="101"/>
      <c r="C16" s="65" t="s">
        <v>346</v>
      </c>
      <c r="D16" s="65" t="s">
        <v>347</v>
      </c>
    </row>
    <row r="17" ht="32.1" customHeight="1" spans="1:5">
      <c r="A17" s="102" t="s">
        <v>348</v>
      </c>
      <c r="B17" s="101"/>
      <c r="C17" s="65" t="s">
        <v>349</v>
      </c>
      <c r="D17" s="65" t="s">
        <v>350</v>
      </c>
    </row>
    <row r="18" ht="18" customHeight="1" spans="1:5">
      <c r="A18" s="100" t="s">
        <v>351</v>
      </c>
      <c r="B18" s="101" t="s">
        <v>352</v>
      </c>
      <c r="C18" s="65" t="s">
        <v>353</v>
      </c>
      <c r="D18" s="65" t="s">
        <v>354</v>
      </c>
    </row>
    <row r="19" ht="18.6" customHeight="1" spans="1:5">
      <c r="A19" s="100" t="s">
        <v>355</v>
      </c>
      <c r="B19" s="101" t="s">
        <v>356</v>
      </c>
      <c r="C19" s="65" t="s">
        <v>357</v>
      </c>
      <c r="D19" s="65" t="s">
        <v>358</v>
      </c>
    </row>
    <row r="20" s="86" customFormat="1" ht="18" customHeight="1" spans="1:5">
      <c r="A20" s="100" t="s">
        <v>359</v>
      </c>
      <c r="B20" s="101" t="s">
        <v>360</v>
      </c>
      <c r="C20" s="65" t="s">
        <v>361</v>
      </c>
      <c r="D20" s="65" t="s">
        <v>362</v>
      </c>
      <c r="E20" s="92"/>
    </row>
    <row r="21" s="86" customFormat="1" ht="18" customHeight="1" spans="1:5">
      <c r="A21" s="100" t="s">
        <v>363</v>
      </c>
      <c r="B21" s="101" t="s">
        <v>364</v>
      </c>
      <c r="C21" s="65" t="s">
        <v>365</v>
      </c>
      <c r="D21" s="65" t="s">
        <v>366</v>
      </c>
      <c r="E21" s="92"/>
    </row>
    <row r="22" ht="18" customHeight="1" spans="1:5">
      <c r="A22" s="100" t="s">
        <v>367</v>
      </c>
      <c r="B22" s="101" t="s">
        <v>368</v>
      </c>
      <c r="C22" s="65" t="s">
        <v>369</v>
      </c>
      <c r="D22" s="65" t="s">
        <v>370</v>
      </c>
    </row>
    <row r="23" s="85" customFormat="1" ht="18" customHeight="1" spans="1:5">
      <c r="A23" s="98" t="s">
        <v>371</v>
      </c>
      <c r="B23" s="101"/>
      <c r="C23" s="65" t="e">
        <f>C5-C6-C7-C8-C9-C10-C11+C14+C15+C18+C19+C20+C21+C22</f>
        <v>#VALUE!</v>
      </c>
      <c r="D23" s="65" t="e">
        <f>D5-D6-D7-D8-D9-D10-D11+D14+D15+D18+D19+D20+D21+D22</f>
        <v>#VALUE!</v>
      </c>
    </row>
    <row r="24" ht="18" customHeight="1" spans="1:5">
      <c r="A24" s="100" t="s">
        <v>372</v>
      </c>
      <c r="B24" s="101"/>
      <c r="C24" s="65" t="s">
        <v>373</v>
      </c>
      <c r="D24" s="65" t="s">
        <v>374</v>
      </c>
    </row>
    <row r="25" ht="18" customHeight="1" spans="1:5">
      <c r="A25" s="100" t="s">
        <v>375</v>
      </c>
      <c r="B25" s="101"/>
      <c r="C25" s="65" t="s">
        <v>376</v>
      </c>
      <c r="D25" s="65" t="s">
        <v>377</v>
      </c>
    </row>
    <row r="26" ht="18" customHeight="1" spans="1:5">
      <c r="A26" s="98" t="s">
        <v>378</v>
      </c>
      <c r="B26" s="101"/>
      <c r="C26" s="65" t="e">
        <f>C23+C24-C25</f>
        <v>#VALUE!</v>
      </c>
      <c r="D26" s="65" t="e">
        <f>D23+D24-D25</f>
        <v>#VALUE!</v>
      </c>
    </row>
    <row r="27" ht="18" customHeight="1" spans="1:5">
      <c r="A27" s="100" t="s">
        <v>379</v>
      </c>
      <c r="B27" s="101"/>
      <c r="C27" s="65" t="s">
        <v>380</v>
      </c>
      <c r="D27" s="65" t="s">
        <v>381</v>
      </c>
    </row>
    <row r="28" s="85" customFormat="1" ht="18" customHeight="1" spans="1:5">
      <c r="A28" s="98" t="s">
        <v>382</v>
      </c>
      <c r="B28" s="101"/>
      <c r="C28" s="65" t="e">
        <f>C26-C27</f>
        <v>#VALUE!</v>
      </c>
      <c r="D28" s="65" t="e">
        <f>D26-D27</f>
        <v>#VALUE!</v>
      </c>
    </row>
    <row r="29" ht="18" customHeight="1" spans="1:5">
      <c r="A29" s="103" t="s">
        <v>383</v>
      </c>
      <c r="B29" s="104"/>
      <c r="C29" s="105"/>
      <c r="D29" s="105"/>
    </row>
    <row r="30" ht="18" customHeight="1" spans="1:5">
      <c r="A30" s="100" t="s">
        <v>384</v>
      </c>
      <c r="B30" s="104"/>
      <c r="C30" s="65" t="e">
        <f>C28-C31</f>
        <v>#VALUE!</v>
      </c>
      <c r="D30" s="65" t="e">
        <f>D28-D31</f>
        <v>#VALUE!</v>
      </c>
    </row>
    <row r="31" ht="18" customHeight="1" spans="1:5">
      <c r="A31" s="100" t="s">
        <v>385</v>
      </c>
      <c r="B31" s="104"/>
      <c r="C31" s="65" t="s">
        <v>386</v>
      </c>
      <c r="D31" s="65" t="s">
        <v>387</v>
      </c>
    </row>
    <row r="32" s="85" customFormat="1" ht="18" customHeight="1" spans="1:5">
      <c r="A32" s="103" t="s">
        <v>388</v>
      </c>
      <c r="B32" s="101"/>
      <c r="C32" s="105"/>
      <c r="D32" s="105"/>
    </row>
    <row r="33" s="87" customFormat="1" ht="32.1" customHeight="1" spans="1:4">
      <c r="A33" s="102" t="s">
        <v>389</v>
      </c>
      <c r="B33" s="106"/>
      <c r="C33" s="107" t="s">
        <v>390</v>
      </c>
      <c r="D33" s="107" t="s">
        <v>391</v>
      </c>
    </row>
    <row r="34" ht="18" customHeight="1" spans="1:4">
      <c r="A34" s="100" t="s">
        <v>392</v>
      </c>
      <c r="B34" s="108"/>
      <c r="C34" s="65" t="s">
        <v>393</v>
      </c>
      <c r="D34" s="65" t="s">
        <v>394</v>
      </c>
    </row>
    <row r="35" s="85" customFormat="1" ht="18" customHeight="1" spans="1:4">
      <c r="A35" s="98" t="s">
        <v>395</v>
      </c>
      <c r="B35" s="109"/>
      <c r="C35" s="64" t="e">
        <f>C36+C53</f>
        <v>#VALUE!</v>
      </c>
      <c r="D35" s="64" t="e">
        <f>D36+D53</f>
        <v>#VALUE!</v>
      </c>
    </row>
    <row r="36" s="85" customFormat="1" ht="18" customHeight="1" spans="1:4">
      <c r="A36" s="100" t="s">
        <v>396</v>
      </c>
      <c r="B36" s="109"/>
      <c r="C36" s="64" t="s">
        <v>397</v>
      </c>
      <c r="D36" s="64" t="s">
        <v>398</v>
      </c>
    </row>
    <row r="37" s="85" customFormat="1" ht="18" customHeight="1" spans="1:4">
      <c r="A37" s="110" t="s">
        <v>399</v>
      </c>
      <c r="B37" s="109"/>
      <c r="C37" s="64">
        <f>SUM(C38:C42)</f>
        <v>0</v>
      </c>
      <c r="D37" s="64">
        <f>SUM(D38:D42)</f>
        <v>0</v>
      </c>
    </row>
    <row r="38" s="85" customFormat="1" ht="18" customHeight="1" spans="1:4">
      <c r="A38" s="111" t="s">
        <v>400</v>
      </c>
      <c r="B38" s="109"/>
      <c r="C38" s="64" t="s">
        <v>401</v>
      </c>
      <c r="D38" s="64" t="s">
        <v>402</v>
      </c>
    </row>
    <row r="39" s="85" customFormat="1" ht="18" customHeight="1" spans="1:4">
      <c r="A39" s="111" t="s">
        <v>403</v>
      </c>
      <c r="B39" s="109"/>
      <c r="C39" s="64" t="s">
        <v>404</v>
      </c>
      <c r="D39" s="64" t="s">
        <v>405</v>
      </c>
    </row>
    <row r="40" s="85" customFormat="1" ht="18" customHeight="1" spans="1:4">
      <c r="A40" s="111" t="s">
        <v>406</v>
      </c>
      <c r="B40" s="109"/>
      <c r="C40" s="64" t="s">
        <v>407</v>
      </c>
      <c r="D40" s="64" t="s">
        <v>408</v>
      </c>
    </row>
    <row r="41" s="85" customFormat="1" ht="18" customHeight="1" spans="1:4">
      <c r="A41" s="111" t="s">
        <v>409</v>
      </c>
      <c r="B41" s="109"/>
      <c r="C41" s="64" t="s">
        <v>410</v>
      </c>
      <c r="D41" s="64" t="s">
        <v>411</v>
      </c>
    </row>
    <row r="42" s="85" customFormat="1" ht="18" customHeight="1" spans="1:4">
      <c r="A42" s="110" t="s">
        <v>412</v>
      </c>
      <c r="B42" s="109"/>
      <c r="C42" s="64" t="s">
        <v>413</v>
      </c>
      <c r="D42" s="64" t="s">
        <v>414</v>
      </c>
    </row>
    <row r="43" s="85" customFormat="1" ht="18" customHeight="1" spans="1:4">
      <c r="A43" s="111" t="s">
        <v>415</v>
      </c>
      <c r="B43" s="109"/>
      <c r="C43" s="64">
        <f>SUM(C44:C52)</f>
        <v>0</v>
      </c>
      <c r="D43" s="64">
        <f>SUM(D44:D52)</f>
        <v>0</v>
      </c>
    </row>
    <row r="44" s="85" customFormat="1" ht="18" customHeight="1" spans="1:4">
      <c r="A44" s="111" t="s">
        <v>416</v>
      </c>
      <c r="B44" s="109"/>
      <c r="C44" s="64" t="s">
        <v>417</v>
      </c>
      <c r="D44" s="64" t="s">
        <v>418</v>
      </c>
    </row>
    <row r="45" s="85" customFormat="1" ht="18" customHeight="1" spans="1:4">
      <c r="A45" s="111" t="s">
        <v>419</v>
      </c>
      <c r="B45" s="109"/>
      <c r="C45" s="64" t="s">
        <v>420</v>
      </c>
      <c r="D45" s="64" t="s">
        <v>421</v>
      </c>
    </row>
    <row r="46" s="85" customFormat="1" ht="18" customHeight="1" spans="1:4">
      <c r="A46" s="111" t="s">
        <v>422</v>
      </c>
      <c r="B46" s="109"/>
      <c r="C46" s="64" t="s">
        <v>423</v>
      </c>
      <c r="D46" s="64" t="s">
        <v>424</v>
      </c>
    </row>
    <row r="47" s="85" customFormat="1" ht="18" customHeight="1" spans="1:4">
      <c r="A47" s="111" t="s">
        <v>425</v>
      </c>
      <c r="B47" s="109"/>
      <c r="C47" s="64" t="s">
        <v>426</v>
      </c>
      <c r="D47" s="64" t="s">
        <v>427</v>
      </c>
    </row>
    <row r="48" s="85" customFormat="1" ht="18" customHeight="1" spans="1:4">
      <c r="A48" s="111" t="s">
        <v>428</v>
      </c>
      <c r="B48" s="109"/>
      <c r="C48" s="64" t="s">
        <v>429</v>
      </c>
      <c r="D48" s="64" t="s">
        <v>430</v>
      </c>
    </row>
    <row r="49" s="85" customFormat="1" ht="18" customHeight="1" spans="1:4">
      <c r="A49" s="111" t="s">
        <v>431</v>
      </c>
      <c r="B49" s="109"/>
      <c r="C49" s="64" t="s">
        <v>432</v>
      </c>
      <c r="D49" s="64" t="s">
        <v>433</v>
      </c>
    </row>
    <row r="50" s="85" customFormat="1" ht="51" customHeight="1" spans="1:4">
      <c r="A50" s="111" t="s">
        <v>434</v>
      </c>
      <c r="B50" s="109"/>
      <c r="C50" s="64" t="s">
        <v>435</v>
      </c>
      <c r="D50" s="64" t="s">
        <v>436</v>
      </c>
    </row>
    <row r="51" s="85" customFormat="1" ht="49.5" customHeight="1" spans="1:4">
      <c r="A51" s="111" t="s">
        <v>437</v>
      </c>
      <c r="B51" s="109"/>
      <c r="C51" s="64" t="s">
        <v>438</v>
      </c>
      <c r="D51" s="64" t="s">
        <v>439</v>
      </c>
    </row>
    <row r="52" s="85" customFormat="1" ht="18" customHeight="1" spans="1:4">
      <c r="A52" s="111" t="s">
        <v>440</v>
      </c>
      <c r="B52" s="109"/>
      <c r="C52" s="64" t="s">
        <v>441</v>
      </c>
      <c r="D52" s="64" t="s">
        <v>442</v>
      </c>
    </row>
    <row r="53" s="85" customFormat="1" ht="18" customHeight="1" spans="1:4">
      <c r="A53" s="100" t="s">
        <v>443</v>
      </c>
      <c r="B53" s="109"/>
      <c r="C53" s="64" t="s">
        <v>444</v>
      </c>
      <c r="D53" s="64" t="s">
        <v>445</v>
      </c>
    </row>
    <row r="54" s="85" customFormat="1" ht="18" customHeight="1" spans="1:4">
      <c r="A54" s="98" t="s">
        <v>446</v>
      </c>
      <c r="B54" s="109"/>
      <c r="C54" s="64" t="e">
        <f>C28+C35</f>
        <v>#VALUE!</v>
      </c>
      <c r="D54" s="64" t="e">
        <f>D28+D35</f>
        <v>#VALUE!</v>
      </c>
    </row>
    <row r="55" s="85" customFormat="1" ht="18" customHeight="1" spans="1:4">
      <c r="A55" s="100" t="s">
        <v>447</v>
      </c>
      <c r="B55" s="109"/>
      <c r="C55" s="64" t="s">
        <v>448</v>
      </c>
      <c r="D55" s="64" t="s">
        <v>449</v>
      </c>
    </row>
    <row r="56" s="88" customFormat="1" ht="18" customHeight="1" spans="1:4">
      <c r="A56" s="100" t="s">
        <v>450</v>
      </c>
      <c r="B56" s="88"/>
      <c r="C56" s="112" t="s">
        <v>451</v>
      </c>
      <c r="D56" s="113" t="s">
        <v>452</v>
      </c>
    </row>
    <row r="57" ht="18" customHeight="1" spans="1:4">
      <c r="A57" s="98" t="s">
        <v>453</v>
      </c>
      <c r="B57" s="108"/>
      <c r="C57" s="65" t="s">
        <v>454</v>
      </c>
      <c r="D57" s="65" t="s">
        <v>455</v>
      </c>
    </row>
    <row r="58" ht="18" customHeight="1" spans="1:4">
      <c r="A58" s="100" t="s">
        <v>456</v>
      </c>
      <c r="B58" s="108"/>
      <c r="C58" s="65" t="s">
        <v>457</v>
      </c>
      <c r="D58" s="65" t="s">
        <v>458</v>
      </c>
    </row>
    <row r="59" ht="18" customHeight="1" spans="1:4">
      <c r="A59" s="114" t="s">
        <v>459</v>
      </c>
      <c r="B59" s="115"/>
      <c r="C59" s="77" t="s">
        <v>460</v>
      </c>
      <c r="D59" s="77" t="s">
        <v>461</v>
      </c>
    </row>
    <row r="60" s="89" customFormat="1" ht="22.35" customHeight="1" spans="1:4">
      <c r="A60" s="116" t="s">
        <v>298</v>
      </c>
      <c r="B60" s="117" t="s">
        <v>462</v>
      </c>
      <c r="D60" s="118" t="s">
        <v>300</v>
      </c>
    </row>
    <row r="61" ht="54" customHeight="1" spans="1:4">
      <c r="A61" s="119" t="s">
        <v>463</v>
      </c>
    </row>
    <row r="62" spans="1:4">
      <c r="C62" s="91"/>
      <c r="D62" s="91"/>
    </row>
  </sheetData>
  <mergeCells count="4">
    <mergeCell ref="A1:D1"/>
    <mergeCell ref="A2:D2"/>
    <mergeCell ref="B3:C3"/>
    <mergeCell ref="A61:D61"/>
  </mergeCells>
  <printOptions horizontalCentered="1"/>
  <pageMargins left="0.708661417322835" right="0.708661417322835" top="0.905511811023622" bottom="0.78740157480315" header="0.511811023622047" footer="0.511811023622047"/>
  <pageSetup paperSize="9" scale="60" orientation="portrait" horizontalDpi="360" verticalDpi="600"/>
  <headerFooter alignWithMargins="0">
    <oddFooter>&amp;C&amp;"Arial Narrow,常规"3</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view="pageBreakPreview" zoomScale="110" zoomScaleNormal="110" workbookViewId="0">
      <selection activeCell="B13" sqref="B13"/>
    </sheetView>
  </sheetViews>
  <sheetFormatPr defaultColWidth="8.8" defaultRowHeight="15.6" outlineLevelCol="3"/>
  <cols>
    <col min="1" max="1" width="45.5" style="50" customWidth="1"/>
    <col min="2" max="2" width="15.8166666666667" style="52" customWidth="1"/>
    <col min="3" max="3" width="24.8166666666667" style="52" customWidth="1"/>
    <col min="4" max="4" width="24.8166666666667" style="53" customWidth="1"/>
    <col min="5" max="29" width="9" style="49" customWidth="1"/>
    <col min="30" max="16384" width="8.8" style="49" customWidth="1"/>
  </cols>
  <sheetData>
    <row r="1" s="49" customFormat="1" ht="32.1" customHeight="1" spans="1:4">
      <c r="A1" s="54" t="s">
        <v>464</v>
      </c>
    </row>
    <row r="2" ht="16.5" customHeight="1" spans="1:4">
      <c r="A2" s="55" t="s">
        <v>302</v>
      </c>
    </row>
    <row r="3" s="50" customFormat="1" customHeight="1" spans="1:4">
      <c r="A3" s="56" t="s">
        <v>2</v>
      </c>
      <c r="B3" s="57"/>
      <c r="C3" s="58"/>
      <c r="D3" s="50" t="s">
        <v>3</v>
      </c>
    </row>
    <row r="4" s="49" customFormat="1" customHeight="1" spans="1:4">
      <c r="A4" s="59" t="s">
        <v>465</v>
      </c>
      <c r="B4" s="60" t="s">
        <v>5</v>
      </c>
      <c r="C4" s="61" t="s">
        <v>304</v>
      </c>
      <c r="D4" s="62" t="s">
        <v>305</v>
      </c>
    </row>
    <row r="5" customHeight="1" spans="1:4">
      <c r="A5" s="63" t="s">
        <v>466</v>
      </c>
      <c r="B5" s="64"/>
      <c r="C5" s="65"/>
      <c r="D5" s="65"/>
    </row>
    <row r="6" customHeight="1" spans="1:4">
      <c r="A6" s="66" t="s">
        <v>467</v>
      </c>
      <c r="B6" s="64"/>
      <c r="C6" s="65" t="s">
        <v>468</v>
      </c>
      <c r="D6" s="65" t="s">
        <v>469</v>
      </c>
    </row>
    <row r="7" customHeight="1" spans="1:4">
      <c r="A7" s="66" t="s">
        <v>470</v>
      </c>
      <c r="B7" s="64"/>
      <c r="C7" s="65" t="s">
        <v>471</v>
      </c>
      <c r="D7" s="65" t="s">
        <v>472</v>
      </c>
    </row>
    <row r="8" customHeight="1" spans="1:4">
      <c r="A8" s="66" t="s">
        <v>473</v>
      </c>
      <c r="B8" s="64" t="s">
        <v>474</v>
      </c>
      <c r="C8" s="65" t="s">
        <v>475</v>
      </c>
      <c r="D8" s="65" t="s">
        <v>476</v>
      </c>
    </row>
    <row r="9" customHeight="1" spans="1:4">
      <c r="A9" s="66" t="s">
        <v>477</v>
      </c>
      <c r="B9" s="64"/>
      <c r="C9" s="65">
        <f>SUM(C6:C8)</f>
        <v>0</v>
      </c>
      <c r="D9" s="65">
        <f>SUM(D6:D8)</f>
        <v>0</v>
      </c>
    </row>
    <row r="10" customHeight="1" spans="1:4">
      <c r="A10" s="66" t="s">
        <v>478</v>
      </c>
      <c r="B10" s="64"/>
      <c r="C10" s="65" t="s">
        <v>479</v>
      </c>
      <c r="D10" s="65" t="s">
        <v>480</v>
      </c>
    </row>
    <row r="11" customHeight="1" spans="1:4">
      <c r="A11" s="66" t="s">
        <v>481</v>
      </c>
      <c r="B11" s="64"/>
      <c r="C11" s="65" t="s">
        <v>482</v>
      </c>
      <c r="D11" s="65" t="s">
        <v>483</v>
      </c>
    </row>
    <row r="12" customHeight="1" spans="1:4">
      <c r="A12" s="66" t="s">
        <v>484</v>
      </c>
      <c r="B12" s="64"/>
      <c r="C12" s="65" t="s">
        <v>485</v>
      </c>
      <c r="D12" s="65" t="s">
        <v>486</v>
      </c>
    </row>
    <row r="13" customHeight="1" spans="1:4">
      <c r="A13" s="66" t="s">
        <v>487</v>
      </c>
      <c r="B13" s="67"/>
      <c r="C13" s="65" t="s">
        <v>488</v>
      </c>
      <c r="D13" s="65" t="s">
        <v>489</v>
      </c>
    </row>
    <row r="14" customHeight="1" spans="1:4">
      <c r="A14" s="66" t="s">
        <v>490</v>
      </c>
      <c r="B14" s="64"/>
      <c r="C14" s="65">
        <f>SUM(C10:C13)</f>
        <v>0</v>
      </c>
      <c r="D14" s="65">
        <f>SUM(D10:D13)</f>
        <v>0</v>
      </c>
    </row>
    <row r="15" customHeight="1" spans="1:4">
      <c r="A15" s="63" t="s">
        <v>491</v>
      </c>
      <c r="B15" s="68"/>
      <c r="C15" s="69">
        <f>C9-C14</f>
        <v>0</v>
      </c>
      <c r="D15" s="69">
        <f>D9-D14</f>
        <v>0</v>
      </c>
    </row>
    <row r="16" customHeight="1" spans="1:4">
      <c r="A16" s="63" t="s">
        <v>492</v>
      </c>
      <c r="B16" s="64"/>
      <c r="C16" s="65"/>
      <c r="D16" s="65"/>
    </row>
    <row r="17" customHeight="1" spans="1:4">
      <c r="A17" s="66" t="s">
        <v>493</v>
      </c>
      <c r="B17" s="68"/>
      <c r="C17" s="65" t="s">
        <v>494</v>
      </c>
      <c r="D17" s="65" t="s">
        <v>495</v>
      </c>
    </row>
    <row r="18" customHeight="1" spans="1:4">
      <c r="A18" s="66" t="s">
        <v>496</v>
      </c>
      <c r="B18" s="64"/>
      <c r="C18" s="65" t="s">
        <v>497</v>
      </c>
      <c r="D18" s="65" t="s">
        <v>498</v>
      </c>
    </row>
    <row r="19" ht="32.1" customHeight="1" spans="1:4">
      <c r="A19" s="70" t="s">
        <v>499</v>
      </c>
      <c r="B19" s="64"/>
      <c r="C19" s="65" t="s">
        <v>500</v>
      </c>
      <c r="D19" s="65" t="s">
        <v>501</v>
      </c>
    </row>
    <row r="20" customHeight="1" spans="1:4">
      <c r="A20" s="66" t="s">
        <v>502</v>
      </c>
      <c r="B20" s="64"/>
      <c r="C20" s="65" t="s">
        <v>503</v>
      </c>
      <c r="D20" s="65" t="s">
        <v>504</v>
      </c>
    </row>
    <row r="21" customHeight="1" spans="1:4">
      <c r="A21" s="66" t="s">
        <v>505</v>
      </c>
      <c r="B21" s="64"/>
      <c r="C21" s="65" t="s">
        <v>506</v>
      </c>
      <c r="D21" s="65" t="s">
        <v>507</v>
      </c>
    </row>
    <row r="22" customHeight="1" spans="1:4">
      <c r="A22" s="66" t="s">
        <v>508</v>
      </c>
      <c r="B22" s="64"/>
      <c r="C22" s="65">
        <f>SUM(C17:C21)</f>
        <v>0</v>
      </c>
      <c r="D22" s="65">
        <f>SUM(D17:D21)</f>
        <v>0</v>
      </c>
    </row>
    <row r="23" ht="32.1" customHeight="1" spans="1:4">
      <c r="A23" s="71" t="s">
        <v>509</v>
      </c>
      <c r="B23" s="64"/>
      <c r="C23" s="65" t="s">
        <v>510</v>
      </c>
      <c r="D23" s="65" t="s">
        <v>511</v>
      </c>
    </row>
    <row r="24" customHeight="1" spans="1:4">
      <c r="A24" s="66" t="s">
        <v>512</v>
      </c>
      <c r="B24" s="64"/>
      <c r="C24" s="65" t="s">
        <v>513</v>
      </c>
      <c r="D24" s="65" t="s">
        <v>514</v>
      </c>
    </row>
    <row r="25" customHeight="1" spans="1:4">
      <c r="A25" s="66" t="s">
        <v>515</v>
      </c>
      <c r="B25" s="64"/>
      <c r="C25" s="65" t="s">
        <v>516</v>
      </c>
      <c r="D25" s="65" t="s">
        <v>517</v>
      </c>
    </row>
    <row r="26" customHeight="1" spans="1:4">
      <c r="A26" s="66" t="s">
        <v>518</v>
      </c>
      <c r="B26" s="64"/>
      <c r="C26" s="65" t="s">
        <v>519</v>
      </c>
      <c r="D26" s="65" t="s">
        <v>520</v>
      </c>
    </row>
    <row r="27" customHeight="1" spans="1:4">
      <c r="A27" s="66" t="s">
        <v>521</v>
      </c>
      <c r="B27" s="68"/>
      <c r="C27" s="69">
        <f>SUM(C23:C26)</f>
        <v>0</v>
      </c>
      <c r="D27" s="69">
        <f>SUM(D23:D26)</f>
        <v>0</v>
      </c>
    </row>
    <row r="28" customHeight="1" spans="1:4">
      <c r="A28" s="63" t="s">
        <v>522</v>
      </c>
      <c r="B28" s="64"/>
      <c r="C28" s="65">
        <f>C22-C27</f>
        <v>0</v>
      </c>
      <c r="D28" s="65">
        <f>D22-D27</f>
        <v>0</v>
      </c>
    </row>
    <row r="29" customHeight="1" spans="1:4">
      <c r="A29" s="63" t="s">
        <v>523</v>
      </c>
      <c r="B29" s="68"/>
      <c r="C29" s="65"/>
      <c r="D29" s="65"/>
    </row>
    <row r="30" customHeight="1" spans="1:4">
      <c r="A30" s="66" t="s">
        <v>524</v>
      </c>
      <c r="B30" s="64"/>
      <c r="C30" s="65" t="s">
        <v>525</v>
      </c>
      <c r="D30" s="65" t="s">
        <v>526</v>
      </c>
    </row>
    <row r="31" customHeight="1" spans="1:4">
      <c r="A31" s="72" t="s">
        <v>527</v>
      </c>
      <c r="B31" s="64"/>
      <c r="C31" s="65" t="s">
        <v>528</v>
      </c>
      <c r="D31" s="65" t="s">
        <v>529</v>
      </c>
    </row>
    <row r="32" customHeight="1" spans="1:4">
      <c r="A32" s="66" t="s">
        <v>530</v>
      </c>
      <c r="B32" s="64"/>
      <c r="C32" s="65" t="s">
        <v>531</v>
      </c>
      <c r="D32" s="65" t="s">
        <v>532</v>
      </c>
    </row>
    <row r="33" customHeight="1" spans="1:4">
      <c r="A33" s="73" t="s">
        <v>533</v>
      </c>
      <c r="B33" s="64"/>
      <c r="C33" s="65" t="s">
        <v>534</v>
      </c>
      <c r="D33" s="65" t="s">
        <v>535</v>
      </c>
    </row>
    <row r="34" customHeight="1" spans="1:4">
      <c r="A34" s="66" t="s">
        <v>536</v>
      </c>
      <c r="B34" s="64"/>
      <c r="C34" s="65" t="s">
        <v>537</v>
      </c>
      <c r="D34" s="65" t="s">
        <v>538</v>
      </c>
    </row>
    <row r="35" customHeight="1" spans="1:4">
      <c r="A35" s="66" t="s">
        <v>539</v>
      </c>
      <c r="B35" s="64"/>
      <c r="C35" s="65" t="e">
        <f>SUM(C30:C34)-C31</f>
        <v>#VALUE!</v>
      </c>
      <c r="D35" s="65" t="e">
        <f>SUM(D30:D34)-D31</f>
        <v>#VALUE!</v>
      </c>
    </row>
    <row r="36" customHeight="1" spans="1:4">
      <c r="A36" s="66" t="s">
        <v>540</v>
      </c>
      <c r="B36" s="64"/>
      <c r="C36" s="65" t="s">
        <v>541</v>
      </c>
      <c r="D36" s="65" t="s">
        <v>542</v>
      </c>
    </row>
    <row r="37" customHeight="1" spans="1:4">
      <c r="A37" s="66" t="s">
        <v>543</v>
      </c>
      <c r="B37" s="64"/>
      <c r="C37" s="65" t="s">
        <v>544</v>
      </c>
      <c r="D37" s="65" t="s">
        <v>545</v>
      </c>
    </row>
    <row r="38" customHeight="1" spans="1:4">
      <c r="A38" s="74" t="s">
        <v>546</v>
      </c>
      <c r="B38" s="64"/>
      <c r="C38" s="65" t="s">
        <v>547</v>
      </c>
      <c r="D38" s="64" t="s">
        <v>548</v>
      </c>
    </row>
    <row r="39" customHeight="1" spans="1:4">
      <c r="A39" s="66" t="s">
        <v>549</v>
      </c>
      <c r="B39" s="64"/>
      <c r="C39" s="65" t="s">
        <v>550</v>
      </c>
      <c r="D39" s="65" t="s">
        <v>551</v>
      </c>
    </row>
    <row r="40" customHeight="1" spans="1:4">
      <c r="A40" s="66" t="s">
        <v>552</v>
      </c>
      <c r="B40" s="64"/>
      <c r="C40" s="69" t="e">
        <f>SUM(C36:C39)-C38</f>
        <v>#VALUE!</v>
      </c>
      <c r="D40" s="69" t="e">
        <f>SUM(D36:D39)-D38</f>
        <v>#VALUE!</v>
      </c>
    </row>
    <row r="41" customHeight="1" spans="1:4">
      <c r="A41" s="63" t="s">
        <v>553</v>
      </c>
      <c r="B41" s="64"/>
      <c r="C41" s="65" t="e">
        <f>C35-C40</f>
        <v>#VALUE!</v>
      </c>
      <c r="D41" s="65" t="e">
        <f>D35-D40</f>
        <v>#VALUE!</v>
      </c>
    </row>
    <row r="42" customHeight="1" spans="1:4">
      <c r="A42" s="63" t="s">
        <v>554</v>
      </c>
      <c r="B42" s="68"/>
      <c r="C42" s="69" t="s">
        <v>555</v>
      </c>
      <c r="D42" s="69" t="s">
        <v>556</v>
      </c>
    </row>
    <row r="43" customHeight="1" spans="1:4">
      <c r="A43" s="63" t="s">
        <v>557</v>
      </c>
      <c r="B43" s="64"/>
      <c r="C43" s="65" t="s">
        <v>558</v>
      </c>
      <c r="D43" s="65" t="s">
        <v>559</v>
      </c>
    </row>
    <row r="44" customHeight="1" spans="1:4">
      <c r="A44" s="66" t="s">
        <v>560</v>
      </c>
      <c r="B44" s="64"/>
      <c r="C44" s="69" t="s">
        <v>561</v>
      </c>
      <c r="D44" s="69" t="s">
        <v>562</v>
      </c>
    </row>
    <row r="45" customHeight="1" spans="1:4">
      <c r="A45" s="75" t="s">
        <v>563</v>
      </c>
      <c r="B45" s="76"/>
      <c r="C45" s="77" t="e">
        <f>C43+C44</f>
        <v>#VALUE!</v>
      </c>
      <c r="D45" s="77" t="e">
        <f>D43+D44</f>
        <v>#VALUE!</v>
      </c>
    </row>
    <row r="46" spans="1:4">
      <c r="A46" s="78"/>
      <c r="D46" s="52"/>
    </row>
    <row r="47" s="51" customFormat="1" ht="22.35" customHeight="1" spans="1:4">
      <c r="A47" s="79" t="s">
        <v>564</v>
      </c>
      <c r="B47" s="80"/>
      <c r="D47" s="81"/>
    </row>
    <row r="49" ht="65.25" customHeight="1" spans="1:1">
      <c r="A49" s="82" t="s">
        <v>565</v>
      </c>
    </row>
    <row r="50" ht="63" customHeight="1" spans="1:1">
      <c r="A50" s="82" t="s">
        <v>566</v>
      </c>
    </row>
    <row r="51" ht="40.35" customHeight="1" spans="1:1">
      <c r="A51" s="82" t="s">
        <v>567</v>
      </c>
    </row>
  </sheetData>
  <mergeCells count="5">
    <mergeCell ref="A1:D1"/>
    <mergeCell ref="A2:D2"/>
    <mergeCell ref="A49:D49"/>
    <mergeCell ref="A50:D50"/>
    <mergeCell ref="A51:D51"/>
  </mergeCells>
  <printOptions horizontalCentered="1"/>
  <pageMargins left="0.708661417322835" right="0.708661417322835" top="0.905511811023622" bottom="0.78740157480315" header="0.511811023622047" footer="0.511811023622047"/>
  <pageSetup paperSize="9" scale="73" orientation="portrait" horizontalDpi="600" verticalDpi="600"/>
  <headerFooter alignWithMargins="0">
    <oddFooter>&amp;C&amp;"Arial Narrow,常规"4</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7"/>
  <sheetViews>
    <sheetView tabSelected="1" view="pageBreakPreview" zoomScaleNormal="85" workbookViewId="0">
      <selection activeCell="C3" sqref="C3"/>
    </sheetView>
  </sheetViews>
  <sheetFormatPr defaultColWidth="8.8" defaultRowHeight="15.6"/>
  <cols>
    <col min="1" max="1" width="46.625" style="4" customWidth="1"/>
    <col min="2" max="6" width="12.625" style="2" customWidth="1"/>
    <col min="7" max="8" width="11.625" style="2" customWidth="1"/>
    <col min="9" max="10" width="12.625" style="2" customWidth="1"/>
    <col min="11" max="11" width="13.625" style="2" customWidth="1"/>
    <col min="12" max="12" width="15.625" style="2" customWidth="1"/>
    <col min="13" max="17" width="12.625" style="2" customWidth="1"/>
    <col min="18" max="19" width="11.625" style="2" customWidth="1"/>
    <col min="20" max="21" width="12.625" style="2" customWidth="1"/>
    <col min="22" max="22" width="13.625" style="2" customWidth="1"/>
    <col min="23" max="23" width="15.625" style="2" customWidth="1"/>
    <col min="24" max="32" width="9" style="2" customWidth="1"/>
    <col min="33" max="16384" width="8.8" style="2" customWidth="1"/>
  </cols>
  <sheetData>
    <row r="1" s="1" customFormat="1" ht="32.1" customHeight="1" spans="1:23">
      <c r="A1" s="4"/>
      <c r="B1" s="5" t="s">
        <v>568</v>
      </c>
      <c r="M1" s="5" t="s">
        <v>569</v>
      </c>
    </row>
    <row r="2" s="2" customFormat="1" ht="24" customHeight="1" spans="1:23">
      <c r="A2" s="4"/>
      <c r="B2" s="6"/>
      <c r="C2" s="6"/>
      <c r="D2" s="6"/>
      <c r="E2" s="6"/>
      <c r="F2" s="6"/>
      <c r="G2" s="7" t="s">
        <v>570</v>
      </c>
      <c r="H2" s="6"/>
      <c r="J2" s="6"/>
      <c r="K2" s="6"/>
      <c r="L2" s="6"/>
      <c r="M2" s="6"/>
      <c r="N2" s="6"/>
      <c r="O2" s="6"/>
      <c r="P2" s="6"/>
      <c r="Q2" s="6"/>
      <c r="R2" s="7" t="s">
        <v>302</v>
      </c>
      <c r="S2" s="6"/>
      <c r="U2" s="6"/>
      <c r="V2" s="6"/>
      <c r="W2" s="6"/>
    </row>
    <row r="3" s="3" customFormat="1" ht="21" customHeight="1" spans="1:23">
      <c r="A3" s="4" t="s">
        <v>2</v>
      </c>
      <c r="I3" s="8"/>
      <c r="L3" s="9" t="s">
        <v>3</v>
      </c>
      <c r="T3" s="8"/>
      <c r="W3" s="9" t="s">
        <v>571</v>
      </c>
    </row>
    <row r="4" s="3" customFormat="1" ht="20.25" customHeight="1" spans="1:23">
      <c r="A4" s="10" t="s">
        <v>572</v>
      </c>
      <c r="B4" s="11" t="s">
        <v>573</v>
      </c>
      <c r="C4" s="12"/>
      <c r="D4" s="12"/>
      <c r="E4" s="12"/>
      <c r="F4" s="12"/>
      <c r="G4" s="12"/>
      <c r="H4" s="12"/>
      <c r="I4" s="12"/>
      <c r="J4" s="12"/>
      <c r="K4" s="12"/>
      <c r="L4" s="12"/>
      <c r="M4" s="13" t="s">
        <v>574</v>
      </c>
      <c r="N4" s="12"/>
      <c r="O4" s="12"/>
      <c r="P4" s="12"/>
      <c r="Q4" s="12"/>
      <c r="R4" s="12"/>
      <c r="S4" s="12"/>
      <c r="T4" s="12"/>
      <c r="U4" s="12"/>
      <c r="V4" s="12"/>
      <c r="W4" s="12"/>
    </row>
    <row r="5" s="3" customFormat="1" ht="29.25" customHeight="1" spans="1:23">
      <c r="A5" s="14"/>
      <c r="B5" s="15" t="s">
        <v>575</v>
      </c>
      <c r="C5" s="16" t="s">
        <v>576</v>
      </c>
      <c r="D5" s="12"/>
      <c r="E5" s="17"/>
      <c r="F5" s="15" t="s">
        <v>577</v>
      </c>
      <c r="G5" s="15" t="s">
        <v>578</v>
      </c>
      <c r="H5" s="16" t="s">
        <v>579</v>
      </c>
      <c r="I5" s="18" t="s">
        <v>580</v>
      </c>
      <c r="J5" s="15" t="s">
        <v>581</v>
      </c>
      <c r="K5" s="15" t="s">
        <v>582</v>
      </c>
      <c r="L5" s="19" t="s">
        <v>583</v>
      </c>
      <c r="M5" s="15" t="s">
        <v>575</v>
      </c>
      <c r="N5" s="16" t="s">
        <v>576</v>
      </c>
      <c r="O5" s="12"/>
      <c r="P5" s="17"/>
      <c r="Q5" s="15" t="s">
        <v>577</v>
      </c>
      <c r="R5" s="15" t="s">
        <v>578</v>
      </c>
      <c r="S5" s="16" t="s">
        <v>579</v>
      </c>
      <c r="T5" s="15" t="s">
        <v>580</v>
      </c>
      <c r="U5" s="15" t="s">
        <v>581</v>
      </c>
      <c r="V5" s="15" t="s">
        <v>582</v>
      </c>
      <c r="W5" s="19" t="s">
        <v>583</v>
      </c>
    </row>
    <row r="6" s="3" customFormat="1" ht="27" customHeight="1" spans="1:23">
      <c r="A6" s="20"/>
      <c r="B6" s="21"/>
      <c r="C6" s="22" t="s">
        <v>584</v>
      </c>
      <c r="D6" s="22" t="s">
        <v>585</v>
      </c>
      <c r="E6" s="22" t="s">
        <v>586</v>
      </c>
      <c r="F6" s="21"/>
      <c r="G6" s="21"/>
      <c r="H6" s="21"/>
      <c r="I6" s="20"/>
      <c r="J6" s="21"/>
      <c r="K6" s="21"/>
      <c r="L6" s="23"/>
      <c r="M6" s="21"/>
      <c r="N6" s="22" t="s">
        <v>584</v>
      </c>
      <c r="O6" s="22" t="s">
        <v>585</v>
      </c>
      <c r="P6" s="22" t="s">
        <v>586</v>
      </c>
      <c r="Q6" s="21"/>
      <c r="R6" s="21"/>
      <c r="S6" s="21"/>
      <c r="T6" s="21"/>
      <c r="U6" s="21"/>
      <c r="V6" s="21"/>
      <c r="W6" s="23"/>
    </row>
    <row r="7" s="2" customFormat="1" ht="18" customHeight="1" spans="1:23">
      <c r="A7" s="24" t="s">
        <v>587</v>
      </c>
      <c r="B7" s="25" t="s">
        <v>588</v>
      </c>
      <c r="C7" s="26" t="s">
        <v>589</v>
      </c>
      <c r="D7" s="26" t="s">
        <v>590</v>
      </c>
      <c r="E7" s="26"/>
      <c r="F7" s="26" t="s">
        <v>591</v>
      </c>
      <c r="G7" s="25" t="s">
        <v>592</v>
      </c>
      <c r="H7" s="27" t="s">
        <v>593</v>
      </c>
      <c r="I7" s="26" t="s">
        <v>594</v>
      </c>
      <c r="J7" s="25" t="s">
        <v>595</v>
      </c>
      <c r="K7" s="25" t="s">
        <v>596</v>
      </c>
      <c r="L7" s="28" t="e">
        <f t="shared" ref="L7:L20" si="0">B7+C7+D7+E7+F7-G7+H7+I7+J7+K7</f>
        <v>#VALUE!</v>
      </c>
      <c r="M7" s="26" t="s">
        <v>597</v>
      </c>
      <c r="N7" s="29" t="s">
        <v>598</v>
      </c>
      <c r="O7" s="27" t="s">
        <v>599</v>
      </c>
      <c r="P7" s="27"/>
      <c r="Q7" s="27" t="s">
        <v>600</v>
      </c>
      <c r="R7" s="27" t="s">
        <v>601</v>
      </c>
      <c r="S7" s="29" t="s">
        <v>602</v>
      </c>
      <c r="T7" s="29" t="s">
        <v>603</v>
      </c>
      <c r="U7" s="27" t="s">
        <v>604</v>
      </c>
      <c r="V7" s="25" t="s">
        <v>605</v>
      </c>
      <c r="W7" s="29" t="e">
        <f t="shared" ref="W7:W20" si="1">M7+N7+O7+P7+Q7-R7+S7+T7+U7+V7</f>
        <v>#VALUE!</v>
      </c>
    </row>
    <row r="8" s="2" customFormat="1" ht="18" customHeight="1" spans="1:23">
      <c r="A8" s="30" t="s">
        <v>606</v>
      </c>
      <c r="B8" s="31" t="s">
        <v>607</v>
      </c>
      <c r="C8" s="31" t="s">
        <v>608</v>
      </c>
      <c r="D8" s="31" t="s">
        <v>609</v>
      </c>
      <c r="E8" s="31"/>
      <c r="F8" s="31" t="s">
        <v>610</v>
      </c>
      <c r="G8" s="31" t="s">
        <v>611</v>
      </c>
      <c r="H8" s="31" t="s">
        <v>612</v>
      </c>
      <c r="I8" s="32" t="s">
        <v>613</v>
      </c>
      <c r="J8" s="31" t="s">
        <v>614</v>
      </c>
      <c r="K8" s="31" t="s">
        <v>615</v>
      </c>
      <c r="L8" s="29" t="e">
        <f t="shared" si="0"/>
        <v>#VALUE!</v>
      </c>
      <c r="M8" s="32" t="s">
        <v>616</v>
      </c>
      <c r="N8" s="33" t="s">
        <v>617</v>
      </c>
      <c r="O8" s="25" t="s">
        <v>618</v>
      </c>
      <c r="P8" s="25"/>
      <c r="Q8" s="25" t="s">
        <v>619</v>
      </c>
      <c r="R8" s="25" t="s">
        <v>620</v>
      </c>
      <c r="S8" s="29" t="s">
        <v>621</v>
      </c>
      <c r="T8" s="29" t="s">
        <v>622</v>
      </c>
      <c r="U8" s="25" t="s">
        <v>623</v>
      </c>
      <c r="V8" s="25" t="s">
        <v>624</v>
      </c>
      <c r="W8" s="29" t="e">
        <f t="shared" si="1"/>
        <v>#VALUE!</v>
      </c>
    </row>
    <row r="9" s="2" customFormat="1" ht="18" customHeight="1" spans="1:23">
      <c r="A9" s="30" t="s">
        <v>625</v>
      </c>
      <c r="B9" s="31" t="s">
        <v>626</v>
      </c>
      <c r="C9" s="31" t="s">
        <v>627</v>
      </c>
      <c r="D9" s="31" t="s">
        <v>628</v>
      </c>
      <c r="E9" s="31"/>
      <c r="F9" s="31" t="s">
        <v>629</v>
      </c>
      <c r="G9" s="31" t="s">
        <v>630</v>
      </c>
      <c r="H9" s="31" t="s">
        <v>631</v>
      </c>
      <c r="I9" s="32" t="s">
        <v>632</v>
      </c>
      <c r="J9" s="31" t="s">
        <v>633</v>
      </c>
      <c r="K9" s="31" t="s">
        <v>634</v>
      </c>
      <c r="L9" s="29" t="e">
        <f t="shared" si="0"/>
        <v>#VALUE!</v>
      </c>
      <c r="M9" s="32" t="s">
        <v>635</v>
      </c>
      <c r="N9" s="33" t="s">
        <v>636</v>
      </c>
      <c r="O9" s="25" t="s">
        <v>637</v>
      </c>
      <c r="P9" s="25"/>
      <c r="Q9" s="25" t="s">
        <v>638</v>
      </c>
      <c r="R9" s="25" t="s">
        <v>639</v>
      </c>
      <c r="S9" s="29" t="s">
        <v>640</v>
      </c>
      <c r="T9" s="29" t="s">
        <v>641</v>
      </c>
      <c r="U9" s="25" t="s">
        <v>642</v>
      </c>
      <c r="V9" s="25" t="s">
        <v>643</v>
      </c>
      <c r="W9" s="29" t="e">
        <f t="shared" si="1"/>
        <v>#VALUE!</v>
      </c>
    </row>
    <row r="10" s="2" customFormat="1" ht="18" customHeight="1" spans="1:23">
      <c r="A10" s="30" t="s">
        <v>644</v>
      </c>
      <c r="B10" s="25" t="s">
        <v>645</v>
      </c>
      <c r="C10" s="26" t="s">
        <v>646</v>
      </c>
      <c r="D10" s="26" t="s">
        <v>647</v>
      </c>
      <c r="E10" s="26"/>
      <c r="F10" s="26" t="s">
        <v>648</v>
      </c>
      <c r="G10" s="25" t="s">
        <v>649</v>
      </c>
      <c r="H10" s="25" t="s">
        <v>650</v>
      </c>
      <c r="I10" s="34" t="s">
        <v>651</v>
      </c>
      <c r="J10" s="25" t="s">
        <v>652</v>
      </c>
      <c r="K10" s="25" t="s">
        <v>653</v>
      </c>
      <c r="L10" s="29" t="e">
        <f t="shared" si="0"/>
        <v>#VALUE!</v>
      </c>
      <c r="M10" s="26" t="s">
        <v>654</v>
      </c>
      <c r="N10" s="29" t="s">
        <v>655</v>
      </c>
      <c r="O10" s="25" t="s">
        <v>656</v>
      </c>
      <c r="P10" s="25"/>
      <c r="Q10" s="25" t="s">
        <v>657</v>
      </c>
      <c r="R10" s="25" t="s">
        <v>658</v>
      </c>
      <c r="S10" s="29" t="s">
        <v>659</v>
      </c>
      <c r="T10" s="29" t="s">
        <v>660</v>
      </c>
      <c r="U10" s="25" t="s">
        <v>661</v>
      </c>
      <c r="V10" s="25" t="s">
        <v>662</v>
      </c>
      <c r="W10" s="29" t="e">
        <f t="shared" si="1"/>
        <v>#VALUE!</v>
      </c>
    </row>
    <row r="11" s="2" customFormat="1" ht="18" customHeight="1" spans="1:23">
      <c r="A11" s="24" t="s">
        <v>663</v>
      </c>
      <c r="B11" s="25" t="e">
        <f t="shared" ref="B11:K11" si="2">B7+B10</f>
        <v>#VALUE!</v>
      </c>
      <c r="C11" s="25" t="e">
        <f t="shared" si="2"/>
        <v>#VALUE!</v>
      </c>
      <c r="D11" s="25" t="e">
        <f t="shared" si="2"/>
        <v>#VALUE!</v>
      </c>
      <c r="E11" s="25">
        <f t="shared" si="2"/>
        <v>0</v>
      </c>
      <c r="F11" s="25" t="e">
        <f t="shared" si="2"/>
        <v>#VALUE!</v>
      </c>
      <c r="G11" s="25" t="e">
        <f t="shared" si="2"/>
        <v>#VALUE!</v>
      </c>
      <c r="H11" s="25" t="e">
        <f t="shared" si="2"/>
        <v>#VALUE!</v>
      </c>
      <c r="I11" s="26" t="e">
        <f t="shared" si="2"/>
        <v>#VALUE!</v>
      </c>
      <c r="J11" s="25" t="e">
        <f t="shared" si="2"/>
        <v>#VALUE!</v>
      </c>
      <c r="K11" s="25" t="e">
        <f t="shared" si="2"/>
        <v>#VALUE!</v>
      </c>
      <c r="L11" s="29" t="e">
        <f t="shared" si="0"/>
        <v>#VALUE!</v>
      </c>
      <c r="M11" s="26" t="e">
        <f t="shared" ref="M11:V11" si="3">M7+M8+M9+M10</f>
        <v>#VALUE!</v>
      </c>
      <c r="N11" s="25" t="e">
        <f t="shared" si="3"/>
        <v>#VALUE!</v>
      </c>
      <c r="O11" s="26" t="e">
        <f t="shared" si="3"/>
        <v>#VALUE!</v>
      </c>
      <c r="P11" s="25">
        <f t="shared" si="3"/>
        <v>0</v>
      </c>
      <c r="Q11" s="25" t="e">
        <f t="shared" si="3"/>
        <v>#VALUE!</v>
      </c>
      <c r="R11" s="25" t="e">
        <f t="shared" si="3"/>
        <v>#VALUE!</v>
      </c>
      <c r="S11" s="25" t="e">
        <f t="shared" si="3"/>
        <v>#VALUE!</v>
      </c>
      <c r="T11" s="25" t="e">
        <f t="shared" si="3"/>
        <v>#VALUE!</v>
      </c>
      <c r="U11" s="25" t="e">
        <f t="shared" si="3"/>
        <v>#VALUE!</v>
      </c>
      <c r="V11" s="25" t="e">
        <f t="shared" si="3"/>
        <v>#VALUE!</v>
      </c>
      <c r="W11" s="29" t="e">
        <f t="shared" si="1"/>
        <v>#VALUE!</v>
      </c>
    </row>
    <row r="12" s="2" customFormat="1" ht="18" customHeight="1" spans="1:23">
      <c r="A12" s="35" t="s">
        <v>664</v>
      </c>
      <c r="B12" s="25" t="e">
        <f t="shared" ref="B12:K12" si="4">B13+B14+B19+B24+B31+B34</f>
        <v>#VALUE!</v>
      </c>
      <c r="C12" s="25" t="e">
        <f t="shared" si="4"/>
        <v>#VALUE!</v>
      </c>
      <c r="D12" s="25" t="e">
        <f t="shared" si="4"/>
        <v>#VALUE!</v>
      </c>
      <c r="E12" s="25">
        <f t="shared" si="4"/>
        <v>0</v>
      </c>
      <c r="F12" s="25" t="e">
        <f t="shared" si="4"/>
        <v>#VALUE!</v>
      </c>
      <c r="G12" s="25" t="e">
        <f t="shared" si="4"/>
        <v>#VALUE!</v>
      </c>
      <c r="H12" s="25" t="e">
        <f t="shared" si="4"/>
        <v>#VALUE!</v>
      </c>
      <c r="I12" s="25" t="e">
        <f t="shared" si="4"/>
        <v>#VALUE!</v>
      </c>
      <c r="J12" s="25" t="e">
        <f t="shared" si="4"/>
        <v>#VALUE!</v>
      </c>
      <c r="K12" s="25" t="e">
        <f t="shared" si="4"/>
        <v>#VALUE!</v>
      </c>
      <c r="L12" s="29" t="e">
        <f t="shared" si="0"/>
        <v>#VALUE!</v>
      </c>
      <c r="M12" s="26" t="e">
        <f t="shared" ref="M12:V12" si="5">M13+M14+M19+M24+M31+M34</f>
        <v>#VALUE!</v>
      </c>
      <c r="N12" s="25" t="e">
        <f t="shared" si="5"/>
        <v>#VALUE!</v>
      </c>
      <c r="O12" s="26" t="e">
        <f t="shared" si="5"/>
        <v>#VALUE!</v>
      </c>
      <c r="P12" s="25">
        <f t="shared" si="5"/>
        <v>0</v>
      </c>
      <c r="Q12" s="25" t="e">
        <f t="shared" si="5"/>
        <v>#VALUE!</v>
      </c>
      <c r="R12" s="25" t="e">
        <f t="shared" si="5"/>
        <v>#VALUE!</v>
      </c>
      <c r="S12" s="25" t="e">
        <f t="shared" si="5"/>
        <v>#VALUE!</v>
      </c>
      <c r="T12" s="25" t="e">
        <f t="shared" si="5"/>
        <v>#VALUE!</v>
      </c>
      <c r="U12" s="25" t="e">
        <f t="shared" si="5"/>
        <v>#VALUE!</v>
      </c>
      <c r="V12" s="25" t="e">
        <f t="shared" si="5"/>
        <v>#VALUE!</v>
      </c>
      <c r="W12" s="29" t="e">
        <f t="shared" si="1"/>
        <v>#VALUE!</v>
      </c>
    </row>
    <row r="13" s="2" customFormat="1" ht="18" customHeight="1" spans="1:23">
      <c r="A13" s="30" t="s">
        <v>665</v>
      </c>
      <c r="B13" s="25" t="s">
        <v>666</v>
      </c>
      <c r="C13" s="25" t="s">
        <v>667</v>
      </c>
      <c r="D13" s="25" t="s">
        <v>668</v>
      </c>
      <c r="E13" s="25"/>
      <c r="F13" s="25" t="s">
        <v>669</v>
      </c>
      <c r="G13" s="25" t="s">
        <v>670</v>
      </c>
      <c r="H13" s="25" t="s">
        <v>671</v>
      </c>
      <c r="I13" s="26" t="s">
        <v>672</v>
      </c>
      <c r="J13" s="25" t="s">
        <v>673</v>
      </c>
      <c r="K13" s="25" t="s">
        <v>674</v>
      </c>
      <c r="L13" s="29" t="e">
        <f t="shared" si="0"/>
        <v>#VALUE!</v>
      </c>
      <c r="M13" s="26" t="s">
        <v>675</v>
      </c>
      <c r="N13" s="25" t="s">
        <v>676</v>
      </c>
      <c r="O13" s="26" t="s">
        <v>677</v>
      </c>
      <c r="P13" s="26"/>
      <c r="Q13" s="26" t="s">
        <v>678</v>
      </c>
      <c r="R13" s="26" t="s">
        <v>679</v>
      </c>
      <c r="S13" s="25" t="s">
        <v>680</v>
      </c>
      <c r="T13" s="29" t="s">
        <v>681</v>
      </c>
      <c r="U13" s="25" t="s">
        <v>682</v>
      </c>
      <c r="V13" s="25" t="s">
        <v>683</v>
      </c>
      <c r="W13" s="29" t="e">
        <f t="shared" si="1"/>
        <v>#VALUE!</v>
      </c>
    </row>
    <row r="14" s="2" customFormat="1" ht="18" customHeight="1" spans="1:23">
      <c r="A14" s="30" t="s">
        <v>684</v>
      </c>
      <c r="B14" s="25">
        <f t="shared" ref="B14:K14" si="6">SUM(B15:B18)</f>
        <v>0</v>
      </c>
      <c r="C14" s="25">
        <f t="shared" si="6"/>
        <v>0</v>
      </c>
      <c r="D14" s="25">
        <f t="shared" si="6"/>
        <v>0</v>
      </c>
      <c r="E14" s="25">
        <f t="shared" si="6"/>
        <v>0</v>
      </c>
      <c r="F14" s="25">
        <f t="shared" si="6"/>
        <v>0</v>
      </c>
      <c r="G14" s="25">
        <f t="shared" si="6"/>
        <v>0</v>
      </c>
      <c r="H14" s="25">
        <f t="shared" si="6"/>
        <v>0</v>
      </c>
      <c r="I14" s="26">
        <f t="shared" si="6"/>
        <v>0</v>
      </c>
      <c r="J14" s="25">
        <f t="shared" si="6"/>
        <v>0</v>
      </c>
      <c r="K14" s="25">
        <f t="shared" si="6"/>
        <v>0</v>
      </c>
      <c r="L14" s="29">
        <f t="shared" si="0"/>
        <v>0</v>
      </c>
      <c r="M14" s="26">
        <f t="shared" ref="M14:V14" si="7">SUM(M15:M18)</f>
        <v>0</v>
      </c>
      <c r="N14" s="25">
        <f t="shared" si="7"/>
        <v>0</v>
      </c>
      <c r="O14" s="25">
        <f t="shared" si="7"/>
        <v>0</v>
      </c>
      <c r="P14" s="25">
        <f t="shared" si="7"/>
        <v>0</v>
      </c>
      <c r="Q14" s="25">
        <f t="shared" si="7"/>
        <v>0</v>
      </c>
      <c r="R14" s="25">
        <f t="shared" si="7"/>
        <v>0</v>
      </c>
      <c r="S14" s="25">
        <f t="shared" si="7"/>
        <v>0</v>
      </c>
      <c r="T14" s="25">
        <f t="shared" si="7"/>
        <v>0</v>
      </c>
      <c r="U14" s="25">
        <f t="shared" si="7"/>
        <v>0</v>
      </c>
      <c r="V14" s="25">
        <f t="shared" si="7"/>
        <v>0</v>
      </c>
      <c r="W14" s="29">
        <f t="shared" si="1"/>
        <v>0</v>
      </c>
    </row>
    <row r="15" s="2" customFormat="1" ht="18" customHeight="1" spans="1:23">
      <c r="A15" s="30" t="s">
        <v>685</v>
      </c>
      <c r="B15" s="25" t="s">
        <v>686</v>
      </c>
      <c r="C15" s="26" t="s">
        <v>687</v>
      </c>
      <c r="D15" s="26" t="s">
        <v>688</v>
      </c>
      <c r="E15" s="26"/>
      <c r="F15" s="26" t="s">
        <v>689</v>
      </c>
      <c r="G15" s="25" t="s">
        <v>690</v>
      </c>
      <c r="H15" s="25" t="s">
        <v>691</v>
      </c>
      <c r="I15" s="34" t="s">
        <v>692</v>
      </c>
      <c r="J15" s="25" t="s">
        <v>693</v>
      </c>
      <c r="K15" s="25" t="s">
        <v>694</v>
      </c>
      <c r="L15" s="29" t="e">
        <f t="shared" si="0"/>
        <v>#VALUE!</v>
      </c>
      <c r="M15" s="26" t="s">
        <v>695</v>
      </c>
      <c r="N15" s="25" t="s">
        <v>696</v>
      </c>
      <c r="O15" s="26" t="s">
        <v>697</v>
      </c>
      <c r="P15" s="26"/>
      <c r="Q15" s="26" t="s">
        <v>698</v>
      </c>
      <c r="R15" s="26" t="s">
        <v>699</v>
      </c>
      <c r="S15" s="26" t="s">
        <v>700</v>
      </c>
      <c r="T15" s="34" t="s">
        <v>701</v>
      </c>
      <c r="U15" s="25" t="s">
        <v>702</v>
      </c>
      <c r="V15" s="25" t="s">
        <v>703</v>
      </c>
      <c r="W15" s="29" t="e">
        <f t="shared" si="1"/>
        <v>#VALUE!</v>
      </c>
    </row>
    <row r="16" s="2" customFormat="1" ht="18" customHeight="1" spans="1:23">
      <c r="A16" s="30" t="s">
        <v>704</v>
      </c>
      <c r="B16" s="25" t="s">
        <v>705</v>
      </c>
      <c r="C16" s="26" t="s">
        <v>706</v>
      </c>
      <c r="D16" s="26" t="s">
        <v>707</v>
      </c>
      <c r="E16" s="26"/>
      <c r="F16" s="26" t="s">
        <v>708</v>
      </c>
      <c r="G16" s="25" t="s">
        <v>709</v>
      </c>
      <c r="H16" s="25" t="s">
        <v>710</v>
      </c>
      <c r="I16" s="34" t="s">
        <v>711</v>
      </c>
      <c r="J16" s="25" t="s">
        <v>712</v>
      </c>
      <c r="K16" s="25" t="s">
        <v>713</v>
      </c>
      <c r="L16" s="29" t="e">
        <f t="shared" si="0"/>
        <v>#VALUE!</v>
      </c>
      <c r="M16" s="26" t="s">
        <v>714</v>
      </c>
      <c r="N16" s="25" t="s">
        <v>715</v>
      </c>
      <c r="O16" s="26" t="s">
        <v>716</v>
      </c>
      <c r="P16" s="26"/>
      <c r="Q16" s="26" t="s">
        <v>717</v>
      </c>
      <c r="R16" s="26" t="s">
        <v>718</v>
      </c>
      <c r="S16" s="26" t="s">
        <v>719</v>
      </c>
      <c r="T16" s="34" t="s">
        <v>720</v>
      </c>
      <c r="U16" s="25" t="s">
        <v>721</v>
      </c>
      <c r="V16" s="25" t="s">
        <v>722</v>
      </c>
      <c r="W16" s="29" t="e">
        <f t="shared" si="1"/>
        <v>#VALUE!</v>
      </c>
    </row>
    <row r="17" s="2" customFormat="1" ht="18" customHeight="1" spans="1:23">
      <c r="A17" s="30" t="s">
        <v>723</v>
      </c>
      <c r="B17" s="25" t="s">
        <v>724</v>
      </c>
      <c r="C17" s="26" t="s">
        <v>725</v>
      </c>
      <c r="D17" s="26" t="s">
        <v>726</v>
      </c>
      <c r="E17" s="26"/>
      <c r="F17" s="26" t="s">
        <v>727</v>
      </c>
      <c r="G17" s="25" t="s">
        <v>728</v>
      </c>
      <c r="H17" s="25" t="s">
        <v>729</v>
      </c>
      <c r="I17" s="34" t="s">
        <v>730</v>
      </c>
      <c r="J17" s="25" t="s">
        <v>731</v>
      </c>
      <c r="K17" s="25" t="s">
        <v>732</v>
      </c>
      <c r="L17" s="29" t="e">
        <f t="shared" si="0"/>
        <v>#VALUE!</v>
      </c>
      <c r="M17" s="26" t="s">
        <v>733</v>
      </c>
      <c r="N17" s="25" t="s">
        <v>734</v>
      </c>
      <c r="O17" s="26" t="s">
        <v>735</v>
      </c>
      <c r="P17" s="26"/>
      <c r="Q17" s="26" t="s">
        <v>736</v>
      </c>
      <c r="R17" s="26" t="s">
        <v>737</v>
      </c>
      <c r="S17" s="26" t="s">
        <v>738</v>
      </c>
      <c r="T17" s="34" t="s">
        <v>739</v>
      </c>
      <c r="U17" s="25" t="s">
        <v>740</v>
      </c>
      <c r="V17" s="25" t="s">
        <v>741</v>
      </c>
      <c r="W17" s="29" t="e">
        <f t="shared" si="1"/>
        <v>#VALUE!</v>
      </c>
    </row>
    <row r="18" s="2" customFormat="1" ht="18" customHeight="1" spans="1:23">
      <c r="A18" s="30" t="s">
        <v>742</v>
      </c>
      <c r="B18" s="25" t="s">
        <v>743</v>
      </c>
      <c r="C18" s="26" t="s">
        <v>744</v>
      </c>
      <c r="D18" s="26" t="s">
        <v>745</v>
      </c>
      <c r="E18" s="26"/>
      <c r="F18" s="26" t="s">
        <v>746</v>
      </c>
      <c r="G18" s="25" t="s">
        <v>747</v>
      </c>
      <c r="H18" s="25" t="s">
        <v>748</v>
      </c>
      <c r="I18" s="34" t="s">
        <v>749</v>
      </c>
      <c r="J18" s="25" t="s">
        <v>750</v>
      </c>
      <c r="K18" s="25" t="s">
        <v>751</v>
      </c>
      <c r="L18" s="29" t="e">
        <f t="shared" si="0"/>
        <v>#VALUE!</v>
      </c>
      <c r="M18" s="26" t="s">
        <v>752</v>
      </c>
      <c r="N18" s="25" t="s">
        <v>753</v>
      </c>
      <c r="O18" s="26" t="s">
        <v>754</v>
      </c>
      <c r="P18" s="26"/>
      <c r="Q18" s="26" t="s">
        <v>755</v>
      </c>
      <c r="R18" s="26" t="s">
        <v>756</v>
      </c>
      <c r="S18" s="26" t="s">
        <v>757</v>
      </c>
      <c r="T18" s="34" t="s">
        <v>758</v>
      </c>
      <c r="U18" s="25" t="s">
        <v>759</v>
      </c>
      <c r="V18" s="25" t="s">
        <v>760</v>
      </c>
      <c r="W18" s="29" t="e">
        <f t="shared" si="1"/>
        <v>#VALUE!</v>
      </c>
    </row>
    <row r="19" s="2" customFormat="1" ht="18" customHeight="1" spans="1:23">
      <c r="A19" s="30" t="s">
        <v>761</v>
      </c>
      <c r="B19" s="25">
        <f t="shared" ref="B19:K19" si="8">SUM(B20:B23)</f>
        <v>0</v>
      </c>
      <c r="C19" s="25">
        <f t="shared" si="8"/>
        <v>0</v>
      </c>
      <c r="D19" s="25">
        <f t="shared" si="8"/>
        <v>0</v>
      </c>
      <c r="E19" s="25">
        <f t="shared" si="8"/>
        <v>0</v>
      </c>
      <c r="F19" s="25">
        <f t="shared" si="8"/>
        <v>0</v>
      </c>
      <c r="G19" s="25">
        <f t="shared" si="8"/>
        <v>0</v>
      </c>
      <c r="H19" s="25">
        <f t="shared" si="8"/>
        <v>0</v>
      </c>
      <c r="I19" s="25">
        <f t="shared" si="8"/>
        <v>0</v>
      </c>
      <c r="J19" s="25">
        <f t="shared" si="8"/>
        <v>0</v>
      </c>
      <c r="K19" s="25">
        <f t="shared" si="8"/>
        <v>0</v>
      </c>
      <c r="L19" s="29">
        <f t="shared" si="0"/>
        <v>0</v>
      </c>
      <c r="M19" s="26">
        <f t="shared" ref="M19:V19" si="9">SUM(M20:M23)</f>
        <v>0</v>
      </c>
      <c r="N19" s="25">
        <f t="shared" si="9"/>
        <v>0</v>
      </c>
      <c r="O19" s="25">
        <f t="shared" si="9"/>
        <v>0</v>
      </c>
      <c r="P19" s="25">
        <f t="shared" si="9"/>
        <v>0</v>
      </c>
      <c r="Q19" s="25">
        <f t="shared" si="9"/>
        <v>0</v>
      </c>
      <c r="R19" s="25">
        <f t="shared" si="9"/>
        <v>0</v>
      </c>
      <c r="S19" s="25">
        <f t="shared" si="9"/>
        <v>0</v>
      </c>
      <c r="T19" s="25">
        <f t="shared" si="9"/>
        <v>0</v>
      </c>
      <c r="U19" s="25">
        <f t="shared" si="9"/>
        <v>0</v>
      </c>
      <c r="V19" s="25">
        <f t="shared" si="9"/>
        <v>0</v>
      </c>
      <c r="W19" s="29">
        <f t="shared" si="1"/>
        <v>0</v>
      </c>
    </row>
    <row r="20" s="2" customFormat="1" ht="18" customHeight="1" spans="1:23">
      <c r="A20" s="30" t="s">
        <v>762</v>
      </c>
      <c r="B20" s="25" t="s">
        <v>763</v>
      </c>
      <c r="C20" s="26" t="s">
        <v>764</v>
      </c>
      <c r="D20" s="26" t="s">
        <v>765</v>
      </c>
      <c r="E20" s="26"/>
      <c r="F20" s="26" t="s">
        <v>766</v>
      </c>
      <c r="G20" s="25" t="s">
        <v>767</v>
      </c>
      <c r="H20" s="25" t="s">
        <v>768</v>
      </c>
      <c r="I20" s="34" t="s">
        <v>769</v>
      </c>
      <c r="J20" s="25" t="s">
        <v>770</v>
      </c>
      <c r="K20" s="25" t="s">
        <v>771</v>
      </c>
      <c r="L20" s="29" t="e">
        <f t="shared" si="0"/>
        <v>#VALUE!</v>
      </c>
      <c r="M20" s="26" t="s">
        <v>772</v>
      </c>
      <c r="N20" s="25" t="s">
        <v>773</v>
      </c>
      <c r="O20" s="26" t="s">
        <v>774</v>
      </c>
      <c r="P20" s="26"/>
      <c r="Q20" s="26" t="s">
        <v>775</v>
      </c>
      <c r="R20" s="26" t="s">
        <v>776</v>
      </c>
      <c r="S20" s="26" t="s">
        <v>777</v>
      </c>
      <c r="T20" s="34" t="s">
        <v>778</v>
      </c>
      <c r="U20" s="25" t="s">
        <v>779</v>
      </c>
      <c r="V20" s="25" t="s">
        <v>780</v>
      </c>
      <c r="W20" s="29" t="e">
        <f t="shared" si="1"/>
        <v>#VALUE!</v>
      </c>
    </row>
    <row r="21" s="2" customFormat="1" ht="18" customHeight="1" spans="1:23">
      <c r="A21" s="36" t="s">
        <v>781</v>
      </c>
      <c r="B21" s="25" t="s">
        <v>782</v>
      </c>
      <c r="C21" s="26" t="s">
        <v>783</v>
      </c>
      <c r="D21" s="26" t="s">
        <v>784</v>
      </c>
      <c r="E21" s="26"/>
      <c r="F21" s="26" t="s">
        <v>785</v>
      </c>
      <c r="G21" s="25" t="s">
        <v>786</v>
      </c>
      <c r="H21" s="25" t="s">
        <v>787</v>
      </c>
      <c r="I21" s="34" t="s">
        <v>788</v>
      </c>
      <c r="J21" s="25" t="s">
        <v>789</v>
      </c>
      <c r="K21" s="25" t="s">
        <v>790</v>
      </c>
      <c r="L21" s="29" t="s">
        <v>791</v>
      </c>
      <c r="M21" s="26" t="s">
        <v>792</v>
      </c>
      <c r="N21" s="25" t="s">
        <v>793</v>
      </c>
      <c r="O21" s="26" t="s">
        <v>794</v>
      </c>
      <c r="P21" s="26"/>
      <c r="Q21" s="26" t="s">
        <v>795</v>
      </c>
      <c r="R21" s="26" t="s">
        <v>796</v>
      </c>
      <c r="S21" s="26" t="s">
        <v>797</v>
      </c>
      <c r="T21" s="34" t="s">
        <v>798</v>
      </c>
      <c r="U21" s="25" t="s">
        <v>799</v>
      </c>
      <c r="V21" s="25" t="s">
        <v>800</v>
      </c>
      <c r="W21" s="29" t="s">
        <v>801</v>
      </c>
    </row>
    <row r="22" s="2" customFormat="1" ht="18" customHeight="1" spans="1:23">
      <c r="A22" s="30" t="s">
        <v>802</v>
      </c>
      <c r="B22" s="25" t="s">
        <v>803</v>
      </c>
      <c r="C22" s="26" t="s">
        <v>804</v>
      </c>
      <c r="D22" s="26" t="s">
        <v>805</v>
      </c>
      <c r="E22" s="26"/>
      <c r="F22" s="26" t="s">
        <v>806</v>
      </c>
      <c r="G22" s="25" t="s">
        <v>807</v>
      </c>
      <c r="H22" s="25" t="s">
        <v>808</v>
      </c>
      <c r="I22" s="34" t="s">
        <v>809</v>
      </c>
      <c r="J22" s="25" t="s">
        <v>810</v>
      </c>
      <c r="K22" s="25" t="s">
        <v>811</v>
      </c>
      <c r="L22" s="29" t="e">
        <f t="shared" ref="L22:L28" si="10">B22+C22+D22+E22+F22-G22+H22+I22+J22+K22</f>
        <v>#VALUE!</v>
      </c>
      <c r="M22" s="26" t="s">
        <v>812</v>
      </c>
      <c r="N22" s="25" t="s">
        <v>813</v>
      </c>
      <c r="O22" s="26" t="s">
        <v>814</v>
      </c>
      <c r="P22" s="26"/>
      <c r="Q22" s="26" t="s">
        <v>815</v>
      </c>
      <c r="R22" s="26" t="s">
        <v>816</v>
      </c>
      <c r="S22" s="26" t="s">
        <v>817</v>
      </c>
      <c r="T22" s="34" t="s">
        <v>818</v>
      </c>
      <c r="U22" s="25" t="s">
        <v>819</v>
      </c>
      <c r="V22" s="25" t="s">
        <v>820</v>
      </c>
      <c r="W22" s="29" t="e">
        <f t="shared" ref="W22:W28" si="11">M22+N22+O22+P22+Q22-R22+S22+T22+U22+V22</f>
        <v>#VALUE!</v>
      </c>
    </row>
    <row r="23" s="2" customFormat="1" ht="18" customHeight="1" spans="1:23">
      <c r="A23" s="30" t="s">
        <v>742</v>
      </c>
      <c r="B23" s="25" t="s">
        <v>743</v>
      </c>
      <c r="C23" s="26" t="s">
        <v>744</v>
      </c>
      <c r="D23" s="26" t="s">
        <v>745</v>
      </c>
      <c r="E23" s="26"/>
      <c r="F23" s="26" t="s">
        <v>746</v>
      </c>
      <c r="G23" s="25" t="s">
        <v>747</v>
      </c>
      <c r="H23" s="25" t="s">
        <v>748</v>
      </c>
      <c r="I23" s="34" t="s">
        <v>749</v>
      </c>
      <c r="J23" s="25" t="s">
        <v>750</v>
      </c>
      <c r="K23" s="25" t="s">
        <v>751</v>
      </c>
      <c r="L23" s="29" t="e">
        <f t="shared" si="10"/>
        <v>#VALUE!</v>
      </c>
      <c r="M23" s="26" t="s">
        <v>752</v>
      </c>
      <c r="N23" s="25" t="s">
        <v>753</v>
      </c>
      <c r="O23" s="26" t="s">
        <v>754</v>
      </c>
      <c r="P23" s="26"/>
      <c r="Q23" s="26" t="s">
        <v>755</v>
      </c>
      <c r="R23" s="26" t="s">
        <v>756</v>
      </c>
      <c r="S23" s="26" t="s">
        <v>757</v>
      </c>
      <c r="T23" s="34" t="s">
        <v>758</v>
      </c>
      <c r="U23" s="25" t="s">
        <v>759</v>
      </c>
      <c r="V23" s="25" t="s">
        <v>760</v>
      </c>
      <c r="W23" s="29" t="e">
        <f t="shared" si="11"/>
        <v>#VALUE!</v>
      </c>
    </row>
    <row r="24" s="2" customFormat="1" ht="18" customHeight="1" spans="1:23">
      <c r="A24" s="30" t="s">
        <v>821</v>
      </c>
      <c r="B24" s="25">
        <f t="shared" ref="B24:K24" si="12">SUM(B25:B30)</f>
        <v>0</v>
      </c>
      <c r="C24" s="25">
        <f t="shared" si="12"/>
        <v>0</v>
      </c>
      <c r="D24" s="25">
        <f t="shared" si="12"/>
        <v>0</v>
      </c>
      <c r="E24" s="25">
        <f t="shared" si="12"/>
        <v>0</v>
      </c>
      <c r="F24" s="25">
        <f t="shared" si="12"/>
        <v>0</v>
      </c>
      <c r="G24" s="25">
        <f t="shared" si="12"/>
        <v>0</v>
      </c>
      <c r="H24" s="25">
        <f t="shared" si="12"/>
        <v>0</v>
      </c>
      <c r="I24" s="25">
        <f t="shared" si="12"/>
        <v>0</v>
      </c>
      <c r="J24" s="25">
        <f t="shared" si="12"/>
        <v>0</v>
      </c>
      <c r="K24" s="25">
        <f t="shared" si="12"/>
        <v>0</v>
      </c>
      <c r="L24" s="29">
        <f t="shared" si="10"/>
        <v>0</v>
      </c>
      <c r="M24" s="26">
        <f t="shared" ref="M24:V24" si="13">SUM(M25:M30)</f>
        <v>0</v>
      </c>
      <c r="N24" s="25">
        <f t="shared" si="13"/>
        <v>0</v>
      </c>
      <c r="O24" s="25">
        <f t="shared" si="13"/>
        <v>0</v>
      </c>
      <c r="P24" s="25">
        <f t="shared" si="13"/>
        <v>0</v>
      </c>
      <c r="Q24" s="25">
        <f t="shared" si="13"/>
        <v>0</v>
      </c>
      <c r="R24" s="25">
        <f t="shared" si="13"/>
        <v>0</v>
      </c>
      <c r="S24" s="25">
        <f t="shared" si="13"/>
        <v>0</v>
      </c>
      <c r="T24" s="25">
        <f t="shared" si="13"/>
        <v>0</v>
      </c>
      <c r="U24" s="25">
        <f t="shared" si="13"/>
        <v>0</v>
      </c>
      <c r="V24" s="25">
        <f t="shared" si="13"/>
        <v>0</v>
      </c>
      <c r="W24" s="29">
        <f t="shared" si="11"/>
        <v>0</v>
      </c>
    </row>
    <row r="25" s="2" customFormat="1" ht="18" customHeight="1" spans="1:23">
      <c r="A25" s="30" t="s">
        <v>822</v>
      </c>
      <c r="B25" s="25" t="s">
        <v>823</v>
      </c>
      <c r="C25" s="26" t="s">
        <v>824</v>
      </c>
      <c r="D25" s="26" t="s">
        <v>825</v>
      </c>
      <c r="E25" s="26"/>
      <c r="F25" s="26" t="s">
        <v>826</v>
      </c>
      <c r="G25" s="25" t="s">
        <v>827</v>
      </c>
      <c r="H25" s="25" t="s">
        <v>828</v>
      </c>
      <c r="I25" s="34" t="s">
        <v>829</v>
      </c>
      <c r="J25" s="25" t="s">
        <v>830</v>
      </c>
      <c r="K25" s="25" t="s">
        <v>831</v>
      </c>
      <c r="L25" s="29" t="e">
        <f t="shared" si="10"/>
        <v>#VALUE!</v>
      </c>
      <c r="M25" s="26" t="s">
        <v>832</v>
      </c>
      <c r="N25" s="25" t="s">
        <v>833</v>
      </c>
      <c r="O25" s="26" t="s">
        <v>834</v>
      </c>
      <c r="P25" s="26"/>
      <c r="Q25" s="26" t="s">
        <v>835</v>
      </c>
      <c r="R25" s="26" t="s">
        <v>836</v>
      </c>
      <c r="S25" s="26" t="s">
        <v>837</v>
      </c>
      <c r="T25" s="34" t="s">
        <v>838</v>
      </c>
      <c r="U25" s="25" t="s">
        <v>839</v>
      </c>
      <c r="V25" s="25" t="s">
        <v>840</v>
      </c>
      <c r="W25" s="29" t="e">
        <f t="shared" si="11"/>
        <v>#VALUE!</v>
      </c>
    </row>
    <row r="26" s="2" customFormat="1" ht="18" customHeight="1" spans="1:23">
      <c r="A26" s="30" t="s">
        <v>841</v>
      </c>
      <c r="B26" s="25" t="s">
        <v>842</v>
      </c>
      <c r="C26" s="26" t="s">
        <v>843</v>
      </c>
      <c r="D26" s="26" t="s">
        <v>844</v>
      </c>
      <c r="E26" s="26"/>
      <c r="F26" s="26" t="s">
        <v>845</v>
      </c>
      <c r="G26" s="25" t="s">
        <v>846</v>
      </c>
      <c r="H26" s="25" t="s">
        <v>847</v>
      </c>
      <c r="I26" s="34" t="s">
        <v>848</v>
      </c>
      <c r="J26" s="25" t="s">
        <v>849</v>
      </c>
      <c r="K26" s="25" t="s">
        <v>850</v>
      </c>
      <c r="L26" s="29" t="e">
        <f t="shared" si="10"/>
        <v>#VALUE!</v>
      </c>
      <c r="M26" s="26" t="s">
        <v>851</v>
      </c>
      <c r="N26" s="25" t="s">
        <v>852</v>
      </c>
      <c r="O26" s="26" t="s">
        <v>853</v>
      </c>
      <c r="P26" s="26"/>
      <c r="Q26" s="26" t="s">
        <v>854</v>
      </c>
      <c r="R26" s="26" t="s">
        <v>855</v>
      </c>
      <c r="S26" s="26" t="s">
        <v>856</v>
      </c>
      <c r="T26" s="34" t="s">
        <v>857</v>
      </c>
      <c r="U26" s="25" t="s">
        <v>858</v>
      </c>
      <c r="V26" s="25" t="s">
        <v>859</v>
      </c>
      <c r="W26" s="29" t="e">
        <f t="shared" si="11"/>
        <v>#VALUE!</v>
      </c>
    </row>
    <row r="27" s="2" customFormat="1" ht="18" customHeight="1" spans="1:23">
      <c r="A27" s="37" t="s">
        <v>860</v>
      </c>
      <c r="B27" s="25" t="s">
        <v>861</v>
      </c>
      <c r="C27" s="26" t="s">
        <v>862</v>
      </c>
      <c r="D27" s="26" t="s">
        <v>863</v>
      </c>
      <c r="E27" s="26"/>
      <c r="F27" s="26" t="s">
        <v>864</v>
      </c>
      <c r="G27" s="25" t="s">
        <v>865</v>
      </c>
      <c r="H27" s="25" t="s">
        <v>866</v>
      </c>
      <c r="I27" s="34" t="s">
        <v>867</v>
      </c>
      <c r="J27" s="25" t="s">
        <v>868</v>
      </c>
      <c r="K27" s="25" t="s">
        <v>869</v>
      </c>
      <c r="L27" s="29" t="e">
        <f t="shared" si="10"/>
        <v>#VALUE!</v>
      </c>
      <c r="M27" s="26" t="s">
        <v>870</v>
      </c>
      <c r="N27" s="25" t="s">
        <v>871</v>
      </c>
      <c r="O27" s="26" t="s">
        <v>872</v>
      </c>
      <c r="P27" s="26"/>
      <c r="Q27" s="26" t="s">
        <v>873</v>
      </c>
      <c r="R27" s="26" t="s">
        <v>874</v>
      </c>
      <c r="S27" s="26" t="s">
        <v>875</v>
      </c>
      <c r="T27" s="34" t="s">
        <v>876</v>
      </c>
      <c r="U27" s="25" t="s">
        <v>877</v>
      </c>
      <c r="V27" s="25" t="s">
        <v>878</v>
      </c>
      <c r="W27" s="29" t="e">
        <f t="shared" si="11"/>
        <v>#VALUE!</v>
      </c>
    </row>
    <row r="28" s="2" customFormat="1" ht="33" customHeight="1" spans="1:23">
      <c r="A28" s="38" t="s">
        <v>879</v>
      </c>
      <c r="B28" s="25" t="s">
        <v>880</v>
      </c>
      <c r="C28" s="26" t="s">
        <v>881</v>
      </c>
      <c r="D28" s="26" t="s">
        <v>882</v>
      </c>
      <c r="E28" s="26"/>
      <c r="F28" s="26" t="s">
        <v>883</v>
      </c>
      <c r="G28" s="25" t="s">
        <v>884</v>
      </c>
      <c r="H28" s="25" t="s">
        <v>885</v>
      </c>
      <c r="I28" s="34" t="s">
        <v>886</v>
      </c>
      <c r="J28" s="25" t="s">
        <v>887</v>
      </c>
      <c r="K28" s="25" t="s">
        <v>888</v>
      </c>
      <c r="L28" s="29" t="e">
        <f t="shared" si="10"/>
        <v>#VALUE!</v>
      </c>
      <c r="M28" s="26" t="s">
        <v>889</v>
      </c>
      <c r="N28" s="25" t="s">
        <v>890</v>
      </c>
      <c r="O28" s="26" t="s">
        <v>891</v>
      </c>
      <c r="P28" s="26"/>
      <c r="Q28" s="26" t="s">
        <v>892</v>
      </c>
      <c r="R28" s="26" t="s">
        <v>893</v>
      </c>
      <c r="S28" s="26" t="s">
        <v>894</v>
      </c>
      <c r="T28" s="34" t="s">
        <v>895</v>
      </c>
      <c r="U28" s="25" t="s">
        <v>896</v>
      </c>
      <c r="V28" s="25" t="s">
        <v>897</v>
      </c>
      <c r="W28" s="29" t="e">
        <f t="shared" si="11"/>
        <v>#VALUE!</v>
      </c>
    </row>
    <row r="29" s="2" customFormat="1" spans="1:23">
      <c r="A29" s="39" t="s">
        <v>898</v>
      </c>
      <c r="B29" s="25" t="s">
        <v>899</v>
      </c>
      <c r="C29" s="26" t="s">
        <v>900</v>
      </c>
      <c r="D29" s="26" t="s">
        <v>901</v>
      </c>
      <c r="E29" s="26"/>
      <c r="F29" s="26" t="s">
        <v>902</v>
      </c>
      <c r="G29" s="25" t="s">
        <v>903</v>
      </c>
      <c r="H29" s="25" t="s">
        <v>904</v>
      </c>
      <c r="I29" s="34" t="s">
        <v>905</v>
      </c>
      <c r="J29" s="25" t="s">
        <v>906</v>
      </c>
      <c r="K29" s="25" t="s">
        <v>907</v>
      </c>
      <c r="L29" s="29" t="s">
        <v>908</v>
      </c>
      <c r="M29" s="26" t="s">
        <v>909</v>
      </c>
      <c r="N29" s="25" t="s">
        <v>910</v>
      </c>
      <c r="O29" s="26" t="s">
        <v>911</v>
      </c>
      <c r="P29" s="26"/>
      <c r="Q29" s="26" t="s">
        <v>912</v>
      </c>
      <c r="R29" s="26" t="s">
        <v>913</v>
      </c>
      <c r="S29" s="26" t="s">
        <v>914</v>
      </c>
      <c r="T29" s="34" t="s">
        <v>915</v>
      </c>
      <c r="U29" s="25" t="s">
        <v>916</v>
      </c>
      <c r="V29" s="25" t="s">
        <v>917</v>
      </c>
      <c r="W29" s="29" t="s">
        <v>918</v>
      </c>
    </row>
    <row r="30" s="2" customFormat="1" ht="18" customHeight="1" spans="1:23">
      <c r="A30" s="30" t="s">
        <v>919</v>
      </c>
      <c r="B30" s="25" t="s">
        <v>920</v>
      </c>
      <c r="C30" s="26" t="s">
        <v>921</v>
      </c>
      <c r="D30" s="26" t="s">
        <v>922</v>
      </c>
      <c r="E30" s="26"/>
      <c r="F30" s="26" t="s">
        <v>923</v>
      </c>
      <c r="G30" s="25" t="s">
        <v>924</v>
      </c>
      <c r="H30" s="25" t="s">
        <v>925</v>
      </c>
      <c r="I30" s="34" t="s">
        <v>926</v>
      </c>
      <c r="J30" s="25" t="s">
        <v>927</v>
      </c>
      <c r="K30" s="25" t="s">
        <v>928</v>
      </c>
      <c r="L30" s="29" t="e">
        <f t="shared" ref="L30:L35" si="14">B30+C30+D30+E30+F30-G30+H30+I30+J30+K30</f>
        <v>#VALUE!</v>
      </c>
      <c r="M30" s="26" t="s">
        <v>929</v>
      </c>
      <c r="N30" s="25" t="s">
        <v>930</v>
      </c>
      <c r="O30" s="26" t="s">
        <v>931</v>
      </c>
      <c r="P30" s="26"/>
      <c r="Q30" s="26" t="s">
        <v>932</v>
      </c>
      <c r="R30" s="26" t="s">
        <v>933</v>
      </c>
      <c r="S30" s="26" t="s">
        <v>934</v>
      </c>
      <c r="T30" s="34" t="s">
        <v>935</v>
      </c>
      <c r="U30" s="25" t="s">
        <v>936</v>
      </c>
      <c r="V30" s="25" t="s">
        <v>937</v>
      </c>
      <c r="W30" s="29" t="e">
        <f t="shared" ref="W30:W35" si="15">M30+N30+O30+P30+Q30-R30+S30+T30+U30+V30</f>
        <v>#VALUE!</v>
      </c>
    </row>
    <row r="31" s="2" customFormat="1" ht="18" customHeight="1" spans="1:23">
      <c r="A31" s="30" t="s">
        <v>938</v>
      </c>
      <c r="B31" s="26">
        <f t="shared" ref="B31:K31" si="16">SUM(B32:B33)</f>
        <v>0</v>
      </c>
      <c r="C31" s="26">
        <f t="shared" si="16"/>
        <v>0</v>
      </c>
      <c r="D31" s="26">
        <f t="shared" si="16"/>
        <v>0</v>
      </c>
      <c r="E31" s="26">
        <f t="shared" si="16"/>
        <v>0</v>
      </c>
      <c r="F31" s="26">
        <f t="shared" si="16"/>
        <v>0</v>
      </c>
      <c r="G31" s="26">
        <f t="shared" si="16"/>
        <v>0</v>
      </c>
      <c r="H31" s="26">
        <f t="shared" si="16"/>
        <v>0</v>
      </c>
      <c r="I31" s="26">
        <f t="shared" si="16"/>
        <v>0</v>
      </c>
      <c r="J31" s="26">
        <f t="shared" si="16"/>
        <v>0</v>
      </c>
      <c r="K31" s="26">
        <f t="shared" si="16"/>
        <v>0</v>
      </c>
      <c r="L31" s="29">
        <f t="shared" si="14"/>
        <v>0</v>
      </c>
      <c r="M31" s="26">
        <f t="shared" ref="M31:V31" si="17">SUM(M32:M33)</f>
        <v>0</v>
      </c>
      <c r="N31" s="26">
        <f t="shared" si="17"/>
        <v>0</v>
      </c>
      <c r="O31" s="26">
        <f t="shared" si="17"/>
        <v>0</v>
      </c>
      <c r="P31" s="26">
        <f t="shared" si="17"/>
        <v>0</v>
      </c>
      <c r="Q31" s="26">
        <f t="shared" si="17"/>
        <v>0</v>
      </c>
      <c r="R31" s="26">
        <f t="shared" si="17"/>
        <v>0</v>
      </c>
      <c r="S31" s="26">
        <f t="shared" si="17"/>
        <v>0</v>
      </c>
      <c r="T31" s="26">
        <f t="shared" si="17"/>
        <v>0</v>
      </c>
      <c r="U31" s="26">
        <f t="shared" si="17"/>
        <v>0</v>
      </c>
      <c r="V31" s="26">
        <f t="shared" si="17"/>
        <v>0</v>
      </c>
      <c r="W31" s="29">
        <f t="shared" si="15"/>
        <v>0</v>
      </c>
    </row>
    <row r="32" s="2" customFormat="1" ht="18" customHeight="1" spans="1:23">
      <c r="A32" s="30" t="s">
        <v>939</v>
      </c>
      <c r="B32" s="25" t="s">
        <v>940</v>
      </c>
      <c r="C32" s="26" t="s">
        <v>941</v>
      </c>
      <c r="D32" s="26" t="s">
        <v>942</v>
      </c>
      <c r="E32" s="26"/>
      <c r="F32" s="26" t="s">
        <v>943</v>
      </c>
      <c r="G32" s="25" t="s">
        <v>944</v>
      </c>
      <c r="H32" s="25" t="s">
        <v>945</v>
      </c>
      <c r="I32" s="34" t="s">
        <v>946</v>
      </c>
      <c r="J32" s="25" t="s">
        <v>947</v>
      </c>
      <c r="K32" s="25" t="s">
        <v>948</v>
      </c>
      <c r="L32" s="29" t="e">
        <f t="shared" si="14"/>
        <v>#VALUE!</v>
      </c>
      <c r="M32" s="26" t="s">
        <v>949</v>
      </c>
      <c r="N32" s="25" t="s">
        <v>950</v>
      </c>
      <c r="O32" s="26" t="s">
        <v>951</v>
      </c>
      <c r="P32" s="26"/>
      <c r="Q32" s="26" t="s">
        <v>952</v>
      </c>
      <c r="R32" s="26" t="s">
        <v>953</v>
      </c>
      <c r="S32" s="26" t="s">
        <v>954</v>
      </c>
      <c r="T32" s="34" t="s">
        <v>955</v>
      </c>
      <c r="U32" s="25" t="s">
        <v>956</v>
      </c>
      <c r="V32" s="25" t="s">
        <v>957</v>
      </c>
      <c r="W32" s="29" t="e">
        <f t="shared" si="15"/>
        <v>#VALUE!</v>
      </c>
    </row>
    <row r="33" s="2" customFormat="1" ht="18" customHeight="1" spans="1:23">
      <c r="A33" s="30" t="s">
        <v>958</v>
      </c>
      <c r="B33" s="25" t="s">
        <v>959</v>
      </c>
      <c r="C33" s="26" t="s">
        <v>960</v>
      </c>
      <c r="D33" s="26" t="s">
        <v>961</v>
      </c>
      <c r="E33" s="26"/>
      <c r="F33" s="26" t="s">
        <v>962</v>
      </c>
      <c r="G33" s="25" t="s">
        <v>963</v>
      </c>
      <c r="H33" s="25" t="s">
        <v>964</v>
      </c>
      <c r="I33" s="34" t="s">
        <v>965</v>
      </c>
      <c r="J33" s="25" t="s">
        <v>966</v>
      </c>
      <c r="K33" s="25" t="s">
        <v>967</v>
      </c>
      <c r="L33" s="29" t="e">
        <f t="shared" si="14"/>
        <v>#VALUE!</v>
      </c>
      <c r="M33" s="26" t="s">
        <v>968</v>
      </c>
      <c r="N33" s="25" t="s">
        <v>969</v>
      </c>
      <c r="O33" s="26" t="s">
        <v>970</v>
      </c>
      <c r="P33" s="26"/>
      <c r="Q33" s="26" t="s">
        <v>971</v>
      </c>
      <c r="R33" s="26" t="s">
        <v>972</v>
      </c>
      <c r="S33" s="26" t="s">
        <v>973</v>
      </c>
      <c r="T33" s="34" t="s">
        <v>974</v>
      </c>
      <c r="U33" s="25" t="s">
        <v>975</v>
      </c>
      <c r="V33" s="25" t="s">
        <v>976</v>
      </c>
      <c r="W33" s="29" t="e">
        <f t="shared" si="15"/>
        <v>#VALUE!</v>
      </c>
    </row>
    <row r="34" ht="18" customHeight="1" spans="1:23">
      <c r="A34" s="30" t="s">
        <v>977</v>
      </c>
      <c r="B34" s="25" t="s">
        <v>978</v>
      </c>
      <c r="C34" s="26" t="s">
        <v>979</v>
      </c>
      <c r="D34" s="26" t="s">
        <v>980</v>
      </c>
      <c r="E34" s="26"/>
      <c r="F34" s="26" t="s">
        <v>981</v>
      </c>
      <c r="G34" s="25" t="s">
        <v>982</v>
      </c>
      <c r="H34" s="25" t="s">
        <v>983</v>
      </c>
      <c r="I34" s="34" t="s">
        <v>984</v>
      </c>
      <c r="J34" s="25" t="s">
        <v>985</v>
      </c>
      <c r="K34" s="25" t="s">
        <v>986</v>
      </c>
      <c r="L34" s="29" t="e">
        <f t="shared" si="14"/>
        <v>#VALUE!</v>
      </c>
      <c r="M34" s="26" t="s">
        <v>987</v>
      </c>
      <c r="N34" s="25" t="s">
        <v>988</v>
      </c>
      <c r="O34" s="26" t="s">
        <v>989</v>
      </c>
      <c r="P34" s="26"/>
      <c r="Q34" s="26" t="s">
        <v>990</v>
      </c>
      <c r="R34" s="26" t="s">
        <v>991</v>
      </c>
      <c r="S34" s="26" t="s">
        <v>992</v>
      </c>
      <c r="T34" s="34" t="s">
        <v>993</v>
      </c>
      <c r="U34" s="25" t="s">
        <v>994</v>
      </c>
      <c r="V34" s="25" t="s">
        <v>995</v>
      </c>
      <c r="W34" s="29" t="e">
        <f t="shared" si="15"/>
        <v>#VALUE!</v>
      </c>
    </row>
    <row r="35" ht="18" customHeight="1" spans="1:23">
      <c r="A35" s="40" t="s">
        <v>996</v>
      </c>
      <c r="B35" s="41" t="e">
        <f t="shared" ref="B35:K35" si="18">B11+B12</f>
        <v>#VALUE!</v>
      </c>
      <c r="C35" s="41" t="e">
        <f t="shared" si="18"/>
        <v>#VALUE!</v>
      </c>
      <c r="D35" s="41" t="e">
        <f t="shared" si="18"/>
        <v>#VALUE!</v>
      </c>
      <c r="E35" s="41">
        <f t="shared" si="18"/>
        <v>0</v>
      </c>
      <c r="F35" s="41" t="e">
        <f t="shared" si="18"/>
        <v>#VALUE!</v>
      </c>
      <c r="G35" s="41" t="e">
        <f t="shared" si="18"/>
        <v>#VALUE!</v>
      </c>
      <c r="H35" s="41" t="e">
        <f t="shared" si="18"/>
        <v>#VALUE!</v>
      </c>
      <c r="I35" s="42" t="e">
        <f t="shared" si="18"/>
        <v>#VALUE!</v>
      </c>
      <c r="J35" s="41" t="e">
        <f t="shared" si="18"/>
        <v>#VALUE!</v>
      </c>
      <c r="K35" s="41" t="e">
        <f t="shared" si="18"/>
        <v>#VALUE!</v>
      </c>
      <c r="L35" s="43" t="e">
        <f t="shared" si="14"/>
        <v>#VALUE!</v>
      </c>
      <c r="M35" s="42" t="e">
        <f t="shared" ref="M35:V35" si="19">M11+M12</f>
        <v>#VALUE!</v>
      </c>
      <c r="N35" s="41" t="e">
        <f t="shared" si="19"/>
        <v>#VALUE!</v>
      </c>
      <c r="O35" s="41" t="e">
        <f t="shared" si="19"/>
        <v>#VALUE!</v>
      </c>
      <c r="P35" s="41">
        <f t="shared" si="19"/>
        <v>0</v>
      </c>
      <c r="Q35" s="41" t="e">
        <f t="shared" si="19"/>
        <v>#VALUE!</v>
      </c>
      <c r="R35" s="41" t="e">
        <f t="shared" si="19"/>
        <v>#VALUE!</v>
      </c>
      <c r="S35" s="41" t="e">
        <f t="shared" si="19"/>
        <v>#VALUE!</v>
      </c>
      <c r="T35" s="41" t="e">
        <f t="shared" si="19"/>
        <v>#VALUE!</v>
      </c>
      <c r="U35" s="41" t="e">
        <f t="shared" si="19"/>
        <v>#VALUE!</v>
      </c>
      <c r="V35" s="41" t="e">
        <f t="shared" si="19"/>
        <v>#VALUE!</v>
      </c>
      <c r="W35" s="43" t="e">
        <f t="shared" si="15"/>
        <v>#VALUE!</v>
      </c>
    </row>
    <row r="36" ht="18" customHeight="1" spans="1:23">
      <c r="L36" s="44"/>
    </row>
    <row r="37" s="2" customFormat="1" ht="18" customHeight="1" spans="1:23">
      <c r="A37" s="45" t="s">
        <v>997</v>
      </c>
      <c r="C37" s="46"/>
      <c r="D37" s="46" t="s">
        <v>462</v>
      </c>
      <c r="E37" s="46"/>
      <c r="F37" s="47"/>
      <c r="G37" s="47"/>
      <c r="H37" s="47"/>
      <c r="I37" s="47"/>
      <c r="J37" s="48" t="s">
        <v>300</v>
      </c>
      <c r="N37" s="46"/>
      <c r="O37" s="46" t="s">
        <v>462</v>
      </c>
      <c r="P37" s="46"/>
      <c r="U37" s="48" t="s">
        <v>300</v>
      </c>
    </row>
  </sheetData>
  <mergeCells count="23">
    <mergeCell ref="B1:L1"/>
    <mergeCell ref="M1:W1"/>
    <mergeCell ref="B4:L4"/>
    <mergeCell ref="M4:W4"/>
    <mergeCell ref="C5:E5"/>
    <mergeCell ref="N5:P5"/>
    <mergeCell ref="A4:A6"/>
    <mergeCell ref="B5:B6"/>
    <mergeCell ref="F5:F6"/>
    <mergeCell ref="G5:G6"/>
    <mergeCell ref="H5:H6"/>
    <mergeCell ref="I5:I6"/>
    <mergeCell ref="J5:J6"/>
    <mergeCell ref="K5:K6"/>
    <mergeCell ref="L5:L6"/>
    <mergeCell ref="M5:M6"/>
    <mergeCell ref="Q5:Q6"/>
    <mergeCell ref="R5:R6"/>
    <mergeCell ref="S5:S6"/>
    <mergeCell ref="T5:T6"/>
    <mergeCell ref="U5:U6"/>
    <mergeCell ref="V5:V6"/>
    <mergeCell ref="W5:W6"/>
  </mergeCells>
  <printOptions horizontalCentered="1"/>
  <pageMargins left="0.511811023622047" right="0.511811023622047" top="0.78740157480315" bottom="0.78740157480315" header="0.511811023622047" footer="0.511811023622047"/>
  <pageSetup paperSize="9" scale="65" firstPageNumber="7" orientation="landscape" useFirstPageNumber="1" horizontalDpi="600" verticalDpi="600"/>
  <headerFooter alignWithMargins="0">
    <oddFooter>&amp;C&amp;"Arial Narrow,常规"&amp;P</oddFooter>
  </headerFooter>
  <colBreaks count="1" manualBreakCount="1">
    <brk id="12" max="65535"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zoomScaleSheetLayoutView="60" workbookViewId="0">
      <selection activeCell="A1" sqref="A1"/>
    </sheetView>
  </sheetViews>
  <sheetFormatPr defaultColWidth="8.8" defaultRowHeight="15.6" outlineLevelRow="7" outlineLevelCol="1"/>
  <sheetData>
    <row r="1" spans="1:2">
      <c r="A1" t="s">
        <v>998</v>
      </c>
      <c r="B1" t="s">
        <v>999</v>
      </c>
    </row>
    <row r="2" spans="1:2">
      <c r="A2" t="s">
        <v>1000</v>
      </c>
      <c r="B2" t="s">
        <v>1001</v>
      </c>
    </row>
    <row r="3" spans="1:2">
      <c r="A3" t="s">
        <v>1002</v>
      </c>
      <c r="B3" t="s">
        <v>1003</v>
      </c>
    </row>
    <row r="4" spans="1:2">
      <c r="A4" t="s">
        <v>1004</v>
      </c>
      <c r="B4" t="s">
        <v>1005</v>
      </c>
    </row>
    <row r="5" spans="1:2">
      <c r="A5" t="s">
        <v>1006</v>
      </c>
      <c r="B5" t="s">
        <v>1007</v>
      </c>
    </row>
    <row r="6" spans="1:2">
      <c r="A6" t="s">
        <v>1008</v>
      </c>
      <c r="B6" t="s">
        <v>1009</v>
      </c>
    </row>
    <row r="7" spans="1:2">
      <c r="A7" t="s">
        <v>1010</v>
      </c>
      <c r="B7" t="s">
        <v>1011</v>
      </c>
    </row>
    <row r="8" spans="1:2">
      <c r="A8" t="s">
        <v>1012</v>
      </c>
      <c r="B8" t="s">
        <v>1013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资产负债表</vt:lpstr>
      <vt:lpstr>资产负债表续</vt:lpstr>
      <vt:lpstr>利润表</vt:lpstr>
      <vt:lpstr>现金流量表</vt:lpstr>
      <vt:lpstr>股东权益变动表</vt:lpstr>
      <vt:lpstr>GT_Custom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Rui 张蕊</dc:creator>
  <cp:lastModifiedBy>杨志</cp:lastModifiedBy>
  <dcterms:created xsi:type="dcterms:W3CDTF">2001-06-27T02:04:00Z</dcterms:created>
  <cp:lastPrinted>2023-01-10T06:51:00Z</cp:lastPrinted>
  <dcterms:modified xsi:type="dcterms:W3CDTF">2026-06-11T14:07:47Z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415767E6C34A4F10BC704824739C5578_13</vt:lpwstr>
  </property>
  <property fmtid="{D5CDD505-2E9C-101B-9397-08002B2CF9AE}" pid="3" name="KSOProductBuildVer">
    <vt:lpwstr>2052-12.1.0.26895</vt:lpwstr>
  </property>
  <property fmtid="{D5CDD505-2E9C-101B-9397-08002B2CF9AE}" pid="4" name="CalculationRule">
    <vt:i4>0</vt:i4>
  </property>
</Properties>
</file>