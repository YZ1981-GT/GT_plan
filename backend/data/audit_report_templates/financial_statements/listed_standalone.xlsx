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2188" windowHeight="9060" tabRatio="600" firstSheet="1" activeTab="4" autoFilterDateGrouping="1"/>
  </bookViews>
  <sheets>
    <sheet xmlns:r="http://schemas.openxmlformats.org/officeDocument/2006/relationships" name="资产负债表" sheetId="1" state="visible" r:id="rId1"/>
    <sheet xmlns:r="http://schemas.openxmlformats.org/officeDocument/2006/relationships" name="资产负债表续" sheetId="2" state="visible" r:id="rId2"/>
    <sheet xmlns:r="http://schemas.openxmlformats.org/officeDocument/2006/relationships" name="利润表" sheetId="3" state="visible" r:id="rId3"/>
    <sheet xmlns:r="http://schemas.openxmlformats.org/officeDocument/2006/relationships" name="现金流量表" sheetId="4" state="visible" r:id="rId4"/>
    <sheet xmlns:r="http://schemas.openxmlformats.org/officeDocument/2006/relationships" name="股东权益变动表" sheetId="5" state="visible" r:id="rId5"/>
    <sheet xmlns:r="http://schemas.openxmlformats.org/officeDocument/2006/relationships" name="GT_Custom" sheetId="6" state="hidden" r:id="rId6"/>
  </sheets>
  <definedNames>
    <definedName name="Z_11225121_1664_11D5_91ED_001060808604_.wvu.PrintArea" localSheetId="0" hidden="1">资产负债表!$A$1:$D$46</definedName>
    <definedName name="Z_38A85FE0_3960_11D5_8724_5254293012F4_.wvu.PrintArea" localSheetId="0" hidden="1">资产负债表!$A$1:$D$46</definedName>
    <definedName name="Z_74D759C8_22AF_4BF8_98E4_973AB9CC8AD4_.wvu.PrintArea" localSheetId="0" hidden="1">资产负债表!$A$1:$D$46</definedName>
    <definedName name="Z_B17549A0_198B_11D5_A231_0080C88DD54C_.wvu.PrintArea" localSheetId="0" hidden="1">资产负债表!$A$1:$D$48</definedName>
    <definedName name="Z_B238A4E0_5F40_11D5_A601_00A0C939A085_.wvu.PrintArea" localSheetId="0" hidden="1">资产负债表!$A$1:$D$46</definedName>
    <definedName name="_xlnm.Print_Area" localSheetId="0">'资产负债表'!$A$1:$D$46</definedName>
    <definedName name="Z_11225121_1664_11D5_91ED_001060808604_.wvu.PrintArea" localSheetId="1" hidden="1">资产负债表续!$A$1:$D$51</definedName>
    <definedName name="Z_38A85FE0_3960_11D5_8724_5254293012F4_.wvu.PrintArea" localSheetId="1" hidden="1">资产负债表续!$A$1:$D$51</definedName>
    <definedName name="Z_74D759C8_22AF_4BF8_98E4_973AB9CC8AD4_.wvu.PrintArea" localSheetId="1" hidden="1">资产负债表续!$A$1:$D$51</definedName>
    <definedName name="Z_B238A4E0_5F40_11D5_A601_00A0C939A085_.wvu.PrintArea" localSheetId="1" hidden="1">资产负债表续!$A$1:$D$51</definedName>
    <definedName name="_xlnm.Print_Area" localSheetId="1">'资产负债表续'!$A$1:$D$51</definedName>
    <definedName name="Z_74D759C8_22AF_4BF8_98E4_973AB9CC8AD4_.wvu.PrintArea" localSheetId="2" hidden="1">利润表!$A$1:$D$60</definedName>
    <definedName name="Z_74D759C8_22AF_4BF8_98E4_973AB9CC8AD4_.wvu.PrintTitles" localSheetId="2" hidden="1">利润表!$1:$4</definedName>
    <definedName name="_xlnm.Print_Titles" localSheetId="2">'利润表'!$1:$4</definedName>
    <definedName name="_xlnm.Print_Area" localSheetId="2">'利润表'!$A$1:$D$60</definedName>
    <definedName name="_xlnm.Print_Area" localSheetId="3">'现金流量表'!$A$1:$D$47</definedName>
    <definedName name="Z_74D759C8_22AF_4BF8_98E4_973AB9CC8AD4_.wvu.PrintTitles" localSheetId="4" hidden="1">股东权益变动表!$A:$A</definedName>
    <definedName name="_xlnm.Print_Titles" localSheetId="4">'股东权益变动表'!$A:$A</definedName>
  </definedNames>
  <calcPr calcId="191029" fullCalcOnLoad="1"/>
</workbook>
</file>

<file path=xl/styles.xml><?xml version="1.0" encoding="utf-8"?>
<styleSheet xmlns="http://schemas.openxmlformats.org/spreadsheetml/2006/main">
  <numFmts count="6">
    <numFmt numFmtId="164" formatCode="_ * #,##0.00_ ;_ * \-#,##0.00_ ;_ * &quot;-&quot;??_ ;_ @_ "/>
    <numFmt numFmtId="165" formatCode="#,##0.00_ "/>
    <numFmt numFmtId="166" formatCode="#,##0.00_-"/>
    <numFmt numFmtId="167" formatCode="_ * #,##0.0000_ ;_ * \-#,##0.0000_ ;_ * &quot;-&quot;??_ ;_ @_ "/>
    <numFmt numFmtId="168" formatCode="_(&quot;￥&quot;* #,##0.00_);_(&quot;￥&quot;* \(#,##0.00\);_(&quot;￥&quot;* &quot;-&quot;??_);_(@_)"/>
    <numFmt numFmtId="169" formatCode="_(&quot;￥&quot;* #,##0_);_(&quot;￥&quot;* \(#,##0\);_(&quot;￥&quot;* &quot;-&quot;_);_(@_)"/>
  </numFmts>
  <fonts count="47">
    <font>
      <name val="Times New Roman"/>
      <charset val="0"/>
      <sz val="12"/>
    </font>
    <font>
      <name val="仿宋_GB2312"/>
      <charset val="134"/>
      <sz val="12"/>
    </font>
    <font>
      <name val="Arial Narrow"/>
      <charset val="0"/>
      <sz val="12"/>
    </font>
    <font>
      <name val="仿宋_GB2312"/>
      <charset val="134"/>
      <b val="1"/>
      <sz val="16"/>
    </font>
    <font>
      <name val="Arial Narrow"/>
      <charset val="0"/>
      <b val="1"/>
      <sz val="16"/>
    </font>
    <font>
      <name val="仿宋_GB2312"/>
      <charset val="134"/>
      <b val="1"/>
      <sz val="12"/>
    </font>
    <font>
      <name val="Arial Narrow"/>
      <charset val="0"/>
      <b val="1"/>
      <sz val="12"/>
    </font>
    <font>
      <name val="Arial Narrow"/>
      <charset val="0"/>
      <b val="1"/>
      <strike val="1"/>
      <sz val="12"/>
    </font>
    <font>
      <name val="仿宋_GB2312"/>
      <charset val="134"/>
      <color rgb="FFFF0000"/>
      <sz val="12"/>
    </font>
    <font>
      <name val="仿宋_GB2312"/>
      <charset val="0"/>
      <b val="1"/>
      <sz val="16"/>
    </font>
    <font>
      <name val="仿宋_GB2312"/>
      <charset val="0"/>
      <sz val="12"/>
    </font>
    <font>
      <name val="Arial Narrow"/>
      <charset val="0"/>
      <sz val="11"/>
    </font>
    <font>
      <name val="宋体"/>
      <charset val="134"/>
      <color rgb="FF0000FF"/>
      <sz val="12"/>
    </font>
    <font>
      <name val="Arial Narrow"/>
      <charset val="0"/>
      <strike val="1"/>
      <sz val="12"/>
    </font>
    <font>
      <name val="Arial Narrow"/>
      <charset val="0"/>
      <b val="1"/>
      <color indexed="12"/>
      <sz val="12"/>
    </font>
    <font>
      <name val="楷体_GB2312"/>
      <charset val="134"/>
      <sz val="12"/>
    </font>
    <font>
      <name val="Arial Narrow"/>
      <charset val="0"/>
      <color indexed="9"/>
      <sz val="12"/>
    </font>
    <font>
      <name val="Times New Roman"/>
      <charset val="0"/>
      <color indexed="12"/>
      <sz val="9"/>
      <u val="single"/>
    </font>
    <font>
      <name val="Times New Roman"/>
      <charset val="0"/>
      <color indexed="36"/>
      <sz val="9"/>
      <u val="single"/>
    </font>
    <font>
      <name val="宋体"/>
      <charset val="134"/>
      <color rgb="FFFF0000"/>
      <sz val="11"/>
      <scheme val="minor"/>
    </font>
    <font>
      <name val="宋体"/>
      <charset val="134"/>
      <b val="1"/>
      <color theme="3"/>
      <sz val="18"/>
      <scheme val="major"/>
    </font>
    <font>
      <name val="宋体"/>
      <charset val="134"/>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134"/>
      <color rgb="FF3F3F76"/>
      <sz val="11"/>
      <scheme val="minor"/>
    </font>
    <font>
      <name val="宋体"/>
      <charset val="134"/>
      <b val="1"/>
      <color rgb="FF3F3F3F"/>
      <sz val="11"/>
      <scheme val="minor"/>
    </font>
    <font>
      <name val="宋体"/>
      <charset val="134"/>
      <b val="1"/>
      <color rgb="FFFA7D00"/>
      <sz val="11"/>
      <scheme val="minor"/>
    </font>
    <font>
      <name val="宋体"/>
      <charset val="134"/>
      <b val="1"/>
      <color theme="0"/>
      <sz val="11"/>
      <scheme val="minor"/>
    </font>
    <font>
      <name val="宋体"/>
      <charset val="134"/>
      <color rgb="FFFA7D00"/>
      <sz val="11"/>
      <scheme val="minor"/>
    </font>
    <font>
      <name val="宋体"/>
      <charset val="134"/>
      <b val="1"/>
      <color theme="1"/>
      <sz val="11"/>
      <scheme val="minor"/>
    </font>
    <font>
      <name val="宋体"/>
      <charset val="134"/>
      <color rgb="FF006100"/>
      <sz val="11"/>
      <scheme val="minor"/>
    </font>
    <font>
      <name val="宋体"/>
      <charset val="134"/>
      <color rgb="FF9C0006"/>
      <sz val="11"/>
      <scheme val="minor"/>
    </font>
    <font>
      <name val="宋体"/>
      <charset val="134"/>
      <color rgb="FF9C6500"/>
      <sz val="11"/>
      <scheme val="minor"/>
    </font>
    <font>
      <name val="宋体"/>
      <charset val="134"/>
      <color theme="0"/>
      <sz val="11"/>
      <scheme val="minor"/>
    </font>
    <font>
      <name val="宋体"/>
      <charset val="134"/>
      <color theme="1"/>
      <sz val="11"/>
      <scheme val="minor"/>
    </font>
    <font>
      <name val="宋体"/>
      <charset val="134"/>
      <sz val="12"/>
    </font>
    <font>
      <name val="楷体"/>
      <charset val="134"/>
      <sz val="12"/>
    </font>
    <font>
      <name val="仿宋_GB2312"/>
      <charset val="134"/>
      <color indexed="12"/>
      <sz val="12"/>
    </font>
    <font>
      <name val="Arial Narrow"/>
      <charset val="0"/>
      <color indexed="12"/>
      <sz val="12"/>
    </font>
    <font>
      <name val="宋体"/>
      <charset val="134"/>
      <color indexed="12"/>
      <sz val="12"/>
    </font>
    <font>
      <name val="仿宋_GB2312"/>
      <charset val="0"/>
      <b val="1"/>
      <sz val="12"/>
    </font>
    <font>
      <name val="仿宋_GB2312"/>
      <charset val="134"/>
      <b val="1"/>
      <color indexed="12"/>
      <sz val="12"/>
    </font>
    <font>
      <name val="宋体"/>
      <charset val="134"/>
      <sz val="9"/>
    </font>
    <font>
      <name val="宋体"/>
      <charset val="134"/>
      <b val="1"/>
      <sz val="9"/>
    </font>
    <font>
      <name val="Tahoma"/>
      <charset val="134"/>
      <b val="1"/>
      <sz val="9"/>
    </font>
    <font>
      <name val="Tahoma"/>
      <charset val="134"/>
      <sz val="9"/>
    </font>
  </fonts>
  <fills count="36">
    <fill>
      <patternFill/>
    </fill>
    <fill>
      <patternFill patternType="gray125"/>
    </fill>
    <fill>
      <patternFill patternType="solid">
        <fgColor rgb="FFFFFF00"/>
        <bgColor indexed="64"/>
      </patternFill>
    </fill>
    <fill>
      <patternFill patternType="solid">
        <fgColor rgb="FFFFC000"/>
        <bgColor indexed="64"/>
      </patternFill>
    </fill>
    <fill>
      <patternFill patternType="solid">
        <fgColor theme="9" tint="0.399975585192419"/>
        <bgColor indexed="64"/>
      </patternFill>
    </fill>
    <fill>
      <patternFill patternType="solid">
        <fgColor indexed="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s>
  <borders count="25">
    <border>
      <left/>
      <right/>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bottom/>
      <diagonal/>
    </border>
    <border>
      <left style="thin">
        <color auto="1"/>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xf numFmtId="43" fontId="0" fillId="0" borderId="0"/>
    <xf numFmtId="168" fontId="0" fillId="0" borderId="0"/>
    <xf numFmtId="9" fontId="0" fillId="0" borderId="0"/>
    <xf numFmtId="41" fontId="0" fillId="0" borderId="0"/>
    <xf numFmtId="169" fontId="0" fillId="0" borderId="0"/>
    <xf numFmtId="0" fontId="17" fillId="0" borderId="0" applyAlignment="1" applyProtection="1">
      <alignment vertical="top"/>
      <protection locked="0" hidden="0"/>
    </xf>
    <xf numFmtId="0" fontId="18" fillId="0" borderId="0" applyAlignment="1" applyProtection="1">
      <alignment vertical="top"/>
      <protection locked="0" hidden="0"/>
    </xf>
    <xf numFmtId="0" fontId="0" fillId="6" borderId="16" applyAlignment="1">
      <alignment vertical="center"/>
    </xf>
    <xf numFmtId="0" fontId="19" fillId="0" borderId="0" applyAlignment="1">
      <alignment vertical="center"/>
    </xf>
    <xf numFmtId="0" fontId="20" fillId="0" borderId="0" applyAlignment="1">
      <alignment vertical="center"/>
    </xf>
    <xf numFmtId="0" fontId="21" fillId="0" borderId="0" applyAlignment="1">
      <alignment vertical="center"/>
    </xf>
    <xf numFmtId="0" fontId="22" fillId="0" borderId="17" applyAlignment="1">
      <alignment vertical="center"/>
    </xf>
    <xf numFmtId="0" fontId="23" fillId="0" borderId="18" applyAlignment="1">
      <alignment vertical="center"/>
    </xf>
    <xf numFmtId="0" fontId="24" fillId="0" borderId="19" applyAlignment="1">
      <alignment vertical="center"/>
    </xf>
    <xf numFmtId="0" fontId="24" fillId="0" borderId="0" applyAlignment="1">
      <alignment vertical="center"/>
    </xf>
    <xf numFmtId="0" fontId="25" fillId="7" borderId="20" applyAlignment="1">
      <alignment vertical="center"/>
    </xf>
    <xf numFmtId="0" fontId="26" fillId="8" borderId="21" applyAlignment="1">
      <alignment vertical="center"/>
    </xf>
    <xf numFmtId="0" fontId="27" fillId="8" borderId="20" applyAlignment="1">
      <alignment vertical="center"/>
    </xf>
    <xf numFmtId="0" fontId="28" fillId="9" borderId="22" applyAlignment="1">
      <alignment vertical="center"/>
    </xf>
    <xf numFmtId="0" fontId="29" fillId="0" borderId="23" applyAlignment="1">
      <alignment vertical="center"/>
    </xf>
    <xf numFmtId="0" fontId="30" fillId="0" borderId="24" applyAlignment="1">
      <alignment vertical="center"/>
    </xf>
    <xf numFmtId="0" fontId="31" fillId="10" borderId="0" applyAlignment="1">
      <alignment vertical="center"/>
    </xf>
    <xf numFmtId="0" fontId="32" fillId="11" borderId="0" applyAlignment="1">
      <alignment vertical="center"/>
    </xf>
    <xf numFmtId="0" fontId="33" fillId="12" borderId="0" applyAlignment="1">
      <alignment vertical="center"/>
    </xf>
    <xf numFmtId="0" fontId="34" fillId="13" borderId="0" applyAlignment="1">
      <alignment vertical="center"/>
    </xf>
    <xf numFmtId="0" fontId="35" fillId="14" borderId="0" applyAlignment="1">
      <alignment vertical="center"/>
    </xf>
    <xf numFmtId="0" fontId="35" fillId="15" borderId="0" applyAlignment="1">
      <alignment vertical="center"/>
    </xf>
    <xf numFmtId="0" fontId="34" fillId="16" borderId="0" applyAlignment="1">
      <alignment vertical="center"/>
    </xf>
    <xf numFmtId="0" fontId="34" fillId="17" borderId="0" applyAlignment="1">
      <alignment vertical="center"/>
    </xf>
    <xf numFmtId="0" fontId="35" fillId="18" borderId="0" applyAlignment="1">
      <alignment vertical="center"/>
    </xf>
    <xf numFmtId="0" fontId="35" fillId="19" borderId="0" applyAlignment="1">
      <alignment vertical="center"/>
    </xf>
    <xf numFmtId="0" fontId="34" fillId="20" borderId="0" applyAlignment="1">
      <alignment vertical="center"/>
    </xf>
    <xf numFmtId="0" fontId="34" fillId="21" borderId="0" applyAlignment="1">
      <alignment vertical="center"/>
    </xf>
    <xf numFmtId="0" fontId="35" fillId="22" borderId="0" applyAlignment="1">
      <alignment vertical="center"/>
    </xf>
    <xf numFmtId="0" fontId="35" fillId="23" borderId="0" applyAlignment="1">
      <alignment vertical="center"/>
    </xf>
    <xf numFmtId="0" fontId="34" fillId="24" borderId="0" applyAlignment="1">
      <alignment vertical="center"/>
    </xf>
    <xf numFmtId="0" fontId="34" fillId="25" borderId="0" applyAlignment="1">
      <alignment vertical="center"/>
    </xf>
    <xf numFmtId="0" fontId="35" fillId="26" borderId="0" applyAlignment="1">
      <alignment vertical="center"/>
    </xf>
    <xf numFmtId="0" fontId="35" fillId="27" borderId="0" applyAlignment="1">
      <alignment vertical="center"/>
    </xf>
    <xf numFmtId="0" fontId="34" fillId="28" borderId="0" applyAlignment="1">
      <alignment vertical="center"/>
    </xf>
    <xf numFmtId="0" fontId="34" fillId="29" borderId="0" applyAlignment="1">
      <alignment vertical="center"/>
    </xf>
    <xf numFmtId="0" fontId="35" fillId="30" borderId="0" applyAlignment="1">
      <alignment vertical="center"/>
    </xf>
    <xf numFmtId="0" fontId="35" fillId="31" borderId="0" applyAlignment="1">
      <alignment vertical="center"/>
    </xf>
    <xf numFmtId="0" fontId="34" fillId="32" borderId="0" applyAlignment="1">
      <alignment vertical="center"/>
    </xf>
    <xf numFmtId="0" fontId="34" fillId="33" borderId="0" applyAlignment="1">
      <alignment vertical="center"/>
    </xf>
    <xf numFmtId="0" fontId="35" fillId="34" borderId="0" applyAlignment="1">
      <alignment vertical="center"/>
    </xf>
    <xf numFmtId="0" fontId="35" fillId="35" borderId="0" applyAlignment="1">
      <alignment vertical="center"/>
    </xf>
    <xf numFmtId="0" fontId="34" fillId="4" borderId="0" applyAlignment="1">
      <alignment vertical="center"/>
    </xf>
    <xf numFmtId="0" fontId="36" fillId="0" borderId="0"/>
    <xf numFmtId="0" fontId="37" fillId="0" borderId="0"/>
    <xf numFmtId="0" fontId="0" fillId="0" borderId="0"/>
    <xf numFmtId="43" fontId="0" fillId="0" borderId="0"/>
    <xf numFmtId="41" fontId="0" fillId="0" borderId="0"/>
  </cellStyleXfs>
  <cellXfs count="253">
    <xf numFmtId="0" fontId="0" fillId="0" borderId="0" pivotButton="0" quotePrefix="0" xfId="0"/>
    <xf numFmtId="0" fontId="1" fillId="0" borderId="0" applyAlignment="1" pivotButton="0" quotePrefix="0" xfId="50">
      <alignment vertical="center"/>
    </xf>
    <xf numFmtId="0" fontId="2" fillId="0" borderId="0" applyAlignment="1" pivotButton="0" quotePrefix="0" xfId="50">
      <alignment vertical="center"/>
    </xf>
    <xf numFmtId="0" fontId="1" fillId="0" borderId="0" applyAlignment="1" pivotButton="0" quotePrefix="0" xfId="50">
      <alignment vertical="center"/>
    </xf>
    <xf numFmtId="0" fontId="2" fillId="0" borderId="0" applyAlignment="1" pivotButton="0" quotePrefix="0" xfId="50">
      <alignment vertical="center"/>
    </xf>
    <xf numFmtId="0" fontId="3" fillId="0" borderId="0" applyAlignment="1" pivotButton="0" quotePrefix="0" xfId="50">
      <alignment horizontal="left" vertical="center"/>
    </xf>
    <xf numFmtId="0" fontId="1" fillId="0" borderId="0" applyAlignment="1" pivotButton="0" quotePrefix="0" xfId="50">
      <alignment vertical="center"/>
    </xf>
    <xf numFmtId="0" fontId="4" fillId="0" borderId="0" applyAlignment="1" pivotButton="0" quotePrefix="0" xfId="50">
      <alignment horizontal="center" vertical="center"/>
    </xf>
    <xf numFmtId="0" fontId="2" fillId="0" borderId="0" applyAlignment="1" pivotButton="0" quotePrefix="0" xfId="49">
      <alignment horizontal="center" vertical="center"/>
    </xf>
    <xf numFmtId="0" fontId="2" fillId="0" borderId="0" applyAlignment="1" pivotButton="0" quotePrefix="0" xfId="49">
      <alignment vertical="center"/>
    </xf>
    <xf numFmtId="0" fontId="2" fillId="0" borderId="0" applyAlignment="1" pivotButton="0" quotePrefix="0" xfId="50">
      <alignment horizontal="right" vertical="center"/>
    </xf>
    <xf numFmtId="0" fontId="5" fillId="0" borderId="1" applyAlignment="1" pivotButton="0" quotePrefix="0" xfId="50">
      <alignment horizontal="center" vertical="center"/>
    </xf>
    <xf numFmtId="49" fontId="5" fillId="0" borderId="2" applyAlignment="1" pivotButton="0" quotePrefix="0" xfId="50">
      <alignment horizontal="center" vertical="center"/>
    </xf>
    <xf numFmtId="49" fontId="6" fillId="0" borderId="3" applyAlignment="1" pivotButton="0" quotePrefix="0" xfId="50">
      <alignment horizontal="center" vertical="center"/>
    </xf>
    <xf numFmtId="49" fontId="5" fillId="0" borderId="3" applyAlignment="1" pivotButton="0" quotePrefix="0" xfId="50">
      <alignment horizontal="center" vertical="center"/>
    </xf>
    <xf numFmtId="0" fontId="5" fillId="0" borderId="4" applyAlignment="1" pivotButton="0" quotePrefix="0" xfId="50">
      <alignment horizontal="center" vertical="center"/>
    </xf>
    <xf numFmtId="0" fontId="6" fillId="0" borderId="5" applyAlignment="1" pivotButton="0" quotePrefix="0" xfId="50">
      <alignment horizontal="center" vertical="center" wrapText="1"/>
    </xf>
    <xf numFmtId="0" fontId="5" fillId="0" borderId="2" applyAlignment="1" pivotButton="0" quotePrefix="0" xfId="50">
      <alignment horizontal="center" vertical="center" wrapText="1"/>
    </xf>
    <xf numFmtId="0" fontId="7" fillId="0" borderId="3" applyAlignment="1" pivotButton="0" quotePrefix="0" xfId="50">
      <alignment horizontal="center" vertical="center" wrapText="1"/>
    </xf>
    <xf numFmtId="0" fontId="7" fillId="0" borderId="6" applyAlignment="1" pivotButton="0" quotePrefix="0" xfId="50">
      <alignment horizontal="center" vertical="center" wrapText="1"/>
    </xf>
    <xf numFmtId="0" fontId="5" fillId="0" borderId="5" applyAlignment="1" pivotButton="0" quotePrefix="0" xfId="50">
      <alignment horizontal="center" vertical="center" wrapText="1"/>
    </xf>
    <xf numFmtId="0" fontId="6" fillId="0" borderId="1" applyAlignment="1" pivotButton="0" quotePrefix="0" xfId="50">
      <alignment horizontal="center" vertical="center" wrapText="1"/>
    </xf>
    <xf numFmtId="0" fontId="6" fillId="0" borderId="7" applyAlignment="1" pivotButton="0" quotePrefix="0" xfId="50">
      <alignment horizontal="center" vertical="center" wrapText="1"/>
    </xf>
    <xf numFmtId="0" fontId="5" fillId="0" borderId="8" applyAlignment="1" pivotButton="0" quotePrefix="0" xfId="50">
      <alignment horizontal="center" vertical="center"/>
    </xf>
    <xf numFmtId="0" fontId="6" fillId="0" borderId="9" applyAlignment="1" pivotButton="0" quotePrefix="0" xfId="50">
      <alignment horizontal="center" vertical="center" wrapText="1"/>
    </xf>
    <xf numFmtId="0" fontId="6" fillId="0" borderId="8" applyAlignment="1" pivotButton="0" quotePrefix="0" xfId="50">
      <alignment horizontal="center" vertical="center" wrapText="1"/>
    </xf>
    <xf numFmtId="0" fontId="6" fillId="0" borderId="10" applyAlignment="1" pivotButton="0" quotePrefix="0" xfId="50">
      <alignment horizontal="center" vertical="center" wrapText="1"/>
    </xf>
    <xf numFmtId="0" fontId="5" fillId="0" borderId="4" applyAlignment="1" pivotButton="0" quotePrefix="0" xfId="50">
      <alignment vertical="center"/>
    </xf>
    <xf numFmtId="164" fontId="2" fillId="0" borderId="11" applyAlignment="1" pivotButton="0" quotePrefix="0" xfId="50">
      <alignment vertical="center"/>
    </xf>
    <xf numFmtId="164" fontId="2" fillId="0" borderId="4" applyAlignment="1" pivotButton="0" quotePrefix="0" xfId="50">
      <alignment vertical="center"/>
    </xf>
    <xf numFmtId="164" fontId="2" fillId="0" borderId="5" applyAlignment="1" pivotButton="0" quotePrefix="0" xfId="50">
      <alignment vertical="center"/>
    </xf>
    <xf numFmtId="164" fontId="2" fillId="0" borderId="7" applyAlignment="1" pivotButton="0" quotePrefix="0" xfId="50">
      <alignment vertical="center"/>
    </xf>
    <xf numFmtId="164" fontId="2" fillId="0" borderId="12" applyAlignment="1" pivotButton="0" quotePrefix="0" xfId="50">
      <alignment vertical="center"/>
    </xf>
    <xf numFmtId="0" fontId="1" fillId="0" borderId="4" applyAlignment="1" pivotButton="0" quotePrefix="0" xfId="50">
      <alignment vertical="center"/>
    </xf>
    <xf numFmtId="164" fontId="2" fillId="0" borderId="11" applyAlignment="1" pivotButton="0" quotePrefix="0" xfId="50">
      <alignment horizontal="center" vertical="center"/>
    </xf>
    <xf numFmtId="164" fontId="2" fillId="0" borderId="4" applyAlignment="1" pivotButton="0" quotePrefix="0" xfId="50">
      <alignment horizontal="center" vertical="center"/>
    </xf>
    <xf numFmtId="164" fontId="2" fillId="0" borderId="12" applyAlignment="1" pivotButton="0" quotePrefix="0" xfId="50">
      <alignment horizontal="center" vertical="center"/>
    </xf>
    <xf numFmtId="164" fontId="2" fillId="0" borderId="11" applyAlignment="1" pivotButton="0" quotePrefix="0" xfId="50">
      <alignment vertical="center"/>
    </xf>
    <xf numFmtId="164" fontId="2" fillId="0" borderId="4" applyAlignment="1" pivotButton="0" quotePrefix="0" xfId="50">
      <alignment vertical="center"/>
    </xf>
    <xf numFmtId="164" fontId="2" fillId="0" borderId="0" applyAlignment="1" pivotButton="0" quotePrefix="0" xfId="50">
      <alignment vertical="center"/>
    </xf>
    <xf numFmtId="164" fontId="2" fillId="0" borderId="12" applyAlignment="1" pivotButton="0" quotePrefix="0" xfId="50">
      <alignment vertical="center"/>
    </xf>
    <xf numFmtId="0" fontId="5" fillId="0" borderId="4" applyAlignment="1" pivotButton="0" quotePrefix="0" xfId="50">
      <alignment vertical="center" wrapText="1"/>
    </xf>
    <xf numFmtId="0" fontId="1" fillId="0" borderId="4" applyAlignment="1" pivotButton="0" quotePrefix="0" xfId="50">
      <alignment vertical="center"/>
    </xf>
    <xf numFmtId="164" fontId="2" fillId="0" borderId="0" applyAlignment="1" pivotButton="0" quotePrefix="0" xfId="50">
      <alignment vertical="center"/>
    </xf>
    <xf numFmtId="0" fontId="8" fillId="0" borderId="4" applyAlignment="1" pivotButton="0" quotePrefix="0" xfId="50">
      <alignment vertical="center"/>
    </xf>
    <xf numFmtId="0" fontId="1" fillId="2" borderId="4" applyAlignment="1" pivotButton="0" quotePrefix="0" xfId="50">
      <alignment vertical="center"/>
    </xf>
    <xf numFmtId="0" fontId="1" fillId="3" borderId="4" applyAlignment="1" pivotButton="0" quotePrefix="0" xfId="50">
      <alignment vertical="center" wrapText="1"/>
    </xf>
    <xf numFmtId="0" fontId="1" fillId="3" borderId="4" applyAlignment="1" pivotButton="0" quotePrefix="0" xfId="50">
      <alignment vertical="center"/>
    </xf>
    <xf numFmtId="0" fontId="5" fillId="0" borderId="8" applyAlignment="1" pivotButton="0" quotePrefix="0" xfId="50">
      <alignment vertical="center"/>
    </xf>
    <xf numFmtId="164" fontId="2" fillId="0" borderId="9" applyAlignment="1" pivotButton="0" quotePrefix="0" xfId="50">
      <alignment vertical="center"/>
    </xf>
    <xf numFmtId="164" fontId="2" fillId="0" borderId="8" applyAlignment="1" pivotButton="0" quotePrefix="0" xfId="50">
      <alignment vertical="center"/>
    </xf>
    <xf numFmtId="164" fontId="2" fillId="0" borderId="10" applyAlignment="1" pivotButton="0" quotePrefix="0" xfId="50">
      <alignment vertical="center"/>
    </xf>
    <xf numFmtId="0" fontId="2" fillId="0" borderId="0" applyAlignment="1" pivotButton="0" quotePrefix="0" xfId="50">
      <alignment vertical="center"/>
    </xf>
    <xf numFmtId="0" fontId="2" fillId="0" borderId="13" applyAlignment="1" pivotButton="0" quotePrefix="0" xfId="50">
      <alignment vertical="center"/>
    </xf>
    <xf numFmtId="165" fontId="5" fillId="0" borderId="0" applyAlignment="1" pivotButton="0" quotePrefix="0" xfId="50">
      <alignment vertical="center"/>
    </xf>
    <xf numFmtId="165" fontId="6" fillId="0" borderId="0" applyAlignment="1" pivotButton="0" quotePrefix="0" xfId="50">
      <alignment vertical="center"/>
    </xf>
    <xf numFmtId="4" fontId="2" fillId="0" borderId="0" applyAlignment="1" pivotButton="0" quotePrefix="0" xfId="50">
      <alignment vertical="center"/>
    </xf>
    <xf numFmtId="0" fontId="6" fillId="0" borderId="0" applyAlignment="1" pivotButton="0" quotePrefix="0" xfId="50">
      <alignment vertical="center"/>
    </xf>
    <xf numFmtId="0" fontId="2" fillId="0" borderId="0" applyAlignment="1" pivotButton="0" quotePrefix="0" xfId="50">
      <alignment vertical="center"/>
    </xf>
    <xf numFmtId="0" fontId="2" fillId="0" borderId="0" applyAlignment="1" pivotButton="0" quotePrefix="0" xfId="0">
      <alignment vertical="center"/>
    </xf>
    <xf numFmtId="0" fontId="1" fillId="0" borderId="0" applyAlignment="1" pivotButton="0" quotePrefix="0" xfId="4">
      <alignment vertical="center"/>
    </xf>
    <xf numFmtId="0" fontId="2" fillId="0" borderId="0" applyAlignment="1" pivotButton="0" quotePrefix="0" xfId="0">
      <alignment vertical="center"/>
    </xf>
    <xf numFmtId="164" fontId="2" fillId="0" borderId="0" applyAlignment="1" pivotButton="0" quotePrefix="0" xfId="0">
      <alignment horizontal="center" vertical="center"/>
    </xf>
    <xf numFmtId="164" fontId="2" fillId="0" borderId="0" applyAlignment="1" pivotButton="0" quotePrefix="0" xfId="0">
      <alignment vertical="center"/>
    </xf>
    <xf numFmtId="0" fontId="2" fillId="0" borderId="0" applyAlignment="1" pivotButton="0" quotePrefix="0" xfId="0">
      <alignment vertical="center"/>
    </xf>
    <xf numFmtId="0" fontId="9" fillId="0" borderId="0" applyAlignment="1" pivotButton="0" quotePrefix="0" xfId="0">
      <alignment horizontal="center" vertical="center"/>
    </xf>
    <xf numFmtId="0" fontId="4" fillId="0" borderId="0" applyAlignment="1" pivotButton="0" quotePrefix="0" xfId="0">
      <alignment horizontal="center" vertical="center"/>
    </xf>
    <xf numFmtId="0" fontId="2" fillId="0" borderId="0" applyAlignment="1" pivotButton="0" quotePrefix="0" xfId="4">
      <alignment horizontal="center" vertical="center"/>
    </xf>
    <xf numFmtId="0" fontId="2" fillId="0" borderId="0" applyAlignment="1" pivotButton="0" quotePrefix="0" xfId="0">
      <alignment horizontal="left" vertical="center"/>
    </xf>
    <xf numFmtId="0" fontId="2" fillId="0" borderId="0" applyAlignment="1" pivotButton="0" quotePrefix="0" xfId="0">
      <alignment horizontal="center" vertical="center"/>
    </xf>
    <xf numFmtId="0" fontId="10" fillId="0" borderId="0" applyAlignment="1" pivotButton="0" quotePrefix="0" xfId="0">
      <alignment vertical="center"/>
    </xf>
    <xf numFmtId="0" fontId="6" fillId="0" borderId="6" applyAlignment="1" pivotButton="0" quotePrefix="0" xfId="0">
      <alignment horizontal="center" vertical="center"/>
    </xf>
    <xf numFmtId="0" fontId="6" fillId="0" borderId="14" applyAlignment="1" pivotButton="0" quotePrefix="0" xfId="0">
      <alignment horizontal="center" vertical="center"/>
    </xf>
    <xf numFmtId="0" fontId="6" fillId="0" borderId="2" applyAlignment="1" pivotButton="0" quotePrefix="0" xfId="0">
      <alignment horizontal="center" vertical="center"/>
    </xf>
    <xf numFmtId="0" fontId="6" fillId="0" borderId="4" applyAlignment="1" pivotButton="0" quotePrefix="0" xfId="0">
      <alignment vertical="center"/>
    </xf>
    <xf numFmtId="164" fontId="2" fillId="0" borderId="11" applyAlignment="1" pivotButton="0" quotePrefix="0" xfId="0">
      <alignment horizontal="center" vertical="center"/>
    </xf>
    <xf numFmtId="164" fontId="2" fillId="0" borderId="12" applyAlignment="1" pivotButton="0" quotePrefix="0" xfId="0">
      <alignment horizontal="center" vertical="center"/>
    </xf>
    <xf numFmtId="0" fontId="2" fillId="0" borderId="4" applyAlignment="1" pivotButton="0" quotePrefix="0" xfId="0">
      <alignment vertical="center"/>
    </xf>
    <xf numFmtId="164" fontId="2" fillId="0" borderId="11" applyAlignment="1" pivotButton="0" quotePrefix="0" xfId="0">
      <alignment vertical="center"/>
    </xf>
    <xf numFmtId="164" fontId="6" fillId="0" borderId="11" applyAlignment="1" pivotButton="0" quotePrefix="0" xfId="0">
      <alignment horizontal="center" vertical="center"/>
    </xf>
    <xf numFmtId="164" fontId="6" fillId="0" borderId="12" applyAlignment="1" pivotButton="0" quotePrefix="0" xfId="0">
      <alignment horizontal="center" vertical="center"/>
    </xf>
    <xf numFmtId="0" fontId="2" fillId="0" borderId="4" applyAlignment="1" pivotButton="0" quotePrefix="0" xfId="0">
      <alignment vertical="center" wrapText="1"/>
    </xf>
    <xf numFmtId="0" fontId="11" fillId="0" borderId="4" applyAlignment="1" pivotButton="0" quotePrefix="0" xfId="0">
      <alignment vertical="center" wrapText="1"/>
    </xf>
    <xf numFmtId="0" fontId="11" fillId="4" borderId="4" applyAlignment="1" pivotButton="0" quotePrefix="0" xfId="0">
      <alignment vertical="center"/>
    </xf>
    <xf numFmtId="0" fontId="8" fillId="2" borderId="0" pivotButton="0" quotePrefix="0" xfId="0"/>
    <xf numFmtId="0" fontId="2" fillId="4" borderId="4" applyAlignment="1" pivotButton="0" quotePrefix="0" xfId="0">
      <alignment vertical="center"/>
    </xf>
    <xf numFmtId="0" fontId="6" fillId="0" borderId="8" applyAlignment="1" pivotButton="0" quotePrefix="0" xfId="0">
      <alignment vertical="center"/>
    </xf>
    <xf numFmtId="164" fontId="2" fillId="0" borderId="9" applyAlignment="1" pivotButton="0" quotePrefix="0" xfId="0">
      <alignment horizontal="center" vertical="center"/>
    </xf>
    <xf numFmtId="164" fontId="2" fillId="0" borderId="10" applyAlignment="1" pivotButton="0" quotePrefix="0" xfId="0">
      <alignment horizontal="center" vertical="center"/>
    </xf>
    <xf numFmtId="0" fontId="6" fillId="0" borderId="0" applyAlignment="1" pivotButton="0" quotePrefix="0" xfId="0">
      <alignment vertical="center"/>
    </xf>
    <xf numFmtId="0" fontId="5" fillId="0" borderId="0" applyAlignment="1" pivotButton="0" quotePrefix="0" xfId="0">
      <alignment vertical="center"/>
    </xf>
    <xf numFmtId="0" fontId="5" fillId="0" borderId="0" applyAlignment="1" pivotButton="0" quotePrefix="0" xfId="0">
      <alignment horizontal="left" vertical="center"/>
    </xf>
    <xf numFmtId="0" fontId="12" fillId="0" borderId="0" applyAlignment="1" pivotButton="0" quotePrefix="0" xfId="0">
      <alignment horizontal="left" vertical="center" wrapText="1"/>
    </xf>
    <xf numFmtId="0" fontId="2" fillId="0" borderId="0" applyAlignment="1" pivotButton="0" quotePrefix="0" xfId="4">
      <alignment vertical="center"/>
    </xf>
    <xf numFmtId="164" fontId="6" fillId="0" borderId="0" applyAlignment="1" pivotButton="0" quotePrefix="0" xfId="4">
      <alignment vertical="center"/>
    </xf>
    <xf numFmtId="164" fontId="2" fillId="2" borderId="0" applyAlignment="1" pivotButton="0" quotePrefix="0" xfId="4">
      <alignment vertical="center"/>
    </xf>
    <xf numFmtId="164" fontId="2" fillId="0" borderId="0" applyAlignment="1" pivotButton="0" quotePrefix="0" xfId="4">
      <alignment vertical="center" wrapText="1"/>
    </xf>
    <xf numFmtId="164" fontId="6" fillId="0" borderId="0" applyAlignment="1" pivotButton="0" quotePrefix="0" xfId="0">
      <alignment vertical="center"/>
    </xf>
    <xf numFmtId="164" fontId="1" fillId="0" borderId="0" applyAlignment="1" pivotButton="0" quotePrefix="0" xfId="4">
      <alignment vertical="center"/>
    </xf>
    <xf numFmtId="164" fontId="2" fillId="0" borderId="0" applyAlignment="1" pivotButton="0" quotePrefix="0" xfId="4">
      <alignment vertical="center"/>
    </xf>
    <xf numFmtId="164" fontId="2" fillId="0" borderId="0" applyAlignment="1" pivotButton="0" quotePrefix="0" xfId="4">
      <alignment horizontal="center" vertical="center"/>
    </xf>
    <xf numFmtId="0" fontId="9" fillId="0" borderId="0" applyAlignment="1" pivotButton="0" quotePrefix="0" xfId="0">
      <alignment horizontal="center" vertical="center"/>
    </xf>
    <xf numFmtId="0" fontId="4" fillId="0" borderId="0" applyAlignment="1" pivotButton="0" quotePrefix="0" xfId="0">
      <alignment horizontal="center" vertical="center"/>
    </xf>
    <xf numFmtId="0" fontId="2" fillId="0" borderId="0" applyAlignment="1" pivotButton="0" quotePrefix="0" xfId="4">
      <alignment horizontal="center" vertical="center"/>
    </xf>
    <xf numFmtId="0" fontId="2" fillId="0" borderId="15" applyAlignment="1" pivotButton="0" quotePrefix="0" xfId="4">
      <alignment horizontal="center" vertical="center"/>
    </xf>
    <xf numFmtId="0" fontId="2" fillId="0" borderId="0" applyAlignment="1" pivotButton="0" quotePrefix="0" xfId="4">
      <alignment horizontal="right" vertical="center"/>
    </xf>
    <xf numFmtId="0" fontId="6" fillId="0" borderId="6"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4">
      <alignment horizontal="center" vertical="center"/>
    </xf>
    <xf numFmtId="4" fontId="6" fillId="0" borderId="4" applyAlignment="1" pivotButton="0" quotePrefix="0" xfId="0">
      <alignment vertical="center"/>
    </xf>
    <xf numFmtId="164" fontId="6" fillId="0" borderId="5" applyAlignment="1" pivotButton="0" quotePrefix="0" xfId="4">
      <alignment vertical="center"/>
    </xf>
    <xf numFmtId="164" fontId="2" fillId="0" borderId="12" applyAlignment="1" pivotButton="0" quotePrefix="0" xfId="0">
      <alignment horizontal="center" vertical="center"/>
    </xf>
    <xf numFmtId="4" fontId="2" fillId="0" borderId="4" applyAlignment="1" pivotButton="0" quotePrefix="0" xfId="0">
      <alignment vertical="center"/>
    </xf>
    <xf numFmtId="49" fontId="2" fillId="0" borderId="11" applyAlignment="1" pivotButton="0" quotePrefix="0" xfId="0">
      <alignment horizontal="center" vertical="center"/>
    </xf>
    <xf numFmtId="4" fontId="2" fillId="0" borderId="4" applyAlignment="1" pivotButton="0" quotePrefix="0" xfId="0">
      <alignment vertical="center" wrapText="1"/>
    </xf>
    <xf numFmtId="4" fontId="6" fillId="0" borderId="4" applyAlignment="1" pivotButton="0" quotePrefix="0" xfId="0">
      <alignment vertical="center" wrapText="1"/>
    </xf>
    <xf numFmtId="164" fontId="2" fillId="0" borderId="0" applyAlignment="1" pivotButton="0" quotePrefix="0" xfId="4">
      <alignment horizontal="left" vertical="center"/>
    </xf>
    <xf numFmtId="164" fontId="2" fillId="2" borderId="12" applyAlignment="1" pivotButton="0" quotePrefix="0" xfId="0">
      <alignment horizontal="center" vertical="center"/>
    </xf>
    <xf numFmtId="49" fontId="2" fillId="0" borderId="11" applyAlignment="1" pivotButton="0" quotePrefix="0" xfId="0">
      <alignment horizontal="center" vertical="center" wrapText="1"/>
    </xf>
    <xf numFmtId="164" fontId="2" fillId="0" borderId="12" applyAlignment="1" pivotButton="0" quotePrefix="0" xfId="0">
      <alignment horizontal="center" vertical="center" wrapText="1"/>
    </xf>
    <xf numFmtId="164" fontId="2" fillId="0" borderId="11" applyAlignment="1" pivotButton="0" quotePrefix="0" xfId="4">
      <alignment horizontal="left" vertical="center"/>
    </xf>
    <xf numFmtId="164" fontId="6" fillId="0" borderId="0" applyAlignment="1" pivotButton="0" quotePrefix="0" xfId="4">
      <alignment horizontal="left" vertical="center"/>
    </xf>
    <xf numFmtId="164" fontId="2" fillId="0" borderId="11" applyAlignment="1" pivotButton="0" quotePrefix="0" xfId="0">
      <alignment horizontal="center" vertical="center"/>
    </xf>
    <xf numFmtId="4" fontId="2" fillId="0" borderId="4" applyAlignment="1" pivotButton="0" quotePrefix="0" xfId="0">
      <alignment horizontal="left" vertical="center" indent="4"/>
    </xf>
    <xf numFmtId="4" fontId="2" fillId="0" borderId="4" applyAlignment="1" pivotButton="0" quotePrefix="0" xfId="0">
      <alignment horizontal="left" vertical="center" wrapText="1" indent="4"/>
    </xf>
    <xf numFmtId="4" fontId="13" fillId="0" borderId="4" applyAlignment="1" pivotButton="0" quotePrefix="0" xfId="0">
      <alignment horizontal="left" vertical="center" wrapText="1" indent="4"/>
    </xf>
    <xf numFmtId="164" fontId="6" fillId="0" borderId="0" applyAlignment="1" pivotButton="0" quotePrefix="0" xfId="0">
      <alignment vertical="center"/>
    </xf>
    <xf numFmtId="164" fontId="6" fillId="0" borderId="11" applyAlignment="1" pivotButton="0" quotePrefix="0" xfId="0">
      <alignment vertical="center"/>
    </xf>
    <xf numFmtId="164" fontId="6" fillId="0" borderId="11" applyAlignment="1" pivotButton="0" quotePrefix="0" xfId="0">
      <alignment horizontal="left" vertical="center"/>
    </xf>
    <xf numFmtId="4" fontId="2" fillId="0" borderId="8" applyAlignment="1" pivotButton="0" quotePrefix="0" xfId="0">
      <alignment vertical="center"/>
    </xf>
    <xf numFmtId="164" fontId="2" fillId="0" borderId="9" applyAlignment="1" pivotButton="0" quotePrefix="0" xfId="4">
      <alignment horizontal="left" vertical="center"/>
    </xf>
    <xf numFmtId="164" fontId="2" fillId="0" borderId="10" applyAlignment="1" pivotButton="0" quotePrefix="0" xfId="0">
      <alignment horizontal="center" vertical="center"/>
    </xf>
    <xf numFmtId="164" fontId="5" fillId="0" borderId="0" applyAlignment="1" pivotButton="0" quotePrefix="0" xfId="0">
      <alignment vertical="center"/>
    </xf>
    <xf numFmtId="164" fontId="5" fillId="0" borderId="0" applyAlignment="1" pivotButton="0" quotePrefix="0" xfId="0">
      <alignment horizontal="left" vertical="center"/>
    </xf>
    <xf numFmtId="164" fontId="14" fillId="0" borderId="0" applyAlignment="1" pivotButton="0" quotePrefix="0" xfId="4">
      <alignment horizontal="left" vertical="center" wrapText="1"/>
    </xf>
    <xf numFmtId="164" fontId="15" fillId="0" borderId="0" applyAlignment="1" pivotButton="0" quotePrefix="0" xfId="0">
      <alignment vertical="center"/>
    </xf>
    <xf numFmtId="164" fontId="6" fillId="0" borderId="0" applyAlignment="1" pivotButton="0" quotePrefix="0" xfId="0">
      <alignment vertical="center"/>
    </xf>
    <xf numFmtId="164" fontId="16" fillId="0" borderId="0" applyAlignment="1" pivotButton="0" quotePrefix="0" xfId="0">
      <alignment vertical="center"/>
    </xf>
    <xf numFmtId="0" fontId="6" fillId="0" borderId="0" applyAlignment="1" pivotButton="0" quotePrefix="0" xfId="0">
      <alignment vertical="center"/>
    </xf>
    <xf numFmtId="164" fontId="2" fillId="0" borderId="0" applyAlignment="1" pivotButton="0" quotePrefix="0" xfId="0">
      <alignment vertical="center"/>
    </xf>
    <xf numFmtId="164" fontId="2" fillId="0" borderId="0" applyAlignment="1" pivotButton="0" quotePrefix="0" xfId="0">
      <alignment horizontal="center" vertical="center"/>
    </xf>
    <xf numFmtId="31" fontId="2" fillId="0" borderId="0" applyAlignment="1" pivotButton="0" quotePrefix="0" xfId="0">
      <alignment horizontal="center" vertical="center"/>
    </xf>
    <xf numFmtId="49" fontId="2" fillId="0" borderId="15" applyAlignment="1" pivotButton="0" quotePrefix="0" xfId="0">
      <alignment horizontal="centerContinuous" vertical="center"/>
    </xf>
    <xf numFmtId="31" fontId="6" fillId="0" borderId="6" applyAlignment="1" pivotButton="0" quotePrefix="0" xfId="0">
      <alignment horizontal="center" vertical="center"/>
    </xf>
    <xf numFmtId="31" fontId="6" fillId="0" borderId="14" applyAlignment="1" pivotButton="0" quotePrefix="0" xfId="0">
      <alignment horizontal="center" vertical="center"/>
    </xf>
    <xf numFmtId="49" fontId="5" fillId="0" borderId="2" applyAlignment="1" pivotButton="0" quotePrefix="0" xfId="0">
      <alignment horizontal="center" vertical="center"/>
    </xf>
    <xf numFmtId="165" fontId="2" fillId="0" borderId="4" applyAlignment="1" pivotButton="0" quotePrefix="0" xfId="0">
      <alignment vertical="center"/>
    </xf>
    <xf numFmtId="165" fontId="2" fillId="0" borderId="11" applyAlignment="1" pivotButton="0" quotePrefix="0" xfId="0">
      <alignment vertical="center"/>
    </xf>
    <xf numFmtId="165" fontId="2" fillId="0" borderId="4" applyAlignment="1" pivotButton="0" quotePrefix="0" xfId="0">
      <alignment vertical="center" wrapText="1"/>
    </xf>
    <xf numFmtId="165" fontId="1" fillId="0" borderId="4" applyAlignment="1" pivotButton="0" quotePrefix="0" xfId="0">
      <alignment vertical="center" wrapText="1"/>
    </xf>
    <xf numFmtId="0" fontId="1" fillId="0" borderId="0" applyAlignment="1" pivotButton="0" quotePrefix="0" xfId="0">
      <alignment vertical="center"/>
    </xf>
    <xf numFmtId="4" fontId="1" fillId="0" borderId="4" applyAlignment="1" pivotButton="0" quotePrefix="0" xfId="0">
      <alignment vertical="center" wrapText="1"/>
    </xf>
    <xf numFmtId="165" fontId="1" fillId="0" borderId="4" applyAlignment="1" pivotButton="0" quotePrefix="0" xfId="0">
      <alignment vertical="center"/>
    </xf>
    <xf numFmtId="165" fontId="6" fillId="0" borderId="4" applyAlignment="1" pivotButton="0" quotePrefix="0" xfId="0">
      <alignment vertical="center"/>
    </xf>
    <xf numFmtId="165" fontId="10" fillId="0" borderId="4" applyAlignment="1" pivotButton="0" quotePrefix="0" xfId="0">
      <alignment vertical="center"/>
    </xf>
    <xf numFmtId="164" fontId="6" fillId="0" borderId="0" applyAlignment="1" pivotButton="0" quotePrefix="0" xfId="0">
      <alignment vertical="center"/>
    </xf>
    <xf numFmtId="165" fontId="6" fillId="0" borderId="8" applyAlignment="1" pivotButton="0" quotePrefix="0" xfId="0">
      <alignment horizontal="center" vertical="center"/>
    </xf>
    <xf numFmtId="165" fontId="2" fillId="0" borderId="9" applyAlignment="1" pivotButton="0" quotePrefix="0" xfId="0">
      <alignment vertical="center"/>
    </xf>
    <xf numFmtId="165" fontId="6" fillId="0" borderId="0" applyAlignment="1" pivotButton="0" quotePrefix="0" xfId="0">
      <alignment horizontal="center" vertical="center"/>
    </xf>
    <xf numFmtId="165" fontId="2" fillId="0" borderId="0" applyAlignment="1" pivotButton="0" quotePrefix="0" xfId="0">
      <alignment vertical="center"/>
    </xf>
    <xf numFmtId="166" fontId="2" fillId="0" borderId="0" applyAlignment="1" pivotButton="0" quotePrefix="0" xfId="0">
      <alignment vertical="center"/>
    </xf>
    <xf numFmtId="0" fontId="6" fillId="0" borderId="0" applyAlignment="1" pivotButton="0" quotePrefix="0" xfId="0">
      <alignment horizontal="left" vertical="center"/>
    </xf>
    <xf numFmtId="0" fontId="2" fillId="0" borderId="0" applyAlignment="1" pivotButton="0" quotePrefix="0" xfId="0">
      <alignment vertical="center"/>
    </xf>
    <xf numFmtId="164" fontId="1" fillId="0" borderId="0" applyAlignment="1" pivotButton="0" quotePrefix="0" xfId="0">
      <alignment vertical="center"/>
    </xf>
    <xf numFmtId="0" fontId="9" fillId="0" borderId="0" applyAlignment="1" pivotButton="0" quotePrefix="0" xfId="0">
      <alignment horizontal="center" vertical="center"/>
    </xf>
    <xf numFmtId="0" fontId="4" fillId="0" borderId="0" applyAlignment="1" pivotButton="0" quotePrefix="0" xfId="0">
      <alignment horizontal="center" vertical="center"/>
    </xf>
    <xf numFmtId="0" fontId="1" fillId="0" borderId="0" applyAlignment="1" pivotButton="0" quotePrefix="0" xfId="0">
      <alignment vertical="center"/>
    </xf>
    <xf numFmtId="31" fontId="2" fillId="0" borderId="0" applyAlignment="1" pivotButton="0" quotePrefix="0" xfId="0">
      <alignment horizontal="center" vertical="center"/>
    </xf>
    <xf numFmtId="31" fontId="2" fillId="0" borderId="0" applyAlignment="1" pivotButton="0" quotePrefix="0" xfId="0">
      <alignment horizontal="center" vertical="center"/>
    </xf>
    <xf numFmtId="0" fontId="2" fillId="0" borderId="15" applyAlignment="1" pivotButton="0" quotePrefix="0" xfId="0">
      <alignment horizontal="center" vertical="center"/>
    </xf>
    <xf numFmtId="0" fontId="10" fillId="0" borderId="15" applyAlignment="1" pivotButton="0" quotePrefix="0" xfId="0">
      <alignment horizontal="right" vertical="center" wrapText="1"/>
    </xf>
    <xf numFmtId="0" fontId="6" fillId="0" borderId="6" applyAlignment="1" pivotButton="0" quotePrefix="0" xfId="0">
      <alignment horizontal="center" vertical="center"/>
    </xf>
    <xf numFmtId="0" fontId="6" fillId="5" borderId="5" applyAlignment="1" pivotButton="0" quotePrefix="0" xfId="0">
      <alignment horizontal="center" vertical="center"/>
    </xf>
    <xf numFmtId="49" fontId="5" fillId="0" borderId="2" applyAlignment="1" pivotButton="0" quotePrefix="0" xfId="0">
      <alignment horizontal="center" vertical="center"/>
    </xf>
    <xf numFmtId="0" fontId="2" fillId="0" borderId="4" applyAlignment="1" pivotButton="0" quotePrefix="0" xfId="0">
      <alignment vertical="center"/>
    </xf>
    <xf numFmtId="165" fontId="2" fillId="0" borderId="5" applyAlignment="1" pivotButton="0" quotePrefix="0" xfId="0">
      <alignment vertical="center"/>
    </xf>
    <xf numFmtId="0" fontId="2" fillId="0" borderId="4" applyAlignment="1" pivotButton="0" quotePrefix="0" xfId="0">
      <alignment vertical="center"/>
    </xf>
    <xf numFmtId="0" fontId="2" fillId="0" borderId="4" applyAlignment="1" pivotButton="0" quotePrefix="0" xfId="0">
      <alignment vertical="center" wrapText="1"/>
    </xf>
    <xf numFmtId="0" fontId="6" fillId="0" borderId="4" applyAlignment="1" pivotButton="0" quotePrefix="0" xfId="0">
      <alignment vertical="center"/>
    </xf>
    <xf numFmtId="0" fontId="1" fillId="0" borderId="4" applyAlignment="1" pivotButton="0" quotePrefix="0" xfId="0">
      <alignment vertical="center"/>
    </xf>
    <xf numFmtId="0" fontId="6" fillId="0" borderId="8" applyAlignment="1" pivotButton="0" quotePrefix="0" xfId="0">
      <alignment horizontal="left" vertical="center"/>
    </xf>
    <xf numFmtId="167" fontId="2" fillId="0" borderId="0" applyAlignment="1" pivotButton="0" quotePrefix="0" xfId="0">
      <alignment vertical="center"/>
    </xf>
    <xf numFmtId="164" fontId="2" fillId="0" borderId="0" applyAlignment="1" pivotButton="0" quotePrefix="0" xfId="0">
      <alignment horizontal="center" vertical="center"/>
    </xf>
    <xf numFmtId="164" fontId="2" fillId="0" borderId="0" applyAlignment="1" pivotButton="0" quotePrefix="0" xfId="0">
      <alignment vertical="center"/>
    </xf>
    <xf numFmtId="164" fontId="1" fillId="0" borderId="0" applyAlignment="1" pivotButton="0" quotePrefix="0" xfId="0">
      <alignment vertical="center"/>
    </xf>
    <xf numFmtId="165" fontId="2" fillId="0" borderId="5" applyAlignment="1" pivotButton="0" quotePrefix="0" xfId="0">
      <alignment vertical="center"/>
    </xf>
    <xf numFmtId="164" fontId="2" fillId="0" borderId="12" applyAlignment="1" pivotButton="0" quotePrefix="0" xfId="0">
      <alignment horizontal="center" vertical="center"/>
    </xf>
    <xf numFmtId="165" fontId="2" fillId="0" borderId="11" applyAlignment="1" pivotButton="0" quotePrefix="0" xfId="0">
      <alignment vertical="center"/>
    </xf>
    <xf numFmtId="164" fontId="6" fillId="0" borderId="0" applyAlignment="1" pivotButton="0" quotePrefix="0" xfId="0">
      <alignment vertical="center"/>
    </xf>
    <xf numFmtId="165" fontId="2" fillId="0" borderId="9" applyAlignment="1" pivotButton="0" quotePrefix="0" xfId="0">
      <alignment vertical="center"/>
    </xf>
    <xf numFmtId="164" fontId="2" fillId="0" borderId="9" applyAlignment="1" pivotButton="0" quotePrefix="0" xfId="0">
      <alignment horizontal="center" vertical="center"/>
    </xf>
    <xf numFmtId="164" fontId="2" fillId="0" borderId="10" applyAlignment="1" pivotButton="0" quotePrefix="0" xfId="0">
      <alignment horizontal="center" vertical="center"/>
    </xf>
    <xf numFmtId="166" fontId="2" fillId="0" borderId="0" applyAlignment="1" pivotButton="0" quotePrefix="0" xfId="0">
      <alignment vertical="center"/>
    </xf>
    <xf numFmtId="167" fontId="2" fillId="0" borderId="0" applyAlignment="1" pivotButton="0" quotePrefix="0" xfId="0">
      <alignment vertical="center"/>
    </xf>
    <xf numFmtId="0" fontId="0" fillId="0" borderId="15" pivotButton="0" quotePrefix="0" xfId="0"/>
    <xf numFmtId="165" fontId="2" fillId="0" borderId="4" applyAlignment="1" pivotButton="0" quotePrefix="0" xfId="0">
      <alignment vertical="center"/>
    </xf>
    <xf numFmtId="165" fontId="2" fillId="0" borderId="4" applyAlignment="1" pivotButton="0" quotePrefix="0" xfId="0">
      <alignment vertical="center" wrapText="1"/>
    </xf>
    <xf numFmtId="165" fontId="1" fillId="0" borderId="4" applyAlignment="1" pivotButton="0" quotePrefix="0" xfId="0">
      <alignment vertical="center" wrapText="1"/>
    </xf>
    <xf numFmtId="164" fontId="15" fillId="0" borderId="0" applyAlignment="1" pivotButton="0" quotePrefix="0" xfId="0">
      <alignment vertical="center"/>
    </xf>
    <xf numFmtId="165" fontId="1" fillId="0" borderId="4" applyAlignment="1" pivotButton="0" quotePrefix="0" xfId="0">
      <alignment vertical="center"/>
    </xf>
    <xf numFmtId="165" fontId="6" fillId="0" borderId="4" applyAlignment="1" pivotButton="0" quotePrefix="0" xfId="0">
      <alignment vertical="center"/>
    </xf>
    <xf numFmtId="165" fontId="10" fillId="0" borderId="4" applyAlignment="1" pivotButton="0" quotePrefix="0" xfId="0">
      <alignment vertical="center"/>
    </xf>
    <xf numFmtId="164" fontId="16" fillId="0" borderId="0" applyAlignment="1" pivotButton="0" quotePrefix="0" xfId="0">
      <alignment vertical="center"/>
    </xf>
    <xf numFmtId="165" fontId="6" fillId="0" borderId="8" applyAlignment="1" pivotButton="0" quotePrefix="0" xfId="0">
      <alignment horizontal="center" vertical="center"/>
    </xf>
    <xf numFmtId="165" fontId="6" fillId="0" borderId="0" applyAlignment="1" pivotButton="0" quotePrefix="0" xfId="0">
      <alignment horizontal="center" vertical="center"/>
    </xf>
    <xf numFmtId="165" fontId="2" fillId="0" borderId="0" applyAlignment="1" pivotButton="0" quotePrefix="0" xfId="0">
      <alignment vertical="center"/>
    </xf>
    <xf numFmtId="164" fontId="2" fillId="0" borderId="0" applyAlignment="1" pivotButton="0" quotePrefix="0" xfId="4">
      <alignment vertical="center"/>
    </xf>
    <xf numFmtId="164" fontId="2" fillId="0" borderId="0" applyAlignment="1" pivotButton="0" quotePrefix="0" xfId="4">
      <alignment horizontal="center" vertical="center"/>
    </xf>
    <xf numFmtId="164" fontId="6" fillId="0" borderId="0" applyAlignment="1" pivotButton="0" quotePrefix="0" xfId="4">
      <alignment vertical="center"/>
    </xf>
    <xf numFmtId="164" fontId="6" fillId="0" borderId="5" applyAlignment="1" pivotButton="0" quotePrefix="0" xfId="4">
      <alignment vertical="center"/>
    </xf>
    <xf numFmtId="164" fontId="2" fillId="2" borderId="0" applyAlignment="1" pivotButton="0" quotePrefix="0" xfId="4">
      <alignment vertical="center"/>
    </xf>
    <xf numFmtId="164" fontId="2" fillId="0" borderId="0" applyAlignment="1" pivotButton="0" quotePrefix="0" xfId="4">
      <alignment horizontal="left" vertical="center"/>
    </xf>
    <xf numFmtId="164" fontId="2" fillId="2" borderId="12" applyAlignment="1" pivotButton="0" quotePrefix="0" xfId="0">
      <alignment horizontal="center" vertical="center"/>
    </xf>
    <xf numFmtId="164" fontId="2" fillId="0" borderId="0" applyAlignment="1" pivotButton="0" quotePrefix="0" xfId="4">
      <alignment vertical="center" wrapText="1"/>
    </xf>
    <xf numFmtId="164" fontId="2" fillId="0" borderId="12" applyAlignment="1" pivotButton="0" quotePrefix="0" xfId="0">
      <alignment horizontal="center" vertical="center" wrapText="1"/>
    </xf>
    <xf numFmtId="164" fontId="2" fillId="0" borderId="11" applyAlignment="1" pivotButton="0" quotePrefix="0" xfId="4">
      <alignment horizontal="left" vertical="center"/>
    </xf>
    <xf numFmtId="164" fontId="6" fillId="0" borderId="0" applyAlignment="1" pivotButton="0" quotePrefix="0" xfId="4">
      <alignment horizontal="left" vertical="center"/>
    </xf>
    <xf numFmtId="164" fontId="2" fillId="0" borderId="11" applyAlignment="1" pivotButton="0" quotePrefix="0" xfId="0">
      <alignment horizontal="center" vertical="center"/>
    </xf>
    <xf numFmtId="164" fontId="6" fillId="0" borderId="11" applyAlignment="1" pivotButton="0" quotePrefix="0" xfId="0">
      <alignment vertical="center"/>
    </xf>
    <xf numFmtId="164" fontId="6" fillId="0" borderId="11" applyAlignment="1" pivotButton="0" quotePrefix="0" xfId="0">
      <alignment horizontal="left" vertical="center"/>
    </xf>
    <xf numFmtId="164" fontId="2" fillId="0" borderId="9" applyAlignment="1" pivotButton="0" quotePrefix="0" xfId="4">
      <alignment horizontal="left" vertical="center"/>
    </xf>
    <xf numFmtId="164" fontId="1" fillId="0" borderId="0" applyAlignment="1" pivotButton="0" quotePrefix="0" xfId="4">
      <alignment vertical="center"/>
    </xf>
    <xf numFmtId="164" fontId="5" fillId="0" borderId="0" applyAlignment="1" pivotButton="0" quotePrefix="0" xfId="0">
      <alignment vertical="center"/>
    </xf>
    <xf numFmtId="164" fontId="5" fillId="0" borderId="0" applyAlignment="1" pivotButton="0" quotePrefix="0" xfId="0">
      <alignment horizontal="left" vertical="center"/>
    </xf>
    <xf numFmtId="164" fontId="14" fillId="0" borderId="0" applyAlignment="1" pivotButton="0" quotePrefix="0" xfId="4">
      <alignment horizontal="left" vertical="center" wrapText="1"/>
    </xf>
    <xf numFmtId="164" fontId="2" fillId="0" borderId="11" applyAlignment="1" pivotButton="0" quotePrefix="0" xfId="0">
      <alignment vertical="center"/>
    </xf>
    <xf numFmtId="164" fontId="6" fillId="0" borderId="11" applyAlignment="1" pivotButton="0" quotePrefix="0" xfId="0">
      <alignment horizontal="center" vertical="center"/>
    </xf>
    <xf numFmtId="164" fontId="6" fillId="0" borderId="12" applyAlignment="1" pivotButton="0" quotePrefix="0" xfId="0">
      <alignment horizontal="center" vertical="center"/>
    </xf>
    <xf numFmtId="0" fontId="5" fillId="0" borderId="6" applyAlignment="1" pivotButton="0" quotePrefix="0" xfId="50">
      <alignment horizontal="center" vertical="center"/>
    </xf>
    <xf numFmtId="0" fontId="0" fillId="0" borderId="3" pivotButton="0" quotePrefix="0" xfId="0"/>
    <xf numFmtId="0" fontId="0" fillId="0" borderId="4" pivotButton="0" quotePrefix="0" xfId="0"/>
    <xf numFmtId="0" fontId="6" fillId="0" borderId="14" applyAlignment="1" pivotButton="0" quotePrefix="0" xfId="50">
      <alignment horizontal="center" vertical="center" wrapText="1"/>
    </xf>
    <xf numFmtId="0" fontId="5" fillId="0" borderId="14" applyAlignment="1" pivotButton="0" quotePrefix="0" xfId="50">
      <alignment horizontal="center" vertical="center" wrapText="1"/>
    </xf>
    <xf numFmtId="0" fontId="0" fillId="0" borderId="6" pivotButton="0" quotePrefix="0" xfId="0"/>
    <xf numFmtId="0" fontId="6" fillId="0" borderId="6" applyAlignment="1" pivotButton="0" quotePrefix="0" xfId="50">
      <alignment horizontal="center" vertical="center" wrapText="1"/>
    </xf>
    <xf numFmtId="0" fontId="6" fillId="0" borderId="2" applyAlignment="1" pivotButton="0" quotePrefix="0" xfId="50">
      <alignment horizontal="center" vertical="center" wrapText="1"/>
    </xf>
    <xf numFmtId="0" fontId="0" fillId="0" borderId="8" pivotButton="0" quotePrefix="0" xfId="0"/>
    <xf numFmtId="0" fontId="0" fillId="0" borderId="9" pivotButton="0" quotePrefix="0" xfId="0"/>
    <xf numFmtId="0" fontId="0" fillId="0" borderId="10" pivotButton="0" quotePrefix="0" xfId="0"/>
    <xf numFmtId="164" fontId="2" fillId="0" borderId="11" applyAlignment="1" pivotButton="0" quotePrefix="0" xfId="50">
      <alignment vertical="center"/>
    </xf>
    <xf numFmtId="164" fontId="2" fillId="0" borderId="4" applyAlignment="1" pivotButton="0" quotePrefix="0" xfId="50">
      <alignment vertical="center"/>
    </xf>
    <xf numFmtId="164" fontId="2" fillId="0" borderId="5" applyAlignment="1" pivotButton="0" quotePrefix="0" xfId="50">
      <alignment vertical="center"/>
    </xf>
    <xf numFmtId="164" fontId="2" fillId="0" borderId="7" applyAlignment="1" pivotButton="0" quotePrefix="0" xfId="50">
      <alignment vertical="center"/>
    </xf>
    <xf numFmtId="164" fontId="2" fillId="0" borderId="12" applyAlignment="1" pivotButton="0" quotePrefix="0" xfId="50">
      <alignment vertical="center"/>
    </xf>
    <xf numFmtId="164" fontId="2" fillId="0" borderId="11" applyAlignment="1" pivotButton="0" quotePrefix="0" xfId="50">
      <alignment horizontal="center" vertical="center"/>
    </xf>
    <xf numFmtId="164" fontId="2" fillId="0" borderId="4" applyAlignment="1" pivotButton="0" quotePrefix="0" xfId="50">
      <alignment horizontal="center" vertical="center"/>
    </xf>
    <xf numFmtId="164" fontId="2" fillId="0" borderId="12" applyAlignment="1" pivotButton="0" quotePrefix="0" xfId="50">
      <alignment horizontal="center" vertical="center"/>
    </xf>
    <xf numFmtId="164" fontId="2" fillId="0" borderId="0" applyAlignment="1" pivotButton="0" quotePrefix="0" xfId="50">
      <alignment vertical="center"/>
    </xf>
    <xf numFmtId="164" fontId="2" fillId="0" borderId="9" applyAlignment="1" pivotButton="0" quotePrefix="0" xfId="50">
      <alignment vertical="center"/>
    </xf>
    <xf numFmtId="164" fontId="2" fillId="0" borderId="8" applyAlignment="1" pivotButton="0" quotePrefix="0" xfId="50">
      <alignment vertical="center"/>
    </xf>
    <xf numFmtId="164" fontId="2" fillId="0" borderId="10" applyAlignment="1" pivotButton="0" quotePrefix="0" xfId="50">
      <alignment vertical="center"/>
    </xf>
    <xf numFmtId="165" fontId="5" fillId="0" borderId="0" applyAlignment="1" pivotButton="0" quotePrefix="0" xfId="50">
      <alignment vertical="center"/>
    </xf>
    <xf numFmtId="165" fontId="6" fillId="0" borderId="0" applyAlignment="1" pivotButton="0" quotePrefix="0" xfId="50">
      <alignment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_附件1：决算表式（后会签稿）--1008" xfId="49"/>
    <cellStyle name="常规_新会计准则财务报表" xfId="50"/>
    <cellStyle name="普通_损益表" xfId="51"/>
    <cellStyle name="千位分隔 2" xfId="52"/>
    <cellStyle name="千位分隔[0] 2" xfId="53"/>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Chu Yantao 储燕涛</author>
  </authors>
  <commentList>
    <comment ref="A13" authorId="0" shapeId="0">
      <text>
        <t>Chu Yantao 储燕涛:
其他应收款+应收利息+应收股利</t>
      </text>
    </comment>
    <comment ref="A32" authorId="0" shapeId="0">
      <text>
        <t>Chu Yantao 储燕涛:
固定资产+固定资产清理</t>
      </text>
    </comment>
    <comment ref="A33" authorId="0" shapeId="0">
      <text>
        <t>Chu Yantao 储燕涛:
在建工程+工程物资</t>
      </text>
    </comment>
  </commentList>
</comments>
</file>

<file path=xl/comments/comment2.xml><?xml version="1.0" encoding="utf-8"?>
<comments xmlns="http://schemas.openxmlformats.org/spreadsheetml/2006/main">
  <authors>
    <author>Chu Yantao 储燕涛</author>
    <author>nielin</author>
  </authors>
  <commentList>
    <comment ref="A15" authorId="0" shapeId="0">
      <text>
        <t>Chu Yantao 储燕涛:
其他应付款+应付利息+应付股利</t>
      </text>
    </comment>
    <comment ref="A25" authorId="1" shapeId="0">
      <text>
        <t>nielin:
金融负债与权益工具区分 六、（四）1</t>
      </text>
    </comment>
    <comment ref="A28" authorId="0" shapeId="0">
      <text>
        <t>Chu Yantao 储燕涛:
长期应付款+专项应付款</t>
      </text>
    </comment>
    <comment ref="A39" authorId="1" shapeId="0">
      <text>
        <t xml:space="preserve">nielin:
金融负债与权益工具区分 六、（四）1
</t>
      </text>
    </comment>
  </commentList>
</comments>
</file>

<file path=xl/comments/comment3.xml><?xml version="1.0" encoding="utf-8"?>
<comments xmlns="http://schemas.openxmlformats.org/spreadsheetml/2006/main">
  <authors>
    <author>Shen Xiaoying 申晓颖</author>
    <author>yantao.chu</author>
    <author>xiaoying.shen</author>
    <author>nielin</author>
  </authors>
  <commentList>
    <comment ref="A13" authorId="0" shapeId="0">
      <text>
        <t>Shen Xiaoying 申晓颖:
以正数填列</t>
      </text>
    </comment>
    <comment ref="C29" authorId="1" shapeId="0">
      <text>
        <t>yantao.chu:
此行不填数</t>
      </text>
    </comment>
    <comment ref="C32" authorId="1" shapeId="0">
      <text>
        <t>yantao.chu:
此行不填数</t>
      </text>
    </comment>
    <comment ref="A36" authorId="2" shapeId="0">
      <text>
        <t>xiaoying.shen:
指南33P108
区分其他综合收益按归属母公司所有者的OCI税后金额和归属少数股东的OCI税后金额，单独列示。</t>
      </text>
    </comment>
    <comment ref="A37" authorId="3" shapeId="0">
      <text>
        <t>nielin:
CAS30.33
指南30P52</t>
      </text>
    </comment>
  </commentList>
</comments>
</file>

<file path=xl/comments/comment4.xml><?xml version="1.0" encoding="utf-8"?>
<comments xmlns="http://schemas.openxmlformats.org/spreadsheetml/2006/main">
  <authors>
    <author>1</author>
  </authors>
  <commentList>
    <comment ref="A33" authorId="0" shapeId="0">
      <text>
        <t>1:
不适用的，删除</t>
      </text>
    </comment>
  </commentList>
</comments>
</file>

<file path=xl/comments/comment5.xml><?xml version="1.0" encoding="utf-8"?>
<comments xmlns="http://schemas.openxmlformats.org/spreadsheetml/2006/main">
  <authors>
    <author>nielin</author>
  </authors>
  <commentList>
    <comment ref="C5" authorId="0" shapeId="0">
      <text>
        <t>nielin:
金融负债与权益工具区分 六、（四）1</t>
      </text>
    </comment>
    <comment ref="H5" authorId="0" shapeId="0">
      <text>
        <t>nielin:
指南30P57</t>
      </text>
    </comment>
    <comment ref="N5" authorId="0" shapeId="0">
      <text>
        <t>nielin:
金融负债与权益工具区分 六、（四）1</t>
      </text>
    </comment>
    <comment ref="S5" authorId="0" shapeId="0">
      <text>
        <t>nielin:
程华列报slide18</t>
      </text>
    </comment>
    <comment ref="A16" authorId="0" shapeId="0">
      <text>
        <t>nielin:
金融负债与权益工具区分 六、（四）1</t>
      </text>
    </comment>
    <comment ref="A28" authorId="0" shapeId="0">
      <text>
        <t>nielin:
指南9P45</t>
      </text>
    </comment>
  </commentList>
</comments>
</file>

<file path=xl/theme/theme1.xml><?xml version="1.0" encoding="utf-8"?>
<a:theme xmlns:a="http://schemas.openxmlformats.org/drawingml/2006/main" name="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fitToPage="1"/>
  </sheetPr>
  <dimension ref="A1:S51"/>
  <sheetViews>
    <sheetView showGridLines="0" showZeros="0" view="pageBreakPreview" zoomScaleNormal="110" workbookViewId="0">
      <selection activeCell="B9" sqref="B9"/>
    </sheetView>
  </sheetViews>
  <sheetFormatPr baseColWidth="8" defaultColWidth="13.375" defaultRowHeight="20.25" customHeight="1"/>
  <cols>
    <col width="35.6" customWidth="1" style="162" min="1" max="1"/>
    <col width="15.6" customWidth="1" style="182" min="2" max="2"/>
    <col width="25.2" customWidth="1" style="183" min="3" max="4"/>
    <col width="19.125" customWidth="1" style="184" min="5" max="5"/>
    <col width="13.375" customWidth="1" style="184" min="6" max="19"/>
    <col width="13.375" customWidth="1" style="183" min="20" max="16384"/>
  </cols>
  <sheetData>
    <row r="1" ht="32.1" customFormat="1" customHeight="1" s="162">
      <c r="A1" s="164" t="inlineStr">
        <is>
          <t>资产负债表</t>
        </is>
      </c>
      <c r="E1" s="166" t="n"/>
      <c r="F1" s="166" t="n"/>
      <c r="G1" s="166" t="n"/>
      <c r="H1" s="166" t="n"/>
      <c r="I1" s="166" t="n"/>
      <c r="J1" s="166" t="n"/>
      <c r="K1" s="166" t="n"/>
      <c r="L1" s="166" t="n"/>
      <c r="M1" s="166" t="n"/>
      <c r="N1" s="166" t="n"/>
      <c r="O1" s="166" t="n"/>
      <c r="P1" s="166" t="n"/>
      <c r="Q1" s="166" t="n"/>
      <c r="R1" s="166" t="n"/>
      <c r="S1" s="166" t="n"/>
    </row>
    <row r="2">
      <c r="A2" s="168" t="inlineStr">
        <is>
          <t>{{period_end_date}}</t>
        </is>
      </c>
    </row>
    <row r="3" ht="24" customFormat="1" customHeight="1" s="162">
      <c r="A3" s="162" t="inlineStr">
        <is>
          <t>编制单位：{{company_full_name}}</t>
        </is>
      </c>
      <c r="B3" s="69" t="n"/>
      <c r="C3" s="169" t="n"/>
      <c r="D3" s="170" t="inlineStr">
        <is>
          <t>单位：{{currency_unit}}</t>
        </is>
      </c>
      <c r="E3" s="166" t="n"/>
      <c r="F3" s="166" t="n"/>
      <c r="G3" s="166" t="n"/>
      <c r="H3" s="166" t="n"/>
      <c r="I3" s="166" t="n"/>
      <c r="J3" s="166" t="n"/>
      <c r="K3" s="166" t="n"/>
      <c r="L3" s="166" t="n"/>
      <c r="M3" s="166" t="n"/>
      <c r="N3" s="166" t="n"/>
      <c r="O3" s="166" t="n"/>
      <c r="P3" s="166" t="n"/>
      <c r="Q3" s="166" t="n"/>
      <c r="R3" s="166" t="n"/>
      <c r="S3" s="166" t="n"/>
    </row>
    <row r="4" ht="21" customHeight="1">
      <c r="A4" s="171" t="inlineStr">
        <is>
          <t xml:space="preserve">  项   目</t>
        </is>
      </c>
      <c r="B4" s="172" t="inlineStr">
        <is>
          <t>附注</t>
        </is>
      </c>
      <c r="C4" s="173" t="inlineStr">
        <is>
          <t>期末余额</t>
        </is>
      </c>
      <c r="D4" s="173" t="inlineStr">
        <is>
          <t>上年年末余额</t>
        </is>
      </c>
    </row>
    <row r="5" ht="21" customHeight="1">
      <c r="A5" s="176" t="inlineStr">
        <is>
          <t>流动资产：</t>
        </is>
      </c>
      <c r="B5" s="185" t="n"/>
      <c r="C5" s="186" t="n"/>
      <c r="D5" s="186" t="n"/>
    </row>
    <row r="6" ht="21" customHeight="1">
      <c r="A6" s="176" t="inlineStr">
        <is>
          <t xml:space="preserve">  货币资金</t>
        </is>
      </c>
      <c r="B6" s="187" t="inlineStr">
        <is>
          <t>{{note_ref:BS-002}}</t>
        </is>
      </c>
      <c r="C6" s="186" t="inlineStr">
        <is>
          <t>{{row:BS-002:current}}</t>
        </is>
      </c>
      <c r="D6" s="186" t="inlineStr">
        <is>
          <t>{{row:BS-002:prior}}</t>
        </is>
      </c>
    </row>
    <row r="7" ht="21" customHeight="1">
      <c r="A7" s="176" t="inlineStr">
        <is>
          <t xml:space="preserve">  交易性金融资产</t>
        </is>
      </c>
      <c r="B7" s="187" t="inlineStr">
        <is>
          <t>{{note_ref:BS-003}}</t>
        </is>
      </c>
      <c r="C7" s="186" t="inlineStr">
        <is>
          <t>{{row:BS-003:current}}</t>
        </is>
      </c>
      <c r="D7" s="186" t="inlineStr">
        <is>
          <t>{{row:BS-003:prior}}</t>
        </is>
      </c>
    </row>
    <row r="8" ht="26" customHeight="1">
      <c r="A8" s="177" t="inlineStr">
        <is>
          <t xml:space="preserve">  衍生金融资产</t>
        </is>
      </c>
      <c r="B8" s="187" t="inlineStr">
        <is>
          <t>{{note_ref:BS-004}}</t>
        </is>
      </c>
      <c r="C8" s="186" t="inlineStr">
        <is>
          <t>{{row:BS-004:current}}</t>
        </is>
      </c>
      <c r="D8" s="186" t="inlineStr">
        <is>
          <t>{{row:BS-004:prior}}</t>
        </is>
      </c>
    </row>
    <row r="9" ht="21" customHeight="1">
      <c r="A9" s="176" t="inlineStr">
        <is>
          <t xml:space="preserve">  应收票据</t>
        </is>
      </c>
      <c r="B9" s="187" t="inlineStr">
        <is>
          <t>{{note_ref:BS-005}}</t>
        </is>
      </c>
      <c r="C9" s="186" t="inlineStr">
        <is>
          <t>{{row:BS-005:current}}</t>
        </is>
      </c>
      <c r="D9" s="186" t="inlineStr">
        <is>
          <t>{{row:BS-005:prior}}</t>
        </is>
      </c>
    </row>
    <row r="10" ht="21" customHeight="1">
      <c r="A10" s="176" t="inlineStr">
        <is>
          <t xml:space="preserve">  应收账款</t>
        </is>
      </c>
      <c r="B10" s="187" t="inlineStr">
        <is>
          <t>{{note_ref:BS-006}}</t>
        </is>
      </c>
      <c r="C10" s="186" t="inlineStr">
        <is>
          <t>{{row:BS-006:current}}</t>
        </is>
      </c>
      <c r="D10" s="186" t="inlineStr">
        <is>
          <t>{{row:BS-006:prior}}</t>
        </is>
      </c>
    </row>
    <row r="11" ht="21" customHeight="1">
      <c r="A11" s="177" t="inlineStr">
        <is>
          <t xml:space="preserve">  应收款项融资</t>
        </is>
      </c>
      <c r="B11" s="187" t="inlineStr">
        <is>
          <t>{{note_ref:BS-007}}</t>
        </is>
      </c>
      <c r="C11" s="186" t="inlineStr">
        <is>
          <t>{{row:BS-007:current}}</t>
        </is>
      </c>
      <c r="D11" s="186" t="inlineStr">
        <is>
          <t>{{row:BS-007:prior}}</t>
        </is>
      </c>
    </row>
    <row r="12" ht="21" customHeight="1">
      <c r="A12" s="176" t="inlineStr">
        <is>
          <t xml:space="preserve">  预付款项</t>
        </is>
      </c>
      <c r="B12" s="187" t="inlineStr">
        <is>
          <t>{{note_ref:BS-008}}</t>
        </is>
      </c>
      <c r="C12" s="186" t="inlineStr">
        <is>
          <t>{{row:BS-008:current}}</t>
        </is>
      </c>
      <c r="D12" s="186" t="inlineStr">
        <is>
          <t>{{row:BS-008:prior}}</t>
        </is>
      </c>
    </row>
    <row r="13" ht="21" customHeight="1">
      <c r="A13" s="176" t="inlineStr">
        <is>
          <t xml:space="preserve">  其他应收款</t>
        </is>
      </c>
      <c r="B13" s="187" t="inlineStr">
        <is>
          <t>{{note_ref:BS-009}}</t>
        </is>
      </c>
      <c r="C13" s="186" t="inlineStr">
        <is>
          <t>{{row:BS-009:current}}</t>
        </is>
      </c>
      <c r="D13" s="186" t="inlineStr">
        <is>
          <t>{{row:BS-009:prior}}</t>
        </is>
      </c>
    </row>
    <row r="14" ht="21" customHeight="1">
      <c r="A14" s="176" t="inlineStr">
        <is>
          <t xml:space="preserve">   其中：应收利息</t>
        </is>
      </c>
      <c r="B14" s="187" t="n"/>
      <c r="C14" s="186" t="inlineStr">
        <is>
          <t>{{row:BS-010:current}}</t>
        </is>
      </c>
      <c r="D14" s="186" t="inlineStr">
        <is>
          <t>{{row:BS-010:prior}}</t>
        </is>
      </c>
    </row>
    <row r="15" ht="21" customHeight="1">
      <c r="A15" s="176" t="inlineStr">
        <is>
          <t xml:space="preserve">               应收股利</t>
        </is>
      </c>
      <c r="B15" s="187" t="n"/>
      <c r="C15" s="186" t="inlineStr">
        <is>
          <t>{{row:BS-011:current}}</t>
        </is>
      </c>
      <c r="D15" s="186" t="inlineStr">
        <is>
          <t>{{row:BS-011:prior}}</t>
        </is>
      </c>
    </row>
    <row r="16" ht="21" customHeight="1">
      <c r="A16" s="176" t="inlineStr">
        <is>
          <t xml:space="preserve">  存货</t>
        </is>
      </c>
      <c r="B16" s="187" t="inlineStr">
        <is>
          <t>{{note_ref:BS-012}}</t>
        </is>
      </c>
      <c r="C16" s="186" t="inlineStr">
        <is>
          <t>{{row:BS-012:current}}</t>
        </is>
      </c>
      <c r="D16" s="186" t="inlineStr">
        <is>
          <t>{{row:BS-012:prior}}</t>
        </is>
      </c>
    </row>
    <row r="17" ht="21" customHeight="1">
      <c r="A17" s="176" t="inlineStr">
        <is>
          <t xml:space="preserve">   其中：数据资源</t>
        </is>
      </c>
      <c r="B17" s="187" t="n"/>
      <c r="C17" s="186" t="inlineStr">
        <is>
          <t>{{row:BS-013:current}}</t>
        </is>
      </c>
      <c r="D17" s="186" t="inlineStr">
        <is>
          <t>{{row:BS-013:prior}}</t>
        </is>
      </c>
    </row>
    <row r="18" ht="21" customHeight="1">
      <c r="A18" s="176" t="inlineStr">
        <is>
          <t xml:space="preserve">  合同资产</t>
        </is>
      </c>
      <c r="B18" s="187" t="inlineStr">
        <is>
          <t>{{note_ref:BS-014}}</t>
        </is>
      </c>
      <c r="C18" s="186" t="inlineStr">
        <is>
          <t>{{row:BS-014:current}}</t>
        </is>
      </c>
      <c r="D18" s="186" t="inlineStr">
        <is>
          <t>{{row:BS-014:prior}}</t>
        </is>
      </c>
    </row>
    <row r="19">
      <c r="A19" s="177" t="inlineStr">
        <is>
          <t xml:space="preserve">  持有待售资产</t>
        </is>
      </c>
      <c r="B19" s="187" t="n"/>
      <c r="C19" s="186" t="inlineStr">
        <is>
          <t>{{row:BS-015:current}}</t>
        </is>
      </c>
      <c r="D19" s="186" t="inlineStr">
        <is>
          <t>{{row:BS-015:prior}}</t>
        </is>
      </c>
    </row>
    <row r="20" ht="21" customHeight="1">
      <c r="A20" s="176" t="inlineStr">
        <is>
          <t xml:space="preserve">  一年内到期的非流动资产</t>
        </is>
      </c>
      <c r="B20" s="187" t="inlineStr">
        <is>
          <t>{{note_ref:BS-016}}</t>
        </is>
      </c>
      <c r="C20" s="186" t="inlineStr">
        <is>
          <t>{{row:BS-016:current}}</t>
        </is>
      </c>
      <c r="D20" s="186" t="inlineStr">
        <is>
          <t>{{row:BS-016:prior}}</t>
        </is>
      </c>
    </row>
    <row r="21" ht="21" customHeight="1">
      <c r="A21" s="176" t="inlineStr">
        <is>
          <t xml:space="preserve">  其他流动资产</t>
        </is>
      </c>
      <c r="B21" s="187" t="inlineStr">
        <is>
          <t>{{note_ref:BS-017}}</t>
        </is>
      </c>
      <c r="C21" s="186" t="inlineStr">
        <is>
          <t>{{row:BS-017:current}}</t>
        </is>
      </c>
      <c r="D21" s="186" t="inlineStr">
        <is>
          <t>{{row:BS-017:prior}}</t>
        </is>
      </c>
    </row>
    <row r="22" ht="21" customHeight="1">
      <c r="A22" s="178" t="inlineStr">
        <is>
          <t xml:space="preserve">    流动资产合计</t>
        </is>
      </c>
      <c r="B22" s="187" t="n"/>
      <c r="C22" s="186">
        <f>SUM(C6:C21)-C14-C15</f>
        <v/>
      </c>
      <c r="D22" s="186">
        <f>SUM(D6:D21)-D14-D15</f>
        <v/>
      </c>
    </row>
    <row r="23" ht="21" customHeight="1">
      <c r="A23" s="176" t="inlineStr">
        <is>
          <t>非流动资产：</t>
        </is>
      </c>
      <c r="B23" s="187" t="n"/>
      <c r="C23" s="186" t="n"/>
      <c r="D23" s="186" t="n"/>
    </row>
    <row r="24" ht="21" customHeight="1">
      <c r="A24" s="176" t="inlineStr">
        <is>
          <t xml:space="preserve">  债权投资</t>
        </is>
      </c>
      <c r="B24" s="187" t="inlineStr">
        <is>
          <t>{{note_ref:BS-020}}</t>
        </is>
      </c>
      <c r="C24" s="186" t="inlineStr">
        <is>
          <t>{{row:BS-020:current}}</t>
        </is>
      </c>
      <c r="D24" s="186" t="inlineStr">
        <is>
          <t>{{row:BS-020:prior}}</t>
        </is>
      </c>
    </row>
    <row r="25" ht="21" customFormat="1" customHeight="1" s="188">
      <c r="A25" s="176" t="inlineStr">
        <is>
          <t xml:space="preserve">  其他债权投资</t>
        </is>
      </c>
      <c r="B25" s="187" t="inlineStr">
        <is>
          <t>{{note_ref:BS-021}}</t>
        </is>
      </c>
      <c r="C25" s="186" t="inlineStr">
        <is>
          <t>{{row:BS-021:current}}</t>
        </is>
      </c>
      <c r="D25" s="186" t="inlineStr">
        <is>
          <t>{{row:BS-021:prior}}</t>
        </is>
      </c>
      <c r="E25" s="184" t="n"/>
      <c r="F25" s="184" t="n"/>
      <c r="G25" s="184" t="n"/>
      <c r="H25" s="184" t="n"/>
      <c r="I25" s="184" t="n"/>
      <c r="J25" s="184" t="n"/>
      <c r="K25" s="184" t="n"/>
      <c r="L25" s="184" t="n"/>
      <c r="M25" s="184" t="n"/>
      <c r="N25" s="184" t="n"/>
      <c r="O25" s="184" t="n"/>
      <c r="P25" s="184" t="n"/>
      <c r="Q25" s="184" t="n"/>
      <c r="R25" s="184" t="n"/>
      <c r="S25" s="184" t="n"/>
    </row>
    <row r="26" ht="21" customHeight="1">
      <c r="A26" s="176" t="inlineStr">
        <is>
          <t xml:space="preserve">  长期应收款</t>
        </is>
      </c>
      <c r="B26" s="187" t="inlineStr">
        <is>
          <t>{{note_ref:BS-022}}</t>
        </is>
      </c>
      <c r="C26" s="186" t="inlineStr">
        <is>
          <t>{{row:BS-022:current}}</t>
        </is>
      </c>
      <c r="D26" s="186" t="inlineStr">
        <is>
          <t>{{row:BS-022:prior}}</t>
        </is>
      </c>
    </row>
    <row r="27" ht="22" customHeight="1">
      <c r="A27" s="179" t="inlineStr">
        <is>
          <t xml:space="preserve"> 设定受益计划净资产</t>
        </is>
      </c>
      <c r="B27" s="187" t="inlineStr">
        <is>
          <t>{{note_ref:BS-023}}</t>
        </is>
      </c>
      <c r="C27" s="186" t="inlineStr">
        <is>
          <t>{{row:BS-023:current}}</t>
        </is>
      </c>
      <c r="D27" s="186" t="inlineStr">
        <is>
          <t>{{row:BS-023:prior}}</t>
        </is>
      </c>
    </row>
    <row r="28" ht="21" customHeight="1">
      <c r="A28" s="176" t="inlineStr">
        <is>
          <t xml:space="preserve">  长期股权投资</t>
        </is>
      </c>
      <c r="B28" s="187" t="inlineStr">
        <is>
          <t>{{note_ref:BS-024}}</t>
        </is>
      </c>
      <c r="C28" s="186" t="inlineStr">
        <is>
          <t>{{row:BS-024:current}}</t>
        </is>
      </c>
      <c r="D28" s="186" t="inlineStr">
        <is>
          <t>{{row:BS-024:prior}}</t>
        </is>
      </c>
    </row>
    <row r="29" ht="21" customHeight="1">
      <c r="A29" s="176" t="inlineStr">
        <is>
          <t xml:space="preserve">  其他权益工具投资</t>
        </is>
      </c>
      <c r="B29" s="187" t="inlineStr">
        <is>
          <t>{{note_ref:BS-025}}</t>
        </is>
      </c>
      <c r="C29" s="186" t="inlineStr">
        <is>
          <t>{{row:BS-025:current}}</t>
        </is>
      </c>
      <c r="D29" s="186" t="inlineStr">
        <is>
          <t>{{row:BS-025:prior}}</t>
        </is>
      </c>
    </row>
    <row r="30" ht="21" customHeight="1">
      <c r="A30" s="176" t="inlineStr">
        <is>
          <t xml:space="preserve">  其他非流动金融资产</t>
        </is>
      </c>
      <c r="B30" s="187" t="inlineStr">
        <is>
          <t>{{note_ref:BS-026}}</t>
        </is>
      </c>
      <c r="C30" s="186" t="inlineStr">
        <is>
          <t>{{row:BS-026:current}}</t>
        </is>
      </c>
      <c r="D30" s="186" t="inlineStr">
        <is>
          <t>{{row:BS-026:prior}}</t>
        </is>
      </c>
    </row>
    <row r="31" ht="21" customHeight="1">
      <c r="A31" s="176" t="inlineStr">
        <is>
          <t xml:space="preserve">  投资性房地产</t>
        </is>
      </c>
      <c r="B31" s="187" t="inlineStr">
        <is>
          <t>{{note_ref:BS-027}}</t>
        </is>
      </c>
      <c r="C31" s="186" t="inlineStr">
        <is>
          <t>{{row:BS-027:current}}</t>
        </is>
      </c>
      <c r="D31" s="186" t="inlineStr">
        <is>
          <t>{{row:BS-027:prior}}</t>
        </is>
      </c>
    </row>
    <row r="32" ht="21" customFormat="1" customHeight="1" s="188">
      <c r="A32" s="176" t="inlineStr">
        <is>
          <t xml:space="preserve">  固定资产</t>
        </is>
      </c>
      <c r="B32" s="187" t="inlineStr">
        <is>
          <t>{{note_ref:BS-028}}</t>
        </is>
      </c>
      <c r="C32" s="186" t="inlineStr">
        <is>
          <t>{{row:BS-028:current}}</t>
        </is>
      </c>
      <c r="D32" s="186" t="inlineStr">
        <is>
          <t>{{row:BS-028:prior}}</t>
        </is>
      </c>
      <c r="E32" s="184" t="n"/>
      <c r="F32" s="184" t="n"/>
      <c r="G32" s="184" t="n"/>
      <c r="H32" s="184" t="n"/>
      <c r="I32" s="184" t="n"/>
      <c r="J32" s="184" t="n"/>
      <c r="K32" s="184" t="n"/>
      <c r="L32" s="184" t="n"/>
      <c r="M32" s="184" t="n"/>
      <c r="N32" s="184" t="n"/>
      <c r="O32" s="184" t="n"/>
      <c r="P32" s="184" t="n"/>
      <c r="Q32" s="184" t="n"/>
      <c r="R32" s="184" t="n"/>
      <c r="S32" s="184" t="n"/>
    </row>
    <row r="33" ht="21" customHeight="1">
      <c r="A33" s="176" t="inlineStr">
        <is>
          <t xml:space="preserve">  在建工程</t>
        </is>
      </c>
      <c r="B33" s="187" t="inlineStr">
        <is>
          <t>{{note_ref:BS-029}}</t>
        </is>
      </c>
      <c r="C33" s="186" t="inlineStr">
        <is>
          <t>{{row:BS-029:current}}</t>
        </is>
      </c>
      <c r="D33" s="186" t="inlineStr">
        <is>
          <t>{{row:BS-029:prior}}</t>
        </is>
      </c>
    </row>
    <row r="34" ht="21" customHeight="1">
      <c r="A34" s="176" t="inlineStr">
        <is>
          <t xml:space="preserve">  生产性生物资产 </t>
        </is>
      </c>
      <c r="B34" s="187" t="inlineStr">
        <is>
          <t>{{note_ref:BS-030}}</t>
        </is>
      </c>
      <c r="C34" s="186" t="inlineStr">
        <is>
          <t>{{row:BS-030:current}}</t>
        </is>
      </c>
      <c r="D34" s="186" t="inlineStr">
        <is>
          <t>{{row:BS-030:prior}}</t>
        </is>
      </c>
    </row>
    <row r="35" ht="21" customHeight="1">
      <c r="A35" s="176" t="inlineStr">
        <is>
          <t xml:space="preserve">  油气资产</t>
        </is>
      </c>
      <c r="B35" s="187" t="n"/>
      <c r="C35" s="186" t="inlineStr">
        <is>
          <t>{{row:BS-031:current}}</t>
        </is>
      </c>
      <c r="D35" s="186" t="inlineStr">
        <is>
          <t>{{row:BS-031:prior}}</t>
        </is>
      </c>
    </row>
    <row r="36" ht="21" customHeight="1">
      <c r="A36" s="179" t="inlineStr">
        <is>
          <t xml:space="preserve"> 使用权资产</t>
        </is>
      </c>
      <c r="B36" s="187" t="inlineStr">
        <is>
          <t>{{note_ref:BS-032}}</t>
        </is>
      </c>
      <c r="C36" s="186" t="inlineStr">
        <is>
          <t>{{row:BS-032:current}}</t>
        </is>
      </c>
      <c r="D36" s="186" t="inlineStr">
        <is>
          <t>{{row:BS-032:prior}}</t>
        </is>
      </c>
    </row>
    <row r="37" ht="21" customHeight="1">
      <c r="A37" s="176" t="inlineStr">
        <is>
          <t xml:space="preserve">  无形资产</t>
        </is>
      </c>
      <c r="B37" s="187" t="inlineStr">
        <is>
          <t>{{note_ref:BS-033}}</t>
        </is>
      </c>
      <c r="C37" s="186" t="inlineStr">
        <is>
          <t>{{row:BS-033:current}}</t>
        </is>
      </c>
      <c r="D37" s="186" t="inlineStr">
        <is>
          <t>{{row:BS-033:prior}}</t>
        </is>
      </c>
    </row>
    <row r="38" ht="21" customHeight="1">
      <c r="A38" s="176" t="inlineStr">
        <is>
          <t xml:space="preserve">   其中：数据资源</t>
        </is>
      </c>
      <c r="B38" s="187" t="n"/>
      <c r="C38" s="186" t="inlineStr">
        <is>
          <t>{{row:BS-034:current}}</t>
        </is>
      </c>
      <c r="D38" s="186" t="inlineStr">
        <is>
          <t>{{row:BS-034:prior}}</t>
        </is>
      </c>
    </row>
    <row r="39" ht="21" customHeight="1">
      <c r="A39" s="176" t="inlineStr">
        <is>
          <t xml:space="preserve">  开发支出</t>
        </is>
      </c>
      <c r="B39" s="187" t="inlineStr">
        <is>
          <t>{{note_ref:BS-035}}</t>
        </is>
      </c>
      <c r="C39" s="186" t="inlineStr">
        <is>
          <t>{{row:BS-035:current}}</t>
        </is>
      </c>
      <c r="D39" s="186" t="inlineStr">
        <is>
          <t>{{row:BS-035:prior}}</t>
        </is>
      </c>
    </row>
    <row r="40" ht="21" customHeight="1">
      <c r="A40" s="176" t="inlineStr">
        <is>
          <t xml:space="preserve">   其中：数据资源</t>
        </is>
      </c>
      <c r="B40" s="187" t="n"/>
      <c r="C40" s="186" t="inlineStr">
        <is>
          <t>{{row:BS-036:current}}</t>
        </is>
      </c>
      <c r="D40" s="186" t="inlineStr">
        <is>
          <t>{{row:BS-036:prior}}</t>
        </is>
      </c>
    </row>
    <row r="41" ht="21" customHeight="1">
      <c r="A41" s="176" t="inlineStr">
        <is>
          <t xml:space="preserve">  商誉</t>
        </is>
      </c>
      <c r="B41" s="187" t="inlineStr">
        <is>
          <t>{{note_ref:BS-037}}</t>
        </is>
      </c>
      <c r="C41" s="186" t="inlineStr">
        <is>
          <t>{{row:BS-037:current}}</t>
        </is>
      </c>
      <c r="D41" s="186" t="inlineStr">
        <is>
          <t>{{row:BS-037:prior}}</t>
        </is>
      </c>
    </row>
    <row r="42" ht="21" customHeight="1">
      <c r="A42" s="176" t="inlineStr">
        <is>
          <t xml:space="preserve">  长期待摊费用</t>
        </is>
      </c>
      <c r="B42" s="187" t="inlineStr">
        <is>
          <t>{{note_ref:BS-038}}</t>
        </is>
      </c>
      <c r="C42" s="186" t="inlineStr">
        <is>
          <t>{{row:BS-038:current}}</t>
        </is>
      </c>
      <c r="D42" s="186" t="inlineStr">
        <is>
          <t>{{row:BS-038:prior}}</t>
        </is>
      </c>
    </row>
    <row r="43" ht="21" customHeight="1">
      <c r="A43" s="176" t="inlineStr">
        <is>
          <t xml:space="preserve">  递延所得税资产</t>
        </is>
      </c>
      <c r="B43" s="187" t="n"/>
      <c r="C43" s="186" t="inlineStr">
        <is>
          <t>{{row:BS-039:current}}</t>
        </is>
      </c>
      <c r="D43" s="186" t="inlineStr">
        <is>
          <t>{{row:BS-039:prior}}</t>
        </is>
      </c>
    </row>
    <row r="44" ht="21" customHeight="1">
      <c r="A44" s="176" t="inlineStr">
        <is>
          <t xml:space="preserve">  其他非流动资产</t>
        </is>
      </c>
      <c r="B44" s="187" t="inlineStr">
        <is>
          <t>{{note_ref:BS-040}}</t>
        </is>
      </c>
      <c r="C44" s="186" t="inlineStr">
        <is>
          <t>{{row:BS-040:current}}</t>
        </is>
      </c>
      <c r="D44" s="186" t="inlineStr">
        <is>
          <t>{{row:BS-040:prior}}</t>
        </is>
      </c>
    </row>
    <row r="45" ht="21" customHeight="1">
      <c r="A45" s="178" t="inlineStr">
        <is>
          <t xml:space="preserve">    非流动资产合计</t>
        </is>
      </c>
      <c r="B45" s="187" t="n"/>
      <c r="C45" s="186">
        <f>SUM(C24:C44)</f>
        <v/>
      </c>
      <c r="D45" s="186">
        <f>SUM(D24:D44)</f>
        <v/>
      </c>
    </row>
    <row r="46" ht="21" customFormat="1" customHeight="1" s="188">
      <c r="A46" s="180" t="inlineStr">
        <is>
          <t xml:space="preserve">      资产总计</t>
        </is>
      </c>
      <c r="B46" s="189" t="n"/>
      <c r="C46" s="190">
        <f>C22+C45</f>
        <v/>
      </c>
      <c r="D46" s="191">
        <f>D22+D45</f>
        <v/>
      </c>
      <c r="E46" s="184" t="n"/>
      <c r="F46" s="184" t="n"/>
      <c r="G46" s="184" t="n"/>
      <c r="H46" s="184" t="n"/>
      <c r="I46" s="184" t="n"/>
      <c r="J46" s="184" t="n"/>
      <c r="K46" s="184" t="n"/>
      <c r="L46" s="184" t="n"/>
      <c r="M46" s="184" t="n"/>
      <c r="N46" s="184" t="n"/>
      <c r="O46" s="184" t="n"/>
      <c r="P46" s="184" t="n"/>
      <c r="Q46" s="184" t="n"/>
      <c r="R46" s="184" t="n"/>
      <c r="S46" s="184" t="n"/>
    </row>
    <row r="47">
      <c r="C47" s="192" t="n"/>
    </row>
    <row r="48">
      <c r="C48" s="192" t="n"/>
    </row>
    <row r="49">
      <c r="C49" s="192" t="n"/>
      <c r="D49" s="193" t="n"/>
    </row>
    <row r="50">
      <c r="C50" s="192" t="n"/>
    </row>
    <row r="51">
      <c r="C51" s="192" t="n"/>
    </row>
  </sheetData>
  <mergeCells count="2">
    <mergeCell ref="A1:D1"/>
    <mergeCell ref="A2:D2"/>
  </mergeCells>
  <printOptions horizontalCentered="1"/>
  <pageMargins left="0.7086614173228351" right="0.7086614173228351" top="0.905511811023622" bottom="0.78740157480315" header="0.511811023622047" footer="0.511811023622047"/>
  <pageSetup orientation="portrait" paperSize="9" scale="75" horizontalDpi="360" verticalDpi="600"/>
  <headerFooter alignWithMargins="0">
    <oddHeader/>
    <oddFooter>&amp;C&amp;"Arial Narrow,常规"1</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E56"/>
  <sheetViews>
    <sheetView showGridLines="0" showZeros="0" view="pageBreakPreview" zoomScaleNormal="85" workbookViewId="0">
      <selection activeCell="C11" sqref="C11"/>
    </sheetView>
  </sheetViews>
  <sheetFormatPr baseColWidth="8" defaultColWidth="14" defaultRowHeight="15"/>
  <cols>
    <col width="38.7" customWidth="1" style="183" min="1" max="1"/>
    <col width="16.3" customWidth="1" style="182" min="2" max="2"/>
    <col width="27.9" customWidth="1" style="183" min="3" max="4"/>
    <col width="18.125" customWidth="1" style="183" min="5" max="5"/>
    <col width="14" customWidth="1" style="183" min="6" max="16384"/>
  </cols>
  <sheetData>
    <row r="1" ht="32.1" customFormat="1" customHeight="1" s="162">
      <c r="A1" s="164" t="inlineStr">
        <is>
          <t>资产负债表（续）</t>
        </is>
      </c>
    </row>
    <row r="2" ht="25.5" customHeight="1">
      <c r="A2" s="168" t="inlineStr">
        <is>
          <t>{{period_end_date}}</t>
        </is>
      </c>
    </row>
    <row r="3" ht="20.1" customHeight="1">
      <c r="A3" s="142" t="n"/>
      <c r="B3" s="194" t="n"/>
      <c r="C3" s="194" t="n"/>
      <c r="D3" s="194" t="n"/>
    </row>
    <row r="4" ht="20.1" customFormat="1" customHeight="1" s="183">
      <c r="A4" s="143" t="inlineStr">
        <is>
          <t xml:space="preserve">  项   目</t>
        </is>
      </c>
      <c r="B4" s="144" t="inlineStr">
        <is>
          <t>附注</t>
        </is>
      </c>
      <c r="C4" s="173" t="inlineStr">
        <is>
          <t>期末余额</t>
        </is>
      </c>
      <c r="D4" s="173" t="inlineStr">
        <is>
          <t>上年年末余额</t>
        </is>
      </c>
    </row>
    <row r="5" ht="20.1" customFormat="1" customHeight="1" s="183">
      <c r="A5" s="195" t="inlineStr">
        <is>
          <t>流动负债：</t>
        </is>
      </c>
      <c r="B5" s="187" t="inlineStr">
        <is>
          <t xml:space="preserve">　</t>
        </is>
      </c>
      <c r="C5" s="186" t="n"/>
      <c r="D5" s="186" t="n"/>
    </row>
    <row r="6" ht="20.1" customHeight="1">
      <c r="A6" s="195" t="inlineStr">
        <is>
          <t xml:space="preserve">  短期借款</t>
        </is>
      </c>
      <c r="B6" s="187" t="inlineStr">
        <is>
          <t>{{note_ref:BS-044}}</t>
        </is>
      </c>
      <c r="C6" s="186" t="inlineStr">
        <is>
          <t>{{row:BS-044:current}}</t>
        </is>
      </c>
      <c r="D6" s="186" t="inlineStr">
        <is>
          <t>{{row:BS-044:prior}}</t>
        </is>
      </c>
    </row>
    <row r="7" ht="20.1" customHeight="1">
      <c r="A7" s="196" t="inlineStr">
        <is>
          <t xml:space="preserve">  交易性金融负债</t>
        </is>
      </c>
      <c r="B7" s="187" t="inlineStr">
        <is>
          <t>{{note_ref:BS-045}}</t>
        </is>
      </c>
      <c r="C7" s="186" t="inlineStr">
        <is>
          <t>{{row:BS-045:current}}</t>
        </is>
      </c>
      <c r="D7" s="186" t="inlineStr">
        <is>
          <t>{{row:BS-045:prior}}</t>
        </is>
      </c>
    </row>
    <row r="8" ht="25" customHeight="1">
      <c r="A8" s="197" t="inlineStr">
        <is>
          <t xml:space="preserve"> 衍生金融负债</t>
        </is>
      </c>
      <c r="B8" s="187" t="inlineStr">
        <is>
          <t>{{note_ref:BS-046}}</t>
        </is>
      </c>
      <c r="C8" s="186" t="inlineStr">
        <is>
          <t>{{row:BS-046:current}}</t>
        </is>
      </c>
      <c r="D8" s="186" t="inlineStr">
        <is>
          <t>{{row:BS-046:prior}}</t>
        </is>
      </c>
    </row>
    <row r="9" ht="18.75" customHeight="1">
      <c r="A9" s="195" t="inlineStr">
        <is>
          <t xml:space="preserve">  应付票据</t>
        </is>
      </c>
      <c r="B9" s="187" t="inlineStr">
        <is>
          <t>{{note_ref:BS-047}}</t>
        </is>
      </c>
      <c r="C9" s="186" t="inlineStr">
        <is>
          <t>{{row:BS-047:current}}</t>
        </is>
      </c>
      <c r="D9" s="186" t="inlineStr">
        <is>
          <t>{{row:BS-047:prior}}</t>
        </is>
      </c>
    </row>
    <row r="10" ht="20.1" customHeight="1">
      <c r="A10" s="195" t="inlineStr">
        <is>
          <t xml:space="preserve">  应付账款</t>
        </is>
      </c>
      <c r="B10" s="187" t="inlineStr">
        <is>
          <t>{{note_ref:BS-048}}</t>
        </is>
      </c>
      <c r="C10" s="186" t="inlineStr">
        <is>
          <t>{{row:BS-048:current}}</t>
        </is>
      </c>
      <c r="D10" s="186" t="inlineStr">
        <is>
          <t>{{row:BS-048:prior}}</t>
        </is>
      </c>
    </row>
    <row r="11" ht="20.1" customHeight="1">
      <c r="A11" s="195" t="inlineStr">
        <is>
          <t xml:space="preserve">  预收款项</t>
        </is>
      </c>
      <c r="B11" s="187" t="inlineStr">
        <is>
          <t>{{note_ref:BS-049}}</t>
        </is>
      </c>
      <c r="C11" s="186" t="inlineStr">
        <is>
          <t>{{row:BS-049:current}}</t>
        </is>
      </c>
      <c r="D11" s="186" t="inlineStr">
        <is>
          <t>{{row:BS-049:prior}}</t>
        </is>
      </c>
    </row>
    <row r="12" ht="20.1" customHeight="1">
      <c r="A12" s="195" t="inlineStr">
        <is>
          <t xml:space="preserve">  合同负债</t>
        </is>
      </c>
      <c r="B12" s="187" t="inlineStr">
        <is>
          <t>{{note_ref:BS-050}}</t>
        </is>
      </c>
      <c r="C12" s="186" t="inlineStr">
        <is>
          <t>{{row:BS-050:current}}</t>
        </is>
      </c>
      <c r="D12" s="186" t="inlineStr">
        <is>
          <t>{{row:BS-050:prior}}</t>
        </is>
      </c>
    </row>
    <row r="13" ht="20.1" customHeight="1">
      <c r="A13" s="195" t="inlineStr">
        <is>
          <t xml:space="preserve">  应付职工薪酬</t>
        </is>
      </c>
      <c r="B13" s="187" t="inlineStr">
        <is>
          <t>{{note_ref:BS-051}}</t>
        </is>
      </c>
      <c r="C13" s="186" t="inlineStr">
        <is>
          <t>{{row:BS-051:current}}</t>
        </is>
      </c>
      <c r="D13" s="186" t="inlineStr">
        <is>
          <t>{{row:BS-051:prior}}</t>
        </is>
      </c>
    </row>
    <row r="14" ht="20.1" customHeight="1">
      <c r="A14" s="195" t="inlineStr">
        <is>
          <t xml:space="preserve">  应交税费</t>
        </is>
      </c>
      <c r="B14" s="187" t="inlineStr">
        <is>
          <t>{{note_ref:BS-052}}</t>
        </is>
      </c>
      <c r="C14" s="186" t="inlineStr">
        <is>
          <t>{{row:BS-052:current}}</t>
        </is>
      </c>
      <c r="D14" s="186" t="inlineStr">
        <is>
          <t>{{row:BS-052:prior}}</t>
        </is>
      </c>
    </row>
    <row r="15" ht="20.1" customHeight="1">
      <c r="A15" s="196" t="inlineStr">
        <is>
          <t xml:space="preserve">  其他应付款</t>
        </is>
      </c>
      <c r="B15" s="187" t="inlineStr">
        <is>
          <t>{{note_ref:BS-053}}</t>
        </is>
      </c>
      <c r="C15" s="186" t="inlineStr">
        <is>
          <t>{{row:BS-053:current}}</t>
        </is>
      </c>
      <c r="D15" s="186" t="inlineStr">
        <is>
          <t>{{row:BS-053:prior}}</t>
        </is>
      </c>
    </row>
    <row r="16" ht="20.1" customHeight="1">
      <c r="A16" s="195" t="inlineStr">
        <is>
          <t xml:space="preserve">  其中：应付利息</t>
        </is>
      </c>
      <c r="B16" s="187" t="n"/>
      <c r="C16" s="186" t="inlineStr">
        <is>
          <t>{{row:BS-054:current}}</t>
        </is>
      </c>
      <c r="D16" s="186" t="inlineStr">
        <is>
          <t>{{row:BS-054:prior}}</t>
        </is>
      </c>
    </row>
    <row r="17" ht="20.1" customHeight="1">
      <c r="A17" s="195" t="inlineStr">
        <is>
          <t xml:space="preserve">                应付股利</t>
        </is>
      </c>
      <c r="B17" s="187" t="n"/>
      <c r="C17" s="186" t="inlineStr">
        <is>
          <t>{{row:BS-055:current}}</t>
        </is>
      </c>
      <c r="D17" s="186" t="inlineStr">
        <is>
          <t>{{row:BS-055:prior}}</t>
        </is>
      </c>
    </row>
    <row r="18" ht="24" customHeight="1">
      <c r="A18" s="196" t="inlineStr">
        <is>
          <t xml:space="preserve">  持有待售负债</t>
        </is>
      </c>
      <c r="B18" s="187" t="n"/>
      <c r="C18" s="186" t="inlineStr">
        <is>
          <t>{{row:BS-056:current}}</t>
        </is>
      </c>
      <c r="D18" s="186" t="inlineStr">
        <is>
          <t>{{row:BS-056:prior}}</t>
        </is>
      </c>
    </row>
    <row r="19" ht="20.1" customHeight="1">
      <c r="A19" s="195" t="inlineStr">
        <is>
          <t xml:space="preserve">  一年内到期的非流动负债</t>
        </is>
      </c>
      <c r="B19" s="187" t="inlineStr">
        <is>
          <t>{{note_ref:BS-057}}</t>
        </is>
      </c>
      <c r="C19" s="186" t="inlineStr">
        <is>
          <t>{{row:BS-057:current}}</t>
        </is>
      </c>
      <c r="D19" s="186" t="inlineStr">
        <is>
          <t>{{row:BS-057:prior}}</t>
        </is>
      </c>
    </row>
    <row r="20" ht="20.1" customHeight="1">
      <c r="A20" s="195" t="inlineStr">
        <is>
          <t xml:space="preserve">  其他流动负债</t>
        </is>
      </c>
      <c r="B20" s="187" t="inlineStr">
        <is>
          <t>{{note_ref:BS-058}}</t>
        </is>
      </c>
      <c r="C20" s="186" t="inlineStr">
        <is>
          <t>{{row:BS-058:current}}</t>
        </is>
      </c>
      <c r="D20" s="186" t="inlineStr">
        <is>
          <t>{{row:BS-058:prior}}</t>
        </is>
      </c>
      <c r="E20" s="166" t="inlineStr">
        <is>
          <t>在一年或一个正常营业周期内清偿的应付退货款应在“其他流动负债”项目反映</t>
        </is>
      </c>
    </row>
    <row r="21" ht="20.1" customHeight="1">
      <c r="A21" s="195" t="inlineStr">
        <is>
          <t xml:space="preserve">    流动负债合计</t>
        </is>
      </c>
      <c r="B21" s="187" t="n"/>
      <c r="C21" s="186">
        <f>SUM(C6:C20)-C16-C17</f>
        <v/>
      </c>
      <c r="D21" s="186">
        <f>SUM(D6:D20)-D16-D17</f>
        <v/>
      </c>
    </row>
    <row r="22" ht="20.1" customHeight="1">
      <c r="A22" s="195" t="inlineStr">
        <is>
          <t>非流动负债：</t>
        </is>
      </c>
      <c r="B22" s="187" t="n"/>
      <c r="C22" s="186" t="n"/>
      <c r="D22" s="186" t="n"/>
    </row>
    <row r="23" ht="20.1" customHeight="1">
      <c r="A23" s="195" t="inlineStr">
        <is>
          <t xml:space="preserve">  长期借款</t>
        </is>
      </c>
      <c r="B23" s="187" t="inlineStr">
        <is>
          <t>{{note_ref:BS-061}}</t>
        </is>
      </c>
      <c r="C23" s="186" t="inlineStr">
        <is>
          <t>{{row:BS-061:current}}</t>
        </is>
      </c>
      <c r="D23" s="186" t="inlineStr">
        <is>
          <t>{{row:BS-061:prior}}</t>
        </is>
      </c>
    </row>
    <row r="24" ht="20.1" customHeight="1">
      <c r="A24" s="195" t="inlineStr">
        <is>
          <t xml:space="preserve">  应付债券</t>
        </is>
      </c>
      <c r="B24" s="187" t="inlineStr">
        <is>
          <t>{{note_ref:BS-062}}</t>
        </is>
      </c>
      <c r="C24" s="186" t="inlineStr">
        <is>
          <t>{{row:BS-062:current}}</t>
        </is>
      </c>
      <c r="D24" s="186" t="inlineStr">
        <is>
          <t>{{row:BS-062:prior}}</t>
        </is>
      </c>
    </row>
    <row r="25" ht="20.1" customHeight="1">
      <c r="A25" s="151" t="inlineStr">
        <is>
          <t xml:space="preserve"> 其中：优先股</t>
        </is>
      </c>
      <c r="B25" s="187" t="n"/>
      <c r="C25" s="186" t="inlineStr">
        <is>
          <t>{{row:BS-063:current}}</t>
        </is>
      </c>
      <c r="D25" s="186" t="inlineStr">
        <is>
          <t>{{row:BS-063:prior}}</t>
        </is>
      </c>
    </row>
    <row r="26" ht="20.1" customHeight="1">
      <c r="A26" s="151" t="inlineStr">
        <is>
          <t xml:space="preserve">       永续债</t>
        </is>
      </c>
      <c r="B26" s="187" t="n"/>
      <c r="C26" s="186" t="inlineStr">
        <is>
          <t>{{row:BS-064:current}}</t>
        </is>
      </c>
      <c r="D26" s="186" t="inlineStr">
        <is>
          <t>{{row:BS-064:prior}}</t>
        </is>
      </c>
    </row>
    <row r="27" ht="20.1" customFormat="1" customHeight="1" s="198">
      <c r="A27" s="199" t="inlineStr">
        <is>
          <t xml:space="preserve"> 租赁负债</t>
        </is>
      </c>
      <c r="B27" s="187" t="inlineStr">
        <is>
          <t>{{note_ref:BS-065}}</t>
        </is>
      </c>
      <c r="C27" s="186" t="inlineStr">
        <is>
          <t>{{row:BS-065:current}}</t>
        </is>
      </c>
      <c r="D27" s="186" t="inlineStr">
        <is>
          <t>{{row:BS-065:prior}}</t>
        </is>
      </c>
    </row>
    <row r="28" ht="20.1" customHeight="1">
      <c r="A28" s="195" t="inlineStr">
        <is>
          <t xml:space="preserve">  长期应付款</t>
        </is>
      </c>
      <c r="B28" s="187" t="inlineStr">
        <is>
          <t>{{note_ref:BS-066}}</t>
        </is>
      </c>
      <c r="C28" s="186" t="inlineStr">
        <is>
          <t>{{row:BS-066:current}}</t>
        </is>
      </c>
      <c r="D28" s="186" t="inlineStr">
        <is>
          <t>{{row:BS-066:prior}}</t>
        </is>
      </c>
    </row>
    <row r="29" ht="20.1" customHeight="1">
      <c r="A29" s="151" t="inlineStr">
        <is>
          <t xml:space="preserve"> 长期应付职工薪酬</t>
        </is>
      </c>
      <c r="B29" s="187" t="inlineStr">
        <is>
          <t>{{note_ref:BS-067}}</t>
        </is>
      </c>
      <c r="C29" s="186" t="inlineStr">
        <is>
          <t>{{row:BS-067:current}}</t>
        </is>
      </c>
      <c r="D29" s="186" t="inlineStr">
        <is>
          <t>{{row:BS-067:prior}}</t>
        </is>
      </c>
    </row>
    <row r="30" ht="20.1" customFormat="1" customHeight="1" s="188">
      <c r="A30" s="195" t="inlineStr">
        <is>
          <t xml:space="preserve">  预计负债</t>
        </is>
      </c>
      <c r="B30" s="187" t="inlineStr">
        <is>
          <t>{{note_ref:BS-068}}</t>
        </is>
      </c>
      <c r="C30" s="186" t="inlineStr">
        <is>
          <t>{{row:BS-068:current}}</t>
        </is>
      </c>
      <c r="D30" s="186" t="inlineStr">
        <is>
          <t>{{row:BS-068:prior}}</t>
        </is>
      </c>
      <c r="E30" s="166" t="inlineStr">
        <is>
          <t>不能在一年或一个正常营业周期内清偿的应付退货款在“预计负债”项目反映</t>
        </is>
      </c>
    </row>
    <row r="31" ht="20.1" customFormat="1" customHeight="1" s="188">
      <c r="A31" s="195" t="inlineStr">
        <is>
          <t xml:space="preserve">  递延收益</t>
        </is>
      </c>
      <c r="B31" s="187" t="inlineStr">
        <is>
          <t>{{note_ref:BS-069}}</t>
        </is>
      </c>
      <c r="C31" s="186" t="inlineStr">
        <is>
          <t>{{row:BS-069:current}}</t>
        </is>
      </c>
      <c r="D31" s="186" t="inlineStr">
        <is>
          <t>{{row:BS-069:prior}}</t>
        </is>
      </c>
    </row>
    <row r="32" ht="20.1" customHeight="1">
      <c r="A32" s="195" t="inlineStr">
        <is>
          <t xml:space="preserve">  递延所得税负债</t>
        </is>
      </c>
      <c r="B32" s="187" t="n"/>
      <c r="C32" s="186" t="inlineStr">
        <is>
          <t>{{row:BS-070:current}}</t>
        </is>
      </c>
      <c r="D32" s="186" t="inlineStr">
        <is>
          <t>{{row:BS-070:prior}}</t>
        </is>
      </c>
    </row>
    <row r="33" ht="20.1" customHeight="1">
      <c r="A33" s="195" t="inlineStr">
        <is>
          <t xml:space="preserve">  其他非流动负债</t>
        </is>
      </c>
      <c r="B33" s="187" t="inlineStr">
        <is>
          <t>{{note_ref:BS-071}}</t>
        </is>
      </c>
      <c r="C33" s="186" t="inlineStr">
        <is>
          <t>{{row:BS-071:current}}</t>
        </is>
      </c>
      <c r="D33" s="186" t="inlineStr">
        <is>
          <t>{{row:BS-071:prior}}</t>
        </is>
      </c>
    </row>
    <row r="34" ht="20.1" customHeight="1">
      <c r="A34" s="195" t="inlineStr">
        <is>
          <t xml:space="preserve">    非流动负债合计</t>
        </is>
      </c>
      <c r="B34" s="187" t="n"/>
      <c r="C34" s="186">
        <f>SUM(C23:C33)-C25-C26</f>
        <v/>
      </c>
      <c r="D34" s="186">
        <f>SUM(D23:D33)-D25-D26</f>
        <v/>
      </c>
    </row>
    <row r="35" ht="20.1" customHeight="1">
      <c r="A35" s="200" t="inlineStr">
        <is>
          <t xml:space="preserve">      负债合计</t>
        </is>
      </c>
      <c r="B35" s="187" t="n"/>
      <c r="C35" s="186">
        <f>C21+C34</f>
        <v/>
      </c>
      <c r="D35" s="186">
        <f>D21+D34</f>
        <v/>
      </c>
    </row>
    <row r="36" ht="20.1" customHeight="1">
      <c r="A36" s="195" t="n"/>
      <c r="B36" s="187" t="n"/>
      <c r="C36" s="186" t="n"/>
      <c r="D36" s="186" t="n"/>
    </row>
    <row r="37" ht="20.1" customHeight="1">
      <c r="A37" s="201" t="inlineStr">
        <is>
          <t>股东权益：</t>
        </is>
      </c>
      <c r="B37" s="187" t="n"/>
      <c r="C37" s="186" t="n"/>
      <c r="D37" s="186" t="n"/>
    </row>
    <row r="38" ht="20.1" customHeight="1">
      <c r="A38" s="195" t="inlineStr">
        <is>
          <t xml:space="preserve">  股本</t>
        </is>
      </c>
      <c r="B38" s="187" t="inlineStr">
        <is>
          <t>{{note_ref:BS-075}}</t>
        </is>
      </c>
      <c r="C38" s="186" t="inlineStr">
        <is>
          <t>{{row:BS-075:current}}</t>
        </is>
      </c>
      <c r="D38" s="186" t="inlineStr">
        <is>
          <t>{{row:BS-075:prior}}</t>
        </is>
      </c>
    </row>
    <row r="39" ht="20.1" customHeight="1">
      <c r="A39" s="151" t="inlineStr">
        <is>
          <t xml:space="preserve"> 其他权益工具</t>
        </is>
      </c>
      <c r="B39" s="187" t="inlineStr">
        <is>
          <t>{{note_ref:BS-076}}</t>
        </is>
      </c>
      <c r="C39" s="186" t="inlineStr">
        <is>
          <t>{{row:BS-076:current}}</t>
        </is>
      </c>
      <c r="D39" s="186" t="inlineStr">
        <is>
          <t>{{row:BS-076:prior}}</t>
        </is>
      </c>
      <c r="E39" s="183" t="n"/>
    </row>
    <row r="40" ht="20.1" customHeight="1">
      <c r="A40" s="124" t="inlineStr">
        <is>
          <t>其中：优先股</t>
        </is>
      </c>
      <c r="B40" s="187" t="n"/>
      <c r="C40" s="186" t="inlineStr">
        <is>
          <t>{{row:BS-077:current}}</t>
        </is>
      </c>
      <c r="D40" s="186" t="inlineStr">
        <is>
          <t>{{row:BS-077:prior}}</t>
        </is>
      </c>
      <c r="E40" s="183" t="n"/>
    </row>
    <row r="41" ht="20.1" customHeight="1">
      <c r="A41" s="151" t="inlineStr">
        <is>
          <t xml:space="preserve">            永续债</t>
        </is>
      </c>
      <c r="B41" s="187" t="n"/>
      <c r="C41" s="186" t="inlineStr">
        <is>
          <t>{{row:BS-078:current}}</t>
        </is>
      </c>
      <c r="D41" s="186" t="inlineStr">
        <is>
          <t>{{row:BS-078:prior}}</t>
        </is>
      </c>
      <c r="E41" s="183" t="n"/>
    </row>
    <row r="42" ht="20.1" customFormat="1" customHeight="1" s="188">
      <c r="A42" s="195" t="inlineStr">
        <is>
          <t xml:space="preserve">  资本公积</t>
        </is>
      </c>
      <c r="B42" s="187" t="inlineStr">
        <is>
          <t>{{note_ref:BS-079}}</t>
        </is>
      </c>
      <c r="C42" s="186" t="inlineStr">
        <is>
          <t>{{row:BS-079:current}}</t>
        </is>
      </c>
      <c r="D42" s="186" t="inlineStr">
        <is>
          <t>{{row:BS-079:prior}}</t>
        </is>
      </c>
      <c r="E42" s="188" t="n"/>
    </row>
    <row r="43" ht="20.1" customFormat="1" customHeight="1" s="188">
      <c r="A43" s="195" t="inlineStr">
        <is>
          <t xml:space="preserve">  减：库存股</t>
        </is>
      </c>
      <c r="B43" s="187" t="n"/>
      <c r="C43" s="186" t="inlineStr">
        <is>
          <t>{{row:BS-080:current}}</t>
        </is>
      </c>
      <c r="D43" s="186" t="inlineStr">
        <is>
          <t>{{row:BS-080:prior}}</t>
        </is>
      </c>
      <c r="E43" s="188" t="n"/>
    </row>
    <row r="44" ht="20.1" customFormat="1" customHeight="1" s="188">
      <c r="A44" s="199" t="inlineStr">
        <is>
          <t xml:space="preserve"> 其他综合收益</t>
        </is>
      </c>
      <c r="B44" s="187" t="inlineStr">
        <is>
          <t>{{note_ref:BS-081}}</t>
        </is>
      </c>
      <c r="C44" s="186" t="inlineStr">
        <is>
          <t>{{row:BS-081:current}}</t>
        </is>
      </c>
      <c r="D44" s="186" t="inlineStr">
        <is>
          <t>{{row:BS-081:prior}}</t>
        </is>
      </c>
      <c r="E44" s="183" t="n"/>
    </row>
    <row r="45" ht="20.1" customFormat="1" customHeight="1" s="188">
      <c r="A45" s="195" t="inlineStr">
        <is>
          <t xml:space="preserve">  专项储备</t>
        </is>
      </c>
      <c r="B45" s="187" t="inlineStr">
        <is>
          <t>{{note_ref:BS-082}}</t>
        </is>
      </c>
      <c r="C45" s="186" t="inlineStr">
        <is>
          <t>{{row:BS-082:current}}</t>
        </is>
      </c>
      <c r="D45" s="186" t="inlineStr">
        <is>
          <t>{{row:BS-082:prior}}</t>
        </is>
      </c>
      <c r="E45" s="188" t="n"/>
    </row>
    <row r="46" ht="20.1" customHeight="1">
      <c r="A46" s="195" t="inlineStr">
        <is>
          <t xml:space="preserve">  盈余公积</t>
        </is>
      </c>
      <c r="B46" s="187" t="inlineStr">
        <is>
          <t>{{note_ref:BS-083}}</t>
        </is>
      </c>
      <c r="C46" s="186" t="inlineStr">
        <is>
          <t>{{row:BS-083:current}}</t>
        </is>
      </c>
      <c r="D46" s="186" t="inlineStr">
        <is>
          <t>{{row:BS-083:prior}}</t>
        </is>
      </c>
      <c r="E46" s="183" t="n"/>
    </row>
    <row r="47" ht="20.1" customHeight="1">
      <c r="A47" s="195" t="inlineStr">
        <is>
          <t xml:space="preserve">  未分配利润</t>
        </is>
      </c>
      <c r="B47" s="187" t="inlineStr">
        <is>
          <t>{{note_ref:BS-084}}</t>
        </is>
      </c>
      <c r="C47" s="186" t="inlineStr">
        <is>
          <t>{{row:BS-084:current}}</t>
        </is>
      </c>
      <c r="D47" s="186" t="inlineStr">
        <is>
          <t>{{row:BS-084:prior}}</t>
        </is>
      </c>
      <c r="E47" s="183" t="n"/>
    </row>
    <row r="48" ht="20.1" customFormat="1" customHeight="1" s="188">
      <c r="A48" s="200" t="inlineStr">
        <is>
          <t xml:space="preserve">    股东权益合计</t>
        </is>
      </c>
      <c r="B48" s="187" t="n"/>
      <c r="C48" s="186">
        <f>C38+C39+C42-C43+C44+C45+C46+C47</f>
        <v/>
      </c>
      <c r="D48" s="186">
        <f>D38+D39+D42-D43+D44+D45+D46+D47</f>
        <v/>
      </c>
      <c r="E48" s="188" t="n"/>
    </row>
    <row r="49" ht="20.1" customFormat="1" customHeight="1" s="202">
      <c r="A49" s="203" t="inlineStr">
        <is>
          <t xml:space="preserve">    负债和股东权益总计</t>
        </is>
      </c>
      <c r="B49" s="189" t="n"/>
      <c r="C49" s="191">
        <f>C48+C35</f>
        <v/>
      </c>
      <c r="D49" s="191">
        <f>D48+D35</f>
        <v/>
      </c>
    </row>
    <row r="50" ht="20.1" customFormat="1" customHeight="1" s="202">
      <c r="A50" s="204" t="n"/>
      <c r="B50" s="205" t="n"/>
      <c r="C50" s="192" t="n"/>
      <c r="D50" s="192" t="n"/>
    </row>
    <row r="51" ht="20.1" customFormat="1" customHeight="1" s="138">
      <c r="A51" s="138" t="inlineStr">
        <is>
          <t>公司法定代表人：</t>
        </is>
      </c>
      <c r="B51" s="161" t="inlineStr">
        <is>
          <t xml:space="preserve">主管会计工作的公司负责人：          </t>
        </is>
      </c>
      <c r="D51" s="161" t="inlineStr">
        <is>
          <t>公司会计机构负责人：</t>
        </is>
      </c>
    </row>
    <row r="56">
      <c r="C56" s="192">
        <f>资产负债表!C52-资产负债表续!C55</f>
        <v/>
      </c>
      <c r="D56" s="192">
        <f>资产负债表!D52-资产负债表续!D55</f>
        <v/>
      </c>
    </row>
  </sheetData>
  <mergeCells count="3">
    <mergeCell ref="A1:D1"/>
    <mergeCell ref="A3:D3"/>
    <mergeCell ref="A2:D2"/>
  </mergeCells>
  <printOptions horizontalCentered="1"/>
  <pageMargins left="0.7086614173228351" right="0.7086614173228351" top="0.905511811023622" bottom="0.78740157480315" header="0.511811023622047" footer="0.511811023622047"/>
  <pageSetup orientation="portrait" paperSize="9" scale="70" horizontalDpi="360" verticalDpi="600"/>
  <headerFooter alignWithMargins="0">
    <oddHeader/>
    <oddFooter>&amp;C&amp;"Arial Narrow,常规"2</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62"/>
  <sheetViews>
    <sheetView showGridLines="0" showZeros="0" view="pageBreakPreview" topLeftCell="A32" zoomScaleNormal="85" workbookViewId="0">
      <selection activeCell="C11" sqref="C11"/>
    </sheetView>
  </sheetViews>
  <sheetFormatPr baseColWidth="8" defaultColWidth="14.5" defaultRowHeight="15"/>
  <cols>
    <col width="50.625" customWidth="1" style="206" min="1" max="1"/>
    <col width="19" customWidth="1" style="207" min="2" max="2"/>
    <col width="27.8" customWidth="1" style="206" min="3" max="4"/>
    <col width="15.1" customWidth="1" style="206" min="5" max="5"/>
    <col width="14.5" customWidth="1" style="206" min="6" max="16384"/>
  </cols>
  <sheetData>
    <row r="1" ht="32.1" customFormat="1" customHeight="1" s="93">
      <c r="A1" s="164" t="inlineStr">
        <is>
          <t>利润表</t>
        </is>
      </c>
    </row>
    <row r="2" ht="17.25" customHeight="1">
      <c r="A2" s="103" t="inlineStr">
        <is>
          <t>2025年度</t>
        </is>
      </c>
    </row>
    <row r="3" ht="25.5" customFormat="1" customHeight="1" s="93">
      <c r="A3" s="162" t="inlineStr">
        <is>
          <t>编制单位：{{company_full_name}}</t>
        </is>
      </c>
      <c r="B3" s="104" t="n"/>
      <c r="C3" s="194" t="n"/>
      <c r="D3" s="105" t="inlineStr">
        <is>
          <t xml:space="preserve">          单位：{{currency_unit}}</t>
        </is>
      </c>
    </row>
    <row r="4" ht="18" customFormat="1" customHeight="1" s="93">
      <c r="A4" s="171" t="inlineStr">
        <is>
          <t xml:space="preserve">  项   目</t>
        </is>
      </c>
      <c r="B4" s="107" t="inlineStr">
        <is>
          <t>附注</t>
        </is>
      </c>
      <c r="C4" s="108" t="inlineStr">
        <is>
          <t>本期金额</t>
        </is>
      </c>
      <c r="D4" s="108" t="inlineStr">
        <is>
          <t>上期金额</t>
        </is>
      </c>
    </row>
    <row r="5" ht="18" customFormat="1" customHeight="1" s="208">
      <c r="A5" s="109" t="inlineStr">
        <is>
          <t>一、营业收入</t>
        </is>
      </c>
      <c r="B5" s="209" t="n"/>
      <c r="C5" s="186" t="inlineStr">
        <is>
          <t>{{row:IS-001:current}}</t>
        </is>
      </c>
      <c r="D5" s="186" t="inlineStr">
        <is>
          <t>{{row:IS-001:prior}}</t>
        </is>
      </c>
    </row>
    <row r="6" ht="18" customHeight="1">
      <c r="A6" s="112" t="inlineStr">
        <is>
          <t xml:space="preserve">    减：营业成本</t>
        </is>
      </c>
      <c r="B6" s="113" t="n"/>
      <c r="C6" s="186" t="inlineStr">
        <is>
          <t>{{row:IS-002:current}}</t>
        </is>
      </c>
      <c r="D6" s="186" t="inlineStr">
        <is>
          <t>{{row:IS-002:prior}}</t>
        </is>
      </c>
      <c r="E6" s="208" t="n"/>
    </row>
    <row r="7" ht="18" customHeight="1">
      <c r="A7" s="112" t="inlineStr">
        <is>
          <t xml:space="preserve">             税金及附加</t>
        </is>
      </c>
      <c r="B7" s="113" t="inlineStr">
        <is>
          <t>{{note_ref:IS-003}}</t>
        </is>
      </c>
      <c r="C7" s="186" t="inlineStr">
        <is>
          <t>{{row:IS-003:current}}</t>
        </is>
      </c>
      <c r="D7" s="186" t="inlineStr">
        <is>
          <t>{{row:IS-003:prior}}</t>
        </is>
      </c>
    </row>
    <row r="8" ht="18" customHeight="1">
      <c r="A8" s="112" t="inlineStr">
        <is>
          <t xml:space="preserve">             销售费用</t>
        </is>
      </c>
      <c r="B8" s="113" t="inlineStr">
        <is>
          <t>{{note_ref:IS-004}}</t>
        </is>
      </c>
      <c r="C8" s="186" t="inlineStr">
        <is>
          <t>{{row:IS-004:current}}</t>
        </is>
      </c>
      <c r="D8" s="186" t="inlineStr">
        <is>
          <t>{{row:IS-004:prior}}</t>
        </is>
      </c>
    </row>
    <row r="9" ht="18" customFormat="1" customHeight="1" s="208">
      <c r="A9" s="112" t="inlineStr">
        <is>
          <t xml:space="preserve">             管理费用</t>
        </is>
      </c>
      <c r="B9" s="113" t="inlineStr">
        <is>
          <t>{{note_ref:IS-005}}</t>
        </is>
      </c>
      <c r="C9" s="186" t="inlineStr">
        <is>
          <t>{{row:IS-005:current}}</t>
        </is>
      </c>
      <c r="D9" s="186" t="inlineStr">
        <is>
          <t>{{row:IS-005:prior}}</t>
        </is>
      </c>
    </row>
    <row r="10" ht="18" customFormat="1" customHeight="1" s="208">
      <c r="A10" s="112" t="inlineStr">
        <is>
          <t xml:space="preserve">             研发费用</t>
        </is>
      </c>
      <c r="B10" s="113" t="inlineStr">
        <is>
          <t>{{note_ref:IS-006}}</t>
        </is>
      </c>
      <c r="C10" s="186" t="inlineStr">
        <is>
          <t>{{row:IS-006:current}}</t>
        </is>
      </c>
      <c r="D10" s="186" t="inlineStr">
        <is>
          <t>{{row:IS-006:prior}}</t>
        </is>
      </c>
    </row>
    <row r="11" ht="18" customHeight="1">
      <c r="A11" s="112" t="inlineStr">
        <is>
          <t xml:space="preserve">             财务费用</t>
        </is>
      </c>
      <c r="B11" s="113" t="inlineStr">
        <is>
          <t>{{note_ref:IS-007}}</t>
        </is>
      </c>
      <c r="C11" s="186" t="inlineStr">
        <is>
          <t>{{row:IS-007:current}}</t>
        </is>
      </c>
      <c r="D11" s="186" t="inlineStr">
        <is>
          <t>{{row:IS-007:prior}}</t>
        </is>
      </c>
    </row>
    <row r="12" ht="18" customHeight="1">
      <c r="A12" s="112" t="inlineStr">
        <is>
          <t xml:space="preserve">　　　    其中：利息费用</t>
        </is>
      </c>
      <c r="B12" s="113" t="n"/>
      <c r="C12" s="186" t="inlineStr">
        <is>
          <t>{{row:IS-008:current}}</t>
        </is>
      </c>
      <c r="D12" s="186" t="inlineStr">
        <is>
          <t>{{row:IS-008:prior}}</t>
        </is>
      </c>
    </row>
    <row r="13" ht="18" customHeight="1">
      <c r="A13" s="112" t="inlineStr">
        <is>
          <t xml:space="preserve">　　　                 利息收入</t>
        </is>
      </c>
      <c r="B13" s="113" t="n"/>
      <c r="C13" s="186" t="inlineStr">
        <is>
          <t>{{row:IS-009:current}}</t>
        </is>
      </c>
      <c r="D13" s="186" t="inlineStr">
        <is>
          <t>{{row:IS-009:prior}}</t>
        </is>
      </c>
    </row>
    <row r="14" ht="18.6" customHeight="1">
      <c r="A14" s="112" t="inlineStr">
        <is>
          <t xml:space="preserve">    加：其他收益</t>
        </is>
      </c>
      <c r="B14" s="113" t="n"/>
      <c r="C14" s="186" t="inlineStr">
        <is>
          <t>{{row:IS-010:current}}</t>
        </is>
      </c>
      <c r="D14" s="186" t="inlineStr">
        <is>
          <t>{{row:IS-010:prior}}</t>
        </is>
      </c>
    </row>
    <row r="15" ht="18" customHeight="1">
      <c r="A15" s="112" t="inlineStr">
        <is>
          <t xml:space="preserve">            投资收益(损失以“-”号填列）</t>
        </is>
      </c>
      <c r="B15" s="113" t="inlineStr">
        <is>
          <t>{{note_ref:IS-011}}</t>
        </is>
      </c>
      <c r="C15" s="186" t="inlineStr">
        <is>
          <t>{{row:IS-011:current}}</t>
        </is>
      </c>
      <c r="D15" s="186" t="inlineStr">
        <is>
          <t>{{row:IS-011:prior}}</t>
        </is>
      </c>
    </row>
    <row r="16" ht="18" customHeight="1">
      <c r="A16" s="112" t="inlineStr">
        <is>
          <t xml:space="preserve">　　　    其中：对联营企业和合营企业的投资收益</t>
        </is>
      </c>
      <c r="B16" s="113" t="n"/>
      <c r="C16" s="186" t="inlineStr">
        <is>
          <t>{{row:IS-012:current}}</t>
        </is>
      </c>
      <c r="D16" s="186" t="inlineStr">
        <is>
          <t>{{row:IS-012:prior}}</t>
        </is>
      </c>
    </row>
    <row r="17" ht="32.1" customHeight="1">
      <c r="A17" s="114" t="inlineStr">
        <is>
          <t xml:space="preserve">                            以摊余成本计量的金融资产终止确认收益（损失以“-”号填列）</t>
        </is>
      </c>
      <c r="B17" s="113" t="n"/>
      <c r="C17" s="186" t="inlineStr">
        <is>
          <t>{{row:IS-013:current}}</t>
        </is>
      </c>
      <c r="D17" s="186" t="inlineStr">
        <is>
          <t>{{row:IS-013:prior}}</t>
        </is>
      </c>
    </row>
    <row r="18" ht="18" customHeight="1">
      <c r="A18" s="112" t="inlineStr">
        <is>
          <t xml:space="preserve">            净敞口套期收益(损失以“-”号填列）</t>
        </is>
      </c>
      <c r="B18" s="113" t="inlineStr">
        <is>
          <t>{{note_ref:IS-014}}</t>
        </is>
      </c>
      <c r="C18" s="186" t="inlineStr">
        <is>
          <t>{{row:IS-014:current}}</t>
        </is>
      </c>
      <c r="D18" s="186" t="inlineStr">
        <is>
          <t>{{row:IS-014:prior}}</t>
        </is>
      </c>
    </row>
    <row r="19" ht="18.6" customHeight="1">
      <c r="A19" s="112" t="inlineStr">
        <is>
          <t xml:space="preserve">            公允价值变动收益(损失以“-”号填列）</t>
        </is>
      </c>
      <c r="B19" s="113" t="inlineStr">
        <is>
          <t>{{note_ref:IS-015}}</t>
        </is>
      </c>
      <c r="C19" s="186" t="inlineStr">
        <is>
          <t>{{row:IS-015:current}}</t>
        </is>
      </c>
      <c r="D19" s="186" t="inlineStr">
        <is>
          <t>{{row:IS-015:prior}}</t>
        </is>
      </c>
    </row>
    <row r="20" ht="18" customFormat="1" customHeight="1" s="210">
      <c r="A20" s="112" t="inlineStr">
        <is>
          <t xml:space="preserve">            信用减值损失(损失以“-”号填列）</t>
        </is>
      </c>
      <c r="B20" s="113" t="inlineStr">
        <is>
          <t>{{note_ref:IS-016}}</t>
        </is>
      </c>
      <c r="C20" s="186" t="inlineStr">
        <is>
          <t>{{row:IS-016:current}}</t>
        </is>
      </c>
      <c r="D20" s="186" t="inlineStr">
        <is>
          <t>{{row:IS-016:prior}}</t>
        </is>
      </c>
      <c r="E20" s="206" t="n"/>
    </row>
    <row r="21" ht="18" customFormat="1" customHeight="1" s="210">
      <c r="A21" s="112" t="inlineStr">
        <is>
          <t xml:space="preserve">            资产减值损失(损失以“-”号填列）</t>
        </is>
      </c>
      <c r="B21" s="113" t="inlineStr">
        <is>
          <t>{{note_ref:IS-017}}</t>
        </is>
      </c>
      <c r="C21" s="186" t="inlineStr">
        <is>
          <t>{{row:IS-017:current}}</t>
        </is>
      </c>
      <c r="D21" s="186" t="inlineStr">
        <is>
          <t>{{row:IS-017:prior}}</t>
        </is>
      </c>
      <c r="E21" s="206" t="n"/>
    </row>
    <row r="22" ht="18" customHeight="1">
      <c r="A22" s="112" t="inlineStr">
        <is>
          <t xml:space="preserve">            资产处置收益(损失以“-”号填列）</t>
        </is>
      </c>
      <c r="B22" s="113" t="inlineStr">
        <is>
          <t>{{note_ref:IS-018}}</t>
        </is>
      </c>
      <c r="C22" s="186" t="inlineStr">
        <is>
          <t>{{row:IS-018:current}}</t>
        </is>
      </c>
      <c r="D22" s="186" t="inlineStr">
        <is>
          <t>{{row:IS-018:prior}}</t>
        </is>
      </c>
    </row>
    <row r="23" ht="18" customFormat="1" customHeight="1" s="208">
      <c r="A23" s="109" t="inlineStr">
        <is>
          <t>二、营业利润(亏损以“-”号填列）</t>
        </is>
      </c>
      <c r="B23" s="113" t="n"/>
      <c r="C23" s="186">
        <f>C5-C6-C7-C8-C9-C10-C11+C14+C15+C18+C19+C20+C21+C22</f>
        <v/>
      </c>
      <c r="D23" s="186">
        <f>D5-D6-D7-D8-D9-D10-D11+D14+D15+D18+D19+D20+D21+D22</f>
        <v/>
      </c>
    </row>
    <row r="24" ht="18" customHeight="1">
      <c r="A24" s="112" t="inlineStr">
        <is>
          <t xml:space="preserve">    加：营业外收入</t>
        </is>
      </c>
      <c r="B24" s="113" t="n"/>
      <c r="C24" s="186" t="inlineStr">
        <is>
          <t>{{row:IS-020:current}}</t>
        </is>
      </c>
      <c r="D24" s="186" t="inlineStr">
        <is>
          <t>{{row:IS-020:prior}}</t>
        </is>
      </c>
    </row>
    <row r="25" ht="18" customHeight="1">
      <c r="A25" s="112" t="inlineStr">
        <is>
          <t xml:space="preserve">    减：营业外支出</t>
        </is>
      </c>
      <c r="B25" s="113" t="n"/>
      <c r="C25" s="186" t="inlineStr">
        <is>
          <t>{{row:IS-021:current}}</t>
        </is>
      </c>
      <c r="D25" s="186" t="inlineStr">
        <is>
          <t>{{row:IS-021:prior}}</t>
        </is>
      </c>
    </row>
    <row r="26" ht="18" customHeight="1">
      <c r="A26" s="109" t="inlineStr">
        <is>
          <t>三、利润总额(亏损总额以“-”号填列）</t>
        </is>
      </c>
      <c r="B26" s="113" t="n"/>
      <c r="C26" s="186">
        <f>C23+C24-C25</f>
        <v/>
      </c>
      <c r="D26" s="186">
        <f>D23+D24-D25</f>
        <v/>
      </c>
    </row>
    <row r="27" ht="18" customHeight="1">
      <c r="A27" s="112" t="inlineStr">
        <is>
          <t xml:space="preserve">    减：所得税费用</t>
        </is>
      </c>
      <c r="B27" s="113" t="n"/>
      <c r="C27" s="186" t="inlineStr">
        <is>
          <t>{{row:IS-023:current}}</t>
        </is>
      </c>
      <c r="D27" s="186" t="inlineStr">
        <is>
          <t>{{row:IS-023:prior}}</t>
        </is>
      </c>
    </row>
    <row r="28" ht="18" customFormat="1" customHeight="1" s="208">
      <c r="A28" s="109" t="inlineStr">
        <is>
          <t>四、净利润(净亏损以“-”号填列）</t>
        </is>
      </c>
      <c r="B28" s="113" t="n"/>
      <c r="C28" s="186">
        <f>C26-C27</f>
        <v/>
      </c>
      <c r="D28" s="186">
        <f>D26-D27</f>
        <v/>
      </c>
    </row>
    <row r="29" ht="18" customHeight="1">
      <c r="A29" s="115" t="inlineStr">
        <is>
          <t xml:space="preserve">  （一）按经营持续性分类：</t>
        </is>
      </c>
      <c r="B29" s="211" t="n"/>
      <c r="C29" s="212" t="n"/>
      <c r="D29" s="212" t="n"/>
    </row>
    <row r="30" ht="18" customHeight="1">
      <c r="A30" s="112" t="inlineStr">
        <is>
          <t xml:space="preserve">    其中：持续经营净利润（净亏损以“-”号填列）</t>
        </is>
      </c>
      <c r="B30" s="211" t="n"/>
      <c r="C30" s="186">
        <f>C28-C31</f>
        <v/>
      </c>
      <c r="D30" s="186">
        <f>D28-D31</f>
        <v/>
      </c>
    </row>
    <row r="31" ht="18" customHeight="1">
      <c r="A31" s="112" t="inlineStr">
        <is>
          <t xml:space="preserve">                 终止经营净利润（净亏损以“-”号填列）</t>
        </is>
      </c>
      <c r="B31" s="211" t="n"/>
      <c r="C31" s="186" t="inlineStr">
        <is>
          <t>{{row:IS-027:current}}</t>
        </is>
      </c>
      <c r="D31" s="186" t="inlineStr">
        <is>
          <t>{{row:IS-027:prior}}</t>
        </is>
      </c>
    </row>
    <row r="32" ht="18" customFormat="1" customHeight="1" s="208">
      <c r="A32" s="115" t="inlineStr">
        <is>
          <t xml:space="preserve">  （二）按所有权归属分类：</t>
        </is>
      </c>
      <c r="B32" s="113" t="n"/>
      <c r="C32" s="212" t="n"/>
      <c r="D32" s="212" t="n"/>
    </row>
    <row r="33" ht="32.1" customFormat="1" customHeight="1" s="213">
      <c r="A33" s="114" t="inlineStr">
        <is>
          <t xml:space="preserve">     其中：归属于母公司股东的净利润（净亏损以“-”号填列）</t>
        </is>
      </c>
      <c r="B33" s="118" t="n"/>
      <c r="C33" s="214" t="inlineStr">
        <is>
          <t>{{row:IS-029:current}}</t>
        </is>
      </c>
      <c r="D33" s="214" t="inlineStr">
        <is>
          <t>{{row:IS-029:prior}}</t>
        </is>
      </c>
    </row>
    <row r="34" ht="18" customHeight="1">
      <c r="A34" s="112" t="inlineStr">
        <is>
          <t xml:space="preserve">                   少数股东损益（净亏损以“-”号填列）</t>
        </is>
      </c>
      <c r="B34" s="215" t="n"/>
      <c r="C34" s="186" t="inlineStr">
        <is>
          <t>{{row:IS-030:current}}</t>
        </is>
      </c>
      <c r="D34" s="186" t="inlineStr">
        <is>
          <t>{{row:IS-030:prior}}</t>
        </is>
      </c>
    </row>
    <row r="35" ht="18" customFormat="1" customHeight="1" s="208">
      <c r="A35" s="109" t="inlineStr">
        <is>
          <t>五、其他综合收益的税后净额</t>
        </is>
      </c>
      <c r="B35" s="216" t="n"/>
      <c r="C35" s="217">
        <f>C36+C53</f>
        <v/>
      </c>
      <c r="D35" s="217">
        <f>D36+D53</f>
        <v/>
      </c>
    </row>
    <row r="36" ht="18" customFormat="1" customHeight="1" s="208">
      <c r="A36" s="112" t="inlineStr">
        <is>
          <t xml:space="preserve">    归属于母公司股东的其他综合收益的税后净额</t>
        </is>
      </c>
      <c r="B36" s="216" t="n"/>
      <c r="C36" s="217" t="inlineStr">
        <is>
          <t>{{row:IS-032:current}}</t>
        </is>
      </c>
      <c r="D36" s="217" t="inlineStr">
        <is>
          <t>{{row:IS-032:prior}}</t>
        </is>
      </c>
    </row>
    <row r="37" ht="18" customFormat="1" customHeight="1" s="208">
      <c r="A37" s="123" t="inlineStr">
        <is>
          <t>（一）不能重分类进损益的其他综合收益</t>
        </is>
      </c>
      <c r="B37" s="216" t="n"/>
      <c r="C37" s="217">
        <f>SUM(C38:C42)</f>
        <v/>
      </c>
      <c r="D37" s="217">
        <f>SUM(D38:D42)</f>
        <v/>
      </c>
    </row>
    <row r="38" ht="18" customFormat="1" customHeight="1" s="208">
      <c r="A38" s="124" t="inlineStr">
        <is>
          <t>1. 重新计量设定受益计划变动额</t>
        </is>
      </c>
      <c r="B38" s="216" t="n"/>
      <c r="C38" s="217" t="inlineStr">
        <is>
          <t>{{row:IS-034:current}}</t>
        </is>
      </c>
      <c r="D38" s="217" t="inlineStr">
        <is>
          <t>{{row:IS-034:prior}}</t>
        </is>
      </c>
    </row>
    <row r="39" ht="18" customFormat="1" customHeight="1" s="208">
      <c r="A39" s="124" t="inlineStr">
        <is>
          <t>2. 权益法下不能转损益的其他综合收益</t>
        </is>
      </c>
      <c r="B39" s="216" t="n"/>
      <c r="C39" s="217" t="inlineStr">
        <is>
          <t>{{row:IS-035:current}}</t>
        </is>
      </c>
      <c r="D39" s="217" t="inlineStr">
        <is>
          <t>{{row:IS-035:prior}}</t>
        </is>
      </c>
    </row>
    <row r="40" ht="18" customFormat="1" customHeight="1" s="208">
      <c r="A40" s="124" t="inlineStr">
        <is>
          <t>3. 其他权益工具投资公允价值变动</t>
        </is>
      </c>
      <c r="B40" s="216" t="n"/>
      <c r="C40" s="217" t="inlineStr">
        <is>
          <t>{{row:IS-036:current}}</t>
        </is>
      </c>
      <c r="D40" s="217" t="inlineStr">
        <is>
          <t>{{row:IS-036:prior}}</t>
        </is>
      </c>
    </row>
    <row r="41" ht="18" customFormat="1" customHeight="1" s="208">
      <c r="A41" s="124" t="inlineStr">
        <is>
          <t>4. 企业自身信用风险公允价值变动</t>
        </is>
      </c>
      <c r="B41" s="216" t="n"/>
      <c r="C41" s="217" t="inlineStr">
        <is>
          <t>{{row:IS-037:current}}</t>
        </is>
      </c>
      <c r="D41" s="217" t="inlineStr">
        <is>
          <t>{{row:IS-037:prior}}</t>
        </is>
      </c>
    </row>
    <row r="42" ht="18" customFormat="1" customHeight="1" s="208">
      <c r="A42" s="123" t="inlineStr">
        <is>
          <t>5. 其他</t>
        </is>
      </c>
      <c r="B42" s="216" t="n"/>
      <c r="C42" s="217" t="inlineStr">
        <is>
          <t>{{row:IS-038:current}}</t>
        </is>
      </c>
      <c r="D42" s="217" t="inlineStr">
        <is>
          <t>{{row:IS-038:prior}}</t>
        </is>
      </c>
    </row>
    <row r="43" ht="18" customFormat="1" customHeight="1" s="208">
      <c r="A43" s="124" t="inlineStr">
        <is>
          <t>（二）将重分类进损益的其他综合收益</t>
        </is>
      </c>
      <c r="B43" s="216" t="n"/>
      <c r="C43" s="217">
        <f>SUM(C44:C52)</f>
        <v/>
      </c>
      <c r="D43" s="217">
        <f>SUM(D44:D52)</f>
        <v/>
      </c>
    </row>
    <row r="44" ht="18" customFormat="1" customHeight="1" s="208">
      <c r="A44" s="124" t="inlineStr">
        <is>
          <t>1. 权益法下可转损益的其他综合收益</t>
        </is>
      </c>
      <c r="B44" s="216" t="n"/>
      <c r="C44" s="217" t="inlineStr">
        <is>
          <t>{{row:IS-040:current}}</t>
        </is>
      </c>
      <c r="D44" s="217" t="inlineStr">
        <is>
          <t>{{row:IS-040:prior}}</t>
        </is>
      </c>
    </row>
    <row r="45" ht="18" customFormat="1" customHeight="1" s="208">
      <c r="A45" s="124" t="inlineStr">
        <is>
          <t>2. 其他债权投资公允价值变动</t>
        </is>
      </c>
      <c r="B45" s="216" t="n"/>
      <c r="C45" s="217" t="inlineStr">
        <is>
          <t>{{row:IS-041:current}}</t>
        </is>
      </c>
      <c r="D45" s="217" t="inlineStr">
        <is>
          <t>{{row:IS-041:prior}}</t>
        </is>
      </c>
    </row>
    <row r="46" ht="18" customFormat="1" customHeight="1" s="208">
      <c r="A46" s="124" t="inlineStr">
        <is>
          <t>3. 金融资产重分类计入其他综合收益的金额</t>
        </is>
      </c>
      <c r="B46" s="216" t="n"/>
      <c r="C46" s="217" t="inlineStr">
        <is>
          <t>{{row:IS-042:current}}</t>
        </is>
      </c>
      <c r="D46" s="217" t="inlineStr">
        <is>
          <t>{{row:IS-042:prior}}</t>
        </is>
      </c>
    </row>
    <row r="47" ht="18" customFormat="1" customHeight="1" s="208">
      <c r="A47" s="124" t="inlineStr">
        <is>
          <t>4. 其他债权投资信用减值准备</t>
        </is>
      </c>
      <c r="B47" s="216" t="n"/>
      <c r="C47" s="217" t="inlineStr">
        <is>
          <t>{{row:IS-043:current}}</t>
        </is>
      </c>
      <c r="D47" s="217" t="inlineStr">
        <is>
          <t>{{row:IS-043:prior}}</t>
        </is>
      </c>
    </row>
    <row r="48" ht="18" customFormat="1" customHeight="1" s="208">
      <c r="A48" s="125" t="inlineStr">
        <is>
          <t>5. 现金流量套期储备</t>
        </is>
      </c>
      <c r="B48" s="216" t="n"/>
      <c r="C48" s="217" t="inlineStr">
        <is>
          <t>{{row:IS-044:current}}</t>
        </is>
      </c>
      <c r="D48" s="217" t="inlineStr">
        <is>
          <t>{{row:IS-044:prior}}</t>
        </is>
      </c>
    </row>
    <row r="49" ht="18" customFormat="1" customHeight="1" s="208">
      <c r="A49" s="124" t="inlineStr">
        <is>
          <t>6. 外币财务报表折算差额</t>
        </is>
      </c>
      <c r="B49" s="216" t="n"/>
      <c r="C49" s="217" t="inlineStr">
        <is>
          <t>{{row:IS-045:current}}</t>
        </is>
      </c>
      <c r="D49" s="217" t="inlineStr">
        <is>
          <t>{{row:IS-045:prior}}</t>
        </is>
      </c>
    </row>
    <row r="50" ht="51" customFormat="1" customHeight="1" s="208">
      <c r="A50" s="124" t="inlineStr">
        <is>
          <t>7. 自用房地产或作为存货的房地产转换为以公允价值计量的投资性房地产在转换日公允价值大于账面价值部分</t>
        </is>
      </c>
      <c r="B50" s="216" t="n"/>
      <c r="C50" s="217" t="inlineStr">
        <is>
          <t>{{row:IS-046:current}}</t>
        </is>
      </c>
      <c r="D50" s="217" t="inlineStr">
        <is>
          <t>{{row:IS-046:prior}}</t>
        </is>
      </c>
    </row>
    <row r="51" ht="49.5" customFormat="1" customHeight="1" s="208">
      <c r="A51" s="124" t="inlineStr">
        <is>
          <t>8. 多次交易分步处置子公司股权构成一揽子交易的，丧失控制权之前各次交易处置价款与对应净资产账面价值份额的差额</t>
        </is>
      </c>
      <c r="B51" s="216" t="n"/>
      <c r="C51" s="217" t="inlineStr">
        <is>
          <t>{{row:IS-047:current}}</t>
        </is>
      </c>
      <c r="D51" s="217" t="inlineStr">
        <is>
          <t>{{row:IS-047:prior}}</t>
        </is>
      </c>
    </row>
    <row r="52" ht="18" customFormat="1" customHeight="1" s="208">
      <c r="A52" s="124" t="inlineStr">
        <is>
          <t>9. 其他</t>
        </is>
      </c>
      <c r="B52" s="216" t="n"/>
      <c r="C52" s="217" t="inlineStr">
        <is>
          <t>{{row:IS-048:current}}</t>
        </is>
      </c>
      <c r="D52" s="217" t="inlineStr">
        <is>
          <t>{{row:IS-048:prior}}</t>
        </is>
      </c>
    </row>
    <row r="53" ht="18" customFormat="1" customHeight="1" s="208">
      <c r="A53" s="112" t="inlineStr">
        <is>
          <t xml:space="preserve">    归属于少数股东的其他综合收益的税后净额</t>
        </is>
      </c>
      <c r="B53" s="216" t="n"/>
      <c r="C53" s="217" t="inlineStr">
        <is>
          <t>{{row:IS-049:current}}</t>
        </is>
      </c>
      <c r="D53" s="217" t="inlineStr">
        <is>
          <t>{{row:IS-049:prior}}</t>
        </is>
      </c>
    </row>
    <row r="54" ht="18" customFormat="1" customHeight="1" s="208">
      <c r="A54" s="109" t="inlineStr">
        <is>
          <t>六、综合收益总额</t>
        </is>
      </c>
      <c r="B54" s="216" t="n"/>
      <c r="C54" s="217">
        <f>C28+C35</f>
        <v/>
      </c>
      <c r="D54" s="217">
        <f>D28+D35</f>
        <v/>
      </c>
    </row>
    <row r="55" ht="18" customFormat="1" customHeight="1" s="208">
      <c r="A55" s="112" t="inlineStr">
        <is>
          <t xml:space="preserve">    归属于母公司股东的综合收益总额</t>
        </is>
      </c>
      <c r="B55" s="216" t="n"/>
      <c r="C55" s="217" t="inlineStr">
        <is>
          <t>{{row:IS-051:current}}</t>
        </is>
      </c>
      <c r="D55" s="217" t="inlineStr">
        <is>
          <t>{{row:IS-051:prior}}</t>
        </is>
      </c>
    </row>
    <row r="56" ht="18" customFormat="1" customHeight="1" s="188">
      <c r="A56" s="112" t="inlineStr">
        <is>
          <t xml:space="preserve">    归属于少数股东的综合收益总额</t>
        </is>
      </c>
      <c r="B56" s="188" t="n"/>
      <c r="C56" s="218" t="inlineStr">
        <is>
          <t>{{row:IS-052:current}}</t>
        </is>
      </c>
      <c r="D56" s="219" t="inlineStr">
        <is>
          <t>{{row:IS-052:prior}}</t>
        </is>
      </c>
    </row>
    <row r="57" ht="18" customHeight="1">
      <c r="A57" s="109" t="inlineStr">
        <is>
          <t>七、每股收益</t>
        </is>
      </c>
      <c r="B57" s="215" t="n"/>
      <c r="C57" s="186" t="inlineStr">
        <is>
          <t>{{row:IS-053:current}}</t>
        </is>
      </c>
      <c r="D57" s="186" t="inlineStr">
        <is>
          <t>{{row:IS-053:prior}}</t>
        </is>
      </c>
    </row>
    <row r="58" ht="18" customHeight="1">
      <c r="A58" s="112" t="inlineStr">
        <is>
          <t xml:space="preserve">   （一）基本每股收益</t>
        </is>
      </c>
      <c r="B58" s="215" t="n"/>
      <c r="C58" s="186" t="inlineStr">
        <is>
          <t>{{row:IS-054:current}}</t>
        </is>
      </c>
      <c r="D58" s="186" t="inlineStr">
        <is>
          <t>{{row:IS-054:prior}}</t>
        </is>
      </c>
    </row>
    <row r="59" ht="18" customHeight="1">
      <c r="A59" s="129" t="inlineStr">
        <is>
          <t xml:space="preserve">   （二）稀释每股收益</t>
        </is>
      </c>
      <c r="B59" s="220" t="n"/>
      <c r="C59" s="191" t="inlineStr">
        <is>
          <t>{{row:IS-055:current}}</t>
        </is>
      </c>
      <c r="D59" s="191" t="inlineStr">
        <is>
          <t>{{row:IS-055:prior}}</t>
        </is>
      </c>
    </row>
    <row r="60" ht="22.35" customFormat="1" customHeight="1" s="221">
      <c r="A60" s="222" t="inlineStr">
        <is>
          <t>公司法定代表人：</t>
        </is>
      </c>
      <c r="B60" s="222" t="inlineStr">
        <is>
          <t xml:space="preserve">主管会计工作的公司负责人：         </t>
        </is>
      </c>
      <c r="D60" s="223" t="inlineStr">
        <is>
          <t>公司会计机构负责人：</t>
        </is>
      </c>
    </row>
    <row r="61" ht="54" customHeight="1">
      <c r="A61" s="224" t="inlineStr">
        <is>
          <t>提示：“编制合并报表的公司，只需计算、列报合并口径的基本每股收益和稀释每股收益，无需计算、列报母公司口径的基本每股收益和稀释每股收益。”</t>
        </is>
      </c>
    </row>
    <row r="62">
      <c r="C62" s="207" t="n"/>
      <c r="D62" s="207" t="n"/>
    </row>
  </sheetData>
  <mergeCells count="4">
    <mergeCell ref="A1:D1"/>
    <mergeCell ref="B3:C3"/>
    <mergeCell ref="A2:D2"/>
    <mergeCell ref="A61:D61"/>
  </mergeCells>
  <printOptions horizontalCentered="1"/>
  <pageMargins left="0.7086614173228351" right="0.7086614173228351" top="0.905511811023622" bottom="0.78740157480315" header="0.511811023622047" footer="0.511811023622047"/>
  <pageSetup orientation="portrait" paperSize="9" scale="60" horizontalDpi="360" verticalDpi="600"/>
  <headerFooter alignWithMargins="0">
    <oddHeader/>
    <oddFooter>&amp;C&amp;"Arial Narrow,常规"3</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D51"/>
  <sheetViews>
    <sheetView view="pageBreakPreview" topLeftCell="A36" zoomScale="110" zoomScaleNormal="110" workbookViewId="0">
      <selection activeCell="C12" sqref="C12"/>
    </sheetView>
  </sheetViews>
  <sheetFormatPr baseColWidth="8" defaultColWidth="8.800000000000001" defaultRowHeight="15"/>
  <cols>
    <col width="45.5" customWidth="1" style="162" min="1" max="1"/>
    <col width="15.8166666666667" customWidth="1" style="182" min="2" max="2"/>
    <col width="24.8166666666667" customWidth="1" style="182" min="3" max="3"/>
    <col width="24.8166666666667" customWidth="1" style="183" min="4" max="4"/>
    <col width="9" customWidth="1" style="162" min="5" max="29"/>
    <col width="8.800000000000001" customWidth="1" style="162" min="30" max="16384"/>
  </cols>
  <sheetData>
    <row r="1" ht="32.1" customFormat="1" customHeight="1" s="162">
      <c r="A1" s="164" t="inlineStr">
        <is>
          <t>现金流量表</t>
        </is>
      </c>
    </row>
    <row r="2" ht="16.5" customHeight="1">
      <c r="A2" s="103" t="inlineStr">
        <is>
          <t>2025年度</t>
        </is>
      </c>
    </row>
    <row r="3" ht="15.6" customFormat="1" customHeight="1" s="162">
      <c r="A3" s="162" t="inlineStr">
        <is>
          <t>编制单位：{{company_full_name}}</t>
        </is>
      </c>
      <c r="B3" s="68" t="n"/>
      <c r="C3" s="69" t="n"/>
      <c r="D3" s="70" t="inlineStr">
        <is>
          <t>单位：{{currency_unit}}</t>
        </is>
      </c>
    </row>
    <row r="4" ht="15.6" customFormat="1" customHeight="1" s="162">
      <c r="A4" s="171" t="inlineStr">
        <is>
          <t>项      目</t>
        </is>
      </c>
      <c r="B4" s="171" t="inlineStr">
        <is>
          <t>附注</t>
        </is>
      </c>
      <c r="C4" s="72" t="inlineStr">
        <is>
          <t>本期金额</t>
        </is>
      </c>
      <c r="D4" s="73" t="inlineStr">
        <is>
          <t>上期金额</t>
        </is>
      </c>
    </row>
    <row r="5" ht="15.6" customHeight="1">
      <c r="A5" s="178" t="inlineStr">
        <is>
          <t>一、经营活动产生的现金流量：</t>
        </is>
      </c>
      <c r="B5" s="217" t="n"/>
      <c r="C5" s="186" t="n"/>
      <c r="D5" s="186" t="n"/>
    </row>
    <row r="6" ht="15.6" customHeight="1">
      <c r="A6" s="176" t="inlineStr">
        <is>
          <t xml:space="preserve">    销售商品、提供劳务收到的现金</t>
        </is>
      </c>
      <c r="B6" s="217" t="n"/>
      <c r="C6" s="186" t="inlineStr">
        <is>
          <t>{{row:CFS-002:current}}</t>
        </is>
      </c>
      <c r="D6" s="186" t="inlineStr">
        <is>
          <t>{{row:CFS-002:prior}}</t>
        </is>
      </c>
    </row>
    <row r="7" ht="15.6" customHeight="1">
      <c r="A7" s="176" t="inlineStr">
        <is>
          <t xml:space="preserve">    收到的税费返还</t>
        </is>
      </c>
      <c r="B7" s="217" t="n"/>
      <c r="C7" s="186" t="inlineStr">
        <is>
          <t>{{row:CFS-003:current}}</t>
        </is>
      </c>
      <c r="D7" s="186" t="inlineStr">
        <is>
          <t>{{row:CFS-003:prior}}</t>
        </is>
      </c>
    </row>
    <row r="8" ht="15.6" customHeight="1">
      <c r="A8" s="176" t="inlineStr">
        <is>
          <t xml:space="preserve">    收到其他与经营活动有关的现金</t>
        </is>
      </c>
      <c r="B8" s="217" t="inlineStr">
        <is>
          <t xml:space="preserve"> </t>
        </is>
      </c>
      <c r="C8" s="186" t="inlineStr">
        <is>
          <t>{{row:CFS-004:current}}</t>
        </is>
      </c>
      <c r="D8" s="186" t="inlineStr">
        <is>
          <t>{{row:CFS-004:prior}}</t>
        </is>
      </c>
    </row>
    <row r="9" ht="15.6" customHeight="1">
      <c r="A9" s="176" t="inlineStr">
        <is>
          <t xml:space="preserve">       经营活动现金流入小计</t>
        </is>
      </c>
      <c r="B9" s="217" t="n"/>
      <c r="C9" s="186">
        <f>SUM(C6:C8)</f>
        <v/>
      </c>
      <c r="D9" s="186">
        <f>SUM(D6:D8)</f>
        <v/>
      </c>
    </row>
    <row r="10" ht="15.6" customHeight="1">
      <c r="A10" s="176" t="inlineStr">
        <is>
          <t xml:space="preserve">    购买商品、接受劳务支付的现金</t>
        </is>
      </c>
      <c r="B10" s="217" t="n"/>
      <c r="C10" s="186" t="inlineStr">
        <is>
          <t>{{row:CFS-006:current}}</t>
        </is>
      </c>
      <c r="D10" s="186" t="inlineStr">
        <is>
          <t>{{row:CFS-006:prior}}</t>
        </is>
      </c>
    </row>
    <row r="11" ht="15.6" customHeight="1">
      <c r="A11" s="176" t="inlineStr">
        <is>
          <t xml:space="preserve">    支付给职工以及为职工支付的现金</t>
        </is>
      </c>
      <c r="B11" s="217" t="n"/>
      <c r="C11" s="186" t="inlineStr">
        <is>
          <t>{{row:CFS-007:current}}</t>
        </is>
      </c>
      <c r="D11" s="186" t="inlineStr">
        <is>
          <t>{{row:CFS-007:prior}}</t>
        </is>
      </c>
    </row>
    <row r="12" ht="15.6" customHeight="1">
      <c r="A12" s="176" t="inlineStr">
        <is>
          <t xml:space="preserve">    支付的各项税费</t>
        </is>
      </c>
      <c r="B12" s="217" t="n"/>
      <c r="C12" s="186" t="inlineStr">
        <is>
          <t>{{row:CFS-008:current}}</t>
        </is>
      </c>
      <c r="D12" s="186" t="inlineStr">
        <is>
          <t>{{row:CFS-008:prior}}</t>
        </is>
      </c>
    </row>
    <row r="13" ht="15.6" customHeight="1">
      <c r="A13" s="176" t="inlineStr">
        <is>
          <t xml:space="preserve">    支付其他与经营活动有关的现金</t>
        </is>
      </c>
      <c r="B13" s="225" t="n"/>
      <c r="C13" s="186" t="inlineStr">
        <is>
          <t>{{row:CFS-009:current}}</t>
        </is>
      </c>
      <c r="D13" s="186" t="inlineStr">
        <is>
          <t>{{row:CFS-009:prior}}</t>
        </is>
      </c>
    </row>
    <row r="14" ht="15.6" customHeight="1">
      <c r="A14" s="176" t="inlineStr">
        <is>
          <t xml:space="preserve">       经营活动现金流出小计</t>
        </is>
      </c>
      <c r="B14" s="217" t="n"/>
      <c r="C14" s="186">
        <f>SUM(C10:C13)</f>
        <v/>
      </c>
      <c r="D14" s="186">
        <f>SUM(D10:D13)</f>
        <v/>
      </c>
    </row>
    <row r="15" ht="15.6" customHeight="1">
      <c r="A15" s="178" t="inlineStr">
        <is>
          <t xml:space="preserve">       经营活动产生的现金流量净额</t>
        </is>
      </c>
      <c r="B15" s="226" t="n"/>
      <c r="C15" s="227">
        <f>C9-C14</f>
        <v/>
      </c>
      <c r="D15" s="227">
        <f>D9-D14</f>
        <v/>
      </c>
    </row>
    <row r="16" ht="15.6" customHeight="1">
      <c r="A16" s="178" t="inlineStr">
        <is>
          <t>二、投资活动产生的现金流量：</t>
        </is>
      </c>
      <c r="B16" s="217" t="n"/>
      <c r="C16" s="186" t="n"/>
      <c r="D16" s="186" t="n"/>
    </row>
    <row r="17" ht="15.6" customHeight="1">
      <c r="A17" s="176" t="inlineStr">
        <is>
          <t xml:space="preserve">    收回投资收到的现金</t>
        </is>
      </c>
      <c r="B17" s="226" t="n"/>
      <c r="C17" s="186" t="inlineStr">
        <is>
          <t>{{row:CFS-013:current}}</t>
        </is>
      </c>
      <c r="D17" s="186" t="inlineStr">
        <is>
          <t>{{row:CFS-013:prior}}</t>
        </is>
      </c>
    </row>
    <row r="18" ht="15.6" customHeight="1">
      <c r="A18" s="176" t="inlineStr">
        <is>
          <t xml:space="preserve">    取得投资收益收到的现金</t>
        </is>
      </c>
      <c r="B18" s="217" t="n"/>
      <c r="C18" s="186" t="inlineStr">
        <is>
          <t>{{row:CFS-014:current}}</t>
        </is>
      </c>
      <c r="D18" s="186" t="inlineStr">
        <is>
          <t>{{row:CFS-014:prior}}</t>
        </is>
      </c>
    </row>
    <row r="19" ht="32.1" customHeight="1">
      <c r="A19" s="177" t="inlineStr">
        <is>
          <t xml:space="preserve">    处置固定资产、无形资产和其他长期资产收回的
    现金净额</t>
        </is>
      </c>
      <c r="B19" s="217" t="n"/>
      <c r="C19" s="186" t="inlineStr">
        <is>
          <t>{{row:CFS-015:current}}</t>
        </is>
      </c>
      <c r="D19" s="186" t="inlineStr">
        <is>
          <t>{{row:CFS-015:prior}}</t>
        </is>
      </c>
    </row>
    <row r="20" ht="15.6" customHeight="1">
      <c r="A20" s="176" t="inlineStr">
        <is>
          <t xml:space="preserve">    处置子公司及其他营业单位收到的现金净额</t>
        </is>
      </c>
      <c r="B20" s="217" t="n"/>
      <c r="C20" s="186" t="inlineStr">
        <is>
          <t>{{row:CFS-016:current}}</t>
        </is>
      </c>
      <c r="D20" s="186" t="inlineStr">
        <is>
          <t>{{row:CFS-016:prior}}</t>
        </is>
      </c>
    </row>
    <row r="21" ht="15.6" customHeight="1">
      <c r="A21" s="176" t="inlineStr">
        <is>
          <t xml:space="preserve">    收到其他与投资活动有关的现金</t>
        </is>
      </c>
      <c r="B21" s="217" t="n"/>
      <c r="C21" s="186" t="inlineStr">
        <is>
          <t>{{row:CFS-017:current}}</t>
        </is>
      </c>
      <c r="D21" s="186" t="inlineStr">
        <is>
          <t>{{row:CFS-017:prior}}</t>
        </is>
      </c>
    </row>
    <row r="22" ht="15.6" customHeight="1">
      <c r="A22" s="176" t="inlineStr">
        <is>
          <t xml:space="preserve">       投资活动现金流入小计</t>
        </is>
      </c>
      <c r="B22" s="217" t="n"/>
      <c r="C22" s="186">
        <f>SUM(C17:C21)</f>
        <v/>
      </c>
      <c r="D22" s="186">
        <f>SUM(D17:D21)</f>
        <v/>
      </c>
    </row>
    <row r="23" ht="32.1" customHeight="1">
      <c r="A23" s="82" t="inlineStr">
        <is>
          <t xml:space="preserve">    购建固定资产、无形资产和其他长期资产支付的现金 </t>
        </is>
      </c>
      <c r="B23" s="217" t="n"/>
      <c r="C23" s="186" t="inlineStr">
        <is>
          <t>{{row:CFS-019:current}}</t>
        </is>
      </c>
      <c r="D23" s="186" t="inlineStr">
        <is>
          <t>{{row:CFS-019:prior}}</t>
        </is>
      </c>
    </row>
    <row r="24" ht="15.6" customHeight="1">
      <c r="A24" s="176" t="inlineStr">
        <is>
          <t xml:space="preserve">    投资支付的现金</t>
        </is>
      </c>
      <c r="B24" s="217" t="n"/>
      <c r="C24" s="186" t="inlineStr">
        <is>
          <t>{{row:CFS-020:current}}</t>
        </is>
      </c>
      <c r="D24" s="186" t="inlineStr">
        <is>
          <t>{{row:CFS-020:prior}}</t>
        </is>
      </c>
    </row>
    <row r="25" ht="15.6" customHeight="1">
      <c r="A25" s="176" t="inlineStr">
        <is>
          <t xml:space="preserve">    取得子公司及其他营业单位支付的现金净额</t>
        </is>
      </c>
      <c r="B25" s="217" t="n"/>
      <c r="C25" s="186" t="inlineStr">
        <is>
          <t>{{row:CFS-021:current}}</t>
        </is>
      </c>
      <c r="D25" s="186" t="inlineStr">
        <is>
          <t>{{row:CFS-021:prior}}</t>
        </is>
      </c>
    </row>
    <row r="26" ht="15.6" customHeight="1">
      <c r="A26" s="176" t="inlineStr">
        <is>
          <t xml:space="preserve">    支付其他与投资活动有关的现金</t>
        </is>
      </c>
      <c r="B26" s="217" t="n"/>
      <c r="C26" s="186" t="inlineStr">
        <is>
          <t>{{row:CFS-022:current}}</t>
        </is>
      </c>
      <c r="D26" s="186" t="inlineStr">
        <is>
          <t>{{row:CFS-022:prior}}</t>
        </is>
      </c>
    </row>
    <row r="27" ht="15.6" customHeight="1">
      <c r="A27" s="176" t="inlineStr">
        <is>
          <t xml:space="preserve">       投资活动现金流出小计</t>
        </is>
      </c>
      <c r="B27" s="226" t="n"/>
      <c r="C27" s="227">
        <f>SUM(C23:C26)</f>
        <v/>
      </c>
      <c r="D27" s="227">
        <f>SUM(D23:D26)</f>
        <v/>
      </c>
    </row>
    <row r="28" ht="15.6" customHeight="1">
      <c r="A28" s="178" t="inlineStr">
        <is>
          <t xml:space="preserve">       投资活动产生的现金流量净额</t>
        </is>
      </c>
      <c r="B28" s="217" t="n"/>
      <c r="C28" s="186">
        <f>C22-C27</f>
        <v/>
      </c>
      <c r="D28" s="186">
        <f>D22-D27</f>
        <v/>
      </c>
    </row>
    <row r="29" ht="15.6" customHeight="1">
      <c r="A29" s="178" t="inlineStr">
        <is>
          <t>三、筹资活动产生的现金流量：</t>
        </is>
      </c>
      <c r="B29" s="226" t="n"/>
      <c r="C29" s="186" t="n"/>
      <c r="D29" s="186" t="n"/>
    </row>
    <row r="30" ht="15.6" customHeight="1">
      <c r="A30" s="176" t="inlineStr">
        <is>
          <t xml:space="preserve">    吸收投资收到的现金</t>
        </is>
      </c>
      <c r="B30" s="217" t="n"/>
      <c r="C30" s="186" t="inlineStr">
        <is>
          <t>{{row:CFS-026:current}}</t>
        </is>
      </c>
      <c r="D30" s="186" t="inlineStr">
        <is>
          <t>{{row:CFS-026:prior}}</t>
        </is>
      </c>
    </row>
    <row r="31" ht="15.6" customHeight="1">
      <c r="A31" s="83" t="inlineStr">
        <is>
          <t xml:space="preserve">      其中：子公司吸收少数股东投资收到的现金</t>
        </is>
      </c>
      <c r="B31" s="217" t="n"/>
      <c r="C31" s="186" t="inlineStr">
        <is>
          <t>{{row:CFS-027:current}}</t>
        </is>
      </c>
      <c r="D31" s="186" t="inlineStr">
        <is>
          <t>{{row:CFS-027:prior}}</t>
        </is>
      </c>
    </row>
    <row r="32" ht="15.6" customHeight="1">
      <c r="A32" s="176" t="inlineStr">
        <is>
          <t xml:space="preserve">    取得借款收到的现金</t>
        </is>
      </c>
      <c r="B32" s="217" t="n"/>
      <c r="C32" s="186" t="inlineStr">
        <is>
          <t>{{row:CFS-028:current}}</t>
        </is>
      </c>
      <c r="D32" s="186" t="inlineStr">
        <is>
          <t>{{row:CFS-028:prior}}</t>
        </is>
      </c>
    </row>
    <row r="33" ht="15.6" customHeight="1">
      <c r="A33" s="84" t="inlineStr">
        <is>
          <t xml:space="preserve">  发行债券收到的现金</t>
        </is>
      </c>
      <c r="B33" s="217" t="n"/>
      <c r="C33" s="186" t="inlineStr">
        <is>
          <t>{{row:CFS-029:current}}</t>
        </is>
      </c>
      <c r="D33" s="186" t="inlineStr">
        <is>
          <t>{{row:CFS-029:prior}}</t>
        </is>
      </c>
    </row>
    <row r="34" ht="15.6" customHeight="1">
      <c r="A34" s="176" t="inlineStr">
        <is>
          <t xml:space="preserve">    收到其他与筹资活动有关的现金</t>
        </is>
      </c>
      <c r="B34" s="217" t="n"/>
      <c r="C34" s="186" t="inlineStr">
        <is>
          <t>{{row:CFS-030:current}}</t>
        </is>
      </c>
      <c r="D34" s="186" t="inlineStr">
        <is>
          <t>{{row:CFS-030:prior}}</t>
        </is>
      </c>
    </row>
    <row r="35" ht="15.6" customHeight="1">
      <c r="A35" s="176" t="inlineStr">
        <is>
          <t xml:space="preserve">       筹资活动现金流入小计</t>
        </is>
      </c>
      <c r="B35" s="217" t="n"/>
      <c r="C35" s="186">
        <f>SUM(C30:C34)-C31</f>
        <v/>
      </c>
      <c r="D35" s="186">
        <f>SUM(D30:D34)-D31</f>
        <v/>
      </c>
    </row>
    <row r="36" ht="15.6" customHeight="1">
      <c r="A36" s="176" t="inlineStr">
        <is>
          <t xml:space="preserve">    偿还债务支付的现金</t>
        </is>
      </c>
      <c r="B36" s="217" t="n"/>
      <c r="C36" s="186" t="inlineStr">
        <is>
          <t>{{row:CFS-032:current}}</t>
        </is>
      </c>
      <c r="D36" s="186" t="inlineStr">
        <is>
          <t>{{row:CFS-032:prior}}</t>
        </is>
      </c>
    </row>
    <row r="37" ht="15.6" customHeight="1">
      <c r="A37" s="176" t="inlineStr">
        <is>
          <t xml:space="preserve">    分配股利、利润或偿付利息支付的现金</t>
        </is>
      </c>
      <c r="B37" s="217" t="n"/>
      <c r="C37" s="186" t="inlineStr">
        <is>
          <t>{{row:CFS-033:current}}</t>
        </is>
      </c>
      <c r="D37" s="186" t="inlineStr">
        <is>
          <t>{{row:CFS-033:prior}}</t>
        </is>
      </c>
    </row>
    <row r="38" ht="15.6" customHeight="1">
      <c r="A38" s="85" t="inlineStr">
        <is>
          <t xml:space="preserve">      其中：子公司支付少数股东的股利、利润</t>
        </is>
      </c>
      <c r="B38" s="217" t="n"/>
      <c r="C38" s="186" t="inlineStr">
        <is>
          <t>{{row:CFS-034:current}}</t>
        </is>
      </c>
      <c r="D38" s="217" t="inlineStr">
        <is>
          <t>{{row:CFS-034:prior}}</t>
        </is>
      </c>
    </row>
    <row r="39" ht="15.6" customHeight="1">
      <c r="A39" s="176" t="inlineStr">
        <is>
          <t xml:space="preserve">    支付其他与筹资活动有关的现金</t>
        </is>
      </c>
      <c r="B39" s="217" t="n"/>
      <c r="C39" s="186" t="inlineStr">
        <is>
          <t>{{row:CFS-035:current}}</t>
        </is>
      </c>
      <c r="D39" s="186" t="inlineStr">
        <is>
          <t>{{row:CFS-035:prior}}</t>
        </is>
      </c>
    </row>
    <row r="40" ht="15.6" customHeight="1">
      <c r="A40" s="176" t="inlineStr">
        <is>
          <t xml:space="preserve">       筹资活动现金流出小计</t>
        </is>
      </c>
      <c r="B40" s="217" t="n"/>
      <c r="C40" s="227">
        <f>SUM(C36:C39)-C38</f>
        <v/>
      </c>
      <c r="D40" s="227">
        <f>SUM(D36:D39)-D38</f>
        <v/>
      </c>
    </row>
    <row r="41" ht="15.6" customHeight="1">
      <c r="A41" s="178" t="inlineStr">
        <is>
          <t xml:space="preserve">       筹资活动产生的现金流量净额</t>
        </is>
      </c>
      <c r="B41" s="217" t="n"/>
      <c r="C41" s="186">
        <f>C35-C40</f>
        <v/>
      </c>
      <c r="D41" s="186">
        <f>D35-D40</f>
        <v/>
      </c>
    </row>
    <row r="42" ht="15.6" customHeight="1">
      <c r="A42" s="178" t="inlineStr">
        <is>
          <t>四、汇率变动对现金及现金等价物的影响</t>
        </is>
      </c>
      <c r="B42" s="226" t="n"/>
      <c r="C42" s="227" t="inlineStr">
        <is>
          <t>{{row:CFS-038:current}}</t>
        </is>
      </c>
      <c r="D42" s="227" t="inlineStr">
        <is>
          <t>{{row:CFS-038:prior}}</t>
        </is>
      </c>
    </row>
    <row r="43" ht="15.6" customHeight="1">
      <c r="A43" s="178" t="inlineStr">
        <is>
          <t>五、现金及现金等价物净增加额</t>
        </is>
      </c>
      <c r="B43" s="217" t="n"/>
      <c r="C43" s="186" t="inlineStr">
        <is>
          <t>{{row:CFS-039:current}}</t>
        </is>
      </c>
      <c r="D43" s="186" t="inlineStr">
        <is>
          <t>{{row:CFS-039:prior}}</t>
        </is>
      </c>
    </row>
    <row r="44" ht="15.6" customHeight="1">
      <c r="A44" s="176" t="inlineStr">
        <is>
          <t xml:space="preserve">    加：期初现金及现金等价物余额</t>
        </is>
      </c>
      <c r="B44" s="217" t="n"/>
      <c r="C44" s="227" t="inlineStr">
        <is>
          <t>{{row:CFS-040:current}}</t>
        </is>
      </c>
      <c r="D44" s="227" t="inlineStr">
        <is>
          <t>{{row:CFS-040:prior}}</t>
        </is>
      </c>
    </row>
    <row r="45" ht="15.6" customHeight="1">
      <c r="A45" s="86" t="inlineStr">
        <is>
          <t>六、期末现金及现金等价物余额</t>
        </is>
      </c>
      <c r="B45" s="190" t="n"/>
      <c r="C45" s="191">
        <f>C43+C44</f>
        <v/>
      </c>
      <c r="D45" s="191">
        <f>D43+D44</f>
        <v/>
      </c>
    </row>
    <row r="46">
      <c r="A46" s="138" t="n"/>
      <c r="D46" s="182" t="n"/>
    </row>
    <row r="47" ht="22.35" customFormat="1" customHeight="1" s="60">
      <c r="A47" s="90" t="inlineStr">
        <is>
          <t>公司法定代表人：         主管会计工作的公司负责人：          公司会计机构负责人：</t>
        </is>
      </c>
      <c r="B47" s="90" t="n"/>
      <c r="D47" s="91" t="n"/>
    </row>
    <row r="49" ht="65.25" customHeight="1">
      <c r="A49" s="92" t="inlineStr">
        <is>
          <t>【提示：根据财政部2020年报通知（财会〔2021〕2号）：企业对不存在相应业务的报表项目可结合本企业的实际情况进行必要删减，企业根据重要性原则并结合本企业的实际情况，对确需单独列示的内容可增加报表项目。例如，可以在合并现金流量表中“筹资活动产生的现金流量”项下增加“发行债券收到的现金”项目。】</t>
        </is>
      </c>
    </row>
    <row r="50" ht="63" customHeight="1">
      <c r="A50" s="92" t="inlineStr">
        <is>
          <t>【提示：根据《关于严格执行企业会计准则切实做好企业2022年年报工作的通知》（财会〔2022〕32号），企业收到或缴回留抵退税款项产生的现金流量，属于经营活动产生的现金流量，应将收到的留抵退税款项有关现金流量在“收到的税费返还”项目列示。】</t>
        </is>
      </c>
    </row>
    <row r="51" ht="40.35" customHeight="1">
      <c r="A51" s="92" t="inlineStr">
        <is>
          <t>【提示：对于因收购的标的公司未达业绩承诺而支付的业绩补偿款，应分类为投资活动现金流量。对一般非金融企业而言，如果定期存款质押目的是为了获取短期借款，相关现金流量应被分类为筹资活动现金流量。】</t>
        </is>
      </c>
    </row>
  </sheetData>
  <mergeCells count="5">
    <mergeCell ref="A1:D1"/>
    <mergeCell ref="A50:D50"/>
    <mergeCell ref="A51:D51"/>
    <mergeCell ref="A2:D2"/>
    <mergeCell ref="A49:D49"/>
  </mergeCells>
  <printOptions horizontalCentered="1"/>
  <pageMargins left="0.7086614173228351" right="0.7086614173228351" top="0.905511811023622" bottom="0.78740157480315" header="0.511811023622047" footer="0.511811023622047"/>
  <pageSetup orientation="portrait" paperSize="9" scale="73" horizontalDpi="600" verticalDpi="600"/>
  <headerFooter alignWithMargins="0">
    <oddHeader/>
    <oddFooter>&amp;C&amp;"Arial Narrow,常规"4</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37"/>
  <sheetViews>
    <sheetView tabSelected="1" view="pageBreakPreview" zoomScaleNormal="85" workbookViewId="0">
      <selection activeCell="B9" sqref="B9"/>
    </sheetView>
  </sheetViews>
  <sheetFormatPr baseColWidth="8" defaultColWidth="8.800000000000001" defaultRowHeight="15.6"/>
  <cols>
    <col width="46.625" customWidth="1" style="6" min="1" max="1"/>
    <col width="12.625" customWidth="1" style="58" min="2" max="6"/>
    <col width="11.625" customWidth="1" style="58" min="7" max="8"/>
    <col width="12.625" customWidth="1" style="58" min="9" max="10"/>
    <col width="13.625" customWidth="1" style="58" min="11" max="11"/>
    <col width="15.625" customWidth="1" style="58" min="12" max="12"/>
    <col width="12.625" customWidth="1" style="58" min="13" max="17"/>
    <col width="11.625" customWidth="1" style="58" min="18" max="19"/>
    <col width="12.625" customWidth="1" style="58" min="20" max="21"/>
    <col width="13.625" customWidth="1" style="58" min="22" max="22"/>
    <col width="15.625" customWidth="1" style="58" min="23" max="23"/>
    <col width="9" customWidth="1" style="58" min="24" max="32"/>
    <col width="8.800000000000001" customWidth="1" style="58" min="33" max="16384"/>
  </cols>
  <sheetData>
    <row r="1" ht="32.1" customFormat="1" customHeight="1" s="6">
      <c r="B1" s="5" t="inlineStr">
        <is>
          <t xml:space="preserve">                    公司股东（或所有者）权益变动表</t>
        </is>
      </c>
      <c r="M1" s="5" t="inlineStr">
        <is>
          <t xml:space="preserve">                    公司股东权益变动表</t>
        </is>
      </c>
    </row>
    <row r="2" ht="24" customFormat="1" customHeight="1" s="58">
      <c r="A2" s="6" t="n"/>
      <c r="B2" s="7" t="n"/>
      <c r="C2" s="7" t="n"/>
      <c r="D2" s="7" t="n"/>
      <c r="E2" s="7" t="n"/>
      <c r="F2" s="7" t="n"/>
      <c r="G2" s="8" t="inlineStr">
        <is>
          <t>{{audit_year}}年度</t>
        </is>
      </c>
      <c r="H2" s="7" t="n"/>
      <c r="J2" s="7" t="n"/>
      <c r="K2" s="7" t="n"/>
      <c r="L2" s="7" t="n"/>
      <c r="M2" s="7" t="n"/>
      <c r="N2" s="7" t="n"/>
      <c r="O2" s="7" t="n"/>
      <c r="P2" s="7" t="n"/>
      <c r="Q2" s="7" t="n"/>
      <c r="R2" s="8" t="inlineStr">
        <is>
          <t>2025年度</t>
        </is>
      </c>
      <c r="S2" s="7" t="n"/>
      <c r="U2" s="7" t="n"/>
      <c r="V2" s="7" t="n"/>
      <c r="W2" s="7" t="n"/>
    </row>
    <row r="3" ht="21" customFormat="1" customHeight="1" s="58">
      <c r="A3" s="6" t="inlineStr">
        <is>
          <t>编制单位：{{company_full_name}}</t>
        </is>
      </c>
      <c r="I3" s="9" t="n"/>
      <c r="L3" s="10" t="inlineStr">
        <is>
          <t>单位：{{currency_unit}}</t>
        </is>
      </c>
      <c r="T3" s="9" t="n"/>
      <c r="W3" s="10" t="inlineStr">
        <is>
          <t>单位：人民币元</t>
        </is>
      </c>
    </row>
    <row r="4" ht="20.25" customFormat="1" customHeight="1" s="58">
      <c r="A4" s="228" t="inlineStr">
        <is>
          <t>项  目</t>
        </is>
      </c>
      <c r="B4" s="12" t="inlineStr">
        <is>
          <t>本年金额</t>
        </is>
      </c>
      <c r="C4" s="229" t="n"/>
      <c r="D4" s="229" t="n"/>
      <c r="E4" s="229" t="n"/>
      <c r="F4" s="229" t="n"/>
      <c r="G4" s="229" t="n"/>
      <c r="H4" s="229" t="n"/>
      <c r="I4" s="229" t="n"/>
      <c r="J4" s="229" t="n"/>
      <c r="K4" s="229" t="n"/>
      <c r="L4" s="229" t="n"/>
      <c r="M4" s="14" t="inlineStr">
        <is>
          <t>上年金额</t>
        </is>
      </c>
      <c r="N4" s="229" t="n"/>
      <c r="O4" s="229" t="n"/>
      <c r="P4" s="229" t="n"/>
      <c r="Q4" s="229" t="n"/>
      <c r="R4" s="229" t="n"/>
      <c r="S4" s="229" t="n"/>
      <c r="T4" s="229" t="n"/>
      <c r="U4" s="229" t="n"/>
      <c r="V4" s="229" t="n"/>
      <c r="W4" s="229" t="n"/>
    </row>
    <row r="5" ht="29.25" customFormat="1" customHeight="1" s="58">
      <c r="A5" s="230" t="n"/>
      <c r="B5" s="231" t="inlineStr">
        <is>
          <t>股本</t>
        </is>
      </c>
      <c r="C5" s="232" t="inlineStr">
        <is>
          <t>其他权益工具</t>
        </is>
      </c>
      <c r="D5" s="229" t="n"/>
      <c r="E5" s="233" t="n"/>
      <c r="F5" s="231" t="inlineStr">
        <is>
          <t>资本公积</t>
        </is>
      </c>
      <c r="G5" s="231" t="inlineStr">
        <is>
          <t>减：库存股</t>
        </is>
      </c>
      <c r="H5" s="232" t="inlineStr">
        <is>
          <t>其他综合
收益</t>
        </is>
      </c>
      <c r="I5" s="234" t="inlineStr">
        <is>
          <t>专项储备</t>
        </is>
      </c>
      <c r="J5" s="231" t="inlineStr">
        <is>
          <t>盈余公积</t>
        </is>
      </c>
      <c r="K5" s="231" t="inlineStr">
        <is>
          <t>未分配利润</t>
        </is>
      </c>
      <c r="L5" s="235" t="inlineStr">
        <is>
          <t>股东权益合计</t>
        </is>
      </c>
      <c r="M5" s="231" t="inlineStr">
        <is>
          <t>股本</t>
        </is>
      </c>
      <c r="N5" s="232" t="inlineStr">
        <is>
          <t>其他权益工具</t>
        </is>
      </c>
      <c r="O5" s="229" t="n"/>
      <c r="P5" s="233" t="n"/>
      <c r="Q5" s="231" t="inlineStr">
        <is>
          <t>资本公积</t>
        </is>
      </c>
      <c r="R5" s="231" t="inlineStr">
        <is>
          <t>减：库存股</t>
        </is>
      </c>
      <c r="S5" s="232" t="inlineStr">
        <is>
          <t>其他综合
收益</t>
        </is>
      </c>
      <c r="T5" s="231" t="inlineStr">
        <is>
          <t>专项储备</t>
        </is>
      </c>
      <c r="U5" s="231" t="inlineStr">
        <is>
          <t>盈余公积</t>
        </is>
      </c>
      <c r="V5" s="231" t="inlineStr">
        <is>
          <t>未分配利润</t>
        </is>
      </c>
      <c r="W5" s="235" t="inlineStr">
        <is>
          <t>股东权益合计</t>
        </is>
      </c>
    </row>
    <row r="6" ht="27" customFormat="1" customHeight="1" s="58">
      <c r="A6" s="236" t="n"/>
      <c r="B6" s="237" t="n"/>
      <c r="C6" s="25" t="inlineStr">
        <is>
          <t>优先股</t>
        </is>
      </c>
      <c r="D6" s="25" t="inlineStr">
        <is>
          <t>永续债</t>
        </is>
      </c>
      <c r="E6" s="25" t="inlineStr">
        <is>
          <t>其他</t>
        </is>
      </c>
      <c r="F6" s="237" t="n"/>
      <c r="G6" s="237" t="n"/>
      <c r="H6" s="237" t="n"/>
      <c r="I6" s="236" t="n"/>
      <c r="J6" s="237" t="n"/>
      <c r="K6" s="237" t="n"/>
      <c r="L6" s="238" t="n"/>
      <c r="M6" s="237" t="n"/>
      <c r="N6" s="25" t="inlineStr">
        <is>
          <t>优先股</t>
        </is>
      </c>
      <c r="O6" s="25" t="inlineStr">
        <is>
          <t>永续债</t>
        </is>
      </c>
      <c r="P6" s="25" t="inlineStr">
        <is>
          <t>其他</t>
        </is>
      </c>
      <c r="Q6" s="237" t="n"/>
      <c r="R6" s="237" t="n"/>
      <c r="S6" s="237" t="n"/>
      <c r="T6" s="237" t="n"/>
      <c r="U6" s="237" t="n"/>
      <c r="V6" s="237" t="n"/>
      <c r="W6" s="238" t="n"/>
    </row>
    <row r="7" ht="18" customFormat="1" customHeight="1" s="58">
      <c r="A7" s="27" t="inlineStr">
        <is>
          <t>一、上年年末余额</t>
        </is>
      </c>
      <c r="B7" s="239" t="inlineStr">
        <is>
          <t>{{eq:EQ-001:current_year:share_capital}}</t>
        </is>
      </c>
      <c r="C7" s="240" t="inlineStr">
        <is>
          <t>{{eq:EQ-001:current_year:other_equity_instrument}}</t>
        </is>
      </c>
      <c r="D7" s="240" t="inlineStr">
        <is>
          <t>{{eq:EQ-001:current_year:perpetual_bond}}</t>
        </is>
      </c>
      <c r="E7" s="240" t="n"/>
      <c r="F7" s="240" t="inlineStr">
        <is>
          <t>{{eq:EQ-001:current_year:capital_reserve}}</t>
        </is>
      </c>
      <c r="G7" s="239" t="inlineStr">
        <is>
          <t>{{eq:EQ-001:current_year:treasury_stock}}</t>
        </is>
      </c>
      <c r="H7" s="241" t="inlineStr">
        <is>
          <t>{{eq:EQ-001:current_year:other_comprehensive_income}}</t>
        </is>
      </c>
      <c r="I7" s="240" t="inlineStr">
        <is>
          <t>{{eq:EQ-001:current_year:special_reserve}}</t>
        </is>
      </c>
      <c r="J7" s="239" t="inlineStr">
        <is>
          <t>{{eq:EQ-001:current_year:surplus_reserve}}</t>
        </is>
      </c>
      <c r="K7" s="239" t="inlineStr">
        <is>
          <t>{{eq:EQ-001:current_year:retained_earnings}}</t>
        </is>
      </c>
      <c r="L7" s="242">
        <f>B7+C7+D7+E7+F7-G7+H7+I7+J7+K7</f>
        <v/>
      </c>
      <c r="M7" s="240" t="inlineStr">
        <is>
          <t>{{eq:EQ-001:prior_year:share_capital}}</t>
        </is>
      </c>
      <c r="N7" s="243" t="inlineStr">
        <is>
          <t>{{eq:EQ-001:prior_year:other_equity_instrument}}</t>
        </is>
      </c>
      <c r="O7" s="241" t="inlineStr">
        <is>
          <t>{{eq:EQ-001:prior_year:perpetual_bond}}</t>
        </is>
      </c>
      <c r="P7" s="241" t="n"/>
      <c r="Q7" s="241" t="inlineStr">
        <is>
          <t>{{eq:EQ-001:prior_year:capital_reserve}}</t>
        </is>
      </c>
      <c r="R7" s="241" t="inlineStr">
        <is>
          <t>{{eq:EQ-001:prior_year:treasury_stock}}</t>
        </is>
      </c>
      <c r="S7" s="243" t="inlineStr">
        <is>
          <t>{{eq:EQ-001:prior_year:other_comprehensive_income}}</t>
        </is>
      </c>
      <c r="T7" s="243" t="inlineStr">
        <is>
          <t>{{eq:EQ-001:prior_year:special_reserve}}</t>
        </is>
      </c>
      <c r="U7" s="241" t="inlineStr">
        <is>
          <t>{{eq:EQ-001:prior_year:surplus_reserve}}</t>
        </is>
      </c>
      <c r="V7" s="239" t="inlineStr">
        <is>
          <t>{{eq:EQ-001:prior_year:retained_earnings}}</t>
        </is>
      </c>
      <c r="W7" s="243">
        <f>M7+N7+O7+P7+Q7-R7+S7+T7+U7+V7</f>
        <v/>
      </c>
    </row>
    <row r="8" ht="18" customFormat="1" customHeight="1" s="58">
      <c r="A8" s="42" t="inlineStr">
        <is>
          <t xml:space="preserve">  加：会计政策变更</t>
        </is>
      </c>
      <c r="B8" s="244" t="inlineStr">
        <is>
          <t>{{eq:EQ-002:current_year:share_capital}}</t>
        </is>
      </c>
      <c r="C8" s="244" t="inlineStr">
        <is>
          <t>{{eq:EQ-002:current_year:other_equity_instrument}}</t>
        </is>
      </c>
      <c r="D8" s="244" t="inlineStr">
        <is>
          <t>{{eq:EQ-002:current_year:perpetual_bond}}</t>
        </is>
      </c>
      <c r="E8" s="244" t="n"/>
      <c r="F8" s="244" t="inlineStr">
        <is>
          <t>{{eq:EQ-002:current_year:capital_reserve}}</t>
        </is>
      </c>
      <c r="G8" s="244" t="inlineStr">
        <is>
          <t>{{eq:EQ-002:current_year:treasury_stock}}</t>
        </is>
      </c>
      <c r="H8" s="244" t="inlineStr">
        <is>
          <t>{{eq:EQ-002:current_year:other_comprehensive_income}}</t>
        </is>
      </c>
      <c r="I8" s="245" t="inlineStr">
        <is>
          <t>{{eq:EQ-002:current_year:special_reserve}}</t>
        </is>
      </c>
      <c r="J8" s="244" t="inlineStr">
        <is>
          <t>{{eq:EQ-002:current_year:surplus_reserve}}</t>
        </is>
      </c>
      <c r="K8" s="244" t="inlineStr">
        <is>
          <t>{{eq:EQ-002:current_year:retained_earnings}}</t>
        </is>
      </c>
      <c r="L8" s="243">
        <f>B8+C8+D8+E8+F8-G8+H8+I8+J8+K8</f>
        <v/>
      </c>
      <c r="M8" s="245" t="inlineStr">
        <is>
          <t>{{eq:EQ-002:prior_year:share_capital}}</t>
        </is>
      </c>
      <c r="N8" s="246" t="inlineStr">
        <is>
          <t>{{eq:EQ-002:prior_year:other_equity_instrument}}</t>
        </is>
      </c>
      <c r="O8" s="239" t="inlineStr">
        <is>
          <t>{{eq:EQ-002:prior_year:perpetual_bond}}</t>
        </is>
      </c>
      <c r="P8" s="239" t="n"/>
      <c r="Q8" s="239" t="inlineStr">
        <is>
          <t>{{eq:EQ-002:prior_year:capital_reserve}}</t>
        </is>
      </c>
      <c r="R8" s="239" t="inlineStr">
        <is>
          <t>{{eq:EQ-002:prior_year:treasury_stock}}</t>
        </is>
      </c>
      <c r="S8" s="243" t="inlineStr">
        <is>
          <t>{{eq:EQ-002:prior_year:other_comprehensive_income}}</t>
        </is>
      </c>
      <c r="T8" s="243" t="inlineStr">
        <is>
          <t>{{eq:EQ-002:prior_year:special_reserve}}</t>
        </is>
      </c>
      <c r="U8" s="239" t="inlineStr">
        <is>
          <t>{{eq:EQ-002:prior_year:surplus_reserve}}</t>
        </is>
      </c>
      <c r="V8" s="239" t="inlineStr">
        <is>
          <t>{{eq:EQ-002:prior_year:retained_earnings}}</t>
        </is>
      </c>
      <c r="W8" s="243">
        <f>M8+N8+O8+P8+Q8-R8+S8+T8+U8+V8</f>
        <v/>
      </c>
    </row>
    <row r="9" ht="18" customFormat="1" customHeight="1" s="58">
      <c r="A9" s="42" t="inlineStr">
        <is>
          <t xml:space="preserve">           前期差错更正</t>
        </is>
      </c>
      <c r="B9" s="244" t="inlineStr">
        <is>
          <t>{{eq:EQ-003:current_year:share_capital}}</t>
        </is>
      </c>
      <c r="C9" s="244" t="inlineStr">
        <is>
          <t>{{eq:EQ-003:current_year:other_equity_instrument}}</t>
        </is>
      </c>
      <c r="D9" s="244" t="inlineStr">
        <is>
          <t>{{eq:EQ-003:current_year:perpetual_bond}}</t>
        </is>
      </c>
      <c r="E9" s="244" t="n"/>
      <c r="F9" s="244" t="inlineStr">
        <is>
          <t>{{eq:EQ-003:current_year:capital_reserve}}</t>
        </is>
      </c>
      <c r="G9" s="244" t="inlineStr">
        <is>
          <t>{{eq:EQ-003:current_year:treasury_stock}}</t>
        </is>
      </c>
      <c r="H9" s="244" t="inlineStr">
        <is>
          <t>{{eq:EQ-003:current_year:other_comprehensive_income}}</t>
        </is>
      </c>
      <c r="I9" s="245" t="inlineStr">
        <is>
          <t>{{eq:EQ-003:current_year:special_reserve}}</t>
        </is>
      </c>
      <c r="J9" s="244" t="inlineStr">
        <is>
          <t>{{eq:EQ-003:current_year:surplus_reserve}}</t>
        </is>
      </c>
      <c r="K9" s="244" t="inlineStr">
        <is>
          <t>{{eq:EQ-003:current_year:retained_earnings}}</t>
        </is>
      </c>
      <c r="L9" s="243">
        <f>B9+C9+D9+E9+F9-G9+H9+I9+J9+K9</f>
        <v/>
      </c>
      <c r="M9" s="245" t="inlineStr">
        <is>
          <t>{{eq:EQ-003:prior_year:share_capital}}</t>
        </is>
      </c>
      <c r="N9" s="246" t="inlineStr">
        <is>
          <t>{{eq:EQ-003:prior_year:other_equity_instrument}}</t>
        </is>
      </c>
      <c r="O9" s="239" t="inlineStr">
        <is>
          <t>{{eq:EQ-003:prior_year:perpetual_bond}}</t>
        </is>
      </c>
      <c r="P9" s="239" t="n"/>
      <c r="Q9" s="239" t="inlineStr">
        <is>
          <t>{{eq:EQ-003:prior_year:capital_reserve}}</t>
        </is>
      </c>
      <c r="R9" s="239" t="inlineStr">
        <is>
          <t>{{eq:EQ-003:prior_year:treasury_stock}}</t>
        </is>
      </c>
      <c r="S9" s="243" t="inlineStr">
        <is>
          <t>{{eq:EQ-003:prior_year:other_comprehensive_income}}</t>
        </is>
      </c>
      <c r="T9" s="243" t="inlineStr">
        <is>
          <t>{{eq:EQ-003:prior_year:special_reserve}}</t>
        </is>
      </c>
      <c r="U9" s="239" t="inlineStr">
        <is>
          <t>{{eq:EQ-003:prior_year:surplus_reserve}}</t>
        </is>
      </c>
      <c r="V9" s="239" t="inlineStr">
        <is>
          <t>{{eq:EQ-003:prior_year:retained_earnings}}</t>
        </is>
      </c>
      <c r="W9" s="243">
        <f>M9+N9+O9+P9+Q9-R9+S9+T9+U9+V9</f>
        <v/>
      </c>
    </row>
    <row r="10" ht="18" customFormat="1" customHeight="1" s="58">
      <c r="A10" s="42" t="inlineStr">
        <is>
          <t xml:space="preserve">           其他</t>
        </is>
      </c>
      <c r="B10" s="239" t="inlineStr">
        <is>
          <t>{{eq:EQ-004:current_year:share_capital}}</t>
        </is>
      </c>
      <c r="C10" s="240" t="inlineStr">
        <is>
          <t>{{eq:EQ-004:current_year:other_equity_instrument}}</t>
        </is>
      </c>
      <c r="D10" s="240" t="inlineStr">
        <is>
          <t>{{eq:EQ-004:current_year:perpetual_bond}}</t>
        </is>
      </c>
      <c r="E10" s="240" t="n"/>
      <c r="F10" s="240" t="inlineStr">
        <is>
          <t>{{eq:EQ-004:current_year:capital_reserve}}</t>
        </is>
      </c>
      <c r="G10" s="239" t="inlineStr">
        <is>
          <t>{{eq:EQ-004:current_year:treasury_stock}}</t>
        </is>
      </c>
      <c r="H10" s="239" t="inlineStr">
        <is>
          <t>{{eq:EQ-004:current_year:other_comprehensive_income}}</t>
        </is>
      </c>
      <c r="I10" s="247" t="inlineStr">
        <is>
          <t>{{eq:EQ-004:current_year:special_reserve}}</t>
        </is>
      </c>
      <c r="J10" s="239" t="inlineStr">
        <is>
          <t>{{eq:EQ-004:current_year:surplus_reserve}}</t>
        </is>
      </c>
      <c r="K10" s="239" t="inlineStr">
        <is>
          <t>{{eq:EQ-004:current_year:retained_earnings}}</t>
        </is>
      </c>
      <c r="L10" s="243">
        <f>B10+C10+D10+E10+F10-G10+H10+I10+J10+K10</f>
        <v/>
      </c>
      <c r="M10" s="240" t="inlineStr">
        <is>
          <t>{{eq:EQ-004:prior_year:share_capital}}</t>
        </is>
      </c>
      <c r="N10" s="243" t="inlineStr">
        <is>
          <t>{{eq:EQ-004:prior_year:other_equity_instrument}}</t>
        </is>
      </c>
      <c r="O10" s="239" t="inlineStr">
        <is>
          <t>{{eq:EQ-004:prior_year:perpetual_bond}}</t>
        </is>
      </c>
      <c r="P10" s="239" t="n"/>
      <c r="Q10" s="239" t="inlineStr">
        <is>
          <t>{{eq:EQ-004:prior_year:capital_reserve}}</t>
        </is>
      </c>
      <c r="R10" s="239" t="inlineStr">
        <is>
          <t>{{eq:EQ-004:prior_year:treasury_stock}}</t>
        </is>
      </c>
      <c r="S10" s="243" t="inlineStr">
        <is>
          <t>{{eq:EQ-004:prior_year:other_comprehensive_income}}</t>
        </is>
      </c>
      <c r="T10" s="243" t="inlineStr">
        <is>
          <t>{{eq:EQ-004:prior_year:special_reserve}}</t>
        </is>
      </c>
      <c r="U10" s="239" t="inlineStr">
        <is>
          <t>{{eq:EQ-004:prior_year:surplus_reserve}}</t>
        </is>
      </c>
      <c r="V10" s="239" t="inlineStr">
        <is>
          <t>{{eq:EQ-004:prior_year:retained_earnings}}</t>
        </is>
      </c>
      <c r="W10" s="243">
        <f>M10+N10+O10+P10+Q10-R10+S10+T10+U10+V10</f>
        <v/>
      </c>
    </row>
    <row r="11" ht="18" customFormat="1" customHeight="1" s="58">
      <c r="A11" s="27" t="inlineStr">
        <is>
          <t>二、本年年初余额</t>
        </is>
      </c>
      <c r="B11" s="239">
        <f>B7+B10</f>
        <v/>
      </c>
      <c r="C11" s="239">
        <f>C7+C10</f>
        <v/>
      </c>
      <c r="D11" s="239">
        <f>D7+D10</f>
        <v/>
      </c>
      <c r="E11" s="239">
        <f>E7+E10</f>
        <v/>
      </c>
      <c r="F11" s="239">
        <f>F7+F10</f>
        <v/>
      </c>
      <c r="G11" s="239">
        <f>G7+G10</f>
        <v/>
      </c>
      <c r="H11" s="239">
        <f>H7+H10</f>
        <v/>
      </c>
      <c r="I11" s="240">
        <f>I7+I10</f>
        <v/>
      </c>
      <c r="J11" s="239">
        <f>J7+J10</f>
        <v/>
      </c>
      <c r="K11" s="239">
        <f>K7+K10</f>
        <v/>
      </c>
      <c r="L11" s="243">
        <f>B11+C11+D11+E11+F11-G11+H11+I11+J11+K11</f>
        <v/>
      </c>
      <c r="M11" s="240">
        <f>M7+M8+M9+M10</f>
        <v/>
      </c>
      <c r="N11" s="239">
        <f>N7+N8+N9+N10</f>
        <v/>
      </c>
      <c r="O11" s="240">
        <f>O7+O8+O9+O10</f>
        <v/>
      </c>
      <c r="P11" s="239">
        <f>P7+P8+P9+P10</f>
        <v/>
      </c>
      <c r="Q11" s="239">
        <f>Q7+Q8+Q9+Q10</f>
        <v/>
      </c>
      <c r="R11" s="239">
        <f>R7+R8+R9+R10</f>
        <v/>
      </c>
      <c r="S11" s="239">
        <f>S7+S8+S9+S10</f>
        <v/>
      </c>
      <c r="T11" s="239">
        <f>T7+T8+T9+T10</f>
        <v/>
      </c>
      <c r="U11" s="239">
        <f>U7+U8+U9+U10</f>
        <v/>
      </c>
      <c r="V11" s="239">
        <f>V7+V8+V9+V10</f>
        <v/>
      </c>
      <c r="W11" s="243">
        <f>M11+N11+O11+P11+Q11-R11+S11+T11+U11+V11</f>
        <v/>
      </c>
    </row>
    <row r="12" ht="18" customFormat="1" customHeight="1" s="58">
      <c r="A12" s="41" t="inlineStr">
        <is>
          <t>三、本年增减变动金额（减少以“-”号填列）</t>
        </is>
      </c>
      <c r="B12" s="239">
        <f>B13+B14+B19+B24+B31+B34</f>
        <v/>
      </c>
      <c r="C12" s="239">
        <f>C13+C14+C19+C24+C31+C34</f>
        <v/>
      </c>
      <c r="D12" s="239">
        <f>D13+D14+D19+D24+D31+D34</f>
        <v/>
      </c>
      <c r="E12" s="239">
        <f>E13+E14+E19+E24+E31+E34</f>
        <v/>
      </c>
      <c r="F12" s="239">
        <f>F13+F14+F19+F24+F31+F34</f>
        <v/>
      </c>
      <c r="G12" s="239">
        <f>G13+G14+G19+G24+G31+G34</f>
        <v/>
      </c>
      <c r="H12" s="239">
        <f>H13+H14+H19+H24+H31+H34</f>
        <v/>
      </c>
      <c r="I12" s="239">
        <f>I13+I14+I19+I24+I31+I34</f>
        <v/>
      </c>
      <c r="J12" s="239">
        <f>J13+J14+J19+J24+J31+J34</f>
        <v/>
      </c>
      <c r="K12" s="239">
        <f>K13+K14+K19+K24+K31+K34</f>
        <v/>
      </c>
      <c r="L12" s="243">
        <f>B12+C12+D12+E12+F12-G12+H12+I12+J12+K12</f>
        <v/>
      </c>
      <c r="M12" s="240">
        <f>M13+M14+M19+M24+M31+M34</f>
        <v/>
      </c>
      <c r="N12" s="239">
        <f>N13+N14+N19+N24+N31+N34</f>
        <v/>
      </c>
      <c r="O12" s="240">
        <f>O13+O14+O19+O24+O31+O34</f>
        <v/>
      </c>
      <c r="P12" s="239">
        <f>P13+P14+P19+P24+P31+P34</f>
        <v/>
      </c>
      <c r="Q12" s="239">
        <f>Q13+Q14+Q19+Q24+Q31+Q34</f>
        <v/>
      </c>
      <c r="R12" s="239">
        <f>R13+R14+R19+R24+R31+R34</f>
        <v/>
      </c>
      <c r="S12" s="239">
        <f>S13+S14+S19+S24+S31+S34</f>
        <v/>
      </c>
      <c r="T12" s="239">
        <f>T13+T14+T19+T24+T31+T34</f>
        <v/>
      </c>
      <c r="U12" s="239">
        <f>U13+U14+U19+U24+U31+U34</f>
        <v/>
      </c>
      <c r="V12" s="239">
        <f>V13+V14+V19+V24+V31+V34</f>
        <v/>
      </c>
      <c r="W12" s="243">
        <f>M12+N12+O12+P12+Q12-R12+S12+T12+U12+V12</f>
        <v/>
      </c>
    </row>
    <row r="13" ht="18" customFormat="1" customHeight="1" s="58">
      <c r="A13" s="42" t="inlineStr">
        <is>
          <t>（一）综合收益总额</t>
        </is>
      </c>
      <c r="B13" s="239" t="inlineStr">
        <is>
          <t>{{eq:EQ-007:current_year:share_capital}}</t>
        </is>
      </c>
      <c r="C13" s="239" t="inlineStr">
        <is>
          <t>{{eq:EQ-007:current_year:other_equity_instrument}}</t>
        </is>
      </c>
      <c r="D13" s="239" t="inlineStr">
        <is>
          <t>{{eq:EQ-007:current_year:perpetual_bond}}</t>
        </is>
      </c>
      <c r="E13" s="239" t="n"/>
      <c r="F13" s="239" t="inlineStr">
        <is>
          <t>{{eq:EQ-007:current_year:capital_reserve}}</t>
        </is>
      </c>
      <c r="G13" s="239" t="inlineStr">
        <is>
          <t>{{eq:EQ-007:current_year:treasury_stock}}</t>
        </is>
      </c>
      <c r="H13" s="239" t="inlineStr">
        <is>
          <t>{{eq:EQ-007:current_year:other_comprehensive_income}}</t>
        </is>
      </c>
      <c r="I13" s="240" t="inlineStr">
        <is>
          <t>{{eq:EQ-007:current_year:special_reserve}}</t>
        </is>
      </c>
      <c r="J13" s="239" t="inlineStr">
        <is>
          <t>{{eq:EQ-007:current_year:surplus_reserve}}</t>
        </is>
      </c>
      <c r="K13" s="239" t="inlineStr">
        <is>
          <t>{{eq:EQ-007:current_year:retained_earnings}}</t>
        </is>
      </c>
      <c r="L13" s="243">
        <f>B13+C13+D13+E13+F13-G13+H13+I13+J13+K13</f>
        <v/>
      </c>
      <c r="M13" s="240" t="inlineStr">
        <is>
          <t>{{eq:EQ-007:prior_year:share_capital}}</t>
        </is>
      </c>
      <c r="N13" s="239" t="inlineStr">
        <is>
          <t>{{eq:EQ-007:prior_year:other_equity_instrument}}</t>
        </is>
      </c>
      <c r="O13" s="240" t="inlineStr">
        <is>
          <t>{{eq:EQ-007:prior_year:perpetual_bond}}</t>
        </is>
      </c>
      <c r="P13" s="240" t="n"/>
      <c r="Q13" s="240" t="inlineStr">
        <is>
          <t>{{eq:EQ-007:prior_year:capital_reserve}}</t>
        </is>
      </c>
      <c r="R13" s="240" t="inlineStr">
        <is>
          <t>{{eq:EQ-007:prior_year:treasury_stock}}</t>
        </is>
      </c>
      <c r="S13" s="239" t="inlineStr">
        <is>
          <t>{{eq:EQ-007:prior_year:other_comprehensive_income}}</t>
        </is>
      </c>
      <c r="T13" s="243" t="inlineStr">
        <is>
          <t>{{eq:EQ-007:prior_year:special_reserve}}</t>
        </is>
      </c>
      <c r="U13" s="239" t="inlineStr">
        <is>
          <t>{{eq:EQ-007:prior_year:surplus_reserve}}</t>
        </is>
      </c>
      <c r="V13" s="239" t="inlineStr">
        <is>
          <t>{{eq:EQ-007:prior_year:retained_earnings}}</t>
        </is>
      </c>
      <c r="W13" s="243">
        <f>M13+N13+O13+P13+Q13-R13+S13+T13+U13+V13</f>
        <v/>
      </c>
    </row>
    <row r="14" ht="18" customFormat="1" customHeight="1" s="58">
      <c r="A14" s="42" t="inlineStr">
        <is>
          <t>（二）股东（或所有者）投入和减少资本</t>
        </is>
      </c>
      <c r="B14" s="239">
        <f>SUM(B15:B18)</f>
        <v/>
      </c>
      <c r="C14" s="239">
        <f>SUM(C15:C18)</f>
        <v/>
      </c>
      <c r="D14" s="239">
        <f>SUM(D15:D18)</f>
        <v/>
      </c>
      <c r="E14" s="239">
        <f>SUM(E15:E18)</f>
        <v/>
      </c>
      <c r="F14" s="239">
        <f>SUM(F15:F18)</f>
        <v/>
      </c>
      <c r="G14" s="239">
        <f>SUM(G15:G18)</f>
        <v/>
      </c>
      <c r="H14" s="239">
        <f>SUM(H15:H18)</f>
        <v/>
      </c>
      <c r="I14" s="240">
        <f>SUM(I15:I18)</f>
        <v/>
      </c>
      <c r="J14" s="239">
        <f>SUM(J15:J18)</f>
        <v/>
      </c>
      <c r="K14" s="239">
        <f>SUM(K15:K18)</f>
        <v/>
      </c>
      <c r="L14" s="243">
        <f>B14+C14+D14+E14+F14-G14+H14+I14+J14+K14</f>
        <v/>
      </c>
      <c r="M14" s="240">
        <f>SUM(M15:M18)</f>
        <v/>
      </c>
      <c r="N14" s="239">
        <f>SUM(N15:N18)</f>
        <v/>
      </c>
      <c r="O14" s="239">
        <f>SUM(O15:O18)</f>
        <v/>
      </c>
      <c r="P14" s="239">
        <f>SUM(P15:P18)</f>
        <v/>
      </c>
      <c r="Q14" s="239">
        <f>SUM(Q15:Q18)</f>
        <v/>
      </c>
      <c r="R14" s="239">
        <f>SUM(R15:R18)</f>
        <v/>
      </c>
      <c r="S14" s="239">
        <f>SUM(S15:S18)</f>
        <v/>
      </c>
      <c r="T14" s="239">
        <f>SUM(T15:T18)</f>
        <v/>
      </c>
      <c r="U14" s="239">
        <f>SUM(U15:U18)</f>
        <v/>
      </c>
      <c r="V14" s="239">
        <f>SUM(V15:V18)</f>
        <v/>
      </c>
      <c r="W14" s="243">
        <f>M14+N14+O14+P14+Q14-R14+S14+T14+U14+V14</f>
        <v/>
      </c>
    </row>
    <row r="15" ht="18" customFormat="1" customHeight="1" s="58">
      <c r="A15" s="42" t="inlineStr">
        <is>
          <t xml:space="preserve"> 1．股东投入的普通股</t>
        </is>
      </c>
      <c r="B15" s="239" t="inlineStr">
        <is>
          <t>{{eq:EQ-009:current_year:share_capital}}</t>
        </is>
      </c>
      <c r="C15" s="240" t="inlineStr">
        <is>
          <t>{{eq:EQ-009:current_year:other_equity_instrument}}</t>
        </is>
      </c>
      <c r="D15" s="240" t="inlineStr">
        <is>
          <t>{{eq:EQ-009:current_year:perpetual_bond}}</t>
        </is>
      </c>
      <c r="E15" s="240" t="n"/>
      <c r="F15" s="240" t="inlineStr">
        <is>
          <t>{{eq:EQ-009:current_year:capital_reserve}}</t>
        </is>
      </c>
      <c r="G15" s="239" t="inlineStr">
        <is>
          <t>{{eq:EQ-009:current_year:treasury_stock}}</t>
        </is>
      </c>
      <c r="H15" s="239" t="inlineStr">
        <is>
          <t>{{eq:EQ-009:current_year:other_comprehensive_income}}</t>
        </is>
      </c>
      <c r="I15" s="247" t="inlineStr">
        <is>
          <t>{{eq:EQ-009:current_year:special_reserve}}</t>
        </is>
      </c>
      <c r="J15" s="239" t="inlineStr">
        <is>
          <t>{{eq:EQ-009:current_year:surplus_reserve}}</t>
        </is>
      </c>
      <c r="K15" s="239" t="inlineStr">
        <is>
          <t>{{eq:EQ-009:current_year:retained_earnings}}</t>
        </is>
      </c>
      <c r="L15" s="243">
        <f>B15+C15+D15+E15+F15-G15+H15+I15+J15+K15</f>
        <v/>
      </c>
      <c r="M15" s="240" t="inlineStr">
        <is>
          <t>{{eq:EQ-009:prior_year:share_capital}}</t>
        </is>
      </c>
      <c r="N15" s="239" t="inlineStr">
        <is>
          <t>{{eq:EQ-009:prior_year:other_equity_instrument}}</t>
        </is>
      </c>
      <c r="O15" s="240" t="inlineStr">
        <is>
          <t>{{eq:EQ-009:prior_year:perpetual_bond}}</t>
        </is>
      </c>
      <c r="P15" s="240" t="n"/>
      <c r="Q15" s="240" t="inlineStr">
        <is>
          <t>{{eq:EQ-009:prior_year:capital_reserve}}</t>
        </is>
      </c>
      <c r="R15" s="240" t="inlineStr">
        <is>
          <t>{{eq:EQ-009:prior_year:treasury_stock}}</t>
        </is>
      </c>
      <c r="S15" s="240" t="inlineStr">
        <is>
          <t>{{eq:EQ-009:prior_year:other_comprehensive_income}}</t>
        </is>
      </c>
      <c r="T15" s="247" t="inlineStr">
        <is>
          <t>{{eq:EQ-009:prior_year:special_reserve}}</t>
        </is>
      </c>
      <c r="U15" s="239" t="inlineStr">
        <is>
          <t>{{eq:EQ-009:prior_year:surplus_reserve}}</t>
        </is>
      </c>
      <c r="V15" s="239" t="inlineStr">
        <is>
          <t>{{eq:EQ-009:prior_year:retained_earnings}}</t>
        </is>
      </c>
      <c r="W15" s="243">
        <f>M15+N15+O15+P15+Q15-R15+S15+T15+U15+V15</f>
        <v/>
      </c>
    </row>
    <row r="16" ht="18" customFormat="1" customHeight="1" s="58">
      <c r="A16" s="42" t="inlineStr">
        <is>
          <t xml:space="preserve"> 2.  其他权益工具持有者投入资本</t>
        </is>
      </c>
      <c r="B16" s="239" t="inlineStr">
        <is>
          <t>{{eq:EQ-010:current_year:share_capital}}</t>
        </is>
      </c>
      <c r="C16" s="240" t="inlineStr">
        <is>
          <t>{{eq:EQ-010:current_year:other_equity_instrument}}</t>
        </is>
      </c>
      <c r="D16" s="240" t="inlineStr">
        <is>
          <t>{{eq:EQ-010:current_year:perpetual_bond}}</t>
        </is>
      </c>
      <c r="E16" s="240" t="n"/>
      <c r="F16" s="240" t="inlineStr">
        <is>
          <t>{{eq:EQ-010:current_year:capital_reserve}}</t>
        </is>
      </c>
      <c r="G16" s="239" t="inlineStr">
        <is>
          <t>{{eq:EQ-010:current_year:treasury_stock}}</t>
        </is>
      </c>
      <c r="H16" s="239" t="inlineStr">
        <is>
          <t>{{eq:EQ-010:current_year:other_comprehensive_income}}</t>
        </is>
      </c>
      <c r="I16" s="247" t="inlineStr">
        <is>
          <t>{{eq:EQ-010:current_year:special_reserve}}</t>
        </is>
      </c>
      <c r="J16" s="239" t="inlineStr">
        <is>
          <t>{{eq:EQ-010:current_year:surplus_reserve}}</t>
        </is>
      </c>
      <c r="K16" s="239" t="inlineStr">
        <is>
          <t>{{eq:EQ-010:current_year:retained_earnings}}</t>
        </is>
      </c>
      <c r="L16" s="243">
        <f>B16+C16+D16+E16+F16-G16+H16+I16+J16+K16</f>
        <v/>
      </c>
      <c r="M16" s="240" t="inlineStr">
        <is>
          <t>{{eq:EQ-010:prior_year:share_capital}}</t>
        </is>
      </c>
      <c r="N16" s="239" t="inlineStr">
        <is>
          <t>{{eq:EQ-010:prior_year:other_equity_instrument}}</t>
        </is>
      </c>
      <c r="O16" s="240" t="inlineStr">
        <is>
          <t>{{eq:EQ-010:prior_year:perpetual_bond}}</t>
        </is>
      </c>
      <c r="P16" s="240" t="n"/>
      <c r="Q16" s="240" t="inlineStr">
        <is>
          <t>{{eq:EQ-010:prior_year:capital_reserve}}</t>
        </is>
      </c>
      <c r="R16" s="240" t="inlineStr">
        <is>
          <t>{{eq:EQ-010:prior_year:treasury_stock}}</t>
        </is>
      </c>
      <c r="S16" s="240" t="inlineStr">
        <is>
          <t>{{eq:EQ-010:prior_year:other_comprehensive_income}}</t>
        </is>
      </c>
      <c r="T16" s="247" t="inlineStr">
        <is>
          <t>{{eq:EQ-010:prior_year:special_reserve}}</t>
        </is>
      </c>
      <c r="U16" s="239" t="inlineStr">
        <is>
          <t>{{eq:EQ-010:prior_year:surplus_reserve}}</t>
        </is>
      </c>
      <c r="V16" s="239" t="inlineStr">
        <is>
          <t>{{eq:EQ-010:prior_year:retained_earnings}}</t>
        </is>
      </c>
      <c r="W16" s="243">
        <f>M16+N16+O16+P16+Q16-R16+S16+T16+U16+V16</f>
        <v/>
      </c>
    </row>
    <row r="17" ht="18" customFormat="1" customHeight="1" s="58">
      <c r="A17" s="42" t="inlineStr">
        <is>
          <t xml:space="preserve"> 3．股份支付计入股东权益的金额</t>
        </is>
      </c>
      <c r="B17" s="239" t="inlineStr">
        <is>
          <t>{{eq:EQ-011:current_year:share_capital}}</t>
        </is>
      </c>
      <c r="C17" s="240" t="inlineStr">
        <is>
          <t>{{eq:EQ-011:current_year:other_equity_instrument}}</t>
        </is>
      </c>
      <c r="D17" s="240" t="inlineStr">
        <is>
          <t>{{eq:EQ-011:current_year:perpetual_bond}}</t>
        </is>
      </c>
      <c r="E17" s="240" t="n"/>
      <c r="F17" s="240" t="inlineStr">
        <is>
          <t>{{eq:EQ-011:current_year:capital_reserve}}</t>
        </is>
      </c>
      <c r="G17" s="239" t="inlineStr">
        <is>
          <t>{{eq:EQ-011:current_year:treasury_stock}}</t>
        </is>
      </c>
      <c r="H17" s="239" t="inlineStr">
        <is>
          <t>{{eq:EQ-011:current_year:other_comprehensive_income}}</t>
        </is>
      </c>
      <c r="I17" s="247" t="inlineStr">
        <is>
          <t>{{eq:EQ-011:current_year:special_reserve}}</t>
        </is>
      </c>
      <c r="J17" s="239" t="inlineStr">
        <is>
          <t>{{eq:EQ-011:current_year:surplus_reserve}}</t>
        </is>
      </c>
      <c r="K17" s="239" t="inlineStr">
        <is>
          <t>{{eq:EQ-011:current_year:retained_earnings}}</t>
        </is>
      </c>
      <c r="L17" s="243">
        <f>B17+C17+D17+E17+F17-G17+H17+I17+J17+K17</f>
        <v/>
      </c>
      <c r="M17" s="240" t="inlineStr">
        <is>
          <t>{{eq:EQ-011:prior_year:share_capital}}</t>
        </is>
      </c>
      <c r="N17" s="239" t="inlineStr">
        <is>
          <t>{{eq:EQ-011:prior_year:other_equity_instrument}}</t>
        </is>
      </c>
      <c r="O17" s="240" t="inlineStr">
        <is>
          <t>{{eq:EQ-011:prior_year:perpetual_bond}}</t>
        </is>
      </c>
      <c r="P17" s="240" t="n"/>
      <c r="Q17" s="240" t="inlineStr">
        <is>
          <t>{{eq:EQ-011:prior_year:capital_reserve}}</t>
        </is>
      </c>
      <c r="R17" s="240" t="inlineStr">
        <is>
          <t>{{eq:EQ-011:prior_year:treasury_stock}}</t>
        </is>
      </c>
      <c r="S17" s="240" t="inlineStr">
        <is>
          <t>{{eq:EQ-011:prior_year:other_comprehensive_income}}</t>
        </is>
      </c>
      <c r="T17" s="247" t="inlineStr">
        <is>
          <t>{{eq:EQ-011:prior_year:special_reserve}}</t>
        </is>
      </c>
      <c r="U17" s="239" t="inlineStr">
        <is>
          <t>{{eq:EQ-011:prior_year:surplus_reserve}}</t>
        </is>
      </c>
      <c r="V17" s="239" t="inlineStr">
        <is>
          <t>{{eq:EQ-011:prior_year:retained_earnings}}</t>
        </is>
      </c>
      <c r="W17" s="243">
        <f>M17+N17+O17+P17+Q17-R17+S17+T17+U17+V17</f>
        <v/>
      </c>
    </row>
    <row r="18" ht="18" customFormat="1" customHeight="1" s="58">
      <c r="A18" s="42" t="inlineStr">
        <is>
          <t xml:space="preserve"> 4．其他</t>
        </is>
      </c>
      <c r="B18" s="239" t="inlineStr">
        <is>
          <t>{{eq:EQ-012:current_year:share_capital}}</t>
        </is>
      </c>
      <c r="C18" s="240" t="inlineStr">
        <is>
          <t>{{eq:EQ-012:current_year:other_equity_instrument}}</t>
        </is>
      </c>
      <c r="D18" s="240" t="inlineStr">
        <is>
          <t>{{eq:EQ-012:current_year:perpetual_bond}}</t>
        </is>
      </c>
      <c r="E18" s="240" t="n"/>
      <c r="F18" s="240" t="inlineStr">
        <is>
          <t>{{eq:EQ-012:current_year:capital_reserve}}</t>
        </is>
      </c>
      <c r="G18" s="239" t="inlineStr">
        <is>
          <t>{{eq:EQ-012:current_year:treasury_stock}}</t>
        </is>
      </c>
      <c r="H18" s="239" t="inlineStr">
        <is>
          <t>{{eq:EQ-012:current_year:other_comprehensive_income}}</t>
        </is>
      </c>
      <c r="I18" s="247" t="inlineStr">
        <is>
          <t>{{eq:EQ-012:current_year:special_reserve}}</t>
        </is>
      </c>
      <c r="J18" s="239" t="inlineStr">
        <is>
          <t>{{eq:EQ-012:current_year:surplus_reserve}}</t>
        </is>
      </c>
      <c r="K18" s="239" t="inlineStr">
        <is>
          <t>{{eq:EQ-012:current_year:retained_earnings}}</t>
        </is>
      </c>
      <c r="L18" s="243">
        <f>B18+C18+D18+E18+F18-G18+H18+I18+J18+K18</f>
        <v/>
      </c>
      <c r="M18" s="240" t="inlineStr">
        <is>
          <t>{{eq:EQ-012:prior_year:share_capital}}</t>
        </is>
      </c>
      <c r="N18" s="239" t="inlineStr">
        <is>
          <t>{{eq:EQ-012:prior_year:other_equity_instrument}}</t>
        </is>
      </c>
      <c r="O18" s="240" t="inlineStr">
        <is>
          <t>{{eq:EQ-012:prior_year:perpetual_bond}}</t>
        </is>
      </c>
      <c r="P18" s="240" t="n"/>
      <c r="Q18" s="240" t="inlineStr">
        <is>
          <t>{{eq:EQ-012:prior_year:capital_reserve}}</t>
        </is>
      </c>
      <c r="R18" s="240" t="inlineStr">
        <is>
          <t>{{eq:EQ-012:prior_year:treasury_stock}}</t>
        </is>
      </c>
      <c r="S18" s="240" t="inlineStr">
        <is>
          <t>{{eq:EQ-012:prior_year:other_comprehensive_income}}</t>
        </is>
      </c>
      <c r="T18" s="247" t="inlineStr">
        <is>
          <t>{{eq:EQ-012:prior_year:special_reserve}}</t>
        </is>
      </c>
      <c r="U18" s="239" t="inlineStr">
        <is>
          <t>{{eq:EQ-012:prior_year:surplus_reserve}}</t>
        </is>
      </c>
      <c r="V18" s="239" t="inlineStr">
        <is>
          <t>{{eq:EQ-012:prior_year:retained_earnings}}</t>
        </is>
      </c>
      <c r="W18" s="243">
        <f>M18+N18+O18+P18+Q18-R18+S18+T18+U18+V18</f>
        <v/>
      </c>
    </row>
    <row r="19" ht="18" customFormat="1" customHeight="1" s="58">
      <c r="A19" s="42" t="inlineStr">
        <is>
          <t>（三）利润分配</t>
        </is>
      </c>
      <c r="B19" s="239">
        <f>SUM(B20:B23)</f>
        <v/>
      </c>
      <c r="C19" s="239">
        <f>SUM(C20:C23)</f>
        <v/>
      </c>
      <c r="D19" s="239">
        <f>SUM(D20:D23)</f>
        <v/>
      </c>
      <c r="E19" s="239">
        <f>SUM(E20:E23)</f>
        <v/>
      </c>
      <c r="F19" s="239">
        <f>SUM(F20:F23)</f>
        <v/>
      </c>
      <c r="G19" s="239">
        <f>SUM(G20:G23)</f>
        <v/>
      </c>
      <c r="H19" s="239">
        <f>SUM(H20:H23)</f>
        <v/>
      </c>
      <c r="I19" s="239">
        <f>SUM(I20:I23)</f>
        <v/>
      </c>
      <c r="J19" s="239">
        <f>SUM(J20:J23)</f>
        <v/>
      </c>
      <c r="K19" s="239">
        <f>SUM(K20:K23)</f>
        <v/>
      </c>
      <c r="L19" s="243">
        <f>B19+C19+D19+E19+F19-G19+H19+I19+J19+K19</f>
        <v/>
      </c>
      <c r="M19" s="240">
        <f>SUM(M20:M23)</f>
        <v/>
      </c>
      <c r="N19" s="239">
        <f>SUM(N20:N23)</f>
        <v/>
      </c>
      <c r="O19" s="239">
        <f>SUM(O20:O23)</f>
        <v/>
      </c>
      <c r="P19" s="239">
        <f>SUM(P20:P23)</f>
        <v/>
      </c>
      <c r="Q19" s="239">
        <f>SUM(Q20:Q23)</f>
        <v/>
      </c>
      <c r="R19" s="239">
        <f>SUM(R20:R23)</f>
        <v/>
      </c>
      <c r="S19" s="239">
        <f>SUM(S20:S23)</f>
        <v/>
      </c>
      <c r="T19" s="239">
        <f>SUM(T20:T23)</f>
        <v/>
      </c>
      <c r="U19" s="239">
        <f>SUM(U20:U23)</f>
        <v/>
      </c>
      <c r="V19" s="239">
        <f>SUM(V20:V23)</f>
        <v/>
      </c>
      <c r="W19" s="243">
        <f>M19+N19+O19+P19+Q19-R19+S19+T19+U19+V19</f>
        <v/>
      </c>
    </row>
    <row r="20" ht="18" customFormat="1" customHeight="1" s="58">
      <c r="A20" s="42" t="inlineStr">
        <is>
          <t xml:space="preserve"> 1．提取盈余公积</t>
        </is>
      </c>
      <c r="B20" s="239" t="inlineStr">
        <is>
          <t>{{eq:EQ-014:current_year:share_capital}}</t>
        </is>
      </c>
      <c r="C20" s="240" t="inlineStr">
        <is>
          <t>{{eq:EQ-014:current_year:other_equity_instrument}}</t>
        </is>
      </c>
      <c r="D20" s="240" t="inlineStr">
        <is>
          <t>{{eq:EQ-014:current_year:perpetual_bond}}</t>
        </is>
      </c>
      <c r="E20" s="240" t="n"/>
      <c r="F20" s="240" t="inlineStr">
        <is>
          <t>{{eq:EQ-014:current_year:capital_reserve}}</t>
        </is>
      </c>
      <c r="G20" s="239" t="inlineStr">
        <is>
          <t>{{eq:EQ-014:current_year:treasury_stock}}</t>
        </is>
      </c>
      <c r="H20" s="239" t="inlineStr">
        <is>
          <t>{{eq:EQ-014:current_year:other_comprehensive_income}}</t>
        </is>
      </c>
      <c r="I20" s="247" t="inlineStr">
        <is>
          <t>{{eq:EQ-014:current_year:special_reserve}}</t>
        </is>
      </c>
      <c r="J20" s="239" t="inlineStr">
        <is>
          <t>{{eq:EQ-014:current_year:surplus_reserve}}</t>
        </is>
      </c>
      <c r="K20" s="239" t="inlineStr">
        <is>
          <t>{{eq:EQ-014:current_year:retained_earnings}}</t>
        </is>
      </c>
      <c r="L20" s="243">
        <f>B20+C20+D20+E20+F20-G20+H20+I20+J20+K20</f>
        <v/>
      </c>
      <c r="M20" s="240" t="inlineStr">
        <is>
          <t>{{eq:EQ-014:prior_year:share_capital}}</t>
        </is>
      </c>
      <c r="N20" s="239" t="inlineStr">
        <is>
          <t>{{eq:EQ-014:prior_year:other_equity_instrument}}</t>
        </is>
      </c>
      <c r="O20" s="240" t="inlineStr">
        <is>
          <t>{{eq:EQ-014:prior_year:perpetual_bond}}</t>
        </is>
      </c>
      <c r="P20" s="240" t="n"/>
      <c r="Q20" s="240" t="inlineStr">
        <is>
          <t>{{eq:EQ-014:prior_year:capital_reserve}}</t>
        </is>
      </c>
      <c r="R20" s="240" t="inlineStr">
        <is>
          <t>{{eq:EQ-014:prior_year:treasury_stock}}</t>
        </is>
      </c>
      <c r="S20" s="240" t="inlineStr">
        <is>
          <t>{{eq:EQ-014:prior_year:other_comprehensive_income}}</t>
        </is>
      </c>
      <c r="T20" s="247" t="inlineStr">
        <is>
          <t>{{eq:EQ-014:prior_year:special_reserve}}</t>
        </is>
      </c>
      <c r="U20" s="239" t="inlineStr">
        <is>
          <t>{{eq:EQ-014:prior_year:surplus_reserve}}</t>
        </is>
      </c>
      <c r="V20" s="239" t="inlineStr">
        <is>
          <t>{{eq:EQ-014:prior_year:retained_earnings}}</t>
        </is>
      </c>
      <c r="W20" s="243">
        <f>M20+N20+O20+P20+Q20-R20+S20+T20+U20+V20</f>
        <v/>
      </c>
    </row>
    <row r="21" ht="18" customFormat="1" customHeight="1" s="58">
      <c r="A21" s="44" t="inlineStr">
        <is>
          <t xml:space="preserve"> 2．提取一般风险准备</t>
        </is>
      </c>
      <c r="B21" s="239" t="inlineStr">
        <is>
          <t>{{eq:EQ-015:current_year:share_capital}}</t>
        </is>
      </c>
      <c r="C21" s="240" t="inlineStr">
        <is>
          <t>{{eq:EQ-015:current_year:other_equity_instrument}}</t>
        </is>
      </c>
      <c r="D21" s="240" t="inlineStr">
        <is>
          <t>{{eq:EQ-015:current_year:perpetual_bond}}</t>
        </is>
      </c>
      <c r="E21" s="240" t="n"/>
      <c r="F21" s="240" t="inlineStr">
        <is>
          <t>{{eq:EQ-015:current_year:capital_reserve}}</t>
        </is>
      </c>
      <c r="G21" s="239" t="inlineStr">
        <is>
          <t>{{eq:EQ-015:current_year:treasury_stock}}</t>
        </is>
      </c>
      <c r="H21" s="239" t="inlineStr">
        <is>
          <t>{{eq:EQ-015:current_year:other_comprehensive_income}}</t>
        </is>
      </c>
      <c r="I21" s="247" t="inlineStr">
        <is>
          <t>{{eq:EQ-015:current_year:special_reserve}}</t>
        </is>
      </c>
      <c r="J21" s="239" t="inlineStr">
        <is>
          <t>{{eq:EQ-015:current_year:surplus_reserve}}</t>
        </is>
      </c>
      <c r="K21" s="239" t="inlineStr">
        <is>
          <t>{{eq:EQ-015:current_year:retained_earnings}}</t>
        </is>
      </c>
      <c r="L21" s="243" t="inlineStr">
        <is>
          <t>{{eq:EQ-015:current_year:total_equity}}</t>
        </is>
      </c>
      <c r="M21" s="240" t="inlineStr">
        <is>
          <t>{{eq:EQ-015:prior_year:share_capital}}</t>
        </is>
      </c>
      <c r="N21" s="239" t="inlineStr">
        <is>
          <t>{{eq:EQ-015:prior_year:other_equity_instrument}}</t>
        </is>
      </c>
      <c r="O21" s="240" t="inlineStr">
        <is>
          <t>{{eq:EQ-015:prior_year:perpetual_bond}}</t>
        </is>
      </c>
      <c r="P21" s="240" t="n"/>
      <c r="Q21" s="240" t="inlineStr">
        <is>
          <t>{{eq:EQ-015:prior_year:capital_reserve}}</t>
        </is>
      </c>
      <c r="R21" s="240" t="inlineStr">
        <is>
          <t>{{eq:EQ-015:prior_year:treasury_stock}}</t>
        </is>
      </c>
      <c r="S21" s="240" t="inlineStr">
        <is>
          <t>{{eq:EQ-015:prior_year:other_comprehensive_income}}</t>
        </is>
      </c>
      <c r="T21" s="247" t="inlineStr">
        <is>
          <t>{{eq:EQ-015:prior_year:special_reserve}}</t>
        </is>
      </c>
      <c r="U21" s="239" t="inlineStr">
        <is>
          <t>{{eq:EQ-015:prior_year:surplus_reserve}}</t>
        </is>
      </c>
      <c r="V21" s="239" t="inlineStr">
        <is>
          <t>{{eq:EQ-015:prior_year:retained_earnings}}</t>
        </is>
      </c>
      <c r="W21" s="243" t="inlineStr">
        <is>
          <t>{{eq:EQ-015:prior_year:total_equity}}</t>
        </is>
      </c>
    </row>
    <row r="22" ht="18" customFormat="1" customHeight="1" s="58">
      <c r="A22" s="42" t="inlineStr">
        <is>
          <t xml:space="preserve"> 3．对股东（或所有者）的分配</t>
        </is>
      </c>
      <c r="B22" s="239" t="inlineStr">
        <is>
          <t>{{eq:EQ-016:current_year:share_capital}}</t>
        </is>
      </c>
      <c r="C22" s="240" t="inlineStr">
        <is>
          <t>{{eq:EQ-016:current_year:other_equity_instrument}}</t>
        </is>
      </c>
      <c r="D22" s="240" t="inlineStr">
        <is>
          <t>{{eq:EQ-016:current_year:perpetual_bond}}</t>
        </is>
      </c>
      <c r="E22" s="240" t="n"/>
      <c r="F22" s="240" t="inlineStr">
        <is>
          <t>{{eq:EQ-016:current_year:capital_reserve}}</t>
        </is>
      </c>
      <c r="G22" s="239" t="inlineStr">
        <is>
          <t>{{eq:EQ-016:current_year:treasury_stock}}</t>
        </is>
      </c>
      <c r="H22" s="239" t="inlineStr">
        <is>
          <t>{{eq:EQ-016:current_year:other_comprehensive_income}}</t>
        </is>
      </c>
      <c r="I22" s="247" t="inlineStr">
        <is>
          <t>{{eq:EQ-016:current_year:special_reserve}}</t>
        </is>
      </c>
      <c r="J22" s="239" t="inlineStr">
        <is>
          <t>{{eq:EQ-016:current_year:surplus_reserve}}</t>
        </is>
      </c>
      <c r="K22" s="239" t="inlineStr">
        <is>
          <t>{{eq:EQ-016:current_year:retained_earnings}}</t>
        </is>
      </c>
      <c r="L22" s="243">
        <f>B22+C22+D22+E22+F22-G22+H22+I22+J22+K22</f>
        <v/>
      </c>
      <c r="M22" s="240" t="inlineStr">
        <is>
          <t>{{eq:EQ-016:prior_year:share_capital}}</t>
        </is>
      </c>
      <c r="N22" s="239" t="inlineStr">
        <is>
          <t>{{eq:EQ-016:prior_year:other_equity_instrument}}</t>
        </is>
      </c>
      <c r="O22" s="240" t="inlineStr">
        <is>
          <t>{{eq:EQ-016:prior_year:perpetual_bond}}</t>
        </is>
      </c>
      <c r="P22" s="240" t="n"/>
      <c r="Q22" s="240" t="inlineStr">
        <is>
          <t>{{eq:EQ-016:prior_year:capital_reserve}}</t>
        </is>
      </c>
      <c r="R22" s="240" t="inlineStr">
        <is>
          <t>{{eq:EQ-016:prior_year:treasury_stock}}</t>
        </is>
      </c>
      <c r="S22" s="240" t="inlineStr">
        <is>
          <t>{{eq:EQ-016:prior_year:other_comprehensive_income}}</t>
        </is>
      </c>
      <c r="T22" s="247" t="inlineStr">
        <is>
          <t>{{eq:EQ-016:prior_year:special_reserve}}</t>
        </is>
      </c>
      <c r="U22" s="239" t="inlineStr">
        <is>
          <t>{{eq:EQ-016:prior_year:surplus_reserve}}</t>
        </is>
      </c>
      <c r="V22" s="239" t="inlineStr">
        <is>
          <t>{{eq:EQ-016:prior_year:retained_earnings}}</t>
        </is>
      </c>
      <c r="W22" s="243">
        <f>M22+N22+O22+P22+Q22-R22+S22+T22+U22+V22</f>
        <v/>
      </c>
    </row>
    <row r="23" ht="18" customFormat="1" customHeight="1" s="58">
      <c r="A23" s="42" t="inlineStr">
        <is>
          <t xml:space="preserve"> 4．其他</t>
        </is>
      </c>
      <c r="B23" s="239" t="inlineStr">
        <is>
          <t>{{eq:EQ-012:current_year:share_capital}}</t>
        </is>
      </c>
      <c r="C23" s="240" t="inlineStr">
        <is>
          <t>{{eq:EQ-012:current_year:other_equity_instrument}}</t>
        </is>
      </c>
      <c r="D23" s="240" t="inlineStr">
        <is>
          <t>{{eq:EQ-012:current_year:perpetual_bond}}</t>
        </is>
      </c>
      <c r="E23" s="240" t="n"/>
      <c r="F23" s="240" t="inlineStr">
        <is>
          <t>{{eq:EQ-012:current_year:capital_reserve}}</t>
        </is>
      </c>
      <c r="G23" s="239" t="inlineStr">
        <is>
          <t>{{eq:EQ-012:current_year:treasury_stock}}</t>
        </is>
      </c>
      <c r="H23" s="239" t="inlineStr">
        <is>
          <t>{{eq:EQ-012:current_year:other_comprehensive_income}}</t>
        </is>
      </c>
      <c r="I23" s="247" t="inlineStr">
        <is>
          <t>{{eq:EQ-012:current_year:special_reserve}}</t>
        </is>
      </c>
      <c r="J23" s="239" t="inlineStr">
        <is>
          <t>{{eq:EQ-012:current_year:surplus_reserve}}</t>
        </is>
      </c>
      <c r="K23" s="239" t="inlineStr">
        <is>
          <t>{{eq:EQ-012:current_year:retained_earnings}}</t>
        </is>
      </c>
      <c r="L23" s="243">
        <f>B23+C23+D23+E23+F23-G23+H23+I23+J23+K23</f>
        <v/>
      </c>
      <c r="M23" s="240" t="inlineStr">
        <is>
          <t>{{eq:EQ-012:prior_year:share_capital}}</t>
        </is>
      </c>
      <c r="N23" s="239" t="inlineStr">
        <is>
          <t>{{eq:EQ-012:prior_year:other_equity_instrument}}</t>
        </is>
      </c>
      <c r="O23" s="240" t="inlineStr">
        <is>
          <t>{{eq:EQ-012:prior_year:perpetual_bond}}</t>
        </is>
      </c>
      <c r="P23" s="240" t="n"/>
      <c r="Q23" s="240" t="inlineStr">
        <is>
          <t>{{eq:EQ-012:prior_year:capital_reserve}}</t>
        </is>
      </c>
      <c r="R23" s="240" t="inlineStr">
        <is>
          <t>{{eq:EQ-012:prior_year:treasury_stock}}</t>
        </is>
      </c>
      <c r="S23" s="240" t="inlineStr">
        <is>
          <t>{{eq:EQ-012:prior_year:other_comprehensive_income}}</t>
        </is>
      </c>
      <c r="T23" s="247" t="inlineStr">
        <is>
          <t>{{eq:EQ-012:prior_year:special_reserve}}</t>
        </is>
      </c>
      <c r="U23" s="239" t="inlineStr">
        <is>
          <t>{{eq:EQ-012:prior_year:surplus_reserve}}</t>
        </is>
      </c>
      <c r="V23" s="239" t="inlineStr">
        <is>
          <t>{{eq:EQ-012:prior_year:retained_earnings}}</t>
        </is>
      </c>
      <c r="W23" s="243">
        <f>M23+N23+O23+P23+Q23-R23+S23+T23+U23+V23</f>
        <v/>
      </c>
    </row>
    <row r="24" ht="18" customFormat="1" customHeight="1" s="58">
      <c r="A24" s="42" t="inlineStr">
        <is>
          <t>（四）股东权益内部结转</t>
        </is>
      </c>
      <c r="B24" s="239">
        <f>SUM(B25:B30)</f>
        <v/>
      </c>
      <c r="C24" s="239">
        <f>SUM(C25:C30)</f>
        <v/>
      </c>
      <c r="D24" s="239">
        <f>SUM(D25:D30)</f>
        <v/>
      </c>
      <c r="E24" s="239">
        <f>SUM(E25:E30)</f>
        <v/>
      </c>
      <c r="F24" s="239">
        <f>SUM(F25:F30)</f>
        <v/>
      </c>
      <c r="G24" s="239">
        <f>SUM(G25:G30)</f>
        <v/>
      </c>
      <c r="H24" s="239">
        <f>SUM(H25:H30)</f>
        <v/>
      </c>
      <c r="I24" s="239">
        <f>SUM(I25:I30)</f>
        <v/>
      </c>
      <c r="J24" s="239">
        <f>SUM(J25:J30)</f>
        <v/>
      </c>
      <c r="K24" s="239">
        <f>SUM(K25:K30)</f>
        <v/>
      </c>
      <c r="L24" s="243">
        <f>B24+C24+D24+E24+F24-G24+H24+I24+J24+K24</f>
        <v/>
      </c>
      <c r="M24" s="240">
        <f>SUM(M25:M30)</f>
        <v/>
      </c>
      <c r="N24" s="239">
        <f>SUM(N25:N30)</f>
        <v/>
      </c>
      <c r="O24" s="239">
        <f>SUM(O25:O30)</f>
        <v/>
      </c>
      <c r="P24" s="239">
        <f>SUM(P25:P30)</f>
        <v/>
      </c>
      <c r="Q24" s="239">
        <f>SUM(Q25:Q30)</f>
        <v/>
      </c>
      <c r="R24" s="239">
        <f>SUM(R25:R30)</f>
        <v/>
      </c>
      <c r="S24" s="239">
        <f>SUM(S25:S30)</f>
        <v/>
      </c>
      <c r="T24" s="239">
        <f>SUM(T25:T30)</f>
        <v/>
      </c>
      <c r="U24" s="239">
        <f>SUM(U25:U30)</f>
        <v/>
      </c>
      <c r="V24" s="239">
        <f>SUM(V25:V30)</f>
        <v/>
      </c>
      <c r="W24" s="243">
        <f>M24+N24+O24+P24+Q24-R24+S24+T24+U24+V24</f>
        <v/>
      </c>
    </row>
    <row r="25" ht="18" customFormat="1" customHeight="1" s="58">
      <c r="A25" s="42" t="inlineStr">
        <is>
          <t xml:space="preserve"> 1．资本公积转增股本（或资本）</t>
        </is>
      </c>
      <c r="B25" s="239" t="inlineStr">
        <is>
          <t>{{eq:EQ-019:current_year:share_capital}}</t>
        </is>
      </c>
      <c r="C25" s="240" t="inlineStr">
        <is>
          <t>{{eq:EQ-019:current_year:other_equity_instrument}}</t>
        </is>
      </c>
      <c r="D25" s="240" t="inlineStr">
        <is>
          <t>{{eq:EQ-019:current_year:perpetual_bond}}</t>
        </is>
      </c>
      <c r="E25" s="240" t="n"/>
      <c r="F25" s="240" t="inlineStr">
        <is>
          <t>{{eq:EQ-019:current_year:capital_reserve}}</t>
        </is>
      </c>
      <c r="G25" s="239" t="inlineStr">
        <is>
          <t>{{eq:EQ-019:current_year:treasury_stock}}</t>
        </is>
      </c>
      <c r="H25" s="239" t="inlineStr">
        <is>
          <t>{{eq:EQ-019:current_year:other_comprehensive_income}}</t>
        </is>
      </c>
      <c r="I25" s="247" t="inlineStr">
        <is>
          <t>{{eq:EQ-019:current_year:special_reserve}}</t>
        </is>
      </c>
      <c r="J25" s="239" t="inlineStr">
        <is>
          <t>{{eq:EQ-019:current_year:surplus_reserve}}</t>
        </is>
      </c>
      <c r="K25" s="239" t="inlineStr">
        <is>
          <t>{{eq:EQ-019:current_year:retained_earnings}}</t>
        </is>
      </c>
      <c r="L25" s="243">
        <f>B25+C25+D25+E25+F25-G25+H25+I25+J25+K25</f>
        <v/>
      </c>
      <c r="M25" s="240" t="inlineStr">
        <is>
          <t>{{eq:EQ-019:prior_year:share_capital}}</t>
        </is>
      </c>
      <c r="N25" s="239" t="inlineStr">
        <is>
          <t>{{eq:EQ-019:prior_year:other_equity_instrument}}</t>
        </is>
      </c>
      <c r="O25" s="240" t="inlineStr">
        <is>
          <t>{{eq:EQ-019:prior_year:perpetual_bond}}</t>
        </is>
      </c>
      <c r="P25" s="240" t="n"/>
      <c r="Q25" s="240" t="inlineStr">
        <is>
          <t>{{eq:EQ-019:prior_year:capital_reserve}}</t>
        </is>
      </c>
      <c r="R25" s="240" t="inlineStr">
        <is>
          <t>{{eq:EQ-019:prior_year:treasury_stock}}</t>
        </is>
      </c>
      <c r="S25" s="240" t="inlineStr">
        <is>
          <t>{{eq:EQ-019:prior_year:other_comprehensive_income}}</t>
        </is>
      </c>
      <c r="T25" s="247" t="inlineStr">
        <is>
          <t>{{eq:EQ-019:prior_year:special_reserve}}</t>
        </is>
      </c>
      <c r="U25" s="239" t="inlineStr">
        <is>
          <t>{{eq:EQ-019:prior_year:surplus_reserve}}</t>
        </is>
      </c>
      <c r="V25" s="239" t="inlineStr">
        <is>
          <t>{{eq:EQ-019:prior_year:retained_earnings}}</t>
        </is>
      </c>
      <c r="W25" s="243">
        <f>M25+N25+O25+P25+Q25-R25+S25+T25+U25+V25</f>
        <v/>
      </c>
    </row>
    <row r="26" ht="18" customFormat="1" customHeight="1" s="58">
      <c r="A26" s="42" t="inlineStr">
        <is>
          <t xml:space="preserve"> 2．盈余公积转增股本（或资本）</t>
        </is>
      </c>
      <c r="B26" s="239" t="inlineStr">
        <is>
          <t>{{eq:EQ-020:current_year:share_capital}}</t>
        </is>
      </c>
      <c r="C26" s="240" t="inlineStr">
        <is>
          <t>{{eq:EQ-020:current_year:other_equity_instrument}}</t>
        </is>
      </c>
      <c r="D26" s="240" t="inlineStr">
        <is>
          <t>{{eq:EQ-020:current_year:perpetual_bond}}</t>
        </is>
      </c>
      <c r="E26" s="240" t="n"/>
      <c r="F26" s="240" t="inlineStr">
        <is>
          <t>{{eq:EQ-020:current_year:capital_reserve}}</t>
        </is>
      </c>
      <c r="G26" s="239" t="inlineStr">
        <is>
          <t>{{eq:EQ-020:current_year:treasury_stock}}</t>
        </is>
      </c>
      <c r="H26" s="239" t="inlineStr">
        <is>
          <t>{{eq:EQ-020:current_year:other_comprehensive_income}}</t>
        </is>
      </c>
      <c r="I26" s="247" t="inlineStr">
        <is>
          <t>{{eq:EQ-020:current_year:special_reserve}}</t>
        </is>
      </c>
      <c r="J26" s="239" t="inlineStr">
        <is>
          <t>{{eq:EQ-020:current_year:surplus_reserve}}</t>
        </is>
      </c>
      <c r="K26" s="239" t="inlineStr">
        <is>
          <t>{{eq:EQ-020:current_year:retained_earnings}}</t>
        </is>
      </c>
      <c r="L26" s="243">
        <f>B26+C26+D26+E26+F26-G26+H26+I26+J26+K26</f>
        <v/>
      </c>
      <c r="M26" s="240" t="inlineStr">
        <is>
          <t>{{eq:EQ-020:prior_year:share_capital}}</t>
        </is>
      </c>
      <c r="N26" s="239" t="inlineStr">
        <is>
          <t>{{eq:EQ-020:prior_year:other_equity_instrument}}</t>
        </is>
      </c>
      <c r="O26" s="240" t="inlineStr">
        <is>
          <t>{{eq:EQ-020:prior_year:perpetual_bond}}</t>
        </is>
      </c>
      <c r="P26" s="240" t="n"/>
      <c r="Q26" s="240" t="inlineStr">
        <is>
          <t>{{eq:EQ-020:prior_year:capital_reserve}}</t>
        </is>
      </c>
      <c r="R26" s="240" t="inlineStr">
        <is>
          <t>{{eq:EQ-020:prior_year:treasury_stock}}</t>
        </is>
      </c>
      <c r="S26" s="240" t="inlineStr">
        <is>
          <t>{{eq:EQ-020:prior_year:other_comprehensive_income}}</t>
        </is>
      </c>
      <c r="T26" s="247" t="inlineStr">
        <is>
          <t>{{eq:EQ-020:prior_year:special_reserve}}</t>
        </is>
      </c>
      <c r="U26" s="239" t="inlineStr">
        <is>
          <t>{{eq:EQ-020:prior_year:surplus_reserve}}</t>
        </is>
      </c>
      <c r="V26" s="239" t="inlineStr">
        <is>
          <t>{{eq:EQ-020:prior_year:retained_earnings}}</t>
        </is>
      </c>
      <c r="W26" s="243">
        <f>M26+N26+O26+P26+Q26-R26+S26+T26+U26+V26</f>
        <v/>
      </c>
    </row>
    <row r="27" ht="18" customFormat="1" customHeight="1" s="58">
      <c r="A27" s="45" t="inlineStr">
        <is>
          <t xml:space="preserve"> 3．弥补亏损</t>
        </is>
      </c>
      <c r="B27" s="239" t="inlineStr">
        <is>
          <t>{{eq:EQ-021:current_year:share_capital}}</t>
        </is>
      </c>
      <c r="C27" s="240" t="inlineStr">
        <is>
          <t>{{eq:EQ-021:current_year:other_equity_instrument}}</t>
        </is>
      </c>
      <c r="D27" s="240" t="inlineStr">
        <is>
          <t>{{eq:EQ-021:current_year:perpetual_bond}}</t>
        </is>
      </c>
      <c r="E27" s="240" t="n"/>
      <c r="F27" s="240" t="inlineStr">
        <is>
          <t>{{eq:EQ-021:current_year:capital_reserve}}</t>
        </is>
      </c>
      <c r="G27" s="239" t="inlineStr">
        <is>
          <t>{{eq:EQ-021:current_year:treasury_stock}}</t>
        </is>
      </c>
      <c r="H27" s="239" t="inlineStr">
        <is>
          <t>{{eq:EQ-021:current_year:other_comprehensive_income}}</t>
        </is>
      </c>
      <c r="I27" s="247" t="inlineStr">
        <is>
          <t>{{eq:EQ-021:current_year:special_reserve}}</t>
        </is>
      </c>
      <c r="J27" s="239" t="inlineStr">
        <is>
          <t>{{eq:EQ-021:current_year:surplus_reserve}}</t>
        </is>
      </c>
      <c r="K27" s="239" t="inlineStr">
        <is>
          <t>{{eq:EQ-021:current_year:retained_earnings}}</t>
        </is>
      </c>
      <c r="L27" s="243">
        <f>B27+C27+D27+E27+F27-G27+H27+I27+J27+K27</f>
        <v/>
      </c>
      <c r="M27" s="240" t="inlineStr">
        <is>
          <t>{{eq:EQ-021:prior_year:share_capital}}</t>
        </is>
      </c>
      <c r="N27" s="239" t="inlineStr">
        <is>
          <t>{{eq:EQ-021:prior_year:other_equity_instrument}}</t>
        </is>
      </c>
      <c r="O27" s="240" t="inlineStr">
        <is>
          <t>{{eq:EQ-021:prior_year:perpetual_bond}}</t>
        </is>
      </c>
      <c r="P27" s="240" t="n"/>
      <c r="Q27" s="240" t="inlineStr">
        <is>
          <t>{{eq:EQ-021:prior_year:capital_reserve}}</t>
        </is>
      </c>
      <c r="R27" s="240" t="inlineStr">
        <is>
          <t>{{eq:EQ-021:prior_year:treasury_stock}}</t>
        </is>
      </c>
      <c r="S27" s="240" t="inlineStr">
        <is>
          <t>{{eq:EQ-021:prior_year:other_comprehensive_income}}</t>
        </is>
      </c>
      <c r="T27" s="247" t="inlineStr">
        <is>
          <t>{{eq:EQ-021:prior_year:special_reserve}}</t>
        </is>
      </c>
      <c r="U27" s="239" t="inlineStr">
        <is>
          <t>{{eq:EQ-021:prior_year:surplus_reserve}}</t>
        </is>
      </c>
      <c r="V27" s="239" t="inlineStr">
        <is>
          <t>{{eq:EQ-021:prior_year:retained_earnings}}</t>
        </is>
      </c>
      <c r="W27" s="243">
        <f>M27+N27+O27+P27+Q27-R27+S27+T27+U27+V27</f>
        <v/>
      </c>
    </row>
    <row r="28" ht="33" customFormat="1" customHeight="1" s="58">
      <c r="A28" s="46" t="inlineStr">
        <is>
          <t xml:space="preserve"> 4.  设定受益计划变动额结转留存收益</t>
        </is>
      </c>
      <c r="B28" s="239" t="inlineStr">
        <is>
          <t>{{eq:EQ-022:current_year:share_capital}}</t>
        </is>
      </c>
      <c r="C28" s="240" t="inlineStr">
        <is>
          <t>{{eq:EQ-022:current_year:other_equity_instrument}}</t>
        </is>
      </c>
      <c r="D28" s="240" t="inlineStr">
        <is>
          <t>{{eq:EQ-022:current_year:perpetual_bond}}</t>
        </is>
      </c>
      <c r="E28" s="240" t="n"/>
      <c r="F28" s="240" t="inlineStr">
        <is>
          <t>{{eq:EQ-022:current_year:capital_reserve}}</t>
        </is>
      </c>
      <c r="G28" s="239" t="inlineStr">
        <is>
          <t>{{eq:EQ-022:current_year:treasury_stock}}</t>
        </is>
      </c>
      <c r="H28" s="239" t="inlineStr">
        <is>
          <t>{{eq:EQ-022:current_year:other_comprehensive_income}}</t>
        </is>
      </c>
      <c r="I28" s="247" t="inlineStr">
        <is>
          <t>{{eq:EQ-022:current_year:special_reserve}}</t>
        </is>
      </c>
      <c r="J28" s="239" t="inlineStr">
        <is>
          <t>{{eq:EQ-022:current_year:surplus_reserve}}</t>
        </is>
      </c>
      <c r="K28" s="239" t="inlineStr">
        <is>
          <t>{{eq:EQ-022:current_year:retained_earnings}}</t>
        </is>
      </c>
      <c r="L28" s="243">
        <f>B28+C28+D28+E28+F28-G28+H28+I28+J28+K28</f>
        <v/>
      </c>
      <c r="M28" s="240" t="inlineStr">
        <is>
          <t>{{eq:EQ-022:prior_year:share_capital}}</t>
        </is>
      </c>
      <c r="N28" s="239" t="inlineStr">
        <is>
          <t>{{eq:EQ-022:prior_year:other_equity_instrument}}</t>
        </is>
      </c>
      <c r="O28" s="240" t="inlineStr">
        <is>
          <t>{{eq:EQ-022:prior_year:perpetual_bond}}</t>
        </is>
      </c>
      <c r="P28" s="240" t="n"/>
      <c r="Q28" s="240" t="inlineStr">
        <is>
          <t>{{eq:EQ-022:prior_year:capital_reserve}}</t>
        </is>
      </c>
      <c r="R28" s="240" t="inlineStr">
        <is>
          <t>{{eq:EQ-022:prior_year:treasury_stock}}</t>
        </is>
      </c>
      <c r="S28" s="240" t="inlineStr">
        <is>
          <t>{{eq:EQ-022:prior_year:other_comprehensive_income}}</t>
        </is>
      </c>
      <c r="T28" s="247" t="inlineStr">
        <is>
          <t>{{eq:EQ-022:prior_year:special_reserve}}</t>
        </is>
      </c>
      <c r="U28" s="239" t="inlineStr">
        <is>
          <t>{{eq:EQ-022:prior_year:surplus_reserve}}</t>
        </is>
      </c>
      <c r="V28" s="239" t="inlineStr">
        <is>
          <t>{{eq:EQ-022:prior_year:retained_earnings}}</t>
        </is>
      </c>
      <c r="W28" s="243">
        <f>M28+N28+O28+P28+Q28-R28+S28+T28+U28+V28</f>
        <v/>
      </c>
    </row>
    <row r="29" customFormat="1" s="58">
      <c r="A29" s="47" t="inlineStr">
        <is>
          <t xml:space="preserve"> 5．其他综合收益结转留存收益</t>
        </is>
      </c>
      <c r="B29" s="239" t="inlineStr">
        <is>
          <t>{{eq:EQ-023:current_year:share_capital}}</t>
        </is>
      </c>
      <c r="C29" s="240" t="inlineStr">
        <is>
          <t>{{eq:EQ-023:current_year:other_equity_instrument}}</t>
        </is>
      </c>
      <c r="D29" s="240" t="inlineStr">
        <is>
          <t>{{eq:EQ-023:current_year:perpetual_bond}}</t>
        </is>
      </c>
      <c r="E29" s="240" t="n"/>
      <c r="F29" s="240" t="inlineStr">
        <is>
          <t>{{eq:EQ-023:current_year:capital_reserve}}</t>
        </is>
      </c>
      <c r="G29" s="239" t="inlineStr">
        <is>
          <t>{{eq:EQ-023:current_year:treasury_stock}}</t>
        </is>
      </c>
      <c r="H29" s="239" t="inlineStr">
        <is>
          <t>{{eq:EQ-023:current_year:other_comprehensive_income}}</t>
        </is>
      </c>
      <c r="I29" s="247" t="inlineStr">
        <is>
          <t>{{eq:EQ-023:current_year:special_reserve}}</t>
        </is>
      </c>
      <c r="J29" s="239" t="inlineStr">
        <is>
          <t>{{eq:EQ-023:current_year:surplus_reserve}}</t>
        </is>
      </c>
      <c r="K29" s="239" t="inlineStr">
        <is>
          <t>{{eq:EQ-023:current_year:retained_earnings}}</t>
        </is>
      </c>
      <c r="L29" s="243" t="inlineStr">
        <is>
          <t>{{eq:EQ-023:current_year:total_equity}}</t>
        </is>
      </c>
      <c r="M29" s="240" t="inlineStr">
        <is>
          <t>{{eq:EQ-023:prior_year:share_capital}}</t>
        </is>
      </c>
      <c r="N29" s="239" t="inlineStr">
        <is>
          <t>{{eq:EQ-023:prior_year:other_equity_instrument}}</t>
        </is>
      </c>
      <c r="O29" s="240" t="inlineStr">
        <is>
          <t>{{eq:EQ-023:prior_year:perpetual_bond}}</t>
        </is>
      </c>
      <c r="P29" s="240" t="n"/>
      <c r="Q29" s="240" t="inlineStr">
        <is>
          <t>{{eq:EQ-023:prior_year:capital_reserve}}</t>
        </is>
      </c>
      <c r="R29" s="240" t="inlineStr">
        <is>
          <t>{{eq:EQ-023:prior_year:treasury_stock}}</t>
        </is>
      </c>
      <c r="S29" s="240" t="inlineStr">
        <is>
          <t>{{eq:EQ-023:prior_year:other_comprehensive_income}}</t>
        </is>
      </c>
      <c r="T29" s="247" t="inlineStr">
        <is>
          <t>{{eq:EQ-023:prior_year:special_reserve}}</t>
        </is>
      </c>
      <c r="U29" s="239" t="inlineStr">
        <is>
          <t>{{eq:EQ-023:prior_year:surplus_reserve}}</t>
        </is>
      </c>
      <c r="V29" s="239" t="inlineStr">
        <is>
          <t>{{eq:EQ-023:prior_year:retained_earnings}}</t>
        </is>
      </c>
      <c r="W29" s="243" t="inlineStr">
        <is>
          <t>{{eq:EQ-023:prior_year:total_equity}}</t>
        </is>
      </c>
    </row>
    <row r="30" ht="18" customFormat="1" customHeight="1" s="58">
      <c r="A30" s="42" t="inlineStr">
        <is>
          <t xml:space="preserve"> 6．其他</t>
        </is>
      </c>
      <c r="B30" s="239" t="inlineStr">
        <is>
          <t>{{eq:EQ-024:current_year:share_capital}}</t>
        </is>
      </c>
      <c r="C30" s="240" t="inlineStr">
        <is>
          <t>{{eq:EQ-024:current_year:other_equity_instrument}}</t>
        </is>
      </c>
      <c r="D30" s="240" t="inlineStr">
        <is>
          <t>{{eq:EQ-024:current_year:perpetual_bond}}</t>
        </is>
      </c>
      <c r="E30" s="240" t="n"/>
      <c r="F30" s="240" t="inlineStr">
        <is>
          <t>{{eq:EQ-024:current_year:capital_reserve}}</t>
        </is>
      </c>
      <c r="G30" s="239" t="inlineStr">
        <is>
          <t>{{eq:EQ-024:current_year:treasury_stock}}</t>
        </is>
      </c>
      <c r="H30" s="239" t="inlineStr">
        <is>
          <t>{{eq:EQ-024:current_year:other_comprehensive_income}}</t>
        </is>
      </c>
      <c r="I30" s="247" t="inlineStr">
        <is>
          <t>{{eq:EQ-024:current_year:special_reserve}}</t>
        </is>
      </c>
      <c r="J30" s="239" t="inlineStr">
        <is>
          <t>{{eq:EQ-024:current_year:surplus_reserve}}</t>
        </is>
      </c>
      <c r="K30" s="239" t="inlineStr">
        <is>
          <t>{{eq:EQ-024:current_year:retained_earnings}}</t>
        </is>
      </c>
      <c r="L30" s="243">
        <f>B30+C30+D30+E30+F30-G30+H30+I30+J30+K30</f>
        <v/>
      </c>
      <c r="M30" s="240" t="inlineStr">
        <is>
          <t>{{eq:EQ-024:prior_year:share_capital}}</t>
        </is>
      </c>
      <c r="N30" s="239" t="inlineStr">
        <is>
          <t>{{eq:EQ-024:prior_year:other_equity_instrument}}</t>
        </is>
      </c>
      <c r="O30" s="240" t="inlineStr">
        <is>
          <t>{{eq:EQ-024:prior_year:perpetual_bond}}</t>
        </is>
      </c>
      <c r="P30" s="240" t="n"/>
      <c r="Q30" s="240" t="inlineStr">
        <is>
          <t>{{eq:EQ-024:prior_year:capital_reserve}}</t>
        </is>
      </c>
      <c r="R30" s="240" t="inlineStr">
        <is>
          <t>{{eq:EQ-024:prior_year:treasury_stock}}</t>
        </is>
      </c>
      <c r="S30" s="240" t="inlineStr">
        <is>
          <t>{{eq:EQ-024:prior_year:other_comprehensive_income}}</t>
        </is>
      </c>
      <c r="T30" s="247" t="inlineStr">
        <is>
          <t>{{eq:EQ-024:prior_year:special_reserve}}</t>
        </is>
      </c>
      <c r="U30" s="239" t="inlineStr">
        <is>
          <t>{{eq:EQ-024:prior_year:surplus_reserve}}</t>
        </is>
      </c>
      <c r="V30" s="239" t="inlineStr">
        <is>
          <t>{{eq:EQ-024:prior_year:retained_earnings}}</t>
        </is>
      </c>
      <c r="W30" s="243">
        <f>M30+N30+O30+P30+Q30-R30+S30+T30+U30+V30</f>
        <v/>
      </c>
    </row>
    <row r="31" ht="18" customFormat="1" customHeight="1" s="58">
      <c r="A31" s="42" t="inlineStr">
        <is>
          <t>（五）专项储备</t>
        </is>
      </c>
      <c r="B31" s="240">
        <f>SUM(B32:B33)</f>
        <v/>
      </c>
      <c r="C31" s="240">
        <f>SUM(C32:C33)</f>
        <v/>
      </c>
      <c r="D31" s="240">
        <f>SUM(D32:D33)</f>
        <v/>
      </c>
      <c r="E31" s="240">
        <f>SUM(E32:E33)</f>
        <v/>
      </c>
      <c r="F31" s="240">
        <f>SUM(F32:F33)</f>
        <v/>
      </c>
      <c r="G31" s="240">
        <f>SUM(G32:G33)</f>
        <v/>
      </c>
      <c r="H31" s="240">
        <f>SUM(H32:H33)</f>
        <v/>
      </c>
      <c r="I31" s="240">
        <f>SUM(I32:I33)</f>
        <v/>
      </c>
      <c r="J31" s="240">
        <f>SUM(J32:J33)</f>
        <v/>
      </c>
      <c r="K31" s="240">
        <f>SUM(K32:K33)</f>
        <v/>
      </c>
      <c r="L31" s="243">
        <f>B31+C31+D31+E31+F31-G31+H31+I31+J31+K31</f>
        <v/>
      </c>
      <c r="M31" s="240">
        <f>SUM(M32:M33)</f>
        <v/>
      </c>
      <c r="N31" s="240">
        <f>SUM(N32:N33)</f>
        <v/>
      </c>
      <c r="O31" s="240">
        <f>SUM(O32:O33)</f>
        <v/>
      </c>
      <c r="P31" s="240">
        <f>SUM(P32:P33)</f>
        <v/>
      </c>
      <c r="Q31" s="240">
        <f>SUM(Q32:Q33)</f>
        <v/>
      </c>
      <c r="R31" s="240">
        <f>SUM(R32:R33)</f>
        <v/>
      </c>
      <c r="S31" s="240">
        <f>SUM(S32:S33)</f>
        <v/>
      </c>
      <c r="T31" s="240">
        <f>SUM(T32:T33)</f>
        <v/>
      </c>
      <c r="U31" s="240">
        <f>SUM(U32:U33)</f>
        <v/>
      </c>
      <c r="V31" s="240">
        <f>SUM(V32:V33)</f>
        <v/>
      </c>
      <c r="W31" s="243">
        <f>M31+N31+O31+P31+Q31-R31+S31+T31+U31+V31</f>
        <v/>
      </c>
    </row>
    <row r="32" ht="18" customFormat="1" customHeight="1" s="58">
      <c r="A32" s="42" t="inlineStr">
        <is>
          <t xml:space="preserve"> 1．本期提取</t>
        </is>
      </c>
      <c r="B32" s="239" t="inlineStr">
        <is>
          <t>{{eq:EQ-026:current_year:share_capital}}</t>
        </is>
      </c>
      <c r="C32" s="240" t="inlineStr">
        <is>
          <t>{{eq:EQ-026:current_year:other_equity_instrument}}</t>
        </is>
      </c>
      <c r="D32" s="240" t="inlineStr">
        <is>
          <t>{{eq:EQ-026:current_year:perpetual_bond}}</t>
        </is>
      </c>
      <c r="E32" s="240" t="n"/>
      <c r="F32" s="240" t="inlineStr">
        <is>
          <t>{{eq:EQ-026:current_year:capital_reserve}}</t>
        </is>
      </c>
      <c r="G32" s="239" t="inlineStr">
        <is>
          <t>{{eq:EQ-026:current_year:treasury_stock}}</t>
        </is>
      </c>
      <c r="H32" s="239" t="inlineStr">
        <is>
          <t>{{eq:EQ-026:current_year:other_comprehensive_income}}</t>
        </is>
      </c>
      <c r="I32" s="247" t="inlineStr">
        <is>
          <t>{{eq:EQ-026:current_year:special_reserve}}</t>
        </is>
      </c>
      <c r="J32" s="239" t="inlineStr">
        <is>
          <t>{{eq:EQ-026:current_year:surplus_reserve}}</t>
        </is>
      </c>
      <c r="K32" s="239" t="inlineStr">
        <is>
          <t>{{eq:EQ-026:current_year:retained_earnings}}</t>
        </is>
      </c>
      <c r="L32" s="243">
        <f>B32+C32+D32+E32+F32-G32+H32+I32+J32+K32</f>
        <v/>
      </c>
      <c r="M32" s="240" t="inlineStr">
        <is>
          <t>{{eq:EQ-026:prior_year:share_capital}}</t>
        </is>
      </c>
      <c r="N32" s="239" t="inlineStr">
        <is>
          <t>{{eq:EQ-026:prior_year:other_equity_instrument}}</t>
        </is>
      </c>
      <c r="O32" s="240" t="inlineStr">
        <is>
          <t>{{eq:EQ-026:prior_year:perpetual_bond}}</t>
        </is>
      </c>
      <c r="P32" s="240" t="n"/>
      <c r="Q32" s="240" t="inlineStr">
        <is>
          <t>{{eq:EQ-026:prior_year:capital_reserve}}</t>
        </is>
      </c>
      <c r="R32" s="240" t="inlineStr">
        <is>
          <t>{{eq:EQ-026:prior_year:treasury_stock}}</t>
        </is>
      </c>
      <c r="S32" s="240" t="inlineStr">
        <is>
          <t>{{eq:EQ-026:prior_year:other_comprehensive_income}}</t>
        </is>
      </c>
      <c r="T32" s="247" t="inlineStr">
        <is>
          <t>{{eq:EQ-026:prior_year:special_reserve}}</t>
        </is>
      </c>
      <c r="U32" s="239" t="inlineStr">
        <is>
          <t>{{eq:EQ-026:prior_year:surplus_reserve}}</t>
        </is>
      </c>
      <c r="V32" s="239" t="inlineStr">
        <is>
          <t>{{eq:EQ-026:prior_year:retained_earnings}}</t>
        </is>
      </c>
      <c r="W32" s="243">
        <f>M32+N32+O32+P32+Q32-R32+S32+T32+U32+V32</f>
        <v/>
      </c>
    </row>
    <row r="33" ht="18" customFormat="1" customHeight="1" s="58">
      <c r="A33" s="42" t="inlineStr">
        <is>
          <t xml:space="preserve"> 2．本期使用（以负号填列）</t>
        </is>
      </c>
      <c r="B33" s="239" t="inlineStr">
        <is>
          <t>{{eq:EQ-027:current_year:share_capital}}</t>
        </is>
      </c>
      <c r="C33" s="240" t="inlineStr">
        <is>
          <t>{{eq:EQ-027:current_year:other_equity_instrument}}</t>
        </is>
      </c>
      <c r="D33" s="240" t="inlineStr">
        <is>
          <t>{{eq:EQ-027:current_year:perpetual_bond}}</t>
        </is>
      </c>
      <c r="E33" s="240" t="n"/>
      <c r="F33" s="240" t="inlineStr">
        <is>
          <t>{{eq:EQ-027:current_year:capital_reserve}}</t>
        </is>
      </c>
      <c r="G33" s="239" t="inlineStr">
        <is>
          <t>{{eq:EQ-027:current_year:treasury_stock}}</t>
        </is>
      </c>
      <c r="H33" s="239" t="inlineStr">
        <is>
          <t>{{eq:EQ-027:current_year:other_comprehensive_income}}</t>
        </is>
      </c>
      <c r="I33" s="247" t="inlineStr">
        <is>
          <t>{{eq:EQ-027:current_year:special_reserve}}</t>
        </is>
      </c>
      <c r="J33" s="239" t="inlineStr">
        <is>
          <t>{{eq:EQ-027:current_year:surplus_reserve}}</t>
        </is>
      </c>
      <c r="K33" s="239" t="inlineStr">
        <is>
          <t>{{eq:EQ-027:current_year:retained_earnings}}</t>
        </is>
      </c>
      <c r="L33" s="243">
        <f>B33+C33+D33+E33+F33-G33+H33+I33+J33+K33</f>
        <v/>
      </c>
      <c r="M33" s="240" t="inlineStr">
        <is>
          <t>{{eq:EQ-027:prior_year:share_capital}}</t>
        </is>
      </c>
      <c r="N33" s="239" t="inlineStr">
        <is>
          <t>{{eq:EQ-027:prior_year:other_equity_instrument}}</t>
        </is>
      </c>
      <c r="O33" s="240" t="inlineStr">
        <is>
          <t>{{eq:EQ-027:prior_year:perpetual_bond}}</t>
        </is>
      </c>
      <c r="P33" s="240" t="n"/>
      <c r="Q33" s="240" t="inlineStr">
        <is>
          <t>{{eq:EQ-027:prior_year:capital_reserve}}</t>
        </is>
      </c>
      <c r="R33" s="240" t="inlineStr">
        <is>
          <t>{{eq:EQ-027:prior_year:treasury_stock}}</t>
        </is>
      </c>
      <c r="S33" s="240" t="inlineStr">
        <is>
          <t>{{eq:EQ-027:prior_year:other_comprehensive_income}}</t>
        </is>
      </c>
      <c r="T33" s="247" t="inlineStr">
        <is>
          <t>{{eq:EQ-027:prior_year:special_reserve}}</t>
        </is>
      </c>
      <c r="U33" s="239" t="inlineStr">
        <is>
          <t>{{eq:EQ-027:prior_year:surplus_reserve}}</t>
        </is>
      </c>
      <c r="V33" s="239" t="inlineStr">
        <is>
          <t>{{eq:EQ-027:prior_year:retained_earnings}}</t>
        </is>
      </c>
      <c r="W33" s="243">
        <f>M33+N33+O33+P33+Q33-R33+S33+T33+U33+V33</f>
        <v/>
      </c>
    </row>
    <row r="34" ht="18" customHeight="1">
      <c r="A34" s="42" t="inlineStr">
        <is>
          <t>（六）其他</t>
        </is>
      </c>
      <c r="B34" s="239" t="inlineStr">
        <is>
          <t>{{eq:EQ-028:current_year:share_capital}}</t>
        </is>
      </c>
      <c r="C34" s="240" t="inlineStr">
        <is>
          <t>{{eq:EQ-028:current_year:other_equity_instrument}}</t>
        </is>
      </c>
      <c r="D34" s="240" t="inlineStr">
        <is>
          <t>{{eq:EQ-028:current_year:perpetual_bond}}</t>
        </is>
      </c>
      <c r="E34" s="240" t="n"/>
      <c r="F34" s="240" t="inlineStr">
        <is>
          <t>{{eq:EQ-028:current_year:capital_reserve}}</t>
        </is>
      </c>
      <c r="G34" s="239" t="inlineStr">
        <is>
          <t>{{eq:EQ-028:current_year:treasury_stock}}</t>
        </is>
      </c>
      <c r="H34" s="239" t="inlineStr">
        <is>
          <t>{{eq:EQ-028:current_year:other_comprehensive_income}}</t>
        </is>
      </c>
      <c r="I34" s="247" t="inlineStr">
        <is>
          <t>{{eq:EQ-028:current_year:special_reserve}}</t>
        </is>
      </c>
      <c r="J34" s="239" t="inlineStr">
        <is>
          <t>{{eq:EQ-028:current_year:surplus_reserve}}</t>
        </is>
      </c>
      <c r="K34" s="239" t="inlineStr">
        <is>
          <t>{{eq:EQ-028:current_year:retained_earnings}}</t>
        </is>
      </c>
      <c r="L34" s="243">
        <f>B34+C34+D34+E34+F34-G34+H34+I34+J34+K34</f>
        <v/>
      </c>
      <c r="M34" s="240" t="inlineStr">
        <is>
          <t>{{eq:EQ-028:prior_year:share_capital}}</t>
        </is>
      </c>
      <c r="N34" s="239" t="inlineStr">
        <is>
          <t>{{eq:EQ-028:prior_year:other_equity_instrument}}</t>
        </is>
      </c>
      <c r="O34" s="240" t="inlineStr">
        <is>
          <t>{{eq:EQ-028:prior_year:perpetual_bond}}</t>
        </is>
      </c>
      <c r="P34" s="240" t="n"/>
      <c r="Q34" s="240" t="inlineStr">
        <is>
          <t>{{eq:EQ-028:prior_year:capital_reserve}}</t>
        </is>
      </c>
      <c r="R34" s="240" t="inlineStr">
        <is>
          <t>{{eq:EQ-028:prior_year:treasury_stock}}</t>
        </is>
      </c>
      <c r="S34" s="240" t="inlineStr">
        <is>
          <t>{{eq:EQ-028:prior_year:other_comprehensive_income}}</t>
        </is>
      </c>
      <c r="T34" s="247" t="inlineStr">
        <is>
          <t>{{eq:EQ-028:prior_year:special_reserve}}</t>
        </is>
      </c>
      <c r="U34" s="239" t="inlineStr">
        <is>
          <t>{{eq:EQ-028:prior_year:surplus_reserve}}</t>
        </is>
      </c>
      <c r="V34" s="239" t="inlineStr">
        <is>
          <t>{{eq:EQ-028:prior_year:retained_earnings}}</t>
        </is>
      </c>
      <c r="W34" s="243">
        <f>M34+N34+O34+P34+Q34-R34+S34+T34+U34+V34</f>
        <v/>
      </c>
    </row>
    <row r="35" ht="18" customHeight="1">
      <c r="A35" s="48" t="inlineStr">
        <is>
          <t>四、本年年末余额</t>
        </is>
      </c>
      <c r="B35" s="248">
        <f>B11+B12</f>
        <v/>
      </c>
      <c r="C35" s="248">
        <f>C11+C12</f>
        <v/>
      </c>
      <c r="D35" s="248">
        <f>D11+D12</f>
        <v/>
      </c>
      <c r="E35" s="248">
        <f>E11+E12</f>
        <v/>
      </c>
      <c r="F35" s="248">
        <f>F11+F12</f>
        <v/>
      </c>
      <c r="G35" s="248">
        <f>G11+G12</f>
        <v/>
      </c>
      <c r="H35" s="248">
        <f>H11+H12</f>
        <v/>
      </c>
      <c r="I35" s="249">
        <f>I11+I12</f>
        <v/>
      </c>
      <c r="J35" s="248">
        <f>J11+J12</f>
        <v/>
      </c>
      <c r="K35" s="248">
        <f>K11+K12</f>
        <v/>
      </c>
      <c r="L35" s="250">
        <f>B35+C35+D35+E35+F35-G35+H35+I35+J35+K35</f>
        <v/>
      </c>
      <c r="M35" s="249">
        <f>M11+M12</f>
        <v/>
      </c>
      <c r="N35" s="248">
        <f>N11+N12</f>
        <v/>
      </c>
      <c r="O35" s="248">
        <f>O11+O12</f>
        <v/>
      </c>
      <c r="P35" s="248">
        <f>P11+P12</f>
        <v/>
      </c>
      <c r="Q35" s="248">
        <f>Q11+Q12</f>
        <v/>
      </c>
      <c r="R35" s="248">
        <f>R11+R12</f>
        <v/>
      </c>
      <c r="S35" s="248">
        <f>S11+S12</f>
        <v/>
      </c>
      <c r="T35" s="248">
        <f>T11+T12</f>
        <v/>
      </c>
      <c r="U35" s="248">
        <f>U11+U12</f>
        <v/>
      </c>
      <c r="V35" s="248">
        <f>V11+V12</f>
        <v/>
      </c>
      <c r="W35" s="250">
        <f>M35+N35+O35+P35+Q35-R35+S35+T35+U35+V35</f>
        <v/>
      </c>
    </row>
    <row r="36" ht="18" customHeight="1">
      <c r="B36" s="58" t="n"/>
      <c r="C36" s="58" t="n"/>
      <c r="D36" s="58" t="n"/>
      <c r="E36" s="58" t="n"/>
      <c r="F36" s="58" t="n"/>
      <c r="G36" s="58" t="n"/>
      <c r="H36" s="58" t="n"/>
      <c r="I36" s="58" t="n"/>
      <c r="J36" s="58" t="n"/>
      <c r="K36" s="58" t="n"/>
      <c r="L36" s="53" t="n"/>
    </row>
    <row r="37" ht="18" customFormat="1" customHeight="1" s="58">
      <c r="A37" s="251" t="inlineStr">
        <is>
          <t xml:space="preserve">公司法定代表人：                                                                           </t>
        </is>
      </c>
      <c r="C37" s="252" t="n"/>
      <c r="D37" s="252" t="inlineStr">
        <is>
          <t xml:space="preserve">主管会计工作的公司负责人：         </t>
        </is>
      </c>
      <c r="E37" s="252" t="n"/>
      <c r="F37" s="56" t="n"/>
      <c r="G37" s="56" t="n"/>
      <c r="H37" s="56" t="n"/>
      <c r="I37" s="56" t="n"/>
      <c r="J37" s="57" t="inlineStr">
        <is>
          <t>公司会计机构负责人：</t>
        </is>
      </c>
      <c r="L37" s="58" t="n"/>
      <c r="N37" s="252" t="n"/>
      <c r="O37" s="252" t="inlineStr">
        <is>
          <t xml:space="preserve">主管会计工作的公司负责人：         </t>
        </is>
      </c>
      <c r="P37" s="252" t="n"/>
      <c r="U37" s="57" t="inlineStr">
        <is>
          <t>公司会计机构负责人：</t>
        </is>
      </c>
    </row>
  </sheetData>
  <mergeCells count="23">
    <mergeCell ref="M4:W4"/>
    <mergeCell ref="B4:L4"/>
    <mergeCell ref="Q5:Q6"/>
    <mergeCell ref="W5:W6"/>
    <mergeCell ref="N5:P5"/>
    <mergeCell ref="F5:F6"/>
    <mergeCell ref="L5:L6"/>
    <mergeCell ref="M1:W1"/>
    <mergeCell ref="A4:A6"/>
    <mergeCell ref="I5:I6"/>
    <mergeCell ref="B1:L1"/>
    <mergeCell ref="G5:G6"/>
    <mergeCell ref="S5:S6"/>
    <mergeCell ref="U5:U6"/>
    <mergeCell ref="B5:B6"/>
    <mergeCell ref="H5:H6"/>
    <mergeCell ref="R5:R6"/>
    <mergeCell ref="C5:E5"/>
    <mergeCell ref="J5:J6"/>
    <mergeCell ref="T5:T6"/>
    <mergeCell ref="V5:V6"/>
    <mergeCell ref="K5:K6"/>
    <mergeCell ref="M5:M6"/>
  </mergeCells>
  <printOptions horizontalCentered="1"/>
  <pageMargins left="0.511811023622047" right="0.511811023622047" top="0.78740157480315" bottom="0.78740157480315" header="0.511811023622047" footer="0.511811023622047"/>
  <pageSetup orientation="landscape" paperSize="9" scale="65" firstPageNumber="7" useFirstPageNumber="1" horizontalDpi="600" verticalDpi="600"/>
  <headerFooter alignWithMargins="0">
    <oddHeader/>
    <oddFooter>&amp;C&amp;"Arial Narrow,常规"&amp;P</oddFooter>
    <evenHeader/>
    <evenFooter/>
    <firstHeader/>
    <firstFooter/>
  </headerFooter>
  <colBreaks count="1" manualBreakCount="1">
    <brk id="12" min="0" max="65535" man="1"/>
  </colBreaks>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8"/>
  <sheetViews>
    <sheetView zoomScaleSheetLayoutView="60" workbookViewId="0">
      <selection activeCell="A1" sqref="A1"/>
    </sheetView>
  </sheetViews>
  <sheetFormatPr baseColWidth="8" defaultColWidth="8.800000000000001" defaultRowHeight="15.6" outlineLevelRow="7"/>
  <sheetData>
    <row r="1">
      <c r="A1" t="inlineStr">
        <is>
          <t>C1</t>
        </is>
      </c>
      <c r="B1" t="inlineStr">
        <is>
          <t>Custom 1</t>
        </is>
      </c>
    </row>
    <row r="2">
      <c r="A2" t="inlineStr">
        <is>
          <t>C2</t>
        </is>
      </c>
      <c r="B2" t="inlineStr">
        <is>
          <t>Custom 2</t>
        </is>
      </c>
    </row>
    <row r="3">
      <c r="A3" t="inlineStr">
        <is>
          <t>C3</t>
        </is>
      </c>
      <c r="B3" t="inlineStr">
        <is>
          <t>Custom 3</t>
        </is>
      </c>
    </row>
    <row r="4">
      <c r="A4" t="inlineStr">
        <is>
          <t>C4</t>
        </is>
      </c>
      <c r="B4" t="inlineStr">
        <is>
          <t>Custom 4</t>
        </is>
      </c>
    </row>
    <row r="5">
      <c r="A5" t="inlineStr">
        <is>
          <t>C5</t>
        </is>
      </c>
      <c r="B5" t="inlineStr">
        <is>
          <t>Custom 5</t>
        </is>
      </c>
    </row>
    <row r="6">
      <c r="A6" t="inlineStr">
        <is>
          <t>C6</t>
        </is>
      </c>
      <c r="B6" t="inlineStr">
        <is>
          <t>Custom 6</t>
        </is>
      </c>
    </row>
    <row r="7">
      <c r="A7" t="inlineStr">
        <is>
          <t>C7</t>
        </is>
      </c>
      <c r="B7" t="inlineStr">
        <is>
          <t>Custom 7</t>
        </is>
      </c>
    </row>
    <row r="8">
      <c r="A8" t="inlineStr">
        <is>
          <t>C8</t>
        </is>
      </c>
      <c r="B8" t="inlineStr">
        <is>
          <t>Custom 8</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Zhang Rui 张蕊</dc:creator>
  <dcterms:created xmlns:dcterms="http://purl.org/dc/terms/" xmlns:xsi="http://www.w3.org/2001/XMLSchema-instance" xsi:type="dcterms:W3CDTF">2001-06-27T02:04:00Z</dcterms:created>
  <dcterms:modified xmlns:dcterms="http://purl.org/dc/terms/" xmlns:xsi="http://www.w3.org/2001/XMLSchema-instance" xsi:type="dcterms:W3CDTF">2026-06-09T16:09:25Z</dcterms:modified>
  <cp:lastModifiedBy>杨志</cp:lastModifiedBy>
  <cp:lastPrinted>2023-01-10T06:51:00Z</cp:lastPrint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415767E6C34A4F10BC704824739C5578_13</vt:lpwstr>
  </property>
  <property name="KSOProductBuildVer" fmtid="{D5CDD505-2E9C-101B-9397-08002B2CF9AE}" pid="3">
    <vt:lpwstr xmlns:vt="http://schemas.openxmlformats.org/officeDocument/2006/docPropsVTypes">2052-12.1.0.26895</vt:lpwstr>
  </property>
  <property name="CalculationRule" fmtid="{D5CDD505-2E9C-101B-9397-08002B2CF9AE}" pid="4">
    <vt:i4 xmlns:vt="http://schemas.openxmlformats.org/officeDocument/2006/docPropsVTypes">0</vt:i4>
  </property>
</Properties>
</file>