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资产负债表" sheetId="1" state="visible" r:id="rId1"/>
    <sheet xmlns:r="http://schemas.openxmlformats.org/officeDocument/2006/relationships" name="资产负债表续" sheetId="2" state="visible" r:id="rId2"/>
    <sheet xmlns:r="http://schemas.openxmlformats.org/officeDocument/2006/relationships" name="利润表" sheetId="3" state="visible" r:id="rId3"/>
    <sheet xmlns:r="http://schemas.openxmlformats.org/officeDocument/2006/relationships" name="现金流量表" sheetId="4" state="visible" r:id="rId4"/>
    <sheet xmlns:r="http://schemas.openxmlformats.org/officeDocument/2006/relationships" name="合并股东（或所有者）权益变动表" sheetId="5" state="visible" r:id="rId5"/>
    <sheet xmlns:r="http://schemas.openxmlformats.org/officeDocument/2006/relationships" name="公司股东（或所有者）权益变动表" sheetId="6" state="visible" r:id="rId6"/>
    <sheet xmlns:r="http://schemas.openxmlformats.org/officeDocument/2006/relationships" name="GT_Custom" sheetId="7" state="hidden" r:id="rId7"/>
  </sheets>
  <definedNames>
    <definedName name="Z_11225121_1664_11D5_91ED_001060808604_.wvu.PrintArea" localSheetId="0" hidden="1">资产负债表!$A$1:$F$47</definedName>
    <definedName name="Z_38A85FE0_3960_11D5_8724_5254293012F4_.wvu.PrintArea" localSheetId="0" hidden="1">资产负债表!$A$1:$F$47</definedName>
    <definedName name="Z_74D759C8_22AF_4BF8_98E4_973AB9CC8AD4_.wvu.PrintArea" localSheetId="0" hidden="1">资产负债表!$A$1:$F$47</definedName>
    <definedName name="Z_B17549A0_198B_11D5_A231_0080C88DD54C_.wvu.PrintArea" localSheetId="0" hidden="1">资产负债表!$A$1:$F$49</definedName>
    <definedName name="Z_B238A4E0_5F40_11D5_A601_00A0C939A085_.wvu.PrintArea" localSheetId="0" hidden="1">资产负债表!$A$1:$F$47</definedName>
    <definedName name="_xlnm.Print_Area" localSheetId="0">'资产负债表'!$A$1:$F$47</definedName>
    <definedName name="Z_11225121_1664_11D5_91ED_001060808604_.wvu.PrintArea" localSheetId="1" hidden="1">资产负债表续!$A$1:$F$54</definedName>
    <definedName name="Z_38A85FE0_3960_11D5_8724_5254293012F4_.wvu.PrintArea" localSheetId="1" hidden="1">资产负债表续!$A$1:$F$54</definedName>
    <definedName name="Z_74D759C8_22AF_4BF8_98E4_973AB9CC8AD4_.wvu.PrintArea" localSheetId="1" hidden="1">资产负债表续!$A$1:$F$54</definedName>
    <definedName name="Z_B238A4E0_5F40_11D5_A601_00A0C939A085_.wvu.PrintArea" localSheetId="1" hidden="1">资产负债表续!$A$1:$F$54</definedName>
    <definedName name="_xlnm.Print_Area" localSheetId="1">'资产负债表续'!$A$1:$F$54</definedName>
    <definedName name="Z_74D759C8_22AF_4BF8_98E4_973AB9CC8AD4_.wvu.PrintArea" localSheetId="2" hidden="1">利润表!$A$1:$F$61</definedName>
    <definedName name="Z_74D759C8_22AF_4BF8_98E4_973AB9CC8AD4_.wvu.PrintTitles" localSheetId="2" hidden="1">利润表!$1:$5</definedName>
    <definedName name="_xlnm.Print_Titles" localSheetId="2">'利润表'!$1:$5</definedName>
    <definedName name="_xlnm.Print_Area" localSheetId="2">'利润表'!$A$1:$F$61</definedName>
    <definedName name="_xlnm.Print_Area" localSheetId="3">'现金流量表'!$A$1:$F$48</definedName>
    <definedName name="Z_74D759C8_22AF_4BF8_98E4_973AB9CC8AD4_.wvu.PrintArea" localSheetId="4" hidden="1">'合并股东（或所有者）权益变动表'!$A$1:$AA$39</definedName>
    <definedName name="Z_74D759C8_22AF_4BF8_98E4_973AB9CC8AD4_.wvu.PrintTitles" localSheetId="4" hidden="1">'合并股东（或所有者）权益变动表'!$A:$A</definedName>
    <definedName name="_xlnm.Print_Titles" localSheetId="4">'合并股东（或所有者）权益变动表'!$A:$A</definedName>
    <definedName name="_xlnm.Print_Area" localSheetId="4">'合并股东（或所有者）权益变动表'!$A$1:$AA$39</definedName>
    <definedName name="Z_74D759C8_22AF_4BF8_98E4_973AB9CC8AD4_.wvu.PrintTitles" localSheetId="5" hidden="1">'公司股东（或所有者）权益变动表'!$A:$A</definedName>
    <definedName name="_xlnm.Print_Titles" localSheetId="5">'公司股东（或所有者）权益变动表'!$A:$A</definedName>
  </definedNames>
  <calcPr calcId="191029" fullCalcOnLoad="1"/>
</workbook>
</file>

<file path=xl/styles.xml><?xml version="1.0" encoding="utf-8"?>
<styleSheet xmlns="http://schemas.openxmlformats.org/spreadsheetml/2006/main">
  <numFmts count="6">
    <numFmt numFmtId="164" formatCode="_ * #,##0.00_ ;_ * \-#,##0.00_ ;_ * &quot;-&quot;??_ ;_ @_ "/>
    <numFmt numFmtId="165" formatCode="#,##0.00_ "/>
    <numFmt numFmtId="166" formatCode="#,##0.00_-"/>
    <numFmt numFmtId="167" formatCode="_ * #,##0.0000_ ;_ * \-#,##0.0000_ ;_ * &quot;-&quot;??_ ;_ @_ "/>
    <numFmt numFmtId="168" formatCode="_(&quot;￥&quot;* #,##0.00_);_(&quot;￥&quot;* \(#,##0.00\);_(&quot;￥&quot;* &quot;-&quot;??_);_(@_)"/>
    <numFmt numFmtId="169" formatCode="_(&quot;￥&quot;* #,##0_);_(&quot;￥&quot;* \(#,##0\);_(&quot;￥&quot;* &quot;-&quot;_);_(@_)"/>
  </numFmts>
  <fonts count="46">
    <font>
      <name val="Times New Roman"/>
      <charset val="0"/>
      <family val="1"/>
      <sz val="12"/>
    </font>
    <font>
      <name val="仿宋_GB2312"/>
      <charset val="134"/>
      <family val="3"/>
      <sz val="12"/>
    </font>
    <font>
      <name val="Arial Narrow"/>
      <charset val="0"/>
      <sz val="12"/>
    </font>
    <font>
      <name val="仿宋_GB2312"/>
      <charset val="134"/>
      <family val="3"/>
      <b val="1"/>
      <sz val="16"/>
    </font>
    <font>
      <name val="Arial Narrow"/>
      <charset val="0"/>
      <b val="1"/>
      <sz val="16"/>
    </font>
    <font>
      <name val="仿宋_GB2312"/>
      <charset val="134"/>
      <family val="3"/>
      <b val="1"/>
      <sz val="12"/>
    </font>
    <font>
      <name val="Arial Narrow"/>
      <charset val="0"/>
      <b val="1"/>
      <sz val="12"/>
    </font>
    <font>
      <name val="Arial Narrow"/>
      <charset val="0"/>
      <b val="1"/>
      <strike val="1"/>
      <sz val="12"/>
    </font>
    <font>
      <name val="仿宋_GB2312"/>
      <charset val="134"/>
      <family val="3"/>
      <color rgb="FFFF0000"/>
      <sz val="12"/>
    </font>
    <font>
      <name val="仿宋_GB2312"/>
      <charset val="134"/>
      <family val="3"/>
      <b val="1"/>
      <color indexed="12"/>
      <sz val="12"/>
    </font>
    <font>
      <name val="Arial Narrow"/>
      <charset val="0"/>
      <b val="1"/>
      <color indexed="12"/>
      <sz val="12"/>
    </font>
    <font>
      <name val="Arial Narrow"/>
      <charset val="0"/>
      <color indexed="9"/>
      <sz val="12"/>
    </font>
    <font>
      <name val="Arial Narrow"/>
      <charset val="0"/>
      <b val="1"/>
      <color indexed="9"/>
      <sz val="12"/>
    </font>
    <font>
      <name val="Arial Narrow"/>
      <charset val="0"/>
      <sz val="11"/>
    </font>
    <font>
      <name val="宋体"/>
      <charset val="134"/>
      <sz val="12"/>
    </font>
    <font>
      <name val="宋体"/>
      <charset val="134"/>
      <color rgb="FF0000FF"/>
      <sz val="12"/>
    </font>
    <font>
      <name val="Arial Narrow"/>
      <charset val="0"/>
      <strike val="1"/>
      <sz val="12"/>
    </font>
    <font>
      <name val="楷体_GB2312"/>
      <charset val="134"/>
      <family val="3"/>
      <sz val="12"/>
    </font>
    <font>
      <name val="Times New Roman"/>
      <charset val="0"/>
      <family val="1"/>
      <color indexed="12"/>
      <sz val="9"/>
      <u val="single"/>
    </font>
    <font>
      <name val="Times New Roman"/>
      <charset val="0"/>
      <family val="1"/>
      <color indexed="36"/>
      <sz val="9"/>
      <u val="single"/>
    </font>
    <font>
      <name val="宋体"/>
      <charset val="134"/>
      <color rgb="FFFF0000"/>
      <sz val="11"/>
      <scheme val="minor"/>
    </font>
    <font>
      <name val="宋体"/>
      <charset val="134"/>
      <b val="1"/>
      <color theme="3"/>
      <sz val="18"/>
      <scheme val="maj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b val="1"/>
      <color theme="0"/>
      <sz val="11"/>
      <scheme val="minor"/>
    </font>
    <font>
      <name val="宋体"/>
      <charset val="134"/>
      <color rgb="FFFA7D00"/>
      <sz val="11"/>
      <scheme val="minor"/>
    </font>
    <font>
      <name val="宋体"/>
      <charset val="134"/>
      <b val="1"/>
      <color theme="1"/>
      <sz val="11"/>
      <scheme val="minor"/>
    </font>
    <font>
      <name val="宋体"/>
      <charset val="134"/>
      <color rgb="FF006100"/>
      <sz val="11"/>
      <scheme val="minor"/>
    </font>
    <font>
      <name val="宋体"/>
      <charset val="134"/>
      <color rgb="FF9C0006"/>
      <sz val="11"/>
      <scheme val="minor"/>
    </font>
    <font>
      <name val="宋体"/>
      <charset val="134"/>
      <color rgb="FF9C6500"/>
      <sz val="11"/>
      <scheme val="minor"/>
    </font>
    <font>
      <name val="宋体"/>
      <charset val="134"/>
      <color theme="0"/>
      <sz val="11"/>
      <scheme val="minor"/>
    </font>
    <font>
      <name val="宋体"/>
      <charset val="134"/>
      <color theme="1"/>
      <sz val="11"/>
      <scheme val="minor"/>
    </font>
    <font>
      <name val="楷体"/>
      <charset val="134"/>
      <family val="3"/>
      <sz val="12"/>
    </font>
    <font>
      <name val="仿宋_GB2312"/>
      <charset val="134"/>
      <family val="3"/>
      <color indexed="12"/>
      <sz val="12"/>
    </font>
    <font>
      <name val="Arial Narrow"/>
      <charset val="0"/>
      <color indexed="12"/>
      <sz val="12"/>
    </font>
    <font>
      <name val="宋体"/>
      <charset val="134"/>
      <color indexed="12"/>
      <sz val="12"/>
    </font>
    <font>
      <name val="仿宋_GB2312"/>
      <charset val="134"/>
      <family val="3"/>
      <color indexed="8"/>
      <sz val="13"/>
    </font>
    <font>
      <name val="宋体"/>
      <charset val="134"/>
      <b val="1"/>
      <sz val="9"/>
    </font>
    <font>
      <name val="宋体"/>
      <charset val="134"/>
      <sz val="9"/>
    </font>
    <font>
      <name val="Tahoma"/>
      <charset val="134"/>
      <b val="1"/>
      <sz val="9"/>
    </font>
    <font>
      <name val="Tahoma"/>
      <charset val="134"/>
      <sz val="9"/>
    </font>
  </fonts>
  <fills count="37">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indexed="11"/>
        <bgColor indexed="64"/>
      </patternFill>
    </fill>
    <fill>
      <patternFill patternType="solid">
        <fgColor theme="9" tint="0.399975585192419"/>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25">
    <border>
      <left/>
      <right/>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xf numFmtId="168" fontId="0" fillId="0" borderId="0"/>
    <xf numFmtId="9" fontId="0" fillId="0" borderId="0"/>
    <xf numFmtId="41" fontId="0" fillId="0" borderId="0"/>
    <xf numFmtId="169" fontId="0" fillId="0" borderId="0"/>
    <xf numFmtId="0" fontId="18" fillId="0" borderId="0" applyAlignment="1" applyProtection="1">
      <alignment vertical="top"/>
      <protection locked="0" hidden="0"/>
    </xf>
    <xf numFmtId="0" fontId="19" fillId="0" borderId="0" applyAlignment="1" applyProtection="1">
      <alignment vertical="top"/>
      <protection locked="0" hidden="0"/>
    </xf>
    <xf numFmtId="0" fontId="0" fillId="7" borderId="16"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7" applyAlignment="1">
      <alignment vertical="center"/>
    </xf>
    <xf numFmtId="0" fontId="24" fillId="0" borderId="18" applyAlignment="1">
      <alignment vertical="center"/>
    </xf>
    <xf numFmtId="0" fontId="25" fillId="0" borderId="19" applyAlignment="1">
      <alignment vertical="center"/>
    </xf>
    <xf numFmtId="0" fontId="25" fillId="0" borderId="0" applyAlignment="1">
      <alignment vertical="center"/>
    </xf>
    <xf numFmtId="0" fontId="26" fillId="8" borderId="20" applyAlignment="1">
      <alignment vertical="center"/>
    </xf>
    <xf numFmtId="0" fontId="27" fillId="9" borderId="21" applyAlignment="1">
      <alignment vertical="center"/>
    </xf>
    <xf numFmtId="0" fontId="28" fillId="9" borderId="20" applyAlignment="1">
      <alignment vertical="center"/>
    </xf>
    <xf numFmtId="0" fontId="29" fillId="10" borderId="22" applyAlignment="1">
      <alignment vertical="center"/>
    </xf>
    <xf numFmtId="0" fontId="30" fillId="0" borderId="23" applyAlignment="1">
      <alignment vertical="center"/>
    </xf>
    <xf numFmtId="0" fontId="31" fillId="0" borderId="24" applyAlignment="1">
      <alignment vertical="center"/>
    </xf>
    <xf numFmtId="0" fontId="32" fillId="11" borderId="0" applyAlignment="1">
      <alignment vertical="center"/>
    </xf>
    <xf numFmtId="0" fontId="33" fillId="12" borderId="0" applyAlignment="1">
      <alignment vertical="center"/>
    </xf>
    <xf numFmtId="0" fontId="34" fillId="13" borderId="0" applyAlignment="1">
      <alignment vertical="center"/>
    </xf>
    <xf numFmtId="0" fontId="35" fillId="14" borderId="0" applyAlignment="1">
      <alignment vertical="center"/>
    </xf>
    <xf numFmtId="0" fontId="36" fillId="15" borderId="0" applyAlignment="1">
      <alignment vertical="center"/>
    </xf>
    <xf numFmtId="0" fontId="36" fillId="16" borderId="0" applyAlignment="1">
      <alignment vertical="center"/>
    </xf>
    <xf numFmtId="0" fontId="35" fillId="17" borderId="0" applyAlignment="1">
      <alignment vertical="center"/>
    </xf>
    <xf numFmtId="0" fontId="35" fillId="18" borderId="0" applyAlignment="1">
      <alignment vertical="center"/>
    </xf>
    <xf numFmtId="0" fontId="36" fillId="19" borderId="0" applyAlignment="1">
      <alignment vertical="center"/>
    </xf>
    <xf numFmtId="0" fontId="36" fillId="20" borderId="0" applyAlignment="1">
      <alignment vertical="center"/>
    </xf>
    <xf numFmtId="0" fontId="35" fillId="21" borderId="0" applyAlignment="1">
      <alignment vertical="center"/>
    </xf>
    <xf numFmtId="0" fontId="35" fillId="22" borderId="0" applyAlignment="1">
      <alignment vertical="center"/>
    </xf>
    <xf numFmtId="0" fontId="36" fillId="23" borderId="0" applyAlignment="1">
      <alignment vertical="center"/>
    </xf>
    <xf numFmtId="0" fontId="36" fillId="24" borderId="0" applyAlignment="1">
      <alignment vertical="center"/>
    </xf>
    <xf numFmtId="0" fontId="35" fillId="25" borderId="0" applyAlignment="1">
      <alignment vertical="center"/>
    </xf>
    <xf numFmtId="0" fontId="35" fillId="26" borderId="0" applyAlignment="1">
      <alignment vertical="center"/>
    </xf>
    <xf numFmtId="0" fontId="36" fillId="27" borderId="0" applyAlignment="1">
      <alignment vertical="center"/>
    </xf>
    <xf numFmtId="0" fontId="36" fillId="28" borderId="0" applyAlignment="1">
      <alignment vertical="center"/>
    </xf>
    <xf numFmtId="0" fontId="35" fillId="29" borderId="0" applyAlignment="1">
      <alignment vertical="center"/>
    </xf>
    <xf numFmtId="0" fontId="35" fillId="30" borderId="0" applyAlignment="1">
      <alignment vertical="center"/>
    </xf>
    <xf numFmtId="0" fontId="36" fillId="31" borderId="0" applyAlignment="1">
      <alignment vertical="center"/>
    </xf>
    <xf numFmtId="0" fontId="36" fillId="32" borderId="0" applyAlignment="1">
      <alignment vertical="center"/>
    </xf>
    <xf numFmtId="0" fontId="35" fillId="33" borderId="0" applyAlignment="1">
      <alignment vertical="center"/>
    </xf>
    <xf numFmtId="0" fontId="35" fillId="34" borderId="0" applyAlignment="1">
      <alignment vertical="center"/>
    </xf>
    <xf numFmtId="0" fontId="36" fillId="35" borderId="0" applyAlignment="1">
      <alignment vertical="center"/>
    </xf>
    <xf numFmtId="0" fontId="36" fillId="36" borderId="0" applyAlignment="1">
      <alignment vertical="center"/>
    </xf>
    <xf numFmtId="0" fontId="35" fillId="5" borderId="0" applyAlignment="1">
      <alignment vertical="center"/>
    </xf>
    <xf numFmtId="0" fontId="14" fillId="0" borderId="0"/>
    <xf numFmtId="0" fontId="37" fillId="0" borderId="0"/>
    <xf numFmtId="0" fontId="0" fillId="0" borderId="0"/>
    <xf numFmtId="43" fontId="0" fillId="0" borderId="0"/>
    <xf numFmtId="41" fontId="0" fillId="0" borderId="0"/>
  </cellStyleXfs>
  <cellXfs count="337">
    <xf numFmtId="0" fontId="0" fillId="0" borderId="0" pivotButton="0" quotePrefix="0" xfId="0"/>
    <xf numFmtId="0" fontId="1" fillId="0" borderId="0" applyAlignment="1" pivotButton="0" quotePrefix="0" xfId="50">
      <alignment vertical="center"/>
    </xf>
    <xf numFmtId="0" fontId="2" fillId="0" borderId="0" applyAlignment="1" pivotButton="0" quotePrefix="0" xfId="50">
      <alignment vertical="center"/>
    </xf>
    <xf numFmtId="0" fontId="1" fillId="0" borderId="0" applyAlignment="1" pivotButton="0" quotePrefix="0" xfId="50">
      <alignment vertical="center"/>
    </xf>
    <xf numFmtId="0" fontId="2" fillId="0" borderId="0" applyAlignment="1" pivotButton="0" quotePrefix="0" xfId="50">
      <alignment vertical="center"/>
    </xf>
    <xf numFmtId="0" fontId="3" fillId="0" borderId="0" applyAlignment="1" pivotButton="0" quotePrefix="0" xfId="50">
      <alignment horizontal="left" vertical="center"/>
    </xf>
    <xf numFmtId="0" fontId="1" fillId="0" borderId="0" applyAlignment="1" pivotButton="0" quotePrefix="0" xfId="50">
      <alignment vertical="center"/>
    </xf>
    <xf numFmtId="0" fontId="4" fillId="0" borderId="0" applyAlignment="1" pivotButton="0" quotePrefix="0" xfId="50">
      <alignment horizontal="center" vertical="center"/>
    </xf>
    <xf numFmtId="0" fontId="2" fillId="0" borderId="0" applyAlignment="1" pivotButton="0" quotePrefix="0" xfId="49">
      <alignment horizontal="center" vertical="center"/>
    </xf>
    <xf numFmtId="0" fontId="2" fillId="0" borderId="0" applyAlignment="1" pivotButton="0" quotePrefix="0" xfId="49">
      <alignment vertical="center"/>
    </xf>
    <xf numFmtId="0" fontId="2" fillId="0" borderId="0" applyAlignment="1" pivotButton="0" quotePrefix="0" xfId="50">
      <alignment horizontal="right" vertical="center"/>
    </xf>
    <xf numFmtId="0" fontId="5" fillId="0" borderId="1" applyAlignment="1" pivotButton="0" quotePrefix="0" xfId="50">
      <alignment horizontal="center" vertical="center"/>
    </xf>
    <xf numFmtId="49" fontId="5" fillId="0" borderId="2" applyAlignment="1" pivotButton="0" quotePrefix="0" xfId="50">
      <alignment horizontal="center" vertical="center"/>
    </xf>
    <xf numFmtId="49" fontId="6" fillId="0" borderId="3" applyAlignment="1" pivotButton="0" quotePrefix="0" xfId="50">
      <alignment horizontal="center" vertical="center"/>
    </xf>
    <xf numFmtId="49" fontId="5" fillId="0" borderId="3" applyAlignment="1" pivotButton="0" quotePrefix="0" xfId="50">
      <alignment horizontal="center" vertical="center"/>
    </xf>
    <xf numFmtId="0" fontId="5" fillId="0" borderId="4" applyAlignment="1" pivotButton="0" quotePrefix="0" xfId="50">
      <alignment horizontal="center" vertical="center"/>
    </xf>
    <xf numFmtId="0" fontId="6" fillId="0" borderId="5" applyAlignment="1" pivotButton="0" quotePrefix="0" xfId="50">
      <alignment horizontal="center" vertical="center" wrapText="1"/>
    </xf>
    <xf numFmtId="0" fontId="5" fillId="0" borderId="2" applyAlignment="1" pivotButton="0" quotePrefix="0" xfId="50">
      <alignment horizontal="center" vertical="center" wrapText="1"/>
    </xf>
    <xf numFmtId="0" fontId="7" fillId="0" borderId="3" applyAlignment="1" pivotButton="0" quotePrefix="0" xfId="50">
      <alignment horizontal="center" vertical="center" wrapText="1"/>
    </xf>
    <xf numFmtId="0" fontId="7" fillId="0" borderId="6" applyAlignment="1" pivotButton="0" quotePrefix="0" xfId="50">
      <alignment horizontal="center" vertical="center" wrapText="1"/>
    </xf>
    <xf numFmtId="0" fontId="5" fillId="0" borderId="5" applyAlignment="1" pivotButton="0" quotePrefix="0" xfId="50">
      <alignment horizontal="center" vertical="center" wrapText="1"/>
    </xf>
    <xf numFmtId="0" fontId="6" fillId="0" borderId="1" applyAlignment="1" pivotButton="0" quotePrefix="0" xfId="50">
      <alignment horizontal="center" vertical="center" wrapText="1"/>
    </xf>
    <xf numFmtId="0" fontId="6" fillId="0" borderId="7" applyAlignment="1" pivotButton="0" quotePrefix="0" xfId="50">
      <alignment horizontal="center" vertical="center" wrapText="1"/>
    </xf>
    <xf numFmtId="0" fontId="5" fillId="0" borderId="8" applyAlignment="1" pivotButton="0" quotePrefix="0" xfId="50">
      <alignment horizontal="center" vertical="center"/>
    </xf>
    <xf numFmtId="0" fontId="6" fillId="0" borderId="9" applyAlignment="1" pivotButton="0" quotePrefix="0" xfId="50">
      <alignment horizontal="center" vertical="center" wrapText="1"/>
    </xf>
    <xf numFmtId="0" fontId="6" fillId="0" borderId="8" applyAlignment="1" pivotButton="0" quotePrefix="0" xfId="50">
      <alignment horizontal="center" vertical="center" wrapText="1"/>
    </xf>
    <xf numFmtId="0" fontId="6" fillId="0" borderId="10" applyAlignment="1" pivotButton="0" quotePrefix="0" xfId="50">
      <alignment horizontal="center" vertical="center" wrapText="1"/>
    </xf>
    <xf numFmtId="0" fontId="5" fillId="0" borderId="4" applyAlignment="1" pivotButton="0" quotePrefix="0" xfId="50">
      <alignment vertical="center"/>
    </xf>
    <xf numFmtId="164" fontId="2" fillId="0" borderId="11" applyAlignment="1" pivotButton="0" quotePrefix="0" xfId="50">
      <alignment vertical="center"/>
    </xf>
    <xf numFmtId="164" fontId="2" fillId="0" borderId="4" applyAlignment="1" pivotButton="0" quotePrefix="0" xfId="50">
      <alignment vertical="center"/>
    </xf>
    <xf numFmtId="164" fontId="2" fillId="0" borderId="5" applyAlignment="1" pivotButton="0" quotePrefix="0" xfId="50">
      <alignment vertical="center"/>
    </xf>
    <xf numFmtId="164" fontId="2" fillId="0" borderId="7" applyAlignment="1" pivotButton="0" quotePrefix="0" xfId="50">
      <alignment vertical="center"/>
    </xf>
    <xf numFmtId="164" fontId="2" fillId="0" borderId="12" applyAlignment="1" pivotButton="0" quotePrefix="0" xfId="50">
      <alignment vertical="center"/>
    </xf>
    <xf numFmtId="0" fontId="1" fillId="0" borderId="4" applyAlignment="1" pivotButton="0" quotePrefix="0" xfId="50">
      <alignment vertical="center"/>
    </xf>
    <xf numFmtId="164" fontId="2" fillId="0" borderId="11" applyAlignment="1" pivotButton="0" quotePrefix="0" xfId="50">
      <alignment horizontal="center" vertical="center"/>
    </xf>
    <xf numFmtId="164" fontId="2" fillId="0" borderId="4" applyAlignment="1" pivotButton="0" quotePrefix="0" xfId="50">
      <alignment horizontal="center" vertical="center"/>
    </xf>
    <xf numFmtId="164" fontId="2" fillId="0" borderId="12" applyAlignment="1" pivotButton="0" quotePrefix="0" xfId="50">
      <alignment horizontal="center" vertical="center"/>
    </xf>
    <xf numFmtId="164" fontId="2" fillId="0" borderId="11" applyAlignment="1" pivotButton="0" quotePrefix="0" xfId="50">
      <alignment vertical="center"/>
    </xf>
    <xf numFmtId="164" fontId="2" fillId="0" borderId="4" applyAlignment="1" pivotButton="0" quotePrefix="0" xfId="50">
      <alignment vertical="center"/>
    </xf>
    <xf numFmtId="164" fontId="2" fillId="0" borderId="0" applyAlignment="1" pivotButton="0" quotePrefix="0" xfId="50">
      <alignment vertical="center"/>
    </xf>
    <xf numFmtId="164" fontId="2" fillId="0" borderId="12" applyAlignment="1" pivotButton="0" quotePrefix="0" xfId="50">
      <alignment vertical="center"/>
    </xf>
    <xf numFmtId="0" fontId="5" fillId="0" borderId="4" applyAlignment="1" pivotButton="0" quotePrefix="0" xfId="50">
      <alignment vertical="center" wrapText="1"/>
    </xf>
    <xf numFmtId="0" fontId="1" fillId="0" borderId="4" applyAlignment="1" pivotButton="0" quotePrefix="0" xfId="50">
      <alignment vertical="center"/>
    </xf>
    <xf numFmtId="164" fontId="2" fillId="0" borderId="0" applyAlignment="1" pivotButton="0" quotePrefix="0" xfId="50">
      <alignment vertical="center"/>
    </xf>
    <xf numFmtId="0" fontId="8" fillId="0" borderId="4" applyAlignment="1" pivotButton="0" quotePrefix="0" xfId="50">
      <alignment vertical="center"/>
    </xf>
    <xf numFmtId="0" fontId="1" fillId="2" borderId="4" applyAlignment="1" pivotButton="0" quotePrefix="0" xfId="50">
      <alignment vertical="center"/>
    </xf>
    <xf numFmtId="0" fontId="1" fillId="3" borderId="4" applyAlignment="1" pivotButton="0" quotePrefix="0" xfId="50">
      <alignment vertical="center" wrapText="1"/>
    </xf>
    <xf numFmtId="0" fontId="1" fillId="3" borderId="4" applyAlignment="1" pivotButton="0" quotePrefix="0" xfId="50">
      <alignment vertical="center"/>
    </xf>
    <xf numFmtId="0" fontId="5" fillId="0" borderId="8" applyAlignment="1" pivotButton="0" quotePrefix="0" xfId="50">
      <alignment vertical="center"/>
    </xf>
    <xf numFmtId="164" fontId="2" fillId="0" borderId="9" applyAlignment="1" pivotButton="0" quotePrefix="0" xfId="50">
      <alignment vertical="center"/>
    </xf>
    <xf numFmtId="164" fontId="2" fillId="0" borderId="8" applyAlignment="1" pivotButton="0" quotePrefix="0" xfId="50">
      <alignment vertical="center"/>
    </xf>
    <xf numFmtId="164" fontId="2" fillId="0" borderId="10" applyAlignment="1" pivotButton="0" quotePrefix="0" xfId="50">
      <alignment vertical="center"/>
    </xf>
    <xf numFmtId="0" fontId="2" fillId="0" borderId="0" applyAlignment="1" pivotButton="0" quotePrefix="0" xfId="50">
      <alignment vertical="center"/>
    </xf>
    <xf numFmtId="0" fontId="2" fillId="0" borderId="13" applyAlignment="1" pivotButton="0" quotePrefix="0" xfId="50">
      <alignment vertical="center"/>
    </xf>
    <xf numFmtId="165" fontId="5" fillId="0" borderId="0" applyAlignment="1" pivotButton="0" quotePrefix="0" xfId="50">
      <alignment vertical="center"/>
    </xf>
    <xf numFmtId="165" fontId="6" fillId="0" borderId="0" applyAlignment="1" pivotButton="0" quotePrefix="0" xfId="50">
      <alignment vertical="center"/>
    </xf>
    <xf numFmtId="4" fontId="2" fillId="0" borderId="0" applyAlignment="1" pivotButton="0" quotePrefix="0" xfId="50">
      <alignment vertical="center"/>
    </xf>
    <xf numFmtId="0" fontId="6" fillId="0" borderId="0" applyAlignment="1" pivotButton="0" quotePrefix="0" xfId="50">
      <alignment vertical="center"/>
    </xf>
    <xf numFmtId="0" fontId="2" fillId="0" borderId="0" applyAlignment="1" pivotButton="0" quotePrefix="0" xfId="50">
      <alignment vertical="center"/>
    </xf>
    <xf numFmtId="0" fontId="1" fillId="0" borderId="0" applyAlignment="1" pivotButton="0" quotePrefix="0" xfId="50">
      <alignment vertical="center"/>
    </xf>
    <xf numFmtId="0" fontId="1" fillId="0" borderId="0" applyAlignment="1" pivotButton="0" quotePrefix="0" xfId="50">
      <alignment vertical="center"/>
    </xf>
    <xf numFmtId="0" fontId="1" fillId="0" borderId="0" applyAlignment="1" pivotButton="0" quotePrefix="0" xfId="50">
      <alignment vertical="center" wrapText="1"/>
    </xf>
    <xf numFmtId="0" fontId="3" fillId="0" borderId="0" applyAlignment="1" pivotButton="0" quotePrefix="0" xfId="50">
      <alignment vertical="center"/>
    </xf>
    <xf numFmtId="0" fontId="5" fillId="0" borderId="1" applyAlignment="1" pivotButton="0" quotePrefix="0" xfId="50">
      <alignment horizontal="center" vertical="center"/>
    </xf>
    <xf numFmtId="49" fontId="5" fillId="0" borderId="2" applyAlignment="1" pivotButton="0" quotePrefix="0" xfId="50">
      <alignment horizontal="center" vertical="center"/>
    </xf>
    <xf numFmtId="49" fontId="6" fillId="0" borderId="3" applyAlignment="1" pivotButton="0" quotePrefix="0" xfId="50">
      <alignment horizontal="center" vertical="center"/>
    </xf>
    <xf numFmtId="49" fontId="5" fillId="0" borderId="3" applyAlignment="1" pivotButton="0" quotePrefix="0" xfId="50">
      <alignment horizontal="center" vertical="center"/>
    </xf>
    <xf numFmtId="0" fontId="5" fillId="0" borderId="4" applyAlignment="1" pivotButton="0" quotePrefix="0" xfId="50">
      <alignment horizontal="center" vertical="center"/>
    </xf>
    <xf numFmtId="0" fontId="5" fillId="0" borderId="14" applyAlignment="1" pivotButton="0" quotePrefix="0" xfId="50">
      <alignment horizontal="center" vertical="center" wrapText="1"/>
    </xf>
    <xf numFmtId="0" fontId="5" fillId="0" borderId="5" applyAlignment="1" pivotButton="0" quotePrefix="0" xfId="50">
      <alignment horizontal="center" vertical="center" wrapText="1"/>
    </xf>
    <xf numFmtId="0" fontId="5" fillId="0" borderId="7" applyAlignment="1" pivotButton="0" quotePrefix="0" xfId="50">
      <alignment horizontal="center" vertical="center" wrapText="1"/>
    </xf>
    <xf numFmtId="0" fontId="5" fillId="0" borderId="6" applyAlignment="1" pivotButton="0" quotePrefix="0" xfId="50">
      <alignment horizontal="center" vertical="center" wrapText="1"/>
    </xf>
    <xf numFmtId="0" fontId="5" fillId="0" borderId="3" applyAlignment="1" pivotButton="0" quotePrefix="0" xfId="50">
      <alignment horizontal="center" vertical="center" wrapText="1"/>
    </xf>
    <xf numFmtId="0" fontId="5" fillId="0" borderId="11" applyAlignment="1" pivotButton="0" quotePrefix="0" xfId="50">
      <alignment horizontal="center" vertical="center" wrapText="1"/>
    </xf>
    <xf numFmtId="0" fontId="5" fillId="0" borderId="12" applyAlignment="1" pivotButton="0" quotePrefix="0" xfId="50">
      <alignment horizontal="center" vertical="center" wrapText="1"/>
    </xf>
    <xf numFmtId="0" fontId="5" fillId="0" borderId="1" applyAlignment="1" pivotButton="0" quotePrefix="0" xfId="50">
      <alignment horizontal="center" vertical="center" wrapText="1"/>
    </xf>
    <xf numFmtId="0" fontId="5" fillId="0" borderId="8" applyAlignment="1" pivotButton="0" quotePrefix="0" xfId="50">
      <alignment horizontal="center" vertical="center"/>
    </xf>
    <xf numFmtId="0" fontId="5" fillId="0" borderId="9" applyAlignment="1" pivotButton="0" quotePrefix="0" xfId="50">
      <alignment horizontal="center" vertical="center" wrapText="1"/>
    </xf>
    <xf numFmtId="0" fontId="5" fillId="0" borderId="8" applyAlignment="1" pivotButton="0" quotePrefix="0" xfId="50">
      <alignment horizontal="center" vertical="center" wrapText="1"/>
    </xf>
    <xf numFmtId="0" fontId="5" fillId="0" borderId="9" applyAlignment="1" pivotButton="0" quotePrefix="0" xfId="50">
      <alignment horizontal="center" vertical="center" wrapText="1"/>
    </xf>
    <xf numFmtId="0" fontId="5" fillId="0" borderId="10" applyAlignment="1" pivotButton="0" quotePrefix="0" xfId="50">
      <alignment horizontal="center" vertical="center" wrapText="1"/>
    </xf>
    <xf numFmtId="0" fontId="5" fillId="0" borderId="8" applyAlignment="1" pivotButton="0" quotePrefix="0" xfId="50">
      <alignment horizontal="center" vertical="center" wrapText="1"/>
    </xf>
    <xf numFmtId="0" fontId="5" fillId="0" borderId="4" applyAlignment="1" pivotButton="0" quotePrefix="0" xfId="50">
      <alignment vertical="center"/>
    </xf>
    <xf numFmtId="164" fontId="2" fillId="0" borderId="1" applyAlignment="1" pivotButton="0" quotePrefix="0" xfId="50">
      <alignment vertical="center"/>
    </xf>
    <xf numFmtId="164" fontId="2" fillId="0" borderId="0" applyAlignment="1" pivotButton="0" quotePrefix="0" xfId="50">
      <alignment horizontal="center" vertical="center"/>
    </xf>
    <xf numFmtId="0" fontId="5" fillId="0" borderId="4" applyAlignment="1" pivotButton="0" quotePrefix="0" xfId="50">
      <alignment vertical="center" wrapText="1"/>
    </xf>
    <xf numFmtId="0" fontId="1" fillId="0" borderId="4" applyAlignment="1" pivotButton="0" quotePrefix="0" xfId="50">
      <alignment vertical="center" wrapText="1"/>
    </xf>
    <xf numFmtId="164" fontId="9" fillId="4" borderId="0" applyAlignment="1" pivotButton="0" quotePrefix="0" xfId="4">
      <alignment horizontal="left" vertical="center" wrapText="1"/>
    </xf>
    <xf numFmtId="164" fontId="10" fillId="4" borderId="0" applyAlignment="1" pivotButton="0" quotePrefix="0" xfId="4">
      <alignment horizontal="left" vertical="center" wrapText="1"/>
    </xf>
    <xf numFmtId="0" fontId="2" fillId="0" borderId="0" applyAlignment="1" pivotButton="0" quotePrefix="0" xfId="0">
      <alignment vertical="center"/>
    </xf>
    <xf numFmtId="0" fontId="1" fillId="0" borderId="0" applyAlignment="1" pivotButton="0" quotePrefix="0" xfId="4">
      <alignment vertical="center"/>
    </xf>
    <xf numFmtId="0" fontId="2" fillId="0" borderId="0" applyAlignment="1" pivotButton="0" quotePrefix="0" xfId="0">
      <alignment vertical="center"/>
    </xf>
    <xf numFmtId="164" fontId="2" fillId="0" borderId="0" applyAlignment="1" pivotButton="0" quotePrefix="0" xfId="0">
      <alignment horizontal="center" vertical="center"/>
    </xf>
    <xf numFmtId="164" fontId="2" fillId="0"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horizontal="center" vertical="center"/>
    </xf>
    <xf numFmtId="0" fontId="2" fillId="0" borderId="0" applyAlignment="1" pivotButton="0" quotePrefix="0" xfId="4">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horizontal="right" vertical="center" wrapText="1"/>
    </xf>
    <xf numFmtId="0" fontId="2" fillId="0" borderId="0" applyAlignment="1" pivotButton="0" quotePrefix="0" xfId="0">
      <alignment horizontal="right" vertical="center"/>
    </xf>
    <xf numFmtId="0" fontId="6" fillId="0" borderId="1" applyAlignment="1" pivotButton="0" quotePrefix="0" xfId="0">
      <alignment horizontal="center" vertical="center"/>
    </xf>
    <xf numFmtId="0" fontId="6" fillId="0" borderId="14" applyAlignment="1" pivotButton="0" quotePrefix="0" xfId="0">
      <alignment horizontal="center" vertical="center"/>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horizontal="center" vertical="center"/>
    </xf>
    <xf numFmtId="0" fontId="6" fillId="0" borderId="10" applyAlignment="1" pivotButton="0" quotePrefix="0" xfId="0">
      <alignment horizontal="center" vertical="center"/>
    </xf>
    <xf numFmtId="0" fontId="6" fillId="0" borderId="4" applyAlignment="1" pivotButton="0" quotePrefix="0" xfId="0">
      <alignment vertical="center"/>
    </xf>
    <xf numFmtId="164" fontId="2" fillId="0" borderId="11" applyAlignment="1" pivotButton="0" quotePrefix="0" xfId="0">
      <alignment horizontal="center" vertical="center"/>
    </xf>
    <xf numFmtId="164" fontId="2" fillId="0" borderId="12" applyAlignment="1" pivotButton="0" quotePrefix="0" xfId="0">
      <alignment horizontal="center" vertical="center"/>
    </xf>
    <xf numFmtId="164" fontId="2" fillId="0" borderId="5" applyAlignment="1" pivotButton="0" quotePrefix="0" xfId="0">
      <alignment vertical="center"/>
    </xf>
    <xf numFmtId="164" fontId="2" fillId="0" borderId="7" applyAlignment="1" pivotButton="0" quotePrefix="0" xfId="0">
      <alignment vertical="center"/>
    </xf>
    <xf numFmtId="0" fontId="2" fillId="0" borderId="4" applyAlignment="1" pivotButton="0" quotePrefix="0" xfId="0">
      <alignment vertical="center"/>
    </xf>
    <xf numFmtId="0" fontId="1" fillId="0" borderId="0" applyAlignment="1" pivotButton="0" quotePrefix="0" xfId="0">
      <alignment vertical="center"/>
    </xf>
    <xf numFmtId="164" fontId="2" fillId="0" borderId="11" applyAlignment="1" pivotButton="0" quotePrefix="0" xfId="0">
      <alignment vertical="center"/>
    </xf>
    <xf numFmtId="164" fontId="6" fillId="0" borderId="11" applyAlignment="1" pivotButton="0" quotePrefix="0" xfId="0">
      <alignment horizontal="center" vertical="center"/>
    </xf>
    <xf numFmtId="164" fontId="6" fillId="0" borderId="12" applyAlignment="1" pivotButton="0" quotePrefix="0" xfId="0">
      <alignment horizontal="center" vertical="center"/>
    </xf>
    <xf numFmtId="164" fontId="11" fillId="0" borderId="11" applyAlignment="1" pivotButton="0" quotePrefix="0" xfId="0">
      <alignment vertical="center"/>
    </xf>
    <xf numFmtId="164" fontId="11" fillId="0" borderId="12" applyAlignment="1" pivotButton="0" quotePrefix="0" xfId="0">
      <alignment vertical="center"/>
    </xf>
    <xf numFmtId="164" fontId="12" fillId="0" borderId="11" applyAlignment="1" pivotButton="0" quotePrefix="0" xfId="0">
      <alignment vertical="center"/>
    </xf>
    <xf numFmtId="164" fontId="12" fillId="0" borderId="12" applyAlignment="1" pivotButton="0" quotePrefix="0" xfId="0">
      <alignment vertical="center"/>
    </xf>
    <xf numFmtId="0" fontId="2" fillId="0" borderId="4" applyAlignment="1" pivotButton="0" quotePrefix="0" xfId="0">
      <alignment vertical="center" wrapText="1"/>
    </xf>
    <xf numFmtId="0" fontId="13" fillId="0" borderId="4" applyAlignment="1" pivotButton="0" quotePrefix="0" xfId="0">
      <alignment vertical="center" wrapText="1"/>
    </xf>
    <xf numFmtId="0" fontId="13" fillId="5" borderId="4" applyAlignment="1" pivotButton="0" quotePrefix="0" xfId="0">
      <alignment vertical="center"/>
    </xf>
    <xf numFmtId="0" fontId="14" fillId="0" borderId="0" applyAlignment="1" pivotButton="0" quotePrefix="0" xfId="0">
      <alignment vertical="center"/>
    </xf>
    <xf numFmtId="0" fontId="8" fillId="2" borderId="0" pivotButton="0" quotePrefix="0" xfId="0"/>
    <xf numFmtId="0" fontId="2" fillId="5" borderId="4" applyAlignment="1" pivotButton="0" quotePrefix="0" xfId="0">
      <alignment vertical="center"/>
    </xf>
    <xf numFmtId="164" fontId="2" fillId="0" borderId="12" applyAlignment="1" pivotButton="0" quotePrefix="0" xfId="0">
      <alignment vertical="center"/>
    </xf>
    <xf numFmtId="164" fontId="6" fillId="0" borderId="11" applyAlignment="1" pivotButton="0" quotePrefix="0" xfId="0">
      <alignment vertical="center"/>
    </xf>
    <xf numFmtId="164" fontId="6" fillId="0" borderId="12" applyAlignment="1" pivotButton="0" quotePrefix="0" xfId="0">
      <alignment vertical="center"/>
    </xf>
    <xf numFmtId="0" fontId="6" fillId="0" borderId="8" applyAlignment="1" pivotButton="0" quotePrefix="0" xfId="0">
      <alignment vertical="center"/>
    </xf>
    <xf numFmtId="164" fontId="2" fillId="0" borderId="9" applyAlignment="1" pivotButton="0" quotePrefix="0" xfId="0">
      <alignment horizontal="center" vertical="center"/>
    </xf>
    <xf numFmtId="164" fontId="2" fillId="0" borderId="10" applyAlignment="1" pivotButton="0" quotePrefix="0" xfId="0">
      <alignment horizontal="center" vertical="center"/>
    </xf>
    <xf numFmtId="0" fontId="6" fillId="0" borderId="0" applyAlignment="1" pivotButton="0" quotePrefix="0" xfId="0">
      <alignment vertical="center"/>
    </xf>
    <xf numFmtId="164" fontId="11"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15" fillId="0" borderId="0" applyAlignment="1" pivotButton="0" quotePrefix="0" xfId="0">
      <alignment horizontal="left" vertical="center" wrapText="1"/>
    </xf>
    <xf numFmtId="0" fontId="2" fillId="0" borderId="0" applyAlignment="1" pivotButton="0" quotePrefix="0" xfId="4">
      <alignment vertical="center"/>
    </xf>
    <xf numFmtId="164" fontId="6" fillId="0" borderId="0" applyAlignment="1" pivotButton="0" quotePrefix="0" xfId="4">
      <alignment vertical="center"/>
    </xf>
    <xf numFmtId="164" fontId="2" fillId="2" borderId="0" applyAlignment="1" pivotButton="0" quotePrefix="0" xfId="4">
      <alignment vertical="center"/>
    </xf>
    <xf numFmtId="164" fontId="2" fillId="0" borderId="0" applyAlignment="1" pivotButton="0" quotePrefix="0" xfId="4">
      <alignment vertical="center" wrapText="1"/>
    </xf>
    <xf numFmtId="164" fontId="6" fillId="0" borderId="0" applyAlignment="1" pivotButton="0" quotePrefix="0" xfId="0">
      <alignment vertical="center"/>
    </xf>
    <xf numFmtId="164" fontId="1" fillId="0" borderId="0" applyAlignment="1" pivotButton="0" quotePrefix="0" xfId="4">
      <alignment vertical="center"/>
    </xf>
    <xf numFmtId="164" fontId="2" fillId="0" borderId="0" applyAlignment="1" pivotButton="0" quotePrefix="0" xfId="4">
      <alignment vertical="center"/>
    </xf>
    <xf numFmtId="164" fontId="2" fillId="0" borderId="0" applyAlignment="1" pivotButton="0" quotePrefix="0" xfId="4">
      <alignment horizontal="center" vertical="center"/>
    </xf>
    <xf numFmtId="0" fontId="4" fillId="0" borderId="0" applyAlignment="1" pivotButton="0" quotePrefix="0" xfId="0">
      <alignment horizontal="center" vertical="center"/>
    </xf>
    <xf numFmtId="164" fontId="6" fillId="0" borderId="0" applyAlignment="1" pivotButton="0" quotePrefix="0" xfId="0">
      <alignment horizontal="center" vertical="center"/>
    </xf>
    <xf numFmtId="164" fontId="2" fillId="0" borderId="0" applyAlignment="1" pivotButton="0" quotePrefix="0" xfId="0">
      <alignment horizontal="left" vertical="center"/>
    </xf>
    <xf numFmtId="0" fontId="2" fillId="0" borderId="15" applyAlignment="1" pivotButton="0" quotePrefix="0" xfId="4">
      <alignment horizontal="center" vertical="center"/>
    </xf>
    <xf numFmtId="0" fontId="2" fillId="0" borderId="15" applyAlignment="1" pivotButton="0" quotePrefix="0" xfId="4">
      <alignment vertical="center"/>
    </xf>
    <xf numFmtId="0" fontId="2" fillId="0" borderId="0" applyAlignment="1" pivotButton="0" quotePrefix="0" xfId="4">
      <alignment horizontal="right" vertical="center"/>
    </xf>
    <xf numFmtId="0" fontId="6" fillId="0" borderId="1" applyAlignment="1" pivotButton="0" quotePrefix="0" xfId="0">
      <alignment horizontal="center" vertical="center"/>
    </xf>
    <xf numFmtId="0" fontId="6" fillId="0" borderId="2" applyAlignment="1" pivotButton="0" quotePrefix="0" xfId="4">
      <alignment horizontal="center" vertical="center"/>
    </xf>
    <xf numFmtId="0" fontId="6" fillId="0" borderId="3" applyAlignment="1" pivotButton="0" quotePrefix="0" xfId="4">
      <alignment horizontal="center" vertical="center"/>
    </xf>
    <xf numFmtId="0" fontId="6" fillId="0" borderId="8" applyAlignment="1" pivotButton="0" quotePrefix="0" xfId="0">
      <alignment horizontal="center" vertical="center"/>
    </xf>
    <xf numFmtId="0" fontId="6" fillId="0" borderId="14" applyAlignment="1" pivotButton="0" quotePrefix="0" xfId="4">
      <alignment horizontal="center" vertical="center"/>
    </xf>
    <xf numFmtId="0" fontId="6" fillId="0" borderId="7" applyAlignment="1" pivotButton="0" quotePrefix="0" xfId="0">
      <alignment horizontal="center" vertical="center"/>
    </xf>
    <xf numFmtId="4" fontId="6" fillId="0" borderId="4" applyAlignment="1" pivotButton="0" quotePrefix="0" xfId="0">
      <alignment vertical="center"/>
    </xf>
    <xf numFmtId="164" fontId="6" fillId="0" borderId="5" applyAlignment="1" pivotButton="0" quotePrefix="0" xfId="4">
      <alignment vertical="center"/>
    </xf>
    <xf numFmtId="164" fontId="2" fillId="0" borderId="12" applyAlignment="1" pivotButton="0" quotePrefix="0" xfId="0">
      <alignment horizontal="center" vertical="center"/>
    </xf>
    <xf numFmtId="164" fontId="2" fillId="0" borderId="7" applyAlignment="1" pivotButton="0" quotePrefix="0" xfId="0">
      <alignment horizontal="center" vertical="center"/>
    </xf>
    <xf numFmtId="4" fontId="2" fillId="0" borderId="4" applyAlignment="1" pivotButton="0" quotePrefix="0" xfId="0">
      <alignment vertical="center"/>
    </xf>
    <xf numFmtId="49" fontId="2" fillId="0" borderId="11" applyAlignment="1" pivotButton="0" quotePrefix="0" xfId="0">
      <alignment horizontal="center" vertical="center"/>
    </xf>
    <xf numFmtId="4" fontId="2" fillId="0" borderId="4" applyAlignment="1" pivotButton="0" quotePrefix="0" xfId="0">
      <alignment vertical="center" wrapText="1"/>
    </xf>
    <xf numFmtId="4" fontId="6" fillId="0" borderId="4" applyAlignment="1" pivotButton="0" quotePrefix="0" xfId="0">
      <alignment vertical="center" wrapText="1"/>
    </xf>
    <xf numFmtId="164" fontId="2" fillId="0" borderId="0" applyAlignment="1" pivotButton="0" quotePrefix="0" xfId="4">
      <alignment horizontal="left" vertical="center"/>
    </xf>
    <xf numFmtId="164" fontId="2" fillId="2" borderId="12" applyAlignment="1" pivotButton="0" quotePrefix="0" xfId="0">
      <alignment horizontal="center" vertical="center"/>
    </xf>
    <xf numFmtId="49" fontId="2" fillId="0" borderId="11" applyAlignment="1" pivotButton="0" quotePrefix="0" xfId="0">
      <alignment horizontal="center" vertical="center" wrapText="1"/>
    </xf>
    <xf numFmtId="164" fontId="2" fillId="0" borderId="12" applyAlignment="1" pivotButton="0" quotePrefix="0" xfId="0">
      <alignment horizontal="center" vertical="center" wrapText="1"/>
    </xf>
    <xf numFmtId="164" fontId="2" fillId="0" borderId="11" applyAlignment="1" pivotButton="0" quotePrefix="0" xfId="4">
      <alignment horizontal="left" vertical="center"/>
    </xf>
    <xf numFmtId="164" fontId="6" fillId="0" borderId="0" applyAlignment="1" pivotButton="0" quotePrefix="0" xfId="4">
      <alignment horizontal="left" vertical="center"/>
    </xf>
    <xf numFmtId="164" fontId="2" fillId="0" borderId="11" applyAlignment="1" pivotButton="0" quotePrefix="0" xfId="0">
      <alignment horizontal="center" vertical="center"/>
    </xf>
    <xf numFmtId="164" fontId="2" fillId="0" borderId="0" applyAlignment="1" pivotButton="0" quotePrefix="0" xfId="0">
      <alignment horizontal="center" vertical="center"/>
    </xf>
    <xf numFmtId="0" fontId="2" fillId="0" borderId="8" applyAlignment="1" pivotButton="0" quotePrefix="0" xfId="0">
      <alignment wrapText="1"/>
    </xf>
    <xf numFmtId="4" fontId="2" fillId="0" borderId="4" applyAlignment="1" pivotButton="0" quotePrefix="0" xfId="0">
      <alignment horizontal="left" vertical="center" indent="4"/>
    </xf>
    <xf numFmtId="0" fontId="2" fillId="0" borderId="6" applyAlignment="1" pivotButton="0" quotePrefix="0" xfId="0">
      <alignment wrapText="1"/>
    </xf>
    <xf numFmtId="4" fontId="2" fillId="0" borderId="4" applyAlignment="1" pivotButton="0" quotePrefix="0" xfId="0">
      <alignment horizontal="left" vertical="center" wrapText="1" indent="4"/>
    </xf>
    <xf numFmtId="4" fontId="16" fillId="0" borderId="4" applyAlignment="1" pivotButton="0" quotePrefix="0" xfId="0">
      <alignment horizontal="left" vertical="center" wrapText="1" indent="4"/>
    </xf>
    <xf numFmtId="164" fontId="6" fillId="0" borderId="0" applyAlignment="1" pivotButton="0" quotePrefix="0" xfId="0">
      <alignment vertical="center"/>
    </xf>
    <xf numFmtId="164" fontId="6" fillId="0" borderId="11" applyAlignment="1" pivotButton="0" quotePrefix="0" xfId="0">
      <alignment vertical="center"/>
    </xf>
    <xf numFmtId="164" fontId="6" fillId="0" borderId="0" applyAlignment="1" pivotButton="0" quotePrefix="0" xfId="0">
      <alignment horizontal="left" vertical="center"/>
    </xf>
    <xf numFmtId="164" fontId="6" fillId="0" borderId="11" applyAlignment="1" pivotButton="0" quotePrefix="0" xfId="0">
      <alignment horizontal="left" vertical="center"/>
    </xf>
    <xf numFmtId="4" fontId="2" fillId="0" borderId="8" applyAlignment="1" pivotButton="0" quotePrefix="0" xfId="0">
      <alignment vertical="center"/>
    </xf>
    <xf numFmtId="164" fontId="2" fillId="0" borderId="9" applyAlignment="1" pivotButton="0" quotePrefix="0" xfId="4">
      <alignment horizontal="left" vertical="center"/>
    </xf>
    <xf numFmtId="164" fontId="2" fillId="0" borderId="10" applyAlignment="1" pivotButton="0" quotePrefix="0" xfId="0">
      <alignment horizontal="center" vertical="center"/>
    </xf>
    <xf numFmtId="164" fontId="5" fillId="0" borderId="0" applyAlignment="1" pivotButton="0" quotePrefix="0" xfId="0">
      <alignment vertical="center"/>
    </xf>
    <xf numFmtId="164" fontId="5" fillId="0" borderId="0" applyAlignment="1" pivotButton="0" quotePrefix="0" xfId="0">
      <alignment horizontal="left" vertical="center"/>
    </xf>
    <xf numFmtId="164" fontId="10" fillId="0" borderId="0" applyAlignment="1" pivotButton="0" quotePrefix="0" xfId="4">
      <alignment horizontal="left" vertical="center" wrapText="1"/>
    </xf>
    <xf numFmtId="164" fontId="17" fillId="0" borderId="0" applyAlignment="1" pivotButton="0" quotePrefix="0" xfId="0">
      <alignment vertical="center"/>
    </xf>
    <xf numFmtId="164" fontId="6" fillId="0" borderId="0" applyAlignment="1" pivotButton="0" quotePrefix="0" xfId="0">
      <alignment vertical="center"/>
    </xf>
    <xf numFmtId="164" fontId="11" fillId="0" borderId="0" applyAlignment="1" pivotButton="0" quotePrefix="0" xfId="0">
      <alignment vertical="center"/>
    </xf>
    <xf numFmtId="0" fontId="6" fillId="0" borderId="0" applyAlignment="1" pivotButton="0" quotePrefix="0" xfId="0">
      <alignment vertical="center"/>
    </xf>
    <xf numFmtId="164" fontId="2" fillId="0" borderId="0" applyAlignment="1" pivotButton="0" quotePrefix="0" xfId="0">
      <alignment vertical="center"/>
    </xf>
    <xf numFmtId="164" fontId="2" fillId="0" borderId="0" applyAlignment="1" pivotButton="0" quotePrefix="0" xfId="0">
      <alignment horizontal="center" vertical="center"/>
    </xf>
    <xf numFmtId="0" fontId="6" fillId="0" borderId="0" applyAlignment="1" pivotButton="0" quotePrefix="0" xfId="0">
      <alignment horizontal="center" vertical="center"/>
    </xf>
    <xf numFmtId="31" fontId="2" fillId="0" borderId="0" applyAlignment="1" pivotButton="0" quotePrefix="0" xfId="0">
      <alignment horizontal="center" vertical="center"/>
    </xf>
    <xf numFmtId="49" fontId="2" fillId="0" borderId="15" applyAlignment="1" pivotButton="0" quotePrefix="0" xfId="0">
      <alignment horizontal="center" vertical="center"/>
    </xf>
    <xf numFmtId="31" fontId="6" fillId="0" borderId="1" applyAlignment="1" pivotButton="0" quotePrefix="0" xfId="0">
      <alignment horizontal="center" vertical="center"/>
    </xf>
    <xf numFmtId="31" fontId="6" fillId="0" borderId="5" applyAlignment="1" pivotButton="0" quotePrefix="0" xfId="0">
      <alignment horizontal="center" vertical="center"/>
    </xf>
    <xf numFmtId="49" fontId="5" fillId="0" borderId="2" applyAlignment="1" pivotButton="0" quotePrefix="0" xfId="0">
      <alignment horizontal="center" vertical="center"/>
    </xf>
    <xf numFmtId="49" fontId="5" fillId="0" borderId="6" applyAlignment="1" pivotButton="0" quotePrefix="0" xfId="0">
      <alignment horizontal="center" vertical="center"/>
    </xf>
    <xf numFmtId="49" fontId="5" fillId="0" borderId="3" applyAlignment="1" pivotButton="0" quotePrefix="0" xfId="0">
      <alignment horizontal="center" vertical="center"/>
    </xf>
    <xf numFmtId="31" fontId="6" fillId="0" borderId="8" applyAlignment="1" pivotButton="0" quotePrefix="0" xfId="0">
      <alignment horizontal="center" vertical="center"/>
    </xf>
    <xf numFmtId="31" fontId="6" fillId="0" borderId="9" applyAlignment="1" pivotButton="0" quotePrefix="0" xfId="0">
      <alignment horizontal="center" vertical="center"/>
    </xf>
    <xf numFmtId="165" fontId="2" fillId="0" borderId="4" applyAlignment="1" pivotButton="0" quotePrefix="0" xfId="0">
      <alignment vertical="center"/>
    </xf>
    <xf numFmtId="165" fontId="2" fillId="0" borderId="5" applyAlignment="1" pivotButton="0" quotePrefix="0" xfId="0">
      <alignment vertical="center"/>
    </xf>
    <xf numFmtId="165" fontId="2" fillId="0" borderId="11" applyAlignment="1" pivotButton="0" quotePrefix="0" xfId="0">
      <alignment vertical="center"/>
    </xf>
    <xf numFmtId="165" fontId="2" fillId="0" borderId="4" applyAlignment="1" pivotButton="0" quotePrefix="0" xfId="0">
      <alignment vertical="center" wrapText="1"/>
    </xf>
    <xf numFmtId="165" fontId="1" fillId="0" borderId="4" applyAlignment="1" pivotButton="0" quotePrefix="0" xfId="0">
      <alignment vertical="center" wrapText="1"/>
    </xf>
    <xf numFmtId="4" fontId="1" fillId="0" borderId="4" applyAlignment="1" pivotButton="0" quotePrefix="0" xfId="0">
      <alignment vertical="center" wrapText="1"/>
    </xf>
    <xf numFmtId="165" fontId="1" fillId="0" borderId="4" applyAlignment="1" pivotButton="0" quotePrefix="0" xfId="0">
      <alignment vertical="center"/>
    </xf>
    <xf numFmtId="165" fontId="6" fillId="0" borderId="4" applyAlignment="1" pivotButton="0" quotePrefix="0" xfId="0">
      <alignment vertical="center"/>
    </xf>
    <xf numFmtId="165" fontId="14" fillId="0" borderId="4" applyAlignment="1" pivotButton="0" quotePrefix="0" xfId="0">
      <alignment vertical="center"/>
    </xf>
    <xf numFmtId="164" fontId="6" fillId="0" borderId="0" applyAlignment="1" pivotButton="0" quotePrefix="0" xfId="0">
      <alignment vertical="center"/>
    </xf>
    <xf numFmtId="165" fontId="6" fillId="0" borderId="8" applyAlignment="1" pivotButton="0" quotePrefix="0" xfId="0">
      <alignment horizontal="center" vertical="center"/>
    </xf>
    <xf numFmtId="165" fontId="2" fillId="0" borderId="9" applyAlignment="1" pivotButton="0" quotePrefix="0" xfId="0">
      <alignment vertical="center"/>
    </xf>
    <xf numFmtId="165" fontId="6" fillId="0" borderId="0" applyAlignment="1" pivotButton="0" quotePrefix="0" xfId="0">
      <alignment horizontal="center" vertical="center"/>
    </xf>
    <xf numFmtId="165" fontId="2" fillId="0" borderId="0" applyAlignment="1" pivotButton="0" quotePrefix="0" xfId="0">
      <alignment vertical="center"/>
    </xf>
    <xf numFmtId="166" fontId="2" fillId="0" borderId="0" applyAlignment="1" pivotButton="0" quotePrefix="0" xfId="0">
      <alignment vertical="center"/>
    </xf>
    <xf numFmtId="0" fontId="6" fillId="0" borderId="0" applyAlignment="1" pivotButton="0" quotePrefix="0" xfId="0">
      <alignment horizontal="left" vertical="center"/>
    </xf>
    <xf numFmtId="164" fontId="1" fillId="0" borderId="0" applyAlignment="1" pivotButton="0" quotePrefix="0" xfId="0">
      <alignment vertical="center"/>
    </xf>
    <xf numFmtId="0" fontId="4" fillId="0" borderId="0" applyAlignment="1" pivotButton="0" quotePrefix="0" xfId="0">
      <alignment horizontal="center" vertical="center"/>
    </xf>
    <xf numFmtId="0" fontId="1" fillId="0" borderId="0" applyAlignment="1" pivotButton="0" quotePrefix="0" xfId="0">
      <alignment vertical="center"/>
    </xf>
    <xf numFmtId="0" fontId="2" fillId="0" borderId="15" applyAlignment="1" pivotButton="0" quotePrefix="0" xfId="0">
      <alignment horizontal="center" vertical="center"/>
    </xf>
    <xf numFmtId="0" fontId="2" fillId="0" borderId="15" applyAlignment="1" pivotButton="0" quotePrefix="0" xfId="0">
      <alignment vertical="center"/>
    </xf>
    <xf numFmtId="0" fontId="2" fillId="0" borderId="15" applyAlignment="1" pivotButton="0" quotePrefix="0" xfId="0">
      <alignment horizontal="right" vertical="center" wrapText="1"/>
    </xf>
    <xf numFmtId="0" fontId="6" fillId="6" borderId="1" applyAlignment="1" pivotButton="0" quotePrefix="0" xfId="0">
      <alignment horizontal="center" vertical="center"/>
    </xf>
    <xf numFmtId="0" fontId="6" fillId="6" borderId="5" applyAlignment="1" pivotButton="0" quotePrefix="0" xfId="0">
      <alignment horizontal="center" vertical="center"/>
    </xf>
    <xf numFmtId="49" fontId="5" fillId="0" borderId="2" applyAlignment="1" pivotButton="0" quotePrefix="0" xfId="0">
      <alignment horizontal="center" vertical="center"/>
    </xf>
    <xf numFmtId="49" fontId="6" fillId="0" borderId="6" applyAlignment="1" pivotButton="0" quotePrefix="0" xfId="0">
      <alignment horizontal="center" vertical="center"/>
    </xf>
    <xf numFmtId="49" fontId="6" fillId="0" borderId="3" applyAlignment="1" pivotButton="0" quotePrefix="0" xfId="0">
      <alignment horizontal="center" vertical="center"/>
    </xf>
    <xf numFmtId="0" fontId="6" fillId="6" borderId="8" applyAlignment="1" pivotButton="0" quotePrefix="0" xfId="0">
      <alignment horizontal="center" vertical="center"/>
    </xf>
    <xf numFmtId="0" fontId="6" fillId="6" borderId="9" applyAlignment="1" pivotButton="0" quotePrefix="0" xfId="0">
      <alignment horizontal="center" vertical="center"/>
    </xf>
    <xf numFmtId="49" fontId="5" fillId="6" borderId="2" applyAlignment="1" pivotButton="0" quotePrefix="0" xfId="0">
      <alignment horizontal="center" vertical="center"/>
    </xf>
    <xf numFmtId="49" fontId="6" fillId="6" borderId="2" applyAlignment="1" pivotButton="0" quotePrefix="0" xfId="0">
      <alignment horizontal="center" vertical="center"/>
    </xf>
    <xf numFmtId="0" fontId="2" fillId="0" borderId="4" applyAlignment="1" pivotButton="0" quotePrefix="0" xfId="0">
      <alignment vertical="center"/>
    </xf>
    <xf numFmtId="0" fontId="2" fillId="2" borderId="4" applyAlignment="1" pivotButton="0" quotePrefix="0" xfId="0">
      <alignment vertical="center"/>
    </xf>
    <xf numFmtId="0" fontId="2" fillId="0" borderId="4" applyAlignment="1" pivotButton="0" quotePrefix="0" xfId="0">
      <alignment vertical="center" wrapText="1"/>
    </xf>
    <xf numFmtId="0" fontId="6" fillId="0" borderId="4" applyAlignment="1" pivotButton="0" quotePrefix="0" xfId="0">
      <alignment vertical="center"/>
    </xf>
    <xf numFmtId="0" fontId="1" fillId="0" borderId="4" applyAlignment="1" pivotButton="0" quotePrefix="0" xfId="0">
      <alignment vertical="center"/>
    </xf>
    <xf numFmtId="0" fontId="6" fillId="0" borderId="8" applyAlignment="1" pivotButton="0" quotePrefix="0" xfId="0">
      <alignment horizontal="left" vertical="center"/>
    </xf>
    <xf numFmtId="167" fontId="2" fillId="0" borderId="0" applyAlignment="1" pivotButton="0" quotePrefix="0" xfId="0">
      <alignment vertical="center"/>
    </xf>
    <xf numFmtId="164" fontId="2" fillId="0" borderId="0" applyAlignment="1" pivotButton="0" quotePrefix="0" xfId="0">
      <alignment horizontal="center" vertical="center"/>
    </xf>
    <xf numFmtId="164" fontId="2" fillId="0" borderId="0" applyAlignment="1" pivotButton="0" quotePrefix="0" xfId="0">
      <alignment vertical="center"/>
    </xf>
    <xf numFmtId="164" fontId="1" fillId="0" borderId="0" applyAlignment="1" pivotButton="0" quotePrefix="0" xfId="0">
      <alignment vertical="center"/>
    </xf>
    <xf numFmtId="0" fontId="0" fillId="0" borderId="15" pivotButton="0" quotePrefix="0" xfId="0"/>
    <xf numFmtId="0" fontId="6" fillId="6" borderId="6" applyAlignment="1" pivotButton="0" quotePrefix="0" xfId="0">
      <alignment horizontal="center" vertical="center"/>
    </xf>
    <xf numFmtId="0" fontId="6" fillId="6" borderId="14" applyAlignment="1" pivotButton="0" quotePrefix="0" xfId="0">
      <alignment horizontal="center" vertical="center"/>
    </xf>
    <xf numFmtId="49" fontId="5" fillId="0" borderId="14" applyAlignment="1" pivotButton="0" quotePrefix="0" xfId="0">
      <alignment horizontal="center" vertical="center"/>
    </xf>
    <xf numFmtId="0" fontId="0" fillId="0" borderId="6" pivotButton="0" quotePrefix="0" xfId="0"/>
    <xf numFmtId="0" fontId="0" fillId="0" borderId="3" pivotButton="0" quotePrefix="0" xfId="0"/>
    <xf numFmtId="0" fontId="0" fillId="0" borderId="8" pivotButton="0" quotePrefix="0" xfId="0"/>
    <xf numFmtId="0" fontId="0" fillId="0" borderId="9" pivotButton="0" quotePrefix="0" xfId="0"/>
    <xf numFmtId="165" fontId="2" fillId="0" borderId="5" applyAlignment="1" pivotButton="0" quotePrefix="0" xfId="0">
      <alignment vertical="center"/>
    </xf>
    <xf numFmtId="164" fontId="2" fillId="0" borderId="12" applyAlignment="1" pivotButton="0" quotePrefix="0" xfId="0">
      <alignment horizontal="center" vertical="center"/>
    </xf>
    <xf numFmtId="165" fontId="2" fillId="0" borderId="11" applyAlignment="1" pivotButton="0" quotePrefix="0" xfId="0">
      <alignment vertical="center"/>
    </xf>
    <xf numFmtId="164" fontId="6" fillId="0" borderId="0" applyAlignment="1" pivotButton="0" quotePrefix="0" xfId="0">
      <alignment vertical="center"/>
    </xf>
    <xf numFmtId="165" fontId="2" fillId="0" borderId="9" applyAlignment="1" pivotButton="0" quotePrefix="0" xfId="0">
      <alignment vertical="center"/>
    </xf>
    <xf numFmtId="164" fontId="2" fillId="0" borderId="9" applyAlignment="1" pivotButton="0" quotePrefix="0" xfId="0">
      <alignment horizontal="center" vertical="center"/>
    </xf>
    <xf numFmtId="164" fontId="2" fillId="0" borderId="10" applyAlignment="1" pivotButton="0" quotePrefix="0" xfId="0">
      <alignment horizontal="center" vertical="center"/>
    </xf>
    <xf numFmtId="166" fontId="2" fillId="0" borderId="0" applyAlignment="1" pivotButton="0" quotePrefix="0" xfId="0">
      <alignment vertical="center"/>
    </xf>
    <xf numFmtId="167" fontId="2" fillId="0" borderId="0" applyAlignment="1" pivotButton="0" quotePrefix="0" xfId="0">
      <alignment vertical="center"/>
    </xf>
    <xf numFmtId="31" fontId="6" fillId="0" borderId="6" applyAlignment="1" pivotButton="0" quotePrefix="0" xfId="0">
      <alignment horizontal="center" vertical="center"/>
    </xf>
    <xf numFmtId="31" fontId="6" fillId="0" borderId="14" applyAlignment="1" pivotButton="0" quotePrefix="0" xfId="0">
      <alignment horizontal="center" vertical="center"/>
    </xf>
    <xf numFmtId="165" fontId="2" fillId="0" borderId="4" applyAlignment="1" pivotButton="0" quotePrefix="0" xfId="0">
      <alignment vertical="center"/>
    </xf>
    <xf numFmtId="165" fontId="2" fillId="0" borderId="4" applyAlignment="1" pivotButton="0" quotePrefix="0" xfId="0">
      <alignment vertical="center" wrapText="1"/>
    </xf>
    <xf numFmtId="165" fontId="1" fillId="0" borderId="4" applyAlignment="1" pivotButton="0" quotePrefix="0" xfId="0">
      <alignment vertical="center" wrapText="1"/>
    </xf>
    <xf numFmtId="164" fontId="17" fillId="0" borderId="0" applyAlignment="1" pivotButton="0" quotePrefix="0" xfId="0">
      <alignment vertical="center"/>
    </xf>
    <xf numFmtId="165" fontId="1" fillId="0" borderId="4" applyAlignment="1" pivotButton="0" quotePrefix="0" xfId="0">
      <alignment vertical="center"/>
    </xf>
    <xf numFmtId="165" fontId="6" fillId="0" borderId="4" applyAlignment="1" pivotButton="0" quotePrefix="0" xfId="0">
      <alignment vertical="center"/>
    </xf>
    <xf numFmtId="165" fontId="14" fillId="0" borderId="4" applyAlignment="1" pivotButton="0" quotePrefix="0" xfId="0">
      <alignment vertical="center"/>
    </xf>
    <xf numFmtId="164" fontId="11" fillId="0" borderId="0" applyAlignment="1" pivotButton="0" quotePrefix="0" xfId="0">
      <alignment vertical="center"/>
    </xf>
    <xf numFmtId="165" fontId="6" fillId="0" borderId="8" applyAlignment="1" pivotButton="0" quotePrefix="0" xfId="0">
      <alignment horizontal="center" vertical="center"/>
    </xf>
    <xf numFmtId="165" fontId="6" fillId="0" borderId="0" applyAlignment="1" pivotButton="0" quotePrefix="0" xfId="0">
      <alignment horizontal="center" vertical="center"/>
    </xf>
    <xf numFmtId="165" fontId="2" fillId="0" borderId="0" applyAlignment="1" pivotButton="0" quotePrefix="0" xfId="0">
      <alignment vertical="center"/>
    </xf>
    <xf numFmtId="164" fontId="2" fillId="0" borderId="0" applyAlignment="1" pivotButton="0" quotePrefix="0" xfId="4">
      <alignment vertical="center"/>
    </xf>
    <xf numFmtId="164" fontId="2" fillId="0" borderId="0" applyAlignment="1" pivotButton="0" quotePrefix="0" xfId="4">
      <alignment horizontal="center" vertical="center"/>
    </xf>
    <xf numFmtId="164" fontId="6" fillId="0" borderId="0" applyAlignment="1" pivotButton="0" quotePrefix="0" xfId="0">
      <alignment horizontal="center" vertical="center"/>
    </xf>
    <xf numFmtId="164" fontId="2" fillId="0" borderId="0" applyAlignment="1" pivotButton="0" quotePrefix="0" xfId="0">
      <alignment horizontal="left" vertical="center"/>
    </xf>
    <xf numFmtId="0" fontId="6" fillId="0" borderId="6" applyAlignment="1" pivotButton="0" quotePrefix="0" xfId="0">
      <alignment horizontal="center" vertical="center"/>
    </xf>
    <xf numFmtId="164" fontId="6" fillId="0" borderId="0" applyAlignment="1" pivotButton="0" quotePrefix="0" xfId="4">
      <alignment vertical="center"/>
    </xf>
    <xf numFmtId="164" fontId="6" fillId="0" borderId="5" applyAlignment="1" pivotButton="0" quotePrefix="0" xfId="4">
      <alignment vertical="center"/>
    </xf>
    <xf numFmtId="164" fontId="2" fillId="0" borderId="7" applyAlignment="1" pivotButton="0" quotePrefix="0" xfId="0">
      <alignment horizontal="center" vertical="center"/>
    </xf>
    <xf numFmtId="164" fontId="2" fillId="2" borderId="0" applyAlignment="1" pivotButton="0" quotePrefix="0" xfId="4">
      <alignment vertical="center"/>
    </xf>
    <xf numFmtId="164" fontId="2" fillId="0" borderId="0" applyAlignment="1" pivotButton="0" quotePrefix="0" xfId="4">
      <alignment horizontal="left" vertical="center"/>
    </xf>
    <xf numFmtId="164" fontId="2" fillId="2" borderId="12" applyAlignment="1" pivotButton="0" quotePrefix="0" xfId="0">
      <alignment horizontal="center" vertical="center"/>
    </xf>
    <xf numFmtId="164" fontId="2" fillId="0" borderId="0" applyAlignment="1" pivotButton="0" quotePrefix="0" xfId="4">
      <alignment vertical="center" wrapText="1"/>
    </xf>
    <xf numFmtId="164" fontId="2" fillId="0" borderId="12" applyAlignment="1" pivotButton="0" quotePrefix="0" xfId="0">
      <alignment horizontal="center" vertical="center" wrapText="1"/>
    </xf>
    <xf numFmtId="164" fontId="2" fillId="0" borderId="11" applyAlignment="1" pivotButton="0" quotePrefix="0" xfId="4">
      <alignment horizontal="left" vertical="center"/>
    </xf>
    <xf numFmtId="164" fontId="6" fillId="0" borderId="0" applyAlignment="1" pivotButton="0" quotePrefix="0" xfId="4">
      <alignment horizontal="left" vertical="center"/>
    </xf>
    <xf numFmtId="164" fontId="2" fillId="0" borderId="11" applyAlignment="1" pivotButton="0" quotePrefix="0" xfId="0">
      <alignment horizontal="center" vertical="center"/>
    </xf>
    <xf numFmtId="164" fontId="6" fillId="0" borderId="11" applyAlignment="1" pivotButton="0" quotePrefix="0" xfId="0">
      <alignment vertical="center"/>
    </xf>
    <xf numFmtId="164" fontId="6" fillId="0" borderId="0" applyAlignment="1" pivotButton="0" quotePrefix="0" xfId="0">
      <alignment horizontal="left" vertical="center"/>
    </xf>
    <xf numFmtId="164" fontId="6" fillId="0" borderId="11" applyAlignment="1" pivotButton="0" quotePrefix="0" xfId="0">
      <alignment horizontal="left" vertical="center"/>
    </xf>
    <xf numFmtId="164" fontId="2" fillId="0" borderId="9" applyAlignment="1" pivotButton="0" quotePrefix="0" xfId="4">
      <alignment horizontal="left" vertical="center"/>
    </xf>
    <xf numFmtId="164" fontId="1" fillId="0" borderId="0" applyAlignment="1" pivotButton="0" quotePrefix="0" xfId="4">
      <alignment vertical="center"/>
    </xf>
    <xf numFmtId="164" fontId="5" fillId="0" borderId="0" applyAlignment="1" pivotButton="0" quotePrefix="0" xfId="0">
      <alignment vertical="center"/>
    </xf>
    <xf numFmtId="164" fontId="5" fillId="0" borderId="0" applyAlignment="1" pivotButton="0" quotePrefix="0" xfId="0">
      <alignment horizontal="left" vertical="center"/>
    </xf>
    <xf numFmtId="164" fontId="10" fillId="0" borderId="0" applyAlignment="1" pivotButton="0" quotePrefix="0" xfId="4">
      <alignment horizontal="left" vertical="center" wrapText="1"/>
    </xf>
    <xf numFmtId="164" fontId="2" fillId="0" borderId="5" applyAlignment="1" pivotButton="0" quotePrefix="0" xfId="0">
      <alignment vertical="center"/>
    </xf>
    <xf numFmtId="164" fontId="2" fillId="0" borderId="7" applyAlignment="1" pivotButton="0" quotePrefix="0" xfId="0">
      <alignment vertical="center"/>
    </xf>
    <xf numFmtId="164" fontId="2" fillId="0" borderId="11" applyAlignment="1" pivotButton="0" quotePrefix="0" xfId="0">
      <alignment vertical="center"/>
    </xf>
    <xf numFmtId="164" fontId="6" fillId="0" borderId="11" applyAlignment="1" pivotButton="0" quotePrefix="0" xfId="0">
      <alignment horizontal="center" vertical="center"/>
    </xf>
    <xf numFmtId="164" fontId="6" fillId="0" borderId="12" applyAlignment="1" pivotButton="0" quotePrefix="0" xfId="0">
      <alignment horizontal="center" vertical="center"/>
    </xf>
    <xf numFmtId="164" fontId="11" fillId="0" borderId="11" applyAlignment="1" pivotButton="0" quotePrefix="0" xfId="0">
      <alignment vertical="center"/>
    </xf>
    <xf numFmtId="164" fontId="11" fillId="0" borderId="12" applyAlignment="1" pivotButton="0" quotePrefix="0" xfId="0">
      <alignment vertical="center"/>
    </xf>
    <xf numFmtId="164" fontId="12" fillId="0" borderId="11" applyAlignment="1" pivotButton="0" quotePrefix="0" xfId="0">
      <alignment vertical="center"/>
    </xf>
    <xf numFmtId="164" fontId="12" fillId="0" borderId="12" applyAlignment="1" pivotButton="0" quotePrefix="0" xfId="0">
      <alignment vertical="center"/>
    </xf>
    <xf numFmtId="164" fontId="2" fillId="0" borderId="12" applyAlignment="1" pivotButton="0" quotePrefix="0" xfId="0">
      <alignment vertical="center"/>
    </xf>
    <xf numFmtId="164" fontId="6" fillId="0" borderId="12" applyAlignment="1" pivotButton="0" quotePrefix="0" xfId="0">
      <alignment vertical="center"/>
    </xf>
    <xf numFmtId="0" fontId="5" fillId="0" borderId="6" applyAlignment="1" pivotButton="0" quotePrefix="0" xfId="50">
      <alignment horizontal="center" vertical="center"/>
    </xf>
    <xf numFmtId="0" fontId="0" fillId="0" borderId="4" pivotButton="0" quotePrefix="0" xfId="0"/>
    <xf numFmtId="0" fontId="0" fillId="0" borderId="11" pivotButton="0" quotePrefix="0" xfId="0"/>
    <xf numFmtId="0" fontId="0" fillId="0" borderId="12" pivotButton="0" quotePrefix="0" xfId="0"/>
    <xf numFmtId="0" fontId="0" fillId="0" borderId="10" pivotButton="0" quotePrefix="0" xfId="0"/>
    <xf numFmtId="164" fontId="2" fillId="0" borderId="11" applyAlignment="1" pivotButton="0" quotePrefix="0" xfId="50">
      <alignment vertical="center"/>
    </xf>
    <xf numFmtId="164" fontId="2" fillId="0" borderId="12" applyAlignment="1" pivotButton="0" quotePrefix="0" xfId="50">
      <alignment vertical="center"/>
    </xf>
    <xf numFmtId="164" fontId="2" fillId="0" borderId="1" applyAlignment="1" pivotButton="0" quotePrefix="0" xfId="50">
      <alignment vertical="center"/>
    </xf>
    <xf numFmtId="164" fontId="2" fillId="0" borderId="5" applyAlignment="1" pivotButton="0" quotePrefix="0" xfId="50">
      <alignment vertical="center"/>
    </xf>
    <xf numFmtId="164" fontId="2" fillId="0" borderId="0" applyAlignment="1" pivotButton="0" quotePrefix="0" xfId="50">
      <alignment vertical="center"/>
    </xf>
    <xf numFmtId="164" fontId="2" fillId="0" borderId="11" applyAlignment="1" pivotButton="0" quotePrefix="0" xfId="50">
      <alignment horizontal="center" vertical="center"/>
    </xf>
    <xf numFmtId="164" fontId="2" fillId="0" borderId="4" applyAlignment="1" pivotButton="0" quotePrefix="0" xfId="50">
      <alignment horizontal="center" vertical="center"/>
    </xf>
    <xf numFmtId="164" fontId="2" fillId="0" borderId="4" applyAlignment="1" pivotButton="0" quotePrefix="0" xfId="50">
      <alignment vertical="center"/>
    </xf>
    <xf numFmtId="164" fontId="2" fillId="0" borderId="0" applyAlignment="1" pivotButton="0" quotePrefix="0" xfId="50">
      <alignment horizontal="center" vertical="center"/>
    </xf>
    <xf numFmtId="164" fontId="2" fillId="0" borderId="9" applyAlignment="1" pivotButton="0" quotePrefix="0" xfId="50">
      <alignment vertical="center"/>
    </xf>
    <xf numFmtId="164" fontId="2" fillId="0" borderId="8" applyAlignment="1" pivotButton="0" quotePrefix="0" xfId="50">
      <alignment vertical="center"/>
    </xf>
    <xf numFmtId="164" fontId="2" fillId="0" borderId="10" applyAlignment="1" pivotButton="0" quotePrefix="0" xfId="50">
      <alignment vertical="center"/>
    </xf>
    <xf numFmtId="165" fontId="5" fillId="0" borderId="0" applyAlignment="1" pivotButton="0" quotePrefix="0" xfId="50">
      <alignment vertical="center"/>
    </xf>
    <xf numFmtId="165" fontId="6" fillId="0" borderId="0" applyAlignment="1" pivotButton="0" quotePrefix="0" xfId="50">
      <alignment vertical="center"/>
    </xf>
    <xf numFmtId="164" fontId="9" fillId="4" borderId="0" applyAlignment="1" pivotButton="0" quotePrefix="0" xfId="4">
      <alignment horizontal="left" vertical="center" wrapText="1"/>
    </xf>
    <xf numFmtId="0" fontId="6" fillId="0" borderId="14" applyAlignment="1" pivotButton="0" quotePrefix="0" xfId="50">
      <alignment horizontal="center" vertical="center" wrapText="1"/>
    </xf>
    <xf numFmtId="0" fontId="6" fillId="0" borderId="6" applyAlignment="1" pivotButton="0" quotePrefix="0" xfId="50">
      <alignment horizontal="center" vertical="center" wrapText="1"/>
    </xf>
    <xf numFmtId="0" fontId="6" fillId="0" borderId="2" applyAlignment="1" pivotButton="0" quotePrefix="0" xfId="50">
      <alignment horizontal="center" vertical="center" wrapText="1"/>
    </xf>
    <xf numFmtId="164" fontId="2" fillId="0" borderId="7" applyAlignment="1" pivotButton="0" quotePrefix="0" xfId="50">
      <alignment vertical="center"/>
    </xf>
    <xf numFmtId="164" fontId="2" fillId="0" borderId="12" applyAlignment="1" pivotButton="0" quotePrefix="0" xfId="50">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附件1：决算表式（后会签稿）--1008" xfId="49"/>
    <cellStyle name="常规_新会计准则财务报表" xfId="50"/>
    <cellStyle name="普通_损益表" xfId="51"/>
    <cellStyle name="千位分隔 2" xfId="52"/>
    <cellStyle name="千位分隔[0] 2" xfId="5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Chu Yantao 储燕涛</author>
  </authors>
  <commentList>
    <comment ref="A14" authorId="0" shapeId="0">
      <text>
        <t>Chu Yantao 储燕涛:
其他应收款+应收利息+应收股利</t>
      </text>
    </comment>
    <comment ref="A33" authorId="0" shapeId="0">
      <text>
        <t>Chu Yantao 储燕涛:
固定资产+固定资产清理</t>
      </text>
    </comment>
    <comment ref="A34" authorId="0" shapeId="0">
      <text>
        <t>Chu Yantao 储燕涛:
在建工程+工程物资</t>
      </text>
    </comment>
  </commentList>
</comments>
</file>

<file path=xl/comments/comment2.xml><?xml version="1.0" encoding="utf-8"?>
<comments xmlns="http://schemas.openxmlformats.org/spreadsheetml/2006/main">
  <authors>
    <author>Chu Yantao 储燕涛</author>
    <author>nielin</author>
  </authors>
  <commentList>
    <comment ref="A16" authorId="0" shapeId="0">
      <text>
        <t>Chu Yantao 储燕涛:
其他应付款+应付利息+应付股利</t>
      </text>
    </comment>
    <comment ref="A26" authorId="1" shapeId="0">
      <text>
        <t>nielin:
金融负债与权益工具区分 六、（四）1</t>
      </text>
    </comment>
    <comment ref="A29" authorId="0" shapeId="0">
      <text>
        <t>Chu Yantao 储燕涛:
长期应付款+专项应付款</t>
      </text>
    </comment>
    <comment ref="A40" authorId="1" shapeId="0">
      <text>
        <t xml:space="preserve">nielin:
金融负债与权益工具区分 六、（四）1
</t>
      </text>
    </comment>
  </commentList>
</comments>
</file>

<file path=xl/comments/comment3.xml><?xml version="1.0" encoding="utf-8"?>
<comments xmlns="http://schemas.openxmlformats.org/spreadsheetml/2006/main">
  <authors>
    <author>Shen Xiaoying 申晓颖</author>
    <author>yantao.chu</author>
    <author>xiaoying.shen</author>
    <author>nielin</author>
    <author>bjcpauser</author>
  </authors>
  <commentList>
    <comment ref="A14" authorId="0" shapeId="0">
      <text>
        <t>Shen Xiaoying 申晓颖:
以正数填列</t>
      </text>
    </comment>
    <comment ref="C30" authorId="1" shapeId="0">
      <text>
        <t>yantao.chu:
此行不填数</t>
      </text>
    </comment>
    <comment ref="C33" authorId="1" shapeId="0">
      <text>
        <t>yantao.chu:
此行不填数</t>
      </text>
    </comment>
    <comment ref="D35" authorId="1" shapeId="0">
      <text>
        <t>yantao.chu:
不填数</t>
      </text>
    </comment>
    <comment ref="F35" authorId="1" shapeId="0">
      <text>
        <t>yantao.chu:
不填数</t>
      </text>
    </comment>
    <comment ref="A37" authorId="2" shapeId="0">
      <text>
        <t>xiaoying.shen:
指南33P108
区分其他综合收益按归属母公司所有者的OCI税后金额和归属少数股东的OCI税后金额，单独列示。</t>
      </text>
    </comment>
    <comment ref="A38" authorId="3" shapeId="0">
      <text>
        <t>nielin:
CAS30.33
指南30P52</t>
      </text>
    </comment>
    <comment ref="D59" authorId="4" shapeId="0">
      <text>
        <t>bjcpauser:
不填数</t>
      </text>
    </comment>
  </commentList>
</comments>
</file>

<file path=xl/comments/comment4.xml><?xml version="1.0" encoding="utf-8"?>
<comments xmlns="http://schemas.openxmlformats.org/spreadsheetml/2006/main">
  <authors>
    <author>1</author>
  </authors>
  <commentList>
    <comment ref="A34" authorId="0" shapeId="0">
      <text>
        <t>1:
不适用的，删除</t>
      </text>
    </comment>
  </commentList>
</comments>
</file>

<file path=xl/comments/comment5.xml><?xml version="1.0" encoding="utf-8"?>
<comments xmlns="http://schemas.openxmlformats.org/spreadsheetml/2006/main">
  <authors>
    <author>nielin</author>
    <author>Windows User</author>
    <author>Windows 用户</author>
  </authors>
  <commentList>
    <comment ref="C6" authorId="0" shapeId="0">
      <text>
        <t>nielin:
金融负债与权益工具区分 六、（四）1</t>
      </text>
    </comment>
    <comment ref="P6" authorId="0" shapeId="0">
      <text>
        <t>nielin:
金融负债与权益工具区分 六、（四）1</t>
      </text>
    </comment>
    <comment ref="A11" authorId="1" shapeId="0">
      <text>
        <t>Windows User:
根据交易所格式增加</t>
      </text>
    </comment>
    <comment ref="A18" authorId="0" shapeId="0">
      <text>
        <t>nielin:
金融负债与权益工具区分 六、（四）1</t>
      </text>
    </comment>
    <comment ref="A29" authorId="2" shapeId="0">
      <text>
        <t>Windows 用户:
“盈余公积弥补亏损”修改为“弥补亏损”</t>
      </text>
    </comment>
    <comment ref="A30" authorId="0" shapeId="0">
      <text>
        <t>nielin:
指南9P45</t>
      </text>
    </comment>
  </commentList>
</comments>
</file>

<file path=xl/comments/comment6.xml><?xml version="1.0" encoding="utf-8"?>
<comments xmlns="http://schemas.openxmlformats.org/spreadsheetml/2006/main">
  <authors>
    <author>nielin</author>
  </authors>
  <commentList>
    <comment ref="C5" authorId="0" shapeId="0">
      <text>
        <t>nielin:
金融负债与权益工具区分 六、（四）1</t>
      </text>
    </comment>
    <comment ref="H5" authorId="0" shapeId="0">
      <text>
        <t>nielin:
指南30P57</t>
      </text>
    </comment>
    <comment ref="N5" authorId="0" shapeId="0">
      <text>
        <t>nielin:
金融负债与权益工具区分 六、（四）1</t>
      </text>
    </comment>
    <comment ref="S5" authorId="0" shapeId="0">
      <text>
        <t>nielin:
程华列报slide18</t>
      </text>
    </comment>
    <comment ref="A16" authorId="0" shapeId="0">
      <text>
        <t>nielin:
金融负债与权益工具区分 六、（四）1</t>
      </text>
    </comment>
    <comment ref="A28" authorId="0" shapeId="0">
      <text>
        <t>nielin:
指南9P45</t>
      </text>
    </comment>
  </commentList>
</comment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V52"/>
  <sheetViews>
    <sheetView showGridLines="0" showZeros="0" tabSelected="1" view="pageBreakPreview" topLeftCell="A6" zoomScaleNormal="110" workbookViewId="0">
      <selection activeCell="C46" sqref="C46"/>
    </sheetView>
  </sheetViews>
  <sheetFormatPr baseColWidth="8" defaultColWidth="13.375" defaultRowHeight="20.25" customHeight="1"/>
  <cols>
    <col width="27.125" customWidth="1" style="94" min="1" max="1"/>
    <col width="7.625" customWidth="1" style="244" min="2" max="2"/>
    <col width="16.625" customWidth="1" style="245" min="3" max="6"/>
    <col width="18.125" customWidth="1" style="224" min="7" max="7"/>
    <col width="19.125" customWidth="1" style="246" min="8" max="8"/>
    <col width="13.375" customWidth="1" style="246" min="9" max="22"/>
    <col width="13.375" customWidth="1" style="245" min="23" max="16384"/>
  </cols>
  <sheetData>
    <row r="1" ht="32.1" customFormat="1" customHeight="1" s="94">
      <c r="A1" s="223" t="inlineStr">
        <is>
          <t>合并及公司资产负债表</t>
        </is>
      </c>
      <c r="G1" s="224" t="n"/>
      <c r="H1" s="224" t="n"/>
      <c r="I1" s="224" t="n"/>
      <c r="J1" s="224" t="n"/>
      <c r="K1" s="224" t="n"/>
      <c r="L1" s="224" t="n"/>
      <c r="M1" s="224" t="n"/>
      <c r="N1" s="224" t="n"/>
      <c r="O1" s="224" t="n"/>
      <c r="P1" s="224" t="n"/>
      <c r="Q1" s="224" t="n"/>
      <c r="R1" s="224" t="n"/>
      <c r="S1" s="224" t="n"/>
      <c r="T1" s="224" t="n"/>
      <c r="U1" s="224" t="n"/>
      <c r="V1" s="224" t="n"/>
    </row>
    <row r="2">
      <c r="A2" s="197" t="inlineStr">
        <is>
          <t>{{period_end_date}}</t>
        </is>
      </c>
    </row>
    <row r="3" ht="24" customFormat="1" customHeight="1" s="94">
      <c r="A3" s="94" t="inlineStr">
        <is>
          <t>编制单位：{{company_full_name}}</t>
        </is>
      </c>
      <c r="B3" s="98" t="n"/>
      <c r="C3" s="225" t="n"/>
      <c r="D3" s="247" t="n"/>
      <c r="E3" s="226" t="n"/>
      <c r="F3" s="227" t="inlineStr">
        <is>
          <t>单位：{{currency_unit}}</t>
        </is>
      </c>
      <c r="G3" s="224" t="n"/>
      <c r="H3" s="224" t="n"/>
      <c r="I3" s="224" t="n"/>
      <c r="J3" s="224" t="n"/>
      <c r="K3" s="224" t="n"/>
      <c r="L3" s="224" t="n"/>
      <c r="M3" s="224" t="n"/>
      <c r="N3" s="224" t="n"/>
      <c r="O3" s="224" t="n"/>
      <c r="P3" s="224" t="n"/>
      <c r="Q3" s="224" t="n"/>
      <c r="R3" s="224" t="n"/>
      <c r="S3" s="224" t="n"/>
      <c r="T3" s="224" t="n"/>
      <c r="U3" s="224" t="n"/>
      <c r="V3" s="224" t="n"/>
    </row>
    <row r="4" ht="21" customHeight="1">
      <c r="A4" s="248" t="inlineStr">
        <is>
          <t xml:space="preserve">  项   目</t>
        </is>
      </c>
      <c r="B4" s="249" t="inlineStr">
        <is>
          <t>附注</t>
        </is>
      </c>
      <c r="C4" s="250" t="inlineStr">
        <is>
          <t>期末余额</t>
        </is>
      </c>
      <c r="D4" s="251" t="n"/>
      <c r="E4" s="230" t="inlineStr">
        <is>
          <t>上年年末余额</t>
        </is>
      </c>
      <c r="F4" s="252" t="n"/>
    </row>
    <row r="5" ht="21" customHeight="1">
      <c r="A5" s="253" t="n"/>
      <c r="B5" s="254" t="n"/>
      <c r="C5" s="235" t="inlineStr">
        <is>
          <t>合并</t>
        </is>
      </c>
      <c r="D5" s="236" t="inlineStr">
        <is>
          <t>公司</t>
        </is>
      </c>
      <c r="E5" s="236" t="inlineStr">
        <is>
          <t>合并</t>
        </is>
      </c>
      <c r="F5" s="236" t="inlineStr">
        <is>
          <t>公司</t>
        </is>
      </c>
    </row>
    <row r="6" ht="21" customHeight="1">
      <c r="A6" s="237" t="inlineStr">
        <is>
          <t>流动资产：</t>
        </is>
      </c>
      <c r="B6" s="255" t="n"/>
      <c r="C6" s="256" t="n"/>
      <c r="D6" s="256" t="n"/>
      <c r="E6" s="256" t="n"/>
      <c r="F6" s="256" t="n"/>
    </row>
    <row r="7" ht="21" customHeight="1">
      <c r="A7" s="238" t="inlineStr">
        <is>
          <t xml:space="preserve">  货币资金</t>
        </is>
      </c>
      <c r="B7" s="257" t="inlineStr">
        <is>
          <t>{{note_ref:BS-002}}</t>
        </is>
      </c>
      <c r="C7" s="256" t="inlineStr">
        <is>
          <t>{{row:BS-002:current}}</t>
        </is>
      </c>
      <c r="D7" s="256" t="inlineStr">
        <is>
          <t>{{row:BS-002:current:parent}}</t>
        </is>
      </c>
      <c r="E7" s="256" t="inlineStr">
        <is>
          <t>{{row:BS-002:prior}}</t>
        </is>
      </c>
      <c r="F7" s="256" t="inlineStr">
        <is>
          <t>{{row:BS-002:prior:parent}}</t>
        </is>
      </c>
      <c r="G7" s="224" t="inlineStr">
        <is>
          <t>企业持有由中国人民银行发行的数字人民币的，可以增设“数字货币”二级科目进行核算，在资产负债表中将其列报在“货币资金”项目；</t>
        </is>
      </c>
    </row>
    <row r="8" ht="21" customHeight="1">
      <c r="A8" s="237" t="inlineStr">
        <is>
          <t xml:space="preserve">  交易性金融资产</t>
        </is>
      </c>
      <c r="B8" s="257" t="inlineStr">
        <is>
          <t>{{note_ref:BS-003}}</t>
        </is>
      </c>
      <c r="C8" s="256" t="inlineStr">
        <is>
          <t>{{row:BS-003:current}}</t>
        </is>
      </c>
      <c r="D8" s="256" t="inlineStr">
        <is>
          <t>{{row:BS-003:current:parent}}</t>
        </is>
      </c>
      <c r="E8" s="256" t="inlineStr">
        <is>
          <t>{{row:BS-003:prior}}</t>
        </is>
      </c>
      <c r="F8" s="256" t="inlineStr">
        <is>
          <t>{{row:BS-003:prior:parent}}</t>
        </is>
      </c>
    </row>
    <row r="9" ht="26" customHeight="1">
      <c r="A9" s="239" t="inlineStr">
        <is>
          <t xml:space="preserve">  衍生金融资产</t>
        </is>
      </c>
      <c r="B9" s="257" t="inlineStr">
        <is>
          <t>{{note_ref:BS-004}}</t>
        </is>
      </c>
      <c r="C9" s="256" t="inlineStr">
        <is>
          <t>{{row:BS-004:current}}</t>
        </is>
      </c>
      <c r="D9" s="256" t="inlineStr">
        <is>
          <t>{{row:BS-004:current:parent}}</t>
        </is>
      </c>
      <c r="E9" s="256" t="inlineStr">
        <is>
          <t>{{row:BS-004:prior}}</t>
        </is>
      </c>
      <c r="F9" s="256" t="inlineStr">
        <is>
          <t>{{row:BS-004:prior:parent}}</t>
        </is>
      </c>
    </row>
    <row r="10" ht="21" customHeight="1">
      <c r="A10" s="237" t="inlineStr">
        <is>
          <t xml:space="preserve">  应收票据</t>
        </is>
      </c>
      <c r="B10" s="257" t="inlineStr">
        <is>
          <t>{{note_ref:BS-005}};{{note_ref:BS-005:parent}}</t>
        </is>
      </c>
      <c r="C10" s="256" t="inlineStr">
        <is>
          <t>{{row:BS-005:current}}</t>
        </is>
      </c>
      <c r="D10" s="256" t="inlineStr">
        <is>
          <t>{{row:BS-005:current:parent}}</t>
        </is>
      </c>
      <c r="E10" s="256" t="inlineStr">
        <is>
          <t>{{row:BS-005:prior}}</t>
        </is>
      </c>
      <c r="F10" s="256" t="inlineStr">
        <is>
          <t>{{row:BS-005:prior:parent}}</t>
        </is>
      </c>
    </row>
    <row r="11" ht="21" customHeight="1">
      <c r="A11" s="237" t="inlineStr">
        <is>
          <t xml:space="preserve">  应收账款</t>
        </is>
      </c>
      <c r="B11" s="257" t="inlineStr">
        <is>
          <t>{{note_ref:BS-006}};{{note_ref:BS-006:parent}}</t>
        </is>
      </c>
      <c r="C11" s="256" t="inlineStr">
        <is>
          <t>{{row:BS-006:current}}</t>
        </is>
      </c>
      <c r="D11" s="256" t="inlineStr">
        <is>
          <t>{{row:BS-006:current:parent}}</t>
        </is>
      </c>
      <c r="E11" s="256" t="inlineStr">
        <is>
          <t>{{row:BS-006:prior}}</t>
        </is>
      </c>
      <c r="F11" s="256" t="inlineStr">
        <is>
          <t>{{row:BS-006:prior:parent}}</t>
        </is>
      </c>
    </row>
    <row r="12" ht="21" customHeight="1">
      <c r="A12" s="239" t="inlineStr">
        <is>
          <t xml:space="preserve">  应收款项融资</t>
        </is>
      </c>
      <c r="B12" s="257" t="inlineStr">
        <is>
          <t>{{note_ref:BS-007}}</t>
        </is>
      </c>
      <c r="C12" s="256" t="inlineStr">
        <is>
          <t>{{row:BS-007:current}}</t>
        </is>
      </c>
      <c r="D12" s="256" t="inlineStr">
        <is>
          <t>{{row:BS-007:current:parent}}</t>
        </is>
      </c>
      <c r="E12" s="256" t="inlineStr">
        <is>
          <t>{{row:BS-007:prior}}</t>
        </is>
      </c>
      <c r="F12" s="256" t="inlineStr">
        <is>
          <t>{{row:BS-007:prior:parent}}</t>
        </is>
      </c>
    </row>
    <row r="13" ht="21" customHeight="1">
      <c r="A13" s="237" t="inlineStr">
        <is>
          <t xml:space="preserve">  预付款项</t>
        </is>
      </c>
      <c r="B13" s="257" t="inlineStr">
        <is>
          <t>{{note_ref:BS-008}}</t>
        </is>
      </c>
      <c r="C13" s="256" t="inlineStr">
        <is>
          <t>{{row:BS-008:current}}</t>
        </is>
      </c>
      <c r="D13" s="256" t="inlineStr">
        <is>
          <t>{{row:BS-008:current:parent}}</t>
        </is>
      </c>
      <c r="E13" s="256" t="inlineStr">
        <is>
          <t>{{row:BS-008:prior}}</t>
        </is>
      </c>
      <c r="F13" s="256" t="inlineStr">
        <is>
          <t>{{row:BS-008:prior:parent}}</t>
        </is>
      </c>
    </row>
    <row r="14" ht="21" customHeight="1">
      <c r="A14" s="237" t="inlineStr">
        <is>
          <t xml:space="preserve">  其他应收款</t>
        </is>
      </c>
      <c r="B14" s="257" t="inlineStr">
        <is>
          <t>{{note_ref:BS-009}};{{note_ref:BS-009:parent}}</t>
        </is>
      </c>
      <c r="C14" s="256" t="inlineStr">
        <is>
          <t>{{row:BS-009:current}}</t>
        </is>
      </c>
      <c r="D14" s="256" t="inlineStr">
        <is>
          <t>{{row:BS-009:current:parent}}</t>
        </is>
      </c>
      <c r="E14" s="256" t="inlineStr">
        <is>
          <t>{{row:BS-009:prior}}</t>
        </is>
      </c>
      <c r="F14" s="256" t="inlineStr">
        <is>
          <t>{{row:BS-009:prior:parent}}</t>
        </is>
      </c>
    </row>
    <row r="15" ht="21" customHeight="1">
      <c r="A15" s="237" t="inlineStr">
        <is>
          <t xml:space="preserve">   其中：应收利息</t>
        </is>
      </c>
      <c r="B15" s="257" t="n"/>
      <c r="C15" s="256" t="inlineStr">
        <is>
          <t>{{row:BS-010:current}}</t>
        </is>
      </c>
      <c r="D15" s="256" t="inlineStr">
        <is>
          <t>{{row:BS-010:current:parent}}</t>
        </is>
      </c>
      <c r="E15" s="256" t="inlineStr">
        <is>
          <t>{{row:BS-010:prior}}</t>
        </is>
      </c>
      <c r="F15" s="256" t="inlineStr">
        <is>
          <t>{{row:BS-010:prior:parent}}</t>
        </is>
      </c>
    </row>
    <row r="16" ht="21" customHeight="1">
      <c r="A16" s="237" t="inlineStr">
        <is>
          <t xml:space="preserve">               应收股利</t>
        </is>
      </c>
      <c r="B16" s="257" t="n"/>
      <c r="C16" s="256" t="inlineStr">
        <is>
          <t>{{row:BS-011:current}}</t>
        </is>
      </c>
      <c r="D16" s="256" t="inlineStr">
        <is>
          <t>{{row:BS-011:current:parent}}</t>
        </is>
      </c>
      <c r="E16" s="256" t="inlineStr">
        <is>
          <t>{{row:BS-011:prior}}</t>
        </is>
      </c>
      <c r="F16" s="256" t="inlineStr">
        <is>
          <t>{{row:BS-011:prior:parent}}</t>
        </is>
      </c>
    </row>
    <row r="17" ht="21" customHeight="1">
      <c r="A17" s="237" t="inlineStr">
        <is>
          <t xml:space="preserve">  存货</t>
        </is>
      </c>
      <c r="B17" s="257" t="inlineStr">
        <is>
          <t>{{note_ref:BS-012}}</t>
        </is>
      </c>
      <c r="C17" s="256" t="inlineStr">
        <is>
          <t>{{row:BS-012:current}}</t>
        </is>
      </c>
      <c r="D17" s="256" t="inlineStr">
        <is>
          <t>{{row:BS-012:current:parent}}</t>
        </is>
      </c>
      <c r="E17" s="256" t="inlineStr">
        <is>
          <t>{{row:BS-012:prior}}</t>
        </is>
      </c>
      <c r="F17" s="256" t="inlineStr">
        <is>
          <t>{{row:BS-012:prior:parent}}</t>
        </is>
      </c>
    </row>
    <row r="18" ht="21" customHeight="1">
      <c r="A18" s="238" t="inlineStr">
        <is>
          <t xml:space="preserve">   其中：数据资源</t>
        </is>
      </c>
      <c r="B18" s="257" t="n"/>
      <c r="C18" s="256" t="inlineStr">
        <is>
          <t>{{row:BS-036:current}}</t>
        </is>
      </c>
      <c r="D18" s="256" t="inlineStr">
        <is>
          <t>{{row:BS-013:current:parent}}</t>
        </is>
      </c>
      <c r="E18" s="256" t="inlineStr">
        <is>
          <t>{{row:BS-036:prior}}</t>
        </is>
      </c>
      <c r="F18" s="256" t="inlineStr">
        <is>
          <t>{{row:BS-013:prior:parent}}</t>
        </is>
      </c>
      <c r="G18" s="224" t="inlineStr">
        <is>
          <t>根据《企业数据资源相关会计处理暂行规定》（财会〔2023〕11号），企业应当根据重要性原则并结合本企业的实际情况，在“存货”项目下增设“其中：数据资源”项目，反映资产负债表日确认为存货的数据资源的期末账面价值。</t>
        </is>
      </c>
    </row>
    <row r="19" ht="21" customHeight="1">
      <c r="A19" s="237" t="inlineStr">
        <is>
          <t xml:space="preserve">  合同资产</t>
        </is>
      </c>
      <c r="B19" s="257" t="inlineStr">
        <is>
          <t>{{note_ref:BS-014}}</t>
        </is>
      </c>
      <c r="C19" s="256" t="inlineStr">
        <is>
          <t>{{row:BS-014:current}}</t>
        </is>
      </c>
      <c r="D19" s="256" t="inlineStr">
        <is>
          <t>{{row:BS-014:current:parent}}</t>
        </is>
      </c>
      <c r="E19" s="256" t="inlineStr">
        <is>
          <t>{{row:BS-014:prior}}</t>
        </is>
      </c>
      <c r="F19" s="256" t="inlineStr">
        <is>
          <t>{{row:BS-014:prior:parent}}</t>
        </is>
      </c>
    </row>
    <row r="20">
      <c r="A20" s="239" t="inlineStr">
        <is>
          <t xml:space="preserve">  持有待售资产</t>
        </is>
      </c>
      <c r="B20" s="257" t="n"/>
      <c r="C20" s="256" t="inlineStr">
        <is>
          <t>{{row:BS-015:current}}</t>
        </is>
      </c>
      <c r="D20" s="256" t="inlineStr">
        <is>
          <t>{{row:BS-015:current:parent}}</t>
        </is>
      </c>
      <c r="E20" s="256" t="inlineStr">
        <is>
          <t>{{row:BS-015:prior}}</t>
        </is>
      </c>
      <c r="F20" s="256" t="inlineStr">
        <is>
          <t>{{row:BS-015:prior:parent}}</t>
        </is>
      </c>
    </row>
    <row r="21" ht="21" customHeight="1">
      <c r="A21" s="237" t="inlineStr">
        <is>
          <t xml:space="preserve">  一年内到期的非流动资产</t>
        </is>
      </c>
      <c r="B21" s="257" t="inlineStr">
        <is>
          <t>{{note_ref:BS-016}}</t>
        </is>
      </c>
      <c r="C21" s="256" t="inlineStr">
        <is>
          <t>{{row:BS-016:current}}</t>
        </is>
      </c>
      <c r="D21" s="256" t="inlineStr">
        <is>
          <t>{{row:BS-016:current:parent}}</t>
        </is>
      </c>
      <c r="E21" s="256" t="inlineStr">
        <is>
          <t>{{row:BS-016:prior}}</t>
        </is>
      </c>
      <c r="F21" s="256" t="inlineStr">
        <is>
          <t>{{row:BS-016:prior:parent}}</t>
        </is>
      </c>
    </row>
    <row r="22" ht="21" customHeight="1">
      <c r="A22" s="237" t="inlineStr">
        <is>
          <t xml:space="preserve">  其他流动资产</t>
        </is>
      </c>
      <c r="B22" s="257" t="inlineStr">
        <is>
          <t>{{note_ref:BS-017}}</t>
        </is>
      </c>
      <c r="C22" s="256" t="inlineStr">
        <is>
          <t>{{row:BS-017:current}}</t>
        </is>
      </c>
      <c r="D22" s="256" t="inlineStr">
        <is>
          <t>{{row:BS-017:current:parent}}</t>
        </is>
      </c>
      <c r="E22" s="256" t="inlineStr">
        <is>
          <t>{{row:BS-017:prior}}</t>
        </is>
      </c>
      <c r="F22" s="256" t="inlineStr">
        <is>
          <t>{{row:BS-017:prior:parent}}</t>
        </is>
      </c>
    </row>
    <row r="23" ht="21" customHeight="1">
      <c r="A23" s="240" t="inlineStr">
        <is>
          <t xml:space="preserve">    流动资产合计</t>
        </is>
      </c>
      <c r="B23" s="257" t="n"/>
      <c r="C23" s="256">
        <f>SUM(C7:C22)-C15-C16</f>
        <v/>
      </c>
      <c r="D23" s="256">
        <f>SUM(D7:D22)-D15-D16</f>
        <v/>
      </c>
      <c r="E23" s="256">
        <f>SUM(E7:E22)-E15-E16</f>
        <v/>
      </c>
      <c r="F23" s="256">
        <f>SUM(F7:F22)-F15-F16</f>
        <v/>
      </c>
    </row>
    <row r="24" ht="21" customHeight="1">
      <c r="A24" s="237" t="inlineStr">
        <is>
          <t>非流动资产：</t>
        </is>
      </c>
      <c r="B24" s="257" t="n"/>
      <c r="C24" s="256" t="n"/>
      <c r="D24" s="256" t="n"/>
      <c r="E24" s="256" t="n"/>
      <c r="F24" s="256" t="n"/>
    </row>
    <row r="25" ht="21" customHeight="1">
      <c r="A25" s="237" t="inlineStr">
        <is>
          <t xml:space="preserve">  债权投资</t>
        </is>
      </c>
      <c r="B25" s="257" t="inlineStr">
        <is>
          <t>{{note_ref:BS-020}}</t>
        </is>
      </c>
      <c r="C25" s="256" t="inlineStr">
        <is>
          <t>{{row:BS-020:current}}</t>
        </is>
      </c>
      <c r="D25" s="256" t="inlineStr">
        <is>
          <t>{{row:BS-020:current:parent}}</t>
        </is>
      </c>
      <c r="E25" s="256" t="inlineStr">
        <is>
          <t>{{row:BS-020:prior}}</t>
        </is>
      </c>
      <c r="F25" s="256" t="inlineStr">
        <is>
          <t>{{row:BS-020:prior:parent}}</t>
        </is>
      </c>
    </row>
    <row r="26" ht="21" customFormat="1" customHeight="1" s="258">
      <c r="A26" s="237" t="inlineStr">
        <is>
          <t xml:space="preserve">  其他债权投资</t>
        </is>
      </c>
      <c r="B26" s="257" t="inlineStr">
        <is>
          <t>{{note_ref:BS-021}}</t>
        </is>
      </c>
      <c r="C26" s="256" t="inlineStr">
        <is>
          <t>{{row:BS-021:current}}</t>
        </is>
      </c>
      <c r="D26" s="256" t="inlineStr">
        <is>
          <t>{{row:BS-021:current:parent}}</t>
        </is>
      </c>
      <c r="E26" s="256" t="inlineStr">
        <is>
          <t>{{row:BS-021:prior}}</t>
        </is>
      </c>
      <c r="F26" s="256" t="inlineStr">
        <is>
          <t>{{row:BS-021:prior:parent}}</t>
        </is>
      </c>
      <c r="G26" s="224" t="n"/>
      <c r="H26" s="246" t="n"/>
      <c r="I26" s="246" t="n"/>
      <c r="J26" s="246" t="n"/>
      <c r="K26" s="246" t="n"/>
      <c r="L26" s="246" t="n"/>
      <c r="M26" s="246" t="n"/>
      <c r="N26" s="246" t="n"/>
      <c r="O26" s="246" t="n"/>
      <c r="P26" s="246" t="n"/>
      <c r="Q26" s="246" t="n"/>
      <c r="R26" s="246" t="n"/>
      <c r="S26" s="246" t="n"/>
      <c r="T26" s="246" t="n"/>
      <c r="U26" s="246" t="n"/>
      <c r="V26" s="246" t="n"/>
    </row>
    <row r="27" ht="21" customHeight="1">
      <c r="A27" s="237" t="inlineStr">
        <is>
          <t xml:space="preserve">  长期应收款</t>
        </is>
      </c>
      <c r="B27" s="257" t="inlineStr">
        <is>
          <t>{{note_ref:BS-022}}</t>
        </is>
      </c>
      <c r="C27" s="256" t="inlineStr">
        <is>
          <t>{{row:BS-022:current}}</t>
        </is>
      </c>
      <c r="D27" s="256" t="inlineStr">
        <is>
          <t>{{row:BS-022:current:parent}}</t>
        </is>
      </c>
      <c r="E27" s="256" t="inlineStr">
        <is>
          <t>{{row:BS-022:prior}}</t>
        </is>
      </c>
      <c r="F27" s="256" t="inlineStr">
        <is>
          <t>{{row:BS-022:prior:parent}}</t>
        </is>
      </c>
    </row>
    <row r="28" ht="22" customHeight="1">
      <c r="A28" s="241" t="inlineStr">
        <is>
          <t xml:space="preserve"> 设定受益计划净资产</t>
        </is>
      </c>
      <c r="B28" s="257" t="inlineStr">
        <is>
          <t>{{note_ref:BS-023}}</t>
        </is>
      </c>
      <c r="C28" s="256" t="inlineStr">
        <is>
          <t>{{row:BS-023:current}}</t>
        </is>
      </c>
      <c r="D28" s="256" t="inlineStr">
        <is>
          <t>{{row:BS-023:current:parent}}</t>
        </is>
      </c>
      <c r="E28" s="256" t="inlineStr">
        <is>
          <t>{{row:BS-023:prior}}</t>
        </is>
      </c>
      <c r="F28" s="256" t="inlineStr">
        <is>
          <t>{{row:BS-023:prior:parent}}</t>
        </is>
      </c>
    </row>
    <row r="29" ht="21" customHeight="1">
      <c r="A29" s="237" t="inlineStr">
        <is>
          <t xml:space="preserve">  长期股权投资</t>
        </is>
      </c>
      <c r="B29" s="257" t="inlineStr">
        <is>
          <t>{{note_ref:BS-024}};{{note_ref:BS-024:parent}}</t>
        </is>
      </c>
      <c r="C29" s="256" t="inlineStr">
        <is>
          <t>{{row:BS-024:current}}</t>
        </is>
      </c>
      <c r="D29" s="256" t="inlineStr">
        <is>
          <t>{{row:BS-024:current:parent}}</t>
        </is>
      </c>
      <c r="E29" s="256" t="inlineStr">
        <is>
          <t>{{row:BS-024:prior}}</t>
        </is>
      </c>
      <c r="F29" s="256" t="inlineStr">
        <is>
          <t>{{row:BS-024:prior:parent}}</t>
        </is>
      </c>
    </row>
    <row r="30" ht="21" customHeight="1">
      <c r="A30" s="237" t="inlineStr">
        <is>
          <t xml:space="preserve">  其他权益工具投资</t>
        </is>
      </c>
      <c r="B30" s="257" t="inlineStr">
        <is>
          <t>{{note_ref:BS-025}}</t>
        </is>
      </c>
      <c r="C30" s="256" t="inlineStr">
        <is>
          <t>{{row:BS-025:current}}</t>
        </is>
      </c>
      <c r="D30" s="256" t="inlineStr">
        <is>
          <t>{{row:BS-025:current:parent}}</t>
        </is>
      </c>
      <c r="E30" s="256" t="inlineStr">
        <is>
          <t>{{row:BS-025:prior}}</t>
        </is>
      </c>
      <c r="F30" s="256" t="inlineStr">
        <is>
          <t>{{row:BS-025:prior:parent}}</t>
        </is>
      </c>
    </row>
    <row r="31" ht="21" customHeight="1">
      <c r="A31" s="237" t="inlineStr">
        <is>
          <t xml:space="preserve">  其他非流动金融资产</t>
        </is>
      </c>
      <c r="B31" s="257" t="inlineStr">
        <is>
          <t>{{note_ref:BS-026}}</t>
        </is>
      </c>
      <c r="C31" s="256" t="inlineStr">
        <is>
          <t>{{row:BS-026:current}}</t>
        </is>
      </c>
      <c r="D31" s="256" t="inlineStr">
        <is>
          <t>{{row:BS-026:current:parent}}</t>
        </is>
      </c>
      <c r="E31" s="256" t="inlineStr">
        <is>
          <t>{{row:BS-026:prior}}</t>
        </is>
      </c>
      <c r="F31" s="256" t="inlineStr">
        <is>
          <t>{{row:BS-026:prior:parent}}</t>
        </is>
      </c>
    </row>
    <row r="32" ht="21" customHeight="1">
      <c r="A32" s="237" t="inlineStr">
        <is>
          <t xml:space="preserve">  投资性房地产</t>
        </is>
      </c>
      <c r="B32" s="257" t="inlineStr">
        <is>
          <t>{{note_ref:BS-027}}</t>
        </is>
      </c>
      <c r="C32" s="256" t="inlineStr">
        <is>
          <t>{{row:BS-027:current}}</t>
        </is>
      </c>
      <c r="D32" s="256" t="inlineStr">
        <is>
          <t>{{row:BS-027:current:parent}}</t>
        </is>
      </c>
      <c r="E32" s="256" t="inlineStr">
        <is>
          <t>{{row:BS-027:prior}}</t>
        </is>
      </c>
      <c r="F32" s="256" t="inlineStr">
        <is>
          <t>{{row:BS-027:prior:parent}}</t>
        </is>
      </c>
    </row>
    <row r="33" ht="21" customFormat="1" customHeight="1" s="258">
      <c r="A33" s="237" t="inlineStr">
        <is>
          <t xml:space="preserve">  固定资产</t>
        </is>
      </c>
      <c r="B33" s="257" t="inlineStr">
        <is>
          <t>{{note_ref:BS-028}}</t>
        </is>
      </c>
      <c r="C33" s="256" t="inlineStr">
        <is>
          <t>{{row:BS-028:current}}</t>
        </is>
      </c>
      <c r="D33" s="256" t="inlineStr">
        <is>
          <t>{{row:BS-028:current:parent}}</t>
        </is>
      </c>
      <c r="E33" s="256" t="inlineStr">
        <is>
          <t>{{row:BS-028:prior}}</t>
        </is>
      </c>
      <c r="F33" s="256" t="inlineStr">
        <is>
          <t>{{row:BS-028:prior:parent}}</t>
        </is>
      </c>
      <c r="G33" s="224" t="n"/>
      <c r="H33" s="246" t="n"/>
      <c r="I33" s="246" t="n"/>
      <c r="J33" s="246" t="n"/>
      <c r="K33" s="246" t="n"/>
      <c r="L33" s="246" t="n"/>
      <c r="M33" s="246" t="n"/>
      <c r="N33" s="246" t="n"/>
      <c r="O33" s="246" t="n"/>
      <c r="P33" s="246" t="n"/>
      <c r="Q33" s="246" t="n"/>
      <c r="R33" s="246" t="n"/>
      <c r="S33" s="246" t="n"/>
      <c r="T33" s="246" t="n"/>
      <c r="U33" s="246" t="n"/>
      <c r="V33" s="246" t="n"/>
    </row>
    <row r="34" ht="21" customHeight="1">
      <c r="A34" s="237" t="inlineStr">
        <is>
          <t xml:space="preserve">  在建工程</t>
        </is>
      </c>
      <c r="B34" s="257" t="inlineStr">
        <is>
          <t>{{note_ref:BS-029}}</t>
        </is>
      </c>
      <c r="C34" s="256" t="inlineStr">
        <is>
          <t>{{row:BS-029:current}}</t>
        </is>
      </c>
      <c r="D34" s="256" t="inlineStr">
        <is>
          <t>{{row:BS-029:current:parent}}</t>
        </is>
      </c>
      <c r="E34" s="256" t="inlineStr">
        <is>
          <t>{{row:BS-029:prior}}</t>
        </is>
      </c>
      <c r="F34" s="256" t="inlineStr">
        <is>
          <t>{{row:BS-029:prior:parent}}</t>
        </is>
      </c>
    </row>
    <row r="35" ht="21" customHeight="1">
      <c r="A35" s="237" t="inlineStr">
        <is>
          <t xml:space="preserve">  生产性生物资产 </t>
        </is>
      </c>
      <c r="B35" s="257" t="inlineStr">
        <is>
          <t>{{note_ref:BS-030}}</t>
        </is>
      </c>
      <c r="C35" s="256" t="inlineStr">
        <is>
          <t>{{row:BS-030:current}}</t>
        </is>
      </c>
      <c r="D35" s="256" t="inlineStr">
        <is>
          <t>{{row:BS-030:current:parent}}</t>
        </is>
      </c>
      <c r="E35" s="256" t="inlineStr">
        <is>
          <t>{{row:BS-030:prior}}</t>
        </is>
      </c>
      <c r="F35" s="256" t="inlineStr">
        <is>
          <t>{{row:BS-030:prior:parent}}</t>
        </is>
      </c>
    </row>
    <row r="36" ht="21" customHeight="1">
      <c r="A36" s="237" t="inlineStr">
        <is>
          <t xml:space="preserve">  油气资产</t>
        </is>
      </c>
      <c r="B36" s="257" t="n"/>
      <c r="C36" s="256" t="inlineStr">
        <is>
          <t>{{row:BS-031:current}}</t>
        </is>
      </c>
      <c r="D36" s="256" t="inlineStr">
        <is>
          <t>{{row:BS-031:current:parent}}</t>
        </is>
      </c>
      <c r="E36" s="256" t="inlineStr">
        <is>
          <t>{{row:BS-031:prior}}</t>
        </is>
      </c>
      <c r="F36" s="256" t="inlineStr">
        <is>
          <t>{{row:BS-031:prior:parent}}</t>
        </is>
      </c>
    </row>
    <row r="37" ht="21" customHeight="1">
      <c r="A37" s="241" t="inlineStr">
        <is>
          <t xml:space="preserve"> 使用权资产</t>
        </is>
      </c>
      <c r="B37" s="257" t="inlineStr">
        <is>
          <t>{{note_ref:BS-032}}</t>
        </is>
      </c>
      <c r="C37" s="256" t="inlineStr">
        <is>
          <t>{{row:BS-032:current}}</t>
        </is>
      </c>
      <c r="D37" s="256" t="inlineStr">
        <is>
          <t>{{row:BS-032:current:parent}}</t>
        </is>
      </c>
      <c r="E37" s="256" t="inlineStr">
        <is>
          <t>{{row:BS-032:prior}}</t>
        </is>
      </c>
      <c r="F37" s="256" t="inlineStr">
        <is>
          <t>{{row:BS-032:prior:parent}}</t>
        </is>
      </c>
    </row>
    <row r="38" ht="21" customHeight="1">
      <c r="A38" s="237" t="inlineStr">
        <is>
          <t xml:space="preserve">  无形资产</t>
        </is>
      </c>
      <c r="B38" s="257" t="inlineStr">
        <is>
          <t>{{note_ref:BS-033}}</t>
        </is>
      </c>
      <c r="C38" s="256" t="inlineStr">
        <is>
          <t>{{row:BS-033:current}}</t>
        </is>
      </c>
      <c r="D38" s="256" t="inlineStr">
        <is>
          <t>{{row:BS-033:current:parent}}</t>
        </is>
      </c>
      <c r="E38" s="256" t="inlineStr">
        <is>
          <t>{{row:BS-033:prior}}</t>
        </is>
      </c>
      <c r="F38" s="256" t="inlineStr">
        <is>
          <t>{{row:BS-033:prior:parent}}</t>
        </is>
      </c>
    </row>
    <row r="39" ht="21" customHeight="1">
      <c r="A39" s="238" t="inlineStr">
        <is>
          <t xml:space="preserve">   其中：数据资源</t>
        </is>
      </c>
      <c r="B39" s="257" t="n"/>
      <c r="C39" s="256" t="inlineStr">
        <is>
          <t>{{row:BS-034:current}}</t>
        </is>
      </c>
      <c r="D39" s="256" t="inlineStr">
        <is>
          <t>{{row:BS-034:current:parent}}</t>
        </is>
      </c>
      <c r="E39" s="256" t="inlineStr">
        <is>
          <t>{{row:BS-034:prior}}</t>
        </is>
      </c>
      <c r="F39" s="256" t="inlineStr">
        <is>
          <t>{{row:BS-034:prior:parent}}</t>
        </is>
      </c>
      <c r="G39" s="224" t="inlineStr">
        <is>
          <t>根据《企业数据资源相关会计处理暂行规定》（财会〔2023〕11号），企业应当根据重要性原则并结合本企业的实际情况，在“无形资产”项目下增设“其中：数据资源”项目，反映资产负债表日确认为无形资产的数据资源的期末账面价值。</t>
        </is>
      </c>
    </row>
    <row r="40" ht="21" customHeight="1">
      <c r="A40" s="237" t="inlineStr">
        <is>
          <t xml:space="preserve">  开发支出</t>
        </is>
      </c>
      <c r="B40" s="257" t="inlineStr">
        <is>
          <t>{{note_ref:BS-035}}</t>
        </is>
      </c>
      <c r="C40" s="256" t="inlineStr">
        <is>
          <t>{{row:BS-035:current}}</t>
        </is>
      </c>
      <c r="D40" s="256" t="inlineStr">
        <is>
          <t>{{row:BS-035:current:parent}}</t>
        </is>
      </c>
      <c r="E40" s="256" t="inlineStr">
        <is>
          <t>{{row:BS-035:prior}}</t>
        </is>
      </c>
      <c r="F40" s="256" t="inlineStr">
        <is>
          <t>{{row:BS-035:prior:parent}}</t>
        </is>
      </c>
    </row>
    <row r="41" ht="21" customHeight="1">
      <c r="A41" s="238" t="inlineStr">
        <is>
          <t xml:space="preserve">   其中：数据资源</t>
        </is>
      </c>
      <c r="B41" s="257" t="n"/>
      <c r="C41" s="256" t="inlineStr">
        <is>
          <t>{{row:BS-036:current}}</t>
        </is>
      </c>
      <c r="D41" s="256" t="inlineStr">
        <is>
          <t>{{row:BS-036:current:parent}}</t>
        </is>
      </c>
      <c r="E41" s="256" t="inlineStr">
        <is>
          <t>{{row:BS-036:prior}}</t>
        </is>
      </c>
      <c r="F41" s="256" t="inlineStr">
        <is>
          <t>{{row:BS-036:prior:parent}}</t>
        </is>
      </c>
      <c r="G41" s="224" t="inlineStr">
        <is>
          <t>根据《企业数据资源相关会计处理暂行规定》（财会〔2023〕11号），企业应当根据重要性原则并结合本企业的实际情况，在“开发支出”项目下增设“其中：数据资源”项目，反映资产负债表日正在进行数据资源研究开发项目满足资本化条件的支出金额。</t>
        </is>
      </c>
    </row>
    <row r="42" ht="21" customHeight="1">
      <c r="A42" s="237" t="inlineStr">
        <is>
          <t xml:space="preserve">  商誉</t>
        </is>
      </c>
      <c r="B42" s="257" t="inlineStr">
        <is>
          <t>{{note_ref:BS-037}}</t>
        </is>
      </c>
      <c r="C42" s="256" t="inlineStr">
        <is>
          <t>{{row:BS-037:current}}</t>
        </is>
      </c>
      <c r="D42" s="256" t="inlineStr">
        <is>
          <t>{{row:BS-037:current:parent}}</t>
        </is>
      </c>
      <c r="E42" s="256" t="inlineStr">
        <is>
          <t>{{row:BS-037:prior}}</t>
        </is>
      </c>
      <c r="F42" s="256" t="inlineStr">
        <is>
          <t>{{row:BS-037:prior:parent}}</t>
        </is>
      </c>
    </row>
    <row r="43" ht="21" customHeight="1">
      <c r="A43" s="237" t="inlineStr">
        <is>
          <t xml:space="preserve">  长期待摊费用</t>
        </is>
      </c>
      <c r="B43" s="257" t="inlineStr">
        <is>
          <t>{{note_ref:BS-038}}</t>
        </is>
      </c>
      <c r="C43" s="256" t="inlineStr">
        <is>
          <t>{{row:BS-038:current}}</t>
        </is>
      </c>
      <c r="D43" s="256" t="inlineStr">
        <is>
          <t>{{row:BS-038:current:parent}}</t>
        </is>
      </c>
      <c r="E43" s="256" t="inlineStr">
        <is>
          <t>{{row:BS-038:prior}}</t>
        </is>
      </c>
      <c r="F43" s="256" t="inlineStr">
        <is>
          <t>{{row:BS-038:prior:parent}}</t>
        </is>
      </c>
    </row>
    <row r="44" ht="21" customHeight="1">
      <c r="A44" s="237" t="inlineStr">
        <is>
          <t xml:space="preserve">  递延所得税资产</t>
        </is>
      </c>
      <c r="B44" s="257" t="n"/>
      <c r="C44" s="256" t="inlineStr">
        <is>
          <t>{{row:BS-039:current}}</t>
        </is>
      </c>
      <c r="D44" s="256" t="inlineStr">
        <is>
          <t>{{row:BS-039:current:parent}}</t>
        </is>
      </c>
      <c r="E44" s="256" t="inlineStr">
        <is>
          <t>{{row:BS-039:prior}}</t>
        </is>
      </c>
      <c r="F44" s="256" t="inlineStr">
        <is>
          <t>{{row:BS-039:prior:parent}}</t>
        </is>
      </c>
    </row>
    <row r="45" ht="21" customHeight="1">
      <c r="A45" s="237" t="inlineStr">
        <is>
          <t xml:space="preserve">  其他非流动资产</t>
        </is>
      </c>
      <c r="B45" s="257" t="inlineStr">
        <is>
          <t>{{note_ref:BS-040}}</t>
        </is>
      </c>
      <c r="C45" s="256" t="inlineStr">
        <is>
          <t>{{row:BS-040:current}}</t>
        </is>
      </c>
      <c r="D45" s="256" t="inlineStr">
        <is>
          <t>{{row:BS-040:current:parent}}</t>
        </is>
      </c>
      <c r="E45" s="256" t="inlineStr">
        <is>
          <t>{{row:BS-040:prior}}</t>
        </is>
      </c>
      <c r="F45" s="256" t="inlineStr">
        <is>
          <t>{{row:BS-040:prior:parent}}</t>
        </is>
      </c>
    </row>
    <row r="46" ht="21" customHeight="1">
      <c r="A46" s="240" t="inlineStr">
        <is>
          <t xml:space="preserve">    非流动资产合计</t>
        </is>
      </c>
      <c r="B46" s="257" t="n"/>
      <c r="C46" s="256">
        <f>SUM(C25:C45)</f>
        <v/>
      </c>
      <c r="D46" s="256">
        <f>SUM(D25:D45)</f>
        <v/>
      </c>
      <c r="E46" s="256">
        <f>SUM(E25:E45)</f>
        <v/>
      </c>
      <c r="F46" s="256">
        <f>SUM(F25:F45)</f>
        <v/>
      </c>
    </row>
    <row r="47" ht="21" customFormat="1" customHeight="1" s="258">
      <c r="A47" s="242" t="inlineStr">
        <is>
          <t xml:space="preserve">      资产总计</t>
        </is>
      </c>
      <c r="B47" s="259" t="n"/>
      <c r="C47" s="260">
        <f>C23+C46</f>
        <v/>
      </c>
      <c r="D47" s="260">
        <f>D23+D46</f>
        <v/>
      </c>
      <c r="E47" s="261">
        <f>E23+E46</f>
        <v/>
      </c>
      <c r="F47" s="261">
        <f>F23+F46</f>
        <v/>
      </c>
      <c r="G47" s="224" t="n"/>
      <c r="H47" s="246" t="n"/>
      <c r="I47" s="246" t="n"/>
      <c r="J47" s="246" t="n"/>
      <c r="K47" s="246" t="n"/>
      <c r="L47" s="246" t="n"/>
      <c r="M47" s="246" t="n"/>
      <c r="N47" s="246" t="n"/>
      <c r="O47" s="246" t="n"/>
      <c r="P47" s="246" t="n"/>
      <c r="Q47" s="246" t="n"/>
      <c r="R47" s="246" t="n"/>
      <c r="S47" s="246" t="n"/>
      <c r="T47" s="246" t="n"/>
      <c r="U47" s="246" t="n"/>
      <c r="V47" s="246" t="n"/>
    </row>
    <row r="48">
      <c r="C48" s="262" t="n"/>
    </row>
    <row r="49">
      <c r="C49" s="262" t="n"/>
    </row>
    <row r="50">
      <c r="C50" s="262" t="n"/>
      <c r="D50" s="263" t="n"/>
      <c r="E50" s="263" t="n"/>
      <c r="F50" s="263" t="n"/>
    </row>
    <row r="51">
      <c r="C51" s="262" t="n"/>
    </row>
    <row r="52">
      <c r="C52" s="262" t="n"/>
    </row>
  </sheetData>
  <mergeCells count="7">
    <mergeCell ref="A2:F2"/>
    <mergeCell ref="E4:F4"/>
    <mergeCell ref="B4:B5"/>
    <mergeCell ref="A4:A5"/>
    <mergeCell ref="A1:F1"/>
    <mergeCell ref="C3:D3"/>
    <mergeCell ref="C4:D4"/>
  </mergeCells>
  <printOptions horizontalCentered="1"/>
  <pageMargins left="0.7086614173228351" right="0.7086614173228351" top="0.905511811023622" bottom="0.78740157480315" header="0.511811023622047" footer="0.511811023622047"/>
  <pageSetup orientation="portrait" paperSize="9" scale="74" horizontalDpi="360" verticalDpi="600"/>
  <headerFooter alignWithMargins="0">
    <oddHeader/>
    <oddFooter>&amp;C&amp;"Arial Narrow,常规"1</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59"/>
  <sheetViews>
    <sheetView showGridLines="0" showZeros="0" view="pageBreakPreview" topLeftCell="A40" zoomScaleNormal="85" workbookViewId="0">
      <selection activeCell="A51" sqref="A51"/>
    </sheetView>
  </sheetViews>
  <sheetFormatPr baseColWidth="8" defaultColWidth="14" defaultRowHeight="15"/>
  <cols>
    <col width="37.125" customWidth="1" style="245" min="1" max="1"/>
    <col width="8.125" customWidth="1" style="244" min="2" max="2"/>
    <col width="16.625" customWidth="1" style="245" min="3" max="6"/>
    <col width="18.125" customWidth="1" style="245" min="7" max="7"/>
    <col width="14" customWidth="1" style="245" min="8" max="16384"/>
  </cols>
  <sheetData>
    <row r="1" ht="32.1" customFormat="1" customHeight="1" s="94">
      <c r="A1" s="223" t="inlineStr">
        <is>
          <t>合并及公司资产负债表（续）</t>
        </is>
      </c>
    </row>
    <row r="2" ht="25.5" customHeight="1">
      <c r="A2" s="196" t="n"/>
      <c r="B2" s="196" t="n"/>
      <c r="C2" s="197" t="inlineStr">
        <is>
          <t>{{period_end_date}}</t>
        </is>
      </c>
      <c r="E2" s="196" t="n"/>
      <c r="F2" s="196" t="n"/>
    </row>
    <row r="3" ht="20.1" customHeight="1">
      <c r="A3" s="198" t="n"/>
      <c r="B3" s="247" t="n"/>
      <c r="C3" s="247" t="n"/>
      <c r="D3" s="247" t="n"/>
      <c r="E3" s="247" t="n"/>
      <c r="F3" s="247" t="n"/>
    </row>
    <row r="4" ht="20.1" customFormat="1" customHeight="1" s="245">
      <c r="A4" s="264" t="inlineStr">
        <is>
          <t xml:space="preserve">  项   目</t>
        </is>
      </c>
      <c r="B4" s="265" t="inlineStr">
        <is>
          <t>附注</t>
        </is>
      </c>
      <c r="C4" s="250" t="inlineStr">
        <is>
          <t>期末余额</t>
        </is>
      </c>
      <c r="D4" s="251" t="n"/>
      <c r="E4" s="230" t="inlineStr">
        <is>
          <t>上年年末余额</t>
        </is>
      </c>
      <c r="F4" s="252" t="n"/>
    </row>
    <row r="5" ht="20.1" customFormat="1" customHeight="1" s="94">
      <c r="A5" s="253" t="n"/>
      <c r="B5" s="254" t="n"/>
      <c r="C5" s="102" t="inlineStr">
        <is>
          <t>合并</t>
        </is>
      </c>
      <c r="D5" s="102" t="inlineStr">
        <is>
          <t>公司</t>
        </is>
      </c>
      <c r="E5" s="102" t="inlineStr">
        <is>
          <t>合并</t>
        </is>
      </c>
      <c r="F5" s="103" t="inlineStr">
        <is>
          <t>公司</t>
        </is>
      </c>
      <c r="G5" s="193" t="n"/>
    </row>
    <row r="6" ht="20.1" customFormat="1" customHeight="1" s="245">
      <c r="A6" s="266" t="inlineStr">
        <is>
          <t>流动负债：</t>
        </is>
      </c>
      <c r="B6" s="255" t="inlineStr">
        <is>
          <t xml:space="preserve">　</t>
        </is>
      </c>
      <c r="C6" s="256" t="n"/>
      <c r="D6" s="256" t="n"/>
      <c r="E6" s="256" t="n"/>
      <c r="F6" s="256" t="n"/>
    </row>
    <row r="7" ht="20.1" customHeight="1">
      <c r="A7" s="266" t="inlineStr">
        <is>
          <t xml:space="preserve">  短期借款</t>
        </is>
      </c>
      <c r="B7" s="257" t="inlineStr">
        <is>
          <t>{{note_ref:BS-044}}</t>
        </is>
      </c>
      <c r="C7" s="256" t="inlineStr">
        <is>
          <t>{{row:BS-044:current}}</t>
        </is>
      </c>
      <c r="D7" s="256" t="inlineStr">
        <is>
          <t>{{row:BS-044:current:parent}}</t>
        </is>
      </c>
      <c r="E7" s="256" t="inlineStr">
        <is>
          <t>{{row:BS-044:prior}}</t>
        </is>
      </c>
      <c r="F7" s="256" t="inlineStr">
        <is>
          <t>{{row:BS-044:prior:parent}}</t>
        </is>
      </c>
    </row>
    <row r="8" ht="20.1" customHeight="1">
      <c r="A8" s="267" t="inlineStr">
        <is>
          <t xml:space="preserve">  交易性金融负债</t>
        </is>
      </c>
      <c r="B8" s="257" t="inlineStr">
        <is>
          <t>{{note_ref:BS-045}}</t>
        </is>
      </c>
      <c r="C8" s="256" t="inlineStr">
        <is>
          <t>{{row:BS-045:current}}</t>
        </is>
      </c>
      <c r="D8" s="256" t="inlineStr">
        <is>
          <t>{{row:BS-045:current:parent}}</t>
        </is>
      </c>
      <c r="E8" s="256" t="inlineStr">
        <is>
          <t>{{row:BS-045:prior}}</t>
        </is>
      </c>
      <c r="F8" s="256" t="inlineStr">
        <is>
          <t>{{row:BS-045:prior:parent}}</t>
        </is>
      </c>
    </row>
    <row r="9" ht="25" customHeight="1">
      <c r="A9" s="268" t="inlineStr">
        <is>
          <t xml:space="preserve"> 衍生金融负债</t>
        </is>
      </c>
      <c r="B9" s="257" t="inlineStr">
        <is>
          <t>{{note_ref:BS-046}}</t>
        </is>
      </c>
      <c r="C9" s="256" t="inlineStr">
        <is>
          <t>{{row:BS-046:current}}</t>
        </is>
      </c>
      <c r="D9" s="256" t="inlineStr">
        <is>
          <t>{{row:BS-046:current:parent}}</t>
        </is>
      </c>
      <c r="E9" s="256" t="inlineStr">
        <is>
          <t>{{row:BS-046:prior}}</t>
        </is>
      </c>
      <c r="F9" s="256" t="inlineStr">
        <is>
          <t>{{row:BS-046:prior:parent}}</t>
        </is>
      </c>
    </row>
    <row r="10" ht="18.75" customHeight="1">
      <c r="A10" s="266" t="inlineStr">
        <is>
          <t xml:space="preserve">  应付票据</t>
        </is>
      </c>
      <c r="B10" s="257" t="inlineStr">
        <is>
          <t>{{note_ref:BS-047}}</t>
        </is>
      </c>
      <c r="C10" s="256" t="inlineStr">
        <is>
          <t>{{row:BS-047:current}}</t>
        </is>
      </c>
      <c r="D10" s="256" t="inlineStr">
        <is>
          <t>{{row:BS-047:current:parent}}</t>
        </is>
      </c>
      <c r="E10" s="256" t="inlineStr">
        <is>
          <t>{{row:BS-047:prior}}</t>
        </is>
      </c>
      <c r="F10" s="256" t="inlineStr">
        <is>
          <t>{{row:BS-047:prior:parent}}</t>
        </is>
      </c>
    </row>
    <row r="11" ht="20.1" customHeight="1">
      <c r="A11" s="266" t="inlineStr">
        <is>
          <t xml:space="preserve">  应付账款</t>
        </is>
      </c>
      <c r="B11" s="257" t="inlineStr">
        <is>
          <t>{{note_ref:BS-048}}</t>
        </is>
      </c>
      <c r="C11" s="256" t="inlineStr">
        <is>
          <t>{{row:BS-048:current}}</t>
        </is>
      </c>
      <c r="D11" s="256" t="inlineStr">
        <is>
          <t>{{row:BS-048:current:parent}}</t>
        </is>
      </c>
      <c r="E11" s="256" t="inlineStr">
        <is>
          <t>{{row:BS-048:prior}}</t>
        </is>
      </c>
      <c r="F11" s="256" t="inlineStr">
        <is>
          <t>{{row:BS-048:prior:parent}}</t>
        </is>
      </c>
    </row>
    <row r="12" ht="20.1" customHeight="1">
      <c r="A12" s="266" t="inlineStr">
        <is>
          <t xml:space="preserve">  预收款项</t>
        </is>
      </c>
      <c r="B12" s="257" t="inlineStr">
        <is>
          <t>{{note_ref:BS-049}}</t>
        </is>
      </c>
      <c r="C12" s="256" t="inlineStr">
        <is>
          <t>{{row:BS-049:current}}</t>
        </is>
      </c>
      <c r="D12" s="256" t="inlineStr">
        <is>
          <t>{{row:BS-049:current:parent}}</t>
        </is>
      </c>
      <c r="E12" s="256" t="inlineStr">
        <is>
          <t>{{row:BS-049:prior}}</t>
        </is>
      </c>
      <c r="F12" s="256" t="inlineStr">
        <is>
          <t>{{row:BS-049:prior:parent}}</t>
        </is>
      </c>
    </row>
    <row r="13" ht="20.1" customHeight="1">
      <c r="A13" s="266" t="inlineStr">
        <is>
          <t xml:space="preserve">  合同负债</t>
        </is>
      </c>
      <c r="B13" s="257" t="inlineStr">
        <is>
          <t>{{note_ref:BS-050}}</t>
        </is>
      </c>
      <c r="C13" s="256" t="inlineStr">
        <is>
          <t>{{row:BS-050:current}}</t>
        </is>
      </c>
      <c r="D13" s="256" t="inlineStr">
        <is>
          <t>{{row:BS-050:current:parent}}</t>
        </is>
      </c>
      <c r="E13" s="256" t="inlineStr">
        <is>
          <t>{{row:BS-050:prior}}</t>
        </is>
      </c>
      <c r="F13" s="256" t="inlineStr">
        <is>
          <t>{{row:BS-050:prior:parent}}</t>
        </is>
      </c>
    </row>
    <row r="14" ht="20.1" customHeight="1">
      <c r="A14" s="266" t="inlineStr">
        <is>
          <t xml:space="preserve">  应付职工薪酬</t>
        </is>
      </c>
      <c r="B14" s="257" t="inlineStr">
        <is>
          <t>{{note_ref:BS-051}}</t>
        </is>
      </c>
      <c r="C14" s="256" t="inlineStr">
        <is>
          <t>{{row:BS-051:current}}</t>
        </is>
      </c>
      <c r="D14" s="256" t="inlineStr">
        <is>
          <t>{{row:BS-051:current:parent}}</t>
        </is>
      </c>
      <c r="E14" s="256" t="inlineStr">
        <is>
          <t>{{row:BS-051:prior}}</t>
        </is>
      </c>
      <c r="F14" s="256" t="inlineStr">
        <is>
          <t>{{row:BS-051:prior:parent}}</t>
        </is>
      </c>
    </row>
    <row r="15" ht="20.1" customHeight="1">
      <c r="A15" s="266" t="inlineStr">
        <is>
          <t xml:space="preserve">  应交税费</t>
        </is>
      </c>
      <c r="B15" s="257" t="inlineStr">
        <is>
          <t>{{note_ref:BS-052}}</t>
        </is>
      </c>
      <c r="C15" s="256" t="inlineStr">
        <is>
          <t>{{row:BS-052:current}}</t>
        </is>
      </c>
      <c r="D15" s="256" t="inlineStr">
        <is>
          <t>{{row:BS-052:current:parent}}</t>
        </is>
      </c>
      <c r="E15" s="256" t="inlineStr">
        <is>
          <t>{{row:BS-052:prior}}</t>
        </is>
      </c>
      <c r="F15" s="256" t="inlineStr">
        <is>
          <t>{{row:BS-052:prior:parent}}</t>
        </is>
      </c>
    </row>
    <row r="16" ht="20.1" customHeight="1">
      <c r="A16" s="267" t="inlineStr">
        <is>
          <t xml:space="preserve">  其他应付款</t>
        </is>
      </c>
      <c r="B16" s="257" t="inlineStr">
        <is>
          <t>{{note_ref:BS-053}}</t>
        </is>
      </c>
      <c r="C16" s="256" t="inlineStr">
        <is>
          <t>{{row:BS-053:current}}</t>
        </is>
      </c>
      <c r="D16" s="256" t="inlineStr">
        <is>
          <t>{{row:BS-053:current:parent}}</t>
        </is>
      </c>
      <c r="E16" s="256" t="inlineStr">
        <is>
          <t>{{row:BS-053:prior}}</t>
        </is>
      </c>
      <c r="F16" s="256" t="inlineStr">
        <is>
          <t>{{row:BS-053:prior:parent}}</t>
        </is>
      </c>
    </row>
    <row r="17" ht="20.1" customHeight="1">
      <c r="A17" s="266" t="inlineStr">
        <is>
          <t xml:space="preserve">  其中：应付利息</t>
        </is>
      </c>
      <c r="B17" s="257" t="n"/>
      <c r="C17" s="256" t="inlineStr">
        <is>
          <t>{{row:BS-054:current}}</t>
        </is>
      </c>
      <c r="D17" s="256" t="inlineStr">
        <is>
          <t>{{row:BS-054:current:parent}}</t>
        </is>
      </c>
      <c r="E17" s="256" t="inlineStr">
        <is>
          <t>{{row:BS-054:prior}}</t>
        </is>
      </c>
      <c r="F17" s="256" t="inlineStr">
        <is>
          <t>{{row:BS-054:prior:parent}}</t>
        </is>
      </c>
    </row>
    <row r="18" ht="20.1" customHeight="1">
      <c r="A18" s="266" t="inlineStr">
        <is>
          <t xml:space="preserve">                应付股利</t>
        </is>
      </c>
      <c r="B18" s="257" t="n"/>
      <c r="C18" s="256" t="inlineStr">
        <is>
          <t>{{row:BS-055:current}}</t>
        </is>
      </c>
      <c r="D18" s="256" t="inlineStr">
        <is>
          <t>{{row:BS-055:current:parent}}</t>
        </is>
      </c>
      <c r="E18" s="256" t="inlineStr">
        <is>
          <t>{{row:BS-055:prior}}</t>
        </is>
      </c>
      <c r="F18" s="256" t="inlineStr">
        <is>
          <t>{{row:BS-055:prior:parent}}</t>
        </is>
      </c>
    </row>
    <row r="19" ht="24" customHeight="1">
      <c r="A19" s="267" t="inlineStr">
        <is>
          <t xml:space="preserve">  持有待售负债</t>
        </is>
      </c>
      <c r="B19" s="257" t="n"/>
      <c r="C19" s="256" t="inlineStr">
        <is>
          <t>{{row:BS-056:current}}</t>
        </is>
      </c>
      <c r="D19" s="256" t="inlineStr">
        <is>
          <t>{{row:BS-056:current:parent}}</t>
        </is>
      </c>
      <c r="E19" s="256" t="inlineStr">
        <is>
          <t>{{row:BS-056:prior}}</t>
        </is>
      </c>
      <c r="F19" s="256" t="inlineStr">
        <is>
          <t>{{row:BS-056:prior:parent}}</t>
        </is>
      </c>
    </row>
    <row r="20" ht="20.1" customHeight="1">
      <c r="A20" s="266" t="inlineStr">
        <is>
          <t xml:space="preserve">  一年内到期的非流动负债</t>
        </is>
      </c>
      <c r="B20" s="257" t="inlineStr">
        <is>
          <t>{{note_ref:BS-057}}</t>
        </is>
      </c>
      <c r="C20" s="256" t="inlineStr">
        <is>
          <t>{{row:BS-057:current}}</t>
        </is>
      </c>
      <c r="D20" s="256" t="inlineStr">
        <is>
          <t>{{row:BS-057:current:parent}}</t>
        </is>
      </c>
      <c r="E20" s="256" t="inlineStr">
        <is>
          <t>{{row:BS-057:prior}}</t>
        </is>
      </c>
      <c r="F20" s="256" t="inlineStr">
        <is>
          <t>{{row:BS-057:prior:parent}}</t>
        </is>
      </c>
    </row>
    <row r="21" ht="20.1" customHeight="1">
      <c r="A21" s="266" t="inlineStr">
        <is>
          <t xml:space="preserve">  其他流动负债</t>
        </is>
      </c>
      <c r="B21" s="257" t="inlineStr">
        <is>
          <t>{{note_ref:BS-058}}</t>
        </is>
      </c>
      <c r="C21" s="256" t="inlineStr">
        <is>
          <t>{{row:BS-058:current}}</t>
        </is>
      </c>
      <c r="D21" s="256" t="inlineStr">
        <is>
          <t>{{row:BS-058:current:parent}}</t>
        </is>
      </c>
      <c r="E21" s="256" t="inlineStr">
        <is>
          <t>{{row:BS-058:prior}}</t>
        </is>
      </c>
      <c r="F21" s="256" t="inlineStr">
        <is>
          <t>{{row:BS-058:prior:parent}}</t>
        </is>
      </c>
      <c r="G21" s="224" t="inlineStr">
        <is>
          <t>在一年或一个正常营业周期内清偿的应付退货款应在“其他流动负债”项目反映</t>
        </is>
      </c>
    </row>
    <row r="22" ht="20.1" customHeight="1">
      <c r="A22" s="266" t="inlineStr">
        <is>
          <t xml:space="preserve">    流动负债合计</t>
        </is>
      </c>
      <c r="B22" s="257" t="n"/>
      <c r="C22" s="256">
        <f>SUM(C7:C21)-C17-C18</f>
        <v/>
      </c>
      <c r="D22" s="256">
        <f>SUM(D7:D21)-D17-D18</f>
        <v/>
      </c>
      <c r="E22" s="256">
        <f>SUM(E7:E21)-E17-E18</f>
        <v/>
      </c>
      <c r="F22" s="256">
        <f>SUM(F7:F21)-F17-F18</f>
        <v/>
      </c>
    </row>
    <row r="23" ht="20.1" customHeight="1">
      <c r="A23" s="266" t="inlineStr">
        <is>
          <t>非流动负债：</t>
        </is>
      </c>
      <c r="B23" s="257" t="n"/>
      <c r="C23" s="256" t="n"/>
      <c r="D23" s="256" t="n"/>
      <c r="E23" s="256" t="n"/>
      <c r="F23" s="256" t="n"/>
    </row>
    <row r="24" ht="20.1" customHeight="1">
      <c r="A24" s="266" t="inlineStr">
        <is>
          <t xml:space="preserve">  长期借款</t>
        </is>
      </c>
      <c r="B24" s="257" t="inlineStr">
        <is>
          <t>{{note_ref:BS-061}}</t>
        </is>
      </c>
      <c r="C24" s="256" t="inlineStr">
        <is>
          <t>{{row:BS-061:current}}</t>
        </is>
      </c>
      <c r="D24" s="256" t="inlineStr">
        <is>
          <t>{{row:BS-061:current:parent}}</t>
        </is>
      </c>
      <c r="E24" s="256" t="inlineStr">
        <is>
          <t>{{row:BS-061:prior}}</t>
        </is>
      </c>
      <c r="F24" s="256" t="inlineStr">
        <is>
          <t>{{row:BS-061:prior:parent}}</t>
        </is>
      </c>
    </row>
    <row r="25" ht="20.1" customHeight="1">
      <c r="A25" s="266" t="inlineStr">
        <is>
          <t xml:space="preserve">  应付债券</t>
        </is>
      </c>
      <c r="B25" s="257" t="inlineStr">
        <is>
          <t>{{note_ref:BS-062}}</t>
        </is>
      </c>
      <c r="C25" s="256" t="inlineStr">
        <is>
          <t>{{row:BS-062:current}}</t>
        </is>
      </c>
      <c r="D25" s="256" t="inlineStr">
        <is>
          <t>{{row:BS-062:current:parent}}</t>
        </is>
      </c>
      <c r="E25" s="256" t="inlineStr">
        <is>
          <t>{{row:BS-062:prior}}</t>
        </is>
      </c>
      <c r="F25" s="256" t="inlineStr">
        <is>
          <t>{{row:BS-062:prior:parent}}</t>
        </is>
      </c>
    </row>
    <row r="26" ht="20.1" customHeight="1">
      <c r="A26" s="211" t="inlineStr">
        <is>
          <t xml:space="preserve"> 其中：优先股</t>
        </is>
      </c>
      <c r="B26" s="257" t="n"/>
      <c r="C26" s="256" t="inlineStr">
        <is>
          <t>{{row:BS-077:current}}</t>
        </is>
      </c>
      <c r="D26" s="256" t="inlineStr">
        <is>
          <t>{{row:BS-063:current:parent}}</t>
        </is>
      </c>
      <c r="E26" s="256" t="inlineStr">
        <is>
          <t>{{row:BS-077:prior}}</t>
        </is>
      </c>
      <c r="F26" s="256" t="inlineStr">
        <is>
          <t>{{row:BS-063:prior:parent}}</t>
        </is>
      </c>
    </row>
    <row r="27" ht="20.1" customHeight="1">
      <c r="A27" s="211" t="inlineStr">
        <is>
          <t xml:space="preserve">       永续债</t>
        </is>
      </c>
      <c r="B27" s="257" t="n"/>
      <c r="C27" s="256" t="inlineStr">
        <is>
          <t>{{row:BS-078:current}}</t>
        </is>
      </c>
      <c r="D27" s="256" t="inlineStr">
        <is>
          <t>{{row:BS-064:current:parent}}</t>
        </is>
      </c>
      <c r="E27" s="256" t="inlineStr">
        <is>
          <t>{{row:BS-078:prior}}</t>
        </is>
      </c>
      <c r="F27" s="256" t="inlineStr">
        <is>
          <t>{{row:BS-064:prior:parent}}</t>
        </is>
      </c>
    </row>
    <row r="28" ht="20.1" customFormat="1" customHeight="1" s="269">
      <c r="A28" s="270" t="inlineStr">
        <is>
          <t xml:space="preserve"> 租赁负债</t>
        </is>
      </c>
      <c r="B28" s="257" t="inlineStr">
        <is>
          <t>{{note_ref:BS-065}}</t>
        </is>
      </c>
      <c r="C28" s="256" t="inlineStr">
        <is>
          <t>{{row:BS-065:current}}</t>
        </is>
      </c>
      <c r="D28" s="256" t="inlineStr">
        <is>
          <t>{{row:BS-065:current:parent}}</t>
        </is>
      </c>
      <c r="E28" s="256" t="inlineStr">
        <is>
          <t>{{row:BS-065:prior}}</t>
        </is>
      </c>
      <c r="F28" s="256" t="inlineStr">
        <is>
          <t>{{row:BS-065:prior:parent}}</t>
        </is>
      </c>
    </row>
    <row r="29" ht="20.1" customHeight="1">
      <c r="A29" s="266" t="inlineStr">
        <is>
          <t xml:space="preserve">  长期应付款</t>
        </is>
      </c>
      <c r="B29" s="257" t="inlineStr">
        <is>
          <t>{{note_ref:BS-066}}</t>
        </is>
      </c>
      <c r="C29" s="256" t="inlineStr">
        <is>
          <t>{{row:BS-066:current}}</t>
        </is>
      </c>
      <c r="D29" s="256" t="inlineStr">
        <is>
          <t>{{row:BS-066:current:parent}}</t>
        </is>
      </c>
      <c r="E29" s="256" t="inlineStr">
        <is>
          <t>{{row:BS-066:prior}}</t>
        </is>
      </c>
      <c r="F29" s="256" t="inlineStr">
        <is>
          <t>{{row:BS-066:prior:parent}}</t>
        </is>
      </c>
    </row>
    <row r="30" ht="20.1" customHeight="1">
      <c r="A30" s="211" t="inlineStr">
        <is>
          <t xml:space="preserve"> 长期应付职工薪酬</t>
        </is>
      </c>
      <c r="B30" s="257" t="inlineStr">
        <is>
          <t>{{note_ref:BS-067}}</t>
        </is>
      </c>
      <c r="C30" s="256" t="inlineStr">
        <is>
          <t>{{row:BS-067:current}}</t>
        </is>
      </c>
      <c r="D30" s="256" t="inlineStr">
        <is>
          <t>{{row:BS-067:current:parent}}</t>
        </is>
      </c>
      <c r="E30" s="256" t="inlineStr">
        <is>
          <t>{{row:BS-067:prior}}</t>
        </is>
      </c>
      <c r="F30" s="256" t="inlineStr">
        <is>
          <t>{{row:BS-067:prior:parent}}</t>
        </is>
      </c>
    </row>
    <row r="31" ht="20.1" customFormat="1" customHeight="1" s="258">
      <c r="A31" s="266" t="inlineStr">
        <is>
          <t xml:space="preserve">  预计负债</t>
        </is>
      </c>
      <c r="B31" s="257" t="inlineStr">
        <is>
          <t>{{note_ref:BS-068}}</t>
        </is>
      </c>
      <c r="C31" s="256" t="inlineStr">
        <is>
          <t>{{row:BS-068:current}}</t>
        </is>
      </c>
      <c r="D31" s="256" t="inlineStr">
        <is>
          <t>{{row:BS-068:current:parent}}</t>
        </is>
      </c>
      <c r="E31" s="256" t="inlineStr">
        <is>
          <t>{{row:BS-068:prior}}</t>
        </is>
      </c>
      <c r="F31" s="256" t="inlineStr">
        <is>
          <t>{{row:BS-068:prior:parent}}</t>
        </is>
      </c>
      <c r="G31" s="224" t="inlineStr">
        <is>
          <t>不能在一年或一个正常营业周期内清偿的应付退货款在“预计负债”项目反映</t>
        </is>
      </c>
    </row>
    <row r="32" ht="20.1" customFormat="1" customHeight="1" s="258">
      <c r="A32" s="266" t="inlineStr">
        <is>
          <t xml:space="preserve">  递延收益</t>
        </is>
      </c>
      <c r="B32" s="257" t="inlineStr">
        <is>
          <t>{{note_ref:BS-069}}</t>
        </is>
      </c>
      <c r="C32" s="256" t="inlineStr">
        <is>
          <t>{{row:BS-069:current}}</t>
        </is>
      </c>
      <c r="D32" s="256" t="inlineStr">
        <is>
          <t>{{row:BS-069:current:parent}}</t>
        </is>
      </c>
      <c r="E32" s="256" t="inlineStr">
        <is>
          <t>{{row:BS-069:prior}}</t>
        </is>
      </c>
      <c r="F32" s="256" t="inlineStr">
        <is>
          <t>{{row:BS-069:prior:parent}}</t>
        </is>
      </c>
    </row>
    <row r="33" ht="20.1" customHeight="1">
      <c r="A33" s="266" t="inlineStr">
        <is>
          <t xml:space="preserve">  递延所得税负债</t>
        </is>
      </c>
      <c r="B33" s="257" t="n"/>
      <c r="C33" s="256" t="inlineStr">
        <is>
          <t>{{row:BS-070:current}}</t>
        </is>
      </c>
      <c r="D33" s="256" t="inlineStr">
        <is>
          <t>{{row:BS-070:current:parent}}</t>
        </is>
      </c>
      <c r="E33" s="256" t="inlineStr">
        <is>
          <t>{{row:BS-070:prior}}</t>
        </is>
      </c>
      <c r="F33" s="256" t="inlineStr">
        <is>
          <t>{{row:BS-070:prior:parent}}</t>
        </is>
      </c>
    </row>
    <row r="34" ht="20.1" customHeight="1">
      <c r="A34" s="266" t="inlineStr">
        <is>
          <t xml:space="preserve">  其他非流动负债</t>
        </is>
      </c>
      <c r="B34" s="257" t="inlineStr">
        <is>
          <t>{{note_ref:BS-071}}</t>
        </is>
      </c>
      <c r="C34" s="256" t="inlineStr">
        <is>
          <t>{{row:BS-071:current}}</t>
        </is>
      </c>
      <c r="D34" s="256" t="inlineStr">
        <is>
          <t>{{row:BS-071:current:parent}}</t>
        </is>
      </c>
      <c r="E34" s="256" t="inlineStr">
        <is>
          <t>{{row:BS-071:prior}}</t>
        </is>
      </c>
      <c r="F34" s="256" t="inlineStr">
        <is>
          <t>{{row:BS-071:prior:parent}}</t>
        </is>
      </c>
    </row>
    <row r="35" ht="20.1" customHeight="1">
      <c r="A35" s="266" t="inlineStr">
        <is>
          <t xml:space="preserve">    非流动负债合计</t>
        </is>
      </c>
      <c r="B35" s="257" t="n"/>
      <c r="C35" s="256">
        <f>SUM(C24:C34)-C26-C27</f>
        <v/>
      </c>
      <c r="D35" s="256">
        <f>SUM(D24:D34)-D26-D27</f>
        <v/>
      </c>
      <c r="E35" s="256">
        <f>SUM(E24:E34)-E26-E27</f>
        <v/>
      </c>
      <c r="F35" s="256">
        <f>SUM(F24:F34)-F26-F27</f>
        <v/>
      </c>
    </row>
    <row r="36" ht="20.1" customHeight="1">
      <c r="A36" s="271" t="inlineStr">
        <is>
          <t xml:space="preserve">      负债合计</t>
        </is>
      </c>
      <c r="B36" s="257" t="n"/>
      <c r="C36" s="256">
        <f>C22+C35</f>
        <v/>
      </c>
      <c r="D36" s="256">
        <f>D22+D35</f>
        <v/>
      </c>
      <c r="E36" s="256">
        <f>E22+E35</f>
        <v/>
      </c>
      <c r="F36" s="256">
        <f>F22+F35</f>
        <v/>
      </c>
    </row>
    <row r="37" ht="20.1" customHeight="1">
      <c r="A37" s="266" t="n"/>
      <c r="B37" s="257" t="n"/>
      <c r="C37" s="256" t="n"/>
      <c r="D37" s="256" t="n"/>
      <c r="E37" s="256" t="n"/>
      <c r="F37" s="256" t="n"/>
    </row>
    <row r="38" ht="20.1" customHeight="1">
      <c r="A38" s="272" t="inlineStr">
        <is>
          <t>股东权益：</t>
        </is>
      </c>
      <c r="B38" s="257" t="n"/>
      <c r="C38" s="256" t="n"/>
      <c r="D38" s="256" t="n"/>
      <c r="E38" s="256" t="n"/>
      <c r="F38" s="256" t="n"/>
    </row>
    <row r="39" ht="20.1" customHeight="1">
      <c r="A39" s="266" t="inlineStr">
        <is>
          <t xml:space="preserve">  股本</t>
        </is>
      </c>
      <c r="B39" s="257" t="inlineStr">
        <is>
          <t>{{note_ref:BS-075}}</t>
        </is>
      </c>
      <c r="C39" s="256" t="inlineStr">
        <is>
          <t>{{row:BS-075:current}}</t>
        </is>
      </c>
      <c r="D39" s="256" t="inlineStr">
        <is>
          <t>{{row:BS-075:current:parent}}</t>
        </is>
      </c>
      <c r="E39" s="256" t="inlineStr">
        <is>
          <t>{{row:BS-075:prior}}</t>
        </is>
      </c>
      <c r="F39" s="256" t="inlineStr">
        <is>
          <t>{{row:BS-075:prior:parent}}</t>
        </is>
      </c>
    </row>
    <row r="40" ht="20.1" customHeight="1">
      <c r="A40" s="211" t="inlineStr">
        <is>
          <t xml:space="preserve"> 其他权益工具</t>
        </is>
      </c>
      <c r="B40" s="257" t="inlineStr">
        <is>
          <t>{{note_ref:BS-076}}</t>
        </is>
      </c>
      <c r="C40" s="256" t="inlineStr">
        <is>
          <t>{{row:BS-076:current}}</t>
        </is>
      </c>
      <c r="D40" s="256" t="inlineStr">
        <is>
          <t>{{row:BS-076:current:parent}}</t>
        </is>
      </c>
      <c r="E40" s="256" t="inlineStr">
        <is>
          <t>{{row:BS-076:prior}}</t>
        </is>
      </c>
      <c r="F40" s="256" t="inlineStr">
        <is>
          <t>{{row:BS-076:prior:parent}}</t>
        </is>
      </c>
      <c r="G40" s="245" t="n"/>
    </row>
    <row r="41" ht="20.1" customHeight="1">
      <c r="A41" s="178" t="inlineStr">
        <is>
          <t>其中：优先股</t>
        </is>
      </c>
      <c r="B41" s="257" t="n"/>
      <c r="C41" s="256" t="inlineStr">
        <is>
          <t>{{row:BS-077:current}}</t>
        </is>
      </c>
      <c r="D41" s="256" t="inlineStr">
        <is>
          <t>{{row:BS-077:current:parent}}</t>
        </is>
      </c>
      <c r="E41" s="256" t="inlineStr">
        <is>
          <t>{{row:BS-077:prior}}</t>
        </is>
      </c>
      <c r="F41" s="256" t="inlineStr">
        <is>
          <t>{{row:BS-077:prior:parent}}</t>
        </is>
      </c>
      <c r="G41" s="245" t="n"/>
    </row>
    <row r="42" ht="20.1" customHeight="1">
      <c r="A42" s="211" t="inlineStr">
        <is>
          <t xml:space="preserve">            永续债</t>
        </is>
      </c>
      <c r="B42" s="257" t="n"/>
      <c r="C42" s="256" t="inlineStr">
        <is>
          <t>{{row:BS-078:current}}</t>
        </is>
      </c>
      <c r="D42" s="256" t="inlineStr">
        <is>
          <t>{{row:BS-078:current:parent}}</t>
        </is>
      </c>
      <c r="E42" s="256" t="inlineStr">
        <is>
          <t>{{row:BS-078:prior}}</t>
        </is>
      </c>
      <c r="F42" s="256" t="inlineStr">
        <is>
          <t>{{row:BS-078:prior:parent}}</t>
        </is>
      </c>
      <c r="G42" s="245" t="n"/>
    </row>
    <row r="43" ht="20.1" customFormat="1" customHeight="1" s="258">
      <c r="A43" s="266" t="inlineStr">
        <is>
          <t xml:space="preserve">  资本公积</t>
        </is>
      </c>
      <c r="B43" s="257" t="inlineStr">
        <is>
          <t>{{note_ref:BS-079}}</t>
        </is>
      </c>
      <c r="C43" s="256" t="inlineStr">
        <is>
          <t>{{row:BS-079:current}}</t>
        </is>
      </c>
      <c r="D43" s="256" t="inlineStr">
        <is>
          <t>{{row:BS-079:current:parent}}</t>
        </is>
      </c>
      <c r="E43" s="256" t="inlineStr">
        <is>
          <t>{{row:BS-079:prior}}</t>
        </is>
      </c>
      <c r="F43" s="256" t="inlineStr">
        <is>
          <t>{{row:BS-079:prior:parent}}</t>
        </is>
      </c>
      <c r="G43" s="258" t="n"/>
    </row>
    <row r="44" ht="20.1" customFormat="1" customHeight="1" s="258">
      <c r="A44" s="266" t="inlineStr">
        <is>
          <t xml:space="preserve">  减：库存股</t>
        </is>
      </c>
      <c r="B44" s="257" t="n"/>
      <c r="C44" s="256" t="inlineStr">
        <is>
          <t>{{row:BS-080:current}}</t>
        </is>
      </c>
      <c r="D44" s="256" t="inlineStr">
        <is>
          <t>{{row:BS-080:current:parent}}</t>
        </is>
      </c>
      <c r="E44" s="256" t="inlineStr">
        <is>
          <t>{{row:BS-080:prior}}</t>
        </is>
      </c>
      <c r="F44" s="256" t="inlineStr">
        <is>
          <t>{{row:BS-080:prior:parent}}</t>
        </is>
      </c>
      <c r="G44" s="258" t="n"/>
    </row>
    <row r="45" ht="20.1" customFormat="1" customHeight="1" s="258">
      <c r="A45" s="270" t="inlineStr">
        <is>
          <t xml:space="preserve"> 其他综合收益</t>
        </is>
      </c>
      <c r="B45" s="257" t="inlineStr">
        <is>
          <t>{{note_ref:BS-081}}</t>
        </is>
      </c>
      <c r="C45" s="256" t="inlineStr">
        <is>
          <t>{{row:BS-081:current}}</t>
        </is>
      </c>
      <c r="D45" s="256" t="inlineStr">
        <is>
          <t>{{row:BS-081:current:parent}}</t>
        </is>
      </c>
      <c r="E45" s="256" t="inlineStr">
        <is>
          <t>{{row:BS-081:prior}}</t>
        </is>
      </c>
      <c r="F45" s="256" t="inlineStr">
        <is>
          <t>{{row:BS-081:prior:parent}}</t>
        </is>
      </c>
      <c r="G45" s="245" t="n"/>
    </row>
    <row r="46" ht="20.1" customFormat="1" customHeight="1" s="258">
      <c r="A46" s="266" t="inlineStr">
        <is>
          <t xml:space="preserve">  专项储备</t>
        </is>
      </c>
      <c r="B46" s="257" t="inlineStr">
        <is>
          <t>{{note_ref:BS-082}}</t>
        </is>
      </c>
      <c r="C46" s="256" t="inlineStr">
        <is>
          <t>{{row:BS-082:current}}</t>
        </is>
      </c>
      <c r="D46" s="256" t="inlineStr">
        <is>
          <t>{{row:BS-082:current:parent}}</t>
        </is>
      </c>
      <c r="E46" s="256" t="inlineStr">
        <is>
          <t>{{row:BS-082:prior}}</t>
        </is>
      </c>
      <c r="F46" s="256" t="inlineStr">
        <is>
          <t>{{row:BS-082:prior:parent}}</t>
        </is>
      </c>
      <c r="G46" s="258" t="n"/>
    </row>
    <row r="47" ht="20.1" customHeight="1">
      <c r="A47" s="266" t="inlineStr">
        <is>
          <t xml:space="preserve">  盈余公积</t>
        </is>
      </c>
      <c r="B47" s="257" t="inlineStr">
        <is>
          <t>{{note_ref:BS-083}}</t>
        </is>
      </c>
      <c r="C47" s="256" t="inlineStr">
        <is>
          <t>{{row:BS-083:current}}</t>
        </is>
      </c>
      <c r="D47" s="256" t="inlineStr">
        <is>
          <t>{{row:BS-083:current:parent}}</t>
        </is>
      </c>
      <c r="E47" s="256" t="inlineStr">
        <is>
          <t>{{row:BS-083:prior}}</t>
        </is>
      </c>
      <c r="F47" s="256" t="inlineStr">
        <is>
          <t>{{row:BS-083:prior:parent}}</t>
        </is>
      </c>
      <c r="G47" s="245" t="n"/>
    </row>
    <row r="48" ht="20.1" customHeight="1">
      <c r="A48" s="266" t="inlineStr">
        <is>
          <t xml:space="preserve">  未分配利润</t>
        </is>
      </c>
      <c r="B48" s="257" t="inlineStr">
        <is>
          <t>{{note_ref:BS-084}}</t>
        </is>
      </c>
      <c r="C48" s="256" t="inlineStr">
        <is>
          <t>{{row:BS-084:current}}</t>
        </is>
      </c>
      <c r="D48" s="256" t="inlineStr">
        <is>
          <t>{{row:BS-084:current:parent}}</t>
        </is>
      </c>
      <c r="E48" s="256" t="inlineStr">
        <is>
          <t>{{row:BS-084:prior}}</t>
        </is>
      </c>
      <c r="F48" s="256" t="inlineStr">
        <is>
          <t>{{row:BS-084:prior:parent}}</t>
        </is>
      </c>
      <c r="G48" s="245" t="n"/>
    </row>
    <row r="49" ht="20.1" customFormat="1" customHeight="1" s="258">
      <c r="A49" s="266" t="inlineStr">
        <is>
          <t xml:space="preserve">  归属于母公司股东权益合计</t>
        </is>
      </c>
      <c r="B49" s="257" t="n"/>
      <c r="C49" s="256">
        <f>C39+C40+C43-C44+C45+C46+C47+C48</f>
        <v/>
      </c>
      <c r="D49" s="256">
        <f>D39+D40+D43-D44+D45+D46+D47+D48</f>
        <v/>
      </c>
      <c r="E49" s="256">
        <f>E39+E40+E43-E44+E45+E46+E47+E48</f>
        <v/>
      </c>
      <c r="F49" s="256">
        <f>F39+F40+F43-F44+F45+F46+F47+F48</f>
        <v/>
      </c>
      <c r="G49" s="258" t="n"/>
    </row>
    <row r="50" ht="20.1" customFormat="1" customHeight="1" s="258">
      <c r="A50" s="266" t="inlineStr">
        <is>
          <t xml:space="preserve">  少数股东权益</t>
        </is>
      </c>
      <c r="B50" s="257" t="n"/>
      <c r="C50" s="256" t="inlineStr">
        <is>
          <t>{{row:BS-086:current}}</t>
        </is>
      </c>
      <c r="D50" s="256" t="inlineStr">
        <is>
          <t>{{row:BS-086:current:parent}}</t>
        </is>
      </c>
      <c r="E50" s="256" t="inlineStr">
        <is>
          <t>{{row:BS-086:prior}}</t>
        </is>
      </c>
      <c r="F50" s="256" t="inlineStr">
        <is>
          <t>{{row:BS-086:prior:parent}}</t>
        </is>
      </c>
      <c r="G50" s="258" t="n"/>
    </row>
    <row r="51" ht="20.1" customFormat="1" customHeight="1" s="258">
      <c r="A51" s="271" t="inlineStr">
        <is>
          <t xml:space="preserve">    股东（或所有者）权益合计</t>
        </is>
      </c>
      <c r="B51" s="257" t="n"/>
      <c r="C51" s="256">
        <f>C49+C50</f>
        <v/>
      </c>
      <c r="D51" s="256">
        <f>D49+D50</f>
        <v/>
      </c>
      <c r="E51" s="256">
        <f>E49+E50</f>
        <v/>
      </c>
      <c r="F51" s="256">
        <f>F49+F50</f>
        <v/>
      </c>
      <c r="G51" s="258" t="n"/>
    </row>
    <row r="52" ht="20.1" customFormat="1" customHeight="1" s="273">
      <c r="A52" s="274" t="inlineStr">
        <is>
          <t xml:space="preserve">    负债和股东（或所有者）权益总计</t>
        </is>
      </c>
      <c r="B52" s="259" t="n"/>
      <c r="C52" s="261">
        <f>C36+C51</f>
        <v/>
      </c>
      <c r="D52" s="261">
        <f>D36+D51</f>
        <v/>
      </c>
      <c r="E52" s="261">
        <f>E36+E51</f>
        <v/>
      </c>
      <c r="F52" s="261">
        <f>F36+F51</f>
        <v/>
      </c>
    </row>
    <row r="53" ht="20.1" customFormat="1" customHeight="1" s="273">
      <c r="A53" s="275" t="n"/>
      <c r="B53" s="276" t="n"/>
      <c r="C53" s="262" t="n"/>
      <c r="D53" s="262" t="n"/>
      <c r="E53" s="262" t="n"/>
      <c r="F53" s="262" t="n"/>
    </row>
    <row r="54" ht="20.1" customFormat="1" customHeight="1" s="193">
      <c r="A54" s="193" t="inlineStr">
        <is>
          <t>公司法定代表人：</t>
        </is>
      </c>
      <c r="B54" s="221" t="inlineStr">
        <is>
          <t xml:space="preserve">主管会计工作的公司负责人：          </t>
        </is>
      </c>
      <c r="D54" s="221" t="n"/>
      <c r="E54" s="221" t="inlineStr">
        <is>
          <t>公司会计机构负责人：</t>
        </is>
      </c>
    </row>
    <row r="59">
      <c r="C59" s="262">
        <f>资产负债表!C53-资产负债表续!C58</f>
        <v/>
      </c>
      <c r="D59" s="262">
        <f>资产负债表!D53-资产负债表续!D58</f>
        <v/>
      </c>
      <c r="E59" s="262">
        <f>资产负债表!E53-资产负债表续!E58</f>
        <v/>
      </c>
      <c r="F59" s="262">
        <f>资产负债表!F53-资产负债表续!F58</f>
        <v/>
      </c>
    </row>
  </sheetData>
  <mergeCells count="7">
    <mergeCell ref="E4:F4"/>
    <mergeCell ref="B4:B5"/>
    <mergeCell ref="C2:D2"/>
    <mergeCell ref="A4:A5"/>
    <mergeCell ref="A1:F1"/>
    <mergeCell ref="A3:F3"/>
    <mergeCell ref="C4:D4"/>
  </mergeCells>
  <printOptions horizontalCentered="1"/>
  <pageMargins left="0.7086614173228351" right="0.7086614173228351" top="0.905511811023622" bottom="0.78740157480315" header="0.511811023622047" footer="0.511811023622047"/>
  <pageSetup orientation="portrait" paperSize="9" scale="66" horizontalDpi="360" verticalDpi="600"/>
  <headerFooter alignWithMargins="0">
    <oddHeader/>
    <oddFooter>&amp;C&amp;"Arial Narrow,常规"2</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63"/>
  <sheetViews>
    <sheetView showGridLines="0" showZeros="0" view="pageBreakPreview" zoomScaleNormal="85" workbookViewId="0">
      <selection activeCell="A18" sqref="A18"/>
    </sheetView>
  </sheetViews>
  <sheetFormatPr baseColWidth="8" defaultColWidth="14.5" defaultRowHeight="15"/>
  <cols>
    <col width="50.625" customWidth="1" style="277" min="1" max="1"/>
    <col width="6.125" customWidth="1" style="278" min="2" max="2"/>
    <col width="15.625" customWidth="1" style="277" min="3" max="4"/>
    <col width="15.5" customWidth="1" style="277" min="5" max="5"/>
    <col width="15.625" customWidth="1" style="277" min="6" max="6"/>
    <col width="20.375" customWidth="1" style="277" min="7" max="7"/>
    <col width="14.5" customWidth="1" style="277" min="8" max="16384"/>
  </cols>
  <sheetData>
    <row r="1" ht="32.1" customFormat="1" customHeight="1" s="139">
      <c r="A1" s="223" t="inlineStr">
        <is>
          <t>合并及公司利润表</t>
        </is>
      </c>
    </row>
    <row r="2" ht="17.25" customHeight="1">
      <c r="A2" s="279" t="n"/>
      <c r="B2" s="96" t="inlineStr">
        <is>
          <t>2025年度</t>
        </is>
      </c>
      <c r="D2" s="279" t="n"/>
      <c r="E2" s="279" t="n"/>
      <c r="F2" s="280" t="n"/>
    </row>
    <row r="3" ht="25.5" customFormat="1" customHeight="1" s="139">
      <c r="A3" s="94" t="inlineStr">
        <is>
          <t>编制单位：{{company_full_name}}</t>
        </is>
      </c>
      <c r="B3" s="150" t="n"/>
      <c r="C3" s="247" t="n"/>
      <c r="E3" s="151" t="n"/>
      <c r="F3" s="152" t="inlineStr">
        <is>
          <t xml:space="preserve">          单位：{{currency_unit}}</t>
        </is>
      </c>
    </row>
    <row r="4" ht="18" customFormat="1" customHeight="1" s="139">
      <c r="A4" s="281" t="inlineStr">
        <is>
          <t xml:space="preserve">  项   目</t>
        </is>
      </c>
      <c r="B4" s="281" t="inlineStr">
        <is>
          <t>附注</t>
        </is>
      </c>
      <c r="C4" s="154" t="inlineStr">
        <is>
          <t>本期金额</t>
        </is>
      </c>
      <c r="D4" s="252" t="n"/>
      <c r="E4" s="154" t="inlineStr">
        <is>
          <t>上期金额</t>
        </is>
      </c>
      <c r="F4" s="252" t="n"/>
    </row>
    <row r="5" ht="15.75" customFormat="1" customHeight="1" s="139">
      <c r="A5" s="253" t="n"/>
      <c r="B5" s="253" t="n"/>
      <c r="C5" s="154" t="inlineStr">
        <is>
          <t>合并</t>
        </is>
      </c>
      <c r="D5" s="154" t="inlineStr">
        <is>
          <t>公司</t>
        </is>
      </c>
      <c r="E5" s="157" t="inlineStr">
        <is>
          <t>合并</t>
        </is>
      </c>
      <c r="F5" s="158" t="inlineStr">
        <is>
          <t>公司</t>
        </is>
      </c>
    </row>
    <row r="6" ht="18" customFormat="1" customHeight="1" s="282">
      <c r="A6" s="159" t="inlineStr">
        <is>
          <t>一、营业收入</t>
        </is>
      </c>
      <c r="B6" s="283" t="n"/>
      <c r="C6" s="256" t="inlineStr">
        <is>
          <t>{{row:IS-001:current}}</t>
        </is>
      </c>
      <c r="D6" s="256" t="inlineStr">
        <is>
          <t>{{row:IS-001:current:parent}}</t>
        </is>
      </c>
      <c r="E6" s="256" t="inlineStr">
        <is>
          <t>{{row:IS-001:prior}}</t>
        </is>
      </c>
      <c r="F6" s="284" t="inlineStr">
        <is>
          <t>{{row:IS-001:prior:parent}}</t>
        </is>
      </c>
    </row>
    <row r="7" ht="18" customHeight="1">
      <c r="A7" s="163" t="inlineStr">
        <is>
          <t xml:space="preserve">    减：营业成本</t>
        </is>
      </c>
      <c r="B7" s="164" t="n"/>
      <c r="C7" s="256" t="inlineStr">
        <is>
          <t>{{row:IS-002:current}}</t>
        </is>
      </c>
      <c r="D7" s="256" t="inlineStr">
        <is>
          <t>{{row:IS-002:current:parent}}</t>
        </is>
      </c>
      <c r="E7" s="256" t="inlineStr">
        <is>
          <t>{{row:IS-002:prior}}</t>
        </is>
      </c>
      <c r="F7" s="256" t="inlineStr">
        <is>
          <t>{{row:IS-002:prior:parent}}</t>
        </is>
      </c>
      <c r="G7" s="282" t="n"/>
      <c r="H7" s="282" t="n"/>
    </row>
    <row r="8" ht="18" customHeight="1">
      <c r="A8" s="163" t="inlineStr">
        <is>
          <t xml:space="preserve">             税金及附加</t>
        </is>
      </c>
      <c r="B8" s="164" t="inlineStr">
        <is>
          <t>{{note_ref:IS-003}}</t>
        </is>
      </c>
      <c r="C8" s="256" t="inlineStr">
        <is>
          <t>{{row:IS-003:current}}</t>
        </is>
      </c>
      <c r="D8" s="256" t="inlineStr">
        <is>
          <t>{{row:IS-003:current:parent}}</t>
        </is>
      </c>
      <c r="E8" s="256" t="inlineStr">
        <is>
          <t>{{row:IS-003:prior}}</t>
        </is>
      </c>
      <c r="F8" s="256" t="inlineStr">
        <is>
          <t>{{row:IS-003:prior:parent}}</t>
        </is>
      </c>
      <c r="G8" s="224" t="inlineStr">
        <is>
          <t>反映企业经营活动发生的消费税、城市维护建设税、资源税、教育费附加及房产税、土地使用税、车船税、印花税等相关税费，应根据“税金及附加”科目的发生额填列</t>
        </is>
      </c>
    </row>
    <row r="9" ht="18" customHeight="1">
      <c r="A9" s="163" t="inlineStr">
        <is>
          <t xml:space="preserve">             销售费用</t>
        </is>
      </c>
      <c r="B9" s="164" t="inlineStr">
        <is>
          <t>{{note_ref:IS-004}}</t>
        </is>
      </c>
      <c r="C9" s="256" t="inlineStr">
        <is>
          <t>{{row:IS-004:current}}</t>
        </is>
      </c>
      <c r="D9" s="256" t="inlineStr">
        <is>
          <t>{{row:IS-004:current:parent}}</t>
        </is>
      </c>
      <c r="E9" s="256" t="inlineStr">
        <is>
          <t>{{row:IS-004:prior}}</t>
        </is>
      </c>
      <c r="F9" s="256" t="inlineStr">
        <is>
          <t>{{row:IS-004:prior:parent}}</t>
        </is>
      </c>
    </row>
    <row r="10" ht="18" customFormat="1" customHeight="1" s="282">
      <c r="A10" s="163" t="inlineStr">
        <is>
          <t xml:space="preserve">             管理费用</t>
        </is>
      </c>
      <c r="B10" s="164" t="inlineStr">
        <is>
          <t>{{note_ref:IS-005}}</t>
        </is>
      </c>
      <c r="C10" s="256" t="inlineStr">
        <is>
          <t>{{row:IS-005:current}}</t>
        </is>
      </c>
      <c r="D10" s="256" t="inlineStr">
        <is>
          <t>{{row:IS-005:current:parent}}</t>
        </is>
      </c>
      <c r="E10" s="256" t="inlineStr">
        <is>
          <t>{{row:IS-005:prior}}</t>
        </is>
      </c>
      <c r="F10" s="256" t="inlineStr">
        <is>
          <t>{{row:IS-005:prior:parent}}</t>
        </is>
      </c>
    </row>
    <row r="11" ht="18" customFormat="1" customHeight="1" s="282">
      <c r="A11" s="163" t="inlineStr">
        <is>
          <t xml:space="preserve">             研发费用</t>
        </is>
      </c>
      <c r="B11" s="164" t="inlineStr">
        <is>
          <t>{{note_ref:IS-006}}</t>
        </is>
      </c>
      <c r="C11" s="256" t="inlineStr">
        <is>
          <t>{{row:IS-006:current}}</t>
        </is>
      </c>
      <c r="D11" s="256" t="inlineStr">
        <is>
          <t>{{row:IS-006:current:parent}}</t>
        </is>
      </c>
      <c r="E11" s="256" t="inlineStr">
        <is>
          <t>{{row:IS-006:prior}}</t>
        </is>
      </c>
      <c r="F11" s="256" t="inlineStr">
        <is>
          <t>{{row:IS-006:prior:parent}}</t>
        </is>
      </c>
    </row>
    <row r="12" ht="18" customHeight="1">
      <c r="A12" s="163" t="inlineStr">
        <is>
          <t xml:space="preserve">             财务费用</t>
        </is>
      </c>
      <c r="B12" s="164" t="inlineStr">
        <is>
          <t>{{note_ref:IS-007}}</t>
        </is>
      </c>
      <c r="C12" s="256" t="inlineStr">
        <is>
          <t>{{row:IS-007:current}}</t>
        </is>
      </c>
      <c r="D12" s="256" t="inlineStr">
        <is>
          <t>{{row:IS-007:current:parent}}</t>
        </is>
      </c>
      <c r="E12" s="256" t="inlineStr">
        <is>
          <t>{{row:IS-007:prior}}</t>
        </is>
      </c>
      <c r="F12" s="256" t="inlineStr">
        <is>
          <t>{{row:IS-007:prior:parent}}</t>
        </is>
      </c>
    </row>
    <row r="13" ht="18" customHeight="1">
      <c r="A13" s="163" t="inlineStr">
        <is>
          <t xml:space="preserve">　　　    其中：利息费用</t>
        </is>
      </c>
      <c r="B13" s="164" t="n"/>
      <c r="C13" s="256" t="inlineStr">
        <is>
          <t>{{row:IS-008:current}}</t>
        </is>
      </c>
      <c r="D13" s="256" t="inlineStr">
        <is>
          <t>{{row:IS-008:current:parent}}</t>
        </is>
      </c>
      <c r="E13" s="256" t="inlineStr">
        <is>
          <t>{{row:IS-008:prior}}</t>
        </is>
      </c>
      <c r="F13" s="256" t="inlineStr">
        <is>
          <t>{{row:IS-008:prior:parent}}</t>
        </is>
      </c>
    </row>
    <row r="14" ht="18" customHeight="1">
      <c r="A14" s="163" t="inlineStr">
        <is>
          <t xml:space="preserve">　　　                 利息收入</t>
        </is>
      </c>
      <c r="B14" s="164" t="n"/>
      <c r="C14" s="256" t="inlineStr">
        <is>
          <t>{{row:IS-009:current}}</t>
        </is>
      </c>
      <c r="D14" s="256" t="inlineStr">
        <is>
          <t>{{row:IS-009:current:parent}}</t>
        </is>
      </c>
      <c r="E14" s="256" t="inlineStr">
        <is>
          <t>{{row:IS-009:prior}}</t>
        </is>
      </c>
      <c r="F14" s="256" t="inlineStr">
        <is>
          <t>{{row:IS-009:prior:parent}}</t>
        </is>
      </c>
    </row>
    <row r="15" ht="18.6" customHeight="1">
      <c r="A15" s="163" t="inlineStr">
        <is>
          <t xml:space="preserve">    加：其他收益</t>
        </is>
      </c>
      <c r="B15" s="164" t="n"/>
      <c r="C15" s="256" t="inlineStr">
        <is>
          <t>{{row:IS-010:current}}</t>
        </is>
      </c>
      <c r="D15" s="256" t="inlineStr">
        <is>
          <t>{{row:IS-010:current:parent}}</t>
        </is>
      </c>
      <c r="E15" s="256" t="inlineStr">
        <is>
          <t>{{row:IS-010:prior}}</t>
        </is>
      </c>
      <c r="F15" s="256" t="inlineStr">
        <is>
          <t>{{row:IS-010:prior:parent}}</t>
        </is>
      </c>
      <c r="G15" s="224" t="inlineStr">
        <is>
          <t>反映与企业日常活动相关的政府补助、债务人以非金融资产清偿债务形成的债务重组损益以及其他与日常活动相关且计入其他收益的项目。该项目应根据“其他收益”科目的发生额分析填列。企业作为个人所得税的扣缴义务人，根据《中华人民共和国个人所得税法》收到的扣缴税款手续费，应作为其他与日常活动相关的收益在该项目中填列</t>
        </is>
      </c>
    </row>
    <row r="16" ht="18" customHeight="1">
      <c r="A16" s="163" t="inlineStr">
        <is>
          <t xml:space="preserve">            投资收益(损失以“-”号填列）</t>
        </is>
      </c>
      <c r="B16" s="164" t="inlineStr">
        <is>
          <t>{{note_ref:IS-011}};{{note_ref:IS-011:parent}}</t>
        </is>
      </c>
      <c r="C16" s="256" t="inlineStr">
        <is>
          <t>{{row:IS-011:current}}</t>
        </is>
      </c>
      <c r="D16" s="256" t="inlineStr">
        <is>
          <t>{{row:IS-011:current:parent}}</t>
        </is>
      </c>
      <c r="E16" s="256" t="inlineStr">
        <is>
          <t>{{row:IS-011:prior}}</t>
        </is>
      </c>
      <c r="F16" s="256" t="inlineStr">
        <is>
          <t>{{row:IS-011:prior:parent}}</t>
        </is>
      </c>
    </row>
    <row r="17" ht="18" customHeight="1">
      <c r="A17" s="163" t="inlineStr">
        <is>
          <t xml:space="preserve">　　　    其中：对联营企业和合营企业的投资收益</t>
        </is>
      </c>
      <c r="B17" s="164" t="n"/>
      <c r="C17" s="256" t="inlineStr">
        <is>
          <t>{{row:IS-012:current}}</t>
        </is>
      </c>
      <c r="D17" s="256" t="inlineStr">
        <is>
          <t>{{row:IS-012:current:parent}}</t>
        </is>
      </c>
      <c r="E17" s="256" t="inlineStr">
        <is>
          <t>{{row:IS-012:prior}}</t>
        </is>
      </c>
      <c r="F17" s="256" t="inlineStr">
        <is>
          <t>{{row:IS-012:prior:parent}}</t>
        </is>
      </c>
    </row>
    <row r="18" ht="32.1" customHeight="1">
      <c r="A18" s="165" t="inlineStr">
        <is>
          <t xml:space="preserve">                            以摊余成本计量的金融资产终止确认收益（损失以“-”号填列）</t>
        </is>
      </c>
      <c r="B18" s="164" t="n"/>
      <c r="C18" s="256" t="inlineStr">
        <is>
          <t>{{row:IS-013:current}}</t>
        </is>
      </c>
      <c r="D18" s="256" t="inlineStr">
        <is>
          <t>{{row:IS-013:current:parent}}</t>
        </is>
      </c>
      <c r="E18" s="256" t="inlineStr">
        <is>
          <t>{{row:IS-013:prior}}</t>
        </is>
      </c>
      <c r="F18" s="256" t="inlineStr">
        <is>
          <t>{{row:IS-013:prior:parent}}</t>
        </is>
      </c>
    </row>
    <row r="19" ht="18" customHeight="1">
      <c r="A19" s="163" t="inlineStr">
        <is>
          <t xml:space="preserve">            净敞口套期收益(损失以“-”号填列）</t>
        </is>
      </c>
      <c r="B19" s="164" t="inlineStr">
        <is>
          <t>{{note_ref:IS-014}}</t>
        </is>
      </c>
      <c r="C19" s="256" t="inlineStr">
        <is>
          <t>{{row:IS-014:current}}</t>
        </is>
      </c>
      <c r="D19" s="256" t="inlineStr">
        <is>
          <t>{{row:IS-014:current:parent}}</t>
        </is>
      </c>
      <c r="E19" s="256" t="inlineStr">
        <is>
          <t>{{row:IS-014:prior}}</t>
        </is>
      </c>
      <c r="F19" s="256" t="inlineStr">
        <is>
          <t>{{row:IS-014:prior:parent}}</t>
        </is>
      </c>
    </row>
    <row r="20" ht="18.6" customHeight="1">
      <c r="A20" s="163" t="inlineStr">
        <is>
          <t xml:space="preserve">            公允价值变动收益(损失以“-”号填列）</t>
        </is>
      </c>
      <c r="B20" s="164" t="inlineStr">
        <is>
          <t>{{note_ref:IS-015}}</t>
        </is>
      </c>
      <c r="C20" s="256" t="inlineStr">
        <is>
          <t>{{row:IS-015:current}}</t>
        </is>
      </c>
      <c r="D20" s="256" t="inlineStr">
        <is>
          <t>{{row:IS-015:current:parent}}</t>
        </is>
      </c>
      <c r="E20" s="256" t="inlineStr">
        <is>
          <t>{{row:IS-015:prior}}</t>
        </is>
      </c>
      <c r="F20" s="256" t="inlineStr">
        <is>
          <t>{{row:IS-015:prior:parent}}</t>
        </is>
      </c>
    </row>
    <row r="21" ht="18" customFormat="1" customHeight="1" s="285">
      <c r="A21" s="163" t="inlineStr">
        <is>
          <t xml:space="preserve">            信用减值损失(损失以“-”号填列）</t>
        </is>
      </c>
      <c r="B21" s="164" t="inlineStr">
        <is>
          <t>{{note_ref:IS-016}}</t>
        </is>
      </c>
      <c r="C21" s="256" t="inlineStr">
        <is>
          <t>{{row:IS-016:current}}</t>
        </is>
      </c>
      <c r="D21" s="256" t="inlineStr">
        <is>
          <t>{{row:IS-016:current:parent}}</t>
        </is>
      </c>
      <c r="E21" s="256" t="inlineStr">
        <is>
          <t>{{row:IS-016:prior}}</t>
        </is>
      </c>
      <c r="F21" s="256" t="inlineStr">
        <is>
          <t>{{row:IS-016:prior:parent}}</t>
        </is>
      </c>
      <c r="G21" s="224" t="n"/>
      <c r="H21" s="277" t="n"/>
    </row>
    <row r="22" ht="18" customFormat="1" customHeight="1" s="285">
      <c r="A22" s="163" t="inlineStr">
        <is>
          <t xml:space="preserve">            资产减值损失(损失以“-”号填列）</t>
        </is>
      </c>
      <c r="B22" s="164" t="inlineStr">
        <is>
          <t>{{note_ref:IS-017}}</t>
        </is>
      </c>
      <c r="C22" s="256" t="inlineStr">
        <is>
          <t>{{row:IS-017:current}}</t>
        </is>
      </c>
      <c r="D22" s="256" t="inlineStr">
        <is>
          <t>{{row:IS-017:current:parent}}</t>
        </is>
      </c>
      <c r="E22" s="256" t="inlineStr">
        <is>
          <t>{{row:IS-017:prior}}</t>
        </is>
      </c>
      <c r="F22" s="256" t="inlineStr">
        <is>
          <t>{{row:IS-017:prior:parent}}</t>
        </is>
      </c>
      <c r="G22" s="277" t="n"/>
      <c r="H22" s="277" t="n"/>
    </row>
    <row r="23" ht="18" customHeight="1">
      <c r="A23" s="163" t="inlineStr">
        <is>
          <t xml:space="preserve">            资产处置收益(损失以“-”号填列）</t>
        </is>
      </c>
      <c r="B23" s="164" t="inlineStr">
        <is>
          <t>{{note_ref:IS-018}}</t>
        </is>
      </c>
      <c r="C23" s="256" t="inlineStr">
        <is>
          <t>{{row:IS-018:current}}</t>
        </is>
      </c>
      <c r="D23" s="256" t="inlineStr">
        <is>
          <t>{{row:IS-018:current:parent}}</t>
        </is>
      </c>
      <c r="E23" s="256" t="inlineStr">
        <is>
          <t>{{row:IS-018:prior}}</t>
        </is>
      </c>
      <c r="F23" s="256" t="inlineStr">
        <is>
          <t>{{row:IS-018:prior:parent}}</t>
        </is>
      </c>
    </row>
    <row r="24" ht="18" customFormat="1" customHeight="1" s="282">
      <c r="A24" s="159" t="inlineStr">
        <is>
          <t>二、营业利润(亏损以“-”号填列）</t>
        </is>
      </c>
      <c r="B24" s="164" t="n"/>
      <c r="C24" s="256">
        <f>C6-C7-C8-C9-C10-C11-C12+C15+C16+C19+C20+C21+C22+C23</f>
        <v/>
      </c>
      <c r="D24" s="256">
        <f>D6-D7-D8-D9-D10-D11-D12+D15+D16+D19+D20+D21+D22+D23</f>
        <v/>
      </c>
      <c r="E24" s="256">
        <f>E6-E7-E8-E9-E10-E11-E12+E15+E16+E19+E20+E21+E22+E23</f>
        <v/>
      </c>
      <c r="F24" s="256">
        <f>F6-F7-F8-F9-F10-F11-F12+F15+F16+F19+F20+F21+F22+F23</f>
        <v/>
      </c>
    </row>
    <row r="25" ht="18" customHeight="1">
      <c r="A25" s="163" t="inlineStr">
        <is>
          <t xml:space="preserve">    加：营业外收入</t>
        </is>
      </c>
      <c r="B25" s="164" t="n"/>
      <c r="C25" s="256" t="inlineStr">
        <is>
          <t>{{row:IS-020:current}}</t>
        </is>
      </c>
      <c r="D25" s="256" t="inlineStr">
        <is>
          <t>{{row:IS-020:current:parent}}</t>
        </is>
      </c>
      <c r="E25" s="256" t="inlineStr">
        <is>
          <t>{{row:IS-020:prior}}</t>
        </is>
      </c>
      <c r="F25" s="256" t="inlineStr">
        <is>
          <t>{{row:IS-020:prior:parent}}</t>
        </is>
      </c>
    </row>
    <row r="26" ht="18" customHeight="1">
      <c r="A26" s="163" t="inlineStr">
        <is>
          <t xml:space="preserve">    减：营业外支出</t>
        </is>
      </c>
      <c r="B26" s="164" t="n"/>
      <c r="C26" s="256" t="inlineStr">
        <is>
          <t>{{row:IS-021:current}}</t>
        </is>
      </c>
      <c r="D26" s="256" t="inlineStr">
        <is>
          <t>{{row:IS-021:current:parent}}</t>
        </is>
      </c>
      <c r="E26" s="256" t="inlineStr">
        <is>
          <t>{{row:IS-021:prior}}</t>
        </is>
      </c>
      <c r="F26" s="256" t="inlineStr">
        <is>
          <t>{{row:IS-021:prior:parent}}</t>
        </is>
      </c>
    </row>
    <row r="27" ht="18" customHeight="1">
      <c r="A27" s="159" t="inlineStr">
        <is>
          <t>三、利润总额(亏损总额以“-”号填列）</t>
        </is>
      </c>
      <c r="B27" s="164" t="n"/>
      <c r="C27" s="256">
        <f>C24+C25-C26</f>
        <v/>
      </c>
      <c r="D27" s="256">
        <f>D24+D25-D26</f>
        <v/>
      </c>
      <c r="E27" s="256">
        <f>E24+E25-E26</f>
        <v/>
      </c>
      <c r="F27" s="256">
        <f>F24+F25-F26</f>
        <v/>
      </c>
    </row>
    <row r="28" ht="18" customHeight="1">
      <c r="A28" s="163" t="inlineStr">
        <is>
          <t xml:space="preserve">    减：所得税费用</t>
        </is>
      </c>
      <c r="B28" s="164" t="n"/>
      <c r="C28" s="256" t="inlineStr">
        <is>
          <t>{{row:IS-023:current}}</t>
        </is>
      </c>
      <c r="D28" s="256" t="inlineStr">
        <is>
          <t>{{row:IS-023:current:parent}}</t>
        </is>
      </c>
      <c r="E28" s="256" t="inlineStr">
        <is>
          <t>{{row:IS-023:prior}}</t>
        </is>
      </c>
      <c r="F28" s="256" t="inlineStr">
        <is>
          <t>{{row:IS-023:prior:parent}}</t>
        </is>
      </c>
    </row>
    <row r="29" ht="18" customFormat="1" customHeight="1" s="282">
      <c r="A29" s="159" t="inlineStr">
        <is>
          <t>四、净利润(净亏损以“-”号填列）</t>
        </is>
      </c>
      <c r="B29" s="164" t="n"/>
      <c r="C29" s="256">
        <f>C27-C28</f>
        <v/>
      </c>
      <c r="D29" s="256">
        <f>D27-D28</f>
        <v/>
      </c>
      <c r="E29" s="256">
        <f>E27-E28</f>
        <v/>
      </c>
      <c r="F29" s="256">
        <f>F27-F28</f>
        <v/>
      </c>
    </row>
    <row r="30" ht="18" customHeight="1">
      <c r="A30" s="166" t="inlineStr">
        <is>
          <t xml:space="preserve">  （一）按经营持续性分类：</t>
        </is>
      </c>
      <c r="B30" s="286" t="n"/>
      <c r="C30" s="287" t="n"/>
      <c r="D30" s="287" t="n"/>
      <c r="E30" s="287" t="n"/>
      <c r="F30" s="287" t="n"/>
      <c r="G30" s="282" t="inlineStr">
        <is>
          <t>此行不填数</t>
        </is>
      </c>
    </row>
    <row r="31" ht="18" customHeight="1">
      <c r="A31" s="163" t="inlineStr">
        <is>
          <t xml:space="preserve">    其中：持续经营净利润（净亏损以“-”号填列）</t>
        </is>
      </c>
      <c r="B31" s="286" t="n"/>
      <c r="C31" s="256">
        <f>C29-C32</f>
        <v/>
      </c>
      <c r="D31" s="256">
        <f>D29-D32</f>
        <v/>
      </c>
      <c r="E31" s="256">
        <f>E29-E32</f>
        <v/>
      </c>
      <c r="F31" s="256">
        <f>F29-F32</f>
        <v/>
      </c>
    </row>
    <row r="32" ht="18" customHeight="1">
      <c r="A32" s="163" t="inlineStr">
        <is>
          <t xml:space="preserve">                 终止经营净利润（净亏损以“-”号填列）</t>
        </is>
      </c>
      <c r="B32" s="286" t="n"/>
      <c r="C32" s="256" t="inlineStr">
        <is>
          <t>{{row:IS-027:current}}</t>
        </is>
      </c>
      <c r="D32" s="256" t="inlineStr">
        <is>
          <t>{{row:IS-027:current:parent}}</t>
        </is>
      </c>
      <c r="E32" s="256" t="inlineStr">
        <is>
          <t>{{row:IS-027:prior}}</t>
        </is>
      </c>
      <c r="F32" s="256" t="inlineStr">
        <is>
          <t>{{row:IS-027:prior:parent}}</t>
        </is>
      </c>
    </row>
    <row r="33" ht="18" customFormat="1" customHeight="1" s="282">
      <c r="A33" s="166" t="inlineStr">
        <is>
          <t xml:space="preserve">  （二）按所有权归属分类：</t>
        </is>
      </c>
      <c r="B33" s="164" t="n"/>
      <c r="C33" s="287" t="n"/>
      <c r="D33" s="287" t="n"/>
      <c r="E33" s="287" t="n"/>
      <c r="F33" s="287" t="n"/>
      <c r="G33" s="282" t="inlineStr">
        <is>
          <t>此行不填数</t>
        </is>
      </c>
    </row>
    <row r="34" ht="32.1" customFormat="1" customHeight="1" s="288">
      <c r="A34" s="165" t="inlineStr">
        <is>
          <t xml:space="preserve">     其中：归属于母公司股东的净利润（净亏损以“-”号填列）</t>
        </is>
      </c>
      <c r="B34" s="169" t="n"/>
      <c r="C34" s="289" t="inlineStr">
        <is>
          <t>{{row:IS-029:current}}</t>
        </is>
      </c>
      <c r="D34" s="289" t="inlineStr">
        <is>
          <t>{{row:IS-029:current:parent}}</t>
        </is>
      </c>
      <c r="E34" s="289" t="inlineStr">
        <is>
          <t>{{row:IS-029:prior}}</t>
        </is>
      </c>
      <c r="F34" s="289" t="inlineStr">
        <is>
          <t>{{row:IS-029:prior:parent}}</t>
        </is>
      </c>
    </row>
    <row r="35" ht="18" customHeight="1">
      <c r="A35" s="163" t="inlineStr">
        <is>
          <t xml:space="preserve">                   少数股东损益（净亏损以“-”号填列）</t>
        </is>
      </c>
      <c r="B35" s="290" t="n"/>
      <c r="C35" s="256" t="inlineStr">
        <is>
          <t>{{row:IS-030:current}}</t>
        </is>
      </c>
      <c r="D35" s="287" t="inlineStr">
        <is>
          <t>{{row:IS-030:current:parent}}</t>
        </is>
      </c>
      <c r="E35" s="256" t="inlineStr">
        <is>
          <t>{{row:IS-030:prior}}</t>
        </is>
      </c>
      <c r="F35" s="287" t="inlineStr">
        <is>
          <t>{{row:IS-030:prior:parent}}</t>
        </is>
      </c>
    </row>
    <row r="36" ht="18" customFormat="1" customHeight="1" s="282">
      <c r="A36" s="159" t="inlineStr">
        <is>
          <t>五、其他综合收益的税后净额</t>
        </is>
      </c>
      <c r="B36" s="291" t="n"/>
      <c r="C36" s="292">
        <f>C37+C54</f>
        <v/>
      </c>
      <c r="D36" s="292">
        <f>D37+D54</f>
        <v/>
      </c>
      <c r="E36" s="292">
        <f>E37+E54</f>
        <v/>
      </c>
      <c r="F36" s="256">
        <f>F37+F54</f>
        <v/>
      </c>
    </row>
    <row r="37" ht="18" customFormat="1" customHeight="1" s="282">
      <c r="A37" s="163" t="inlineStr">
        <is>
          <t xml:space="preserve">    归属于母公司股东的其他综合收益的税后净额</t>
        </is>
      </c>
      <c r="B37" s="291" t="n"/>
      <c r="C37" s="292" t="inlineStr">
        <is>
          <t>{{row:IS-032:current}}</t>
        </is>
      </c>
      <c r="D37" s="292" t="inlineStr">
        <is>
          <t>{{row:IS-032:current:parent}}</t>
        </is>
      </c>
      <c r="E37" s="292" t="inlineStr">
        <is>
          <t>{{row:IS-032:prior}}</t>
        </is>
      </c>
      <c r="F37" s="244" t="inlineStr">
        <is>
          <t>{{row:IS-032:prior:parent}}</t>
        </is>
      </c>
      <c r="G37" s="175" t="inlineStr">
        <is>
          <t>不可删除</t>
        </is>
      </c>
    </row>
    <row r="38" ht="18" customFormat="1" customHeight="1" s="282">
      <c r="A38" s="176" t="inlineStr">
        <is>
          <t>（一）不能重分类进损益的其他综合收益</t>
        </is>
      </c>
      <c r="B38" s="291" t="n"/>
      <c r="C38" s="292">
        <f>SUM(C39:C43)</f>
        <v/>
      </c>
      <c r="D38" s="292">
        <f>SUM(D39:D43)</f>
        <v/>
      </c>
      <c r="E38" s="292">
        <f>SUM(E39:E43)</f>
        <v/>
      </c>
      <c r="F38" s="244">
        <f>SUM(F39:F43)</f>
        <v/>
      </c>
      <c r="G38" s="177" t="inlineStr">
        <is>
          <t>不可删除</t>
        </is>
      </c>
    </row>
    <row r="39" ht="18" customFormat="1" customHeight="1" s="282">
      <c r="A39" s="178" t="inlineStr">
        <is>
          <t>1. 重新计量设定受益计划变动额</t>
        </is>
      </c>
      <c r="B39" s="291" t="n"/>
      <c r="C39" s="292" t="inlineStr">
        <is>
          <t>{{row:IS-034:current}}</t>
        </is>
      </c>
      <c r="D39" s="244" t="inlineStr">
        <is>
          <t>{{row:IS-034:current:parent}}</t>
        </is>
      </c>
      <c r="E39" s="292" t="inlineStr">
        <is>
          <t>{{row:IS-034:prior}}</t>
        </is>
      </c>
      <c r="F39" s="244" t="inlineStr">
        <is>
          <t>{{row:IS-034:prior:parent}}</t>
        </is>
      </c>
      <c r="G39" s="177" t="inlineStr">
        <is>
          <t>可删除</t>
        </is>
      </c>
    </row>
    <row r="40" ht="18" customFormat="1" customHeight="1" s="282">
      <c r="A40" s="178" t="inlineStr">
        <is>
          <t>2. 权益法下不能转损益的其他综合收益</t>
        </is>
      </c>
      <c r="B40" s="291" t="n"/>
      <c r="C40" s="292" t="inlineStr">
        <is>
          <t>{{row:IS-035:current}}</t>
        </is>
      </c>
      <c r="D40" s="244" t="inlineStr">
        <is>
          <t>{{row:IS-035:current:parent}}</t>
        </is>
      </c>
      <c r="E40" s="292" t="inlineStr">
        <is>
          <t>{{row:IS-035:prior}}</t>
        </is>
      </c>
      <c r="F40" s="244" t="inlineStr">
        <is>
          <t>{{row:IS-035:prior:parent}}</t>
        </is>
      </c>
      <c r="G40" s="177" t="inlineStr">
        <is>
          <t>可删除</t>
        </is>
      </c>
    </row>
    <row r="41" ht="18" customFormat="1" customHeight="1" s="282">
      <c r="A41" s="178" t="inlineStr">
        <is>
          <t>3. 其他权益工具投资公允价值变动</t>
        </is>
      </c>
      <c r="B41" s="291" t="n"/>
      <c r="C41" s="292" t="inlineStr">
        <is>
          <t>{{row:IS-036:current}}</t>
        </is>
      </c>
      <c r="D41" s="244" t="inlineStr">
        <is>
          <t>{{row:IS-036:current:parent}}</t>
        </is>
      </c>
      <c r="E41" s="292" t="inlineStr">
        <is>
          <t>{{row:IS-036:prior}}</t>
        </is>
      </c>
      <c r="F41" s="292" t="inlineStr">
        <is>
          <t>{{row:IS-036:prior:parent}}</t>
        </is>
      </c>
      <c r="G41" s="177" t="inlineStr">
        <is>
          <t>可删除</t>
        </is>
      </c>
    </row>
    <row r="42" ht="18" customFormat="1" customHeight="1" s="282">
      <c r="A42" s="178" t="inlineStr">
        <is>
          <t>4. 企业自身信用风险公允价值变动</t>
        </is>
      </c>
      <c r="B42" s="291" t="n"/>
      <c r="C42" s="292" t="inlineStr">
        <is>
          <t>{{row:IS-037:current}}</t>
        </is>
      </c>
      <c r="D42" s="244" t="inlineStr">
        <is>
          <t>{{row:IS-037:current:parent}}</t>
        </is>
      </c>
      <c r="E42" s="292" t="inlineStr">
        <is>
          <t>{{row:IS-037:prior}}</t>
        </is>
      </c>
      <c r="F42" s="292" t="inlineStr">
        <is>
          <t>{{row:IS-037:prior:parent}}</t>
        </is>
      </c>
      <c r="G42" s="177" t="inlineStr">
        <is>
          <t>可删除</t>
        </is>
      </c>
    </row>
    <row r="43" ht="18" customFormat="1" customHeight="1" s="282">
      <c r="A43" s="176" t="inlineStr">
        <is>
          <t>5. 其他</t>
        </is>
      </c>
      <c r="B43" s="291" t="n"/>
      <c r="C43" s="292" t="inlineStr">
        <is>
          <t>{{row:IS-038:current}}</t>
        </is>
      </c>
      <c r="D43" s="244" t="inlineStr">
        <is>
          <t>{{row:IS-038:current:parent}}</t>
        </is>
      </c>
      <c r="E43" s="292" t="inlineStr">
        <is>
          <t>{{row:IS-038:prior}}</t>
        </is>
      </c>
      <c r="F43" s="244" t="inlineStr">
        <is>
          <t>{{row:IS-038:prior:parent}}</t>
        </is>
      </c>
      <c r="G43" s="177" t="inlineStr">
        <is>
          <t>可删除</t>
        </is>
      </c>
    </row>
    <row r="44" ht="18" customFormat="1" customHeight="1" s="282">
      <c r="A44" s="178" t="inlineStr">
        <is>
          <t>（二）将重分类进损益的其他综合收益</t>
        </is>
      </c>
      <c r="B44" s="291" t="n"/>
      <c r="C44" s="292">
        <f>SUM(C45:C53)</f>
        <v/>
      </c>
      <c r="D44" s="292">
        <f>SUM(D45:D53)</f>
        <v/>
      </c>
      <c r="E44" s="292">
        <f>SUM(E45:E53)</f>
        <v/>
      </c>
      <c r="F44" s="244" t="n">
        <v>0</v>
      </c>
      <c r="G44" s="177" t="inlineStr">
        <is>
          <t>不可删除</t>
        </is>
      </c>
    </row>
    <row r="45" ht="18" customFormat="1" customHeight="1" s="282">
      <c r="A45" s="178" t="inlineStr">
        <is>
          <t>1. 权益法下可转损益的其他综合收益</t>
        </is>
      </c>
      <c r="B45" s="291" t="n"/>
      <c r="C45" s="292" t="inlineStr">
        <is>
          <t>{{row:IS-040:current}}</t>
        </is>
      </c>
      <c r="D45" s="244" t="inlineStr">
        <is>
          <t>{{row:IS-040:current:parent}}</t>
        </is>
      </c>
      <c r="E45" s="292" t="inlineStr">
        <is>
          <t>{{row:IS-040:prior}}</t>
        </is>
      </c>
      <c r="F45" s="244" t="inlineStr">
        <is>
          <t>{{row:IS-040:prior:parent}}</t>
        </is>
      </c>
      <c r="G45" s="177" t="inlineStr">
        <is>
          <t>可删除</t>
        </is>
      </c>
    </row>
    <row r="46" ht="18" customFormat="1" customHeight="1" s="282">
      <c r="A46" s="178" t="inlineStr">
        <is>
          <t>2. 其他债权投资公允价值变动</t>
        </is>
      </c>
      <c r="B46" s="291" t="n"/>
      <c r="C46" s="292" t="inlineStr">
        <is>
          <t>{{row:IS-041:current}}</t>
        </is>
      </c>
      <c r="D46" s="244" t="inlineStr">
        <is>
          <t>{{row:IS-041:current:parent}}</t>
        </is>
      </c>
      <c r="E46" s="292" t="inlineStr">
        <is>
          <t>{{row:IS-041:prior}}</t>
        </is>
      </c>
      <c r="F46" s="256" t="inlineStr">
        <is>
          <t>{{row:IS-041:prior:parent}}</t>
        </is>
      </c>
      <c r="G46" s="177" t="inlineStr">
        <is>
          <t>可删除</t>
        </is>
      </c>
    </row>
    <row r="47" ht="18" customFormat="1" customHeight="1" s="282">
      <c r="A47" s="178" t="inlineStr">
        <is>
          <t>3. 金融资产重分类计入其他综合收益的金额</t>
        </is>
      </c>
      <c r="B47" s="291" t="n"/>
      <c r="C47" s="292" t="inlineStr">
        <is>
          <t>{{row:IS-042:current}}</t>
        </is>
      </c>
      <c r="D47" s="244" t="inlineStr">
        <is>
          <t>{{row:IS-042:current:parent}}</t>
        </is>
      </c>
      <c r="E47" s="292" t="inlineStr">
        <is>
          <t>{{row:IS-042:prior}}</t>
        </is>
      </c>
      <c r="F47" s="256" t="inlineStr">
        <is>
          <t>{{row:IS-042:prior:parent}}</t>
        </is>
      </c>
      <c r="G47" s="177" t="inlineStr">
        <is>
          <t>可删除</t>
        </is>
      </c>
    </row>
    <row r="48" ht="18" customFormat="1" customHeight="1" s="282">
      <c r="A48" s="178" t="inlineStr">
        <is>
          <t>4. 其他债权投资信用减值准备</t>
        </is>
      </c>
      <c r="B48" s="291" t="n"/>
      <c r="C48" s="292" t="inlineStr">
        <is>
          <t>{{row:IS-043:current}}</t>
        </is>
      </c>
      <c r="D48" s="244" t="inlineStr">
        <is>
          <t>{{row:IS-043:current:parent}}</t>
        </is>
      </c>
      <c r="E48" s="292" t="inlineStr">
        <is>
          <t>{{row:IS-043:prior}}</t>
        </is>
      </c>
      <c r="F48" s="256" t="inlineStr">
        <is>
          <t>{{row:IS-043:prior:parent}}</t>
        </is>
      </c>
      <c r="G48" s="177" t="inlineStr">
        <is>
          <t>可删除</t>
        </is>
      </c>
    </row>
    <row r="49" ht="18" customFormat="1" customHeight="1" s="282">
      <c r="A49" s="179" t="inlineStr">
        <is>
          <t>5. 现金流量套期储备</t>
        </is>
      </c>
      <c r="B49" s="291" t="n"/>
      <c r="C49" s="292" t="inlineStr">
        <is>
          <t>{{row:IS-044:current}}</t>
        </is>
      </c>
      <c r="D49" s="244" t="inlineStr">
        <is>
          <t>{{row:IS-044:current:parent}}</t>
        </is>
      </c>
      <c r="E49" s="292" t="inlineStr">
        <is>
          <t>{{row:IS-044:prior}}</t>
        </is>
      </c>
      <c r="F49" s="244" t="inlineStr">
        <is>
          <t>{{row:IS-044:prior:parent}}</t>
        </is>
      </c>
      <c r="G49" s="177" t="inlineStr">
        <is>
          <t>可删除</t>
        </is>
      </c>
    </row>
    <row r="50" ht="18" customFormat="1" customHeight="1" s="282">
      <c r="A50" s="178" t="inlineStr">
        <is>
          <t>6. 外币财务报表折算差额</t>
        </is>
      </c>
      <c r="B50" s="291" t="n"/>
      <c r="C50" s="292" t="inlineStr">
        <is>
          <t>{{row:IS-045:current}}</t>
        </is>
      </c>
      <c r="D50" s="244" t="inlineStr">
        <is>
          <t>{{row:IS-045:current:parent}}</t>
        </is>
      </c>
      <c r="E50" s="292" t="inlineStr">
        <is>
          <t>{{row:IS-045:prior}}</t>
        </is>
      </c>
      <c r="F50" s="244" t="inlineStr">
        <is>
          <t>{{row:IS-045:prior:parent}}</t>
        </is>
      </c>
      <c r="G50" s="177" t="inlineStr">
        <is>
          <t>可删除</t>
        </is>
      </c>
    </row>
    <row r="51" ht="51" customFormat="1" customHeight="1" s="282">
      <c r="A51" s="178" t="inlineStr">
        <is>
          <t>7. 自用房地产或作为存货的房地产转换为以公允价值计量的投资性房地产在转换日公允价值大于账面价值部分</t>
        </is>
      </c>
      <c r="B51" s="291" t="n"/>
      <c r="C51" s="292" t="inlineStr">
        <is>
          <t>{{row:IS-046:current}}</t>
        </is>
      </c>
      <c r="D51" s="244" t="inlineStr">
        <is>
          <t>{{row:IS-046:current:parent}}</t>
        </is>
      </c>
      <c r="E51" s="292" t="inlineStr">
        <is>
          <t>{{row:IS-046:prior}}</t>
        </is>
      </c>
      <c r="F51" s="244" t="inlineStr">
        <is>
          <t>{{row:IS-046:prior:parent}}</t>
        </is>
      </c>
      <c r="G51" s="177" t="inlineStr">
        <is>
          <t>可删除</t>
        </is>
      </c>
    </row>
    <row r="52" ht="49.5" customFormat="1" customHeight="1" s="282">
      <c r="A52" s="178" t="inlineStr">
        <is>
          <t>8. 多次交易分步处置子公司股权构成一揽子交易的，丧失控制权之前各次交易处置价款与对应净资产账面价值份额的差额</t>
        </is>
      </c>
      <c r="B52" s="291" t="n"/>
      <c r="C52" s="292" t="inlineStr">
        <is>
          <t>{{row:IS-047:current}}</t>
        </is>
      </c>
      <c r="D52" s="244" t="inlineStr">
        <is>
          <t>{{row:IS-047:current:parent}}</t>
        </is>
      </c>
      <c r="E52" s="292" t="inlineStr">
        <is>
          <t>{{row:IS-047:prior}}</t>
        </is>
      </c>
      <c r="F52" s="244" t="inlineStr">
        <is>
          <t>{{row:IS-047:prior:parent}}</t>
        </is>
      </c>
      <c r="G52" s="177" t="inlineStr">
        <is>
          <t>可删除</t>
        </is>
      </c>
    </row>
    <row r="53" ht="18" customFormat="1" customHeight="1" s="282">
      <c r="A53" s="178" t="inlineStr">
        <is>
          <t>9. 其他</t>
        </is>
      </c>
      <c r="B53" s="291" t="n"/>
      <c r="C53" s="292" t="inlineStr">
        <is>
          <t>{{row:IS-048:current}}</t>
        </is>
      </c>
      <c r="D53" s="244" t="inlineStr">
        <is>
          <t>{{row:IS-048:current:parent}}</t>
        </is>
      </c>
      <c r="E53" s="292" t="inlineStr">
        <is>
          <t>{{row:IS-048:prior}}</t>
        </is>
      </c>
      <c r="F53" s="244" t="inlineStr">
        <is>
          <t>{{row:IS-048:prior:parent}}</t>
        </is>
      </c>
      <c r="G53" s="177" t="inlineStr">
        <is>
          <t>可删除</t>
        </is>
      </c>
    </row>
    <row r="54" ht="18" customFormat="1" customHeight="1" s="282">
      <c r="A54" s="163" t="inlineStr">
        <is>
          <t xml:space="preserve">    归属于少数股东的其他综合收益的税后净额</t>
        </is>
      </c>
      <c r="B54" s="291" t="n"/>
      <c r="C54" s="292" t="inlineStr">
        <is>
          <t>{{row:IS-049:current}}</t>
        </is>
      </c>
      <c r="D54" s="244" t="inlineStr">
        <is>
          <t>{{row:IS-049:current:parent}}</t>
        </is>
      </c>
      <c r="E54" s="292" t="inlineStr">
        <is>
          <t>{{row:IS-049:prior}}</t>
        </is>
      </c>
      <c r="F54" s="244" t="inlineStr">
        <is>
          <t>{{row:IS-049:prior:parent}}</t>
        </is>
      </c>
      <c r="G54" s="177" t="inlineStr">
        <is>
          <t>不可删除</t>
        </is>
      </c>
    </row>
    <row r="55" ht="18" customFormat="1" customHeight="1" s="282">
      <c r="A55" s="159" t="inlineStr">
        <is>
          <t>六、综合收益总额</t>
        </is>
      </c>
      <c r="B55" s="291" t="n"/>
      <c r="C55" s="292">
        <f>C29+C36</f>
        <v/>
      </c>
      <c r="D55" s="292">
        <f>D29+D36</f>
        <v/>
      </c>
      <c r="E55" s="292">
        <f>E29+E36</f>
        <v/>
      </c>
      <c r="F55" s="244">
        <f>F29+F36</f>
        <v/>
      </c>
    </row>
    <row r="56" ht="18" customFormat="1" customHeight="1" s="282">
      <c r="A56" s="163" t="inlineStr">
        <is>
          <t xml:space="preserve">    归属于母公司股东的综合收益总额</t>
        </is>
      </c>
      <c r="B56" s="291" t="n"/>
      <c r="C56" s="292" t="inlineStr">
        <is>
          <t>{{row:IS-051:current}}</t>
        </is>
      </c>
      <c r="D56" s="244" t="inlineStr">
        <is>
          <t>{{row:IS-051:current:parent}}</t>
        </is>
      </c>
      <c r="E56" s="292" t="inlineStr">
        <is>
          <t>{{row:IS-051:prior}}</t>
        </is>
      </c>
      <c r="F56" s="244" t="inlineStr">
        <is>
          <t>{{row:IS-051:prior:parent}}</t>
        </is>
      </c>
    </row>
    <row r="57" ht="18" customFormat="1" customHeight="1" s="258">
      <c r="A57" s="163" t="inlineStr">
        <is>
          <t xml:space="preserve">    归属于少数股东的综合收益总额</t>
        </is>
      </c>
      <c r="B57" s="258" t="n"/>
      <c r="C57" s="293" t="inlineStr">
        <is>
          <t>{{row:IS-052:current}}</t>
        </is>
      </c>
      <c r="D57" s="294" t="inlineStr">
        <is>
          <t>{{row:IS-052:current:parent}}</t>
        </is>
      </c>
      <c r="E57" s="295" t="inlineStr">
        <is>
          <t>{{row:IS-052:prior}}</t>
        </is>
      </c>
      <c r="F57" s="258" t="inlineStr">
        <is>
          <t>{{row:IS-052:prior:parent}}</t>
        </is>
      </c>
    </row>
    <row r="58" ht="18" customHeight="1">
      <c r="A58" s="159" t="inlineStr">
        <is>
          <t>七、每股收益</t>
        </is>
      </c>
      <c r="B58" s="290" t="n"/>
      <c r="C58" s="256" t="inlineStr">
        <is>
          <t>{{row:IS-053:current}}</t>
        </is>
      </c>
      <c r="D58" s="256" t="inlineStr">
        <is>
          <t>{{row:IS-053:current:parent}}</t>
        </is>
      </c>
      <c r="E58" s="256" t="inlineStr">
        <is>
          <t>{{row:IS-053:prior}}</t>
        </is>
      </c>
      <c r="F58" s="256" t="inlineStr">
        <is>
          <t>{{row:IS-053:prior:parent}}</t>
        </is>
      </c>
    </row>
    <row r="59" ht="18" customHeight="1">
      <c r="A59" s="163" t="inlineStr">
        <is>
          <t xml:space="preserve">   （一）基本每股收益</t>
        </is>
      </c>
      <c r="B59" s="290" t="n"/>
      <c r="C59" s="256" t="inlineStr">
        <is>
          <t>{{row:IS-054:current}}</t>
        </is>
      </c>
      <c r="D59" s="287" t="inlineStr">
        <is>
          <t>{{row:IS-054:current:parent}}</t>
        </is>
      </c>
      <c r="E59" s="256" t="inlineStr">
        <is>
          <t>{{row:IS-054:prior}}</t>
        </is>
      </c>
      <c r="F59" s="287" t="inlineStr">
        <is>
          <t>{{row:IS-054:prior:parent}}</t>
        </is>
      </c>
    </row>
    <row r="60" ht="18" customHeight="1">
      <c r="A60" s="184" t="inlineStr">
        <is>
          <t xml:space="preserve">   （二）稀释每股收益</t>
        </is>
      </c>
      <c r="B60" s="296" t="n"/>
      <c r="C60" s="261" t="inlineStr">
        <is>
          <t>{{row:IS-055:current}}</t>
        </is>
      </c>
      <c r="D60" s="261" t="inlineStr">
        <is>
          <t>{{row:IS-055:current:parent}}</t>
        </is>
      </c>
      <c r="E60" s="261" t="inlineStr">
        <is>
          <t>{{row:IS-055:prior}}</t>
        </is>
      </c>
      <c r="F60" s="261" t="inlineStr">
        <is>
          <t>{{row:IS-055:prior:parent}}</t>
        </is>
      </c>
    </row>
    <row r="61" ht="22.35" customFormat="1" customHeight="1" s="297">
      <c r="A61" s="298" t="inlineStr">
        <is>
          <t>公司法定代表人：</t>
        </is>
      </c>
      <c r="B61" s="298" t="inlineStr">
        <is>
          <t xml:space="preserve">主管会计工作的公司负责人：         </t>
        </is>
      </c>
      <c r="E61" s="299" t="inlineStr">
        <is>
          <t>公司会计机构负责人：</t>
        </is>
      </c>
    </row>
    <row r="62" ht="54" customHeight="1">
      <c r="A62" s="300" t="inlineStr">
        <is>
          <t>提示：“编制合并报表的公司，只需计算、列报合并口径的基本每股收益和稀释每股收益，无需计算、列报母公司口径的基本每股收益和稀释每股收益。”</t>
        </is>
      </c>
      <c r="G62" s="277" t="inlineStr">
        <is>
          <t>备忘录第3号二、3</t>
        </is>
      </c>
    </row>
    <row r="63">
      <c r="C63" s="278" t="n"/>
      <c r="D63" s="278" t="n"/>
      <c r="E63" s="278" t="n"/>
    </row>
  </sheetData>
  <mergeCells count="8">
    <mergeCell ref="E4:F4"/>
    <mergeCell ref="B2:C2"/>
    <mergeCell ref="B4:B5"/>
    <mergeCell ref="A4:A5"/>
    <mergeCell ref="B3:C3"/>
    <mergeCell ref="A1:F1"/>
    <mergeCell ref="A62:F62"/>
    <mergeCell ref="C4:D4"/>
  </mergeCells>
  <printOptions horizontalCentered="1"/>
  <pageMargins left="0.7086614173228351" right="0.7086614173228351" top="0.905511811023622" bottom="0.78740157480315" header="0.511811023622047" footer="0.511811023622047"/>
  <pageSetup orientation="portrait" paperSize="9" scale="60" horizontalDpi="360" verticalDpi="600"/>
  <headerFooter alignWithMargins="0">
    <oddHeader/>
    <oddFooter>&amp;C&amp;"Arial Narrow,常规"3</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G52"/>
  <sheetViews>
    <sheetView view="pageBreakPreview" topLeftCell="A27" zoomScale="110" zoomScaleNormal="110" workbookViewId="0">
      <selection activeCell="A2" sqref="A2:F2"/>
    </sheetView>
  </sheetViews>
  <sheetFormatPr baseColWidth="8" defaultColWidth="8.800000000000001" defaultRowHeight="15"/>
  <cols>
    <col width="45.5" customWidth="1" style="94" min="1" max="1"/>
    <col width="5.625" customWidth="1" style="244" min="2" max="2"/>
    <col width="11.625" customWidth="1" style="244" min="3" max="3"/>
    <col width="11.625" customWidth="1" style="245" min="4" max="6"/>
    <col width="16.625" customWidth="1" style="94" min="7" max="7"/>
    <col width="9" customWidth="1" style="94" min="8" max="32"/>
    <col width="8.800000000000001" customWidth="1" style="94" min="33" max="16384"/>
  </cols>
  <sheetData>
    <row r="1" ht="32.1" customFormat="1" customHeight="1" s="94">
      <c r="A1" s="223" t="inlineStr">
        <is>
          <t>合并及公司现金流量表</t>
        </is>
      </c>
    </row>
    <row r="2" ht="16.5" customHeight="1">
      <c r="A2" s="96" t="inlineStr">
        <is>
          <t>{{period_end_date}}</t>
        </is>
      </c>
    </row>
    <row r="3" ht="15.6" customFormat="1" customHeight="1" s="94">
      <c r="A3" s="94" t="inlineStr">
        <is>
          <t>编制单位：{{company_full_name}}</t>
        </is>
      </c>
      <c r="B3" s="97" t="n"/>
      <c r="C3" s="98" t="n"/>
      <c r="D3" s="99" t="inlineStr">
        <is>
          <t xml:space="preserve"> </t>
        </is>
      </c>
      <c r="E3" s="100" t="inlineStr">
        <is>
          <t>单位：{{currency_unit}}</t>
        </is>
      </c>
    </row>
    <row r="4" ht="15.6" customFormat="1" customHeight="1" s="94">
      <c r="A4" s="281" t="inlineStr">
        <is>
          <t>项      目</t>
        </is>
      </c>
      <c r="B4" s="281" t="inlineStr">
        <is>
          <t>附注</t>
        </is>
      </c>
      <c r="C4" s="102" t="inlineStr">
        <is>
          <t>本期金额</t>
        </is>
      </c>
      <c r="D4" s="251" t="n"/>
      <c r="E4" s="103" t="inlineStr">
        <is>
          <t>上期金额</t>
        </is>
      </c>
      <c r="F4" s="252" t="n"/>
    </row>
    <row r="5" ht="15.6" customFormat="1" customHeight="1" s="94">
      <c r="A5" s="253" t="n"/>
      <c r="B5" s="253" t="n"/>
      <c r="C5" s="102" t="inlineStr">
        <is>
          <t>合并</t>
        </is>
      </c>
      <c r="D5" s="102" t="inlineStr">
        <is>
          <t>公司</t>
        </is>
      </c>
      <c r="E5" s="106" t="inlineStr">
        <is>
          <t>合并</t>
        </is>
      </c>
      <c r="F5" s="107" t="inlineStr">
        <is>
          <t>公司</t>
        </is>
      </c>
    </row>
    <row r="6" ht="15.6" customHeight="1">
      <c r="A6" s="240" t="inlineStr">
        <is>
          <t>一、经营活动产生的现金流量：</t>
        </is>
      </c>
      <c r="B6" s="292" t="n"/>
      <c r="C6" s="256" t="n"/>
      <c r="D6" s="301" t="n"/>
      <c r="E6" s="256" t="n"/>
      <c r="F6" s="302" t="n"/>
    </row>
    <row r="7" ht="15.6" customHeight="1">
      <c r="A7" s="237" t="inlineStr">
        <is>
          <t xml:space="preserve">    销售商品、提供劳务收到的现金</t>
        </is>
      </c>
      <c r="B7" s="292" t="n"/>
      <c r="C7" s="256" t="inlineStr">
        <is>
          <t>{{row:CFS-002:current}}</t>
        </is>
      </c>
      <c r="D7" s="292" t="inlineStr">
        <is>
          <t>{{row:CFS-002:current:parent}}</t>
        </is>
      </c>
      <c r="E7" s="256" t="inlineStr">
        <is>
          <t>{{row:CFS-002:prior}}</t>
        </is>
      </c>
      <c r="F7" s="256" t="inlineStr">
        <is>
          <t>{{row:CFS-002:prior:parent}}</t>
        </is>
      </c>
    </row>
    <row r="8" ht="15.6" customHeight="1">
      <c r="A8" s="237" t="inlineStr">
        <is>
          <t xml:space="preserve">    收到的税费返还</t>
        </is>
      </c>
      <c r="B8" s="292" t="n"/>
      <c r="C8" s="256" t="inlineStr">
        <is>
          <t>{{row:CFS-003:current}}</t>
        </is>
      </c>
      <c r="D8" s="292" t="inlineStr">
        <is>
          <t>{{row:CFS-003:current:parent}}</t>
        </is>
      </c>
      <c r="E8" s="256" t="inlineStr">
        <is>
          <t>{{row:CFS-003:prior}}</t>
        </is>
      </c>
      <c r="F8" s="256" t="inlineStr">
        <is>
          <t>{{row:CFS-003:prior:parent}}</t>
        </is>
      </c>
      <c r="G8" s="224" t="inlineStr">
        <is>
          <t>企业收到或缴回留抵退税款项产生的现金流量，属于经营活动产生的现金流量，应将收到的留抵退税款项有关现金流量在“收到的税费返还”项目列示</t>
        </is>
      </c>
    </row>
    <row r="9" ht="15.6" customHeight="1">
      <c r="A9" s="237" t="inlineStr">
        <is>
          <t xml:space="preserve">    收到其他与经营活动有关的现金</t>
        </is>
      </c>
      <c r="B9" s="292" t="inlineStr">
        <is>
          <t xml:space="preserve"> </t>
        </is>
      </c>
      <c r="C9" s="256" t="inlineStr">
        <is>
          <t>{{row:CFS-004:current}}</t>
        </is>
      </c>
      <c r="D9" s="292" t="inlineStr">
        <is>
          <t>{{row:CFS-004:current:parent}}</t>
        </is>
      </c>
      <c r="E9" s="256" t="inlineStr">
        <is>
          <t>{{row:CFS-004:prior}}</t>
        </is>
      </c>
      <c r="F9" s="256" t="inlineStr">
        <is>
          <t>{{row:CFS-004:prior:parent}}</t>
        </is>
      </c>
      <c r="G9" s="224" t="inlineStr">
        <is>
          <t>接受现金捐赠反映在“收到其他与经营活动有关的现金”项目</t>
        </is>
      </c>
    </row>
    <row r="10" ht="15.6" customHeight="1">
      <c r="A10" s="237" t="inlineStr">
        <is>
          <t xml:space="preserve">       经营活动现金流入小计</t>
        </is>
      </c>
      <c r="B10" s="292" t="n"/>
      <c r="C10" s="256">
        <f>SUM(C7:C9)</f>
        <v/>
      </c>
      <c r="D10" s="256">
        <f>SUM(D7:D9)</f>
        <v/>
      </c>
      <c r="E10" s="256">
        <f>SUM(E7:E9)</f>
        <v/>
      </c>
      <c r="F10" s="256">
        <f>SUM(F7:F9)</f>
        <v/>
      </c>
    </row>
    <row r="11" ht="15.6" customHeight="1">
      <c r="A11" s="237" t="inlineStr">
        <is>
          <t xml:space="preserve">    购买商品、接受劳务支付的现金</t>
        </is>
      </c>
      <c r="B11" s="292" t="n"/>
      <c r="C11" s="256" t="inlineStr">
        <is>
          <t>{{row:CFS-006:current}}</t>
        </is>
      </c>
      <c r="D11" s="292" t="inlineStr">
        <is>
          <t>{{row:CFS-006:current:parent}}</t>
        </is>
      </c>
      <c r="E11" s="256" t="inlineStr">
        <is>
          <t>{{row:CFS-006:prior}}</t>
        </is>
      </c>
      <c r="F11" s="256" t="inlineStr">
        <is>
          <t>{{row:CFS-006:prior:parent}}</t>
        </is>
      </c>
    </row>
    <row r="12" ht="15.6" customHeight="1">
      <c r="A12" s="237" t="inlineStr">
        <is>
          <t xml:space="preserve">    支付给职工以及为职工支付的现金</t>
        </is>
      </c>
      <c r="B12" s="292" t="n"/>
      <c r="C12" s="256" t="inlineStr">
        <is>
          <t>{{row:CFS-007:current}}</t>
        </is>
      </c>
      <c r="D12" s="292" t="inlineStr">
        <is>
          <t>{{row:CFS-007:current:parent}}</t>
        </is>
      </c>
      <c r="E12" s="256" t="inlineStr">
        <is>
          <t>{{row:CFS-007:prior}}</t>
        </is>
      </c>
      <c r="F12" s="256" t="inlineStr">
        <is>
          <t>{{row:CFS-007:prior:parent}}</t>
        </is>
      </c>
      <c r="G12" s="224" t="inlineStr">
        <is>
          <t>支付的工会经费反映在“支付给职工及为职工支付的现金”项目</t>
        </is>
      </c>
    </row>
    <row r="13" ht="15.6" customHeight="1">
      <c r="A13" s="237" t="inlineStr">
        <is>
          <t xml:space="preserve">    支付的各项税费</t>
        </is>
      </c>
      <c r="B13" s="292" t="n"/>
      <c r="C13" s="256" t="inlineStr">
        <is>
          <t>{{row:CFS-008:current}}</t>
        </is>
      </c>
      <c r="D13" s="292" t="inlineStr">
        <is>
          <t>{{row:CFS-008:current:parent}}</t>
        </is>
      </c>
      <c r="E13" s="256" t="inlineStr">
        <is>
          <t>{{row:CFS-008:prior}}</t>
        </is>
      </c>
      <c r="F13" s="256" t="inlineStr">
        <is>
          <t>{{row:CFS-008:prior:parent}}</t>
        </is>
      </c>
    </row>
    <row r="14" ht="15.6" customHeight="1">
      <c r="A14" s="237" t="inlineStr">
        <is>
          <t xml:space="preserve">    支付其他与经营活动有关的现金</t>
        </is>
      </c>
      <c r="B14" s="303" t="n"/>
      <c r="C14" s="256" t="inlineStr">
        <is>
          <t>{{row:CFS-009:current}}</t>
        </is>
      </c>
      <c r="D14" s="292" t="inlineStr">
        <is>
          <t>{{row:CFS-009:current:parent}}</t>
        </is>
      </c>
      <c r="E14" s="256" t="inlineStr">
        <is>
          <t>{{row:CFS-009:prior}}</t>
        </is>
      </c>
      <c r="F14" s="256" t="inlineStr">
        <is>
          <t>{{row:CFS-009:prior:parent}}</t>
        </is>
      </c>
      <c r="G14" s="224" t="inlineStr">
        <is>
          <t>捐赠现金支出反映在“支付其他与经营活动有关的现金”项目</t>
        </is>
      </c>
    </row>
    <row r="15" ht="15.6" customHeight="1">
      <c r="A15" s="237" t="inlineStr">
        <is>
          <t xml:space="preserve">       经营活动现金流出小计</t>
        </is>
      </c>
      <c r="B15" s="292" t="n"/>
      <c r="C15" s="256">
        <f>SUM(C11:C14)</f>
        <v/>
      </c>
      <c r="D15" s="256">
        <f>SUM(D11:D14)</f>
        <v/>
      </c>
      <c r="E15" s="256">
        <f>SUM(E11:E14)</f>
        <v/>
      </c>
      <c r="F15" s="256">
        <f>SUM(F11:F14)</f>
        <v/>
      </c>
    </row>
    <row r="16" ht="15.6" customHeight="1">
      <c r="A16" s="240" t="inlineStr">
        <is>
          <t xml:space="preserve">       经营活动产生的现金流量净额</t>
        </is>
      </c>
      <c r="B16" s="304" t="n"/>
      <c r="C16" s="305">
        <f>C10-C15</f>
        <v/>
      </c>
      <c r="D16" s="305">
        <f>D10-D15</f>
        <v/>
      </c>
      <c r="E16" s="305">
        <f>E10-E15</f>
        <v/>
      </c>
      <c r="F16" s="305">
        <f>F10-F15</f>
        <v/>
      </c>
    </row>
    <row r="17" ht="15.6" customHeight="1">
      <c r="A17" s="240" t="inlineStr">
        <is>
          <t>二、投资活动产生的现金流量：</t>
        </is>
      </c>
      <c r="B17" s="292" t="n"/>
      <c r="C17" s="256" t="n"/>
      <c r="D17" s="306" t="n"/>
      <c r="E17" s="256" t="n"/>
      <c r="F17" s="307" t="n"/>
    </row>
    <row r="18" ht="15.6" customHeight="1">
      <c r="A18" s="237" t="inlineStr">
        <is>
          <t xml:space="preserve">    收回投资收到的现金</t>
        </is>
      </c>
      <c r="B18" s="304" t="n"/>
      <c r="C18" s="256" t="inlineStr">
        <is>
          <t>{{row:CFS-013:current}}</t>
        </is>
      </c>
      <c r="D18" s="308" t="inlineStr">
        <is>
          <t>{{row:CFS-013:current:parent}}</t>
        </is>
      </c>
      <c r="E18" s="256" t="inlineStr">
        <is>
          <t>{{row:CFS-013:prior}}</t>
        </is>
      </c>
      <c r="F18" s="309" t="inlineStr">
        <is>
          <t>{{row:CFS-013:prior:parent}}</t>
        </is>
      </c>
    </row>
    <row r="19" ht="15.6" customHeight="1">
      <c r="A19" s="237" t="inlineStr">
        <is>
          <t xml:space="preserve">    取得投资收益收到的现金</t>
        </is>
      </c>
      <c r="B19" s="292" t="n"/>
      <c r="C19" s="256" t="inlineStr">
        <is>
          <t>{{row:CFS-014:current}}</t>
        </is>
      </c>
      <c r="D19" s="292" t="inlineStr">
        <is>
          <t>{{row:CFS-014:current:parent}}</t>
        </is>
      </c>
      <c r="E19" s="256" t="inlineStr">
        <is>
          <t>{{row:CFS-014:prior}}</t>
        </is>
      </c>
      <c r="F19" s="256" t="inlineStr">
        <is>
          <t>{{row:CFS-014:prior:parent}}</t>
        </is>
      </c>
    </row>
    <row r="20" ht="32.1" customHeight="1">
      <c r="A20" s="239" t="inlineStr">
        <is>
          <t xml:space="preserve">    处置固定资产、无形资产和其他长期资产收回的
    现金净额</t>
        </is>
      </c>
      <c r="B20" s="292" t="n"/>
      <c r="C20" s="256" t="inlineStr">
        <is>
          <t>{{row:CFS-015:current}}</t>
        </is>
      </c>
      <c r="D20" s="292" t="inlineStr">
        <is>
          <t>{{row:CFS-015:current:parent}}</t>
        </is>
      </c>
      <c r="E20" s="256" t="inlineStr">
        <is>
          <t>{{row:CFS-015:prior}}</t>
        </is>
      </c>
      <c r="F20" s="256" t="inlineStr">
        <is>
          <t>{{row:CFS-015:prior:parent}}</t>
        </is>
      </c>
    </row>
    <row r="21" ht="15.6" customHeight="1">
      <c r="A21" s="237" t="inlineStr">
        <is>
          <t xml:space="preserve">    处置子公司及其他营业单位收到的现金净额</t>
        </is>
      </c>
      <c r="B21" s="292" t="n"/>
      <c r="C21" s="256" t="inlineStr">
        <is>
          <t>{{row:CFS-016:current}}</t>
        </is>
      </c>
      <c r="D21" s="292" t="inlineStr">
        <is>
          <t>{{row:CFS-016:current:parent}}</t>
        </is>
      </c>
      <c r="E21" s="256" t="inlineStr">
        <is>
          <t>{{row:CFS-016:prior}}</t>
        </is>
      </c>
      <c r="F21" s="256" t="inlineStr">
        <is>
          <t>{{row:CFS-016:prior:parent}}</t>
        </is>
      </c>
    </row>
    <row r="22" ht="15.6" customHeight="1">
      <c r="A22" s="237" t="inlineStr">
        <is>
          <t xml:space="preserve">    收到其他与投资活动有关的现金</t>
        </is>
      </c>
      <c r="B22" s="292" t="n"/>
      <c r="C22" s="256" t="inlineStr">
        <is>
          <t>{{row:CFS-017:current}}</t>
        </is>
      </c>
      <c r="D22" s="292" t="inlineStr">
        <is>
          <t>{{row:CFS-017:current:parent}}</t>
        </is>
      </c>
      <c r="E22" s="256" t="inlineStr">
        <is>
          <t>{{row:CFS-017:prior}}</t>
        </is>
      </c>
      <c r="F22" s="256" t="inlineStr">
        <is>
          <t>{{row:CFS-017:prior:parent}}</t>
        </is>
      </c>
    </row>
    <row r="23" ht="15.6" customHeight="1">
      <c r="A23" s="237" t="inlineStr">
        <is>
          <t xml:space="preserve">       投资活动现金流入小计</t>
        </is>
      </c>
      <c r="B23" s="292" t="n"/>
      <c r="C23" s="256">
        <f>SUM(C18:C22)</f>
        <v/>
      </c>
      <c r="D23" s="256">
        <f>SUM(D18:D22)</f>
        <v/>
      </c>
      <c r="E23" s="256">
        <f>SUM(E18:E22)</f>
        <v/>
      </c>
      <c r="F23" s="256">
        <f>SUM(F18:F22)</f>
        <v/>
      </c>
    </row>
    <row r="24" ht="32.1" customHeight="1">
      <c r="A24" s="123" t="inlineStr">
        <is>
          <t xml:space="preserve">    购建固定资产、无形资产和其他长期资产支付的现金 </t>
        </is>
      </c>
      <c r="B24" s="292" t="n"/>
      <c r="C24" s="256" t="inlineStr">
        <is>
          <t>{{row:CFS-019:current}}</t>
        </is>
      </c>
      <c r="D24" s="292" t="inlineStr">
        <is>
          <t>{{row:CFS-019:current:parent}}</t>
        </is>
      </c>
      <c r="E24" s="256" t="inlineStr">
        <is>
          <t>{{row:CFS-019:prior}}</t>
        </is>
      </c>
      <c r="F24" s="256" t="inlineStr">
        <is>
          <t>{{row:CFS-019:prior:parent}}</t>
        </is>
      </c>
    </row>
    <row r="25" ht="15.6" customHeight="1">
      <c r="A25" s="237" t="inlineStr">
        <is>
          <t xml:space="preserve">    投资支付的现金</t>
        </is>
      </c>
      <c r="B25" s="292" t="n"/>
      <c r="C25" s="256" t="inlineStr">
        <is>
          <t>{{row:CFS-020:current}}</t>
        </is>
      </c>
      <c r="D25" s="292" t="inlineStr">
        <is>
          <t>{{row:CFS-020:current:parent}}</t>
        </is>
      </c>
      <c r="E25" s="256" t="inlineStr">
        <is>
          <t>{{row:CFS-020:prior}}</t>
        </is>
      </c>
      <c r="F25" s="256" t="inlineStr">
        <is>
          <t>{{row:CFS-020:prior:parent}}</t>
        </is>
      </c>
    </row>
    <row r="26" ht="15.6" customHeight="1">
      <c r="A26" s="237" t="inlineStr">
        <is>
          <t xml:space="preserve">    取得子公司及其他营业单位支付的现金净额</t>
        </is>
      </c>
      <c r="B26" s="292" t="n"/>
      <c r="C26" s="256" t="inlineStr">
        <is>
          <t>{{row:CFS-021:current}}</t>
        </is>
      </c>
      <c r="D26" s="292" t="inlineStr">
        <is>
          <t>{{row:CFS-021:current:parent}}</t>
        </is>
      </c>
      <c r="E26" s="256" t="inlineStr">
        <is>
          <t>{{row:CFS-021:prior}}</t>
        </is>
      </c>
      <c r="F26" s="256" t="inlineStr">
        <is>
          <t>{{row:CFS-021:prior:parent}}</t>
        </is>
      </c>
    </row>
    <row r="27" ht="15.6" customHeight="1">
      <c r="A27" s="237" t="inlineStr">
        <is>
          <t xml:space="preserve">    支付其他与投资活动有关的现金</t>
        </is>
      </c>
      <c r="B27" s="292" t="n"/>
      <c r="C27" s="256" t="inlineStr">
        <is>
          <t>{{row:CFS-022:current}}</t>
        </is>
      </c>
      <c r="D27" s="292" t="inlineStr">
        <is>
          <t>{{row:CFS-022:current:parent}}</t>
        </is>
      </c>
      <c r="E27" s="256" t="inlineStr">
        <is>
          <t>{{row:CFS-022:prior}}</t>
        </is>
      </c>
      <c r="F27" s="256" t="inlineStr">
        <is>
          <t>{{row:CFS-022:prior:parent}}</t>
        </is>
      </c>
    </row>
    <row r="28" ht="15.6" customHeight="1">
      <c r="A28" s="237" t="inlineStr">
        <is>
          <t xml:space="preserve">       投资活动现金流出小计</t>
        </is>
      </c>
      <c r="B28" s="304" t="n"/>
      <c r="C28" s="305">
        <f>SUM(C24:C27)</f>
        <v/>
      </c>
      <c r="D28" s="305">
        <f>SUM(D24:D27)</f>
        <v/>
      </c>
      <c r="E28" s="305">
        <f>SUM(E24:E27)</f>
        <v/>
      </c>
      <c r="F28" s="305">
        <f>SUM(F24:F27)</f>
        <v/>
      </c>
    </row>
    <row r="29" ht="15.6" customHeight="1">
      <c r="A29" s="240" t="inlineStr">
        <is>
          <t xml:space="preserve">       投资活动产生的现金流量净额</t>
        </is>
      </c>
      <c r="B29" s="292" t="n"/>
      <c r="C29" s="256">
        <f>C23-C28</f>
        <v/>
      </c>
      <c r="D29" s="256">
        <f>D23-D28</f>
        <v/>
      </c>
      <c r="E29" s="256">
        <f>E23-E28</f>
        <v/>
      </c>
      <c r="F29" s="256">
        <f>F23-F28</f>
        <v/>
      </c>
    </row>
    <row r="30" ht="15.6" customHeight="1">
      <c r="A30" s="240" t="inlineStr">
        <is>
          <t>三、筹资活动产生的现金流量：</t>
        </is>
      </c>
      <c r="B30" s="304" t="n"/>
      <c r="C30" s="256" t="n"/>
      <c r="D30" s="308" t="n"/>
      <c r="E30" s="256" t="n"/>
      <c r="F30" s="309" t="n"/>
    </row>
    <row r="31" ht="15.6" customHeight="1">
      <c r="A31" s="237" t="inlineStr">
        <is>
          <t xml:space="preserve">    吸收投资收到的现金</t>
        </is>
      </c>
      <c r="B31" s="292" t="n"/>
      <c r="C31" s="256" t="inlineStr">
        <is>
          <t>{{row:CFS-026:current}}</t>
        </is>
      </c>
      <c r="D31" s="292" t="inlineStr">
        <is>
          <t>{{row:CFS-026:current:parent}}</t>
        </is>
      </c>
      <c r="E31" s="256" t="inlineStr">
        <is>
          <t>{{row:CFS-026:prior}}</t>
        </is>
      </c>
      <c r="F31" s="256" t="inlineStr">
        <is>
          <t>{{row:CFS-026:prior:parent}}</t>
        </is>
      </c>
    </row>
    <row r="32" ht="15.6" customHeight="1">
      <c r="A32" s="124" t="inlineStr">
        <is>
          <t xml:space="preserve">      其中：子公司吸收少数股东投资收到的现金</t>
        </is>
      </c>
      <c r="B32" s="292" t="n"/>
      <c r="C32" s="256" t="inlineStr">
        <is>
          <t>{{row:CFS-027:current}}</t>
        </is>
      </c>
      <c r="D32" s="292" t="inlineStr">
        <is>
          <t>{{row:CFS-027:current:parent}}</t>
        </is>
      </c>
      <c r="E32" s="256" t="inlineStr">
        <is>
          <t>{{row:CFS-027:prior}}</t>
        </is>
      </c>
      <c r="F32" s="256" t="inlineStr">
        <is>
          <t>{{row:CFS-027:prior:parent}}</t>
        </is>
      </c>
    </row>
    <row r="33" ht="15.6" customHeight="1">
      <c r="A33" s="237" t="inlineStr">
        <is>
          <t xml:space="preserve">    取得借款收到的现金</t>
        </is>
      </c>
      <c r="B33" s="292" t="n"/>
      <c r="C33" s="256" t="inlineStr">
        <is>
          <t>{{row:CFS-028:current}}</t>
        </is>
      </c>
      <c r="D33" s="292" t="inlineStr">
        <is>
          <t>{{row:CFS-028:current:parent}}</t>
        </is>
      </c>
      <c r="E33" s="256" t="inlineStr">
        <is>
          <t>{{row:CFS-028:prior}}</t>
        </is>
      </c>
      <c r="F33" s="256" t="inlineStr">
        <is>
          <t>{{row:CFS-028:prior:parent}}</t>
        </is>
      </c>
      <c r="G33" s="125" t="n"/>
    </row>
    <row r="34" ht="15.6" customHeight="1">
      <c r="A34" s="126" t="inlineStr">
        <is>
          <t xml:space="preserve">  发行债券收到的现金</t>
        </is>
      </c>
      <c r="B34" s="292" t="n"/>
      <c r="C34" s="256" t="inlineStr">
        <is>
          <t>{{row:CFS-029:current}}</t>
        </is>
      </c>
      <c r="D34" s="292" t="inlineStr">
        <is>
          <t>{{row:CFS-029:current:parent}}</t>
        </is>
      </c>
      <c r="E34" s="256" t="inlineStr">
        <is>
          <t>{{row:CFS-029:prior}}</t>
        </is>
      </c>
      <c r="F34" s="256" t="inlineStr">
        <is>
          <t>{{row:CFS-029:prior:parent}}</t>
        </is>
      </c>
    </row>
    <row r="35" ht="15.6" customHeight="1">
      <c r="A35" s="237" t="inlineStr">
        <is>
          <t xml:space="preserve">    收到其他与筹资活动有关的现金</t>
        </is>
      </c>
      <c r="B35" s="292" t="n"/>
      <c r="C35" s="256" t="inlineStr">
        <is>
          <t>{{row:CFS-030:current}}</t>
        </is>
      </c>
      <c r="D35" s="292" t="inlineStr">
        <is>
          <t>{{row:CFS-030:current:parent}}</t>
        </is>
      </c>
      <c r="E35" s="256" t="inlineStr">
        <is>
          <t>{{row:CFS-030:prior}}</t>
        </is>
      </c>
      <c r="F35" s="256" t="inlineStr">
        <is>
          <t>{{row:CFS-030:prior:parent}}</t>
        </is>
      </c>
    </row>
    <row r="36" ht="15.6" customHeight="1">
      <c r="A36" s="237" t="inlineStr">
        <is>
          <t xml:space="preserve">       筹资活动现金流入小计</t>
        </is>
      </c>
      <c r="B36" s="292" t="n"/>
      <c r="C36" s="256">
        <f>SUM(C31:C35)-C32</f>
        <v/>
      </c>
      <c r="D36" s="256">
        <f>SUM(D31:D35)-D32</f>
        <v/>
      </c>
      <c r="E36" s="256">
        <f>SUM(E31:E35)-E32</f>
        <v/>
      </c>
      <c r="F36" s="256">
        <f>SUM(F31:F35)-F32</f>
        <v/>
      </c>
    </row>
    <row r="37" ht="15.6" customHeight="1">
      <c r="A37" s="237" t="inlineStr">
        <is>
          <t xml:space="preserve">    偿还债务支付的现金</t>
        </is>
      </c>
      <c r="B37" s="292" t="n"/>
      <c r="C37" s="256" t="inlineStr">
        <is>
          <t>{{row:CFS-032:current}}</t>
        </is>
      </c>
      <c r="D37" s="292" t="inlineStr">
        <is>
          <t>{{row:CFS-032:current:parent}}</t>
        </is>
      </c>
      <c r="E37" s="256" t="inlineStr">
        <is>
          <t>{{row:CFS-032:prior}}</t>
        </is>
      </c>
      <c r="F37" s="256" t="inlineStr">
        <is>
          <t>{{row:CFS-032:prior:parent}}</t>
        </is>
      </c>
    </row>
    <row r="38" ht="15.6" customHeight="1">
      <c r="A38" s="237" t="inlineStr">
        <is>
          <t xml:space="preserve">    分配股利、利润或偿付利息支付的现金</t>
        </is>
      </c>
      <c r="B38" s="292" t="n"/>
      <c r="C38" s="256" t="inlineStr">
        <is>
          <t>{{row:CFS-033:current}}</t>
        </is>
      </c>
      <c r="D38" s="292" t="inlineStr">
        <is>
          <t>{{row:CFS-033:current:parent}}</t>
        </is>
      </c>
      <c r="E38" s="256" t="inlineStr">
        <is>
          <t>{{row:CFS-033:prior}}</t>
        </is>
      </c>
      <c r="F38" s="256" t="inlineStr">
        <is>
          <t>{{row:CFS-033:prior:parent}}</t>
        </is>
      </c>
    </row>
    <row r="39" ht="15.6" customHeight="1">
      <c r="A39" s="127" t="inlineStr">
        <is>
          <t xml:space="preserve">      其中：子公司支付少数股东的股利、利润</t>
        </is>
      </c>
      <c r="B39" s="292" t="n"/>
      <c r="C39" s="256" t="inlineStr">
        <is>
          <t>{{row:CFS-034:current}}</t>
        </is>
      </c>
      <c r="D39" s="256" t="inlineStr">
        <is>
          <t>{{row:CFS-034:current:parent}}</t>
        </is>
      </c>
      <c r="E39" s="292" t="inlineStr">
        <is>
          <t>{{row:CFS-034:prior}}</t>
        </is>
      </c>
      <c r="F39" s="256" t="inlineStr">
        <is>
          <t>{{row:CFS-034:prior:parent}}</t>
        </is>
      </c>
    </row>
    <row r="40" ht="15.6" customHeight="1">
      <c r="A40" s="237" t="inlineStr">
        <is>
          <t xml:space="preserve">    支付其他与筹资活动有关的现金</t>
        </is>
      </c>
      <c r="B40" s="292" t="n"/>
      <c r="C40" s="256" t="inlineStr">
        <is>
          <t>{{row:CFS-035:current}}</t>
        </is>
      </c>
      <c r="D40" s="303" t="inlineStr">
        <is>
          <t>{{row:CFS-035:current:parent}}</t>
        </is>
      </c>
      <c r="E40" s="256" t="inlineStr">
        <is>
          <t>{{row:CFS-035:prior}}</t>
        </is>
      </c>
      <c r="F40" s="310" t="inlineStr">
        <is>
          <t>{{row:CFS-035:prior:parent}}</t>
        </is>
      </c>
    </row>
    <row r="41" ht="15.6" customHeight="1">
      <c r="A41" s="237" t="inlineStr">
        <is>
          <t xml:space="preserve">       筹资活动现金流出小计</t>
        </is>
      </c>
      <c r="B41" s="292" t="n"/>
      <c r="C41" s="305">
        <f>SUM(C37:C40)-C39</f>
        <v/>
      </c>
      <c r="D41" s="305">
        <f>SUM(D37:D40)-D39</f>
        <v/>
      </c>
      <c r="E41" s="305">
        <f>SUM(E37:E40)-E39</f>
        <v/>
      </c>
      <c r="F41" s="305">
        <f>SUM(F37:F40)-F39</f>
        <v/>
      </c>
    </row>
    <row r="42" ht="15.6" customHeight="1">
      <c r="A42" s="240" t="inlineStr">
        <is>
          <t xml:space="preserve">       筹资活动产生的现金流量净额</t>
        </is>
      </c>
      <c r="B42" s="292" t="n"/>
      <c r="C42" s="256">
        <f>C36-C41</f>
        <v/>
      </c>
      <c r="D42" s="256">
        <f>D36-D41</f>
        <v/>
      </c>
      <c r="E42" s="256">
        <f>E36-E41</f>
        <v/>
      </c>
      <c r="F42" s="256">
        <f>F36-F41</f>
        <v/>
      </c>
    </row>
    <row r="43" ht="15.6" customHeight="1">
      <c r="A43" s="240" t="inlineStr">
        <is>
          <t>四、汇率变动对现金及现金等价物的影响</t>
        </is>
      </c>
      <c r="B43" s="304" t="n"/>
      <c r="C43" s="305" t="inlineStr">
        <is>
          <t>{{row:CFS-038:current}}</t>
        </is>
      </c>
      <c r="D43" s="293" t="inlineStr">
        <is>
          <t>{{row:CFS-038:current:parent}}</t>
        </is>
      </c>
      <c r="E43" s="305" t="inlineStr">
        <is>
          <t>{{row:CFS-038:prior}}</t>
        </is>
      </c>
      <c r="F43" s="311" t="inlineStr">
        <is>
          <t>{{row:CFS-038:prior:parent}}</t>
        </is>
      </c>
    </row>
    <row r="44" ht="15.6" customHeight="1">
      <c r="A44" s="240" t="inlineStr">
        <is>
          <t>五、现金及现金等价物净增加额</t>
        </is>
      </c>
      <c r="B44" s="292" t="n"/>
      <c r="C44" s="256" t="inlineStr">
        <is>
          <t>{{row:CFS-039:current}}</t>
        </is>
      </c>
      <c r="D44" s="306" t="inlineStr">
        <is>
          <t>{{row:CFS-039:current:parent}}</t>
        </is>
      </c>
      <c r="E44" s="256" t="inlineStr">
        <is>
          <t>{{row:CFS-039:prior}}</t>
        </is>
      </c>
      <c r="F44" s="307" t="inlineStr">
        <is>
          <t>{{row:CFS-039:prior:parent}}</t>
        </is>
      </c>
    </row>
    <row r="45" ht="15.6" customHeight="1">
      <c r="A45" s="237" t="inlineStr">
        <is>
          <t xml:space="preserve">    加：期初现金及现金等价物余额</t>
        </is>
      </c>
      <c r="B45" s="292" t="n"/>
      <c r="C45" s="305" t="inlineStr">
        <is>
          <t>{{row:CFS-040:current}}</t>
        </is>
      </c>
      <c r="D45" s="304" t="inlineStr">
        <is>
          <t>{{row:CFS-040:current:parent}}</t>
        </is>
      </c>
      <c r="E45" s="305" t="inlineStr">
        <is>
          <t>{{row:CFS-040:prior}}</t>
        </is>
      </c>
      <c r="F45" s="305" t="inlineStr">
        <is>
          <t>{{row:CFS-040:prior:parent}}</t>
        </is>
      </c>
    </row>
    <row r="46" ht="15.6" customHeight="1">
      <c r="A46" s="131" t="inlineStr">
        <is>
          <t>六、期末现金及现金等价物余额</t>
        </is>
      </c>
      <c r="B46" s="260" t="n"/>
      <c r="C46" s="261">
        <f>C44+C45</f>
        <v/>
      </c>
      <c r="D46" s="261">
        <f>D44+D45</f>
        <v/>
      </c>
      <c r="E46" s="261">
        <f>E44+E45</f>
        <v/>
      </c>
      <c r="F46" s="261">
        <f>F44+F45</f>
        <v/>
      </c>
    </row>
    <row r="47">
      <c r="A47" s="193" t="n"/>
      <c r="D47" s="273" t="n"/>
      <c r="E47" s="244" t="n"/>
      <c r="F47" s="273" t="n"/>
    </row>
    <row r="48" ht="22.35" customFormat="1" customHeight="1" s="90">
      <c r="A48" s="136" t="inlineStr">
        <is>
          <t>公司法定代表人：         主管会计工作的公司负责人：          公司会计机构负责人：</t>
        </is>
      </c>
      <c r="B48" s="136" t="n"/>
      <c r="E48" s="137" t="n"/>
    </row>
    <row r="50" ht="65.25" customHeight="1">
      <c r="A50" s="138" t="inlineStr">
        <is>
          <t>【提示：根据财政部2020年报通知（财会〔2021〕2号）：企业对不存在相应业务的报表项目可结合本企业的实际情况进行必要删减，企业根据重要性原则并结合本企业的实际情况，对确需单独列示的内容可增加报表项目。例如，可以在合并现金流量表中“筹资活动产生的现金流量”项下增加“发行债券收到的现金”项目。】</t>
        </is>
      </c>
    </row>
    <row r="51" ht="63" customHeight="1">
      <c r="A51" s="138" t="inlineStr">
        <is>
          <t>【提示：根据《关于严格执行企业会计准则切实做好企业2022年年报工作的通知》（财会〔2022〕32号），企业收到或缴回留抵退税款项产生的现金流量，属于经营活动产生的现金流量，应将收到的留抵退税款项有关现金流量在“收到的税费返还”项目列示。】</t>
        </is>
      </c>
    </row>
    <row r="52" ht="40.35" customHeight="1">
      <c r="A52" s="138" t="inlineStr">
        <is>
          <t>【提示：对于因收购的标的公司未达业绩承诺而支付的业绩补偿款，应分类为投资活动现金流量。对一般非金融企业而言，如果定期存款质押目的是为了获取短期借款，相关现金流量应被分类为筹资活动现金流量。】</t>
        </is>
      </c>
    </row>
  </sheetData>
  <mergeCells count="10">
    <mergeCell ref="A2:F2"/>
    <mergeCell ref="E4:F4"/>
    <mergeCell ref="A52:F52"/>
    <mergeCell ref="A51:F51"/>
    <mergeCell ref="B4:B5"/>
    <mergeCell ref="A4:A5"/>
    <mergeCell ref="A1:F1"/>
    <mergeCell ref="A50:F50"/>
    <mergeCell ref="E3:F3"/>
    <mergeCell ref="C4:D4"/>
  </mergeCells>
  <printOptions horizontalCentered="1"/>
  <pageMargins left="0.7086614173228351" right="0.7086614173228351" top="0.905511811023622" bottom="0.78740157480315" header="0.511811023622047" footer="0.511811023622047"/>
  <pageSetup orientation="portrait" paperSize="9" scale="84" horizontalDpi="600" verticalDpi="600"/>
  <headerFooter alignWithMargins="0">
    <oddHeader/>
    <oddFooter>&amp;C&amp;"Arial Narrow,常规"4</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B42"/>
  <sheetViews>
    <sheetView view="pageBreakPreview" zoomScale="85" zoomScaleNormal="85" workbookViewId="0">
      <selection activeCell="F20" sqref="F20"/>
    </sheetView>
  </sheetViews>
  <sheetFormatPr baseColWidth="8" defaultColWidth="8.800000000000001" defaultRowHeight="15.6"/>
  <cols>
    <col width="46.125" customWidth="1" style="60" min="1" max="1"/>
    <col width="11.625" customWidth="1" style="58" min="2" max="10"/>
    <col width="13.625" customWidth="1" style="58" min="11" max="11"/>
    <col width="11.625" customWidth="1" style="58" min="12" max="12"/>
    <col width="12.625" customWidth="1" style="58" min="13" max="13"/>
    <col width="13.625" customWidth="1" style="58" min="14" max="14"/>
    <col width="11.625" customWidth="1" style="58" min="15" max="23"/>
    <col width="13.625" customWidth="1" style="58" min="24" max="24"/>
    <col width="11.625" customWidth="1" style="58" min="25" max="25"/>
    <col width="12.625" customWidth="1" style="58" min="26" max="26"/>
    <col width="13.625" customWidth="1" style="58" min="27" max="27"/>
    <col width="9" customWidth="1" style="58" min="28" max="32"/>
    <col width="8.800000000000001" customWidth="1" style="58" min="33" max="16384"/>
  </cols>
  <sheetData>
    <row r="1" ht="32.1" customFormat="1" customHeight="1" s="60">
      <c r="B1" s="5" t="inlineStr">
        <is>
          <t xml:space="preserve">                             合并股东（或所有者）权益变动表</t>
        </is>
      </c>
      <c r="O1" s="62" t="inlineStr">
        <is>
          <t xml:space="preserve">                             合并股东（或所有者）权益变动表</t>
        </is>
      </c>
    </row>
    <row r="2" ht="20.4" customFormat="1" customHeight="1" s="58">
      <c r="A2" s="60" t="n"/>
      <c r="B2" s="7" t="n"/>
      <c r="C2" s="7" t="n"/>
      <c r="D2" s="7" t="n"/>
      <c r="E2" s="7" t="n"/>
      <c r="G2" s="8" t="inlineStr">
        <is>
          <t>{{audit_year}}年度</t>
        </is>
      </c>
      <c r="I2" s="7" t="n"/>
      <c r="K2" s="7" t="n"/>
      <c r="L2" s="7" t="n"/>
      <c r="M2" s="7" t="n"/>
      <c r="N2" s="7" t="n"/>
      <c r="O2" s="7" t="n"/>
      <c r="P2" s="7" t="n"/>
      <c r="Q2" s="7" t="n"/>
      <c r="R2" s="7" t="n"/>
      <c r="S2" s="7" t="n"/>
      <c r="T2" s="8" t="inlineStr">
        <is>
          <t>2025年度</t>
        </is>
      </c>
      <c r="V2" s="7" t="n"/>
      <c r="X2" s="7" t="n"/>
      <c r="Y2" s="7" t="n"/>
      <c r="Z2" s="7" t="n"/>
      <c r="AA2" s="7" t="n"/>
    </row>
    <row r="3" ht="18.75" customHeight="1">
      <c r="A3" s="60" t="inlineStr">
        <is>
          <t>编制单位：{{company_full_name}}</t>
        </is>
      </c>
      <c r="J3" s="9" t="n"/>
      <c r="N3" s="10" t="inlineStr">
        <is>
          <t>单位：{{currency_unit}}</t>
        </is>
      </c>
      <c r="W3" s="9" t="n"/>
      <c r="AA3" s="10" t="inlineStr">
        <is>
          <t>单位：人民币元</t>
        </is>
      </c>
    </row>
    <row r="4" ht="19.5" customFormat="1" customHeight="1" s="58">
      <c r="A4" s="312" t="inlineStr">
        <is>
          <t>项  目</t>
        </is>
      </c>
      <c r="B4" s="64" t="inlineStr">
        <is>
          <t>本年金额</t>
        </is>
      </c>
      <c r="C4" s="252" t="n"/>
      <c r="D4" s="252" t="n"/>
      <c r="E4" s="252" t="n"/>
      <c r="F4" s="252" t="n"/>
      <c r="G4" s="252" t="n"/>
      <c r="H4" s="252" t="n"/>
      <c r="I4" s="252" t="n"/>
      <c r="J4" s="252" t="n"/>
      <c r="K4" s="252" t="n"/>
      <c r="L4" s="252" t="n"/>
      <c r="M4" s="252" t="n"/>
      <c r="N4" s="252" t="n"/>
      <c r="O4" s="66" t="inlineStr">
        <is>
          <t>上年金额</t>
        </is>
      </c>
      <c r="P4" s="252" t="n"/>
      <c r="Q4" s="252" t="n"/>
      <c r="R4" s="252" t="n"/>
      <c r="S4" s="252" t="n"/>
      <c r="T4" s="252" t="n"/>
      <c r="U4" s="252" t="n"/>
      <c r="V4" s="252" t="n"/>
      <c r="W4" s="252" t="n"/>
      <c r="X4" s="252" t="n"/>
      <c r="Y4" s="252" t="n"/>
      <c r="Z4" s="252" t="n"/>
      <c r="AA4" s="252" t="n"/>
    </row>
    <row r="5" ht="22.5" customFormat="1" customHeight="1" s="60">
      <c r="A5" s="313" t="n"/>
      <c r="B5" s="68" t="inlineStr">
        <is>
          <t>归属于母公司股东权益</t>
        </is>
      </c>
      <c r="C5" s="252" t="n"/>
      <c r="D5" s="252" t="n"/>
      <c r="E5" s="252" t="n"/>
      <c r="F5" s="252" t="n"/>
      <c r="G5" s="252" t="n"/>
      <c r="H5" s="252" t="n"/>
      <c r="I5" s="252" t="n"/>
      <c r="J5" s="252" t="n"/>
      <c r="K5" s="252" t="n"/>
      <c r="L5" s="251" t="n"/>
      <c r="M5" s="68" t="inlineStr">
        <is>
          <t>少数股东
权益</t>
        </is>
      </c>
      <c r="N5" s="17" t="inlineStr">
        <is>
          <t>股东（或所有者）权益
合计</t>
        </is>
      </c>
      <c r="O5" s="71" t="inlineStr">
        <is>
          <t>归属于母公司股东权益</t>
        </is>
      </c>
      <c r="P5" s="252" t="n"/>
      <c r="Q5" s="252" t="n"/>
      <c r="R5" s="252" t="n"/>
      <c r="S5" s="252" t="n"/>
      <c r="T5" s="252" t="n"/>
      <c r="U5" s="252" t="n"/>
      <c r="V5" s="252" t="n"/>
      <c r="W5" s="252" t="n"/>
      <c r="X5" s="252" t="n"/>
      <c r="Y5" s="251" t="n"/>
      <c r="Z5" s="68" t="inlineStr">
        <is>
          <t>少数股东
权益</t>
        </is>
      </c>
      <c r="AA5" s="17" t="inlineStr">
        <is>
          <t>股东（或所有者）权益
合计</t>
        </is>
      </c>
    </row>
    <row r="6" ht="30" customFormat="1" customHeight="1" s="61">
      <c r="A6" s="313" t="n"/>
      <c r="B6" s="68" t="inlineStr">
        <is>
          <t>股本</t>
        </is>
      </c>
      <c r="C6" s="68" t="inlineStr">
        <is>
          <t>其他权益工具</t>
        </is>
      </c>
      <c r="D6" s="252" t="n"/>
      <c r="E6" s="251" t="n"/>
      <c r="F6" s="68" t="inlineStr">
        <is>
          <t>资本公积</t>
        </is>
      </c>
      <c r="G6" s="68" t="inlineStr">
        <is>
          <t>减：库存股</t>
        </is>
      </c>
      <c r="H6" s="68" t="inlineStr">
        <is>
          <t>其他综合
收益</t>
        </is>
      </c>
      <c r="I6" s="68" t="inlineStr">
        <is>
          <t>专项储备</t>
        </is>
      </c>
      <c r="J6" s="68" t="inlineStr">
        <is>
          <t>盈余公积</t>
        </is>
      </c>
      <c r="K6" s="68" t="inlineStr">
        <is>
          <t xml:space="preserve">一般风险准备
</t>
        </is>
      </c>
      <c r="L6" s="68" t="inlineStr">
        <is>
          <t>未分配利润</t>
        </is>
      </c>
      <c r="M6" s="314" t="n"/>
      <c r="N6" s="315" t="n"/>
      <c r="O6" s="71" t="inlineStr">
        <is>
          <t>股本</t>
        </is>
      </c>
      <c r="P6" s="68" t="inlineStr">
        <is>
          <t>其他权益工具</t>
        </is>
      </c>
      <c r="Q6" s="252" t="n"/>
      <c r="R6" s="251" t="n"/>
      <c r="S6" s="68" t="inlineStr">
        <is>
          <t>资本公积</t>
        </is>
      </c>
      <c r="T6" s="68" t="inlineStr">
        <is>
          <t>减：库存股</t>
        </is>
      </c>
      <c r="U6" s="68" t="inlineStr">
        <is>
          <t>其他综合
收益</t>
        </is>
      </c>
      <c r="V6" s="68" t="inlineStr">
        <is>
          <t>专项储备</t>
        </is>
      </c>
      <c r="W6" s="68" t="inlineStr">
        <is>
          <t>盈余公积</t>
        </is>
      </c>
      <c r="X6" s="68" t="inlineStr">
        <is>
          <t xml:space="preserve">一般风险准备
</t>
        </is>
      </c>
      <c r="Y6" s="68" t="inlineStr">
        <is>
          <t>未分配利润</t>
        </is>
      </c>
      <c r="Z6" s="314" t="n"/>
      <c r="AA6" s="315" t="n"/>
    </row>
    <row r="7" ht="30" customFormat="1" customHeight="1" s="61">
      <c r="A7" s="253" t="n"/>
      <c r="B7" s="254" t="n"/>
      <c r="C7" s="81" t="inlineStr">
        <is>
          <t>优先股</t>
        </is>
      </c>
      <c r="D7" s="81" t="inlineStr">
        <is>
          <t>永续债</t>
        </is>
      </c>
      <c r="E7" s="81" t="inlineStr">
        <is>
          <t>其他</t>
        </is>
      </c>
      <c r="F7" s="254" t="n"/>
      <c r="G7" s="254" t="n"/>
      <c r="H7" s="254" t="n"/>
      <c r="I7" s="254" t="n"/>
      <c r="J7" s="254" t="n"/>
      <c r="K7" s="254" t="n"/>
      <c r="L7" s="254" t="n"/>
      <c r="M7" s="254" t="n"/>
      <c r="N7" s="316" t="n"/>
      <c r="O7" s="253" t="n"/>
      <c r="P7" s="81" t="inlineStr">
        <is>
          <t>优先股</t>
        </is>
      </c>
      <c r="Q7" s="81" t="inlineStr">
        <is>
          <t>永续债</t>
        </is>
      </c>
      <c r="R7" s="81" t="inlineStr">
        <is>
          <t>其他</t>
        </is>
      </c>
      <c r="S7" s="254" t="n"/>
      <c r="T7" s="254" t="n"/>
      <c r="U7" s="254" t="n"/>
      <c r="V7" s="254" t="n"/>
      <c r="W7" s="254" t="n"/>
      <c r="X7" s="254" t="n"/>
      <c r="Y7" s="254" t="n"/>
      <c r="Z7" s="254" t="n"/>
      <c r="AA7" s="316" t="n"/>
    </row>
    <row r="8" ht="18" customHeight="1">
      <c r="A8" s="82" t="inlineStr">
        <is>
          <t>一、上年年末余额</t>
        </is>
      </c>
      <c r="B8" s="317">
        <f>O37</f>
        <v/>
      </c>
      <c r="C8" s="317">
        <f>P37</f>
        <v/>
      </c>
      <c r="D8" s="317">
        <f>Q37</f>
        <v/>
      </c>
      <c r="E8" s="317">
        <f>R37</f>
        <v/>
      </c>
      <c r="F8" s="317">
        <f>S37</f>
        <v/>
      </c>
      <c r="G8" s="317">
        <f>T37</f>
        <v/>
      </c>
      <c r="H8" s="317">
        <f>U37</f>
        <v/>
      </c>
      <c r="I8" s="317">
        <f>V37</f>
        <v/>
      </c>
      <c r="J8" s="317">
        <f>W37</f>
        <v/>
      </c>
      <c r="K8" s="317">
        <f>X37</f>
        <v/>
      </c>
      <c r="L8" s="317">
        <f>Y37</f>
        <v/>
      </c>
      <c r="M8" s="317">
        <f>Z37</f>
        <v/>
      </c>
      <c r="N8" s="318">
        <f>B8+C8+D8+E8+F8-G8+H8+I8+J8+K8+L8+M8</f>
        <v/>
      </c>
      <c r="O8" s="319" t="inlineStr">
        <is>
          <t>{{eq:EQ-001:prior_year:share_capital}}</t>
        </is>
      </c>
      <c r="P8" s="320" t="inlineStr">
        <is>
          <t>{{eq:EQ-001:prior_year:other_equity_instrument}}</t>
        </is>
      </c>
      <c r="Q8" s="320" t="n"/>
      <c r="R8" s="320" t="n"/>
      <c r="S8" s="318" t="inlineStr">
        <is>
          <t>{{eq:EQ-001:prior_year:capital_reserve}}</t>
        </is>
      </c>
      <c r="T8" s="318" t="inlineStr">
        <is>
          <t>{{eq:EQ-001:prior_year:treasury_stock}}</t>
        </is>
      </c>
      <c r="U8" s="320" t="inlineStr">
        <is>
          <t>{{eq:EQ-001:prior_year:other_comprehensive_income}}</t>
        </is>
      </c>
      <c r="V8" s="317" t="inlineStr">
        <is>
          <t>{{eq:EQ-001:prior_year:special_reserve}}</t>
        </is>
      </c>
      <c r="W8" s="317" t="inlineStr">
        <is>
          <t>{{eq:EQ-001:prior_year:surplus_reserve}}</t>
        </is>
      </c>
      <c r="X8" s="317" t="inlineStr">
        <is>
          <t>{{eq:EQ-001:prior_year:general_risk_reserve}}</t>
        </is>
      </c>
      <c r="Y8" s="321" t="inlineStr">
        <is>
          <t>{{eq:EQ-001:prior_year:retained_earnings}}</t>
        </is>
      </c>
      <c r="Z8" s="318" t="inlineStr">
        <is>
          <t>{{eq:EQ-001:prior_year:minority_interest}}</t>
        </is>
      </c>
      <c r="AA8" s="318">
        <f>O8+P8+Q8+R8+S8-T8+V8+W8+X8+Y8+Z8+U8</f>
        <v/>
      </c>
    </row>
    <row r="9" ht="18" customHeight="1">
      <c r="A9" s="42" t="inlineStr">
        <is>
          <t xml:space="preserve">  加：会计政策变更</t>
        </is>
      </c>
      <c r="B9" s="322" t="inlineStr">
        <is>
          <t>{{eq:EQ-002:current_year:share_capital}}</t>
        </is>
      </c>
      <c r="C9" s="322" t="inlineStr">
        <is>
          <t>{{eq:EQ-002:current_year:other_equity_instrument}}</t>
        </is>
      </c>
      <c r="D9" s="322" t="n"/>
      <c r="E9" s="322" t="n"/>
      <c r="F9" s="322" t="inlineStr">
        <is>
          <t>{{eq:EQ-002:current_year:capital_reserve}}</t>
        </is>
      </c>
      <c r="G9" s="322" t="inlineStr">
        <is>
          <t>{{eq:EQ-002:current_year:treasury_stock}}</t>
        </is>
      </c>
      <c r="H9" s="322" t="inlineStr">
        <is>
          <t>{{eq:EQ-002:current_year:other_comprehensive_income}}</t>
        </is>
      </c>
      <c r="I9" s="323" t="inlineStr">
        <is>
          <t>{{eq:EQ-002:current_year:special_reserve}}</t>
        </is>
      </c>
      <c r="J9" s="322" t="inlineStr">
        <is>
          <t>{{eq:EQ-002:current_year:surplus_reserve}}</t>
        </is>
      </c>
      <c r="K9" s="322" t="inlineStr">
        <is>
          <t>{{eq:EQ-002:current_year:general_risk_reserve}}</t>
        </is>
      </c>
      <c r="L9" s="322" t="inlineStr">
        <is>
          <t>{{eq:EQ-002:current_year:retained_earnings}}</t>
        </is>
      </c>
      <c r="M9" s="322" t="inlineStr">
        <is>
          <t>{{eq:EQ-002:current_year:minority_interest}}</t>
        </is>
      </c>
      <c r="N9" s="318">
        <f>B9+C9+D9+E9+F9-G9+H9+I9+J9+K9+L9+M9</f>
        <v/>
      </c>
      <c r="O9" s="324" t="inlineStr">
        <is>
          <t>{{eq:EQ-002:prior_year:share_capital}}</t>
        </is>
      </c>
      <c r="P9" s="317" t="inlineStr">
        <is>
          <t>{{eq:EQ-002:prior_year:other_equity_instrument}}</t>
        </is>
      </c>
      <c r="Q9" s="317" t="n"/>
      <c r="R9" s="317" t="n"/>
      <c r="S9" s="318" t="inlineStr">
        <is>
          <t>{{eq:EQ-002:prior_year:capital_reserve}}</t>
        </is>
      </c>
      <c r="T9" s="318" t="inlineStr">
        <is>
          <t>{{eq:EQ-002:prior_year:treasury_stock}}</t>
        </is>
      </c>
      <c r="U9" s="317" t="inlineStr">
        <is>
          <t>{{eq:EQ-002:prior_year:other_comprehensive_income}}</t>
        </is>
      </c>
      <c r="V9" s="317" t="inlineStr">
        <is>
          <t>{{eq:EQ-002:prior_year:special_reserve}}</t>
        </is>
      </c>
      <c r="W9" s="317" t="inlineStr">
        <is>
          <t>{{eq:EQ-002:prior_year:surplus_reserve}}</t>
        </is>
      </c>
      <c r="X9" s="317" t="inlineStr">
        <is>
          <t>{{eq:EQ-002:prior_year:general_risk_reserve}}</t>
        </is>
      </c>
      <c r="Y9" s="321" t="inlineStr">
        <is>
          <t>{{eq:EQ-002:prior_year:retained_earnings}}</t>
        </is>
      </c>
      <c r="Z9" s="318" t="inlineStr">
        <is>
          <t>{{eq:EQ-002:prior_year:minority_interest}}</t>
        </is>
      </c>
      <c r="AA9" s="318">
        <f>O9+P9+Q9+R9+S9-T9+V9+W9+X9+Y9+Z9+U9</f>
        <v/>
      </c>
    </row>
    <row r="10" ht="18" customHeight="1">
      <c r="A10" s="42" t="inlineStr">
        <is>
          <t xml:space="preserve">           前期差错更正</t>
        </is>
      </c>
      <c r="B10" s="322" t="inlineStr">
        <is>
          <t>{{eq:EQ-003:current_year:share_capital}}</t>
        </is>
      </c>
      <c r="C10" s="322" t="inlineStr">
        <is>
          <t>{{eq:EQ-003:current_year:other_equity_instrument}}</t>
        </is>
      </c>
      <c r="D10" s="322" t="n"/>
      <c r="E10" s="322" t="n"/>
      <c r="F10" s="322" t="inlineStr">
        <is>
          <t>{{eq:EQ-003:current_year:capital_reserve}}</t>
        </is>
      </c>
      <c r="G10" s="322" t="inlineStr">
        <is>
          <t>{{eq:EQ-003:current_year:treasury_stock}}</t>
        </is>
      </c>
      <c r="H10" s="322" t="inlineStr">
        <is>
          <t>{{eq:EQ-003:current_year:other_comprehensive_income}}</t>
        </is>
      </c>
      <c r="I10" s="323" t="inlineStr">
        <is>
          <t>{{eq:EQ-003:current_year:special_reserve}}</t>
        </is>
      </c>
      <c r="J10" s="322" t="inlineStr">
        <is>
          <t>{{eq:EQ-003:current_year:surplus_reserve}}</t>
        </is>
      </c>
      <c r="K10" s="322" t="inlineStr">
        <is>
          <t>{{eq:EQ-003:current_year:general_risk_reserve}}</t>
        </is>
      </c>
      <c r="L10" s="322" t="inlineStr">
        <is>
          <t>{{eq:EQ-003:current_year:retained_earnings}}</t>
        </is>
      </c>
      <c r="M10" s="322" t="inlineStr">
        <is>
          <t>{{eq:EQ-003:current_year:minority_interest}}</t>
        </is>
      </c>
      <c r="N10" s="318">
        <f>B10+C10+D10+E10+F10-G10+H10+I10+J10+K10+L10+M10</f>
        <v/>
      </c>
      <c r="O10" s="324" t="inlineStr">
        <is>
          <t>{{eq:EQ-003:prior_year:share_capital}}</t>
        </is>
      </c>
      <c r="P10" s="317" t="inlineStr">
        <is>
          <t>{{eq:EQ-003:prior_year:other_equity_instrument}}</t>
        </is>
      </c>
      <c r="Q10" s="317" t="n"/>
      <c r="R10" s="317" t="n"/>
      <c r="S10" s="318" t="inlineStr">
        <is>
          <t>{{eq:EQ-003:prior_year:capital_reserve}}</t>
        </is>
      </c>
      <c r="T10" s="318" t="inlineStr">
        <is>
          <t>{{eq:EQ-003:prior_year:treasury_stock}}</t>
        </is>
      </c>
      <c r="U10" s="317" t="inlineStr">
        <is>
          <t>{{eq:EQ-003:prior_year:other_comprehensive_income}}</t>
        </is>
      </c>
      <c r="V10" s="317" t="inlineStr">
        <is>
          <t>{{eq:EQ-003:prior_year:special_reserve}}</t>
        </is>
      </c>
      <c r="W10" s="317" t="inlineStr">
        <is>
          <t>{{eq:EQ-003:prior_year:surplus_reserve}}</t>
        </is>
      </c>
      <c r="X10" s="317" t="inlineStr">
        <is>
          <t>{{eq:EQ-003:prior_year:general_risk_reserve}}</t>
        </is>
      </c>
      <c r="Y10" s="321" t="inlineStr">
        <is>
          <t>{{eq:EQ-003:prior_year:retained_earnings}}</t>
        </is>
      </c>
      <c r="Z10" s="318" t="inlineStr">
        <is>
          <t>{{eq:EQ-003:prior_year:minority_interest}}</t>
        </is>
      </c>
      <c r="AA10" s="318">
        <f>O10+P10+Q10+R10+S10-T10+V10+W10+X10+Y10+Z10+U10</f>
        <v/>
      </c>
    </row>
    <row r="11" ht="18" customHeight="1">
      <c r="A11" s="42" t="inlineStr">
        <is>
          <t xml:space="preserve">           同一控制下企业合并</t>
        </is>
      </c>
      <c r="B11" s="322" t="inlineStr">
        <is>
          <t>{{eq:EQ-004:current_year:share_capital}}</t>
        </is>
      </c>
      <c r="C11" s="323" t="inlineStr">
        <is>
          <t>{{eq:EQ-004:current_year:other_equity_instrument}}</t>
        </is>
      </c>
      <c r="D11" s="323" t="n"/>
      <c r="E11" s="323" t="n"/>
      <c r="F11" s="323" t="inlineStr">
        <is>
          <t>{{eq:EQ-004:current_year:capital_reserve}}</t>
        </is>
      </c>
      <c r="G11" s="322" t="inlineStr">
        <is>
          <t>{{eq:EQ-004:current_year:treasury_stock}}</t>
        </is>
      </c>
      <c r="H11" s="322" t="inlineStr">
        <is>
          <t>{{eq:EQ-004:current_year:other_comprehensive_income}}</t>
        </is>
      </c>
      <c r="I11" s="325" t="inlineStr">
        <is>
          <t>{{eq:EQ-004:current_year:special_reserve}}</t>
        </is>
      </c>
      <c r="J11" s="322" t="inlineStr">
        <is>
          <t>{{eq:EQ-004:current_year:surplus_reserve}}</t>
        </is>
      </c>
      <c r="K11" s="322" t="inlineStr">
        <is>
          <t>{{eq:EQ-004:current_year:general_risk_reserve}}</t>
        </is>
      </c>
      <c r="L11" s="322" t="inlineStr">
        <is>
          <t>{{eq:EQ-004:current_year:retained_earnings}}</t>
        </is>
      </c>
      <c r="M11" s="322" t="inlineStr">
        <is>
          <t>{{eq:EQ-004:current_year:minority_interest}}</t>
        </is>
      </c>
      <c r="N11" s="318">
        <f>B11+C11+D11+E11+F11-G11+H11+I11+J11+K11+L11+M11</f>
        <v/>
      </c>
      <c r="O11" s="324" t="inlineStr">
        <is>
          <t>{{eq:EQ-004:prior_year:share_capital}}</t>
        </is>
      </c>
      <c r="P11" s="317" t="inlineStr">
        <is>
          <t>{{eq:EQ-004:prior_year:other_equity_instrument}}</t>
        </is>
      </c>
      <c r="Q11" s="317" t="n"/>
      <c r="R11" s="317" t="n"/>
      <c r="S11" s="318" t="inlineStr">
        <is>
          <t>{{eq:EQ-004:prior_year:capital_reserve}}</t>
        </is>
      </c>
      <c r="T11" s="318" t="inlineStr">
        <is>
          <t>{{eq:EQ-004:prior_year:treasury_stock}}</t>
        </is>
      </c>
      <c r="U11" s="317" t="inlineStr">
        <is>
          <t>{{eq:EQ-004:prior_year:other_comprehensive_income}}</t>
        </is>
      </c>
      <c r="V11" s="317" t="inlineStr">
        <is>
          <t>{{eq:EQ-004:prior_year:special_reserve}}</t>
        </is>
      </c>
      <c r="W11" s="317" t="inlineStr">
        <is>
          <t>{{eq:EQ-004:prior_year:surplus_reserve}}</t>
        </is>
      </c>
      <c r="X11" s="317" t="inlineStr">
        <is>
          <t>{{eq:EQ-004:prior_year:general_risk_reserve}}</t>
        </is>
      </c>
      <c r="Y11" s="321" t="inlineStr">
        <is>
          <t>{{eq:EQ-004:prior_year:retained_earnings}}</t>
        </is>
      </c>
      <c r="Z11" s="318" t="inlineStr">
        <is>
          <t>{{eq:EQ-004:prior_year:minority_interest}}</t>
        </is>
      </c>
      <c r="AA11" s="318">
        <f>O11+P11+Q11+R11+S11-T11+V11+W11+X11+Y11+Z11+U11</f>
        <v/>
      </c>
    </row>
    <row r="12" ht="18" customFormat="1" customHeight="1" s="58">
      <c r="A12" s="42" t="inlineStr">
        <is>
          <t xml:space="preserve">           其他</t>
        </is>
      </c>
      <c r="B12" s="317" t="inlineStr">
        <is>
          <t>{{eq:EQ-005:current_year:share_capital}}</t>
        </is>
      </c>
      <c r="C12" s="324" t="inlineStr">
        <is>
          <t>{{eq:EQ-005:current_year:other_equity_instrument}}</t>
        </is>
      </c>
      <c r="D12" s="324" t="n"/>
      <c r="E12" s="324" t="n"/>
      <c r="F12" s="324" t="inlineStr">
        <is>
          <t>{{eq:EQ-005:current_year:capital_reserve}}</t>
        </is>
      </c>
      <c r="G12" s="317" t="inlineStr">
        <is>
          <t>{{eq:EQ-005:current_year:treasury_stock}}</t>
        </is>
      </c>
      <c r="H12" s="317" t="inlineStr">
        <is>
          <t>{{eq:EQ-005:current_year:other_comprehensive_income}}</t>
        </is>
      </c>
      <c r="I12" s="321" t="inlineStr">
        <is>
          <t>{{eq:EQ-005:current_year:special_reserve}}</t>
        </is>
      </c>
      <c r="J12" s="317" t="inlineStr">
        <is>
          <t>{{eq:EQ-005:current_year:surplus_reserve}}</t>
        </is>
      </c>
      <c r="K12" s="317" t="inlineStr">
        <is>
          <t>{{eq:EQ-005:current_year:general_risk_reserve}}</t>
        </is>
      </c>
      <c r="L12" s="317" t="inlineStr">
        <is>
          <t>{{eq:EQ-005:current_year:retained_earnings}}</t>
        </is>
      </c>
      <c r="M12" s="317" t="inlineStr">
        <is>
          <t>{{eq:EQ-005:current_year:minority_interest}}</t>
        </is>
      </c>
      <c r="N12" s="318">
        <f>B12+C12+D12+E12+F12-G12+H12+I12+J12+K12+L12+M12</f>
        <v/>
      </c>
      <c r="O12" s="324" t="inlineStr">
        <is>
          <t>{{eq:EQ-005:prior_year:share_capital}}</t>
        </is>
      </c>
      <c r="P12" s="317" t="inlineStr">
        <is>
          <t>{{eq:EQ-005:prior_year:other_equity_instrument}}</t>
        </is>
      </c>
      <c r="Q12" s="317" t="n"/>
      <c r="R12" s="317" t="n"/>
      <c r="S12" s="318" t="inlineStr">
        <is>
          <t>{{eq:EQ-005:prior_year:capital_reserve}}</t>
        </is>
      </c>
      <c r="T12" s="318" t="inlineStr">
        <is>
          <t>{{eq:EQ-005:prior_year:treasury_stock}}</t>
        </is>
      </c>
      <c r="U12" s="317" t="inlineStr">
        <is>
          <t>{{eq:EQ-005:prior_year:other_comprehensive_income}}</t>
        </is>
      </c>
      <c r="V12" s="317" t="inlineStr">
        <is>
          <t>{{eq:EQ-005:prior_year:special_reserve}}</t>
        </is>
      </c>
      <c r="W12" s="317" t="inlineStr">
        <is>
          <t>{{eq:EQ-005:prior_year:surplus_reserve}}</t>
        </is>
      </c>
      <c r="X12" s="317" t="inlineStr">
        <is>
          <t>{{eq:EQ-005:prior_year:general_risk_reserve}}</t>
        </is>
      </c>
      <c r="Y12" s="321" t="inlineStr">
        <is>
          <t>{{eq:EQ-005:prior_year:retained_earnings}}</t>
        </is>
      </c>
      <c r="Z12" s="318" t="inlineStr">
        <is>
          <t>{{eq:EQ-005:prior_year:minority_interest}}</t>
        </is>
      </c>
      <c r="AA12" s="318">
        <f>O12+P12+Q12+R12+S12-T12+V12+W12+X12+Y12+Z12+U12</f>
        <v/>
      </c>
    </row>
    <row r="13" ht="18" customHeight="1">
      <c r="A13" s="82" t="inlineStr">
        <is>
          <t>二、本年年初余额</t>
        </is>
      </c>
      <c r="B13" s="317">
        <f>B8+B12+B11</f>
        <v/>
      </c>
      <c r="C13" s="317">
        <f>C8+C12+C11</f>
        <v/>
      </c>
      <c r="D13" s="317">
        <f>D8+D12+D11</f>
        <v/>
      </c>
      <c r="E13" s="317">
        <f>E8+E12+E11</f>
        <v/>
      </c>
      <c r="F13" s="317">
        <f>F8+F12+F11</f>
        <v/>
      </c>
      <c r="G13" s="317">
        <f>G8+G12+G11</f>
        <v/>
      </c>
      <c r="H13" s="317">
        <f>H8+H12+H11</f>
        <v/>
      </c>
      <c r="I13" s="317">
        <f>I8+I12+I11</f>
        <v/>
      </c>
      <c r="J13" s="317">
        <f>J8+J12+J11</f>
        <v/>
      </c>
      <c r="K13" s="317">
        <f>K8+K12+K11</f>
        <v/>
      </c>
      <c r="L13" s="317">
        <f>L8+L12+L11</f>
        <v/>
      </c>
      <c r="M13" s="317">
        <f>M8+M12+M11</f>
        <v/>
      </c>
      <c r="N13" s="318">
        <f>B13+C13+D13+E13+F13-G13+H13+I13+J13+K13+L13+M13</f>
        <v/>
      </c>
      <c r="O13" s="324">
        <f>SUM(O8:O12)</f>
        <v/>
      </c>
      <c r="P13" s="324">
        <f>SUM(P8:P12)</f>
        <v/>
      </c>
      <c r="Q13" s="324">
        <f>SUM(Q8:Q12)</f>
        <v/>
      </c>
      <c r="R13" s="324">
        <f>SUM(R8:R12)</f>
        <v/>
      </c>
      <c r="S13" s="324">
        <f>SUM(S8:S12)</f>
        <v/>
      </c>
      <c r="T13" s="324">
        <f>SUM(T8:T12)</f>
        <v/>
      </c>
      <c r="U13" s="324">
        <f>SUM(U8:U12)</f>
        <v/>
      </c>
      <c r="V13" s="324">
        <f>SUM(V8:V12)</f>
        <v/>
      </c>
      <c r="W13" s="324">
        <f>SUM(W8:W12)</f>
        <v/>
      </c>
      <c r="X13" s="324">
        <f>SUM(X8:X12)</f>
        <v/>
      </c>
      <c r="Y13" s="324">
        <f>SUM(Y8:Y12)</f>
        <v/>
      </c>
      <c r="Z13" s="324">
        <f>SUM(Z8:Z12)</f>
        <v/>
      </c>
      <c r="AA13" s="318">
        <f>O13+P13+Q13+R13+S13-T13+V13+W13+X13+Y13+Z13+U13</f>
        <v/>
      </c>
    </row>
    <row r="14" ht="18" customHeight="1">
      <c r="A14" s="85" t="inlineStr">
        <is>
          <t>三、本年增减变动金额（减少以“-”号填列）</t>
        </is>
      </c>
      <c r="B14" s="317">
        <f>B15+B16+B21+B26+B33+B36</f>
        <v/>
      </c>
      <c r="C14" s="317">
        <f>C15+C16+C21+C26+C33+C36</f>
        <v/>
      </c>
      <c r="D14" s="317">
        <f>D15+D16+D21+D26+D33+D36</f>
        <v/>
      </c>
      <c r="E14" s="317">
        <f>E15+E16+E21+E26+E33+E36</f>
        <v/>
      </c>
      <c r="F14" s="317">
        <f>F15+F16+F21+F26+F33+F36</f>
        <v/>
      </c>
      <c r="G14" s="317">
        <f>G15+G16+G21+G26+G33+G36</f>
        <v/>
      </c>
      <c r="H14" s="317">
        <f>H15+H16+H21+H26+H33+H36</f>
        <v/>
      </c>
      <c r="I14" s="317">
        <f>I15+I16+I21+I26+I33+I36</f>
        <v/>
      </c>
      <c r="J14" s="317">
        <f>J15+J16+J21+J26+J33+J36</f>
        <v/>
      </c>
      <c r="K14" s="317">
        <f>K15+K16+K21+K26+K33+K36</f>
        <v/>
      </c>
      <c r="L14" s="317">
        <f>L15+L16+L21+L26+L33+L36</f>
        <v/>
      </c>
      <c r="M14" s="317">
        <f>M15+M16+M21+M26+M33+M36</f>
        <v/>
      </c>
      <c r="N14" s="318">
        <f>B14+C14+D14+E14+F14-G14+H14+I14+J14+K14+L14+M14</f>
        <v/>
      </c>
      <c r="O14" s="324">
        <f>O15+O16+O21+O26+O33+O36</f>
        <v/>
      </c>
      <c r="P14" s="324">
        <f>P15+P16+P21+P26+P33+P36</f>
        <v/>
      </c>
      <c r="Q14" s="324">
        <f>Q15+Q16+Q21+Q26+Q33+Q36</f>
        <v/>
      </c>
      <c r="R14" s="324">
        <f>R15+R16+R21+R26+R33+R36</f>
        <v/>
      </c>
      <c r="S14" s="324">
        <f>S15+S16+S21+S26+S33+S36</f>
        <v/>
      </c>
      <c r="T14" s="324">
        <f>T15+T16+T21+T26+T33+T36</f>
        <v/>
      </c>
      <c r="U14" s="324">
        <f>U15+U16+U21+U26+U33+U36</f>
        <v/>
      </c>
      <c r="V14" s="324">
        <f>V15+V16+V21+V26+V33+V36</f>
        <v/>
      </c>
      <c r="W14" s="324">
        <f>W15+W16+W21+W26+W33+W36</f>
        <v/>
      </c>
      <c r="X14" s="324">
        <f>X15+X16+X21+X26+X33+X36</f>
        <v/>
      </c>
      <c r="Y14" s="324">
        <f>Y15+Y16+Y21+Y26+Y33+Y36</f>
        <v/>
      </c>
      <c r="Z14" s="324">
        <f>Z15+Z16+Z21+Z26+Z33+Z36</f>
        <v/>
      </c>
      <c r="AA14" s="318">
        <f>O14+P14+Q14+R14+S14-T14+V14+W14+X14+Y14+Z14+U14</f>
        <v/>
      </c>
    </row>
    <row r="15" ht="18" customFormat="1" customHeight="1" s="58">
      <c r="A15" s="42" t="inlineStr">
        <is>
          <t>（一）综合收益总额</t>
        </is>
      </c>
      <c r="B15" s="317" t="inlineStr">
        <is>
          <t>{{eq:EQ-008:current_year:share_capital}}</t>
        </is>
      </c>
      <c r="C15" s="317" t="inlineStr">
        <is>
          <t>{{eq:EQ-008:current_year:other_equity_instrument}}</t>
        </is>
      </c>
      <c r="D15" s="317" t="n"/>
      <c r="E15" s="317" t="n"/>
      <c r="F15" s="317" t="inlineStr">
        <is>
          <t>{{eq:EQ-008:current_year:capital_reserve}}</t>
        </is>
      </c>
      <c r="G15" s="317" t="inlineStr">
        <is>
          <t>{{eq:EQ-008:current_year:treasury_stock}}</t>
        </is>
      </c>
      <c r="H15" s="317" t="inlineStr">
        <is>
          <t>{{eq:EQ-008:current_year:other_comprehensive_income}}</t>
        </is>
      </c>
      <c r="I15" s="324" t="inlineStr">
        <is>
          <t>{{eq:EQ-008:current_year:special_reserve}}</t>
        </is>
      </c>
      <c r="J15" s="317" t="inlineStr">
        <is>
          <t>{{eq:EQ-008:current_year:surplus_reserve}}</t>
        </is>
      </c>
      <c r="K15" s="317" t="inlineStr">
        <is>
          <t>{{eq:EQ-008:current_year:general_risk_reserve}}</t>
        </is>
      </c>
      <c r="L15" s="317" t="inlineStr">
        <is>
          <t>{{eq:EQ-008:current_year:retained_earnings}}</t>
        </is>
      </c>
      <c r="M15" s="317" t="inlineStr">
        <is>
          <t>{{eq:EQ-008:current_year:minority_interest}}</t>
        </is>
      </c>
      <c r="N15" s="318">
        <f>B15+C15+D15+E15+F15-G15+H15+I15+J15+K15+L15+M15</f>
        <v/>
      </c>
      <c r="O15" s="324" t="inlineStr">
        <is>
          <t>{{eq:EQ-008:prior_year:share_capital}}</t>
        </is>
      </c>
      <c r="P15" s="324" t="inlineStr">
        <is>
          <t>{{eq:EQ-008:prior_year:other_equity_instrument}}</t>
        </is>
      </c>
      <c r="Q15" s="324" t="n"/>
      <c r="R15" s="324" t="n"/>
      <c r="S15" s="317" t="inlineStr">
        <is>
          <t>{{eq:EQ-008:prior_year:capital_reserve}}</t>
        </is>
      </c>
      <c r="T15" s="318" t="inlineStr">
        <is>
          <t>{{eq:EQ-008:prior_year:treasury_stock}}</t>
        </is>
      </c>
      <c r="U15" s="317" t="inlineStr">
        <is>
          <t>{{eq:EQ-008:prior_year:other_comprehensive_income}}</t>
        </is>
      </c>
      <c r="V15" s="317" t="inlineStr">
        <is>
          <t>{{eq:EQ-008:prior_year:special_reserve}}</t>
        </is>
      </c>
      <c r="W15" s="324" t="inlineStr">
        <is>
          <t>{{eq:EQ-008:prior_year:surplus_reserve}}</t>
        </is>
      </c>
      <c r="X15" s="317" t="inlineStr">
        <is>
          <t>{{eq:EQ-008:prior_year:general_risk_reserve}}</t>
        </is>
      </c>
      <c r="Y15" s="317" t="inlineStr">
        <is>
          <t>{{eq:EQ-008:prior_year:retained_earnings}}</t>
        </is>
      </c>
      <c r="Z15" s="317" t="inlineStr">
        <is>
          <t>{{eq:EQ-008:prior_year:minority_interest}}</t>
        </is>
      </c>
      <c r="AA15" s="318">
        <f>O15+P15+Q15+R15+S15-T15+V15+W15+X15+Y15+Z15+U15</f>
        <v/>
      </c>
    </row>
    <row r="16" ht="18" customFormat="1" customHeight="1" s="58">
      <c r="A16" s="42" t="inlineStr">
        <is>
          <t>（二）股东（或所有者）投入和减少资本</t>
        </is>
      </c>
      <c r="B16" s="317">
        <f>SUM(B17:B20)</f>
        <v/>
      </c>
      <c r="C16" s="317">
        <f>SUM(C17:C20)</f>
        <v/>
      </c>
      <c r="D16" s="317">
        <f>SUM(D17:D20)</f>
        <v/>
      </c>
      <c r="E16" s="317">
        <f>SUM(E17:E20)</f>
        <v/>
      </c>
      <c r="F16" s="317">
        <f>SUM(F17:F20)</f>
        <v/>
      </c>
      <c r="G16" s="317">
        <f>SUM(G17:G20)</f>
        <v/>
      </c>
      <c r="H16" s="317">
        <f>SUM(H17:H20)</f>
        <v/>
      </c>
      <c r="I16" s="324">
        <f>SUM(I17:I20)</f>
        <v/>
      </c>
      <c r="J16" s="317">
        <f>SUM(J17:J20)</f>
        <v/>
      </c>
      <c r="K16" s="317">
        <f>SUM(K17:K20)</f>
        <v/>
      </c>
      <c r="L16" s="317">
        <f>SUM(L17:L20)</f>
        <v/>
      </c>
      <c r="M16" s="317">
        <f>SUM(M17:M20)</f>
        <v/>
      </c>
      <c r="N16" s="318">
        <f>B16+C16+D16+E16+F16-G16+H16+I16+J16+K16+L16+M16</f>
        <v/>
      </c>
      <c r="O16" s="324">
        <f>SUM(O17:O20)</f>
        <v/>
      </c>
      <c r="P16" s="324">
        <f>SUM(P17:P20)</f>
        <v/>
      </c>
      <c r="Q16" s="324">
        <f>SUM(Q17:Q20)</f>
        <v/>
      </c>
      <c r="R16" s="324">
        <f>SUM(R17:R20)</f>
        <v/>
      </c>
      <c r="S16" s="317">
        <f>SUM(S17:S20)</f>
        <v/>
      </c>
      <c r="T16" s="318">
        <f>SUM(T17:T20)</f>
        <v/>
      </c>
      <c r="U16" s="318">
        <f>SUM(U17:U20)</f>
        <v/>
      </c>
      <c r="V16" s="317">
        <f>SUM(V17:V20)</f>
        <v/>
      </c>
      <c r="W16" s="324">
        <f>SUM(W17:W20)</f>
        <v/>
      </c>
      <c r="X16" s="317">
        <f>SUM(X17:X20)</f>
        <v/>
      </c>
      <c r="Y16" s="317">
        <f>SUM(Y17:Y20)</f>
        <v/>
      </c>
      <c r="Z16" s="317">
        <f>SUM(Z17:Z20)</f>
        <v/>
      </c>
      <c r="AA16" s="318">
        <f>O16+P16+Q16+R16+S16-T16+V16+W16+X16+Y16+Z16+U16</f>
        <v/>
      </c>
    </row>
    <row r="17" ht="18" customFormat="1" customHeight="1" s="58">
      <c r="A17" s="42" t="inlineStr">
        <is>
          <t xml:space="preserve"> 1．股东投入的普通股</t>
        </is>
      </c>
      <c r="B17" s="317" t="inlineStr">
        <is>
          <t>{{eq:EQ-010:current_year:share_capital}}</t>
        </is>
      </c>
      <c r="C17" s="324" t="inlineStr">
        <is>
          <t>{{eq:EQ-010:current_year:other_equity_instrument}}</t>
        </is>
      </c>
      <c r="D17" s="324" t="n"/>
      <c r="E17" s="324" t="n"/>
      <c r="F17" s="324" t="inlineStr">
        <is>
          <t>{{eq:EQ-010:current_year:capital_reserve}}</t>
        </is>
      </c>
      <c r="G17" s="317" t="inlineStr">
        <is>
          <t>{{eq:EQ-010:current_year:treasury_stock}}</t>
        </is>
      </c>
      <c r="H17" s="317" t="inlineStr">
        <is>
          <t>{{eq:EQ-010:current_year:other_comprehensive_income}}</t>
        </is>
      </c>
      <c r="I17" s="321" t="inlineStr">
        <is>
          <t>{{eq:EQ-010:current_year:special_reserve}}</t>
        </is>
      </c>
      <c r="J17" s="317" t="inlineStr">
        <is>
          <t>{{eq:EQ-010:current_year:surplus_reserve}}</t>
        </is>
      </c>
      <c r="K17" s="317" t="inlineStr">
        <is>
          <t>{{eq:EQ-010:current_year:general_risk_reserve}}</t>
        </is>
      </c>
      <c r="L17" s="317" t="inlineStr">
        <is>
          <t>{{eq:EQ-010:current_year:retained_earnings}}</t>
        </is>
      </c>
      <c r="M17" s="317" t="inlineStr">
        <is>
          <t>{{eq:EQ-010:current_year:minority_interest}}</t>
        </is>
      </c>
      <c r="N17" s="318">
        <f>B17+C17+D17+E17+F17-G17+H17+I17+J17+K17+L17+M17</f>
        <v/>
      </c>
      <c r="O17" s="324" t="inlineStr">
        <is>
          <t>{{eq:EQ-010:prior_year:share_capital}}</t>
        </is>
      </c>
      <c r="P17" s="324" t="inlineStr">
        <is>
          <t>{{eq:EQ-010:prior_year:other_equity_instrument}}</t>
        </is>
      </c>
      <c r="Q17" s="324" t="n"/>
      <c r="R17" s="324" t="n"/>
      <c r="S17" s="324" t="inlineStr">
        <is>
          <t>{{eq:EQ-010:prior_year:capital_reserve}}</t>
        </is>
      </c>
      <c r="T17" s="321" t="inlineStr">
        <is>
          <t>{{eq:EQ-010:prior_year:treasury_stock}}</t>
        </is>
      </c>
      <c r="U17" s="317" t="inlineStr">
        <is>
          <t>{{eq:EQ-010:prior_year:other_comprehensive_income}}</t>
        </is>
      </c>
      <c r="V17" s="317" t="inlineStr">
        <is>
          <t>{{eq:EQ-010:prior_year:special_reserve}}</t>
        </is>
      </c>
      <c r="W17" s="324" t="inlineStr">
        <is>
          <t>{{eq:EQ-010:prior_year:surplus_reserve}}</t>
        </is>
      </c>
      <c r="X17" s="317" t="inlineStr">
        <is>
          <t>{{eq:EQ-010:prior_year:general_risk_reserve}}</t>
        </is>
      </c>
      <c r="Y17" s="317" t="inlineStr">
        <is>
          <t>{{eq:EQ-010:prior_year:retained_earnings}}</t>
        </is>
      </c>
      <c r="Z17" s="317" t="inlineStr">
        <is>
          <t>{{eq:EQ-010:prior_year:minority_interest}}</t>
        </is>
      </c>
      <c r="AA17" s="318">
        <f>O17+P17+Q17+R17+S17-T17+V17+W17+X17+Y17+Z17+U17</f>
        <v/>
      </c>
    </row>
    <row r="18" ht="18" customFormat="1" customHeight="1" s="58">
      <c r="A18" s="42" t="inlineStr">
        <is>
          <t xml:space="preserve"> 2.  其他权益工具持有者投入资本</t>
        </is>
      </c>
      <c r="B18" s="317" t="inlineStr">
        <is>
          <t>{{eq:EQ-011:current_year:share_capital}}</t>
        </is>
      </c>
      <c r="C18" s="324" t="inlineStr">
        <is>
          <t>{{eq:EQ-011:current_year:other_equity_instrument}}</t>
        </is>
      </c>
      <c r="D18" s="324" t="n"/>
      <c r="E18" s="324" t="n"/>
      <c r="F18" s="324" t="inlineStr">
        <is>
          <t>{{eq:EQ-011:current_year:capital_reserve}}</t>
        </is>
      </c>
      <c r="G18" s="317" t="inlineStr">
        <is>
          <t>{{eq:EQ-011:current_year:treasury_stock}}</t>
        </is>
      </c>
      <c r="H18" s="317" t="inlineStr">
        <is>
          <t>{{eq:EQ-011:current_year:other_comprehensive_income}}</t>
        </is>
      </c>
      <c r="I18" s="321" t="inlineStr">
        <is>
          <t>{{eq:EQ-011:current_year:special_reserve}}</t>
        </is>
      </c>
      <c r="J18" s="317" t="inlineStr">
        <is>
          <t>{{eq:EQ-011:current_year:surplus_reserve}}</t>
        </is>
      </c>
      <c r="K18" s="317" t="inlineStr">
        <is>
          <t>{{eq:EQ-011:current_year:general_risk_reserve}}</t>
        </is>
      </c>
      <c r="L18" s="317" t="inlineStr">
        <is>
          <t>{{eq:EQ-011:current_year:retained_earnings}}</t>
        </is>
      </c>
      <c r="M18" s="317" t="inlineStr">
        <is>
          <t>{{eq:EQ-011:current_year:minority_interest}}</t>
        </is>
      </c>
      <c r="N18" s="318">
        <f>B18+C18+D18+E18+F18-G18+H18+I18+J18+K18+L18+M18</f>
        <v/>
      </c>
      <c r="O18" s="324" t="inlineStr">
        <is>
          <t>{{eq:EQ-011:prior_year:share_capital}}</t>
        </is>
      </c>
      <c r="P18" s="324" t="inlineStr">
        <is>
          <t>{{eq:EQ-011:prior_year:other_equity_instrument}}</t>
        </is>
      </c>
      <c r="Q18" s="324" t="n"/>
      <c r="R18" s="324" t="n"/>
      <c r="S18" s="324" t="inlineStr">
        <is>
          <t>{{eq:EQ-011:prior_year:capital_reserve}}</t>
        </is>
      </c>
      <c r="T18" s="321" t="inlineStr">
        <is>
          <t>{{eq:EQ-011:prior_year:treasury_stock}}</t>
        </is>
      </c>
      <c r="U18" s="317" t="inlineStr">
        <is>
          <t>{{eq:EQ-011:prior_year:other_comprehensive_income}}</t>
        </is>
      </c>
      <c r="V18" s="317" t="inlineStr">
        <is>
          <t>{{eq:EQ-011:prior_year:special_reserve}}</t>
        </is>
      </c>
      <c r="W18" s="324" t="inlineStr">
        <is>
          <t>{{eq:EQ-011:prior_year:surplus_reserve}}</t>
        </is>
      </c>
      <c r="X18" s="317" t="inlineStr">
        <is>
          <t>{{eq:EQ-011:prior_year:general_risk_reserve}}</t>
        </is>
      </c>
      <c r="Y18" s="317" t="inlineStr">
        <is>
          <t>{{eq:EQ-011:prior_year:retained_earnings}}</t>
        </is>
      </c>
      <c r="Z18" s="317" t="inlineStr">
        <is>
          <t>{{eq:EQ-011:prior_year:minority_interest}}</t>
        </is>
      </c>
      <c r="AA18" s="318">
        <f>O18+P18+Q18+R18+S18-T18+V18+W18+X18+Y18+Z18+U18</f>
        <v/>
      </c>
    </row>
    <row r="19" ht="18" customFormat="1" customHeight="1" s="58">
      <c r="A19" s="42" t="inlineStr">
        <is>
          <t xml:space="preserve"> 3．股份支付计入股东权益的金额</t>
        </is>
      </c>
      <c r="B19" s="317" t="inlineStr">
        <is>
          <t>{{eq:EQ-012:current_year:share_capital}}</t>
        </is>
      </c>
      <c r="C19" s="324" t="inlineStr">
        <is>
          <t>{{eq:EQ-012:current_year:other_equity_instrument}}</t>
        </is>
      </c>
      <c r="D19" s="324" t="n"/>
      <c r="E19" s="324" t="n"/>
      <c r="F19" s="324" t="inlineStr">
        <is>
          <t>{{eq:EQ-012:current_year:capital_reserve}}</t>
        </is>
      </c>
      <c r="G19" s="317" t="inlineStr">
        <is>
          <t>{{eq:EQ-012:current_year:treasury_stock}}</t>
        </is>
      </c>
      <c r="H19" s="317" t="inlineStr">
        <is>
          <t>{{eq:EQ-012:current_year:other_comprehensive_income}}</t>
        </is>
      </c>
      <c r="I19" s="321" t="inlineStr">
        <is>
          <t>{{eq:EQ-012:current_year:special_reserve}}</t>
        </is>
      </c>
      <c r="J19" s="317" t="inlineStr">
        <is>
          <t>{{eq:EQ-012:current_year:surplus_reserve}}</t>
        </is>
      </c>
      <c r="K19" s="317" t="inlineStr">
        <is>
          <t>{{eq:EQ-012:current_year:general_risk_reserve}}</t>
        </is>
      </c>
      <c r="L19" s="317" t="inlineStr">
        <is>
          <t>{{eq:EQ-012:current_year:retained_earnings}}</t>
        </is>
      </c>
      <c r="M19" s="317" t="inlineStr">
        <is>
          <t>{{eq:EQ-012:current_year:minority_interest}}</t>
        </is>
      </c>
      <c r="N19" s="318">
        <f>B19+C19+D19+E19+F19-G19+H19+I19+J19+K19+L19+M19</f>
        <v/>
      </c>
      <c r="O19" s="324" t="inlineStr">
        <is>
          <t>{{eq:EQ-012:prior_year:share_capital}}</t>
        </is>
      </c>
      <c r="P19" s="324" t="inlineStr">
        <is>
          <t>{{eq:EQ-012:prior_year:other_equity_instrument}}</t>
        </is>
      </c>
      <c r="Q19" s="324" t="n"/>
      <c r="R19" s="324" t="n"/>
      <c r="S19" s="324" t="inlineStr">
        <is>
          <t>{{eq:EQ-012:prior_year:capital_reserve}}</t>
        </is>
      </c>
      <c r="T19" s="321" t="inlineStr">
        <is>
          <t>{{eq:EQ-012:prior_year:treasury_stock}}</t>
        </is>
      </c>
      <c r="U19" s="317" t="inlineStr">
        <is>
          <t>{{eq:EQ-012:prior_year:other_comprehensive_income}}</t>
        </is>
      </c>
      <c r="V19" s="317" t="inlineStr">
        <is>
          <t>{{eq:EQ-012:prior_year:special_reserve}}</t>
        </is>
      </c>
      <c r="W19" s="324" t="inlineStr">
        <is>
          <t>{{eq:EQ-012:prior_year:surplus_reserve}}</t>
        </is>
      </c>
      <c r="X19" s="317" t="inlineStr">
        <is>
          <t>{{eq:EQ-012:prior_year:general_risk_reserve}}</t>
        </is>
      </c>
      <c r="Y19" s="317" t="inlineStr">
        <is>
          <t>{{eq:EQ-012:prior_year:retained_earnings}}</t>
        </is>
      </c>
      <c r="Z19" s="317" t="inlineStr">
        <is>
          <t>{{eq:EQ-012:prior_year:minority_interest}}</t>
        </is>
      </c>
      <c r="AA19" s="318">
        <f>O19+P19+Q19+R19+S19-T19+V19+W19+X19+Y19+Z19+U19</f>
        <v/>
      </c>
    </row>
    <row r="20" ht="18" customHeight="1">
      <c r="A20" s="42" t="inlineStr">
        <is>
          <t xml:space="preserve"> 4．其他</t>
        </is>
      </c>
      <c r="B20" s="317" t="inlineStr">
        <is>
          <t>{{eq:EQ-013:current_year:share_capital}}</t>
        </is>
      </c>
      <c r="C20" s="324" t="inlineStr">
        <is>
          <t>{{eq:EQ-013:current_year:other_equity_instrument}}</t>
        </is>
      </c>
      <c r="D20" s="324" t="n"/>
      <c r="E20" s="324" t="n"/>
      <c r="F20" s="324" t="inlineStr">
        <is>
          <t>{{eq:EQ-013:current_year:capital_reserve}}</t>
        </is>
      </c>
      <c r="G20" s="317" t="inlineStr">
        <is>
          <t>{{eq:EQ-013:current_year:treasury_stock}}</t>
        </is>
      </c>
      <c r="H20" s="317" t="inlineStr">
        <is>
          <t>{{eq:EQ-013:current_year:other_comprehensive_income}}</t>
        </is>
      </c>
      <c r="I20" s="321" t="inlineStr">
        <is>
          <t>{{eq:EQ-013:current_year:special_reserve}}</t>
        </is>
      </c>
      <c r="J20" s="317" t="inlineStr">
        <is>
          <t>{{eq:EQ-013:current_year:surplus_reserve}}</t>
        </is>
      </c>
      <c r="K20" s="317" t="inlineStr">
        <is>
          <t>{{eq:EQ-013:current_year:general_risk_reserve}}</t>
        </is>
      </c>
      <c r="L20" s="317" t="inlineStr">
        <is>
          <t>{{eq:EQ-013:current_year:retained_earnings}}</t>
        </is>
      </c>
      <c r="M20" s="317" t="inlineStr">
        <is>
          <t>{{eq:EQ-013:current_year:minority_interest}}</t>
        </is>
      </c>
      <c r="N20" s="318">
        <f>B20+C20+D20+E20+F20-G20+H20+I20+J20+K20+L20+M20</f>
        <v/>
      </c>
      <c r="O20" s="324" t="inlineStr">
        <is>
          <t>{{eq:EQ-013:prior_year:share_capital}}</t>
        </is>
      </c>
      <c r="P20" s="324" t="inlineStr">
        <is>
          <t>{{eq:EQ-013:prior_year:other_equity_instrument}}</t>
        </is>
      </c>
      <c r="Q20" s="324" t="n"/>
      <c r="R20" s="324" t="n"/>
      <c r="S20" s="324" t="inlineStr">
        <is>
          <t>{{eq:EQ-013:prior_year:capital_reserve}}</t>
        </is>
      </c>
      <c r="T20" s="321" t="inlineStr">
        <is>
          <t>{{eq:EQ-013:prior_year:treasury_stock}}</t>
        </is>
      </c>
      <c r="U20" s="317" t="inlineStr">
        <is>
          <t>{{eq:EQ-013:prior_year:other_comprehensive_income}}</t>
        </is>
      </c>
      <c r="V20" s="317" t="inlineStr">
        <is>
          <t>{{eq:EQ-013:prior_year:special_reserve}}</t>
        </is>
      </c>
      <c r="W20" s="324" t="inlineStr">
        <is>
          <t>{{eq:EQ-013:prior_year:surplus_reserve}}</t>
        </is>
      </c>
      <c r="X20" s="317" t="inlineStr">
        <is>
          <t>{{eq:EQ-013:prior_year:general_risk_reserve}}</t>
        </is>
      </c>
      <c r="Y20" s="317" t="inlineStr">
        <is>
          <t>{{eq:EQ-013:prior_year:retained_earnings}}</t>
        </is>
      </c>
      <c r="Z20" s="317" t="inlineStr">
        <is>
          <t>{{eq:EQ-013:prior_year:minority_interest}}</t>
        </is>
      </c>
      <c r="AA20" s="318">
        <f>O20+P20+Q20+R20+S20-T20+V20+W20+X20+Y20+Z20+U20</f>
        <v/>
      </c>
    </row>
    <row r="21" ht="18" customHeight="1">
      <c r="A21" s="42" t="inlineStr">
        <is>
          <t>（三）利润分配</t>
        </is>
      </c>
      <c r="B21" s="317">
        <f>SUM(B22:B25)</f>
        <v/>
      </c>
      <c r="C21" s="317">
        <f>SUM(C22:C25)</f>
        <v/>
      </c>
      <c r="D21" s="317">
        <f>SUM(D22:D25)</f>
        <v/>
      </c>
      <c r="E21" s="317">
        <f>SUM(E22:E25)</f>
        <v/>
      </c>
      <c r="F21" s="317">
        <f>SUM(F22:F25)</f>
        <v/>
      </c>
      <c r="G21" s="317">
        <f>SUM(G22:G25)</f>
        <v/>
      </c>
      <c r="H21" s="317">
        <f>SUM(H22:H25)</f>
        <v/>
      </c>
      <c r="I21" s="324">
        <f>SUM(I22:I25)</f>
        <v/>
      </c>
      <c r="J21" s="317">
        <f>SUM(J22:J25)</f>
        <v/>
      </c>
      <c r="K21" s="317">
        <f>SUM(K22:K25)</f>
        <v/>
      </c>
      <c r="L21" s="317">
        <f>SUM(L22:L25)</f>
        <v/>
      </c>
      <c r="M21" s="317">
        <f>SUM(M22:M25)</f>
        <v/>
      </c>
      <c r="N21" s="318">
        <f>B21+C21+D21+E21+F21-G21+H21+I21+J21+K21+L21+M21</f>
        <v/>
      </c>
      <c r="O21" s="324">
        <f>SUM(O22:O25)</f>
        <v/>
      </c>
      <c r="P21" s="324">
        <f>SUM(P22:P25)</f>
        <v/>
      </c>
      <c r="Q21" s="324">
        <f>SUM(Q22:Q25)</f>
        <v/>
      </c>
      <c r="R21" s="324">
        <f>SUM(R22:R25)</f>
        <v/>
      </c>
      <c r="S21" s="317">
        <f>SUM(S22:S25)</f>
        <v/>
      </c>
      <c r="T21" s="318">
        <f>SUM(T22:T25)</f>
        <v/>
      </c>
      <c r="U21" s="317">
        <f>SUM(U22:U25)</f>
        <v/>
      </c>
      <c r="V21" s="317">
        <f>SUM(V22:V25)</f>
        <v/>
      </c>
      <c r="W21" s="324">
        <f>SUM(W22:W25)</f>
        <v/>
      </c>
      <c r="X21" s="317">
        <f>SUM(X22:X25)</f>
        <v/>
      </c>
      <c r="Y21" s="317">
        <f>SUM(Y22:Y25)</f>
        <v/>
      </c>
      <c r="Z21" s="317">
        <f>SUM(Z22:Z25)</f>
        <v/>
      </c>
      <c r="AA21" s="318">
        <f>O21+P21+Q21+R21+S21-T21+V21+W21+X21+Y21+Z21+U21</f>
        <v/>
      </c>
    </row>
    <row r="22" ht="18" customHeight="1">
      <c r="A22" s="42" t="inlineStr">
        <is>
          <t xml:space="preserve"> 1．提取盈余公积</t>
        </is>
      </c>
      <c r="B22" s="317" t="inlineStr">
        <is>
          <t>{{eq:EQ-015:current_year:share_capital}}</t>
        </is>
      </c>
      <c r="C22" s="324" t="inlineStr">
        <is>
          <t>{{eq:EQ-015:current_year:other_equity_instrument}}</t>
        </is>
      </c>
      <c r="D22" s="324" t="n"/>
      <c r="E22" s="324" t="n"/>
      <c r="F22" s="324" t="inlineStr">
        <is>
          <t>{{eq:EQ-015:current_year:capital_reserve}}</t>
        </is>
      </c>
      <c r="G22" s="317" t="inlineStr">
        <is>
          <t>{{eq:EQ-015:current_year:treasury_stock}}</t>
        </is>
      </c>
      <c r="H22" s="317" t="inlineStr">
        <is>
          <t>{{eq:EQ-015:current_year:other_comprehensive_income}}</t>
        </is>
      </c>
      <c r="I22" s="321" t="inlineStr">
        <is>
          <t>{{eq:EQ-015:current_year:special_reserve}}</t>
        </is>
      </c>
      <c r="J22" s="317" t="inlineStr">
        <is>
          <t>{{eq:EQ-015:current_year:surplus_reserve}}</t>
        </is>
      </c>
      <c r="K22" s="317" t="inlineStr">
        <is>
          <t>{{eq:EQ-015:current_year:general_risk_reserve}}</t>
        </is>
      </c>
      <c r="L22" s="317" t="inlineStr">
        <is>
          <t>{{eq:EQ-015:current_year:retained_earnings}}</t>
        </is>
      </c>
      <c r="M22" s="317" t="inlineStr">
        <is>
          <t>{{eq:EQ-015:current_year:minority_interest}}</t>
        </is>
      </c>
      <c r="N22" s="318">
        <f>B22+C22+D22+E22+F22-G22+H22+I22+J22+K22+L22+M22</f>
        <v/>
      </c>
      <c r="O22" s="324" t="inlineStr">
        <is>
          <t>{{eq:EQ-015:prior_year:share_capital}}</t>
        </is>
      </c>
      <c r="P22" s="324" t="inlineStr">
        <is>
          <t>{{eq:EQ-015:prior_year:other_equity_instrument}}</t>
        </is>
      </c>
      <c r="Q22" s="324" t="n"/>
      <c r="R22" s="324" t="n"/>
      <c r="S22" s="324" t="inlineStr">
        <is>
          <t>{{eq:EQ-015:prior_year:capital_reserve}}</t>
        </is>
      </c>
      <c r="T22" s="321" t="inlineStr">
        <is>
          <t>{{eq:EQ-015:prior_year:treasury_stock}}</t>
        </is>
      </c>
      <c r="U22" s="317" t="inlineStr">
        <is>
          <t>{{eq:EQ-015:prior_year:other_comprehensive_income}}</t>
        </is>
      </c>
      <c r="V22" s="317" t="inlineStr">
        <is>
          <t>{{eq:EQ-015:prior_year:special_reserve}}</t>
        </is>
      </c>
      <c r="W22" s="324" t="inlineStr">
        <is>
          <t>{{eq:EQ-015:prior_year:surplus_reserve}}</t>
        </is>
      </c>
      <c r="X22" s="317" t="inlineStr">
        <is>
          <t>{{eq:EQ-015:prior_year:general_risk_reserve}}</t>
        </is>
      </c>
      <c r="Y22" s="317" t="inlineStr">
        <is>
          <t>{{eq:EQ-015:prior_year:retained_earnings}}</t>
        </is>
      </c>
      <c r="Z22" s="317" t="inlineStr">
        <is>
          <t>{{eq:EQ-015:prior_year:minority_interest}}</t>
        </is>
      </c>
      <c r="AA22" s="318">
        <f>O22+P22+Q22+R22+S22-T22+V22+W22+X22+Y22+Z22+U22</f>
        <v/>
      </c>
    </row>
    <row r="23" ht="18" customHeight="1">
      <c r="A23" s="44" t="inlineStr">
        <is>
          <t xml:space="preserve"> 2．提取一般风险准备</t>
        </is>
      </c>
      <c r="B23" s="317" t="inlineStr">
        <is>
          <t>{{eq:EQ-016:current_year:share_capital}}</t>
        </is>
      </c>
      <c r="C23" s="324" t="inlineStr">
        <is>
          <t>{{eq:EQ-016:current_year:other_equity_instrument}}</t>
        </is>
      </c>
      <c r="D23" s="324" t="n"/>
      <c r="E23" s="324" t="n"/>
      <c r="F23" s="324" t="inlineStr">
        <is>
          <t>{{eq:EQ-016:current_year:capital_reserve}}</t>
        </is>
      </c>
      <c r="G23" s="317" t="inlineStr">
        <is>
          <t>{{eq:EQ-016:current_year:treasury_stock}}</t>
        </is>
      </c>
      <c r="H23" s="317" t="inlineStr">
        <is>
          <t>{{eq:EQ-016:current_year:other_comprehensive_income}}</t>
        </is>
      </c>
      <c r="I23" s="321" t="inlineStr">
        <is>
          <t>{{eq:EQ-016:current_year:special_reserve}}</t>
        </is>
      </c>
      <c r="J23" s="317" t="inlineStr">
        <is>
          <t>{{eq:EQ-016:current_year:surplus_reserve}}</t>
        </is>
      </c>
      <c r="K23" s="317" t="inlineStr">
        <is>
          <t>{{eq:EQ-016:current_year:general_risk_reserve}}</t>
        </is>
      </c>
      <c r="L23" s="317" t="inlineStr">
        <is>
          <t>{{eq:EQ-016:current_year:retained_earnings}}</t>
        </is>
      </c>
      <c r="M23" s="317" t="inlineStr">
        <is>
          <t>{{eq:EQ-016:current_year:minority_interest}}</t>
        </is>
      </c>
      <c r="N23" s="318" t="inlineStr">
        <is>
          <t>{{eq:EQ-016:current_year:total_equity}}</t>
        </is>
      </c>
      <c r="O23" s="324" t="inlineStr">
        <is>
          <t>{{eq:EQ-016:prior_year:share_capital}}</t>
        </is>
      </c>
      <c r="P23" s="324" t="inlineStr">
        <is>
          <t>{{eq:EQ-016:prior_year:other_equity_instrument}}</t>
        </is>
      </c>
      <c r="Q23" s="324" t="n"/>
      <c r="R23" s="324" t="n"/>
      <c r="S23" s="324" t="inlineStr">
        <is>
          <t>{{eq:EQ-016:prior_year:capital_reserve}}</t>
        </is>
      </c>
      <c r="T23" s="321" t="inlineStr">
        <is>
          <t>{{eq:EQ-016:prior_year:treasury_stock}}</t>
        </is>
      </c>
      <c r="U23" s="317" t="inlineStr">
        <is>
          <t>{{eq:EQ-016:prior_year:other_comprehensive_income}}</t>
        </is>
      </c>
      <c r="V23" s="317" t="inlineStr">
        <is>
          <t>{{eq:EQ-016:prior_year:special_reserve}}</t>
        </is>
      </c>
      <c r="W23" s="324" t="inlineStr">
        <is>
          <t>{{eq:EQ-016:prior_year:surplus_reserve}}</t>
        </is>
      </c>
      <c r="X23" s="317" t="inlineStr">
        <is>
          <t>{{eq:EQ-016:prior_year:general_risk_reserve}}</t>
        </is>
      </c>
      <c r="Y23" s="317" t="inlineStr">
        <is>
          <t>{{eq:EQ-016:prior_year:retained_earnings}}</t>
        </is>
      </c>
      <c r="Z23" s="317" t="inlineStr">
        <is>
          <t>{{eq:EQ-016:prior_year:minority_interest}}</t>
        </is>
      </c>
      <c r="AA23" s="318" t="inlineStr">
        <is>
          <t>{{eq:EQ-016:prior_year:total_equity}}</t>
        </is>
      </c>
    </row>
    <row r="24" ht="18" customFormat="1" customHeight="1" s="58">
      <c r="A24" s="42" t="inlineStr">
        <is>
          <t xml:space="preserve"> 3．对股东（或所有者）的分配</t>
        </is>
      </c>
      <c r="B24" s="317" t="inlineStr">
        <is>
          <t>{{eq:EQ-017:current_year:share_capital}}</t>
        </is>
      </c>
      <c r="C24" s="324" t="inlineStr">
        <is>
          <t>{{eq:EQ-017:current_year:other_equity_instrument}}</t>
        </is>
      </c>
      <c r="D24" s="324" t="n"/>
      <c r="E24" s="324" t="n"/>
      <c r="F24" s="324" t="inlineStr">
        <is>
          <t>{{eq:EQ-017:current_year:capital_reserve}}</t>
        </is>
      </c>
      <c r="G24" s="317" t="inlineStr">
        <is>
          <t>{{eq:EQ-017:current_year:treasury_stock}}</t>
        </is>
      </c>
      <c r="H24" s="317" t="inlineStr">
        <is>
          <t>{{eq:EQ-017:current_year:other_comprehensive_income}}</t>
        </is>
      </c>
      <c r="I24" s="321" t="inlineStr">
        <is>
          <t>{{eq:EQ-017:current_year:special_reserve}}</t>
        </is>
      </c>
      <c r="J24" s="317" t="inlineStr">
        <is>
          <t>{{eq:EQ-017:current_year:surplus_reserve}}</t>
        </is>
      </c>
      <c r="K24" s="317" t="inlineStr">
        <is>
          <t>{{eq:EQ-017:current_year:general_risk_reserve}}</t>
        </is>
      </c>
      <c r="L24" s="317" t="inlineStr">
        <is>
          <t>{{eq:EQ-017:current_year:retained_earnings}}</t>
        </is>
      </c>
      <c r="M24" s="317" t="inlineStr">
        <is>
          <t>{{eq:EQ-017:current_year:minority_interest}}</t>
        </is>
      </c>
      <c r="N24" s="318">
        <f>B24+C24+D24+E24+F24-G24+H24+I24+J24+K24+L24+M24</f>
        <v/>
      </c>
      <c r="O24" s="324" t="inlineStr">
        <is>
          <t>{{eq:EQ-017:prior_year:share_capital}}</t>
        </is>
      </c>
      <c r="P24" s="324" t="inlineStr">
        <is>
          <t>{{eq:EQ-017:prior_year:other_equity_instrument}}</t>
        </is>
      </c>
      <c r="Q24" s="324" t="n"/>
      <c r="R24" s="324" t="n"/>
      <c r="S24" s="324" t="inlineStr">
        <is>
          <t>{{eq:EQ-017:prior_year:capital_reserve}}</t>
        </is>
      </c>
      <c r="T24" s="321" t="inlineStr">
        <is>
          <t>{{eq:EQ-017:prior_year:treasury_stock}}</t>
        </is>
      </c>
      <c r="U24" s="317" t="inlineStr">
        <is>
          <t>{{eq:EQ-017:prior_year:other_comprehensive_income}}</t>
        </is>
      </c>
      <c r="V24" s="317" t="inlineStr">
        <is>
          <t>{{eq:EQ-017:prior_year:special_reserve}}</t>
        </is>
      </c>
      <c r="W24" s="324" t="inlineStr">
        <is>
          <t>{{eq:EQ-017:prior_year:surplus_reserve}}</t>
        </is>
      </c>
      <c r="X24" s="317" t="inlineStr">
        <is>
          <t>{{eq:EQ-017:prior_year:general_risk_reserve}}</t>
        </is>
      </c>
      <c r="Y24" s="317" t="inlineStr">
        <is>
          <t>{{eq:EQ-017:prior_year:retained_earnings}}</t>
        </is>
      </c>
      <c r="Z24" s="317" t="inlineStr">
        <is>
          <t>{{eq:EQ-017:prior_year:minority_interest}}</t>
        </is>
      </c>
      <c r="AA24" s="318">
        <f>O24+P24+Q24+R24+S24-T24+V24+W24+X24+Y24+Z24+U24</f>
        <v/>
      </c>
    </row>
    <row r="25" ht="18" customFormat="1" customHeight="1" s="58">
      <c r="A25" s="42" t="inlineStr">
        <is>
          <t xml:space="preserve"> 4．其他</t>
        </is>
      </c>
      <c r="B25" s="317" t="inlineStr">
        <is>
          <t>{{eq:EQ-013:current_year:share_capital}}</t>
        </is>
      </c>
      <c r="C25" s="324" t="inlineStr">
        <is>
          <t>{{eq:EQ-013:current_year:other_equity_instrument}}</t>
        </is>
      </c>
      <c r="D25" s="324" t="n"/>
      <c r="E25" s="324" t="n"/>
      <c r="F25" s="324" t="inlineStr">
        <is>
          <t>{{eq:EQ-013:current_year:capital_reserve}}</t>
        </is>
      </c>
      <c r="G25" s="317" t="inlineStr">
        <is>
          <t>{{eq:EQ-013:current_year:treasury_stock}}</t>
        </is>
      </c>
      <c r="H25" s="317" t="inlineStr">
        <is>
          <t>{{eq:EQ-013:current_year:other_comprehensive_income}}</t>
        </is>
      </c>
      <c r="I25" s="321" t="inlineStr">
        <is>
          <t>{{eq:EQ-013:current_year:special_reserve}}</t>
        </is>
      </c>
      <c r="J25" s="317" t="inlineStr">
        <is>
          <t>{{eq:EQ-013:current_year:surplus_reserve}}</t>
        </is>
      </c>
      <c r="K25" s="317" t="inlineStr">
        <is>
          <t>{{eq:EQ-013:current_year:general_risk_reserve}}</t>
        </is>
      </c>
      <c r="L25" s="317" t="inlineStr">
        <is>
          <t>{{eq:EQ-013:current_year:retained_earnings}}</t>
        </is>
      </c>
      <c r="M25" s="317" t="inlineStr">
        <is>
          <t>{{eq:EQ-013:current_year:minority_interest}}</t>
        </is>
      </c>
      <c r="N25" s="318">
        <f>B25+C25+D25+E25+F25-G25+H25+I25+J25+K25+L25+M25</f>
        <v/>
      </c>
      <c r="O25" s="324" t="inlineStr">
        <is>
          <t>{{eq:EQ-013:prior_year:share_capital}}</t>
        </is>
      </c>
      <c r="P25" s="324" t="inlineStr">
        <is>
          <t>{{eq:EQ-013:prior_year:other_equity_instrument}}</t>
        </is>
      </c>
      <c r="Q25" s="324" t="n"/>
      <c r="R25" s="324" t="n"/>
      <c r="S25" s="324" t="inlineStr">
        <is>
          <t>{{eq:EQ-013:prior_year:capital_reserve}}</t>
        </is>
      </c>
      <c r="T25" s="321" t="inlineStr">
        <is>
          <t>{{eq:EQ-013:prior_year:treasury_stock}}</t>
        </is>
      </c>
      <c r="U25" s="317" t="inlineStr">
        <is>
          <t>{{eq:EQ-013:prior_year:other_comprehensive_income}}</t>
        </is>
      </c>
      <c r="V25" s="317" t="inlineStr">
        <is>
          <t>{{eq:EQ-013:prior_year:special_reserve}}</t>
        </is>
      </c>
      <c r="W25" s="324" t="inlineStr">
        <is>
          <t>{{eq:EQ-013:prior_year:surplus_reserve}}</t>
        </is>
      </c>
      <c r="X25" s="317" t="inlineStr">
        <is>
          <t>{{eq:EQ-013:prior_year:general_risk_reserve}}</t>
        </is>
      </c>
      <c r="Y25" s="317" t="inlineStr">
        <is>
          <t>{{eq:EQ-013:prior_year:retained_earnings}}</t>
        </is>
      </c>
      <c r="Z25" s="317" t="inlineStr">
        <is>
          <t>{{eq:EQ-013:prior_year:minority_interest}}</t>
        </is>
      </c>
      <c r="AA25" s="318">
        <f>O25+P25+Q25+R25+S25-T25+V25+W25+X25+Y25+Z25+U25</f>
        <v/>
      </c>
    </row>
    <row r="26" ht="18" customFormat="1" customHeight="1" s="58">
      <c r="A26" s="42" t="inlineStr">
        <is>
          <t>（四）股东权益内部结转</t>
        </is>
      </c>
      <c r="B26" s="317">
        <f>SUM(B27:B32)</f>
        <v/>
      </c>
      <c r="C26" s="317">
        <f>SUM(C27:C32)</f>
        <v/>
      </c>
      <c r="D26" s="317">
        <f>SUM(D27:D32)</f>
        <v/>
      </c>
      <c r="E26" s="317">
        <f>SUM(E27:E32)</f>
        <v/>
      </c>
      <c r="F26" s="317">
        <f>SUM(F27:F32)</f>
        <v/>
      </c>
      <c r="G26" s="317">
        <f>SUM(G27:G32)</f>
        <v/>
      </c>
      <c r="H26" s="317">
        <f>SUM(H27:H32)</f>
        <v/>
      </c>
      <c r="I26" s="324">
        <f>SUM(I27:I32)</f>
        <v/>
      </c>
      <c r="J26" s="317">
        <f>SUM(J27:J32)</f>
        <v/>
      </c>
      <c r="K26" s="317">
        <f>SUM(K27:K32)</f>
        <v/>
      </c>
      <c r="L26" s="317">
        <f>SUM(L27:L32)</f>
        <v/>
      </c>
      <c r="M26" s="317">
        <f>SUM(M27:M32)</f>
        <v/>
      </c>
      <c r="N26" s="318">
        <f>B26+C26+D26+E26+F26-G26+H26+I26+J26+K26+L26+M26</f>
        <v/>
      </c>
      <c r="O26" s="324">
        <f>SUM(O27:O32)</f>
        <v/>
      </c>
      <c r="P26" s="324">
        <f>SUM(P27:P32)</f>
        <v/>
      </c>
      <c r="Q26" s="324">
        <f>SUM(Q27:Q32)</f>
        <v/>
      </c>
      <c r="R26" s="324">
        <f>SUM(R27:R32)</f>
        <v/>
      </c>
      <c r="S26" s="317">
        <f>SUM(S27:S32)</f>
        <v/>
      </c>
      <c r="T26" s="317">
        <f>SUM(T27:T32)</f>
        <v/>
      </c>
      <c r="U26" s="317">
        <f>SUM(U27:U32)</f>
        <v/>
      </c>
      <c r="V26" s="317">
        <f>SUM(V27:V32)</f>
        <v/>
      </c>
      <c r="W26" s="324">
        <f>SUM(W27:W32)</f>
        <v/>
      </c>
      <c r="X26" s="317">
        <f>SUM(X27:X32)</f>
        <v/>
      </c>
      <c r="Y26" s="317">
        <f>SUM(Y27:Y32)</f>
        <v/>
      </c>
      <c r="Z26" s="317">
        <f>SUM(Z27:Z32)</f>
        <v/>
      </c>
      <c r="AA26" s="318">
        <f>O26+P26+Q26+R26+S26-T26+V26+W26+X26+Y26+Z26+U26</f>
        <v/>
      </c>
    </row>
    <row r="27" ht="18" customHeight="1">
      <c r="A27" s="42" t="inlineStr">
        <is>
          <t xml:space="preserve"> 1．资本公积转增股本（或资本）</t>
        </is>
      </c>
      <c r="B27" s="317" t="inlineStr">
        <is>
          <t>{{eq:EQ-020:current_year:share_capital}}</t>
        </is>
      </c>
      <c r="C27" s="324" t="inlineStr">
        <is>
          <t>{{eq:EQ-020:current_year:other_equity_instrument}}</t>
        </is>
      </c>
      <c r="D27" s="324" t="n"/>
      <c r="E27" s="324" t="n"/>
      <c r="F27" s="324" t="inlineStr">
        <is>
          <t>{{eq:EQ-020:current_year:capital_reserve}}</t>
        </is>
      </c>
      <c r="G27" s="317" t="inlineStr">
        <is>
          <t>{{eq:EQ-020:current_year:treasury_stock}}</t>
        </is>
      </c>
      <c r="H27" s="317" t="inlineStr">
        <is>
          <t>{{eq:EQ-020:current_year:other_comprehensive_income}}</t>
        </is>
      </c>
      <c r="I27" s="321" t="inlineStr">
        <is>
          <t>{{eq:EQ-020:current_year:special_reserve}}</t>
        </is>
      </c>
      <c r="J27" s="317" t="inlineStr">
        <is>
          <t>{{eq:EQ-020:current_year:surplus_reserve}}</t>
        </is>
      </c>
      <c r="K27" s="317" t="inlineStr">
        <is>
          <t>{{eq:EQ-020:current_year:general_risk_reserve}}</t>
        </is>
      </c>
      <c r="L27" s="317" t="inlineStr">
        <is>
          <t>{{eq:EQ-020:current_year:retained_earnings}}</t>
        </is>
      </c>
      <c r="M27" s="317" t="inlineStr">
        <is>
          <t>{{eq:EQ-020:current_year:minority_interest}}</t>
        </is>
      </c>
      <c r="N27" s="318">
        <f>B27+C27+D27+E27+F27-G27+H27+I27+J27+K27+L27+M27</f>
        <v/>
      </c>
      <c r="O27" s="324" t="inlineStr">
        <is>
          <t>{{eq:EQ-020:prior_year:share_capital}}</t>
        </is>
      </c>
      <c r="P27" s="324" t="inlineStr">
        <is>
          <t>{{eq:EQ-020:prior_year:other_equity_instrument}}</t>
        </is>
      </c>
      <c r="Q27" s="324" t="n"/>
      <c r="R27" s="324" t="n"/>
      <c r="S27" s="324" t="inlineStr">
        <is>
          <t>{{eq:EQ-020:prior_year:capital_reserve}}</t>
        </is>
      </c>
      <c r="T27" s="321" t="inlineStr">
        <is>
          <t>{{eq:EQ-020:prior_year:treasury_stock}}</t>
        </is>
      </c>
      <c r="U27" s="317" t="inlineStr">
        <is>
          <t>{{eq:EQ-020:prior_year:other_comprehensive_income}}</t>
        </is>
      </c>
      <c r="V27" s="317" t="inlineStr">
        <is>
          <t>{{eq:EQ-020:prior_year:special_reserve}}</t>
        </is>
      </c>
      <c r="W27" s="324" t="inlineStr">
        <is>
          <t>{{eq:EQ-020:prior_year:surplus_reserve}}</t>
        </is>
      </c>
      <c r="X27" s="317" t="inlineStr">
        <is>
          <t>{{eq:EQ-020:prior_year:general_risk_reserve}}</t>
        </is>
      </c>
      <c r="Y27" s="317" t="inlineStr">
        <is>
          <t>{{eq:EQ-020:prior_year:retained_earnings}}</t>
        </is>
      </c>
      <c r="Z27" s="317" t="inlineStr">
        <is>
          <t>{{eq:EQ-020:prior_year:minority_interest}}</t>
        </is>
      </c>
      <c r="AA27" s="318">
        <f>O27+P27+Q27+R27+S27-T27+V27+W27+X27+Y27+Z27+U27</f>
        <v/>
      </c>
    </row>
    <row r="28" ht="18" customHeight="1">
      <c r="A28" s="42" t="inlineStr">
        <is>
          <t xml:space="preserve"> 2．盈余公积转增股本（或资本）</t>
        </is>
      </c>
      <c r="B28" s="317" t="inlineStr">
        <is>
          <t>{{eq:EQ-021:current_year:share_capital}}</t>
        </is>
      </c>
      <c r="C28" s="324" t="inlineStr">
        <is>
          <t>{{eq:EQ-021:current_year:other_equity_instrument}}</t>
        </is>
      </c>
      <c r="D28" s="324" t="n"/>
      <c r="E28" s="324" t="n"/>
      <c r="F28" s="324" t="inlineStr">
        <is>
          <t>{{eq:EQ-021:current_year:capital_reserve}}</t>
        </is>
      </c>
      <c r="G28" s="317" t="inlineStr">
        <is>
          <t>{{eq:EQ-021:current_year:treasury_stock}}</t>
        </is>
      </c>
      <c r="H28" s="317" t="inlineStr">
        <is>
          <t>{{eq:EQ-021:current_year:other_comprehensive_income}}</t>
        </is>
      </c>
      <c r="I28" s="321" t="inlineStr">
        <is>
          <t>{{eq:EQ-021:current_year:special_reserve}}</t>
        </is>
      </c>
      <c r="J28" s="317" t="inlineStr">
        <is>
          <t>{{eq:EQ-021:current_year:surplus_reserve}}</t>
        </is>
      </c>
      <c r="K28" s="317" t="inlineStr">
        <is>
          <t>{{eq:EQ-021:current_year:general_risk_reserve}}</t>
        </is>
      </c>
      <c r="L28" s="317" t="inlineStr">
        <is>
          <t>{{eq:EQ-021:current_year:retained_earnings}}</t>
        </is>
      </c>
      <c r="M28" s="317" t="inlineStr">
        <is>
          <t>{{eq:EQ-021:current_year:minority_interest}}</t>
        </is>
      </c>
      <c r="N28" s="318">
        <f>B28+C28+D28+E28+F28-G28+H28+I28+J28+K28+L28+M28</f>
        <v/>
      </c>
      <c r="O28" s="324" t="inlineStr">
        <is>
          <t>{{eq:EQ-021:prior_year:share_capital}}</t>
        </is>
      </c>
      <c r="P28" s="324" t="inlineStr">
        <is>
          <t>{{eq:EQ-021:prior_year:other_equity_instrument}}</t>
        </is>
      </c>
      <c r="Q28" s="324" t="n"/>
      <c r="R28" s="324" t="n"/>
      <c r="S28" s="324" t="inlineStr">
        <is>
          <t>{{eq:EQ-021:prior_year:capital_reserve}}</t>
        </is>
      </c>
      <c r="T28" s="321" t="inlineStr">
        <is>
          <t>{{eq:EQ-021:prior_year:treasury_stock}}</t>
        </is>
      </c>
      <c r="U28" s="317" t="inlineStr">
        <is>
          <t>{{eq:EQ-021:prior_year:other_comprehensive_income}}</t>
        </is>
      </c>
      <c r="V28" s="317" t="inlineStr">
        <is>
          <t>{{eq:EQ-021:prior_year:special_reserve}}</t>
        </is>
      </c>
      <c r="W28" s="324" t="inlineStr">
        <is>
          <t>{{eq:EQ-021:prior_year:surplus_reserve}}</t>
        </is>
      </c>
      <c r="X28" s="317" t="inlineStr">
        <is>
          <t>{{eq:EQ-021:prior_year:general_risk_reserve}}</t>
        </is>
      </c>
      <c r="Y28" s="317" t="inlineStr">
        <is>
          <t>{{eq:EQ-021:prior_year:retained_earnings}}</t>
        </is>
      </c>
      <c r="Z28" s="317" t="inlineStr">
        <is>
          <t>{{eq:EQ-021:prior_year:minority_interest}}</t>
        </is>
      </c>
      <c r="AA28" s="318">
        <f>O28+P28+Q28+R28+S28-T28+V28+W28+X28+Y28+Z28+U28</f>
        <v/>
      </c>
    </row>
    <row r="29" ht="18" customHeight="1">
      <c r="A29" s="45" t="inlineStr">
        <is>
          <t xml:space="preserve"> 3．弥补亏损</t>
        </is>
      </c>
      <c r="B29" s="317" t="inlineStr">
        <is>
          <t>{{eq:EQ-022:current_year:share_capital}}</t>
        </is>
      </c>
      <c r="C29" s="324" t="inlineStr">
        <is>
          <t>{{eq:EQ-022:current_year:other_equity_instrument}}</t>
        </is>
      </c>
      <c r="D29" s="324" t="n"/>
      <c r="E29" s="324" t="n"/>
      <c r="F29" s="324" t="inlineStr">
        <is>
          <t>{{eq:EQ-022:current_year:capital_reserve}}</t>
        </is>
      </c>
      <c r="G29" s="317" t="inlineStr">
        <is>
          <t>{{eq:EQ-022:current_year:treasury_stock}}</t>
        </is>
      </c>
      <c r="H29" s="317" t="inlineStr">
        <is>
          <t>{{eq:EQ-022:current_year:other_comprehensive_income}}</t>
        </is>
      </c>
      <c r="I29" s="321" t="inlineStr">
        <is>
          <t>{{eq:EQ-022:current_year:special_reserve}}</t>
        </is>
      </c>
      <c r="J29" s="317" t="inlineStr">
        <is>
          <t>{{eq:EQ-022:current_year:surplus_reserve}}</t>
        </is>
      </c>
      <c r="K29" s="317" t="inlineStr">
        <is>
          <t>{{eq:EQ-022:current_year:general_risk_reserve}}</t>
        </is>
      </c>
      <c r="L29" s="317" t="inlineStr">
        <is>
          <t>{{eq:EQ-022:current_year:retained_earnings}}</t>
        </is>
      </c>
      <c r="M29" s="317" t="inlineStr">
        <is>
          <t>{{eq:EQ-022:current_year:minority_interest}}</t>
        </is>
      </c>
      <c r="N29" s="318">
        <f>B29+C29+D29+E29+F29-G29+H29+I29+J29+K29+L29+M29</f>
        <v/>
      </c>
      <c r="O29" s="324" t="inlineStr">
        <is>
          <t>{{eq:EQ-022:prior_year:share_capital}}</t>
        </is>
      </c>
      <c r="P29" s="324" t="inlineStr">
        <is>
          <t>{{eq:EQ-022:prior_year:other_equity_instrument}}</t>
        </is>
      </c>
      <c r="Q29" s="324" t="n"/>
      <c r="R29" s="324" t="n"/>
      <c r="S29" s="324" t="inlineStr">
        <is>
          <t>{{eq:EQ-022:prior_year:capital_reserve}}</t>
        </is>
      </c>
      <c r="T29" s="321" t="inlineStr">
        <is>
          <t>{{eq:EQ-022:prior_year:treasury_stock}}</t>
        </is>
      </c>
      <c r="U29" s="317" t="inlineStr">
        <is>
          <t>{{eq:EQ-022:prior_year:other_comprehensive_income}}</t>
        </is>
      </c>
      <c r="V29" s="317" t="inlineStr">
        <is>
          <t>{{eq:EQ-022:prior_year:special_reserve}}</t>
        </is>
      </c>
      <c r="W29" s="324" t="inlineStr">
        <is>
          <t>{{eq:EQ-022:prior_year:surplus_reserve}}</t>
        </is>
      </c>
      <c r="X29" s="317" t="inlineStr">
        <is>
          <t>{{eq:EQ-022:prior_year:general_risk_reserve}}</t>
        </is>
      </c>
      <c r="Y29" s="317" t="inlineStr">
        <is>
          <t>{{eq:EQ-022:prior_year:retained_earnings}}</t>
        </is>
      </c>
      <c r="Z29" s="317" t="inlineStr">
        <is>
          <t>{{eq:EQ-022:prior_year:minority_interest}}</t>
        </is>
      </c>
      <c r="AA29" s="318">
        <f>O29+P29+Q29+R29+S29-T29+V29+W29+X29+Y29+Z29+U29</f>
        <v/>
      </c>
    </row>
    <row r="30">
      <c r="A30" s="86" t="inlineStr">
        <is>
          <t xml:space="preserve"> 4.  设定受益计划变动额结转留存收益</t>
        </is>
      </c>
      <c r="B30" s="317" t="inlineStr">
        <is>
          <t>{{eq:EQ-023:current_year:share_capital}}</t>
        </is>
      </c>
      <c r="C30" s="324" t="inlineStr">
        <is>
          <t>{{eq:EQ-023:current_year:other_equity_instrument}}</t>
        </is>
      </c>
      <c r="D30" s="324" t="n"/>
      <c r="E30" s="324" t="n"/>
      <c r="F30" s="324" t="inlineStr">
        <is>
          <t>{{eq:EQ-023:current_year:capital_reserve}}</t>
        </is>
      </c>
      <c r="G30" s="317" t="inlineStr">
        <is>
          <t>{{eq:EQ-023:current_year:treasury_stock}}</t>
        </is>
      </c>
      <c r="H30" s="317" t="inlineStr">
        <is>
          <t>{{eq:EQ-023:current_year:other_comprehensive_income}}</t>
        </is>
      </c>
      <c r="I30" s="321" t="inlineStr">
        <is>
          <t>{{eq:EQ-023:current_year:special_reserve}}</t>
        </is>
      </c>
      <c r="J30" s="317" t="inlineStr">
        <is>
          <t>{{eq:EQ-023:current_year:surplus_reserve}}</t>
        </is>
      </c>
      <c r="K30" s="317" t="inlineStr">
        <is>
          <t>{{eq:EQ-023:current_year:general_risk_reserve}}</t>
        </is>
      </c>
      <c r="L30" s="317" t="inlineStr">
        <is>
          <t>{{eq:EQ-023:current_year:retained_earnings}}</t>
        </is>
      </c>
      <c r="M30" s="317" t="inlineStr">
        <is>
          <t>{{eq:EQ-023:current_year:minority_interest}}</t>
        </is>
      </c>
      <c r="N30" s="318">
        <f>B30+C30+D30+E30+F30-G30+H30+I30+J30+K30+L30+M30</f>
        <v/>
      </c>
      <c r="O30" s="324" t="inlineStr">
        <is>
          <t>{{eq:EQ-023:prior_year:share_capital}}</t>
        </is>
      </c>
      <c r="P30" s="324" t="inlineStr">
        <is>
          <t>{{eq:EQ-023:prior_year:other_equity_instrument}}</t>
        </is>
      </c>
      <c r="Q30" s="324" t="n"/>
      <c r="R30" s="324" t="n"/>
      <c r="S30" s="324" t="inlineStr">
        <is>
          <t>{{eq:EQ-023:prior_year:capital_reserve}}</t>
        </is>
      </c>
      <c r="T30" s="321" t="inlineStr">
        <is>
          <t>{{eq:EQ-023:prior_year:treasury_stock}}</t>
        </is>
      </c>
      <c r="U30" s="317" t="inlineStr">
        <is>
          <t>{{eq:EQ-023:prior_year:other_comprehensive_income}}</t>
        </is>
      </c>
      <c r="V30" s="317" t="inlineStr">
        <is>
          <t>{{eq:EQ-023:prior_year:special_reserve}}</t>
        </is>
      </c>
      <c r="W30" s="324" t="inlineStr">
        <is>
          <t>{{eq:EQ-023:prior_year:surplus_reserve}}</t>
        </is>
      </c>
      <c r="X30" s="317" t="inlineStr">
        <is>
          <t>{{eq:EQ-023:prior_year:general_risk_reserve}}</t>
        </is>
      </c>
      <c r="Y30" s="317" t="inlineStr">
        <is>
          <t>{{eq:EQ-023:prior_year:retained_earnings}}</t>
        </is>
      </c>
      <c r="Z30" s="317" t="inlineStr">
        <is>
          <t>{{eq:EQ-023:prior_year:minority_interest}}</t>
        </is>
      </c>
      <c r="AA30" s="318">
        <f>O30+P30+Q30+R30+S30-T30+V30+W30+X30+Y30+Z30+U30</f>
        <v/>
      </c>
    </row>
    <row r="31" ht="18" customHeight="1">
      <c r="A31" s="42" t="inlineStr">
        <is>
          <t xml:space="preserve"> 5．其他综合收益结转留存收益</t>
        </is>
      </c>
      <c r="B31" s="317" t="inlineStr">
        <is>
          <t>{{eq:EQ-024:current_year:share_capital}}</t>
        </is>
      </c>
      <c r="C31" s="324" t="inlineStr">
        <is>
          <t>{{eq:EQ-024:current_year:other_equity_instrument}}</t>
        </is>
      </c>
      <c r="D31" s="324" t="n"/>
      <c r="E31" s="324" t="n"/>
      <c r="F31" s="324" t="inlineStr">
        <is>
          <t>{{eq:EQ-024:current_year:capital_reserve}}</t>
        </is>
      </c>
      <c r="G31" s="317" t="inlineStr">
        <is>
          <t>{{eq:EQ-024:current_year:treasury_stock}}</t>
        </is>
      </c>
      <c r="H31" s="317" t="inlineStr">
        <is>
          <t>{{eq:EQ-024:current_year:other_comprehensive_income}}</t>
        </is>
      </c>
      <c r="I31" s="321" t="inlineStr">
        <is>
          <t>{{eq:EQ-024:current_year:special_reserve}}</t>
        </is>
      </c>
      <c r="J31" s="317" t="inlineStr">
        <is>
          <t>{{eq:EQ-024:current_year:surplus_reserve}}</t>
        </is>
      </c>
      <c r="K31" s="317" t="inlineStr">
        <is>
          <t>{{eq:EQ-024:current_year:general_risk_reserve}}</t>
        </is>
      </c>
      <c r="L31" s="317" t="inlineStr">
        <is>
          <t>{{eq:EQ-024:current_year:retained_earnings}}</t>
        </is>
      </c>
      <c r="M31" s="317" t="inlineStr">
        <is>
          <t>{{eq:EQ-024:current_year:minority_interest}}</t>
        </is>
      </c>
      <c r="N31" s="318" t="inlineStr">
        <is>
          <t>{{eq:EQ-024:current_year:total_equity}}</t>
        </is>
      </c>
      <c r="O31" s="324" t="inlineStr">
        <is>
          <t>{{eq:EQ-024:prior_year:share_capital}}</t>
        </is>
      </c>
      <c r="P31" s="324" t="inlineStr">
        <is>
          <t>{{eq:EQ-024:prior_year:other_equity_instrument}}</t>
        </is>
      </c>
      <c r="Q31" s="324" t="n"/>
      <c r="R31" s="324" t="n"/>
      <c r="S31" s="324" t="inlineStr">
        <is>
          <t>{{eq:EQ-024:prior_year:capital_reserve}}</t>
        </is>
      </c>
      <c r="T31" s="321" t="inlineStr">
        <is>
          <t>{{eq:EQ-024:prior_year:treasury_stock}}</t>
        </is>
      </c>
      <c r="U31" s="317" t="inlineStr">
        <is>
          <t>{{eq:EQ-024:prior_year:other_comprehensive_income}}</t>
        </is>
      </c>
      <c r="V31" s="317" t="inlineStr">
        <is>
          <t>{{eq:EQ-024:prior_year:special_reserve}}</t>
        </is>
      </c>
      <c r="W31" s="324" t="inlineStr">
        <is>
          <t>{{eq:EQ-024:prior_year:surplus_reserve}}</t>
        </is>
      </c>
      <c r="X31" s="317" t="inlineStr">
        <is>
          <t>{{eq:EQ-024:prior_year:general_risk_reserve}}</t>
        </is>
      </c>
      <c r="Y31" s="317" t="inlineStr">
        <is>
          <t>{{eq:EQ-024:prior_year:retained_earnings}}</t>
        </is>
      </c>
      <c r="Z31" s="317" t="inlineStr">
        <is>
          <t>{{eq:EQ-024:prior_year:minority_interest}}</t>
        </is>
      </c>
      <c r="AA31" s="318" t="inlineStr">
        <is>
          <t>{{eq:EQ-024:prior_year:total_equity}}</t>
        </is>
      </c>
    </row>
    <row r="32" ht="18" customHeight="1">
      <c r="A32" s="42" t="inlineStr">
        <is>
          <t xml:space="preserve"> 6．其他</t>
        </is>
      </c>
      <c r="B32" s="317" t="inlineStr">
        <is>
          <t>{{eq:EQ-025:current_year:share_capital}}</t>
        </is>
      </c>
      <c r="C32" s="324" t="inlineStr">
        <is>
          <t>{{eq:EQ-025:current_year:other_equity_instrument}}</t>
        </is>
      </c>
      <c r="D32" s="324" t="n"/>
      <c r="E32" s="324" t="n"/>
      <c r="F32" s="324" t="inlineStr">
        <is>
          <t>{{eq:EQ-025:current_year:capital_reserve}}</t>
        </is>
      </c>
      <c r="G32" s="317" t="inlineStr">
        <is>
          <t>{{eq:EQ-025:current_year:treasury_stock}}</t>
        </is>
      </c>
      <c r="H32" s="317" t="inlineStr">
        <is>
          <t>{{eq:EQ-025:current_year:other_comprehensive_income}}</t>
        </is>
      </c>
      <c r="I32" s="321" t="inlineStr">
        <is>
          <t>{{eq:EQ-025:current_year:special_reserve}}</t>
        </is>
      </c>
      <c r="J32" s="317" t="inlineStr">
        <is>
          <t>{{eq:EQ-025:current_year:surplus_reserve}}</t>
        </is>
      </c>
      <c r="K32" s="317" t="inlineStr">
        <is>
          <t>{{eq:EQ-025:current_year:general_risk_reserve}}</t>
        </is>
      </c>
      <c r="L32" s="317" t="inlineStr">
        <is>
          <t>{{eq:EQ-025:current_year:retained_earnings}}</t>
        </is>
      </c>
      <c r="M32" s="317" t="inlineStr">
        <is>
          <t>{{eq:EQ-025:current_year:minority_interest}}</t>
        </is>
      </c>
      <c r="N32" s="318">
        <f>B32+C32+D32+E32+F32-G32+H32+I32+J32+K32+L32+M32</f>
        <v/>
      </c>
      <c r="O32" s="324" t="inlineStr">
        <is>
          <t>{{eq:EQ-025:prior_year:share_capital}}</t>
        </is>
      </c>
      <c r="P32" s="324" t="inlineStr">
        <is>
          <t>{{eq:EQ-025:prior_year:other_equity_instrument}}</t>
        </is>
      </c>
      <c r="Q32" s="324" t="n"/>
      <c r="R32" s="324" t="n"/>
      <c r="S32" s="324" t="inlineStr">
        <is>
          <t>{{eq:EQ-025:prior_year:capital_reserve}}</t>
        </is>
      </c>
      <c r="T32" s="321" t="inlineStr">
        <is>
          <t>{{eq:EQ-025:prior_year:treasury_stock}}</t>
        </is>
      </c>
      <c r="U32" s="317" t="inlineStr">
        <is>
          <t>{{eq:EQ-025:prior_year:other_comprehensive_income}}</t>
        </is>
      </c>
      <c r="V32" s="317" t="inlineStr">
        <is>
          <t>{{eq:EQ-025:prior_year:special_reserve}}</t>
        </is>
      </c>
      <c r="W32" s="324" t="inlineStr">
        <is>
          <t>{{eq:EQ-025:prior_year:surplus_reserve}}</t>
        </is>
      </c>
      <c r="X32" s="317" t="inlineStr">
        <is>
          <t>{{eq:EQ-025:prior_year:general_risk_reserve}}</t>
        </is>
      </c>
      <c r="Y32" s="317" t="inlineStr">
        <is>
          <t>{{eq:EQ-025:prior_year:retained_earnings}}</t>
        </is>
      </c>
      <c r="Z32" s="317" t="inlineStr">
        <is>
          <t>{{eq:EQ-025:prior_year:minority_interest}}</t>
        </is>
      </c>
      <c r="AA32" s="318">
        <f>O32+P32+Q32+R32+S32-T32+V32+W32+X32+Y32+Z32+U32</f>
        <v/>
      </c>
    </row>
    <row r="33" ht="18" customFormat="1" customHeight="1" s="58">
      <c r="A33" s="42" t="inlineStr">
        <is>
          <t>（五）专项储备</t>
        </is>
      </c>
      <c r="B33" s="317">
        <f>B34+B35</f>
        <v/>
      </c>
      <c r="C33" s="317">
        <f>C34+C35</f>
        <v/>
      </c>
      <c r="D33" s="317">
        <f>D34+D35</f>
        <v/>
      </c>
      <c r="E33" s="317">
        <f>E34+E35</f>
        <v/>
      </c>
      <c r="F33" s="317">
        <f>F34+F35</f>
        <v/>
      </c>
      <c r="G33" s="317">
        <f>G34+G35</f>
        <v/>
      </c>
      <c r="H33" s="317">
        <f>H34+H35</f>
        <v/>
      </c>
      <c r="I33" s="324">
        <f>SUM(I34:I35)</f>
        <v/>
      </c>
      <c r="J33" s="324">
        <f>SUM(J34:J35)</f>
        <v/>
      </c>
      <c r="K33" s="324">
        <f>SUM(K34:K35)</f>
        <v/>
      </c>
      <c r="L33" s="324">
        <f>SUM(L34:L35)</f>
        <v/>
      </c>
      <c r="M33" s="317">
        <f>SUM(M34:M35)</f>
        <v/>
      </c>
      <c r="N33" s="318">
        <f>B33+C33+D33+E33+F33-G33+H33+I33+J33+K33+L33+M33</f>
        <v/>
      </c>
      <c r="O33" s="324">
        <f>SUM(O34:O35)</f>
        <v/>
      </c>
      <c r="P33" s="317">
        <f>SUM(P34:P35)</f>
        <v/>
      </c>
      <c r="Q33" s="317">
        <f>SUM(Q34:Q35)</f>
        <v/>
      </c>
      <c r="R33" s="317">
        <f>SUM(R34:R35)</f>
        <v/>
      </c>
      <c r="S33" s="317">
        <f>SUM(S34:S35)</f>
        <v/>
      </c>
      <c r="T33" s="317">
        <f>SUM(T34:T35)</f>
        <v/>
      </c>
      <c r="U33" s="317">
        <f>SUM(U34:U35)</f>
        <v/>
      </c>
      <c r="V33" s="317">
        <f>SUM(V34:V35)</f>
        <v/>
      </c>
      <c r="W33" s="317">
        <f>SUM(W34:W35)</f>
        <v/>
      </c>
      <c r="X33" s="317">
        <f>SUM(X34:X35)</f>
        <v/>
      </c>
      <c r="Y33" s="317">
        <f>SUM(Y34:Y35)</f>
        <v/>
      </c>
      <c r="Z33" s="317">
        <f>SUM(Z34:Z35)</f>
        <v/>
      </c>
      <c r="AA33" s="318">
        <f>O33+P33+Q33+R33+S33-T33+V33+W33+X33+Y33+Z33+U33</f>
        <v/>
      </c>
    </row>
    <row r="34" ht="18" customFormat="1" customHeight="1" s="58">
      <c r="A34" s="42" t="inlineStr">
        <is>
          <t xml:space="preserve"> 1．本期提取</t>
        </is>
      </c>
      <c r="B34" s="317" t="inlineStr">
        <is>
          <t>{{eq:EQ-027:current_year:share_capital}}</t>
        </is>
      </c>
      <c r="C34" s="324" t="inlineStr">
        <is>
          <t>{{eq:EQ-027:current_year:other_equity_instrument}}</t>
        </is>
      </c>
      <c r="D34" s="324" t="n"/>
      <c r="E34" s="324" t="n"/>
      <c r="F34" s="324" t="inlineStr">
        <is>
          <t>{{eq:EQ-027:current_year:capital_reserve}}</t>
        </is>
      </c>
      <c r="G34" s="317" t="inlineStr">
        <is>
          <t>{{eq:EQ-027:current_year:treasury_stock}}</t>
        </is>
      </c>
      <c r="H34" s="317" t="inlineStr">
        <is>
          <t>{{eq:EQ-027:current_year:other_comprehensive_income}}</t>
        </is>
      </c>
      <c r="I34" s="321" t="inlineStr">
        <is>
          <t>{{eq:EQ-027:current_year:special_reserve}}</t>
        </is>
      </c>
      <c r="J34" s="317" t="inlineStr">
        <is>
          <t>{{eq:EQ-027:current_year:surplus_reserve}}</t>
        </is>
      </c>
      <c r="K34" s="317" t="inlineStr">
        <is>
          <t>{{eq:EQ-027:current_year:general_risk_reserve}}</t>
        </is>
      </c>
      <c r="L34" s="317" t="inlineStr">
        <is>
          <t>{{eq:EQ-027:current_year:retained_earnings}}</t>
        </is>
      </c>
      <c r="M34" s="317" t="inlineStr">
        <is>
          <t>{{eq:EQ-027:current_year:minority_interest}}</t>
        </is>
      </c>
      <c r="N34" s="318">
        <f>B34+C34+D34+E34+F34-G34+H34+I34+J34+K34+L34+M34</f>
        <v/>
      </c>
      <c r="O34" s="324" t="inlineStr">
        <is>
          <t>{{eq:EQ-027:prior_year:share_capital}}</t>
        </is>
      </c>
      <c r="P34" s="324" t="inlineStr">
        <is>
          <t>{{eq:EQ-027:prior_year:other_equity_instrument}}</t>
        </is>
      </c>
      <c r="Q34" s="324" t="n"/>
      <c r="R34" s="324" t="n"/>
      <c r="S34" s="324" t="inlineStr">
        <is>
          <t>{{eq:EQ-027:prior_year:capital_reserve}}</t>
        </is>
      </c>
      <c r="T34" s="321" t="inlineStr">
        <is>
          <t>{{eq:EQ-027:prior_year:treasury_stock}}</t>
        </is>
      </c>
      <c r="U34" s="317" t="inlineStr">
        <is>
          <t>{{eq:EQ-027:prior_year:other_comprehensive_income}}</t>
        </is>
      </c>
      <c r="V34" s="317" t="inlineStr">
        <is>
          <t>{{eq:EQ-027:prior_year:special_reserve}}</t>
        </is>
      </c>
      <c r="W34" s="324" t="inlineStr">
        <is>
          <t>{{eq:EQ-027:prior_year:surplus_reserve}}</t>
        </is>
      </c>
      <c r="X34" s="317" t="inlineStr">
        <is>
          <t>{{eq:EQ-027:prior_year:general_risk_reserve}}</t>
        </is>
      </c>
      <c r="Y34" s="317" t="inlineStr">
        <is>
          <t>{{eq:EQ-027:prior_year:retained_earnings}}</t>
        </is>
      </c>
      <c r="Z34" s="317" t="inlineStr">
        <is>
          <t>{{eq:EQ-027:prior_year:minority_interest}}</t>
        </is>
      </c>
      <c r="AA34" s="318">
        <f>O34+P34+Q34+R34+S34-T34+V34+W34+X34+Y34+Z34+U34</f>
        <v/>
      </c>
    </row>
    <row r="35" ht="18" customFormat="1" customHeight="1" s="58">
      <c r="A35" s="42" t="inlineStr">
        <is>
          <t xml:space="preserve"> 2．本期使用（以负号填列）</t>
        </is>
      </c>
      <c r="B35" s="317" t="inlineStr">
        <is>
          <t>{{eq:EQ-028:current_year:share_capital}}</t>
        </is>
      </c>
      <c r="C35" s="324" t="inlineStr">
        <is>
          <t>{{eq:EQ-028:current_year:other_equity_instrument}}</t>
        </is>
      </c>
      <c r="D35" s="324" t="n"/>
      <c r="E35" s="324" t="n"/>
      <c r="F35" s="324" t="inlineStr">
        <is>
          <t>{{eq:EQ-028:current_year:capital_reserve}}</t>
        </is>
      </c>
      <c r="G35" s="317" t="inlineStr">
        <is>
          <t>{{eq:EQ-028:current_year:treasury_stock}}</t>
        </is>
      </c>
      <c r="H35" s="317" t="inlineStr">
        <is>
          <t>{{eq:EQ-028:current_year:other_comprehensive_income}}</t>
        </is>
      </c>
      <c r="I35" s="321" t="inlineStr">
        <is>
          <t>{{eq:EQ-028:current_year:special_reserve}}</t>
        </is>
      </c>
      <c r="J35" s="317" t="inlineStr">
        <is>
          <t>{{eq:EQ-028:current_year:surplus_reserve}}</t>
        </is>
      </c>
      <c r="K35" s="317" t="inlineStr">
        <is>
          <t>{{eq:EQ-028:current_year:general_risk_reserve}}</t>
        </is>
      </c>
      <c r="L35" s="317" t="inlineStr">
        <is>
          <t>{{eq:EQ-028:current_year:retained_earnings}}</t>
        </is>
      </c>
      <c r="M35" s="317" t="inlineStr">
        <is>
          <t>{{eq:EQ-028:current_year:minority_interest}}</t>
        </is>
      </c>
      <c r="N35" s="318">
        <f>B35+C35+D35+E35+F35-G35+H35+I35+J35+K35+L35+M35</f>
        <v/>
      </c>
      <c r="O35" s="324" t="inlineStr">
        <is>
          <t>{{eq:EQ-028:prior_year:share_capital}}</t>
        </is>
      </c>
      <c r="P35" s="324" t="inlineStr">
        <is>
          <t>{{eq:EQ-028:prior_year:other_equity_instrument}}</t>
        </is>
      </c>
      <c r="Q35" s="324" t="n"/>
      <c r="R35" s="324" t="n"/>
      <c r="S35" s="324" t="inlineStr">
        <is>
          <t>{{eq:EQ-028:prior_year:capital_reserve}}</t>
        </is>
      </c>
      <c r="T35" s="321" t="inlineStr">
        <is>
          <t>{{eq:EQ-028:prior_year:treasury_stock}}</t>
        </is>
      </c>
      <c r="U35" s="317" t="inlineStr">
        <is>
          <t>{{eq:EQ-028:prior_year:other_comprehensive_income}}</t>
        </is>
      </c>
      <c r="V35" s="317" t="inlineStr">
        <is>
          <t>{{eq:EQ-028:prior_year:special_reserve}}</t>
        </is>
      </c>
      <c r="W35" s="324" t="inlineStr">
        <is>
          <t>{{eq:EQ-028:prior_year:surplus_reserve}}</t>
        </is>
      </c>
      <c r="X35" s="317" t="inlineStr">
        <is>
          <t>{{eq:EQ-028:prior_year:general_risk_reserve}}</t>
        </is>
      </c>
      <c r="Y35" s="317" t="inlineStr">
        <is>
          <t>{{eq:EQ-028:prior_year:retained_earnings}}</t>
        </is>
      </c>
      <c r="Z35" s="317" t="inlineStr">
        <is>
          <t>{{eq:EQ-028:prior_year:minority_interest}}</t>
        </is>
      </c>
      <c r="AA35" s="318">
        <f>O35+P35+Q35+R35+S35-T35+V35+W35+X35+Y35+Z35+U35</f>
        <v/>
      </c>
    </row>
    <row r="36" ht="18" customHeight="1">
      <c r="A36" s="42" t="inlineStr">
        <is>
          <t>（六）其他</t>
        </is>
      </c>
      <c r="B36" s="317" t="inlineStr">
        <is>
          <t>{{eq:EQ-029:current_year:share_capital}}</t>
        </is>
      </c>
      <c r="C36" s="324" t="inlineStr">
        <is>
          <t>{{eq:EQ-029:current_year:other_equity_instrument}}</t>
        </is>
      </c>
      <c r="D36" s="324" t="n"/>
      <c r="E36" s="324" t="n"/>
      <c r="F36" s="324" t="inlineStr">
        <is>
          <t>{{eq:EQ-029:current_year:capital_reserve}}</t>
        </is>
      </c>
      <c r="G36" s="317" t="inlineStr">
        <is>
          <t>{{eq:EQ-029:current_year:treasury_stock}}</t>
        </is>
      </c>
      <c r="H36" s="317" t="inlineStr">
        <is>
          <t>{{eq:EQ-029:current_year:other_comprehensive_income}}</t>
        </is>
      </c>
      <c r="I36" s="321" t="inlineStr">
        <is>
          <t>{{eq:EQ-029:current_year:special_reserve}}</t>
        </is>
      </c>
      <c r="J36" s="317" t="inlineStr">
        <is>
          <t>{{eq:EQ-029:current_year:surplus_reserve}}</t>
        </is>
      </c>
      <c r="K36" s="317" t="inlineStr">
        <is>
          <t>{{eq:EQ-029:current_year:general_risk_reserve}}</t>
        </is>
      </c>
      <c r="L36" s="317" t="inlineStr">
        <is>
          <t>{{eq:EQ-029:current_year:retained_earnings}}</t>
        </is>
      </c>
      <c r="M36" s="317" t="inlineStr">
        <is>
          <t>{{eq:EQ-029:current_year:minority_interest}}</t>
        </is>
      </c>
      <c r="N36" s="318">
        <f>B36+C36+D36+E36+F36-G36+H36+I36+J36+K36+L36+M36</f>
        <v/>
      </c>
      <c r="O36" s="324" t="inlineStr">
        <is>
          <t>{{eq:EQ-029:prior_year:share_capital}}</t>
        </is>
      </c>
      <c r="P36" s="324" t="inlineStr">
        <is>
          <t>{{eq:EQ-029:prior_year:other_equity_instrument}}</t>
        </is>
      </c>
      <c r="Q36" s="324" t="n"/>
      <c r="R36" s="324" t="n"/>
      <c r="S36" s="324" t="inlineStr">
        <is>
          <t>{{eq:EQ-029:prior_year:capital_reserve}}</t>
        </is>
      </c>
      <c r="T36" s="321" t="inlineStr">
        <is>
          <t>{{eq:EQ-029:prior_year:treasury_stock}}</t>
        </is>
      </c>
      <c r="U36" s="317" t="inlineStr">
        <is>
          <t>{{eq:EQ-029:prior_year:other_comprehensive_income}}</t>
        </is>
      </c>
      <c r="V36" s="317" t="inlineStr">
        <is>
          <t>{{eq:EQ-029:prior_year:special_reserve}}</t>
        </is>
      </c>
      <c r="W36" s="324" t="inlineStr">
        <is>
          <t>{{eq:EQ-029:prior_year:surplus_reserve}}</t>
        </is>
      </c>
      <c r="X36" s="317" t="inlineStr">
        <is>
          <t>{{eq:EQ-029:prior_year:general_risk_reserve}}</t>
        </is>
      </c>
      <c r="Y36" s="317" t="inlineStr">
        <is>
          <t>{{eq:EQ-029:prior_year:retained_earnings}}</t>
        </is>
      </c>
      <c r="Z36" s="317" t="inlineStr">
        <is>
          <t>{{eq:EQ-029:prior_year:minority_interest}}</t>
        </is>
      </c>
      <c r="AA36" s="318">
        <f>O36+P36+Q36+R36+S36-T36+V36+W36+X36+Y36+Z36+U36</f>
        <v/>
      </c>
      <c r="AB36" s="58" t="inlineStr">
        <is>
          <t>备忘录第3号二、6</t>
        </is>
      </c>
    </row>
    <row r="37" ht="18" customHeight="1">
      <c r="A37" s="48" t="inlineStr">
        <is>
          <t>四、本年年末余额</t>
        </is>
      </c>
      <c r="B37" s="326">
        <f>B13+B14</f>
        <v/>
      </c>
      <c r="C37" s="326">
        <f>C13+C14</f>
        <v/>
      </c>
      <c r="D37" s="326">
        <f>D13+D14</f>
        <v/>
      </c>
      <c r="E37" s="326">
        <f>E13+E14</f>
        <v/>
      </c>
      <c r="F37" s="326">
        <f>F13+F14</f>
        <v/>
      </c>
      <c r="G37" s="326">
        <f>G13+G14</f>
        <v/>
      </c>
      <c r="H37" s="326">
        <f>H13+H14</f>
        <v/>
      </c>
      <c r="I37" s="327">
        <f>I13+I14</f>
        <v/>
      </c>
      <c r="J37" s="326">
        <f>J13+J14</f>
        <v/>
      </c>
      <c r="K37" s="326">
        <f>K13+K14</f>
        <v/>
      </c>
      <c r="L37" s="326">
        <f>L13+L14</f>
        <v/>
      </c>
      <c r="M37" s="326">
        <f>M13+M14</f>
        <v/>
      </c>
      <c r="N37" s="328">
        <f>N13+N14</f>
        <v/>
      </c>
      <c r="O37" s="327">
        <f>O13+O14</f>
        <v/>
      </c>
      <c r="P37" s="327">
        <f>P13+P14</f>
        <v/>
      </c>
      <c r="Q37" s="327">
        <f>Q13+Q14</f>
        <v/>
      </c>
      <c r="R37" s="327">
        <f>R13+R14</f>
        <v/>
      </c>
      <c r="S37" s="326">
        <f>S13+S14</f>
        <v/>
      </c>
      <c r="T37" s="326">
        <f>T13+T14</f>
        <v/>
      </c>
      <c r="U37" s="326">
        <f>U13+U14</f>
        <v/>
      </c>
      <c r="V37" s="326">
        <f>V13+V14</f>
        <v/>
      </c>
      <c r="W37" s="326">
        <f>W13+W14</f>
        <v/>
      </c>
      <c r="X37" s="326">
        <f>X13+X14</f>
        <v/>
      </c>
      <c r="Y37" s="326">
        <f>Y13+Y14</f>
        <v/>
      </c>
      <c r="Z37" s="326">
        <f>Z13+Z14</f>
        <v/>
      </c>
      <c r="AA37" s="328">
        <f>AA13+AA14</f>
        <v/>
      </c>
    </row>
    <row r="38" ht="20.1" customHeight="1"/>
    <row r="39" ht="20.1" customFormat="1" customHeight="1" s="58">
      <c r="A39" s="329" t="inlineStr">
        <is>
          <t xml:space="preserve">公司法定代表人：                                                                           </t>
        </is>
      </c>
      <c r="E39" s="330" t="inlineStr">
        <is>
          <t xml:space="preserve">主管会计工作的公司负责人：         </t>
        </is>
      </c>
      <c r="I39" s="56" t="n"/>
      <c r="L39" s="57" t="inlineStr">
        <is>
          <t>公司会计机构负责人：</t>
        </is>
      </c>
      <c r="R39" s="330" t="inlineStr">
        <is>
          <t xml:space="preserve">主管会计工作的公司负责人：         </t>
        </is>
      </c>
      <c r="Y39" s="57" t="inlineStr">
        <is>
          <t>公司会计机构负责人：</t>
        </is>
      </c>
    </row>
    <row r="40"/>
    <row r="41">
      <c r="A41" s="331" t="inlineStr">
        <is>
          <t>财会[2011]25号规定：</t>
        </is>
      </c>
    </row>
    <row r="42" ht="14.25" customHeight="1">
      <c r="A42" s="331" t="inlineStr">
        <is>
          <t>合并所有者权益变动表（会合04表）“本年金额”栏下 “加：会计政策变更”和“前期差错更正”项目，不得填列金额。</t>
        </is>
      </c>
    </row>
  </sheetData>
  <mergeCells count="31">
    <mergeCell ref="H6:H7"/>
    <mergeCell ref="J6:J7"/>
    <mergeCell ref="P6:R6"/>
    <mergeCell ref="F6:F7"/>
    <mergeCell ref="V6:V7"/>
    <mergeCell ref="X6:X7"/>
    <mergeCell ref="B4:N4"/>
    <mergeCell ref="O5:Y5"/>
    <mergeCell ref="G6:G7"/>
    <mergeCell ref="S6:S7"/>
    <mergeCell ref="B6:B7"/>
    <mergeCell ref="Y6:Y7"/>
    <mergeCell ref="M5:M7"/>
    <mergeCell ref="L6:L7"/>
    <mergeCell ref="T6:T7"/>
    <mergeCell ref="A42:N42"/>
    <mergeCell ref="A41:J41"/>
    <mergeCell ref="C6:E6"/>
    <mergeCell ref="A4:A7"/>
    <mergeCell ref="O1:AA1"/>
    <mergeCell ref="N5:N7"/>
    <mergeCell ref="B1:N1"/>
    <mergeCell ref="O4:AA4"/>
    <mergeCell ref="B5:L5"/>
    <mergeCell ref="I6:I7"/>
    <mergeCell ref="AA5:AA7"/>
    <mergeCell ref="K6:K7"/>
    <mergeCell ref="O6:O7"/>
    <mergeCell ref="U6:U7"/>
    <mergeCell ref="W6:W7"/>
    <mergeCell ref="Z5:Z7"/>
  </mergeCells>
  <printOptions horizontalCentered="1"/>
  <pageMargins left="0.511811023622047" right="0.511811023622047" top="0.78740157480315" bottom="0.78740157480315" header="0.511811023622047" footer="0.511811023622047"/>
  <pageSetup orientation="landscape" paperSize="9" scale="60" fitToWidth="2" firstPageNumber="5" useFirstPageNumber="1" horizontalDpi="600" verticalDpi="600"/>
  <headerFooter alignWithMargins="0">
    <oddHeader/>
    <oddFooter>&amp;C&amp;"Arial Narrow,常规"&amp;P</oddFooter>
    <evenHeader/>
    <evenFooter/>
    <firstHeader/>
    <firstFooter/>
  </headerFooter>
  <colBreaks count="1" manualBreakCount="1">
    <brk id="14" min="0" max="38" man="1"/>
  </colBreaks>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W37"/>
  <sheetViews>
    <sheetView view="pageBreakPreview" topLeftCell="J1" zoomScaleNormal="85" workbookViewId="0">
      <selection activeCell="C5" sqref="C5:E5"/>
    </sheetView>
  </sheetViews>
  <sheetFormatPr baseColWidth="8" defaultColWidth="8.800000000000001" defaultRowHeight="15.6"/>
  <cols>
    <col width="46.625" customWidth="1" style="60" min="1" max="1"/>
    <col width="12.625" customWidth="1" style="58" min="2" max="6"/>
    <col width="11.625" customWidth="1" style="58" min="7" max="8"/>
    <col width="12.625" customWidth="1" style="58" min="9" max="10"/>
    <col width="13.625" customWidth="1" style="58" min="11" max="11"/>
    <col width="15.625" customWidth="1" style="58" min="12" max="12"/>
    <col width="12.625" customWidth="1" style="58" min="13" max="17"/>
    <col width="11.625" customWidth="1" style="58" min="18" max="19"/>
    <col width="12.625" customWidth="1" style="58" min="20" max="21"/>
    <col width="13.625" customWidth="1" style="58" min="22" max="22"/>
    <col width="15.625" customWidth="1" style="58" min="23" max="23"/>
    <col width="9" customWidth="1" style="58" min="24" max="32"/>
    <col width="8.800000000000001" customWidth="1" style="58" min="33" max="16384"/>
  </cols>
  <sheetData>
    <row r="1" ht="32.1" customFormat="1" customHeight="1" s="60">
      <c r="B1" s="5" t="inlineStr">
        <is>
          <t xml:space="preserve">                    公司股东（或所有者）权益变动表</t>
        </is>
      </c>
      <c r="M1" s="5" t="inlineStr">
        <is>
          <t xml:space="preserve">                    公司股东（或所有者）权益变动表</t>
        </is>
      </c>
    </row>
    <row r="2" ht="24" customFormat="1" customHeight="1" s="58">
      <c r="A2" s="60" t="n"/>
      <c r="B2" s="7" t="n"/>
      <c r="C2" s="7" t="n"/>
      <c r="D2" s="7" t="n"/>
      <c r="E2" s="7" t="n"/>
      <c r="F2" s="7" t="n"/>
      <c r="G2" s="8" t="inlineStr">
        <is>
          <t>{{audit_year}}年度</t>
        </is>
      </c>
      <c r="H2" s="7" t="n"/>
      <c r="J2" s="7" t="n"/>
      <c r="K2" s="7" t="n"/>
      <c r="L2" s="7" t="n"/>
      <c r="M2" s="7" t="n"/>
      <c r="N2" s="7" t="n"/>
      <c r="O2" s="7" t="n"/>
      <c r="P2" s="7" t="n"/>
      <c r="Q2" s="7" t="n"/>
      <c r="R2" s="8" t="inlineStr">
        <is>
          <t>2025年度</t>
        </is>
      </c>
      <c r="S2" s="7" t="n"/>
      <c r="U2" s="7" t="n"/>
      <c r="V2" s="7" t="n"/>
      <c r="W2" s="7" t="n"/>
    </row>
    <row r="3" ht="21" customFormat="1" customHeight="1" s="58">
      <c r="A3" s="60" t="inlineStr">
        <is>
          <t>编制单位：{{company_full_name}}</t>
        </is>
      </c>
      <c r="I3" s="9" t="n"/>
      <c r="L3" s="10" t="inlineStr">
        <is>
          <t>单位：{{currency_unit}}</t>
        </is>
      </c>
      <c r="T3" s="9" t="n"/>
      <c r="W3" s="10" t="inlineStr">
        <is>
          <t>单位：人民币元</t>
        </is>
      </c>
    </row>
    <row r="4" ht="20.25" customFormat="1" customHeight="1" s="58">
      <c r="A4" s="312" t="inlineStr">
        <is>
          <t>项  目</t>
        </is>
      </c>
      <c r="B4" s="64" t="inlineStr">
        <is>
          <t>本年金额</t>
        </is>
      </c>
      <c r="C4" s="252" t="n"/>
      <c r="D4" s="252" t="n"/>
      <c r="E4" s="252" t="n"/>
      <c r="F4" s="252" t="n"/>
      <c r="G4" s="252" t="n"/>
      <c r="H4" s="252" t="n"/>
      <c r="I4" s="252" t="n"/>
      <c r="J4" s="252" t="n"/>
      <c r="K4" s="252" t="n"/>
      <c r="L4" s="252" t="n"/>
      <c r="M4" s="66" t="inlineStr">
        <is>
          <t>上年金额</t>
        </is>
      </c>
      <c r="N4" s="252" t="n"/>
      <c r="O4" s="252" t="n"/>
      <c r="P4" s="252" t="n"/>
      <c r="Q4" s="252" t="n"/>
      <c r="R4" s="252" t="n"/>
      <c r="S4" s="252" t="n"/>
      <c r="T4" s="252" t="n"/>
      <c r="U4" s="252" t="n"/>
      <c r="V4" s="252" t="n"/>
      <c r="W4" s="252" t="n"/>
    </row>
    <row r="5" ht="29.25" customFormat="1" customHeight="1" s="58">
      <c r="A5" s="313" t="n"/>
      <c r="B5" s="332" t="inlineStr">
        <is>
          <t>股本</t>
        </is>
      </c>
      <c r="C5" s="68" t="inlineStr">
        <is>
          <t>其他权益工具</t>
        </is>
      </c>
      <c r="D5" s="252" t="n"/>
      <c r="E5" s="251" t="n"/>
      <c r="F5" s="332" t="inlineStr">
        <is>
          <t>资本公积</t>
        </is>
      </c>
      <c r="G5" s="332" t="inlineStr">
        <is>
          <t>减：库存股</t>
        </is>
      </c>
      <c r="H5" s="68" t="inlineStr">
        <is>
          <t>其他综合
收益</t>
        </is>
      </c>
      <c r="I5" s="333" t="inlineStr">
        <is>
          <t>专项储备</t>
        </is>
      </c>
      <c r="J5" s="332" t="inlineStr">
        <is>
          <t>盈余公积</t>
        </is>
      </c>
      <c r="K5" s="332" t="inlineStr">
        <is>
          <t>未分配利润</t>
        </is>
      </c>
      <c r="L5" s="334" t="inlineStr">
        <is>
          <t>股东权益合计</t>
        </is>
      </c>
      <c r="M5" s="332" t="inlineStr">
        <is>
          <t>股本</t>
        </is>
      </c>
      <c r="N5" s="68" t="inlineStr">
        <is>
          <t>其他权益工具</t>
        </is>
      </c>
      <c r="O5" s="252" t="n"/>
      <c r="P5" s="251" t="n"/>
      <c r="Q5" s="332" t="inlineStr">
        <is>
          <t>资本公积</t>
        </is>
      </c>
      <c r="R5" s="332" t="inlineStr">
        <is>
          <t>减：库存股</t>
        </is>
      </c>
      <c r="S5" s="68" t="inlineStr">
        <is>
          <t>其他综合
收益</t>
        </is>
      </c>
      <c r="T5" s="332" t="inlineStr">
        <is>
          <t>专项储备</t>
        </is>
      </c>
      <c r="U5" s="332" t="inlineStr">
        <is>
          <t>盈余公积</t>
        </is>
      </c>
      <c r="V5" s="332" t="inlineStr">
        <is>
          <t>未分配利润</t>
        </is>
      </c>
      <c r="W5" s="334" t="inlineStr">
        <is>
          <t>股东权益合计</t>
        </is>
      </c>
    </row>
    <row r="6" ht="27" customFormat="1" customHeight="1" s="58">
      <c r="A6" s="253" t="n"/>
      <c r="B6" s="254" t="n"/>
      <c r="C6" s="25" t="inlineStr">
        <is>
          <t>优先股</t>
        </is>
      </c>
      <c r="D6" s="25" t="inlineStr">
        <is>
          <t>永续债</t>
        </is>
      </c>
      <c r="E6" s="25" t="inlineStr">
        <is>
          <t>其他</t>
        </is>
      </c>
      <c r="F6" s="254" t="n"/>
      <c r="G6" s="254" t="n"/>
      <c r="H6" s="254" t="n"/>
      <c r="I6" s="253" t="n"/>
      <c r="J6" s="254" t="n"/>
      <c r="K6" s="254" t="n"/>
      <c r="L6" s="316" t="n"/>
      <c r="M6" s="254" t="n"/>
      <c r="N6" s="25" t="inlineStr">
        <is>
          <t>优先股</t>
        </is>
      </c>
      <c r="O6" s="25" t="inlineStr">
        <is>
          <t>永续债</t>
        </is>
      </c>
      <c r="P6" s="25" t="inlineStr">
        <is>
          <t>其他</t>
        </is>
      </c>
      <c r="Q6" s="254" t="n"/>
      <c r="R6" s="254" t="n"/>
      <c r="S6" s="254" t="n"/>
      <c r="T6" s="254" t="n"/>
      <c r="U6" s="254" t="n"/>
      <c r="V6" s="254" t="n"/>
      <c r="W6" s="316" t="n"/>
    </row>
    <row r="7" ht="18" customFormat="1" customHeight="1" s="58">
      <c r="A7" s="82" t="inlineStr">
        <is>
          <t>一、上年年末余额</t>
        </is>
      </c>
      <c r="B7" s="317" t="inlineStr">
        <is>
          <t>{{eq:EQ-001:current_year:share_capital}}</t>
        </is>
      </c>
      <c r="C7" s="324" t="inlineStr">
        <is>
          <t>{{eq:EQ-001:current_year:other_equity_instrument}}</t>
        </is>
      </c>
      <c r="D7" s="324" t="inlineStr">
        <is>
          <t>{{eq:EQ-001:current_year:perpetual_bond}}</t>
        </is>
      </c>
      <c r="E7" s="324" t="n"/>
      <c r="F7" s="324" t="inlineStr">
        <is>
          <t>{{eq:EQ-001:current_year:capital_reserve}}</t>
        </is>
      </c>
      <c r="G7" s="317" t="inlineStr">
        <is>
          <t>{{eq:EQ-001:current_year:treasury_stock}}</t>
        </is>
      </c>
      <c r="H7" s="320" t="inlineStr">
        <is>
          <t>{{eq:EQ-001:current_year:other_comprehensive_income}}</t>
        </is>
      </c>
      <c r="I7" s="324" t="inlineStr">
        <is>
          <t>{{eq:EQ-001:current_year:special_reserve}}</t>
        </is>
      </c>
      <c r="J7" s="317" t="inlineStr">
        <is>
          <t>{{eq:EQ-001:current_year:surplus_reserve}}</t>
        </is>
      </c>
      <c r="K7" s="317" t="inlineStr">
        <is>
          <t>{{eq:EQ-001:current_year:retained_earnings}}</t>
        </is>
      </c>
      <c r="L7" s="335">
        <f>B7+C7+D7+E7+F7-G7+H7+I7+J7+K7</f>
        <v/>
      </c>
      <c r="M7" s="324" t="inlineStr">
        <is>
          <t>{{eq:EQ-001:prior_year:share_capital}}</t>
        </is>
      </c>
      <c r="N7" s="318" t="inlineStr">
        <is>
          <t>{{eq:EQ-001:prior_year:other_equity_instrument}}</t>
        </is>
      </c>
      <c r="O7" s="320" t="inlineStr">
        <is>
          <t>{{eq:EQ-001:prior_year:perpetual_bond}}</t>
        </is>
      </c>
      <c r="P7" s="320" t="n"/>
      <c r="Q7" s="320" t="inlineStr">
        <is>
          <t>{{eq:EQ-001:prior_year:capital_reserve}}</t>
        </is>
      </c>
      <c r="R7" s="320" t="inlineStr">
        <is>
          <t>{{eq:EQ-001:prior_year:treasury_stock}}</t>
        </is>
      </c>
      <c r="S7" s="318" t="inlineStr">
        <is>
          <t>{{eq:EQ-001:prior_year:other_comprehensive_income}}</t>
        </is>
      </c>
      <c r="T7" s="318" t="inlineStr">
        <is>
          <t>{{eq:EQ-001:prior_year:special_reserve}}</t>
        </is>
      </c>
      <c r="U7" s="320" t="inlineStr">
        <is>
          <t>{{eq:EQ-001:prior_year:surplus_reserve}}</t>
        </is>
      </c>
      <c r="V7" s="317" t="inlineStr">
        <is>
          <t>{{eq:EQ-001:prior_year:retained_earnings}}</t>
        </is>
      </c>
      <c r="W7" s="318">
        <f>M7+N7+O7+P7+Q7-R7+S7+T7+U7+V7</f>
        <v/>
      </c>
    </row>
    <row r="8" ht="18" customFormat="1" customHeight="1" s="58">
      <c r="A8" s="42" t="inlineStr">
        <is>
          <t xml:space="preserve">  加：会计政策变更</t>
        </is>
      </c>
      <c r="B8" s="322" t="inlineStr">
        <is>
          <t>{{eq:EQ-002:current_year:share_capital}}</t>
        </is>
      </c>
      <c r="C8" s="322" t="inlineStr">
        <is>
          <t>{{eq:EQ-002:current_year:other_equity_instrument}}</t>
        </is>
      </c>
      <c r="D8" s="322" t="inlineStr">
        <is>
          <t>{{eq:EQ-002:current_year:perpetual_bond}}</t>
        </is>
      </c>
      <c r="E8" s="322" t="n"/>
      <c r="F8" s="322" t="inlineStr">
        <is>
          <t>{{eq:EQ-002:current_year:capital_reserve}}</t>
        </is>
      </c>
      <c r="G8" s="322" t="inlineStr">
        <is>
          <t>{{eq:EQ-002:current_year:treasury_stock}}</t>
        </is>
      </c>
      <c r="H8" s="322" t="inlineStr">
        <is>
          <t>{{eq:EQ-002:current_year:other_comprehensive_income}}</t>
        </is>
      </c>
      <c r="I8" s="323" t="inlineStr">
        <is>
          <t>{{eq:EQ-002:current_year:special_reserve}}</t>
        </is>
      </c>
      <c r="J8" s="322" t="inlineStr">
        <is>
          <t>{{eq:EQ-002:current_year:surplus_reserve}}</t>
        </is>
      </c>
      <c r="K8" s="322" t="inlineStr">
        <is>
          <t>{{eq:EQ-002:current_year:retained_earnings}}</t>
        </is>
      </c>
      <c r="L8" s="318">
        <f>B8+C8+D8+E8+F8-G8+H8+I8+J8+K8</f>
        <v/>
      </c>
      <c r="M8" s="323" t="inlineStr">
        <is>
          <t>{{eq:EQ-002:prior_year:share_capital}}</t>
        </is>
      </c>
      <c r="N8" s="336" t="inlineStr">
        <is>
          <t>{{eq:EQ-002:prior_year:other_equity_instrument}}</t>
        </is>
      </c>
      <c r="O8" s="317" t="inlineStr">
        <is>
          <t>{{eq:EQ-002:prior_year:perpetual_bond}}</t>
        </is>
      </c>
      <c r="P8" s="317" t="n"/>
      <c r="Q8" s="317" t="inlineStr">
        <is>
          <t>{{eq:EQ-002:prior_year:capital_reserve}}</t>
        </is>
      </c>
      <c r="R8" s="317" t="inlineStr">
        <is>
          <t>{{eq:EQ-002:prior_year:treasury_stock}}</t>
        </is>
      </c>
      <c r="S8" s="318" t="inlineStr">
        <is>
          <t>{{eq:EQ-002:prior_year:other_comprehensive_income}}</t>
        </is>
      </c>
      <c r="T8" s="318" t="inlineStr">
        <is>
          <t>{{eq:EQ-002:prior_year:special_reserve}}</t>
        </is>
      </c>
      <c r="U8" s="317" t="inlineStr">
        <is>
          <t>{{eq:EQ-002:prior_year:surplus_reserve}}</t>
        </is>
      </c>
      <c r="V8" s="317" t="inlineStr">
        <is>
          <t>{{eq:EQ-002:prior_year:retained_earnings}}</t>
        </is>
      </c>
      <c r="W8" s="318">
        <f>M8+N8+O8+P8+Q8-R8+S8+T8+U8+V8</f>
        <v/>
      </c>
    </row>
    <row r="9" ht="18" customFormat="1" customHeight="1" s="58">
      <c r="A9" s="42" t="inlineStr">
        <is>
          <t xml:space="preserve">           前期差错更正</t>
        </is>
      </c>
      <c r="B9" s="322" t="inlineStr">
        <is>
          <t>{{eq:EQ-003:current_year:share_capital}}</t>
        </is>
      </c>
      <c r="C9" s="322" t="inlineStr">
        <is>
          <t>{{eq:EQ-003:current_year:other_equity_instrument}}</t>
        </is>
      </c>
      <c r="D9" s="322" t="inlineStr">
        <is>
          <t>{{eq:EQ-003:current_year:perpetual_bond}}</t>
        </is>
      </c>
      <c r="E9" s="322" t="n"/>
      <c r="F9" s="322" t="inlineStr">
        <is>
          <t>{{eq:EQ-003:current_year:capital_reserve}}</t>
        </is>
      </c>
      <c r="G9" s="322" t="inlineStr">
        <is>
          <t>{{eq:EQ-003:current_year:treasury_stock}}</t>
        </is>
      </c>
      <c r="H9" s="322" t="inlineStr">
        <is>
          <t>{{eq:EQ-003:current_year:other_comprehensive_income}}</t>
        </is>
      </c>
      <c r="I9" s="323" t="inlineStr">
        <is>
          <t>{{eq:EQ-003:current_year:special_reserve}}</t>
        </is>
      </c>
      <c r="J9" s="322" t="inlineStr">
        <is>
          <t>{{eq:EQ-003:current_year:surplus_reserve}}</t>
        </is>
      </c>
      <c r="K9" s="322" t="inlineStr">
        <is>
          <t>{{eq:EQ-003:current_year:retained_earnings}}</t>
        </is>
      </c>
      <c r="L9" s="318">
        <f>B9+C9+D9+E9+F9-G9+H9+I9+J9+K9</f>
        <v/>
      </c>
      <c r="M9" s="323" t="inlineStr">
        <is>
          <t>{{eq:EQ-003:prior_year:share_capital}}</t>
        </is>
      </c>
      <c r="N9" s="336" t="inlineStr">
        <is>
          <t>{{eq:EQ-003:prior_year:other_equity_instrument}}</t>
        </is>
      </c>
      <c r="O9" s="317" t="inlineStr">
        <is>
          <t>{{eq:EQ-003:prior_year:perpetual_bond}}</t>
        </is>
      </c>
      <c r="P9" s="317" t="n"/>
      <c r="Q9" s="317" t="inlineStr">
        <is>
          <t>{{eq:EQ-003:prior_year:capital_reserve}}</t>
        </is>
      </c>
      <c r="R9" s="317" t="inlineStr">
        <is>
          <t>{{eq:EQ-003:prior_year:treasury_stock}}</t>
        </is>
      </c>
      <c r="S9" s="318" t="inlineStr">
        <is>
          <t>{{eq:EQ-003:prior_year:other_comprehensive_income}}</t>
        </is>
      </c>
      <c r="T9" s="318" t="inlineStr">
        <is>
          <t>{{eq:EQ-003:prior_year:special_reserve}}</t>
        </is>
      </c>
      <c r="U9" s="317" t="inlineStr">
        <is>
          <t>{{eq:EQ-003:prior_year:surplus_reserve}}</t>
        </is>
      </c>
      <c r="V9" s="317" t="inlineStr">
        <is>
          <t>{{eq:EQ-003:prior_year:retained_earnings}}</t>
        </is>
      </c>
      <c r="W9" s="318">
        <f>M9+N9+O9+P9+Q9-R9+S9+T9+U9+V9</f>
        <v/>
      </c>
    </row>
    <row r="10" ht="18" customFormat="1" customHeight="1" s="58">
      <c r="A10" s="42" t="inlineStr">
        <is>
          <t xml:space="preserve">           其他</t>
        </is>
      </c>
      <c r="B10" s="317" t="inlineStr">
        <is>
          <t>{{eq:EQ-005:current_year:share_capital}}</t>
        </is>
      </c>
      <c r="C10" s="324" t="inlineStr">
        <is>
          <t>{{eq:EQ-005:current_year:other_equity_instrument}}</t>
        </is>
      </c>
      <c r="D10" s="324" t="inlineStr">
        <is>
          <t>{{eq:EQ-005:current_year:perpetual_bond}}</t>
        </is>
      </c>
      <c r="E10" s="324" t="n"/>
      <c r="F10" s="324" t="inlineStr">
        <is>
          <t>{{eq:EQ-005:current_year:capital_reserve}}</t>
        </is>
      </c>
      <c r="G10" s="317" t="inlineStr">
        <is>
          <t>{{eq:EQ-005:current_year:treasury_stock}}</t>
        </is>
      </c>
      <c r="H10" s="317" t="inlineStr">
        <is>
          <t>{{eq:EQ-005:current_year:other_comprehensive_income}}</t>
        </is>
      </c>
      <c r="I10" s="321" t="inlineStr">
        <is>
          <t>{{eq:EQ-005:current_year:special_reserve}}</t>
        </is>
      </c>
      <c r="J10" s="317" t="inlineStr">
        <is>
          <t>{{eq:EQ-005:current_year:surplus_reserve}}</t>
        </is>
      </c>
      <c r="K10" s="317" t="inlineStr">
        <is>
          <t>{{eq:EQ-005:current_year:retained_earnings}}</t>
        </is>
      </c>
      <c r="L10" s="318">
        <f>B10+C10+D10+E10+F10-G10+H10+I10+J10+K10</f>
        <v/>
      </c>
      <c r="M10" s="324" t="inlineStr">
        <is>
          <t>{{eq:EQ-005:prior_year:share_capital}}</t>
        </is>
      </c>
      <c r="N10" s="318" t="inlineStr">
        <is>
          <t>{{eq:EQ-005:prior_year:other_equity_instrument}}</t>
        </is>
      </c>
      <c r="O10" s="317" t="inlineStr">
        <is>
          <t>{{eq:EQ-005:prior_year:perpetual_bond}}</t>
        </is>
      </c>
      <c r="P10" s="317" t="n"/>
      <c r="Q10" s="317" t="inlineStr">
        <is>
          <t>{{eq:EQ-005:prior_year:capital_reserve}}</t>
        </is>
      </c>
      <c r="R10" s="317" t="inlineStr">
        <is>
          <t>{{eq:EQ-005:prior_year:treasury_stock}}</t>
        </is>
      </c>
      <c r="S10" s="318" t="inlineStr">
        <is>
          <t>{{eq:EQ-005:prior_year:other_comprehensive_income}}</t>
        </is>
      </c>
      <c r="T10" s="318" t="inlineStr">
        <is>
          <t>{{eq:EQ-005:prior_year:special_reserve}}</t>
        </is>
      </c>
      <c r="U10" s="317" t="inlineStr">
        <is>
          <t>{{eq:EQ-005:prior_year:surplus_reserve}}</t>
        </is>
      </c>
      <c r="V10" s="317" t="inlineStr">
        <is>
          <t>{{eq:EQ-005:prior_year:retained_earnings}}</t>
        </is>
      </c>
      <c r="W10" s="318">
        <f>M10+N10+O10+P10+Q10-R10+S10+T10+U10+V10</f>
        <v/>
      </c>
    </row>
    <row r="11" ht="18" customFormat="1" customHeight="1" s="58">
      <c r="A11" s="82" t="inlineStr">
        <is>
          <t>二、本年年初余额</t>
        </is>
      </c>
      <c r="B11" s="317">
        <f>B7+B10</f>
        <v/>
      </c>
      <c r="C11" s="317">
        <f>C7+C10</f>
        <v/>
      </c>
      <c r="D11" s="317">
        <f>D7+D10</f>
        <v/>
      </c>
      <c r="E11" s="317">
        <f>E7+E10</f>
        <v/>
      </c>
      <c r="F11" s="317">
        <f>F7+F10</f>
        <v/>
      </c>
      <c r="G11" s="317">
        <f>G7+G10</f>
        <v/>
      </c>
      <c r="H11" s="317">
        <f>H7+H10</f>
        <v/>
      </c>
      <c r="I11" s="324">
        <f>I7+I10</f>
        <v/>
      </c>
      <c r="J11" s="317">
        <f>J7+J10</f>
        <v/>
      </c>
      <c r="K11" s="317">
        <f>K7+K10</f>
        <v/>
      </c>
      <c r="L11" s="318">
        <f>B11+C11+D11+E11+F11-G11+H11+I11+J11+K11</f>
        <v/>
      </c>
      <c r="M11" s="324">
        <f>M7+M8+M9+M10</f>
        <v/>
      </c>
      <c r="N11" s="317">
        <f>N7+N8+N9+N10</f>
        <v/>
      </c>
      <c r="O11" s="324">
        <f>O7+O8+O9+O10</f>
        <v/>
      </c>
      <c r="P11" s="317">
        <f>P7+P8+P9+P10</f>
        <v/>
      </c>
      <c r="Q11" s="317">
        <f>Q7+Q8+Q9+Q10</f>
        <v/>
      </c>
      <c r="R11" s="317">
        <f>R7+R8+R9+R10</f>
        <v/>
      </c>
      <c r="S11" s="317">
        <f>S7+S8+S9+S10</f>
        <v/>
      </c>
      <c r="T11" s="317">
        <f>T7+T8+T9+T10</f>
        <v/>
      </c>
      <c r="U11" s="317">
        <f>U7+U8+U9+U10</f>
        <v/>
      </c>
      <c r="V11" s="317">
        <f>V7+V8+V9+V10</f>
        <v/>
      </c>
      <c r="W11" s="318">
        <f>M11+N11+O11+P11+Q11-R11+S11+T11+U11+V11</f>
        <v/>
      </c>
    </row>
    <row r="12" ht="18" customFormat="1" customHeight="1" s="58">
      <c r="A12" s="85" t="inlineStr">
        <is>
          <t>三、本年增减变动金额（减少以“-”号填列）</t>
        </is>
      </c>
      <c r="B12" s="317">
        <f>B13+B14+B19+B24+B31+B34</f>
        <v/>
      </c>
      <c r="C12" s="317">
        <f>C13+C14+C19+C24+C31+C34</f>
        <v/>
      </c>
      <c r="D12" s="317">
        <f>D13+D14+D19+D24+D31+D34</f>
        <v/>
      </c>
      <c r="E12" s="317">
        <f>E13+E14+E19+E24+E31+E34</f>
        <v/>
      </c>
      <c r="F12" s="317">
        <f>F13+F14+F19+F24+F31+F34</f>
        <v/>
      </c>
      <c r="G12" s="317">
        <f>G13+G14+G19+G24+G31+G34</f>
        <v/>
      </c>
      <c r="H12" s="317">
        <f>H13+H14+H19+H24+H31+H34</f>
        <v/>
      </c>
      <c r="I12" s="317">
        <f>I13+I14+I19+I24+I31+I34</f>
        <v/>
      </c>
      <c r="J12" s="317">
        <f>J13+J14+J19+J24+J31+J34</f>
        <v/>
      </c>
      <c r="K12" s="317">
        <f>K13+K14+K19+K24+K31+K34</f>
        <v/>
      </c>
      <c r="L12" s="318">
        <f>B12+C12+D12+E12+F12-G12+H12+I12+J12+K12</f>
        <v/>
      </c>
      <c r="M12" s="324">
        <f>M13+M14+M19+M24+M31+M34</f>
        <v/>
      </c>
      <c r="N12" s="317">
        <f>N13+N14+N19+N24+N31+N34</f>
        <v/>
      </c>
      <c r="O12" s="324">
        <f>O13+O14+O19+O24+O31+O34</f>
        <v/>
      </c>
      <c r="P12" s="317">
        <f>P13+P14+P19+P24+P31+P34</f>
        <v/>
      </c>
      <c r="Q12" s="317">
        <f>Q13+Q14+Q19+Q24+Q31+Q34</f>
        <v/>
      </c>
      <c r="R12" s="317">
        <f>R13+R14+R19+R24+R31+R34</f>
        <v/>
      </c>
      <c r="S12" s="317">
        <f>S13+S14+S19+S24+S31+S34</f>
        <v/>
      </c>
      <c r="T12" s="317">
        <f>T13+T14+T19+T24+T31+T34</f>
        <v/>
      </c>
      <c r="U12" s="317">
        <f>U13+U14+U19+U24+U31+U34</f>
        <v/>
      </c>
      <c r="V12" s="317">
        <f>V13+V14+V19+V24+V31+V34</f>
        <v/>
      </c>
      <c r="W12" s="318">
        <f>M12+N12+O12+P12+Q12-R12+S12+T12+U12+V12</f>
        <v/>
      </c>
    </row>
    <row r="13" ht="18" customFormat="1" customHeight="1" s="58">
      <c r="A13" s="42" t="inlineStr">
        <is>
          <t>（一）综合收益总额</t>
        </is>
      </c>
      <c r="B13" s="317" t="inlineStr">
        <is>
          <t>{{eq:EQ-008:current_year:share_capital}}</t>
        </is>
      </c>
      <c r="C13" s="317" t="inlineStr">
        <is>
          <t>{{eq:EQ-008:current_year:other_equity_instrument}}</t>
        </is>
      </c>
      <c r="D13" s="317" t="inlineStr">
        <is>
          <t>{{eq:EQ-008:current_year:perpetual_bond}}</t>
        </is>
      </c>
      <c r="E13" s="317" t="n"/>
      <c r="F13" s="317" t="inlineStr">
        <is>
          <t>{{eq:EQ-008:current_year:capital_reserve}}</t>
        </is>
      </c>
      <c r="G13" s="317" t="inlineStr">
        <is>
          <t>{{eq:EQ-008:current_year:treasury_stock}}</t>
        </is>
      </c>
      <c r="H13" s="317" t="inlineStr">
        <is>
          <t>{{eq:EQ-008:current_year:other_comprehensive_income}}</t>
        </is>
      </c>
      <c r="I13" s="324" t="inlineStr">
        <is>
          <t>{{eq:EQ-008:current_year:special_reserve}}</t>
        </is>
      </c>
      <c r="J13" s="317" t="inlineStr">
        <is>
          <t>{{eq:EQ-008:current_year:surplus_reserve}}</t>
        </is>
      </c>
      <c r="K13" s="317" t="inlineStr">
        <is>
          <t>{{eq:EQ-008:current_year:retained_earnings}}</t>
        </is>
      </c>
      <c r="L13" s="318">
        <f>B13+C13+D13+E13+F13-G13+H13+I13+J13+K13</f>
        <v/>
      </c>
      <c r="M13" s="324" t="inlineStr">
        <is>
          <t>{{eq:EQ-008:prior_year:share_capital}}</t>
        </is>
      </c>
      <c r="N13" s="317" t="inlineStr">
        <is>
          <t>{{eq:EQ-008:prior_year:other_equity_instrument}}</t>
        </is>
      </c>
      <c r="O13" s="324" t="inlineStr">
        <is>
          <t>{{eq:EQ-008:prior_year:perpetual_bond}}</t>
        </is>
      </c>
      <c r="P13" s="324" t="n"/>
      <c r="Q13" s="324" t="inlineStr">
        <is>
          <t>{{eq:EQ-008:prior_year:capital_reserve}}</t>
        </is>
      </c>
      <c r="R13" s="324" t="inlineStr">
        <is>
          <t>{{eq:EQ-008:prior_year:treasury_stock}}</t>
        </is>
      </c>
      <c r="S13" s="317" t="inlineStr">
        <is>
          <t>{{eq:EQ-008:prior_year:other_comprehensive_income}}</t>
        </is>
      </c>
      <c r="T13" s="318" t="inlineStr">
        <is>
          <t>{{eq:EQ-008:prior_year:special_reserve}}</t>
        </is>
      </c>
      <c r="U13" s="317" t="inlineStr">
        <is>
          <t>{{eq:EQ-008:prior_year:surplus_reserve}}</t>
        </is>
      </c>
      <c r="V13" s="317" t="inlineStr">
        <is>
          <t>{{eq:EQ-008:prior_year:retained_earnings}}</t>
        </is>
      </c>
      <c r="W13" s="318">
        <f>M13+N13+O13+P13+Q13-R13+S13+T13+U13+V13</f>
        <v/>
      </c>
    </row>
    <row r="14" ht="18" customFormat="1" customHeight="1" s="58">
      <c r="A14" s="42" t="inlineStr">
        <is>
          <t>（二）股东（或所有者）投入和减少资本</t>
        </is>
      </c>
      <c r="B14" s="317">
        <f>SUM(B15:B18)</f>
        <v/>
      </c>
      <c r="C14" s="317">
        <f>SUM(C15:C18)</f>
        <v/>
      </c>
      <c r="D14" s="317">
        <f>SUM(D15:D18)</f>
        <v/>
      </c>
      <c r="E14" s="317">
        <f>SUM(E15:E18)</f>
        <v/>
      </c>
      <c r="F14" s="317">
        <f>SUM(F15:F18)</f>
        <v/>
      </c>
      <c r="G14" s="317">
        <f>SUM(G15:G18)</f>
        <v/>
      </c>
      <c r="H14" s="317">
        <f>SUM(H15:H18)</f>
        <v/>
      </c>
      <c r="I14" s="324">
        <f>SUM(I15:I18)</f>
        <v/>
      </c>
      <c r="J14" s="317">
        <f>SUM(J15:J18)</f>
        <v/>
      </c>
      <c r="K14" s="317">
        <f>SUM(K15:K18)</f>
        <v/>
      </c>
      <c r="L14" s="318">
        <f>B14+C14+D14+E14+F14-G14+H14+I14+J14+K14</f>
        <v/>
      </c>
      <c r="M14" s="324">
        <f>SUM(M15:M18)</f>
        <v/>
      </c>
      <c r="N14" s="317">
        <f>SUM(N15:N18)</f>
        <v/>
      </c>
      <c r="O14" s="317">
        <f>SUM(O15:O18)</f>
        <v/>
      </c>
      <c r="P14" s="317">
        <f>SUM(P15:P18)</f>
        <v/>
      </c>
      <c r="Q14" s="317">
        <f>SUM(Q15:Q18)</f>
        <v/>
      </c>
      <c r="R14" s="317">
        <f>SUM(R15:R18)</f>
        <v/>
      </c>
      <c r="S14" s="317">
        <f>SUM(S15:S18)</f>
        <v/>
      </c>
      <c r="T14" s="317">
        <f>SUM(T15:T18)</f>
        <v/>
      </c>
      <c r="U14" s="317">
        <f>SUM(U15:U18)</f>
        <v/>
      </c>
      <c r="V14" s="317">
        <f>SUM(V15:V18)</f>
        <v/>
      </c>
      <c r="W14" s="318">
        <f>M14+N14+O14+P14+Q14-R14+S14+T14+U14+V14</f>
        <v/>
      </c>
    </row>
    <row r="15" ht="18" customFormat="1" customHeight="1" s="58">
      <c r="A15" s="42" t="inlineStr">
        <is>
          <t xml:space="preserve"> 1．股东投入的普通股</t>
        </is>
      </c>
      <c r="B15" s="317" t="inlineStr">
        <is>
          <t>{{eq:EQ-010:current_year:share_capital}}</t>
        </is>
      </c>
      <c r="C15" s="324" t="inlineStr">
        <is>
          <t>{{eq:EQ-010:current_year:other_equity_instrument}}</t>
        </is>
      </c>
      <c r="D15" s="324" t="inlineStr">
        <is>
          <t>{{eq:EQ-010:current_year:perpetual_bond}}</t>
        </is>
      </c>
      <c r="E15" s="324" t="n"/>
      <c r="F15" s="324" t="inlineStr">
        <is>
          <t>{{eq:EQ-010:current_year:capital_reserve}}</t>
        </is>
      </c>
      <c r="G15" s="317" t="inlineStr">
        <is>
          <t>{{eq:EQ-010:current_year:treasury_stock}}</t>
        </is>
      </c>
      <c r="H15" s="317" t="inlineStr">
        <is>
          <t>{{eq:EQ-010:current_year:other_comprehensive_income}}</t>
        </is>
      </c>
      <c r="I15" s="321" t="inlineStr">
        <is>
          <t>{{eq:EQ-010:current_year:special_reserve}}</t>
        </is>
      </c>
      <c r="J15" s="317" t="inlineStr">
        <is>
          <t>{{eq:EQ-010:current_year:surplus_reserve}}</t>
        </is>
      </c>
      <c r="K15" s="317" t="inlineStr">
        <is>
          <t>{{eq:EQ-010:current_year:retained_earnings}}</t>
        </is>
      </c>
      <c r="L15" s="318">
        <f>B15+C15+D15+E15+F15-G15+H15+I15+J15+K15</f>
        <v/>
      </c>
      <c r="M15" s="324" t="inlineStr">
        <is>
          <t>{{eq:EQ-010:prior_year:share_capital}}</t>
        </is>
      </c>
      <c r="N15" s="317" t="inlineStr">
        <is>
          <t>{{eq:EQ-010:prior_year:other_equity_instrument}}</t>
        </is>
      </c>
      <c r="O15" s="324" t="inlineStr">
        <is>
          <t>{{eq:EQ-010:prior_year:perpetual_bond}}</t>
        </is>
      </c>
      <c r="P15" s="324" t="n"/>
      <c r="Q15" s="324" t="inlineStr">
        <is>
          <t>{{eq:EQ-010:prior_year:capital_reserve}}</t>
        </is>
      </c>
      <c r="R15" s="324" t="inlineStr">
        <is>
          <t>{{eq:EQ-010:prior_year:treasury_stock}}</t>
        </is>
      </c>
      <c r="S15" s="324" t="inlineStr">
        <is>
          <t>{{eq:EQ-010:prior_year:other_comprehensive_income}}</t>
        </is>
      </c>
      <c r="T15" s="321" t="inlineStr">
        <is>
          <t>{{eq:EQ-010:prior_year:special_reserve}}</t>
        </is>
      </c>
      <c r="U15" s="317" t="inlineStr">
        <is>
          <t>{{eq:EQ-010:prior_year:surplus_reserve}}</t>
        </is>
      </c>
      <c r="V15" s="317" t="inlineStr">
        <is>
          <t>{{eq:EQ-010:prior_year:retained_earnings}}</t>
        </is>
      </c>
      <c r="W15" s="318">
        <f>M15+N15+O15+P15+Q15-R15+S15+T15+U15+V15</f>
        <v/>
      </c>
    </row>
    <row r="16" ht="18" customFormat="1" customHeight="1" s="58">
      <c r="A16" s="42" t="inlineStr">
        <is>
          <t xml:space="preserve"> 2.  其他权益工具持有者投入资本</t>
        </is>
      </c>
      <c r="B16" s="317" t="inlineStr">
        <is>
          <t>{{eq:EQ-011:current_year:share_capital}}</t>
        </is>
      </c>
      <c r="C16" s="324" t="inlineStr">
        <is>
          <t>{{eq:EQ-011:current_year:other_equity_instrument}}</t>
        </is>
      </c>
      <c r="D16" s="324" t="inlineStr">
        <is>
          <t>{{eq:EQ-011:current_year:perpetual_bond}}</t>
        </is>
      </c>
      <c r="E16" s="324" t="n"/>
      <c r="F16" s="324" t="inlineStr">
        <is>
          <t>{{eq:EQ-011:current_year:capital_reserve}}</t>
        </is>
      </c>
      <c r="G16" s="317" t="inlineStr">
        <is>
          <t>{{eq:EQ-011:current_year:treasury_stock}}</t>
        </is>
      </c>
      <c r="H16" s="317" t="inlineStr">
        <is>
          <t>{{eq:EQ-011:current_year:other_comprehensive_income}}</t>
        </is>
      </c>
      <c r="I16" s="321" t="inlineStr">
        <is>
          <t>{{eq:EQ-011:current_year:special_reserve}}</t>
        </is>
      </c>
      <c r="J16" s="317" t="inlineStr">
        <is>
          <t>{{eq:EQ-011:current_year:surplus_reserve}}</t>
        </is>
      </c>
      <c r="K16" s="317" t="inlineStr">
        <is>
          <t>{{eq:EQ-011:current_year:retained_earnings}}</t>
        </is>
      </c>
      <c r="L16" s="318">
        <f>B16+C16+D16+E16+F16-G16+H16+I16+J16+K16</f>
        <v/>
      </c>
      <c r="M16" s="324" t="inlineStr">
        <is>
          <t>{{eq:EQ-011:prior_year:share_capital}}</t>
        </is>
      </c>
      <c r="N16" s="317" t="inlineStr">
        <is>
          <t>{{eq:EQ-011:prior_year:other_equity_instrument}}</t>
        </is>
      </c>
      <c r="O16" s="324" t="inlineStr">
        <is>
          <t>{{eq:EQ-011:prior_year:perpetual_bond}}</t>
        </is>
      </c>
      <c r="P16" s="324" t="n"/>
      <c r="Q16" s="324" t="inlineStr">
        <is>
          <t>{{eq:EQ-011:prior_year:capital_reserve}}</t>
        </is>
      </c>
      <c r="R16" s="324" t="inlineStr">
        <is>
          <t>{{eq:EQ-011:prior_year:treasury_stock}}</t>
        </is>
      </c>
      <c r="S16" s="324" t="inlineStr">
        <is>
          <t>{{eq:EQ-011:prior_year:other_comprehensive_income}}</t>
        </is>
      </c>
      <c r="T16" s="321" t="inlineStr">
        <is>
          <t>{{eq:EQ-011:prior_year:special_reserve}}</t>
        </is>
      </c>
      <c r="U16" s="317" t="inlineStr">
        <is>
          <t>{{eq:EQ-011:prior_year:surplus_reserve}}</t>
        </is>
      </c>
      <c r="V16" s="317" t="inlineStr">
        <is>
          <t>{{eq:EQ-011:prior_year:retained_earnings}}</t>
        </is>
      </c>
      <c r="W16" s="318">
        <f>M16+N16+O16+P16+Q16-R16+S16+T16+U16+V16</f>
        <v/>
      </c>
    </row>
    <row r="17" ht="18" customFormat="1" customHeight="1" s="58">
      <c r="A17" s="42" t="inlineStr">
        <is>
          <t xml:space="preserve"> 3．股份支付计入股东权益的金额</t>
        </is>
      </c>
      <c r="B17" s="317" t="inlineStr">
        <is>
          <t>{{eq:EQ-012:current_year:share_capital}}</t>
        </is>
      </c>
      <c r="C17" s="324" t="inlineStr">
        <is>
          <t>{{eq:EQ-012:current_year:other_equity_instrument}}</t>
        </is>
      </c>
      <c r="D17" s="324" t="inlineStr">
        <is>
          <t>{{eq:EQ-012:current_year:perpetual_bond}}</t>
        </is>
      </c>
      <c r="E17" s="324" t="n"/>
      <c r="F17" s="324" t="inlineStr">
        <is>
          <t>{{eq:EQ-012:current_year:capital_reserve}}</t>
        </is>
      </c>
      <c r="G17" s="317" t="inlineStr">
        <is>
          <t>{{eq:EQ-012:current_year:treasury_stock}}</t>
        </is>
      </c>
      <c r="H17" s="317" t="inlineStr">
        <is>
          <t>{{eq:EQ-012:current_year:other_comprehensive_income}}</t>
        </is>
      </c>
      <c r="I17" s="321" t="inlineStr">
        <is>
          <t>{{eq:EQ-012:current_year:special_reserve}}</t>
        </is>
      </c>
      <c r="J17" s="317" t="inlineStr">
        <is>
          <t>{{eq:EQ-012:current_year:surplus_reserve}}</t>
        </is>
      </c>
      <c r="K17" s="317" t="inlineStr">
        <is>
          <t>{{eq:EQ-012:current_year:retained_earnings}}</t>
        </is>
      </c>
      <c r="L17" s="318">
        <f>B17+C17+D17+E17+F17-G17+H17+I17+J17+K17</f>
        <v/>
      </c>
      <c r="M17" s="324" t="inlineStr">
        <is>
          <t>{{eq:EQ-012:prior_year:share_capital}}</t>
        </is>
      </c>
      <c r="N17" s="317" t="inlineStr">
        <is>
          <t>{{eq:EQ-012:prior_year:other_equity_instrument}}</t>
        </is>
      </c>
      <c r="O17" s="324" t="inlineStr">
        <is>
          <t>{{eq:EQ-012:prior_year:perpetual_bond}}</t>
        </is>
      </c>
      <c r="P17" s="324" t="n"/>
      <c r="Q17" s="324" t="inlineStr">
        <is>
          <t>{{eq:EQ-012:prior_year:capital_reserve}}</t>
        </is>
      </c>
      <c r="R17" s="324" t="inlineStr">
        <is>
          <t>{{eq:EQ-012:prior_year:treasury_stock}}</t>
        </is>
      </c>
      <c r="S17" s="324" t="inlineStr">
        <is>
          <t>{{eq:EQ-012:prior_year:other_comprehensive_income}}</t>
        </is>
      </c>
      <c r="T17" s="321" t="inlineStr">
        <is>
          <t>{{eq:EQ-012:prior_year:special_reserve}}</t>
        </is>
      </c>
      <c r="U17" s="317" t="inlineStr">
        <is>
          <t>{{eq:EQ-012:prior_year:surplus_reserve}}</t>
        </is>
      </c>
      <c r="V17" s="317" t="inlineStr">
        <is>
          <t>{{eq:EQ-012:prior_year:retained_earnings}}</t>
        </is>
      </c>
      <c r="W17" s="318">
        <f>M17+N17+O17+P17+Q17-R17+S17+T17+U17+V17</f>
        <v/>
      </c>
    </row>
    <row r="18" ht="18" customFormat="1" customHeight="1" s="58">
      <c r="A18" s="42" t="inlineStr">
        <is>
          <t xml:space="preserve"> 4．其他</t>
        </is>
      </c>
      <c r="B18" s="317" t="inlineStr">
        <is>
          <t>{{eq:EQ-013:current_year:share_capital}}</t>
        </is>
      </c>
      <c r="C18" s="324" t="inlineStr">
        <is>
          <t>{{eq:EQ-013:current_year:other_equity_instrument}}</t>
        </is>
      </c>
      <c r="D18" s="324" t="inlineStr">
        <is>
          <t>{{eq:EQ-013:current_year:perpetual_bond}}</t>
        </is>
      </c>
      <c r="E18" s="324" t="n"/>
      <c r="F18" s="324" t="inlineStr">
        <is>
          <t>{{eq:EQ-013:current_year:capital_reserve}}</t>
        </is>
      </c>
      <c r="G18" s="317" t="inlineStr">
        <is>
          <t>{{eq:EQ-013:current_year:treasury_stock}}</t>
        </is>
      </c>
      <c r="H18" s="317" t="inlineStr">
        <is>
          <t>{{eq:EQ-013:current_year:other_comprehensive_income}}</t>
        </is>
      </c>
      <c r="I18" s="321" t="inlineStr">
        <is>
          <t>{{eq:EQ-013:current_year:special_reserve}}</t>
        </is>
      </c>
      <c r="J18" s="317" t="inlineStr">
        <is>
          <t>{{eq:EQ-013:current_year:surplus_reserve}}</t>
        </is>
      </c>
      <c r="K18" s="317" t="inlineStr">
        <is>
          <t>{{eq:EQ-013:current_year:retained_earnings}}</t>
        </is>
      </c>
      <c r="L18" s="318">
        <f>B18+C18+D18+E18+F18-G18+H18+I18+J18+K18</f>
        <v/>
      </c>
      <c r="M18" s="324" t="inlineStr">
        <is>
          <t>{{eq:EQ-013:prior_year:share_capital}}</t>
        </is>
      </c>
      <c r="N18" s="317" t="inlineStr">
        <is>
          <t>{{eq:EQ-013:prior_year:other_equity_instrument}}</t>
        </is>
      </c>
      <c r="O18" s="324" t="inlineStr">
        <is>
          <t>{{eq:EQ-013:prior_year:perpetual_bond}}</t>
        </is>
      </c>
      <c r="P18" s="324" t="n"/>
      <c r="Q18" s="324" t="inlineStr">
        <is>
          <t>{{eq:EQ-013:prior_year:capital_reserve}}</t>
        </is>
      </c>
      <c r="R18" s="324" t="inlineStr">
        <is>
          <t>{{eq:EQ-013:prior_year:treasury_stock}}</t>
        </is>
      </c>
      <c r="S18" s="324" t="inlineStr">
        <is>
          <t>{{eq:EQ-013:prior_year:other_comprehensive_income}}</t>
        </is>
      </c>
      <c r="T18" s="321" t="inlineStr">
        <is>
          <t>{{eq:EQ-013:prior_year:special_reserve}}</t>
        </is>
      </c>
      <c r="U18" s="317" t="inlineStr">
        <is>
          <t>{{eq:EQ-013:prior_year:surplus_reserve}}</t>
        </is>
      </c>
      <c r="V18" s="317" t="inlineStr">
        <is>
          <t>{{eq:EQ-013:prior_year:retained_earnings}}</t>
        </is>
      </c>
      <c r="W18" s="318">
        <f>M18+N18+O18+P18+Q18-R18+S18+T18+U18+V18</f>
        <v/>
      </c>
    </row>
    <row r="19" ht="18" customFormat="1" customHeight="1" s="58">
      <c r="A19" s="42" t="inlineStr">
        <is>
          <t>（三）利润分配</t>
        </is>
      </c>
      <c r="B19" s="317">
        <f>SUM(B20:B23)</f>
        <v/>
      </c>
      <c r="C19" s="317">
        <f>SUM(C20:C23)</f>
        <v/>
      </c>
      <c r="D19" s="317">
        <f>SUM(D20:D23)</f>
        <v/>
      </c>
      <c r="E19" s="317">
        <f>SUM(E20:E23)</f>
        <v/>
      </c>
      <c r="F19" s="317">
        <f>SUM(F20:F23)</f>
        <v/>
      </c>
      <c r="G19" s="317">
        <f>SUM(G20:G23)</f>
        <v/>
      </c>
      <c r="H19" s="317">
        <f>SUM(H20:H23)</f>
        <v/>
      </c>
      <c r="I19" s="317">
        <f>SUM(I20:I23)</f>
        <v/>
      </c>
      <c r="J19" s="317">
        <f>SUM(J20:J23)</f>
        <v/>
      </c>
      <c r="K19" s="317">
        <f>SUM(K20:K23)</f>
        <v/>
      </c>
      <c r="L19" s="318">
        <f>B19+C19+D19+E19+F19-G19+H19+I19+J19+K19</f>
        <v/>
      </c>
      <c r="M19" s="324">
        <f>SUM(M20:M23)</f>
        <v/>
      </c>
      <c r="N19" s="317">
        <f>SUM(N20:N23)</f>
        <v/>
      </c>
      <c r="O19" s="317">
        <f>SUM(O20:O23)</f>
        <v/>
      </c>
      <c r="P19" s="317">
        <f>SUM(P20:P23)</f>
        <v/>
      </c>
      <c r="Q19" s="317">
        <f>SUM(Q20:Q23)</f>
        <v/>
      </c>
      <c r="R19" s="317">
        <f>SUM(R20:R23)</f>
        <v/>
      </c>
      <c r="S19" s="317">
        <f>SUM(S20:S23)</f>
        <v/>
      </c>
      <c r="T19" s="317">
        <f>SUM(T20:T23)</f>
        <v/>
      </c>
      <c r="U19" s="317">
        <f>SUM(U20:U23)</f>
        <v/>
      </c>
      <c r="V19" s="317">
        <f>SUM(V20:V23)</f>
        <v/>
      </c>
      <c r="W19" s="318">
        <f>M19+N19+O19+P19+Q19-R19+S19+T19+U19+V19</f>
        <v/>
      </c>
    </row>
    <row r="20" ht="18" customFormat="1" customHeight="1" s="58">
      <c r="A20" s="42" t="inlineStr">
        <is>
          <t xml:space="preserve"> 1．提取盈余公积</t>
        </is>
      </c>
      <c r="B20" s="317" t="inlineStr">
        <is>
          <t>{{eq:EQ-015:current_year:share_capital}}</t>
        </is>
      </c>
      <c r="C20" s="324" t="inlineStr">
        <is>
          <t>{{eq:EQ-015:current_year:other_equity_instrument}}</t>
        </is>
      </c>
      <c r="D20" s="324" t="inlineStr">
        <is>
          <t>{{eq:EQ-015:current_year:perpetual_bond}}</t>
        </is>
      </c>
      <c r="E20" s="324" t="n"/>
      <c r="F20" s="324" t="inlineStr">
        <is>
          <t>{{eq:EQ-015:current_year:capital_reserve}}</t>
        </is>
      </c>
      <c r="G20" s="317" t="inlineStr">
        <is>
          <t>{{eq:EQ-015:current_year:treasury_stock}}</t>
        </is>
      </c>
      <c r="H20" s="317" t="inlineStr">
        <is>
          <t>{{eq:EQ-015:current_year:other_comprehensive_income}}</t>
        </is>
      </c>
      <c r="I20" s="321" t="inlineStr">
        <is>
          <t>{{eq:EQ-015:current_year:special_reserve}}</t>
        </is>
      </c>
      <c r="J20" s="317" t="inlineStr">
        <is>
          <t>{{eq:EQ-015:current_year:surplus_reserve}}</t>
        </is>
      </c>
      <c r="K20" s="317" t="inlineStr">
        <is>
          <t>{{eq:EQ-015:current_year:retained_earnings}}</t>
        </is>
      </c>
      <c r="L20" s="318">
        <f>B20+C20+D20+E20+F20-G20+H20+I20+J20+K20</f>
        <v/>
      </c>
      <c r="M20" s="324" t="inlineStr">
        <is>
          <t>{{eq:EQ-015:prior_year:share_capital}}</t>
        </is>
      </c>
      <c r="N20" s="317" t="inlineStr">
        <is>
          <t>{{eq:EQ-015:prior_year:other_equity_instrument}}</t>
        </is>
      </c>
      <c r="O20" s="324" t="inlineStr">
        <is>
          <t>{{eq:EQ-015:prior_year:perpetual_bond}}</t>
        </is>
      </c>
      <c r="P20" s="324" t="n"/>
      <c r="Q20" s="324" t="inlineStr">
        <is>
          <t>{{eq:EQ-015:prior_year:capital_reserve}}</t>
        </is>
      </c>
      <c r="R20" s="324" t="inlineStr">
        <is>
          <t>{{eq:EQ-015:prior_year:treasury_stock}}</t>
        </is>
      </c>
      <c r="S20" s="324" t="inlineStr">
        <is>
          <t>{{eq:EQ-015:prior_year:other_comprehensive_income}}</t>
        </is>
      </c>
      <c r="T20" s="321" t="inlineStr">
        <is>
          <t>{{eq:EQ-015:prior_year:special_reserve}}</t>
        </is>
      </c>
      <c r="U20" s="317" t="inlineStr">
        <is>
          <t>{{eq:EQ-015:prior_year:surplus_reserve}}</t>
        </is>
      </c>
      <c r="V20" s="317" t="inlineStr">
        <is>
          <t>{{eq:EQ-015:prior_year:retained_earnings}}</t>
        </is>
      </c>
      <c r="W20" s="318">
        <f>M20+N20+O20+P20+Q20-R20+S20+T20+U20+V20</f>
        <v/>
      </c>
    </row>
    <row r="21" ht="18" customFormat="1" customHeight="1" s="58">
      <c r="A21" s="44" t="inlineStr">
        <is>
          <t xml:space="preserve"> 2．提取一般风险准备</t>
        </is>
      </c>
      <c r="B21" s="317" t="inlineStr">
        <is>
          <t>{{eq:EQ-016:current_year:share_capital}}</t>
        </is>
      </c>
      <c r="C21" s="324" t="inlineStr">
        <is>
          <t>{{eq:EQ-016:current_year:other_equity_instrument}}</t>
        </is>
      </c>
      <c r="D21" s="324" t="inlineStr">
        <is>
          <t>{{eq:EQ-016:current_year:perpetual_bond}}</t>
        </is>
      </c>
      <c r="E21" s="324" t="n"/>
      <c r="F21" s="324" t="inlineStr">
        <is>
          <t>{{eq:EQ-016:current_year:capital_reserve}}</t>
        </is>
      </c>
      <c r="G21" s="317" t="inlineStr">
        <is>
          <t>{{eq:EQ-016:current_year:treasury_stock}}</t>
        </is>
      </c>
      <c r="H21" s="317" t="inlineStr">
        <is>
          <t>{{eq:EQ-016:current_year:other_comprehensive_income}}</t>
        </is>
      </c>
      <c r="I21" s="321" t="inlineStr">
        <is>
          <t>{{eq:EQ-016:current_year:special_reserve}}</t>
        </is>
      </c>
      <c r="J21" s="317" t="inlineStr">
        <is>
          <t>{{eq:EQ-016:current_year:surplus_reserve}}</t>
        </is>
      </c>
      <c r="K21" s="317" t="inlineStr">
        <is>
          <t>{{eq:EQ-016:current_year:retained_earnings}}</t>
        </is>
      </c>
      <c r="L21" s="318" t="inlineStr">
        <is>
          <t>{{eq:EQ-016:current_year:total_equity}}</t>
        </is>
      </c>
      <c r="M21" s="324" t="inlineStr">
        <is>
          <t>{{eq:EQ-016:prior_year:share_capital}}</t>
        </is>
      </c>
      <c r="N21" s="317" t="inlineStr">
        <is>
          <t>{{eq:EQ-016:prior_year:other_equity_instrument}}</t>
        </is>
      </c>
      <c r="O21" s="324" t="inlineStr">
        <is>
          <t>{{eq:EQ-016:prior_year:perpetual_bond}}</t>
        </is>
      </c>
      <c r="P21" s="324" t="n"/>
      <c r="Q21" s="324" t="inlineStr">
        <is>
          <t>{{eq:EQ-016:prior_year:capital_reserve}}</t>
        </is>
      </c>
      <c r="R21" s="324" t="inlineStr">
        <is>
          <t>{{eq:EQ-016:prior_year:treasury_stock}}</t>
        </is>
      </c>
      <c r="S21" s="324" t="inlineStr">
        <is>
          <t>{{eq:EQ-016:prior_year:other_comprehensive_income}}</t>
        </is>
      </c>
      <c r="T21" s="321" t="inlineStr">
        <is>
          <t>{{eq:EQ-016:prior_year:special_reserve}}</t>
        </is>
      </c>
      <c r="U21" s="317" t="inlineStr">
        <is>
          <t>{{eq:EQ-016:prior_year:surplus_reserve}}</t>
        </is>
      </c>
      <c r="V21" s="317" t="inlineStr">
        <is>
          <t>{{eq:EQ-016:prior_year:retained_earnings}}</t>
        </is>
      </c>
      <c r="W21" s="318" t="inlineStr">
        <is>
          <t>{{eq:EQ-016:prior_year:total_equity}}</t>
        </is>
      </c>
    </row>
    <row r="22" ht="18" customFormat="1" customHeight="1" s="58">
      <c r="A22" s="42" t="inlineStr">
        <is>
          <t xml:space="preserve"> 3．对股东（或所有者）的分配</t>
        </is>
      </c>
      <c r="B22" s="317" t="inlineStr">
        <is>
          <t>{{eq:EQ-017:current_year:share_capital}}</t>
        </is>
      </c>
      <c r="C22" s="324" t="inlineStr">
        <is>
          <t>{{eq:EQ-017:current_year:other_equity_instrument}}</t>
        </is>
      </c>
      <c r="D22" s="324" t="inlineStr">
        <is>
          <t>{{eq:EQ-017:current_year:perpetual_bond}}</t>
        </is>
      </c>
      <c r="E22" s="324" t="n"/>
      <c r="F22" s="324" t="inlineStr">
        <is>
          <t>{{eq:EQ-017:current_year:capital_reserve}}</t>
        </is>
      </c>
      <c r="G22" s="317" t="inlineStr">
        <is>
          <t>{{eq:EQ-017:current_year:treasury_stock}}</t>
        </is>
      </c>
      <c r="H22" s="317" t="inlineStr">
        <is>
          <t>{{eq:EQ-017:current_year:other_comprehensive_income}}</t>
        </is>
      </c>
      <c r="I22" s="321" t="inlineStr">
        <is>
          <t>{{eq:EQ-017:current_year:special_reserve}}</t>
        </is>
      </c>
      <c r="J22" s="317" t="inlineStr">
        <is>
          <t>{{eq:EQ-017:current_year:surplus_reserve}}</t>
        </is>
      </c>
      <c r="K22" s="317" t="inlineStr">
        <is>
          <t>{{eq:EQ-017:current_year:retained_earnings}}</t>
        </is>
      </c>
      <c r="L22" s="318">
        <f>B22+C22+D22+E22+F22-G22+H22+I22+J22+K22</f>
        <v/>
      </c>
      <c r="M22" s="324" t="inlineStr">
        <is>
          <t>{{eq:EQ-017:prior_year:share_capital}}</t>
        </is>
      </c>
      <c r="N22" s="317" t="inlineStr">
        <is>
          <t>{{eq:EQ-017:prior_year:other_equity_instrument}}</t>
        </is>
      </c>
      <c r="O22" s="324" t="inlineStr">
        <is>
          <t>{{eq:EQ-017:prior_year:perpetual_bond}}</t>
        </is>
      </c>
      <c r="P22" s="324" t="n"/>
      <c r="Q22" s="324" t="inlineStr">
        <is>
          <t>{{eq:EQ-017:prior_year:capital_reserve}}</t>
        </is>
      </c>
      <c r="R22" s="324" t="inlineStr">
        <is>
          <t>{{eq:EQ-017:prior_year:treasury_stock}}</t>
        </is>
      </c>
      <c r="S22" s="324" t="inlineStr">
        <is>
          <t>{{eq:EQ-017:prior_year:other_comprehensive_income}}</t>
        </is>
      </c>
      <c r="T22" s="321" t="inlineStr">
        <is>
          <t>{{eq:EQ-017:prior_year:special_reserve}}</t>
        </is>
      </c>
      <c r="U22" s="317" t="inlineStr">
        <is>
          <t>{{eq:EQ-017:prior_year:surplus_reserve}}</t>
        </is>
      </c>
      <c r="V22" s="317" t="inlineStr">
        <is>
          <t>{{eq:EQ-017:prior_year:retained_earnings}}</t>
        </is>
      </c>
      <c r="W22" s="318">
        <f>M22+N22+O22+P22+Q22-R22+S22+T22+U22+V22</f>
        <v/>
      </c>
    </row>
    <row r="23" ht="18" customFormat="1" customHeight="1" s="58">
      <c r="A23" s="42" t="inlineStr">
        <is>
          <t xml:space="preserve"> 4．其他</t>
        </is>
      </c>
      <c r="B23" s="317" t="inlineStr">
        <is>
          <t>{{eq:EQ-013:current_year:share_capital}}</t>
        </is>
      </c>
      <c r="C23" s="324" t="inlineStr">
        <is>
          <t>{{eq:EQ-013:current_year:other_equity_instrument}}</t>
        </is>
      </c>
      <c r="D23" s="324" t="inlineStr">
        <is>
          <t>{{eq:EQ-013:current_year:perpetual_bond}}</t>
        </is>
      </c>
      <c r="E23" s="324" t="n"/>
      <c r="F23" s="324" t="inlineStr">
        <is>
          <t>{{eq:EQ-013:current_year:capital_reserve}}</t>
        </is>
      </c>
      <c r="G23" s="317" t="inlineStr">
        <is>
          <t>{{eq:EQ-013:current_year:treasury_stock}}</t>
        </is>
      </c>
      <c r="H23" s="317" t="inlineStr">
        <is>
          <t>{{eq:EQ-013:current_year:other_comprehensive_income}}</t>
        </is>
      </c>
      <c r="I23" s="321" t="inlineStr">
        <is>
          <t>{{eq:EQ-013:current_year:special_reserve}}</t>
        </is>
      </c>
      <c r="J23" s="317" t="inlineStr">
        <is>
          <t>{{eq:EQ-013:current_year:surplus_reserve}}</t>
        </is>
      </c>
      <c r="K23" s="317" t="inlineStr">
        <is>
          <t>{{eq:EQ-013:current_year:retained_earnings}}</t>
        </is>
      </c>
      <c r="L23" s="318">
        <f>B23+C23+D23+E23+F23-G23+H23+I23+J23+K23</f>
        <v/>
      </c>
      <c r="M23" s="324" t="inlineStr">
        <is>
          <t>{{eq:EQ-013:prior_year:share_capital}}</t>
        </is>
      </c>
      <c r="N23" s="317" t="inlineStr">
        <is>
          <t>{{eq:EQ-013:prior_year:other_equity_instrument}}</t>
        </is>
      </c>
      <c r="O23" s="324" t="inlineStr">
        <is>
          <t>{{eq:EQ-013:prior_year:perpetual_bond}}</t>
        </is>
      </c>
      <c r="P23" s="324" t="n"/>
      <c r="Q23" s="324" t="inlineStr">
        <is>
          <t>{{eq:EQ-013:prior_year:capital_reserve}}</t>
        </is>
      </c>
      <c r="R23" s="324" t="inlineStr">
        <is>
          <t>{{eq:EQ-013:prior_year:treasury_stock}}</t>
        </is>
      </c>
      <c r="S23" s="324" t="inlineStr">
        <is>
          <t>{{eq:EQ-013:prior_year:other_comprehensive_income}}</t>
        </is>
      </c>
      <c r="T23" s="321" t="inlineStr">
        <is>
          <t>{{eq:EQ-013:prior_year:special_reserve}}</t>
        </is>
      </c>
      <c r="U23" s="317" t="inlineStr">
        <is>
          <t>{{eq:EQ-013:prior_year:surplus_reserve}}</t>
        </is>
      </c>
      <c r="V23" s="317" t="inlineStr">
        <is>
          <t>{{eq:EQ-013:prior_year:retained_earnings}}</t>
        </is>
      </c>
      <c r="W23" s="318">
        <f>M23+N23+O23+P23+Q23-R23+S23+T23+U23+V23</f>
        <v/>
      </c>
    </row>
    <row r="24" ht="18" customFormat="1" customHeight="1" s="58">
      <c r="A24" s="42" t="inlineStr">
        <is>
          <t>（四）股东权益内部结转</t>
        </is>
      </c>
      <c r="B24" s="317">
        <f>SUM(B25:B30)</f>
        <v/>
      </c>
      <c r="C24" s="317">
        <f>SUM(C25:C30)</f>
        <v/>
      </c>
      <c r="D24" s="317">
        <f>SUM(D25:D30)</f>
        <v/>
      </c>
      <c r="E24" s="317">
        <f>SUM(E25:E30)</f>
        <v/>
      </c>
      <c r="F24" s="317">
        <f>SUM(F25:F30)</f>
        <v/>
      </c>
      <c r="G24" s="317">
        <f>SUM(G25:G30)</f>
        <v/>
      </c>
      <c r="H24" s="317">
        <f>SUM(H25:H30)</f>
        <v/>
      </c>
      <c r="I24" s="317">
        <f>SUM(I25:I30)</f>
        <v/>
      </c>
      <c r="J24" s="317">
        <f>SUM(J25:J30)</f>
        <v/>
      </c>
      <c r="K24" s="317">
        <f>SUM(K25:K30)</f>
        <v/>
      </c>
      <c r="L24" s="318">
        <f>B24+C24+D24+E24+F24-G24+H24+I24+J24+K24</f>
        <v/>
      </c>
      <c r="M24" s="324">
        <f>SUM(M25:M30)</f>
        <v/>
      </c>
      <c r="N24" s="317">
        <f>SUM(N25:N30)</f>
        <v/>
      </c>
      <c r="O24" s="317">
        <f>SUM(O25:O30)</f>
        <v/>
      </c>
      <c r="P24" s="317">
        <f>SUM(P25:P30)</f>
        <v/>
      </c>
      <c r="Q24" s="317">
        <f>SUM(Q25:Q30)</f>
        <v/>
      </c>
      <c r="R24" s="317">
        <f>SUM(R25:R30)</f>
        <v/>
      </c>
      <c r="S24" s="317">
        <f>SUM(S25:S30)</f>
        <v/>
      </c>
      <c r="T24" s="317">
        <f>SUM(T25:T30)</f>
        <v/>
      </c>
      <c r="U24" s="317">
        <f>SUM(U25:U30)</f>
        <v/>
      </c>
      <c r="V24" s="317">
        <f>SUM(V25:V30)</f>
        <v/>
      </c>
      <c r="W24" s="318">
        <f>M24+N24+O24+P24+Q24-R24+S24+T24+U24+V24</f>
        <v/>
      </c>
    </row>
    <row r="25" ht="18" customFormat="1" customHeight="1" s="58">
      <c r="A25" s="42" t="inlineStr">
        <is>
          <t xml:space="preserve"> 1．资本公积转增股本（或资本）</t>
        </is>
      </c>
      <c r="B25" s="317" t="inlineStr">
        <is>
          <t>{{eq:EQ-020:current_year:share_capital}}</t>
        </is>
      </c>
      <c r="C25" s="324" t="inlineStr">
        <is>
          <t>{{eq:EQ-020:current_year:other_equity_instrument}}</t>
        </is>
      </c>
      <c r="D25" s="324" t="inlineStr">
        <is>
          <t>{{eq:EQ-020:current_year:perpetual_bond}}</t>
        </is>
      </c>
      <c r="E25" s="324" t="n"/>
      <c r="F25" s="324" t="inlineStr">
        <is>
          <t>{{eq:EQ-020:current_year:capital_reserve}}</t>
        </is>
      </c>
      <c r="G25" s="317" t="inlineStr">
        <is>
          <t>{{eq:EQ-020:current_year:treasury_stock}}</t>
        </is>
      </c>
      <c r="H25" s="317" t="inlineStr">
        <is>
          <t>{{eq:EQ-020:current_year:other_comprehensive_income}}</t>
        </is>
      </c>
      <c r="I25" s="321" t="inlineStr">
        <is>
          <t>{{eq:EQ-020:current_year:special_reserve}}</t>
        </is>
      </c>
      <c r="J25" s="317" t="inlineStr">
        <is>
          <t>{{eq:EQ-020:current_year:surplus_reserve}}</t>
        </is>
      </c>
      <c r="K25" s="317" t="inlineStr">
        <is>
          <t>{{eq:EQ-020:current_year:retained_earnings}}</t>
        </is>
      </c>
      <c r="L25" s="318">
        <f>B25+C25+D25+E25+F25-G25+H25+I25+J25+K25</f>
        <v/>
      </c>
      <c r="M25" s="324" t="inlineStr">
        <is>
          <t>{{eq:EQ-020:prior_year:share_capital}}</t>
        </is>
      </c>
      <c r="N25" s="317" t="inlineStr">
        <is>
          <t>{{eq:EQ-020:prior_year:other_equity_instrument}}</t>
        </is>
      </c>
      <c r="O25" s="324" t="inlineStr">
        <is>
          <t>{{eq:EQ-020:prior_year:perpetual_bond}}</t>
        </is>
      </c>
      <c r="P25" s="324" t="n"/>
      <c r="Q25" s="324" t="inlineStr">
        <is>
          <t>{{eq:EQ-020:prior_year:capital_reserve}}</t>
        </is>
      </c>
      <c r="R25" s="324" t="inlineStr">
        <is>
          <t>{{eq:EQ-020:prior_year:treasury_stock}}</t>
        </is>
      </c>
      <c r="S25" s="324" t="inlineStr">
        <is>
          <t>{{eq:EQ-020:prior_year:other_comprehensive_income}}</t>
        </is>
      </c>
      <c r="T25" s="321" t="inlineStr">
        <is>
          <t>{{eq:EQ-020:prior_year:special_reserve}}</t>
        </is>
      </c>
      <c r="U25" s="317" t="inlineStr">
        <is>
          <t>{{eq:EQ-020:prior_year:surplus_reserve}}</t>
        </is>
      </c>
      <c r="V25" s="317" t="inlineStr">
        <is>
          <t>{{eq:EQ-020:prior_year:retained_earnings}}</t>
        </is>
      </c>
      <c r="W25" s="318">
        <f>M25+N25+O25+P25+Q25-R25+S25+T25+U25+V25</f>
        <v/>
      </c>
    </row>
    <row r="26" ht="18" customFormat="1" customHeight="1" s="58">
      <c r="A26" s="42" t="inlineStr">
        <is>
          <t xml:space="preserve"> 2．盈余公积转增股本（或资本）</t>
        </is>
      </c>
      <c r="B26" s="317" t="inlineStr">
        <is>
          <t>{{eq:EQ-021:current_year:share_capital}}</t>
        </is>
      </c>
      <c r="C26" s="324" t="inlineStr">
        <is>
          <t>{{eq:EQ-021:current_year:other_equity_instrument}}</t>
        </is>
      </c>
      <c r="D26" s="324" t="inlineStr">
        <is>
          <t>{{eq:EQ-021:current_year:perpetual_bond}}</t>
        </is>
      </c>
      <c r="E26" s="324" t="n"/>
      <c r="F26" s="324" t="inlineStr">
        <is>
          <t>{{eq:EQ-021:current_year:capital_reserve}}</t>
        </is>
      </c>
      <c r="G26" s="317" t="inlineStr">
        <is>
          <t>{{eq:EQ-021:current_year:treasury_stock}}</t>
        </is>
      </c>
      <c r="H26" s="317" t="inlineStr">
        <is>
          <t>{{eq:EQ-021:current_year:other_comprehensive_income}}</t>
        </is>
      </c>
      <c r="I26" s="321" t="inlineStr">
        <is>
          <t>{{eq:EQ-021:current_year:special_reserve}}</t>
        </is>
      </c>
      <c r="J26" s="317" t="inlineStr">
        <is>
          <t>{{eq:EQ-021:current_year:surplus_reserve}}</t>
        </is>
      </c>
      <c r="K26" s="317" t="inlineStr">
        <is>
          <t>{{eq:EQ-021:current_year:retained_earnings}}</t>
        </is>
      </c>
      <c r="L26" s="318">
        <f>B26+C26+D26+E26+F26-G26+H26+I26+J26+K26</f>
        <v/>
      </c>
      <c r="M26" s="324" t="inlineStr">
        <is>
          <t>{{eq:EQ-021:prior_year:share_capital}}</t>
        </is>
      </c>
      <c r="N26" s="317" t="inlineStr">
        <is>
          <t>{{eq:EQ-021:prior_year:other_equity_instrument}}</t>
        </is>
      </c>
      <c r="O26" s="324" t="inlineStr">
        <is>
          <t>{{eq:EQ-021:prior_year:perpetual_bond}}</t>
        </is>
      </c>
      <c r="P26" s="324" t="n"/>
      <c r="Q26" s="324" t="inlineStr">
        <is>
          <t>{{eq:EQ-021:prior_year:capital_reserve}}</t>
        </is>
      </c>
      <c r="R26" s="324" t="inlineStr">
        <is>
          <t>{{eq:EQ-021:prior_year:treasury_stock}}</t>
        </is>
      </c>
      <c r="S26" s="324" t="inlineStr">
        <is>
          <t>{{eq:EQ-021:prior_year:other_comprehensive_income}}</t>
        </is>
      </c>
      <c r="T26" s="321" t="inlineStr">
        <is>
          <t>{{eq:EQ-021:prior_year:special_reserve}}</t>
        </is>
      </c>
      <c r="U26" s="317" t="inlineStr">
        <is>
          <t>{{eq:EQ-021:prior_year:surplus_reserve}}</t>
        </is>
      </c>
      <c r="V26" s="317" t="inlineStr">
        <is>
          <t>{{eq:EQ-021:prior_year:retained_earnings}}</t>
        </is>
      </c>
      <c r="W26" s="318">
        <f>M26+N26+O26+P26+Q26-R26+S26+T26+U26+V26</f>
        <v/>
      </c>
    </row>
    <row r="27" ht="18" customFormat="1" customHeight="1" s="58">
      <c r="A27" s="45" t="inlineStr">
        <is>
          <t xml:space="preserve"> 3．弥补亏损</t>
        </is>
      </c>
      <c r="B27" s="317" t="inlineStr">
        <is>
          <t>{{eq:EQ-022:current_year:share_capital}}</t>
        </is>
      </c>
      <c r="C27" s="324" t="inlineStr">
        <is>
          <t>{{eq:EQ-022:current_year:other_equity_instrument}}</t>
        </is>
      </c>
      <c r="D27" s="324" t="inlineStr">
        <is>
          <t>{{eq:EQ-022:current_year:perpetual_bond}}</t>
        </is>
      </c>
      <c r="E27" s="324" t="n"/>
      <c r="F27" s="324" t="inlineStr">
        <is>
          <t>{{eq:EQ-022:current_year:capital_reserve}}</t>
        </is>
      </c>
      <c r="G27" s="317" t="inlineStr">
        <is>
          <t>{{eq:EQ-022:current_year:treasury_stock}}</t>
        </is>
      </c>
      <c r="H27" s="317" t="inlineStr">
        <is>
          <t>{{eq:EQ-022:current_year:other_comprehensive_income}}</t>
        </is>
      </c>
      <c r="I27" s="321" t="inlineStr">
        <is>
          <t>{{eq:EQ-022:current_year:special_reserve}}</t>
        </is>
      </c>
      <c r="J27" s="317" t="inlineStr">
        <is>
          <t>{{eq:EQ-022:current_year:surplus_reserve}}</t>
        </is>
      </c>
      <c r="K27" s="317" t="inlineStr">
        <is>
          <t>{{eq:EQ-022:current_year:retained_earnings}}</t>
        </is>
      </c>
      <c r="L27" s="318">
        <f>B27+C27+D27+E27+F27-G27+H27+I27+J27+K27</f>
        <v/>
      </c>
      <c r="M27" s="324" t="inlineStr">
        <is>
          <t>{{eq:EQ-022:prior_year:share_capital}}</t>
        </is>
      </c>
      <c r="N27" s="317" t="inlineStr">
        <is>
          <t>{{eq:EQ-022:prior_year:other_equity_instrument}}</t>
        </is>
      </c>
      <c r="O27" s="324" t="inlineStr">
        <is>
          <t>{{eq:EQ-022:prior_year:perpetual_bond}}</t>
        </is>
      </c>
      <c r="P27" s="324" t="n"/>
      <c r="Q27" s="324" t="inlineStr">
        <is>
          <t>{{eq:EQ-022:prior_year:capital_reserve}}</t>
        </is>
      </c>
      <c r="R27" s="324" t="inlineStr">
        <is>
          <t>{{eq:EQ-022:prior_year:treasury_stock}}</t>
        </is>
      </c>
      <c r="S27" s="324" t="inlineStr">
        <is>
          <t>{{eq:EQ-022:prior_year:other_comprehensive_income}}</t>
        </is>
      </c>
      <c r="T27" s="321" t="inlineStr">
        <is>
          <t>{{eq:EQ-022:prior_year:special_reserve}}</t>
        </is>
      </c>
      <c r="U27" s="317" t="inlineStr">
        <is>
          <t>{{eq:EQ-022:prior_year:surplus_reserve}}</t>
        </is>
      </c>
      <c r="V27" s="317" t="inlineStr">
        <is>
          <t>{{eq:EQ-022:prior_year:retained_earnings}}</t>
        </is>
      </c>
      <c r="W27" s="318">
        <f>M27+N27+O27+P27+Q27-R27+S27+T27+U27+V27</f>
        <v/>
      </c>
    </row>
    <row r="28" ht="33" customFormat="1" customHeight="1" s="58">
      <c r="A28" s="46" t="inlineStr">
        <is>
          <t xml:space="preserve"> 4.  设定受益计划变动额结转留存收益</t>
        </is>
      </c>
      <c r="B28" s="317" t="inlineStr">
        <is>
          <t>{{eq:EQ-023:current_year:share_capital}}</t>
        </is>
      </c>
      <c r="C28" s="324" t="inlineStr">
        <is>
          <t>{{eq:EQ-023:current_year:other_equity_instrument}}</t>
        </is>
      </c>
      <c r="D28" s="324" t="inlineStr">
        <is>
          <t>{{eq:EQ-023:current_year:perpetual_bond}}</t>
        </is>
      </c>
      <c r="E28" s="324" t="n"/>
      <c r="F28" s="324" t="inlineStr">
        <is>
          <t>{{eq:EQ-023:current_year:capital_reserve}}</t>
        </is>
      </c>
      <c r="G28" s="317" t="inlineStr">
        <is>
          <t>{{eq:EQ-023:current_year:treasury_stock}}</t>
        </is>
      </c>
      <c r="H28" s="317" t="inlineStr">
        <is>
          <t>{{eq:EQ-023:current_year:other_comprehensive_income}}</t>
        </is>
      </c>
      <c r="I28" s="321" t="inlineStr">
        <is>
          <t>{{eq:EQ-023:current_year:special_reserve}}</t>
        </is>
      </c>
      <c r="J28" s="317" t="inlineStr">
        <is>
          <t>{{eq:EQ-023:current_year:surplus_reserve}}</t>
        </is>
      </c>
      <c r="K28" s="317" t="inlineStr">
        <is>
          <t>{{eq:EQ-023:current_year:retained_earnings}}</t>
        </is>
      </c>
      <c r="L28" s="318">
        <f>B28+C28+D28+E28+F28-G28+H28+I28+J28+K28</f>
        <v/>
      </c>
      <c r="M28" s="324" t="inlineStr">
        <is>
          <t>{{eq:EQ-023:prior_year:share_capital}}</t>
        </is>
      </c>
      <c r="N28" s="317" t="inlineStr">
        <is>
          <t>{{eq:EQ-023:prior_year:other_equity_instrument}}</t>
        </is>
      </c>
      <c r="O28" s="324" t="inlineStr">
        <is>
          <t>{{eq:EQ-023:prior_year:perpetual_bond}}</t>
        </is>
      </c>
      <c r="P28" s="324" t="n"/>
      <c r="Q28" s="324" t="inlineStr">
        <is>
          <t>{{eq:EQ-023:prior_year:capital_reserve}}</t>
        </is>
      </c>
      <c r="R28" s="324" t="inlineStr">
        <is>
          <t>{{eq:EQ-023:prior_year:treasury_stock}}</t>
        </is>
      </c>
      <c r="S28" s="324" t="inlineStr">
        <is>
          <t>{{eq:EQ-023:prior_year:other_comprehensive_income}}</t>
        </is>
      </c>
      <c r="T28" s="321" t="inlineStr">
        <is>
          <t>{{eq:EQ-023:prior_year:special_reserve}}</t>
        </is>
      </c>
      <c r="U28" s="317" t="inlineStr">
        <is>
          <t>{{eq:EQ-023:prior_year:surplus_reserve}}</t>
        </is>
      </c>
      <c r="V28" s="317" t="inlineStr">
        <is>
          <t>{{eq:EQ-023:prior_year:retained_earnings}}</t>
        </is>
      </c>
      <c r="W28" s="318">
        <f>M28+N28+O28+P28+Q28-R28+S28+T28+U28+V28</f>
        <v/>
      </c>
    </row>
    <row r="29" customFormat="1" s="58">
      <c r="A29" s="47" t="inlineStr">
        <is>
          <t xml:space="preserve"> 5．其他综合收益结转留存收益</t>
        </is>
      </c>
      <c r="B29" s="317" t="inlineStr">
        <is>
          <t>{{eq:EQ-024:current_year:share_capital}}</t>
        </is>
      </c>
      <c r="C29" s="324" t="inlineStr">
        <is>
          <t>{{eq:EQ-024:current_year:other_equity_instrument}}</t>
        </is>
      </c>
      <c r="D29" s="324" t="inlineStr">
        <is>
          <t>{{eq:EQ-024:current_year:perpetual_bond}}</t>
        </is>
      </c>
      <c r="E29" s="324" t="n"/>
      <c r="F29" s="324" t="inlineStr">
        <is>
          <t>{{eq:EQ-024:current_year:capital_reserve}}</t>
        </is>
      </c>
      <c r="G29" s="317" t="inlineStr">
        <is>
          <t>{{eq:EQ-024:current_year:treasury_stock}}</t>
        </is>
      </c>
      <c r="H29" s="317" t="inlineStr">
        <is>
          <t>{{eq:EQ-024:current_year:other_comprehensive_income}}</t>
        </is>
      </c>
      <c r="I29" s="321" t="inlineStr">
        <is>
          <t>{{eq:EQ-024:current_year:special_reserve}}</t>
        </is>
      </c>
      <c r="J29" s="317" t="inlineStr">
        <is>
          <t>{{eq:EQ-024:current_year:surplus_reserve}}</t>
        </is>
      </c>
      <c r="K29" s="317" t="inlineStr">
        <is>
          <t>{{eq:EQ-024:current_year:retained_earnings}}</t>
        </is>
      </c>
      <c r="L29" s="318" t="inlineStr">
        <is>
          <t>{{eq:EQ-024:current_year:total_equity}}</t>
        </is>
      </c>
      <c r="M29" s="324" t="inlineStr">
        <is>
          <t>{{eq:EQ-024:prior_year:share_capital}}</t>
        </is>
      </c>
      <c r="N29" s="317" t="inlineStr">
        <is>
          <t>{{eq:EQ-024:prior_year:other_equity_instrument}}</t>
        </is>
      </c>
      <c r="O29" s="324" t="inlineStr">
        <is>
          <t>{{eq:EQ-024:prior_year:perpetual_bond}}</t>
        </is>
      </c>
      <c r="P29" s="324" t="n"/>
      <c r="Q29" s="324" t="inlineStr">
        <is>
          <t>{{eq:EQ-024:prior_year:capital_reserve}}</t>
        </is>
      </c>
      <c r="R29" s="324" t="inlineStr">
        <is>
          <t>{{eq:EQ-024:prior_year:treasury_stock}}</t>
        </is>
      </c>
      <c r="S29" s="324" t="inlineStr">
        <is>
          <t>{{eq:EQ-024:prior_year:other_comprehensive_income}}</t>
        </is>
      </c>
      <c r="T29" s="321" t="inlineStr">
        <is>
          <t>{{eq:EQ-024:prior_year:special_reserve}}</t>
        </is>
      </c>
      <c r="U29" s="317" t="inlineStr">
        <is>
          <t>{{eq:EQ-024:prior_year:surplus_reserve}}</t>
        </is>
      </c>
      <c r="V29" s="317" t="inlineStr">
        <is>
          <t>{{eq:EQ-024:prior_year:retained_earnings}}</t>
        </is>
      </c>
      <c r="W29" s="318" t="inlineStr">
        <is>
          <t>{{eq:EQ-024:prior_year:total_equity}}</t>
        </is>
      </c>
    </row>
    <row r="30" ht="18" customFormat="1" customHeight="1" s="58">
      <c r="A30" s="42" t="inlineStr">
        <is>
          <t xml:space="preserve"> 6．其他</t>
        </is>
      </c>
      <c r="B30" s="317" t="inlineStr">
        <is>
          <t>{{eq:EQ-025:current_year:share_capital}}</t>
        </is>
      </c>
      <c r="C30" s="324" t="inlineStr">
        <is>
          <t>{{eq:EQ-025:current_year:other_equity_instrument}}</t>
        </is>
      </c>
      <c r="D30" s="324" t="inlineStr">
        <is>
          <t>{{eq:EQ-025:current_year:perpetual_bond}}</t>
        </is>
      </c>
      <c r="E30" s="324" t="n"/>
      <c r="F30" s="324" t="inlineStr">
        <is>
          <t>{{eq:EQ-025:current_year:capital_reserve}}</t>
        </is>
      </c>
      <c r="G30" s="317" t="inlineStr">
        <is>
          <t>{{eq:EQ-025:current_year:treasury_stock}}</t>
        </is>
      </c>
      <c r="H30" s="317" t="inlineStr">
        <is>
          <t>{{eq:EQ-025:current_year:other_comprehensive_income}}</t>
        </is>
      </c>
      <c r="I30" s="321" t="inlineStr">
        <is>
          <t>{{eq:EQ-025:current_year:special_reserve}}</t>
        </is>
      </c>
      <c r="J30" s="317" t="inlineStr">
        <is>
          <t>{{eq:EQ-025:current_year:surplus_reserve}}</t>
        </is>
      </c>
      <c r="K30" s="317" t="inlineStr">
        <is>
          <t>{{eq:EQ-025:current_year:retained_earnings}}</t>
        </is>
      </c>
      <c r="L30" s="318">
        <f>B30+C30+D30+E30+F30-G30+H30+I30+J30+K30</f>
        <v/>
      </c>
      <c r="M30" s="324" t="inlineStr">
        <is>
          <t>{{eq:EQ-025:prior_year:share_capital}}</t>
        </is>
      </c>
      <c r="N30" s="317" t="inlineStr">
        <is>
          <t>{{eq:EQ-025:prior_year:other_equity_instrument}}</t>
        </is>
      </c>
      <c r="O30" s="324" t="inlineStr">
        <is>
          <t>{{eq:EQ-025:prior_year:perpetual_bond}}</t>
        </is>
      </c>
      <c r="P30" s="324" t="n"/>
      <c r="Q30" s="324" t="inlineStr">
        <is>
          <t>{{eq:EQ-025:prior_year:capital_reserve}}</t>
        </is>
      </c>
      <c r="R30" s="324" t="inlineStr">
        <is>
          <t>{{eq:EQ-025:prior_year:treasury_stock}}</t>
        </is>
      </c>
      <c r="S30" s="324" t="inlineStr">
        <is>
          <t>{{eq:EQ-025:prior_year:other_comprehensive_income}}</t>
        </is>
      </c>
      <c r="T30" s="321" t="inlineStr">
        <is>
          <t>{{eq:EQ-025:prior_year:special_reserve}}</t>
        </is>
      </c>
      <c r="U30" s="317" t="inlineStr">
        <is>
          <t>{{eq:EQ-025:prior_year:surplus_reserve}}</t>
        </is>
      </c>
      <c r="V30" s="317" t="inlineStr">
        <is>
          <t>{{eq:EQ-025:prior_year:retained_earnings}}</t>
        </is>
      </c>
      <c r="W30" s="318">
        <f>M30+N30+O30+P30+Q30-R30+S30+T30+U30+V30</f>
        <v/>
      </c>
    </row>
    <row r="31" ht="18" customFormat="1" customHeight="1" s="58">
      <c r="A31" s="42" t="inlineStr">
        <is>
          <t>（五）专项储备</t>
        </is>
      </c>
      <c r="B31" s="324">
        <f>SUM(B32:B33)</f>
        <v/>
      </c>
      <c r="C31" s="324">
        <f>SUM(C32:C33)</f>
        <v/>
      </c>
      <c r="D31" s="324">
        <f>SUM(D32:D33)</f>
        <v/>
      </c>
      <c r="E31" s="324">
        <f>SUM(E32:E33)</f>
        <v/>
      </c>
      <c r="F31" s="324">
        <f>SUM(F32:F33)</f>
        <v/>
      </c>
      <c r="G31" s="324">
        <f>SUM(G32:G33)</f>
        <v/>
      </c>
      <c r="H31" s="324">
        <f>SUM(H32:H33)</f>
        <v/>
      </c>
      <c r="I31" s="324">
        <f>SUM(I32:I33)</f>
        <v/>
      </c>
      <c r="J31" s="324">
        <f>SUM(J32:J33)</f>
        <v/>
      </c>
      <c r="K31" s="324">
        <f>SUM(K32:K33)</f>
        <v/>
      </c>
      <c r="L31" s="318">
        <f>B31+C31+D31+E31+F31-G31+H31+I31+J31+K31</f>
        <v/>
      </c>
      <c r="M31" s="324">
        <f>SUM(M32:M33)</f>
        <v/>
      </c>
      <c r="N31" s="324">
        <f>SUM(N32:N33)</f>
        <v/>
      </c>
      <c r="O31" s="324">
        <f>SUM(O32:O33)</f>
        <v/>
      </c>
      <c r="P31" s="324">
        <f>SUM(P32:P33)</f>
        <v/>
      </c>
      <c r="Q31" s="324">
        <f>SUM(Q32:Q33)</f>
        <v/>
      </c>
      <c r="R31" s="324">
        <f>SUM(R32:R33)</f>
        <v/>
      </c>
      <c r="S31" s="324">
        <f>SUM(S32:S33)</f>
        <v/>
      </c>
      <c r="T31" s="324">
        <f>SUM(T32:T33)</f>
        <v/>
      </c>
      <c r="U31" s="324">
        <f>SUM(U32:U33)</f>
        <v/>
      </c>
      <c r="V31" s="324">
        <f>SUM(V32:V33)</f>
        <v/>
      </c>
      <c r="W31" s="318">
        <f>M31+N31+O31+P31+Q31-R31+S31+T31+U31+V31</f>
        <v/>
      </c>
    </row>
    <row r="32" ht="18" customFormat="1" customHeight="1" s="58">
      <c r="A32" s="42" t="inlineStr">
        <is>
          <t xml:space="preserve"> 1．本期提取</t>
        </is>
      </c>
      <c r="B32" s="317" t="inlineStr">
        <is>
          <t>{{eq:EQ-027:current_year:share_capital}}</t>
        </is>
      </c>
      <c r="C32" s="324" t="inlineStr">
        <is>
          <t>{{eq:EQ-027:current_year:other_equity_instrument}}</t>
        </is>
      </c>
      <c r="D32" s="324" t="inlineStr">
        <is>
          <t>{{eq:EQ-027:current_year:perpetual_bond}}</t>
        </is>
      </c>
      <c r="E32" s="324" t="n"/>
      <c r="F32" s="324" t="inlineStr">
        <is>
          <t>{{eq:EQ-027:current_year:capital_reserve}}</t>
        </is>
      </c>
      <c r="G32" s="317" t="inlineStr">
        <is>
          <t>{{eq:EQ-027:current_year:treasury_stock}}</t>
        </is>
      </c>
      <c r="H32" s="317" t="inlineStr">
        <is>
          <t>{{eq:EQ-027:current_year:other_comprehensive_income}}</t>
        </is>
      </c>
      <c r="I32" s="321" t="inlineStr">
        <is>
          <t>{{eq:EQ-027:current_year:special_reserve}}</t>
        </is>
      </c>
      <c r="J32" s="317" t="inlineStr">
        <is>
          <t>{{eq:EQ-027:current_year:surplus_reserve}}</t>
        </is>
      </c>
      <c r="K32" s="317" t="inlineStr">
        <is>
          <t>{{eq:EQ-027:current_year:retained_earnings}}</t>
        </is>
      </c>
      <c r="L32" s="318">
        <f>B32+C32+D32+E32+F32-G32+H32+I32+J32+K32</f>
        <v/>
      </c>
      <c r="M32" s="324" t="inlineStr">
        <is>
          <t>{{eq:EQ-027:prior_year:share_capital}}</t>
        </is>
      </c>
      <c r="N32" s="317" t="inlineStr">
        <is>
          <t>{{eq:EQ-027:prior_year:other_equity_instrument}}</t>
        </is>
      </c>
      <c r="O32" s="324" t="inlineStr">
        <is>
          <t>{{eq:EQ-027:prior_year:perpetual_bond}}</t>
        </is>
      </c>
      <c r="P32" s="324" t="n"/>
      <c r="Q32" s="324" t="inlineStr">
        <is>
          <t>{{eq:EQ-027:prior_year:capital_reserve}}</t>
        </is>
      </c>
      <c r="R32" s="324" t="inlineStr">
        <is>
          <t>{{eq:EQ-027:prior_year:treasury_stock}}</t>
        </is>
      </c>
      <c r="S32" s="324" t="inlineStr">
        <is>
          <t>{{eq:EQ-027:prior_year:other_comprehensive_income}}</t>
        </is>
      </c>
      <c r="T32" s="321" t="inlineStr">
        <is>
          <t>{{eq:EQ-027:prior_year:special_reserve}}</t>
        </is>
      </c>
      <c r="U32" s="317" t="inlineStr">
        <is>
          <t>{{eq:EQ-027:prior_year:surplus_reserve}}</t>
        </is>
      </c>
      <c r="V32" s="317" t="inlineStr">
        <is>
          <t>{{eq:EQ-027:prior_year:retained_earnings}}</t>
        </is>
      </c>
      <c r="W32" s="318">
        <f>M32+N32+O32+P32+Q32-R32+S32+T32+U32+V32</f>
        <v/>
      </c>
    </row>
    <row r="33" ht="18" customFormat="1" customHeight="1" s="58">
      <c r="A33" s="42" t="inlineStr">
        <is>
          <t xml:space="preserve"> 2．本期使用（以负号填列）</t>
        </is>
      </c>
      <c r="B33" s="317" t="inlineStr">
        <is>
          <t>{{eq:EQ-028:current_year:share_capital}}</t>
        </is>
      </c>
      <c r="C33" s="324" t="inlineStr">
        <is>
          <t>{{eq:EQ-028:current_year:other_equity_instrument}}</t>
        </is>
      </c>
      <c r="D33" s="324" t="inlineStr">
        <is>
          <t>{{eq:EQ-028:current_year:perpetual_bond}}</t>
        </is>
      </c>
      <c r="E33" s="324" t="n"/>
      <c r="F33" s="324" t="inlineStr">
        <is>
          <t>{{eq:EQ-028:current_year:capital_reserve}}</t>
        </is>
      </c>
      <c r="G33" s="317" t="inlineStr">
        <is>
          <t>{{eq:EQ-028:current_year:treasury_stock}}</t>
        </is>
      </c>
      <c r="H33" s="317" t="inlineStr">
        <is>
          <t>{{eq:EQ-028:current_year:other_comprehensive_income}}</t>
        </is>
      </c>
      <c r="I33" s="321" t="inlineStr">
        <is>
          <t>{{eq:EQ-028:current_year:special_reserve}}</t>
        </is>
      </c>
      <c r="J33" s="317" t="inlineStr">
        <is>
          <t>{{eq:EQ-028:current_year:surplus_reserve}}</t>
        </is>
      </c>
      <c r="K33" s="317" t="inlineStr">
        <is>
          <t>{{eq:EQ-028:current_year:retained_earnings}}</t>
        </is>
      </c>
      <c r="L33" s="318">
        <f>B33+C33+D33+E33+F33-G33+H33+I33+J33+K33</f>
        <v/>
      </c>
      <c r="M33" s="324" t="inlineStr">
        <is>
          <t>{{eq:EQ-028:prior_year:share_capital}}</t>
        </is>
      </c>
      <c r="N33" s="317" t="inlineStr">
        <is>
          <t>{{eq:EQ-028:prior_year:other_equity_instrument}}</t>
        </is>
      </c>
      <c r="O33" s="324" t="inlineStr">
        <is>
          <t>{{eq:EQ-028:prior_year:perpetual_bond}}</t>
        </is>
      </c>
      <c r="P33" s="324" t="n"/>
      <c r="Q33" s="324" t="inlineStr">
        <is>
          <t>{{eq:EQ-028:prior_year:capital_reserve}}</t>
        </is>
      </c>
      <c r="R33" s="324" t="inlineStr">
        <is>
          <t>{{eq:EQ-028:prior_year:treasury_stock}}</t>
        </is>
      </c>
      <c r="S33" s="324" t="inlineStr">
        <is>
          <t>{{eq:EQ-028:prior_year:other_comprehensive_income}}</t>
        </is>
      </c>
      <c r="T33" s="321" t="inlineStr">
        <is>
          <t>{{eq:EQ-028:prior_year:special_reserve}}</t>
        </is>
      </c>
      <c r="U33" s="317" t="inlineStr">
        <is>
          <t>{{eq:EQ-028:prior_year:surplus_reserve}}</t>
        </is>
      </c>
      <c r="V33" s="317" t="inlineStr">
        <is>
          <t>{{eq:EQ-028:prior_year:retained_earnings}}</t>
        </is>
      </c>
      <c r="W33" s="318">
        <f>M33+N33+O33+P33+Q33-R33+S33+T33+U33+V33</f>
        <v/>
      </c>
    </row>
    <row r="34" ht="18" customHeight="1">
      <c r="A34" s="42" t="inlineStr">
        <is>
          <t>（六）其他</t>
        </is>
      </c>
      <c r="B34" s="317" t="inlineStr">
        <is>
          <t>{{eq:EQ-029:current_year:share_capital}}</t>
        </is>
      </c>
      <c r="C34" s="324" t="inlineStr">
        <is>
          <t>{{eq:EQ-029:current_year:other_equity_instrument}}</t>
        </is>
      </c>
      <c r="D34" s="324" t="inlineStr">
        <is>
          <t>{{eq:EQ-029:current_year:perpetual_bond}}</t>
        </is>
      </c>
      <c r="E34" s="324" t="n"/>
      <c r="F34" s="324" t="inlineStr">
        <is>
          <t>{{eq:EQ-029:current_year:capital_reserve}}</t>
        </is>
      </c>
      <c r="G34" s="317" t="inlineStr">
        <is>
          <t>{{eq:EQ-029:current_year:treasury_stock}}</t>
        </is>
      </c>
      <c r="H34" s="317" t="inlineStr">
        <is>
          <t>{{eq:EQ-029:current_year:other_comprehensive_income}}</t>
        </is>
      </c>
      <c r="I34" s="321" t="inlineStr">
        <is>
          <t>{{eq:EQ-029:current_year:special_reserve}}</t>
        </is>
      </c>
      <c r="J34" s="317" t="inlineStr">
        <is>
          <t>{{eq:EQ-029:current_year:surplus_reserve}}</t>
        </is>
      </c>
      <c r="K34" s="317" t="inlineStr">
        <is>
          <t>{{eq:EQ-029:current_year:retained_earnings}}</t>
        </is>
      </c>
      <c r="L34" s="318">
        <f>B34+C34+D34+E34+F34-G34+H34+I34+J34+K34</f>
        <v/>
      </c>
      <c r="M34" s="324" t="inlineStr">
        <is>
          <t>{{eq:EQ-029:prior_year:share_capital}}</t>
        </is>
      </c>
      <c r="N34" s="317" t="inlineStr">
        <is>
          <t>{{eq:EQ-029:prior_year:other_equity_instrument}}</t>
        </is>
      </c>
      <c r="O34" s="324" t="inlineStr">
        <is>
          <t>{{eq:EQ-029:prior_year:perpetual_bond}}</t>
        </is>
      </c>
      <c r="P34" s="324" t="n"/>
      <c r="Q34" s="324" t="inlineStr">
        <is>
          <t>{{eq:EQ-029:prior_year:capital_reserve}}</t>
        </is>
      </c>
      <c r="R34" s="324" t="inlineStr">
        <is>
          <t>{{eq:EQ-029:prior_year:treasury_stock}}</t>
        </is>
      </c>
      <c r="S34" s="324" t="inlineStr">
        <is>
          <t>{{eq:EQ-029:prior_year:other_comprehensive_income}}</t>
        </is>
      </c>
      <c r="T34" s="321" t="inlineStr">
        <is>
          <t>{{eq:EQ-029:prior_year:special_reserve}}</t>
        </is>
      </c>
      <c r="U34" s="317" t="inlineStr">
        <is>
          <t>{{eq:EQ-029:prior_year:surplus_reserve}}</t>
        </is>
      </c>
      <c r="V34" s="317" t="inlineStr">
        <is>
          <t>{{eq:EQ-029:prior_year:retained_earnings}}</t>
        </is>
      </c>
      <c r="W34" s="318">
        <f>M34+N34+O34+P34+Q34-R34+S34+T34+U34+V34</f>
        <v/>
      </c>
    </row>
    <row r="35" ht="18" customHeight="1">
      <c r="A35" s="48" t="inlineStr">
        <is>
          <t>四、本年年末余额</t>
        </is>
      </c>
      <c r="B35" s="326">
        <f>B11+B12</f>
        <v/>
      </c>
      <c r="C35" s="326">
        <f>C11+C12</f>
        <v/>
      </c>
      <c r="D35" s="326">
        <f>D11+D12</f>
        <v/>
      </c>
      <c r="E35" s="326">
        <f>E11+E12</f>
        <v/>
      </c>
      <c r="F35" s="326">
        <f>F11+F12</f>
        <v/>
      </c>
      <c r="G35" s="326">
        <f>G11+G12</f>
        <v/>
      </c>
      <c r="H35" s="326">
        <f>H11+H12</f>
        <v/>
      </c>
      <c r="I35" s="327">
        <f>I11+I12</f>
        <v/>
      </c>
      <c r="J35" s="326">
        <f>J11+J12</f>
        <v/>
      </c>
      <c r="K35" s="326">
        <f>K11+K12</f>
        <v/>
      </c>
      <c r="L35" s="328">
        <f>B35+C35+D35+E35+F35-G35+H35+I35+J35+K35</f>
        <v/>
      </c>
      <c r="M35" s="327">
        <f>M11+M12</f>
        <v/>
      </c>
      <c r="N35" s="326">
        <f>N11+N12</f>
        <v/>
      </c>
      <c r="O35" s="326">
        <f>O11+O12</f>
        <v/>
      </c>
      <c r="P35" s="326">
        <f>P11+P12</f>
        <v/>
      </c>
      <c r="Q35" s="326">
        <f>Q11+Q12</f>
        <v/>
      </c>
      <c r="R35" s="326">
        <f>R11+R12</f>
        <v/>
      </c>
      <c r="S35" s="326">
        <f>S11+S12</f>
        <v/>
      </c>
      <c r="T35" s="326">
        <f>T11+T12</f>
        <v/>
      </c>
      <c r="U35" s="326">
        <f>U11+U12</f>
        <v/>
      </c>
      <c r="V35" s="326">
        <f>V11+V12</f>
        <v/>
      </c>
      <c r="W35" s="328">
        <f>M35+N35+O35+P35+Q35-R35+S35+T35+U35+V35</f>
        <v/>
      </c>
    </row>
    <row r="36" ht="18" customHeight="1">
      <c r="B36" s="58" t="n"/>
      <c r="C36" s="58" t="n"/>
      <c r="D36" s="58" t="n"/>
      <c r="E36" s="58" t="n"/>
      <c r="F36" s="58" t="n"/>
      <c r="G36" s="58" t="n"/>
      <c r="H36" s="58" t="n"/>
      <c r="I36" s="58" t="n"/>
      <c r="J36" s="58" t="n"/>
      <c r="K36" s="58" t="n"/>
      <c r="L36" s="53" t="n"/>
    </row>
    <row r="37" ht="18" customFormat="1" customHeight="1" s="58">
      <c r="A37" s="329" t="inlineStr">
        <is>
          <t xml:space="preserve">公司法定代表人：                                                                           </t>
        </is>
      </c>
      <c r="C37" s="330" t="n"/>
      <c r="D37" s="330" t="inlineStr">
        <is>
          <t xml:space="preserve">主管会计工作的公司负责人：         </t>
        </is>
      </c>
      <c r="E37" s="330" t="n"/>
      <c r="F37" s="56" t="n"/>
      <c r="G37" s="56" t="n"/>
      <c r="H37" s="56" t="n"/>
      <c r="I37" s="56" t="n"/>
      <c r="J37" s="57" t="inlineStr">
        <is>
          <t>公司会计机构负责人：</t>
        </is>
      </c>
      <c r="L37" s="58" t="n"/>
      <c r="N37" s="330" t="n"/>
      <c r="O37" s="330" t="inlineStr">
        <is>
          <t xml:space="preserve">主管会计工作的公司负责人：         </t>
        </is>
      </c>
      <c r="P37" s="330" t="n"/>
      <c r="U37" s="57" t="inlineStr">
        <is>
          <t>公司会计机构负责人：</t>
        </is>
      </c>
    </row>
  </sheetData>
  <mergeCells count="23">
    <mergeCell ref="M4:W4"/>
    <mergeCell ref="B4:L4"/>
    <mergeCell ref="Q5:Q6"/>
    <mergeCell ref="W5:W6"/>
    <mergeCell ref="N5:P5"/>
    <mergeCell ref="F5:F6"/>
    <mergeCell ref="L5:L6"/>
    <mergeCell ref="M1:W1"/>
    <mergeCell ref="A4:A6"/>
    <mergeCell ref="I5:I6"/>
    <mergeCell ref="B1:L1"/>
    <mergeCell ref="G5:G6"/>
    <mergeCell ref="S5:S6"/>
    <mergeCell ref="U5:U6"/>
    <mergeCell ref="B5:B6"/>
    <mergeCell ref="H5:H6"/>
    <mergeCell ref="R5:R6"/>
    <mergeCell ref="C5:E5"/>
    <mergeCell ref="J5:J6"/>
    <mergeCell ref="T5:T6"/>
    <mergeCell ref="V5:V6"/>
    <mergeCell ref="K5:K6"/>
    <mergeCell ref="M5:M6"/>
  </mergeCells>
  <printOptions horizontalCentered="1"/>
  <pageMargins left="0.511811023622047" right="0.511811023622047" top="0.78740157480315" bottom="0.78740157480315" header="0.511811023622047" footer="0.511811023622047"/>
  <pageSetup orientation="landscape" paperSize="9" scale="65" firstPageNumber="7" useFirstPageNumber="1" horizontalDpi="600" verticalDpi="600"/>
  <headerFooter alignWithMargins="0">
    <oddHeader/>
    <oddFooter>&amp;C&amp;"Arial Narrow,常规"&amp;P</oddFooter>
    <evenHeader/>
    <evenFooter/>
    <firstHeader/>
    <firstFooter/>
  </headerFooter>
  <colBreaks count="1" manualBreakCount="1">
    <brk id="12" min="0" max="65535" man="1"/>
  </col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8"/>
  <sheetViews>
    <sheetView zoomScaleSheetLayoutView="60" workbookViewId="0">
      <selection activeCell="A1" sqref="A1"/>
    </sheetView>
  </sheetViews>
  <sheetFormatPr baseColWidth="8" defaultColWidth="8.800000000000001" defaultRowHeight="15.6" outlineLevelRow="7"/>
  <sheetData>
    <row r="1">
      <c r="A1" t="inlineStr">
        <is>
          <t>C1</t>
        </is>
      </c>
      <c r="B1" t="inlineStr">
        <is>
          <t>Custom 1</t>
        </is>
      </c>
    </row>
    <row r="2">
      <c r="A2" t="inlineStr">
        <is>
          <t>C2</t>
        </is>
      </c>
      <c r="B2" t="inlineStr">
        <is>
          <t>Custom 2</t>
        </is>
      </c>
    </row>
    <row r="3">
      <c r="A3" t="inlineStr">
        <is>
          <t>C3</t>
        </is>
      </c>
      <c r="B3" t="inlineStr">
        <is>
          <t>Custom 3</t>
        </is>
      </c>
    </row>
    <row r="4">
      <c r="A4" t="inlineStr">
        <is>
          <t>C4</t>
        </is>
      </c>
      <c r="B4" t="inlineStr">
        <is>
          <t>Custom 4</t>
        </is>
      </c>
    </row>
    <row r="5">
      <c r="A5" t="inlineStr">
        <is>
          <t>C5</t>
        </is>
      </c>
      <c r="B5" t="inlineStr">
        <is>
          <t>Custom 5</t>
        </is>
      </c>
    </row>
    <row r="6">
      <c r="A6" t="inlineStr">
        <is>
          <t>C6</t>
        </is>
      </c>
      <c r="B6" t="inlineStr">
        <is>
          <t>Custom 6</t>
        </is>
      </c>
    </row>
    <row r="7">
      <c r="A7" t="inlineStr">
        <is>
          <t>C7</t>
        </is>
      </c>
      <c r="B7" t="inlineStr">
        <is>
          <t>Custom 7</t>
        </is>
      </c>
    </row>
    <row r="8">
      <c r="A8" t="inlineStr">
        <is>
          <t>C8</t>
        </is>
      </c>
      <c r="B8" t="inlineStr">
        <is>
          <t>Custom 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Zhang Rui 张蕊</dc:creator>
  <dcterms:created xmlns:dcterms="http://purl.org/dc/terms/" xmlns:xsi="http://www.w3.org/2001/XMLSchema-instance" xsi:type="dcterms:W3CDTF">2001-06-27T02:04:20Z</dcterms:created>
  <dcterms:modified xmlns:dcterms="http://purl.org/dc/terms/" xmlns:xsi="http://www.w3.org/2001/XMLSchema-instance" xsi:type="dcterms:W3CDTF">2026-06-09T16:09:25Z</dcterms:modified>
  <cp:lastModifiedBy>杨志</cp:lastModifiedBy>
  <cp:lastPrinted>2023-01-10T06:51:07Z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0C655CBAAAB7484B9E595BE5ABFF14B0_13</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