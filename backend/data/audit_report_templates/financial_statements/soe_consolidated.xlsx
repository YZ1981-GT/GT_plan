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41"/>
  </bookViews>
  <sheets>
    <sheet name="1,2-资产负债表(企财01表）" sheetId="1" r:id="rId1"/>
    <sheet name="1,2-资产负债表(企财01表）续" sheetId="2" r:id="rId2"/>
    <sheet name="3-利润表（企财02表）" sheetId="3" r:id="rId3"/>
    <sheet name="4-现金流量表（企财03表）" sheetId="4" r:id="rId4"/>
    <sheet name="5-所有者权益变动表（企财04表-合并）" sheetId="5" r:id="rId5"/>
    <sheet name="6-所有者权益变动表（企财04表-母公司）" sheetId="6" r:id="rId6"/>
    <sheet name="7-资产减值准备情况表（企财06表－合并）" sheetId="7" r:id="rId7"/>
    <sheet name="8-资产减值准备情况表（企财06表－母公司）" sheetId="8" r:id="rId8"/>
    <sheet name="GT_Custom" sheetId="9" state="hidden" r:id="rId9"/>
  </sheets>
  <definedNames>
    <definedName name="_xlnm.Print_Area" localSheetId="0">'1,2-资产负债表(企财01表）'!$A$1:$F$59</definedName>
    <definedName name="_xlnm.Print_Area" localSheetId="1">'1,2-资产负债表(企财01表）续'!$A$1:$F$83</definedName>
    <definedName name="_xlnm.Print_Area" localSheetId="2">'3-利润表（企财02表）'!$A$1:$F$85</definedName>
    <definedName name="_xlnm.Print_Area" localSheetId="3">'4-现金流量表（企财03表）'!$A$1:$F$70</definedName>
    <definedName name="_xlnm.Print_Titles" localSheetId="4">'5-所有者权益变动表（企财04表-合并）'!$A:$B</definedName>
    <definedName name="_xlnm.Print_Area" localSheetId="4">'5-所有者权益变动表（企财04表-合并）'!$A$1:$AD$43</definedName>
    <definedName name="_xlnm.Print_Titles" localSheetId="5">'6-所有者权益变动表（企财04表-母公司）'!$A:$B</definedName>
    <definedName name="_xlnm.Print_Area" localSheetId="5">'6-所有者权益变动表（企财04表-母公司）'!$A$1:$Z$42</definedName>
    <definedName name="_xlnm.Print_Area" localSheetId="6">'7-资产减值准备情况表（企财06表－合并）'!$A$1:$M$27</definedName>
    <definedName name="_xlnm.Print_Area" localSheetId="7">'8-资产减值准备情况表（企财06表－母公司）'!$A$1:$M$27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致同</author>
    <author>lihong.li</author>
  </authors>
  <commentList>
    <comment ref="E4" authorId="0">
      <text>
        <r>
          <rPr>
            <sz val="10"/>
            <rFont val="宋体"/>
            <charset val="134"/>
          </rPr>
          <t>致同:
年初改为期初。
表内“期初余额”指标根据企业上年度财务决算中资产负债表的“期末余额”结合本年度调整数填列。新执行新金融工具准则则的企业，需将上年度财务决算中资产负债表的“期末余额”按照新准则规定转化后，结合本年度调整数填列。
即，此处填列重述后的数据。</t>
        </r>
      </text>
    </comment>
    <comment ref="A10" authorId="0">
      <text>
        <r>
          <rPr>
            <sz val="10"/>
            <rFont val="宋体"/>
            <charset val="134"/>
          </rPr>
          <t>致同:
删除“ 以公允价值计量且其变动计入当期损益的金融资产”</t>
        </r>
      </text>
    </comment>
    <comment ref="A20" authorId="1">
      <text>
        <r>
          <rPr>
            <sz val="10"/>
            <rFont val="宋体"/>
            <charset val="134"/>
          </rPr>
          <t>lihong.li:
包括应收利息、应收股利</t>
        </r>
      </text>
    </comment>
    <comment ref="A35" authorId="0">
      <text>
        <r>
          <rPr>
            <sz val="10"/>
            <rFont val="宋体"/>
            <charset val="134"/>
          </rPr>
          <t>致同:
“可供出售金融资产”和“持有至到期投资”删除</t>
        </r>
      </text>
    </comment>
    <comment ref="A42" authorId="1">
      <text>
        <r>
          <rPr>
            <sz val="10"/>
            <rFont val="宋体"/>
            <charset val="134"/>
          </rPr>
          <t xml:space="preserve">lihong.li:
包括固定资产清理；
删除累计折旧、原值等
按净额列报
</t>
        </r>
      </text>
    </comment>
    <comment ref="A46" authorId="1">
      <text>
        <r>
          <rPr>
            <sz val="10"/>
            <rFont val="宋体"/>
            <charset val="134"/>
          </rPr>
          <t>lihong.li:
包括工程物资</t>
        </r>
      </text>
    </comment>
  </commentList>
</comments>
</file>

<file path=xl/comments2.xml><?xml version="1.0" encoding="utf-8"?>
<comments xmlns="http://schemas.openxmlformats.org/spreadsheetml/2006/main">
  <authors>
    <author>致同</author>
    <author>lihong.li</author>
    <author>Chu Yantao 储燕涛</author>
    <author>Windows 用户</author>
  </authors>
  <commentList>
    <comment ref="E4" authorId="0">
      <text>
        <r>
          <rPr>
            <sz val="10"/>
            <rFont val="宋体"/>
            <charset val="134"/>
          </rPr>
          <t>致同:
年初改为期初。
表内“期初余额”指标根据企业上年度财务决算中资产负债表的“期末余额”结合本年度调整数填列。新执行新金融工具准则的企业，需将上年度财务决算中资产负债表的“期末余额”按照新准则规定转化后，结合本年度调整数填列。
即，此处填列重述后的数据。</t>
        </r>
      </text>
    </comment>
    <comment ref="A10" authorId="0">
      <text>
        <r>
          <rPr>
            <sz val="10"/>
            <rFont val="宋体"/>
            <charset val="134"/>
          </rPr>
          <t>致同:
删除“以公允价值计量且其变动计入当期损益的金融负债”</t>
        </r>
      </text>
    </comment>
    <comment ref="A26" authorId="1">
      <text>
        <r>
          <rPr>
            <sz val="10"/>
            <rFont val="宋体"/>
            <charset val="134"/>
          </rPr>
          <t>lihong.li:
原则上不应在应交税金填列“-”数。应重分类填列到“其他流动资产”</t>
        </r>
      </text>
    </comment>
    <comment ref="A27" authorId="1">
      <text>
        <r>
          <rPr>
            <sz val="10"/>
            <rFont val="宋体"/>
            <charset val="134"/>
          </rPr>
          <t xml:space="preserve">lihong.li:
包括应付利息、应付股利
</t>
        </r>
      </text>
    </comment>
    <comment ref="A31" authorId="2">
      <text>
        <r>
          <rPr>
            <sz val="10"/>
            <rFont val="宋体"/>
            <charset val="134"/>
          </rPr>
          <t>Chu Yantao 储燕涛:
财会〔2017〕30号</t>
        </r>
      </text>
    </comment>
    <comment ref="A44" authorId="1">
      <text>
        <r>
          <rPr>
            <sz val="10"/>
            <rFont val="宋体"/>
            <charset val="134"/>
          </rPr>
          <t xml:space="preserve">lihong.li:
包括专项应付款
</t>
        </r>
      </text>
    </comment>
    <comment ref="A56" authorId="3">
      <text>
        <r>
          <rPr>
            <sz val="10"/>
            <rFont val="宋体"/>
            <charset val="134"/>
          </rPr>
          <t>Windows 用户:
除“中国航发”、“国家管网集团”、“南方电网”、“鞍钢”、“中国东航”、“南航集团”、“中国商飞”、“中国稀土集团”、“国药集团”、“中广核”、“南光集团”、“中国电气装备”、“中国物流”和“中国中检”等集团层面股权多元化的中央企业集团合并表有“国有法人资本”外，其他中央企业一级集团合并表均无“国有法人资本”。</t>
        </r>
      </text>
    </comment>
  </commentList>
</comments>
</file>

<file path=xl/comments3.xml><?xml version="1.0" encoding="utf-8"?>
<comments xmlns="http://schemas.openxmlformats.org/spreadsheetml/2006/main">
  <authors>
    <author>1</author>
    <author>lihong.li</author>
    <author>Chu Yantao 储燕涛</author>
  </authors>
  <commentList>
    <comment ref="E4" authorId="0">
      <text>
        <r>
          <rPr>
            <sz val="10"/>
            <rFont val="宋体"/>
            <charset val="134"/>
          </rPr>
          <t>1:
上期数与上年决算数据一致，无需按新准则追溯调整。</t>
        </r>
      </text>
    </comment>
    <comment ref="A34" authorId="1">
      <text>
        <r>
          <rPr>
            <sz val="10"/>
            <rFont val="宋体"/>
            <charset val="134"/>
          </rPr>
          <t xml:space="preserve">lihong.li:
反映的是石油石化企业在油气勘探过程中发生相关费用。
</t>
        </r>
      </text>
    </comment>
    <comment ref="A46" authorId="2">
      <text>
        <r>
          <rPr>
            <sz val="10"/>
            <rFont val="宋体"/>
            <charset val="134"/>
          </rPr>
          <t>Chu Yantao 储燕涛:
删除了：非流动资产处置利得，非货币性资产交换利得</t>
        </r>
      </text>
    </comment>
    <comment ref="A48" authorId="2">
      <text>
        <r>
          <rPr>
            <sz val="10"/>
            <rFont val="宋体"/>
            <charset val="134"/>
          </rPr>
          <t>Chu Yantao 储燕涛:
删除：非流动资产处置损失和非货币性资产交换损失</t>
        </r>
      </text>
    </comment>
    <comment ref="A69" authorId="0">
      <text>
        <r>
          <rPr>
            <sz val="10"/>
            <rFont val="宋体"/>
            <charset val="134"/>
          </rPr>
          <t>1:
删除了 原“3.可供出售金融资产公允价值变动损益”、“5.持有至到期投资重分类为可供出售金融资产损益”</t>
        </r>
      </text>
    </comment>
  </commentList>
</comments>
</file>

<file path=xl/comments4.xml><?xml version="1.0" encoding="utf-8"?>
<comments xmlns="http://schemas.openxmlformats.org/spreadsheetml/2006/main">
  <authors>
    <author>Windows 用户</author>
    <author>致同</author>
  </authors>
  <commentList>
    <comment ref="A34" authorId="0">
      <text>
        <r>
          <rPr>
            <sz val="10"/>
            <rFont val="宋体"/>
            <charset val="134"/>
          </rPr>
          <t>Windows 用户:
企业为职工支付的养老、医疗、失业、工伤等社会保险费、补充养老保险费、补充医疗保险费、住房公积金、支付给职工的住房困难补助，以及企业支付给职工或为职工支付的其他福利费等，应按职工的工作性质和服务对象，分别在本项目和“购建固定资产、无形资产和其他长期资产所支付的现金”项目反映。</t>
        </r>
      </text>
    </comment>
    <comment ref="A36" authorId="0">
      <text>
        <r>
          <rPr>
            <sz val="10"/>
            <rFont val="宋体"/>
            <charset val="134"/>
          </rPr>
          <t>Windows 用户:
企业支付给离退休人员的费用，在“支付其他与经营活动有关的现金”项目中反映</t>
        </r>
      </text>
    </comment>
    <comment ref="A56" authorId="1">
      <text>
        <r>
          <rPr>
            <sz val="10"/>
            <rFont val="宋体"/>
            <charset val="134"/>
          </rPr>
          <t>致同:
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r>
      </text>
    </comment>
  </commentList>
</comments>
</file>

<file path=xl/comments5.xml><?xml version="1.0" encoding="utf-8"?>
<comments xmlns="http://schemas.openxmlformats.org/spreadsheetml/2006/main">
  <authors>
    <author>yantao.chu</author>
    <author>Chu Yantao 储燕涛</author>
    <author>张彦丽</author>
    <author>Windows 用户</author>
  </authors>
  <commentList>
    <comment ref="A10" authorId="0">
      <text>
        <r>
          <rPr>
            <sz val="10"/>
            <rFont val="宋体"/>
            <charset val="134"/>
          </rPr>
          <t>yantao.chu:
这两行，国资委不允许填数</t>
        </r>
      </text>
    </comment>
    <comment ref="A12" authorId="1">
      <text>
        <r>
          <rPr>
            <sz val="10"/>
            <rFont val="宋体"/>
            <charset val="134"/>
          </rPr>
          <t>Chu Yantao 储燕涛:
同一控制下企业合并、清产核资、执行新金融工具准则等</t>
        </r>
      </text>
    </comment>
    <comment ref="A17" authorId="2">
      <text>
        <r>
          <rPr>
            <sz val="10"/>
            <rFont val="宋体"/>
            <charset val="134"/>
          </rPr>
          <t>张彦丽:
“所有者投入资本”改为“所有者投入的普通股”</t>
        </r>
      </text>
    </comment>
    <comment ref="A37" authorId="3">
      <text>
        <r>
          <rPr>
            <sz val="10"/>
            <rFont val="宋体"/>
            <charset val="134"/>
          </rPr>
          <t xml:space="preserve">Windows 用户:
“盈余公积弥补亏损”修改为“弥补亏损”,并将本行资本公积和实收资本单元格解封。
</t>
        </r>
      </text>
    </comment>
  </commentList>
</comments>
</file>

<file path=xl/comments6.xml><?xml version="1.0" encoding="utf-8"?>
<comments xmlns="http://schemas.openxmlformats.org/spreadsheetml/2006/main">
  <authors>
    <author>张彦丽</author>
  </authors>
  <commentList>
    <comment ref="A16" authorId="0">
      <text>
        <r>
          <rPr>
            <sz val="10"/>
            <rFont val="宋体"/>
            <charset val="134"/>
          </rPr>
          <t>张彦丽:
“所有者投入资本”改为“所有者投入的普通股”</t>
        </r>
      </text>
    </comment>
  </commentList>
</comments>
</file>

<file path=xl/comments7.xml><?xml version="1.0" encoding="utf-8"?>
<comments xmlns="http://schemas.openxmlformats.org/spreadsheetml/2006/main">
  <authors>
    <author>Chu Yantao 储燕涛</author>
  </authors>
  <commentList>
    <comment ref="C4" authorId="0">
      <text>
        <r>
          <rPr>
            <sz val="10"/>
            <rFont val="宋体"/>
            <charset val="134"/>
          </rPr>
          <t>Chu Yantao 储燕涛:
首次执行新金融工具准则及发生其他期初数调整事项的企业，按照调整后的金额填列</t>
        </r>
      </text>
    </comment>
  </commentList>
</comments>
</file>

<file path=xl/sharedStrings.xml><?xml version="1.0" encoding="utf-8"?>
<sst xmlns="http://schemas.openxmlformats.org/spreadsheetml/2006/main" count="2917" uniqueCount="2132">
  <si>
    <t>合 并 及 公 司 资 产 负 债 表</t>
  </si>
  <si>
    <t>{{period_end_date}}</t>
  </si>
  <si>
    <t>编制单位：{{company_full_name}}</t>
  </si>
  <si>
    <t>金额单位：{{currency_unit}}</t>
  </si>
  <si>
    <t>项            目</t>
  </si>
  <si>
    <t>附注</t>
  </si>
  <si>
    <t>期末余额</t>
  </si>
  <si>
    <t>期初余额</t>
  </si>
  <si>
    <t>合并</t>
  </si>
  <si>
    <t>公司</t>
  </si>
  <si>
    <t>流动资产：</t>
  </si>
  <si>
    <t xml:space="preserve">  货币资金</t>
  </si>
  <si>
    <t>{{note_ref:BS-002}};{{note_ref:BS-002:parent}}</t>
  </si>
  <si>
    <t>{{row:BS-002:current}}</t>
  </si>
  <si>
    <t>{{row:BS-002:current:parent}}</t>
  </si>
  <si>
    <t>{{row:BS-002:prior}}</t>
  </si>
  <si>
    <t>{{row:BS-002:prior:parent}}</t>
  </si>
  <si>
    <t xml:space="preserve">  △结算备付金</t>
  </si>
  <si>
    <t>{{row:BS-003:current}}</t>
  </si>
  <si>
    <t>{{row:BS-003:current:parent}}</t>
  </si>
  <si>
    <t>{{row:BS-003:prior}}</t>
  </si>
  <si>
    <t>{{row:BS-003:prior:parent}}</t>
  </si>
  <si>
    <t xml:space="preserve">  △拆出资金</t>
  </si>
  <si>
    <t>{{row:BS-004:current}}</t>
  </si>
  <si>
    <t>{{row:BS-004:current:parent}}</t>
  </si>
  <si>
    <t>{{row:BS-004:prior}}</t>
  </si>
  <si>
    <t>{{row:BS-004:prior:parent}}</t>
  </si>
  <si>
    <t xml:space="preserve">  交易性金融资产</t>
  </si>
  <si>
    <t>{{note_ref:BS-005}};{{note_ref:BS-005:parent}}</t>
  </si>
  <si>
    <t>{{row:BS-005:current}}</t>
  </si>
  <si>
    <t>{{row:BS-005:current:parent}}</t>
  </si>
  <si>
    <t>{{row:BS-005:prior}}</t>
  </si>
  <si>
    <t>{{row:BS-005:prior:parent}}</t>
  </si>
  <si>
    <t xml:space="preserve">  衍生金融资产</t>
  </si>
  <si>
    <t>{{note_ref:BS-006}};{{note_ref:BS-006:parent}}</t>
  </si>
  <si>
    <t>{{row:BS-006:current}}</t>
  </si>
  <si>
    <t>{{row:BS-006:current:parent}}</t>
  </si>
  <si>
    <t>{{row:BS-006:prior}}</t>
  </si>
  <si>
    <t>{{row:BS-006:prior:parent}}</t>
  </si>
  <si>
    <t xml:space="preserve">  应收票据</t>
  </si>
  <si>
    <t>{{note_ref:BS-007}};{{note_ref:BS-007:parent}}</t>
  </si>
  <si>
    <t>{{row:BS-007:current}}</t>
  </si>
  <si>
    <t>{{row:BS-007:current:parent}}</t>
  </si>
  <si>
    <t>{{row:BS-007:prior}}</t>
  </si>
  <si>
    <t>{{row:BS-007:prior:parent}}</t>
  </si>
  <si>
    <t xml:space="preserve">  应收账款</t>
  </si>
  <si>
    <t>{{note_ref:BS-008}};{{note_ref:BS-008:parent}}</t>
  </si>
  <si>
    <t>{{row:BS-008:current}}</t>
  </si>
  <si>
    <t>{{row:BS-008:current:parent}}</t>
  </si>
  <si>
    <t>{{row:BS-008:prior}}</t>
  </si>
  <si>
    <t>{{row:BS-008:prior:parent}}</t>
  </si>
  <si>
    <t xml:space="preserve">  应收款项融资</t>
  </si>
  <si>
    <t>{{note_ref:BS-009}};{{note_ref:BS-009:parent}}</t>
  </si>
  <si>
    <t>{{row:BS-009:current}}</t>
  </si>
  <si>
    <t>{{row:BS-009:current:parent}}</t>
  </si>
  <si>
    <t>{{row:BS-009:prior}}</t>
  </si>
  <si>
    <t>{{row:BS-009:prior:parent}}</t>
  </si>
  <si>
    <t xml:space="preserve">  预付款项</t>
  </si>
  <si>
    <t>{{note_ref:BS-010}};{{note_ref:BS-010:parent}}</t>
  </si>
  <si>
    <t>{{row:BS-010:current}}</t>
  </si>
  <si>
    <t>{{row:BS-010:current:parent}}</t>
  </si>
  <si>
    <t>{{row:BS-010:prior}}</t>
  </si>
  <si>
    <t>{{row:BS-010:prior:parent}}</t>
  </si>
  <si>
    <t xml:space="preserve">  ▲应收保费</t>
  </si>
  <si>
    <t>{{row:BS-011:current}}</t>
  </si>
  <si>
    <t>{{row:BS-011:current:parent}}</t>
  </si>
  <si>
    <t>{{row:BS-011:prior}}</t>
  </si>
  <si>
    <t>{{row:BS-011:prior:parent}}</t>
  </si>
  <si>
    <t xml:space="preserve">  ▲应收分保账款</t>
  </si>
  <si>
    <t>{{row:BS-012:current}}</t>
  </si>
  <si>
    <t>{{row:BS-012:current:parent}}</t>
  </si>
  <si>
    <t>{{row:BS-012:prior}}</t>
  </si>
  <si>
    <t>{{row:BS-012:prior:parent}}</t>
  </si>
  <si>
    <t xml:space="preserve">  ▲应收分保合同准备金</t>
  </si>
  <si>
    <t>{{row:BS-013:current}}</t>
  </si>
  <si>
    <t>{{row:BS-013:current:parent}}</t>
  </si>
  <si>
    <t>{{row:BS-013:prior}}</t>
  </si>
  <si>
    <t>{{row:BS-013:prior:parent}}</t>
  </si>
  <si>
    <t xml:space="preserve">  应收资金集中管理款</t>
  </si>
  <si>
    <t>{{note_ref:BS-014}};{{note_ref:BS-014:parent}}</t>
  </si>
  <si>
    <t>{{row:BS-014:current}}</t>
  </si>
  <si>
    <t>{{row:BS-014:current:parent}}</t>
  </si>
  <si>
    <t>{{row:BS-014:prior}}</t>
  </si>
  <si>
    <t>{{row:BS-014:prior:parent}}</t>
  </si>
  <si>
    <t xml:space="preserve">  其他应收款</t>
  </si>
  <si>
    <t>{{note_ref:BS-015}};{{note_ref:BS-015:parent}}</t>
  </si>
  <si>
    <t>{{row:BS-015:current}}</t>
  </si>
  <si>
    <t>{{row:BS-015:current:parent}}</t>
  </si>
  <si>
    <t>{{row:BS-015:prior}}</t>
  </si>
  <si>
    <t>{{row:BS-015:prior:parent}}</t>
  </si>
  <si>
    <t xml:space="preserve">    其中：应收股利</t>
  </si>
  <si>
    <t>{{row:BS-016:current}}</t>
  </si>
  <si>
    <t>{{row:BS-016:current:parent}}</t>
  </si>
  <si>
    <t>{{row:BS-016:prior}}</t>
  </si>
  <si>
    <t>{{row:BS-016:prior:parent}}</t>
  </si>
  <si>
    <t xml:space="preserve">  △买入返售金融资产</t>
  </si>
  <si>
    <t>{{row:BS-017:current}}</t>
  </si>
  <si>
    <t>{{row:BS-017:current:parent}}</t>
  </si>
  <si>
    <t>{{row:BS-017:prior}}</t>
  </si>
  <si>
    <t>{{row:BS-017:prior:parent}}</t>
  </si>
  <si>
    <t xml:space="preserve">  存货</t>
  </si>
  <si>
    <t>{{note_ref:BS-018}};{{note_ref:BS-018:parent}}</t>
  </si>
  <si>
    <t>{{row:BS-018:current}}</t>
  </si>
  <si>
    <t>{{row:BS-018:current:parent}}</t>
  </si>
  <si>
    <t>{{row:BS-018:prior}}</t>
  </si>
  <si>
    <t>{{row:BS-018:prior:parent}}</t>
  </si>
  <si>
    <t xml:space="preserve">    其中：原材料</t>
  </si>
  <si>
    <t>{{row:BS-019:current}}</t>
  </si>
  <si>
    <t>{{row:BS-019:current:parent}}</t>
  </si>
  <si>
    <t>{{row:BS-019:prior}}</t>
  </si>
  <si>
    <t>{{row:BS-019:prior:parent}}</t>
  </si>
  <si>
    <t xml:space="preserve">          库存商品（产成品）</t>
  </si>
  <si>
    <t>{{row:BS-020:current}}</t>
  </si>
  <si>
    <t>{{row:BS-020:current:parent}}</t>
  </si>
  <si>
    <t>{{row:BS-020:prior}}</t>
  </si>
  <si>
    <t>{{row:BS-020:prior:parent}}</t>
  </si>
  <si>
    <t xml:space="preserve">  合同资产</t>
  </si>
  <si>
    <t>{{note_ref:BS-021}};{{note_ref:BS-021:parent}}</t>
  </si>
  <si>
    <t>{{row:BS-021:current}}</t>
  </si>
  <si>
    <t>{{row:BS-021:current:parent}}</t>
  </si>
  <si>
    <t>{{row:BS-021:prior}}</t>
  </si>
  <si>
    <t>{{row:BS-021:prior:parent}}</t>
  </si>
  <si>
    <t xml:space="preserve">  △保险合同资产</t>
  </si>
  <si>
    <t>{{row:BS-022:current}}</t>
  </si>
  <si>
    <t>{{row:BS-022:current:parent}}</t>
  </si>
  <si>
    <t>{{row:BS-022:prior}}</t>
  </si>
  <si>
    <t>{{row:BS-022:prior:parent}}</t>
  </si>
  <si>
    <t xml:space="preserve">  △分出再保险合同资产</t>
  </si>
  <si>
    <t>{{row:BS-023:current}}</t>
  </si>
  <si>
    <t>{{row:BS-023:current:parent}}</t>
  </si>
  <si>
    <t>{{row:BS-023:prior}}</t>
  </si>
  <si>
    <t>{{row:BS-023:prior:parent}}</t>
  </si>
  <si>
    <t xml:space="preserve">  持有待售资产</t>
  </si>
  <si>
    <t>{{note_ref:BS-024}};{{note_ref:BS-024:parent}}</t>
  </si>
  <si>
    <t>{{row:BS-024:current}}</t>
  </si>
  <si>
    <t>{{row:BS-024:current:parent}}</t>
  </si>
  <si>
    <t>{{row:BS-024:prior}}</t>
  </si>
  <si>
    <t>{{row:BS-024:prior:parent}}</t>
  </si>
  <si>
    <t xml:space="preserve">  一年内到期的非流动资产</t>
  </si>
  <si>
    <t>{{note_ref:BS-025}};{{note_ref:BS-025:parent}}</t>
  </si>
  <si>
    <t>{{row:BS-025:current}}</t>
  </si>
  <si>
    <t>{{row:BS-025:current:parent}}</t>
  </si>
  <si>
    <t>{{row:BS-025:prior}}</t>
  </si>
  <si>
    <t>{{row:BS-025:prior:parent}}</t>
  </si>
  <si>
    <t xml:space="preserve">  其他流动资产</t>
  </si>
  <si>
    <t>{{note_ref:BS-026}};{{note_ref:BS-026:parent}}</t>
  </si>
  <si>
    <t>{{row:BS-026:current}}</t>
  </si>
  <si>
    <t>{{row:BS-026:current:parent}}</t>
  </si>
  <si>
    <t>{{row:BS-026:prior}}</t>
  </si>
  <si>
    <t>{{row:BS-026:prior:parent}}</t>
  </si>
  <si>
    <t>流动资产合计</t>
  </si>
  <si>
    <t>非流动资产：</t>
  </si>
  <si>
    <t xml:space="preserve">  △发放贷款和垫款</t>
  </si>
  <si>
    <t>{{row:BS-029:current}}</t>
  </si>
  <si>
    <t>{{row:BS-029:current:parent}}</t>
  </si>
  <si>
    <t>{{row:BS-029:prior}}</t>
  </si>
  <si>
    <t>{{row:BS-029:prior:parent}}</t>
  </si>
  <si>
    <t xml:space="preserve">  债权投资</t>
  </si>
  <si>
    <t>{{note_ref:BS-030}};{{note_ref:BS-030:parent}}</t>
  </si>
  <si>
    <t>{{row:BS-030:current}}</t>
  </si>
  <si>
    <t>{{row:BS-030:current:parent}}</t>
  </si>
  <si>
    <t>{{row:BS-030:prior}}</t>
  </si>
  <si>
    <t>{{row:BS-030:prior:parent}}</t>
  </si>
  <si>
    <t xml:space="preserve">  其他债权投资</t>
  </si>
  <si>
    <t>{{note_ref:BS-031}};{{note_ref:BS-031:parent}}</t>
  </si>
  <si>
    <t>{{row:BS-031:current}}</t>
  </si>
  <si>
    <t>{{row:BS-031:current:parent}}</t>
  </si>
  <si>
    <t>{{row:BS-031:prior}}</t>
  </si>
  <si>
    <t>{{row:BS-031:prior:parent}}</t>
  </si>
  <si>
    <t xml:space="preserve">  长期应收款</t>
  </si>
  <si>
    <t>{{note_ref:BS-032}};{{note_ref:BS-032:parent}}</t>
  </si>
  <si>
    <t>{{row:BS-032:current}}</t>
  </si>
  <si>
    <t>{{row:BS-032:current:parent}}</t>
  </si>
  <si>
    <t>{{row:BS-032:prior}}</t>
  </si>
  <si>
    <t>{{row:BS-032:prior:parent}}</t>
  </si>
  <si>
    <t xml:space="preserve">  长期股权投资</t>
  </si>
  <si>
    <t>{{note_ref:BS-033}};{{note_ref:BS-033:parent}}</t>
  </si>
  <si>
    <t>{{row:BS-033:current}}</t>
  </si>
  <si>
    <t>{{row:BS-033:current:parent}}</t>
  </si>
  <si>
    <t>{{row:BS-033:prior}}</t>
  </si>
  <si>
    <t>{{row:BS-033:prior:parent}}</t>
  </si>
  <si>
    <t xml:space="preserve">  其他权益工具投资</t>
  </si>
  <si>
    <t>{{note_ref:BS-034}};{{note_ref:BS-034:parent}}</t>
  </si>
  <si>
    <t>{{row:BS-034:current}}</t>
  </si>
  <si>
    <t>{{row:BS-034:current:parent}}</t>
  </si>
  <si>
    <t>{{row:BS-034:prior}}</t>
  </si>
  <si>
    <t>{{row:BS-034:prior:parent}}</t>
  </si>
  <si>
    <t xml:space="preserve">  其他非流动金融资产</t>
  </si>
  <si>
    <t>{{note_ref:BS-035}};{{note_ref:BS-035:parent}}</t>
  </si>
  <si>
    <t>{{row:BS-035:current}}</t>
  </si>
  <si>
    <t>{{row:BS-035:current:parent}}</t>
  </si>
  <si>
    <t>{{row:BS-035:prior}}</t>
  </si>
  <si>
    <t>{{row:BS-035:prior:parent}}</t>
  </si>
  <si>
    <t xml:space="preserve">  投资性房地产</t>
  </si>
  <si>
    <t>{{note_ref:BS-036}};{{note_ref:BS-036:parent}}</t>
  </si>
  <si>
    <t>{{row:BS-036:current}}</t>
  </si>
  <si>
    <t>{{row:BS-036:current:parent}}</t>
  </si>
  <si>
    <t>{{row:BS-036:prior}}</t>
  </si>
  <si>
    <t>{{row:BS-036:prior:parent}}</t>
  </si>
  <si>
    <t xml:space="preserve">  固定资产</t>
  </si>
  <si>
    <t>{{note_ref:BS-037}};{{note_ref:BS-037:parent}}</t>
  </si>
  <si>
    <t>{{row:BS-037:current}}</t>
  </si>
  <si>
    <t>{{row:BS-037:current:parent}}</t>
  </si>
  <si>
    <t>{{row:BS-037:prior}}</t>
  </si>
  <si>
    <t>{{row:BS-037:prior:parent}}</t>
  </si>
  <si>
    <t xml:space="preserve">    其中：固定资产原价</t>
  </si>
  <si>
    <t>{{row:BS-038:current}}</t>
  </si>
  <si>
    <t>{{row:BS-038:current:parent}}</t>
  </si>
  <si>
    <t>{{row:BS-038:prior}}</t>
  </si>
  <si>
    <t>{{row:BS-038:prior:parent}}</t>
  </si>
  <si>
    <t xml:space="preserve">          累计折旧</t>
  </si>
  <si>
    <t>{{row:BS-039:current}}</t>
  </si>
  <si>
    <t>{{row:BS-039:current:parent}}</t>
  </si>
  <si>
    <t>{{row:BS-039:prior}}</t>
  </si>
  <si>
    <t>{{row:BS-039:prior:parent}}</t>
  </si>
  <si>
    <t xml:space="preserve">          固定资产减值准备</t>
  </si>
  <si>
    <t>{{row:BS-040:current}}</t>
  </si>
  <si>
    <t>{{row:BS-040:current:parent}}</t>
  </si>
  <si>
    <t>{{row:BS-040:prior}}</t>
  </si>
  <si>
    <t>{{row:BS-040:prior:parent}}</t>
  </si>
  <si>
    <t xml:space="preserve">  在建工程</t>
  </si>
  <si>
    <t>{{note_ref:BS-041}};{{note_ref:BS-041:parent}}</t>
  </si>
  <si>
    <t>{{row:BS-041:current}}</t>
  </si>
  <si>
    <t>{{row:BS-041:current:parent}}</t>
  </si>
  <si>
    <t>{{row:BS-041:prior}}</t>
  </si>
  <si>
    <t>{{row:BS-041:prior:parent}}</t>
  </si>
  <si>
    <t xml:space="preserve">  生产性生物资产</t>
  </si>
  <si>
    <t>{{note_ref:BS-042}};{{note_ref:BS-042:parent}}</t>
  </si>
  <si>
    <t>{{row:BS-042:current}}</t>
  </si>
  <si>
    <t>{{row:BS-042:current:parent}}</t>
  </si>
  <si>
    <t>{{row:BS-042:prior}}</t>
  </si>
  <si>
    <t>{{row:BS-042:prior:parent}}</t>
  </si>
  <si>
    <t xml:space="preserve">  油气资产</t>
  </si>
  <si>
    <t>{{note_ref:BS-043}};{{note_ref:BS-043:parent}}</t>
  </si>
  <si>
    <t>{{row:BS-043:current}}</t>
  </si>
  <si>
    <t>{{row:BS-043:current:parent}}</t>
  </si>
  <si>
    <t>{{row:BS-043:prior}}</t>
  </si>
  <si>
    <t>{{row:BS-043:prior:parent}}</t>
  </si>
  <si>
    <t xml:space="preserve">  使用权资产</t>
  </si>
  <si>
    <t>{{note_ref:BS-044}};{{note_ref:BS-044:parent}}</t>
  </si>
  <si>
    <t>{{row:BS-044:current}}</t>
  </si>
  <si>
    <t>{{row:BS-044:current:parent}}</t>
  </si>
  <si>
    <t>{{row:BS-044:prior}}</t>
  </si>
  <si>
    <t>{{row:BS-044:prior:parent}}</t>
  </si>
  <si>
    <t xml:space="preserve">  无形资产</t>
  </si>
  <si>
    <t>{{note_ref:BS-045}};{{note_ref:BS-045:parent}}</t>
  </si>
  <si>
    <t>{{row:BS-045:current}}</t>
  </si>
  <si>
    <t>{{row:BS-045:current:parent}}</t>
  </si>
  <si>
    <t>{{row:BS-045:prior}}</t>
  </si>
  <si>
    <t>{{row:BS-045:prior:parent}}</t>
  </si>
  <si>
    <t xml:space="preserve">  开发支出</t>
  </si>
  <si>
    <t>{{note_ref:BS-046}};{{note_ref:BS-046:parent}}</t>
  </si>
  <si>
    <t>{{row:BS-046:current}}</t>
  </si>
  <si>
    <t>{{row:BS-046:current:parent}}</t>
  </si>
  <si>
    <t>{{row:BS-046:prior}}</t>
  </si>
  <si>
    <t>{{row:BS-046:prior:parent}}</t>
  </si>
  <si>
    <t xml:space="preserve">  商誉</t>
  </si>
  <si>
    <t>{{note_ref:BS-047}};{{note_ref:BS-047:parent}}</t>
  </si>
  <si>
    <t>{{row:BS-047:current}}</t>
  </si>
  <si>
    <t>{{row:BS-047:current:parent}}</t>
  </si>
  <si>
    <t>{{row:BS-047:prior}}</t>
  </si>
  <si>
    <t>{{row:BS-047:prior:parent}}</t>
  </si>
  <si>
    <t xml:space="preserve">  长期待摊费用</t>
  </si>
  <si>
    <t>{{note_ref:BS-048}};{{note_ref:BS-048:parent}}</t>
  </si>
  <si>
    <t>{{row:BS-048:current}}</t>
  </si>
  <si>
    <t>{{row:BS-048:current:parent}}</t>
  </si>
  <si>
    <t>{{row:BS-048:prior}}</t>
  </si>
  <si>
    <t>{{row:BS-048:prior:parent}}</t>
  </si>
  <si>
    <t xml:space="preserve">  递延所得税资产</t>
  </si>
  <si>
    <t>{{row:BS-049:current}}</t>
  </si>
  <si>
    <t>{{row:BS-049:current:parent}}</t>
  </si>
  <si>
    <t>{{row:BS-049:prior}}</t>
  </si>
  <si>
    <t>{{row:BS-049:prior:parent}}</t>
  </si>
  <si>
    <t xml:space="preserve">  其他非流动资产</t>
  </si>
  <si>
    <t>{{note_ref:BS-050}};{{note_ref:BS-050:parent}}</t>
  </si>
  <si>
    <t>{{row:BS-050:current}}</t>
  </si>
  <si>
    <t>{{row:BS-050:current:parent}}</t>
  </si>
  <si>
    <t>{{row:BS-050:prior}}</t>
  </si>
  <si>
    <t>{{row:BS-050:prior:parent}}</t>
  </si>
  <si>
    <t xml:space="preserve">    其中：特准储备物资</t>
  </si>
  <si>
    <t>{{row:BS-051:current}}</t>
  </si>
  <si>
    <t>{{row:BS-051:current:parent}}</t>
  </si>
  <si>
    <t>{{row:BS-051:prior}}</t>
  </si>
  <si>
    <t>{{row:BS-051:prior:parent}}</t>
  </si>
  <si>
    <t>非流动资产合计</t>
  </si>
  <si>
    <t>资  产  总  计</t>
  </si>
  <si>
    <t>注：表中带*科目为合并会计报表专用；</t>
  </si>
  <si>
    <t>注：加△科目为金融类企业专用；</t>
  </si>
  <si>
    <t>注：加▲项目为未执行新保险合同准则的企业专用；</t>
  </si>
  <si>
    <t>注：带#为外商投资企业专用。</t>
  </si>
  <si>
    <t>合 并 及 公 司 资 产 负 债 表 （续）</t>
  </si>
  <si>
    <t>流动负债：</t>
  </si>
  <si>
    <t xml:space="preserve">  短期借款</t>
  </si>
  <si>
    <t>{{note_ref:BS-055}};{{note_ref:BS-055:parent}}</t>
  </si>
  <si>
    <t>{{row:BS-055:current}}</t>
  </si>
  <si>
    <t>{{row:BS-055:current:parent}}</t>
  </si>
  <si>
    <t>{{row:BS-055:prior}}</t>
  </si>
  <si>
    <t>{{row:BS-055:prior:parent}}</t>
  </si>
  <si>
    <t xml:space="preserve">  △向中央银行借款</t>
  </si>
  <si>
    <t>{{row:BS-056:current}}</t>
  </si>
  <si>
    <t>{{row:BS-056:current:parent}}</t>
  </si>
  <si>
    <t>{{row:BS-056:prior}}</t>
  </si>
  <si>
    <t>{{row:BS-056:prior:parent}}</t>
  </si>
  <si>
    <t xml:space="preserve">  △拆入资金</t>
  </si>
  <si>
    <t>{{row:BS-057:current}}</t>
  </si>
  <si>
    <t>{{row:BS-057:current:parent}}</t>
  </si>
  <si>
    <t>{{row:BS-057:prior}}</t>
  </si>
  <si>
    <t>{{row:BS-057:prior:parent}}</t>
  </si>
  <si>
    <t xml:space="preserve">  交易性金融负债</t>
  </si>
  <si>
    <t>{{note_ref:BS-058}};{{note_ref:BS-058:parent}}</t>
  </si>
  <si>
    <t>{{row:BS-058:current}}</t>
  </si>
  <si>
    <t>{{row:BS-058:current:parent}}</t>
  </si>
  <si>
    <t>{{row:BS-058:prior}}</t>
  </si>
  <si>
    <t>{{row:BS-058:prior:parent}}</t>
  </si>
  <si>
    <t xml:space="preserve">  衍生金融负债</t>
  </si>
  <si>
    <t>{{note_ref:BS-059}};{{note_ref:BS-059:parent}}</t>
  </si>
  <si>
    <t>{{row:BS-059:current}}</t>
  </si>
  <si>
    <t>{{row:BS-059:current:parent}}</t>
  </si>
  <si>
    <t>{{row:BS-059:prior}}</t>
  </si>
  <si>
    <t>{{row:BS-059:prior:parent}}</t>
  </si>
  <si>
    <t xml:space="preserve">  应付票据</t>
  </si>
  <si>
    <t>{{note_ref:BS-060}};{{note_ref:BS-060:parent}}</t>
  </si>
  <si>
    <t>{{row:BS-060:current}}</t>
  </si>
  <si>
    <t>{{row:BS-060:current:parent}}</t>
  </si>
  <si>
    <t>{{row:BS-060:prior}}</t>
  </si>
  <si>
    <t>{{row:BS-060:prior:parent}}</t>
  </si>
  <si>
    <t xml:space="preserve">  应付账款</t>
  </si>
  <si>
    <t>{{note_ref:BS-061}};{{note_ref:BS-061:parent}}</t>
  </si>
  <si>
    <t>{{row:BS-061:current}}</t>
  </si>
  <si>
    <t>{{row:BS-061:current:parent}}</t>
  </si>
  <si>
    <t>{{row:BS-061:prior}}</t>
  </si>
  <si>
    <t>{{row:BS-061:prior:parent}}</t>
  </si>
  <si>
    <t xml:space="preserve">  预收款项</t>
  </si>
  <si>
    <t>{{note_ref:BS-062}};{{note_ref:BS-062:parent}}</t>
  </si>
  <si>
    <t>{{row:BS-062:current}}</t>
  </si>
  <si>
    <t>{{row:BS-062:current:parent}}</t>
  </si>
  <si>
    <t>{{row:BS-062:prior}}</t>
  </si>
  <si>
    <t>{{row:BS-062:prior:parent}}</t>
  </si>
  <si>
    <t xml:space="preserve">  合同负债</t>
  </si>
  <si>
    <t>{{note_ref:BS-063}};{{note_ref:BS-063:parent}}</t>
  </si>
  <si>
    <t>{{row:BS-063:current}}</t>
  </si>
  <si>
    <t>{{row:BS-063:current:parent}}</t>
  </si>
  <si>
    <t>{{row:BS-063:prior}}</t>
  </si>
  <si>
    <t>{{row:BS-063:prior:parent}}</t>
  </si>
  <si>
    <t xml:space="preserve">  △卖出回购金融资产款</t>
  </si>
  <si>
    <t>{{row:BS-064:current}}</t>
  </si>
  <si>
    <t>{{row:BS-064:current:parent}}</t>
  </si>
  <si>
    <t>{{row:BS-064:prior}}</t>
  </si>
  <si>
    <t>{{row:BS-064:prior:parent}}</t>
  </si>
  <si>
    <t xml:space="preserve">  △吸收存款及同业存放</t>
  </si>
  <si>
    <t>{{row:BS-065:current}}</t>
  </si>
  <si>
    <t>{{row:BS-065:current:parent}}</t>
  </si>
  <si>
    <t>{{row:BS-065:prior}}</t>
  </si>
  <si>
    <t>{{row:BS-065:prior:parent}}</t>
  </si>
  <si>
    <t xml:space="preserve">  △代理买卖证券款</t>
  </si>
  <si>
    <t>{{row:BS-066:current}}</t>
  </si>
  <si>
    <t>{{row:BS-066:current:parent}}</t>
  </si>
  <si>
    <t>{{row:BS-066:prior}}</t>
  </si>
  <si>
    <t>{{row:BS-066:prior:parent}}</t>
  </si>
  <si>
    <t xml:space="preserve">  △代理承销证券款</t>
  </si>
  <si>
    <t>{{row:BS-067:current}}</t>
  </si>
  <si>
    <t>{{row:BS-067:current:parent}}</t>
  </si>
  <si>
    <t>{{row:BS-067:prior}}</t>
  </si>
  <si>
    <t>{{row:BS-067:prior:parent}}</t>
  </si>
  <si>
    <t xml:space="preserve">  △预收保费</t>
  </si>
  <si>
    <t>{{row:BS-068:current}}</t>
  </si>
  <si>
    <t>{{row:BS-068:current:parent}}</t>
  </si>
  <si>
    <t>{{row:BS-068:prior}}</t>
  </si>
  <si>
    <t>{{row:BS-068:prior:parent}}</t>
  </si>
  <si>
    <t xml:space="preserve">  应付职工薪酬</t>
  </si>
  <si>
    <t>{{note_ref:BS-069}};{{note_ref:BS-069:parent}}</t>
  </si>
  <si>
    <t>{{row:BS-069:current}}</t>
  </si>
  <si>
    <t>{{row:BS-069:current:parent}}</t>
  </si>
  <si>
    <t>{{row:BS-069:prior}}</t>
  </si>
  <si>
    <t>{{row:BS-069:prior:parent}}</t>
  </si>
  <si>
    <t xml:space="preserve">    其中：应付工资</t>
  </si>
  <si>
    <t>{{row:BS-070:current}}</t>
  </si>
  <si>
    <t>{{row:BS-070:current:parent}}</t>
  </si>
  <si>
    <t>{{row:BS-070:prior}}</t>
  </si>
  <si>
    <t>{{row:BS-070:prior:parent}}</t>
  </si>
  <si>
    <t xml:space="preserve">          应付福利费</t>
  </si>
  <si>
    <t>{{row:BS-071:current}}</t>
  </si>
  <si>
    <t>{{row:BS-071:current:parent}}</t>
  </si>
  <si>
    <t>{{row:BS-071:prior}}</t>
  </si>
  <si>
    <t>{{row:BS-071:prior:parent}}</t>
  </si>
  <si>
    <t xml:space="preserve">          #其中：职工奖励及福利基金</t>
  </si>
  <si>
    <t>{{row:BS-072:current}}</t>
  </si>
  <si>
    <t>{{row:BS-072:current:parent}}</t>
  </si>
  <si>
    <t>{{row:BS-072:prior}}</t>
  </si>
  <si>
    <t>{{row:BS-072:prior:parent}}</t>
  </si>
  <si>
    <t xml:space="preserve">  应交税费</t>
  </si>
  <si>
    <t>{{note_ref:BS-073}};{{note_ref:BS-073:parent}}</t>
  </si>
  <si>
    <t>{{row:BS-073:current}}</t>
  </si>
  <si>
    <t>{{row:BS-073:current:parent}}</t>
  </si>
  <si>
    <t>{{row:BS-073:prior}}</t>
  </si>
  <si>
    <t>{{row:BS-073:prior:parent}}</t>
  </si>
  <si>
    <t xml:space="preserve">    其中：应交税金</t>
  </si>
  <si>
    <t>{{row:BS-074:current}}</t>
  </si>
  <si>
    <t>{{row:BS-074:current:parent}}</t>
  </si>
  <si>
    <t>{{row:BS-074:prior}}</t>
  </si>
  <si>
    <t>{{row:BS-074:prior:parent}}</t>
  </si>
  <si>
    <t xml:space="preserve">  其他应付款</t>
  </si>
  <si>
    <t>{{note_ref:BS-075}};{{note_ref:BS-075:parent}}</t>
  </si>
  <si>
    <t>{{row:BS-075:current}}</t>
  </si>
  <si>
    <t>{{row:BS-075:current:parent}}</t>
  </si>
  <si>
    <t>{{row:BS-075:prior}}</t>
  </si>
  <si>
    <t>{{row:BS-075:prior:parent}}</t>
  </si>
  <si>
    <t xml:space="preserve">    其中：应付股利</t>
  </si>
  <si>
    <t>{{row:BS-076:current}}</t>
  </si>
  <si>
    <t>{{row:BS-076:current:parent}}</t>
  </si>
  <si>
    <t>{{row:BS-076:prior}}</t>
  </si>
  <si>
    <t>{{row:BS-076:prior:parent}}</t>
  </si>
  <si>
    <t xml:space="preserve">  ▲应付手续费及佣金</t>
  </si>
  <si>
    <t>{{row:BS-077:current}}</t>
  </si>
  <si>
    <t>{{row:BS-077:current:parent}}</t>
  </si>
  <si>
    <t>{{row:BS-077:prior}}</t>
  </si>
  <si>
    <t>{{row:BS-077:prior:parent}}</t>
  </si>
  <si>
    <t xml:space="preserve">  ▲应付分保账款</t>
  </si>
  <si>
    <t>{{row:BS-078:current}}</t>
  </si>
  <si>
    <t>{{row:BS-078:current:parent}}</t>
  </si>
  <si>
    <t>{{row:BS-078:prior}}</t>
  </si>
  <si>
    <t>{{row:BS-078:prior:parent}}</t>
  </si>
  <si>
    <t xml:space="preserve">  持有待售负债</t>
  </si>
  <si>
    <t>{{note_ref:BS-079}};{{note_ref:BS-079:parent}}</t>
  </si>
  <si>
    <t>{{row:BS-079:current}}</t>
  </si>
  <si>
    <t>{{row:BS-079:current:parent}}</t>
  </si>
  <si>
    <t>{{row:BS-079:prior}}</t>
  </si>
  <si>
    <t>{{row:BS-079:prior:parent}}</t>
  </si>
  <si>
    <t xml:space="preserve">  一年内到期的非流动负债</t>
  </si>
  <si>
    <t>{{note_ref:BS-080}};{{note_ref:BS-080:parent}}</t>
  </si>
  <si>
    <t>{{row:BS-080:current}}</t>
  </si>
  <si>
    <t>{{row:BS-080:current:parent}}</t>
  </si>
  <si>
    <t>{{row:BS-080:prior}}</t>
  </si>
  <si>
    <t>{{row:BS-080:prior:parent}}</t>
  </si>
  <si>
    <t xml:space="preserve">  其他流动负债</t>
  </si>
  <si>
    <t>{{note_ref:BS-081}};{{note_ref:BS-081:parent}}</t>
  </si>
  <si>
    <t>{{row:BS-081:current}}</t>
  </si>
  <si>
    <t>{{row:BS-081:current:parent}}</t>
  </si>
  <si>
    <t>{{row:BS-081:prior}}</t>
  </si>
  <si>
    <t>{{row:BS-081:prior:parent}}</t>
  </si>
  <si>
    <t>流动负债合计</t>
  </si>
  <si>
    <t>非流动负债：</t>
  </si>
  <si>
    <t xml:space="preserve">  ▲保险合同准备金</t>
  </si>
  <si>
    <t>{{row:BS-084:current}}</t>
  </si>
  <si>
    <t>{{row:BS-084:current:parent}}</t>
  </si>
  <si>
    <t>{{row:BS-084:prior}}</t>
  </si>
  <si>
    <t>{{row:BS-084:prior:parent}}</t>
  </si>
  <si>
    <t xml:space="preserve">  长期借款</t>
  </si>
  <si>
    <t>{{note_ref:BS-085}};{{note_ref:BS-085:parent}}</t>
  </si>
  <si>
    <t>{{row:BS-085:current}}</t>
  </si>
  <si>
    <t>{{row:BS-085:current:parent}}</t>
  </si>
  <si>
    <t>{{row:BS-085:prior}}</t>
  </si>
  <si>
    <t>{{row:BS-085:prior:parent}}</t>
  </si>
  <si>
    <t xml:space="preserve">  应付债券</t>
  </si>
  <si>
    <t>{{note_ref:BS-086}};{{note_ref:BS-086:parent}}</t>
  </si>
  <si>
    <t>{{row:BS-086:current}}</t>
  </si>
  <si>
    <t>{{row:BS-086:current:parent}}</t>
  </si>
  <si>
    <t>{{row:BS-086:prior}}</t>
  </si>
  <si>
    <t>{{row:BS-086:prior:parent}}</t>
  </si>
  <si>
    <t xml:space="preserve">    其中：优先股</t>
  </si>
  <si>
    <t>{{row:BS-111:current}}</t>
  </si>
  <si>
    <t>{{row:BS-087:current:parent}}</t>
  </si>
  <si>
    <t>{{row:BS-111:prior}}</t>
  </si>
  <si>
    <t>{{row:BS-087:prior:parent}}</t>
  </si>
  <si>
    <t xml:space="preserve">          永续债</t>
  </si>
  <si>
    <t>{{row:BS-112:current}}</t>
  </si>
  <si>
    <t>{{row:BS-088:current:parent}}</t>
  </si>
  <si>
    <t>{{row:BS-112:prior}}</t>
  </si>
  <si>
    <t>{{row:BS-088:prior:parent}}</t>
  </si>
  <si>
    <t xml:space="preserve">  △保险合同负债</t>
  </si>
  <si>
    <t>{{row:BS-089:current}}</t>
  </si>
  <si>
    <t>{{row:BS-089:current:parent}}</t>
  </si>
  <si>
    <t>{{row:BS-089:prior}}</t>
  </si>
  <si>
    <t>{{row:BS-089:prior:parent}}</t>
  </si>
  <si>
    <t xml:space="preserve">  △分出再保险合同负债</t>
  </si>
  <si>
    <t>{{row:BS-090:current}}</t>
  </si>
  <si>
    <t>{{row:BS-090:current:parent}}</t>
  </si>
  <si>
    <t>{{row:BS-090:prior}}</t>
  </si>
  <si>
    <t>{{row:BS-090:prior:parent}}</t>
  </si>
  <si>
    <t xml:space="preserve">  租赁负债</t>
  </si>
  <si>
    <t>{{note_ref:BS-091}};{{note_ref:BS-091:parent}}</t>
  </si>
  <si>
    <t>{{row:BS-091:current}}</t>
  </si>
  <si>
    <t>{{row:BS-091:current:parent}}</t>
  </si>
  <si>
    <t>{{row:BS-091:prior}}</t>
  </si>
  <si>
    <t>{{row:BS-091:prior:parent}}</t>
  </si>
  <si>
    <t xml:space="preserve">  长期应付款</t>
  </si>
  <si>
    <t>{{note_ref:BS-092}};{{note_ref:BS-092:parent}}</t>
  </si>
  <si>
    <t>{{row:BS-092:current}}</t>
  </si>
  <si>
    <t>{{row:BS-092:current:parent}}</t>
  </si>
  <si>
    <t>{{row:BS-092:prior}}</t>
  </si>
  <si>
    <t>{{row:BS-092:prior:parent}}</t>
  </si>
  <si>
    <t xml:space="preserve">  长期应付职工薪酬</t>
  </si>
  <si>
    <t>{{note_ref:BS-093}};{{note_ref:BS-093:parent}}</t>
  </si>
  <si>
    <t>{{row:BS-093:current}}</t>
  </si>
  <si>
    <t>{{row:BS-093:current:parent}}</t>
  </si>
  <si>
    <t>{{row:BS-093:prior}}</t>
  </si>
  <si>
    <t>{{row:BS-093:prior:parent}}</t>
  </si>
  <si>
    <t xml:space="preserve">  预计负债</t>
  </si>
  <si>
    <t>{{note_ref:BS-094}};{{note_ref:BS-094:parent}}</t>
  </si>
  <si>
    <t>{{row:BS-094:current}}</t>
  </si>
  <si>
    <t>{{row:BS-094:current:parent}}</t>
  </si>
  <si>
    <t>{{row:BS-094:prior}}</t>
  </si>
  <si>
    <t>{{row:BS-094:prior:parent}}</t>
  </si>
  <si>
    <t xml:space="preserve">  递延收益</t>
  </si>
  <si>
    <t>{{note_ref:BS-095}};{{note_ref:BS-095:parent}}</t>
  </si>
  <si>
    <t>{{row:BS-095:current}}</t>
  </si>
  <si>
    <t>{{row:BS-095:current:parent}}</t>
  </si>
  <si>
    <t>{{row:BS-095:prior}}</t>
  </si>
  <si>
    <t>{{row:BS-095:prior:parent}}</t>
  </si>
  <si>
    <t xml:space="preserve">  递延所得税负债</t>
  </si>
  <si>
    <t>{{row:BS-096:current}}</t>
  </si>
  <si>
    <t>{{row:BS-096:current:parent}}</t>
  </si>
  <si>
    <t>{{row:BS-096:prior}}</t>
  </si>
  <si>
    <t>{{row:BS-096:prior:parent}}</t>
  </si>
  <si>
    <t xml:space="preserve">  其他非流动负债</t>
  </si>
  <si>
    <t>{{note_ref:BS-097}};{{note_ref:BS-097:parent}}</t>
  </si>
  <si>
    <t>{{row:BS-097:current}}</t>
  </si>
  <si>
    <t>{{row:BS-097:current:parent}}</t>
  </si>
  <si>
    <t>{{row:BS-097:prior}}</t>
  </si>
  <si>
    <t>{{row:BS-097:prior:parent}}</t>
  </si>
  <si>
    <t xml:space="preserve">    其中：特准储备基金</t>
  </si>
  <si>
    <t>{{row:BS-098:current}}</t>
  </si>
  <si>
    <t>{{row:BS-098:current:parent}}</t>
  </si>
  <si>
    <t>{{row:BS-098:prior}}</t>
  </si>
  <si>
    <t>{{row:BS-098:prior:parent}}</t>
  </si>
  <si>
    <t>非流动负债合计</t>
  </si>
  <si>
    <t>负 债 合 计</t>
  </si>
  <si>
    <t>所有者权益：</t>
  </si>
  <si>
    <t xml:space="preserve">  实收资本</t>
  </si>
  <si>
    <t>{{note_ref:BS-102}};{{note_ref:BS-102:parent}}</t>
  </si>
  <si>
    <t xml:space="preserve">    国家资本</t>
  </si>
  <si>
    <t>{{row:BS-103:current}}</t>
  </si>
  <si>
    <t>{{row:BS-103:current:parent}}</t>
  </si>
  <si>
    <t>{{row:BS-103:prior}}</t>
  </si>
  <si>
    <t>{{row:BS-103:prior:parent}}</t>
  </si>
  <si>
    <t xml:space="preserve">    国有法人资本</t>
  </si>
  <si>
    <t>{{row:BS-104:current}}</t>
  </si>
  <si>
    <t>{{row:BS-104:current:parent}}</t>
  </si>
  <si>
    <t>{{row:BS-104:prior}}</t>
  </si>
  <si>
    <t>{{row:BS-104:prior:parent}}</t>
  </si>
  <si>
    <t xml:space="preserve">    集体资本</t>
  </si>
  <si>
    <t>{{row:BS-105:current}}</t>
  </si>
  <si>
    <t>{{row:BS-105:current:parent}}</t>
  </si>
  <si>
    <t>{{row:BS-105:prior}}</t>
  </si>
  <si>
    <t>{{row:BS-105:prior:parent}}</t>
  </si>
  <si>
    <t xml:space="preserve">    民营资本</t>
  </si>
  <si>
    <t>{{row:BS-106:current}}</t>
  </si>
  <si>
    <t>{{row:BS-106:current:parent}}</t>
  </si>
  <si>
    <t>{{row:BS-106:prior}}</t>
  </si>
  <si>
    <t>{{row:BS-106:prior:parent}}</t>
  </si>
  <si>
    <t xml:space="preserve">    外商资本</t>
  </si>
  <si>
    <t>{{row:BS-107:current}}</t>
  </si>
  <si>
    <t>{{row:BS-107:current:parent}}</t>
  </si>
  <si>
    <t>{{row:BS-107:prior}}</t>
  </si>
  <si>
    <t>{{row:BS-107:prior:parent}}</t>
  </si>
  <si>
    <t xml:space="preserve">  #减：已归还投资</t>
  </si>
  <si>
    <t>{{row:BS-108:current}}</t>
  </si>
  <si>
    <t>{{row:BS-108:current:parent}}</t>
  </si>
  <si>
    <t>{{row:BS-108:prior}}</t>
  </si>
  <si>
    <t>{{row:BS-108:prior:parent}}</t>
  </si>
  <si>
    <t xml:space="preserve">  实收资本净额</t>
  </si>
  <si>
    <t xml:space="preserve">  其他权益工具</t>
  </si>
  <si>
    <t>{{note_ref:BS-110}};{{note_ref:BS-110:parent}}</t>
  </si>
  <si>
    <t>{{row:BS-110:current}}</t>
  </si>
  <si>
    <t>{{row:BS-110:current:parent}}</t>
  </si>
  <si>
    <t>{{row:BS-110:prior}}</t>
  </si>
  <si>
    <t>{{row:BS-110:prior:parent}}</t>
  </si>
  <si>
    <t xml:space="preserve">      其中：优先股</t>
  </si>
  <si>
    <t>{{row:BS-111:current:parent}}</t>
  </si>
  <si>
    <t>{{row:BS-111:prior:parent}}</t>
  </si>
  <si>
    <t xml:space="preserve">            永续债</t>
  </si>
  <si>
    <t>{{row:BS-112:current:parent}}</t>
  </si>
  <si>
    <t>{{row:BS-112:prior:parent}}</t>
  </si>
  <si>
    <t xml:space="preserve">  资本公积</t>
  </si>
  <si>
    <t>{{note_ref:BS-113}};{{note_ref:BS-113:parent}}</t>
  </si>
  <si>
    <t>{{row:BS-113:current}}</t>
  </si>
  <si>
    <t>{{row:BS-113:current:parent}}</t>
  </si>
  <si>
    <t>{{row:BS-113:prior}}</t>
  </si>
  <si>
    <t>{{row:BS-113:prior:parent}}</t>
  </si>
  <si>
    <t xml:space="preserve">  减：库存股</t>
  </si>
  <si>
    <t>{{row:BS-114:current}}</t>
  </si>
  <si>
    <t>{{row:BS-114:current:parent}}</t>
  </si>
  <si>
    <t>{{row:BS-114:prior}}</t>
  </si>
  <si>
    <t>{{row:BS-114:prior:parent}}</t>
  </si>
  <si>
    <t xml:space="preserve">  其他综合收益</t>
  </si>
  <si>
    <t>{{row:BS-115:current}}</t>
  </si>
  <si>
    <t>{{row:BS-115:current:parent}}</t>
  </si>
  <si>
    <t>{{row:BS-115:prior}}</t>
  </si>
  <si>
    <t>{{row:BS-115:prior:parent}}</t>
  </si>
  <si>
    <t xml:space="preserve">      其中：外币报表折算差额</t>
  </si>
  <si>
    <t>{{row:BS-116:current}}</t>
  </si>
  <si>
    <t>{{row:BS-116:current:parent}}</t>
  </si>
  <si>
    <t>{{row:BS-116:prior}}</t>
  </si>
  <si>
    <t>{{row:BS-116:prior:parent}}</t>
  </si>
  <si>
    <t xml:space="preserve">  专项储备</t>
  </si>
  <si>
    <t>{{note_ref:BS-117}};{{note_ref:BS-117:parent}}</t>
  </si>
  <si>
    <t>{{row:BS-117:current}}</t>
  </si>
  <si>
    <t>{{row:BS-117:current:parent}}</t>
  </si>
  <si>
    <t>{{row:BS-117:prior}}</t>
  </si>
  <si>
    <t>{{row:BS-117:prior:parent}}</t>
  </si>
  <si>
    <t xml:space="preserve">  盈余公积</t>
  </si>
  <si>
    <t>{{note_ref:BS-118}};{{note_ref:BS-118:parent}}</t>
  </si>
  <si>
    <t>{{row:BS-118:current}}</t>
  </si>
  <si>
    <t>{{row:BS-118:current:parent}}</t>
  </si>
  <si>
    <t>{{row:BS-118:prior}}</t>
  </si>
  <si>
    <t>{{row:BS-118:prior:parent}}</t>
  </si>
  <si>
    <t xml:space="preserve">    其中：法定公积金</t>
  </si>
  <si>
    <t>{{row:BS-119:current}}</t>
  </si>
  <si>
    <t>{{row:BS-119:current:parent}}</t>
  </si>
  <si>
    <t>{{row:BS-119:prior}}</t>
  </si>
  <si>
    <t>{{row:BS-119:prior:parent}}</t>
  </si>
  <si>
    <t xml:space="preserve">          任意公积金</t>
  </si>
  <si>
    <t>{{row:BS-120:current}}</t>
  </si>
  <si>
    <t>{{row:BS-120:current:parent}}</t>
  </si>
  <si>
    <t>{{row:BS-120:prior}}</t>
  </si>
  <si>
    <t>{{row:BS-120:prior:parent}}</t>
  </si>
  <si>
    <t xml:space="preserve">          #储备基金</t>
  </si>
  <si>
    <t>{{row:BS-121:current}}</t>
  </si>
  <si>
    <t>{{row:BS-121:current:parent}}</t>
  </si>
  <si>
    <t>{{row:BS-121:prior}}</t>
  </si>
  <si>
    <t>{{row:BS-121:prior:parent}}</t>
  </si>
  <si>
    <t xml:space="preserve">          #企业发展基金</t>
  </si>
  <si>
    <t>{{row:BS-122:current}}</t>
  </si>
  <si>
    <t>{{row:BS-122:current:parent}}</t>
  </si>
  <si>
    <t>{{row:BS-122:prior}}</t>
  </si>
  <si>
    <t>{{row:BS-122:prior:parent}}</t>
  </si>
  <si>
    <t xml:space="preserve">          #利润归还投资</t>
  </si>
  <si>
    <t>{{row:BS-123:current}}</t>
  </si>
  <si>
    <t>{{row:BS-123:current:parent}}</t>
  </si>
  <si>
    <t>{{row:BS-123:prior}}</t>
  </si>
  <si>
    <t>{{row:BS-123:prior:parent}}</t>
  </si>
  <si>
    <t xml:space="preserve">  △一般风险准备</t>
  </si>
  <si>
    <t>{{row:BS-124:current}}</t>
  </si>
  <si>
    <t>{{row:BS-124:current:parent}}</t>
  </si>
  <si>
    <t>{{row:BS-124:prior}}</t>
  </si>
  <si>
    <t>{{row:BS-124:prior:parent}}</t>
  </si>
  <si>
    <t xml:space="preserve">  未分配利润</t>
  </si>
  <si>
    <t>{{note_ref:BS-125}};{{note_ref:BS-125:parent}}</t>
  </si>
  <si>
    <t>{{row:BS-125:current}}</t>
  </si>
  <si>
    <t>{{row:BS-125:current:parent}}</t>
  </si>
  <si>
    <t>{{row:BS-125:prior}}</t>
  </si>
  <si>
    <t>{{row:BS-125:prior:parent}}</t>
  </si>
  <si>
    <t>归属于母公司所有者权益合计</t>
  </si>
  <si>
    <t xml:space="preserve"> *少数股东权益</t>
  </si>
  <si>
    <t>{{row:BS-127:current}}</t>
  </si>
  <si>
    <t>{{row:BS-127:current:parent}}</t>
  </si>
  <si>
    <t>{{row:BS-127:prior}}</t>
  </si>
  <si>
    <t>{{row:BS-127:prior:parent}}</t>
  </si>
  <si>
    <t>所有者权益合计</t>
  </si>
  <si>
    <t>负债和所有者权益总计</t>
  </si>
  <si>
    <t>企业负责人：                        主管会计工作负责人：                        会计机构负责人：</t>
  </si>
  <si>
    <t>合 并 及 公 司 利 润 表</t>
  </si>
  <si>
    <t>本期金额</t>
  </si>
  <si>
    <t>上期金额</t>
  </si>
  <si>
    <t>一、营业总收入</t>
  </si>
  <si>
    <t xml:space="preserve">        其中：营业收入</t>
  </si>
  <si>
    <t>{{row:IS-002:current}}</t>
  </si>
  <si>
    <t>{{row:IS-002:current:parent}}</t>
  </si>
  <si>
    <t>{{row:IS-002:prior}}</t>
  </si>
  <si>
    <t>{{row:IS-002:prior:parent}}</t>
  </si>
  <si>
    <t xml:space="preserve">                △利息收入</t>
  </si>
  <si>
    <t>{{row:IS-027:current}}</t>
  </si>
  <si>
    <t>{{row:IS-003:current:parent}}</t>
  </si>
  <si>
    <t>{{row:IS-027:prior}}</t>
  </si>
  <si>
    <t>{{row:IS-003:prior:parent}}</t>
  </si>
  <si>
    <t xml:space="preserve">                △保险服务收入</t>
  </si>
  <si>
    <t>{{row:IS-004:current}}</t>
  </si>
  <si>
    <t>{{row:IS-004:current:parent}}</t>
  </si>
  <si>
    <t>{{row:IS-004:prior}}</t>
  </si>
  <si>
    <t>{{row:IS-004:prior:parent}}</t>
  </si>
  <si>
    <t xml:space="preserve">                ▲已赚保费</t>
  </si>
  <si>
    <t>{{row:IS-005:current}}</t>
  </si>
  <si>
    <t>{{row:IS-005:current:parent}}</t>
  </si>
  <si>
    <t>{{row:IS-005:prior}}</t>
  </si>
  <si>
    <t>{{row:IS-005:prior:parent}}</t>
  </si>
  <si>
    <t xml:space="preserve">                △手续费及佣金收入</t>
  </si>
  <si>
    <t>{{row:IS-006:current}}</t>
  </si>
  <si>
    <t>{{row:IS-006:current:parent}}</t>
  </si>
  <si>
    <t>{{row:IS-006:prior}}</t>
  </si>
  <si>
    <t>{{row:IS-006:prior:parent}}</t>
  </si>
  <si>
    <t>二、营业总成本</t>
  </si>
  <si>
    <t xml:space="preserve">        其中：营业成本</t>
  </si>
  <si>
    <t>{{row:IS-008:current}}</t>
  </si>
  <si>
    <t>{{row:IS-008:current:parent}}</t>
  </si>
  <si>
    <t>{{row:IS-008:prior}}</t>
  </si>
  <si>
    <t>{{row:IS-008:prior:parent}}</t>
  </si>
  <si>
    <t xml:space="preserve">                △利息支出</t>
  </si>
  <si>
    <t>{{row:IS-009:current}}</t>
  </si>
  <si>
    <t>{{row:IS-009:current:parent}}</t>
  </si>
  <si>
    <t>{{row:IS-009:prior}}</t>
  </si>
  <si>
    <t>{{row:IS-009:prior:parent}}</t>
  </si>
  <si>
    <t xml:space="preserve">                △手续费及佣金支出</t>
  </si>
  <si>
    <t>{{row:IS-010:current}}</t>
  </si>
  <si>
    <t>{{row:IS-010:current:parent}}</t>
  </si>
  <si>
    <t>{{row:IS-010:prior}}</t>
  </si>
  <si>
    <t>{{row:IS-010:prior:parent}}</t>
  </si>
  <si>
    <t xml:space="preserve">                △保险服务费用</t>
  </si>
  <si>
    <t>{{row:IS-011:current}}</t>
  </si>
  <si>
    <t>{{row:IS-011:current:parent}}</t>
  </si>
  <si>
    <t>{{row:IS-011:prior}}</t>
  </si>
  <si>
    <t>{{row:IS-011:prior:parent}}</t>
  </si>
  <si>
    <t xml:space="preserve">                △分出保费的分配</t>
  </si>
  <si>
    <t>{{row:IS-012:current}}</t>
  </si>
  <si>
    <t>{{row:IS-012:current:parent}}</t>
  </si>
  <si>
    <t>{{row:IS-012:prior}}</t>
  </si>
  <si>
    <t>{{row:IS-012:prior:parent}}</t>
  </si>
  <si>
    <t xml:space="preserve">                △减：摊回保险服务费用</t>
  </si>
  <si>
    <t>{{row:IS-013:current}}</t>
  </si>
  <si>
    <t>{{row:IS-013:current:parent}}</t>
  </si>
  <si>
    <t>{{row:IS-013:prior}}</t>
  </si>
  <si>
    <t>{{row:IS-013:prior:parent}}</t>
  </si>
  <si>
    <t xml:space="preserve">                △承保财务损失</t>
  </si>
  <si>
    <t>{{row:IS-014:current}}</t>
  </si>
  <si>
    <t>{{row:IS-014:current:parent}}</t>
  </si>
  <si>
    <t>{{row:IS-014:prior}}</t>
  </si>
  <si>
    <t>{{row:IS-014:prior:parent}}</t>
  </si>
  <si>
    <t xml:space="preserve">                △减：分出再保险财务收益</t>
  </si>
  <si>
    <t>{{row:IS-015:current}}</t>
  </si>
  <si>
    <t>{{row:IS-015:current:parent}}</t>
  </si>
  <si>
    <t>{{row:IS-015:prior}}</t>
  </si>
  <si>
    <t>{{row:IS-015:prior:parent}}</t>
  </si>
  <si>
    <t xml:space="preserve">                ▲退保金</t>
  </si>
  <si>
    <t>{{row:IS-016:current}}</t>
  </si>
  <si>
    <t>{{row:IS-016:current:parent}}</t>
  </si>
  <si>
    <t>{{row:IS-016:prior}}</t>
  </si>
  <si>
    <t>{{row:IS-016:prior:parent}}</t>
  </si>
  <si>
    <t xml:space="preserve">                ▲赔付支出净额</t>
  </si>
  <si>
    <t>{{row:IS-017:current}}</t>
  </si>
  <si>
    <t>{{row:IS-017:current:parent}}</t>
  </si>
  <si>
    <t>{{row:IS-017:prior}}</t>
  </si>
  <si>
    <t>{{row:IS-017:prior:parent}}</t>
  </si>
  <si>
    <t xml:space="preserve">                ▲提取保险责任准备金净额</t>
  </si>
  <si>
    <t>{{row:IS-018:current}}</t>
  </si>
  <si>
    <t>{{row:IS-018:current:parent}}</t>
  </si>
  <si>
    <t>{{row:IS-018:prior}}</t>
  </si>
  <si>
    <t>{{row:IS-018:prior:parent}}</t>
  </si>
  <si>
    <t xml:space="preserve">                ▲保单红利支出</t>
  </si>
  <si>
    <t>{{row:IS-019:current}}</t>
  </si>
  <si>
    <t>{{row:IS-019:current:parent}}</t>
  </si>
  <si>
    <t>{{row:IS-019:prior}}</t>
  </si>
  <si>
    <t>{{row:IS-019:prior:parent}}</t>
  </si>
  <si>
    <t xml:space="preserve">                ▲分保费用</t>
  </si>
  <si>
    <t>{{row:IS-020:current}}</t>
  </si>
  <si>
    <t>{{row:IS-020:current:parent}}</t>
  </si>
  <si>
    <t>{{row:IS-020:prior}}</t>
  </si>
  <si>
    <t>{{row:IS-020:prior:parent}}</t>
  </si>
  <si>
    <t xml:space="preserve">                    税金及附加</t>
  </si>
  <si>
    <t>{{row:IS-021:current}}</t>
  </si>
  <si>
    <t>{{row:IS-021:current:parent}}</t>
  </si>
  <si>
    <t>{{row:IS-021:prior}}</t>
  </si>
  <si>
    <t>{{row:IS-021:prior:parent}}</t>
  </si>
  <si>
    <t>反映企业经营活动发生的消费税、城市维护建设税、资源税、教育费附加及房产税、土地使用税、车船税、印花税等相关税费，应根据“税金及附加”科目的发生额填列</t>
  </si>
  <si>
    <t xml:space="preserve">                    销售费用</t>
  </si>
  <si>
    <t>{{note_ref:IS-022}};{{note_ref:IS-022:parent}}</t>
  </si>
  <si>
    <t>{{row:IS-022:current}}</t>
  </si>
  <si>
    <t>{{row:IS-022:current:parent}}</t>
  </si>
  <si>
    <t>{{row:IS-022:prior}}</t>
  </si>
  <si>
    <t>{{row:IS-022:prior:parent}}</t>
  </si>
  <si>
    <t xml:space="preserve">                    管理费用</t>
  </si>
  <si>
    <t>{{note_ref:IS-023}};{{note_ref:IS-023:parent}}</t>
  </si>
  <si>
    <t>{{row:IS-023:current}}</t>
  </si>
  <si>
    <t>{{row:IS-023:current:parent}}</t>
  </si>
  <si>
    <t>{{row:IS-023:prior}}</t>
  </si>
  <si>
    <t>{{row:IS-023:prior:parent}}</t>
  </si>
  <si>
    <t xml:space="preserve">                    研发费用</t>
  </si>
  <si>
    <t>{{note_ref:IS-024}};{{note_ref:IS-024:parent}}</t>
  </si>
  <si>
    <t>{{row:IS-024:current}}</t>
  </si>
  <si>
    <t>{{row:IS-024:current:parent}}</t>
  </si>
  <si>
    <t>{{row:IS-024:prior}}</t>
  </si>
  <si>
    <t>{{row:IS-024:prior:parent}}</t>
  </si>
  <si>
    <t xml:space="preserve">                    财务费用</t>
  </si>
  <si>
    <t>{{note_ref:IS-025}};{{note_ref:IS-025:parent}}</t>
  </si>
  <si>
    <t>{{row:IS-025:current}}</t>
  </si>
  <si>
    <t>{{row:IS-025:current:parent}}</t>
  </si>
  <si>
    <t>{{row:IS-025:prior}}</t>
  </si>
  <si>
    <t>{{row:IS-025:prior:parent}}</t>
  </si>
  <si>
    <t xml:space="preserve">                        其中：利息费用</t>
  </si>
  <si>
    <t>{{row:IS-026:current}}</t>
  </si>
  <si>
    <t>{{row:IS-026:current:parent}}</t>
  </si>
  <si>
    <t>{{row:IS-026:prior}}</t>
  </si>
  <si>
    <t>{{row:IS-026:prior:parent}}</t>
  </si>
  <si>
    <t xml:space="preserve">                                  利息收入</t>
  </si>
  <si>
    <t>{{row:IS-027:current:parent}}</t>
  </si>
  <si>
    <t>{{row:IS-027:prior:parent}}</t>
  </si>
  <si>
    <t xml:space="preserve">                                  汇兑净损失（净收益以“－”号填列）</t>
  </si>
  <si>
    <t>{{row:IS-028:current}}</t>
  </si>
  <si>
    <t>{{row:IS-028:current:parent}}</t>
  </si>
  <si>
    <t>{{row:IS-028:prior}}</t>
  </si>
  <si>
    <t>{{row:IS-028:prior:parent}}</t>
  </si>
  <si>
    <t xml:space="preserve">                    其他</t>
  </si>
  <si>
    <t>{{row:IS-029:current}}</t>
  </si>
  <si>
    <t>{{row:IS-029:current:parent}}</t>
  </si>
  <si>
    <t>{{row:IS-029:prior}}</t>
  </si>
  <si>
    <t>{{row:IS-029:prior:parent}}</t>
  </si>
  <si>
    <t xml:space="preserve">         加：  其他收益</t>
  </si>
  <si>
    <t>{{row:IS-030:current}}</t>
  </si>
  <si>
    <t>{{row:IS-030:current:parent}}</t>
  </si>
  <si>
    <t>{{row:IS-030:prior}}</t>
  </si>
  <si>
    <t>{{row:IS-030:prior:parent}}</t>
  </si>
  <si>
    <t>反映与企业日常活动相关的政府补助、债务人以非金融资产清偿债务形成的债务重组损益以及其他与日常活动相关且计入其他收益的项目。该项目应根据“其他收益”科目的发生额分析填列。企业作为个人所得税的扣缴义务人，根据《中华人民共和国个人所得税法》收到的扣缴税款手续费，应作为其他与日常活动相关的收益在该项目中填列</t>
  </si>
  <si>
    <t xml:space="preserve">                    投资收益（损失以“－”号填列）</t>
  </si>
  <si>
    <t>{{note_ref:IS-031}};{{note_ref:IS-031:parent}}</t>
  </si>
  <si>
    <t>{{row:IS-031:current}}</t>
  </si>
  <si>
    <t>{{row:IS-031:current:parent}}</t>
  </si>
  <si>
    <t>{{row:IS-031:prior}}</t>
  </si>
  <si>
    <t>{{row:IS-031:prior:parent}}</t>
  </si>
  <si>
    <t xml:space="preserve">                        其中：对联营企业和合营企业的投资收益</t>
  </si>
  <si>
    <t>{{row:IS-032:current}}</t>
  </si>
  <si>
    <t>{{row:IS-032:current:parent}}</t>
  </si>
  <si>
    <t>{{row:IS-032:prior}}</t>
  </si>
  <si>
    <t>{{row:IS-032:prior:parent}}</t>
  </si>
  <si>
    <t xml:space="preserve">                                  以摊余成本计量的金融资产终止确认收益</t>
  </si>
  <si>
    <t>{{row:IS-033:current}}</t>
  </si>
  <si>
    <t>{{row:IS-033:current:parent}}</t>
  </si>
  <si>
    <t>{{row:IS-033:prior}}</t>
  </si>
  <si>
    <t>{{row:IS-033:prior:parent}}</t>
  </si>
  <si>
    <t xml:space="preserve">                △汇兑收益（损失以“－”号填列）</t>
  </si>
  <si>
    <t>{{row:IS-034:current}}</t>
  </si>
  <si>
    <t>{{row:IS-034:current:parent}}</t>
  </si>
  <si>
    <t>{{row:IS-034:prior}}</t>
  </si>
  <si>
    <t>{{row:IS-034:prior:parent}}</t>
  </si>
  <si>
    <t xml:space="preserve">                    净敞口套期收益（损失以“－”号填列）</t>
  </si>
  <si>
    <t>{{note_ref:IS-035}};{{note_ref:IS-035:parent}}</t>
  </si>
  <si>
    <t>{{row:IS-035:current}}</t>
  </si>
  <si>
    <t>{{row:IS-035:current:parent}}</t>
  </si>
  <si>
    <t>{{row:IS-035:prior}}</t>
  </si>
  <si>
    <t>{{row:IS-035:prior:parent}}</t>
  </si>
  <si>
    <t xml:space="preserve">                    公允价值变动收益（损失以“－”号填列）</t>
  </si>
  <si>
    <t>{{note_ref:IS-036}};{{note_ref:IS-036:parent}}</t>
  </si>
  <si>
    <t>{{row:IS-036:current}}</t>
  </si>
  <si>
    <t>{{row:IS-036:current:parent}}</t>
  </si>
  <si>
    <t>{{row:IS-036:prior}}</t>
  </si>
  <si>
    <t>{{row:IS-036:prior:parent}}</t>
  </si>
  <si>
    <t xml:space="preserve">                    信用减值损失（损失以“－”号填列）</t>
  </si>
  <si>
    <t>{{note_ref:IS-037}};{{note_ref:IS-037:parent}}</t>
  </si>
  <si>
    <t>{{row:IS-037:current}}</t>
  </si>
  <si>
    <t>{{row:IS-037:current:parent}}</t>
  </si>
  <si>
    <t>{{row:IS-037:prior}}</t>
  </si>
  <si>
    <t>{{row:IS-037:prior:parent}}</t>
  </si>
  <si>
    <t>反映企业按照《企业会计准则第22号——金融工具确认和计量》的要求计提的各项金融工具减值准备所形成的预期信用损失，应根据“信用减值损失”科目发生额分析填列，损失以“-”号填列</t>
  </si>
  <si>
    <t xml:space="preserve">                    资产减值损失（损失以“－”号填列）</t>
  </si>
  <si>
    <t>{{note_ref:IS-038}};{{note_ref:IS-038:parent}}</t>
  </si>
  <si>
    <t>{{row:IS-038:current}}</t>
  </si>
  <si>
    <t>{{row:IS-038:current:parent}}</t>
  </si>
  <si>
    <t>{{row:IS-038:prior}}</t>
  </si>
  <si>
    <t>{{row:IS-038:prior:parent}}</t>
  </si>
  <si>
    <t xml:space="preserve">                    资产处置收益（损失以“－”号填列）</t>
  </si>
  <si>
    <t>{{note_ref:IS-039}};{{note_ref:IS-039:parent}}</t>
  </si>
  <si>
    <t>{{row:IS-039:current}}</t>
  </si>
  <si>
    <t>{{row:IS-039:current:parent}}</t>
  </si>
  <si>
    <t>{{row:IS-039:prior}}</t>
  </si>
  <si>
    <t>{{row:IS-039:prior:parent}}</t>
  </si>
  <si>
    <t>1．新增“资产处置收益”行项目，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资产处置损益”科目的发生额分析填列；如为处置损失，以“-”号填列。</t>
  </si>
  <si>
    <t>三、营业利润（亏损以“－”号填列）</t>
  </si>
  <si>
    <t xml:space="preserve">         加： 营业外收入</t>
  </si>
  <si>
    <t>{{row:IS-041:current}}</t>
  </si>
  <si>
    <t>{{row:IS-041:current:parent}}</t>
  </si>
  <si>
    <t>{{row:IS-041:prior}}</t>
  </si>
  <si>
    <t>{{row:IS-041:prior:parent}}</t>
  </si>
  <si>
    <t>3．“营业外收入”行项目，反映企业发生的营业利润以外的收益，主要包括与企业日常活动无关的政府补助、盘盈利得、捐赠利得等。该项目应根据“营业外收入”科目的发生额分析填列。</t>
  </si>
  <si>
    <t xml:space="preserve">                  其中：政府补助</t>
  </si>
  <si>
    <t>{{row:IS-042:current}}</t>
  </si>
  <si>
    <t>{{row:IS-042:current:parent}}</t>
  </si>
  <si>
    <t>{{row:IS-042:prior}}</t>
  </si>
  <si>
    <t>{{row:IS-042:prior:parent}}</t>
  </si>
  <si>
    <t xml:space="preserve">         减： 营业外支出</t>
  </si>
  <si>
    <t>{{row:IS-043:current}}</t>
  </si>
  <si>
    <t>{{row:IS-043:current:parent}}</t>
  </si>
  <si>
    <t>{{row:IS-043:prior}}</t>
  </si>
  <si>
    <t>{{row:IS-043:prior:parent}}</t>
  </si>
  <si>
    <t>4．“营业外支出”行项目，反映企业发生的营业利润以外的支出，主要包括公益性捐赠支出、非常损失、盘亏损失、非流动资产毁损报废损失等。该项目应根据“营业外支出”科目的发生额分析填列。</t>
  </si>
  <si>
    <t>四、利润总额（亏损总额以“－”号填列）</t>
  </si>
  <si>
    <t xml:space="preserve">         减： 所得税费用</t>
  </si>
  <si>
    <t>{{row:IS-045:current}}</t>
  </si>
  <si>
    <t>{{row:IS-045:current:parent}}</t>
  </si>
  <si>
    <t>{{row:IS-045:prior}}</t>
  </si>
  <si>
    <t>{{row:IS-045:prior:parent}}</t>
  </si>
  <si>
    <t>五、净利润（净亏损以“－”号填列）</t>
  </si>
  <si>
    <t>（一）按所有权归属分类</t>
  </si>
  <si>
    <t>{{row:IS-047:current}}</t>
  </si>
  <si>
    <t>{{row:IS-047:current:parent}}</t>
  </si>
  <si>
    <t>{{row:IS-047:prior}}</t>
  </si>
  <si>
    <t>{{row:IS-047:prior:parent}}</t>
  </si>
  <si>
    <t xml:space="preserve">   1.归属于母公司所有者的净利润</t>
  </si>
  <si>
    <t>{{row:IS-048:current}}</t>
  </si>
  <si>
    <t>{{row:IS-048:current:parent}}</t>
  </si>
  <si>
    <t>{{row:IS-048:prior}}</t>
  </si>
  <si>
    <t>{{row:IS-048:prior:parent}}</t>
  </si>
  <si>
    <t xml:space="preserve">  *2.少数股东损益</t>
  </si>
  <si>
    <t>（二）按经营持续性分类</t>
  </si>
  <si>
    <t>{{row:IS-050:current}}</t>
  </si>
  <si>
    <t>{{row:IS-050:current:parent}}</t>
  </si>
  <si>
    <t>{{row:IS-050:prior}}</t>
  </si>
  <si>
    <t>{{row:IS-050:prior:parent}}</t>
  </si>
  <si>
    <t xml:space="preserve">   1.持续经营净利润</t>
  </si>
  <si>
    <t xml:space="preserve">   2.终止经营净利润</t>
  </si>
  <si>
    <t>{{row:IS-052:current}}</t>
  </si>
  <si>
    <t>{{row:IS-052:current:parent}}</t>
  </si>
  <si>
    <t>{{row:IS-052:prior}}</t>
  </si>
  <si>
    <t>{{row:IS-052:prior:parent}}</t>
  </si>
  <si>
    <t>六、其他综合收益的税后净额</t>
  </si>
  <si>
    <t xml:space="preserve">   归属于母公司所有者的其他综合收益的税后净额</t>
  </si>
  <si>
    <t>（一）不能重分类进损益的其他综合收益</t>
  </si>
  <si>
    <t>{{row:IS-055:current}}</t>
  </si>
  <si>
    <t>{{row:IS-055:current:parent}}</t>
  </si>
  <si>
    <t>{{row:IS-055:prior}}</t>
  </si>
  <si>
    <t>{{row:IS-055:prior:parent}}</t>
  </si>
  <si>
    <t xml:space="preserve">       1. 重新计量设定受益计划变动额</t>
  </si>
  <si>
    <t>{{row:IS-056:current}}</t>
  </si>
  <si>
    <t>{{row:IS-056:current:parent}}</t>
  </si>
  <si>
    <t>{{row:IS-056:prior}}</t>
  </si>
  <si>
    <t>{{row:IS-056:prior:parent}}</t>
  </si>
  <si>
    <t xml:space="preserve">       2. 权益法下不能转损益的其他综合收益</t>
  </si>
  <si>
    <t>{{row:IS-057:current}}</t>
  </si>
  <si>
    <t>{{row:IS-057:current:parent}}</t>
  </si>
  <si>
    <t>{{row:IS-057:prior}}</t>
  </si>
  <si>
    <t>{{row:IS-057:prior:parent}}</t>
  </si>
  <si>
    <t xml:space="preserve">       3. 其他权益工具投资公允价值变动</t>
  </si>
  <si>
    <t>{{row:IS-058:current}}</t>
  </si>
  <si>
    <t>{{row:IS-058:current:parent}}</t>
  </si>
  <si>
    <t>{{row:IS-058:prior}}</t>
  </si>
  <si>
    <t>{{row:IS-058:prior:parent}}</t>
  </si>
  <si>
    <t xml:space="preserve">       4. 企业自身信用风险公允价值变动</t>
  </si>
  <si>
    <t>{{row:IS-059:current}}</t>
  </si>
  <si>
    <t>{{row:IS-059:current:parent}}</t>
  </si>
  <si>
    <t>{{row:IS-059:prior}}</t>
  </si>
  <si>
    <t>{{row:IS-059:prior:parent}}</t>
  </si>
  <si>
    <t xml:space="preserve">   △5. 不能转损益的保险合同金融变动</t>
  </si>
  <si>
    <t>{{row:IS-060:current}}</t>
  </si>
  <si>
    <t>{{row:IS-060:current:parent}}</t>
  </si>
  <si>
    <t>{{row:IS-060:prior}}</t>
  </si>
  <si>
    <t>{{row:IS-060:prior:parent}}</t>
  </si>
  <si>
    <t xml:space="preserve">       6. 其他</t>
  </si>
  <si>
    <t>{{row:IS-061:current}}</t>
  </si>
  <si>
    <t>{{row:IS-061:current:parent}}</t>
  </si>
  <si>
    <t>{{row:IS-061:prior}}</t>
  </si>
  <si>
    <t>{{row:IS-061:prior:parent}}</t>
  </si>
  <si>
    <t>（二）将重分类进损益的其他综合收益</t>
  </si>
  <si>
    <t>{{row:IS-062:current}}</t>
  </si>
  <si>
    <t>{{row:IS-062:current:parent}}</t>
  </si>
  <si>
    <t>{{row:IS-062:prior}}</t>
  </si>
  <si>
    <t>{{row:IS-062:prior:parent}}</t>
  </si>
  <si>
    <t xml:space="preserve">       1. 权益法下可转损益的其他综合收益</t>
  </si>
  <si>
    <t>{{row:IS-063:current}}</t>
  </si>
  <si>
    <t>{{row:IS-063:current:parent}}</t>
  </si>
  <si>
    <t>{{row:IS-063:prior}}</t>
  </si>
  <si>
    <t>{{row:IS-063:prior:parent}}</t>
  </si>
  <si>
    <t xml:space="preserve">       2. 其他债权投资公允价值变动</t>
  </si>
  <si>
    <t>{{row:IS-064:current}}</t>
  </si>
  <si>
    <t>{{row:IS-064:current:parent}}</t>
  </si>
  <si>
    <t>{{row:IS-064:prior}}</t>
  </si>
  <si>
    <t>{{row:IS-064:prior:parent}}</t>
  </si>
  <si>
    <t xml:space="preserve">       3. 金融资产重分类计入其他综合收益的金额</t>
  </si>
  <si>
    <t>{{row:IS-065:current}}</t>
  </si>
  <si>
    <t>{{row:IS-065:current:parent}}</t>
  </si>
  <si>
    <t>{{row:IS-065:prior}}</t>
  </si>
  <si>
    <t>{{row:IS-065:prior:parent}}</t>
  </si>
  <si>
    <t xml:space="preserve">       4. 其他债权投资信用减值准备</t>
  </si>
  <si>
    <t>{{row:IS-066:current}}</t>
  </si>
  <si>
    <t>{{row:IS-066:current:parent}}</t>
  </si>
  <si>
    <t>{{row:IS-066:prior}}</t>
  </si>
  <si>
    <t>{{row:IS-066:prior:parent}}</t>
  </si>
  <si>
    <t xml:space="preserve">       5. 现金流量套期储备（现金流量套期损益的有效部分）</t>
  </si>
  <si>
    <t>{{row:IS-067:current}}</t>
  </si>
  <si>
    <t>{{row:IS-067:current:parent}}</t>
  </si>
  <si>
    <t>{{row:IS-067:prior}}</t>
  </si>
  <si>
    <t>{{row:IS-067:prior:parent}}</t>
  </si>
  <si>
    <t xml:space="preserve">       6. 外币财务报表折算差额</t>
  </si>
  <si>
    <t>{{row:IS-068:current}}</t>
  </si>
  <si>
    <t>{{row:IS-068:current:parent}}</t>
  </si>
  <si>
    <t>{{row:IS-068:prior}}</t>
  </si>
  <si>
    <t>{{row:IS-068:prior:parent}}</t>
  </si>
  <si>
    <t xml:space="preserve">   △7. 可转损益的保险合同金融变动</t>
  </si>
  <si>
    <t>{{row:IS-069:current}}</t>
  </si>
  <si>
    <t>{{row:IS-069:current:parent}}</t>
  </si>
  <si>
    <t>{{row:IS-069:prior}}</t>
  </si>
  <si>
    <t>{{row:IS-069:prior:parent}}</t>
  </si>
  <si>
    <t xml:space="preserve">   △8. 可转损益的分出再保险合同金融变动</t>
  </si>
  <si>
    <t>{{row:IS-070:current}}</t>
  </si>
  <si>
    <t>{{row:IS-070:current:parent}}</t>
  </si>
  <si>
    <t>{{row:IS-070:prior}}</t>
  </si>
  <si>
    <t>{{row:IS-070:prior:parent}}</t>
  </si>
  <si>
    <t xml:space="preserve">       9. 其他</t>
  </si>
  <si>
    <t>{{row:IS-071:current}}</t>
  </si>
  <si>
    <t>{{row:IS-071:current:parent}}</t>
  </si>
  <si>
    <t>{{row:IS-071:prior}}</t>
  </si>
  <si>
    <t>{{row:IS-071:prior:parent}}</t>
  </si>
  <si>
    <t xml:space="preserve">  *归属于少数股东的其他综合收益的税后净额</t>
  </si>
  <si>
    <t>{{row:IS-072:current}}</t>
  </si>
  <si>
    <t>{{row:IS-072:current:parent}}</t>
  </si>
  <si>
    <t>{{row:IS-072:prior}}</t>
  </si>
  <si>
    <t>{{row:IS-072:prior:parent}}</t>
  </si>
  <si>
    <t>七、综合收益总额</t>
  </si>
  <si>
    <t xml:space="preserve">         归属于母公司所有者的综合收益总额</t>
  </si>
  <si>
    <t>{{row:IS-074:current}}</t>
  </si>
  <si>
    <t>{{row:IS-074:current:parent}}</t>
  </si>
  <si>
    <t>{{row:IS-074:prior}}</t>
  </si>
  <si>
    <t>{{row:IS-074:prior:parent}}</t>
  </si>
  <si>
    <t xml:space="preserve">        *归属于少数股东的综合收益总额</t>
  </si>
  <si>
    <t>{{row:IS-075:current}}</t>
  </si>
  <si>
    <t>{{row:IS-075:current:parent}}</t>
  </si>
  <si>
    <t>{{row:IS-075:prior}}</t>
  </si>
  <si>
    <t>{{row:IS-075:prior:parent}}</t>
  </si>
  <si>
    <t>八、每股收益：</t>
  </si>
  <si>
    <t xml:space="preserve">         基本每股收益</t>
  </si>
  <si>
    <t>{{row:IS-077:current}}</t>
  </si>
  <si>
    <t>{{row:IS-077:current:parent}}</t>
  </si>
  <si>
    <t>{{row:IS-077:prior}}</t>
  </si>
  <si>
    <t>{{row:IS-077:prior:parent}}</t>
  </si>
  <si>
    <t xml:space="preserve">         稀释每股收益</t>
  </si>
  <si>
    <t>{{row:IS-078:current}}</t>
  </si>
  <si>
    <t>{{row:IS-078:current:parent}}</t>
  </si>
  <si>
    <t>{{row:IS-078:prior}}</t>
  </si>
  <si>
    <t>{{row:IS-078:prior:parent}}</t>
  </si>
  <si>
    <t>注：表中带*科目为合并会计报表专用；加△项目为金融类企业专用；带▲项目为未执行新保险合同准则的企业专用。</t>
  </si>
  <si>
    <t>合 并 及 公 司 现 金 流 量 表</t>
  </si>
  <si>
    <t>一、经营活动产生的现金流量：</t>
  </si>
  <si>
    <t xml:space="preserve">  销售商品、提供劳务收到的现金</t>
  </si>
  <si>
    <t>{{row:CFS-002:current}}</t>
  </si>
  <si>
    <t>{{row:CFS-002:current:parent}}</t>
  </si>
  <si>
    <t>{{row:CFS-002:prior}}</t>
  </si>
  <si>
    <t>{{row:CFS-002:prior:parent}}</t>
  </si>
  <si>
    <t xml:space="preserve">  △客户存款和同业存放款项净增加额</t>
  </si>
  <si>
    <t>{{row:CFS-003:current}}</t>
  </si>
  <si>
    <t>{{row:CFS-003:current:parent}}</t>
  </si>
  <si>
    <t>{{row:CFS-003:prior}}</t>
  </si>
  <si>
    <t>{{row:CFS-003:prior:parent}}</t>
  </si>
  <si>
    <t xml:space="preserve">  △向中央银行借款净增加额</t>
  </si>
  <si>
    <t>{{row:CFS-004:current}}</t>
  </si>
  <si>
    <t>{{row:CFS-004:current:parent}}</t>
  </si>
  <si>
    <t>{{row:CFS-004:prior}}</t>
  </si>
  <si>
    <t>{{row:CFS-004:prior:parent}}</t>
  </si>
  <si>
    <t xml:space="preserve">  △向其他金融机构拆入资金净增加额</t>
  </si>
  <si>
    <t>{{row:CFS-005:current}}</t>
  </si>
  <si>
    <t>{{row:CFS-005:current:parent}}</t>
  </si>
  <si>
    <t>{{row:CFS-005:prior}}</t>
  </si>
  <si>
    <t>{{row:CFS-005:prior:parent}}</t>
  </si>
  <si>
    <t xml:space="preserve">  △收到签发保险合同保费取得的现金</t>
  </si>
  <si>
    <t>{{row:CFS-006:current}}</t>
  </si>
  <si>
    <t>{{row:CFS-006:current:parent}}</t>
  </si>
  <si>
    <t>{{row:CFS-006:prior}}</t>
  </si>
  <si>
    <t>{{row:CFS-006:prior:parent}}</t>
  </si>
  <si>
    <t xml:space="preserve">  △收到分入再保险合同的现金净额</t>
  </si>
  <si>
    <t>{{row:CFS-007:current}}</t>
  </si>
  <si>
    <t>{{row:CFS-007:current:parent}}</t>
  </si>
  <si>
    <t>{{row:CFS-007:prior}}</t>
  </si>
  <si>
    <t>{{row:CFS-007:prior:parent}}</t>
  </si>
  <si>
    <t xml:space="preserve">  ▲收到原保险合同保费取得的现金</t>
  </si>
  <si>
    <t>{{row:CFS-008:current}}</t>
  </si>
  <si>
    <t>{{row:CFS-008:current:parent}}</t>
  </si>
  <si>
    <t>{{row:CFS-008:prior}}</t>
  </si>
  <si>
    <t>{{row:CFS-008:prior:parent}}</t>
  </si>
  <si>
    <t xml:space="preserve">  ▲收到再保业务现金净额</t>
  </si>
  <si>
    <t>{{row:CFS-009:current}}</t>
  </si>
  <si>
    <t>{{row:CFS-009:current:parent}}</t>
  </si>
  <si>
    <t>{{row:CFS-009:prior}}</t>
  </si>
  <si>
    <t>{{row:CFS-009:prior:parent}}</t>
  </si>
  <si>
    <t xml:space="preserve">  ▲保户储金及投资款净增加额</t>
  </si>
  <si>
    <t>{{row:CFS-010:current}}</t>
  </si>
  <si>
    <t>{{row:CFS-010:current:parent}}</t>
  </si>
  <si>
    <t>{{row:CFS-010:prior}}</t>
  </si>
  <si>
    <t>{{row:CFS-010:prior:parent}}</t>
  </si>
  <si>
    <t xml:space="preserve">  △处置以公允价值计量且其变动计入当期损益的金融资产净增加额</t>
  </si>
  <si>
    <t>{{row:CFS-011:current}}</t>
  </si>
  <si>
    <t>{{row:CFS-011:current:parent}}</t>
  </si>
  <si>
    <t>{{row:CFS-011:prior}}</t>
  </si>
  <si>
    <t>{{row:CFS-011:prior:parent}}</t>
  </si>
  <si>
    <t xml:space="preserve">  △收取利息、手续费及佣金的现金</t>
  </si>
  <si>
    <t>{{row:CFS-012:current}}</t>
  </si>
  <si>
    <t>{{row:CFS-012:current:parent}}</t>
  </si>
  <si>
    <t>{{row:CFS-012:prior}}</t>
  </si>
  <si>
    <t>{{row:CFS-012:prior:parent}}</t>
  </si>
  <si>
    <t xml:space="preserve">  △拆入资金净增加额</t>
  </si>
  <si>
    <t>{{row:CFS-013:current}}</t>
  </si>
  <si>
    <t>{{row:CFS-013:current:parent}}</t>
  </si>
  <si>
    <t>{{row:CFS-013:prior}}</t>
  </si>
  <si>
    <t>{{row:CFS-013:prior:parent}}</t>
  </si>
  <si>
    <t xml:space="preserve">  △回购业务资金净增加额</t>
  </si>
  <si>
    <t>{{row:CFS-014:current}}</t>
  </si>
  <si>
    <t>{{row:CFS-014:current:parent}}</t>
  </si>
  <si>
    <t>{{row:CFS-014:prior}}</t>
  </si>
  <si>
    <t>{{row:CFS-014:prior:parent}}</t>
  </si>
  <si>
    <t xml:space="preserve">  △代理买卖证券收到的现金净额</t>
  </si>
  <si>
    <t>{{row:CFS-015:current}}</t>
  </si>
  <si>
    <t>{{row:CFS-015:current:parent}}</t>
  </si>
  <si>
    <t>{{row:CFS-015:prior}}</t>
  </si>
  <si>
    <t>{{row:CFS-015:prior:parent}}</t>
  </si>
  <si>
    <t xml:space="preserve">  收到的税费返还</t>
  </si>
  <si>
    <t>{{row:CFS-016:current}}</t>
  </si>
  <si>
    <t>{{row:CFS-016:current:parent}}</t>
  </si>
  <si>
    <t>{{row:CFS-016:prior}}</t>
  </si>
  <si>
    <t>{{row:CFS-016:prior:parent}}</t>
  </si>
  <si>
    <t>收到的留抵退税款项有关现金流量在“收到的税费返还”项目列示</t>
  </si>
  <si>
    <t xml:space="preserve">  收到其他与经营活动有关的现金</t>
  </si>
  <si>
    <t>{{row:CFS-017:current}}</t>
  </si>
  <si>
    <t>{{row:CFS-017:current:parent}}</t>
  </si>
  <si>
    <t>{{row:CFS-017:prior}}</t>
  </si>
  <si>
    <t>{{row:CFS-017:prior:parent}}</t>
  </si>
  <si>
    <t>接受现金捐赠反映在“收到其他与经营活动有关的现金”项目</t>
  </si>
  <si>
    <t>经营活动现金流入小计</t>
  </si>
  <si>
    <t xml:space="preserve">  购买商品、接受劳务支付的现金</t>
  </si>
  <si>
    <t>{{row:CFS-019:current}}</t>
  </si>
  <si>
    <t>{{row:CFS-019:current:parent}}</t>
  </si>
  <si>
    <t>{{row:CFS-019:prior}}</t>
  </si>
  <si>
    <t>{{row:CFS-019:prior:parent}}</t>
  </si>
  <si>
    <t xml:space="preserve">  △客户贷款及垫款净增加额</t>
  </si>
  <si>
    <t>{{row:CFS-020:current}}</t>
  </si>
  <si>
    <t>{{row:CFS-020:current:parent}}</t>
  </si>
  <si>
    <t>{{row:CFS-020:prior}}</t>
  </si>
  <si>
    <t>{{row:CFS-020:prior:parent}}</t>
  </si>
  <si>
    <t xml:space="preserve">  △存放中央银行和同业款项净增加额</t>
  </si>
  <si>
    <t>{{row:CFS-021:current}}</t>
  </si>
  <si>
    <t>{{row:CFS-021:current:parent}}</t>
  </si>
  <si>
    <t>{{row:CFS-021:prior}}</t>
  </si>
  <si>
    <t>{{row:CFS-021:prior:parent}}</t>
  </si>
  <si>
    <t xml:space="preserve">  △支付签发保险合同赔款的现金</t>
  </si>
  <si>
    <t>{{row:CFS-022:current}}</t>
  </si>
  <si>
    <t>{{row:CFS-022:current:parent}}</t>
  </si>
  <si>
    <t>{{row:CFS-022:prior}}</t>
  </si>
  <si>
    <t>{{row:CFS-022:prior:parent}}</t>
  </si>
  <si>
    <t xml:space="preserve">  △支付分出再保险合同的现金净额</t>
  </si>
  <si>
    <t>{{row:CFS-023:current}}</t>
  </si>
  <si>
    <t>{{row:CFS-023:current:parent}}</t>
  </si>
  <si>
    <t>{{row:CFS-023:prior}}</t>
  </si>
  <si>
    <t>{{row:CFS-023:prior:parent}}</t>
  </si>
  <si>
    <t xml:space="preserve">  △保单质押贷款净额增加额</t>
  </si>
  <si>
    <t>{{row:CFS-024:current}}</t>
  </si>
  <si>
    <t>{{row:CFS-024:current:parent}}</t>
  </si>
  <si>
    <t>{{row:CFS-024:prior}}</t>
  </si>
  <si>
    <t>{{row:CFS-024:prior:parent}}</t>
  </si>
  <si>
    <t xml:space="preserve">  ▲支付原保险合同赔付款项的现金</t>
  </si>
  <si>
    <t>{{row:CFS-025:current}}</t>
  </si>
  <si>
    <t>{{row:CFS-025:current:parent}}</t>
  </si>
  <si>
    <t>{{row:CFS-025:prior}}</t>
  </si>
  <si>
    <t>{{row:CFS-025:prior:parent}}</t>
  </si>
  <si>
    <t xml:space="preserve">  △拆出资金净增加额</t>
  </si>
  <si>
    <t>{{row:CFS-026:current}}</t>
  </si>
  <si>
    <t>{{row:CFS-026:current:parent}}</t>
  </si>
  <si>
    <t>{{row:CFS-026:prior}}</t>
  </si>
  <si>
    <t>{{row:CFS-026:prior:parent}}</t>
  </si>
  <si>
    <t xml:space="preserve">  △支付利息、手续费及佣金的现金</t>
  </si>
  <si>
    <t>{{row:CFS-027:current}}</t>
  </si>
  <si>
    <t>{{row:CFS-027:current:parent}}</t>
  </si>
  <si>
    <t>{{row:CFS-027:prior}}</t>
  </si>
  <si>
    <t>{{row:CFS-027:prior:parent}}</t>
  </si>
  <si>
    <t xml:space="preserve">  ▲支付保单红利的现金</t>
  </si>
  <si>
    <t>{{row:CFS-028:current}}</t>
  </si>
  <si>
    <t>{{row:CFS-028:current:parent}}</t>
  </si>
  <si>
    <t>{{row:CFS-028:prior}}</t>
  </si>
  <si>
    <t>{{row:CFS-028:prior:parent}}</t>
  </si>
  <si>
    <t xml:space="preserve">  支付给职工及为职工支付的现金</t>
  </si>
  <si>
    <t>{{row:CFS-029:current}}</t>
  </si>
  <si>
    <t>{{row:CFS-029:current:parent}}</t>
  </si>
  <si>
    <t>{{row:CFS-029:prior}}</t>
  </si>
  <si>
    <t>{{row:CFS-029:prior:parent}}</t>
  </si>
  <si>
    <t>支付的工会经费反映在“支付给职工及为职工支付的现金”项目</t>
  </si>
  <si>
    <t xml:space="preserve">  支付的各项税费</t>
  </si>
  <si>
    <t>{{row:CFS-030:current}}</t>
  </si>
  <si>
    <t>{{row:CFS-030:current:parent}}</t>
  </si>
  <si>
    <t>{{row:CFS-030:prior}}</t>
  </si>
  <si>
    <t>{{row:CFS-030:prior:parent}}</t>
  </si>
  <si>
    <t>缴回并继续按规定抵扣进项税额的留抵退税款项有关现金流量在“支付的各项税费”项目列示</t>
  </si>
  <si>
    <t xml:space="preserve">  支付其他与经营活动有关的现金</t>
  </si>
  <si>
    <t>{{row:CFS-031:current}}</t>
  </si>
  <si>
    <t>{{row:CFS-031:current:parent}}</t>
  </si>
  <si>
    <t>{{row:CFS-031:prior}}</t>
  </si>
  <si>
    <t>{{row:CFS-031:prior:parent}}</t>
  </si>
  <si>
    <t>捐赠现金支出反映在“支付其他与经营活动有关的现金”项目</t>
  </si>
  <si>
    <t>经营活动现金流出小计</t>
  </si>
  <si>
    <t xml:space="preserve">        经营活动产生的现金流量净额</t>
  </si>
  <si>
    <t>二、投资活动产生的现金流量：</t>
  </si>
  <si>
    <t xml:space="preserve">  收回投资收到的现金</t>
  </si>
  <si>
    <t>{{row:CFS-035:current}}</t>
  </si>
  <si>
    <t>{{row:CFS-035:current:parent}}</t>
  </si>
  <si>
    <t>{{row:CFS-035:prior}}</t>
  </si>
  <si>
    <t>{{row:CFS-035:prior:parent}}</t>
  </si>
  <si>
    <t xml:space="preserve">  取得投资收益收到的现金</t>
  </si>
  <si>
    <t>{{row:CFS-036:current}}</t>
  </si>
  <si>
    <t>{{row:CFS-036:current:parent}}</t>
  </si>
  <si>
    <t>{{row:CFS-036:prior}}</t>
  </si>
  <si>
    <t>{{row:CFS-036:prior:parent}}</t>
  </si>
  <si>
    <t xml:space="preserve">  处置固定资产、无形资产和其他长期资产收回的现金净额</t>
  </si>
  <si>
    <t>{{row:CFS-037:current}}</t>
  </si>
  <si>
    <t>{{row:CFS-037:current:parent}}</t>
  </si>
  <si>
    <t>{{row:CFS-037:prior}}</t>
  </si>
  <si>
    <t>{{row:CFS-037:prior:parent}}</t>
  </si>
  <si>
    <t xml:space="preserve">  处置子公司及其他营业单位收到的现金净额</t>
  </si>
  <si>
    <t>{{row:CFS-038:current}}</t>
  </si>
  <si>
    <t>{{row:CFS-038:current:parent}}</t>
  </si>
  <si>
    <t>{{row:CFS-038:prior}}</t>
  </si>
  <si>
    <t>{{row:CFS-038:prior:parent}}</t>
  </si>
  <si>
    <t xml:space="preserve">  收到其他与投资活动有关的现金</t>
  </si>
  <si>
    <t>{{row:CFS-039:current}}</t>
  </si>
  <si>
    <t>{{row:CFS-039:current:parent}}</t>
  </si>
  <si>
    <t>{{row:CFS-039:prior}}</t>
  </si>
  <si>
    <t>{{row:CFS-039:prior:parent}}</t>
  </si>
  <si>
    <t>投资活动现金流入小计</t>
  </si>
  <si>
    <t xml:space="preserve">  购建固定资产、无形资产和其他长期资产支付的现金</t>
  </si>
  <si>
    <t>{{row:CFS-041:current}}</t>
  </si>
  <si>
    <t>{{row:CFS-041:current:parent}}</t>
  </si>
  <si>
    <t>{{row:CFS-041:prior}}</t>
  </si>
  <si>
    <t>{{row:CFS-041:prior:parent}}</t>
  </si>
  <si>
    <t xml:space="preserve">  投资支付的现金</t>
  </si>
  <si>
    <t>{{row:CFS-042:current}}</t>
  </si>
  <si>
    <t>{{row:CFS-042:current:parent}}</t>
  </si>
  <si>
    <t>{{row:CFS-042:prior}}</t>
  </si>
  <si>
    <t>{{row:CFS-042:prior:parent}}</t>
  </si>
  <si>
    <t xml:space="preserve">  ▲质押贷款净增加额</t>
  </si>
  <si>
    <t>{{row:CFS-043:current}}</t>
  </si>
  <si>
    <t>{{row:CFS-043:current:parent}}</t>
  </si>
  <si>
    <t>{{row:CFS-043:prior}}</t>
  </si>
  <si>
    <t>{{row:CFS-043:prior:parent}}</t>
  </si>
  <si>
    <t xml:space="preserve">  取得子公司及其他营业单位支付的现金净额</t>
  </si>
  <si>
    <t>{{row:CFS-044:current}}</t>
  </si>
  <si>
    <t>{{row:CFS-044:current:parent}}</t>
  </si>
  <si>
    <t>{{row:CFS-044:prior}}</t>
  </si>
  <si>
    <t>{{row:CFS-044:prior:parent}}</t>
  </si>
  <si>
    <t xml:space="preserve">  支付其他与投资活动有关的现金</t>
  </si>
  <si>
    <t>{{row:CFS-045:current}}</t>
  </si>
  <si>
    <t>{{row:CFS-045:current:parent}}</t>
  </si>
  <si>
    <t>{{row:CFS-045:prior}}</t>
  </si>
  <si>
    <t>{{row:CFS-045:prior:parent}}</t>
  </si>
  <si>
    <t>投资活动现金流出小计</t>
  </si>
  <si>
    <t xml:space="preserve">        投资活动产生的现金流量净额</t>
  </si>
  <si>
    <t>三、筹资活动产生的现金流量：</t>
  </si>
  <si>
    <t xml:space="preserve">  吸收投资收到的现金</t>
  </si>
  <si>
    <t>{{row:CFS-049:current}}</t>
  </si>
  <si>
    <t>{{row:CFS-049:current:parent}}</t>
  </si>
  <si>
    <t>{{row:CFS-049:prior}}</t>
  </si>
  <si>
    <t>{{row:CFS-049:prior:parent}}</t>
  </si>
  <si>
    <t xml:space="preserve">     *其中：子公司吸收少数股东投资收到的现金</t>
  </si>
  <si>
    <t>{{row:CFS-050:current}}</t>
  </si>
  <si>
    <t>{{row:CFS-050:current:parent}}</t>
  </si>
  <si>
    <t>{{row:CFS-050:prior}}</t>
  </si>
  <si>
    <t>{{row:CFS-050:prior:parent}}</t>
  </si>
  <si>
    <t xml:space="preserve">  取得借款收到的现金</t>
  </si>
  <si>
    <t>{{row:CFS-051:current}}</t>
  </si>
  <si>
    <t>{{row:CFS-051:current:parent}}</t>
  </si>
  <si>
    <t>{{row:CFS-051:prior}}</t>
  </si>
  <si>
    <t>{{row:CFS-051:prior:parent}}</t>
  </si>
  <si>
    <t xml:space="preserve">  收到其他与筹资活动有关的现金</t>
  </si>
  <si>
    <t>{{row:CFS-052:current}}</t>
  </si>
  <si>
    <t>{{row:CFS-052:current:parent}}</t>
  </si>
  <si>
    <t>{{row:CFS-052:prior}}</t>
  </si>
  <si>
    <t>{{row:CFS-052:prior:parent}}</t>
  </si>
  <si>
    <t>筹资活动现金流入小计</t>
  </si>
  <si>
    <t xml:space="preserve">  偿还债务支付的现金</t>
  </si>
  <si>
    <t>{{row:CFS-054:current}}</t>
  </si>
  <si>
    <t>{{row:CFS-054:current:parent}}</t>
  </si>
  <si>
    <t>{{row:CFS-054:prior}}</t>
  </si>
  <si>
    <t>{{row:CFS-054:prior:parent}}</t>
  </si>
  <si>
    <t xml:space="preserve">  分配股利、利润或偿付利息支付的现金</t>
  </si>
  <si>
    <t>{{row:CFS-055:current}}</t>
  </si>
  <si>
    <t>{{row:CFS-055:current:parent}}</t>
  </si>
  <si>
    <t>{{row:CFS-055:prior}}</t>
  </si>
  <si>
    <t>{{row:CFS-055:prior:parent}}</t>
  </si>
  <si>
    <t xml:space="preserve">     *其中：子公司支付给少数股东的股利、利润</t>
  </si>
  <si>
    <t>{{row:CFS-056:current}}</t>
  </si>
  <si>
    <t>{{row:CFS-056:current:parent}}</t>
  </si>
  <si>
    <t>{{row:CFS-056:prior}}</t>
  </si>
  <si>
    <t>{{row:CFS-056:prior:parent}}</t>
  </si>
  <si>
    <t xml:space="preserve">  支付其他与筹资活动有关的现金</t>
  </si>
  <si>
    <t>{{row:CFS-057:current}}</t>
  </si>
  <si>
    <t>{{row:CFS-057:current:parent}}</t>
  </si>
  <si>
    <t>{{row:CFS-057:prior}}</t>
  </si>
  <si>
    <t>{{row:CFS-057:prior:parent}}</t>
  </si>
  <si>
    <t>筹资活动现金流出小计</t>
  </si>
  <si>
    <t xml:space="preserve">       筹资活动产生的现金流量净额</t>
  </si>
  <si>
    <t>四、汇率变动对现金及现金等价物的影响</t>
  </si>
  <si>
    <t>{{row:CFS-060:current}}</t>
  </si>
  <si>
    <t>{{row:CFS-060:current:parent}}</t>
  </si>
  <si>
    <t>{{row:CFS-060:prior}}</t>
  </si>
  <si>
    <t>{{row:CFS-060:prior:parent}}</t>
  </si>
  <si>
    <t>五、现金及现金等价物净增加额</t>
  </si>
  <si>
    <t xml:space="preserve">  加：期初现金及现金等价物余额</t>
  </si>
  <si>
    <t>{{row:CFS-062:current}}</t>
  </si>
  <si>
    <t>{{row:CFS-062:current:parent}}</t>
  </si>
  <si>
    <t>{{row:CFS-062:prior}}</t>
  </si>
  <si>
    <t>{{row:CFS-062:prior:parent}}</t>
  </si>
  <si>
    <t>六、期末现金及现金等价物余额</t>
  </si>
  <si>
    <t>注：加△项目为金融类企业专用。</t>
  </si>
  <si>
    <t>合并所有者权益变动表</t>
  </si>
  <si>
    <t>合并所有者权益变动表(续)</t>
  </si>
  <si>
    <t>{{audit_year}}年度</t>
  </si>
  <si>
    <t>金额单位：元</t>
  </si>
  <si>
    <t>2024年度</t>
  </si>
  <si>
    <t>行次</t>
  </si>
  <si>
    <t>本年金额</t>
  </si>
  <si>
    <t>上年金额</t>
  </si>
  <si>
    <t>归属于母公司所有者权益</t>
  </si>
  <si>
    <t>少数股东权益</t>
  </si>
  <si>
    <t>所有者
权益合计</t>
  </si>
  <si>
    <t>实收资本
（或股本）</t>
  </si>
  <si>
    <t>其他权益工具</t>
  </si>
  <si>
    <t>资本公积</t>
  </si>
  <si>
    <t>减：库存股</t>
  </si>
  <si>
    <t>其他综合收益</t>
  </si>
  <si>
    <t>专项储备</t>
  </si>
  <si>
    <t>盈余公积</t>
  </si>
  <si>
    <t>△一般风险准备</t>
  </si>
  <si>
    <t>未分配利润</t>
  </si>
  <si>
    <t>小计</t>
  </si>
  <si>
    <t>优先股</t>
  </si>
  <si>
    <t>永续债</t>
  </si>
  <si>
    <t>其他</t>
  </si>
  <si>
    <t>栏            次</t>
  </si>
  <si>
    <t>——</t>
  </si>
  <si>
    <t>一、上年年末余额</t>
  </si>
  <si>
    <t>{{eq:EQ-001:current_year:share_capital}}</t>
  </si>
  <si>
    <t>{{eq:EQ-001:current_year:other_equity_instrument}}</t>
  </si>
  <si>
    <t>{{eq:EQ-001:current_year:capital_reserve}}</t>
  </si>
  <si>
    <t>{{eq:EQ-001:current_year:treasury_stock}}</t>
  </si>
  <si>
    <t>{{eq:EQ-001:current_year:other_comprehensive_income}}</t>
  </si>
  <si>
    <t>{{eq:EQ-001:current_year:special_reserve}}</t>
  </si>
  <si>
    <t>{{eq:EQ-001:current_year:surplus_reserve}}</t>
  </si>
  <si>
    <t>{{eq:EQ-001:current_year:general_risk_reserve}}</t>
  </si>
  <si>
    <t>{{eq:EQ-001:current_year:retained_earnings}}</t>
  </si>
  <si>
    <t>{{eq:EQ-001:current_year:minority_interest}}</t>
  </si>
  <si>
    <t>{{eq:EQ-001:prior_year:share_capital}}</t>
  </si>
  <si>
    <t>{{eq:EQ-001:prior_year:other_equity_instrument}}</t>
  </si>
  <si>
    <t>{{eq:EQ-001:prior_year:capital_reserve}}</t>
  </si>
  <si>
    <t>{{eq:EQ-001:prior_year:treasury_stock}}</t>
  </si>
  <si>
    <t>{{eq:EQ-001:prior_year:other_comprehensive_income}}</t>
  </si>
  <si>
    <t>{{eq:EQ-001:prior_year:special_reserve}}</t>
  </si>
  <si>
    <t>{{eq:EQ-001:prior_year:surplus_reserve}}</t>
  </si>
  <si>
    <t>{{eq:EQ-001:prior_year:general_risk_reserve}}</t>
  </si>
  <si>
    <t>{{eq:EQ-001:prior_year:retained_earnings}}</t>
  </si>
  <si>
    <t>{{eq:EQ-001:prior_year:minority_interest}}</t>
  </si>
  <si>
    <t xml:space="preserve">    加：会计政策变更</t>
  </si>
  <si>
    <t>{{eq:EQ-002:current_year:share_capital}}</t>
  </si>
  <si>
    <t>{{eq:EQ-002:current_year:other_equity_instrument}}</t>
  </si>
  <si>
    <t>{{eq:EQ-002:current_year:capital_reserve}}</t>
  </si>
  <si>
    <t>{{eq:EQ-002:current_year:treasury_stock}}</t>
  </si>
  <si>
    <t>{{eq:EQ-002:current_year:other_comprehensive_income}}</t>
  </si>
  <si>
    <t>{{eq:EQ-002:current_year:special_reserve}}</t>
  </si>
  <si>
    <t>{{eq:EQ-002:current_year:surplus_reserve}}</t>
  </si>
  <si>
    <t>{{eq:EQ-002:current_year:general_risk_reserve}}</t>
  </si>
  <si>
    <t>{{eq:EQ-002:current_year:retained_earnings}}</t>
  </si>
  <si>
    <t>{{eq:EQ-002:current_year:minority_interest}}</t>
  </si>
  <si>
    <t>{{eq:EQ-002:prior_year:share_capital}}</t>
  </si>
  <si>
    <t>{{eq:EQ-002:prior_year:other_equity_instrument}}</t>
  </si>
  <si>
    <t>{{eq:EQ-002:prior_year:capital_reserve}}</t>
  </si>
  <si>
    <t>{{eq:EQ-002:prior_year:treasury_stock}}</t>
  </si>
  <si>
    <t>{{eq:EQ-002:prior_year:other_comprehensive_income}}</t>
  </si>
  <si>
    <t>{{eq:EQ-002:prior_year:special_reserve}}</t>
  </si>
  <si>
    <t>{{eq:EQ-002:prior_year:surplus_reserve}}</t>
  </si>
  <si>
    <t>{{eq:EQ-002:prior_year:general_risk_reserve}}</t>
  </si>
  <si>
    <t>{{eq:EQ-002:prior_year:retained_earnings}}</t>
  </si>
  <si>
    <t>{{eq:EQ-002:prior_year:minority_interest}}</t>
  </si>
  <si>
    <t xml:space="preserve">        前期差错更正</t>
  </si>
  <si>
    <t>{{eq:EQ-003:current_year:share_capital}}</t>
  </si>
  <si>
    <t>{{eq:EQ-003:current_year:other_equity_instrument}}</t>
  </si>
  <si>
    <t>{{eq:EQ-003:current_year:capital_reserve}}</t>
  </si>
  <si>
    <t>{{eq:EQ-003:current_year:treasury_stock}}</t>
  </si>
  <si>
    <t>{{eq:EQ-003:current_year:other_comprehensive_income}}</t>
  </si>
  <si>
    <t>{{eq:EQ-003:current_year:special_reserve}}</t>
  </si>
  <si>
    <t>{{eq:EQ-003:current_year:surplus_reserve}}</t>
  </si>
  <si>
    <t>{{eq:EQ-003:current_year:general_risk_reserve}}</t>
  </si>
  <si>
    <t>{{eq:EQ-003:current_year:retained_earnings}}</t>
  </si>
  <si>
    <t>{{eq:EQ-003:current_year:minority_interest}}</t>
  </si>
  <si>
    <t>{{eq:EQ-003:prior_year:share_capital}}</t>
  </si>
  <si>
    <t>{{eq:EQ-003:prior_year:other_equity_instrument}}</t>
  </si>
  <si>
    <t>{{eq:EQ-003:prior_year:capital_reserve}}</t>
  </si>
  <si>
    <t>{{eq:EQ-003:prior_year:treasury_stock}}</t>
  </si>
  <si>
    <t>{{eq:EQ-003:prior_year:other_comprehensive_income}}</t>
  </si>
  <si>
    <t>{{eq:EQ-003:prior_year:special_reserve}}</t>
  </si>
  <si>
    <t>{{eq:EQ-003:prior_year:surplus_reserve}}</t>
  </si>
  <si>
    <t>{{eq:EQ-003:prior_year:general_risk_reserve}}</t>
  </si>
  <si>
    <t>{{eq:EQ-003:prior_year:retained_earnings}}</t>
  </si>
  <si>
    <t>{{eq:EQ-003:prior_year:minority_interest}}</t>
  </si>
  <si>
    <t xml:space="preserve">        其他</t>
  </si>
  <si>
    <t>{{eq:EQ-004:current_year:share_capital}}</t>
  </si>
  <si>
    <t>{{eq:EQ-004:current_year:other_equity_instrument}}</t>
  </si>
  <si>
    <t>{{eq:EQ-004:current_year:capital_reserve}}</t>
  </si>
  <si>
    <t>{{eq:EQ-004:current_year:treasury_stock}}</t>
  </si>
  <si>
    <t>{{eq:EQ-004:current_year:other_comprehensive_income}}</t>
  </si>
  <si>
    <t>{{eq:EQ-004:current_year:special_reserve}}</t>
  </si>
  <si>
    <t>{{eq:EQ-004:current_year:surplus_reserve}}</t>
  </si>
  <si>
    <t>{{eq:EQ-004:current_year:general_risk_reserve}}</t>
  </si>
  <si>
    <t>{{eq:EQ-004:current_year:retained_earnings}}</t>
  </si>
  <si>
    <t>{{eq:EQ-004:current_year:minority_interest}}</t>
  </si>
  <si>
    <t>{{eq:EQ-004:prior_year:share_capital}}</t>
  </si>
  <si>
    <t>{{eq:EQ-004:prior_year:other_equity_instrument}}</t>
  </si>
  <si>
    <t>{{eq:EQ-004:prior_year:capital_reserve}}</t>
  </si>
  <si>
    <t>{{eq:EQ-004:prior_year:treasury_stock}}</t>
  </si>
  <si>
    <t>{{eq:EQ-004:prior_year:other_comprehensive_income}}</t>
  </si>
  <si>
    <t>{{eq:EQ-004:prior_year:special_reserve}}</t>
  </si>
  <si>
    <t>{{eq:EQ-004:prior_year:surplus_reserve}}</t>
  </si>
  <si>
    <t>{{eq:EQ-004:prior_year:general_risk_reserve}}</t>
  </si>
  <si>
    <t>{{eq:EQ-004:prior_year:retained_earnings}}</t>
  </si>
  <si>
    <t>{{eq:EQ-004:prior_year:minority_interest}}</t>
  </si>
  <si>
    <t>二、本年年初余额</t>
  </si>
  <si>
    <t>三、本年增减变动金额（减少以“－”号填列）</t>
  </si>
  <si>
    <t xml:space="preserve">  （一）综合收益总额</t>
  </si>
  <si>
    <t>{{eq:EQ-007:current_year:share_capital}}</t>
  </si>
  <si>
    <t>{{eq:EQ-007:current_year:other_equity_instrument}}</t>
  </si>
  <si>
    <t>{{eq:EQ-007:current_year:capital_reserve}}</t>
  </si>
  <si>
    <t>{{eq:EQ-007:current_year:treasury_stock}}</t>
  </si>
  <si>
    <t>{{eq:EQ-007:current_year:other_comprehensive_income}}</t>
  </si>
  <si>
    <t>{{eq:EQ-007:current_year:special_reserve}}</t>
  </si>
  <si>
    <t>{{eq:EQ-007:current_year:surplus_reserve}}</t>
  </si>
  <si>
    <t>{{eq:EQ-007:current_year:general_risk_reserve}}</t>
  </si>
  <si>
    <t>{{eq:EQ-007:current_year:retained_earnings}}</t>
  </si>
  <si>
    <t>{{eq:EQ-007:current_year:minority_interest}}</t>
  </si>
  <si>
    <t>{{eq:EQ-007:prior_year:share_capital}}</t>
  </si>
  <si>
    <t>{{eq:EQ-007:prior_year:other_equity_instrument}}</t>
  </si>
  <si>
    <t>{{eq:EQ-007:prior_year:capital_reserve}}</t>
  </si>
  <si>
    <t>{{eq:EQ-007:prior_year:treasury_stock}}</t>
  </si>
  <si>
    <t>{{eq:EQ-007:prior_year:other_comprehensive_income}}</t>
  </si>
  <si>
    <t>{{eq:EQ-007:prior_year:special_reserve}}</t>
  </si>
  <si>
    <t>{{eq:EQ-007:prior_year:surplus_reserve}}</t>
  </si>
  <si>
    <t>{{eq:EQ-007:prior_year:general_risk_reserve}}</t>
  </si>
  <si>
    <t>{{eq:EQ-007:prior_year:retained_earnings}}</t>
  </si>
  <si>
    <t>{{eq:EQ-007:prior_year:minority_interest}}</t>
  </si>
  <si>
    <t xml:space="preserve">  （二）所有者投入和减少资本</t>
  </si>
  <si>
    <t xml:space="preserve">             1.所有者投入的普通股</t>
  </si>
  <si>
    <t>{{eq:EQ-009:current_year:share_capital}}</t>
  </si>
  <si>
    <t>{{eq:EQ-009:current_year:other_equity_instrument}}</t>
  </si>
  <si>
    <t>{{eq:EQ-009:current_year:capital_reserve}}</t>
  </si>
  <si>
    <t>{{eq:EQ-009:current_year:treasury_stock}}</t>
  </si>
  <si>
    <t>{{eq:EQ-009:current_year:other_comprehensive_income}}</t>
  </si>
  <si>
    <t>{{eq:EQ-009:current_year:special_reserve}}</t>
  </si>
  <si>
    <t>{{eq:EQ-009:current_year:surplus_reserve}}</t>
  </si>
  <si>
    <t>{{eq:EQ-009:current_year:general_risk_reserve}}</t>
  </si>
  <si>
    <t>{{eq:EQ-009:current_year:retained_earnings}}</t>
  </si>
  <si>
    <t>{{eq:EQ-009:current_year:minority_interest}}</t>
  </si>
  <si>
    <t>{{eq:EQ-009:prior_year:share_capital}}</t>
  </si>
  <si>
    <t>{{eq:EQ-009:prior_year:other_equity_instrument}}</t>
  </si>
  <si>
    <t>{{eq:EQ-009:prior_year:capital_reserve}}</t>
  </si>
  <si>
    <t>{{eq:EQ-009:prior_year:treasury_stock}}</t>
  </si>
  <si>
    <t>{{eq:EQ-009:prior_year:other_comprehensive_income}}</t>
  </si>
  <si>
    <t>{{eq:EQ-009:prior_year:special_reserve}}</t>
  </si>
  <si>
    <t>{{eq:EQ-009:prior_year:surplus_reserve}}</t>
  </si>
  <si>
    <t>{{eq:EQ-009:prior_year:general_risk_reserve}}</t>
  </si>
  <si>
    <t>{{eq:EQ-009:prior_year:retained_earnings}}</t>
  </si>
  <si>
    <t>{{eq:EQ-009:prior_year:minority_interest}}</t>
  </si>
  <si>
    <t xml:space="preserve">             2.其他权益工具持有者投入资本</t>
  </si>
  <si>
    <t>{{eq:EQ-010:current_year:share_capital}}</t>
  </si>
  <si>
    <t>{{eq:EQ-010:current_year:other_equity_instrument}}</t>
  </si>
  <si>
    <t>{{eq:EQ-010:current_year:capital_reserve}}</t>
  </si>
  <si>
    <t>{{eq:EQ-010:current_year:treasury_stock}}</t>
  </si>
  <si>
    <t>{{eq:EQ-010:current_year:other_comprehensive_income}}</t>
  </si>
  <si>
    <t>{{eq:EQ-010:current_year:special_reserve}}</t>
  </si>
  <si>
    <t>{{eq:EQ-010:current_year:surplus_reserve}}</t>
  </si>
  <si>
    <t>{{eq:EQ-010:current_year:general_risk_reserve}}</t>
  </si>
  <si>
    <t>{{eq:EQ-010:current_year:retained_earnings}}</t>
  </si>
  <si>
    <t>{{eq:EQ-010:current_year:minority_interest}}</t>
  </si>
  <si>
    <t>{{eq:EQ-010:prior_year:share_capital}}</t>
  </si>
  <si>
    <t>{{eq:EQ-010:prior_year:other_equity_instrument}}</t>
  </si>
  <si>
    <t>{{eq:EQ-010:prior_year:capital_reserve}}</t>
  </si>
  <si>
    <t>{{eq:EQ-010:prior_year:treasury_stock}}</t>
  </si>
  <si>
    <t>{{eq:EQ-010:prior_year:other_comprehensive_income}}</t>
  </si>
  <si>
    <t>{{eq:EQ-010:prior_year:special_reserve}}</t>
  </si>
  <si>
    <t>{{eq:EQ-010:prior_year:surplus_reserve}}</t>
  </si>
  <si>
    <t>{{eq:EQ-010:prior_year:general_risk_reserve}}</t>
  </si>
  <si>
    <t>{{eq:EQ-010:prior_year:retained_earnings}}</t>
  </si>
  <si>
    <t>{{eq:EQ-010:prior_year:minority_interest}}</t>
  </si>
  <si>
    <t xml:space="preserve">             3.股份支付计入所有者权益的金额</t>
  </si>
  <si>
    <t>{{eq:EQ-011:current_year:share_capital}}</t>
  </si>
  <si>
    <t>{{eq:EQ-011:current_year:other_equity_instrument}}</t>
  </si>
  <si>
    <t>{{eq:EQ-011:current_year:capital_reserve}}</t>
  </si>
  <si>
    <t>{{eq:EQ-011:current_year:treasury_stock}}</t>
  </si>
  <si>
    <t>{{eq:EQ-011:current_year:other_comprehensive_income}}</t>
  </si>
  <si>
    <t>{{eq:EQ-011:current_year:special_reserve}}</t>
  </si>
  <si>
    <t>{{eq:EQ-011:current_year:surplus_reserve}}</t>
  </si>
  <si>
    <t>{{eq:EQ-011:current_year:general_risk_reserve}}</t>
  </si>
  <si>
    <t>{{eq:EQ-011:current_year:retained_earnings}}</t>
  </si>
  <si>
    <t>{{eq:EQ-011:current_year:minority_interest}}</t>
  </si>
  <si>
    <t>{{eq:EQ-011:prior_year:share_capital}}</t>
  </si>
  <si>
    <t>{{eq:EQ-011:prior_year:other_equity_instrument}}</t>
  </si>
  <si>
    <t>{{eq:EQ-011:prior_year:capital_reserve}}</t>
  </si>
  <si>
    <t>{{eq:EQ-011:prior_year:treasury_stock}}</t>
  </si>
  <si>
    <t>{{eq:EQ-011:prior_year:other_comprehensive_income}}</t>
  </si>
  <si>
    <t>{{eq:EQ-011:prior_year:special_reserve}}</t>
  </si>
  <si>
    <t>{{eq:EQ-011:prior_year:surplus_reserve}}</t>
  </si>
  <si>
    <t>{{eq:EQ-011:prior_year:general_risk_reserve}}</t>
  </si>
  <si>
    <t>{{eq:EQ-011:prior_year:retained_earnings}}</t>
  </si>
  <si>
    <t>{{eq:EQ-011:prior_year:minority_interest}}</t>
  </si>
  <si>
    <t xml:space="preserve">             4.其他</t>
  </si>
  <si>
    <t>{{eq:EQ-012:current_year:share_capital}}</t>
  </si>
  <si>
    <t>{{eq:EQ-012:current_year:other_equity_instrument}}</t>
  </si>
  <si>
    <t>{{eq:EQ-012:current_year:capital_reserve}}</t>
  </si>
  <si>
    <t>{{eq:EQ-012:current_year:treasury_stock}}</t>
  </si>
  <si>
    <t>{{eq:EQ-012:current_year:other_comprehensive_income}}</t>
  </si>
  <si>
    <t>{{eq:EQ-012:current_year:special_reserve}}</t>
  </si>
  <si>
    <t>{{eq:EQ-012:current_year:surplus_reserve}}</t>
  </si>
  <si>
    <t>{{eq:EQ-012:current_year:general_risk_reserve}}</t>
  </si>
  <si>
    <t>{{eq:EQ-012:current_year:retained_earnings}}</t>
  </si>
  <si>
    <t>{{eq:EQ-012:current_year:minority_interest}}</t>
  </si>
  <si>
    <t>{{eq:EQ-012:prior_year:share_capital}}</t>
  </si>
  <si>
    <t>{{eq:EQ-012:prior_year:other_equity_instrument}}</t>
  </si>
  <si>
    <t>{{eq:EQ-012:prior_year:capital_reserve}}</t>
  </si>
  <si>
    <t>{{eq:EQ-012:prior_year:treasury_stock}}</t>
  </si>
  <si>
    <t>{{eq:EQ-012:prior_year:other_comprehensive_income}}</t>
  </si>
  <si>
    <t>{{eq:EQ-012:prior_year:special_reserve}}</t>
  </si>
  <si>
    <t>{{eq:EQ-012:prior_year:surplus_reserve}}</t>
  </si>
  <si>
    <t>{{eq:EQ-012:prior_year:general_risk_reserve}}</t>
  </si>
  <si>
    <t>{{eq:EQ-012:prior_year:retained_earnings}}</t>
  </si>
  <si>
    <t>{{eq:EQ-012:prior_year:minority_interest}}</t>
  </si>
  <si>
    <t xml:space="preserve">  （三）专项储备提取和使用</t>
  </si>
  <si>
    <t xml:space="preserve">            1.提取专项储备</t>
  </si>
  <si>
    <t>{{eq:EQ-014:current_year:share_capital}}</t>
  </si>
  <si>
    <t>{{eq:EQ-014:current_year:other_equity_instrument}}</t>
  </si>
  <si>
    <t>{{eq:EQ-014:current_year:capital_reserve}}</t>
  </si>
  <si>
    <t>{{eq:EQ-014:current_year:treasury_stock}}</t>
  </si>
  <si>
    <t>{{eq:EQ-014:current_year:other_comprehensive_income}}</t>
  </si>
  <si>
    <t>{{eq:EQ-014:current_year:special_reserve}}</t>
  </si>
  <si>
    <t>{{eq:EQ-014:current_year:surplus_reserve}}</t>
  </si>
  <si>
    <t>{{eq:EQ-014:current_year:general_risk_reserve}}</t>
  </si>
  <si>
    <t>{{eq:EQ-014:current_year:retained_earnings}}</t>
  </si>
  <si>
    <t>{{eq:EQ-014:current_year:minority_interest}}</t>
  </si>
  <si>
    <t>{{eq:EQ-014:prior_year:share_capital}}</t>
  </si>
  <si>
    <t>{{eq:EQ-014:prior_year:other_equity_instrument}}</t>
  </si>
  <si>
    <t>{{eq:EQ-014:prior_year:capital_reserve}}</t>
  </si>
  <si>
    <t>{{eq:EQ-014:prior_year:treasury_stock}}</t>
  </si>
  <si>
    <t>{{eq:EQ-014:prior_year:other_comprehensive_income}}</t>
  </si>
  <si>
    <t>{{eq:EQ-014:prior_year:special_reserve}}</t>
  </si>
  <si>
    <t>{{eq:EQ-014:prior_year:surplus_reserve}}</t>
  </si>
  <si>
    <t>{{eq:EQ-014:prior_year:general_risk_reserve}}</t>
  </si>
  <si>
    <t>{{eq:EQ-014:prior_year:retained_earnings}}</t>
  </si>
  <si>
    <t>{{eq:EQ-014:prior_year:minority_interest}}</t>
  </si>
  <si>
    <t xml:space="preserve">            2.使用专项储备</t>
  </si>
  <si>
    <t>{{eq:EQ-015:current_year:share_capital}}</t>
  </si>
  <si>
    <t>{{eq:EQ-015:current_year:other_equity_instrument}}</t>
  </si>
  <si>
    <t>{{eq:EQ-015:current_year:capital_reserve}}</t>
  </si>
  <si>
    <t>{{eq:EQ-015:current_year:treasury_stock}}</t>
  </si>
  <si>
    <t>{{eq:EQ-015:current_year:other_comprehensive_income}}</t>
  </si>
  <si>
    <t>{{eq:EQ-015:current_year:special_reserve}}</t>
  </si>
  <si>
    <t>{{eq:EQ-015:current_year:surplus_reserve}}</t>
  </si>
  <si>
    <t>{{eq:EQ-015:current_year:general_risk_reserve}}</t>
  </si>
  <si>
    <t>{{eq:EQ-015:current_year:retained_earnings}}</t>
  </si>
  <si>
    <t>{{eq:EQ-015:current_year:minority_interest}}</t>
  </si>
  <si>
    <t>{{eq:EQ-015:prior_year:share_capital}}</t>
  </si>
  <si>
    <t>{{eq:EQ-015:prior_year:other_equity_instrument}}</t>
  </si>
  <si>
    <t>{{eq:EQ-015:prior_year:capital_reserve}}</t>
  </si>
  <si>
    <t>{{eq:EQ-015:prior_year:treasury_stock}}</t>
  </si>
  <si>
    <t>{{eq:EQ-015:prior_year:other_comprehensive_income}}</t>
  </si>
  <si>
    <t>{{eq:EQ-015:prior_year:special_reserve}}</t>
  </si>
  <si>
    <t>{{eq:EQ-015:prior_year:surplus_reserve}}</t>
  </si>
  <si>
    <t>{{eq:EQ-015:prior_year:general_risk_reserve}}</t>
  </si>
  <si>
    <t>{{eq:EQ-015:prior_year:retained_earnings}}</t>
  </si>
  <si>
    <t>{{eq:EQ-015:prior_year:minority_interest}}</t>
  </si>
  <si>
    <t xml:space="preserve">  （四）利润分配</t>
  </si>
  <si>
    <t xml:space="preserve">           1.提取盈余公积</t>
  </si>
  <si>
    <t>{{eq:EQ-017:current_year:share_capital}}</t>
  </si>
  <si>
    <t>{{eq:EQ-017:current_year:other_equity_instrument}}</t>
  </si>
  <si>
    <t>{{eq:EQ-017:current_year:capital_reserve}}</t>
  </si>
  <si>
    <t>{{eq:EQ-017:current_year:treasury_stock}}</t>
  </si>
  <si>
    <t>{{eq:EQ-017:current_year:other_comprehensive_income}}</t>
  </si>
  <si>
    <t>{{eq:EQ-017:current_year:special_reserve}}</t>
  </si>
  <si>
    <t>{{eq:EQ-017:current_year:surplus_reserve}}</t>
  </si>
  <si>
    <t>{{eq:EQ-017:current_year:general_risk_reserve}}</t>
  </si>
  <si>
    <t>{{eq:EQ-017:current_year:retained_earnings}}</t>
  </si>
  <si>
    <t>{{eq:EQ-017:current_year:minority_interest}}</t>
  </si>
  <si>
    <t>{{eq:EQ-017:prior_year:share_capital}}</t>
  </si>
  <si>
    <t>{{eq:EQ-017:prior_year:other_equity_instrument}}</t>
  </si>
  <si>
    <t>{{eq:EQ-017:prior_year:capital_reserve}}</t>
  </si>
  <si>
    <t>{{eq:EQ-017:prior_year:treasury_stock}}</t>
  </si>
  <si>
    <t>{{eq:EQ-017:prior_year:other_comprehensive_income}}</t>
  </si>
  <si>
    <t>{{eq:EQ-017:prior_year:special_reserve}}</t>
  </si>
  <si>
    <t>{{eq:EQ-017:prior_year:surplus_reserve}}</t>
  </si>
  <si>
    <t>{{eq:EQ-017:prior_year:general_risk_reserve}}</t>
  </si>
  <si>
    <t>{{eq:EQ-017:prior_year:retained_earnings}}</t>
  </si>
  <si>
    <t>{{eq:EQ-017:prior_year:minority_interest}}</t>
  </si>
  <si>
    <t xml:space="preserve">                 其中：法定公积金</t>
  </si>
  <si>
    <t>{{eq:EQ-018:current_year:share_capital}}</t>
  </si>
  <si>
    <t>{{eq:EQ-018:current_year:other_equity_instrument}}</t>
  </si>
  <si>
    <t>{{eq:EQ-018:current_year:capital_reserve}}</t>
  </si>
  <si>
    <t>{{eq:EQ-018:current_year:treasury_stock}}</t>
  </si>
  <si>
    <t>{{eq:EQ-018:current_year:other_comprehensive_income}}</t>
  </si>
  <si>
    <t>{{eq:EQ-018:current_year:special_reserve}}</t>
  </si>
  <si>
    <t>{{eq:EQ-018:current_year:surplus_reserve}}</t>
  </si>
  <si>
    <t>{{eq:EQ-018:current_year:general_risk_reserve}}</t>
  </si>
  <si>
    <t>{{eq:EQ-018:current_year:retained_earnings}}</t>
  </si>
  <si>
    <t>{{eq:EQ-018:current_year:minority_interest}}</t>
  </si>
  <si>
    <t>{{eq:EQ-018:prior_year:share_capital}}</t>
  </si>
  <si>
    <t>{{eq:EQ-018:prior_year:other_equity_instrument}}</t>
  </si>
  <si>
    <t>{{eq:EQ-018:prior_year:capital_reserve}}</t>
  </si>
  <si>
    <t>{{eq:EQ-018:prior_year:treasury_stock}}</t>
  </si>
  <si>
    <t>{{eq:EQ-018:prior_year:other_comprehensive_income}}</t>
  </si>
  <si>
    <t>{{eq:EQ-018:prior_year:special_reserve}}</t>
  </si>
  <si>
    <t>{{eq:EQ-018:prior_year:surplus_reserve}}</t>
  </si>
  <si>
    <t>{{eq:EQ-018:prior_year:general_risk_reserve}}</t>
  </si>
  <si>
    <t>{{eq:EQ-018:prior_year:retained_earnings}}</t>
  </si>
  <si>
    <t>{{eq:EQ-018:prior_year:minority_interest}}</t>
  </si>
  <si>
    <t xml:space="preserve">                               任意公积金</t>
  </si>
  <si>
    <t>{{eq:EQ-019:current_year:share_capital}}</t>
  </si>
  <si>
    <t>{{eq:EQ-019:current_year:other_equity_instrument}}</t>
  </si>
  <si>
    <t>{{eq:EQ-019:current_year:capital_reserve}}</t>
  </si>
  <si>
    <t>{{eq:EQ-019:current_year:treasury_stock}}</t>
  </si>
  <si>
    <t>{{eq:EQ-019:current_year:other_comprehensive_income}}</t>
  </si>
  <si>
    <t>{{eq:EQ-019:current_year:special_reserve}}</t>
  </si>
  <si>
    <t>{{eq:EQ-019:current_year:surplus_reserve}}</t>
  </si>
  <si>
    <t>{{eq:EQ-019:current_year:general_risk_reserve}}</t>
  </si>
  <si>
    <t>{{eq:EQ-019:current_year:retained_earnings}}</t>
  </si>
  <si>
    <t>{{eq:EQ-019:current_year:minority_interest}}</t>
  </si>
  <si>
    <t>{{eq:EQ-019:prior_year:share_capital}}</t>
  </si>
  <si>
    <t>{{eq:EQ-019:prior_year:other_equity_instrument}}</t>
  </si>
  <si>
    <t>{{eq:EQ-019:prior_year:capital_reserve}}</t>
  </si>
  <si>
    <t>{{eq:EQ-019:prior_year:treasury_stock}}</t>
  </si>
  <si>
    <t>{{eq:EQ-019:prior_year:other_comprehensive_income}}</t>
  </si>
  <si>
    <t>{{eq:EQ-019:prior_year:special_reserve}}</t>
  </si>
  <si>
    <t>{{eq:EQ-019:prior_year:surplus_reserve}}</t>
  </si>
  <si>
    <t>{{eq:EQ-019:prior_year:general_risk_reserve}}</t>
  </si>
  <si>
    <t>{{eq:EQ-019:prior_year:retained_earnings}}</t>
  </si>
  <si>
    <t>{{eq:EQ-019:prior_year:minority_interest}}</t>
  </si>
  <si>
    <t xml:space="preserve">                              #储备基金</t>
  </si>
  <si>
    <t>{{eq:EQ-020:current_year:share_capital}}</t>
  </si>
  <si>
    <t>{{eq:EQ-020:current_year:other_equity_instrument}}</t>
  </si>
  <si>
    <t>{{eq:EQ-020:current_year:capital_reserve}}</t>
  </si>
  <si>
    <t>{{eq:EQ-020:current_year:treasury_stock}}</t>
  </si>
  <si>
    <t>{{eq:EQ-020:current_year:other_comprehensive_income}}</t>
  </si>
  <si>
    <t>{{eq:EQ-020:current_year:special_reserve}}</t>
  </si>
  <si>
    <t>{{eq:EQ-020:current_year:surplus_reserve}}</t>
  </si>
  <si>
    <t>{{eq:EQ-020:current_year:general_risk_reserve}}</t>
  </si>
  <si>
    <t>{{eq:EQ-020:current_year:retained_earnings}}</t>
  </si>
  <si>
    <t>{{eq:EQ-020:current_year:minority_interest}}</t>
  </si>
  <si>
    <t>{{eq:EQ-020:prior_year:share_capital}}</t>
  </si>
  <si>
    <t>{{eq:EQ-020:prior_year:other_equity_instrument}}</t>
  </si>
  <si>
    <t>{{eq:EQ-020:prior_year:capital_reserve}}</t>
  </si>
  <si>
    <t>{{eq:EQ-020:prior_year:treasury_stock}}</t>
  </si>
  <si>
    <t>{{eq:EQ-020:prior_year:other_comprehensive_income}}</t>
  </si>
  <si>
    <t>{{eq:EQ-020:prior_year:special_reserve}}</t>
  </si>
  <si>
    <t>{{eq:EQ-020:prior_year:surplus_reserve}}</t>
  </si>
  <si>
    <t>{{eq:EQ-020:prior_year:general_risk_reserve}}</t>
  </si>
  <si>
    <t>{{eq:EQ-020:prior_year:retained_earnings}}</t>
  </si>
  <si>
    <t>{{eq:EQ-020:prior_year:minority_interest}}</t>
  </si>
  <si>
    <t>　　　  　            #企业发展基金</t>
  </si>
  <si>
    <t>{{eq:EQ-021:current_year:share_capital}}</t>
  </si>
  <si>
    <t>{{eq:EQ-021:current_year:other_equity_instrument}}</t>
  </si>
  <si>
    <t>{{eq:EQ-021:current_year:capital_reserve}}</t>
  </si>
  <si>
    <t>{{eq:EQ-021:current_year:treasury_stock}}</t>
  </si>
  <si>
    <t>{{eq:EQ-021:current_year:other_comprehensive_income}}</t>
  </si>
  <si>
    <t>{{eq:EQ-021:current_year:special_reserve}}</t>
  </si>
  <si>
    <t>{{eq:EQ-021:current_year:surplus_reserve}}</t>
  </si>
  <si>
    <t>{{eq:EQ-021:current_year:general_risk_reserve}}</t>
  </si>
  <si>
    <t>{{eq:EQ-021:current_year:retained_earnings}}</t>
  </si>
  <si>
    <t>{{eq:EQ-021:current_year:minority_interest}}</t>
  </si>
  <si>
    <t>{{eq:EQ-021:prior_year:share_capital}}</t>
  </si>
  <si>
    <t>{{eq:EQ-021:prior_year:other_equity_instrument}}</t>
  </si>
  <si>
    <t>{{eq:EQ-021:prior_year:capital_reserve}}</t>
  </si>
  <si>
    <t>{{eq:EQ-021:prior_year:treasury_stock}}</t>
  </si>
  <si>
    <t>{{eq:EQ-021:prior_year:other_comprehensive_income}}</t>
  </si>
  <si>
    <t>{{eq:EQ-021:prior_year:special_reserve}}</t>
  </si>
  <si>
    <t>{{eq:EQ-021:prior_year:surplus_reserve}}</t>
  </si>
  <si>
    <t>{{eq:EQ-021:prior_year:general_risk_reserve}}</t>
  </si>
  <si>
    <t>{{eq:EQ-021:prior_year:retained_earnings}}</t>
  </si>
  <si>
    <t>{{eq:EQ-021:prior_year:minority_interest}}</t>
  </si>
  <si>
    <t>　　　    　          #利润归还投资</t>
  </si>
  <si>
    <t>{{eq:EQ-022:current_year:share_capital}}</t>
  </si>
  <si>
    <t>{{eq:EQ-022:current_year:other_equity_instrument}}</t>
  </si>
  <si>
    <t>{{eq:EQ-022:current_year:capital_reserve}}</t>
  </si>
  <si>
    <t>{{eq:EQ-022:current_year:treasury_stock}}</t>
  </si>
  <si>
    <t>{{eq:EQ-022:current_year:other_comprehensive_income}}</t>
  </si>
  <si>
    <t>{{eq:EQ-022:current_year:special_reserve}}</t>
  </si>
  <si>
    <t>{{eq:EQ-022:current_year:surplus_reserve}}</t>
  </si>
  <si>
    <t>{{eq:EQ-022:current_year:general_risk_reserve}}</t>
  </si>
  <si>
    <t>{{eq:EQ-022:current_year:retained_earnings}}</t>
  </si>
  <si>
    <t>{{eq:EQ-022:current_year:minority_interest}}</t>
  </si>
  <si>
    <t>{{eq:EQ-022:prior_year:share_capital}}</t>
  </si>
  <si>
    <t>{{eq:EQ-022:prior_year:other_equity_instrument}}</t>
  </si>
  <si>
    <t>{{eq:EQ-022:prior_year:capital_reserve}}</t>
  </si>
  <si>
    <t>{{eq:EQ-022:prior_year:treasury_stock}}</t>
  </si>
  <si>
    <t>{{eq:EQ-022:prior_year:other_comprehensive_income}}</t>
  </si>
  <si>
    <t>{{eq:EQ-022:prior_year:special_reserve}}</t>
  </si>
  <si>
    <t>{{eq:EQ-022:prior_year:surplus_reserve}}</t>
  </si>
  <si>
    <t>{{eq:EQ-022:prior_year:general_risk_reserve}}</t>
  </si>
  <si>
    <t>{{eq:EQ-022:prior_year:retained_earnings}}</t>
  </si>
  <si>
    <t>{{eq:EQ-022:prior_year:minority_interest}}</t>
  </si>
  <si>
    <t xml:space="preserve">       △ 2.提取一般风险准备</t>
  </si>
  <si>
    <t>{{eq:EQ-023:current_year:share_capital}}</t>
  </si>
  <si>
    <t>{{eq:EQ-023:current_year:other_equity_instrument}}</t>
  </si>
  <si>
    <t>{{eq:EQ-023:current_year:capital_reserve}}</t>
  </si>
  <si>
    <t>{{eq:EQ-023:current_year:treasury_stock}}</t>
  </si>
  <si>
    <t>{{eq:EQ-023:current_year:other_comprehensive_income}}</t>
  </si>
  <si>
    <t>{{eq:EQ-023:current_year:special_reserve}}</t>
  </si>
  <si>
    <t>{{eq:EQ-023:current_year:surplus_reserve}}</t>
  </si>
  <si>
    <t>{{eq:EQ-023:current_year:general_risk_reserve}}</t>
  </si>
  <si>
    <t>{{eq:EQ-023:current_year:retained_earnings}}</t>
  </si>
  <si>
    <t>{{eq:EQ-023:current_year:minority_interest}}</t>
  </si>
  <si>
    <t>{{eq:EQ-023:prior_year:share_capital}}</t>
  </si>
  <si>
    <t>{{eq:EQ-023:prior_year:other_equity_instrument}}</t>
  </si>
  <si>
    <t>{{eq:EQ-023:prior_year:capital_reserve}}</t>
  </si>
  <si>
    <t>{{eq:EQ-023:prior_year:treasury_stock}}</t>
  </si>
  <si>
    <t>{{eq:EQ-023:prior_year:other_comprehensive_income}}</t>
  </si>
  <si>
    <t>{{eq:EQ-023:prior_year:special_reserve}}</t>
  </si>
  <si>
    <t>{{eq:EQ-023:prior_year:surplus_reserve}}</t>
  </si>
  <si>
    <t>{{eq:EQ-023:prior_year:general_risk_reserve}}</t>
  </si>
  <si>
    <t>{{eq:EQ-023:prior_year:retained_earnings}}</t>
  </si>
  <si>
    <t>{{eq:EQ-023:prior_year:minority_interest}}</t>
  </si>
  <si>
    <t xml:space="preserve">            3.对所有者（或股东）的分配</t>
  </si>
  <si>
    <t>{{eq:EQ-024:current_year:share_capital}}</t>
  </si>
  <si>
    <t>{{eq:EQ-024:current_year:other_equity_instrument}}</t>
  </si>
  <si>
    <t>{{eq:EQ-024:current_year:capital_reserve}}</t>
  </si>
  <si>
    <t>{{eq:EQ-024:current_year:treasury_stock}}</t>
  </si>
  <si>
    <t>{{eq:EQ-024:current_year:other_comprehensive_income}}</t>
  </si>
  <si>
    <t>{{eq:EQ-024:current_year:special_reserve}}</t>
  </si>
  <si>
    <t>{{eq:EQ-024:current_year:surplus_reserve}}</t>
  </si>
  <si>
    <t>{{eq:EQ-024:current_year:general_risk_reserve}}</t>
  </si>
  <si>
    <t>{{eq:EQ-024:current_year:retained_earnings}}</t>
  </si>
  <si>
    <t>{{eq:EQ-024:current_year:minority_interest}}</t>
  </si>
  <si>
    <t>{{eq:EQ-024:prior_year:share_capital}}</t>
  </si>
  <si>
    <t>{{eq:EQ-024:prior_year:other_equity_instrument}}</t>
  </si>
  <si>
    <t>{{eq:EQ-024:prior_year:capital_reserve}}</t>
  </si>
  <si>
    <t>{{eq:EQ-024:prior_year:treasury_stock}}</t>
  </si>
  <si>
    <t>{{eq:EQ-024:prior_year:other_comprehensive_income}}</t>
  </si>
  <si>
    <t>{{eq:EQ-024:prior_year:special_reserve}}</t>
  </si>
  <si>
    <t>{{eq:EQ-024:prior_year:surplus_reserve}}</t>
  </si>
  <si>
    <t>{{eq:EQ-024:prior_year:general_risk_reserve}}</t>
  </si>
  <si>
    <t>{{eq:EQ-024:prior_year:retained_earnings}}</t>
  </si>
  <si>
    <t>{{eq:EQ-024:prior_year:minority_interest}}</t>
  </si>
  <si>
    <t xml:space="preserve">            4.其他</t>
  </si>
  <si>
    <t xml:space="preserve">  （五）所有者权益内部结转</t>
  </si>
  <si>
    <t xml:space="preserve">           1.资本公积转增资本（或股本）</t>
  </si>
  <si>
    <t>{{eq:EQ-027:current_year:share_capital}}</t>
  </si>
  <si>
    <t>{{eq:EQ-027:current_year:other_equity_instrument}}</t>
  </si>
  <si>
    <t>{{eq:EQ-027:current_year:capital_reserve}}</t>
  </si>
  <si>
    <t>{{eq:EQ-027:current_year:treasury_stock}}</t>
  </si>
  <si>
    <t>{{eq:EQ-027:current_year:other_comprehensive_income}}</t>
  </si>
  <si>
    <t>{{eq:EQ-027:current_year:special_reserve}}</t>
  </si>
  <si>
    <t>{{eq:EQ-027:current_year:surplus_reserve}}</t>
  </si>
  <si>
    <t>{{eq:EQ-027:current_year:general_risk_reserve}}</t>
  </si>
  <si>
    <t>{{eq:EQ-027:current_year:retained_earnings}}</t>
  </si>
  <si>
    <t>{{eq:EQ-027:current_year:minority_interest}}</t>
  </si>
  <si>
    <t>{{eq:EQ-027:prior_year:share_capital}}</t>
  </si>
  <si>
    <t>{{eq:EQ-027:prior_year:other_equity_instrument}}</t>
  </si>
  <si>
    <t>{{eq:EQ-027:prior_year:capital_reserve}}</t>
  </si>
  <si>
    <t>{{eq:EQ-027:prior_year:treasury_stock}}</t>
  </si>
  <si>
    <t>{{eq:EQ-027:prior_year:other_comprehensive_income}}</t>
  </si>
  <si>
    <t>{{eq:EQ-027:prior_year:special_reserve}}</t>
  </si>
  <si>
    <t>{{eq:EQ-027:prior_year:surplus_reserve}}</t>
  </si>
  <si>
    <t>{{eq:EQ-027:prior_year:general_risk_reserve}}</t>
  </si>
  <si>
    <t>{{eq:EQ-027:prior_year:retained_earnings}}</t>
  </si>
  <si>
    <t>{{eq:EQ-027:prior_year:minority_interest}}</t>
  </si>
  <si>
    <t xml:space="preserve">           2.盈余公积转增资本（或股本）</t>
  </si>
  <si>
    <t>{{eq:EQ-028:current_year:share_capital}}</t>
  </si>
  <si>
    <t>{{eq:EQ-028:current_year:other_equity_instrument}}</t>
  </si>
  <si>
    <t>{{eq:EQ-028:current_year:capital_reserve}}</t>
  </si>
  <si>
    <t>{{eq:EQ-028:current_year:treasury_stock}}</t>
  </si>
  <si>
    <t>{{eq:EQ-028:current_year:other_comprehensive_income}}</t>
  </si>
  <si>
    <t>{{eq:EQ-028:current_year:special_reserve}}</t>
  </si>
  <si>
    <t>{{eq:EQ-028:current_year:surplus_reserve}}</t>
  </si>
  <si>
    <t>{{eq:EQ-028:current_year:general_risk_reserve}}</t>
  </si>
  <si>
    <t>{{eq:EQ-028:current_year:retained_earnings}}</t>
  </si>
  <si>
    <t>{{eq:EQ-028:current_year:minority_interest}}</t>
  </si>
  <si>
    <t>{{eq:EQ-028:prior_year:share_capital}}</t>
  </si>
  <si>
    <t>{{eq:EQ-028:prior_year:other_equity_instrument}}</t>
  </si>
  <si>
    <t>{{eq:EQ-028:prior_year:capital_reserve}}</t>
  </si>
  <si>
    <t>{{eq:EQ-028:prior_year:treasury_stock}}</t>
  </si>
  <si>
    <t>{{eq:EQ-028:prior_year:other_comprehensive_income}}</t>
  </si>
  <si>
    <t>{{eq:EQ-028:prior_year:special_reserve}}</t>
  </si>
  <si>
    <t>{{eq:EQ-028:prior_year:surplus_reserve}}</t>
  </si>
  <si>
    <t>{{eq:EQ-028:prior_year:general_risk_reserve}}</t>
  </si>
  <si>
    <t>{{eq:EQ-028:prior_year:retained_earnings}}</t>
  </si>
  <si>
    <t>{{eq:EQ-028:prior_year:minority_interest}}</t>
  </si>
  <si>
    <t xml:space="preserve">           3.弥补亏损</t>
  </si>
  <si>
    <t>{{eq:EQ-029:current_year:share_capital}}</t>
  </si>
  <si>
    <t>{{eq:EQ-029:current_year:other_equity_instrument}}</t>
  </si>
  <si>
    <t>{{eq:EQ-029:current_year:capital_reserve}}</t>
  </si>
  <si>
    <t>{{eq:EQ-029:current_year:treasury_stock}}</t>
  </si>
  <si>
    <t>{{eq:EQ-029:current_year:other_comprehensive_income}}</t>
  </si>
  <si>
    <t>{{eq:EQ-029:current_year:special_reserve}}</t>
  </si>
  <si>
    <t>{{eq:EQ-029:current_year:surplus_reserve}}</t>
  </si>
  <si>
    <t>{{eq:EQ-029:current_year:general_risk_reserve}}</t>
  </si>
  <si>
    <t>{{eq:EQ-029:current_year:retained_earnings}}</t>
  </si>
  <si>
    <t>{{eq:EQ-029:current_year:minority_interest}}</t>
  </si>
  <si>
    <t>{{eq:EQ-029:prior_year:share_capital}}</t>
  </si>
  <si>
    <t>{{eq:EQ-029:prior_year:other_equity_instrument}}</t>
  </si>
  <si>
    <t>{{eq:EQ-029:prior_year:capital_reserve}}</t>
  </si>
  <si>
    <t>{{eq:EQ-029:prior_year:treasury_stock}}</t>
  </si>
  <si>
    <t>{{eq:EQ-029:prior_year:other_comprehensive_income}}</t>
  </si>
  <si>
    <t>{{eq:EQ-029:prior_year:special_reserve}}</t>
  </si>
  <si>
    <t>{{eq:EQ-029:prior_year:surplus_reserve}}</t>
  </si>
  <si>
    <t>{{eq:EQ-029:prior_year:general_risk_reserve}}</t>
  </si>
  <si>
    <t>{{eq:EQ-029:prior_year:retained_earnings}}</t>
  </si>
  <si>
    <t>{{eq:EQ-029:prior_year:minority_interest}}</t>
  </si>
  <si>
    <t xml:space="preserve">           4. 设定受益计划变动额结转留存收益</t>
  </si>
  <si>
    <t>{{eq:EQ-030:current_year:share_capital}}</t>
  </si>
  <si>
    <t>{{eq:EQ-030:current_year:other_equity_instrument}}</t>
  </si>
  <si>
    <t>{{eq:EQ-030:current_year:capital_reserve}}</t>
  </si>
  <si>
    <t>{{eq:EQ-030:current_year:treasury_stock}}</t>
  </si>
  <si>
    <t>{{eq:EQ-030:current_year:other_comprehensive_income}}</t>
  </si>
  <si>
    <t>{{eq:EQ-030:current_year:special_reserve}}</t>
  </si>
  <si>
    <t>{{eq:EQ-030:current_year:surplus_reserve}}</t>
  </si>
  <si>
    <t>{{eq:EQ-030:current_year:general_risk_reserve}}</t>
  </si>
  <si>
    <t>{{eq:EQ-030:current_year:retained_earnings}}</t>
  </si>
  <si>
    <t>{{eq:EQ-030:current_year:minority_interest}}</t>
  </si>
  <si>
    <t>{{eq:EQ-030:prior_year:share_capital}}</t>
  </si>
  <si>
    <t>{{eq:EQ-030:prior_year:other_equity_instrument}}</t>
  </si>
  <si>
    <t>{{eq:EQ-030:prior_year:capital_reserve}}</t>
  </si>
  <si>
    <t>{{eq:EQ-030:prior_year:treasury_stock}}</t>
  </si>
  <si>
    <t>{{eq:EQ-030:prior_year:other_comprehensive_income}}</t>
  </si>
  <si>
    <t>{{eq:EQ-030:prior_year:special_reserve}}</t>
  </si>
  <si>
    <t>{{eq:EQ-030:prior_year:surplus_reserve}}</t>
  </si>
  <si>
    <t>{{eq:EQ-030:prior_year:general_risk_reserve}}</t>
  </si>
  <si>
    <t>{{eq:EQ-030:prior_year:retained_earnings}}</t>
  </si>
  <si>
    <t>{{eq:EQ-030:prior_year:minority_interest}}</t>
  </si>
  <si>
    <t xml:space="preserve">           5.其他综合收益结转留存收益</t>
  </si>
  <si>
    <t>{{eq:EQ-031:current_year:share_capital}}</t>
  </si>
  <si>
    <t>{{eq:EQ-031:current_year:other_equity_instrument}}</t>
  </si>
  <si>
    <t>{{eq:EQ-031:current_year:capital_reserve}}</t>
  </si>
  <si>
    <t>{{eq:EQ-031:current_year:treasury_stock}}</t>
  </si>
  <si>
    <t>{{eq:EQ-031:current_year:other_comprehensive_income}}</t>
  </si>
  <si>
    <t>{{eq:EQ-031:current_year:special_reserve}}</t>
  </si>
  <si>
    <t>{{eq:EQ-031:current_year:surplus_reserve}}</t>
  </si>
  <si>
    <t>{{eq:EQ-031:current_year:general_risk_reserve}}</t>
  </si>
  <si>
    <t>{{eq:EQ-031:current_year:retained_earnings}}</t>
  </si>
  <si>
    <t>{{eq:EQ-031:current_year:minority_interest}}</t>
  </si>
  <si>
    <t>{{eq:EQ-031:prior_year:share_capital}}</t>
  </si>
  <si>
    <t>{{eq:EQ-031:prior_year:other_equity_instrument}}</t>
  </si>
  <si>
    <t>{{eq:EQ-031:prior_year:capital_reserve}}</t>
  </si>
  <si>
    <t>{{eq:EQ-031:prior_year:treasury_stock}}</t>
  </si>
  <si>
    <t>{{eq:EQ-031:prior_year:other_comprehensive_income}}</t>
  </si>
  <si>
    <t>{{eq:EQ-031:prior_year:special_reserve}}</t>
  </si>
  <si>
    <t>{{eq:EQ-031:prior_year:surplus_reserve}}</t>
  </si>
  <si>
    <t>{{eq:EQ-031:prior_year:general_risk_reserve}}</t>
  </si>
  <si>
    <t>{{eq:EQ-031:prior_year:retained_earnings}}</t>
  </si>
  <si>
    <t>{{eq:EQ-031:prior_year:minority_interest}}</t>
  </si>
  <si>
    <t xml:space="preserve">           6.其他</t>
  </si>
  <si>
    <t>{{eq:EQ-032:current_year:share_capital}}</t>
  </si>
  <si>
    <t>{{eq:EQ-032:current_year:other_equity_instrument}}</t>
  </si>
  <si>
    <t>{{eq:EQ-032:current_year:capital_reserve}}</t>
  </si>
  <si>
    <t>{{eq:EQ-032:current_year:treasury_stock}}</t>
  </si>
  <si>
    <t>{{eq:EQ-032:current_year:other_comprehensive_income}}</t>
  </si>
  <si>
    <t>{{eq:EQ-032:current_year:special_reserve}}</t>
  </si>
  <si>
    <t>{{eq:EQ-032:current_year:surplus_reserve}}</t>
  </si>
  <si>
    <t>{{eq:EQ-032:current_year:general_risk_reserve}}</t>
  </si>
  <si>
    <t>{{eq:EQ-032:current_year:retained_earnings}}</t>
  </si>
  <si>
    <t>{{eq:EQ-032:current_year:minority_interest}}</t>
  </si>
  <si>
    <t>{{eq:EQ-032:prior_year:share_capital}}</t>
  </si>
  <si>
    <t>{{eq:EQ-032:prior_year:other_equity_instrument}}</t>
  </si>
  <si>
    <t>{{eq:EQ-032:prior_year:capital_reserve}}</t>
  </si>
  <si>
    <t>{{eq:EQ-032:prior_year:treasury_stock}}</t>
  </si>
  <si>
    <t>{{eq:EQ-032:prior_year:other_comprehensive_income}}</t>
  </si>
  <si>
    <t>{{eq:EQ-032:prior_year:special_reserve}}</t>
  </si>
  <si>
    <t>{{eq:EQ-032:prior_year:surplus_reserve}}</t>
  </si>
  <si>
    <t>{{eq:EQ-032:prior_year:general_risk_reserve}}</t>
  </si>
  <si>
    <t>{{eq:EQ-032:prior_year:retained_earnings}}</t>
  </si>
  <si>
    <t>{{eq:EQ-032:prior_year:minority_interest}}</t>
  </si>
  <si>
    <t>四、本年年末余额</t>
  </si>
  <si>
    <t>企业负责人：</t>
  </si>
  <si>
    <t>主管会计工作负责人：</t>
  </si>
  <si>
    <t>会计机构负责人：</t>
  </si>
  <si>
    <t>注：带#为外商投资企业专用，加△项目为金融类企业专用。</t>
  </si>
  <si>
    <t>（1）本表反映企业所有者权益的各组成部分本年年初和上年年初调整及本年和上年增减变动的情况，不仅包括所有者权益总量的增减变动，还包括所有者权益增减变动的重要结构性信息。“少数股东权益”栏目用于反映合并报表中少数股东权益变动的情况。</t>
  </si>
  <si>
    <t>（2）其他:反映企业本年和上年同一控制下企业合并、清产核资、执行新金融工具准则等影响的金额。</t>
  </si>
  <si>
    <t>公司所有者权益变动表</t>
  </si>
  <si>
    <t>公司所有者权益变动表(续)</t>
  </si>
  <si>
    <t>△一般风险
准备</t>
  </si>
  <si>
    <t>{{eq:EQ-001:current_year:perpetual_bond}}</t>
  </si>
  <si>
    <t>{{eq:EQ-001:prior_year:perpetual_bond}}</t>
  </si>
  <si>
    <t xml:space="preserve">         加：会计政策变更</t>
  </si>
  <si>
    <t>{{eq:EQ-002:current_year:perpetual_bond}}</t>
  </si>
  <si>
    <t>{{eq:EQ-002:prior_year:perpetual_bond}}</t>
  </si>
  <si>
    <t xml:space="preserve">                   前期差错更正</t>
  </si>
  <si>
    <t>{{eq:EQ-003:current_year:perpetual_bond}}</t>
  </si>
  <si>
    <t>{{eq:EQ-003:prior_year:perpetual_bond}}</t>
  </si>
  <si>
    <t xml:space="preserve">                   其他</t>
  </si>
  <si>
    <t>{{eq:EQ-004:current_year:perpetual_bond}}</t>
  </si>
  <si>
    <t>{{eq:EQ-004:prior_year:perpetual_bond}}</t>
  </si>
  <si>
    <t xml:space="preserve">      （一）综合收益总额</t>
  </si>
  <si>
    <t>{{eq:EQ-007:current_year:perpetual_bond}}</t>
  </si>
  <si>
    <t>{{eq:EQ-007:prior_year:perpetual_bond}}</t>
  </si>
  <si>
    <t xml:space="preserve">      （二）所有者投入和减少资本</t>
  </si>
  <si>
    <t xml:space="preserve">               1.所有者投入的普通股</t>
  </si>
  <si>
    <t>{{eq:EQ-009:current_year:perpetual_bond}}</t>
  </si>
  <si>
    <t>{{eq:EQ-009:prior_year:perpetual_bond}}</t>
  </si>
  <si>
    <t xml:space="preserve">               2.其他权益工具持有者投入资本</t>
  </si>
  <si>
    <t>{{eq:EQ-010:current_year:perpetual_bond}}</t>
  </si>
  <si>
    <t>{{eq:EQ-010:prior_year:perpetual_bond}}</t>
  </si>
  <si>
    <t xml:space="preserve">               3.股份支付计入所有者权益的金额</t>
  </si>
  <si>
    <t>{{eq:EQ-011:current_year:perpetual_bond}}</t>
  </si>
  <si>
    <t>{{eq:EQ-011:prior_year:perpetual_bond}}</t>
  </si>
  <si>
    <t xml:space="preserve">               4.其他</t>
  </si>
  <si>
    <t>{{eq:EQ-012:current_year:perpetual_bond}}</t>
  </si>
  <si>
    <t>{{eq:EQ-012:prior_year:perpetual_bond}}</t>
  </si>
  <si>
    <t xml:space="preserve">     （三）专项储备提取和使用</t>
  </si>
  <si>
    <t xml:space="preserve">               1.提取专项储备</t>
  </si>
  <si>
    <t>{{eq:EQ-014:current_year:perpetual_bond}}</t>
  </si>
  <si>
    <t>{{eq:EQ-014:prior_year:perpetual_bond}}</t>
  </si>
  <si>
    <t xml:space="preserve">               2.使用专项储备</t>
  </si>
  <si>
    <t>{{eq:EQ-015:current_year:perpetual_bond}}</t>
  </si>
  <si>
    <t>{{eq:EQ-015:prior_year:perpetual_bond}}</t>
  </si>
  <si>
    <t xml:space="preserve">     （四）利润分配</t>
  </si>
  <si>
    <t xml:space="preserve">               1.提取盈余公积</t>
  </si>
  <si>
    <t>{{eq:EQ-017:current_year:perpetual_bond}}</t>
  </si>
  <si>
    <t>{{eq:EQ-017:prior_year:perpetual_bond}}</t>
  </si>
  <si>
    <t xml:space="preserve">                      其中：法定公积金</t>
  </si>
  <si>
    <t>{{eq:EQ-018:current_year:perpetual_bond}}</t>
  </si>
  <si>
    <t>{{eq:EQ-018:prior_year:perpetual_bond}}</t>
  </si>
  <si>
    <t xml:space="preserve">                              任意公积金</t>
  </si>
  <si>
    <t>{{eq:EQ-019:current_year:perpetual_bond}}</t>
  </si>
  <si>
    <t>{{eq:EQ-019:prior_year:perpetual_bond}}</t>
  </si>
  <si>
    <t>{{eq:EQ-020:current_year:perpetual_bond}}</t>
  </si>
  <si>
    <t>{{eq:EQ-020:prior_year:perpetual_bond}}</t>
  </si>
  <si>
    <t>　　       　　  　      #企业发展基金</t>
  </si>
  <si>
    <t>{{eq:EQ-021:current_year:perpetual_bond}}</t>
  </si>
  <si>
    <t>{{eq:EQ-021:prior_year:perpetual_bond}}</t>
  </si>
  <si>
    <t>　　　　                   #利润归还投资</t>
  </si>
  <si>
    <t>{{eq:EQ-022:current_year:perpetual_bond}}</t>
  </si>
  <si>
    <t>{{eq:EQ-022:prior_year:perpetual_bond}}</t>
  </si>
  <si>
    <t xml:space="preserve">          △ 2.提取一般风险准备</t>
  </si>
  <si>
    <t>{{eq:EQ-023:current_year:perpetual_bond}}</t>
  </si>
  <si>
    <t>{{eq:EQ-023:prior_year:perpetual_bond}}</t>
  </si>
  <si>
    <t xml:space="preserve">               3.对所有者（或股东）的分配</t>
  </si>
  <si>
    <t>{{eq:EQ-024:current_year:perpetual_bond}}</t>
  </si>
  <si>
    <t>{{eq:EQ-024:prior_year:perpetual_bond}}</t>
  </si>
  <si>
    <t xml:space="preserve">      （五）所有者权益内部结转</t>
  </si>
  <si>
    <t xml:space="preserve">               1.资本公积转增资本（或股本）</t>
  </si>
  <si>
    <t>{{eq:EQ-027:current_year:perpetual_bond}}</t>
  </si>
  <si>
    <t>{{eq:EQ-027:prior_year:perpetual_bond}}</t>
  </si>
  <si>
    <t xml:space="preserve">               2.盈余公积转增资本（或股本）</t>
  </si>
  <si>
    <t>{{eq:EQ-028:current_year:perpetual_bond}}</t>
  </si>
  <si>
    <t>{{eq:EQ-028:prior_year:perpetual_bond}}</t>
  </si>
  <si>
    <t xml:space="preserve">               3.弥补亏损</t>
  </si>
  <si>
    <t>{{eq:EQ-029:current_year:perpetual_bond}}</t>
  </si>
  <si>
    <t>{{eq:EQ-029:prior_year:perpetual_bond}}</t>
  </si>
  <si>
    <t xml:space="preserve">               4. 设定受益计划变动额结转留存收益</t>
  </si>
  <si>
    <t>{{eq:EQ-030:current_year:perpetual_bond}}</t>
  </si>
  <si>
    <t>{{eq:EQ-030:prior_year:perpetual_bond}}</t>
  </si>
  <si>
    <t xml:space="preserve">               5.其他综合收益结转留存收益</t>
  </si>
  <si>
    <t>{{eq:EQ-031:current_year:perpetual_bond}}</t>
  </si>
  <si>
    <t>{{eq:EQ-031:prior_year:perpetual_bond}}</t>
  </si>
  <si>
    <t xml:space="preserve">               6.其他</t>
  </si>
  <si>
    <t>{{eq:EQ-032:current_year:perpetual_bond}}</t>
  </si>
  <si>
    <t>{{eq:EQ-032:prior_year:perpetual_bond}}</t>
  </si>
  <si>
    <t>注：带#为外商投资企业专用，加△楷体项目为金融类企业专用。</t>
  </si>
  <si>
    <t>合并资产减值准备情况表</t>
  </si>
  <si>
    <t>{{audit_year}}年12月31日</t>
  </si>
  <si>
    <t>项       目</t>
  </si>
  <si>
    <t>年初账面余额</t>
  </si>
  <si>
    <t>本期增加额</t>
  </si>
  <si>
    <t>本期减少额</t>
  </si>
  <si>
    <t>期末账面余额</t>
  </si>
  <si>
    <t>本期计提额</t>
  </si>
  <si>
    <t>合并增加额</t>
  </si>
  <si>
    <t>其他原因增加额</t>
  </si>
  <si>
    <t>合计</t>
  </si>
  <si>
    <t>资产价值回升转回额</t>
  </si>
  <si>
    <t>转销额</t>
  </si>
  <si>
    <t>合并减少额</t>
  </si>
  <si>
    <t>其他原因减少额</t>
  </si>
  <si>
    <t>栏       次</t>
  </si>
  <si>
    <t>一、坏账准备</t>
  </si>
  <si>
    <t>{{imp:IMP-001:opening_balance}}</t>
  </si>
  <si>
    <t>{{imp:IMP-001:provision}}</t>
  </si>
  <si>
    <t>{{imp:IMP-001:merge_increase}}</t>
  </si>
  <si>
    <t>{{imp:IMP-001:other_increase}}</t>
  </si>
  <si>
    <t>{{imp:IMP-001:reversal}}</t>
  </si>
  <si>
    <t>{{imp:IMP-001:write_off}}</t>
  </si>
  <si>
    <t>{{imp:IMP-001:merge_decrease}}</t>
  </si>
  <si>
    <t>{{imp:IMP-001:other_decrease}}</t>
  </si>
  <si>
    <t xml:space="preserve">  其中：应收账款坏账准备</t>
  </si>
  <si>
    <t>{{imp:IMP-002:opening_balance}}</t>
  </si>
  <si>
    <t>{{imp:IMP-002:provision}}</t>
  </si>
  <si>
    <t>{{imp:IMP-002:merge_increase}}</t>
  </si>
  <si>
    <t>{{imp:IMP-002:other_increase}}</t>
  </si>
  <si>
    <t>{{imp:IMP-002:subtotal_increase}}</t>
  </si>
  <si>
    <t>{{imp:IMP-002:reversal}}</t>
  </si>
  <si>
    <t>{{imp:IMP-002:write_off}}</t>
  </si>
  <si>
    <t>{{imp:IMP-002:merge_decrease}}</t>
  </si>
  <si>
    <t>{{imp:IMP-002:other_decrease}}</t>
  </si>
  <si>
    <t>{{imp:IMP-002:subtotal_decrease}}</t>
  </si>
  <si>
    <t>{{imp:IMP-002:closing_balance}}</t>
  </si>
  <si>
    <t>二、存货跌价准备</t>
  </si>
  <si>
    <t>{{imp:IMP-003:opening_balance}}</t>
  </si>
  <si>
    <t>{{imp:IMP-003:provision}}</t>
  </si>
  <si>
    <t>{{imp:IMP-003:merge_increase}}</t>
  </si>
  <si>
    <t>{{imp:IMP-003:other_increase}}</t>
  </si>
  <si>
    <t>{{imp:IMP-003:reversal}}</t>
  </si>
  <si>
    <t>{{imp:IMP-003:write_off}}</t>
  </si>
  <si>
    <t>{{imp:IMP-003:merge_decrease}}</t>
  </si>
  <si>
    <t>{{imp:IMP-003:other_decrease}}</t>
  </si>
  <si>
    <t>三、合同资产减值准备</t>
  </si>
  <si>
    <t>{{imp:IMP-004:opening_balance}}</t>
  </si>
  <si>
    <t>{{imp:IMP-004:provision}}</t>
  </si>
  <si>
    <t>{{imp:IMP-004:merge_increase}}</t>
  </si>
  <si>
    <t>{{imp:IMP-004:other_increase}}</t>
  </si>
  <si>
    <t>{{imp:IMP-004:reversal}}</t>
  </si>
  <si>
    <t>{{imp:IMP-004:write_off}}</t>
  </si>
  <si>
    <t>{{imp:IMP-004:merge_decrease}}</t>
  </si>
  <si>
    <t>{{imp:IMP-004:other_decrease}}</t>
  </si>
  <si>
    <t>四、合同取得成本减值准备</t>
  </si>
  <si>
    <t>{{imp:IMP-005:opening_balance}}</t>
  </si>
  <si>
    <t>{{imp:IMP-005:provision}}</t>
  </si>
  <si>
    <t>{{imp:IMP-005:merge_increase}}</t>
  </si>
  <si>
    <t>{{imp:IMP-005:other_increase}}</t>
  </si>
  <si>
    <t>{{imp:IMP-005:reversal}}</t>
  </si>
  <si>
    <t>{{imp:IMP-005:write_off}}</t>
  </si>
  <si>
    <t>{{imp:IMP-005:merge_decrease}}</t>
  </si>
  <si>
    <t>{{imp:IMP-005:other_decrease}}</t>
  </si>
  <si>
    <t>五、合同履约成本减值准备</t>
  </si>
  <si>
    <t>{{imp:IMP-006:opening_balance}}</t>
  </si>
  <si>
    <t>{{imp:IMP-006:provision}}</t>
  </si>
  <si>
    <t>{{imp:IMP-006:merge_increase}}</t>
  </si>
  <si>
    <t>{{imp:IMP-006:other_increase}}</t>
  </si>
  <si>
    <t>{{imp:IMP-006:reversal}}</t>
  </si>
  <si>
    <t>{{imp:IMP-006:write_off}}</t>
  </si>
  <si>
    <t>{{imp:IMP-006:merge_decrease}}</t>
  </si>
  <si>
    <t>{{imp:IMP-006:other_decrease}}</t>
  </si>
  <si>
    <t>六、持有待售资产减值准备</t>
  </si>
  <si>
    <t>{{imp:IMP-007:opening_balance}}</t>
  </si>
  <si>
    <t>{{imp:IMP-007:provision}}</t>
  </si>
  <si>
    <t>{{imp:IMP-007:merge_increase}}</t>
  </si>
  <si>
    <t>{{imp:IMP-007:other_increase}}</t>
  </si>
  <si>
    <t>{{imp:IMP-007:reversal}}</t>
  </si>
  <si>
    <t>{{imp:IMP-007:write_off}}</t>
  </si>
  <si>
    <t>{{imp:IMP-007:merge_decrease}}</t>
  </si>
  <si>
    <t>{{imp:IMP-007:other_decrease}}</t>
  </si>
  <si>
    <t>七、债权投资减值准备</t>
  </si>
  <si>
    <t>{{imp:IMP-008:opening_balance}}</t>
  </si>
  <si>
    <t>{{imp:IMP-008:provision}}</t>
  </si>
  <si>
    <t>{{imp:IMP-008:merge_increase}}</t>
  </si>
  <si>
    <t>{{imp:IMP-008:other_increase}}</t>
  </si>
  <si>
    <t>{{imp:IMP-008:reversal}}</t>
  </si>
  <si>
    <t>{{imp:IMP-008:write_off}}</t>
  </si>
  <si>
    <t>{{imp:IMP-008:merge_decrease}}</t>
  </si>
  <si>
    <t>{{imp:IMP-008:other_decrease}}</t>
  </si>
  <si>
    <t>八、长期股权投资减值准备</t>
  </si>
  <si>
    <t>{{imp:IMP-009:opening_balance}}</t>
  </si>
  <si>
    <t>{{imp:IMP-009:provision}}</t>
  </si>
  <si>
    <t>{{imp:IMP-009:merge_increase}}</t>
  </si>
  <si>
    <t>{{imp:IMP-009:other_increase}}</t>
  </si>
  <si>
    <t>{{imp:IMP-009:reversal}}</t>
  </si>
  <si>
    <t>{{imp:IMP-009:write_off}}</t>
  </si>
  <si>
    <t>{{imp:IMP-009:merge_decrease}}</t>
  </si>
  <si>
    <t>{{imp:IMP-009:other_decrease}}</t>
  </si>
  <si>
    <t>九、投资性房地产减值准备</t>
  </si>
  <si>
    <t>{{imp:IMP-010:opening_balance}}</t>
  </si>
  <si>
    <t>{{imp:IMP-010:provision}}</t>
  </si>
  <si>
    <t>{{imp:IMP-010:merge_increase}}</t>
  </si>
  <si>
    <t>{{imp:IMP-010:other_increase}}</t>
  </si>
  <si>
    <t>{{imp:IMP-010:reversal}}</t>
  </si>
  <si>
    <t>{{imp:IMP-010:write_off}}</t>
  </si>
  <si>
    <t>{{imp:IMP-010:merge_decrease}}</t>
  </si>
  <si>
    <t>{{imp:IMP-010:other_decrease}}</t>
  </si>
  <si>
    <t>十、固定资产减值准备</t>
  </si>
  <si>
    <t>{{imp:IMP-011:opening_balance}}</t>
  </si>
  <si>
    <t>{{imp:IMP-011:provision}}</t>
  </si>
  <si>
    <t>{{imp:IMP-011:merge_increase}}</t>
  </si>
  <si>
    <t>{{imp:IMP-011:other_increase}}</t>
  </si>
  <si>
    <t>{{imp:IMP-011:reversal}}</t>
  </si>
  <si>
    <t>{{imp:IMP-011:write_off}}</t>
  </si>
  <si>
    <t>{{imp:IMP-011:merge_decrease}}</t>
  </si>
  <si>
    <t>{{imp:IMP-011:other_decrease}}</t>
  </si>
  <si>
    <t>十一、在建工程减值准备</t>
  </si>
  <si>
    <t>{{imp:IMP-012:opening_balance}}</t>
  </si>
  <si>
    <t>{{imp:IMP-012:provision}}</t>
  </si>
  <si>
    <t>{{imp:IMP-012:merge_increase}}</t>
  </si>
  <si>
    <t>{{imp:IMP-012:other_increase}}</t>
  </si>
  <si>
    <t>{{imp:IMP-012:reversal}}</t>
  </si>
  <si>
    <t>{{imp:IMP-012:write_off}}</t>
  </si>
  <si>
    <t>{{imp:IMP-012:merge_decrease}}</t>
  </si>
  <si>
    <t>{{imp:IMP-012:other_decrease}}</t>
  </si>
  <si>
    <t>十二、生产性生物资产减值准备</t>
  </si>
  <si>
    <t>{{imp:IMP-013:opening_balance}}</t>
  </si>
  <si>
    <t>{{imp:IMP-013:provision}}</t>
  </si>
  <si>
    <t>{{imp:IMP-013:merge_increase}}</t>
  </si>
  <si>
    <t>{{imp:IMP-013:other_increase}}</t>
  </si>
  <si>
    <t>{{imp:IMP-013:reversal}}</t>
  </si>
  <si>
    <t>{{imp:IMP-013:write_off}}</t>
  </si>
  <si>
    <t>{{imp:IMP-013:merge_decrease}}</t>
  </si>
  <si>
    <t>{{imp:IMP-013:other_decrease}}</t>
  </si>
  <si>
    <t>{{imp:IMP-013:closing_balance}}</t>
  </si>
  <si>
    <t>十三、油气资产减值准备</t>
  </si>
  <si>
    <t>{{imp:IMP-014:opening_balance}}</t>
  </si>
  <si>
    <t>{{imp:IMP-014:provision}}</t>
  </si>
  <si>
    <t>{{imp:IMP-014:merge_increase}}</t>
  </si>
  <si>
    <t>{{imp:IMP-014:other_increase}}</t>
  </si>
  <si>
    <t>{{imp:IMP-014:reversal}}</t>
  </si>
  <si>
    <t>{{imp:IMP-014:write_off}}</t>
  </si>
  <si>
    <t>{{imp:IMP-014:merge_decrease}}</t>
  </si>
  <si>
    <t>{{imp:IMP-014:other_decrease}}</t>
  </si>
  <si>
    <t>十四、使用权资产减值准备</t>
  </si>
  <si>
    <t>{{imp:IMP-015:opening_balance}}</t>
  </si>
  <si>
    <t>{{imp:IMP-015:provision}}</t>
  </si>
  <si>
    <t>{{imp:IMP-015:merge_increase}}</t>
  </si>
  <si>
    <t>{{imp:IMP-015:other_increase}}</t>
  </si>
  <si>
    <t>{{imp:IMP-015:reversal}}</t>
  </si>
  <si>
    <t>{{imp:IMP-015:write_off}}</t>
  </si>
  <si>
    <t>{{imp:IMP-015:merge_decrease}}</t>
  </si>
  <si>
    <t>{{imp:IMP-015:other_decrease}}</t>
  </si>
  <si>
    <t>十五、无形资产减值准备</t>
  </si>
  <si>
    <t>{{imp:IMP-016:opening_balance}}</t>
  </si>
  <si>
    <t>{{imp:IMP-016:provision}}</t>
  </si>
  <si>
    <t>{{imp:IMP-016:merge_increase}}</t>
  </si>
  <si>
    <t>{{imp:IMP-016:other_increase}}</t>
  </si>
  <si>
    <t>{{imp:IMP-016:reversal}}</t>
  </si>
  <si>
    <t>{{imp:IMP-016:write_off}}</t>
  </si>
  <si>
    <t>{{imp:IMP-016:merge_decrease}}</t>
  </si>
  <si>
    <t>{{imp:IMP-016:other_decrease}}</t>
  </si>
  <si>
    <t>十六、商誉减值准备</t>
  </si>
  <si>
    <t>{{imp:IMP-017:opening_balance}}</t>
  </si>
  <si>
    <t>{{imp:IMP-017:provision}}</t>
  </si>
  <si>
    <t>{{imp:IMP-017:merge_increase}}</t>
  </si>
  <si>
    <t>{{imp:IMP-017:other_increase}}</t>
  </si>
  <si>
    <t>{{imp:IMP-017:reversal}}</t>
  </si>
  <si>
    <t>{{imp:IMP-017:write_off}}</t>
  </si>
  <si>
    <t>{{imp:IMP-017:merge_decrease}}</t>
  </si>
  <si>
    <t>{{imp:IMP-017:other_decrease}}</t>
  </si>
  <si>
    <t>十七、其他减值准备</t>
  </si>
  <si>
    <t>{{imp:IMP-018:opening_balance}}</t>
  </si>
  <si>
    <t>{{imp:IMP-018:provision}}</t>
  </si>
  <si>
    <t>{{imp:IMP-018:merge_increase}}</t>
  </si>
  <si>
    <t>{{imp:IMP-018:other_increase}}</t>
  </si>
  <si>
    <t>{{imp:IMP-018:reversal}}</t>
  </si>
  <si>
    <t>{{imp:IMP-018:write_off}}</t>
  </si>
  <si>
    <t>{{imp:IMP-018:merge_decrease}}</t>
  </si>
  <si>
    <t>{{imp:IMP-018:other_decrease}}</t>
  </si>
  <si>
    <t>合   计</t>
  </si>
  <si>
    <t>企业负责人：                                                  主管会计工作负责人：                                                           会计机构负责人：</t>
  </si>
  <si>
    <t>公司资产减值准备情况表</t>
  </si>
  <si>
    <t>因资产价值回升转回额</t>
  </si>
  <si>
    <t>{{imp:IMP-014:subtotal_increase}}</t>
  </si>
  <si>
    <t>{{imp:IMP-014:subtotal_decrease}}</t>
  </si>
  <si>
    <t>{{imp:IMP-014:closing_balance}}</t>
  </si>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</sst>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5">
    <font>
      <sz val="12"/>
      <name val="宋体"/>
      <charset val="134"/>
    </font>
    <font>
      <sz val="12"/>
      <name val="仿宋_GB2312"/>
      <charset val="134"/>
    </font>
    <font>
      <sz val="10"/>
      <name val="仿宋_GB2312"/>
      <charset val="134"/>
    </font>
    <font>
      <b/>
      <sz val="16"/>
      <name val="仿宋_GB2312"/>
      <charset val="134"/>
    </font>
    <font>
      <sz val="12"/>
      <name val="Arial Narrow"/>
      <charset val="134"/>
    </font>
    <font>
      <sz val="10"/>
      <name val="Arial Narrow"/>
      <charset val="134"/>
    </font>
    <font>
      <b/>
      <sz val="10"/>
      <color indexed="8"/>
      <name val="仿宋_GB2312"/>
      <charset val="134"/>
    </font>
    <font>
      <sz val="10"/>
      <color indexed="8"/>
      <name val="Arial Narrow"/>
      <charset val="134"/>
    </font>
    <font>
      <b/>
      <sz val="12"/>
      <name val="仿宋_GB2312"/>
      <charset val="134"/>
    </font>
    <font>
      <b/>
      <sz val="10"/>
      <name val="宋体"/>
      <charset val="134"/>
    </font>
    <font>
      <sz val="10"/>
      <name val="宋体"/>
      <charset val="134"/>
    </font>
    <font>
      <b/>
      <sz val="10"/>
      <name val="仿宋_GB2312"/>
      <charset val="134"/>
    </font>
    <font>
      <b/>
      <sz val="10"/>
      <name val="Arial Narrow"/>
      <charset val="134"/>
    </font>
    <font>
      <b/>
      <sz val="9"/>
      <name val="Arial Narrow"/>
      <charset val="134"/>
    </font>
    <font>
      <sz val="9"/>
      <name val="Arial Narrow"/>
      <charset val="134"/>
    </font>
    <font>
      <sz val="12"/>
      <color indexed="8"/>
      <name val="仿宋_GB2312"/>
      <charset val="134"/>
    </font>
    <font>
      <sz val="16"/>
      <name val="仿宋_GB2312"/>
      <charset val="134"/>
    </font>
    <font>
      <sz val="12"/>
      <color rgb="FF000000"/>
      <name val="Arial Narrow"/>
      <charset val="134"/>
    </font>
    <font>
      <b/>
      <sz val="12"/>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0"/>
      <name val="宋体"/>
      <charset val="134"/>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23" fillId="0" borderId="0">
      <alignment vertical="center"/>
    </xf>
    <xf numFmtId="44" fontId="23" fillId="0" borderId="0">
      <alignment vertical="center"/>
    </xf>
    <xf numFmtId="9" fontId="23" fillId="0" borderId="0">
      <alignment vertical="center"/>
    </xf>
    <xf numFmtId="41" fontId="23" fillId="0" borderId="0">
      <alignment vertical="center"/>
    </xf>
    <xf numFmtId="42" fontId="23" fillId="0" borderId="0">
      <alignment vertical="center"/>
    </xf>
    <xf numFmtId="0" fontId="24" fillId="0" borderId="0">
      <alignment vertical="center"/>
    </xf>
    <xf numFmtId="0" fontId="25" fillId="0" borderId="0">
      <alignment vertical="center"/>
    </xf>
    <xf numFmtId="0" fontId="23" fillId="3" borderId="16">
      <alignment vertical="center"/>
    </xf>
    <xf numFmtId="0" fontId="26" fillId="0" borderId="0">
      <alignment vertical="center"/>
    </xf>
    <xf numFmtId="0" fontId="27" fillId="0" borderId="0">
      <alignment vertical="center"/>
    </xf>
    <xf numFmtId="0" fontId="28" fillId="0" borderId="0">
      <alignment vertical="center"/>
    </xf>
    <xf numFmtId="0" fontId="29" fillId="0" borderId="17">
      <alignment vertical="center"/>
    </xf>
    <xf numFmtId="0" fontId="30" fillId="0" borderId="17">
      <alignment vertical="center"/>
    </xf>
    <xf numFmtId="0" fontId="31" fillId="0" borderId="18">
      <alignment vertical="center"/>
    </xf>
    <xf numFmtId="0" fontId="31" fillId="0" borderId="0">
      <alignment vertical="center"/>
    </xf>
    <xf numFmtId="0" fontId="32" fillId="4" borderId="19">
      <alignment vertical="center"/>
    </xf>
    <xf numFmtId="0" fontId="33" fillId="5" borderId="20">
      <alignment vertical="center"/>
    </xf>
    <xf numFmtId="0" fontId="34" fillId="5" borderId="19">
      <alignment vertical="center"/>
    </xf>
    <xf numFmtId="0" fontId="35" fillId="6" borderId="21">
      <alignment vertical="center"/>
    </xf>
    <xf numFmtId="0" fontId="36" fillId="0" borderId="22">
      <alignment vertical="center"/>
    </xf>
    <xf numFmtId="0" fontId="37" fillId="0" borderId="23">
      <alignment vertical="center"/>
    </xf>
    <xf numFmtId="0" fontId="38" fillId="7" borderId="0">
      <alignment vertical="center"/>
    </xf>
    <xf numFmtId="0" fontId="39" fillId="8" borderId="0">
      <alignment vertical="center"/>
    </xf>
    <xf numFmtId="0" fontId="40" fillId="9" borderId="0">
      <alignment vertical="center"/>
    </xf>
    <xf numFmtId="0" fontId="41" fillId="10" borderId="0">
      <alignment vertical="center"/>
    </xf>
    <xf numFmtId="0" fontId="42" fillId="11" borderId="0">
      <alignment vertical="center"/>
    </xf>
    <xf numFmtId="0" fontId="42" fillId="12" borderId="0">
      <alignment vertical="center"/>
    </xf>
    <xf numFmtId="0" fontId="41" fillId="13" borderId="0">
      <alignment vertical="center"/>
    </xf>
    <xf numFmtId="0" fontId="41" fillId="14" borderId="0">
      <alignment vertical="center"/>
    </xf>
    <xf numFmtId="0" fontId="42" fillId="15" borderId="0">
      <alignment vertical="center"/>
    </xf>
    <xf numFmtId="0" fontId="42" fillId="16" borderId="0">
      <alignment vertical="center"/>
    </xf>
    <xf numFmtId="0" fontId="41" fillId="17" borderId="0">
      <alignment vertical="center"/>
    </xf>
    <xf numFmtId="0" fontId="41" fillId="18" borderId="0">
      <alignment vertical="center"/>
    </xf>
    <xf numFmtId="0" fontId="42" fillId="19" borderId="0">
      <alignment vertical="center"/>
    </xf>
    <xf numFmtId="0" fontId="42" fillId="20" borderId="0">
      <alignment vertical="center"/>
    </xf>
    <xf numFmtId="0" fontId="41" fillId="21" borderId="0">
      <alignment vertical="center"/>
    </xf>
    <xf numFmtId="0" fontId="41" fillId="22" borderId="0">
      <alignment vertical="center"/>
    </xf>
    <xf numFmtId="0" fontId="42" fillId="23" borderId="0">
      <alignment vertical="center"/>
    </xf>
    <xf numFmtId="0" fontId="42" fillId="24" borderId="0">
      <alignment vertical="center"/>
    </xf>
    <xf numFmtId="0" fontId="41" fillId="25" borderId="0">
      <alignment vertical="center"/>
    </xf>
    <xf numFmtId="0" fontId="41" fillId="26" borderId="0">
      <alignment vertical="center"/>
    </xf>
    <xf numFmtId="0" fontId="42" fillId="27" borderId="0">
      <alignment vertical="center"/>
    </xf>
    <xf numFmtId="0" fontId="42" fillId="28" borderId="0">
      <alignment vertical="center"/>
    </xf>
    <xf numFmtId="0" fontId="41" fillId="29" borderId="0">
      <alignment vertical="center"/>
    </xf>
    <xf numFmtId="0" fontId="41" fillId="30" borderId="0">
      <alignment vertical="center"/>
    </xf>
    <xf numFmtId="0" fontId="42" fillId="31" borderId="0">
      <alignment vertical="center"/>
    </xf>
    <xf numFmtId="0" fontId="42" fillId="32" borderId="0">
      <alignment vertical="center"/>
    </xf>
    <xf numFmtId="0" fontId="41" fillId="33" borderId="0">
      <alignment vertical="center"/>
    </xf>
    <xf numFmtId="0" fontId="0" fillId="0" borderId="0"/>
    <xf numFmtId="0" fontId="0" fillId="0" borderId="0"/>
    <xf numFmtId="0" fontId="0" fillId="0" borderId="0">
      <alignment vertical="center"/>
    </xf>
    <xf numFmtId="0" fontId="0" fillId="0" borderId="0"/>
    <xf numFmtId="0" fontId="43" fillId="0" borderId="0"/>
  </cellStyleXfs>
  <cellXfs count="199">
    <xf numFmtId="0" fontId="0" fillId="0" borderId="0" xfId="0" applyAlignment="1">
      <alignment vertical="center"/>
    </xf>
    <xf numFmtId="0" fontId="1" fillId="0" borderId="0" xfId="52" applyAlignment="1">
      <alignment vertical="center"/>
    </xf>
    <xf numFmtId="0" fontId="2" fillId="0" borderId="0" xfId="52" applyFont="1" applyAlignment="1">
      <alignment vertical="center" wrapText="1"/>
    </xf>
    <xf numFmtId="0" fontId="2" fillId="0" borderId="0" xfId="52" applyFont="1" applyAlignment="1">
      <alignment vertical="center"/>
    </xf>
    <xf numFmtId="0" fontId="3" fillId="0" borderId="0" xfId="52" applyFont="1" applyAlignment="1">
      <alignment horizontal="center" vertical="center"/>
    </xf>
    <xf numFmtId="0" fontId="1" fillId="0" borderId="0" xfId="52" applyAlignment="1">
      <alignment horizontal="left" vertical="center"/>
    </xf>
    <xf numFmtId="49" fontId="1" fillId="0" borderId="0" xfId="52" applyNumberFormat="1" applyAlignment="1">
      <alignment horizontal="center" vertical="center"/>
    </xf>
    <xf numFmtId="49" fontId="1" fillId="0" borderId="0" xfId="52" applyNumberFormat="1" applyAlignment="1">
      <alignment vertical="center"/>
    </xf>
    <xf numFmtId="49" fontId="4" fillId="0" borderId="0" xfId="52" applyNumberFormat="1" applyAlignment="1">
      <alignment vertical="center"/>
    </xf>
    <xf numFmtId="0" fontId="1" fillId="0" borderId="0" xfId="52" applyAlignment="1">
      <alignment horizontal="right" vertical="center"/>
    </xf>
    <xf numFmtId="0" fontId="2" fillId="0" borderId="1" xfId="52" applyFont="1" applyBorder="1" applyAlignment="1">
      <alignment horizontal="center" vertical="center" wrapText="1"/>
    </xf>
    <xf numFmtId="0" fontId="2" fillId="0" borderId="2" xfId="52" applyFont="1" applyBorder="1" applyAlignment="1">
      <alignment horizontal="center" vertical="center" wrapText="1"/>
    </xf>
    <xf numFmtId="0" fontId="0" fillId="0" borderId="3" xfId="0" applyBorder="1"/>
    <xf numFmtId="0" fontId="0" fillId="0" borderId="1" xfId="0" applyBorder="1"/>
    <xf numFmtId="0" fontId="0" fillId="0" borderId="4" xfId="0" applyBorder="1"/>
    <xf numFmtId="0" fontId="0" fillId="0" borderId="5" xfId="0" applyBorder="1"/>
    <xf numFmtId="0" fontId="5" fillId="0" borderId="2" xfId="52" applyFont="1" applyBorder="1" applyAlignment="1">
      <alignment horizontal="center" vertical="center" wrapText="1"/>
    </xf>
    <xf numFmtId="0" fontId="2" fillId="0" borderId="6" xfId="52" applyFont="1" applyBorder="1" applyAlignment="1">
      <alignment vertical="center"/>
    </xf>
    <xf numFmtId="0" fontId="5" fillId="0" borderId="7" xfId="52" applyFont="1" applyBorder="1" applyAlignment="1">
      <alignment horizontal="center" vertical="center"/>
    </xf>
    <xf numFmtId="43" fontId="5" fillId="0" borderId="7" xfId="52" applyNumberFormat="1" applyFont="1" applyBorder="1" applyAlignment="1">
      <alignment vertical="center"/>
    </xf>
    <xf numFmtId="43" fontId="5" fillId="0" borderId="7" xfId="52" applyNumberFormat="1" applyFont="1" applyBorder="1" applyAlignment="1">
      <alignment horizontal="center" vertical="center"/>
    </xf>
    <xf numFmtId="0" fontId="2" fillId="0" borderId="8" xfId="52" applyFont="1" applyBorder="1" applyAlignment="1">
      <alignment vertical="center" wrapText="1"/>
    </xf>
    <xf numFmtId="0" fontId="5" fillId="0" borderId="9" xfId="52" applyFont="1" applyBorder="1" applyAlignment="1">
      <alignment horizontal="center" vertical="center"/>
    </xf>
    <xf numFmtId="43" fontId="5" fillId="0" borderId="9" xfId="52" applyNumberFormat="1" applyFont="1" applyBorder="1" applyAlignment="1">
      <alignment vertical="center"/>
    </xf>
    <xf numFmtId="43" fontId="5" fillId="0" borderId="9" xfId="52" applyNumberFormat="1" applyFont="1" applyBorder="1" applyAlignment="1">
      <alignment vertical="center" wrapText="1"/>
    </xf>
    <xf numFmtId="43" fontId="5" fillId="0" borderId="9" xfId="52" applyNumberFormat="1" applyFont="1" applyBorder="1" applyAlignment="1">
      <alignment horizontal="center" vertical="center"/>
    </xf>
    <xf numFmtId="0" fontId="2" fillId="0" borderId="8" xfId="52" applyFont="1" applyBorder="1" applyAlignment="1">
      <alignment vertical="center"/>
    </xf>
    <xf numFmtId="0" fontId="6" fillId="0" borderId="4" xfId="52" applyFont="1" applyBorder="1" applyAlignment="1">
      <alignment horizontal="center" vertical="center"/>
    </xf>
    <xf numFmtId="0" fontId="5" fillId="0" borderId="5" xfId="52" applyFont="1" applyBorder="1" applyAlignment="1">
      <alignment horizontal="center" vertical="center"/>
    </xf>
    <xf numFmtId="43" fontId="7" fillId="0" borderId="5" xfId="52" applyNumberFormat="1" applyFont="1" applyBorder="1" applyAlignment="1">
      <alignment vertical="center"/>
    </xf>
    <xf numFmtId="43" fontId="8" fillId="0" borderId="0" xfId="49" applyNumberFormat="1" applyFont="1" applyAlignment="1">
      <alignment vertical="center"/>
    </xf>
    <xf numFmtId="0" fontId="2" fillId="0" borderId="2" xfId="52" applyFont="1" applyBorder="1" applyAlignment="1">
      <alignment horizontal="center" vertical="center"/>
    </xf>
    <xf numFmtId="0" fontId="5" fillId="0" borderId="2" xfId="52" applyFont="1" applyBorder="1" applyAlignment="1">
      <alignment horizontal="center" vertical="center"/>
    </xf>
    <xf numFmtId="0" fontId="2" fillId="0" borderId="6" xfId="52" applyFont="1" applyBorder="1" applyAlignment="1">
      <alignment vertical="center" wrapText="1"/>
    </xf>
    <xf numFmtId="0" fontId="6" fillId="0" borderId="4" xfId="52" applyFont="1" applyBorder="1" applyAlignment="1">
      <alignment horizontal="center" vertical="center" wrapText="1"/>
    </xf>
    <xf numFmtId="43" fontId="5" fillId="0" borderId="5" xfId="52" applyNumberFormat="1" applyFont="1" applyBorder="1" applyAlignment="1">
      <alignment vertical="center"/>
    </xf>
    <xf numFmtId="0" fontId="2" fillId="0" borderId="0" xfId="50" applyFont="1" applyAlignment="1">
      <alignment vertical="center"/>
    </xf>
    <xf numFmtId="0" fontId="1" fillId="0" borderId="0" xfId="50" applyAlignment="1">
      <alignment vertical="center"/>
    </xf>
    <xf numFmtId="0" fontId="9" fillId="0" borderId="0" xfId="50" applyFont="1" applyAlignment="1">
      <alignment vertical="center"/>
    </xf>
    <xf numFmtId="0" fontId="10" fillId="0" borderId="0" xfId="50" applyFont="1" applyAlignment="1">
      <alignment vertical="center"/>
    </xf>
    <xf numFmtId="0" fontId="3" fillId="0" borderId="0" xfId="50" applyFont="1" applyAlignment="1">
      <alignment vertical="center"/>
    </xf>
    <xf numFmtId="0" fontId="2" fillId="0" borderId="0" xfId="50" applyFont="1" applyAlignment="1">
      <alignment horizontal="right" vertical="center"/>
    </xf>
    <xf numFmtId="0" fontId="1" fillId="0" borderId="0" xfId="50" applyAlignment="1">
      <alignment horizontal="left" vertical="center"/>
    </xf>
    <xf numFmtId="0" fontId="4" fillId="0" borderId="10" xfId="50" applyBorder="1" applyAlignment="1">
      <alignment horizontal="center" vertical="center"/>
    </xf>
    <xf numFmtId="0" fontId="0" fillId="0" borderId="10" xfId="0" applyBorder="1"/>
    <xf numFmtId="0" fontId="1" fillId="0" borderId="10" xfId="50" applyBorder="1" applyAlignment="1">
      <alignment horizontal="center" vertical="center"/>
    </xf>
    <xf numFmtId="0" fontId="2" fillId="0" borderId="1" xfId="50" applyFont="1" applyBorder="1" applyAlignment="1">
      <alignment horizontal="center" vertical="center" wrapText="1"/>
    </xf>
    <xf numFmtId="0" fontId="2" fillId="0" borderId="2" xfId="50" applyFont="1" applyBorder="1" applyAlignment="1">
      <alignment horizontal="center" vertical="center" wrapText="1"/>
    </xf>
    <xf numFmtId="0" fontId="2" fillId="0" borderId="2" xfId="50" applyFont="1" applyBorder="1" applyAlignment="1">
      <alignment horizontal="center" vertical="center"/>
    </xf>
    <xf numFmtId="0" fontId="2" fillId="0" borderId="1" xfId="50" applyFont="1" applyBorder="1" applyAlignment="1">
      <alignment horizontal="center" vertical="center"/>
    </xf>
    <xf numFmtId="0" fontId="0" fillId="0" borderId="8" xfId="0" applyBorder="1"/>
    <xf numFmtId="0" fontId="0" fillId="0" borderId="9" xfId="0" applyBorder="1"/>
    <xf numFmtId="0" fontId="2" fillId="0" borderId="11" xfId="50" applyFont="1" applyBorder="1" applyAlignment="1">
      <alignment horizontal="center" vertical="center" wrapText="1"/>
    </xf>
    <xf numFmtId="0" fontId="2" fillId="0" borderId="7" xfId="50" applyFont="1" applyBorder="1" applyAlignment="1">
      <alignment horizontal="center" vertical="center" wrapText="1"/>
    </xf>
    <xf numFmtId="0" fontId="0" fillId="0" borderId="12" xfId="0" applyBorder="1"/>
    <xf numFmtId="0" fontId="0" fillId="0" borderId="6" xfId="0" applyBorder="1"/>
    <xf numFmtId="0" fontId="0" fillId="0" borderId="13" xfId="0" applyBorder="1"/>
    <xf numFmtId="0" fontId="5" fillId="0" borderId="2" xfId="50" applyFont="1" applyBorder="1" applyAlignment="1">
      <alignment horizontal="center" vertical="center"/>
    </xf>
    <xf numFmtId="0" fontId="5" fillId="0" borderId="11" xfId="50" applyFont="1" applyBorder="1" applyAlignment="1">
      <alignment horizontal="center" vertical="center"/>
    </xf>
    <xf numFmtId="0" fontId="5" fillId="0" borderId="1" xfId="50" applyFont="1" applyBorder="1" applyAlignment="1">
      <alignment horizontal="center" vertical="center"/>
    </xf>
    <xf numFmtId="0" fontId="11" fillId="0" borderId="8" xfId="50" applyFont="1" applyBorder="1" applyAlignment="1">
      <alignment vertical="center"/>
    </xf>
    <xf numFmtId="0" fontId="12" fillId="0" borderId="9" xfId="50" applyFont="1" applyBorder="1" applyAlignment="1">
      <alignment horizontal="center" vertical="center"/>
    </xf>
    <xf numFmtId="43" fontId="13" fillId="0" borderId="9" xfId="50" applyNumberFormat="1" applyFont="1" applyBorder="1" applyAlignment="1">
      <alignment horizontal="right" vertical="center"/>
    </xf>
    <xf numFmtId="43" fontId="13" fillId="0" borderId="14" xfId="50" applyNumberFormat="1" applyFont="1" applyBorder="1" applyAlignment="1">
      <alignment horizontal="right" vertical="center"/>
    </xf>
    <xf numFmtId="43" fontId="13" fillId="0" borderId="8" xfId="50" applyNumberFormat="1" applyFont="1" applyBorder="1" applyAlignment="1">
      <alignment horizontal="right" vertical="center"/>
    </xf>
    <xf numFmtId="0" fontId="2" fillId="0" borderId="8" xfId="50" applyFont="1" applyBorder="1" applyAlignment="1">
      <alignment vertical="center"/>
    </xf>
    <xf numFmtId="0" fontId="5" fillId="0" borderId="9" xfId="50" applyFont="1" applyBorder="1" applyAlignment="1">
      <alignment horizontal="center" vertical="center"/>
    </xf>
    <xf numFmtId="43" fontId="14" fillId="0" borderId="9" xfId="50" applyNumberFormat="1" applyFont="1" applyBorder="1" applyAlignment="1">
      <alignment horizontal="right" vertical="center"/>
    </xf>
    <xf numFmtId="43" fontId="14" fillId="0" borderId="14" xfId="50" applyNumberFormat="1" applyFont="1" applyBorder="1" applyAlignment="1">
      <alignment horizontal="right" vertical="center"/>
    </xf>
    <xf numFmtId="43" fontId="14" fillId="0" borderId="8" xfId="50" applyNumberFormat="1" applyFont="1" applyBorder="1" applyAlignment="1">
      <alignment horizontal="right" vertical="center"/>
    </xf>
    <xf numFmtId="0" fontId="2" fillId="0" borderId="8" xfId="50" applyFont="1" applyBorder="1" applyAlignment="1">
      <alignment horizontal="left" vertical="center"/>
    </xf>
    <xf numFmtId="43" fontId="14" fillId="0" borderId="9" xfId="50" applyNumberFormat="1" applyFont="1" applyBorder="1" applyAlignment="1">
      <alignment horizontal="right" vertical="center" wrapText="1"/>
    </xf>
    <xf numFmtId="43" fontId="14" fillId="0" borderId="8" xfId="50" applyNumberFormat="1" applyFont="1" applyBorder="1" applyAlignment="1">
      <alignment horizontal="right" vertical="center" wrapText="1"/>
    </xf>
    <xf numFmtId="0" fontId="2" fillId="0" borderId="8" xfId="50" applyFont="1" applyBorder="1" applyAlignment="1">
      <alignment horizontal="left" vertical="center" wrapText="1"/>
    </xf>
    <xf numFmtId="0" fontId="11" fillId="0" borderId="4" xfId="50" applyFont="1" applyBorder="1" applyAlignment="1">
      <alignment vertical="center"/>
    </xf>
    <xf numFmtId="0" fontId="5" fillId="0" borderId="5" xfId="50" applyFont="1" applyBorder="1" applyAlignment="1">
      <alignment horizontal="center" vertical="center"/>
    </xf>
    <xf numFmtId="43" fontId="13" fillId="0" borderId="5" xfId="50" applyNumberFormat="1" applyFont="1" applyBorder="1" applyAlignment="1">
      <alignment horizontal="right" vertical="center"/>
    </xf>
    <xf numFmtId="43" fontId="13" fillId="0" borderId="13" xfId="50" applyNumberFormat="1" applyFont="1" applyBorder="1" applyAlignment="1">
      <alignment horizontal="right" vertical="center"/>
    </xf>
    <xf numFmtId="43" fontId="13" fillId="0" borderId="4" xfId="50" applyNumberFormat="1" applyFont="1" applyBorder="1" applyAlignment="1">
      <alignment horizontal="right" vertical="center"/>
    </xf>
    <xf numFmtId="0" fontId="15" fillId="0" borderId="0" xfId="50" applyFont="1" applyAlignment="1">
      <alignment vertical="center"/>
    </xf>
    <xf numFmtId="0" fontId="8" fillId="0" borderId="0" xfId="50" applyFont="1" applyAlignment="1">
      <alignment vertical="center"/>
    </xf>
    <xf numFmtId="0" fontId="2" fillId="0" borderId="0" xfId="49" applyFont="1" applyAlignment="1">
      <alignment horizontal="left" vertical="center"/>
    </xf>
    <xf numFmtId="0" fontId="2" fillId="0" borderId="0" xfId="50" applyFont="1" applyAlignment="1">
      <alignment vertical="center" wrapText="1"/>
    </xf>
    <xf numFmtId="0" fontId="1" fillId="0" borderId="0" xfId="50" applyAlignment="1">
      <alignment horizontal="right" vertical="center"/>
    </xf>
    <xf numFmtId="0" fontId="0" fillId="0" borderId="14" xfId="0" applyBorder="1"/>
    <xf numFmtId="0" fontId="1" fillId="0" borderId="0" xfId="0" applyAlignment="1">
      <alignment vertical="center"/>
    </xf>
    <xf numFmtId="0" fontId="16" fillId="0" borderId="0" xfId="50" applyFont="1" applyAlignment="1">
      <alignment vertical="center"/>
    </xf>
    <xf numFmtId="0" fontId="2" fillId="0" borderId="0" xfId="50" applyFont="1" applyAlignment="1">
      <alignment horizontal="center" vertical="center"/>
    </xf>
    <xf numFmtId="0" fontId="3" fillId="0" borderId="0" xfId="50" applyFont="1" applyAlignment="1">
      <alignment horizontal="center" vertical="center"/>
    </xf>
    <xf numFmtId="0" fontId="4" fillId="0" borderId="0" xfId="50" applyAlignment="1">
      <alignment horizontal="center" vertical="center"/>
    </xf>
    <xf numFmtId="0" fontId="2" fillId="0" borderId="3" xfId="50" applyFont="1" applyBorder="1" applyAlignment="1">
      <alignment horizontal="center" vertical="center"/>
    </xf>
    <xf numFmtId="0" fontId="2" fillId="0" borderId="2" xfId="50" applyFont="1" applyBorder="1" applyAlignment="1">
      <alignment horizontal="center" vertical="center" shrinkToFit="1"/>
    </xf>
    <xf numFmtId="49" fontId="2" fillId="0" borderId="2" xfId="50" applyNumberFormat="1" applyFont="1" applyBorder="1" applyAlignment="1">
      <alignment horizontal="center" vertical="center"/>
    </xf>
    <xf numFmtId="0" fontId="2" fillId="0" borderId="3" xfId="50" applyFont="1" applyBorder="1" applyAlignment="1">
      <alignment horizontal="center" vertical="center" shrinkToFit="1"/>
    </xf>
    <xf numFmtId="0" fontId="11" fillId="0" borderId="0" xfId="50" applyFont="1" applyAlignment="1">
      <alignment vertical="center"/>
    </xf>
    <xf numFmtId="0" fontId="2" fillId="0" borderId="9" xfId="50" applyFont="1" applyBorder="1" applyAlignment="1">
      <alignment horizontal="center" vertical="center"/>
    </xf>
    <xf numFmtId="0" fontId="5" fillId="0" borderId="0" xfId="50" applyFont="1" applyAlignment="1">
      <alignment horizontal="right" vertical="center"/>
    </xf>
    <xf numFmtId="0" fontId="5" fillId="0" borderId="9" xfId="50" applyFont="1" applyBorder="1" applyAlignment="1">
      <alignment horizontal="right" vertical="center"/>
    </xf>
    <xf numFmtId="176" fontId="5" fillId="0" borderId="9" xfId="50" applyNumberFormat="1" applyFont="1" applyBorder="1" applyAlignment="1">
      <alignment horizontal="right" vertical="center"/>
    </xf>
    <xf numFmtId="176" fontId="5" fillId="0" borderId="14" xfId="50" applyNumberFormat="1" applyFont="1" applyBorder="1" applyAlignment="1">
      <alignment horizontal="right" vertical="center"/>
    </xf>
    <xf numFmtId="0" fontId="11" fillId="0" borderId="0" xfId="50" applyFont="1" applyAlignment="1">
      <alignment horizontal="center" vertical="center"/>
    </xf>
    <xf numFmtId="176" fontId="12" fillId="0" borderId="9" xfId="50" applyNumberFormat="1" applyFont="1" applyBorder="1" applyAlignment="1">
      <alignment horizontal="right" vertical="center"/>
    </xf>
    <xf numFmtId="176" fontId="12" fillId="0" borderId="14" xfId="50" applyNumberFormat="1" applyFont="1" applyBorder="1" applyAlignment="1">
      <alignment horizontal="right" vertical="center"/>
    </xf>
    <xf numFmtId="0" fontId="12" fillId="0" borderId="0" xfId="50" applyFont="1" applyAlignment="1">
      <alignment horizontal="right" vertical="center"/>
    </xf>
    <xf numFmtId="0" fontId="12" fillId="0" borderId="9" xfId="50" applyFont="1" applyBorder="1" applyAlignment="1">
      <alignment horizontal="right" vertical="center"/>
    </xf>
    <xf numFmtId="0" fontId="12" fillId="0" borderId="14" xfId="50" applyFont="1" applyBorder="1" applyAlignment="1">
      <alignment horizontal="right" vertical="center"/>
    </xf>
    <xf numFmtId="0" fontId="2" fillId="0" borderId="8" xfId="50" applyFont="1" applyBorder="1" applyAlignment="1">
      <alignment vertical="center" wrapText="1" shrinkToFit="1"/>
    </xf>
    <xf numFmtId="0" fontId="2" fillId="0" borderId="0" xfId="50" applyFont="1" applyAlignment="1">
      <alignment vertical="center" shrinkToFit="1"/>
    </xf>
    <xf numFmtId="0" fontId="11" fillId="0" borderId="0" xfId="50" applyFont="1" applyAlignment="1">
      <alignment horizontal="center" vertical="center" shrinkToFit="1"/>
    </xf>
    <xf numFmtId="0" fontId="11" fillId="0" borderId="0" xfId="50" applyFont="1" applyAlignment="1">
      <alignment vertical="center" shrinkToFit="1"/>
    </xf>
    <xf numFmtId="0" fontId="11" fillId="0" borderId="10" xfId="50" applyFont="1" applyBorder="1" applyAlignment="1">
      <alignment vertical="center"/>
    </xf>
    <xf numFmtId="0" fontId="2" fillId="0" borderId="5" xfId="50" applyFont="1" applyBorder="1" applyAlignment="1">
      <alignment horizontal="center" vertical="center"/>
    </xf>
    <xf numFmtId="176" fontId="12" fillId="0" borderId="5" xfId="50" applyNumberFormat="1" applyFont="1" applyBorder="1" applyAlignment="1">
      <alignment horizontal="right" vertical="center"/>
    </xf>
    <xf numFmtId="176" fontId="12" fillId="0" borderId="13" xfId="50" applyNumberFormat="1" applyFont="1" applyBorder="1" applyAlignment="1">
      <alignment horizontal="right" vertical="center"/>
    </xf>
    <xf numFmtId="0" fontId="1" fillId="0" borderId="0" xfId="50" applyAlignment="1">
      <alignment horizontal="center" vertical="center"/>
    </xf>
    <xf numFmtId="0" fontId="10" fillId="0" borderId="0" xfId="49" applyFont="1" applyAlignment="1">
      <alignment horizontal="left" vertical="center"/>
    </xf>
    <xf numFmtId="0" fontId="4" fillId="0" borderId="0" xfId="50" applyAlignment="1">
      <alignment vertical="center"/>
    </xf>
    <xf numFmtId="0" fontId="4" fillId="0" borderId="0" xfId="50" applyAlignment="1">
      <alignment horizontal="justify" vertical="justify"/>
    </xf>
    <xf numFmtId="0" fontId="2" fillId="0" borderId="0" xfId="50" applyFont="1" applyAlignment="1">
      <alignment horizontal="left" vertical="center"/>
    </xf>
    <xf numFmtId="0" fontId="2" fillId="0" borderId="11" xfId="50" applyFont="1" applyBorder="1" applyAlignment="1">
      <alignment horizontal="center" vertical="center" shrinkToFit="1"/>
    </xf>
    <xf numFmtId="0" fontId="11" fillId="0" borderId="8" xfId="50" applyFont="1" applyBorder="1" applyAlignment="1">
      <alignment horizontal="left" vertical="center"/>
    </xf>
    <xf numFmtId="0" fontId="5" fillId="0" borderId="7" xfId="50" applyFont="1" applyBorder="1" applyAlignment="1">
      <alignment vertical="center" shrinkToFit="1"/>
    </xf>
    <xf numFmtId="176" fontId="12" fillId="0" borderId="7" xfId="50" applyNumberFormat="1" applyFont="1" applyBorder="1" applyAlignment="1">
      <alignment vertical="center"/>
    </xf>
    <xf numFmtId="176" fontId="12" fillId="0" borderId="15" xfId="50" applyNumberFormat="1" applyFont="1" applyBorder="1" applyAlignment="1">
      <alignment vertical="center"/>
    </xf>
    <xf numFmtId="49" fontId="2" fillId="0" borderId="8" xfId="50" applyNumberFormat="1" applyFont="1" applyBorder="1" applyAlignment="1">
      <alignment horizontal="left" vertical="center"/>
    </xf>
    <xf numFmtId="176" fontId="5" fillId="0" borderId="9" xfId="50" applyNumberFormat="1" applyFont="1" applyBorder="1" applyAlignment="1">
      <alignment vertical="center"/>
    </xf>
    <xf numFmtId="176" fontId="5" fillId="0" borderId="14" xfId="50" applyNumberFormat="1" applyFont="1" applyBorder="1" applyAlignment="1">
      <alignment vertical="center"/>
    </xf>
    <xf numFmtId="176" fontId="12" fillId="0" borderId="9" xfId="50" applyNumberFormat="1" applyFont="1" applyBorder="1" applyAlignment="1">
      <alignment vertical="center"/>
    </xf>
    <xf numFmtId="176" fontId="12" fillId="0" borderId="14" xfId="50" applyNumberFormat="1" applyFont="1" applyBorder="1" applyAlignment="1">
      <alignment vertical="center"/>
    </xf>
    <xf numFmtId="49" fontId="2" fillId="0" borderId="8" xfId="50" applyNumberFormat="1" applyFont="1" applyBorder="1" applyAlignment="1">
      <alignment horizontal="left" vertical="center" wrapText="1"/>
    </xf>
    <xf numFmtId="0" fontId="17" fillId="0" borderId="0" xfId="0" applyFont="1" applyAlignment="1">
      <alignment vertical="center"/>
    </xf>
    <xf numFmtId="49" fontId="11" fillId="0" borderId="8" xfId="50" applyNumberFormat="1" applyFont="1" applyBorder="1" applyAlignment="1">
      <alignment horizontal="left" vertical="center"/>
    </xf>
    <xf numFmtId="0" fontId="5" fillId="0" borderId="9" xfId="50" applyFont="1" applyBorder="1" applyAlignment="1">
      <alignment horizontal="left" vertical="center" wrapText="1"/>
    </xf>
    <xf numFmtId="0" fontId="2" fillId="0" borderId="8" xfId="50" applyFont="1" applyBorder="1" applyAlignment="1">
      <alignment horizontal="left" vertical="center" indent="1"/>
    </xf>
    <xf numFmtId="0" fontId="2" fillId="0" borderId="8" xfId="50" applyFont="1" applyBorder="1" applyAlignment="1">
      <alignment horizontal="left" vertical="center" wrapText="1" indent="2"/>
    </xf>
    <xf numFmtId="0" fontId="2" fillId="0" borderId="8" xfId="50" applyFont="1" applyBorder="1" applyAlignment="1">
      <alignment horizontal="left" vertical="center" indent="2"/>
    </xf>
    <xf numFmtId="0" fontId="2" fillId="0" borderId="8" xfId="50" applyFont="1" applyBorder="1" applyAlignment="1">
      <alignment horizontal="left" vertical="center" wrapText="1" indent="1"/>
    </xf>
    <xf numFmtId="0" fontId="11" fillId="0" borderId="8" xfId="51" applyFont="1" applyBorder="1" applyAlignment="1">
      <alignment horizontal="justify" vertical="center" wrapText="1"/>
    </xf>
    <xf numFmtId="0" fontId="2" fillId="0" borderId="8" xfId="51" applyFont="1" applyBorder="1" applyAlignment="1">
      <alignment horizontal="justify" vertical="center" wrapText="1"/>
    </xf>
    <xf numFmtId="0" fontId="2" fillId="0" borderId="4" xfId="51" applyFont="1" applyBorder="1" applyAlignment="1">
      <alignment horizontal="justify" vertical="center" wrapText="1"/>
    </xf>
    <xf numFmtId="176" fontId="5" fillId="0" borderId="5" xfId="50" applyNumberFormat="1" applyFont="1" applyBorder="1" applyAlignment="1">
      <alignment vertical="center"/>
    </xf>
    <xf numFmtId="176" fontId="5" fillId="0" borderId="13" xfId="50" applyNumberFormat="1" applyFont="1" applyBorder="1" applyAlignment="1">
      <alignment vertical="center"/>
    </xf>
    <xf numFmtId="0" fontId="1" fillId="0" borderId="0" xfId="50" applyAlignment="1">
      <alignment horizontal="left" vertical="center" wrapText="1"/>
    </xf>
    <xf numFmtId="0" fontId="15" fillId="0" borderId="0" xfId="50" applyFont="1"/>
    <xf numFmtId="0" fontId="2" fillId="2" borderId="0" xfId="49" applyFont="1" applyFill="1" applyAlignment="1">
      <alignment horizontal="left" vertical="center"/>
    </xf>
    <xf numFmtId="0" fontId="1" fillId="0" borderId="0" xfId="50" applyAlignment="1">
      <alignment vertical="center" shrinkToFit="1"/>
    </xf>
    <xf numFmtId="49" fontId="18" fillId="0" borderId="0" xfId="50" applyNumberFormat="1" applyFont="1" applyAlignment="1">
      <alignment horizontal="center" vertical="center"/>
    </xf>
    <xf numFmtId="49" fontId="1" fillId="0" borderId="0" xfId="50" applyNumberFormat="1" applyAlignment="1">
      <alignment horizontal="left" vertical="center"/>
    </xf>
    <xf numFmtId="49" fontId="1" fillId="0" borderId="0" xfId="50" applyNumberFormat="1" applyAlignment="1">
      <alignment vertical="center"/>
    </xf>
    <xf numFmtId="0" fontId="1" fillId="0" borderId="0" xfId="49" applyAlignment="1">
      <alignment horizontal="right"/>
    </xf>
    <xf numFmtId="0" fontId="1" fillId="0" borderId="1" xfId="50" applyBorder="1" applyAlignment="1">
      <alignment horizontal="center" vertical="center" shrinkToFit="1"/>
    </xf>
    <xf numFmtId="49" fontId="1" fillId="0" borderId="2" xfId="50" applyNumberFormat="1" applyBorder="1" applyAlignment="1">
      <alignment horizontal="center" vertical="center"/>
    </xf>
    <xf numFmtId="0" fontId="1" fillId="0" borderId="2" xfId="50" applyBorder="1" applyAlignment="1">
      <alignment horizontal="center" vertical="center" shrinkToFit="1"/>
    </xf>
    <xf numFmtId="0" fontId="1" fillId="0" borderId="11" xfId="50" applyBorder="1" applyAlignment="1">
      <alignment horizontal="center" vertical="center" shrinkToFit="1"/>
    </xf>
    <xf numFmtId="0" fontId="1" fillId="0" borderId="8" xfId="50" applyBorder="1" applyAlignment="1">
      <alignment horizontal="left" vertical="center" shrinkToFit="1"/>
    </xf>
    <xf numFmtId="0" fontId="1" fillId="0" borderId="8" xfId="50" applyBorder="1" applyAlignment="1">
      <alignment horizontal="center" vertical="center" shrinkToFit="1"/>
    </xf>
    <xf numFmtId="0" fontId="1" fillId="0" borderId="0" xfId="50" applyAlignment="1">
      <alignment horizontal="center" vertical="center" shrinkToFit="1"/>
    </xf>
    <xf numFmtId="0" fontId="1" fillId="0" borderId="7" xfId="50" applyBorder="1" applyAlignment="1">
      <alignment horizontal="center" vertical="center" shrinkToFit="1"/>
    </xf>
    <xf numFmtId="0" fontId="1" fillId="0" borderId="15" xfId="50" applyBorder="1" applyAlignment="1">
      <alignment horizontal="center" vertical="center" shrinkToFit="1"/>
    </xf>
    <xf numFmtId="0" fontId="1" fillId="0" borderId="8" xfId="50" applyBorder="1" applyAlignment="1">
      <alignment vertical="center" shrinkToFit="1"/>
    </xf>
    <xf numFmtId="176" fontId="4" fillId="0" borderId="9" xfId="50" applyNumberFormat="1" applyBorder="1" applyAlignment="1">
      <alignment vertical="center" shrinkToFit="1"/>
    </xf>
    <xf numFmtId="176" fontId="4" fillId="0" borderId="14" xfId="50" applyNumberFormat="1" applyBorder="1" applyAlignment="1">
      <alignment vertical="center" shrinkToFit="1"/>
    </xf>
    <xf numFmtId="0" fontId="1" fillId="0" borderId="8" xfId="50" applyBorder="1" applyAlignment="1">
      <alignment vertical="center" wrapText="1"/>
    </xf>
    <xf numFmtId="0" fontId="8" fillId="0" borderId="8" xfId="50" applyFont="1" applyBorder="1" applyAlignment="1">
      <alignment horizontal="center" vertical="center" shrinkToFit="1"/>
    </xf>
    <xf numFmtId="176" fontId="18" fillId="0" borderId="9" xfId="50" applyNumberFormat="1" applyFont="1" applyBorder="1" applyAlignment="1">
      <alignment vertical="center" shrinkToFit="1"/>
    </xf>
    <xf numFmtId="176" fontId="18" fillId="0" borderId="14" xfId="50" applyNumberFormat="1" applyFont="1" applyBorder="1" applyAlignment="1">
      <alignment vertical="center" shrinkToFit="1"/>
    </xf>
    <xf numFmtId="0" fontId="1" fillId="0" borderId="9" xfId="50" applyBorder="1" applyAlignment="1">
      <alignment horizontal="center" vertical="center" shrinkToFit="1"/>
    </xf>
    <xf numFmtId="0" fontId="1" fillId="0" borderId="14" xfId="50" applyBorder="1" applyAlignment="1">
      <alignment horizontal="center" vertical="center" shrinkToFit="1"/>
    </xf>
    <xf numFmtId="176" fontId="1" fillId="0" borderId="8" xfId="0" applyNumberFormat="1" applyBorder="1" applyAlignment="1">
      <alignment vertical="center"/>
    </xf>
    <xf numFmtId="0" fontId="8" fillId="0" borderId="4" xfId="50" applyFont="1" applyBorder="1" applyAlignment="1">
      <alignment horizontal="center" vertical="center" shrinkToFit="1"/>
    </xf>
    <xf numFmtId="0" fontId="1" fillId="0" borderId="4" xfId="50" applyBorder="1" applyAlignment="1">
      <alignment horizontal="center" vertical="center" shrinkToFit="1"/>
    </xf>
    <xf numFmtId="176" fontId="18" fillId="0" borderId="5" xfId="50" applyNumberFormat="1" applyFont="1" applyBorder="1" applyAlignment="1">
      <alignment vertical="center" shrinkToFit="1"/>
    </xf>
    <xf numFmtId="176" fontId="18" fillId="0" borderId="13" xfId="50" applyNumberFormat="1" applyFont="1" applyBorder="1" applyAlignment="1">
      <alignment vertical="center" shrinkToFit="1"/>
    </xf>
    <xf numFmtId="0" fontId="1" fillId="0" borderId="0" xfId="49" applyAlignment="1">
      <alignment horizontal="center"/>
    </xf>
    <xf numFmtId="0" fontId="1" fillId="0" borderId="0" xfId="50" applyAlignment="1">
      <alignment horizontal="justify" vertical="center" wrapText="1"/>
    </xf>
    <xf numFmtId="0" fontId="19" fillId="0" borderId="1" xfId="50" applyFont="1" applyBorder="1" applyAlignment="1">
      <alignment horizontal="center" vertical="center" shrinkToFit="1"/>
    </xf>
    <xf numFmtId="49" fontId="19" fillId="0" borderId="2" xfId="50" applyNumberFormat="1" applyFont="1" applyBorder="1" applyAlignment="1">
      <alignment horizontal="center" vertical="center"/>
    </xf>
    <xf numFmtId="0" fontId="19" fillId="0" borderId="2" xfId="50" applyFont="1" applyBorder="1" applyAlignment="1">
      <alignment horizontal="center" vertical="center" shrinkToFit="1"/>
    </xf>
    <xf numFmtId="0" fontId="19" fillId="0" borderId="11" xfId="50" applyFont="1" applyBorder="1" applyAlignment="1">
      <alignment horizontal="center" vertical="center" shrinkToFit="1"/>
    </xf>
    <xf numFmtId="0" fontId="19" fillId="0" borderId="8" xfId="50" applyFont="1" applyBorder="1" applyAlignment="1">
      <alignment vertical="center" shrinkToFit="1"/>
    </xf>
    <xf numFmtId="0" fontId="19" fillId="0" borderId="15" xfId="50" applyFont="1" applyBorder="1" applyAlignment="1">
      <alignment horizontal="center" vertical="center" shrinkToFit="1"/>
    </xf>
    <xf numFmtId="43" fontId="20" fillId="0" borderId="7" xfId="50" applyNumberFormat="1" applyFont="1" applyBorder="1" applyAlignment="1">
      <alignment horizontal="center" vertical="center" shrinkToFit="1"/>
    </xf>
    <xf numFmtId="43" fontId="20" fillId="0" borderId="12" xfId="50" applyNumberFormat="1" applyFont="1" applyBorder="1" applyAlignment="1">
      <alignment horizontal="center" vertical="center" shrinkToFit="1"/>
    </xf>
    <xf numFmtId="43" fontId="20" fillId="0" borderId="15" xfId="50" applyNumberFormat="1" applyFont="1" applyBorder="1" applyAlignment="1">
      <alignment horizontal="center" vertical="center" shrinkToFit="1"/>
    </xf>
    <xf numFmtId="0" fontId="19" fillId="0" borderId="8" xfId="50" applyFont="1" applyBorder="1" applyAlignment="1">
      <alignment horizontal="left" vertical="center" shrinkToFit="1"/>
    </xf>
    <xf numFmtId="0" fontId="19" fillId="0" borderId="14" xfId="50" applyFont="1" applyBorder="1" applyAlignment="1">
      <alignment horizontal="center" vertical="center" shrinkToFit="1"/>
    </xf>
    <xf numFmtId="43" fontId="20" fillId="0" borderId="9" xfId="50" applyNumberFormat="1" applyFont="1" applyBorder="1" applyAlignment="1">
      <alignment vertical="center" shrinkToFit="1"/>
    </xf>
    <xf numFmtId="43" fontId="20" fillId="0" borderId="14" xfId="50" applyNumberFormat="1" applyFont="1" applyBorder="1" applyAlignment="1">
      <alignment vertical="center" shrinkToFit="1"/>
    </xf>
    <xf numFmtId="0" fontId="21" fillId="0" borderId="8" xfId="50" applyFont="1" applyBorder="1" applyAlignment="1">
      <alignment horizontal="center" vertical="center" shrinkToFit="1"/>
    </xf>
    <xf numFmtId="43" fontId="22" fillId="0" borderId="9" xfId="50" applyNumberFormat="1" applyFont="1" applyBorder="1" applyAlignment="1">
      <alignment vertical="center" shrinkToFit="1"/>
    </xf>
    <xf numFmtId="43" fontId="22" fillId="0" borderId="14" xfId="50" applyNumberFormat="1" applyFont="1" applyBorder="1" applyAlignment="1">
      <alignment vertical="center" shrinkToFit="1"/>
    </xf>
    <xf numFmtId="43" fontId="20" fillId="0" borderId="9" xfId="50" applyNumberFormat="1" applyFont="1" applyBorder="1" applyAlignment="1">
      <alignment horizontal="center" vertical="center" shrinkToFit="1"/>
    </xf>
    <xf numFmtId="43" fontId="20" fillId="0" borderId="14" xfId="50" applyNumberFormat="1" applyFont="1" applyBorder="1" applyAlignment="1">
      <alignment horizontal="center" vertical="center" shrinkToFit="1"/>
    </xf>
    <xf numFmtId="0" fontId="21" fillId="0" borderId="4" xfId="50" applyFont="1" applyBorder="1" applyAlignment="1">
      <alignment horizontal="center" vertical="center" shrinkToFit="1"/>
    </xf>
    <xf numFmtId="0" fontId="19" fillId="0" borderId="13" xfId="50" applyFont="1" applyBorder="1" applyAlignment="1">
      <alignment horizontal="center" vertical="center" shrinkToFit="1"/>
    </xf>
    <xf numFmtId="43" fontId="22" fillId="0" borderId="5" xfId="50" applyNumberFormat="1" applyFont="1" applyBorder="1" applyAlignment="1">
      <alignment vertical="center" shrinkToFit="1"/>
    </xf>
    <xf numFmtId="43" fontId="22" fillId="0" borderId="13" xfId="50" applyNumberFormat="1" applyFont="1" applyBorder="1" applyAlignment="1">
      <alignment vertical="center" shrinkToFit="1"/>
    </xf>
    <xf numFmtId="0" fontId="10" fillId="2" borderId="0" xfId="49" applyFont="1" applyFill="1" applyAlignment="1">
      <alignment horizontal="left" vertical="center"/>
    </xf>
    <xf numFmtId="0" fontId="10" fillId="2" borderId="0" xfId="49" applyFont="1" applyFill="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_附件1：决算表式（后会签稿）--1008" xfId="50"/>
    <cellStyle name="常规_鹤壁煤电三年期按新准则调整后的新报表格式" xfId="51"/>
    <cellStyle name="常规_资产损失与科研补充表修改2稿" xfId="52"/>
    <cellStyle name="普通_现金流量表" xfId="53"/>
  </cellStyles>
  <dxfs count="1">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F109"/>
  <sheetViews>
    <sheetView showGridLines="0" showZeros="0" tabSelected="1" view="pageBreakPreview" zoomScaleNormal="110" workbookViewId="0">
      <pane xSplit="2" ySplit="5" topLeftCell="C54" activePane="bottomRight" state="frozen"/>
      <selection/>
      <selection pane="topRight"/>
      <selection pane="bottomLeft"/>
      <selection pane="bottomRight" activeCell="B14" sqref="B14"/>
    </sheetView>
  </sheetViews>
  <sheetFormatPr defaultColWidth="9" defaultRowHeight="15.75" customHeight="1" outlineLevelCol="5"/>
  <cols>
    <col min="1" max="1" width="26.1" style="36" customWidth="1"/>
    <col min="2" max="2" width="8.9" style="87" customWidth="1"/>
    <col min="3" max="3" width="16" style="36" customWidth="1"/>
    <col min="4" max="4" width="15" style="36" customWidth="1"/>
    <col min="5" max="5" width="16" style="36" customWidth="1"/>
    <col min="6" max="6" width="15.2" style="36" customWidth="1"/>
    <col min="7" max="16384" width="9" style="36" customWidth="1"/>
  </cols>
  <sheetData>
    <row r="1" ht="30" customHeight="1" spans="1:6">
      <c r="A1" s="88" t="s">
        <v>0</v>
      </c>
    </row>
    <row r="2" ht="16.5" customHeight="1" spans="1:6">
      <c r="A2" s="146" t="s">
        <v>1</v>
      </c>
    </row>
    <row r="3" s="37" customFormat="1" ht="18" customHeight="1" spans="1:6">
      <c r="A3" s="42" t="s">
        <v>2</v>
      </c>
      <c r="B3" s="147"/>
      <c r="C3" s="147"/>
      <c r="D3" s="148"/>
      <c r="E3" s="148"/>
      <c r="F3" s="149" t="s">
        <v>3</v>
      </c>
    </row>
    <row r="4" s="37" customFormat="1" ht="18" customHeight="1" spans="1:6">
      <c r="A4" s="175" t="s">
        <v>4</v>
      </c>
      <c r="B4" s="175" t="s">
        <v>5</v>
      </c>
      <c r="C4" s="176" t="s">
        <v>6</v>
      </c>
      <c r="D4" s="13"/>
      <c r="E4" s="176" t="s">
        <v>7</v>
      </c>
      <c r="F4" s="13"/>
    </row>
    <row r="5" s="145" customFormat="1" ht="15" customHeight="1" spans="1:6">
      <c r="A5" s="14"/>
      <c r="B5" s="14"/>
      <c r="C5" s="177" t="s">
        <v>8</v>
      </c>
      <c r="D5" s="177" t="s">
        <v>9</v>
      </c>
      <c r="E5" s="177" t="s">
        <v>8</v>
      </c>
      <c r="F5" s="178" t="s">
        <v>9</v>
      </c>
    </row>
    <row r="6" s="145" customFormat="1" ht="15" customHeight="1" spans="1:6">
      <c r="A6" s="179" t="s">
        <v>10</v>
      </c>
      <c r="B6" s="180"/>
      <c r="C6" s="181"/>
      <c r="D6" s="182"/>
      <c r="E6" s="181"/>
      <c r="F6" s="183"/>
    </row>
    <row r="7" s="145" customFormat="1" ht="15" customHeight="1" spans="1:6">
      <c r="A7" s="184" t="s">
        <v>11</v>
      </c>
      <c r="B7" s="185" t="s">
        <v>12</v>
      </c>
      <c r="C7" s="186" t="s">
        <v>13</v>
      </c>
      <c r="D7" s="186" t="s">
        <v>14</v>
      </c>
      <c r="E7" s="186" t="s">
        <v>15</v>
      </c>
      <c r="F7" s="187" t="s">
        <v>16</v>
      </c>
    </row>
    <row r="8" s="145" customFormat="1" ht="15" customHeight="1" spans="1:6">
      <c r="A8" s="184" t="s">
        <v>17</v>
      </c>
      <c r="B8" s="185"/>
      <c r="C8" s="186" t="s">
        <v>18</v>
      </c>
      <c r="D8" s="186" t="s">
        <v>19</v>
      </c>
      <c r="E8" s="186" t="s">
        <v>20</v>
      </c>
      <c r="F8" s="187" t="s">
        <v>21</v>
      </c>
    </row>
    <row r="9" s="145" customFormat="1" ht="15" customHeight="1" spans="1:6">
      <c r="A9" s="184" t="s">
        <v>22</v>
      </c>
      <c r="B9" s="185"/>
      <c r="C9" s="186" t="s">
        <v>23</v>
      </c>
      <c r="D9" s="186" t="s">
        <v>24</v>
      </c>
      <c r="E9" s="186" t="s">
        <v>25</v>
      </c>
      <c r="F9" s="187" t="s">
        <v>26</v>
      </c>
    </row>
    <row r="10" s="145" customFormat="1" ht="15" customHeight="1" spans="1:6">
      <c r="A10" s="184" t="s">
        <v>27</v>
      </c>
      <c r="B10" s="185" t="s">
        <v>28</v>
      </c>
      <c r="C10" s="186" t="s">
        <v>29</v>
      </c>
      <c r="D10" s="186" t="s">
        <v>30</v>
      </c>
      <c r="E10" s="186" t="s">
        <v>31</v>
      </c>
      <c r="F10" s="187" t="s">
        <v>32</v>
      </c>
    </row>
    <row r="11" s="145" customFormat="1" ht="15" customHeight="1" spans="1:6">
      <c r="A11" s="184" t="s">
        <v>33</v>
      </c>
      <c r="B11" s="185" t="s">
        <v>34</v>
      </c>
      <c r="C11" s="186" t="s">
        <v>35</v>
      </c>
      <c r="D11" s="186" t="s">
        <v>36</v>
      </c>
      <c r="E11" s="186" t="s">
        <v>37</v>
      </c>
      <c r="F11" s="187" t="s">
        <v>38</v>
      </c>
    </row>
    <row r="12" s="145" customFormat="1" ht="15" customHeight="1" spans="1:6">
      <c r="A12" s="184" t="s">
        <v>39</v>
      </c>
      <c r="B12" s="185" t="s">
        <v>40</v>
      </c>
      <c r="C12" s="186" t="s">
        <v>41</v>
      </c>
      <c r="D12" s="186" t="s">
        <v>42</v>
      </c>
      <c r="E12" s="186" t="s">
        <v>43</v>
      </c>
      <c r="F12" s="187" t="s">
        <v>44</v>
      </c>
    </row>
    <row r="13" s="145" customFormat="1" ht="15" customHeight="1" spans="1:6">
      <c r="A13" s="184" t="s">
        <v>45</v>
      </c>
      <c r="B13" s="185" t="s">
        <v>46</v>
      </c>
      <c r="C13" s="186" t="s">
        <v>47</v>
      </c>
      <c r="D13" s="186" t="s">
        <v>48</v>
      </c>
      <c r="E13" s="186" t="s">
        <v>49</v>
      </c>
      <c r="F13" s="187" t="s">
        <v>50</v>
      </c>
    </row>
    <row r="14" s="145" customFormat="1" ht="15" customHeight="1" spans="1:6">
      <c r="A14" s="184" t="s">
        <v>51</v>
      </c>
      <c r="B14" s="185" t="s">
        <v>52</v>
      </c>
      <c r="C14" s="186" t="s">
        <v>53</v>
      </c>
      <c r="D14" s="186" t="s">
        <v>54</v>
      </c>
      <c r="E14" s="186" t="s">
        <v>55</v>
      </c>
      <c r="F14" s="187" t="s">
        <v>56</v>
      </c>
    </row>
    <row r="15" s="145" customFormat="1" ht="15" customHeight="1" spans="1:6">
      <c r="A15" s="179" t="s">
        <v>57</v>
      </c>
      <c r="B15" s="185" t="s">
        <v>58</v>
      </c>
      <c r="C15" s="186" t="s">
        <v>59</v>
      </c>
      <c r="D15" s="186" t="s">
        <v>60</v>
      </c>
      <c r="E15" s="186" t="s">
        <v>61</v>
      </c>
      <c r="F15" s="187" t="s">
        <v>62</v>
      </c>
    </row>
    <row r="16" s="145" customFormat="1" ht="15" customHeight="1" spans="1:6">
      <c r="A16" s="184" t="s">
        <v>63</v>
      </c>
      <c r="B16" s="185"/>
      <c r="C16" s="186" t="s">
        <v>64</v>
      </c>
      <c r="D16" s="186" t="s">
        <v>65</v>
      </c>
      <c r="E16" s="186" t="s">
        <v>66</v>
      </c>
      <c r="F16" s="187" t="s">
        <v>67</v>
      </c>
    </row>
    <row r="17" s="145" customFormat="1" ht="15" customHeight="1" spans="1:6">
      <c r="A17" s="184" t="s">
        <v>68</v>
      </c>
      <c r="B17" s="185"/>
      <c r="C17" s="186" t="s">
        <v>69</v>
      </c>
      <c r="D17" s="186" t="s">
        <v>70</v>
      </c>
      <c r="E17" s="186" t="s">
        <v>71</v>
      </c>
      <c r="F17" s="187" t="s">
        <v>72</v>
      </c>
    </row>
    <row r="18" s="145" customFormat="1" ht="15" customHeight="1" spans="1:6">
      <c r="A18" s="184" t="s">
        <v>73</v>
      </c>
      <c r="B18" s="185"/>
      <c r="C18" s="186" t="s">
        <v>74</v>
      </c>
      <c r="D18" s="186" t="s">
        <v>75</v>
      </c>
      <c r="E18" s="186" t="s">
        <v>76</v>
      </c>
      <c r="F18" s="187" t="s">
        <v>77</v>
      </c>
    </row>
    <row r="19" s="145" customFormat="1" ht="15" customHeight="1" spans="1:6">
      <c r="A19" s="184" t="s">
        <v>78</v>
      </c>
      <c r="B19" s="185" t="s">
        <v>79</v>
      </c>
      <c r="C19" s="186" t="s">
        <v>80</v>
      </c>
      <c r="D19" s="186" t="s">
        <v>81</v>
      </c>
      <c r="E19" s="186" t="s">
        <v>82</v>
      </c>
      <c r="F19" s="187" t="s">
        <v>83</v>
      </c>
    </row>
    <row r="20" s="145" customFormat="1" ht="15" customHeight="1" spans="1:6">
      <c r="A20" s="184" t="s">
        <v>84</v>
      </c>
      <c r="B20" s="185" t="s">
        <v>85</v>
      </c>
      <c r="C20" s="186" t="s">
        <v>86</v>
      </c>
      <c r="D20" s="186" t="s">
        <v>87</v>
      </c>
      <c r="E20" s="186" t="s">
        <v>88</v>
      </c>
      <c r="F20" s="187" t="s">
        <v>89</v>
      </c>
    </row>
    <row r="21" s="145" customFormat="1" ht="15" customHeight="1" spans="1:6">
      <c r="A21" s="184" t="s">
        <v>90</v>
      </c>
      <c r="B21" s="185"/>
      <c r="C21" s="186" t="s">
        <v>91</v>
      </c>
      <c r="D21" s="186" t="s">
        <v>92</v>
      </c>
      <c r="E21" s="186" t="s">
        <v>93</v>
      </c>
      <c r="F21" s="187" t="s">
        <v>94</v>
      </c>
    </row>
    <row r="22" s="145" customFormat="1" ht="15" customHeight="1" spans="1:6">
      <c r="A22" s="184" t="s">
        <v>95</v>
      </c>
      <c r="B22" s="185"/>
      <c r="C22" s="186" t="s">
        <v>96</v>
      </c>
      <c r="D22" s="186" t="s">
        <v>97</v>
      </c>
      <c r="E22" s="186" t="s">
        <v>98</v>
      </c>
      <c r="F22" s="187" t="s">
        <v>99</v>
      </c>
    </row>
    <row r="23" s="145" customFormat="1" ht="15" customHeight="1" spans="1:6">
      <c r="A23" s="184" t="s">
        <v>100</v>
      </c>
      <c r="B23" s="185" t="s">
        <v>101</v>
      </c>
      <c r="C23" s="186" t="s">
        <v>102</v>
      </c>
      <c r="D23" s="186" t="s">
        <v>103</v>
      </c>
      <c r="E23" s="186" t="s">
        <v>104</v>
      </c>
      <c r="F23" s="187" t="s">
        <v>105</v>
      </c>
    </row>
    <row r="24" s="145" customFormat="1" ht="15" customHeight="1" spans="1:6">
      <c r="A24" s="184" t="s">
        <v>106</v>
      </c>
      <c r="B24" s="185"/>
      <c r="C24" s="186" t="s">
        <v>107</v>
      </c>
      <c r="D24" s="186" t="s">
        <v>108</v>
      </c>
      <c r="E24" s="186" t="s">
        <v>109</v>
      </c>
      <c r="F24" s="187" t="s">
        <v>110</v>
      </c>
    </row>
    <row r="25" s="145" customFormat="1" ht="15" customHeight="1" spans="1:6">
      <c r="A25" s="184" t="s">
        <v>111</v>
      </c>
      <c r="B25" s="185"/>
      <c r="C25" s="186" t="s">
        <v>112</v>
      </c>
      <c r="D25" s="186" t="s">
        <v>113</v>
      </c>
      <c r="E25" s="186" t="s">
        <v>114</v>
      </c>
      <c r="F25" s="187" t="s">
        <v>115</v>
      </c>
    </row>
    <row r="26" s="145" customFormat="1" ht="15" customHeight="1" spans="1:6">
      <c r="A26" s="184" t="s">
        <v>116</v>
      </c>
      <c r="B26" s="185" t="s">
        <v>117</v>
      </c>
      <c r="C26" s="186" t="s">
        <v>118</v>
      </c>
      <c r="D26" s="186" t="s">
        <v>119</v>
      </c>
      <c r="E26" s="186" t="s">
        <v>120</v>
      </c>
      <c r="F26" s="187" t="s">
        <v>121</v>
      </c>
    </row>
    <row r="27" s="145" customFormat="1" ht="15" customHeight="1" spans="1:6">
      <c r="A27" s="184" t="s">
        <v>122</v>
      </c>
      <c r="B27" s="185"/>
      <c r="C27" s="186" t="s">
        <v>123</v>
      </c>
      <c r="D27" s="186" t="s">
        <v>124</v>
      </c>
      <c r="E27" s="186" t="s">
        <v>125</v>
      </c>
      <c r="F27" s="187" t="s">
        <v>126</v>
      </c>
    </row>
    <row r="28" s="145" customFormat="1" ht="15" customHeight="1" spans="1:6">
      <c r="A28" s="184" t="s">
        <v>127</v>
      </c>
      <c r="B28" s="185"/>
      <c r="C28" s="186" t="s">
        <v>128</v>
      </c>
      <c r="D28" s="186" t="s">
        <v>129</v>
      </c>
      <c r="E28" s="186" t="s">
        <v>130</v>
      </c>
      <c r="F28" s="187" t="s">
        <v>131</v>
      </c>
    </row>
    <row r="29" s="145" customFormat="1" ht="15" customHeight="1" spans="1:6">
      <c r="A29" s="184" t="s">
        <v>132</v>
      </c>
      <c r="B29" s="185" t="s">
        <v>133</v>
      </c>
      <c r="C29" s="186" t="s">
        <v>134</v>
      </c>
      <c r="D29" s="186" t="s">
        <v>135</v>
      </c>
      <c r="E29" s="186" t="s">
        <v>136</v>
      </c>
      <c r="F29" s="187" t="s">
        <v>137</v>
      </c>
    </row>
    <row r="30" s="145" customFormat="1" ht="15" customHeight="1" spans="1:6">
      <c r="A30" s="184" t="s">
        <v>138</v>
      </c>
      <c r="B30" s="185" t="s">
        <v>139</v>
      </c>
      <c r="C30" s="186" t="s">
        <v>140</v>
      </c>
      <c r="D30" s="186" t="s">
        <v>141</v>
      </c>
      <c r="E30" s="186" t="s">
        <v>142</v>
      </c>
      <c r="F30" s="187" t="s">
        <v>143</v>
      </c>
    </row>
    <row r="31" s="145" customFormat="1" ht="15" customHeight="1" spans="1:6">
      <c r="A31" s="184" t="s">
        <v>144</v>
      </c>
      <c r="B31" s="185" t="s">
        <v>145</v>
      </c>
      <c r="C31" s="186" t="s">
        <v>146</v>
      </c>
      <c r="D31" s="186" t="s">
        <v>147</v>
      </c>
      <c r="E31" s="186" t="s">
        <v>148</v>
      </c>
      <c r="F31" s="187" t="s">
        <v>149</v>
      </c>
    </row>
    <row r="32" s="145" customFormat="1" ht="15" customHeight="1" spans="1:6">
      <c r="A32" s="188" t="s">
        <v>150</v>
      </c>
      <c r="B32" s="185"/>
      <c r="C32" s="189" t="e">
        <f>SUM(C7:C31)-C24-C25-C21</f>
        <v>#VALUE!</v>
      </c>
      <c r="D32" s="189" t="e">
        <f>SUM(D7:D31)-D24-D25-D21</f>
        <v>#VALUE!</v>
      </c>
      <c r="E32" s="189" t="e">
        <f>SUM(E7:E31)-E24-E25-E21</f>
        <v>#VALUE!</v>
      </c>
      <c r="F32" s="190" t="e">
        <f>SUM(F7:F31)-F24-F25-F21</f>
        <v>#VALUE!</v>
      </c>
    </row>
    <row r="33" s="145" customFormat="1" ht="15" customHeight="1" spans="1:6">
      <c r="A33" s="184" t="s">
        <v>151</v>
      </c>
      <c r="B33" s="185"/>
      <c r="C33" s="191"/>
      <c r="D33" s="191"/>
      <c r="E33" s="191"/>
      <c r="F33" s="192"/>
    </row>
    <row r="34" s="145" customFormat="1" ht="15" customHeight="1" spans="1:6">
      <c r="A34" s="184" t="s">
        <v>152</v>
      </c>
      <c r="B34" s="185"/>
      <c r="C34" s="191" t="s">
        <v>153</v>
      </c>
      <c r="D34" s="191" t="s">
        <v>154</v>
      </c>
      <c r="E34" s="191" t="s">
        <v>155</v>
      </c>
      <c r="F34" s="192" t="s">
        <v>156</v>
      </c>
    </row>
    <row r="35" s="145" customFormat="1" ht="15" customHeight="1" spans="1:6">
      <c r="A35" s="184" t="s">
        <v>157</v>
      </c>
      <c r="B35" s="185" t="s">
        <v>158</v>
      </c>
      <c r="C35" s="191" t="s">
        <v>159</v>
      </c>
      <c r="D35" s="191" t="s">
        <v>160</v>
      </c>
      <c r="E35" s="191" t="s">
        <v>161</v>
      </c>
      <c r="F35" s="192" t="s">
        <v>162</v>
      </c>
    </row>
    <row r="36" s="145" customFormat="1" ht="15" customHeight="1" spans="1:6">
      <c r="A36" s="184" t="s">
        <v>163</v>
      </c>
      <c r="B36" s="185" t="s">
        <v>164</v>
      </c>
      <c r="C36" s="186" t="s">
        <v>165</v>
      </c>
      <c r="D36" s="186" t="s">
        <v>166</v>
      </c>
      <c r="E36" s="186" t="s">
        <v>167</v>
      </c>
      <c r="F36" s="187" t="s">
        <v>168</v>
      </c>
    </row>
    <row r="37" s="145" customFormat="1" ht="15" customHeight="1" spans="1:6">
      <c r="A37" s="184" t="s">
        <v>169</v>
      </c>
      <c r="B37" s="185" t="s">
        <v>170</v>
      </c>
      <c r="C37" s="186" t="s">
        <v>171</v>
      </c>
      <c r="D37" s="186" t="s">
        <v>172</v>
      </c>
      <c r="E37" s="186" t="s">
        <v>173</v>
      </c>
      <c r="F37" s="187" t="s">
        <v>174</v>
      </c>
    </row>
    <row r="38" s="145" customFormat="1" ht="15" customHeight="1" spans="1:6">
      <c r="A38" s="184" t="s">
        <v>175</v>
      </c>
      <c r="B38" s="185" t="s">
        <v>176</v>
      </c>
      <c r="C38" s="186" t="s">
        <v>177</v>
      </c>
      <c r="D38" s="186" t="s">
        <v>178</v>
      </c>
      <c r="E38" s="186" t="s">
        <v>179</v>
      </c>
      <c r="F38" s="187" t="s">
        <v>180</v>
      </c>
    </row>
    <row r="39" s="145" customFormat="1" ht="15" customHeight="1" spans="1:6">
      <c r="A39" s="184" t="s">
        <v>181</v>
      </c>
      <c r="B39" s="185" t="s">
        <v>182</v>
      </c>
      <c r="C39" s="186" t="s">
        <v>183</v>
      </c>
      <c r="D39" s="186" t="s">
        <v>184</v>
      </c>
      <c r="E39" s="186" t="s">
        <v>185</v>
      </c>
      <c r="F39" s="187" t="s">
        <v>186</v>
      </c>
    </row>
    <row r="40" s="145" customFormat="1" ht="15" customHeight="1" spans="1:6">
      <c r="A40" s="184" t="s">
        <v>187</v>
      </c>
      <c r="B40" s="185" t="s">
        <v>188</v>
      </c>
      <c r="C40" s="186" t="s">
        <v>189</v>
      </c>
      <c r="D40" s="186" t="s">
        <v>190</v>
      </c>
      <c r="E40" s="186" t="s">
        <v>191</v>
      </c>
      <c r="F40" s="187" t="s">
        <v>192</v>
      </c>
    </row>
    <row r="41" s="145" customFormat="1" ht="15" customHeight="1" spans="1:6">
      <c r="A41" s="184" t="s">
        <v>193</v>
      </c>
      <c r="B41" s="185" t="s">
        <v>194</v>
      </c>
      <c r="C41" s="186" t="s">
        <v>195</v>
      </c>
      <c r="D41" s="186" t="s">
        <v>196</v>
      </c>
      <c r="E41" s="186" t="s">
        <v>197</v>
      </c>
      <c r="F41" s="187" t="s">
        <v>198</v>
      </c>
    </row>
    <row r="42" s="145" customFormat="1" ht="15" customHeight="1" spans="1:6">
      <c r="A42" s="184" t="s">
        <v>199</v>
      </c>
      <c r="B42" s="185" t="s">
        <v>200</v>
      </c>
      <c r="C42" s="186" t="s">
        <v>201</v>
      </c>
      <c r="D42" s="186" t="s">
        <v>202</v>
      </c>
      <c r="E42" s="186" t="s">
        <v>203</v>
      </c>
      <c r="F42" s="187" t="s">
        <v>204</v>
      </c>
    </row>
    <row r="43" s="145" customFormat="1" ht="15" customHeight="1" spans="1:6">
      <c r="A43" s="184" t="s">
        <v>205</v>
      </c>
      <c r="B43" s="185"/>
      <c r="C43" s="186" t="s">
        <v>206</v>
      </c>
      <c r="D43" s="186" t="s">
        <v>207</v>
      </c>
      <c r="E43" s="186" t="s">
        <v>208</v>
      </c>
      <c r="F43" s="187" t="s">
        <v>209</v>
      </c>
    </row>
    <row r="44" s="145" customFormat="1" ht="15" customHeight="1" spans="1:6">
      <c r="A44" s="184" t="s">
        <v>210</v>
      </c>
      <c r="B44" s="185"/>
      <c r="C44" s="186" t="s">
        <v>211</v>
      </c>
      <c r="D44" s="186" t="s">
        <v>212</v>
      </c>
      <c r="E44" s="186" t="s">
        <v>213</v>
      </c>
      <c r="F44" s="187" t="s">
        <v>214</v>
      </c>
    </row>
    <row r="45" s="145" customFormat="1" ht="15" customHeight="1" spans="1:6">
      <c r="A45" s="184" t="s">
        <v>215</v>
      </c>
      <c r="B45" s="185"/>
      <c r="C45" s="186" t="s">
        <v>216</v>
      </c>
      <c r="D45" s="186" t="s">
        <v>217</v>
      </c>
      <c r="E45" s="186" t="s">
        <v>218</v>
      </c>
      <c r="F45" s="187" t="s">
        <v>219</v>
      </c>
    </row>
    <row r="46" s="145" customFormat="1" ht="15" customHeight="1" spans="1:6">
      <c r="A46" s="184" t="s">
        <v>220</v>
      </c>
      <c r="B46" s="185" t="s">
        <v>221</v>
      </c>
      <c r="C46" s="186" t="s">
        <v>222</v>
      </c>
      <c r="D46" s="186" t="s">
        <v>223</v>
      </c>
      <c r="E46" s="186" t="s">
        <v>224</v>
      </c>
      <c r="F46" s="187" t="s">
        <v>225</v>
      </c>
    </row>
    <row r="47" s="145" customFormat="1" ht="15" customHeight="1" spans="1:6">
      <c r="A47" s="179" t="s">
        <v>226</v>
      </c>
      <c r="B47" s="185" t="s">
        <v>227</v>
      </c>
      <c r="C47" s="186" t="s">
        <v>228</v>
      </c>
      <c r="D47" s="186" t="s">
        <v>229</v>
      </c>
      <c r="E47" s="186" t="s">
        <v>230</v>
      </c>
      <c r="F47" s="187" t="s">
        <v>231</v>
      </c>
    </row>
    <row r="48" s="145" customFormat="1" ht="15" customHeight="1" spans="1:6">
      <c r="A48" s="179" t="s">
        <v>232</v>
      </c>
      <c r="B48" s="185" t="s">
        <v>233</v>
      </c>
      <c r="C48" s="186" t="s">
        <v>234</v>
      </c>
      <c r="D48" s="186" t="s">
        <v>235</v>
      </c>
      <c r="E48" s="186" t="s">
        <v>236</v>
      </c>
      <c r="F48" s="187" t="s">
        <v>237</v>
      </c>
    </row>
    <row r="49" s="145" customFormat="1" ht="15" customHeight="1" spans="1:6">
      <c r="A49" s="184" t="s">
        <v>238</v>
      </c>
      <c r="B49" s="185" t="s">
        <v>239</v>
      </c>
      <c r="C49" s="186" t="s">
        <v>240</v>
      </c>
      <c r="D49" s="186" t="s">
        <v>241</v>
      </c>
      <c r="E49" s="186" t="s">
        <v>242</v>
      </c>
      <c r="F49" s="187" t="s">
        <v>243</v>
      </c>
    </row>
    <row r="50" s="145" customFormat="1" ht="15" customHeight="1" spans="1:6">
      <c r="A50" s="184" t="s">
        <v>244</v>
      </c>
      <c r="B50" s="185" t="s">
        <v>245</v>
      </c>
      <c r="C50" s="186" t="s">
        <v>246</v>
      </c>
      <c r="D50" s="186" t="s">
        <v>247</v>
      </c>
      <c r="E50" s="186" t="s">
        <v>248</v>
      </c>
      <c r="F50" s="187" t="s">
        <v>249</v>
      </c>
    </row>
    <row r="51" s="145" customFormat="1" ht="15" customHeight="1" spans="1:6">
      <c r="A51" s="184" t="s">
        <v>250</v>
      </c>
      <c r="B51" s="185" t="s">
        <v>251</v>
      </c>
      <c r="C51" s="186" t="s">
        <v>252</v>
      </c>
      <c r="D51" s="186" t="s">
        <v>253</v>
      </c>
      <c r="E51" s="186" t="s">
        <v>254</v>
      </c>
      <c r="F51" s="187" t="s">
        <v>255</v>
      </c>
    </row>
    <row r="52" s="145" customFormat="1" ht="15" customHeight="1" spans="1:6">
      <c r="A52" s="184" t="s">
        <v>256</v>
      </c>
      <c r="B52" s="185" t="s">
        <v>257</v>
      </c>
      <c r="C52" s="186" t="s">
        <v>258</v>
      </c>
      <c r="D52" s="186" t="s">
        <v>259</v>
      </c>
      <c r="E52" s="186" t="s">
        <v>260</v>
      </c>
      <c r="F52" s="187" t="s">
        <v>261</v>
      </c>
    </row>
    <row r="53" s="145" customFormat="1" ht="15" customHeight="1" spans="1:6">
      <c r="A53" s="184" t="s">
        <v>262</v>
      </c>
      <c r="B53" s="185" t="s">
        <v>263</v>
      </c>
      <c r="C53" s="186" t="s">
        <v>264</v>
      </c>
      <c r="D53" s="186" t="s">
        <v>265</v>
      </c>
      <c r="E53" s="186" t="s">
        <v>266</v>
      </c>
      <c r="F53" s="187" t="s">
        <v>267</v>
      </c>
    </row>
    <row r="54" s="145" customFormat="1" ht="15" customHeight="1" spans="1:6">
      <c r="A54" s="184" t="s">
        <v>268</v>
      </c>
      <c r="B54" s="185"/>
      <c r="C54" s="186" t="s">
        <v>269</v>
      </c>
      <c r="D54" s="186" t="s">
        <v>270</v>
      </c>
      <c r="E54" s="186" t="s">
        <v>271</v>
      </c>
      <c r="F54" s="187" t="s">
        <v>272</v>
      </c>
    </row>
    <row r="55" s="145" customFormat="1" ht="15" customHeight="1" spans="1:6">
      <c r="A55" s="184" t="s">
        <v>273</v>
      </c>
      <c r="B55" s="185" t="s">
        <v>274</v>
      </c>
      <c r="C55" s="186" t="s">
        <v>275</v>
      </c>
      <c r="D55" s="186" t="s">
        <v>276</v>
      </c>
      <c r="E55" s="186" t="s">
        <v>277</v>
      </c>
      <c r="F55" s="187" t="s">
        <v>278</v>
      </c>
    </row>
    <row r="56" s="145" customFormat="1" ht="15" customHeight="1" spans="1:6">
      <c r="A56" s="184" t="s">
        <v>279</v>
      </c>
      <c r="B56" s="185"/>
      <c r="C56" s="186" t="s">
        <v>280</v>
      </c>
      <c r="D56" s="186" t="s">
        <v>281</v>
      </c>
      <c r="E56" s="186" t="s">
        <v>282</v>
      </c>
      <c r="F56" s="187" t="s">
        <v>283</v>
      </c>
    </row>
    <row r="57" s="145" customFormat="1" ht="15" customHeight="1" spans="1:6">
      <c r="A57" s="188" t="s">
        <v>284</v>
      </c>
      <c r="B57" s="185"/>
      <c r="C57" s="189">
        <f>SUM(C34:C42)+SUM(C46:C55)</f>
        <v>0</v>
      </c>
      <c r="D57" s="189">
        <f>SUM(D34:D42)+SUM(D46:D55)</f>
        <v>0</v>
      </c>
      <c r="E57" s="189">
        <f>SUM(E34:E42)+SUM(E46:E55)</f>
        <v>0</v>
      </c>
      <c r="F57" s="190">
        <f>SUM(F34:F42)+SUM(F46:F55)</f>
        <v>0</v>
      </c>
    </row>
    <row r="58" s="37" customFormat="1" ht="15.6" spans="1:6">
      <c r="A58" s="193" t="s">
        <v>285</v>
      </c>
      <c r="B58" s="194"/>
      <c r="C58" s="195" t="e">
        <f>C32+C57</f>
        <v>#VALUE!</v>
      </c>
      <c r="D58" s="195" t="e">
        <f>D32+D57</f>
        <v>#VALUE!</v>
      </c>
      <c r="E58" s="195" t="e">
        <f>E32+E57</f>
        <v>#VALUE!</v>
      </c>
      <c r="F58" s="196" t="e">
        <f>F32+F57</f>
        <v>#VALUE!</v>
      </c>
    </row>
    <row r="59" s="37" customFormat="1" ht="15" customHeight="1" spans="1:6">
      <c r="B59" s="114"/>
    </row>
    <row r="60" s="37" customFormat="1" ht="15" customHeight="1" spans="1:6">
      <c r="A60" s="143"/>
      <c r="B60" s="114"/>
    </row>
    <row r="61" s="37" customFormat="1" ht="15.6" spans="1:6">
      <c r="A61" s="174"/>
      <c r="B61" s="174"/>
      <c r="C61" s="174"/>
      <c r="D61" s="174"/>
      <c r="E61" s="174"/>
      <c r="F61" s="174"/>
    </row>
    <row r="62" s="37" customFormat="1" ht="15.6" spans="1:6">
      <c r="B62" s="114"/>
    </row>
    <row r="63" s="37" customFormat="1" ht="15.6" spans="1:6">
      <c r="A63" s="197" t="s">
        <v>286</v>
      </c>
    </row>
    <row r="64" s="37" customFormat="1" ht="15.6" spans="1:6">
      <c r="A64" s="197" t="s">
        <v>287</v>
      </c>
    </row>
    <row r="65" s="37" customFormat="1" ht="15.6" spans="1:6">
      <c r="A65" s="197" t="s">
        <v>288</v>
      </c>
    </row>
    <row r="66" s="37" customFormat="1" ht="15.6" spans="1:6">
      <c r="A66" s="197" t="s">
        <v>289</v>
      </c>
    </row>
    <row r="67" s="37" customFormat="1" ht="15.6" spans="1:6">
      <c r="A67" s="197"/>
    </row>
    <row r="68" s="37" customFormat="1" ht="31.5" customHeight="1" spans="1:6">
      <c r="A68" s="198"/>
    </row>
    <row r="69" s="37" customFormat="1" ht="41.25" customHeight="1" spans="1:6">
      <c r="A69" s="198"/>
    </row>
    <row r="70" s="37" customFormat="1" ht="15.6" spans="1:6">
      <c r="B70" s="114"/>
    </row>
    <row r="71" s="37" customFormat="1" ht="15.6" spans="1:6">
      <c r="B71" s="114"/>
    </row>
    <row r="72" s="37" customFormat="1" ht="15.6" spans="1:6">
      <c r="B72" s="114"/>
    </row>
    <row r="73" s="37" customFormat="1" ht="15.6" spans="1:6">
      <c r="B73" s="114"/>
    </row>
    <row r="74" s="37" customFormat="1" ht="15.6" spans="1:6">
      <c r="B74" s="114"/>
    </row>
    <row r="75" s="37" customFormat="1" ht="15.6" spans="1:6">
      <c r="B75" s="114"/>
    </row>
    <row r="76" s="37" customFormat="1" ht="15.6" spans="1:6">
      <c r="B76" s="114"/>
    </row>
    <row r="77" s="36" customFormat="1" ht="15.6" spans="1:6">
      <c r="A77" s="37"/>
      <c r="B77" s="114"/>
      <c r="C77" s="37"/>
      <c r="D77" s="37"/>
      <c r="E77" s="37"/>
      <c r="F77" s="37"/>
    </row>
    <row r="78" s="36" customFormat="1" ht="15.6" spans="1:6">
      <c r="A78" s="37"/>
      <c r="B78" s="114"/>
      <c r="C78" s="37"/>
      <c r="D78" s="37"/>
      <c r="E78" s="37"/>
      <c r="F78" s="37"/>
    </row>
    <row r="79" s="36" customFormat="1" ht="12" spans="1:6">
      <c r="B79" s="87"/>
    </row>
    <row r="80" s="36" customFormat="1" ht="12" spans="1:6">
      <c r="B80" s="87"/>
    </row>
    <row r="81" s="36" customFormat="1" ht="12" spans="2:2">
      <c r="B81" s="87"/>
    </row>
    <row r="82" s="36" customFormat="1" ht="12" spans="2:2">
      <c r="B82" s="87"/>
    </row>
    <row r="83" s="36" customFormat="1" ht="12" spans="2:2">
      <c r="B83" s="87"/>
    </row>
    <row r="84" s="36" customFormat="1" ht="12" spans="2:2">
      <c r="B84" s="87"/>
    </row>
    <row r="85" s="36" customFormat="1" ht="12" spans="2:2">
      <c r="B85" s="87"/>
    </row>
    <row r="86" s="36" customFormat="1" ht="12" spans="2:2">
      <c r="B86" s="87"/>
    </row>
    <row r="87" s="36" customFormat="1" ht="12" spans="2:2">
      <c r="B87" s="87"/>
    </row>
    <row r="88" s="36" customFormat="1" ht="12" spans="2:2">
      <c r="B88" s="87"/>
    </row>
    <row r="89" s="36" customFormat="1" ht="12" spans="2:2">
      <c r="B89" s="87"/>
    </row>
    <row r="90" s="36" customFormat="1" ht="12" spans="2:2">
      <c r="B90" s="87"/>
    </row>
    <row r="91" s="36" customFormat="1" ht="12" spans="2:2">
      <c r="B91" s="87"/>
    </row>
    <row r="92" s="36" customFormat="1" ht="12" spans="2:2">
      <c r="B92" s="87"/>
    </row>
    <row r="93" s="36" customFormat="1" ht="12" spans="2:2">
      <c r="B93" s="87"/>
    </row>
    <row r="94" s="36" customFormat="1" ht="12" spans="2:2">
      <c r="B94" s="87"/>
    </row>
    <row r="95" s="36" customFormat="1" ht="12" spans="2:2">
      <c r="B95" s="87"/>
    </row>
    <row r="96" s="36" customFormat="1" ht="12" spans="2:2">
      <c r="B96" s="87"/>
    </row>
    <row r="97" s="36" customFormat="1" ht="12" spans="2:2">
      <c r="B97" s="87"/>
    </row>
    <row r="98" s="36" customFormat="1" ht="12" spans="2:2">
      <c r="B98" s="87"/>
    </row>
    <row r="99" s="36" customFormat="1" ht="12" spans="2:2">
      <c r="B99" s="87"/>
    </row>
    <row r="100" s="36" customFormat="1" ht="12" spans="2:2">
      <c r="B100" s="87"/>
    </row>
    <row r="101" s="36" customFormat="1" ht="12" spans="2:2">
      <c r="B101" s="87"/>
    </row>
    <row r="102" s="36" customFormat="1" ht="12" spans="2:2">
      <c r="B102" s="87"/>
    </row>
    <row r="103" s="36" customFormat="1" ht="12" spans="2:2">
      <c r="B103" s="87"/>
    </row>
    <row r="104" s="36" customFormat="1" ht="12" spans="2:2">
      <c r="B104" s="87"/>
    </row>
    <row r="105" s="36" customFormat="1" ht="12" spans="2:2">
      <c r="B105" s="87"/>
    </row>
    <row r="106" s="36" customFormat="1" ht="12" spans="2:2">
      <c r="B106" s="87"/>
    </row>
    <row r="107" s="36" customFormat="1" ht="12" spans="2:2">
      <c r="B107" s="87"/>
    </row>
    <row r="108" s="36" customFormat="1" ht="12" spans="2:2">
      <c r="B108" s="87"/>
    </row>
    <row r="109" ht="15.6"/>
  </sheetData>
  <mergeCells count="13">
    <mergeCell ref="A1:F1"/>
    <mergeCell ref="A2:F2"/>
    <mergeCell ref="C4:D4"/>
    <mergeCell ref="E4:F4"/>
    <mergeCell ref="A63:D63"/>
    <mergeCell ref="A64:D64"/>
    <mergeCell ref="A65:D65"/>
    <mergeCell ref="A66:D66"/>
    <mergeCell ref="A67:D67"/>
    <mergeCell ref="A68:D68"/>
    <mergeCell ref="A69:D69"/>
    <mergeCell ref="A4:A5"/>
    <mergeCell ref="B4:B5"/>
  </mergeCells>
  <conditionalFormatting sqref="C$1:F$1048576">
    <cfRule type="cellIs" dxfId="0" priority="1" operator="equal">
      <formula>0</formula>
    </cfRule>
  </conditionalFormatting>
  <printOptions horizontalCentered="1"/>
  <pageMargins left="0.748031496062992" right="0.393055555555556" top="0.590277777777778" bottom="0.747916666666667" header="0.511811023622047" footer="0.511811023622047"/>
  <pageSetup paperSize="9" scale="87" fitToWidth="0" orientation="portrait" useFirstPageNumber="1"/>
  <headerFooter alignWithMargins="0">
    <oddFooter>&amp;C&amp;"Arial Narrow,常规"&amp;P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F131"/>
  <sheetViews>
    <sheetView showGridLines="0" showZeros="0" view="pageBreakPreview" zoomScaleNormal="110" workbookViewId="0">
      <pane xSplit="2" ySplit="5" topLeftCell="C6" activePane="bottomRight" state="frozen"/>
      <selection/>
      <selection pane="topRight"/>
      <selection pane="bottomLeft"/>
      <selection pane="bottomRight" activeCell="C17" sqref="C17"/>
    </sheetView>
  </sheetViews>
  <sheetFormatPr defaultColWidth="9" defaultRowHeight="15.75" customHeight="1" outlineLevelCol="5"/>
  <cols>
    <col min="1" max="1" width="43.25" style="36" customWidth="1"/>
    <col min="2" max="2" width="6.6" style="87" customWidth="1"/>
    <col min="3" max="6" width="19" style="36" customWidth="1"/>
    <col min="7" max="16384" width="9" style="36" customWidth="1"/>
  </cols>
  <sheetData>
    <row r="1" ht="30" customHeight="1" spans="1:6">
      <c r="A1" s="88" t="s">
        <v>290</v>
      </c>
    </row>
    <row r="2" ht="16.5" customHeight="1" spans="1:6">
      <c r="A2" s="146" t="s">
        <v>1</v>
      </c>
    </row>
    <row r="3" s="37" customFormat="1" ht="18" customHeight="1" spans="1:6">
      <c r="A3" s="42" t="s">
        <v>2</v>
      </c>
      <c r="B3" s="147"/>
      <c r="C3" s="147"/>
      <c r="D3" s="148"/>
      <c r="E3" s="148"/>
      <c r="F3" s="149" t="s">
        <v>3</v>
      </c>
    </row>
    <row r="4" s="37" customFormat="1" ht="15.6" customHeight="1" spans="1:6">
      <c r="A4" s="150" t="s">
        <v>4</v>
      </c>
      <c r="B4" s="150" t="s">
        <v>5</v>
      </c>
      <c r="C4" s="151" t="s">
        <v>6</v>
      </c>
      <c r="D4" s="13"/>
      <c r="E4" s="151" t="s">
        <v>7</v>
      </c>
      <c r="F4" s="13"/>
    </row>
    <row r="5" s="145" customFormat="1" ht="15.6" customHeight="1" spans="1:6">
      <c r="A5" s="14"/>
      <c r="B5" s="14"/>
      <c r="C5" s="152" t="s">
        <v>8</v>
      </c>
      <c r="D5" s="152" t="s">
        <v>9</v>
      </c>
      <c r="E5" s="152" t="s">
        <v>8</v>
      </c>
      <c r="F5" s="153" t="s">
        <v>9</v>
      </c>
    </row>
    <row r="6" s="145" customFormat="1" ht="15.6" customHeight="1" spans="1:6">
      <c r="A6" s="154" t="s">
        <v>291</v>
      </c>
      <c r="B6" s="155"/>
      <c r="C6" s="156"/>
      <c r="D6" s="157"/>
      <c r="E6" s="157"/>
      <c r="F6" s="158"/>
    </row>
    <row r="7" s="145" customFormat="1" ht="15.6" customHeight="1" spans="1:6">
      <c r="A7" s="159" t="s">
        <v>292</v>
      </c>
      <c r="B7" s="155" t="s">
        <v>293</v>
      </c>
      <c r="C7" s="160" t="s">
        <v>294</v>
      </c>
      <c r="D7" s="160" t="s">
        <v>295</v>
      </c>
      <c r="E7" s="160" t="s">
        <v>296</v>
      </c>
      <c r="F7" s="161" t="s">
        <v>297</v>
      </c>
    </row>
    <row r="8" s="145" customFormat="1" ht="15.6" customHeight="1" spans="1:6">
      <c r="A8" s="159" t="s">
        <v>298</v>
      </c>
      <c r="B8" s="155"/>
      <c r="C8" s="160" t="s">
        <v>299</v>
      </c>
      <c r="D8" s="160" t="s">
        <v>300</v>
      </c>
      <c r="E8" s="160" t="s">
        <v>301</v>
      </c>
      <c r="F8" s="161" t="s">
        <v>302</v>
      </c>
    </row>
    <row r="9" s="145" customFormat="1" ht="15.6" customHeight="1" spans="1:6">
      <c r="A9" s="159" t="s">
        <v>303</v>
      </c>
      <c r="B9" s="155"/>
      <c r="C9" s="160" t="s">
        <v>304</v>
      </c>
      <c r="D9" s="160" t="s">
        <v>305</v>
      </c>
      <c r="E9" s="160" t="s">
        <v>306</v>
      </c>
      <c r="F9" s="161" t="s">
        <v>307</v>
      </c>
    </row>
    <row r="10" s="145" customFormat="1" ht="15.6" customHeight="1" spans="1:6">
      <c r="A10" s="154" t="s">
        <v>308</v>
      </c>
      <c r="B10" s="155" t="s">
        <v>309</v>
      </c>
      <c r="C10" s="160" t="s">
        <v>310</v>
      </c>
      <c r="D10" s="160" t="s">
        <v>311</v>
      </c>
      <c r="E10" s="160" t="s">
        <v>312</v>
      </c>
      <c r="F10" s="161" t="s">
        <v>313</v>
      </c>
    </row>
    <row r="11" s="145" customFormat="1" ht="15.6" customHeight="1" spans="1:6">
      <c r="A11" s="159" t="s">
        <v>314</v>
      </c>
      <c r="B11" s="155" t="s">
        <v>315</v>
      </c>
      <c r="C11" s="160" t="s">
        <v>316</v>
      </c>
      <c r="D11" s="160" t="s">
        <v>317</v>
      </c>
      <c r="E11" s="160" t="s">
        <v>318</v>
      </c>
      <c r="F11" s="161" t="s">
        <v>319</v>
      </c>
    </row>
    <row r="12" s="145" customFormat="1" ht="15.6" customHeight="1" spans="1:6">
      <c r="A12" s="159" t="s">
        <v>320</v>
      </c>
      <c r="B12" s="155" t="s">
        <v>321</v>
      </c>
      <c r="C12" s="160" t="s">
        <v>322</v>
      </c>
      <c r="D12" s="160" t="s">
        <v>323</v>
      </c>
      <c r="E12" s="160" t="s">
        <v>324</v>
      </c>
      <c r="F12" s="161" t="s">
        <v>325</v>
      </c>
    </row>
    <row r="13" s="145" customFormat="1" ht="15.6" customHeight="1" spans="1:6">
      <c r="A13" s="159" t="s">
        <v>326</v>
      </c>
      <c r="B13" s="155" t="s">
        <v>327</v>
      </c>
      <c r="C13" s="160" t="s">
        <v>328</v>
      </c>
      <c r="D13" s="160" t="s">
        <v>329</v>
      </c>
      <c r="E13" s="160" t="s">
        <v>330</v>
      </c>
      <c r="F13" s="161" t="s">
        <v>331</v>
      </c>
    </row>
    <row r="14" s="145" customFormat="1" ht="15.6" customHeight="1" spans="1:6">
      <c r="A14" s="159" t="s">
        <v>332</v>
      </c>
      <c r="B14" s="155" t="s">
        <v>333</v>
      </c>
      <c r="C14" s="160" t="s">
        <v>334</v>
      </c>
      <c r="D14" s="160" t="s">
        <v>335</v>
      </c>
      <c r="E14" s="160" t="s">
        <v>336</v>
      </c>
      <c r="F14" s="161" t="s">
        <v>337</v>
      </c>
    </row>
    <row r="15" s="145" customFormat="1" ht="15.6" customHeight="1" spans="1:6">
      <c r="A15" s="154" t="s">
        <v>338</v>
      </c>
      <c r="B15" s="155" t="s">
        <v>339</v>
      </c>
      <c r="C15" s="160" t="s">
        <v>340</v>
      </c>
      <c r="D15" s="160" t="s">
        <v>341</v>
      </c>
      <c r="E15" s="160" t="s">
        <v>342</v>
      </c>
      <c r="F15" s="161" t="s">
        <v>343</v>
      </c>
    </row>
    <row r="16" s="145" customFormat="1" ht="15.6" customHeight="1" spans="1:6">
      <c r="A16" s="159" t="s">
        <v>344</v>
      </c>
      <c r="B16" s="155"/>
      <c r="C16" s="160" t="s">
        <v>345</v>
      </c>
      <c r="D16" s="160" t="s">
        <v>346</v>
      </c>
      <c r="E16" s="160" t="s">
        <v>347</v>
      </c>
      <c r="F16" s="161" t="s">
        <v>348</v>
      </c>
    </row>
    <row r="17" s="145" customFormat="1" ht="15.6" customHeight="1" spans="1:6">
      <c r="A17" s="162" t="s">
        <v>349</v>
      </c>
      <c r="B17" s="155"/>
      <c r="C17" s="160" t="s">
        <v>350</v>
      </c>
      <c r="D17" s="160" t="s">
        <v>351</v>
      </c>
      <c r="E17" s="160" t="s">
        <v>352</v>
      </c>
      <c r="F17" s="161" t="s">
        <v>353</v>
      </c>
    </row>
    <row r="18" s="145" customFormat="1" ht="15.6" customHeight="1" spans="1:6">
      <c r="A18" s="159" t="s">
        <v>354</v>
      </c>
      <c r="B18" s="155"/>
      <c r="C18" s="160" t="s">
        <v>355</v>
      </c>
      <c r="D18" s="160" t="s">
        <v>356</v>
      </c>
      <c r="E18" s="160" t="s">
        <v>357</v>
      </c>
      <c r="F18" s="161" t="s">
        <v>358</v>
      </c>
    </row>
    <row r="19" s="145" customFormat="1" ht="15.6" customHeight="1" spans="1:6">
      <c r="A19" s="159" t="s">
        <v>359</v>
      </c>
      <c r="B19" s="155"/>
      <c r="C19" s="160" t="s">
        <v>360</v>
      </c>
      <c r="D19" s="160" t="s">
        <v>361</v>
      </c>
      <c r="E19" s="160" t="s">
        <v>362</v>
      </c>
      <c r="F19" s="161" t="s">
        <v>363</v>
      </c>
    </row>
    <row r="20" s="145" customFormat="1" ht="15.6" customHeight="1" spans="1:6">
      <c r="A20" s="159" t="s">
        <v>364</v>
      </c>
      <c r="B20" s="155"/>
      <c r="C20" s="160" t="s">
        <v>365</v>
      </c>
      <c r="D20" s="160" t="s">
        <v>366</v>
      </c>
      <c r="E20" s="160" t="s">
        <v>367</v>
      </c>
      <c r="F20" s="161" t="s">
        <v>368</v>
      </c>
    </row>
    <row r="21" s="145" customFormat="1" ht="15.6" customHeight="1" spans="1:6">
      <c r="A21" s="159" t="s">
        <v>369</v>
      </c>
      <c r="B21" s="155" t="s">
        <v>370</v>
      </c>
      <c r="C21" s="160" t="s">
        <v>371</v>
      </c>
      <c r="D21" s="160" t="s">
        <v>372</v>
      </c>
      <c r="E21" s="160" t="s">
        <v>373</v>
      </c>
      <c r="F21" s="161" t="s">
        <v>374</v>
      </c>
    </row>
    <row r="22" s="145" customFormat="1" ht="15.6" customHeight="1" spans="1:6">
      <c r="A22" s="159" t="s">
        <v>375</v>
      </c>
      <c r="B22" s="155"/>
      <c r="C22" s="160" t="s">
        <v>376</v>
      </c>
      <c r="D22" s="160" t="s">
        <v>377</v>
      </c>
      <c r="E22" s="160" t="s">
        <v>378</v>
      </c>
      <c r="F22" s="161" t="s">
        <v>379</v>
      </c>
    </row>
    <row r="23" s="145" customFormat="1" ht="15.6" customHeight="1" spans="1:6">
      <c r="A23" s="159" t="s">
        <v>380</v>
      </c>
      <c r="B23" s="155"/>
      <c r="C23" s="160" t="s">
        <v>381</v>
      </c>
      <c r="D23" s="160" t="s">
        <v>382</v>
      </c>
      <c r="E23" s="160" t="s">
        <v>383</v>
      </c>
      <c r="F23" s="161" t="s">
        <v>384</v>
      </c>
    </row>
    <row r="24" s="145" customFormat="1" ht="15.6" customHeight="1" spans="1:6">
      <c r="A24" s="159" t="s">
        <v>385</v>
      </c>
      <c r="B24" s="155"/>
      <c r="C24" s="160" t="s">
        <v>386</v>
      </c>
      <c r="D24" s="160" t="s">
        <v>387</v>
      </c>
      <c r="E24" s="160" t="s">
        <v>388</v>
      </c>
      <c r="F24" s="161" t="s">
        <v>389</v>
      </c>
    </row>
    <row r="25" s="145" customFormat="1" ht="15.6" customHeight="1" spans="1:6">
      <c r="A25" s="159" t="s">
        <v>390</v>
      </c>
      <c r="B25" s="155" t="s">
        <v>391</v>
      </c>
      <c r="C25" s="160" t="s">
        <v>392</v>
      </c>
      <c r="D25" s="160" t="s">
        <v>393</v>
      </c>
      <c r="E25" s="160" t="s">
        <v>394</v>
      </c>
      <c r="F25" s="161" t="s">
        <v>395</v>
      </c>
    </row>
    <row r="26" s="145" customFormat="1" ht="15.6" customHeight="1" spans="1:6">
      <c r="A26" s="159" t="s">
        <v>396</v>
      </c>
      <c r="B26" s="155"/>
      <c r="C26" s="160" t="s">
        <v>397</v>
      </c>
      <c r="D26" s="160" t="s">
        <v>398</v>
      </c>
      <c r="E26" s="160" t="s">
        <v>399</v>
      </c>
      <c r="F26" s="161" t="s">
        <v>400</v>
      </c>
    </row>
    <row r="27" s="145" customFormat="1" ht="15.6" customHeight="1" spans="1:6">
      <c r="A27" s="159" t="s">
        <v>401</v>
      </c>
      <c r="B27" s="155" t="s">
        <v>402</v>
      </c>
      <c r="C27" s="160" t="s">
        <v>403</v>
      </c>
      <c r="D27" s="160" t="s">
        <v>404</v>
      </c>
      <c r="E27" s="160" t="s">
        <v>405</v>
      </c>
      <c r="F27" s="161" t="s">
        <v>406</v>
      </c>
    </row>
    <row r="28" s="145" customFormat="1" ht="15.6" customHeight="1" spans="1:6">
      <c r="A28" s="159" t="s">
        <v>407</v>
      </c>
      <c r="B28" s="155"/>
      <c r="C28" s="160" t="s">
        <v>408</v>
      </c>
      <c r="D28" s="160" t="s">
        <v>409</v>
      </c>
      <c r="E28" s="160" t="s">
        <v>410</v>
      </c>
      <c r="F28" s="161" t="s">
        <v>411</v>
      </c>
    </row>
    <row r="29" s="145" customFormat="1" ht="15.6" customHeight="1" spans="1:6">
      <c r="A29" s="162" t="s">
        <v>412</v>
      </c>
      <c r="B29" s="155"/>
      <c r="C29" s="160" t="s">
        <v>413</v>
      </c>
      <c r="D29" s="160" t="s">
        <v>414</v>
      </c>
      <c r="E29" s="160" t="s">
        <v>415</v>
      </c>
      <c r="F29" s="161" t="s">
        <v>416</v>
      </c>
    </row>
    <row r="30" s="145" customFormat="1" ht="15.6" customHeight="1" spans="1:6">
      <c r="A30" s="159" t="s">
        <v>417</v>
      </c>
      <c r="B30" s="155"/>
      <c r="C30" s="160" t="s">
        <v>418</v>
      </c>
      <c r="D30" s="160" t="s">
        <v>419</v>
      </c>
      <c r="E30" s="160" t="s">
        <v>420</v>
      </c>
      <c r="F30" s="161" t="s">
        <v>421</v>
      </c>
    </row>
    <row r="31" s="145" customFormat="1" ht="15.6" customHeight="1" spans="1:6">
      <c r="A31" s="159" t="s">
        <v>422</v>
      </c>
      <c r="B31" s="155" t="s">
        <v>423</v>
      </c>
      <c r="C31" s="160" t="s">
        <v>424</v>
      </c>
      <c r="D31" s="160" t="s">
        <v>425</v>
      </c>
      <c r="E31" s="160" t="s">
        <v>426</v>
      </c>
      <c r="F31" s="161" t="s">
        <v>427</v>
      </c>
    </row>
    <row r="32" s="145" customFormat="1" ht="15.6" customHeight="1" spans="1:6">
      <c r="A32" s="159" t="s">
        <v>428</v>
      </c>
      <c r="B32" s="155" t="s">
        <v>429</v>
      </c>
      <c r="C32" s="160" t="s">
        <v>430</v>
      </c>
      <c r="D32" s="160" t="s">
        <v>431</v>
      </c>
      <c r="E32" s="160" t="s">
        <v>432</v>
      </c>
      <c r="F32" s="161" t="s">
        <v>433</v>
      </c>
    </row>
    <row r="33" s="145" customFormat="1" ht="15.6" customHeight="1" spans="1:6">
      <c r="A33" s="159" t="s">
        <v>434</v>
      </c>
      <c r="B33" s="155" t="s">
        <v>435</v>
      </c>
      <c r="C33" s="160" t="s">
        <v>436</v>
      </c>
      <c r="D33" s="160" t="s">
        <v>437</v>
      </c>
      <c r="E33" s="160" t="s">
        <v>438</v>
      </c>
      <c r="F33" s="161" t="s">
        <v>439</v>
      </c>
    </row>
    <row r="34" s="145" customFormat="1" ht="15.6" customHeight="1" spans="1:6">
      <c r="A34" s="163" t="s">
        <v>440</v>
      </c>
      <c r="B34" s="155"/>
      <c r="C34" s="164" t="e">
        <f>SUM(C7:C21)+C25+C27+SUM(C29:C33)</f>
        <v>#VALUE!</v>
      </c>
      <c r="D34" s="164" t="e">
        <f>SUM(D7:D21)+D25+D27+SUM(D29:D33)</f>
        <v>#VALUE!</v>
      </c>
      <c r="E34" s="164" t="e">
        <f>SUM(E7:E21)+E25+E27+SUM(E29:E33)</f>
        <v>#VALUE!</v>
      </c>
      <c r="F34" s="165" t="e">
        <f>SUM(F7:F21)+F25+F27+SUM(F29:F33)</f>
        <v>#VALUE!</v>
      </c>
    </row>
    <row r="35" s="145" customFormat="1" ht="15.6" customHeight="1" spans="1:6">
      <c r="A35" s="159" t="s">
        <v>441</v>
      </c>
      <c r="B35" s="155"/>
      <c r="C35" s="156"/>
      <c r="D35" s="166"/>
      <c r="E35" s="166"/>
      <c r="F35" s="167"/>
    </row>
    <row r="36" s="145" customFormat="1" ht="15.6" customHeight="1" spans="1:6">
      <c r="A36" s="162" t="s">
        <v>442</v>
      </c>
      <c r="B36" s="155"/>
      <c r="C36" s="160" t="s">
        <v>443</v>
      </c>
      <c r="D36" s="160" t="s">
        <v>444</v>
      </c>
      <c r="E36" s="160" t="s">
        <v>445</v>
      </c>
      <c r="F36" s="161" t="s">
        <v>446</v>
      </c>
    </row>
    <row r="37" s="145" customFormat="1" ht="15.6" customHeight="1" spans="1:6">
      <c r="A37" s="159" t="s">
        <v>447</v>
      </c>
      <c r="B37" s="155" t="s">
        <v>448</v>
      </c>
      <c r="C37" s="160" t="s">
        <v>449</v>
      </c>
      <c r="D37" s="160" t="s">
        <v>450</v>
      </c>
      <c r="E37" s="160" t="s">
        <v>451</v>
      </c>
      <c r="F37" s="161" t="s">
        <v>452</v>
      </c>
    </row>
    <row r="38" s="145" customFormat="1" ht="15.6" customHeight="1" spans="1:6">
      <c r="A38" s="159" t="s">
        <v>453</v>
      </c>
      <c r="B38" s="155" t="s">
        <v>454</v>
      </c>
      <c r="C38" s="160" t="s">
        <v>455</v>
      </c>
      <c r="D38" s="160" t="s">
        <v>456</v>
      </c>
      <c r="E38" s="160" t="s">
        <v>457</v>
      </c>
      <c r="F38" s="161" t="s">
        <v>458</v>
      </c>
    </row>
    <row r="39" s="145" customFormat="1" ht="15.6" customHeight="1" spans="1:6">
      <c r="A39" s="159" t="s">
        <v>459</v>
      </c>
      <c r="B39" s="155"/>
      <c r="C39" s="160" t="s">
        <v>460</v>
      </c>
      <c r="D39" s="160" t="s">
        <v>461</v>
      </c>
      <c r="E39" s="160" t="s">
        <v>462</v>
      </c>
      <c r="F39" s="161" t="s">
        <v>463</v>
      </c>
    </row>
    <row r="40" s="145" customFormat="1" ht="15.6" customHeight="1" spans="1:6">
      <c r="A40" s="159" t="s">
        <v>464</v>
      </c>
      <c r="B40" s="155"/>
      <c r="C40" s="160" t="s">
        <v>465</v>
      </c>
      <c r="D40" s="160" t="s">
        <v>466</v>
      </c>
      <c r="E40" s="160" t="s">
        <v>467</v>
      </c>
      <c r="F40" s="161" t="s">
        <v>468</v>
      </c>
    </row>
    <row r="41" s="145" customFormat="1" ht="15.6" customHeight="1" spans="1:6">
      <c r="A41" s="159" t="s">
        <v>469</v>
      </c>
      <c r="B41" s="155"/>
      <c r="C41" s="160" t="s">
        <v>470</v>
      </c>
      <c r="D41" s="160" t="s">
        <v>471</v>
      </c>
      <c r="E41" s="160" t="s">
        <v>472</v>
      </c>
      <c r="F41" s="161" t="s">
        <v>473</v>
      </c>
    </row>
    <row r="42" s="145" customFormat="1" ht="15.6" customHeight="1" spans="1:6">
      <c r="A42" s="159" t="s">
        <v>474</v>
      </c>
      <c r="B42" s="155"/>
      <c r="C42" s="160" t="s">
        <v>475</v>
      </c>
      <c r="D42" s="160" t="s">
        <v>476</v>
      </c>
      <c r="E42" s="160" t="s">
        <v>477</v>
      </c>
      <c r="F42" s="161" t="s">
        <v>478</v>
      </c>
    </row>
    <row r="43" s="145" customFormat="1" ht="15.6" customHeight="1" spans="1:6">
      <c r="A43" s="154" t="s">
        <v>479</v>
      </c>
      <c r="B43" s="155" t="s">
        <v>480</v>
      </c>
      <c r="C43" s="160" t="s">
        <v>481</v>
      </c>
      <c r="D43" s="160" t="s">
        <v>482</v>
      </c>
      <c r="E43" s="160" t="s">
        <v>483</v>
      </c>
      <c r="F43" s="161" t="s">
        <v>484</v>
      </c>
    </row>
    <row r="44" s="145" customFormat="1" ht="15.6" customHeight="1" spans="1:6">
      <c r="A44" s="159" t="s">
        <v>485</v>
      </c>
      <c r="B44" s="155" t="s">
        <v>486</v>
      </c>
      <c r="C44" s="160" t="s">
        <v>487</v>
      </c>
      <c r="D44" s="160" t="s">
        <v>488</v>
      </c>
      <c r="E44" s="160" t="s">
        <v>489</v>
      </c>
      <c r="F44" s="161" t="s">
        <v>490</v>
      </c>
    </row>
    <row r="45" s="145" customFormat="1" ht="15.6" customHeight="1" spans="1:6">
      <c r="A45" s="159" t="s">
        <v>491</v>
      </c>
      <c r="B45" s="155" t="s">
        <v>492</v>
      </c>
      <c r="C45" s="160" t="s">
        <v>493</v>
      </c>
      <c r="D45" s="160" t="s">
        <v>494</v>
      </c>
      <c r="E45" s="160" t="s">
        <v>495</v>
      </c>
      <c r="F45" s="161" t="s">
        <v>496</v>
      </c>
    </row>
    <row r="46" s="145" customFormat="1" ht="15.6" customHeight="1" spans="1:6">
      <c r="A46" s="159" t="s">
        <v>497</v>
      </c>
      <c r="B46" s="155" t="s">
        <v>498</v>
      </c>
      <c r="C46" s="160" t="s">
        <v>499</v>
      </c>
      <c r="D46" s="160" t="s">
        <v>500</v>
      </c>
      <c r="E46" s="160" t="s">
        <v>501</v>
      </c>
      <c r="F46" s="161" t="s">
        <v>502</v>
      </c>
    </row>
    <row r="47" s="145" customFormat="1" ht="15.6" customHeight="1" spans="1:6">
      <c r="A47" s="168" t="s">
        <v>503</v>
      </c>
      <c r="B47" s="155" t="s">
        <v>504</v>
      </c>
      <c r="C47" s="160" t="s">
        <v>505</v>
      </c>
      <c r="D47" s="160" t="s">
        <v>506</v>
      </c>
      <c r="E47" s="160" t="s">
        <v>507</v>
      </c>
      <c r="F47" s="161" t="s">
        <v>508</v>
      </c>
    </row>
    <row r="48" s="145" customFormat="1" ht="15.6" customHeight="1" spans="1:6">
      <c r="A48" s="159" t="s">
        <v>509</v>
      </c>
      <c r="B48" s="155"/>
      <c r="C48" s="160" t="s">
        <v>510</v>
      </c>
      <c r="D48" s="160" t="s">
        <v>511</v>
      </c>
      <c r="E48" s="160" t="s">
        <v>512</v>
      </c>
      <c r="F48" s="161" t="s">
        <v>513</v>
      </c>
    </row>
    <row r="49" s="145" customFormat="1" ht="15.6" customHeight="1" spans="1:6">
      <c r="A49" s="159" t="s">
        <v>514</v>
      </c>
      <c r="B49" s="155" t="s">
        <v>515</v>
      </c>
      <c r="C49" s="160" t="s">
        <v>516</v>
      </c>
      <c r="D49" s="160" t="s">
        <v>517</v>
      </c>
      <c r="E49" s="160" t="s">
        <v>518</v>
      </c>
      <c r="F49" s="161" t="s">
        <v>519</v>
      </c>
    </row>
    <row r="50" s="145" customFormat="1" ht="15.6" customHeight="1" spans="1:6">
      <c r="A50" s="159" t="s">
        <v>520</v>
      </c>
      <c r="B50" s="155"/>
      <c r="C50" s="160" t="s">
        <v>521</v>
      </c>
      <c r="D50" s="160" t="s">
        <v>522</v>
      </c>
      <c r="E50" s="160" t="s">
        <v>523</v>
      </c>
      <c r="F50" s="161" t="s">
        <v>524</v>
      </c>
    </row>
    <row r="51" s="145" customFormat="1" ht="15.6" customHeight="1" spans="1:6">
      <c r="A51" s="163" t="s">
        <v>525</v>
      </c>
      <c r="B51" s="155"/>
      <c r="C51" s="164" t="e">
        <f>SUM(C36:C49)-C39-C40</f>
        <v>#VALUE!</v>
      </c>
      <c r="D51" s="164" t="e">
        <f>SUM(D36:D49)-D39-D40</f>
        <v>#VALUE!</v>
      </c>
      <c r="E51" s="164" t="e">
        <f>SUM(E36:E49)-E39-E40</f>
        <v>#VALUE!</v>
      </c>
      <c r="F51" s="165" t="e">
        <f>SUM(F36:F49)-F39-F40</f>
        <v>#VALUE!</v>
      </c>
    </row>
    <row r="52" s="145" customFormat="1" ht="15.6" customHeight="1" spans="1:6">
      <c r="A52" s="163" t="s">
        <v>526</v>
      </c>
      <c r="B52" s="155"/>
      <c r="C52" s="164" t="e">
        <f>C34+C51</f>
        <v>#VALUE!</v>
      </c>
      <c r="D52" s="164" t="e">
        <f>D34+D51</f>
        <v>#VALUE!</v>
      </c>
      <c r="E52" s="164" t="e">
        <f>E34+E51</f>
        <v>#VALUE!</v>
      </c>
      <c r="F52" s="165" t="e">
        <f>F34+F51</f>
        <v>#VALUE!</v>
      </c>
    </row>
    <row r="53" s="145" customFormat="1" ht="15.6" customHeight="1" spans="1:6">
      <c r="A53" s="159" t="s">
        <v>527</v>
      </c>
      <c r="B53" s="155"/>
      <c r="C53" s="156"/>
      <c r="D53" s="166"/>
      <c r="E53" s="166"/>
      <c r="F53" s="167"/>
    </row>
    <row r="54" s="145" customFormat="1" ht="15.6" customHeight="1" spans="1:6">
      <c r="A54" s="159" t="s">
        <v>528</v>
      </c>
      <c r="B54" s="155" t="s">
        <v>529</v>
      </c>
      <c r="C54" s="160">
        <f>SUM(C55:C59)</f>
        <v>0</v>
      </c>
      <c r="D54" s="160">
        <f>SUM(D55:D59)</f>
        <v>0</v>
      </c>
      <c r="E54" s="160">
        <f>SUM(E55:E59)</f>
        <v>0</v>
      </c>
      <c r="F54" s="161">
        <f>SUM(F55:F59)</f>
        <v>0</v>
      </c>
    </row>
    <row r="55" s="145" customFormat="1" ht="15.6" customHeight="1" spans="1:6">
      <c r="A55" s="162" t="s">
        <v>530</v>
      </c>
      <c r="B55" s="155"/>
      <c r="C55" s="160" t="s">
        <v>531</v>
      </c>
      <c r="D55" s="160" t="s">
        <v>532</v>
      </c>
      <c r="E55" s="160" t="s">
        <v>533</v>
      </c>
      <c r="F55" s="161" t="s">
        <v>534</v>
      </c>
    </row>
    <row r="56" s="145" customFormat="1" ht="15.6" customHeight="1" spans="1:6">
      <c r="A56" s="159" t="s">
        <v>535</v>
      </c>
      <c r="B56" s="155"/>
      <c r="C56" s="160" t="s">
        <v>536</v>
      </c>
      <c r="D56" s="160" t="s">
        <v>537</v>
      </c>
      <c r="E56" s="160" t="s">
        <v>538</v>
      </c>
      <c r="F56" s="161" t="s">
        <v>539</v>
      </c>
    </row>
    <row r="57" s="145" customFormat="1" ht="15.6" customHeight="1" spans="1:6">
      <c r="A57" s="159" t="s">
        <v>540</v>
      </c>
      <c r="B57" s="155"/>
      <c r="C57" s="160" t="s">
        <v>541</v>
      </c>
      <c r="D57" s="160" t="s">
        <v>542</v>
      </c>
      <c r="E57" s="160" t="s">
        <v>543</v>
      </c>
      <c r="F57" s="161" t="s">
        <v>544</v>
      </c>
    </row>
    <row r="58" s="145" customFormat="1" ht="15.6" customHeight="1" spans="1:6">
      <c r="A58" s="162" t="s">
        <v>545</v>
      </c>
      <c r="B58" s="155"/>
      <c r="C58" s="160" t="s">
        <v>546</v>
      </c>
      <c r="D58" s="160" t="s">
        <v>547</v>
      </c>
      <c r="E58" s="160" t="s">
        <v>548</v>
      </c>
      <c r="F58" s="161" t="s">
        <v>549</v>
      </c>
    </row>
    <row r="59" s="145" customFormat="1" ht="15.6" customHeight="1" spans="1:6">
      <c r="A59" s="159" t="s">
        <v>550</v>
      </c>
      <c r="B59" s="155"/>
      <c r="C59" s="160" t="s">
        <v>551</v>
      </c>
      <c r="D59" s="160" t="s">
        <v>552</v>
      </c>
      <c r="E59" s="160" t="s">
        <v>553</v>
      </c>
      <c r="F59" s="161" t="s">
        <v>554</v>
      </c>
    </row>
    <row r="60" s="145" customFormat="1" ht="15.6" customHeight="1" spans="1:6">
      <c r="A60" s="159" t="s">
        <v>555</v>
      </c>
      <c r="B60" s="155"/>
      <c r="C60" s="160" t="s">
        <v>556</v>
      </c>
      <c r="D60" s="160" t="s">
        <v>557</v>
      </c>
      <c r="E60" s="160" t="s">
        <v>558</v>
      </c>
      <c r="F60" s="161" t="s">
        <v>559</v>
      </c>
    </row>
    <row r="61" s="145" customFormat="1" ht="15.6" customHeight="1" spans="1:6">
      <c r="A61" s="159" t="s">
        <v>560</v>
      </c>
      <c r="B61" s="155"/>
      <c r="C61" s="160" t="e">
        <f>C54-C60</f>
        <v>#VALUE!</v>
      </c>
      <c r="D61" s="160" t="e">
        <f>D54-D60</f>
        <v>#VALUE!</v>
      </c>
      <c r="E61" s="160" t="e">
        <f>E54-E60</f>
        <v>#VALUE!</v>
      </c>
      <c r="F61" s="161" t="e">
        <f>F54-F60</f>
        <v>#VALUE!</v>
      </c>
    </row>
    <row r="62" s="145" customFormat="1" ht="15.6" customHeight="1" spans="1:6">
      <c r="A62" s="168" t="s">
        <v>561</v>
      </c>
      <c r="B62" s="155" t="s">
        <v>562</v>
      </c>
      <c r="C62" s="160" t="s">
        <v>563</v>
      </c>
      <c r="D62" s="160" t="s">
        <v>564</v>
      </c>
      <c r="E62" s="160" t="s">
        <v>565</v>
      </c>
      <c r="F62" s="161" t="s">
        <v>566</v>
      </c>
    </row>
    <row r="63" s="145" customFormat="1" ht="15.6" customHeight="1" spans="1:6">
      <c r="A63" s="168" t="s">
        <v>567</v>
      </c>
      <c r="B63" s="155"/>
      <c r="C63" s="160" t="s">
        <v>460</v>
      </c>
      <c r="D63" s="160" t="s">
        <v>568</v>
      </c>
      <c r="E63" s="160" t="s">
        <v>462</v>
      </c>
      <c r="F63" s="161" t="s">
        <v>569</v>
      </c>
    </row>
    <row r="64" s="145" customFormat="1" ht="15.6" customHeight="1" spans="1:6">
      <c r="A64" s="168" t="s">
        <v>570</v>
      </c>
      <c r="B64" s="155"/>
      <c r="C64" s="160" t="s">
        <v>465</v>
      </c>
      <c r="D64" s="160" t="s">
        <v>571</v>
      </c>
      <c r="E64" s="160" t="s">
        <v>467</v>
      </c>
      <c r="F64" s="161" t="s">
        <v>572</v>
      </c>
    </row>
    <row r="65" s="145" customFormat="1" ht="15.6" customHeight="1" spans="1:6">
      <c r="A65" s="159" t="s">
        <v>573</v>
      </c>
      <c r="B65" s="155" t="s">
        <v>574</v>
      </c>
      <c r="C65" s="160" t="s">
        <v>575</v>
      </c>
      <c r="D65" s="160" t="s">
        <v>576</v>
      </c>
      <c r="E65" s="160" t="s">
        <v>577</v>
      </c>
      <c r="F65" s="161" t="s">
        <v>578</v>
      </c>
    </row>
    <row r="66" s="145" customFormat="1" ht="15.6" customHeight="1" spans="1:6">
      <c r="A66" s="159" t="s">
        <v>579</v>
      </c>
      <c r="B66" s="155"/>
      <c r="C66" s="160" t="s">
        <v>580</v>
      </c>
      <c r="D66" s="160" t="s">
        <v>581</v>
      </c>
      <c r="E66" s="160" t="s">
        <v>582</v>
      </c>
      <c r="F66" s="161" t="s">
        <v>583</v>
      </c>
    </row>
    <row r="67" s="145" customFormat="1" ht="15.6" customHeight="1" spans="1:6">
      <c r="A67" s="168" t="s">
        <v>584</v>
      </c>
      <c r="B67" s="155"/>
      <c r="C67" s="160" t="s">
        <v>585</v>
      </c>
      <c r="D67" s="160" t="s">
        <v>586</v>
      </c>
      <c r="E67" s="160" t="s">
        <v>587</v>
      </c>
      <c r="F67" s="161" t="s">
        <v>588</v>
      </c>
    </row>
    <row r="68" s="145" customFormat="1" ht="15.6" customHeight="1" spans="1:6">
      <c r="A68" s="168" t="s">
        <v>589</v>
      </c>
      <c r="B68" s="155"/>
      <c r="C68" s="160" t="s">
        <v>590</v>
      </c>
      <c r="D68" s="160" t="s">
        <v>591</v>
      </c>
      <c r="E68" s="160" t="s">
        <v>592</v>
      </c>
      <c r="F68" s="161" t="s">
        <v>593</v>
      </c>
    </row>
    <row r="69" s="145" customFormat="1" ht="15.6" customHeight="1" spans="1:6">
      <c r="A69" s="159" t="s">
        <v>594</v>
      </c>
      <c r="B69" s="155" t="s">
        <v>595</v>
      </c>
      <c r="C69" s="160" t="s">
        <v>596</v>
      </c>
      <c r="D69" s="160" t="s">
        <v>597</v>
      </c>
      <c r="E69" s="160" t="s">
        <v>598</v>
      </c>
      <c r="F69" s="161" t="s">
        <v>599</v>
      </c>
    </row>
    <row r="70" s="145" customFormat="1" ht="15.6" customHeight="1" spans="1:6">
      <c r="A70" s="159" t="s">
        <v>600</v>
      </c>
      <c r="B70" s="155" t="s">
        <v>601</v>
      </c>
      <c r="C70" s="160" t="s">
        <v>602</v>
      </c>
      <c r="D70" s="160" t="s">
        <v>603</v>
      </c>
      <c r="E70" s="160" t="s">
        <v>604</v>
      </c>
      <c r="F70" s="161" t="s">
        <v>605</v>
      </c>
    </row>
    <row r="71" s="145" customFormat="1" ht="15.6" customHeight="1" spans="1:6">
      <c r="A71" s="159" t="s">
        <v>606</v>
      </c>
      <c r="B71" s="155"/>
      <c r="C71" s="160" t="s">
        <v>607</v>
      </c>
      <c r="D71" s="160" t="s">
        <v>608</v>
      </c>
      <c r="E71" s="160" t="s">
        <v>609</v>
      </c>
      <c r="F71" s="161" t="s">
        <v>610</v>
      </c>
    </row>
    <row r="72" s="145" customFormat="1" ht="15.6" customHeight="1" spans="1:6">
      <c r="A72" s="159" t="s">
        <v>611</v>
      </c>
      <c r="B72" s="155"/>
      <c r="C72" s="160" t="s">
        <v>612</v>
      </c>
      <c r="D72" s="160" t="s">
        <v>613</v>
      </c>
      <c r="E72" s="160" t="s">
        <v>614</v>
      </c>
      <c r="F72" s="161" t="s">
        <v>615</v>
      </c>
    </row>
    <row r="73" s="145" customFormat="1" ht="15.6" customHeight="1" spans="1:6">
      <c r="A73" s="159" t="s">
        <v>616</v>
      </c>
      <c r="B73" s="155"/>
      <c r="C73" s="160" t="s">
        <v>617</v>
      </c>
      <c r="D73" s="160" t="s">
        <v>618</v>
      </c>
      <c r="E73" s="160" t="s">
        <v>619</v>
      </c>
      <c r="F73" s="161" t="s">
        <v>620</v>
      </c>
    </row>
    <row r="74" s="145" customFormat="1" ht="15.6" customHeight="1" spans="1:6">
      <c r="A74" s="159" t="s">
        <v>621</v>
      </c>
      <c r="B74" s="155"/>
      <c r="C74" s="160" t="s">
        <v>622</v>
      </c>
      <c r="D74" s="160" t="s">
        <v>623</v>
      </c>
      <c r="E74" s="160" t="s">
        <v>624</v>
      </c>
      <c r="F74" s="161" t="s">
        <v>625</v>
      </c>
    </row>
    <row r="75" s="145" customFormat="1" ht="15.6" customHeight="1" spans="1:6">
      <c r="A75" s="159" t="s">
        <v>626</v>
      </c>
      <c r="B75" s="155"/>
      <c r="C75" s="160" t="s">
        <v>627</v>
      </c>
      <c r="D75" s="160" t="s">
        <v>628</v>
      </c>
      <c r="E75" s="160" t="s">
        <v>629</v>
      </c>
      <c r="F75" s="161" t="s">
        <v>630</v>
      </c>
    </row>
    <row r="76" s="145" customFormat="1" ht="15.6" customHeight="1" spans="1:6">
      <c r="A76" s="159" t="s">
        <v>631</v>
      </c>
      <c r="B76" s="155"/>
      <c r="C76" s="160" t="s">
        <v>632</v>
      </c>
      <c r="D76" s="160" t="s">
        <v>633</v>
      </c>
      <c r="E76" s="160" t="s">
        <v>634</v>
      </c>
      <c r="F76" s="161" t="s">
        <v>635</v>
      </c>
    </row>
    <row r="77" s="145" customFormat="1" ht="15.6" customHeight="1" spans="1:6">
      <c r="A77" s="159" t="s">
        <v>636</v>
      </c>
      <c r="B77" s="155" t="s">
        <v>637</v>
      </c>
      <c r="C77" s="160" t="s">
        <v>638</v>
      </c>
      <c r="D77" s="160" t="s">
        <v>639</v>
      </c>
      <c r="E77" s="160" t="s">
        <v>640</v>
      </c>
      <c r="F77" s="161" t="s">
        <v>641</v>
      </c>
    </row>
    <row r="78" s="145" customFormat="1" ht="15.6" customHeight="1" spans="1:6">
      <c r="A78" s="155" t="s">
        <v>642</v>
      </c>
      <c r="B78" s="155"/>
      <c r="C78" s="160" t="e">
        <f>C61+C62+C65-C66+C67+C69+C70+C76+C77</f>
        <v>#VALUE!</v>
      </c>
      <c r="D78" s="160" t="e">
        <f>D61+D62+D65-D66+D67+D69+D70+D76+D77</f>
        <v>#VALUE!</v>
      </c>
      <c r="E78" s="160" t="e">
        <f>E61+E62+E65-E66+E67+E69+E70+E76+E77</f>
        <v>#VALUE!</v>
      </c>
      <c r="F78" s="161" t="e">
        <f>F61+F62+F65-F66+F67+F69+F70+F76+F77</f>
        <v>#VALUE!</v>
      </c>
    </row>
    <row r="79" s="145" customFormat="1" ht="15.6" customHeight="1" spans="1:6">
      <c r="A79" s="154" t="s">
        <v>643</v>
      </c>
      <c r="B79" s="155"/>
      <c r="C79" s="160" t="s">
        <v>644</v>
      </c>
      <c r="D79" s="160" t="s">
        <v>645</v>
      </c>
      <c r="E79" s="160" t="s">
        <v>646</v>
      </c>
      <c r="F79" s="161" t="s">
        <v>647</v>
      </c>
    </row>
    <row r="80" s="145" customFormat="1" ht="15.6" customHeight="1" spans="1:6">
      <c r="A80" s="163" t="s">
        <v>648</v>
      </c>
      <c r="B80" s="155"/>
      <c r="C80" s="164" t="e">
        <f>C78+C79</f>
        <v>#VALUE!</v>
      </c>
      <c r="D80" s="164" t="e">
        <f>D78+D79</f>
        <v>#VALUE!</v>
      </c>
      <c r="E80" s="164" t="e">
        <f>E78+E79</f>
        <v>#VALUE!</v>
      </c>
      <c r="F80" s="165" t="e">
        <f>F78+F79</f>
        <v>#VALUE!</v>
      </c>
    </row>
    <row r="81" s="37" customFormat="1" ht="15.6" customHeight="1" spans="1:6">
      <c r="A81" s="169" t="s">
        <v>649</v>
      </c>
      <c r="B81" s="170"/>
      <c r="C81" s="171" t="e">
        <f>C52+C80</f>
        <v>#VALUE!</v>
      </c>
      <c r="D81" s="171" t="e">
        <f>D52+D80</f>
        <v>#VALUE!</v>
      </c>
      <c r="E81" s="171" t="e">
        <f>E52+E80</f>
        <v>#VALUE!</v>
      </c>
      <c r="F81" s="172" t="e">
        <f>F52+F80</f>
        <v>#VALUE!</v>
      </c>
    </row>
    <row r="82" s="37" customFormat="1" ht="15.6" customHeight="1" spans="1:6">
      <c r="B82" s="114"/>
    </row>
    <row r="83" s="37" customFormat="1" ht="15.6" customHeight="1" spans="1:6">
      <c r="A83" s="30" t="s">
        <v>650</v>
      </c>
      <c r="B83" s="173"/>
      <c r="C83" s="173"/>
      <c r="D83" s="173"/>
      <c r="E83" s="173"/>
      <c r="F83" s="173"/>
    </row>
    <row r="84" s="37" customFormat="1" ht="15.6" spans="1:6">
      <c r="A84" s="174"/>
      <c r="B84" s="174"/>
      <c r="C84" s="174"/>
      <c r="D84" s="174"/>
    </row>
    <row r="85" s="37" customFormat="1" ht="15.6" spans="1:6">
      <c r="B85" s="114"/>
    </row>
    <row r="86" s="37" customFormat="1" ht="15.6" spans="1:6">
      <c r="B86" s="114"/>
    </row>
    <row r="87" s="37" customFormat="1" ht="15.6" spans="1:6">
      <c r="B87" s="114"/>
    </row>
    <row r="88" s="37" customFormat="1" ht="15.6" spans="1:6">
      <c r="B88" s="114"/>
    </row>
    <row r="89" s="37" customFormat="1" ht="15.6" spans="1:6">
      <c r="B89" s="114"/>
    </row>
    <row r="90" s="37" customFormat="1" ht="15.6" spans="1:6">
      <c r="B90" s="114"/>
    </row>
    <row r="91" s="37" customFormat="1" ht="15.6" spans="1:6">
      <c r="B91" s="114"/>
    </row>
    <row r="92" s="37" customFormat="1" ht="15.6" spans="1:6">
      <c r="B92" s="114"/>
    </row>
    <row r="93" s="37" customFormat="1" ht="15.6" spans="1:6">
      <c r="B93" s="114"/>
    </row>
    <row r="94" s="37" customFormat="1" ht="15.6" spans="1:6">
      <c r="B94" s="114"/>
    </row>
    <row r="95" s="37" customFormat="1" ht="15.6" spans="1:6">
      <c r="B95" s="114"/>
    </row>
    <row r="96" s="37" customFormat="1" ht="15.6" spans="1:6">
      <c r="B96" s="114"/>
    </row>
    <row r="97" s="37" customFormat="1" ht="15.6" spans="1:6">
      <c r="B97" s="114"/>
    </row>
    <row r="98" s="37" customFormat="1" ht="15.6" spans="1:6">
      <c r="B98" s="114"/>
    </row>
    <row r="99" s="36" customFormat="1" ht="15.6" spans="1:6">
      <c r="A99" s="37"/>
      <c r="B99" s="114"/>
      <c r="C99" s="37"/>
      <c r="D99" s="37"/>
      <c r="E99" s="37"/>
      <c r="F99" s="37"/>
    </row>
    <row r="100" s="36" customFormat="1" ht="15.6" spans="1:6">
      <c r="A100" s="37"/>
      <c r="B100" s="114"/>
      <c r="C100" s="37"/>
      <c r="D100" s="37"/>
      <c r="E100" s="37"/>
      <c r="F100" s="37"/>
    </row>
    <row r="101" s="36" customFormat="1" ht="12" spans="1:6">
      <c r="B101" s="87"/>
    </row>
    <row r="102" s="36" customFormat="1" ht="12" spans="1:6">
      <c r="B102" s="87"/>
    </row>
    <row r="103" s="36" customFormat="1" ht="12" spans="1:6">
      <c r="B103" s="87"/>
    </row>
    <row r="104" s="36" customFormat="1" ht="12" spans="1:6">
      <c r="B104" s="87"/>
    </row>
    <row r="105" s="36" customFormat="1" ht="12" spans="1:6">
      <c r="B105" s="87"/>
    </row>
    <row r="106" s="36" customFormat="1" ht="12" spans="1:6">
      <c r="B106" s="87"/>
    </row>
    <row r="107" s="36" customFormat="1" ht="12" spans="1:6">
      <c r="B107" s="87"/>
    </row>
    <row r="108" s="36" customFormat="1" ht="12" spans="1:6">
      <c r="B108" s="87"/>
    </row>
    <row r="109" s="36" customFormat="1" ht="12" spans="1:6">
      <c r="B109" s="87"/>
    </row>
    <row r="110" s="36" customFormat="1" ht="12" spans="1:6">
      <c r="B110" s="87"/>
    </row>
    <row r="111" s="36" customFormat="1" ht="12" spans="1:6">
      <c r="B111" s="87"/>
    </row>
    <row r="112" s="36" customFormat="1" ht="12" spans="1:6">
      <c r="B112" s="87"/>
    </row>
    <row r="113" s="36" customFormat="1" ht="12" spans="2:2">
      <c r="B113" s="87"/>
    </row>
    <row r="114" s="36" customFormat="1" ht="12" spans="2:2">
      <c r="B114" s="87"/>
    </row>
    <row r="115" s="36" customFormat="1" ht="12" spans="2:2">
      <c r="B115" s="87"/>
    </row>
    <row r="116" s="36" customFormat="1" ht="12" spans="2:2">
      <c r="B116" s="87"/>
    </row>
    <row r="117" s="36" customFormat="1" ht="12" spans="2:2">
      <c r="B117" s="87"/>
    </row>
    <row r="118" s="36" customFormat="1" ht="12" spans="2:2">
      <c r="B118" s="87"/>
    </row>
    <row r="119" s="36" customFormat="1" ht="12" spans="2:2">
      <c r="B119" s="87"/>
    </row>
    <row r="120" s="36" customFormat="1" ht="12" spans="2:2">
      <c r="B120" s="87"/>
    </row>
    <row r="121" s="36" customFormat="1" ht="12" spans="2:2">
      <c r="B121" s="87"/>
    </row>
    <row r="122" s="36" customFormat="1" ht="12" spans="2:2">
      <c r="B122" s="87"/>
    </row>
    <row r="123" s="36" customFormat="1" ht="12" spans="2:2">
      <c r="B123" s="87"/>
    </row>
    <row r="124" s="36" customFormat="1" ht="12" spans="2:2">
      <c r="B124" s="87"/>
    </row>
    <row r="125" s="36" customFormat="1" ht="12" spans="2:2">
      <c r="B125" s="87"/>
    </row>
    <row r="126" s="36" customFormat="1" ht="12" spans="2:2">
      <c r="B126" s="87"/>
    </row>
    <row r="127" s="36" customFormat="1" ht="12" spans="2:2">
      <c r="B127" s="87"/>
    </row>
    <row r="128" s="36" customFormat="1" ht="12" spans="2:2">
      <c r="B128" s="87"/>
    </row>
    <row r="129" s="36" customFormat="1" ht="12" spans="2:2">
      <c r="B129" s="87"/>
    </row>
    <row r="130" s="36" customFormat="1" ht="12" spans="2:2">
      <c r="B130" s="87"/>
    </row>
    <row r="131" ht="15.6"/>
  </sheetData>
  <mergeCells count="6">
    <mergeCell ref="A1:F1"/>
    <mergeCell ref="A2:F2"/>
    <mergeCell ref="C4:D4"/>
    <mergeCell ref="E4:F4"/>
    <mergeCell ref="A4:A5"/>
    <mergeCell ref="B4:B5"/>
  </mergeCells>
  <conditionalFormatting sqref="C$1:F$1048576">
    <cfRule type="cellIs" dxfId="0" priority="1" operator="equal">
      <formula>0</formula>
    </cfRule>
  </conditionalFormatting>
  <printOptions horizontalCentered="1"/>
  <pageMargins left="0.590277777777778" right="0.629861111111111" top="0.590277777777778" bottom="0.472222222222222" header="0.432638888888889" footer="0.236111111111111"/>
  <pageSetup paperSize="9" scale="62" firstPageNumber="2" orientation="portrait" useFirstPageNumber="1"/>
  <headerFooter alignWithMargins="0">
    <oddFooter>&amp;C&amp;"Arial Narrow,常规"&amp;P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G92"/>
  <sheetViews>
    <sheetView showGridLines="0" showZeros="0" view="pageBreakPreview" zoomScaleNormal="100" workbookViewId="0">
      <pane xSplit="2" ySplit="5" topLeftCell="C60" activePane="bottomRight" state="frozen"/>
      <selection/>
      <selection pane="topRight"/>
      <selection pane="bottomLeft"/>
      <selection pane="bottomRight" activeCell="D77" sqref="D77"/>
    </sheetView>
  </sheetViews>
  <sheetFormatPr defaultColWidth="9" defaultRowHeight="15" customHeight="1" outlineLevelCol="6"/>
  <cols>
    <col min="1" max="1" width="63.4" style="118" customWidth="1"/>
    <col min="2" max="2" width="9.125" style="87" customWidth="1"/>
    <col min="3" max="6" width="18.8" style="36" customWidth="1"/>
    <col min="7" max="16384" width="9" style="36" customWidth="1"/>
  </cols>
  <sheetData>
    <row r="1" s="86" customFormat="1" ht="30" customHeight="1" spans="1:6">
      <c r="A1" s="88" t="s">
        <v>651</v>
      </c>
    </row>
    <row r="2" s="37" customFormat="1" ht="18" customHeight="1" spans="1:6">
      <c r="A2" s="114" t="s">
        <v>1</v>
      </c>
    </row>
    <row r="3" s="37" customFormat="1" ht="18" customHeight="1" spans="1:6">
      <c r="A3" s="42" t="s">
        <v>2</v>
      </c>
      <c r="D3" s="42"/>
      <c r="E3" s="37"/>
      <c r="F3" s="83" t="s">
        <v>3</v>
      </c>
    </row>
    <row r="4" s="37" customFormat="1" ht="15.6" customHeight="1" spans="1:6">
      <c r="A4" s="49" t="s">
        <v>4</v>
      </c>
      <c r="B4" s="93" t="s">
        <v>5</v>
      </c>
      <c r="C4" s="92" t="s">
        <v>652</v>
      </c>
      <c r="D4" s="13"/>
      <c r="E4" s="92" t="s">
        <v>653</v>
      </c>
      <c r="F4" s="13"/>
    </row>
    <row r="5" s="37" customFormat="1" ht="15.6" customHeight="1" spans="1:6">
      <c r="A5" s="14"/>
      <c r="B5" s="44"/>
      <c r="C5" s="91" t="s">
        <v>8</v>
      </c>
      <c r="D5" s="91" t="s">
        <v>9</v>
      </c>
      <c r="E5" s="91" t="s">
        <v>8</v>
      </c>
      <c r="F5" s="119" t="s">
        <v>9</v>
      </c>
    </row>
    <row r="6" s="116" customFormat="1" spans="1:6">
      <c r="A6" s="120" t="s">
        <v>654</v>
      </c>
      <c r="B6" s="121"/>
      <c r="C6" s="122">
        <f>SUM(C7:C11)</f>
        <v>0</v>
      </c>
      <c r="D6" s="122">
        <f>SUM(D7:D11)</f>
        <v>0</v>
      </c>
      <c r="E6" s="122">
        <f>SUM(E7:E11)</f>
        <v>0</v>
      </c>
      <c r="F6" s="123">
        <f>SUM(F7:F11)</f>
        <v>0</v>
      </c>
    </row>
    <row r="7" s="116" customFormat="1" spans="1:6">
      <c r="A7" s="124" t="s">
        <v>655</v>
      </c>
      <c r="B7" s="66"/>
      <c r="C7" s="125" t="s">
        <v>656</v>
      </c>
      <c r="D7" s="125" t="s">
        <v>657</v>
      </c>
      <c r="E7" s="125" t="s">
        <v>658</v>
      </c>
      <c r="F7" s="126" t="s">
        <v>659</v>
      </c>
    </row>
    <row r="8" s="116" customFormat="1" spans="1:6">
      <c r="A8" s="124" t="s">
        <v>660</v>
      </c>
      <c r="B8" s="66"/>
      <c r="C8" s="125" t="s">
        <v>661</v>
      </c>
      <c r="D8" s="125" t="s">
        <v>662</v>
      </c>
      <c r="E8" s="125" t="s">
        <v>663</v>
      </c>
      <c r="F8" s="126" t="s">
        <v>664</v>
      </c>
    </row>
    <row r="9" s="116" customFormat="1" spans="1:6">
      <c r="A9" s="124" t="s">
        <v>665</v>
      </c>
      <c r="B9" s="66"/>
      <c r="C9" s="125" t="s">
        <v>666</v>
      </c>
      <c r="D9" s="125" t="s">
        <v>667</v>
      </c>
      <c r="E9" s="125" t="s">
        <v>668</v>
      </c>
      <c r="F9" s="126" t="s">
        <v>669</v>
      </c>
    </row>
    <row r="10" s="116" customFormat="1" spans="1:6">
      <c r="A10" s="124" t="s">
        <v>670</v>
      </c>
      <c r="B10" s="66"/>
      <c r="C10" s="125" t="s">
        <v>671</v>
      </c>
      <c r="D10" s="125" t="s">
        <v>672</v>
      </c>
      <c r="E10" s="125" t="s">
        <v>673</v>
      </c>
      <c r="F10" s="126" t="s">
        <v>674</v>
      </c>
    </row>
    <row r="11" s="116" customFormat="1" spans="1:6">
      <c r="A11" s="124" t="s">
        <v>675</v>
      </c>
      <c r="B11" s="66"/>
      <c r="C11" s="125" t="s">
        <v>676</v>
      </c>
      <c r="D11" s="125" t="s">
        <v>677</v>
      </c>
      <c r="E11" s="125" t="s">
        <v>678</v>
      </c>
      <c r="F11" s="126" t="s">
        <v>679</v>
      </c>
    </row>
    <row r="12" s="116" customFormat="1" spans="1:6">
      <c r="A12" s="120" t="s">
        <v>680</v>
      </c>
      <c r="B12" s="66"/>
      <c r="C12" s="127" t="e">
        <f>SUM(C13:C30)+C34</f>
        <v>#VALUE!</v>
      </c>
      <c r="D12" s="127" t="e">
        <f>SUM(D13:D30)+D34</f>
        <v>#VALUE!</v>
      </c>
      <c r="E12" s="127" t="e">
        <f>SUM(E13:E30)+E34</f>
        <v>#VALUE!</v>
      </c>
      <c r="F12" s="128" t="e">
        <f>SUM(F13:F30)+F34</f>
        <v>#VALUE!</v>
      </c>
    </row>
    <row r="13" s="116" customFormat="1" spans="1:6">
      <c r="A13" s="124" t="s">
        <v>681</v>
      </c>
      <c r="B13" s="66"/>
      <c r="C13" s="125" t="s">
        <v>682</v>
      </c>
      <c r="D13" s="125" t="s">
        <v>683</v>
      </c>
      <c r="E13" s="125" t="s">
        <v>684</v>
      </c>
      <c r="F13" s="126" t="s">
        <v>685</v>
      </c>
    </row>
    <row r="14" s="116" customFormat="1" spans="1:6">
      <c r="A14" s="124" t="s">
        <v>686</v>
      </c>
      <c r="B14" s="66"/>
      <c r="C14" s="125" t="s">
        <v>687</v>
      </c>
      <c r="D14" s="125" t="s">
        <v>688</v>
      </c>
      <c r="E14" s="125" t="s">
        <v>689</v>
      </c>
      <c r="F14" s="126" t="s">
        <v>690</v>
      </c>
    </row>
    <row r="15" s="116" customFormat="1" spans="1:6">
      <c r="A15" s="124" t="s">
        <v>691</v>
      </c>
      <c r="B15" s="66"/>
      <c r="C15" s="125" t="s">
        <v>692</v>
      </c>
      <c r="D15" s="125" t="s">
        <v>693</v>
      </c>
      <c r="E15" s="125" t="s">
        <v>694</v>
      </c>
      <c r="F15" s="126" t="s">
        <v>695</v>
      </c>
    </row>
    <row r="16" s="116" customFormat="1" spans="1:6">
      <c r="A16" s="124" t="s">
        <v>696</v>
      </c>
      <c r="B16" s="66"/>
      <c r="C16" s="125" t="s">
        <v>697</v>
      </c>
      <c r="D16" s="125" t="s">
        <v>698</v>
      </c>
      <c r="E16" s="125" t="s">
        <v>699</v>
      </c>
      <c r="F16" s="126" t="s">
        <v>700</v>
      </c>
    </row>
    <row r="17" s="116" customFormat="1" spans="1:7">
      <c r="A17" s="124" t="s">
        <v>701</v>
      </c>
      <c r="B17" s="66"/>
      <c r="C17" s="125" t="s">
        <v>702</v>
      </c>
      <c r="D17" s="125" t="s">
        <v>703</v>
      </c>
      <c r="E17" s="125" t="s">
        <v>704</v>
      </c>
      <c r="F17" s="126" t="s">
        <v>705</v>
      </c>
    </row>
    <row r="18" s="116" customFormat="1" spans="1:7">
      <c r="A18" s="124" t="s">
        <v>706</v>
      </c>
      <c r="B18" s="66"/>
      <c r="C18" s="125" t="s">
        <v>707</v>
      </c>
      <c r="D18" s="125" t="s">
        <v>708</v>
      </c>
      <c r="E18" s="125" t="s">
        <v>709</v>
      </c>
      <c r="F18" s="126" t="s">
        <v>710</v>
      </c>
    </row>
    <row r="19" s="116" customFormat="1" spans="1:7">
      <c r="A19" s="124" t="s">
        <v>711</v>
      </c>
      <c r="B19" s="66"/>
      <c r="C19" s="125" t="s">
        <v>712</v>
      </c>
      <c r="D19" s="125" t="s">
        <v>713</v>
      </c>
      <c r="E19" s="125" t="s">
        <v>714</v>
      </c>
      <c r="F19" s="126" t="s">
        <v>715</v>
      </c>
    </row>
    <row r="20" s="116" customFormat="1" spans="1:7">
      <c r="A20" s="124" t="s">
        <v>716</v>
      </c>
      <c r="B20" s="66"/>
      <c r="C20" s="125" t="s">
        <v>717</v>
      </c>
      <c r="D20" s="125" t="s">
        <v>718</v>
      </c>
      <c r="E20" s="125" t="s">
        <v>719</v>
      </c>
      <c r="F20" s="126" t="s">
        <v>720</v>
      </c>
    </row>
    <row r="21" s="116" customFormat="1" spans="1:7">
      <c r="A21" s="124" t="s">
        <v>721</v>
      </c>
      <c r="B21" s="66"/>
      <c r="C21" s="125" t="s">
        <v>722</v>
      </c>
      <c r="D21" s="125" t="s">
        <v>723</v>
      </c>
      <c r="E21" s="125" t="s">
        <v>724</v>
      </c>
      <c r="F21" s="126" t="s">
        <v>725</v>
      </c>
    </row>
    <row r="22" s="116" customFormat="1" spans="1:7">
      <c r="A22" s="124" t="s">
        <v>726</v>
      </c>
      <c r="B22" s="66"/>
      <c r="C22" s="125" t="s">
        <v>727</v>
      </c>
      <c r="D22" s="125" t="s">
        <v>728</v>
      </c>
      <c r="E22" s="125" t="s">
        <v>729</v>
      </c>
      <c r="F22" s="126" t="s">
        <v>730</v>
      </c>
    </row>
    <row r="23" s="116" customFormat="1" spans="1:7">
      <c r="A23" s="124" t="s">
        <v>731</v>
      </c>
      <c r="B23" s="66"/>
      <c r="C23" s="125" t="s">
        <v>732</v>
      </c>
      <c r="D23" s="125" t="s">
        <v>733</v>
      </c>
      <c r="E23" s="125" t="s">
        <v>734</v>
      </c>
      <c r="F23" s="126" t="s">
        <v>735</v>
      </c>
    </row>
    <row r="24" s="116" customFormat="1" spans="1:7">
      <c r="A24" s="124" t="s">
        <v>736</v>
      </c>
      <c r="B24" s="66"/>
      <c r="C24" s="125" t="s">
        <v>737</v>
      </c>
      <c r="D24" s="125" t="s">
        <v>738</v>
      </c>
      <c r="E24" s="125" t="s">
        <v>739</v>
      </c>
      <c r="F24" s="126" t="s">
        <v>740</v>
      </c>
    </row>
    <row r="25" s="116" customFormat="1" spans="1:7">
      <c r="A25" s="124" t="s">
        <v>741</v>
      </c>
      <c r="B25" s="66"/>
      <c r="C25" s="125" t="s">
        <v>742</v>
      </c>
      <c r="D25" s="125" t="s">
        <v>743</v>
      </c>
      <c r="E25" s="125" t="s">
        <v>744</v>
      </c>
      <c r="F25" s="126" t="s">
        <v>745</v>
      </c>
    </row>
    <row r="26" s="116" customFormat="1" ht="15.6" customHeight="1" spans="1:7">
      <c r="A26" s="124" t="s">
        <v>746</v>
      </c>
      <c r="B26" s="66"/>
      <c r="C26" s="125" t="s">
        <v>747</v>
      </c>
      <c r="D26" s="125" t="s">
        <v>748</v>
      </c>
      <c r="E26" s="125" t="s">
        <v>749</v>
      </c>
      <c r="F26" s="126" t="s">
        <v>750</v>
      </c>
      <c r="G26" s="85" t="s">
        <v>751</v>
      </c>
    </row>
    <row r="27" s="116" customFormat="1" spans="1:7">
      <c r="A27" s="70" t="s">
        <v>752</v>
      </c>
      <c r="B27" s="66" t="s">
        <v>753</v>
      </c>
      <c r="C27" s="125" t="s">
        <v>754</v>
      </c>
      <c r="D27" s="125" t="s">
        <v>755</v>
      </c>
      <c r="E27" s="125" t="s">
        <v>756</v>
      </c>
      <c r="F27" s="126" t="s">
        <v>757</v>
      </c>
    </row>
    <row r="28" s="116" customFormat="1" spans="1:7">
      <c r="A28" s="70" t="s">
        <v>758</v>
      </c>
      <c r="B28" s="66" t="s">
        <v>759</v>
      </c>
      <c r="C28" s="125" t="s">
        <v>760</v>
      </c>
      <c r="D28" s="125" t="s">
        <v>761</v>
      </c>
      <c r="E28" s="125" t="s">
        <v>762</v>
      </c>
      <c r="F28" s="126" t="s">
        <v>763</v>
      </c>
    </row>
    <row r="29" s="116" customFormat="1" spans="1:7">
      <c r="A29" s="70" t="s">
        <v>764</v>
      </c>
      <c r="B29" s="66" t="s">
        <v>765</v>
      </c>
      <c r="C29" s="125" t="s">
        <v>766</v>
      </c>
      <c r="D29" s="125" t="s">
        <v>767</v>
      </c>
      <c r="E29" s="125" t="s">
        <v>768</v>
      </c>
      <c r="F29" s="126" t="s">
        <v>769</v>
      </c>
    </row>
    <row r="30" s="116" customFormat="1" spans="1:7">
      <c r="A30" s="124" t="s">
        <v>770</v>
      </c>
      <c r="B30" s="66" t="s">
        <v>771</v>
      </c>
      <c r="C30" s="125" t="s">
        <v>772</v>
      </c>
      <c r="D30" s="125" t="s">
        <v>773</v>
      </c>
      <c r="E30" s="125" t="s">
        <v>774</v>
      </c>
      <c r="F30" s="126" t="s">
        <v>775</v>
      </c>
    </row>
    <row r="31" s="116" customFormat="1" spans="1:7">
      <c r="A31" s="70" t="s">
        <v>776</v>
      </c>
      <c r="B31" s="66"/>
      <c r="C31" s="125" t="s">
        <v>777</v>
      </c>
      <c r="D31" s="125" t="s">
        <v>778</v>
      </c>
      <c r="E31" s="125" t="s">
        <v>779</v>
      </c>
      <c r="F31" s="126" t="s">
        <v>780</v>
      </c>
    </row>
    <row r="32" s="116" customFormat="1" spans="1:7">
      <c r="A32" s="70" t="s">
        <v>781</v>
      </c>
      <c r="B32" s="66"/>
      <c r="C32" s="125" t="s">
        <v>661</v>
      </c>
      <c r="D32" s="125" t="s">
        <v>782</v>
      </c>
      <c r="E32" s="125" t="s">
        <v>663</v>
      </c>
      <c r="F32" s="126" t="s">
        <v>783</v>
      </c>
    </row>
    <row r="33" s="116" customFormat="1" spans="1:7">
      <c r="A33" s="73" t="s">
        <v>784</v>
      </c>
      <c r="B33" s="66"/>
      <c r="C33" s="125" t="s">
        <v>785</v>
      </c>
      <c r="D33" s="125" t="s">
        <v>786</v>
      </c>
      <c r="E33" s="125" t="s">
        <v>787</v>
      </c>
      <c r="F33" s="126" t="s">
        <v>788</v>
      </c>
    </row>
    <row r="34" s="116" customFormat="1" spans="1:7">
      <c r="A34" s="129" t="s">
        <v>789</v>
      </c>
      <c r="B34" s="66"/>
      <c r="C34" s="125" t="s">
        <v>790</v>
      </c>
      <c r="D34" s="125" t="s">
        <v>791</v>
      </c>
      <c r="E34" s="125" t="s">
        <v>792</v>
      </c>
      <c r="F34" s="126" t="s">
        <v>793</v>
      </c>
    </row>
    <row r="35" s="116" customFormat="1" ht="15.6" customHeight="1" spans="1:7">
      <c r="A35" s="73" t="s">
        <v>794</v>
      </c>
      <c r="B35" s="66"/>
      <c r="C35" s="125" t="s">
        <v>795</v>
      </c>
      <c r="D35" s="125" t="s">
        <v>796</v>
      </c>
      <c r="E35" s="125" t="s">
        <v>797</v>
      </c>
      <c r="F35" s="126" t="s">
        <v>798</v>
      </c>
      <c r="G35" s="85" t="s">
        <v>799</v>
      </c>
    </row>
    <row r="36" s="116" customFormat="1" spans="1:7">
      <c r="A36" s="129" t="s">
        <v>800</v>
      </c>
      <c r="B36" s="66" t="s">
        <v>801</v>
      </c>
      <c r="C36" s="125" t="s">
        <v>802</v>
      </c>
      <c r="D36" s="125" t="s">
        <v>803</v>
      </c>
      <c r="E36" s="125" t="s">
        <v>804</v>
      </c>
      <c r="F36" s="126" t="s">
        <v>805</v>
      </c>
    </row>
    <row r="37" s="116" customFormat="1" spans="1:7">
      <c r="A37" s="73" t="s">
        <v>806</v>
      </c>
      <c r="B37" s="66"/>
      <c r="C37" s="125" t="s">
        <v>807</v>
      </c>
      <c r="D37" s="125" t="s">
        <v>808</v>
      </c>
      <c r="E37" s="125" t="s">
        <v>809</v>
      </c>
      <c r="F37" s="126" t="s">
        <v>810</v>
      </c>
    </row>
    <row r="38" s="116" customFormat="1" ht="24" spans="1:7">
      <c r="A38" s="73" t="s">
        <v>811</v>
      </c>
      <c r="B38" s="66"/>
      <c r="C38" s="125" t="s">
        <v>812</v>
      </c>
      <c r="D38" s="125" t="s">
        <v>813</v>
      </c>
      <c r="E38" s="98" t="s">
        <v>814</v>
      </c>
      <c r="F38" s="99" t="s">
        <v>815</v>
      </c>
    </row>
    <row r="39" s="116" customFormat="1" spans="1:7">
      <c r="A39" s="70" t="s">
        <v>816</v>
      </c>
      <c r="B39" s="66"/>
      <c r="C39" s="125" t="s">
        <v>817</v>
      </c>
      <c r="D39" s="125" t="s">
        <v>818</v>
      </c>
      <c r="E39" s="125" t="s">
        <v>819</v>
      </c>
      <c r="F39" s="126" t="s">
        <v>820</v>
      </c>
    </row>
    <row r="40" s="116" customFormat="1" spans="1:7">
      <c r="A40" s="70" t="s">
        <v>821</v>
      </c>
      <c r="B40" s="66" t="s">
        <v>822</v>
      </c>
      <c r="C40" s="125" t="s">
        <v>823</v>
      </c>
      <c r="D40" s="125" t="s">
        <v>824</v>
      </c>
      <c r="E40" s="98" t="s">
        <v>825</v>
      </c>
      <c r="F40" s="99" t="s">
        <v>826</v>
      </c>
    </row>
    <row r="41" s="116" customFormat="1" spans="1:7">
      <c r="A41" s="70" t="s">
        <v>827</v>
      </c>
      <c r="B41" s="66" t="s">
        <v>828</v>
      </c>
      <c r="C41" s="125" t="s">
        <v>829</v>
      </c>
      <c r="D41" s="125" t="s">
        <v>830</v>
      </c>
      <c r="E41" s="125" t="s">
        <v>831</v>
      </c>
      <c r="F41" s="126" t="s">
        <v>832</v>
      </c>
    </row>
    <row r="42" s="116" customFormat="1" ht="15.6" customHeight="1" spans="1:7">
      <c r="A42" s="70" t="s">
        <v>833</v>
      </c>
      <c r="B42" s="66" t="s">
        <v>834</v>
      </c>
      <c r="C42" s="125" t="s">
        <v>835</v>
      </c>
      <c r="D42" s="125" t="s">
        <v>836</v>
      </c>
      <c r="E42" s="98" t="s">
        <v>837</v>
      </c>
      <c r="F42" s="99" t="s">
        <v>838</v>
      </c>
      <c r="G42" s="85" t="s">
        <v>839</v>
      </c>
    </row>
    <row r="43" s="116" customFormat="1" spans="1:7">
      <c r="A43" s="70" t="s">
        <v>840</v>
      </c>
      <c r="B43" s="66" t="s">
        <v>841</v>
      </c>
      <c r="C43" s="125" t="s">
        <v>842</v>
      </c>
      <c r="D43" s="125" t="s">
        <v>843</v>
      </c>
      <c r="E43" s="125" t="s">
        <v>844</v>
      </c>
      <c r="F43" s="126" t="s">
        <v>845</v>
      </c>
    </row>
    <row r="44" s="116" customFormat="1" ht="15.6" customHeight="1" spans="1:7">
      <c r="A44" s="70" t="s">
        <v>846</v>
      </c>
      <c r="B44" s="66" t="s">
        <v>847</v>
      </c>
      <c r="C44" s="125" t="s">
        <v>848</v>
      </c>
      <c r="D44" s="125" t="s">
        <v>849</v>
      </c>
      <c r="E44" s="125" t="s">
        <v>850</v>
      </c>
      <c r="F44" s="126" t="s">
        <v>851</v>
      </c>
      <c r="G44" s="130" t="s">
        <v>852</v>
      </c>
    </row>
    <row r="45" s="116" customFormat="1" spans="1:7">
      <c r="A45" s="131" t="s">
        <v>853</v>
      </c>
      <c r="B45" s="66"/>
      <c r="C45" s="127" t="e">
        <f>C6-C12+SUM(C35:C36,C39:C44)</f>
        <v>#VALUE!</v>
      </c>
      <c r="D45" s="127" t="e">
        <f>D6-D12+SUM(D35:D36,D39:D44)</f>
        <v>#VALUE!</v>
      </c>
      <c r="E45" s="127" t="e">
        <f>E6-E12+SUM(E35:E36,E39:E44)</f>
        <v>#VALUE!</v>
      </c>
      <c r="F45" s="128" t="e">
        <f>F6-F12+SUM(F35:F36,F39:F44)</f>
        <v>#VALUE!</v>
      </c>
    </row>
    <row r="46" s="117" customFormat="1" ht="15.6" customHeight="1" spans="1:7">
      <c r="A46" s="124" t="s">
        <v>854</v>
      </c>
      <c r="B46" s="132"/>
      <c r="C46" s="125" t="s">
        <v>855</v>
      </c>
      <c r="D46" s="125" t="s">
        <v>856</v>
      </c>
      <c r="E46" s="125" t="s">
        <v>857</v>
      </c>
      <c r="F46" s="126" t="s">
        <v>858</v>
      </c>
      <c r="G46" s="130" t="s">
        <v>859</v>
      </c>
    </row>
    <row r="47" s="116" customFormat="1" spans="1:7">
      <c r="A47" s="124" t="s">
        <v>860</v>
      </c>
      <c r="B47" s="66"/>
      <c r="C47" s="125" t="s">
        <v>861</v>
      </c>
      <c r="D47" s="125" t="s">
        <v>862</v>
      </c>
      <c r="E47" s="125" t="s">
        <v>863</v>
      </c>
      <c r="F47" s="126" t="s">
        <v>864</v>
      </c>
    </row>
    <row r="48" s="116" customFormat="1" ht="15.6" customHeight="1" spans="1:7">
      <c r="A48" s="124" t="s">
        <v>865</v>
      </c>
      <c r="B48" s="66"/>
      <c r="C48" s="125" t="s">
        <v>866</v>
      </c>
      <c r="D48" s="125" t="s">
        <v>867</v>
      </c>
      <c r="E48" s="125" t="s">
        <v>868</v>
      </c>
      <c r="F48" s="126" t="s">
        <v>869</v>
      </c>
      <c r="G48" s="130" t="s">
        <v>870</v>
      </c>
    </row>
    <row r="49" s="116" customFormat="1" spans="1:6">
      <c r="A49" s="120" t="s">
        <v>871</v>
      </c>
      <c r="B49" s="66"/>
      <c r="C49" s="127" t="e">
        <f>C45+C46-C48</f>
        <v>#VALUE!</v>
      </c>
      <c r="D49" s="127" t="e">
        <f>D45+D46-D48</f>
        <v>#VALUE!</v>
      </c>
      <c r="E49" s="127" t="e">
        <f>E45+E46-E48</f>
        <v>#VALUE!</v>
      </c>
      <c r="F49" s="128" t="e">
        <f>F45+F46-F48</f>
        <v>#VALUE!</v>
      </c>
    </row>
    <row r="50" s="116" customFormat="1" spans="1:6">
      <c r="A50" s="70" t="s">
        <v>872</v>
      </c>
      <c r="B50" s="66"/>
      <c r="C50" s="125" t="s">
        <v>873</v>
      </c>
      <c r="D50" s="125" t="s">
        <v>874</v>
      </c>
      <c r="E50" s="125" t="s">
        <v>875</v>
      </c>
      <c r="F50" s="126" t="s">
        <v>876</v>
      </c>
    </row>
    <row r="51" s="116" customFormat="1" spans="1:6">
      <c r="A51" s="120" t="s">
        <v>877</v>
      </c>
      <c r="B51" s="66"/>
      <c r="C51" s="127" t="e">
        <f>C49-C50</f>
        <v>#VALUE!</v>
      </c>
      <c r="D51" s="127" t="e">
        <f>D49-D50</f>
        <v>#VALUE!</v>
      </c>
      <c r="E51" s="127" t="e">
        <f>E49-E50</f>
        <v>#VALUE!</v>
      </c>
      <c r="F51" s="128" t="e">
        <f>F49-F50</f>
        <v>#VALUE!</v>
      </c>
    </row>
    <row r="52" s="116" customFormat="1" spans="1:6">
      <c r="A52" s="133" t="s">
        <v>878</v>
      </c>
      <c r="B52" s="66"/>
      <c r="C52" s="125" t="s">
        <v>879</v>
      </c>
      <c r="D52" s="125" t="s">
        <v>880</v>
      </c>
      <c r="E52" s="125" t="s">
        <v>881</v>
      </c>
      <c r="F52" s="126" t="s">
        <v>882</v>
      </c>
    </row>
    <row r="53" s="116" customFormat="1" spans="1:6">
      <c r="A53" s="134" t="s">
        <v>883</v>
      </c>
      <c r="B53" s="66"/>
      <c r="C53" s="125" t="s">
        <v>884</v>
      </c>
      <c r="D53" s="125" t="s">
        <v>885</v>
      </c>
      <c r="E53" s="125" t="s">
        <v>886</v>
      </c>
      <c r="F53" s="126" t="s">
        <v>887</v>
      </c>
    </row>
    <row r="54" s="116" customFormat="1" spans="1:6">
      <c r="A54" s="135" t="s">
        <v>888</v>
      </c>
      <c r="B54" s="66"/>
      <c r="C54" s="125" t="e">
        <f>C51-C53</f>
        <v>#VALUE!</v>
      </c>
      <c r="D54" s="125" t="e">
        <f>D51-D53</f>
        <v>#VALUE!</v>
      </c>
      <c r="E54" s="125" t="e">
        <f>E51-E53</f>
        <v>#VALUE!</v>
      </c>
      <c r="F54" s="126" t="e">
        <f>F51-F53</f>
        <v>#VALUE!</v>
      </c>
    </row>
    <row r="55" s="116" customFormat="1" spans="1:6">
      <c r="A55" s="133" t="s">
        <v>889</v>
      </c>
      <c r="B55" s="66"/>
      <c r="C55" s="125" t="s">
        <v>890</v>
      </c>
      <c r="D55" s="125" t="s">
        <v>891</v>
      </c>
      <c r="E55" s="125" t="s">
        <v>892</v>
      </c>
      <c r="F55" s="126" t="s">
        <v>893</v>
      </c>
    </row>
    <row r="56" s="116" customFormat="1" spans="1:6">
      <c r="A56" s="135" t="s">
        <v>894</v>
      </c>
      <c r="B56" s="66"/>
      <c r="C56" s="125" t="e">
        <f>C51-C57</f>
        <v>#VALUE!</v>
      </c>
      <c r="D56" s="125" t="e">
        <f>D51-D57</f>
        <v>#VALUE!</v>
      </c>
      <c r="E56" s="125" t="e">
        <f>E51-E57</f>
        <v>#VALUE!</v>
      </c>
      <c r="F56" s="126" t="e">
        <f>F51-F57</f>
        <v>#VALUE!</v>
      </c>
    </row>
    <row r="57" s="116" customFormat="1" spans="1:6">
      <c r="A57" s="135" t="s">
        <v>895</v>
      </c>
      <c r="B57" s="66"/>
      <c r="C57" s="125" t="s">
        <v>896</v>
      </c>
      <c r="D57" s="125" t="s">
        <v>897</v>
      </c>
      <c r="E57" s="125" t="s">
        <v>898</v>
      </c>
      <c r="F57" s="126" t="s">
        <v>899</v>
      </c>
    </row>
    <row r="58" s="116" customFormat="1" spans="1:6">
      <c r="A58" s="120" t="s">
        <v>900</v>
      </c>
      <c r="B58" s="66"/>
      <c r="C58" s="127" t="e">
        <f>C59+C77</f>
        <v>#VALUE!</v>
      </c>
      <c r="D58" s="127" t="e">
        <f>D59+D77</f>
        <v>#VALUE!</v>
      </c>
      <c r="E58" s="127" t="e">
        <f>E59+E77</f>
        <v>#VALUE!</v>
      </c>
      <c r="F58" s="128" t="e">
        <f>F59+F77</f>
        <v>#VALUE!</v>
      </c>
    </row>
    <row r="59" s="116" customFormat="1" spans="1:6">
      <c r="A59" s="133" t="s">
        <v>901</v>
      </c>
      <c r="B59" s="66"/>
      <c r="C59" s="125" t="e">
        <f>C60+C67</f>
        <v>#VALUE!</v>
      </c>
      <c r="D59" s="125" t="e">
        <f>D60+D67</f>
        <v>#VALUE!</v>
      </c>
      <c r="E59" s="125" t="e">
        <f>E60+E67</f>
        <v>#VALUE!</v>
      </c>
      <c r="F59" s="126" t="e">
        <f>F60+F67</f>
        <v>#VALUE!</v>
      </c>
    </row>
    <row r="60" s="116" customFormat="1" spans="1:6">
      <c r="A60" s="133" t="s">
        <v>902</v>
      </c>
      <c r="B60" s="66"/>
      <c r="C60" s="125" t="s">
        <v>903</v>
      </c>
      <c r="D60" s="125" t="s">
        <v>904</v>
      </c>
      <c r="E60" s="125" t="s">
        <v>905</v>
      </c>
      <c r="F60" s="126" t="s">
        <v>906</v>
      </c>
    </row>
    <row r="61" s="116" customFormat="1" spans="1:6">
      <c r="A61" s="134" t="s">
        <v>907</v>
      </c>
      <c r="B61" s="66"/>
      <c r="C61" s="125" t="s">
        <v>908</v>
      </c>
      <c r="D61" s="125" t="s">
        <v>909</v>
      </c>
      <c r="E61" s="125" t="s">
        <v>910</v>
      </c>
      <c r="F61" s="126" t="s">
        <v>911</v>
      </c>
    </row>
    <row r="62" s="116" customFormat="1" spans="1:6">
      <c r="A62" s="134" t="s">
        <v>912</v>
      </c>
      <c r="B62" s="66"/>
      <c r="C62" s="125" t="s">
        <v>913</v>
      </c>
      <c r="D62" s="125" t="s">
        <v>914</v>
      </c>
      <c r="E62" s="125" t="s">
        <v>915</v>
      </c>
      <c r="F62" s="126" t="s">
        <v>916</v>
      </c>
    </row>
    <row r="63" s="116" customFormat="1" spans="1:6">
      <c r="A63" s="134" t="s">
        <v>917</v>
      </c>
      <c r="B63" s="66"/>
      <c r="C63" s="125" t="s">
        <v>918</v>
      </c>
      <c r="D63" s="125" t="s">
        <v>919</v>
      </c>
      <c r="E63" s="98" t="s">
        <v>920</v>
      </c>
      <c r="F63" s="99" t="s">
        <v>921</v>
      </c>
    </row>
    <row r="64" s="116" customFormat="1" spans="1:6">
      <c r="A64" s="134" t="s">
        <v>922</v>
      </c>
      <c r="B64" s="66"/>
      <c r="C64" s="125" t="s">
        <v>923</v>
      </c>
      <c r="D64" s="125" t="s">
        <v>924</v>
      </c>
      <c r="E64" s="98" t="s">
        <v>925</v>
      </c>
      <c r="F64" s="99" t="s">
        <v>926</v>
      </c>
    </row>
    <row r="65" s="116" customFormat="1" spans="1:6">
      <c r="A65" s="134" t="s">
        <v>927</v>
      </c>
      <c r="B65" s="66"/>
      <c r="C65" s="125" t="s">
        <v>928</v>
      </c>
      <c r="D65" s="125" t="s">
        <v>929</v>
      </c>
      <c r="E65" s="98" t="s">
        <v>930</v>
      </c>
      <c r="F65" s="99" t="s">
        <v>931</v>
      </c>
    </row>
    <row r="66" s="116" customFormat="1" spans="1:6">
      <c r="A66" s="134" t="s">
        <v>932</v>
      </c>
      <c r="B66" s="66"/>
      <c r="C66" s="125" t="s">
        <v>933</v>
      </c>
      <c r="D66" s="125" t="s">
        <v>934</v>
      </c>
      <c r="E66" s="125" t="s">
        <v>935</v>
      </c>
      <c r="F66" s="126" t="s">
        <v>936</v>
      </c>
    </row>
    <row r="67" s="116" customFormat="1" spans="1:6">
      <c r="A67" s="136" t="s">
        <v>937</v>
      </c>
      <c r="B67" s="66"/>
      <c r="C67" s="125" t="s">
        <v>938</v>
      </c>
      <c r="D67" s="125" t="s">
        <v>939</v>
      </c>
      <c r="E67" s="125" t="s">
        <v>940</v>
      </c>
      <c r="F67" s="126" t="s">
        <v>941</v>
      </c>
    </row>
    <row r="68" s="116" customFormat="1" spans="1:6">
      <c r="A68" s="134" t="s">
        <v>942</v>
      </c>
      <c r="B68" s="66"/>
      <c r="C68" s="125" t="s">
        <v>943</v>
      </c>
      <c r="D68" s="125" t="s">
        <v>944</v>
      </c>
      <c r="E68" s="125" t="s">
        <v>945</v>
      </c>
      <c r="F68" s="126" t="s">
        <v>946</v>
      </c>
    </row>
    <row r="69" s="116" customFormat="1" spans="1:6">
      <c r="A69" s="134" t="s">
        <v>947</v>
      </c>
      <c r="B69" s="66"/>
      <c r="C69" s="125" t="s">
        <v>948</v>
      </c>
      <c r="D69" s="125" t="s">
        <v>949</v>
      </c>
      <c r="E69" s="98" t="s">
        <v>950</v>
      </c>
      <c r="F69" s="99" t="s">
        <v>951</v>
      </c>
    </row>
    <row r="70" s="116" customFormat="1" spans="1:6">
      <c r="A70" s="134" t="s">
        <v>952</v>
      </c>
      <c r="B70" s="66"/>
      <c r="C70" s="125" t="s">
        <v>953</v>
      </c>
      <c r="D70" s="125" t="s">
        <v>954</v>
      </c>
      <c r="E70" s="98" t="s">
        <v>955</v>
      </c>
      <c r="F70" s="99" t="s">
        <v>956</v>
      </c>
    </row>
    <row r="71" s="116" customFormat="1" spans="1:6">
      <c r="A71" s="134" t="s">
        <v>957</v>
      </c>
      <c r="B71" s="66"/>
      <c r="C71" s="125" t="s">
        <v>958</v>
      </c>
      <c r="D71" s="125" t="s">
        <v>959</v>
      </c>
      <c r="E71" s="98" t="s">
        <v>960</v>
      </c>
      <c r="F71" s="99" t="s">
        <v>961</v>
      </c>
    </row>
    <row r="72" s="116" customFormat="1" spans="1:6">
      <c r="A72" s="134" t="s">
        <v>962</v>
      </c>
      <c r="B72" s="66"/>
      <c r="C72" s="125" t="s">
        <v>963</v>
      </c>
      <c r="D72" s="125" t="s">
        <v>964</v>
      </c>
      <c r="E72" s="125" t="s">
        <v>965</v>
      </c>
      <c r="F72" s="126" t="s">
        <v>966</v>
      </c>
    </row>
    <row r="73" s="116" customFormat="1" spans="1:6">
      <c r="A73" s="134" t="s">
        <v>967</v>
      </c>
      <c r="B73" s="66"/>
      <c r="C73" s="125" t="s">
        <v>968</v>
      </c>
      <c r="D73" s="125" t="s">
        <v>969</v>
      </c>
      <c r="E73" s="125" t="s">
        <v>970</v>
      </c>
      <c r="F73" s="126" t="s">
        <v>971</v>
      </c>
    </row>
    <row r="74" s="116" customFormat="1" spans="1:6">
      <c r="A74" s="134" t="s">
        <v>972</v>
      </c>
      <c r="B74" s="66"/>
      <c r="C74" s="125" t="s">
        <v>973</v>
      </c>
      <c r="D74" s="125" t="s">
        <v>974</v>
      </c>
      <c r="E74" s="125" t="s">
        <v>975</v>
      </c>
      <c r="F74" s="126" t="s">
        <v>976</v>
      </c>
    </row>
    <row r="75" s="116" customFormat="1" spans="1:6">
      <c r="A75" s="134" t="s">
        <v>977</v>
      </c>
      <c r="B75" s="66"/>
      <c r="C75" s="125" t="s">
        <v>978</v>
      </c>
      <c r="D75" s="125" t="s">
        <v>979</v>
      </c>
      <c r="E75" s="125" t="s">
        <v>980</v>
      </c>
      <c r="F75" s="126" t="s">
        <v>981</v>
      </c>
    </row>
    <row r="76" s="116" customFormat="1" spans="1:6">
      <c r="A76" s="134" t="s">
        <v>982</v>
      </c>
      <c r="B76" s="66"/>
      <c r="C76" s="125" t="s">
        <v>983</v>
      </c>
      <c r="D76" s="125" t="s">
        <v>984</v>
      </c>
      <c r="E76" s="125" t="s">
        <v>985</v>
      </c>
      <c r="F76" s="126" t="s">
        <v>986</v>
      </c>
    </row>
    <row r="77" s="116" customFormat="1" spans="1:6">
      <c r="A77" s="133" t="s">
        <v>987</v>
      </c>
      <c r="B77" s="66"/>
      <c r="C77" s="125" t="s">
        <v>988</v>
      </c>
      <c r="D77" s="125" t="s">
        <v>989</v>
      </c>
      <c r="E77" s="125" t="s">
        <v>990</v>
      </c>
      <c r="F77" s="126" t="s">
        <v>991</v>
      </c>
    </row>
    <row r="78" s="116" customFormat="1" spans="1:6">
      <c r="A78" s="137" t="s">
        <v>992</v>
      </c>
      <c r="B78" s="66"/>
      <c r="C78" s="127" t="e">
        <f>C51+C58</f>
        <v>#VALUE!</v>
      </c>
      <c r="D78" s="127" t="e">
        <f>D51+D58</f>
        <v>#VALUE!</v>
      </c>
      <c r="E78" s="127" t="e">
        <f>E51+E58</f>
        <v>#VALUE!</v>
      </c>
      <c r="F78" s="128" t="e">
        <f>F51+F58</f>
        <v>#VALUE!</v>
      </c>
    </row>
    <row r="79" s="116" customFormat="1" spans="1:6">
      <c r="A79" s="138" t="s">
        <v>993</v>
      </c>
      <c r="B79" s="66"/>
      <c r="C79" s="125" t="s">
        <v>994</v>
      </c>
      <c r="D79" s="125" t="s">
        <v>995</v>
      </c>
      <c r="E79" s="125" t="s">
        <v>996</v>
      </c>
      <c r="F79" s="126" t="s">
        <v>997</v>
      </c>
    </row>
    <row r="80" s="116" customFormat="1" spans="1:6">
      <c r="A80" s="138" t="s">
        <v>998</v>
      </c>
      <c r="B80" s="66"/>
      <c r="C80" s="125" t="s">
        <v>999</v>
      </c>
      <c r="D80" s="125" t="s">
        <v>1000</v>
      </c>
      <c r="E80" s="125" t="s">
        <v>1001</v>
      </c>
      <c r="F80" s="126" t="s">
        <v>1002</v>
      </c>
    </row>
    <row r="81" s="116" customFormat="1" spans="1:6">
      <c r="A81" s="120" t="s">
        <v>1003</v>
      </c>
      <c r="B81" s="66"/>
      <c r="C81" s="125"/>
      <c r="D81" s="125"/>
      <c r="E81" s="125"/>
      <c r="F81" s="126"/>
    </row>
    <row r="82" s="116" customFormat="1" spans="1:6">
      <c r="A82" s="70" t="s">
        <v>1004</v>
      </c>
      <c r="B82" s="66"/>
      <c r="C82" s="125" t="s">
        <v>1005</v>
      </c>
      <c r="D82" s="125" t="s">
        <v>1006</v>
      </c>
      <c r="E82" s="125" t="s">
        <v>1007</v>
      </c>
      <c r="F82" s="126" t="s">
        <v>1008</v>
      </c>
    </row>
    <row r="83" s="116" customFormat="1" spans="1:6">
      <c r="A83" s="139" t="s">
        <v>1009</v>
      </c>
      <c r="B83" s="75"/>
      <c r="C83" s="140" t="s">
        <v>1010</v>
      </c>
      <c r="D83" s="140" t="s">
        <v>1011</v>
      </c>
      <c r="E83" s="140" t="s">
        <v>1012</v>
      </c>
      <c r="F83" s="141" t="s">
        <v>1013</v>
      </c>
    </row>
    <row r="84" s="116" customFormat="1" ht="15.6" customHeight="1" spans="1:6">
      <c r="A84" s="37"/>
      <c r="B84" s="89"/>
    </row>
    <row r="85" s="37" customFormat="1" ht="15.6" customHeight="1" spans="1:6">
      <c r="A85" s="30" t="s">
        <v>650</v>
      </c>
      <c r="B85" s="114"/>
    </row>
    <row r="86" s="37" customFormat="1" ht="18" customHeight="1" spans="1:6">
      <c r="A86" s="142"/>
      <c r="B86" s="114"/>
    </row>
    <row r="87" s="37" customFormat="1" ht="18" customHeight="1" spans="1:6">
      <c r="A87" s="143"/>
      <c r="B87" s="114"/>
    </row>
    <row r="88" s="37" customFormat="1" ht="18" customHeight="1" spans="1:6">
      <c r="A88" s="42"/>
      <c r="B88" s="114"/>
    </row>
    <row r="89" s="37" customFormat="1" ht="18" customHeight="1" spans="1:6">
      <c r="A89" s="144" t="s">
        <v>1014</v>
      </c>
    </row>
    <row r="90" s="37" customFormat="1" ht="18" customHeight="1" spans="1:6">
      <c r="A90" s="42"/>
      <c r="B90" s="114"/>
    </row>
    <row r="91" ht="18" customHeight="1"/>
    <row r="92" ht="18" customHeight="1"/>
  </sheetData>
  <mergeCells count="8">
    <mergeCell ref="A1:F1"/>
    <mergeCell ref="A2:F2"/>
    <mergeCell ref="A3:C3"/>
    <mergeCell ref="C4:D4"/>
    <mergeCell ref="E4:F4"/>
    <mergeCell ref="A89:D89"/>
    <mergeCell ref="A4:A5"/>
    <mergeCell ref="B4:B5"/>
  </mergeCells>
  <conditionalFormatting sqref="C$1:F$1048576">
    <cfRule type="cellIs" dxfId="0" priority="1" operator="equal">
      <formula>0</formula>
    </cfRule>
  </conditionalFormatting>
  <printOptions horizontalCentered="1" verticalCentered="1"/>
  <pageMargins left="0.747916666666667" right="0.550694444444444" top="0.786805555555556" bottom="0.590277777777778" header="0.511805555555556" footer="0.275"/>
  <pageSetup paperSize="9" scale="56" firstPageNumber="2" orientation="portrait" useFirstPageNumber="1" horizontalDpi="600"/>
  <headerFooter alignWithMargins="0">
    <oddFooter>&amp;C&amp;"Arial Narrow,常规"&amp;P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G74"/>
  <sheetViews>
    <sheetView showGridLines="0" showZeros="0" view="pageBreakPreview" zoomScaleNormal="100" workbookViewId="0">
      <pane xSplit="2" ySplit="5" topLeftCell="C45" activePane="bottomRight" state="frozen"/>
      <selection/>
      <selection pane="topRight"/>
      <selection pane="bottomLeft"/>
      <selection pane="bottomRight" activeCell="D62" sqref="D62"/>
    </sheetView>
  </sheetViews>
  <sheetFormatPr defaultColWidth="9" defaultRowHeight="22.2" customHeight="1" outlineLevelCol="6"/>
  <cols>
    <col min="1" max="1" width="46.0083333333333" style="36" customWidth="1"/>
    <col min="2" max="2" width="9.125" style="36" customWidth="1"/>
    <col min="3" max="5" width="17.1" style="36" customWidth="1"/>
    <col min="6" max="6" width="17.1" style="87" customWidth="1"/>
    <col min="7" max="16384" width="9" style="36" customWidth="1"/>
  </cols>
  <sheetData>
    <row r="1" s="86" customFormat="1" ht="30" customHeight="1" spans="1:6">
      <c r="A1" s="88" t="s">
        <v>1015</v>
      </c>
    </row>
    <row r="2" s="37" customFormat="1" ht="18" customHeight="1" spans="1:6">
      <c r="A2" s="89" t="s">
        <v>1</v>
      </c>
    </row>
    <row r="3" s="37" customFormat="1" ht="18" customHeight="1" spans="1:6">
      <c r="A3" s="42" t="s">
        <v>2</v>
      </c>
      <c r="C3" s="42"/>
      <c r="D3" s="42"/>
      <c r="F3" s="83" t="s">
        <v>3</v>
      </c>
    </row>
    <row r="4" s="37" customFormat="1" ht="15.6" customHeight="1" spans="1:6">
      <c r="A4" s="90" t="s">
        <v>4</v>
      </c>
      <c r="B4" s="91" t="s">
        <v>5</v>
      </c>
      <c r="C4" s="92" t="s">
        <v>652</v>
      </c>
      <c r="D4" s="13"/>
      <c r="E4" s="92" t="s">
        <v>653</v>
      </c>
      <c r="F4" s="13"/>
    </row>
    <row r="5" s="37" customFormat="1" ht="15.6" customHeight="1" spans="1:6">
      <c r="A5" s="44"/>
      <c r="B5" s="15"/>
      <c r="C5" s="93" t="s">
        <v>8</v>
      </c>
      <c r="D5" s="91" t="s">
        <v>9</v>
      </c>
      <c r="E5" s="91" t="s">
        <v>8</v>
      </c>
      <c r="F5" s="93" t="s">
        <v>9</v>
      </c>
    </row>
    <row r="6" s="37" customFormat="1" ht="15.6" customHeight="1" spans="1:6">
      <c r="A6" s="94" t="s">
        <v>1016</v>
      </c>
      <c r="B6" s="95"/>
      <c r="C6" s="96"/>
      <c r="D6" s="97"/>
      <c r="E6" s="97"/>
      <c r="F6" s="96"/>
    </row>
    <row r="7" s="37" customFormat="1" ht="15.6" customHeight="1" spans="1:6">
      <c r="A7" s="36" t="s">
        <v>1017</v>
      </c>
      <c r="B7" s="95"/>
      <c r="C7" s="98" t="s">
        <v>1018</v>
      </c>
      <c r="D7" s="98" t="s">
        <v>1019</v>
      </c>
      <c r="E7" s="98" t="s">
        <v>1020</v>
      </c>
      <c r="F7" s="99" t="s">
        <v>1021</v>
      </c>
    </row>
    <row r="8" s="37" customFormat="1" ht="15.6" customHeight="1" spans="1:6">
      <c r="A8" s="36" t="s">
        <v>1022</v>
      </c>
      <c r="B8" s="95"/>
      <c r="C8" s="98" t="s">
        <v>1023</v>
      </c>
      <c r="D8" s="98" t="s">
        <v>1024</v>
      </c>
      <c r="E8" s="98" t="s">
        <v>1025</v>
      </c>
      <c r="F8" s="99" t="s">
        <v>1026</v>
      </c>
    </row>
    <row r="9" s="37" customFormat="1" ht="15.6" customHeight="1" spans="1:6">
      <c r="A9" s="36" t="s">
        <v>1027</v>
      </c>
      <c r="B9" s="95"/>
      <c r="C9" s="98" t="s">
        <v>1028</v>
      </c>
      <c r="D9" s="98" t="s">
        <v>1029</v>
      </c>
      <c r="E9" s="98" t="s">
        <v>1030</v>
      </c>
      <c r="F9" s="99" t="s">
        <v>1031</v>
      </c>
    </row>
    <row r="10" s="37" customFormat="1" ht="15.6" customHeight="1" spans="1:6">
      <c r="A10" s="36" t="s">
        <v>1032</v>
      </c>
      <c r="B10" s="95"/>
      <c r="C10" s="98" t="s">
        <v>1033</v>
      </c>
      <c r="D10" s="98" t="s">
        <v>1034</v>
      </c>
      <c r="E10" s="98" t="s">
        <v>1035</v>
      </c>
      <c r="F10" s="99" t="s">
        <v>1036</v>
      </c>
    </row>
    <row r="11" s="37" customFormat="1" ht="15.6" customHeight="1" spans="1:6">
      <c r="A11" s="36" t="s">
        <v>1037</v>
      </c>
      <c r="B11" s="95"/>
      <c r="C11" s="98" t="s">
        <v>1038</v>
      </c>
      <c r="D11" s="98" t="s">
        <v>1039</v>
      </c>
      <c r="E11" s="98" t="s">
        <v>1040</v>
      </c>
      <c r="F11" s="99" t="s">
        <v>1041</v>
      </c>
    </row>
    <row r="12" s="37" customFormat="1" ht="15.6" customHeight="1" spans="1:6">
      <c r="A12" s="36" t="s">
        <v>1042</v>
      </c>
      <c r="B12" s="95"/>
      <c r="C12" s="98" t="s">
        <v>1043</v>
      </c>
      <c r="D12" s="98" t="s">
        <v>1044</v>
      </c>
      <c r="E12" s="98" t="s">
        <v>1045</v>
      </c>
      <c r="F12" s="99" t="s">
        <v>1046</v>
      </c>
    </row>
    <row r="13" s="37" customFormat="1" ht="15.6" customHeight="1" spans="1:6">
      <c r="A13" s="36" t="s">
        <v>1047</v>
      </c>
      <c r="B13" s="95"/>
      <c r="C13" s="98" t="s">
        <v>1048</v>
      </c>
      <c r="D13" s="98" t="s">
        <v>1049</v>
      </c>
      <c r="E13" s="98" t="s">
        <v>1050</v>
      </c>
      <c r="F13" s="99" t="s">
        <v>1051</v>
      </c>
    </row>
    <row r="14" s="37" customFormat="1" ht="15.6" customHeight="1" spans="1:6">
      <c r="A14" s="36" t="s">
        <v>1052</v>
      </c>
      <c r="B14" s="95"/>
      <c r="C14" s="98" t="s">
        <v>1053</v>
      </c>
      <c r="D14" s="98" t="s">
        <v>1054</v>
      </c>
      <c r="E14" s="98" t="s">
        <v>1055</v>
      </c>
      <c r="F14" s="99" t="s">
        <v>1056</v>
      </c>
    </row>
    <row r="15" s="37" customFormat="1" ht="15.6" customHeight="1" spans="1:6">
      <c r="A15" s="36" t="s">
        <v>1057</v>
      </c>
      <c r="B15" s="95"/>
      <c r="C15" s="98" t="s">
        <v>1058</v>
      </c>
      <c r="D15" s="98" t="s">
        <v>1059</v>
      </c>
      <c r="E15" s="98" t="s">
        <v>1060</v>
      </c>
      <c r="F15" s="99" t="s">
        <v>1061</v>
      </c>
    </row>
    <row r="16" s="37" customFormat="1" ht="35" customHeight="1" spans="1:6">
      <c r="A16" s="82" t="s">
        <v>1062</v>
      </c>
      <c r="B16" s="95"/>
      <c r="C16" s="98" t="s">
        <v>1063</v>
      </c>
      <c r="D16" s="98" t="s">
        <v>1064</v>
      </c>
      <c r="E16" s="98" t="s">
        <v>1065</v>
      </c>
      <c r="F16" s="99" t="s">
        <v>1066</v>
      </c>
    </row>
    <row r="17" s="37" customFormat="1" ht="15.6" customHeight="1" spans="1:7">
      <c r="A17" s="36" t="s">
        <v>1067</v>
      </c>
      <c r="B17" s="95"/>
      <c r="C17" s="98" t="s">
        <v>1068</v>
      </c>
      <c r="D17" s="98" t="s">
        <v>1069</v>
      </c>
      <c r="E17" s="98" t="s">
        <v>1070</v>
      </c>
      <c r="F17" s="99" t="s">
        <v>1071</v>
      </c>
    </row>
    <row r="18" s="37" customFormat="1" ht="15.6" customHeight="1" spans="1:7">
      <c r="A18" s="36" t="s">
        <v>1072</v>
      </c>
      <c r="B18" s="95"/>
      <c r="C18" s="98" t="s">
        <v>1073</v>
      </c>
      <c r="D18" s="98" t="s">
        <v>1074</v>
      </c>
      <c r="E18" s="98" t="s">
        <v>1075</v>
      </c>
      <c r="F18" s="99" t="s">
        <v>1076</v>
      </c>
    </row>
    <row r="19" s="37" customFormat="1" ht="15.6" customHeight="1" spans="1:7">
      <c r="A19" s="36" t="s">
        <v>1077</v>
      </c>
      <c r="B19" s="95"/>
      <c r="C19" s="98" t="s">
        <v>1078</v>
      </c>
      <c r="D19" s="98" t="s">
        <v>1079</v>
      </c>
      <c r="E19" s="98" t="s">
        <v>1080</v>
      </c>
      <c r="F19" s="99" t="s">
        <v>1081</v>
      </c>
    </row>
    <row r="20" s="37" customFormat="1" ht="15.6" customHeight="1" spans="1:7">
      <c r="A20" s="65" t="s">
        <v>1082</v>
      </c>
      <c r="B20" s="95"/>
      <c r="C20" s="98" t="s">
        <v>1083</v>
      </c>
      <c r="D20" s="98" t="s">
        <v>1084</v>
      </c>
      <c r="E20" s="98" t="s">
        <v>1085</v>
      </c>
      <c r="F20" s="99" t="s">
        <v>1086</v>
      </c>
    </row>
    <row r="21" s="37" customFormat="1" ht="15.6" customHeight="1" spans="1:7">
      <c r="A21" s="36" t="s">
        <v>1087</v>
      </c>
      <c r="B21" s="95"/>
      <c r="C21" s="98" t="s">
        <v>1088</v>
      </c>
      <c r="D21" s="98" t="s">
        <v>1089</v>
      </c>
      <c r="E21" s="98" t="s">
        <v>1090</v>
      </c>
      <c r="F21" s="99" t="s">
        <v>1091</v>
      </c>
      <c r="G21" s="37" t="s">
        <v>1092</v>
      </c>
    </row>
    <row r="22" s="37" customFormat="1" ht="15.6" customHeight="1" spans="1:7">
      <c r="A22" s="36" t="s">
        <v>1093</v>
      </c>
      <c r="B22" s="95"/>
      <c r="C22" s="98" t="s">
        <v>1094</v>
      </c>
      <c r="D22" s="98" t="s">
        <v>1095</v>
      </c>
      <c r="E22" s="98" t="s">
        <v>1096</v>
      </c>
      <c r="F22" s="99" t="s">
        <v>1097</v>
      </c>
      <c r="G22" s="85" t="s">
        <v>1098</v>
      </c>
    </row>
    <row r="23" s="37" customFormat="1" ht="15.6" customHeight="1" spans="1:7">
      <c r="A23" s="100" t="s">
        <v>1099</v>
      </c>
      <c r="B23" s="95"/>
      <c r="C23" s="101">
        <f>SUM(C7:C22)</f>
        <v>0</v>
      </c>
      <c r="D23" s="101">
        <f>SUM(D7:D22)</f>
        <v>0</v>
      </c>
      <c r="E23" s="101">
        <f>SUM(E7:E22)</f>
        <v>0</v>
      </c>
      <c r="F23" s="102">
        <f>SUM(F7:F22)</f>
        <v>0</v>
      </c>
    </row>
    <row r="24" s="37" customFormat="1" ht="15.6" customHeight="1" spans="1:7">
      <c r="A24" s="36" t="s">
        <v>1100</v>
      </c>
      <c r="B24" s="95"/>
      <c r="C24" s="98" t="s">
        <v>1101</v>
      </c>
      <c r="D24" s="98" t="s">
        <v>1102</v>
      </c>
      <c r="E24" s="98" t="s">
        <v>1103</v>
      </c>
      <c r="F24" s="99" t="s">
        <v>1104</v>
      </c>
    </row>
    <row r="25" s="37" customFormat="1" ht="15.6" customHeight="1" spans="1:7">
      <c r="A25" s="36" t="s">
        <v>1105</v>
      </c>
      <c r="B25" s="95"/>
      <c r="C25" s="98" t="s">
        <v>1106</v>
      </c>
      <c r="D25" s="98" t="s">
        <v>1107</v>
      </c>
      <c r="E25" s="98" t="s">
        <v>1108</v>
      </c>
      <c r="F25" s="99" t="s">
        <v>1109</v>
      </c>
    </row>
    <row r="26" s="37" customFormat="1" ht="15.6" customHeight="1" spans="1:7">
      <c r="A26" s="36" t="s">
        <v>1110</v>
      </c>
      <c r="B26" s="95"/>
      <c r="C26" s="98" t="s">
        <v>1111</v>
      </c>
      <c r="D26" s="98" t="s">
        <v>1112</v>
      </c>
      <c r="E26" s="98" t="s">
        <v>1113</v>
      </c>
      <c r="F26" s="99" t="s">
        <v>1114</v>
      </c>
    </row>
    <row r="27" s="37" customFormat="1" ht="15.6" customHeight="1" spans="1:7">
      <c r="A27" s="36" t="s">
        <v>1115</v>
      </c>
      <c r="B27" s="95"/>
      <c r="C27" s="98" t="s">
        <v>1116</v>
      </c>
      <c r="D27" s="98" t="s">
        <v>1117</v>
      </c>
      <c r="E27" s="98" t="s">
        <v>1118</v>
      </c>
      <c r="F27" s="99" t="s">
        <v>1119</v>
      </c>
    </row>
    <row r="28" s="37" customFormat="1" ht="15.6" customHeight="1" spans="1:7">
      <c r="A28" s="65" t="s">
        <v>1120</v>
      </c>
      <c r="B28" s="95"/>
      <c r="C28" s="98" t="s">
        <v>1121</v>
      </c>
      <c r="D28" s="98" t="s">
        <v>1122</v>
      </c>
      <c r="E28" s="98" t="s">
        <v>1123</v>
      </c>
      <c r="F28" s="99" t="s">
        <v>1124</v>
      </c>
    </row>
    <row r="29" s="37" customFormat="1" ht="15.6" customHeight="1" spans="1:7">
      <c r="A29" s="36" t="s">
        <v>1125</v>
      </c>
      <c r="B29" s="95"/>
      <c r="C29" s="98" t="s">
        <v>1126</v>
      </c>
      <c r="D29" s="98" t="s">
        <v>1127</v>
      </c>
      <c r="E29" s="98" t="s">
        <v>1128</v>
      </c>
      <c r="F29" s="99" t="s">
        <v>1129</v>
      </c>
    </row>
    <row r="30" s="37" customFormat="1" ht="15.6" customHeight="1" spans="1:7">
      <c r="A30" s="36" t="s">
        <v>1130</v>
      </c>
      <c r="B30" s="95"/>
      <c r="C30" s="98" t="s">
        <v>1131</v>
      </c>
      <c r="D30" s="98" t="s">
        <v>1132</v>
      </c>
      <c r="E30" s="98" t="s">
        <v>1133</v>
      </c>
      <c r="F30" s="99" t="s">
        <v>1134</v>
      </c>
    </row>
    <row r="31" s="37" customFormat="1" ht="15.6" customHeight="1" spans="1:7">
      <c r="A31" s="65" t="s">
        <v>1135</v>
      </c>
      <c r="B31" s="95"/>
      <c r="C31" s="98" t="s">
        <v>1136</v>
      </c>
      <c r="D31" s="98" t="s">
        <v>1137</v>
      </c>
      <c r="E31" s="98" t="s">
        <v>1138</v>
      </c>
      <c r="F31" s="99" t="s">
        <v>1139</v>
      </c>
    </row>
    <row r="32" s="37" customFormat="1" ht="15.6" customHeight="1" spans="1:7">
      <c r="A32" s="36" t="s">
        <v>1140</v>
      </c>
      <c r="B32" s="95"/>
      <c r="C32" s="98" t="s">
        <v>1141</v>
      </c>
      <c r="D32" s="98" t="s">
        <v>1142</v>
      </c>
      <c r="E32" s="98" t="s">
        <v>1143</v>
      </c>
      <c r="F32" s="99" t="s">
        <v>1144</v>
      </c>
    </row>
    <row r="33" s="37" customFormat="1" ht="15.6" customHeight="1" spans="1:7">
      <c r="A33" s="36" t="s">
        <v>1145</v>
      </c>
      <c r="B33" s="95"/>
      <c r="C33" s="98" t="s">
        <v>1146</v>
      </c>
      <c r="D33" s="98" t="s">
        <v>1147</v>
      </c>
      <c r="E33" s="98" t="s">
        <v>1148</v>
      </c>
      <c r="F33" s="99" t="s">
        <v>1149</v>
      </c>
    </row>
    <row r="34" s="37" customFormat="1" ht="15.6" customHeight="1" spans="1:7">
      <c r="A34" s="65" t="s">
        <v>1150</v>
      </c>
      <c r="B34" s="95"/>
      <c r="C34" s="98" t="s">
        <v>1151</v>
      </c>
      <c r="D34" s="98" t="s">
        <v>1152</v>
      </c>
      <c r="E34" s="98" t="s">
        <v>1153</v>
      </c>
      <c r="F34" s="99" t="s">
        <v>1154</v>
      </c>
      <c r="G34" s="85" t="s">
        <v>1155</v>
      </c>
    </row>
    <row r="35" s="37" customFormat="1" ht="15.6" customHeight="1" spans="1:7">
      <c r="A35" s="36" t="s">
        <v>1156</v>
      </c>
      <c r="B35" s="95"/>
      <c r="C35" s="98" t="s">
        <v>1157</v>
      </c>
      <c r="D35" s="98" t="s">
        <v>1158</v>
      </c>
      <c r="E35" s="98" t="s">
        <v>1159</v>
      </c>
      <c r="F35" s="99" t="s">
        <v>1160</v>
      </c>
      <c r="G35" s="37" t="s">
        <v>1161</v>
      </c>
    </row>
    <row r="36" s="37" customFormat="1" ht="15.6" customHeight="1" spans="1:7">
      <c r="A36" s="36" t="s">
        <v>1162</v>
      </c>
      <c r="B36" s="95"/>
      <c r="C36" s="98" t="s">
        <v>1163</v>
      </c>
      <c r="D36" s="98" t="s">
        <v>1164</v>
      </c>
      <c r="E36" s="98" t="s">
        <v>1165</v>
      </c>
      <c r="F36" s="99" t="s">
        <v>1166</v>
      </c>
      <c r="G36" s="85" t="s">
        <v>1167</v>
      </c>
    </row>
    <row r="37" s="37" customFormat="1" ht="15.6" customHeight="1" spans="1:7">
      <c r="A37" s="100" t="s">
        <v>1168</v>
      </c>
      <c r="B37" s="95"/>
      <c r="C37" s="101">
        <f>SUM(C24:C36)</f>
        <v>0</v>
      </c>
      <c r="D37" s="101">
        <f>SUM(D24:D36)</f>
        <v>0</v>
      </c>
      <c r="E37" s="101">
        <f>SUM(E24:E36)</f>
        <v>0</v>
      </c>
      <c r="F37" s="102">
        <f>SUM(F24:F36)</f>
        <v>0</v>
      </c>
    </row>
    <row r="38" s="37" customFormat="1" ht="15.6" customHeight="1" spans="1:7">
      <c r="A38" s="94" t="s">
        <v>1169</v>
      </c>
      <c r="B38" s="95"/>
      <c r="C38" s="101">
        <f>C23-C37</f>
        <v>0</v>
      </c>
      <c r="D38" s="101">
        <f>D23-D37</f>
        <v>0</v>
      </c>
      <c r="E38" s="101">
        <f>E23-E37</f>
        <v>0</v>
      </c>
      <c r="F38" s="102">
        <f>F23-F37</f>
        <v>0</v>
      </c>
    </row>
    <row r="39" s="37" customFormat="1" ht="15.6" customHeight="1" spans="1:7">
      <c r="A39" s="94" t="s">
        <v>1170</v>
      </c>
      <c r="B39" s="95"/>
      <c r="C39" s="103"/>
      <c r="D39" s="104"/>
      <c r="E39" s="104"/>
      <c r="F39" s="105"/>
    </row>
    <row r="40" s="37" customFormat="1" ht="15.6" customHeight="1" spans="1:7">
      <c r="A40" s="36" t="s">
        <v>1171</v>
      </c>
      <c r="B40" s="95"/>
      <c r="C40" s="98" t="s">
        <v>1172</v>
      </c>
      <c r="D40" s="98" t="s">
        <v>1173</v>
      </c>
      <c r="E40" s="98" t="s">
        <v>1174</v>
      </c>
      <c r="F40" s="99" t="s">
        <v>1175</v>
      </c>
    </row>
    <row r="41" s="37" customFormat="1" ht="15.6" customHeight="1" spans="1:7">
      <c r="A41" s="36" t="s">
        <v>1176</v>
      </c>
      <c r="B41" s="95"/>
      <c r="C41" s="98" t="s">
        <v>1177</v>
      </c>
      <c r="D41" s="98" t="s">
        <v>1178</v>
      </c>
      <c r="E41" s="98" t="s">
        <v>1179</v>
      </c>
      <c r="F41" s="99" t="s">
        <v>1180</v>
      </c>
    </row>
    <row r="42" s="37" customFormat="1" ht="24" customHeight="1" spans="1:7">
      <c r="A42" s="106" t="s">
        <v>1181</v>
      </c>
      <c r="B42" s="95"/>
      <c r="C42" s="98" t="s">
        <v>1182</v>
      </c>
      <c r="D42" s="98" t="s">
        <v>1183</v>
      </c>
      <c r="E42" s="98" t="s">
        <v>1184</v>
      </c>
      <c r="F42" s="99" t="s">
        <v>1185</v>
      </c>
    </row>
    <row r="43" s="37" customFormat="1" ht="15.6" customHeight="1" spans="1:7">
      <c r="A43" s="65" t="s">
        <v>1186</v>
      </c>
      <c r="B43" s="95"/>
      <c r="C43" s="98" t="s">
        <v>1187</v>
      </c>
      <c r="D43" s="98" t="s">
        <v>1188</v>
      </c>
      <c r="E43" s="98" t="s">
        <v>1189</v>
      </c>
      <c r="F43" s="99" t="s">
        <v>1190</v>
      </c>
    </row>
    <row r="44" s="37" customFormat="1" ht="15.6" customHeight="1" spans="1:7">
      <c r="A44" s="107" t="s">
        <v>1191</v>
      </c>
      <c r="B44" s="95"/>
      <c r="C44" s="98" t="s">
        <v>1192</v>
      </c>
      <c r="D44" s="98" t="s">
        <v>1193</v>
      </c>
      <c r="E44" s="98" t="s">
        <v>1194</v>
      </c>
      <c r="F44" s="99" t="s">
        <v>1195</v>
      </c>
    </row>
    <row r="45" s="37" customFormat="1" ht="15.6" customHeight="1" spans="1:7">
      <c r="A45" s="108" t="s">
        <v>1196</v>
      </c>
      <c r="B45" s="95"/>
      <c r="C45" s="101">
        <f>SUM(C40:C44)</f>
        <v>0</v>
      </c>
      <c r="D45" s="101">
        <f>SUM(D40:D44)</f>
        <v>0</v>
      </c>
      <c r="E45" s="101">
        <f>SUM(E40:E44)</f>
        <v>0</v>
      </c>
      <c r="F45" s="102">
        <f>SUM(F40:F44)</f>
        <v>0</v>
      </c>
    </row>
    <row r="46" s="37" customFormat="1" ht="15.6" customHeight="1" spans="1:7">
      <c r="A46" s="106" t="s">
        <v>1197</v>
      </c>
      <c r="B46" s="95"/>
      <c r="C46" s="98" t="s">
        <v>1198</v>
      </c>
      <c r="D46" s="98" t="s">
        <v>1199</v>
      </c>
      <c r="E46" s="98" t="s">
        <v>1200</v>
      </c>
      <c r="F46" s="99" t="s">
        <v>1201</v>
      </c>
    </row>
    <row r="47" s="37" customFormat="1" ht="15.6" customHeight="1" spans="1:7">
      <c r="A47" s="36" t="s">
        <v>1202</v>
      </c>
      <c r="B47" s="95"/>
      <c r="C47" s="98" t="s">
        <v>1203</v>
      </c>
      <c r="D47" s="98" t="s">
        <v>1204</v>
      </c>
      <c r="E47" s="98" t="s">
        <v>1205</v>
      </c>
      <c r="F47" s="99" t="s">
        <v>1206</v>
      </c>
    </row>
    <row r="48" s="37" customFormat="1" ht="15.6" customHeight="1" spans="1:7">
      <c r="A48" s="36" t="s">
        <v>1207</v>
      </c>
      <c r="B48" s="95"/>
      <c r="C48" s="98" t="s">
        <v>1208</v>
      </c>
      <c r="D48" s="98" t="s">
        <v>1209</v>
      </c>
      <c r="E48" s="98" t="s">
        <v>1210</v>
      </c>
      <c r="F48" s="99" t="s">
        <v>1211</v>
      </c>
    </row>
    <row r="49" s="37" customFormat="1" ht="15.6" customHeight="1" spans="1:6">
      <c r="A49" s="36" t="s">
        <v>1212</v>
      </c>
      <c r="B49" s="95"/>
      <c r="C49" s="98" t="s">
        <v>1213</v>
      </c>
      <c r="D49" s="98" t="s">
        <v>1214</v>
      </c>
      <c r="E49" s="98" t="s">
        <v>1215</v>
      </c>
      <c r="F49" s="99" t="s">
        <v>1216</v>
      </c>
    </row>
    <row r="50" s="37" customFormat="1" ht="15.6" customHeight="1" spans="1:6">
      <c r="A50" s="107" t="s">
        <v>1217</v>
      </c>
      <c r="B50" s="95"/>
      <c r="C50" s="98" t="s">
        <v>1218</v>
      </c>
      <c r="D50" s="98" t="s">
        <v>1219</v>
      </c>
      <c r="E50" s="98" t="s">
        <v>1220</v>
      </c>
      <c r="F50" s="99" t="s">
        <v>1221</v>
      </c>
    </row>
    <row r="51" s="37" customFormat="1" ht="15.6" customHeight="1" spans="1:6">
      <c r="A51" s="108" t="s">
        <v>1222</v>
      </c>
      <c r="B51" s="95"/>
      <c r="C51" s="101">
        <f>SUM(C46:C50)</f>
        <v>0</v>
      </c>
      <c r="D51" s="101">
        <f>SUM(D46:D50)</f>
        <v>0</v>
      </c>
      <c r="E51" s="101">
        <f>SUM(E46:E50)</f>
        <v>0</v>
      </c>
      <c r="F51" s="102">
        <f>SUM(F46:F50)</f>
        <v>0</v>
      </c>
    </row>
    <row r="52" s="37" customFormat="1" ht="15.6" customHeight="1" spans="1:6">
      <c r="A52" s="109" t="s">
        <v>1223</v>
      </c>
      <c r="B52" s="95"/>
      <c r="C52" s="101">
        <f>C45-C51</f>
        <v>0</v>
      </c>
      <c r="D52" s="101">
        <f>D45-D51</f>
        <v>0</v>
      </c>
      <c r="E52" s="101">
        <f>E45-E51</f>
        <v>0</v>
      </c>
      <c r="F52" s="102">
        <f>F45-F51</f>
        <v>0</v>
      </c>
    </row>
    <row r="53" s="37" customFormat="1" ht="15.6" customHeight="1" spans="1:6">
      <c r="A53" s="109" t="s">
        <v>1224</v>
      </c>
      <c r="B53" s="95"/>
      <c r="C53" s="103"/>
      <c r="D53" s="104"/>
      <c r="E53" s="104"/>
      <c r="F53" s="105"/>
    </row>
    <row r="54" s="37" customFormat="1" ht="15.6" customHeight="1" spans="1:6">
      <c r="A54" s="107" t="s">
        <v>1225</v>
      </c>
      <c r="B54" s="95"/>
      <c r="C54" s="98" t="s">
        <v>1226</v>
      </c>
      <c r="D54" s="98" t="s">
        <v>1227</v>
      </c>
      <c r="E54" s="98" t="s">
        <v>1228</v>
      </c>
      <c r="F54" s="99" t="s">
        <v>1229</v>
      </c>
    </row>
    <row r="55" s="37" customFormat="1" ht="15.6" customHeight="1" spans="1:6">
      <c r="A55" s="36" t="s">
        <v>1230</v>
      </c>
      <c r="B55" s="95"/>
      <c r="C55" s="98" t="s">
        <v>1231</v>
      </c>
      <c r="D55" s="98" t="s">
        <v>1232</v>
      </c>
      <c r="E55" s="98" t="s">
        <v>1233</v>
      </c>
      <c r="F55" s="99" t="s">
        <v>1234</v>
      </c>
    </row>
    <row r="56" s="37" customFormat="1" ht="15.6" customHeight="1" spans="1:6">
      <c r="A56" s="107" t="s">
        <v>1235</v>
      </c>
      <c r="B56" s="95"/>
      <c r="C56" s="98" t="s">
        <v>1236</v>
      </c>
      <c r="D56" s="98" t="s">
        <v>1237</v>
      </c>
      <c r="E56" s="98" t="s">
        <v>1238</v>
      </c>
      <c r="F56" s="99" t="s">
        <v>1239</v>
      </c>
    </row>
    <row r="57" s="37" customFormat="1" ht="15.6" customHeight="1" spans="1:6">
      <c r="A57" s="107" t="s">
        <v>1240</v>
      </c>
      <c r="B57" s="95"/>
      <c r="C57" s="98" t="s">
        <v>1241</v>
      </c>
      <c r="D57" s="98" t="s">
        <v>1242</v>
      </c>
      <c r="E57" s="98" t="s">
        <v>1243</v>
      </c>
      <c r="F57" s="99" t="s">
        <v>1244</v>
      </c>
    </row>
    <row r="58" s="37" customFormat="1" ht="15.6" customHeight="1" spans="1:6">
      <c r="A58" s="108" t="s">
        <v>1245</v>
      </c>
      <c r="B58" s="95"/>
      <c r="C58" s="101" t="e">
        <f>SUM(C54:C57)-C55</f>
        <v>#VALUE!</v>
      </c>
      <c r="D58" s="101" t="e">
        <f>SUM(D54:D57)-D55</f>
        <v>#VALUE!</v>
      </c>
      <c r="E58" s="101" t="e">
        <f>SUM(E54:E57)-E55</f>
        <v>#VALUE!</v>
      </c>
      <c r="F58" s="102" t="e">
        <f>SUM(F54:F57)-F55</f>
        <v>#VALUE!</v>
      </c>
    </row>
    <row r="59" s="37" customFormat="1" ht="15.6" customHeight="1" spans="1:6">
      <c r="A59" s="107" t="s">
        <v>1246</v>
      </c>
      <c r="B59" s="95"/>
      <c r="C59" s="98" t="s">
        <v>1247</v>
      </c>
      <c r="D59" s="98" t="s">
        <v>1248</v>
      </c>
      <c r="E59" s="98" t="s">
        <v>1249</v>
      </c>
      <c r="F59" s="99" t="s">
        <v>1250</v>
      </c>
    </row>
    <row r="60" s="37" customFormat="1" ht="15.6" customHeight="1" spans="1:6">
      <c r="A60" s="107" t="s">
        <v>1251</v>
      </c>
      <c r="B60" s="95"/>
      <c r="C60" s="98" t="s">
        <v>1252</v>
      </c>
      <c r="D60" s="98" t="s">
        <v>1253</v>
      </c>
      <c r="E60" s="98" t="s">
        <v>1254</v>
      </c>
      <c r="F60" s="99" t="s">
        <v>1255</v>
      </c>
    </row>
    <row r="61" s="37" customFormat="1" ht="15.6" customHeight="1" spans="1:6">
      <c r="A61" s="36" t="s">
        <v>1256</v>
      </c>
      <c r="B61" s="95"/>
      <c r="C61" s="98" t="s">
        <v>1257</v>
      </c>
      <c r="D61" s="98" t="s">
        <v>1258</v>
      </c>
      <c r="E61" s="98" t="s">
        <v>1259</v>
      </c>
      <c r="F61" s="99" t="s">
        <v>1260</v>
      </c>
    </row>
    <row r="62" s="37" customFormat="1" ht="15.6" customHeight="1" spans="1:6">
      <c r="A62" s="107" t="s">
        <v>1261</v>
      </c>
      <c r="B62" s="95"/>
      <c r="C62" s="98" t="s">
        <v>1262</v>
      </c>
      <c r="D62" s="98" t="s">
        <v>1263</v>
      </c>
      <c r="E62" s="98" t="s">
        <v>1264</v>
      </c>
      <c r="F62" s="99" t="s">
        <v>1265</v>
      </c>
    </row>
    <row r="63" s="37" customFormat="1" ht="15.6" customHeight="1" spans="1:6">
      <c r="A63" s="108" t="s">
        <v>1266</v>
      </c>
      <c r="B63" s="95"/>
      <c r="C63" s="101" t="e">
        <f>SUM(C59:C62)-C61</f>
        <v>#VALUE!</v>
      </c>
      <c r="D63" s="101" t="e">
        <f>SUM(D59:D62)-D61</f>
        <v>#VALUE!</v>
      </c>
      <c r="E63" s="101" t="e">
        <f>SUM(E59:E62)-E61</f>
        <v>#VALUE!</v>
      </c>
      <c r="F63" s="102" t="e">
        <f>SUM(F59:F62)-F61</f>
        <v>#VALUE!</v>
      </c>
    </row>
    <row r="64" s="37" customFormat="1" ht="15.6" customHeight="1" spans="1:6">
      <c r="A64" s="109" t="s">
        <v>1267</v>
      </c>
      <c r="B64" s="95"/>
      <c r="C64" s="101" t="e">
        <f>C58-C63</f>
        <v>#VALUE!</v>
      </c>
      <c r="D64" s="101" t="e">
        <f>D58-D63</f>
        <v>#VALUE!</v>
      </c>
      <c r="E64" s="101" t="e">
        <f>E58-E63</f>
        <v>#VALUE!</v>
      </c>
      <c r="F64" s="102" t="e">
        <f>F58-F63</f>
        <v>#VALUE!</v>
      </c>
    </row>
    <row r="65" s="37" customFormat="1" ht="15.6" customHeight="1" spans="1:6">
      <c r="A65" s="109" t="s">
        <v>1268</v>
      </c>
      <c r="B65" s="95"/>
      <c r="C65" s="101" t="s">
        <v>1269</v>
      </c>
      <c r="D65" s="101" t="s">
        <v>1270</v>
      </c>
      <c r="E65" s="101" t="s">
        <v>1271</v>
      </c>
      <c r="F65" s="102" t="s">
        <v>1272</v>
      </c>
    </row>
    <row r="66" s="37" customFormat="1" ht="15.6" customHeight="1" spans="1:6">
      <c r="A66" s="109" t="s">
        <v>1273</v>
      </c>
      <c r="B66" s="95"/>
      <c r="C66" s="101" t="e">
        <f>C38+C52+C64+C65</f>
        <v>#VALUE!</v>
      </c>
      <c r="D66" s="101" t="e">
        <f>D38+D52+D64+D65</f>
        <v>#VALUE!</v>
      </c>
      <c r="E66" s="101" t="e">
        <f>E38+E52+E64+E65</f>
        <v>#VALUE!</v>
      </c>
      <c r="F66" s="102" t="e">
        <f>F38+F52+F64+F65</f>
        <v>#VALUE!</v>
      </c>
    </row>
    <row r="67" s="37" customFormat="1" ht="15.6" customHeight="1" spans="1:6">
      <c r="A67" s="107" t="s">
        <v>1274</v>
      </c>
      <c r="B67" s="95"/>
      <c r="C67" s="98" t="s">
        <v>1275</v>
      </c>
      <c r="D67" s="98" t="s">
        <v>1276</v>
      </c>
      <c r="E67" s="98" t="s">
        <v>1277</v>
      </c>
      <c r="F67" s="99" t="s">
        <v>1278</v>
      </c>
    </row>
    <row r="68" s="37" customFormat="1" ht="15.6" customHeight="1" spans="1:6">
      <c r="A68" s="110" t="s">
        <v>1279</v>
      </c>
      <c r="B68" s="111"/>
      <c r="C68" s="112" t="e">
        <f>C66+C67</f>
        <v>#VALUE!</v>
      </c>
      <c r="D68" s="112" t="e">
        <f>D66+D67</f>
        <v>#VALUE!</v>
      </c>
      <c r="E68" s="112" t="e">
        <f>E66+E67</f>
        <v>#VALUE!</v>
      </c>
      <c r="F68" s="113" t="e">
        <f>F66+F67</f>
        <v>#VALUE!</v>
      </c>
    </row>
    <row r="69" s="37" customFormat="1" ht="15.6" customHeight="1" spans="1:6">
      <c r="F69" s="114"/>
    </row>
    <row r="70" s="37" customFormat="1" ht="15.6" customHeight="1" spans="1:6">
      <c r="A70" s="30" t="s">
        <v>650</v>
      </c>
      <c r="F70" s="114"/>
    </row>
    <row r="71" s="37" customFormat="1" ht="18" customHeight="1" spans="1:6">
      <c r="F71" s="114"/>
    </row>
    <row r="72" ht="18" customHeight="1"/>
    <row r="73" ht="18" customHeight="1"/>
    <row r="74" ht="18" customHeight="1" spans="1:6">
      <c r="A74" s="115" t="s">
        <v>1280</v>
      </c>
    </row>
  </sheetData>
  <mergeCells count="9">
    <mergeCell ref="A1:F1"/>
    <mergeCell ref="A2:F2"/>
    <mergeCell ref="A3:B3"/>
    <mergeCell ref="D3:E3"/>
    <mergeCell ref="C4:D4"/>
    <mergeCell ref="E4:F4"/>
    <mergeCell ref="A74:D74"/>
    <mergeCell ref="A4:A5"/>
    <mergeCell ref="B4:B5"/>
  </mergeCells>
  <conditionalFormatting sqref="C$1:F$1048576">
    <cfRule type="cellIs" dxfId="0" priority="1" operator="equal">
      <formula>0</formula>
    </cfRule>
  </conditionalFormatting>
  <printOptions horizontalCentered="1"/>
  <pageMargins left="0.66875" right="0.472222222222222" top="0.747916666666667" bottom="0.472222222222222" header="0.511811023622047" footer="0.196527777777778"/>
  <pageSetup paperSize="9" scale="69" firstPageNumber="4" orientation="portrait" useFirstPageNumber="1"/>
  <headerFooter alignWithMargins="0">
    <oddFooter>&amp;C&amp;"Arial Narrow,常规"&amp;P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D49"/>
  <sheetViews>
    <sheetView showGridLines="0" view="pageBreakPreview" zoomScaleNormal="100" workbookViewId="0">
      <pane xSplit="2" ySplit="8" topLeftCell="C9" activePane="bottomRight" state="frozen"/>
      <selection/>
      <selection pane="topRight"/>
      <selection pane="bottomLeft"/>
      <selection pane="bottomRight" activeCell="I8" sqref="I8"/>
    </sheetView>
  </sheetViews>
  <sheetFormatPr defaultColWidth="9" defaultRowHeight="12"/>
  <cols>
    <col min="1" max="1" width="42.2" style="36" customWidth="1"/>
    <col min="2" max="2" width="4.7" style="39" customWidth="1"/>
    <col min="3" max="3" width="14.7" style="39" customWidth="1"/>
    <col min="4" max="4" width="7.5" style="39" customWidth="1"/>
    <col min="5" max="5" width="14.7" style="39" customWidth="1"/>
    <col min="6" max="6" width="5.2" style="39" customWidth="1"/>
    <col min="7" max="7" width="14.4" style="39" customWidth="1"/>
    <col min="8" max="8" width="5.2" style="39" customWidth="1"/>
    <col min="9" max="9" width="13.7" style="39" customWidth="1"/>
    <col min="10" max="11" width="12.3" style="39" customWidth="1"/>
    <col min="12" max="12" width="6.6" style="39" customWidth="1"/>
    <col min="13" max="13" width="12.3" style="39" customWidth="1"/>
    <col min="14" max="14" width="14.4" style="39" customWidth="1"/>
    <col min="15" max="15" width="13.9" style="39" customWidth="1"/>
    <col min="16" max="16" width="14.9" style="39" customWidth="1"/>
    <col min="17" max="17" width="13.9" style="39" customWidth="1"/>
    <col min="18" max="18" width="7.2" style="39" customWidth="1"/>
    <col min="19" max="19" width="15.4" style="39" customWidth="1"/>
    <col min="20" max="20" width="5.4" style="39" customWidth="1"/>
    <col min="21" max="21" width="14.3" style="39" customWidth="1"/>
    <col min="22" max="22" width="7.1" style="39" customWidth="1"/>
    <col min="23" max="25" width="11.7" style="39" customWidth="1"/>
    <col min="26" max="26" width="7.3" style="39" customWidth="1"/>
    <col min="27" max="27" width="13.4" style="39" customWidth="1"/>
    <col min="28" max="28" width="14.8" style="39" customWidth="1"/>
    <col min="29" max="29" width="14.4" style="39" customWidth="1"/>
    <col min="30" max="30" width="14.9" style="39" customWidth="1"/>
    <col min="31" max="16384" width="9" style="39" customWidth="1"/>
  </cols>
  <sheetData>
    <row r="1" s="36" customFormat="1" ht="30" customHeight="1" spans="1:30">
      <c r="B1" s="40"/>
      <c r="C1" s="40"/>
      <c r="D1" s="40"/>
      <c r="E1" s="40"/>
      <c r="F1" s="40" t="s">
        <v>1281</v>
      </c>
      <c r="G1" s="40"/>
      <c r="H1" s="40"/>
      <c r="I1" s="40"/>
      <c r="J1" s="40"/>
      <c r="K1" s="40"/>
      <c r="L1" s="40"/>
      <c r="M1" s="40"/>
      <c r="N1" s="40"/>
      <c r="O1" s="40"/>
      <c r="P1" s="40"/>
      <c r="Q1" s="40"/>
      <c r="R1" s="40"/>
      <c r="S1" s="40"/>
      <c r="T1" s="40" t="s">
        <v>1282</v>
      </c>
      <c r="U1" s="40"/>
      <c r="V1" s="40"/>
      <c r="W1" s="40"/>
      <c r="X1" s="40"/>
      <c r="Y1" s="40"/>
      <c r="Z1" s="40"/>
      <c r="AA1" s="40"/>
      <c r="AB1" s="40"/>
      <c r="AC1" s="40"/>
      <c r="AD1" s="40"/>
    </row>
    <row r="2" s="36" customFormat="1" ht="18" customHeight="1" spans="1:30">
      <c r="B2" s="41"/>
      <c r="C2" s="41"/>
      <c r="D2" s="41"/>
      <c r="E2" s="41"/>
      <c r="F2" s="41"/>
      <c r="G2" s="41"/>
      <c r="H2" s="41"/>
      <c r="I2" s="41"/>
      <c r="J2" s="41"/>
      <c r="K2" s="41"/>
      <c r="L2" s="41"/>
      <c r="M2" s="41"/>
      <c r="N2" s="41"/>
      <c r="O2" s="41"/>
      <c r="P2" s="41"/>
      <c r="R2" s="41"/>
      <c r="S2" s="41"/>
      <c r="T2" s="41"/>
      <c r="W2" s="41"/>
      <c r="AD2" s="41"/>
    </row>
    <row r="3" s="37" customFormat="1" ht="18" customHeight="1" spans="1:30">
      <c r="A3" s="42" t="s">
        <v>2</v>
      </c>
      <c r="B3" s="42"/>
      <c r="C3" s="42"/>
      <c r="D3" s="42"/>
      <c r="E3" s="42"/>
      <c r="F3" s="42"/>
      <c r="G3" s="42" t="s">
        <v>1283</v>
      </c>
      <c r="H3" s="37"/>
      <c r="I3" s="37"/>
      <c r="J3" s="37"/>
      <c r="K3" s="37"/>
      <c r="P3" s="83" t="s">
        <v>1284</v>
      </c>
      <c r="Q3" s="37"/>
      <c r="R3" s="42"/>
      <c r="S3" s="42"/>
      <c r="T3" s="42"/>
      <c r="U3" s="37" t="s">
        <v>1285</v>
      </c>
      <c r="AD3" s="83" t="s">
        <v>1284</v>
      </c>
    </row>
    <row r="4" s="36" customFormat="1" ht="18" customHeight="1" spans="1:30">
      <c r="A4" s="46" t="s">
        <v>4</v>
      </c>
      <c r="B4" s="47" t="s">
        <v>1286</v>
      </c>
      <c r="C4" s="48" t="s">
        <v>1287</v>
      </c>
      <c r="D4" s="12"/>
      <c r="E4" s="12"/>
      <c r="F4" s="12"/>
      <c r="G4" s="12"/>
      <c r="H4" s="12"/>
      <c r="I4" s="12"/>
      <c r="J4" s="12"/>
      <c r="K4" s="12"/>
      <c r="L4" s="12"/>
      <c r="M4" s="12"/>
      <c r="N4" s="12"/>
      <c r="O4" s="12"/>
      <c r="P4" s="13"/>
      <c r="Q4" s="49" t="s">
        <v>1288</v>
      </c>
      <c r="R4" s="12"/>
      <c r="S4" s="12"/>
      <c r="T4" s="12"/>
      <c r="U4" s="12"/>
      <c r="V4" s="12"/>
      <c r="W4" s="12"/>
      <c r="X4" s="12"/>
      <c r="Y4" s="12"/>
      <c r="Z4" s="12"/>
      <c r="AA4" s="12"/>
      <c r="AB4" s="12"/>
      <c r="AC4" s="12"/>
      <c r="AD4" s="13"/>
    </row>
    <row r="5" s="82" customFormat="1" ht="15" customHeight="1" spans="1:30">
      <c r="A5" s="50"/>
      <c r="B5" s="51"/>
      <c r="C5" s="48" t="s">
        <v>1289</v>
      </c>
      <c r="D5" s="12"/>
      <c r="E5" s="12"/>
      <c r="F5" s="12"/>
      <c r="G5" s="12"/>
      <c r="H5" s="12"/>
      <c r="I5" s="12"/>
      <c r="J5" s="12"/>
      <c r="K5" s="12"/>
      <c r="L5" s="12"/>
      <c r="M5" s="12"/>
      <c r="N5" s="13"/>
      <c r="O5" s="47" t="s">
        <v>1290</v>
      </c>
      <c r="P5" s="52" t="s">
        <v>1291</v>
      </c>
      <c r="Q5" s="49" t="s">
        <v>1289</v>
      </c>
      <c r="R5" s="12"/>
      <c r="S5" s="12"/>
      <c r="T5" s="12"/>
      <c r="U5" s="12"/>
      <c r="V5" s="12"/>
      <c r="W5" s="12"/>
      <c r="X5" s="12"/>
      <c r="Y5" s="12"/>
      <c r="Z5" s="12"/>
      <c r="AA5" s="12"/>
      <c r="AB5" s="13"/>
      <c r="AC5" s="47" t="s">
        <v>1290</v>
      </c>
      <c r="AD5" s="52" t="s">
        <v>1291</v>
      </c>
    </row>
    <row r="6" s="36" customFormat="1" ht="33.75" customHeight="1" spans="1:30">
      <c r="A6" s="50"/>
      <c r="B6" s="51"/>
      <c r="C6" s="47" t="s">
        <v>1292</v>
      </c>
      <c r="D6" s="47" t="s">
        <v>1293</v>
      </c>
      <c r="E6" s="12"/>
      <c r="F6" s="13"/>
      <c r="G6" s="47" t="s">
        <v>1294</v>
      </c>
      <c r="H6" s="47" t="s">
        <v>1295</v>
      </c>
      <c r="I6" s="47" t="s">
        <v>1296</v>
      </c>
      <c r="J6" s="47" t="s">
        <v>1297</v>
      </c>
      <c r="K6" s="47" t="s">
        <v>1298</v>
      </c>
      <c r="L6" s="47" t="s">
        <v>1299</v>
      </c>
      <c r="M6" s="47" t="s">
        <v>1300</v>
      </c>
      <c r="N6" s="47" t="s">
        <v>1301</v>
      </c>
      <c r="O6" s="51"/>
      <c r="P6" s="84"/>
      <c r="Q6" s="46" t="s">
        <v>1292</v>
      </c>
      <c r="R6" s="47" t="s">
        <v>1293</v>
      </c>
      <c r="S6" s="12"/>
      <c r="T6" s="13"/>
      <c r="U6" s="47" t="s">
        <v>1294</v>
      </c>
      <c r="V6" s="47" t="s">
        <v>1295</v>
      </c>
      <c r="W6" s="47" t="s">
        <v>1296</v>
      </c>
      <c r="X6" s="47" t="s">
        <v>1297</v>
      </c>
      <c r="Y6" s="47" t="s">
        <v>1298</v>
      </c>
      <c r="Z6" s="47" t="s">
        <v>1299</v>
      </c>
      <c r="AA6" s="47" t="s">
        <v>1300</v>
      </c>
      <c r="AB6" s="47" t="s">
        <v>1301</v>
      </c>
      <c r="AC6" s="51"/>
      <c r="AD6" s="84"/>
    </row>
    <row r="7" s="36" customFormat="1" ht="27" customHeight="1" spans="1:30">
      <c r="A7" s="14"/>
      <c r="B7" s="15"/>
      <c r="C7" s="15"/>
      <c r="D7" s="47" t="s">
        <v>1302</v>
      </c>
      <c r="E7" s="47" t="s">
        <v>1303</v>
      </c>
      <c r="F7" s="47" t="s">
        <v>1304</v>
      </c>
      <c r="G7" s="15"/>
      <c r="H7" s="15"/>
      <c r="I7" s="15"/>
      <c r="J7" s="15"/>
      <c r="K7" s="15"/>
      <c r="L7" s="15"/>
      <c r="M7" s="15"/>
      <c r="N7" s="15"/>
      <c r="O7" s="15"/>
      <c r="P7" s="56"/>
      <c r="Q7" s="14"/>
      <c r="R7" s="47" t="s">
        <v>1302</v>
      </c>
      <c r="S7" s="47" t="s">
        <v>1303</v>
      </c>
      <c r="T7" s="47" t="s">
        <v>1304</v>
      </c>
      <c r="U7" s="15"/>
      <c r="V7" s="15"/>
      <c r="W7" s="15"/>
      <c r="X7" s="15"/>
      <c r="Y7" s="15"/>
      <c r="Z7" s="15"/>
      <c r="AA7" s="15"/>
      <c r="AB7" s="15"/>
      <c r="AC7" s="15"/>
      <c r="AD7" s="56"/>
    </row>
    <row r="8" s="36" customFormat="1" ht="15" customHeight="1" spans="1:30">
      <c r="A8" s="49" t="s">
        <v>1305</v>
      </c>
      <c r="B8" s="57" t="s">
        <v>1306</v>
      </c>
      <c r="C8" s="57">
        <v>1</v>
      </c>
      <c r="D8" s="57">
        <v>2</v>
      </c>
      <c r="E8" s="57">
        <v>3</v>
      </c>
      <c r="F8" s="57">
        <v>4</v>
      </c>
      <c r="G8" s="57">
        <v>5</v>
      </c>
      <c r="H8" s="57">
        <v>6</v>
      </c>
      <c r="I8" s="57">
        <v>7</v>
      </c>
      <c r="J8" s="57">
        <v>8</v>
      </c>
      <c r="K8" s="57">
        <v>9</v>
      </c>
      <c r="L8" s="57">
        <v>10</v>
      </c>
      <c r="M8" s="57">
        <v>11</v>
      </c>
      <c r="N8" s="57">
        <v>12</v>
      </c>
      <c r="O8" s="57">
        <v>13</v>
      </c>
      <c r="P8" s="58">
        <v>14</v>
      </c>
      <c r="Q8" s="59">
        <v>15</v>
      </c>
      <c r="R8" s="57">
        <v>16</v>
      </c>
      <c r="S8" s="57">
        <v>17</v>
      </c>
      <c r="T8" s="57">
        <v>18</v>
      </c>
      <c r="U8" s="57">
        <v>19</v>
      </c>
      <c r="V8" s="57">
        <v>20</v>
      </c>
      <c r="W8" s="57">
        <v>21</v>
      </c>
      <c r="X8" s="57">
        <v>22</v>
      </c>
      <c r="Y8" s="57">
        <v>23</v>
      </c>
      <c r="Z8" s="57">
        <v>24</v>
      </c>
      <c r="AA8" s="57">
        <v>25</v>
      </c>
      <c r="AB8" s="57">
        <v>26</v>
      </c>
      <c r="AC8" s="57">
        <v>27</v>
      </c>
      <c r="AD8" s="58">
        <v>28</v>
      </c>
    </row>
    <row r="9" s="38" customFormat="1" ht="15" customHeight="1" spans="1:30">
      <c r="A9" s="60" t="s">
        <v>1307</v>
      </c>
      <c r="B9" s="61">
        <v>1</v>
      </c>
      <c r="C9" s="62" t="s">
        <v>1308</v>
      </c>
      <c r="D9" s="62" t="s">
        <v>1309</v>
      </c>
      <c r="E9" s="62"/>
      <c r="F9" s="62"/>
      <c r="G9" s="62" t="s">
        <v>1310</v>
      </c>
      <c r="H9" s="62" t="s">
        <v>1311</v>
      </c>
      <c r="I9" s="62" t="s">
        <v>1312</v>
      </c>
      <c r="J9" s="62" t="s">
        <v>1313</v>
      </c>
      <c r="K9" s="62" t="s">
        <v>1314</v>
      </c>
      <c r="L9" s="62" t="s">
        <v>1315</v>
      </c>
      <c r="M9" s="62" t="s">
        <v>1316</v>
      </c>
      <c r="N9" s="62" t="e">
        <f t="shared" ref="N9:N41" si="0">SUM(C9:G9)+SUM(I9:M9)-H9</f>
        <v>#VALUE!</v>
      </c>
      <c r="O9" s="62" t="s">
        <v>1317</v>
      </c>
      <c r="P9" s="63" t="e">
        <f t="shared" ref="P9:P41" si="1">SUM(N9:O9)</f>
        <v>#VALUE!</v>
      </c>
      <c r="Q9" s="64" t="s">
        <v>1318</v>
      </c>
      <c r="R9" s="62" t="s">
        <v>1319</v>
      </c>
      <c r="S9" s="62"/>
      <c r="T9" s="62"/>
      <c r="U9" s="62" t="s">
        <v>1320</v>
      </c>
      <c r="V9" s="62" t="s">
        <v>1321</v>
      </c>
      <c r="W9" s="62" t="s">
        <v>1322</v>
      </c>
      <c r="X9" s="62" t="s">
        <v>1323</v>
      </c>
      <c r="Y9" s="62" t="s">
        <v>1324</v>
      </c>
      <c r="Z9" s="62" t="s">
        <v>1325</v>
      </c>
      <c r="AA9" s="62" t="s">
        <v>1326</v>
      </c>
      <c r="AB9" s="62" t="e">
        <f t="shared" ref="AB9:AB41" si="2">SUM(Q9:U9)+SUM(W9:AA9)-V9</f>
        <v>#VALUE!</v>
      </c>
      <c r="AC9" s="62" t="s">
        <v>1327</v>
      </c>
      <c r="AD9" s="63" t="e">
        <f>SUM(AB9:AC9)</f>
        <v>#VALUE!</v>
      </c>
    </row>
    <row r="10" s="39" customFormat="1" ht="15" customHeight="1" spans="1:30">
      <c r="A10" s="65" t="s">
        <v>1328</v>
      </c>
      <c r="B10" s="66">
        <v>2</v>
      </c>
      <c r="C10" s="67" t="s">
        <v>1329</v>
      </c>
      <c r="D10" s="67" t="s">
        <v>1330</v>
      </c>
      <c r="E10" s="67"/>
      <c r="F10" s="67"/>
      <c r="G10" s="67" t="s">
        <v>1331</v>
      </c>
      <c r="H10" s="67" t="s">
        <v>1332</v>
      </c>
      <c r="I10" s="67" t="s">
        <v>1333</v>
      </c>
      <c r="J10" s="67" t="s">
        <v>1334</v>
      </c>
      <c r="K10" s="67" t="s">
        <v>1335</v>
      </c>
      <c r="L10" s="67" t="s">
        <v>1336</v>
      </c>
      <c r="M10" s="67" t="s">
        <v>1337</v>
      </c>
      <c r="N10" s="67" t="e">
        <f t="shared" si="0"/>
        <v>#VALUE!</v>
      </c>
      <c r="O10" s="67" t="s">
        <v>1338</v>
      </c>
      <c r="P10" s="68" t="e">
        <f t="shared" si="1"/>
        <v>#VALUE!</v>
      </c>
      <c r="Q10" s="69" t="s">
        <v>1339</v>
      </c>
      <c r="R10" s="67" t="s">
        <v>1340</v>
      </c>
      <c r="S10" s="67"/>
      <c r="T10" s="67"/>
      <c r="U10" s="67" t="s">
        <v>1341</v>
      </c>
      <c r="V10" s="67" t="s">
        <v>1342</v>
      </c>
      <c r="W10" s="67" t="s">
        <v>1343</v>
      </c>
      <c r="X10" s="67" t="s">
        <v>1344</v>
      </c>
      <c r="Y10" s="67" t="s">
        <v>1345</v>
      </c>
      <c r="Z10" s="67" t="s">
        <v>1346</v>
      </c>
      <c r="AA10" s="67" t="s">
        <v>1347</v>
      </c>
      <c r="AB10" s="67" t="e">
        <f t="shared" si="2"/>
        <v>#VALUE!</v>
      </c>
      <c r="AC10" s="67" t="s">
        <v>1348</v>
      </c>
      <c r="AD10" s="68" t="e">
        <f>SUM(AB10:AC10)</f>
        <v>#VALUE!</v>
      </c>
    </row>
    <row r="11" s="39" customFormat="1" ht="15" customHeight="1" spans="1:30">
      <c r="A11" s="65" t="s">
        <v>1349</v>
      </c>
      <c r="B11" s="66">
        <v>3</v>
      </c>
      <c r="C11" s="67" t="s">
        <v>1350</v>
      </c>
      <c r="D11" s="67" t="s">
        <v>1351</v>
      </c>
      <c r="E11" s="67"/>
      <c r="F11" s="67"/>
      <c r="G11" s="67" t="s">
        <v>1352</v>
      </c>
      <c r="H11" s="67" t="s">
        <v>1353</v>
      </c>
      <c r="I11" s="67" t="s">
        <v>1354</v>
      </c>
      <c r="J11" s="67" t="s">
        <v>1355</v>
      </c>
      <c r="K11" s="67" t="s">
        <v>1356</v>
      </c>
      <c r="L11" s="67" t="s">
        <v>1357</v>
      </c>
      <c r="M11" s="67" t="s">
        <v>1358</v>
      </c>
      <c r="N11" s="67" t="e">
        <f t="shared" si="0"/>
        <v>#VALUE!</v>
      </c>
      <c r="O11" s="67" t="s">
        <v>1359</v>
      </c>
      <c r="P11" s="68" t="e">
        <f t="shared" si="1"/>
        <v>#VALUE!</v>
      </c>
      <c r="Q11" s="69" t="s">
        <v>1360</v>
      </c>
      <c r="R11" s="67" t="s">
        <v>1361</v>
      </c>
      <c r="S11" s="67"/>
      <c r="T11" s="67"/>
      <c r="U11" s="67" t="s">
        <v>1362</v>
      </c>
      <c r="V11" s="67" t="s">
        <v>1363</v>
      </c>
      <c r="W11" s="67" t="s">
        <v>1364</v>
      </c>
      <c r="X11" s="67" t="s">
        <v>1365</v>
      </c>
      <c r="Y11" s="67" t="s">
        <v>1366</v>
      </c>
      <c r="Z11" s="67" t="s">
        <v>1367</v>
      </c>
      <c r="AA11" s="67" t="s">
        <v>1368</v>
      </c>
      <c r="AB11" s="67" t="e">
        <f t="shared" si="2"/>
        <v>#VALUE!</v>
      </c>
      <c r="AC11" s="67" t="s">
        <v>1369</v>
      </c>
      <c r="AD11" s="68" t="e">
        <f>SUM(AB11:AC11)</f>
        <v>#VALUE!</v>
      </c>
    </row>
    <row r="12" s="39" customFormat="1" ht="15" customHeight="1" spans="1:30">
      <c r="A12" s="65" t="s">
        <v>1370</v>
      </c>
      <c r="B12" s="66">
        <v>4</v>
      </c>
      <c r="C12" s="67" t="s">
        <v>1371</v>
      </c>
      <c r="D12" s="67" t="s">
        <v>1372</v>
      </c>
      <c r="E12" s="67"/>
      <c r="F12" s="67"/>
      <c r="G12" s="67" t="s">
        <v>1373</v>
      </c>
      <c r="H12" s="67" t="s">
        <v>1374</v>
      </c>
      <c r="I12" s="67" t="s">
        <v>1375</v>
      </c>
      <c r="J12" s="67" t="s">
        <v>1376</v>
      </c>
      <c r="K12" s="67" t="s">
        <v>1377</v>
      </c>
      <c r="L12" s="67" t="s">
        <v>1378</v>
      </c>
      <c r="M12" s="67" t="s">
        <v>1379</v>
      </c>
      <c r="N12" s="67" t="e">
        <f t="shared" si="0"/>
        <v>#VALUE!</v>
      </c>
      <c r="O12" s="67" t="s">
        <v>1380</v>
      </c>
      <c r="P12" s="68" t="e">
        <f t="shared" si="1"/>
        <v>#VALUE!</v>
      </c>
      <c r="Q12" s="69" t="s">
        <v>1381</v>
      </c>
      <c r="R12" s="67" t="s">
        <v>1382</v>
      </c>
      <c r="S12" s="67"/>
      <c r="T12" s="67"/>
      <c r="U12" s="67" t="s">
        <v>1383</v>
      </c>
      <c r="V12" s="67" t="s">
        <v>1384</v>
      </c>
      <c r="W12" s="67" t="s">
        <v>1385</v>
      </c>
      <c r="X12" s="67" t="s">
        <v>1386</v>
      </c>
      <c r="Y12" s="67" t="s">
        <v>1387</v>
      </c>
      <c r="Z12" s="67" t="s">
        <v>1388</v>
      </c>
      <c r="AA12" s="67" t="s">
        <v>1389</v>
      </c>
      <c r="AB12" s="67" t="e">
        <f t="shared" si="2"/>
        <v>#VALUE!</v>
      </c>
      <c r="AC12" s="67" t="s">
        <v>1390</v>
      </c>
      <c r="AD12" s="68" t="e">
        <f>SUM(AB12:AC12)</f>
        <v>#VALUE!</v>
      </c>
    </row>
    <row r="13" s="38" customFormat="1" ht="15" customHeight="1" spans="1:30">
      <c r="A13" s="60" t="s">
        <v>1391</v>
      </c>
      <c r="B13" s="66">
        <v>5</v>
      </c>
      <c r="C13" s="62">
        <f t="shared" ref="C13:M13" si="3">SUM(C9:C12)</f>
        <v>0</v>
      </c>
      <c r="D13" s="62">
        <f t="shared" si="3"/>
        <v>0</v>
      </c>
      <c r="E13" s="62">
        <f t="shared" si="3"/>
        <v>0</v>
      </c>
      <c r="F13" s="62">
        <f t="shared" si="3"/>
        <v>0</v>
      </c>
      <c r="G13" s="62">
        <f t="shared" si="3"/>
        <v>0</v>
      </c>
      <c r="H13" s="62">
        <f t="shared" si="3"/>
        <v>0</v>
      </c>
      <c r="I13" s="62">
        <f t="shared" si="3"/>
        <v>0</v>
      </c>
      <c r="J13" s="62">
        <f t="shared" si="3"/>
        <v>0</v>
      </c>
      <c r="K13" s="62">
        <f t="shared" si="3"/>
        <v>0</v>
      </c>
      <c r="L13" s="62">
        <f t="shared" si="3"/>
        <v>0</v>
      </c>
      <c r="M13" s="62">
        <f t="shared" si="3"/>
        <v>0</v>
      </c>
      <c r="N13" s="62">
        <f t="shared" si="0"/>
        <v>0</v>
      </c>
      <c r="O13" s="62">
        <f>SUM(O9:O12)</f>
        <v>0</v>
      </c>
      <c r="P13" s="63">
        <f t="shared" si="1"/>
        <v>0</v>
      </c>
      <c r="Q13" s="64">
        <f t="shared" ref="Q13:AA13" si="4">SUM(Q9:Q12)</f>
        <v>0</v>
      </c>
      <c r="R13" s="62">
        <f t="shared" si="4"/>
        <v>0</v>
      </c>
      <c r="S13" s="62">
        <f t="shared" si="4"/>
        <v>0</v>
      </c>
      <c r="T13" s="62">
        <f t="shared" si="4"/>
        <v>0</v>
      </c>
      <c r="U13" s="62">
        <f t="shared" si="4"/>
        <v>0</v>
      </c>
      <c r="V13" s="62">
        <f t="shared" si="4"/>
        <v>0</v>
      </c>
      <c r="W13" s="62">
        <f t="shared" si="4"/>
        <v>0</v>
      </c>
      <c r="X13" s="62">
        <f t="shared" si="4"/>
        <v>0</v>
      </c>
      <c r="Y13" s="62">
        <f t="shared" si="4"/>
        <v>0</v>
      </c>
      <c r="Z13" s="62">
        <f t="shared" si="4"/>
        <v>0</v>
      </c>
      <c r="AA13" s="62">
        <f t="shared" si="4"/>
        <v>0</v>
      </c>
      <c r="AB13" s="62">
        <f t="shared" si="2"/>
        <v>0</v>
      </c>
      <c r="AC13" s="62">
        <f>SUM(AC9:AC12)</f>
        <v>0</v>
      </c>
      <c r="AD13" s="63" t="e">
        <f>SUM(AD9:AD12)</f>
        <v>#VALUE!</v>
      </c>
    </row>
    <row r="14" s="38" customFormat="1" ht="15" customHeight="1" spans="1:30">
      <c r="A14" s="60" t="s">
        <v>1392</v>
      </c>
      <c r="B14" s="66">
        <v>6</v>
      </c>
      <c r="C14" s="62" t="e">
        <f t="shared" ref="C14:M14" si="5">C15+C16+C21+C24+C34</f>
        <v>#VALUE!</v>
      </c>
      <c r="D14" s="62" t="e">
        <f t="shared" si="5"/>
        <v>#VALUE!</v>
      </c>
      <c r="E14" s="62">
        <f t="shared" si="5"/>
        <v>0</v>
      </c>
      <c r="F14" s="62">
        <f t="shared" si="5"/>
        <v>0</v>
      </c>
      <c r="G14" s="62" t="e">
        <f t="shared" si="5"/>
        <v>#VALUE!</v>
      </c>
      <c r="H14" s="62" t="e">
        <f t="shared" si="5"/>
        <v>#VALUE!</v>
      </c>
      <c r="I14" s="62" t="e">
        <f t="shared" si="5"/>
        <v>#VALUE!</v>
      </c>
      <c r="J14" s="62" t="e">
        <f t="shared" si="5"/>
        <v>#VALUE!</v>
      </c>
      <c r="K14" s="62" t="e">
        <f t="shared" si="5"/>
        <v>#VALUE!</v>
      </c>
      <c r="L14" s="62" t="e">
        <f t="shared" si="5"/>
        <v>#VALUE!</v>
      </c>
      <c r="M14" s="62" t="e">
        <f t="shared" si="5"/>
        <v>#VALUE!</v>
      </c>
      <c r="N14" s="62" t="e">
        <f t="shared" si="0"/>
        <v>#VALUE!</v>
      </c>
      <c r="O14" s="62" t="e">
        <f>O15+O16+O21+O24+O34</f>
        <v>#VALUE!</v>
      </c>
      <c r="P14" s="63" t="e">
        <f t="shared" si="1"/>
        <v>#VALUE!</v>
      </c>
      <c r="Q14" s="64" t="e">
        <f t="shared" ref="Q14:AA14" si="6">Q15+Q16+Q21+Q24+Q34</f>
        <v>#VALUE!</v>
      </c>
      <c r="R14" s="62" t="e">
        <f t="shared" si="6"/>
        <v>#VALUE!</v>
      </c>
      <c r="S14" s="62">
        <f t="shared" si="6"/>
        <v>0</v>
      </c>
      <c r="T14" s="62">
        <f t="shared" si="6"/>
        <v>0</v>
      </c>
      <c r="U14" s="62" t="e">
        <f t="shared" si="6"/>
        <v>#VALUE!</v>
      </c>
      <c r="V14" s="62" t="e">
        <f t="shared" si="6"/>
        <v>#VALUE!</v>
      </c>
      <c r="W14" s="62" t="e">
        <f t="shared" si="6"/>
        <v>#VALUE!</v>
      </c>
      <c r="X14" s="62" t="e">
        <f t="shared" si="6"/>
        <v>#VALUE!</v>
      </c>
      <c r="Y14" s="62" t="e">
        <f t="shared" si="6"/>
        <v>#VALUE!</v>
      </c>
      <c r="Z14" s="62" t="e">
        <f t="shared" si="6"/>
        <v>#VALUE!</v>
      </c>
      <c r="AA14" s="62" t="e">
        <f t="shared" si="6"/>
        <v>#VALUE!</v>
      </c>
      <c r="AB14" s="62" t="e">
        <f t="shared" si="2"/>
        <v>#VALUE!</v>
      </c>
      <c r="AC14" s="62" t="e">
        <f>AC15+AC16+AC21+AC24+AC34</f>
        <v>#VALUE!</v>
      </c>
      <c r="AD14" s="63" t="e">
        <f t="shared" ref="AD14:AD41" si="7">SUM(AB14:AC14)</f>
        <v>#VALUE!</v>
      </c>
    </row>
    <row r="15" s="39" customFormat="1" ht="15" customHeight="1" spans="1:30">
      <c r="A15" s="65" t="s">
        <v>1393</v>
      </c>
      <c r="B15" s="66">
        <v>7</v>
      </c>
      <c r="C15" s="67" t="s">
        <v>1394</v>
      </c>
      <c r="D15" s="67" t="s">
        <v>1395</v>
      </c>
      <c r="E15" s="67"/>
      <c r="F15" s="67"/>
      <c r="G15" s="67" t="s">
        <v>1396</v>
      </c>
      <c r="H15" s="67" t="s">
        <v>1397</v>
      </c>
      <c r="I15" s="67" t="s">
        <v>1398</v>
      </c>
      <c r="J15" s="67" t="s">
        <v>1399</v>
      </c>
      <c r="K15" s="67" t="s">
        <v>1400</v>
      </c>
      <c r="L15" s="67" t="s">
        <v>1401</v>
      </c>
      <c r="M15" s="67" t="s">
        <v>1402</v>
      </c>
      <c r="N15" s="67" t="e">
        <f t="shared" si="0"/>
        <v>#VALUE!</v>
      </c>
      <c r="O15" s="67" t="s">
        <v>1403</v>
      </c>
      <c r="P15" s="68" t="e">
        <f t="shared" si="1"/>
        <v>#VALUE!</v>
      </c>
      <c r="Q15" s="69" t="s">
        <v>1404</v>
      </c>
      <c r="R15" s="67" t="s">
        <v>1405</v>
      </c>
      <c r="S15" s="67"/>
      <c r="T15" s="67"/>
      <c r="U15" s="67" t="s">
        <v>1406</v>
      </c>
      <c r="V15" s="67" t="s">
        <v>1407</v>
      </c>
      <c r="W15" s="67" t="s">
        <v>1408</v>
      </c>
      <c r="X15" s="67" t="s">
        <v>1409</v>
      </c>
      <c r="Y15" s="67" t="s">
        <v>1410</v>
      </c>
      <c r="Z15" s="67" t="s">
        <v>1411</v>
      </c>
      <c r="AA15" s="67" t="s">
        <v>1412</v>
      </c>
      <c r="AB15" s="67" t="e">
        <f t="shared" si="2"/>
        <v>#VALUE!</v>
      </c>
      <c r="AC15" s="67" t="s">
        <v>1413</v>
      </c>
      <c r="AD15" s="68" t="e">
        <f t="shared" si="7"/>
        <v>#VALUE!</v>
      </c>
    </row>
    <row r="16" s="39" customFormat="1" ht="15" customHeight="1" spans="1:30">
      <c r="A16" s="65" t="s">
        <v>1414</v>
      </c>
      <c r="B16" s="66">
        <v>8</v>
      </c>
      <c r="C16" s="67" t="e">
        <f t="shared" ref="C16:M16" si="8">C17+C18+C19+C20</f>
        <v>#VALUE!</v>
      </c>
      <c r="D16" s="67" t="e">
        <f t="shared" si="8"/>
        <v>#VALUE!</v>
      </c>
      <c r="E16" s="67">
        <f t="shared" si="8"/>
        <v>0</v>
      </c>
      <c r="F16" s="67">
        <f t="shared" si="8"/>
        <v>0</v>
      </c>
      <c r="G16" s="67" t="e">
        <f t="shared" si="8"/>
        <v>#VALUE!</v>
      </c>
      <c r="H16" s="67" t="e">
        <f t="shared" si="8"/>
        <v>#VALUE!</v>
      </c>
      <c r="I16" s="67" t="e">
        <f t="shared" si="8"/>
        <v>#VALUE!</v>
      </c>
      <c r="J16" s="67" t="e">
        <f t="shared" si="8"/>
        <v>#VALUE!</v>
      </c>
      <c r="K16" s="67" t="e">
        <f t="shared" si="8"/>
        <v>#VALUE!</v>
      </c>
      <c r="L16" s="67" t="e">
        <f t="shared" si="8"/>
        <v>#VALUE!</v>
      </c>
      <c r="M16" s="67" t="e">
        <f t="shared" si="8"/>
        <v>#VALUE!</v>
      </c>
      <c r="N16" s="67" t="e">
        <f t="shared" si="0"/>
        <v>#VALUE!</v>
      </c>
      <c r="O16" s="67" t="e">
        <f>O17+O18+O19+O20</f>
        <v>#VALUE!</v>
      </c>
      <c r="P16" s="68" t="e">
        <f t="shared" si="1"/>
        <v>#VALUE!</v>
      </c>
      <c r="Q16" s="69" t="e">
        <f t="shared" ref="Q16:AA16" si="9">Q17+Q18+Q19+Q20</f>
        <v>#VALUE!</v>
      </c>
      <c r="R16" s="67" t="e">
        <f t="shared" si="9"/>
        <v>#VALUE!</v>
      </c>
      <c r="S16" s="67">
        <f t="shared" si="9"/>
        <v>0</v>
      </c>
      <c r="T16" s="67">
        <f t="shared" si="9"/>
        <v>0</v>
      </c>
      <c r="U16" s="67" t="e">
        <f t="shared" si="9"/>
        <v>#VALUE!</v>
      </c>
      <c r="V16" s="67" t="e">
        <f t="shared" si="9"/>
        <v>#VALUE!</v>
      </c>
      <c r="W16" s="67" t="e">
        <f t="shared" si="9"/>
        <v>#VALUE!</v>
      </c>
      <c r="X16" s="67" t="e">
        <f t="shared" si="9"/>
        <v>#VALUE!</v>
      </c>
      <c r="Y16" s="67" t="e">
        <f t="shared" si="9"/>
        <v>#VALUE!</v>
      </c>
      <c r="Z16" s="67" t="e">
        <f t="shared" si="9"/>
        <v>#VALUE!</v>
      </c>
      <c r="AA16" s="67" t="e">
        <f t="shared" si="9"/>
        <v>#VALUE!</v>
      </c>
      <c r="AB16" s="67" t="e">
        <f t="shared" si="2"/>
        <v>#VALUE!</v>
      </c>
      <c r="AC16" s="67" t="e">
        <f>AC17+AC18+AC19+AC20</f>
        <v>#VALUE!</v>
      </c>
      <c r="AD16" s="68" t="e">
        <f t="shared" si="7"/>
        <v>#VALUE!</v>
      </c>
    </row>
    <row r="17" s="39" customFormat="1" ht="15" customHeight="1" spans="1:30">
      <c r="A17" s="70" t="s">
        <v>1415</v>
      </c>
      <c r="B17" s="66">
        <v>9</v>
      </c>
      <c r="C17" s="67" t="s">
        <v>1416</v>
      </c>
      <c r="D17" s="67" t="s">
        <v>1417</v>
      </c>
      <c r="E17" s="67"/>
      <c r="F17" s="67"/>
      <c r="G17" s="67" t="s">
        <v>1418</v>
      </c>
      <c r="H17" s="67" t="s">
        <v>1419</v>
      </c>
      <c r="I17" s="67" t="s">
        <v>1420</v>
      </c>
      <c r="J17" s="67" t="s">
        <v>1421</v>
      </c>
      <c r="K17" s="67" t="s">
        <v>1422</v>
      </c>
      <c r="L17" s="67" t="s">
        <v>1423</v>
      </c>
      <c r="M17" s="67" t="s">
        <v>1424</v>
      </c>
      <c r="N17" s="67" t="e">
        <f t="shared" si="0"/>
        <v>#VALUE!</v>
      </c>
      <c r="O17" s="67" t="s">
        <v>1425</v>
      </c>
      <c r="P17" s="68" t="e">
        <f t="shared" si="1"/>
        <v>#VALUE!</v>
      </c>
      <c r="Q17" s="69" t="s">
        <v>1426</v>
      </c>
      <c r="R17" s="67" t="s">
        <v>1427</v>
      </c>
      <c r="S17" s="67"/>
      <c r="T17" s="67"/>
      <c r="U17" s="67" t="s">
        <v>1428</v>
      </c>
      <c r="V17" s="67" t="s">
        <v>1429</v>
      </c>
      <c r="W17" s="67" t="s">
        <v>1430</v>
      </c>
      <c r="X17" s="67" t="s">
        <v>1431</v>
      </c>
      <c r="Y17" s="67" t="s">
        <v>1432</v>
      </c>
      <c r="Z17" s="67" t="s">
        <v>1433</v>
      </c>
      <c r="AA17" s="67" t="s">
        <v>1434</v>
      </c>
      <c r="AB17" s="67" t="e">
        <f t="shared" si="2"/>
        <v>#VALUE!</v>
      </c>
      <c r="AC17" s="67" t="s">
        <v>1435</v>
      </c>
      <c r="AD17" s="68" t="e">
        <f t="shared" si="7"/>
        <v>#VALUE!</v>
      </c>
    </row>
    <row r="18" s="39" customFormat="1" ht="15" customHeight="1" spans="1:30">
      <c r="A18" s="70" t="s">
        <v>1436</v>
      </c>
      <c r="B18" s="66">
        <v>10</v>
      </c>
      <c r="C18" s="67" t="s">
        <v>1437</v>
      </c>
      <c r="D18" s="67" t="s">
        <v>1438</v>
      </c>
      <c r="E18" s="67"/>
      <c r="F18" s="67"/>
      <c r="G18" s="67" t="s">
        <v>1439</v>
      </c>
      <c r="H18" s="67" t="s">
        <v>1440</v>
      </c>
      <c r="I18" s="67" t="s">
        <v>1441</v>
      </c>
      <c r="J18" s="67" t="s">
        <v>1442</v>
      </c>
      <c r="K18" s="67" t="s">
        <v>1443</v>
      </c>
      <c r="L18" s="67" t="s">
        <v>1444</v>
      </c>
      <c r="M18" s="67" t="s">
        <v>1445</v>
      </c>
      <c r="N18" s="67" t="e">
        <f t="shared" si="0"/>
        <v>#VALUE!</v>
      </c>
      <c r="O18" s="67" t="s">
        <v>1446</v>
      </c>
      <c r="P18" s="68" t="e">
        <f t="shared" si="1"/>
        <v>#VALUE!</v>
      </c>
      <c r="Q18" s="69" t="s">
        <v>1447</v>
      </c>
      <c r="R18" s="67" t="s">
        <v>1448</v>
      </c>
      <c r="S18" s="67"/>
      <c r="T18" s="67"/>
      <c r="U18" s="67" t="s">
        <v>1449</v>
      </c>
      <c r="V18" s="67" t="s">
        <v>1450</v>
      </c>
      <c r="W18" s="67" t="s">
        <v>1451</v>
      </c>
      <c r="X18" s="67" t="s">
        <v>1452</v>
      </c>
      <c r="Y18" s="67" t="s">
        <v>1453</v>
      </c>
      <c r="Z18" s="67" t="s">
        <v>1454</v>
      </c>
      <c r="AA18" s="67" t="s">
        <v>1455</v>
      </c>
      <c r="AB18" s="67" t="e">
        <f t="shared" si="2"/>
        <v>#VALUE!</v>
      </c>
      <c r="AC18" s="67" t="s">
        <v>1456</v>
      </c>
      <c r="AD18" s="68" t="e">
        <f t="shared" si="7"/>
        <v>#VALUE!</v>
      </c>
    </row>
    <row r="19" s="39" customFormat="1" ht="15" customHeight="1" spans="1:30">
      <c r="A19" s="70" t="s">
        <v>1457</v>
      </c>
      <c r="B19" s="66">
        <v>11</v>
      </c>
      <c r="C19" s="67" t="s">
        <v>1458</v>
      </c>
      <c r="D19" s="67" t="s">
        <v>1459</v>
      </c>
      <c r="E19" s="67"/>
      <c r="F19" s="67"/>
      <c r="G19" s="67" t="s">
        <v>1460</v>
      </c>
      <c r="H19" s="67" t="s">
        <v>1461</v>
      </c>
      <c r="I19" s="67" t="s">
        <v>1462</v>
      </c>
      <c r="J19" s="67" t="s">
        <v>1463</v>
      </c>
      <c r="K19" s="67" t="s">
        <v>1464</v>
      </c>
      <c r="L19" s="67" t="s">
        <v>1465</v>
      </c>
      <c r="M19" s="67" t="s">
        <v>1466</v>
      </c>
      <c r="N19" s="67" t="e">
        <f t="shared" si="0"/>
        <v>#VALUE!</v>
      </c>
      <c r="O19" s="67" t="s">
        <v>1467</v>
      </c>
      <c r="P19" s="68" t="e">
        <f t="shared" si="1"/>
        <v>#VALUE!</v>
      </c>
      <c r="Q19" s="69" t="s">
        <v>1468</v>
      </c>
      <c r="R19" s="67" t="s">
        <v>1469</v>
      </c>
      <c r="S19" s="67"/>
      <c r="T19" s="67"/>
      <c r="U19" s="67" t="s">
        <v>1470</v>
      </c>
      <c r="V19" s="67" t="s">
        <v>1471</v>
      </c>
      <c r="W19" s="67" t="s">
        <v>1472</v>
      </c>
      <c r="X19" s="67" t="s">
        <v>1473</v>
      </c>
      <c r="Y19" s="67" t="s">
        <v>1474</v>
      </c>
      <c r="Z19" s="67" t="s">
        <v>1475</v>
      </c>
      <c r="AA19" s="67" t="s">
        <v>1476</v>
      </c>
      <c r="AB19" s="67" t="e">
        <f t="shared" si="2"/>
        <v>#VALUE!</v>
      </c>
      <c r="AC19" s="67" t="s">
        <v>1477</v>
      </c>
      <c r="AD19" s="68" t="e">
        <f t="shared" si="7"/>
        <v>#VALUE!</v>
      </c>
    </row>
    <row r="20" s="39" customFormat="1" ht="15" customHeight="1" spans="1:30">
      <c r="A20" s="70" t="s">
        <v>1478</v>
      </c>
      <c r="B20" s="66">
        <v>12</v>
      </c>
      <c r="C20" s="71" t="s">
        <v>1479</v>
      </c>
      <c r="D20" s="71" t="s">
        <v>1480</v>
      </c>
      <c r="E20" s="71"/>
      <c r="F20" s="71"/>
      <c r="G20" s="71" t="s">
        <v>1481</v>
      </c>
      <c r="H20" s="71" t="s">
        <v>1482</v>
      </c>
      <c r="I20" s="71" t="s">
        <v>1483</v>
      </c>
      <c r="J20" s="71" t="s">
        <v>1484</v>
      </c>
      <c r="K20" s="71" t="s">
        <v>1485</v>
      </c>
      <c r="L20" s="71" t="s">
        <v>1486</v>
      </c>
      <c r="M20" s="71" t="s">
        <v>1487</v>
      </c>
      <c r="N20" s="67" t="e">
        <f t="shared" si="0"/>
        <v>#VALUE!</v>
      </c>
      <c r="O20" s="67" t="s">
        <v>1488</v>
      </c>
      <c r="P20" s="68" t="e">
        <f t="shared" si="1"/>
        <v>#VALUE!</v>
      </c>
      <c r="Q20" s="72" t="s">
        <v>1489</v>
      </c>
      <c r="R20" s="71" t="s">
        <v>1490</v>
      </c>
      <c r="S20" s="71"/>
      <c r="T20" s="71"/>
      <c r="U20" s="71" t="s">
        <v>1491</v>
      </c>
      <c r="V20" s="71" t="s">
        <v>1492</v>
      </c>
      <c r="W20" s="71" t="s">
        <v>1493</v>
      </c>
      <c r="X20" s="71" t="s">
        <v>1494</v>
      </c>
      <c r="Y20" s="71" t="s">
        <v>1495</v>
      </c>
      <c r="Z20" s="71" t="s">
        <v>1496</v>
      </c>
      <c r="AA20" s="71" t="s">
        <v>1497</v>
      </c>
      <c r="AB20" s="67" t="e">
        <f t="shared" si="2"/>
        <v>#VALUE!</v>
      </c>
      <c r="AC20" s="67" t="s">
        <v>1498</v>
      </c>
      <c r="AD20" s="68" t="e">
        <f t="shared" si="7"/>
        <v>#VALUE!</v>
      </c>
    </row>
    <row r="21" s="39" customFormat="1" ht="15" customHeight="1" spans="1:30">
      <c r="A21" s="65" t="s">
        <v>1499</v>
      </c>
      <c r="B21" s="66">
        <v>13</v>
      </c>
      <c r="C21" s="67" t="e">
        <f t="shared" ref="C21:M21" si="10">C22+C23</f>
        <v>#VALUE!</v>
      </c>
      <c r="D21" s="67" t="e">
        <f t="shared" si="10"/>
        <v>#VALUE!</v>
      </c>
      <c r="E21" s="67">
        <f t="shared" si="10"/>
        <v>0</v>
      </c>
      <c r="F21" s="67">
        <f t="shared" si="10"/>
        <v>0</v>
      </c>
      <c r="G21" s="67" t="e">
        <f t="shared" si="10"/>
        <v>#VALUE!</v>
      </c>
      <c r="H21" s="67" t="e">
        <f t="shared" si="10"/>
        <v>#VALUE!</v>
      </c>
      <c r="I21" s="67" t="e">
        <f t="shared" si="10"/>
        <v>#VALUE!</v>
      </c>
      <c r="J21" s="67" t="e">
        <f t="shared" si="10"/>
        <v>#VALUE!</v>
      </c>
      <c r="K21" s="67" t="e">
        <f t="shared" si="10"/>
        <v>#VALUE!</v>
      </c>
      <c r="L21" s="67" t="e">
        <f t="shared" si="10"/>
        <v>#VALUE!</v>
      </c>
      <c r="M21" s="67" t="e">
        <f t="shared" si="10"/>
        <v>#VALUE!</v>
      </c>
      <c r="N21" s="67" t="e">
        <f t="shared" si="0"/>
        <v>#VALUE!</v>
      </c>
      <c r="O21" s="67" t="e">
        <f>O22+O23</f>
        <v>#VALUE!</v>
      </c>
      <c r="P21" s="68" t="e">
        <f t="shared" si="1"/>
        <v>#VALUE!</v>
      </c>
      <c r="Q21" s="69" t="e">
        <f t="shared" ref="Q21:AA21" si="11">Q22+Q23</f>
        <v>#VALUE!</v>
      </c>
      <c r="R21" s="67" t="e">
        <f t="shared" si="11"/>
        <v>#VALUE!</v>
      </c>
      <c r="S21" s="67">
        <f t="shared" si="11"/>
        <v>0</v>
      </c>
      <c r="T21" s="67">
        <f t="shared" si="11"/>
        <v>0</v>
      </c>
      <c r="U21" s="67" t="e">
        <f t="shared" si="11"/>
        <v>#VALUE!</v>
      </c>
      <c r="V21" s="67" t="e">
        <f t="shared" si="11"/>
        <v>#VALUE!</v>
      </c>
      <c r="W21" s="67" t="e">
        <f t="shared" si="11"/>
        <v>#VALUE!</v>
      </c>
      <c r="X21" s="67" t="e">
        <f t="shared" si="11"/>
        <v>#VALUE!</v>
      </c>
      <c r="Y21" s="67" t="e">
        <f t="shared" si="11"/>
        <v>#VALUE!</v>
      </c>
      <c r="Z21" s="67" t="e">
        <f t="shared" si="11"/>
        <v>#VALUE!</v>
      </c>
      <c r="AA21" s="67" t="e">
        <f t="shared" si="11"/>
        <v>#VALUE!</v>
      </c>
      <c r="AB21" s="67" t="e">
        <f t="shared" si="2"/>
        <v>#VALUE!</v>
      </c>
      <c r="AC21" s="67" t="e">
        <f>AC22+AC23</f>
        <v>#VALUE!</v>
      </c>
      <c r="AD21" s="68" t="e">
        <f t="shared" si="7"/>
        <v>#VALUE!</v>
      </c>
    </row>
    <row r="22" s="39" customFormat="1" ht="15" customHeight="1" spans="1:30">
      <c r="A22" s="70" t="s">
        <v>1500</v>
      </c>
      <c r="B22" s="66">
        <v>14</v>
      </c>
      <c r="C22" s="67" t="s">
        <v>1501</v>
      </c>
      <c r="D22" s="67" t="s">
        <v>1502</v>
      </c>
      <c r="E22" s="67"/>
      <c r="F22" s="67"/>
      <c r="G22" s="67" t="s">
        <v>1503</v>
      </c>
      <c r="H22" s="67" t="s">
        <v>1504</v>
      </c>
      <c r="I22" s="67" t="s">
        <v>1505</v>
      </c>
      <c r="J22" s="67" t="s">
        <v>1506</v>
      </c>
      <c r="K22" s="67" t="s">
        <v>1507</v>
      </c>
      <c r="L22" s="67" t="s">
        <v>1508</v>
      </c>
      <c r="M22" s="67" t="s">
        <v>1509</v>
      </c>
      <c r="N22" s="67" t="e">
        <f t="shared" si="0"/>
        <v>#VALUE!</v>
      </c>
      <c r="O22" s="67" t="s">
        <v>1510</v>
      </c>
      <c r="P22" s="68" t="e">
        <f t="shared" si="1"/>
        <v>#VALUE!</v>
      </c>
      <c r="Q22" s="69" t="s">
        <v>1511</v>
      </c>
      <c r="R22" s="67" t="s">
        <v>1512</v>
      </c>
      <c r="S22" s="67"/>
      <c r="T22" s="67"/>
      <c r="U22" s="67" t="s">
        <v>1513</v>
      </c>
      <c r="V22" s="67" t="s">
        <v>1514</v>
      </c>
      <c r="W22" s="67" t="s">
        <v>1515</v>
      </c>
      <c r="X22" s="67" t="s">
        <v>1516</v>
      </c>
      <c r="Y22" s="67" t="s">
        <v>1517</v>
      </c>
      <c r="Z22" s="67" t="s">
        <v>1518</v>
      </c>
      <c r="AA22" s="67" t="s">
        <v>1519</v>
      </c>
      <c r="AB22" s="67" t="e">
        <f t="shared" si="2"/>
        <v>#VALUE!</v>
      </c>
      <c r="AC22" s="67" t="s">
        <v>1520</v>
      </c>
      <c r="AD22" s="68" t="e">
        <f t="shared" si="7"/>
        <v>#VALUE!</v>
      </c>
    </row>
    <row r="23" s="39" customFormat="1" ht="15" customHeight="1" spans="1:30">
      <c r="A23" s="70" t="s">
        <v>1521</v>
      </c>
      <c r="B23" s="66">
        <v>15</v>
      </c>
      <c r="C23" s="67" t="s">
        <v>1522</v>
      </c>
      <c r="D23" s="67" t="s">
        <v>1523</v>
      </c>
      <c r="E23" s="67"/>
      <c r="F23" s="67"/>
      <c r="G23" s="67" t="s">
        <v>1524</v>
      </c>
      <c r="H23" s="67" t="s">
        <v>1525</v>
      </c>
      <c r="I23" s="67" t="s">
        <v>1526</v>
      </c>
      <c r="J23" s="67" t="s">
        <v>1527</v>
      </c>
      <c r="K23" s="67" t="s">
        <v>1528</v>
      </c>
      <c r="L23" s="67" t="s">
        <v>1529</v>
      </c>
      <c r="M23" s="67" t="s">
        <v>1530</v>
      </c>
      <c r="N23" s="67" t="e">
        <f t="shared" si="0"/>
        <v>#VALUE!</v>
      </c>
      <c r="O23" s="67" t="s">
        <v>1531</v>
      </c>
      <c r="P23" s="68" t="e">
        <f t="shared" si="1"/>
        <v>#VALUE!</v>
      </c>
      <c r="Q23" s="69" t="s">
        <v>1532</v>
      </c>
      <c r="R23" s="67" t="s">
        <v>1533</v>
      </c>
      <c r="S23" s="67"/>
      <c r="T23" s="67"/>
      <c r="U23" s="67" t="s">
        <v>1534</v>
      </c>
      <c r="V23" s="67" t="s">
        <v>1535</v>
      </c>
      <c r="W23" s="67" t="s">
        <v>1536</v>
      </c>
      <c r="X23" s="67" t="s">
        <v>1537</v>
      </c>
      <c r="Y23" s="67" t="s">
        <v>1538</v>
      </c>
      <c r="Z23" s="67" t="s">
        <v>1539</v>
      </c>
      <c r="AA23" s="67" t="s">
        <v>1540</v>
      </c>
      <c r="AB23" s="67" t="e">
        <f t="shared" si="2"/>
        <v>#VALUE!</v>
      </c>
      <c r="AC23" s="67" t="s">
        <v>1541</v>
      </c>
      <c r="AD23" s="68" t="e">
        <f t="shared" si="7"/>
        <v>#VALUE!</v>
      </c>
    </row>
    <row r="24" s="39" customFormat="1" ht="15" customHeight="1" spans="1:30">
      <c r="A24" s="65" t="s">
        <v>1542</v>
      </c>
      <c r="B24" s="66">
        <v>16</v>
      </c>
      <c r="C24" s="67" t="e">
        <f t="shared" ref="C24:M24" si="12">C25+C31+C32+C33</f>
        <v>#VALUE!</v>
      </c>
      <c r="D24" s="67" t="e">
        <f t="shared" si="12"/>
        <v>#VALUE!</v>
      </c>
      <c r="E24" s="67">
        <f t="shared" si="12"/>
        <v>0</v>
      </c>
      <c r="F24" s="67">
        <f t="shared" si="12"/>
        <v>0</v>
      </c>
      <c r="G24" s="67" t="e">
        <f t="shared" si="12"/>
        <v>#VALUE!</v>
      </c>
      <c r="H24" s="67" t="e">
        <f t="shared" si="12"/>
        <v>#VALUE!</v>
      </c>
      <c r="I24" s="67" t="e">
        <f t="shared" si="12"/>
        <v>#VALUE!</v>
      </c>
      <c r="J24" s="67" t="e">
        <f t="shared" si="12"/>
        <v>#VALUE!</v>
      </c>
      <c r="K24" s="67" t="e">
        <f t="shared" si="12"/>
        <v>#VALUE!</v>
      </c>
      <c r="L24" s="67" t="e">
        <f t="shared" si="12"/>
        <v>#VALUE!</v>
      </c>
      <c r="M24" s="67" t="e">
        <f t="shared" si="12"/>
        <v>#VALUE!</v>
      </c>
      <c r="N24" s="67" t="e">
        <f t="shared" si="0"/>
        <v>#VALUE!</v>
      </c>
      <c r="O24" s="67" t="e">
        <f>O25+O31+O32+O33</f>
        <v>#VALUE!</v>
      </c>
      <c r="P24" s="68" t="e">
        <f t="shared" si="1"/>
        <v>#VALUE!</v>
      </c>
      <c r="Q24" s="69" t="e">
        <f t="shared" ref="Q24:AA24" si="13">Q25+Q31+Q32+Q33</f>
        <v>#VALUE!</v>
      </c>
      <c r="R24" s="67" t="e">
        <f t="shared" si="13"/>
        <v>#VALUE!</v>
      </c>
      <c r="S24" s="67">
        <f t="shared" si="13"/>
        <v>0</v>
      </c>
      <c r="T24" s="67">
        <f t="shared" si="13"/>
        <v>0</v>
      </c>
      <c r="U24" s="67" t="e">
        <f t="shared" si="13"/>
        <v>#VALUE!</v>
      </c>
      <c r="V24" s="67" t="e">
        <f t="shared" si="13"/>
        <v>#VALUE!</v>
      </c>
      <c r="W24" s="67" t="e">
        <f t="shared" si="13"/>
        <v>#VALUE!</v>
      </c>
      <c r="X24" s="67" t="e">
        <f t="shared" si="13"/>
        <v>#VALUE!</v>
      </c>
      <c r="Y24" s="67" t="e">
        <f t="shared" si="13"/>
        <v>#VALUE!</v>
      </c>
      <c r="Z24" s="67" t="e">
        <f t="shared" si="13"/>
        <v>#VALUE!</v>
      </c>
      <c r="AA24" s="67" t="e">
        <f t="shared" si="13"/>
        <v>#VALUE!</v>
      </c>
      <c r="AB24" s="67" t="e">
        <f t="shared" si="2"/>
        <v>#VALUE!</v>
      </c>
      <c r="AC24" s="67" t="e">
        <f>AC25+AC31+AC32+AC33</f>
        <v>#VALUE!</v>
      </c>
      <c r="AD24" s="68" t="e">
        <f t="shared" si="7"/>
        <v>#VALUE!</v>
      </c>
    </row>
    <row r="25" s="39" customFormat="1" ht="15" customHeight="1" spans="1:30">
      <c r="A25" s="70" t="s">
        <v>1543</v>
      </c>
      <c r="B25" s="66">
        <v>17</v>
      </c>
      <c r="C25" s="67" t="s">
        <v>1544</v>
      </c>
      <c r="D25" s="67" t="s">
        <v>1545</v>
      </c>
      <c r="E25" s="67"/>
      <c r="F25" s="67"/>
      <c r="G25" s="67" t="s">
        <v>1546</v>
      </c>
      <c r="H25" s="67" t="s">
        <v>1547</v>
      </c>
      <c r="I25" s="67" t="s">
        <v>1548</v>
      </c>
      <c r="J25" s="67" t="s">
        <v>1549</v>
      </c>
      <c r="K25" s="67" t="s">
        <v>1550</v>
      </c>
      <c r="L25" s="67" t="s">
        <v>1551</v>
      </c>
      <c r="M25" s="67" t="s">
        <v>1552</v>
      </c>
      <c r="N25" s="67" t="e">
        <f t="shared" si="0"/>
        <v>#VALUE!</v>
      </c>
      <c r="O25" s="67" t="s">
        <v>1553</v>
      </c>
      <c r="P25" s="68" t="e">
        <f t="shared" si="1"/>
        <v>#VALUE!</v>
      </c>
      <c r="Q25" s="69" t="s">
        <v>1554</v>
      </c>
      <c r="R25" s="67" t="s">
        <v>1555</v>
      </c>
      <c r="S25" s="67"/>
      <c r="T25" s="67"/>
      <c r="U25" s="67" t="s">
        <v>1556</v>
      </c>
      <c r="V25" s="67" t="s">
        <v>1557</v>
      </c>
      <c r="W25" s="67" t="s">
        <v>1558</v>
      </c>
      <c r="X25" s="67" t="s">
        <v>1559</v>
      </c>
      <c r="Y25" s="67" t="s">
        <v>1560</v>
      </c>
      <c r="Z25" s="67" t="s">
        <v>1561</v>
      </c>
      <c r="AA25" s="67" t="s">
        <v>1562</v>
      </c>
      <c r="AB25" s="67" t="e">
        <f t="shared" si="2"/>
        <v>#VALUE!</v>
      </c>
      <c r="AC25" s="67" t="s">
        <v>1563</v>
      </c>
      <c r="AD25" s="68" t="e">
        <f t="shared" si="7"/>
        <v>#VALUE!</v>
      </c>
    </row>
    <row r="26" s="39" customFormat="1" ht="15" customHeight="1" spans="1:30">
      <c r="A26" s="65" t="s">
        <v>1564</v>
      </c>
      <c r="B26" s="66">
        <v>18</v>
      </c>
      <c r="C26" s="67" t="s">
        <v>1565</v>
      </c>
      <c r="D26" s="67" t="s">
        <v>1566</v>
      </c>
      <c r="E26" s="67"/>
      <c r="F26" s="67"/>
      <c r="G26" s="67" t="s">
        <v>1567</v>
      </c>
      <c r="H26" s="67" t="s">
        <v>1568</v>
      </c>
      <c r="I26" s="67" t="s">
        <v>1569</v>
      </c>
      <c r="J26" s="67" t="s">
        <v>1570</v>
      </c>
      <c r="K26" s="67" t="s">
        <v>1571</v>
      </c>
      <c r="L26" s="67" t="s">
        <v>1572</v>
      </c>
      <c r="M26" s="67" t="s">
        <v>1573</v>
      </c>
      <c r="N26" s="67" t="e">
        <f t="shared" si="0"/>
        <v>#VALUE!</v>
      </c>
      <c r="O26" s="67" t="s">
        <v>1574</v>
      </c>
      <c r="P26" s="68" t="e">
        <f t="shared" si="1"/>
        <v>#VALUE!</v>
      </c>
      <c r="Q26" s="69" t="s">
        <v>1575</v>
      </c>
      <c r="R26" s="67" t="s">
        <v>1576</v>
      </c>
      <c r="S26" s="67"/>
      <c r="T26" s="67"/>
      <c r="U26" s="67" t="s">
        <v>1577</v>
      </c>
      <c r="V26" s="67" t="s">
        <v>1578</v>
      </c>
      <c r="W26" s="67" t="s">
        <v>1579</v>
      </c>
      <c r="X26" s="67" t="s">
        <v>1580</v>
      </c>
      <c r="Y26" s="67" t="s">
        <v>1581</v>
      </c>
      <c r="Z26" s="67" t="s">
        <v>1582</v>
      </c>
      <c r="AA26" s="67" t="s">
        <v>1583</v>
      </c>
      <c r="AB26" s="67" t="e">
        <f t="shared" si="2"/>
        <v>#VALUE!</v>
      </c>
      <c r="AC26" s="67" t="s">
        <v>1584</v>
      </c>
      <c r="AD26" s="68" t="e">
        <f t="shared" si="7"/>
        <v>#VALUE!</v>
      </c>
    </row>
    <row r="27" s="39" customFormat="1" ht="15" customHeight="1" spans="1:30">
      <c r="A27" s="65" t="s">
        <v>1585</v>
      </c>
      <c r="B27" s="66">
        <v>19</v>
      </c>
      <c r="C27" s="67" t="s">
        <v>1586</v>
      </c>
      <c r="D27" s="67" t="s">
        <v>1587</v>
      </c>
      <c r="E27" s="67"/>
      <c r="F27" s="67"/>
      <c r="G27" s="67" t="s">
        <v>1588</v>
      </c>
      <c r="H27" s="67" t="s">
        <v>1589</v>
      </c>
      <c r="I27" s="67" t="s">
        <v>1590</v>
      </c>
      <c r="J27" s="67" t="s">
        <v>1591</v>
      </c>
      <c r="K27" s="67" t="s">
        <v>1592</v>
      </c>
      <c r="L27" s="67" t="s">
        <v>1593</v>
      </c>
      <c r="M27" s="67" t="s">
        <v>1594</v>
      </c>
      <c r="N27" s="67" t="e">
        <f t="shared" si="0"/>
        <v>#VALUE!</v>
      </c>
      <c r="O27" s="67" t="s">
        <v>1595</v>
      </c>
      <c r="P27" s="68" t="e">
        <f t="shared" si="1"/>
        <v>#VALUE!</v>
      </c>
      <c r="Q27" s="69" t="s">
        <v>1596</v>
      </c>
      <c r="R27" s="67" t="s">
        <v>1597</v>
      </c>
      <c r="S27" s="67"/>
      <c r="T27" s="67"/>
      <c r="U27" s="67" t="s">
        <v>1598</v>
      </c>
      <c r="V27" s="67" t="s">
        <v>1599</v>
      </c>
      <c r="W27" s="67" t="s">
        <v>1600</v>
      </c>
      <c r="X27" s="67" t="s">
        <v>1601</v>
      </c>
      <c r="Y27" s="67" t="s">
        <v>1602</v>
      </c>
      <c r="Z27" s="67" t="s">
        <v>1603</v>
      </c>
      <c r="AA27" s="67" t="s">
        <v>1604</v>
      </c>
      <c r="AB27" s="67" t="e">
        <f t="shared" si="2"/>
        <v>#VALUE!</v>
      </c>
      <c r="AC27" s="67" t="s">
        <v>1605</v>
      </c>
      <c r="AD27" s="68" t="e">
        <f t="shared" si="7"/>
        <v>#VALUE!</v>
      </c>
    </row>
    <row r="28" s="39" customFormat="1" ht="15" customHeight="1" spans="1:30">
      <c r="A28" s="65" t="s">
        <v>1606</v>
      </c>
      <c r="B28" s="66">
        <v>20</v>
      </c>
      <c r="C28" s="67" t="s">
        <v>1607</v>
      </c>
      <c r="D28" s="67" t="s">
        <v>1608</v>
      </c>
      <c r="E28" s="67"/>
      <c r="F28" s="67"/>
      <c r="G28" s="67" t="s">
        <v>1609</v>
      </c>
      <c r="H28" s="67" t="s">
        <v>1610</v>
      </c>
      <c r="I28" s="67" t="s">
        <v>1611</v>
      </c>
      <c r="J28" s="67" t="s">
        <v>1612</v>
      </c>
      <c r="K28" s="67" t="s">
        <v>1613</v>
      </c>
      <c r="L28" s="67" t="s">
        <v>1614</v>
      </c>
      <c r="M28" s="67" t="s">
        <v>1615</v>
      </c>
      <c r="N28" s="67" t="e">
        <f t="shared" si="0"/>
        <v>#VALUE!</v>
      </c>
      <c r="O28" s="67" t="s">
        <v>1616</v>
      </c>
      <c r="P28" s="68" t="e">
        <f t="shared" si="1"/>
        <v>#VALUE!</v>
      </c>
      <c r="Q28" s="69" t="s">
        <v>1617</v>
      </c>
      <c r="R28" s="67" t="s">
        <v>1618</v>
      </c>
      <c r="S28" s="67"/>
      <c r="T28" s="67"/>
      <c r="U28" s="67" t="s">
        <v>1619</v>
      </c>
      <c r="V28" s="67" t="s">
        <v>1620</v>
      </c>
      <c r="W28" s="67" t="s">
        <v>1621</v>
      </c>
      <c r="X28" s="67" t="s">
        <v>1622</v>
      </c>
      <c r="Y28" s="67" t="s">
        <v>1623</v>
      </c>
      <c r="Z28" s="67" t="s">
        <v>1624</v>
      </c>
      <c r="AA28" s="67" t="s">
        <v>1625</v>
      </c>
      <c r="AB28" s="67" t="e">
        <f t="shared" si="2"/>
        <v>#VALUE!</v>
      </c>
      <c r="AC28" s="67" t="s">
        <v>1626</v>
      </c>
      <c r="AD28" s="68" t="e">
        <f t="shared" si="7"/>
        <v>#VALUE!</v>
      </c>
    </row>
    <row r="29" s="39" customFormat="1" ht="15" customHeight="1" spans="1:30">
      <c r="A29" s="65" t="s">
        <v>1627</v>
      </c>
      <c r="B29" s="66">
        <v>21</v>
      </c>
      <c r="C29" s="67" t="s">
        <v>1628</v>
      </c>
      <c r="D29" s="67" t="s">
        <v>1629</v>
      </c>
      <c r="E29" s="67"/>
      <c r="F29" s="67"/>
      <c r="G29" s="67" t="s">
        <v>1630</v>
      </c>
      <c r="H29" s="67" t="s">
        <v>1631</v>
      </c>
      <c r="I29" s="67" t="s">
        <v>1632</v>
      </c>
      <c r="J29" s="67" t="s">
        <v>1633</v>
      </c>
      <c r="K29" s="67" t="s">
        <v>1634</v>
      </c>
      <c r="L29" s="67" t="s">
        <v>1635</v>
      </c>
      <c r="M29" s="67" t="s">
        <v>1636</v>
      </c>
      <c r="N29" s="67" t="e">
        <f t="shared" si="0"/>
        <v>#VALUE!</v>
      </c>
      <c r="O29" s="67" t="s">
        <v>1637</v>
      </c>
      <c r="P29" s="68" t="e">
        <f t="shared" si="1"/>
        <v>#VALUE!</v>
      </c>
      <c r="Q29" s="69" t="s">
        <v>1638</v>
      </c>
      <c r="R29" s="67" t="s">
        <v>1639</v>
      </c>
      <c r="S29" s="67"/>
      <c r="T29" s="67"/>
      <c r="U29" s="67" t="s">
        <v>1640</v>
      </c>
      <c r="V29" s="67" t="s">
        <v>1641</v>
      </c>
      <c r="W29" s="67" t="s">
        <v>1642</v>
      </c>
      <c r="X29" s="67" t="s">
        <v>1643</v>
      </c>
      <c r="Y29" s="67" t="s">
        <v>1644</v>
      </c>
      <c r="Z29" s="67" t="s">
        <v>1645</v>
      </c>
      <c r="AA29" s="67" t="s">
        <v>1646</v>
      </c>
      <c r="AB29" s="67" t="e">
        <f t="shared" si="2"/>
        <v>#VALUE!</v>
      </c>
      <c r="AC29" s="67" t="s">
        <v>1647</v>
      </c>
      <c r="AD29" s="68" t="e">
        <f t="shared" si="7"/>
        <v>#VALUE!</v>
      </c>
    </row>
    <row r="30" s="39" customFormat="1" ht="15" customHeight="1" spans="1:30">
      <c r="A30" s="65" t="s">
        <v>1648</v>
      </c>
      <c r="B30" s="66">
        <v>22</v>
      </c>
      <c r="C30" s="67" t="s">
        <v>1649</v>
      </c>
      <c r="D30" s="67" t="s">
        <v>1650</v>
      </c>
      <c r="E30" s="67"/>
      <c r="F30" s="67"/>
      <c r="G30" s="67" t="s">
        <v>1651</v>
      </c>
      <c r="H30" s="67" t="s">
        <v>1652</v>
      </c>
      <c r="I30" s="67" t="s">
        <v>1653</v>
      </c>
      <c r="J30" s="67" t="s">
        <v>1654</v>
      </c>
      <c r="K30" s="67" t="s">
        <v>1655</v>
      </c>
      <c r="L30" s="67" t="s">
        <v>1656</v>
      </c>
      <c r="M30" s="67" t="s">
        <v>1657</v>
      </c>
      <c r="N30" s="67" t="e">
        <f t="shared" si="0"/>
        <v>#VALUE!</v>
      </c>
      <c r="O30" s="67" t="s">
        <v>1658</v>
      </c>
      <c r="P30" s="68" t="e">
        <f t="shared" si="1"/>
        <v>#VALUE!</v>
      </c>
      <c r="Q30" s="69" t="s">
        <v>1659</v>
      </c>
      <c r="R30" s="67" t="s">
        <v>1660</v>
      </c>
      <c r="S30" s="67"/>
      <c r="T30" s="67"/>
      <c r="U30" s="67" t="s">
        <v>1661</v>
      </c>
      <c r="V30" s="67" t="s">
        <v>1662</v>
      </c>
      <c r="W30" s="67" t="s">
        <v>1663</v>
      </c>
      <c r="X30" s="67" t="s">
        <v>1664</v>
      </c>
      <c r="Y30" s="67" t="s">
        <v>1665</v>
      </c>
      <c r="Z30" s="67" t="s">
        <v>1666</v>
      </c>
      <c r="AA30" s="67" t="s">
        <v>1667</v>
      </c>
      <c r="AB30" s="67" t="e">
        <f t="shared" si="2"/>
        <v>#VALUE!</v>
      </c>
      <c r="AC30" s="67" t="s">
        <v>1668</v>
      </c>
      <c r="AD30" s="68" t="e">
        <f t="shared" si="7"/>
        <v>#VALUE!</v>
      </c>
    </row>
    <row r="31" s="39" customFormat="1" ht="15" customHeight="1" spans="1:30">
      <c r="A31" s="65" t="s">
        <v>1669</v>
      </c>
      <c r="B31" s="66">
        <v>23</v>
      </c>
      <c r="C31" s="67" t="s">
        <v>1670</v>
      </c>
      <c r="D31" s="67" t="s">
        <v>1671</v>
      </c>
      <c r="E31" s="67"/>
      <c r="F31" s="67"/>
      <c r="G31" s="67" t="s">
        <v>1672</v>
      </c>
      <c r="H31" s="67" t="s">
        <v>1673</v>
      </c>
      <c r="I31" s="67" t="s">
        <v>1674</v>
      </c>
      <c r="J31" s="67" t="s">
        <v>1675</v>
      </c>
      <c r="K31" s="67" t="s">
        <v>1676</v>
      </c>
      <c r="L31" s="67" t="s">
        <v>1677</v>
      </c>
      <c r="M31" s="67" t="s">
        <v>1678</v>
      </c>
      <c r="N31" s="67" t="e">
        <f t="shared" si="0"/>
        <v>#VALUE!</v>
      </c>
      <c r="O31" s="67" t="s">
        <v>1679</v>
      </c>
      <c r="P31" s="68" t="e">
        <f t="shared" si="1"/>
        <v>#VALUE!</v>
      </c>
      <c r="Q31" s="69" t="s">
        <v>1680</v>
      </c>
      <c r="R31" s="67" t="s">
        <v>1681</v>
      </c>
      <c r="S31" s="67"/>
      <c r="T31" s="67"/>
      <c r="U31" s="67" t="s">
        <v>1682</v>
      </c>
      <c r="V31" s="67" t="s">
        <v>1683</v>
      </c>
      <c r="W31" s="67" t="s">
        <v>1684</v>
      </c>
      <c r="X31" s="67" t="s">
        <v>1685</v>
      </c>
      <c r="Y31" s="67" t="s">
        <v>1686</v>
      </c>
      <c r="Z31" s="67" t="s">
        <v>1687</v>
      </c>
      <c r="AA31" s="67" t="s">
        <v>1688</v>
      </c>
      <c r="AB31" s="67" t="e">
        <f t="shared" si="2"/>
        <v>#VALUE!</v>
      </c>
      <c r="AC31" s="67" t="s">
        <v>1689</v>
      </c>
      <c r="AD31" s="68" t="e">
        <f t="shared" si="7"/>
        <v>#VALUE!</v>
      </c>
    </row>
    <row r="32" s="39" customFormat="1" ht="15" customHeight="1" spans="1:30">
      <c r="A32" s="70" t="s">
        <v>1690</v>
      </c>
      <c r="B32" s="66">
        <v>24</v>
      </c>
      <c r="C32" s="67" t="s">
        <v>1691</v>
      </c>
      <c r="D32" s="67" t="s">
        <v>1692</v>
      </c>
      <c r="E32" s="67"/>
      <c r="F32" s="67"/>
      <c r="G32" s="67" t="s">
        <v>1693</v>
      </c>
      <c r="H32" s="67" t="s">
        <v>1694</v>
      </c>
      <c r="I32" s="67" t="s">
        <v>1695</v>
      </c>
      <c r="J32" s="67" t="s">
        <v>1696</v>
      </c>
      <c r="K32" s="67" t="s">
        <v>1697</v>
      </c>
      <c r="L32" s="67" t="s">
        <v>1698</v>
      </c>
      <c r="M32" s="67" t="s">
        <v>1699</v>
      </c>
      <c r="N32" s="67" t="e">
        <f t="shared" si="0"/>
        <v>#VALUE!</v>
      </c>
      <c r="O32" s="67" t="s">
        <v>1700</v>
      </c>
      <c r="P32" s="68" t="e">
        <f t="shared" si="1"/>
        <v>#VALUE!</v>
      </c>
      <c r="Q32" s="69" t="s">
        <v>1701</v>
      </c>
      <c r="R32" s="67" t="s">
        <v>1702</v>
      </c>
      <c r="S32" s="67"/>
      <c r="T32" s="67"/>
      <c r="U32" s="67" t="s">
        <v>1703</v>
      </c>
      <c r="V32" s="67" t="s">
        <v>1704</v>
      </c>
      <c r="W32" s="67" t="s">
        <v>1705</v>
      </c>
      <c r="X32" s="67" t="s">
        <v>1706</v>
      </c>
      <c r="Y32" s="67" t="s">
        <v>1707</v>
      </c>
      <c r="Z32" s="67" t="s">
        <v>1708</v>
      </c>
      <c r="AA32" s="67" t="s">
        <v>1709</v>
      </c>
      <c r="AB32" s="67" t="e">
        <f t="shared" si="2"/>
        <v>#VALUE!</v>
      </c>
      <c r="AC32" s="67" t="s">
        <v>1710</v>
      </c>
      <c r="AD32" s="68" t="e">
        <f t="shared" si="7"/>
        <v>#VALUE!</v>
      </c>
    </row>
    <row r="33" s="39" customFormat="1" ht="15" customHeight="1" spans="1:30">
      <c r="A33" s="70" t="s">
        <v>1711</v>
      </c>
      <c r="B33" s="66">
        <v>25</v>
      </c>
      <c r="C33" s="67" t="s">
        <v>1479</v>
      </c>
      <c r="D33" s="67" t="s">
        <v>1480</v>
      </c>
      <c r="E33" s="67"/>
      <c r="F33" s="67"/>
      <c r="G33" s="67" t="s">
        <v>1481</v>
      </c>
      <c r="H33" s="67" t="s">
        <v>1482</v>
      </c>
      <c r="I33" s="67" t="s">
        <v>1483</v>
      </c>
      <c r="J33" s="67" t="s">
        <v>1484</v>
      </c>
      <c r="K33" s="67" t="s">
        <v>1485</v>
      </c>
      <c r="L33" s="67" t="s">
        <v>1486</v>
      </c>
      <c r="M33" s="67" t="s">
        <v>1487</v>
      </c>
      <c r="N33" s="67" t="e">
        <f t="shared" si="0"/>
        <v>#VALUE!</v>
      </c>
      <c r="O33" s="67" t="s">
        <v>1488</v>
      </c>
      <c r="P33" s="68" t="e">
        <f t="shared" si="1"/>
        <v>#VALUE!</v>
      </c>
      <c r="Q33" s="69" t="s">
        <v>1489</v>
      </c>
      <c r="R33" s="67" t="s">
        <v>1490</v>
      </c>
      <c r="S33" s="67"/>
      <c r="T33" s="67"/>
      <c r="U33" s="67" t="s">
        <v>1491</v>
      </c>
      <c r="V33" s="67" t="s">
        <v>1492</v>
      </c>
      <c r="W33" s="67" t="s">
        <v>1493</v>
      </c>
      <c r="X33" s="67" t="s">
        <v>1494</v>
      </c>
      <c r="Y33" s="67" t="s">
        <v>1495</v>
      </c>
      <c r="Z33" s="67" t="s">
        <v>1496</v>
      </c>
      <c r="AA33" s="67" t="s">
        <v>1497</v>
      </c>
      <c r="AB33" s="67" t="e">
        <f t="shared" si="2"/>
        <v>#VALUE!</v>
      </c>
      <c r="AC33" s="67" t="s">
        <v>1498</v>
      </c>
      <c r="AD33" s="68" t="e">
        <f t="shared" si="7"/>
        <v>#VALUE!</v>
      </c>
    </row>
    <row r="34" s="39" customFormat="1" ht="15" customHeight="1" spans="1:30">
      <c r="A34" s="65" t="s">
        <v>1712</v>
      </c>
      <c r="B34" s="66">
        <v>26</v>
      </c>
      <c r="C34" s="67" t="e">
        <f t="shared" ref="C34:M34" si="14">C35+C36+C37+C39+C40+C38</f>
        <v>#VALUE!</v>
      </c>
      <c r="D34" s="67" t="e">
        <f t="shared" si="14"/>
        <v>#VALUE!</v>
      </c>
      <c r="E34" s="67">
        <f t="shared" si="14"/>
        <v>0</v>
      </c>
      <c r="F34" s="67">
        <f t="shared" si="14"/>
        <v>0</v>
      </c>
      <c r="G34" s="67" t="e">
        <f t="shared" si="14"/>
        <v>#VALUE!</v>
      </c>
      <c r="H34" s="67" t="e">
        <f t="shared" si="14"/>
        <v>#VALUE!</v>
      </c>
      <c r="I34" s="67" t="e">
        <f t="shared" si="14"/>
        <v>#VALUE!</v>
      </c>
      <c r="J34" s="67" t="e">
        <f t="shared" si="14"/>
        <v>#VALUE!</v>
      </c>
      <c r="K34" s="67" t="e">
        <f t="shared" si="14"/>
        <v>#VALUE!</v>
      </c>
      <c r="L34" s="67" t="e">
        <f t="shared" si="14"/>
        <v>#VALUE!</v>
      </c>
      <c r="M34" s="67" t="e">
        <f t="shared" si="14"/>
        <v>#VALUE!</v>
      </c>
      <c r="N34" s="67" t="e">
        <f t="shared" si="0"/>
        <v>#VALUE!</v>
      </c>
      <c r="O34" s="67">
        <f>SUM(O35:O40)</f>
        <v>0</v>
      </c>
      <c r="P34" s="68" t="e">
        <f t="shared" si="1"/>
        <v>#VALUE!</v>
      </c>
      <c r="Q34" s="69" t="e">
        <f t="shared" ref="Q34:AA34" si="15">Q35+Q36+Q37+Q39+Q40+Q38</f>
        <v>#VALUE!</v>
      </c>
      <c r="R34" s="67" t="e">
        <f t="shared" si="15"/>
        <v>#VALUE!</v>
      </c>
      <c r="S34" s="67">
        <f t="shared" si="15"/>
        <v>0</v>
      </c>
      <c r="T34" s="67">
        <f t="shared" si="15"/>
        <v>0</v>
      </c>
      <c r="U34" s="67" t="e">
        <f t="shared" si="15"/>
        <v>#VALUE!</v>
      </c>
      <c r="V34" s="67" t="e">
        <f t="shared" si="15"/>
        <v>#VALUE!</v>
      </c>
      <c r="W34" s="67" t="e">
        <f t="shared" si="15"/>
        <v>#VALUE!</v>
      </c>
      <c r="X34" s="67" t="e">
        <f t="shared" si="15"/>
        <v>#VALUE!</v>
      </c>
      <c r="Y34" s="67" t="e">
        <f t="shared" si="15"/>
        <v>#VALUE!</v>
      </c>
      <c r="Z34" s="67" t="e">
        <f t="shared" si="15"/>
        <v>#VALUE!</v>
      </c>
      <c r="AA34" s="67" t="e">
        <f t="shared" si="15"/>
        <v>#VALUE!</v>
      </c>
      <c r="AB34" s="67" t="e">
        <f t="shared" si="2"/>
        <v>#VALUE!</v>
      </c>
      <c r="AC34" s="67" t="e">
        <f>AC35+AC36+AC37+AC39+AC40+AC38</f>
        <v>#VALUE!</v>
      </c>
      <c r="AD34" s="68" t="e">
        <f t="shared" si="7"/>
        <v>#VALUE!</v>
      </c>
    </row>
    <row r="35" s="39" customFormat="1" ht="15" customHeight="1" spans="1:30">
      <c r="A35" s="70" t="s">
        <v>1713</v>
      </c>
      <c r="B35" s="66">
        <v>27</v>
      </c>
      <c r="C35" s="67" t="s">
        <v>1714</v>
      </c>
      <c r="D35" s="67" t="s">
        <v>1715</v>
      </c>
      <c r="E35" s="67"/>
      <c r="F35" s="67"/>
      <c r="G35" s="67" t="s">
        <v>1716</v>
      </c>
      <c r="H35" s="67" t="s">
        <v>1717</v>
      </c>
      <c r="I35" s="67" t="s">
        <v>1718</v>
      </c>
      <c r="J35" s="67" t="s">
        <v>1719</v>
      </c>
      <c r="K35" s="67" t="s">
        <v>1720</v>
      </c>
      <c r="L35" s="67" t="s">
        <v>1721</v>
      </c>
      <c r="M35" s="67" t="s">
        <v>1722</v>
      </c>
      <c r="N35" s="67" t="e">
        <f t="shared" si="0"/>
        <v>#VALUE!</v>
      </c>
      <c r="O35" s="67" t="s">
        <v>1723</v>
      </c>
      <c r="P35" s="68" t="e">
        <f t="shared" si="1"/>
        <v>#VALUE!</v>
      </c>
      <c r="Q35" s="69" t="s">
        <v>1724</v>
      </c>
      <c r="R35" s="67" t="s">
        <v>1725</v>
      </c>
      <c r="S35" s="67"/>
      <c r="T35" s="67"/>
      <c r="U35" s="67" t="s">
        <v>1726</v>
      </c>
      <c r="V35" s="67" t="s">
        <v>1727</v>
      </c>
      <c r="W35" s="67" t="s">
        <v>1728</v>
      </c>
      <c r="X35" s="67" t="s">
        <v>1729</v>
      </c>
      <c r="Y35" s="67" t="s">
        <v>1730</v>
      </c>
      <c r="Z35" s="67" t="s">
        <v>1731</v>
      </c>
      <c r="AA35" s="67" t="s">
        <v>1732</v>
      </c>
      <c r="AB35" s="67" t="e">
        <f t="shared" si="2"/>
        <v>#VALUE!</v>
      </c>
      <c r="AC35" s="67" t="s">
        <v>1733</v>
      </c>
      <c r="AD35" s="68" t="e">
        <f t="shared" si="7"/>
        <v>#VALUE!</v>
      </c>
    </row>
    <row r="36" s="39" customFormat="1" ht="15" customHeight="1" spans="1:30">
      <c r="A36" s="70" t="s">
        <v>1734</v>
      </c>
      <c r="B36" s="66">
        <v>28</v>
      </c>
      <c r="C36" s="67" t="s">
        <v>1735</v>
      </c>
      <c r="D36" s="67" t="s">
        <v>1736</v>
      </c>
      <c r="E36" s="67"/>
      <c r="F36" s="67"/>
      <c r="G36" s="67" t="s">
        <v>1737</v>
      </c>
      <c r="H36" s="67" t="s">
        <v>1738</v>
      </c>
      <c r="I36" s="67" t="s">
        <v>1739</v>
      </c>
      <c r="J36" s="67" t="s">
        <v>1740</v>
      </c>
      <c r="K36" s="67" t="s">
        <v>1741</v>
      </c>
      <c r="L36" s="67" t="s">
        <v>1742</v>
      </c>
      <c r="M36" s="67" t="s">
        <v>1743</v>
      </c>
      <c r="N36" s="67" t="e">
        <f t="shared" si="0"/>
        <v>#VALUE!</v>
      </c>
      <c r="O36" s="67" t="s">
        <v>1744</v>
      </c>
      <c r="P36" s="68" t="e">
        <f t="shared" si="1"/>
        <v>#VALUE!</v>
      </c>
      <c r="Q36" s="69" t="s">
        <v>1745</v>
      </c>
      <c r="R36" s="67" t="s">
        <v>1746</v>
      </c>
      <c r="S36" s="67"/>
      <c r="T36" s="67"/>
      <c r="U36" s="67" t="s">
        <v>1747</v>
      </c>
      <c r="V36" s="67" t="s">
        <v>1748</v>
      </c>
      <c r="W36" s="67" t="s">
        <v>1749</v>
      </c>
      <c r="X36" s="67" t="s">
        <v>1750</v>
      </c>
      <c r="Y36" s="67" t="s">
        <v>1751</v>
      </c>
      <c r="Z36" s="67" t="s">
        <v>1752</v>
      </c>
      <c r="AA36" s="67" t="s">
        <v>1753</v>
      </c>
      <c r="AB36" s="67" t="e">
        <f t="shared" si="2"/>
        <v>#VALUE!</v>
      </c>
      <c r="AC36" s="67" t="s">
        <v>1754</v>
      </c>
      <c r="AD36" s="68" t="e">
        <f t="shared" si="7"/>
        <v>#VALUE!</v>
      </c>
    </row>
    <row r="37" s="39" customFormat="1" ht="15" customHeight="1" spans="1:30">
      <c r="A37" s="70" t="s">
        <v>1755</v>
      </c>
      <c r="B37" s="66">
        <v>29</v>
      </c>
      <c r="C37" s="67" t="s">
        <v>1756</v>
      </c>
      <c r="D37" s="67" t="s">
        <v>1757</v>
      </c>
      <c r="E37" s="67"/>
      <c r="F37" s="67"/>
      <c r="G37" s="67" t="s">
        <v>1758</v>
      </c>
      <c r="H37" s="67" t="s">
        <v>1759</v>
      </c>
      <c r="I37" s="67" t="s">
        <v>1760</v>
      </c>
      <c r="J37" s="67" t="s">
        <v>1761</v>
      </c>
      <c r="K37" s="67" t="s">
        <v>1762</v>
      </c>
      <c r="L37" s="67" t="s">
        <v>1763</v>
      </c>
      <c r="M37" s="67" t="s">
        <v>1764</v>
      </c>
      <c r="N37" s="67" t="e">
        <f t="shared" si="0"/>
        <v>#VALUE!</v>
      </c>
      <c r="O37" s="67" t="s">
        <v>1765</v>
      </c>
      <c r="P37" s="68" t="e">
        <f t="shared" si="1"/>
        <v>#VALUE!</v>
      </c>
      <c r="Q37" s="69" t="s">
        <v>1766</v>
      </c>
      <c r="R37" s="67" t="s">
        <v>1767</v>
      </c>
      <c r="S37" s="67"/>
      <c r="T37" s="67"/>
      <c r="U37" s="67" t="s">
        <v>1768</v>
      </c>
      <c r="V37" s="67" t="s">
        <v>1769</v>
      </c>
      <c r="W37" s="67" t="s">
        <v>1770</v>
      </c>
      <c r="X37" s="67" t="s">
        <v>1771</v>
      </c>
      <c r="Y37" s="67" t="s">
        <v>1772</v>
      </c>
      <c r="Z37" s="67" t="s">
        <v>1773</v>
      </c>
      <c r="AA37" s="67" t="s">
        <v>1774</v>
      </c>
      <c r="AB37" s="67" t="e">
        <f t="shared" si="2"/>
        <v>#VALUE!</v>
      </c>
      <c r="AC37" s="67" t="s">
        <v>1775</v>
      </c>
      <c r="AD37" s="68" t="e">
        <f t="shared" si="7"/>
        <v>#VALUE!</v>
      </c>
    </row>
    <row r="38" s="39" customFormat="1" ht="15" customHeight="1" spans="1:30">
      <c r="A38" s="73" t="s">
        <v>1776</v>
      </c>
      <c r="B38" s="66">
        <v>30</v>
      </c>
      <c r="C38" s="67" t="s">
        <v>1777</v>
      </c>
      <c r="D38" s="67" t="s">
        <v>1778</v>
      </c>
      <c r="E38" s="67"/>
      <c r="F38" s="67"/>
      <c r="G38" s="67" t="s">
        <v>1779</v>
      </c>
      <c r="H38" s="67" t="s">
        <v>1780</v>
      </c>
      <c r="I38" s="67" t="s">
        <v>1781</v>
      </c>
      <c r="J38" s="67" t="s">
        <v>1782</v>
      </c>
      <c r="K38" s="67" t="s">
        <v>1783</v>
      </c>
      <c r="L38" s="67" t="s">
        <v>1784</v>
      </c>
      <c r="M38" s="67" t="s">
        <v>1785</v>
      </c>
      <c r="N38" s="67" t="e">
        <f t="shared" si="0"/>
        <v>#VALUE!</v>
      </c>
      <c r="O38" s="67" t="s">
        <v>1786</v>
      </c>
      <c r="P38" s="68" t="e">
        <f t="shared" si="1"/>
        <v>#VALUE!</v>
      </c>
      <c r="Q38" s="69" t="s">
        <v>1787</v>
      </c>
      <c r="R38" s="67" t="s">
        <v>1788</v>
      </c>
      <c r="S38" s="67"/>
      <c r="T38" s="67"/>
      <c r="U38" s="67" t="s">
        <v>1789</v>
      </c>
      <c r="V38" s="67" t="s">
        <v>1790</v>
      </c>
      <c r="W38" s="67" t="s">
        <v>1791</v>
      </c>
      <c r="X38" s="67" t="s">
        <v>1792</v>
      </c>
      <c r="Y38" s="67" t="s">
        <v>1793</v>
      </c>
      <c r="Z38" s="67" t="s">
        <v>1794</v>
      </c>
      <c r="AA38" s="67" t="s">
        <v>1795</v>
      </c>
      <c r="AB38" s="67" t="e">
        <f t="shared" si="2"/>
        <v>#VALUE!</v>
      </c>
      <c r="AC38" s="67" t="s">
        <v>1796</v>
      </c>
      <c r="AD38" s="68" t="e">
        <f t="shared" si="7"/>
        <v>#VALUE!</v>
      </c>
    </row>
    <row r="39" s="39" customFormat="1" ht="15.75" customHeight="1" spans="1:30">
      <c r="A39" s="73" t="s">
        <v>1797</v>
      </c>
      <c r="B39" s="66">
        <v>31</v>
      </c>
      <c r="C39" s="67" t="s">
        <v>1798</v>
      </c>
      <c r="D39" s="67" t="s">
        <v>1799</v>
      </c>
      <c r="E39" s="67"/>
      <c r="F39" s="67"/>
      <c r="G39" s="67" t="s">
        <v>1800</v>
      </c>
      <c r="H39" s="67" t="s">
        <v>1801</v>
      </c>
      <c r="I39" s="67" t="s">
        <v>1802</v>
      </c>
      <c r="J39" s="67" t="s">
        <v>1803</v>
      </c>
      <c r="K39" s="67" t="s">
        <v>1804</v>
      </c>
      <c r="L39" s="67" t="s">
        <v>1805</v>
      </c>
      <c r="M39" s="67" t="s">
        <v>1806</v>
      </c>
      <c r="N39" s="67" t="e">
        <f t="shared" si="0"/>
        <v>#VALUE!</v>
      </c>
      <c r="O39" s="67" t="s">
        <v>1807</v>
      </c>
      <c r="P39" s="68" t="e">
        <f t="shared" si="1"/>
        <v>#VALUE!</v>
      </c>
      <c r="Q39" s="69" t="s">
        <v>1808</v>
      </c>
      <c r="R39" s="67" t="s">
        <v>1809</v>
      </c>
      <c r="S39" s="67"/>
      <c r="T39" s="67"/>
      <c r="U39" s="67" t="s">
        <v>1810</v>
      </c>
      <c r="V39" s="67" t="s">
        <v>1811</v>
      </c>
      <c r="W39" s="67" t="s">
        <v>1812</v>
      </c>
      <c r="X39" s="67" t="s">
        <v>1813</v>
      </c>
      <c r="Y39" s="67" t="s">
        <v>1814</v>
      </c>
      <c r="Z39" s="67" t="s">
        <v>1815</v>
      </c>
      <c r="AA39" s="67" t="s">
        <v>1816</v>
      </c>
      <c r="AB39" s="67" t="e">
        <f t="shared" si="2"/>
        <v>#VALUE!</v>
      </c>
      <c r="AC39" s="67" t="s">
        <v>1817</v>
      </c>
      <c r="AD39" s="68" t="e">
        <f t="shared" si="7"/>
        <v>#VALUE!</v>
      </c>
    </row>
    <row r="40" s="39" customFormat="1" ht="15" customHeight="1" spans="1:30">
      <c r="A40" s="70" t="s">
        <v>1818</v>
      </c>
      <c r="B40" s="66">
        <v>32</v>
      </c>
      <c r="C40" s="67" t="s">
        <v>1819</v>
      </c>
      <c r="D40" s="67" t="s">
        <v>1820</v>
      </c>
      <c r="E40" s="67"/>
      <c r="F40" s="67"/>
      <c r="G40" s="67" t="s">
        <v>1821</v>
      </c>
      <c r="H40" s="67" t="s">
        <v>1822</v>
      </c>
      <c r="I40" s="67" t="s">
        <v>1823</v>
      </c>
      <c r="J40" s="67" t="s">
        <v>1824</v>
      </c>
      <c r="K40" s="67" t="s">
        <v>1825</v>
      </c>
      <c r="L40" s="67" t="s">
        <v>1826</v>
      </c>
      <c r="M40" s="67" t="s">
        <v>1827</v>
      </c>
      <c r="N40" s="67" t="e">
        <f t="shared" si="0"/>
        <v>#VALUE!</v>
      </c>
      <c r="O40" s="67" t="s">
        <v>1828</v>
      </c>
      <c r="P40" s="68" t="e">
        <f t="shared" si="1"/>
        <v>#VALUE!</v>
      </c>
      <c r="Q40" s="69" t="s">
        <v>1829</v>
      </c>
      <c r="R40" s="67" t="s">
        <v>1830</v>
      </c>
      <c r="S40" s="67"/>
      <c r="T40" s="67"/>
      <c r="U40" s="67" t="s">
        <v>1831</v>
      </c>
      <c r="V40" s="67" t="s">
        <v>1832</v>
      </c>
      <c r="W40" s="67" t="s">
        <v>1833</v>
      </c>
      <c r="X40" s="67" t="s">
        <v>1834</v>
      </c>
      <c r="Y40" s="67" t="s">
        <v>1835</v>
      </c>
      <c r="Z40" s="67" t="s">
        <v>1836</v>
      </c>
      <c r="AA40" s="67" t="s">
        <v>1837</v>
      </c>
      <c r="AB40" s="67" t="e">
        <f t="shared" si="2"/>
        <v>#VALUE!</v>
      </c>
      <c r="AC40" s="67" t="s">
        <v>1838</v>
      </c>
      <c r="AD40" s="68" t="e">
        <f t="shared" si="7"/>
        <v>#VALUE!</v>
      </c>
    </row>
    <row r="41" s="38" customFormat="1" ht="15" customHeight="1" spans="1:30">
      <c r="A41" s="74" t="s">
        <v>1839</v>
      </c>
      <c r="B41" s="75">
        <v>33</v>
      </c>
      <c r="C41" s="76" t="e">
        <f t="shared" ref="C41:M41" si="16">C13+C14</f>
        <v>#VALUE!</v>
      </c>
      <c r="D41" s="76" t="e">
        <f t="shared" si="16"/>
        <v>#VALUE!</v>
      </c>
      <c r="E41" s="76">
        <f t="shared" si="16"/>
        <v>0</v>
      </c>
      <c r="F41" s="76">
        <f t="shared" si="16"/>
        <v>0</v>
      </c>
      <c r="G41" s="76" t="e">
        <f t="shared" si="16"/>
        <v>#VALUE!</v>
      </c>
      <c r="H41" s="76" t="e">
        <f t="shared" si="16"/>
        <v>#VALUE!</v>
      </c>
      <c r="I41" s="76" t="e">
        <f t="shared" si="16"/>
        <v>#VALUE!</v>
      </c>
      <c r="J41" s="76" t="e">
        <f t="shared" si="16"/>
        <v>#VALUE!</v>
      </c>
      <c r="K41" s="76" t="e">
        <f t="shared" si="16"/>
        <v>#VALUE!</v>
      </c>
      <c r="L41" s="76" t="e">
        <f t="shared" si="16"/>
        <v>#VALUE!</v>
      </c>
      <c r="M41" s="76" t="e">
        <f t="shared" si="16"/>
        <v>#VALUE!</v>
      </c>
      <c r="N41" s="76" t="e">
        <f t="shared" si="0"/>
        <v>#VALUE!</v>
      </c>
      <c r="O41" s="76" t="e">
        <f>O13+O14</f>
        <v>#VALUE!</v>
      </c>
      <c r="P41" s="77" t="e">
        <f t="shared" si="1"/>
        <v>#VALUE!</v>
      </c>
      <c r="Q41" s="78" t="e">
        <f t="shared" ref="Q41:AA41" si="17">Q13+Q14</f>
        <v>#VALUE!</v>
      </c>
      <c r="R41" s="76" t="e">
        <f t="shared" si="17"/>
        <v>#VALUE!</v>
      </c>
      <c r="S41" s="76">
        <f t="shared" si="17"/>
        <v>0</v>
      </c>
      <c r="T41" s="76">
        <f t="shared" si="17"/>
        <v>0</v>
      </c>
      <c r="U41" s="76" t="e">
        <f t="shared" si="17"/>
        <v>#VALUE!</v>
      </c>
      <c r="V41" s="76" t="e">
        <f t="shared" si="17"/>
        <v>#VALUE!</v>
      </c>
      <c r="W41" s="76" t="e">
        <f t="shared" si="17"/>
        <v>#VALUE!</v>
      </c>
      <c r="X41" s="76" t="e">
        <f t="shared" si="17"/>
        <v>#VALUE!</v>
      </c>
      <c r="Y41" s="76" t="e">
        <f t="shared" si="17"/>
        <v>#VALUE!</v>
      </c>
      <c r="Z41" s="76" t="e">
        <f t="shared" si="17"/>
        <v>#VALUE!</v>
      </c>
      <c r="AA41" s="76" t="e">
        <f t="shared" si="17"/>
        <v>#VALUE!</v>
      </c>
      <c r="AB41" s="76" t="e">
        <f t="shared" si="2"/>
        <v>#VALUE!</v>
      </c>
      <c r="AC41" s="76" t="e">
        <f>AC13+AC14</f>
        <v>#VALUE!</v>
      </c>
      <c r="AD41" s="77" t="e">
        <f t="shared" si="7"/>
        <v>#VALUE!</v>
      </c>
    </row>
    <row r="42" s="37" customFormat="1" ht="15.6" customHeight="1" spans="1:30">
      <c r="B42" s="79"/>
      <c r="C42" s="79"/>
      <c r="D42" s="79"/>
      <c r="E42" s="79"/>
      <c r="F42" s="79"/>
      <c r="G42" s="79"/>
      <c r="H42" s="79"/>
      <c r="I42" s="79"/>
      <c r="J42" s="79"/>
      <c r="K42" s="79"/>
      <c r="L42" s="79"/>
      <c r="M42" s="79"/>
      <c r="N42" s="79"/>
      <c r="R42" s="79"/>
      <c r="S42" s="79"/>
      <c r="T42" s="79"/>
      <c r="W42" s="79"/>
    </row>
    <row r="43" s="37" customFormat="1" ht="15.6" customHeight="1" spans="1:30">
      <c r="A43" s="30" t="s">
        <v>1840</v>
      </c>
      <c r="E43" s="80" t="s">
        <v>1841</v>
      </c>
      <c r="L43" s="80" t="s">
        <v>1842</v>
      </c>
      <c r="S43" s="80" t="s">
        <v>1841</v>
      </c>
      <c r="Z43" s="80" t="s">
        <v>1842</v>
      </c>
    </row>
    <row r="47" s="39" customFormat="1" spans="1:30">
      <c r="A47" s="81" t="s">
        <v>1843</v>
      </c>
    </row>
    <row r="48" s="39" customFormat="1" ht="15.6" customHeight="1" spans="1:30">
      <c r="A48" s="85" t="s">
        <v>1844</v>
      </c>
    </row>
    <row r="49" s="39" customFormat="1" ht="15.6" customHeight="1" spans="1:1">
      <c r="A49" s="85" t="s">
        <v>1845</v>
      </c>
    </row>
  </sheetData>
  <mergeCells count="31">
    <mergeCell ref="C4:P4"/>
    <mergeCell ref="Q4:AD4"/>
    <mergeCell ref="C5:N5"/>
    <mergeCell ref="Q5:AB5"/>
    <mergeCell ref="D6:F6"/>
    <mergeCell ref="R6:T6"/>
    <mergeCell ref="A47:G47"/>
    <mergeCell ref="A4:A7"/>
    <mergeCell ref="B4:B7"/>
    <mergeCell ref="C6:C7"/>
    <mergeCell ref="G6:G7"/>
    <mergeCell ref="H6:H7"/>
    <mergeCell ref="I6:I7"/>
    <mergeCell ref="J6:J7"/>
    <mergeCell ref="K6:K7"/>
    <mergeCell ref="L6:L7"/>
    <mergeCell ref="M6:M7"/>
    <mergeCell ref="N6:N7"/>
    <mergeCell ref="O5:O7"/>
    <mergeCell ref="P5:P7"/>
    <mergeCell ref="Q6:Q7"/>
    <mergeCell ref="U6:U7"/>
    <mergeCell ref="V6:V7"/>
    <mergeCell ref="W6:W7"/>
    <mergeCell ref="X6:X7"/>
    <mergeCell ref="Y6:Y7"/>
    <mergeCell ref="Z6:Z7"/>
    <mergeCell ref="AA6:AA7"/>
    <mergeCell ref="AB6:AB7"/>
    <mergeCell ref="AC5:AC7"/>
    <mergeCell ref="AD5:AD7"/>
  </mergeCells>
  <conditionalFormatting sqref="C$1:AD$1048576">
    <cfRule type="cellIs" dxfId="0" priority="1" operator="equal">
      <formula>0</formula>
    </cfRule>
  </conditionalFormatting>
  <printOptions horizontalCentered="1"/>
  <pageMargins left="0.275" right="0.314583333333333" top="0.826388888888889" bottom="0.747916666666667" header="0.511811023622047" footer="0.511811023622047"/>
  <pageSetup paperSize="9" scale="63" firstPageNumber="10" fitToWidth="0" orientation="landscape" useFirstPageNumber="1"/>
  <headerFooter alignWithMargins="0">
    <oddFooter>&amp;C&amp;"Arial Narrow,常规"&amp;P</oddFooter>
  </headerFooter>
  <colBreaks count="1" manualBreakCount="1">
    <brk id="16" max="42"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Z46"/>
  <sheetViews>
    <sheetView showGridLines="0" view="pageBreakPreview" zoomScaleNormal="100" workbookViewId="0">
      <pane xSplit="2" ySplit="7" topLeftCell="L8" activePane="bottomRight" state="frozen"/>
      <selection/>
      <selection pane="topRight"/>
      <selection pane="bottomLeft"/>
      <selection pane="bottomRight" activeCell="K17" sqref="K17"/>
    </sheetView>
  </sheetViews>
  <sheetFormatPr defaultColWidth="9" defaultRowHeight="12"/>
  <cols>
    <col min="1" max="1" width="41.9" style="36" customWidth="1"/>
    <col min="2" max="2" width="4.7" style="36" customWidth="1"/>
    <col min="3" max="3" width="14.5" style="39" customWidth="1"/>
    <col min="4" max="4" width="6.7" style="39" customWidth="1"/>
    <col min="5" max="5" width="15.5" style="39" customWidth="1"/>
    <col min="6" max="6" width="6.7" style="39" customWidth="1"/>
    <col min="7" max="7" width="14.3" style="39" customWidth="1"/>
    <col min="8" max="8" width="7.4" style="39" customWidth="1"/>
    <col min="9" max="9" width="13.6" style="39" customWidth="1"/>
    <col min="10" max="10" width="7.9" style="39" customWidth="1"/>
    <col min="11" max="11" width="14.3" style="39" customWidth="1"/>
    <col min="12" max="12" width="9.3" style="39" customWidth="1"/>
    <col min="13" max="13" width="14.8" style="39" customWidth="1"/>
    <col min="14" max="14" width="13.9" style="39" customWidth="1"/>
    <col min="15" max="15" width="15.3" style="39" customWidth="1"/>
    <col min="16" max="16" width="7.7" style="39" customWidth="1"/>
    <col min="17" max="17" width="15.5" style="39" customWidth="1"/>
    <col min="18" max="18" width="6.2" style="39" customWidth="1"/>
    <col min="19" max="19" width="14.5" style="39" customWidth="1"/>
    <col min="20" max="20" width="6.3" style="39" customWidth="1"/>
    <col min="21" max="21" width="15" style="39" customWidth="1"/>
    <col min="22" max="22" width="8.7" style="39" customWidth="1"/>
    <col min="23" max="23" width="13.3" style="39" customWidth="1"/>
    <col min="24" max="24" width="7.6" style="39" customWidth="1"/>
    <col min="25" max="25" width="13.9" style="39" customWidth="1"/>
    <col min="26" max="26" width="15.1" style="39" customWidth="1"/>
    <col min="27" max="16384" width="9" style="39" customWidth="1"/>
  </cols>
  <sheetData>
    <row r="1" s="36" customFormat="1" ht="30" customHeight="1" spans="1:26">
      <c r="B1" s="40"/>
      <c r="C1" s="40"/>
      <c r="D1" s="40" t="s">
        <v>1846</v>
      </c>
      <c r="E1" s="40"/>
      <c r="F1" s="40"/>
      <c r="G1" s="40"/>
      <c r="H1" s="40"/>
      <c r="I1" s="40"/>
      <c r="J1" s="40"/>
      <c r="K1" s="40"/>
      <c r="L1" s="40"/>
      <c r="M1" s="40"/>
      <c r="N1" s="40"/>
      <c r="O1" s="40"/>
      <c r="P1" s="40" t="s">
        <v>1847</v>
      </c>
      <c r="R1" s="40"/>
      <c r="S1" s="40"/>
      <c r="T1" s="40"/>
      <c r="U1" s="40"/>
      <c r="V1" s="40"/>
      <c r="W1" s="40"/>
      <c r="X1" s="40"/>
      <c r="Y1" s="40"/>
      <c r="Z1" s="40"/>
    </row>
    <row r="2" s="36" customFormat="1" ht="18" customHeight="1" spans="1:26">
      <c r="B2" s="41"/>
      <c r="C2" s="41"/>
      <c r="D2" s="41"/>
      <c r="E2" s="41"/>
      <c r="F2" s="41"/>
      <c r="G2" s="41"/>
      <c r="H2" s="41"/>
      <c r="I2" s="41"/>
      <c r="J2" s="41"/>
      <c r="K2" s="41"/>
      <c r="L2" s="41"/>
      <c r="M2" s="41"/>
      <c r="N2" s="41"/>
      <c r="P2" s="41"/>
      <c r="Q2" s="41"/>
      <c r="R2" s="41"/>
      <c r="U2" s="41"/>
    </row>
    <row r="3" s="37" customFormat="1" ht="18" customHeight="1" spans="1:26">
      <c r="A3" s="42" t="s">
        <v>2</v>
      </c>
      <c r="B3" s="42"/>
      <c r="C3" s="42"/>
      <c r="D3" s="42"/>
      <c r="E3" s="43" t="s">
        <v>1283</v>
      </c>
      <c r="F3" s="44"/>
      <c r="G3" s="44"/>
      <c r="H3" s="37"/>
      <c r="I3" s="37"/>
      <c r="J3" s="37"/>
      <c r="K3" s="37"/>
      <c r="P3" s="42"/>
      <c r="Q3" s="45" t="s">
        <v>1285</v>
      </c>
      <c r="R3" s="44"/>
      <c r="S3" s="44"/>
    </row>
    <row r="4" s="36" customFormat="1" ht="18" customHeight="1" spans="1:26">
      <c r="A4" s="46" t="s">
        <v>4</v>
      </c>
      <c r="B4" s="47" t="s">
        <v>1286</v>
      </c>
      <c r="C4" s="48" t="s">
        <v>1287</v>
      </c>
      <c r="D4" s="12"/>
      <c r="E4" s="12"/>
      <c r="F4" s="12"/>
      <c r="G4" s="12"/>
      <c r="H4" s="12"/>
      <c r="I4" s="12"/>
      <c r="J4" s="12"/>
      <c r="K4" s="12"/>
      <c r="L4" s="12"/>
      <c r="M4" s="12"/>
      <c r="N4" s="13"/>
      <c r="O4" s="49" t="s">
        <v>1288</v>
      </c>
      <c r="P4" s="12"/>
      <c r="Q4" s="12"/>
      <c r="R4" s="12"/>
      <c r="S4" s="12"/>
      <c r="T4" s="12"/>
      <c r="U4" s="12"/>
      <c r="V4" s="12"/>
      <c r="W4" s="12"/>
      <c r="X4" s="12"/>
      <c r="Y4" s="12"/>
      <c r="Z4" s="13"/>
    </row>
    <row r="5" s="36" customFormat="1" ht="33.75" customHeight="1" spans="1:26">
      <c r="A5" s="50"/>
      <c r="B5" s="51"/>
      <c r="C5" s="47" t="s">
        <v>1292</v>
      </c>
      <c r="D5" s="47" t="s">
        <v>1293</v>
      </c>
      <c r="E5" s="12"/>
      <c r="F5" s="13"/>
      <c r="G5" s="47" t="s">
        <v>1294</v>
      </c>
      <c r="H5" s="47" t="s">
        <v>1295</v>
      </c>
      <c r="I5" s="47" t="s">
        <v>1296</v>
      </c>
      <c r="J5" s="47" t="s">
        <v>1297</v>
      </c>
      <c r="K5" s="47" t="s">
        <v>1298</v>
      </c>
      <c r="L5" s="47" t="s">
        <v>1848</v>
      </c>
      <c r="M5" s="47" t="s">
        <v>1300</v>
      </c>
      <c r="N5" s="52" t="s">
        <v>648</v>
      </c>
      <c r="O5" s="47" t="s">
        <v>1292</v>
      </c>
      <c r="P5" s="53" t="s">
        <v>1293</v>
      </c>
      <c r="Q5" s="54"/>
      <c r="R5" s="55"/>
      <c r="S5" s="47" t="s">
        <v>1294</v>
      </c>
      <c r="T5" s="47" t="s">
        <v>1295</v>
      </c>
      <c r="U5" s="47" t="s">
        <v>1296</v>
      </c>
      <c r="V5" s="47" t="s">
        <v>1297</v>
      </c>
      <c r="W5" s="47" t="s">
        <v>1298</v>
      </c>
      <c r="X5" s="47" t="s">
        <v>1299</v>
      </c>
      <c r="Y5" s="47" t="s">
        <v>1300</v>
      </c>
      <c r="Z5" s="52" t="s">
        <v>648</v>
      </c>
    </row>
    <row r="6" s="36" customFormat="1" ht="33.75" customHeight="1" spans="1:26">
      <c r="A6" s="14"/>
      <c r="B6" s="15"/>
      <c r="C6" s="15"/>
      <c r="D6" s="47" t="s">
        <v>1302</v>
      </c>
      <c r="E6" s="47" t="s">
        <v>1303</v>
      </c>
      <c r="F6" s="47" t="s">
        <v>1304</v>
      </c>
      <c r="G6" s="15"/>
      <c r="H6" s="15"/>
      <c r="I6" s="15"/>
      <c r="J6" s="15"/>
      <c r="K6" s="15"/>
      <c r="L6" s="15"/>
      <c r="M6" s="15"/>
      <c r="N6" s="56"/>
      <c r="O6" s="15"/>
      <c r="P6" s="47" t="s">
        <v>1302</v>
      </c>
      <c r="Q6" s="47" t="s">
        <v>1303</v>
      </c>
      <c r="R6" s="47" t="s">
        <v>1304</v>
      </c>
      <c r="S6" s="15"/>
      <c r="T6" s="15"/>
      <c r="U6" s="15"/>
      <c r="V6" s="15"/>
      <c r="W6" s="15"/>
      <c r="X6" s="15"/>
      <c r="Y6" s="15"/>
      <c r="Z6" s="56"/>
    </row>
    <row r="7" s="36" customFormat="1" ht="15" customHeight="1" spans="1:26">
      <c r="A7" s="49" t="s">
        <v>1305</v>
      </c>
      <c r="B7" s="57" t="s">
        <v>1306</v>
      </c>
      <c r="C7" s="57">
        <v>1</v>
      </c>
      <c r="D7" s="57">
        <v>2</v>
      </c>
      <c r="E7" s="57">
        <v>3</v>
      </c>
      <c r="F7" s="57">
        <v>4</v>
      </c>
      <c r="G7" s="57">
        <v>5</v>
      </c>
      <c r="H7" s="57">
        <v>6</v>
      </c>
      <c r="I7" s="57">
        <v>7</v>
      </c>
      <c r="J7" s="57">
        <v>8</v>
      </c>
      <c r="K7" s="57">
        <v>9</v>
      </c>
      <c r="L7" s="57">
        <v>10</v>
      </c>
      <c r="M7" s="57">
        <v>11</v>
      </c>
      <c r="N7" s="58">
        <v>12</v>
      </c>
      <c r="O7" s="59">
        <v>13</v>
      </c>
      <c r="P7" s="57">
        <v>14</v>
      </c>
      <c r="Q7" s="57">
        <v>15</v>
      </c>
      <c r="R7" s="57">
        <v>16</v>
      </c>
      <c r="S7" s="57">
        <v>17</v>
      </c>
      <c r="T7" s="57">
        <v>18</v>
      </c>
      <c r="U7" s="57">
        <v>19</v>
      </c>
      <c r="V7" s="57">
        <v>20</v>
      </c>
      <c r="W7" s="57">
        <v>21</v>
      </c>
      <c r="X7" s="57">
        <v>22</v>
      </c>
      <c r="Y7" s="57">
        <v>23</v>
      </c>
      <c r="Z7" s="58">
        <v>24</v>
      </c>
    </row>
    <row r="8" s="38" customFormat="1" ht="15" customHeight="1" spans="1:26">
      <c r="A8" s="60" t="s">
        <v>1307</v>
      </c>
      <c r="B8" s="61">
        <v>1</v>
      </c>
      <c r="C8" s="62" t="s">
        <v>1308</v>
      </c>
      <c r="D8" s="62" t="s">
        <v>1309</v>
      </c>
      <c r="E8" s="62" t="s">
        <v>1849</v>
      </c>
      <c r="F8" s="62"/>
      <c r="G8" s="62" t="s">
        <v>1310</v>
      </c>
      <c r="H8" s="62" t="s">
        <v>1311</v>
      </c>
      <c r="I8" s="62" t="s">
        <v>1312</v>
      </c>
      <c r="J8" s="62" t="s">
        <v>1313</v>
      </c>
      <c r="K8" s="62" t="s">
        <v>1314</v>
      </c>
      <c r="L8" s="62" t="s">
        <v>1315</v>
      </c>
      <c r="M8" s="62" t="s">
        <v>1316</v>
      </c>
      <c r="N8" s="63" t="e">
        <f t="shared" ref="N8:N32" si="0">SUM(C8:G8)+SUM(I8:M8)-H8</f>
        <v>#VALUE!</v>
      </c>
      <c r="O8" s="64" t="s">
        <v>1318</v>
      </c>
      <c r="P8" s="62" t="s">
        <v>1319</v>
      </c>
      <c r="Q8" s="62" t="s">
        <v>1850</v>
      </c>
      <c r="R8" s="62"/>
      <c r="S8" s="62" t="s">
        <v>1320</v>
      </c>
      <c r="T8" s="62" t="s">
        <v>1321</v>
      </c>
      <c r="U8" s="62" t="s">
        <v>1322</v>
      </c>
      <c r="V8" s="62" t="s">
        <v>1323</v>
      </c>
      <c r="W8" s="62" t="s">
        <v>1324</v>
      </c>
      <c r="X8" s="62" t="s">
        <v>1325</v>
      </c>
      <c r="Y8" s="62" t="s">
        <v>1326</v>
      </c>
      <c r="Z8" s="63" t="e">
        <f t="shared" ref="Z8:Z32" si="1">SUM(O8:S8)+SUM(U8:Y8)-T8</f>
        <v>#VALUE!</v>
      </c>
    </row>
    <row r="9" s="39" customFormat="1" ht="15" customHeight="1" spans="1:26">
      <c r="A9" s="65" t="s">
        <v>1851</v>
      </c>
      <c r="B9" s="66">
        <v>2</v>
      </c>
      <c r="C9" s="67" t="s">
        <v>1329</v>
      </c>
      <c r="D9" s="67" t="s">
        <v>1330</v>
      </c>
      <c r="E9" s="67" t="s">
        <v>1852</v>
      </c>
      <c r="F9" s="67"/>
      <c r="G9" s="67" t="s">
        <v>1331</v>
      </c>
      <c r="H9" s="67" t="s">
        <v>1332</v>
      </c>
      <c r="I9" s="67" t="s">
        <v>1333</v>
      </c>
      <c r="J9" s="67" t="s">
        <v>1334</v>
      </c>
      <c r="K9" s="67" t="s">
        <v>1335</v>
      </c>
      <c r="L9" s="67" t="s">
        <v>1336</v>
      </c>
      <c r="M9" s="67" t="s">
        <v>1337</v>
      </c>
      <c r="N9" s="68" t="e">
        <f t="shared" si="0"/>
        <v>#VALUE!</v>
      </c>
      <c r="O9" s="69" t="s">
        <v>1339</v>
      </c>
      <c r="P9" s="67" t="s">
        <v>1340</v>
      </c>
      <c r="Q9" s="67" t="s">
        <v>1853</v>
      </c>
      <c r="R9" s="67"/>
      <c r="S9" s="67" t="s">
        <v>1341</v>
      </c>
      <c r="T9" s="67" t="s">
        <v>1342</v>
      </c>
      <c r="U9" s="67" t="s">
        <v>1343</v>
      </c>
      <c r="V9" s="67" t="s">
        <v>1344</v>
      </c>
      <c r="W9" s="67" t="s">
        <v>1345</v>
      </c>
      <c r="X9" s="67" t="s">
        <v>1346</v>
      </c>
      <c r="Y9" s="67" t="s">
        <v>1347</v>
      </c>
      <c r="Z9" s="68" t="e">
        <f t="shared" si="1"/>
        <v>#VALUE!</v>
      </c>
    </row>
    <row r="10" s="39" customFormat="1" ht="15" customHeight="1" spans="1:26">
      <c r="A10" s="65" t="s">
        <v>1854</v>
      </c>
      <c r="B10" s="66">
        <v>3</v>
      </c>
      <c r="C10" s="67" t="s">
        <v>1350</v>
      </c>
      <c r="D10" s="67" t="s">
        <v>1351</v>
      </c>
      <c r="E10" s="67" t="s">
        <v>1855</v>
      </c>
      <c r="F10" s="67"/>
      <c r="G10" s="67" t="s">
        <v>1352</v>
      </c>
      <c r="H10" s="67" t="s">
        <v>1353</v>
      </c>
      <c r="I10" s="67" t="s">
        <v>1354</v>
      </c>
      <c r="J10" s="67" t="s">
        <v>1355</v>
      </c>
      <c r="K10" s="67" t="s">
        <v>1356</v>
      </c>
      <c r="L10" s="67" t="s">
        <v>1357</v>
      </c>
      <c r="M10" s="67" t="s">
        <v>1358</v>
      </c>
      <c r="N10" s="68" t="e">
        <f t="shared" si="0"/>
        <v>#VALUE!</v>
      </c>
      <c r="O10" s="69" t="s">
        <v>1360</v>
      </c>
      <c r="P10" s="67" t="s">
        <v>1361</v>
      </c>
      <c r="Q10" s="67" t="s">
        <v>1856</v>
      </c>
      <c r="R10" s="67"/>
      <c r="S10" s="67" t="s">
        <v>1362</v>
      </c>
      <c r="T10" s="67" t="s">
        <v>1363</v>
      </c>
      <c r="U10" s="67" t="s">
        <v>1364</v>
      </c>
      <c r="V10" s="67" t="s">
        <v>1365</v>
      </c>
      <c r="W10" s="67" t="s">
        <v>1366</v>
      </c>
      <c r="X10" s="67" t="s">
        <v>1367</v>
      </c>
      <c r="Y10" s="67" t="s">
        <v>1368</v>
      </c>
      <c r="Z10" s="68" t="e">
        <f t="shared" si="1"/>
        <v>#VALUE!</v>
      </c>
    </row>
    <row r="11" s="39" customFormat="1" ht="15" customHeight="1" spans="1:26">
      <c r="A11" s="65" t="s">
        <v>1857</v>
      </c>
      <c r="B11" s="66">
        <v>4</v>
      </c>
      <c r="C11" s="67" t="s">
        <v>1371</v>
      </c>
      <c r="D11" s="67" t="s">
        <v>1372</v>
      </c>
      <c r="E11" s="67" t="s">
        <v>1858</v>
      </c>
      <c r="F11" s="67"/>
      <c r="G11" s="67" t="s">
        <v>1373</v>
      </c>
      <c r="H11" s="67" t="s">
        <v>1374</v>
      </c>
      <c r="I11" s="67" t="s">
        <v>1375</v>
      </c>
      <c r="J11" s="67" t="s">
        <v>1376</v>
      </c>
      <c r="K11" s="67" t="s">
        <v>1377</v>
      </c>
      <c r="L11" s="67" t="s">
        <v>1378</v>
      </c>
      <c r="M11" s="67" t="s">
        <v>1379</v>
      </c>
      <c r="N11" s="68" t="e">
        <f t="shared" si="0"/>
        <v>#VALUE!</v>
      </c>
      <c r="O11" s="69" t="s">
        <v>1381</v>
      </c>
      <c r="P11" s="67" t="s">
        <v>1382</v>
      </c>
      <c r="Q11" s="67" t="s">
        <v>1859</v>
      </c>
      <c r="R11" s="67"/>
      <c r="S11" s="67" t="s">
        <v>1383</v>
      </c>
      <c r="T11" s="67" t="s">
        <v>1384</v>
      </c>
      <c r="U11" s="67" t="s">
        <v>1385</v>
      </c>
      <c r="V11" s="67" t="s">
        <v>1386</v>
      </c>
      <c r="W11" s="67" t="s">
        <v>1387</v>
      </c>
      <c r="X11" s="67" t="s">
        <v>1388</v>
      </c>
      <c r="Y11" s="67" t="s">
        <v>1389</v>
      </c>
      <c r="Z11" s="68" t="e">
        <f t="shared" si="1"/>
        <v>#VALUE!</v>
      </c>
    </row>
    <row r="12" s="38" customFormat="1" ht="15" customHeight="1" spans="1:26">
      <c r="A12" s="60" t="s">
        <v>1391</v>
      </c>
      <c r="B12" s="66">
        <v>5</v>
      </c>
      <c r="C12" s="62">
        <f t="shared" ref="C12:M12" si="2">SUM(C8:C11)</f>
        <v>0</v>
      </c>
      <c r="D12" s="62">
        <f t="shared" si="2"/>
        <v>0</v>
      </c>
      <c r="E12" s="62">
        <f t="shared" si="2"/>
        <v>0</v>
      </c>
      <c r="F12" s="62">
        <f t="shared" si="2"/>
        <v>0</v>
      </c>
      <c r="G12" s="62">
        <f t="shared" si="2"/>
        <v>0</v>
      </c>
      <c r="H12" s="62">
        <f t="shared" si="2"/>
        <v>0</v>
      </c>
      <c r="I12" s="62">
        <f t="shared" si="2"/>
        <v>0</v>
      </c>
      <c r="J12" s="62">
        <f t="shared" si="2"/>
        <v>0</v>
      </c>
      <c r="K12" s="62">
        <f t="shared" si="2"/>
        <v>0</v>
      </c>
      <c r="L12" s="62">
        <f t="shared" si="2"/>
        <v>0</v>
      </c>
      <c r="M12" s="62">
        <f t="shared" si="2"/>
        <v>0</v>
      </c>
      <c r="N12" s="63">
        <f t="shared" si="0"/>
        <v>0</v>
      </c>
      <c r="O12" s="64">
        <f t="shared" ref="O12:Y12" si="3">SUM(O8:O11)</f>
        <v>0</v>
      </c>
      <c r="P12" s="62">
        <f t="shared" si="3"/>
        <v>0</v>
      </c>
      <c r="Q12" s="62">
        <f t="shared" si="3"/>
        <v>0</v>
      </c>
      <c r="R12" s="62">
        <f t="shared" si="3"/>
        <v>0</v>
      </c>
      <c r="S12" s="62">
        <f t="shared" si="3"/>
        <v>0</v>
      </c>
      <c r="T12" s="62">
        <f t="shared" si="3"/>
        <v>0</v>
      </c>
      <c r="U12" s="62">
        <f t="shared" si="3"/>
        <v>0</v>
      </c>
      <c r="V12" s="62">
        <f t="shared" si="3"/>
        <v>0</v>
      </c>
      <c r="W12" s="62">
        <f t="shared" si="3"/>
        <v>0</v>
      </c>
      <c r="X12" s="62">
        <f t="shared" si="3"/>
        <v>0</v>
      </c>
      <c r="Y12" s="62">
        <f t="shared" si="3"/>
        <v>0</v>
      </c>
      <c r="Z12" s="63">
        <f t="shared" si="1"/>
        <v>0</v>
      </c>
    </row>
    <row r="13" s="38" customFormat="1" ht="15" customHeight="1" spans="1:26">
      <c r="A13" s="60" t="s">
        <v>1392</v>
      </c>
      <c r="B13" s="66">
        <v>6</v>
      </c>
      <c r="C13" s="62" t="e">
        <f t="shared" ref="C13:M13" si="4">C14+C15+C20+C23+C33</f>
        <v>#VALUE!</v>
      </c>
      <c r="D13" s="62" t="e">
        <f t="shared" si="4"/>
        <v>#VALUE!</v>
      </c>
      <c r="E13" s="62" t="e">
        <f t="shared" si="4"/>
        <v>#VALUE!</v>
      </c>
      <c r="F13" s="62">
        <f t="shared" si="4"/>
        <v>0</v>
      </c>
      <c r="G13" s="62" t="e">
        <f t="shared" si="4"/>
        <v>#VALUE!</v>
      </c>
      <c r="H13" s="62" t="e">
        <f t="shared" si="4"/>
        <v>#VALUE!</v>
      </c>
      <c r="I13" s="62" t="e">
        <f t="shared" si="4"/>
        <v>#VALUE!</v>
      </c>
      <c r="J13" s="62" t="e">
        <f t="shared" si="4"/>
        <v>#VALUE!</v>
      </c>
      <c r="K13" s="62" t="e">
        <f t="shared" si="4"/>
        <v>#VALUE!</v>
      </c>
      <c r="L13" s="62" t="e">
        <f t="shared" si="4"/>
        <v>#VALUE!</v>
      </c>
      <c r="M13" s="62" t="e">
        <f t="shared" si="4"/>
        <v>#VALUE!</v>
      </c>
      <c r="N13" s="63" t="e">
        <f t="shared" si="0"/>
        <v>#VALUE!</v>
      </c>
      <c r="O13" s="64" t="e">
        <f t="shared" ref="O13:Y13" si="5">O14+O15+O20+O23+O33</f>
        <v>#VALUE!</v>
      </c>
      <c r="P13" s="62" t="e">
        <f t="shared" si="5"/>
        <v>#VALUE!</v>
      </c>
      <c r="Q13" s="62" t="e">
        <f t="shared" si="5"/>
        <v>#VALUE!</v>
      </c>
      <c r="R13" s="62">
        <f t="shared" si="5"/>
        <v>0</v>
      </c>
      <c r="S13" s="62" t="e">
        <f t="shared" si="5"/>
        <v>#VALUE!</v>
      </c>
      <c r="T13" s="62" t="e">
        <f t="shared" si="5"/>
        <v>#VALUE!</v>
      </c>
      <c r="U13" s="62" t="e">
        <f t="shared" si="5"/>
        <v>#VALUE!</v>
      </c>
      <c r="V13" s="62" t="e">
        <f t="shared" si="5"/>
        <v>#VALUE!</v>
      </c>
      <c r="W13" s="62" t="e">
        <f t="shared" si="5"/>
        <v>#VALUE!</v>
      </c>
      <c r="X13" s="62" t="e">
        <f t="shared" si="5"/>
        <v>#VALUE!</v>
      </c>
      <c r="Y13" s="62" t="e">
        <f t="shared" si="5"/>
        <v>#VALUE!</v>
      </c>
      <c r="Z13" s="63" t="e">
        <f t="shared" si="1"/>
        <v>#VALUE!</v>
      </c>
    </row>
    <row r="14" s="39" customFormat="1" ht="15" customHeight="1" spans="1:26">
      <c r="A14" s="65" t="s">
        <v>1860</v>
      </c>
      <c r="B14" s="66">
        <v>7</v>
      </c>
      <c r="C14" s="67" t="s">
        <v>1394</v>
      </c>
      <c r="D14" s="67" t="s">
        <v>1395</v>
      </c>
      <c r="E14" s="67" t="s">
        <v>1861</v>
      </c>
      <c r="F14" s="67"/>
      <c r="G14" s="67" t="s">
        <v>1396</v>
      </c>
      <c r="H14" s="67" t="s">
        <v>1397</v>
      </c>
      <c r="I14" s="67" t="s">
        <v>1398</v>
      </c>
      <c r="J14" s="67" t="s">
        <v>1399</v>
      </c>
      <c r="K14" s="67" t="s">
        <v>1400</v>
      </c>
      <c r="L14" s="67" t="s">
        <v>1401</v>
      </c>
      <c r="M14" s="67" t="s">
        <v>1402</v>
      </c>
      <c r="N14" s="68" t="e">
        <f t="shared" si="0"/>
        <v>#VALUE!</v>
      </c>
      <c r="O14" s="69" t="s">
        <v>1404</v>
      </c>
      <c r="P14" s="67" t="s">
        <v>1405</v>
      </c>
      <c r="Q14" s="67" t="s">
        <v>1862</v>
      </c>
      <c r="R14" s="67"/>
      <c r="S14" s="67" t="s">
        <v>1406</v>
      </c>
      <c r="T14" s="67" t="s">
        <v>1407</v>
      </c>
      <c r="U14" s="67" t="s">
        <v>1408</v>
      </c>
      <c r="V14" s="67" t="s">
        <v>1409</v>
      </c>
      <c r="W14" s="67" t="s">
        <v>1410</v>
      </c>
      <c r="X14" s="67" t="s">
        <v>1411</v>
      </c>
      <c r="Y14" s="67" t="s">
        <v>1412</v>
      </c>
      <c r="Z14" s="68" t="e">
        <f t="shared" si="1"/>
        <v>#VALUE!</v>
      </c>
    </row>
    <row r="15" s="39" customFormat="1" ht="15" customHeight="1" spans="1:26">
      <c r="A15" s="65" t="s">
        <v>1863</v>
      </c>
      <c r="B15" s="66">
        <v>8</v>
      </c>
      <c r="C15" s="67" t="e">
        <f t="shared" ref="C15:M15" si="6">C16+C17+C18+C19</f>
        <v>#VALUE!</v>
      </c>
      <c r="D15" s="67" t="e">
        <f t="shared" si="6"/>
        <v>#VALUE!</v>
      </c>
      <c r="E15" s="67" t="e">
        <f t="shared" si="6"/>
        <v>#VALUE!</v>
      </c>
      <c r="F15" s="67">
        <f t="shared" si="6"/>
        <v>0</v>
      </c>
      <c r="G15" s="67" t="e">
        <f t="shared" si="6"/>
        <v>#VALUE!</v>
      </c>
      <c r="H15" s="67" t="e">
        <f t="shared" si="6"/>
        <v>#VALUE!</v>
      </c>
      <c r="I15" s="67" t="e">
        <f t="shared" si="6"/>
        <v>#VALUE!</v>
      </c>
      <c r="J15" s="67" t="e">
        <f t="shared" si="6"/>
        <v>#VALUE!</v>
      </c>
      <c r="K15" s="67" t="e">
        <f t="shared" si="6"/>
        <v>#VALUE!</v>
      </c>
      <c r="L15" s="67" t="e">
        <f t="shared" si="6"/>
        <v>#VALUE!</v>
      </c>
      <c r="M15" s="67" t="e">
        <f t="shared" si="6"/>
        <v>#VALUE!</v>
      </c>
      <c r="N15" s="68" t="e">
        <f t="shared" si="0"/>
        <v>#VALUE!</v>
      </c>
      <c r="O15" s="69" t="e">
        <f t="shared" ref="O15:Y15" si="7">O16+O17+O18+O19</f>
        <v>#VALUE!</v>
      </c>
      <c r="P15" s="67" t="e">
        <f t="shared" si="7"/>
        <v>#VALUE!</v>
      </c>
      <c r="Q15" s="67" t="e">
        <f t="shared" si="7"/>
        <v>#VALUE!</v>
      </c>
      <c r="R15" s="67">
        <f t="shared" si="7"/>
        <v>0</v>
      </c>
      <c r="S15" s="67" t="e">
        <f t="shared" si="7"/>
        <v>#VALUE!</v>
      </c>
      <c r="T15" s="67" t="e">
        <f t="shared" si="7"/>
        <v>#VALUE!</v>
      </c>
      <c r="U15" s="67" t="e">
        <f t="shared" si="7"/>
        <v>#VALUE!</v>
      </c>
      <c r="V15" s="67" t="e">
        <f t="shared" si="7"/>
        <v>#VALUE!</v>
      </c>
      <c r="W15" s="67" t="e">
        <f t="shared" si="7"/>
        <v>#VALUE!</v>
      </c>
      <c r="X15" s="67" t="e">
        <f t="shared" si="7"/>
        <v>#VALUE!</v>
      </c>
      <c r="Y15" s="67" t="e">
        <f t="shared" si="7"/>
        <v>#VALUE!</v>
      </c>
      <c r="Z15" s="68" t="e">
        <f t="shared" si="1"/>
        <v>#VALUE!</v>
      </c>
    </row>
    <row r="16" s="39" customFormat="1" ht="15" customHeight="1" spans="1:26">
      <c r="A16" s="70" t="s">
        <v>1864</v>
      </c>
      <c r="B16" s="66">
        <v>9</v>
      </c>
      <c r="C16" s="67" t="s">
        <v>1416</v>
      </c>
      <c r="D16" s="67" t="s">
        <v>1417</v>
      </c>
      <c r="E16" s="67" t="s">
        <v>1865</v>
      </c>
      <c r="F16" s="67"/>
      <c r="G16" s="67" t="s">
        <v>1418</v>
      </c>
      <c r="H16" s="67" t="s">
        <v>1419</v>
      </c>
      <c r="I16" s="67" t="s">
        <v>1420</v>
      </c>
      <c r="J16" s="67" t="s">
        <v>1421</v>
      </c>
      <c r="K16" s="67" t="s">
        <v>1422</v>
      </c>
      <c r="L16" s="67" t="s">
        <v>1423</v>
      </c>
      <c r="M16" s="67" t="s">
        <v>1424</v>
      </c>
      <c r="N16" s="68" t="e">
        <f t="shared" si="0"/>
        <v>#VALUE!</v>
      </c>
      <c r="O16" s="69" t="s">
        <v>1426</v>
      </c>
      <c r="P16" s="67" t="s">
        <v>1427</v>
      </c>
      <c r="Q16" s="67" t="s">
        <v>1866</v>
      </c>
      <c r="R16" s="67"/>
      <c r="S16" s="67" t="s">
        <v>1428</v>
      </c>
      <c r="T16" s="67" t="s">
        <v>1429</v>
      </c>
      <c r="U16" s="67" t="s">
        <v>1430</v>
      </c>
      <c r="V16" s="67" t="s">
        <v>1431</v>
      </c>
      <c r="W16" s="67" t="s">
        <v>1432</v>
      </c>
      <c r="X16" s="67" t="s">
        <v>1433</v>
      </c>
      <c r="Y16" s="67" t="s">
        <v>1434</v>
      </c>
      <c r="Z16" s="68" t="e">
        <f t="shared" si="1"/>
        <v>#VALUE!</v>
      </c>
    </row>
    <row r="17" s="39" customFormat="1" ht="15" customHeight="1" spans="1:26">
      <c r="A17" s="70" t="s">
        <v>1867</v>
      </c>
      <c r="B17" s="66">
        <v>10</v>
      </c>
      <c r="C17" s="67" t="s">
        <v>1437</v>
      </c>
      <c r="D17" s="67" t="s">
        <v>1438</v>
      </c>
      <c r="E17" s="67" t="s">
        <v>1868</v>
      </c>
      <c r="F17" s="67"/>
      <c r="G17" s="67" t="s">
        <v>1439</v>
      </c>
      <c r="H17" s="67" t="s">
        <v>1440</v>
      </c>
      <c r="I17" s="67" t="s">
        <v>1441</v>
      </c>
      <c r="J17" s="67" t="s">
        <v>1442</v>
      </c>
      <c r="K17" s="67" t="s">
        <v>1443</v>
      </c>
      <c r="L17" s="67" t="s">
        <v>1444</v>
      </c>
      <c r="M17" s="67" t="s">
        <v>1445</v>
      </c>
      <c r="N17" s="68" t="e">
        <f t="shared" si="0"/>
        <v>#VALUE!</v>
      </c>
      <c r="O17" s="69" t="s">
        <v>1447</v>
      </c>
      <c r="P17" s="67" t="s">
        <v>1448</v>
      </c>
      <c r="Q17" s="67" t="s">
        <v>1869</v>
      </c>
      <c r="R17" s="67"/>
      <c r="S17" s="67" t="s">
        <v>1449</v>
      </c>
      <c r="T17" s="67" t="s">
        <v>1450</v>
      </c>
      <c r="U17" s="67" t="s">
        <v>1451</v>
      </c>
      <c r="V17" s="67" t="s">
        <v>1452</v>
      </c>
      <c r="W17" s="67" t="s">
        <v>1453</v>
      </c>
      <c r="X17" s="67" t="s">
        <v>1454</v>
      </c>
      <c r="Y17" s="67" t="s">
        <v>1455</v>
      </c>
      <c r="Z17" s="68" t="e">
        <f t="shared" si="1"/>
        <v>#VALUE!</v>
      </c>
    </row>
    <row r="18" s="39" customFormat="1" ht="15" customHeight="1" spans="1:26">
      <c r="A18" s="70" t="s">
        <v>1870</v>
      </c>
      <c r="B18" s="66">
        <v>11</v>
      </c>
      <c r="C18" s="67" t="s">
        <v>1458</v>
      </c>
      <c r="D18" s="67" t="s">
        <v>1459</v>
      </c>
      <c r="E18" s="67" t="s">
        <v>1871</v>
      </c>
      <c r="F18" s="67"/>
      <c r="G18" s="67" t="s">
        <v>1460</v>
      </c>
      <c r="H18" s="67" t="s">
        <v>1461</v>
      </c>
      <c r="I18" s="67" t="s">
        <v>1462</v>
      </c>
      <c r="J18" s="67" t="s">
        <v>1463</v>
      </c>
      <c r="K18" s="67" t="s">
        <v>1464</v>
      </c>
      <c r="L18" s="67" t="s">
        <v>1465</v>
      </c>
      <c r="M18" s="67" t="s">
        <v>1466</v>
      </c>
      <c r="N18" s="68" t="e">
        <f t="shared" si="0"/>
        <v>#VALUE!</v>
      </c>
      <c r="O18" s="69" t="s">
        <v>1468</v>
      </c>
      <c r="P18" s="67" t="s">
        <v>1469</v>
      </c>
      <c r="Q18" s="67" t="s">
        <v>1872</v>
      </c>
      <c r="R18" s="67"/>
      <c r="S18" s="67" t="s">
        <v>1470</v>
      </c>
      <c r="T18" s="67" t="s">
        <v>1471</v>
      </c>
      <c r="U18" s="67" t="s">
        <v>1472</v>
      </c>
      <c r="V18" s="67" t="s">
        <v>1473</v>
      </c>
      <c r="W18" s="67" t="s">
        <v>1474</v>
      </c>
      <c r="X18" s="67" t="s">
        <v>1475</v>
      </c>
      <c r="Y18" s="67" t="s">
        <v>1476</v>
      </c>
      <c r="Z18" s="68" t="e">
        <f t="shared" si="1"/>
        <v>#VALUE!</v>
      </c>
    </row>
    <row r="19" s="39" customFormat="1" ht="15" customHeight="1" spans="1:26">
      <c r="A19" s="70" t="s">
        <v>1873</v>
      </c>
      <c r="B19" s="66">
        <v>12</v>
      </c>
      <c r="C19" s="71" t="s">
        <v>1479</v>
      </c>
      <c r="D19" s="71" t="s">
        <v>1480</v>
      </c>
      <c r="E19" s="71" t="s">
        <v>1874</v>
      </c>
      <c r="F19" s="71"/>
      <c r="G19" s="71" t="s">
        <v>1481</v>
      </c>
      <c r="H19" s="71" t="s">
        <v>1482</v>
      </c>
      <c r="I19" s="71" t="s">
        <v>1483</v>
      </c>
      <c r="J19" s="71" t="s">
        <v>1484</v>
      </c>
      <c r="K19" s="71" t="s">
        <v>1485</v>
      </c>
      <c r="L19" s="71" t="s">
        <v>1486</v>
      </c>
      <c r="M19" s="71" t="s">
        <v>1487</v>
      </c>
      <c r="N19" s="68" t="e">
        <f t="shared" si="0"/>
        <v>#VALUE!</v>
      </c>
      <c r="O19" s="72" t="s">
        <v>1489</v>
      </c>
      <c r="P19" s="71" t="s">
        <v>1490</v>
      </c>
      <c r="Q19" s="71" t="s">
        <v>1875</v>
      </c>
      <c r="R19" s="71"/>
      <c r="S19" s="71" t="s">
        <v>1491</v>
      </c>
      <c r="T19" s="71" t="s">
        <v>1492</v>
      </c>
      <c r="U19" s="71" t="s">
        <v>1493</v>
      </c>
      <c r="V19" s="71" t="s">
        <v>1494</v>
      </c>
      <c r="W19" s="71" t="s">
        <v>1495</v>
      </c>
      <c r="X19" s="71" t="s">
        <v>1496</v>
      </c>
      <c r="Y19" s="71" t="s">
        <v>1497</v>
      </c>
      <c r="Z19" s="68" t="e">
        <f t="shared" si="1"/>
        <v>#VALUE!</v>
      </c>
    </row>
    <row r="20" s="39" customFormat="1" ht="15" customHeight="1" spans="1:26">
      <c r="A20" s="65" t="s">
        <v>1876</v>
      </c>
      <c r="B20" s="66">
        <v>13</v>
      </c>
      <c r="C20" s="67" t="e">
        <f t="shared" ref="C20:M20" si="8">C21+C22</f>
        <v>#VALUE!</v>
      </c>
      <c r="D20" s="67" t="e">
        <f t="shared" si="8"/>
        <v>#VALUE!</v>
      </c>
      <c r="E20" s="67" t="e">
        <f t="shared" si="8"/>
        <v>#VALUE!</v>
      </c>
      <c r="F20" s="67">
        <f t="shared" si="8"/>
        <v>0</v>
      </c>
      <c r="G20" s="67" t="e">
        <f t="shared" si="8"/>
        <v>#VALUE!</v>
      </c>
      <c r="H20" s="67" t="e">
        <f t="shared" si="8"/>
        <v>#VALUE!</v>
      </c>
      <c r="I20" s="67" t="e">
        <f t="shared" si="8"/>
        <v>#VALUE!</v>
      </c>
      <c r="J20" s="67" t="e">
        <f t="shared" si="8"/>
        <v>#VALUE!</v>
      </c>
      <c r="K20" s="67" t="e">
        <f t="shared" si="8"/>
        <v>#VALUE!</v>
      </c>
      <c r="L20" s="67" t="e">
        <f t="shared" si="8"/>
        <v>#VALUE!</v>
      </c>
      <c r="M20" s="67" t="e">
        <f t="shared" si="8"/>
        <v>#VALUE!</v>
      </c>
      <c r="N20" s="68" t="e">
        <f t="shared" si="0"/>
        <v>#VALUE!</v>
      </c>
      <c r="O20" s="69" t="e">
        <f t="shared" ref="O20:Y20" si="9">O21+O22</f>
        <v>#VALUE!</v>
      </c>
      <c r="P20" s="67" t="e">
        <f t="shared" si="9"/>
        <v>#VALUE!</v>
      </c>
      <c r="Q20" s="67" t="e">
        <f t="shared" si="9"/>
        <v>#VALUE!</v>
      </c>
      <c r="R20" s="67">
        <f t="shared" si="9"/>
        <v>0</v>
      </c>
      <c r="S20" s="67" t="e">
        <f t="shared" si="9"/>
        <v>#VALUE!</v>
      </c>
      <c r="T20" s="67" t="e">
        <f t="shared" si="9"/>
        <v>#VALUE!</v>
      </c>
      <c r="U20" s="67" t="e">
        <f t="shared" si="9"/>
        <v>#VALUE!</v>
      </c>
      <c r="V20" s="67" t="e">
        <f t="shared" si="9"/>
        <v>#VALUE!</v>
      </c>
      <c r="W20" s="67" t="e">
        <f t="shared" si="9"/>
        <v>#VALUE!</v>
      </c>
      <c r="X20" s="67" t="e">
        <f t="shared" si="9"/>
        <v>#VALUE!</v>
      </c>
      <c r="Y20" s="67" t="e">
        <f t="shared" si="9"/>
        <v>#VALUE!</v>
      </c>
      <c r="Z20" s="68" t="e">
        <f t="shared" si="1"/>
        <v>#VALUE!</v>
      </c>
    </row>
    <row r="21" s="39" customFormat="1" ht="15" customHeight="1" spans="1:26">
      <c r="A21" s="70" t="s">
        <v>1877</v>
      </c>
      <c r="B21" s="66">
        <v>14</v>
      </c>
      <c r="C21" s="67" t="s">
        <v>1501</v>
      </c>
      <c r="D21" s="67" t="s">
        <v>1502</v>
      </c>
      <c r="E21" s="67" t="s">
        <v>1878</v>
      </c>
      <c r="F21" s="67"/>
      <c r="G21" s="67" t="s">
        <v>1503</v>
      </c>
      <c r="H21" s="67" t="s">
        <v>1504</v>
      </c>
      <c r="I21" s="67" t="s">
        <v>1505</v>
      </c>
      <c r="J21" s="67" t="s">
        <v>1506</v>
      </c>
      <c r="K21" s="67" t="s">
        <v>1507</v>
      </c>
      <c r="L21" s="67" t="s">
        <v>1508</v>
      </c>
      <c r="M21" s="67" t="s">
        <v>1509</v>
      </c>
      <c r="N21" s="68" t="e">
        <f t="shared" si="0"/>
        <v>#VALUE!</v>
      </c>
      <c r="O21" s="69" t="s">
        <v>1511</v>
      </c>
      <c r="P21" s="67" t="s">
        <v>1512</v>
      </c>
      <c r="Q21" s="67" t="s">
        <v>1879</v>
      </c>
      <c r="R21" s="67"/>
      <c r="S21" s="67" t="s">
        <v>1513</v>
      </c>
      <c r="T21" s="67" t="s">
        <v>1514</v>
      </c>
      <c r="U21" s="67" t="s">
        <v>1515</v>
      </c>
      <c r="V21" s="67" t="s">
        <v>1516</v>
      </c>
      <c r="W21" s="67" t="s">
        <v>1517</v>
      </c>
      <c r="X21" s="67" t="s">
        <v>1518</v>
      </c>
      <c r="Y21" s="67" t="s">
        <v>1519</v>
      </c>
      <c r="Z21" s="68" t="e">
        <f t="shared" si="1"/>
        <v>#VALUE!</v>
      </c>
    </row>
    <row r="22" s="39" customFormat="1" ht="15" customHeight="1" spans="1:26">
      <c r="A22" s="70" t="s">
        <v>1880</v>
      </c>
      <c r="B22" s="66">
        <v>15</v>
      </c>
      <c r="C22" s="67" t="s">
        <v>1522</v>
      </c>
      <c r="D22" s="67" t="s">
        <v>1523</v>
      </c>
      <c r="E22" s="67" t="s">
        <v>1881</v>
      </c>
      <c r="F22" s="67"/>
      <c r="G22" s="67" t="s">
        <v>1524</v>
      </c>
      <c r="H22" s="67" t="s">
        <v>1525</v>
      </c>
      <c r="I22" s="67" t="s">
        <v>1526</v>
      </c>
      <c r="J22" s="67" t="s">
        <v>1527</v>
      </c>
      <c r="K22" s="67" t="s">
        <v>1528</v>
      </c>
      <c r="L22" s="67" t="s">
        <v>1529</v>
      </c>
      <c r="M22" s="67" t="s">
        <v>1530</v>
      </c>
      <c r="N22" s="68" t="e">
        <f t="shared" si="0"/>
        <v>#VALUE!</v>
      </c>
      <c r="O22" s="69" t="s">
        <v>1532</v>
      </c>
      <c r="P22" s="67" t="s">
        <v>1533</v>
      </c>
      <c r="Q22" s="67" t="s">
        <v>1882</v>
      </c>
      <c r="R22" s="67"/>
      <c r="S22" s="67" t="s">
        <v>1534</v>
      </c>
      <c r="T22" s="67" t="s">
        <v>1535</v>
      </c>
      <c r="U22" s="67" t="s">
        <v>1536</v>
      </c>
      <c r="V22" s="67" t="s">
        <v>1537</v>
      </c>
      <c r="W22" s="67" t="s">
        <v>1538</v>
      </c>
      <c r="X22" s="67" t="s">
        <v>1539</v>
      </c>
      <c r="Y22" s="67" t="s">
        <v>1540</v>
      </c>
      <c r="Z22" s="68" t="e">
        <f t="shared" si="1"/>
        <v>#VALUE!</v>
      </c>
    </row>
    <row r="23" s="39" customFormat="1" ht="15" customHeight="1" spans="1:26">
      <c r="A23" s="65" t="s">
        <v>1883</v>
      </c>
      <c r="B23" s="66">
        <v>16</v>
      </c>
      <c r="C23" s="67" t="e">
        <f t="shared" ref="C23:M23" si="10">C24+C30+C31+C32</f>
        <v>#VALUE!</v>
      </c>
      <c r="D23" s="67" t="e">
        <f t="shared" si="10"/>
        <v>#VALUE!</v>
      </c>
      <c r="E23" s="67" t="e">
        <f t="shared" si="10"/>
        <v>#VALUE!</v>
      </c>
      <c r="F23" s="67">
        <f t="shared" si="10"/>
        <v>0</v>
      </c>
      <c r="G23" s="67" t="e">
        <f t="shared" si="10"/>
        <v>#VALUE!</v>
      </c>
      <c r="H23" s="67" t="e">
        <f t="shared" si="10"/>
        <v>#VALUE!</v>
      </c>
      <c r="I23" s="67" t="e">
        <f t="shared" si="10"/>
        <v>#VALUE!</v>
      </c>
      <c r="J23" s="67" t="e">
        <f t="shared" si="10"/>
        <v>#VALUE!</v>
      </c>
      <c r="K23" s="67" t="e">
        <f t="shared" si="10"/>
        <v>#VALUE!</v>
      </c>
      <c r="L23" s="67" t="e">
        <f t="shared" si="10"/>
        <v>#VALUE!</v>
      </c>
      <c r="M23" s="67" t="e">
        <f t="shared" si="10"/>
        <v>#VALUE!</v>
      </c>
      <c r="N23" s="68" t="e">
        <f t="shared" si="0"/>
        <v>#VALUE!</v>
      </c>
      <c r="O23" s="69" t="e">
        <f t="shared" ref="O23:Y23" si="11">O24+O30+O31+O32</f>
        <v>#VALUE!</v>
      </c>
      <c r="P23" s="67" t="e">
        <f t="shared" si="11"/>
        <v>#VALUE!</v>
      </c>
      <c r="Q23" s="67" t="e">
        <f t="shared" si="11"/>
        <v>#VALUE!</v>
      </c>
      <c r="R23" s="67">
        <f t="shared" si="11"/>
        <v>0</v>
      </c>
      <c r="S23" s="67" t="e">
        <f t="shared" si="11"/>
        <v>#VALUE!</v>
      </c>
      <c r="T23" s="67" t="e">
        <f t="shared" si="11"/>
        <v>#VALUE!</v>
      </c>
      <c r="U23" s="67" t="e">
        <f t="shared" si="11"/>
        <v>#VALUE!</v>
      </c>
      <c r="V23" s="67" t="e">
        <f t="shared" si="11"/>
        <v>#VALUE!</v>
      </c>
      <c r="W23" s="67" t="e">
        <f t="shared" si="11"/>
        <v>#VALUE!</v>
      </c>
      <c r="X23" s="67" t="e">
        <f t="shared" si="11"/>
        <v>#VALUE!</v>
      </c>
      <c r="Y23" s="67" t="e">
        <f t="shared" si="11"/>
        <v>#VALUE!</v>
      </c>
      <c r="Z23" s="68" t="e">
        <f t="shared" si="1"/>
        <v>#VALUE!</v>
      </c>
    </row>
    <row r="24" s="39" customFormat="1" ht="15" customHeight="1" spans="1:26">
      <c r="A24" s="70" t="s">
        <v>1884</v>
      </c>
      <c r="B24" s="66">
        <v>17</v>
      </c>
      <c r="C24" s="67" t="s">
        <v>1544</v>
      </c>
      <c r="D24" s="67" t="s">
        <v>1545</v>
      </c>
      <c r="E24" s="67" t="s">
        <v>1885</v>
      </c>
      <c r="F24" s="67"/>
      <c r="G24" s="67" t="s">
        <v>1546</v>
      </c>
      <c r="H24" s="67" t="s">
        <v>1547</v>
      </c>
      <c r="I24" s="67" t="s">
        <v>1548</v>
      </c>
      <c r="J24" s="67" t="s">
        <v>1549</v>
      </c>
      <c r="K24" s="67" t="s">
        <v>1550</v>
      </c>
      <c r="L24" s="67" t="s">
        <v>1551</v>
      </c>
      <c r="M24" s="67" t="s">
        <v>1552</v>
      </c>
      <c r="N24" s="68" t="e">
        <f t="shared" si="0"/>
        <v>#VALUE!</v>
      </c>
      <c r="O24" s="69" t="s">
        <v>1554</v>
      </c>
      <c r="P24" s="67" t="s">
        <v>1555</v>
      </c>
      <c r="Q24" s="67" t="s">
        <v>1886</v>
      </c>
      <c r="R24" s="67"/>
      <c r="S24" s="67" t="s">
        <v>1556</v>
      </c>
      <c r="T24" s="67" t="s">
        <v>1557</v>
      </c>
      <c r="U24" s="67" t="s">
        <v>1558</v>
      </c>
      <c r="V24" s="67" t="s">
        <v>1559</v>
      </c>
      <c r="W24" s="67" t="s">
        <v>1560</v>
      </c>
      <c r="X24" s="67" t="s">
        <v>1561</v>
      </c>
      <c r="Y24" s="67" t="s">
        <v>1562</v>
      </c>
      <c r="Z24" s="68" t="e">
        <f t="shared" si="1"/>
        <v>#VALUE!</v>
      </c>
    </row>
    <row r="25" s="39" customFormat="1" ht="15" customHeight="1" spans="1:26">
      <c r="A25" s="65" t="s">
        <v>1887</v>
      </c>
      <c r="B25" s="66">
        <v>18</v>
      </c>
      <c r="C25" s="67" t="s">
        <v>1565</v>
      </c>
      <c r="D25" s="67" t="s">
        <v>1566</v>
      </c>
      <c r="E25" s="67" t="s">
        <v>1888</v>
      </c>
      <c r="F25" s="67"/>
      <c r="G25" s="67" t="s">
        <v>1567</v>
      </c>
      <c r="H25" s="67" t="s">
        <v>1568</v>
      </c>
      <c r="I25" s="67" t="s">
        <v>1569</v>
      </c>
      <c r="J25" s="67" t="s">
        <v>1570</v>
      </c>
      <c r="K25" s="67" t="s">
        <v>1571</v>
      </c>
      <c r="L25" s="67" t="s">
        <v>1572</v>
      </c>
      <c r="M25" s="67" t="s">
        <v>1573</v>
      </c>
      <c r="N25" s="68" t="e">
        <f t="shared" si="0"/>
        <v>#VALUE!</v>
      </c>
      <c r="O25" s="69" t="s">
        <v>1575</v>
      </c>
      <c r="P25" s="67" t="s">
        <v>1576</v>
      </c>
      <c r="Q25" s="67" t="s">
        <v>1889</v>
      </c>
      <c r="R25" s="67"/>
      <c r="S25" s="67" t="s">
        <v>1577</v>
      </c>
      <c r="T25" s="67" t="s">
        <v>1578</v>
      </c>
      <c r="U25" s="67" t="s">
        <v>1579</v>
      </c>
      <c r="V25" s="67" t="s">
        <v>1580</v>
      </c>
      <c r="W25" s="67" t="s">
        <v>1581</v>
      </c>
      <c r="X25" s="67" t="s">
        <v>1582</v>
      </c>
      <c r="Y25" s="67" t="s">
        <v>1583</v>
      </c>
      <c r="Z25" s="68" t="e">
        <f t="shared" si="1"/>
        <v>#VALUE!</v>
      </c>
    </row>
    <row r="26" s="39" customFormat="1" ht="15" customHeight="1" spans="1:26">
      <c r="A26" s="65" t="s">
        <v>1890</v>
      </c>
      <c r="B26" s="66">
        <v>19</v>
      </c>
      <c r="C26" s="67" t="s">
        <v>1586</v>
      </c>
      <c r="D26" s="67" t="s">
        <v>1587</v>
      </c>
      <c r="E26" s="67" t="s">
        <v>1891</v>
      </c>
      <c r="F26" s="67"/>
      <c r="G26" s="67" t="s">
        <v>1588</v>
      </c>
      <c r="H26" s="67" t="s">
        <v>1589</v>
      </c>
      <c r="I26" s="67" t="s">
        <v>1590</v>
      </c>
      <c r="J26" s="67" t="s">
        <v>1591</v>
      </c>
      <c r="K26" s="67" t="s">
        <v>1592</v>
      </c>
      <c r="L26" s="67" t="s">
        <v>1593</v>
      </c>
      <c r="M26" s="67" t="s">
        <v>1594</v>
      </c>
      <c r="N26" s="68" t="e">
        <f t="shared" si="0"/>
        <v>#VALUE!</v>
      </c>
      <c r="O26" s="69" t="s">
        <v>1596</v>
      </c>
      <c r="P26" s="67" t="s">
        <v>1597</v>
      </c>
      <c r="Q26" s="67" t="s">
        <v>1892</v>
      </c>
      <c r="R26" s="67"/>
      <c r="S26" s="67" t="s">
        <v>1598</v>
      </c>
      <c r="T26" s="67" t="s">
        <v>1599</v>
      </c>
      <c r="U26" s="67" t="s">
        <v>1600</v>
      </c>
      <c r="V26" s="67" t="s">
        <v>1601</v>
      </c>
      <c r="W26" s="67" t="s">
        <v>1602</v>
      </c>
      <c r="X26" s="67" t="s">
        <v>1603</v>
      </c>
      <c r="Y26" s="67" t="s">
        <v>1604</v>
      </c>
      <c r="Z26" s="68" t="e">
        <f t="shared" si="1"/>
        <v>#VALUE!</v>
      </c>
    </row>
    <row r="27" s="39" customFormat="1" ht="15" customHeight="1" spans="1:26">
      <c r="A27" s="65" t="s">
        <v>1606</v>
      </c>
      <c r="B27" s="66">
        <v>20</v>
      </c>
      <c r="C27" s="67" t="s">
        <v>1607</v>
      </c>
      <c r="D27" s="67" t="s">
        <v>1608</v>
      </c>
      <c r="E27" s="67" t="s">
        <v>1893</v>
      </c>
      <c r="F27" s="67"/>
      <c r="G27" s="67" t="s">
        <v>1609</v>
      </c>
      <c r="H27" s="67" t="s">
        <v>1610</v>
      </c>
      <c r="I27" s="67" t="s">
        <v>1611</v>
      </c>
      <c r="J27" s="67" t="s">
        <v>1612</v>
      </c>
      <c r="K27" s="67" t="s">
        <v>1613</v>
      </c>
      <c r="L27" s="67" t="s">
        <v>1614</v>
      </c>
      <c r="M27" s="67" t="s">
        <v>1615</v>
      </c>
      <c r="N27" s="68" t="e">
        <f t="shared" si="0"/>
        <v>#VALUE!</v>
      </c>
      <c r="O27" s="69" t="s">
        <v>1617</v>
      </c>
      <c r="P27" s="67" t="s">
        <v>1618</v>
      </c>
      <c r="Q27" s="67" t="s">
        <v>1894</v>
      </c>
      <c r="R27" s="67"/>
      <c r="S27" s="67" t="s">
        <v>1619</v>
      </c>
      <c r="T27" s="67" t="s">
        <v>1620</v>
      </c>
      <c r="U27" s="67" t="s">
        <v>1621</v>
      </c>
      <c r="V27" s="67" t="s">
        <v>1622</v>
      </c>
      <c r="W27" s="67" t="s">
        <v>1623</v>
      </c>
      <c r="X27" s="67" t="s">
        <v>1624</v>
      </c>
      <c r="Y27" s="67" t="s">
        <v>1625</v>
      </c>
      <c r="Z27" s="68" t="e">
        <f t="shared" si="1"/>
        <v>#VALUE!</v>
      </c>
    </row>
    <row r="28" s="39" customFormat="1" ht="15" customHeight="1" spans="1:26">
      <c r="A28" s="65" t="s">
        <v>1895</v>
      </c>
      <c r="B28" s="66">
        <v>21</v>
      </c>
      <c r="C28" s="67" t="s">
        <v>1628</v>
      </c>
      <c r="D28" s="67" t="s">
        <v>1629</v>
      </c>
      <c r="E28" s="67" t="s">
        <v>1896</v>
      </c>
      <c r="F28" s="67"/>
      <c r="G28" s="67" t="s">
        <v>1630</v>
      </c>
      <c r="H28" s="67" t="s">
        <v>1631</v>
      </c>
      <c r="I28" s="67" t="s">
        <v>1632</v>
      </c>
      <c r="J28" s="67" t="s">
        <v>1633</v>
      </c>
      <c r="K28" s="67" t="s">
        <v>1634</v>
      </c>
      <c r="L28" s="67" t="s">
        <v>1635</v>
      </c>
      <c r="M28" s="67" t="s">
        <v>1636</v>
      </c>
      <c r="N28" s="68" t="e">
        <f t="shared" si="0"/>
        <v>#VALUE!</v>
      </c>
      <c r="O28" s="69" t="s">
        <v>1638</v>
      </c>
      <c r="P28" s="67" t="s">
        <v>1639</v>
      </c>
      <c r="Q28" s="67" t="s">
        <v>1897</v>
      </c>
      <c r="R28" s="67"/>
      <c r="S28" s="67" t="s">
        <v>1640</v>
      </c>
      <c r="T28" s="67" t="s">
        <v>1641</v>
      </c>
      <c r="U28" s="67" t="s">
        <v>1642</v>
      </c>
      <c r="V28" s="67" t="s">
        <v>1643</v>
      </c>
      <c r="W28" s="67" t="s">
        <v>1644</v>
      </c>
      <c r="X28" s="67" t="s">
        <v>1645</v>
      </c>
      <c r="Y28" s="67" t="s">
        <v>1646</v>
      </c>
      <c r="Z28" s="68" t="e">
        <f t="shared" si="1"/>
        <v>#VALUE!</v>
      </c>
    </row>
    <row r="29" s="39" customFormat="1" ht="15" customHeight="1" spans="1:26">
      <c r="A29" s="65" t="s">
        <v>1898</v>
      </c>
      <c r="B29" s="66">
        <v>22</v>
      </c>
      <c r="C29" s="67" t="s">
        <v>1649</v>
      </c>
      <c r="D29" s="67" t="s">
        <v>1650</v>
      </c>
      <c r="E29" s="67" t="s">
        <v>1899</v>
      </c>
      <c r="F29" s="67"/>
      <c r="G29" s="67" t="s">
        <v>1651</v>
      </c>
      <c r="H29" s="67" t="s">
        <v>1652</v>
      </c>
      <c r="I29" s="67" t="s">
        <v>1653</v>
      </c>
      <c r="J29" s="67" t="s">
        <v>1654</v>
      </c>
      <c r="K29" s="67" t="s">
        <v>1655</v>
      </c>
      <c r="L29" s="67" t="s">
        <v>1656</v>
      </c>
      <c r="M29" s="67" t="s">
        <v>1657</v>
      </c>
      <c r="N29" s="68" t="e">
        <f t="shared" si="0"/>
        <v>#VALUE!</v>
      </c>
      <c r="O29" s="69" t="s">
        <v>1659</v>
      </c>
      <c r="P29" s="67" t="s">
        <v>1660</v>
      </c>
      <c r="Q29" s="67" t="s">
        <v>1900</v>
      </c>
      <c r="R29" s="67"/>
      <c r="S29" s="67" t="s">
        <v>1661</v>
      </c>
      <c r="T29" s="67" t="s">
        <v>1662</v>
      </c>
      <c r="U29" s="67" t="s">
        <v>1663</v>
      </c>
      <c r="V29" s="67" t="s">
        <v>1664</v>
      </c>
      <c r="W29" s="67" t="s">
        <v>1665</v>
      </c>
      <c r="X29" s="67" t="s">
        <v>1666</v>
      </c>
      <c r="Y29" s="67" t="s">
        <v>1667</v>
      </c>
      <c r="Z29" s="68" t="e">
        <f t="shared" si="1"/>
        <v>#VALUE!</v>
      </c>
    </row>
    <row r="30" s="39" customFormat="1" ht="15" customHeight="1" spans="1:26">
      <c r="A30" s="65" t="s">
        <v>1901</v>
      </c>
      <c r="B30" s="66">
        <v>23</v>
      </c>
      <c r="C30" s="67" t="s">
        <v>1670</v>
      </c>
      <c r="D30" s="67" t="s">
        <v>1671</v>
      </c>
      <c r="E30" s="67" t="s">
        <v>1902</v>
      </c>
      <c r="F30" s="67"/>
      <c r="G30" s="67" t="s">
        <v>1672</v>
      </c>
      <c r="H30" s="67" t="s">
        <v>1673</v>
      </c>
      <c r="I30" s="67" t="s">
        <v>1674</v>
      </c>
      <c r="J30" s="67" t="s">
        <v>1675</v>
      </c>
      <c r="K30" s="67" t="s">
        <v>1676</v>
      </c>
      <c r="L30" s="67" t="s">
        <v>1677</v>
      </c>
      <c r="M30" s="67" t="s">
        <v>1678</v>
      </c>
      <c r="N30" s="68" t="e">
        <f t="shared" si="0"/>
        <v>#VALUE!</v>
      </c>
      <c r="O30" s="69" t="s">
        <v>1680</v>
      </c>
      <c r="P30" s="67" t="s">
        <v>1681</v>
      </c>
      <c r="Q30" s="67" t="s">
        <v>1903</v>
      </c>
      <c r="R30" s="67"/>
      <c r="S30" s="67" t="s">
        <v>1682</v>
      </c>
      <c r="T30" s="67" t="s">
        <v>1683</v>
      </c>
      <c r="U30" s="67" t="s">
        <v>1684</v>
      </c>
      <c r="V30" s="67" t="s">
        <v>1685</v>
      </c>
      <c r="W30" s="67" t="s">
        <v>1686</v>
      </c>
      <c r="X30" s="67" t="s">
        <v>1687</v>
      </c>
      <c r="Y30" s="67" t="s">
        <v>1688</v>
      </c>
      <c r="Z30" s="68" t="e">
        <f t="shared" si="1"/>
        <v>#VALUE!</v>
      </c>
    </row>
    <row r="31" s="39" customFormat="1" ht="15" customHeight="1" spans="1:26">
      <c r="A31" s="70" t="s">
        <v>1904</v>
      </c>
      <c r="B31" s="66">
        <v>24</v>
      </c>
      <c r="C31" s="67" t="s">
        <v>1691</v>
      </c>
      <c r="D31" s="67" t="s">
        <v>1692</v>
      </c>
      <c r="E31" s="67" t="s">
        <v>1905</v>
      </c>
      <c r="F31" s="67"/>
      <c r="G31" s="67" t="s">
        <v>1693</v>
      </c>
      <c r="H31" s="67" t="s">
        <v>1694</v>
      </c>
      <c r="I31" s="67" t="s">
        <v>1695</v>
      </c>
      <c r="J31" s="67" t="s">
        <v>1696</v>
      </c>
      <c r="K31" s="67" t="s">
        <v>1697</v>
      </c>
      <c r="L31" s="67" t="s">
        <v>1698</v>
      </c>
      <c r="M31" s="67" t="s">
        <v>1699</v>
      </c>
      <c r="N31" s="68" t="e">
        <f t="shared" si="0"/>
        <v>#VALUE!</v>
      </c>
      <c r="O31" s="69" t="s">
        <v>1701</v>
      </c>
      <c r="P31" s="67" t="s">
        <v>1702</v>
      </c>
      <c r="Q31" s="67" t="s">
        <v>1906</v>
      </c>
      <c r="R31" s="67"/>
      <c r="S31" s="67" t="s">
        <v>1703</v>
      </c>
      <c r="T31" s="67" t="s">
        <v>1704</v>
      </c>
      <c r="U31" s="67" t="s">
        <v>1705</v>
      </c>
      <c r="V31" s="67" t="s">
        <v>1706</v>
      </c>
      <c r="W31" s="67" t="s">
        <v>1707</v>
      </c>
      <c r="X31" s="67" t="s">
        <v>1708</v>
      </c>
      <c r="Y31" s="67" t="s">
        <v>1709</v>
      </c>
      <c r="Z31" s="68" t="e">
        <f t="shared" si="1"/>
        <v>#VALUE!</v>
      </c>
    </row>
    <row r="32" s="39" customFormat="1" ht="15" customHeight="1" spans="1:26">
      <c r="A32" s="70" t="s">
        <v>1873</v>
      </c>
      <c r="B32" s="66">
        <v>25</v>
      </c>
      <c r="C32" s="67" t="s">
        <v>1479</v>
      </c>
      <c r="D32" s="67" t="s">
        <v>1480</v>
      </c>
      <c r="E32" s="67" t="s">
        <v>1874</v>
      </c>
      <c r="F32" s="67"/>
      <c r="G32" s="67" t="s">
        <v>1481</v>
      </c>
      <c r="H32" s="67" t="s">
        <v>1482</v>
      </c>
      <c r="I32" s="67" t="s">
        <v>1483</v>
      </c>
      <c r="J32" s="67" t="s">
        <v>1484</v>
      </c>
      <c r="K32" s="67" t="s">
        <v>1485</v>
      </c>
      <c r="L32" s="67" t="s">
        <v>1486</v>
      </c>
      <c r="M32" s="67" t="s">
        <v>1487</v>
      </c>
      <c r="N32" s="68" t="e">
        <f t="shared" si="0"/>
        <v>#VALUE!</v>
      </c>
      <c r="O32" s="69" t="s">
        <v>1489</v>
      </c>
      <c r="P32" s="67" t="s">
        <v>1490</v>
      </c>
      <c r="Q32" s="67" t="s">
        <v>1875</v>
      </c>
      <c r="R32" s="67"/>
      <c r="S32" s="67" t="s">
        <v>1491</v>
      </c>
      <c r="T32" s="67" t="s">
        <v>1492</v>
      </c>
      <c r="U32" s="67" t="s">
        <v>1493</v>
      </c>
      <c r="V32" s="67" t="s">
        <v>1494</v>
      </c>
      <c r="W32" s="67" t="s">
        <v>1495</v>
      </c>
      <c r="X32" s="67" t="s">
        <v>1496</v>
      </c>
      <c r="Y32" s="67" t="s">
        <v>1497</v>
      </c>
      <c r="Z32" s="68" t="e">
        <f t="shared" si="1"/>
        <v>#VALUE!</v>
      </c>
    </row>
    <row r="33" s="39" customFormat="1" ht="15" customHeight="1" spans="1:26">
      <c r="A33" s="65" t="s">
        <v>1907</v>
      </c>
      <c r="B33" s="66">
        <v>26</v>
      </c>
      <c r="C33" s="67">
        <f t="shared" ref="C33:Z33" si="12">SUM(C34:C39)</f>
        <v>0</v>
      </c>
      <c r="D33" s="67">
        <f t="shared" si="12"/>
        <v>0</v>
      </c>
      <c r="E33" s="67">
        <f t="shared" si="12"/>
        <v>0</v>
      </c>
      <c r="F33" s="67">
        <f t="shared" si="12"/>
        <v>0</v>
      </c>
      <c r="G33" s="67">
        <f t="shared" si="12"/>
        <v>0</v>
      </c>
      <c r="H33" s="67">
        <f t="shared" si="12"/>
        <v>0</v>
      </c>
      <c r="I33" s="67">
        <f t="shared" si="12"/>
        <v>0</v>
      </c>
      <c r="J33" s="67">
        <f t="shared" si="12"/>
        <v>0</v>
      </c>
      <c r="K33" s="67">
        <f t="shared" si="12"/>
        <v>0</v>
      </c>
      <c r="L33" s="67">
        <f t="shared" si="12"/>
        <v>0</v>
      </c>
      <c r="M33" s="67">
        <f t="shared" si="12"/>
        <v>0</v>
      </c>
      <c r="N33" s="68" t="e">
        <f t="shared" si="12"/>
        <v>#VALUE!</v>
      </c>
      <c r="O33" s="69">
        <f t="shared" si="12"/>
        <v>0</v>
      </c>
      <c r="P33" s="67">
        <f t="shared" si="12"/>
        <v>0</v>
      </c>
      <c r="Q33" s="67">
        <f t="shared" si="12"/>
        <v>0</v>
      </c>
      <c r="R33" s="67">
        <f t="shared" si="12"/>
        <v>0</v>
      </c>
      <c r="S33" s="67">
        <f t="shared" si="12"/>
        <v>0</v>
      </c>
      <c r="T33" s="67">
        <f t="shared" si="12"/>
        <v>0</v>
      </c>
      <c r="U33" s="67">
        <f t="shared" si="12"/>
        <v>0</v>
      </c>
      <c r="V33" s="67">
        <f t="shared" si="12"/>
        <v>0</v>
      </c>
      <c r="W33" s="67">
        <f t="shared" si="12"/>
        <v>0</v>
      </c>
      <c r="X33" s="67">
        <f t="shared" si="12"/>
        <v>0</v>
      </c>
      <c r="Y33" s="67">
        <f t="shared" si="12"/>
        <v>0</v>
      </c>
      <c r="Z33" s="68" t="e">
        <f t="shared" si="12"/>
        <v>#VALUE!</v>
      </c>
    </row>
    <row r="34" s="39" customFormat="1" ht="15" customHeight="1" spans="1:26">
      <c r="A34" s="70" t="s">
        <v>1908</v>
      </c>
      <c r="B34" s="66">
        <v>27</v>
      </c>
      <c r="C34" s="67" t="s">
        <v>1714</v>
      </c>
      <c r="D34" s="67" t="s">
        <v>1715</v>
      </c>
      <c r="E34" s="67" t="s">
        <v>1909</v>
      </c>
      <c r="F34" s="67"/>
      <c r="G34" s="67" t="s">
        <v>1716</v>
      </c>
      <c r="H34" s="67" t="s">
        <v>1717</v>
      </c>
      <c r="I34" s="67" t="s">
        <v>1718</v>
      </c>
      <c r="J34" s="67" t="s">
        <v>1719</v>
      </c>
      <c r="K34" s="67" t="s">
        <v>1720</v>
      </c>
      <c r="L34" s="67" t="s">
        <v>1721</v>
      </c>
      <c r="M34" s="67" t="s">
        <v>1722</v>
      </c>
      <c r="N34" s="68" t="e">
        <f t="shared" ref="N34:N40" si="13">SUM(C34:G34)+SUM(I34:M34)-H34</f>
        <v>#VALUE!</v>
      </c>
      <c r="O34" s="69" t="s">
        <v>1724</v>
      </c>
      <c r="P34" s="67" t="s">
        <v>1725</v>
      </c>
      <c r="Q34" s="67" t="s">
        <v>1910</v>
      </c>
      <c r="R34" s="67"/>
      <c r="S34" s="67" t="s">
        <v>1726</v>
      </c>
      <c r="T34" s="67" t="s">
        <v>1727</v>
      </c>
      <c r="U34" s="67" t="s">
        <v>1728</v>
      </c>
      <c r="V34" s="67" t="s">
        <v>1729</v>
      </c>
      <c r="W34" s="67" t="s">
        <v>1730</v>
      </c>
      <c r="X34" s="67" t="s">
        <v>1731</v>
      </c>
      <c r="Y34" s="67" t="s">
        <v>1732</v>
      </c>
      <c r="Z34" s="68" t="e">
        <f t="shared" ref="Z34:Z40" si="14">SUM(O34:S34)+SUM(U34:Y34)-T34</f>
        <v>#VALUE!</v>
      </c>
    </row>
    <row r="35" s="39" customFormat="1" ht="15" customHeight="1" spans="1:26">
      <c r="A35" s="70" t="s">
        <v>1911</v>
      </c>
      <c r="B35" s="66">
        <v>28</v>
      </c>
      <c r="C35" s="67" t="s">
        <v>1735</v>
      </c>
      <c r="D35" s="67" t="s">
        <v>1736</v>
      </c>
      <c r="E35" s="67" t="s">
        <v>1912</v>
      </c>
      <c r="F35" s="67"/>
      <c r="G35" s="67" t="s">
        <v>1737</v>
      </c>
      <c r="H35" s="67" t="s">
        <v>1738</v>
      </c>
      <c r="I35" s="67" t="s">
        <v>1739</v>
      </c>
      <c r="J35" s="67" t="s">
        <v>1740</v>
      </c>
      <c r="K35" s="67" t="s">
        <v>1741</v>
      </c>
      <c r="L35" s="67" t="s">
        <v>1742</v>
      </c>
      <c r="M35" s="67" t="s">
        <v>1743</v>
      </c>
      <c r="N35" s="68" t="e">
        <f t="shared" si="13"/>
        <v>#VALUE!</v>
      </c>
      <c r="O35" s="69" t="s">
        <v>1745</v>
      </c>
      <c r="P35" s="67" t="s">
        <v>1746</v>
      </c>
      <c r="Q35" s="67" t="s">
        <v>1913</v>
      </c>
      <c r="R35" s="67"/>
      <c r="S35" s="67" t="s">
        <v>1747</v>
      </c>
      <c r="T35" s="67" t="s">
        <v>1748</v>
      </c>
      <c r="U35" s="67" t="s">
        <v>1749</v>
      </c>
      <c r="V35" s="67" t="s">
        <v>1750</v>
      </c>
      <c r="W35" s="67" t="s">
        <v>1751</v>
      </c>
      <c r="X35" s="67" t="s">
        <v>1752</v>
      </c>
      <c r="Y35" s="67" t="s">
        <v>1753</v>
      </c>
      <c r="Z35" s="68" t="e">
        <f t="shared" si="14"/>
        <v>#VALUE!</v>
      </c>
    </row>
    <row r="36" s="39" customFormat="1" ht="16.5" customHeight="1" spans="1:26">
      <c r="A36" s="70" t="s">
        <v>1914</v>
      </c>
      <c r="B36" s="66">
        <v>29</v>
      </c>
      <c r="C36" s="67" t="s">
        <v>1756</v>
      </c>
      <c r="D36" s="67" t="s">
        <v>1757</v>
      </c>
      <c r="E36" s="67" t="s">
        <v>1915</v>
      </c>
      <c r="F36" s="67"/>
      <c r="G36" s="67" t="s">
        <v>1758</v>
      </c>
      <c r="H36" s="67" t="s">
        <v>1759</v>
      </c>
      <c r="I36" s="67" t="s">
        <v>1760</v>
      </c>
      <c r="J36" s="67" t="s">
        <v>1761</v>
      </c>
      <c r="K36" s="67" t="s">
        <v>1762</v>
      </c>
      <c r="L36" s="67" t="s">
        <v>1763</v>
      </c>
      <c r="M36" s="67" t="s">
        <v>1764</v>
      </c>
      <c r="N36" s="68" t="e">
        <f t="shared" si="13"/>
        <v>#VALUE!</v>
      </c>
      <c r="O36" s="69" t="s">
        <v>1766</v>
      </c>
      <c r="P36" s="67" t="s">
        <v>1767</v>
      </c>
      <c r="Q36" s="67" t="s">
        <v>1916</v>
      </c>
      <c r="R36" s="67"/>
      <c r="S36" s="67" t="s">
        <v>1768</v>
      </c>
      <c r="T36" s="67" t="s">
        <v>1769</v>
      </c>
      <c r="U36" s="67" t="s">
        <v>1770</v>
      </c>
      <c r="V36" s="67" t="s">
        <v>1771</v>
      </c>
      <c r="W36" s="67" t="s">
        <v>1772</v>
      </c>
      <c r="X36" s="67" t="s">
        <v>1773</v>
      </c>
      <c r="Y36" s="67" t="s">
        <v>1774</v>
      </c>
      <c r="Z36" s="68" t="e">
        <f t="shared" si="14"/>
        <v>#VALUE!</v>
      </c>
    </row>
    <row r="37" s="39" customFormat="1" ht="16.5" customHeight="1" spans="1:26">
      <c r="A37" s="73" t="s">
        <v>1917</v>
      </c>
      <c r="B37" s="66">
        <v>30</v>
      </c>
      <c r="C37" s="67" t="s">
        <v>1777</v>
      </c>
      <c r="D37" s="67" t="s">
        <v>1778</v>
      </c>
      <c r="E37" s="67" t="s">
        <v>1918</v>
      </c>
      <c r="F37" s="67"/>
      <c r="G37" s="67" t="s">
        <v>1779</v>
      </c>
      <c r="H37" s="67" t="s">
        <v>1780</v>
      </c>
      <c r="I37" s="67" t="s">
        <v>1781</v>
      </c>
      <c r="J37" s="67" t="s">
        <v>1782</v>
      </c>
      <c r="K37" s="67" t="s">
        <v>1783</v>
      </c>
      <c r="L37" s="67" t="s">
        <v>1784</v>
      </c>
      <c r="M37" s="67" t="s">
        <v>1785</v>
      </c>
      <c r="N37" s="68" t="e">
        <f t="shared" si="13"/>
        <v>#VALUE!</v>
      </c>
      <c r="O37" s="69" t="s">
        <v>1787</v>
      </c>
      <c r="P37" s="67" t="s">
        <v>1788</v>
      </c>
      <c r="Q37" s="67" t="s">
        <v>1919</v>
      </c>
      <c r="R37" s="67"/>
      <c r="S37" s="67" t="s">
        <v>1789</v>
      </c>
      <c r="T37" s="67" t="s">
        <v>1790</v>
      </c>
      <c r="U37" s="67" t="s">
        <v>1791</v>
      </c>
      <c r="V37" s="67" t="s">
        <v>1792</v>
      </c>
      <c r="W37" s="67" t="s">
        <v>1793</v>
      </c>
      <c r="X37" s="67" t="s">
        <v>1794</v>
      </c>
      <c r="Y37" s="67" t="s">
        <v>1795</v>
      </c>
      <c r="Z37" s="68" t="e">
        <f t="shared" si="14"/>
        <v>#VALUE!</v>
      </c>
    </row>
    <row r="38" s="39" customFormat="1" ht="16.5" customHeight="1" spans="1:26">
      <c r="A38" s="73" t="s">
        <v>1920</v>
      </c>
      <c r="B38" s="66">
        <v>31</v>
      </c>
      <c r="C38" s="67" t="s">
        <v>1798</v>
      </c>
      <c r="D38" s="67" t="s">
        <v>1799</v>
      </c>
      <c r="E38" s="67" t="s">
        <v>1921</v>
      </c>
      <c r="F38" s="67"/>
      <c r="G38" s="67" t="s">
        <v>1800</v>
      </c>
      <c r="H38" s="67" t="s">
        <v>1801</v>
      </c>
      <c r="I38" s="67" t="s">
        <v>1802</v>
      </c>
      <c r="J38" s="67" t="s">
        <v>1803</v>
      </c>
      <c r="K38" s="67" t="s">
        <v>1804</v>
      </c>
      <c r="L38" s="67" t="s">
        <v>1805</v>
      </c>
      <c r="M38" s="67" t="s">
        <v>1806</v>
      </c>
      <c r="N38" s="68" t="e">
        <f t="shared" si="13"/>
        <v>#VALUE!</v>
      </c>
      <c r="O38" s="69" t="s">
        <v>1808</v>
      </c>
      <c r="P38" s="67" t="s">
        <v>1809</v>
      </c>
      <c r="Q38" s="67" t="s">
        <v>1922</v>
      </c>
      <c r="R38" s="67"/>
      <c r="S38" s="67" t="s">
        <v>1810</v>
      </c>
      <c r="T38" s="67" t="s">
        <v>1811</v>
      </c>
      <c r="U38" s="67" t="s">
        <v>1812</v>
      </c>
      <c r="V38" s="67" t="s">
        <v>1813</v>
      </c>
      <c r="W38" s="67" t="s">
        <v>1814</v>
      </c>
      <c r="X38" s="67" t="s">
        <v>1815</v>
      </c>
      <c r="Y38" s="67" t="s">
        <v>1816</v>
      </c>
      <c r="Z38" s="68" t="e">
        <f t="shared" si="14"/>
        <v>#VALUE!</v>
      </c>
    </row>
    <row r="39" s="39" customFormat="1" ht="15" customHeight="1" spans="1:26">
      <c r="A39" s="70" t="s">
        <v>1923</v>
      </c>
      <c r="B39" s="66">
        <v>32</v>
      </c>
      <c r="C39" s="67" t="s">
        <v>1819</v>
      </c>
      <c r="D39" s="67" t="s">
        <v>1820</v>
      </c>
      <c r="E39" s="67" t="s">
        <v>1924</v>
      </c>
      <c r="F39" s="67"/>
      <c r="G39" s="67" t="s">
        <v>1821</v>
      </c>
      <c r="H39" s="67" t="s">
        <v>1822</v>
      </c>
      <c r="I39" s="67" t="s">
        <v>1823</v>
      </c>
      <c r="J39" s="67" t="s">
        <v>1824</v>
      </c>
      <c r="K39" s="67" t="s">
        <v>1825</v>
      </c>
      <c r="L39" s="67" t="s">
        <v>1826</v>
      </c>
      <c r="M39" s="67" t="s">
        <v>1827</v>
      </c>
      <c r="N39" s="68" t="e">
        <f t="shared" si="13"/>
        <v>#VALUE!</v>
      </c>
      <c r="O39" s="69" t="s">
        <v>1829</v>
      </c>
      <c r="P39" s="67" t="s">
        <v>1830</v>
      </c>
      <c r="Q39" s="67" t="s">
        <v>1925</v>
      </c>
      <c r="R39" s="67"/>
      <c r="S39" s="67" t="s">
        <v>1831</v>
      </c>
      <c r="T39" s="67" t="s">
        <v>1832</v>
      </c>
      <c r="U39" s="67" t="s">
        <v>1833</v>
      </c>
      <c r="V39" s="67" t="s">
        <v>1834</v>
      </c>
      <c r="W39" s="67" t="s">
        <v>1835</v>
      </c>
      <c r="X39" s="67" t="s">
        <v>1836</v>
      </c>
      <c r="Y39" s="67" t="s">
        <v>1837</v>
      </c>
      <c r="Z39" s="68" t="e">
        <f t="shared" si="14"/>
        <v>#VALUE!</v>
      </c>
    </row>
    <row r="40" s="38" customFormat="1" ht="15" customHeight="1" spans="1:26">
      <c r="A40" s="74" t="s">
        <v>1839</v>
      </c>
      <c r="B40" s="75">
        <v>33</v>
      </c>
      <c r="C40" s="76" t="e">
        <f t="shared" ref="C40:M40" si="15">C12+C13</f>
        <v>#VALUE!</v>
      </c>
      <c r="D40" s="76" t="e">
        <f t="shared" si="15"/>
        <v>#VALUE!</v>
      </c>
      <c r="E40" s="76" t="e">
        <f t="shared" si="15"/>
        <v>#VALUE!</v>
      </c>
      <c r="F40" s="76">
        <f t="shared" si="15"/>
        <v>0</v>
      </c>
      <c r="G40" s="76" t="e">
        <f t="shared" si="15"/>
        <v>#VALUE!</v>
      </c>
      <c r="H40" s="76" t="e">
        <f t="shared" si="15"/>
        <v>#VALUE!</v>
      </c>
      <c r="I40" s="76" t="e">
        <f t="shared" si="15"/>
        <v>#VALUE!</v>
      </c>
      <c r="J40" s="76" t="e">
        <f t="shared" si="15"/>
        <v>#VALUE!</v>
      </c>
      <c r="K40" s="76" t="e">
        <f t="shared" si="15"/>
        <v>#VALUE!</v>
      </c>
      <c r="L40" s="76" t="e">
        <f t="shared" si="15"/>
        <v>#VALUE!</v>
      </c>
      <c r="M40" s="76" t="e">
        <f t="shared" si="15"/>
        <v>#VALUE!</v>
      </c>
      <c r="N40" s="77" t="e">
        <f t="shared" si="13"/>
        <v>#VALUE!</v>
      </c>
      <c r="O40" s="78" t="e">
        <f t="shared" ref="O40:Y40" si="16">O12+O13</f>
        <v>#VALUE!</v>
      </c>
      <c r="P40" s="76" t="e">
        <f t="shared" si="16"/>
        <v>#VALUE!</v>
      </c>
      <c r="Q40" s="76" t="e">
        <f t="shared" si="16"/>
        <v>#VALUE!</v>
      </c>
      <c r="R40" s="76">
        <f t="shared" si="16"/>
        <v>0</v>
      </c>
      <c r="S40" s="76" t="e">
        <f t="shared" si="16"/>
        <v>#VALUE!</v>
      </c>
      <c r="T40" s="76" t="e">
        <f t="shared" si="16"/>
        <v>#VALUE!</v>
      </c>
      <c r="U40" s="76" t="e">
        <f t="shared" si="16"/>
        <v>#VALUE!</v>
      </c>
      <c r="V40" s="76" t="e">
        <f t="shared" si="16"/>
        <v>#VALUE!</v>
      </c>
      <c r="W40" s="76" t="e">
        <f t="shared" si="16"/>
        <v>#VALUE!</v>
      </c>
      <c r="X40" s="76" t="e">
        <f t="shared" si="16"/>
        <v>#VALUE!</v>
      </c>
      <c r="Y40" s="76" t="e">
        <f t="shared" si="16"/>
        <v>#VALUE!</v>
      </c>
      <c r="Z40" s="77" t="e">
        <f t="shared" si="14"/>
        <v>#VALUE!</v>
      </c>
    </row>
    <row r="41" s="37" customFormat="1" ht="15.6" customHeight="1" spans="1:26">
      <c r="B41" s="79"/>
      <c r="C41" s="79"/>
      <c r="D41" s="79"/>
      <c r="E41" s="79"/>
      <c r="F41" s="79"/>
      <c r="G41" s="79"/>
      <c r="H41" s="79"/>
      <c r="I41" s="79"/>
      <c r="J41" s="79"/>
      <c r="K41" s="79"/>
      <c r="L41" s="79"/>
      <c r="M41" s="79"/>
      <c r="N41" s="79"/>
      <c r="O41" s="37"/>
      <c r="P41" s="79"/>
      <c r="Q41" s="79"/>
      <c r="R41" s="79"/>
      <c r="U41" s="79"/>
    </row>
    <row r="42" s="37" customFormat="1" ht="15.6" customHeight="1" spans="1:26">
      <c r="A42" s="30" t="s">
        <v>1840</v>
      </c>
      <c r="B42" s="37"/>
      <c r="E42" s="80" t="s">
        <v>1841</v>
      </c>
      <c r="L42" s="80" t="s">
        <v>1842</v>
      </c>
      <c r="Q42" s="80" t="s">
        <v>1841</v>
      </c>
      <c r="X42" s="80" t="s">
        <v>1842</v>
      </c>
    </row>
    <row r="46" s="39" customFormat="1" spans="1:26">
      <c r="A46" s="81" t="s">
        <v>1926</v>
      </c>
    </row>
  </sheetData>
  <mergeCells count="27">
    <mergeCell ref="E3:G3"/>
    <mergeCell ref="Q3:S3"/>
    <mergeCell ref="C4:N4"/>
    <mergeCell ref="O4:Z4"/>
    <mergeCell ref="D5:F5"/>
    <mergeCell ref="P5:R5"/>
    <mergeCell ref="A46:G46"/>
    <mergeCell ref="A4:A6"/>
    <mergeCell ref="B4:B6"/>
    <mergeCell ref="C5:C6"/>
    <mergeCell ref="G5:G6"/>
    <mergeCell ref="H5:H6"/>
    <mergeCell ref="I5:I6"/>
    <mergeCell ref="J5:J6"/>
    <mergeCell ref="K5:K6"/>
    <mergeCell ref="L5:L6"/>
    <mergeCell ref="M5:M6"/>
    <mergeCell ref="N5:N6"/>
    <mergeCell ref="O5:O6"/>
    <mergeCell ref="S5:S6"/>
    <mergeCell ref="T5:T6"/>
    <mergeCell ref="U5:U6"/>
    <mergeCell ref="V5:V6"/>
    <mergeCell ref="W5:W6"/>
    <mergeCell ref="X5:X6"/>
    <mergeCell ref="Y5:Y6"/>
    <mergeCell ref="Z5:Z6"/>
  </mergeCells>
  <conditionalFormatting sqref="C$1:Z$1048576">
    <cfRule type="cellIs" dxfId="0" priority="1" operator="equal">
      <formula>0</formula>
    </cfRule>
  </conditionalFormatting>
  <printOptions horizontalCentered="1"/>
  <pageMargins left="0.432638888888889" right="0.393055555555556" top="1.02361111111111" bottom="0.826388888888889" header="0.511811023622047" footer="0.511811023622047"/>
  <pageSetup paperSize="9" scale="70" firstPageNumber="10" fitToWidth="0" orientation="landscape" useFirstPageNumber="1"/>
  <headerFooter alignWithMargins="0">
    <oddFooter>&amp;C&amp;"Arial Narrow,常规"&amp;P</oddFooter>
  </headerFooter>
  <colBreaks count="1" manualBreakCount="1">
    <brk id="14" max="41"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M27"/>
  <sheetViews>
    <sheetView showGridLines="0" view="pageBreakPreview" zoomScaleNormal="100" workbookViewId="0">
      <pane xSplit="2" ySplit="6" topLeftCell="C22" activePane="bottomRight" state="frozen"/>
      <selection/>
      <selection pane="topRight"/>
      <selection pane="bottomLeft"/>
      <selection pane="bottomRight" activeCell="E32" sqref="E32"/>
    </sheetView>
  </sheetViews>
  <sheetFormatPr defaultColWidth="9" defaultRowHeight="17.25" customHeight="1"/>
  <cols>
    <col min="1" max="1" width="23" style="3" customWidth="1"/>
    <col min="2" max="2" width="4.2" style="3" customWidth="1"/>
    <col min="3" max="13" width="14.9" style="3" customWidth="1"/>
    <col min="14" max="16384" width="9" style="3" customWidth="1"/>
  </cols>
  <sheetData>
    <row r="1" ht="30" customHeight="1" spans="1:13">
      <c r="A1" s="4" t="s">
        <v>1927</v>
      </c>
    </row>
    <row r="2" s="1" customFormat="1" ht="18" customHeight="1" spans="1:13">
      <c r="A2" s="5"/>
      <c r="B2" s="5"/>
      <c r="C2" s="5"/>
      <c r="D2" s="5"/>
      <c r="E2" s="5"/>
      <c r="F2" s="5"/>
      <c r="G2" s="5"/>
      <c r="H2" s="5"/>
      <c r="I2" s="5"/>
      <c r="J2" s="5"/>
      <c r="K2" s="5"/>
      <c r="L2" s="5"/>
      <c r="M2" s="5"/>
    </row>
    <row r="3" s="1" customFormat="1" ht="18" customHeight="1" spans="1:13">
      <c r="A3" s="5" t="s">
        <v>2</v>
      </c>
      <c r="B3" s="5"/>
      <c r="D3" s="6"/>
      <c r="F3" s="7"/>
      <c r="G3" s="7"/>
      <c r="H3" s="8" t="s">
        <v>1928</v>
      </c>
      <c r="I3" s="7"/>
      <c r="J3" s="7"/>
      <c r="K3" s="7"/>
      <c r="L3" s="7"/>
      <c r="M3" s="9" t="s">
        <v>3</v>
      </c>
    </row>
    <row r="4" s="3" customFormat="1" ht="18" customHeight="1" spans="1:13">
      <c r="A4" s="10" t="s">
        <v>1929</v>
      </c>
      <c r="B4" s="11" t="s">
        <v>1286</v>
      </c>
      <c r="C4" s="11" t="s">
        <v>1930</v>
      </c>
      <c r="D4" s="11" t="s">
        <v>1931</v>
      </c>
      <c r="E4" s="12"/>
      <c r="F4" s="12"/>
      <c r="G4" s="13"/>
      <c r="H4" s="11" t="s">
        <v>1932</v>
      </c>
      <c r="I4" s="12"/>
      <c r="J4" s="12"/>
      <c r="K4" s="12"/>
      <c r="L4" s="13"/>
      <c r="M4" s="11" t="s">
        <v>1933</v>
      </c>
    </row>
    <row r="5" s="3" customFormat="1" ht="24" customHeight="1" spans="1:13">
      <c r="A5" s="14"/>
      <c r="B5" s="15"/>
      <c r="C5" s="15"/>
      <c r="D5" s="11" t="s">
        <v>1934</v>
      </c>
      <c r="E5" s="11" t="s">
        <v>1935</v>
      </c>
      <c r="F5" s="11" t="s">
        <v>1936</v>
      </c>
      <c r="G5" s="11" t="s">
        <v>1937</v>
      </c>
      <c r="H5" s="11" t="s">
        <v>1938</v>
      </c>
      <c r="I5" s="11" t="s">
        <v>1939</v>
      </c>
      <c r="J5" s="11" t="s">
        <v>1940</v>
      </c>
      <c r="K5" s="11" t="s">
        <v>1941</v>
      </c>
      <c r="L5" s="11" t="s">
        <v>1937</v>
      </c>
      <c r="M5" s="15"/>
    </row>
    <row r="6" s="3" customFormat="1" ht="22.2" customHeight="1" spans="1:13">
      <c r="A6" s="10" t="s">
        <v>1942</v>
      </c>
      <c r="B6" s="31" t="s">
        <v>1306</v>
      </c>
      <c r="C6" s="32">
        <v>1</v>
      </c>
      <c r="D6" s="32">
        <v>2</v>
      </c>
      <c r="E6" s="32">
        <v>3</v>
      </c>
      <c r="F6" s="32">
        <v>4</v>
      </c>
      <c r="G6" s="32">
        <v>5</v>
      </c>
      <c r="H6" s="32">
        <v>6</v>
      </c>
      <c r="I6" s="32">
        <v>7</v>
      </c>
      <c r="J6" s="32">
        <v>8</v>
      </c>
      <c r="K6" s="32">
        <v>9</v>
      </c>
      <c r="L6" s="32">
        <v>10</v>
      </c>
      <c r="M6" s="32">
        <v>11</v>
      </c>
    </row>
    <row r="7" s="3" customFormat="1" ht="26" customHeight="1" spans="1:13">
      <c r="A7" s="33" t="s">
        <v>1943</v>
      </c>
      <c r="B7" s="18">
        <v>1</v>
      </c>
      <c r="C7" s="19" t="s">
        <v>1944</v>
      </c>
      <c r="D7" s="19" t="s">
        <v>1945</v>
      </c>
      <c r="E7" s="19" t="s">
        <v>1946</v>
      </c>
      <c r="F7" s="19" t="s">
        <v>1947</v>
      </c>
      <c r="G7" s="19">
        <f>SUM(D7:F7)</f>
        <v>0</v>
      </c>
      <c r="H7" s="20" t="s">
        <v>1948</v>
      </c>
      <c r="I7" s="20" t="s">
        <v>1949</v>
      </c>
      <c r="J7" s="20" t="s">
        <v>1950</v>
      </c>
      <c r="K7" s="20" t="s">
        <v>1951</v>
      </c>
      <c r="L7" s="19">
        <f>SUM(H7:K7)</f>
        <v>0</v>
      </c>
      <c r="M7" s="19" t="e">
        <f>C7+G7-L7</f>
        <v>#VALUE!</v>
      </c>
    </row>
    <row r="8" s="3" customFormat="1" ht="26" customHeight="1" spans="1:13">
      <c r="A8" s="21" t="s">
        <v>1952</v>
      </c>
      <c r="B8" s="22">
        <v>2</v>
      </c>
      <c r="C8" s="23" t="s">
        <v>1953</v>
      </c>
      <c r="D8" s="23" t="s">
        <v>1954</v>
      </c>
      <c r="E8" s="23" t="s">
        <v>1955</v>
      </c>
      <c r="F8" s="23" t="s">
        <v>1956</v>
      </c>
      <c r="G8" s="23" t="s">
        <v>1957</v>
      </c>
      <c r="H8" s="25" t="s">
        <v>1958</v>
      </c>
      <c r="I8" s="25" t="s">
        <v>1959</v>
      </c>
      <c r="J8" s="25" t="s">
        <v>1960</v>
      </c>
      <c r="K8" s="25" t="s">
        <v>1961</v>
      </c>
      <c r="L8" s="23" t="s">
        <v>1962</v>
      </c>
      <c r="M8" s="23" t="s">
        <v>1963</v>
      </c>
    </row>
    <row r="9" s="3" customFormat="1" ht="26" customHeight="1" spans="1:13">
      <c r="A9" s="21" t="s">
        <v>1964</v>
      </c>
      <c r="B9" s="22">
        <v>3</v>
      </c>
      <c r="C9" s="23" t="s">
        <v>1965</v>
      </c>
      <c r="D9" s="23" t="s">
        <v>1966</v>
      </c>
      <c r="E9" s="23" t="s">
        <v>1967</v>
      </c>
      <c r="F9" s="23" t="s">
        <v>1968</v>
      </c>
      <c r="G9" s="23">
        <f t="shared" ref="G9:G24" si="0">SUM(D9:F9)</f>
        <v>0</v>
      </c>
      <c r="H9" s="25" t="s">
        <v>1969</v>
      </c>
      <c r="I9" s="25" t="s">
        <v>1970</v>
      </c>
      <c r="J9" s="25" t="s">
        <v>1971</v>
      </c>
      <c r="K9" s="25" t="s">
        <v>1972</v>
      </c>
      <c r="L9" s="23">
        <f t="shared" ref="L9:L25" si="1">SUM(H9:K9)</f>
        <v>0</v>
      </c>
      <c r="M9" s="23" t="e">
        <f t="shared" ref="M9:M18" si="2">C9+G9-L9</f>
        <v>#VALUE!</v>
      </c>
    </row>
    <row r="10" s="3" customFormat="1" ht="26" customHeight="1" spans="1:13">
      <c r="A10" s="21" t="s">
        <v>1973</v>
      </c>
      <c r="B10" s="22">
        <v>4</v>
      </c>
      <c r="C10" s="23" t="s">
        <v>1974</v>
      </c>
      <c r="D10" s="23" t="s">
        <v>1975</v>
      </c>
      <c r="E10" s="23" t="s">
        <v>1976</v>
      </c>
      <c r="F10" s="23" t="s">
        <v>1977</v>
      </c>
      <c r="G10" s="23">
        <f t="shared" si="0"/>
        <v>0</v>
      </c>
      <c r="H10" s="25" t="s">
        <v>1978</v>
      </c>
      <c r="I10" s="25" t="s">
        <v>1979</v>
      </c>
      <c r="J10" s="25" t="s">
        <v>1980</v>
      </c>
      <c r="K10" s="25" t="s">
        <v>1981</v>
      </c>
      <c r="L10" s="23">
        <f t="shared" si="1"/>
        <v>0</v>
      </c>
      <c r="M10" s="23" t="e">
        <f t="shared" si="2"/>
        <v>#VALUE!</v>
      </c>
    </row>
    <row r="11" s="3" customFormat="1" ht="26" customHeight="1" spans="1:13">
      <c r="A11" s="21" t="s">
        <v>1982</v>
      </c>
      <c r="B11" s="22">
        <v>5</v>
      </c>
      <c r="C11" s="23" t="s">
        <v>1983</v>
      </c>
      <c r="D11" s="23" t="s">
        <v>1984</v>
      </c>
      <c r="E11" s="23" t="s">
        <v>1985</v>
      </c>
      <c r="F11" s="23" t="s">
        <v>1986</v>
      </c>
      <c r="G11" s="23">
        <f t="shared" si="0"/>
        <v>0</v>
      </c>
      <c r="H11" s="25" t="s">
        <v>1987</v>
      </c>
      <c r="I11" s="25" t="s">
        <v>1988</v>
      </c>
      <c r="J11" s="25" t="s">
        <v>1989</v>
      </c>
      <c r="K11" s="25" t="s">
        <v>1990</v>
      </c>
      <c r="L11" s="23">
        <f t="shared" si="1"/>
        <v>0</v>
      </c>
      <c r="M11" s="23" t="e">
        <f t="shared" si="2"/>
        <v>#VALUE!</v>
      </c>
    </row>
    <row r="12" s="3" customFormat="1" ht="26" customHeight="1" spans="1:13">
      <c r="A12" s="21" t="s">
        <v>1991</v>
      </c>
      <c r="B12" s="22">
        <v>6</v>
      </c>
      <c r="C12" s="23" t="s">
        <v>1992</v>
      </c>
      <c r="D12" s="23" t="s">
        <v>1993</v>
      </c>
      <c r="E12" s="23" t="s">
        <v>1994</v>
      </c>
      <c r="F12" s="23" t="s">
        <v>1995</v>
      </c>
      <c r="G12" s="23">
        <f t="shared" si="0"/>
        <v>0</v>
      </c>
      <c r="H12" s="25" t="s">
        <v>1996</v>
      </c>
      <c r="I12" s="25" t="s">
        <v>1997</v>
      </c>
      <c r="J12" s="25" t="s">
        <v>1998</v>
      </c>
      <c r="K12" s="25" t="s">
        <v>1999</v>
      </c>
      <c r="L12" s="23">
        <f t="shared" si="1"/>
        <v>0</v>
      </c>
      <c r="M12" s="23" t="e">
        <f t="shared" si="2"/>
        <v>#VALUE!</v>
      </c>
    </row>
    <row r="13" s="3" customFormat="1" ht="26" customHeight="1" spans="1:13">
      <c r="A13" s="21" t="s">
        <v>2000</v>
      </c>
      <c r="B13" s="22">
        <v>7</v>
      </c>
      <c r="C13" s="23" t="s">
        <v>2001</v>
      </c>
      <c r="D13" s="23" t="s">
        <v>2002</v>
      </c>
      <c r="E13" s="23" t="s">
        <v>2003</v>
      </c>
      <c r="F13" s="23" t="s">
        <v>2004</v>
      </c>
      <c r="G13" s="23">
        <f t="shared" si="0"/>
        <v>0</v>
      </c>
      <c r="H13" s="25" t="s">
        <v>2005</v>
      </c>
      <c r="I13" s="25" t="s">
        <v>2006</v>
      </c>
      <c r="J13" s="23" t="s">
        <v>2007</v>
      </c>
      <c r="K13" s="23" t="s">
        <v>2008</v>
      </c>
      <c r="L13" s="23">
        <f t="shared" si="1"/>
        <v>0</v>
      </c>
      <c r="M13" s="23" t="e">
        <f t="shared" si="2"/>
        <v>#VALUE!</v>
      </c>
    </row>
    <row r="14" s="3" customFormat="1" ht="26" customHeight="1" spans="1:13">
      <c r="A14" s="21" t="s">
        <v>2009</v>
      </c>
      <c r="B14" s="22">
        <v>8</v>
      </c>
      <c r="C14" s="23" t="s">
        <v>2010</v>
      </c>
      <c r="D14" s="23" t="s">
        <v>2011</v>
      </c>
      <c r="E14" s="23" t="s">
        <v>2012</v>
      </c>
      <c r="F14" s="23" t="s">
        <v>2013</v>
      </c>
      <c r="G14" s="23">
        <f t="shared" si="0"/>
        <v>0</v>
      </c>
      <c r="H14" s="25" t="s">
        <v>2014</v>
      </c>
      <c r="I14" s="23" t="s">
        <v>2015</v>
      </c>
      <c r="J14" s="23" t="s">
        <v>2016</v>
      </c>
      <c r="K14" s="23" t="s">
        <v>2017</v>
      </c>
      <c r="L14" s="23">
        <f t="shared" si="1"/>
        <v>0</v>
      </c>
      <c r="M14" s="23" t="e">
        <f t="shared" si="2"/>
        <v>#VALUE!</v>
      </c>
    </row>
    <row r="15" s="3" customFormat="1" ht="26" customHeight="1" spans="1:13">
      <c r="A15" s="21" t="s">
        <v>2018</v>
      </c>
      <c r="B15" s="22">
        <v>9</v>
      </c>
      <c r="C15" s="23" t="s">
        <v>2019</v>
      </c>
      <c r="D15" s="23" t="s">
        <v>2020</v>
      </c>
      <c r="E15" s="23" t="s">
        <v>2021</v>
      </c>
      <c r="F15" s="23" t="s">
        <v>2022</v>
      </c>
      <c r="G15" s="23">
        <f t="shared" si="0"/>
        <v>0</v>
      </c>
      <c r="H15" s="25" t="s">
        <v>2023</v>
      </c>
      <c r="I15" s="23" t="s">
        <v>2024</v>
      </c>
      <c r="J15" s="23" t="s">
        <v>2025</v>
      </c>
      <c r="K15" s="23" t="s">
        <v>2026</v>
      </c>
      <c r="L15" s="23">
        <f t="shared" si="1"/>
        <v>0</v>
      </c>
      <c r="M15" s="23" t="e">
        <f t="shared" si="2"/>
        <v>#VALUE!</v>
      </c>
    </row>
    <row r="16" s="3" customFormat="1" ht="26" customHeight="1" spans="1:13">
      <c r="A16" s="21" t="s">
        <v>2027</v>
      </c>
      <c r="B16" s="22">
        <v>10</v>
      </c>
      <c r="C16" s="23" t="s">
        <v>2028</v>
      </c>
      <c r="D16" s="23" t="s">
        <v>2029</v>
      </c>
      <c r="E16" s="23" t="s">
        <v>2030</v>
      </c>
      <c r="F16" s="23" t="s">
        <v>2031</v>
      </c>
      <c r="G16" s="23">
        <f t="shared" si="0"/>
        <v>0</v>
      </c>
      <c r="H16" s="25" t="s">
        <v>2032</v>
      </c>
      <c r="I16" s="23" t="s">
        <v>2033</v>
      </c>
      <c r="J16" s="23" t="s">
        <v>2034</v>
      </c>
      <c r="K16" s="23" t="s">
        <v>2035</v>
      </c>
      <c r="L16" s="23">
        <f t="shared" si="1"/>
        <v>0</v>
      </c>
      <c r="M16" s="23" t="e">
        <f t="shared" si="2"/>
        <v>#VALUE!</v>
      </c>
    </row>
    <row r="17" s="3" customFormat="1" ht="26" customHeight="1" spans="1:13">
      <c r="A17" s="21" t="s">
        <v>2036</v>
      </c>
      <c r="B17" s="22">
        <v>11</v>
      </c>
      <c r="C17" s="23" t="s">
        <v>2037</v>
      </c>
      <c r="D17" s="23" t="s">
        <v>2038</v>
      </c>
      <c r="E17" s="23" t="s">
        <v>2039</v>
      </c>
      <c r="F17" s="23" t="s">
        <v>2040</v>
      </c>
      <c r="G17" s="23">
        <f t="shared" si="0"/>
        <v>0</v>
      </c>
      <c r="H17" s="25" t="s">
        <v>2041</v>
      </c>
      <c r="I17" s="25" t="s">
        <v>2042</v>
      </c>
      <c r="J17" s="23" t="s">
        <v>2043</v>
      </c>
      <c r="K17" s="23" t="s">
        <v>2044</v>
      </c>
      <c r="L17" s="23">
        <f t="shared" si="1"/>
        <v>0</v>
      </c>
      <c r="M17" s="23" t="e">
        <f t="shared" si="2"/>
        <v>#VALUE!</v>
      </c>
    </row>
    <row r="18" s="3" customFormat="1" ht="26" customHeight="1" spans="1:13">
      <c r="A18" s="21" t="s">
        <v>2045</v>
      </c>
      <c r="B18" s="22">
        <v>12</v>
      </c>
      <c r="C18" s="23" t="s">
        <v>2046</v>
      </c>
      <c r="D18" s="23" t="s">
        <v>2047</v>
      </c>
      <c r="E18" s="23" t="s">
        <v>2048</v>
      </c>
      <c r="F18" s="23" t="s">
        <v>2049</v>
      </c>
      <c r="G18" s="23">
        <f t="shared" si="0"/>
        <v>0</v>
      </c>
      <c r="H18" s="25" t="s">
        <v>2050</v>
      </c>
      <c r="I18" s="23" t="s">
        <v>2051</v>
      </c>
      <c r="J18" s="23" t="s">
        <v>2052</v>
      </c>
      <c r="K18" s="23" t="s">
        <v>2053</v>
      </c>
      <c r="L18" s="23">
        <f t="shared" si="1"/>
        <v>0</v>
      </c>
      <c r="M18" s="23" t="e">
        <f t="shared" si="2"/>
        <v>#VALUE!</v>
      </c>
    </row>
    <row r="19" s="3" customFormat="1" ht="26" customHeight="1" spans="1:13">
      <c r="A19" s="21" t="s">
        <v>2054</v>
      </c>
      <c r="B19" s="22">
        <v>13</v>
      </c>
      <c r="C19" s="23" t="s">
        <v>2055</v>
      </c>
      <c r="D19" s="23" t="s">
        <v>2056</v>
      </c>
      <c r="E19" s="23" t="s">
        <v>2057</v>
      </c>
      <c r="F19" s="23" t="s">
        <v>2058</v>
      </c>
      <c r="G19" s="23">
        <f t="shared" si="0"/>
        <v>0</v>
      </c>
      <c r="H19" s="25" t="s">
        <v>2059</v>
      </c>
      <c r="I19" s="23" t="s">
        <v>2060</v>
      </c>
      <c r="J19" s="23" t="s">
        <v>2061</v>
      </c>
      <c r="K19" s="23" t="s">
        <v>2062</v>
      </c>
      <c r="L19" s="23">
        <f t="shared" si="1"/>
        <v>0</v>
      </c>
      <c r="M19" s="23" t="s">
        <v>2063</v>
      </c>
    </row>
    <row r="20" s="3" customFormat="1" ht="26" customHeight="1" spans="1:13">
      <c r="A20" s="21" t="s">
        <v>2064</v>
      </c>
      <c r="B20" s="22">
        <v>14</v>
      </c>
      <c r="C20" s="23" t="s">
        <v>2065</v>
      </c>
      <c r="D20" s="23" t="s">
        <v>2066</v>
      </c>
      <c r="E20" s="23" t="s">
        <v>2067</v>
      </c>
      <c r="F20" s="23" t="s">
        <v>2068</v>
      </c>
      <c r="G20" s="23">
        <f t="shared" si="0"/>
        <v>0</v>
      </c>
      <c r="H20" s="25" t="s">
        <v>2069</v>
      </c>
      <c r="I20" s="25" t="s">
        <v>2070</v>
      </c>
      <c r="J20" s="23" t="s">
        <v>2071</v>
      </c>
      <c r="K20" s="23" t="s">
        <v>2072</v>
      </c>
      <c r="L20" s="23">
        <f t="shared" si="1"/>
        <v>0</v>
      </c>
      <c r="M20" s="23" t="e">
        <f t="shared" ref="M20:M25" si="3">C20+G20-L20</f>
        <v>#VALUE!</v>
      </c>
    </row>
    <row r="21" s="3" customFormat="1" ht="26" customHeight="1" spans="1:13">
      <c r="A21" s="21" t="s">
        <v>2073</v>
      </c>
      <c r="B21" s="22">
        <v>15</v>
      </c>
      <c r="C21" s="23" t="s">
        <v>2074</v>
      </c>
      <c r="D21" s="23" t="s">
        <v>2075</v>
      </c>
      <c r="E21" s="23" t="s">
        <v>2076</v>
      </c>
      <c r="F21" s="23" t="s">
        <v>2077</v>
      </c>
      <c r="G21" s="23">
        <f t="shared" si="0"/>
        <v>0</v>
      </c>
      <c r="H21" s="25" t="s">
        <v>2078</v>
      </c>
      <c r="I21" s="23" t="s">
        <v>2079</v>
      </c>
      <c r="J21" s="23" t="s">
        <v>2080</v>
      </c>
      <c r="K21" s="23" t="s">
        <v>2081</v>
      </c>
      <c r="L21" s="23">
        <f t="shared" si="1"/>
        <v>0</v>
      </c>
      <c r="M21" s="23" t="e">
        <f t="shared" si="3"/>
        <v>#VALUE!</v>
      </c>
    </row>
    <row r="22" s="3" customFormat="1" ht="26" customHeight="1" spans="1:13">
      <c r="A22" s="21" t="s">
        <v>2082</v>
      </c>
      <c r="B22" s="22">
        <v>16</v>
      </c>
      <c r="C22" s="23" t="s">
        <v>2083</v>
      </c>
      <c r="D22" s="23" t="s">
        <v>2084</v>
      </c>
      <c r="E22" s="23" t="s">
        <v>2085</v>
      </c>
      <c r="F22" s="23" t="s">
        <v>2086</v>
      </c>
      <c r="G22" s="23">
        <f t="shared" si="0"/>
        <v>0</v>
      </c>
      <c r="H22" s="25" t="s">
        <v>2087</v>
      </c>
      <c r="I22" s="23" t="s">
        <v>2088</v>
      </c>
      <c r="J22" s="23" t="s">
        <v>2089</v>
      </c>
      <c r="K22" s="23" t="s">
        <v>2090</v>
      </c>
      <c r="L22" s="23">
        <f t="shared" si="1"/>
        <v>0</v>
      </c>
      <c r="M22" s="23" t="e">
        <f t="shared" si="3"/>
        <v>#VALUE!</v>
      </c>
    </row>
    <row r="23" s="3" customFormat="1" ht="26" customHeight="1" spans="1:13">
      <c r="A23" s="21" t="s">
        <v>2091</v>
      </c>
      <c r="B23" s="22">
        <v>17</v>
      </c>
      <c r="C23" s="23" t="s">
        <v>2092</v>
      </c>
      <c r="D23" s="23" t="s">
        <v>2093</v>
      </c>
      <c r="E23" s="23" t="s">
        <v>2094</v>
      </c>
      <c r="F23" s="23" t="s">
        <v>2095</v>
      </c>
      <c r="G23" s="23">
        <f t="shared" si="0"/>
        <v>0</v>
      </c>
      <c r="H23" s="25" t="s">
        <v>2096</v>
      </c>
      <c r="I23" s="23" t="s">
        <v>2097</v>
      </c>
      <c r="J23" s="23" t="s">
        <v>2098</v>
      </c>
      <c r="K23" s="23" t="s">
        <v>2099</v>
      </c>
      <c r="L23" s="23">
        <f t="shared" si="1"/>
        <v>0</v>
      </c>
      <c r="M23" s="23" t="e">
        <f t="shared" si="3"/>
        <v>#VALUE!</v>
      </c>
    </row>
    <row r="24" s="3" customFormat="1" ht="26" customHeight="1" spans="1:13">
      <c r="A24" s="21" t="s">
        <v>2100</v>
      </c>
      <c r="B24" s="22">
        <v>18</v>
      </c>
      <c r="C24" s="23" t="s">
        <v>2101</v>
      </c>
      <c r="D24" s="23" t="s">
        <v>2102</v>
      </c>
      <c r="E24" s="23" t="s">
        <v>2103</v>
      </c>
      <c r="F24" s="23" t="s">
        <v>2104</v>
      </c>
      <c r="G24" s="23">
        <f t="shared" si="0"/>
        <v>0</v>
      </c>
      <c r="H24" s="23" t="s">
        <v>2105</v>
      </c>
      <c r="I24" s="23" t="s">
        <v>2106</v>
      </c>
      <c r="J24" s="23" t="s">
        <v>2107</v>
      </c>
      <c r="K24" s="23" t="s">
        <v>2108</v>
      </c>
      <c r="L24" s="23">
        <f t="shared" si="1"/>
        <v>0</v>
      </c>
      <c r="M24" s="23" t="e">
        <f t="shared" si="3"/>
        <v>#VALUE!</v>
      </c>
    </row>
    <row r="25" s="3" customFormat="1" ht="26" customHeight="1" spans="1:13">
      <c r="A25" s="34" t="s">
        <v>2109</v>
      </c>
      <c r="B25" s="28">
        <v>19</v>
      </c>
      <c r="C25" s="29" t="e">
        <f t="shared" ref="C25:K25" si="4">SUM(C7:C24)-C8</f>
        <v>#VALUE!</v>
      </c>
      <c r="D25" s="29" t="e">
        <f t="shared" si="4"/>
        <v>#VALUE!</v>
      </c>
      <c r="E25" s="29" t="e">
        <f t="shared" si="4"/>
        <v>#VALUE!</v>
      </c>
      <c r="F25" s="29" t="e">
        <f t="shared" si="4"/>
        <v>#VALUE!</v>
      </c>
      <c r="G25" s="29" t="e">
        <f t="shared" si="4"/>
        <v>#VALUE!</v>
      </c>
      <c r="H25" s="29" t="e">
        <f t="shared" si="4"/>
        <v>#VALUE!</v>
      </c>
      <c r="I25" s="29" t="e">
        <f t="shared" si="4"/>
        <v>#VALUE!</v>
      </c>
      <c r="J25" s="29" t="e">
        <f t="shared" si="4"/>
        <v>#VALUE!</v>
      </c>
      <c r="K25" s="29" t="e">
        <f t="shared" si="4"/>
        <v>#VALUE!</v>
      </c>
      <c r="L25" s="29" t="e">
        <f t="shared" si="1"/>
        <v>#VALUE!</v>
      </c>
      <c r="M25" s="35" t="e">
        <f t="shared" si="3"/>
        <v>#VALUE!</v>
      </c>
    </row>
    <row r="26" s="1" customFormat="1" ht="15.6"/>
    <row r="27" s="1" customFormat="1" ht="15.6" spans="1:13">
      <c r="A27" s="30" t="s">
        <v>2110</v>
      </c>
    </row>
  </sheetData>
  <mergeCells count="7">
    <mergeCell ref="A1:M1"/>
    <mergeCell ref="D4:G4"/>
    <mergeCell ref="H4:L4"/>
    <mergeCell ref="A4:A5"/>
    <mergeCell ref="B4:B5"/>
    <mergeCell ref="C4:C5"/>
    <mergeCell ref="M4:M5"/>
  </mergeCells>
  <conditionalFormatting sqref="C$1:M$1048576">
    <cfRule type="cellIs" dxfId="0" priority="1" operator="equal">
      <formula>0</formula>
    </cfRule>
  </conditionalFormatting>
  <printOptions horizontalCentered="1"/>
  <pageMargins left="0.354166666666667" right="0.314583333333333" top="0.708333333333333" bottom="0.904861111111111" header="0.511811023622047" footer="0.511811023622047"/>
  <pageSetup paperSize="9" scale="69" firstPageNumber="10" orientation="landscape" useFirstPageNumber="1"/>
  <headerFooter alignWithMargins="0">
    <oddFooter>&amp;C&amp;"Arial Narrow,常规"&amp;P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M29"/>
  <sheetViews>
    <sheetView showGridLines="0" view="pageBreakPreview" zoomScaleNormal="100" workbookViewId="0">
      <pane xSplit="2" ySplit="6" topLeftCell="D23" activePane="bottomRight" state="frozen"/>
      <selection/>
      <selection pane="topRight"/>
      <selection pane="bottomLeft"/>
      <selection pane="bottomRight" activeCell="D34" sqref="D34"/>
    </sheetView>
  </sheetViews>
  <sheetFormatPr defaultColWidth="9" defaultRowHeight="17.25" customHeight="1"/>
  <cols>
    <col min="1" max="1" width="27.5" style="3" customWidth="1"/>
    <col min="2" max="2" width="6" style="3" customWidth="1"/>
    <col min="3" max="13" width="15.2" style="3" customWidth="1"/>
    <col min="14" max="16384" width="9" style="3" customWidth="1"/>
  </cols>
  <sheetData>
    <row r="1" ht="30" customHeight="1" spans="1:13">
      <c r="A1" s="4" t="s">
        <v>2111</v>
      </c>
    </row>
    <row r="2" s="1" customFormat="1" ht="18" customHeight="1" spans="1:13">
      <c r="A2" s="5"/>
      <c r="B2" s="5"/>
      <c r="C2" s="5"/>
      <c r="D2" s="5"/>
      <c r="E2" s="5"/>
      <c r="F2" s="5"/>
      <c r="G2" s="5"/>
      <c r="H2" s="5"/>
      <c r="I2" s="5"/>
      <c r="J2" s="5"/>
      <c r="K2" s="5"/>
      <c r="L2" s="5"/>
      <c r="M2" s="5"/>
    </row>
    <row r="3" s="1" customFormat="1" ht="18" customHeight="1" spans="1:13">
      <c r="A3" s="5" t="s">
        <v>2</v>
      </c>
      <c r="B3" s="5"/>
      <c r="D3" s="6"/>
      <c r="F3" s="7"/>
      <c r="G3" s="7"/>
      <c r="H3" s="8" t="s">
        <v>1928</v>
      </c>
      <c r="I3" s="7"/>
      <c r="J3" s="7"/>
      <c r="K3" s="7"/>
      <c r="L3" s="7"/>
      <c r="M3" s="9" t="s">
        <v>3</v>
      </c>
    </row>
    <row r="4" s="2" customFormat="1" ht="18" customHeight="1" spans="1:13">
      <c r="A4" s="10" t="s">
        <v>1929</v>
      </c>
      <c r="B4" s="11" t="s">
        <v>1286</v>
      </c>
      <c r="C4" s="11" t="s">
        <v>1930</v>
      </c>
      <c r="D4" s="11" t="s">
        <v>1931</v>
      </c>
      <c r="E4" s="12"/>
      <c r="F4" s="12"/>
      <c r="G4" s="13"/>
      <c r="H4" s="11" t="s">
        <v>1932</v>
      </c>
      <c r="I4" s="12"/>
      <c r="J4" s="12"/>
      <c r="K4" s="12"/>
      <c r="L4" s="13"/>
      <c r="M4" s="11" t="s">
        <v>1933</v>
      </c>
    </row>
    <row r="5" s="2" customFormat="1" ht="24" customHeight="1" spans="1:13">
      <c r="A5" s="14"/>
      <c r="B5" s="15"/>
      <c r="C5" s="15"/>
      <c r="D5" s="11" t="s">
        <v>1934</v>
      </c>
      <c r="E5" s="11" t="s">
        <v>1935</v>
      </c>
      <c r="F5" s="11" t="s">
        <v>1936</v>
      </c>
      <c r="G5" s="11" t="s">
        <v>1937</v>
      </c>
      <c r="H5" s="11" t="s">
        <v>2112</v>
      </c>
      <c r="I5" s="11" t="s">
        <v>1939</v>
      </c>
      <c r="J5" s="11" t="s">
        <v>1940</v>
      </c>
      <c r="K5" s="11" t="s">
        <v>1941</v>
      </c>
      <c r="L5" s="11" t="s">
        <v>1937</v>
      </c>
      <c r="M5" s="15"/>
    </row>
    <row r="6" s="2" customFormat="1" ht="18" customHeight="1" spans="1:13">
      <c r="A6" s="10" t="s">
        <v>1942</v>
      </c>
      <c r="B6" s="11" t="s">
        <v>1306</v>
      </c>
      <c r="C6" s="16">
        <v>1</v>
      </c>
      <c r="D6" s="16">
        <v>2</v>
      </c>
      <c r="E6" s="16">
        <v>3</v>
      </c>
      <c r="F6" s="16">
        <v>4</v>
      </c>
      <c r="G6" s="16">
        <v>5</v>
      </c>
      <c r="H6" s="16">
        <v>6</v>
      </c>
      <c r="I6" s="16">
        <v>7</v>
      </c>
      <c r="J6" s="16">
        <v>8</v>
      </c>
      <c r="K6" s="16">
        <v>9</v>
      </c>
      <c r="L6" s="16">
        <v>10</v>
      </c>
      <c r="M6" s="16">
        <v>11</v>
      </c>
    </row>
    <row r="7" s="3" customFormat="1" ht="35" customHeight="1" spans="1:13">
      <c r="A7" s="17" t="s">
        <v>1943</v>
      </c>
      <c r="B7" s="18">
        <v>1</v>
      </c>
      <c r="C7" s="19" t="s">
        <v>1944</v>
      </c>
      <c r="D7" s="19" t="s">
        <v>1945</v>
      </c>
      <c r="E7" s="19" t="s">
        <v>1946</v>
      </c>
      <c r="F7" s="19" t="s">
        <v>1947</v>
      </c>
      <c r="G7" s="19">
        <f t="shared" ref="G7:G19" si="0">SUM(D7:F7)</f>
        <v>0</v>
      </c>
      <c r="H7" s="20" t="s">
        <v>1948</v>
      </c>
      <c r="I7" s="20" t="s">
        <v>1949</v>
      </c>
      <c r="J7" s="20" t="s">
        <v>1950</v>
      </c>
      <c r="K7" s="20" t="s">
        <v>1951</v>
      </c>
      <c r="L7" s="19">
        <f>SUM(H7:K7)</f>
        <v>0</v>
      </c>
      <c r="M7" s="19" t="e">
        <f t="shared" ref="M7:M19" si="1">C7+G7-L7</f>
        <v>#VALUE!</v>
      </c>
    </row>
    <row r="8" s="3" customFormat="1" ht="35" customHeight="1" spans="1:13">
      <c r="A8" s="21" t="s">
        <v>1952</v>
      </c>
      <c r="B8" s="22">
        <v>2</v>
      </c>
      <c r="C8" s="23" t="s">
        <v>1953</v>
      </c>
      <c r="D8" s="24" t="s">
        <v>1954</v>
      </c>
      <c r="E8" s="24" t="s">
        <v>1955</v>
      </c>
      <c r="F8" s="24" t="s">
        <v>1956</v>
      </c>
      <c r="G8" s="23">
        <f t="shared" si="0"/>
        <v>0</v>
      </c>
      <c r="H8" s="25" t="s">
        <v>1958</v>
      </c>
      <c r="I8" s="25" t="s">
        <v>1959</v>
      </c>
      <c r="J8" s="25" t="s">
        <v>1960</v>
      </c>
      <c r="K8" s="25" t="s">
        <v>1961</v>
      </c>
      <c r="L8" s="23">
        <f>SUM(H8:K8)</f>
        <v>0</v>
      </c>
      <c r="M8" s="23" t="e">
        <f t="shared" si="1"/>
        <v>#VALUE!</v>
      </c>
    </row>
    <row r="9" s="3" customFormat="1" ht="35" customHeight="1" spans="1:13">
      <c r="A9" s="26" t="s">
        <v>1964</v>
      </c>
      <c r="B9" s="22">
        <v>3</v>
      </c>
      <c r="C9" s="23" t="s">
        <v>1965</v>
      </c>
      <c r="D9" s="24" t="s">
        <v>1966</v>
      </c>
      <c r="E9" s="24" t="s">
        <v>1967</v>
      </c>
      <c r="F9" s="24" t="s">
        <v>1968</v>
      </c>
      <c r="G9" s="23">
        <f t="shared" si="0"/>
        <v>0</v>
      </c>
      <c r="H9" s="25" t="s">
        <v>1969</v>
      </c>
      <c r="I9" s="25" t="s">
        <v>1970</v>
      </c>
      <c r="J9" s="25" t="s">
        <v>1971</v>
      </c>
      <c r="K9" s="25" t="s">
        <v>1972</v>
      </c>
      <c r="L9" s="23">
        <f>SUM(H9:K9)</f>
        <v>0</v>
      </c>
      <c r="M9" s="23" t="e">
        <f t="shared" si="1"/>
        <v>#VALUE!</v>
      </c>
    </row>
    <row r="10" s="3" customFormat="1" ht="27" customHeight="1" spans="1:13">
      <c r="A10" s="26" t="s">
        <v>1973</v>
      </c>
      <c r="B10" s="22">
        <v>4</v>
      </c>
      <c r="C10" s="23" t="s">
        <v>1974</v>
      </c>
      <c r="D10" s="23" t="s">
        <v>1975</v>
      </c>
      <c r="E10" s="23" t="s">
        <v>1976</v>
      </c>
      <c r="F10" s="23" t="s">
        <v>1977</v>
      </c>
      <c r="G10" s="23">
        <f t="shared" si="0"/>
        <v>0</v>
      </c>
      <c r="H10" s="25" t="s">
        <v>1978</v>
      </c>
      <c r="I10" s="25" t="s">
        <v>1979</v>
      </c>
      <c r="J10" s="25" t="s">
        <v>1980</v>
      </c>
      <c r="K10" s="25" t="s">
        <v>1981</v>
      </c>
      <c r="L10" s="23">
        <f>SUM(H10:K10)</f>
        <v>0</v>
      </c>
      <c r="M10" s="23" t="e">
        <f t="shared" si="1"/>
        <v>#VALUE!</v>
      </c>
    </row>
    <row r="11" s="3" customFormat="1" ht="27" customHeight="1" spans="1:13">
      <c r="A11" s="26" t="s">
        <v>1982</v>
      </c>
      <c r="B11" s="22">
        <v>5</v>
      </c>
      <c r="C11" s="23" t="s">
        <v>1983</v>
      </c>
      <c r="D11" s="23" t="s">
        <v>1984</v>
      </c>
      <c r="E11" s="23" t="s">
        <v>1985</v>
      </c>
      <c r="F11" s="23" t="s">
        <v>1986</v>
      </c>
      <c r="G11" s="23">
        <f t="shared" si="0"/>
        <v>0</v>
      </c>
      <c r="H11" s="25" t="s">
        <v>1987</v>
      </c>
      <c r="I11" s="25" t="s">
        <v>1988</v>
      </c>
      <c r="J11" s="23" t="s">
        <v>1989</v>
      </c>
      <c r="K11" s="23" t="s">
        <v>1990</v>
      </c>
      <c r="L11" s="23">
        <f>SUM(H11:K11)</f>
        <v>0</v>
      </c>
      <c r="M11" s="23" t="e">
        <f t="shared" si="1"/>
        <v>#VALUE!</v>
      </c>
    </row>
    <row r="12" s="3" customFormat="1" ht="27" customHeight="1" spans="1:13">
      <c r="A12" s="26" t="s">
        <v>1991</v>
      </c>
      <c r="B12" s="22">
        <v>6</v>
      </c>
      <c r="C12" s="23" t="s">
        <v>1992</v>
      </c>
      <c r="D12" s="23" t="s">
        <v>1993</v>
      </c>
      <c r="E12" s="23" t="s">
        <v>1994</v>
      </c>
      <c r="F12" s="23" t="s">
        <v>1995</v>
      </c>
      <c r="G12" s="23">
        <f t="shared" si="0"/>
        <v>0</v>
      </c>
      <c r="H12" s="25" t="s">
        <v>1996</v>
      </c>
      <c r="I12" s="25" t="s">
        <v>1997</v>
      </c>
      <c r="J12" s="23" t="s">
        <v>1998</v>
      </c>
      <c r="K12" s="23" t="s">
        <v>1999</v>
      </c>
      <c r="L12" s="23">
        <f t="shared" ref="L12:L19" si="2">SUM(I12:K12)</f>
        <v>0</v>
      </c>
      <c r="M12" s="23" t="e">
        <f t="shared" si="1"/>
        <v>#VALUE!</v>
      </c>
    </row>
    <row r="13" s="3" customFormat="1" ht="27" customHeight="1" spans="1:13">
      <c r="A13" s="26" t="s">
        <v>2000</v>
      </c>
      <c r="B13" s="22">
        <v>7</v>
      </c>
      <c r="C13" s="23" t="s">
        <v>2001</v>
      </c>
      <c r="D13" s="23" t="s">
        <v>2002</v>
      </c>
      <c r="E13" s="23" t="s">
        <v>2003</v>
      </c>
      <c r="F13" s="23" t="s">
        <v>2004</v>
      </c>
      <c r="G13" s="23">
        <f t="shared" si="0"/>
        <v>0</v>
      </c>
      <c r="H13" s="25" t="s">
        <v>2005</v>
      </c>
      <c r="I13" s="23" t="s">
        <v>2006</v>
      </c>
      <c r="J13" s="23" t="s">
        <v>2007</v>
      </c>
      <c r="K13" s="23" t="s">
        <v>2008</v>
      </c>
      <c r="L13" s="23">
        <f t="shared" si="2"/>
        <v>0</v>
      </c>
      <c r="M13" s="23" t="e">
        <f t="shared" si="1"/>
        <v>#VALUE!</v>
      </c>
    </row>
    <row r="14" s="3" customFormat="1" ht="27" customHeight="1" spans="1:13">
      <c r="A14" s="26" t="s">
        <v>2009</v>
      </c>
      <c r="B14" s="22">
        <v>8</v>
      </c>
      <c r="C14" s="23" t="s">
        <v>2010</v>
      </c>
      <c r="D14" s="23" t="s">
        <v>2011</v>
      </c>
      <c r="E14" s="23" t="s">
        <v>2012</v>
      </c>
      <c r="F14" s="23" t="s">
        <v>2013</v>
      </c>
      <c r="G14" s="23">
        <f t="shared" si="0"/>
        <v>0</v>
      </c>
      <c r="H14" s="25" t="s">
        <v>2014</v>
      </c>
      <c r="I14" s="23" t="s">
        <v>2015</v>
      </c>
      <c r="J14" s="23" t="s">
        <v>2016</v>
      </c>
      <c r="K14" s="23" t="s">
        <v>2017</v>
      </c>
      <c r="L14" s="23">
        <f t="shared" si="2"/>
        <v>0</v>
      </c>
      <c r="M14" s="23" t="e">
        <f t="shared" si="1"/>
        <v>#VALUE!</v>
      </c>
    </row>
    <row r="15" s="3" customFormat="1" ht="27" customHeight="1" spans="1:13">
      <c r="A15" s="26" t="s">
        <v>2018</v>
      </c>
      <c r="B15" s="22">
        <v>9</v>
      </c>
      <c r="C15" s="23" t="s">
        <v>2019</v>
      </c>
      <c r="D15" s="23" t="s">
        <v>2020</v>
      </c>
      <c r="E15" s="23" t="s">
        <v>2021</v>
      </c>
      <c r="F15" s="23" t="s">
        <v>2022</v>
      </c>
      <c r="G15" s="23">
        <f t="shared" si="0"/>
        <v>0</v>
      </c>
      <c r="H15" s="25" t="s">
        <v>2023</v>
      </c>
      <c r="I15" s="25" t="s">
        <v>2024</v>
      </c>
      <c r="J15" s="23" t="s">
        <v>2025</v>
      </c>
      <c r="K15" s="23" t="s">
        <v>2026</v>
      </c>
      <c r="L15" s="23">
        <f t="shared" si="2"/>
        <v>0</v>
      </c>
      <c r="M15" s="23" t="e">
        <f t="shared" si="1"/>
        <v>#VALUE!</v>
      </c>
    </row>
    <row r="16" s="3" customFormat="1" ht="27" customHeight="1" spans="1:13">
      <c r="A16" s="26" t="s">
        <v>2027</v>
      </c>
      <c r="B16" s="22">
        <v>10</v>
      </c>
      <c r="C16" s="23" t="s">
        <v>2028</v>
      </c>
      <c r="D16" s="23" t="s">
        <v>2029</v>
      </c>
      <c r="E16" s="23" t="s">
        <v>2030</v>
      </c>
      <c r="F16" s="23" t="s">
        <v>2031</v>
      </c>
      <c r="G16" s="23">
        <f t="shared" si="0"/>
        <v>0</v>
      </c>
      <c r="H16" s="25" t="s">
        <v>2032</v>
      </c>
      <c r="I16" s="23" t="s">
        <v>2033</v>
      </c>
      <c r="J16" s="23" t="s">
        <v>2034</v>
      </c>
      <c r="K16" s="23" t="s">
        <v>2035</v>
      </c>
      <c r="L16" s="23">
        <f t="shared" si="2"/>
        <v>0</v>
      </c>
      <c r="M16" s="23" t="e">
        <f t="shared" si="1"/>
        <v>#VALUE!</v>
      </c>
    </row>
    <row r="17" s="3" customFormat="1" ht="27" customHeight="1" spans="1:13">
      <c r="A17" s="26" t="s">
        <v>2036</v>
      </c>
      <c r="B17" s="22">
        <v>11</v>
      </c>
      <c r="C17" s="23" t="s">
        <v>2037</v>
      </c>
      <c r="D17" s="23" t="s">
        <v>2038</v>
      </c>
      <c r="E17" s="23" t="s">
        <v>2039</v>
      </c>
      <c r="F17" s="23" t="s">
        <v>2040</v>
      </c>
      <c r="G17" s="23">
        <f t="shared" si="0"/>
        <v>0</v>
      </c>
      <c r="H17" s="25" t="s">
        <v>2041</v>
      </c>
      <c r="I17" s="25" t="s">
        <v>2042</v>
      </c>
      <c r="J17" s="23" t="s">
        <v>2043</v>
      </c>
      <c r="K17" s="23" t="s">
        <v>2044</v>
      </c>
      <c r="L17" s="23">
        <f t="shared" si="2"/>
        <v>0</v>
      </c>
      <c r="M17" s="23" t="e">
        <f t="shared" si="1"/>
        <v>#VALUE!</v>
      </c>
    </row>
    <row r="18" s="3" customFormat="1" ht="27" customHeight="1" spans="1:13">
      <c r="A18" s="26" t="s">
        <v>2045</v>
      </c>
      <c r="B18" s="22">
        <v>12</v>
      </c>
      <c r="C18" s="23" t="s">
        <v>2046</v>
      </c>
      <c r="D18" s="23" t="s">
        <v>2047</v>
      </c>
      <c r="E18" s="23" t="s">
        <v>2048</v>
      </c>
      <c r="F18" s="23" t="s">
        <v>2049</v>
      </c>
      <c r="G18" s="23">
        <f t="shared" si="0"/>
        <v>0</v>
      </c>
      <c r="H18" s="25" t="s">
        <v>2050</v>
      </c>
      <c r="I18" s="23" t="s">
        <v>2051</v>
      </c>
      <c r="J18" s="23" t="s">
        <v>2052</v>
      </c>
      <c r="K18" s="23" t="s">
        <v>2053</v>
      </c>
      <c r="L18" s="23">
        <f t="shared" si="2"/>
        <v>0</v>
      </c>
      <c r="M18" s="23" t="e">
        <f t="shared" si="1"/>
        <v>#VALUE!</v>
      </c>
    </row>
    <row r="19" s="3" customFormat="1" ht="27" customHeight="1" spans="1:13">
      <c r="A19" s="26" t="s">
        <v>2054</v>
      </c>
      <c r="B19" s="22">
        <v>13</v>
      </c>
      <c r="C19" s="23" t="s">
        <v>2055</v>
      </c>
      <c r="D19" s="23" t="s">
        <v>2056</v>
      </c>
      <c r="E19" s="23" t="s">
        <v>2057</v>
      </c>
      <c r="F19" s="23" t="s">
        <v>2058</v>
      </c>
      <c r="G19" s="23">
        <f t="shared" si="0"/>
        <v>0</v>
      </c>
      <c r="H19" s="25" t="s">
        <v>2059</v>
      </c>
      <c r="I19" s="25" t="s">
        <v>2060</v>
      </c>
      <c r="J19" s="23" t="s">
        <v>2061</v>
      </c>
      <c r="K19" s="23" t="s">
        <v>2062</v>
      </c>
      <c r="L19" s="23">
        <f t="shared" si="2"/>
        <v>0</v>
      </c>
      <c r="M19" s="23" t="e">
        <f t="shared" si="1"/>
        <v>#VALUE!</v>
      </c>
    </row>
    <row r="20" s="3" customFormat="1" ht="27" customHeight="1" spans="1:13">
      <c r="A20" s="26" t="s">
        <v>2064</v>
      </c>
      <c r="B20" s="22">
        <v>14</v>
      </c>
      <c r="C20" s="23" t="s">
        <v>2065</v>
      </c>
      <c r="D20" s="23" t="s">
        <v>2066</v>
      </c>
      <c r="E20" s="23" t="s">
        <v>2067</v>
      </c>
      <c r="F20" s="23" t="s">
        <v>2068</v>
      </c>
      <c r="G20" s="23" t="s">
        <v>2113</v>
      </c>
      <c r="H20" s="25" t="s">
        <v>2069</v>
      </c>
      <c r="I20" s="25" t="s">
        <v>2070</v>
      </c>
      <c r="J20" s="23" t="s">
        <v>2071</v>
      </c>
      <c r="K20" s="23" t="s">
        <v>2072</v>
      </c>
      <c r="L20" s="23" t="s">
        <v>2114</v>
      </c>
      <c r="M20" s="23" t="s">
        <v>2115</v>
      </c>
    </row>
    <row r="21" s="3" customFormat="1" ht="27" customHeight="1" spans="1:13">
      <c r="A21" s="26" t="s">
        <v>2073</v>
      </c>
      <c r="B21" s="22">
        <v>15</v>
      </c>
      <c r="C21" s="23" t="s">
        <v>2074</v>
      </c>
      <c r="D21" s="23" t="s">
        <v>2075</v>
      </c>
      <c r="E21" s="23" t="s">
        <v>2076</v>
      </c>
      <c r="F21" s="23" t="s">
        <v>2077</v>
      </c>
      <c r="G21" s="23">
        <f>SUM(D21:F21)</f>
        <v>0</v>
      </c>
      <c r="H21" s="25" t="s">
        <v>2078</v>
      </c>
      <c r="I21" s="23" t="s">
        <v>2079</v>
      </c>
      <c r="J21" s="23" t="s">
        <v>2080</v>
      </c>
      <c r="K21" s="23" t="s">
        <v>2081</v>
      </c>
      <c r="L21" s="23">
        <f>SUM(H21:K21)</f>
        <v>0</v>
      </c>
      <c r="M21" s="23" t="e">
        <f>C21+G21-L21</f>
        <v>#VALUE!</v>
      </c>
    </row>
    <row r="22" s="3" customFormat="1" ht="27" customHeight="1" spans="1:13">
      <c r="A22" s="26" t="s">
        <v>2082</v>
      </c>
      <c r="B22" s="22">
        <v>16</v>
      </c>
      <c r="C22" s="23" t="s">
        <v>2083</v>
      </c>
      <c r="D22" s="23" t="s">
        <v>2084</v>
      </c>
      <c r="E22" s="23" t="s">
        <v>2085</v>
      </c>
      <c r="F22" s="23" t="s">
        <v>2086</v>
      </c>
      <c r="G22" s="23">
        <f>SUM(D22:F22)</f>
        <v>0</v>
      </c>
      <c r="H22" s="25" t="s">
        <v>2087</v>
      </c>
      <c r="I22" s="23" t="s">
        <v>2088</v>
      </c>
      <c r="J22" s="23" t="s">
        <v>2089</v>
      </c>
      <c r="K22" s="23" t="s">
        <v>2090</v>
      </c>
      <c r="L22" s="23">
        <f>SUM(I22:K22)</f>
        <v>0</v>
      </c>
      <c r="M22" s="23" t="e">
        <f>C22+G22-L22</f>
        <v>#VALUE!</v>
      </c>
    </row>
    <row r="23" s="3" customFormat="1" ht="27" customHeight="1" spans="1:13">
      <c r="A23" s="26" t="s">
        <v>2091</v>
      </c>
      <c r="B23" s="22">
        <v>17</v>
      </c>
      <c r="C23" s="23" t="s">
        <v>2092</v>
      </c>
      <c r="D23" s="23" t="s">
        <v>2093</v>
      </c>
      <c r="E23" s="23" t="s">
        <v>2094</v>
      </c>
      <c r="F23" s="23" t="s">
        <v>2095</v>
      </c>
      <c r="G23" s="23">
        <f>SUM(D23:F23)</f>
        <v>0</v>
      </c>
      <c r="H23" s="25" t="s">
        <v>2096</v>
      </c>
      <c r="I23" s="23" t="s">
        <v>2097</v>
      </c>
      <c r="J23" s="23" t="s">
        <v>2098</v>
      </c>
      <c r="K23" s="23" t="s">
        <v>2099</v>
      </c>
      <c r="L23" s="23">
        <f>SUM(H23:K23)</f>
        <v>0</v>
      </c>
      <c r="M23" s="23" t="e">
        <f>C23+G23-L23</f>
        <v>#VALUE!</v>
      </c>
    </row>
    <row r="24" s="3" customFormat="1" ht="27" customHeight="1" spans="1:13">
      <c r="A24" s="26" t="s">
        <v>2100</v>
      </c>
      <c r="B24" s="22">
        <v>18</v>
      </c>
      <c r="C24" s="23" t="s">
        <v>2101</v>
      </c>
      <c r="D24" s="23" t="s">
        <v>2102</v>
      </c>
      <c r="E24" s="23" t="s">
        <v>2103</v>
      </c>
      <c r="F24" s="23" t="s">
        <v>2104</v>
      </c>
      <c r="G24" s="23">
        <f>SUM(D24:F24)</f>
        <v>0</v>
      </c>
      <c r="H24" s="25" t="s">
        <v>2105</v>
      </c>
      <c r="I24" s="23" t="s">
        <v>2106</v>
      </c>
      <c r="J24" s="23" t="s">
        <v>2107</v>
      </c>
      <c r="K24" s="23" t="s">
        <v>2108</v>
      </c>
      <c r="L24" s="23">
        <f>SUM(H24:K24)</f>
        <v>0</v>
      </c>
      <c r="M24" s="23" t="e">
        <f>C24+G24-L24</f>
        <v>#VALUE!</v>
      </c>
    </row>
    <row r="25" s="3" customFormat="1" ht="27" customHeight="1" spans="1:13">
      <c r="A25" s="27" t="s">
        <v>2109</v>
      </c>
      <c r="B25" s="28">
        <v>19</v>
      </c>
      <c r="C25" s="29">
        <f t="shared" ref="C25:M25" si="3">SUM(C7:C24)</f>
        <v>0</v>
      </c>
      <c r="D25" s="29">
        <f t="shared" si="3"/>
        <v>0</v>
      </c>
      <c r="E25" s="29">
        <f t="shared" si="3"/>
        <v>0</v>
      </c>
      <c r="F25" s="29">
        <f t="shared" si="3"/>
        <v>0</v>
      </c>
      <c r="G25" s="29">
        <f t="shared" si="3"/>
        <v>0</v>
      </c>
      <c r="H25" s="29">
        <f t="shared" si="3"/>
        <v>0</v>
      </c>
      <c r="I25" s="29">
        <f t="shared" si="3"/>
        <v>0</v>
      </c>
      <c r="J25" s="29">
        <f t="shared" si="3"/>
        <v>0</v>
      </c>
      <c r="K25" s="29">
        <f t="shared" si="3"/>
        <v>0</v>
      </c>
      <c r="L25" s="29">
        <f t="shared" si="3"/>
        <v>0</v>
      </c>
      <c r="M25" s="29" t="e">
        <f t="shared" si="3"/>
        <v>#VALUE!</v>
      </c>
    </row>
    <row r="26" s="1" customFormat="1" ht="22.2" customHeight="1"/>
    <row r="27" s="1" customFormat="1" ht="15.6" spans="1:13">
      <c r="A27" s="30" t="s">
        <v>2110</v>
      </c>
    </row>
    <row r="28" s="1" customFormat="1" ht="15.6" spans="1:13">
      <c r="A28" s="30"/>
    </row>
    <row r="29" s="1" customFormat="1" ht="15.6"/>
  </sheetData>
  <mergeCells count="7">
    <mergeCell ref="A1:M1"/>
    <mergeCell ref="D4:G4"/>
    <mergeCell ref="H4:L4"/>
    <mergeCell ref="A4:A5"/>
    <mergeCell ref="B4:B5"/>
    <mergeCell ref="C4:C5"/>
    <mergeCell ref="M4:M5"/>
  </mergeCells>
  <conditionalFormatting sqref="C$1:M$1048576">
    <cfRule type="cellIs" dxfId="0" priority="1" operator="equal">
      <formula>0</formula>
    </cfRule>
  </conditionalFormatting>
  <printOptions horizontalCentered="1"/>
  <pageMargins left="0.432638888888889" right="0.354166666666667" top="0.786805555555556" bottom="0.786805555555556" header="0.511811023622047" footer="0.511811023622047"/>
  <pageSetup paperSize="9" scale="65" firstPageNumber="10" orientation="landscape" useFirstPageNumber="1"/>
  <headerFooter alignWithMargins="0">
    <oddFooter>&amp;C&amp;"Arial Narrow,常规"&amp;P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8"/>
  <sheetViews>
    <sheetView workbookViewId="0">
      <selection activeCell="A1" sqref="A1"/>
    </sheetView>
  </sheetViews>
  <sheetFormatPr defaultColWidth="9" defaultRowHeight="15.6" outlineLevelRow="7" outlineLevelCol="1"/>
  <sheetData>
    <row r="1" spans="1:2">
      <c r="A1" t="s">
        <v>2116</v>
      </c>
      <c r="B1" t="s">
        <v>2117</v>
      </c>
    </row>
    <row r="2" spans="1:2">
      <c r="A2" t="s">
        <v>2118</v>
      </c>
      <c r="B2" t="s">
        <v>2119</v>
      </c>
    </row>
    <row r="3" spans="1:2">
      <c r="A3" t="s">
        <v>2120</v>
      </c>
      <c r="B3" t="s">
        <v>2121</v>
      </c>
    </row>
    <row r="4" spans="1:2">
      <c r="A4" t="s">
        <v>2122</v>
      </c>
      <c r="B4" t="s">
        <v>2123</v>
      </c>
    </row>
    <row r="5" spans="1:2">
      <c r="A5" t="s">
        <v>2124</v>
      </c>
      <c r="B5" t="s">
        <v>2125</v>
      </c>
    </row>
    <row r="6" spans="1:2">
      <c r="A6" t="s">
        <v>2126</v>
      </c>
      <c r="B6" t="s">
        <v>2127</v>
      </c>
    </row>
    <row r="7" spans="1:2">
      <c r="A7" t="s">
        <v>2128</v>
      </c>
      <c r="B7" t="s">
        <v>2129</v>
      </c>
    </row>
    <row r="8" spans="1:2">
      <c r="A8" t="s">
        <v>2130</v>
      </c>
      <c r="B8" t="s">
        <v>2131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1,2-资产负债表(企财01表）</vt:lpstr>
      <vt:lpstr>1,2-资产负债表(企财01表）续</vt:lpstr>
      <vt:lpstr>3-利润表（企财02表）</vt:lpstr>
      <vt:lpstr>4-现金流量表（企财03表）</vt:lpstr>
      <vt:lpstr>5-所有者权益变动表（企财04表-合并）</vt:lpstr>
      <vt:lpstr>6-所有者权益变动表（企财04表-母公司）</vt:lpstr>
      <vt:lpstr>7-资产减值准备情况表（企财06表－合并）</vt:lpstr>
      <vt:lpstr>8-资产减值准备情况表（企财06表－母公司）</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dc:creator>
  <cp:lastModifiedBy>杨志</cp:lastModifiedBy>
  <dcterms:created xsi:type="dcterms:W3CDTF">2007-11-28T03:17:00Z</dcterms:created>
  <cp:lastPrinted>2022-12-28T09:07:00Z</cp:lastPrinted>
  <dcterms:modified xsi:type="dcterms:W3CDTF">2026-06-11T14:05:18Z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53124284ED974854A8CC436D41FB5A67_12</vt:lpwstr>
  </property>
  <property fmtid="{D5CDD505-2E9C-101B-9397-08002B2CF9AE}" pid="3" name="KSOProductBuildVer">
    <vt:lpwstr>2052-12.1.0.26895</vt:lpwstr>
  </property>
  <property fmtid="{D5CDD505-2E9C-101B-9397-08002B2CF9AE}" pid="4" name="CalculationRule">
    <vt:i4>0</vt:i4>
  </property>
</Properties>
</file>