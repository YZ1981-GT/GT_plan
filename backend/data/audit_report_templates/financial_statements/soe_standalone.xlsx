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188" windowHeight="9060" tabRatio="741" firstSheet="0" activeTab="0" autoFilterDateGrouping="1"/>
  </bookViews>
  <sheets>
    <sheet xmlns:r="http://schemas.openxmlformats.org/officeDocument/2006/relationships" name="1,2-资产负债表(企财01表）" sheetId="1" state="visible" r:id="rId1"/>
    <sheet xmlns:r="http://schemas.openxmlformats.org/officeDocument/2006/relationships" name="1,2-资产负债表(企财01表）续" sheetId="2" state="visible" r:id="rId2"/>
    <sheet xmlns:r="http://schemas.openxmlformats.org/officeDocument/2006/relationships" name="3-利润表（企财02表）" sheetId="3" state="visible" r:id="rId3"/>
    <sheet xmlns:r="http://schemas.openxmlformats.org/officeDocument/2006/relationships" name="4-现金流量表（企财03表）" sheetId="4" state="visible" r:id="rId4"/>
    <sheet xmlns:r="http://schemas.openxmlformats.org/officeDocument/2006/relationships" name="5-所有者权益变动表（企财04表）" sheetId="5" state="visible" r:id="rId5"/>
    <sheet xmlns:r="http://schemas.openxmlformats.org/officeDocument/2006/relationships" name="6-资产减值准备情况表（企财06表）" sheetId="6" state="visible" r:id="rId6"/>
    <sheet xmlns:r="http://schemas.openxmlformats.org/officeDocument/2006/relationships" name="GT_Custom" sheetId="7" state="hidden" r:id="rId7"/>
  </sheets>
  <definedNames>
    <definedName name="_xlnm.Print_Area" localSheetId="0">'1,2-资产负债表(企财01表）'!$A$1:$D$57</definedName>
    <definedName name="_xlnm.Print_Area" localSheetId="1">'1,2-资产负债表(企财01表）续'!$A$1:$D$82</definedName>
    <definedName name="_xlnm.Print_Area" localSheetId="2">'3-利润表（企财02表）'!$A$1:$D$84</definedName>
    <definedName name="_xlnm.Print_Area" localSheetId="3">'4-现金流量表（企财03表）'!$A$1:$D$69</definedName>
    <definedName name="_xlnm.Print_Titles" localSheetId="4">'5-所有者权益变动表（企财04表）'!$A:$B</definedName>
    <definedName name="_xlnm.Print_Area" localSheetId="4">'5-所有者权益变动表（企财04表）'!$A$1:$Z$43</definedName>
    <definedName name="_xlnm.Print_Area" localSheetId="5">'6-资产减值准备情况表（企财06表）'!$A$1:$M$27</definedName>
  </definedNames>
  <calcPr calcId="191029" fullCalcOnLoad="1" concurrentCalc="0"/>
</workbook>
</file>

<file path=xl/styles.xml><?xml version="1.0" encoding="utf-8"?>
<styleSheet xmlns="http://schemas.openxmlformats.org/spreadsheetml/2006/main">
  <numFmts count="2">
    <numFmt numFmtId="164" formatCode="_ * #,##0.00_ ;_ * \-#,##0.00_ ;_ * &quot;-&quot;??_ ;_ @_ "/>
    <numFmt numFmtId="165" formatCode="#,##0.00_ "/>
  </numFmts>
  <fonts count="54">
    <font>
      <name val="宋体"/>
      <charset val="134"/>
      <sz val="12"/>
    </font>
    <font>
      <name val="仿宋_GB2312"/>
      <charset val="134"/>
      <sz val="12"/>
    </font>
    <font>
      <name val="仿宋_GB2312"/>
      <charset val="134"/>
      <sz val="10"/>
    </font>
    <font>
      <name val="仿宋_GB2312"/>
      <charset val="134"/>
      <b val="1"/>
      <sz val="16"/>
    </font>
    <font>
      <name val="Arial Narrow"/>
      <charset val="134"/>
      <sz val="12"/>
    </font>
    <font>
      <name val="仿宋_GB2312"/>
      <charset val="134"/>
      <sz val="11"/>
    </font>
    <font>
      <name val="Arial Narrow"/>
      <charset val="134"/>
      <sz val="11"/>
    </font>
    <font>
      <name val="仿宋_GB2312"/>
      <charset val="134"/>
      <b val="1"/>
      <color indexed="8"/>
      <sz val="11"/>
    </font>
    <font>
      <name val="Arial Narrow"/>
      <charset val="134"/>
      <color indexed="8"/>
      <sz val="11"/>
    </font>
    <font>
      <name val="仿宋_GB2312"/>
      <charset val="134"/>
      <b val="1"/>
      <sz val="12"/>
    </font>
    <font>
      <name val="宋体"/>
      <charset val="134"/>
      <sz val="10"/>
    </font>
    <font>
      <name val="宋体"/>
      <charset val="134"/>
      <b val="1"/>
      <sz val="10"/>
    </font>
    <font>
      <name val="宋体"/>
      <charset val="134"/>
      <b val="1"/>
      <sz val="16"/>
    </font>
    <font>
      <name val="Arial Narrow"/>
      <charset val="134"/>
      <sz val="10"/>
    </font>
    <font>
      <name val="仿宋_GB2312"/>
      <charset val="134"/>
      <b val="1"/>
      <sz val="10"/>
    </font>
    <font>
      <name val="Arial Narrow"/>
      <charset val="134"/>
      <b val="1"/>
      <sz val="10"/>
    </font>
    <font>
      <name val="宋体"/>
      <charset val="134"/>
      <color indexed="8"/>
      <sz val="12"/>
    </font>
    <font>
      <name val="仿宋_GB2312"/>
      <charset val="134"/>
      <sz val="16"/>
    </font>
    <font>
      <name val="Arial Narrow"/>
      <charset val="134"/>
      <b val="1"/>
      <sz val="12"/>
    </font>
    <font>
      <name val="Arial"/>
      <charset val="134"/>
      <sz val="10"/>
    </font>
    <font>
      <name val="Arial Narrow"/>
      <charset val="134"/>
      <color rgb="FF000000"/>
      <sz val="12"/>
    </font>
    <font>
      <name val="仿宋_GB2312"/>
      <charset val="134"/>
      <color indexed="8"/>
      <sz val="12"/>
    </font>
    <font>
      <name val="仿宋_GB2312"/>
      <charset val="134"/>
      <color rgb="FFFF0000"/>
      <sz val="12"/>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仿宋_GB2312"/>
      <charset val="134"/>
      <color rgb="FF000000"/>
      <sz val="12"/>
    </font>
    <font>
      <name val="宋体"/>
      <charset val="134"/>
      <color indexed="10"/>
      <sz val="10"/>
    </font>
    <font>
      <name val="仿宋_GB2312"/>
      <charset val="134"/>
      <color indexed="10"/>
      <sz val="10"/>
    </font>
    <font>
      <name val="仿宋_GB2312"/>
      <charset val="134"/>
      <color indexed="10"/>
      <sz val="12"/>
    </font>
    <font>
      <name val="仿宋_GB2312"/>
      <charset val="134"/>
      <color theme="1"/>
      <sz val="12"/>
    </font>
    <font>
      <name val="Arial"/>
      <charset val="134"/>
      <color indexed="10"/>
      <sz val="10"/>
    </font>
    <font>
      <name val="宋体"/>
      <charset val="134"/>
      <b val="1"/>
      <sz val="9"/>
    </font>
    <font>
      <name val="Tahoma"/>
      <charset val="134"/>
      <b val="1"/>
      <sz val="9"/>
    </font>
    <font>
      <name val="宋体"/>
      <charset val="134"/>
      <sz val="9"/>
    </font>
    <font>
      <name val="Tahoma"/>
      <charset val="134"/>
      <sz val="9"/>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s>
  <cellStyleXfs count="54">
    <xf numFmtId="0" fontId="0" fillId="0" borderId="0"/>
    <xf numFmtId="43" fontId="23" fillId="0" borderId="0" applyAlignment="1">
      <alignment vertical="center"/>
    </xf>
    <xf numFmtId="44" fontId="23" fillId="0" borderId="0" applyAlignment="1">
      <alignment vertical="center"/>
    </xf>
    <xf numFmtId="9" fontId="23" fillId="0" borderId="0" applyAlignment="1">
      <alignment vertical="center"/>
    </xf>
    <xf numFmtId="41" fontId="23" fillId="0" borderId="0" applyAlignment="1">
      <alignment vertical="center"/>
    </xf>
    <xf numFmtId="42" fontId="23" fillId="0" borderId="0" applyAlignment="1">
      <alignment vertical="center"/>
    </xf>
    <xf numFmtId="0" fontId="24" fillId="0" borderId="0" applyAlignment="1">
      <alignment vertical="center"/>
    </xf>
    <xf numFmtId="0" fontId="25" fillId="0" borderId="0" applyAlignment="1">
      <alignment vertical="center"/>
    </xf>
    <xf numFmtId="0" fontId="23" fillId="2" borderId="14"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15" applyAlignment="1">
      <alignment vertical="center"/>
    </xf>
    <xf numFmtId="0" fontId="30" fillId="0" borderId="15" applyAlignment="1">
      <alignment vertical="center"/>
    </xf>
    <xf numFmtId="0" fontId="31" fillId="0" borderId="16" applyAlignment="1">
      <alignment vertical="center"/>
    </xf>
    <xf numFmtId="0" fontId="31" fillId="0" borderId="0" applyAlignment="1">
      <alignment vertical="center"/>
    </xf>
    <xf numFmtId="0" fontId="32" fillId="3" borderId="17" applyAlignment="1">
      <alignment vertical="center"/>
    </xf>
    <xf numFmtId="0" fontId="33" fillId="4" borderId="18" applyAlignment="1">
      <alignment vertical="center"/>
    </xf>
    <xf numFmtId="0" fontId="34" fillId="4" borderId="17" applyAlignment="1">
      <alignment vertical="center"/>
    </xf>
    <xf numFmtId="0" fontId="35" fillId="5" borderId="19" applyAlignment="1">
      <alignment vertical="center"/>
    </xf>
    <xf numFmtId="0" fontId="36" fillId="0" borderId="20" applyAlignment="1">
      <alignment vertical="center"/>
    </xf>
    <xf numFmtId="0" fontId="37" fillId="0" borderId="21" applyAlignment="1">
      <alignment vertical="center"/>
    </xf>
    <xf numFmtId="0" fontId="38" fillId="6" borderId="0" applyAlignment="1">
      <alignment vertical="center"/>
    </xf>
    <xf numFmtId="0" fontId="39" fillId="7" borderId="0" applyAlignment="1">
      <alignment vertical="center"/>
    </xf>
    <xf numFmtId="0" fontId="40" fillId="8" borderId="0" applyAlignment="1">
      <alignment vertical="center"/>
    </xf>
    <xf numFmtId="0" fontId="41" fillId="9" borderId="0" applyAlignment="1">
      <alignment vertical="center"/>
    </xf>
    <xf numFmtId="0" fontId="42" fillId="10" borderId="0" applyAlignment="1">
      <alignment vertical="center"/>
    </xf>
    <xf numFmtId="0" fontId="42" fillId="11" borderId="0" applyAlignment="1">
      <alignment vertical="center"/>
    </xf>
    <xf numFmtId="0" fontId="41" fillId="12" borderId="0" applyAlignment="1">
      <alignment vertical="center"/>
    </xf>
    <xf numFmtId="0" fontId="41" fillId="13" borderId="0" applyAlignment="1">
      <alignment vertical="center"/>
    </xf>
    <xf numFmtId="0" fontId="42" fillId="14" borderId="0" applyAlignment="1">
      <alignment vertical="center"/>
    </xf>
    <xf numFmtId="0" fontId="42" fillId="15" borderId="0" applyAlignment="1">
      <alignment vertical="center"/>
    </xf>
    <xf numFmtId="0" fontId="41" fillId="16" borderId="0" applyAlignment="1">
      <alignment vertical="center"/>
    </xf>
    <xf numFmtId="0" fontId="41" fillId="17" borderId="0" applyAlignment="1">
      <alignment vertical="center"/>
    </xf>
    <xf numFmtId="0" fontId="42" fillId="18" borderId="0" applyAlignment="1">
      <alignment vertical="center"/>
    </xf>
    <xf numFmtId="0" fontId="42" fillId="19" borderId="0" applyAlignment="1">
      <alignment vertical="center"/>
    </xf>
    <xf numFmtId="0" fontId="41" fillId="20" borderId="0" applyAlignment="1">
      <alignment vertical="center"/>
    </xf>
    <xf numFmtId="0" fontId="41" fillId="21" borderId="0" applyAlignment="1">
      <alignment vertical="center"/>
    </xf>
    <xf numFmtId="0" fontId="42" fillId="22" borderId="0" applyAlignment="1">
      <alignment vertical="center"/>
    </xf>
    <xf numFmtId="0" fontId="42" fillId="23" borderId="0" applyAlignment="1">
      <alignment vertical="center"/>
    </xf>
    <xf numFmtId="0" fontId="41" fillId="24" borderId="0" applyAlignment="1">
      <alignment vertical="center"/>
    </xf>
    <xf numFmtId="0" fontId="41" fillId="25" borderId="0" applyAlignment="1">
      <alignment vertical="center"/>
    </xf>
    <xf numFmtId="0" fontId="42" fillId="26" borderId="0" applyAlignment="1">
      <alignment vertical="center"/>
    </xf>
    <xf numFmtId="0" fontId="42" fillId="27" borderId="0" applyAlignment="1">
      <alignment vertical="center"/>
    </xf>
    <xf numFmtId="0" fontId="41" fillId="28" borderId="0" applyAlignment="1">
      <alignment vertical="center"/>
    </xf>
    <xf numFmtId="0" fontId="41" fillId="29" borderId="0" applyAlignment="1">
      <alignment vertical="center"/>
    </xf>
    <xf numFmtId="0" fontId="42" fillId="30" borderId="0" applyAlignment="1">
      <alignment vertical="center"/>
    </xf>
    <xf numFmtId="0" fontId="42" fillId="31" borderId="0" applyAlignment="1">
      <alignment vertical="center"/>
    </xf>
    <xf numFmtId="0" fontId="41" fillId="32" borderId="0" applyAlignment="1">
      <alignment vertical="center"/>
    </xf>
    <xf numFmtId="0" fontId="0" fillId="0" borderId="0"/>
    <xf numFmtId="0" fontId="0" fillId="0" borderId="0"/>
    <xf numFmtId="0" fontId="0" fillId="0" borderId="0" applyAlignment="1">
      <alignment vertical="center"/>
    </xf>
    <xf numFmtId="0" fontId="0" fillId="0" borderId="0"/>
    <xf numFmtId="0" fontId="43" fillId="0" borderId="0"/>
  </cellStyleXfs>
  <cellXfs count="219">
    <xf numFmtId="0" fontId="0" fillId="0" borderId="0" applyAlignment="1" pivotButton="0" quotePrefix="0" xfId="0">
      <alignment vertical="center"/>
    </xf>
    <xf numFmtId="0" fontId="1" fillId="0" borderId="0" applyAlignment="1" pivotButton="0" quotePrefix="0" xfId="52">
      <alignment vertical="center"/>
    </xf>
    <xf numFmtId="0" fontId="1" fillId="0" borderId="0" applyAlignment="1" pivotButton="0" quotePrefix="0" xfId="52">
      <alignment vertical="center"/>
    </xf>
    <xf numFmtId="0" fontId="2" fillId="0" borderId="0" applyAlignment="1" pivotButton="0" quotePrefix="0" xfId="52">
      <alignment vertical="center"/>
    </xf>
    <xf numFmtId="0" fontId="3" fillId="0" borderId="0" applyAlignment="1" pivotButton="0" quotePrefix="0" xfId="52">
      <alignment horizontal="center" vertical="center"/>
    </xf>
    <xf numFmtId="0" fontId="1" fillId="0" borderId="0" applyAlignment="1" pivotButton="0" quotePrefix="0" xfId="52">
      <alignment horizontal="left" vertical="center"/>
    </xf>
    <xf numFmtId="49" fontId="1" fillId="0" borderId="0" applyAlignment="1" pivotButton="0" quotePrefix="0" xfId="52">
      <alignment horizontal="center" vertical="center"/>
    </xf>
    <xf numFmtId="49" fontId="1" fillId="0" borderId="0" applyAlignment="1" pivotButton="0" quotePrefix="0" xfId="52">
      <alignment vertical="center"/>
    </xf>
    <xf numFmtId="49" fontId="4" fillId="0" borderId="0" applyAlignment="1" pivotButton="0" quotePrefix="0" xfId="52">
      <alignment vertical="center"/>
    </xf>
    <xf numFmtId="0" fontId="1" fillId="0" borderId="0" applyAlignment="1" pivotButton="0" quotePrefix="0" xfId="52">
      <alignment horizontal="right" vertical="center"/>
    </xf>
    <xf numFmtId="0" fontId="5" fillId="0" borderId="1" applyAlignment="1" pivotButton="0" quotePrefix="0" xfId="52">
      <alignment horizontal="center" vertical="center" wrapText="1"/>
    </xf>
    <xf numFmtId="0" fontId="5" fillId="0" borderId="2" applyAlignment="1" pivotButton="0" quotePrefix="0" xfId="52">
      <alignment horizontal="center" vertical="center" wrapText="1"/>
    </xf>
    <xf numFmtId="0" fontId="5" fillId="0" borderId="2" applyAlignment="1" pivotButton="0" quotePrefix="0" xfId="52">
      <alignment horizontal="center" vertical="center"/>
    </xf>
    <xf numFmtId="0" fontId="6" fillId="0" borderId="2" applyAlignment="1" pivotButton="0" quotePrefix="0" xfId="52">
      <alignment horizontal="center" vertical="center"/>
    </xf>
    <xf numFmtId="0" fontId="5" fillId="0" borderId="3" applyAlignment="1" pivotButton="0" quotePrefix="0" xfId="52">
      <alignment vertical="center" wrapText="1"/>
    </xf>
    <xf numFmtId="0" fontId="6" fillId="0" borderId="4" applyAlignment="1" pivotButton="0" quotePrefix="0" xfId="52">
      <alignment horizontal="center" vertical="center"/>
    </xf>
    <xf numFmtId="164" fontId="6" fillId="0" borderId="4" applyAlignment="1" pivotButton="0" quotePrefix="0" xfId="52">
      <alignment vertical="center"/>
    </xf>
    <xf numFmtId="164" fontId="6" fillId="0" borderId="4" applyAlignment="1" pivotButton="0" quotePrefix="0" xfId="52">
      <alignment horizontal="center" vertical="center"/>
    </xf>
    <xf numFmtId="0" fontId="5" fillId="0" borderId="5" applyAlignment="1" pivotButton="0" quotePrefix="0" xfId="52">
      <alignment vertical="center" wrapText="1"/>
    </xf>
    <xf numFmtId="0" fontId="6" fillId="0" borderId="6" applyAlignment="1" pivotButton="0" quotePrefix="0" xfId="52">
      <alignment horizontal="center" vertical="center"/>
    </xf>
    <xf numFmtId="164" fontId="6" fillId="0" borderId="6" applyAlignment="1" pivotButton="0" quotePrefix="0" xfId="52">
      <alignment vertical="center"/>
    </xf>
    <xf numFmtId="164" fontId="6" fillId="0" borderId="6" applyAlignment="1" pivotButton="0" quotePrefix="0" xfId="52">
      <alignment horizontal="center" vertical="center"/>
    </xf>
    <xf numFmtId="164" fontId="5" fillId="0" borderId="6" applyAlignment="1" pivotButton="0" quotePrefix="0" xfId="52">
      <alignment horizontal="center" vertical="center"/>
    </xf>
    <xf numFmtId="164" fontId="5" fillId="0" borderId="6" applyAlignment="1" pivotButton="0" quotePrefix="0" xfId="52">
      <alignment vertical="center"/>
    </xf>
    <xf numFmtId="0" fontId="7" fillId="0" borderId="7" applyAlignment="1" pivotButton="0" quotePrefix="0" xfId="52">
      <alignment horizontal="center" vertical="center" wrapText="1"/>
    </xf>
    <xf numFmtId="0" fontId="6" fillId="0" borderId="8" applyAlignment="1" pivotButton="0" quotePrefix="0" xfId="52">
      <alignment horizontal="center" vertical="center"/>
    </xf>
    <xf numFmtId="164" fontId="8" fillId="0" borderId="8" applyAlignment="1" pivotButton="0" quotePrefix="0" xfId="52">
      <alignment vertical="center"/>
    </xf>
    <xf numFmtId="164" fontId="6" fillId="0" borderId="8" applyAlignment="1" pivotButton="0" quotePrefix="0" xfId="52">
      <alignment vertical="center"/>
    </xf>
    <xf numFmtId="164" fontId="9" fillId="0" borderId="0" applyAlignment="1" pivotButton="0" quotePrefix="0" xfId="49">
      <alignment vertical="center"/>
    </xf>
    <xf numFmtId="0" fontId="1" fillId="0" borderId="0" applyAlignment="1" pivotButton="0" quotePrefix="0" xfId="0">
      <alignment vertical="center"/>
    </xf>
    <xf numFmtId="0" fontId="10" fillId="0" borderId="0" applyAlignment="1" pivotButton="0" quotePrefix="0" xfId="50">
      <alignment vertical="center"/>
    </xf>
    <xf numFmtId="0" fontId="1" fillId="0" borderId="0" applyAlignment="1" pivotButton="0" quotePrefix="0" xfId="50">
      <alignment vertical="center"/>
    </xf>
    <xf numFmtId="0" fontId="2" fillId="0" borderId="0" applyAlignment="1" pivotButton="0" quotePrefix="0" xfId="50">
      <alignment vertical="center"/>
    </xf>
    <xf numFmtId="0" fontId="2" fillId="0" borderId="0" applyAlignment="1" pivotButton="0" quotePrefix="0" xfId="50">
      <alignment vertical="center" wrapText="1"/>
    </xf>
    <xf numFmtId="0" fontId="11" fillId="0" borderId="0" applyAlignment="1" pivotButton="0" quotePrefix="0" xfId="50">
      <alignment vertical="center"/>
    </xf>
    <xf numFmtId="0" fontId="0" fillId="0" borderId="0" applyAlignment="1" pivotButton="0" quotePrefix="0" xfId="50">
      <alignment vertical="center"/>
    </xf>
    <xf numFmtId="0" fontId="12" fillId="0" borderId="0" applyAlignment="1" pivotButton="0" quotePrefix="0" xfId="50">
      <alignment vertical="center"/>
    </xf>
    <xf numFmtId="0" fontId="10" fillId="0" borderId="0" applyAlignment="1" pivotButton="0" quotePrefix="0" xfId="50">
      <alignment horizontal="right" vertical="center"/>
    </xf>
    <xf numFmtId="0" fontId="1" fillId="0" borderId="0" applyAlignment="1" pivotButton="0" quotePrefix="0" xfId="50">
      <alignment horizontal="left" vertical="center"/>
    </xf>
    <xf numFmtId="0" fontId="1" fillId="0" borderId="0" applyAlignment="1" pivotButton="0" quotePrefix="0" xfId="50">
      <alignment horizontal="right" vertical="center"/>
    </xf>
    <xf numFmtId="0" fontId="2" fillId="0" borderId="1" applyAlignment="1" pivotButton="0" quotePrefix="0" xfId="50">
      <alignment horizontal="center" vertical="center" wrapText="1"/>
    </xf>
    <xf numFmtId="0" fontId="2" fillId="0" borderId="2" applyAlignment="1" pivotButton="0" quotePrefix="0" xfId="50">
      <alignment horizontal="center" vertical="center" wrapText="1"/>
    </xf>
    <xf numFmtId="0" fontId="2" fillId="0" borderId="2" applyAlignment="1" pivotButton="0" quotePrefix="0" xfId="50">
      <alignment horizontal="center" vertical="center"/>
    </xf>
    <xf numFmtId="0" fontId="2" fillId="0" borderId="9" pivotButton="0" quotePrefix="0" xfId="0"/>
    <xf numFmtId="0" fontId="2" fillId="0" borderId="1" pivotButton="0" quotePrefix="0" xfId="0"/>
    <xf numFmtId="0" fontId="2" fillId="0" borderId="1" applyAlignment="1" pivotButton="0" quotePrefix="0" xfId="50">
      <alignment horizontal="center" vertical="center"/>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13" fillId="0" borderId="2" applyAlignment="1" pivotButton="0" quotePrefix="0" xfId="50">
      <alignment horizontal="center" vertical="center"/>
    </xf>
    <xf numFmtId="0" fontId="13" fillId="0" borderId="1" applyAlignment="1" pivotButton="0" quotePrefix="0" xfId="50">
      <alignment horizontal="center" vertical="center"/>
    </xf>
    <xf numFmtId="0" fontId="14" fillId="0" borderId="5" applyAlignment="1" pivotButton="0" quotePrefix="0" xfId="50">
      <alignment vertical="center"/>
    </xf>
    <xf numFmtId="0" fontId="15" fillId="0" borderId="6" applyAlignment="1" pivotButton="0" quotePrefix="0" xfId="50">
      <alignment horizontal="center" vertical="center"/>
    </xf>
    <xf numFmtId="164" fontId="15" fillId="0" borderId="6" applyAlignment="1" pivotButton="0" quotePrefix="0" xfId="50">
      <alignment horizontal="right" vertical="center"/>
    </xf>
    <xf numFmtId="164" fontId="15" fillId="0" borderId="5" applyAlignment="1" pivotButton="0" quotePrefix="0" xfId="50">
      <alignment horizontal="right" vertical="center"/>
    </xf>
    <xf numFmtId="0" fontId="2" fillId="0" borderId="5" applyAlignment="1" pivotButton="0" quotePrefix="0" xfId="50">
      <alignment vertical="center"/>
    </xf>
    <xf numFmtId="0" fontId="13" fillId="0" borderId="6" applyAlignment="1" pivotButton="0" quotePrefix="0" xfId="50">
      <alignment horizontal="center" vertical="center"/>
    </xf>
    <xf numFmtId="164" fontId="13" fillId="0" borderId="6" applyAlignment="1" pivotButton="0" quotePrefix="0" xfId="50">
      <alignment horizontal="right" vertical="center"/>
    </xf>
    <xf numFmtId="164" fontId="13" fillId="0" borderId="5" applyAlignment="1" pivotButton="0" quotePrefix="0" xfId="50">
      <alignment horizontal="right" vertical="center"/>
    </xf>
    <xf numFmtId="0" fontId="2" fillId="0" borderId="5" applyAlignment="1" pivotButton="0" quotePrefix="0" xfId="50">
      <alignment horizontal="left" vertical="center"/>
    </xf>
    <xf numFmtId="164" fontId="13" fillId="0" borderId="6" applyAlignment="1" pivotButton="0" quotePrefix="0" xfId="50">
      <alignment horizontal="right" vertical="center" wrapText="1"/>
    </xf>
    <xf numFmtId="164" fontId="13" fillId="0" borderId="5" applyAlignment="1" pivotButton="0" quotePrefix="0" xfId="50">
      <alignment horizontal="right" vertical="center" wrapText="1"/>
    </xf>
    <xf numFmtId="0" fontId="2" fillId="0" borderId="5" applyAlignment="1" pivotButton="0" quotePrefix="0" xfId="50">
      <alignment horizontal="left" vertical="center" wrapText="1"/>
    </xf>
    <xf numFmtId="0" fontId="14" fillId="0" borderId="7" applyAlignment="1" pivotButton="0" quotePrefix="0" xfId="50">
      <alignment vertical="center"/>
    </xf>
    <xf numFmtId="0" fontId="13" fillId="0" borderId="8" applyAlignment="1" pivotButton="0" quotePrefix="0" xfId="50">
      <alignment horizontal="center" vertical="center"/>
    </xf>
    <xf numFmtId="164" fontId="15" fillId="0" borderId="8" applyAlignment="1" pivotButton="0" quotePrefix="0" xfId="50">
      <alignment horizontal="right" vertical="center"/>
    </xf>
    <xf numFmtId="164" fontId="15" fillId="0" borderId="7" applyAlignment="1" pivotButton="0" quotePrefix="0" xfId="50">
      <alignment horizontal="right" vertical="center"/>
    </xf>
    <xf numFmtId="0" fontId="16" fillId="0" borderId="0" applyAlignment="1" pivotButton="0" quotePrefix="0" xfId="50">
      <alignment vertical="center"/>
    </xf>
    <xf numFmtId="164" fontId="9" fillId="0" borderId="0" applyAlignment="1" pivotButton="0" quotePrefix="0" xfId="49">
      <alignment vertical="center"/>
    </xf>
    <xf numFmtId="0" fontId="9" fillId="0" borderId="0" applyAlignment="1" pivotButton="0" quotePrefix="0" xfId="50">
      <alignment vertical="center"/>
    </xf>
    <xf numFmtId="0" fontId="2" fillId="0" borderId="0" applyAlignment="1" pivotButton="0" quotePrefix="0" xfId="49">
      <alignment horizontal="left" vertical="center"/>
    </xf>
    <xf numFmtId="0" fontId="1" fillId="0" borderId="0" applyAlignment="1" pivotButton="0" quotePrefix="0" xfId="0">
      <alignment vertical="center"/>
    </xf>
    <xf numFmtId="0" fontId="17" fillId="0" borderId="0" applyAlignment="1" pivotButton="0" quotePrefix="0" xfId="50">
      <alignment vertical="center"/>
    </xf>
    <xf numFmtId="0" fontId="1" fillId="0" borderId="0" applyAlignment="1" pivotButton="0" quotePrefix="0" xfId="50">
      <alignment vertical="center"/>
    </xf>
    <xf numFmtId="0" fontId="2" fillId="0" borderId="0" applyAlignment="1" pivotButton="0" quotePrefix="0" xfId="50">
      <alignment vertical="center"/>
    </xf>
    <xf numFmtId="0" fontId="2" fillId="0" borderId="0" applyAlignment="1" pivotButton="0" quotePrefix="0" xfId="50">
      <alignment vertical="center"/>
    </xf>
    <xf numFmtId="0" fontId="2" fillId="0" borderId="0" applyAlignment="1" pivotButton="0" quotePrefix="0" xfId="50">
      <alignment horizontal="center" vertical="center"/>
    </xf>
    <xf numFmtId="0" fontId="3" fillId="0" borderId="0" applyAlignment="1" pivotButton="0" quotePrefix="0" xfId="50">
      <alignment horizontal="center" vertical="center"/>
    </xf>
    <xf numFmtId="0" fontId="17" fillId="0" borderId="0" applyAlignment="1" pivotButton="0" quotePrefix="0" xfId="50">
      <alignment vertical="center"/>
    </xf>
    <xf numFmtId="0" fontId="4" fillId="0" borderId="0" applyAlignment="1" pivotButton="0" quotePrefix="0" xfId="50">
      <alignment horizontal="center" vertical="center"/>
    </xf>
    <xf numFmtId="0" fontId="1" fillId="0" borderId="0" applyAlignment="1" pivotButton="0" quotePrefix="0" xfId="50">
      <alignment vertical="center"/>
    </xf>
    <xf numFmtId="0" fontId="1" fillId="0" borderId="0" applyAlignment="1" pivotButton="0" quotePrefix="0" xfId="50">
      <alignment horizontal="left" vertical="center"/>
    </xf>
    <xf numFmtId="0" fontId="1" fillId="0" borderId="0" applyAlignment="1" pivotButton="0" quotePrefix="0" xfId="50">
      <alignment horizontal="right" vertical="center"/>
    </xf>
    <xf numFmtId="0" fontId="1" fillId="0" borderId="9" applyAlignment="1" pivotButton="0" quotePrefix="0" xfId="50">
      <alignment horizontal="center" vertical="center"/>
    </xf>
    <xf numFmtId="0" fontId="1" fillId="0" borderId="2" applyAlignment="1" pivotButton="0" quotePrefix="0" xfId="50">
      <alignment horizontal="center" vertical="center" shrinkToFit="1"/>
    </xf>
    <xf numFmtId="49" fontId="1" fillId="0" borderId="2" applyAlignment="1" pivotButton="0" quotePrefix="0" xfId="50">
      <alignment horizontal="center" vertical="center"/>
    </xf>
    <xf numFmtId="49" fontId="1" fillId="0" borderId="10" applyAlignment="1" pivotButton="0" quotePrefix="0" xfId="50">
      <alignment vertical="center"/>
    </xf>
    <xf numFmtId="0" fontId="9" fillId="0" borderId="0" applyAlignment="1" pivotButton="0" quotePrefix="0" xfId="50">
      <alignment vertical="center"/>
    </xf>
    <xf numFmtId="0" fontId="1" fillId="0" borderId="6" applyAlignment="1" pivotButton="0" quotePrefix="0" xfId="50">
      <alignment horizontal="center" vertical="center"/>
    </xf>
    <xf numFmtId="0" fontId="1" fillId="0" borderId="11" applyAlignment="1" pivotButton="0" quotePrefix="0" xfId="50">
      <alignment horizontal="right" vertical="center"/>
    </xf>
    <xf numFmtId="165" fontId="4" fillId="0" borderId="6" applyAlignment="1" pivotButton="0" quotePrefix="0" xfId="50">
      <alignment horizontal="right" vertical="center"/>
    </xf>
    <xf numFmtId="165" fontId="4" fillId="0" borderId="11" applyAlignment="1" pivotButton="0" quotePrefix="0" xfId="50">
      <alignment horizontal="right" vertical="center"/>
    </xf>
    <xf numFmtId="0" fontId="1" fillId="0" borderId="0" applyAlignment="1" pivotButton="0" quotePrefix="0" xfId="50">
      <alignment vertical="center" wrapText="1"/>
    </xf>
    <xf numFmtId="0" fontId="1" fillId="0" borderId="5" applyAlignment="1" pivotButton="0" quotePrefix="0" xfId="50">
      <alignment vertical="center"/>
    </xf>
    <xf numFmtId="0" fontId="9" fillId="0" borderId="0" applyAlignment="1" pivotButton="0" quotePrefix="0" xfId="50">
      <alignment horizontal="center" vertical="center"/>
    </xf>
    <xf numFmtId="165" fontId="18" fillId="0" borderId="6" applyAlignment="1" pivotButton="0" quotePrefix="0" xfId="50">
      <alignment horizontal="right" vertical="center"/>
    </xf>
    <xf numFmtId="165" fontId="18" fillId="0" borderId="11" applyAlignment="1" pivotButton="0" quotePrefix="0" xfId="50">
      <alignment horizontal="right" vertical="center"/>
    </xf>
    <xf numFmtId="0" fontId="9" fillId="0" borderId="0" applyAlignment="1" pivotButton="0" quotePrefix="0" xfId="50">
      <alignment horizontal="right" vertical="center"/>
    </xf>
    <xf numFmtId="0" fontId="9" fillId="0" borderId="11" applyAlignment="1" pivotButton="0" quotePrefix="0" xfId="50">
      <alignment horizontal="right" vertical="center"/>
    </xf>
    <xf numFmtId="0" fontId="1" fillId="0" borderId="5" applyAlignment="1" pivotButton="0" quotePrefix="0" xfId="50">
      <alignment vertical="center" wrapText="1" shrinkToFit="1"/>
    </xf>
    <xf numFmtId="0" fontId="1" fillId="0" borderId="0" applyAlignment="1" pivotButton="0" quotePrefix="0" xfId="50">
      <alignment vertical="center" shrinkToFit="1"/>
    </xf>
    <xf numFmtId="0" fontId="9" fillId="0" borderId="0" applyAlignment="1" pivotButton="0" quotePrefix="0" xfId="50">
      <alignment horizontal="center" vertical="center" shrinkToFit="1"/>
    </xf>
    <xf numFmtId="0" fontId="9" fillId="0" borderId="0" applyAlignment="1" pivotButton="0" quotePrefix="0" xfId="50">
      <alignment vertical="center" shrinkToFit="1"/>
    </xf>
    <xf numFmtId="0" fontId="9" fillId="0" borderId="12" applyAlignment="1" pivotButton="0" quotePrefix="0" xfId="50">
      <alignment vertical="center"/>
    </xf>
    <xf numFmtId="0" fontId="1" fillId="0" borderId="8" applyAlignment="1" pivotButton="0" quotePrefix="0" xfId="50">
      <alignment horizontal="center" vertical="center"/>
    </xf>
    <xf numFmtId="165" fontId="18" fillId="0" borderId="8" applyAlignment="1" pivotButton="0" quotePrefix="0" xfId="50">
      <alignment horizontal="right" vertical="center"/>
    </xf>
    <xf numFmtId="165" fontId="18" fillId="0" borderId="13" applyAlignment="1" pivotButton="0" quotePrefix="0" xfId="50">
      <alignment horizontal="right" vertical="center"/>
    </xf>
    <xf numFmtId="0" fontId="1" fillId="0" borderId="0" applyAlignment="1" pivotButton="0" quotePrefix="0" xfId="50">
      <alignment horizontal="center" vertical="center"/>
    </xf>
    <xf numFmtId="164" fontId="9" fillId="0" borderId="0" applyAlignment="1" pivotButton="0" quotePrefix="0" xfId="49">
      <alignment vertical="center"/>
    </xf>
    <xf numFmtId="0" fontId="10" fillId="0" borderId="0" applyAlignment="1" pivotButton="0" quotePrefix="0" xfId="49">
      <alignment horizontal="left" vertical="center"/>
    </xf>
    <xf numFmtId="0" fontId="19" fillId="0" borderId="0" applyAlignment="1" pivotButton="0" quotePrefix="0" xfId="49">
      <alignment vertical="center"/>
    </xf>
    <xf numFmtId="0" fontId="4" fillId="0" borderId="0" applyAlignment="1" pivotButton="0" quotePrefix="0" xfId="50">
      <alignment vertical="center"/>
    </xf>
    <xf numFmtId="0" fontId="4" fillId="0" borderId="0" applyAlignment="1" pivotButton="0" quotePrefix="0" xfId="50">
      <alignment horizontal="justify" vertical="justify"/>
    </xf>
    <xf numFmtId="0" fontId="2" fillId="0" borderId="0" applyAlignment="1" pivotButton="0" quotePrefix="0" xfId="50">
      <alignment horizontal="left" vertical="center"/>
    </xf>
    <xf numFmtId="0" fontId="2" fillId="0" borderId="0" applyAlignment="1" pivotButton="0" quotePrefix="0" xfId="50">
      <alignment horizontal="center" vertical="center"/>
    </xf>
    <xf numFmtId="0" fontId="1" fillId="0" borderId="0" applyAlignment="1" pivotButton="0" quotePrefix="0" xfId="50">
      <alignment horizontal="center" vertical="center"/>
    </xf>
    <xf numFmtId="0" fontId="1" fillId="0" borderId="1" applyAlignment="1" pivotButton="0" quotePrefix="0" xfId="50">
      <alignment horizontal="center" vertical="center"/>
    </xf>
    <xf numFmtId="0" fontId="1" fillId="0" borderId="9" applyAlignment="1" pivotButton="0" quotePrefix="0" xfId="50">
      <alignment horizontal="center" vertical="center" shrinkToFit="1"/>
    </xf>
    <xf numFmtId="49" fontId="1" fillId="0" borderId="10" applyAlignment="1" pivotButton="0" quotePrefix="0" xfId="50">
      <alignment horizontal="center" vertical="center"/>
    </xf>
    <xf numFmtId="0" fontId="9" fillId="0" borderId="5" applyAlignment="1" pivotButton="0" quotePrefix="0" xfId="50">
      <alignment horizontal="left" vertical="center"/>
    </xf>
    <xf numFmtId="0" fontId="4" fillId="0" borderId="6" applyAlignment="1" pivotButton="0" quotePrefix="0" xfId="50">
      <alignment vertical="center" shrinkToFit="1"/>
    </xf>
    <xf numFmtId="165" fontId="18" fillId="0" borderId="6" applyAlignment="1" pivotButton="0" quotePrefix="0" xfId="50">
      <alignment vertical="center"/>
    </xf>
    <xf numFmtId="165" fontId="18" fillId="0" borderId="11" applyAlignment="1" pivotButton="0" quotePrefix="0" xfId="50">
      <alignment vertical="center"/>
    </xf>
    <xf numFmtId="49" fontId="1" fillId="0" borderId="5" applyAlignment="1" pivotButton="0" quotePrefix="0" xfId="50">
      <alignment horizontal="left" vertical="center"/>
    </xf>
    <xf numFmtId="0" fontId="4" fillId="0" borderId="6" applyAlignment="1" pivotButton="0" quotePrefix="0" xfId="50">
      <alignment horizontal="center" vertical="center"/>
    </xf>
    <xf numFmtId="165" fontId="4" fillId="0" borderId="6" applyAlignment="1" pivotButton="0" quotePrefix="0" xfId="50">
      <alignment vertical="center"/>
    </xf>
    <xf numFmtId="165" fontId="4" fillId="0" borderId="11" applyAlignment="1" pivotButton="0" quotePrefix="0" xfId="50">
      <alignment vertical="center"/>
    </xf>
    <xf numFmtId="0" fontId="1" fillId="0" borderId="5" applyAlignment="1" pivotButton="0" quotePrefix="0" xfId="50">
      <alignment horizontal="left" vertical="center"/>
    </xf>
    <xf numFmtId="0" fontId="20" fillId="0" borderId="0" applyAlignment="1" pivotButton="0" quotePrefix="0" xfId="0">
      <alignment vertical="center"/>
    </xf>
    <xf numFmtId="49" fontId="9" fillId="0" borderId="5" applyAlignment="1" pivotButton="0" quotePrefix="0" xfId="50">
      <alignment horizontal="left" vertical="center"/>
    </xf>
    <xf numFmtId="0" fontId="4" fillId="0" borderId="6" applyAlignment="1" pivotButton="0" quotePrefix="0" xfId="50">
      <alignment horizontal="left" vertical="center" wrapText="1"/>
    </xf>
    <xf numFmtId="0" fontId="1" fillId="0" borderId="5" applyAlignment="1" pivotButton="0" quotePrefix="0" xfId="50">
      <alignment horizontal="left" vertical="center" indent="1"/>
    </xf>
    <xf numFmtId="0" fontId="1" fillId="0" borderId="5" applyAlignment="1" pivotButton="0" quotePrefix="0" xfId="50">
      <alignment horizontal="left" vertical="center" wrapText="1" indent="2"/>
    </xf>
    <xf numFmtId="0" fontId="1" fillId="0" borderId="5" applyAlignment="1" pivotButton="0" quotePrefix="0" xfId="50">
      <alignment horizontal="left" vertical="center" indent="2"/>
    </xf>
    <xf numFmtId="0" fontId="1" fillId="0" borderId="5" applyAlignment="1" pivotButton="0" quotePrefix="0" xfId="50">
      <alignment horizontal="left" vertical="center" wrapText="1" indent="1"/>
    </xf>
    <xf numFmtId="0" fontId="9" fillId="0" borderId="5" applyAlignment="1" pivotButton="0" quotePrefix="0" xfId="51">
      <alignment horizontal="justify" vertical="center" wrapText="1"/>
    </xf>
    <xf numFmtId="0" fontId="1" fillId="0" borderId="5" applyAlignment="1" pivotButton="0" quotePrefix="0" xfId="51">
      <alignment horizontal="justify" vertical="center" wrapText="1"/>
    </xf>
    <xf numFmtId="0" fontId="1" fillId="0" borderId="7" applyAlignment="1" pivotButton="0" quotePrefix="0" xfId="51">
      <alignment horizontal="justify" vertical="center" wrapText="1"/>
    </xf>
    <xf numFmtId="0" fontId="4" fillId="0" borderId="8" applyAlignment="1" pivotButton="0" quotePrefix="0" xfId="50">
      <alignment horizontal="center" vertical="center"/>
    </xf>
    <xf numFmtId="165" fontId="4" fillId="0" borderId="8" applyAlignment="1" pivotButton="0" quotePrefix="0" xfId="50">
      <alignment vertical="center"/>
    </xf>
    <xf numFmtId="165" fontId="4" fillId="0" borderId="13" applyAlignment="1" pivotButton="0" quotePrefix="0" xfId="50">
      <alignment vertical="center"/>
    </xf>
    <xf numFmtId="0" fontId="4" fillId="0" borderId="0" applyAlignment="1" pivotButton="0" quotePrefix="0" xfId="50">
      <alignment horizontal="center" vertical="center"/>
    </xf>
    <xf numFmtId="0" fontId="4" fillId="0" borderId="0" applyAlignment="1" pivotButton="0" quotePrefix="0" xfId="50">
      <alignment vertical="center"/>
    </xf>
    <xf numFmtId="0" fontId="1" fillId="0" borderId="0" applyAlignment="1" pivotButton="0" quotePrefix="0" xfId="50">
      <alignment horizontal="left" vertical="center" wrapText="1"/>
    </xf>
    <xf numFmtId="0" fontId="21" fillId="0" borderId="0" pivotButton="0" quotePrefix="0" xfId="50"/>
    <xf numFmtId="0" fontId="2" fillId="0" borderId="0" applyAlignment="1" pivotButton="0" quotePrefix="0" xfId="49">
      <alignment horizontal="left" vertical="center"/>
    </xf>
    <xf numFmtId="49" fontId="18" fillId="0" borderId="0" applyAlignment="1" pivotButton="0" quotePrefix="0" xfId="50">
      <alignment horizontal="center" vertical="center"/>
    </xf>
    <xf numFmtId="49" fontId="1" fillId="0" borderId="0" applyAlignment="1" pivotButton="0" quotePrefix="0" xfId="50">
      <alignment horizontal="left" vertical="center"/>
    </xf>
    <xf numFmtId="0" fontId="1" fillId="0" borderId="0" applyAlignment="1" pivotButton="0" quotePrefix="0" xfId="49">
      <alignment horizontal="right"/>
    </xf>
    <xf numFmtId="0" fontId="1" fillId="0" borderId="1" applyAlignment="1" pivotButton="0" quotePrefix="0" xfId="50">
      <alignment horizontal="center" vertical="center" shrinkToFit="1"/>
    </xf>
    <xf numFmtId="0" fontId="1" fillId="0" borderId="5" applyAlignment="1" pivotButton="0" quotePrefix="0" xfId="50">
      <alignment horizontal="left" vertical="center" shrinkToFit="1"/>
    </xf>
    <xf numFmtId="0" fontId="1" fillId="0" borderId="5" applyAlignment="1" pivotButton="0" quotePrefix="0" xfId="50">
      <alignment horizontal="center" vertical="center" shrinkToFit="1"/>
    </xf>
    <xf numFmtId="0" fontId="1" fillId="0" borderId="0" applyAlignment="1" pivotButton="0" quotePrefix="0" xfId="50">
      <alignment horizontal="center" vertical="center" shrinkToFit="1"/>
    </xf>
    <xf numFmtId="0" fontId="1" fillId="0" borderId="11" applyAlignment="1" pivotButton="0" quotePrefix="0" xfId="50">
      <alignment horizontal="center" vertical="center" shrinkToFit="1"/>
    </xf>
    <xf numFmtId="0" fontId="1" fillId="0" borderId="5" applyAlignment="1" pivotButton="0" quotePrefix="0" xfId="50">
      <alignment vertical="center" shrinkToFit="1"/>
    </xf>
    <xf numFmtId="165" fontId="4" fillId="0" borderId="6" applyAlignment="1" pivotButton="0" quotePrefix="0" xfId="50">
      <alignment vertical="center" shrinkToFit="1"/>
    </xf>
    <xf numFmtId="165" fontId="4" fillId="0" borderId="11" applyAlignment="1" pivotButton="0" quotePrefix="0" xfId="50">
      <alignment vertical="center" shrinkToFit="1"/>
    </xf>
    <xf numFmtId="0" fontId="1" fillId="0" borderId="5" applyAlignment="1" pivotButton="0" quotePrefix="0" xfId="50">
      <alignment vertical="center" wrapText="1"/>
    </xf>
    <xf numFmtId="0" fontId="9" fillId="0" borderId="5" applyAlignment="1" pivotButton="0" quotePrefix="0" xfId="50">
      <alignment horizontal="center" vertical="center" shrinkToFit="1"/>
    </xf>
    <xf numFmtId="165" fontId="18" fillId="0" borderId="6" applyAlignment="1" pivotButton="0" quotePrefix="0" xfId="50">
      <alignment vertical="center" shrinkToFit="1"/>
    </xf>
    <xf numFmtId="165" fontId="18" fillId="0" borderId="11" applyAlignment="1" pivotButton="0" quotePrefix="0" xfId="50">
      <alignment vertical="center" shrinkToFit="1"/>
    </xf>
    <xf numFmtId="165" fontId="1" fillId="0" borderId="5" applyAlignment="1" pivotButton="0" quotePrefix="0" xfId="0">
      <alignment vertical="center"/>
    </xf>
    <xf numFmtId="0" fontId="21" fillId="0" borderId="0" applyAlignment="1" pivotButton="0" quotePrefix="0" xfId="50">
      <alignment vertical="center" shrinkToFit="1"/>
    </xf>
    <xf numFmtId="0" fontId="22" fillId="0" borderId="0" applyAlignment="1" pivotButton="0" quotePrefix="0" xfId="50">
      <alignment vertical="center" shrinkToFit="1"/>
    </xf>
    <xf numFmtId="0" fontId="9" fillId="0" borderId="7" applyAlignment="1" pivotButton="0" quotePrefix="0" xfId="50">
      <alignment horizontal="center" vertical="center" shrinkToFit="1"/>
    </xf>
    <xf numFmtId="0" fontId="1" fillId="0" borderId="7" applyAlignment="1" pivotButton="0" quotePrefix="0" xfId="50">
      <alignment horizontal="center" vertical="center" shrinkToFit="1"/>
    </xf>
    <xf numFmtId="165" fontId="18" fillId="0" borderId="8" applyAlignment="1" pivotButton="0" quotePrefix="0" xfId="50">
      <alignment vertical="center" shrinkToFit="1"/>
    </xf>
    <xf numFmtId="165" fontId="18" fillId="0" borderId="13" applyAlignment="1" pivotButton="0" quotePrefix="0" xfId="50">
      <alignment vertical="center" shrinkToFit="1"/>
    </xf>
    <xf numFmtId="0" fontId="1" fillId="0" borderId="0" applyAlignment="1" pivotButton="0" quotePrefix="0" xfId="49">
      <alignment horizontal="center"/>
    </xf>
    <xf numFmtId="0" fontId="1" fillId="0" borderId="0" applyAlignment="1" pivotButton="0" quotePrefix="0" xfId="49">
      <alignment horizontal="center"/>
    </xf>
    <xf numFmtId="0" fontId="1" fillId="0" borderId="0" applyAlignment="1" pivotButton="0" quotePrefix="0" xfId="50">
      <alignment horizontal="justify" vertical="center" wrapText="1"/>
    </xf>
    <xf numFmtId="0" fontId="1" fillId="0" borderId="6" applyAlignment="1" pivotButton="0" quotePrefix="0" xfId="50">
      <alignment horizontal="center" vertical="center" shrinkToFit="1"/>
    </xf>
    <xf numFmtId="0" fontId="1" fillId="0" borderId="13" applyAlignment="1" pivotButton="0" quotePrefix="0" xfId="50">
      <alignment horizontal="center" vertical="center" shrinkToFit="1"/>
    </xf>
    <xf numFmtId="0" fontId="10" fillId="0" borderId="0" applyAlignment="1" pivotButton="0" quotePrefix="0" xfId="49">
      <alignment horizontal="left" vertical="center" wrapText="1"/>
    </xf>
    <xf numFmtId="0" fontId="19" fillId="0" borderId="0" applyAlignment="1" pivotButton="0" quotePrefix="0" xfId="49">
      <alignment vertical="center" wrapText="1"/>
    </xf>
    <xf numFmtId="0" fontId="0" fillId="0" borderId="0" pivotButton="0" quotePrefix="0" xfId="0"/>
    <xf numFmtId="165" fontId="4" fillId="0" borderId="6" applyAlignment="1" pivotButton="0" quotePrefix="0" xfId="50">
      <alignment vertical="center" shrinkToFit="1"/>
    </xf>
    <xf numFmtId="165" fontId="4" fillId="0" borderId="11" applyAlignment="1" pivotButton="0" quotePrefix="0" xfId="50">
      <alignment vertical="center" shrinkToFit="1"/>
    </xf>
    <xf numFmtId="165" fontId="18" fillId="0" borderId="6" applyAlignment="1" pivotButton="0" quotePrefix="0" xfId="50">
      <alignment vertical="center" shrinkToFit="1"/>
    </xf>
    <xf numFmtId="165" fontId="18" fillId="0" borderId="11" applyAlignment="1" pivotButton="0" quotePrefix="0" xfId="50">
      <alignment vertical="center" shrinkToFit="1"/>
    </xf>
    <xf numFmtId="165" fontId="18" fillId="0" borderId="8" applyAlignment="1" pivotButton="0" quotePrefix="0" xfId="50">
      <alignment vertical="center" shrinkToFit="1"/>
    </xf>
    <xf numFmtId="165" fontId="18" fillId="0" borderId="13" applyAlignment="1" pivotButton="0" quotePrefix="0" xfId="50">
      <alignment vertical="center" shrinkToFit="1"/>
    </xf>
    <xf numFmtId="165" fontId="1" fillId="0" borderId="5" applyAlignment="1" pivotButton="0" quotePrefix="0" xfId="0">
      <alignment vertical="center"/>
    </xf>
    <xf numFmtId="164" fontId="9" fillId="0" borderId="0" applyAlignment="1" pivotButton="0" quotePrefix="0" xfId="49">
      <alignment vertical="center"/>
    </xf>
    <xf numFmtId="165" fontId="18" fillId="0" borderId="6" applyAlignment="1" pivotButton="0" quotePrefix="0" xfId="50">
      <alignment vertical="center"/>
    </xf>
    <xf numFmtId="165" fontId="18" fillId="0" borderId="11" applyAlignment="1" pivotButton="0" quotePrefix="0" xfId="50">
      <alignment vertical="center"/>
    </xf>
    <xf numFmtId="165" fontId="4" fillId="0" borderId="6" applyAlignment="1" pivotButton="0" quotePrefix="0" xfId="50">
      <alignment vertical="center"/>
    </xf>
    <xf numFmtId="165" fontId="4" fillId="0" borderId="11" applyAlignment="1" pivotButton="0" quotePrefix="0" xfId="50">
      <alignment vertical="center"/>
    </xf>
    <xf numFmtId="165" fontId="4" fillId="0" borderId="11" applyAlignment="1" pivotButton="0" quotePrefix="0" xfId="50">
      <alignment horizontal="right" vertical="center"/>
    </xf>
    <xf numFmtId="165" fontId="4" fillId="0" borderId="8" applyAlignment="1" pivotButton="0" quotePrefix="0" xfId="50">
      <alignment vertical="center"/>
    </xf>
    <xf numFmtId="165" fontId="4" fillId="0" borderId="13" applyAlignment="1" pivotButton="0" quotePrefix="0" xfId="50">
      <alignment vertical="center"/>
    </xf>
    <xf numFmtId="165" fontId="4" fillId="0" borderId="6" applyAlignment="1" pivotButton="0" quotePrefix="0" xfId="50">
      <alignment horizontal="right" vertical="center"/>
    </xf>
    <xf numFmtId="165" fontId="18" fillId="0" borderId="6" applyAlignment="1" pivotButton="0" quotePrefix="0" xfId="50">
      <alignment horizontal="right" vertical="center"/>
    </xf>
    <xf numFmtId="165" fontId="18" fillId="0" borderId="11" applyAlignment="1" pivotButton="0" quotePrefix="0" xfId="50">
      <alignment horizontal="right" vertical="center"/>
    </xf>
    <xf numFmtId="165" fontId="18" fillId="0" borderId="8" applyAlignment="1" pivotButton="0" quotePrefix="0" xfId="50">
      <alignment horizontal="right" vertical="center"/>
    </xf>
    <xf numFmtId="165" fontId="18" fillId="0" borderId="13" applyAlignment="1" pivotButton="0" quotePrefix="0" xfId="50">
      <alignment horizontal="right" vertical="center"/>
    </xf>
    <xf numFmtId="0" fontId="0" fillId="0" borderId="9" pivotButton="0" quotePrefix="0" xfId="0"/>
    <xf numFmtId="0" fontId="0" fillId="0" borderId="1"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4" fontId="15" fillId="0" borderId="6" applyAlignment="1" pivotButton="0" quotePrefix="0" xfId="50">
      <alignment horizontal="right" vertical="center"/>
    </xf>
    <xf numFmtId="164" fontId="15" fillId="0" borderId="5" applyAlignment="1" pivotButton="0" quotePrefix="0" xfId="50">
      <alignment horizontal="right" vertical="center"/>
    </xf>
    <xf numFmtId="164" fontId="13" fillId="0" borderId="6" applyAlignment="1" pivotButton="0" quotePrefix="0" xfId="50">
      <alignment horizontal="right" vertical="center"/>
    </xf>
    <xf numFmtId="164" fontId="13" fillId="0" borderId="5" applyAlignment="1" pivotButton="0" quotePrefix="0" xfId="50">
      <alignment horizontal="right" vertical="center"/>
    </xf>
    <xf numFmtId="164" fontId="13" fillId="0" borderId="6" applyAlignment="1" pivotButton="0" quotePrefix="0" xfId="50">
      <alignment horizontal="right" vertical="center" wrapText="1"/>
    </xf>
    <xf numFmtId="164" fontId="13" fillId="0" borderId="5" applyAlignment="1" pivotButton="0" quotePrefix="0" xfId="50">
      <alignment horizontal="right" vertical="center" wrapText="1"/>
    </xf>
    <xf numFmtId="164" fontId="15" fillId="0" borderId="8" applyAlignment="1" pivotButton="0" quotePrefix="0" xfId="50">
      <alignment horizontal="right" vertical="center"/>
    </xf>
    <xf numFmtId="164" fontId="15" fillId="0" borderId="7" applyAlignment="1" pivotButton="0" quotePrefix="0" xfId="50">
      <alignment horizontal="right" vertical="center"/>
    </xf>
    <xf numFmtId="164" fontId="6" fillId="0" borderId="4" applyAlignment="1" pivotButton="0" quotePrefix="0" xfId="52">
      <alignment vertical="center"/>
    </xf>
    <xf numFmtId="164" fontId="6" fillId="0" borderId="4" applyAlignment="1" pivotButton="0" quotePrefix="0" xfId="52">
      <alignment horizontal="center" vertical="center"/>
    </xf>
    <xf numFmtId="164" fontId="6" fillId="0" borderId="6" applyAlignment="1" pivotButton="0" quotePrefix="0" xfId="52">
      <alignment vertical="center"/>
    </xf>
    <xf numFmtId="164" fontId="6" fillId="0" borderId="6" applyAlignment="1" pivotButton="0" quotePrefix="0" xfId="52">
      <alignment horizontal="center" vertical="center"/>
    </xf>
    <xf numFmtId="164" fontId="5" fillId="0" borderId="6" applyAlignment="1" pivotButton="0" quotePrefix="0" xfId="52">
      <alignment horizontal="center" vertical="center"/>
    </xf>
    <xf numFmtId="164" fontId="5" fillId="0" borderId="6" applyAlignment="1" pivotButton="0" quotePrefix="0" xfId="52">
      <alignment vertical="center"/>
    </xf>
    <xf numFmtId="164" fontId="8" fillId="0" borderId="8" applyAlignment="1" pivotButton="0" quotePrefix="0" xfId="52">
      <alignment vertical="center"/>
    </xf>
    <xf numFmtId="164" fontId="6" fillId="0" borderId="8" applyAlignment="1" pivotButton="0" quotePrefix="0" xfId="52">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_附件1：决算表式（后会签稿）--1008" xfId="50"/>
    <cellStyle name="常规_鹤壁煤电三年期按新准则调整后的新报表格式" xfId="51"/>
    <cellStyle name="常规_资产损失与科研补充表修改2稿" xfId="52"/>
    <cellStyle name="普通_现金流量表" xfId="53"/>
  </cellStyles>
  <dxfs count="1">
    <dxf>
      <font>
        <color theme="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致同</author>
    <author>lihong.li</author>
  </authors>
  <commentList>
    <comment ref="A9" authorId="0" shapeId="0">
      <text>
        <t>致同:
删除“ 以公允价值计量且其变动计入当期损益的金融资产”</t>
      </text>
    </comment>
    <comment ref="A19" authorId="1" shapeId="0">
      <text>
        <t>lihong.li:
包括应收利息、应收股利</t>
      </text>
    </comment>
    <comment ref="A34" authorId="0" shapeId="0">
      <text>
        <t>致同:
“可供出售金融资产”和“持有至到期投资”删除</t>
      </text>
    </comment>
    <comment ref="A41" authorId="1" shapeId="0">
      <text>
        <t xml:space="preserve">lihong.li:
包括固定资产清理；
删除累计折旧、原值等
按净额列报
</t>
      </text>
    </comment>
    <comment ref="A45" authorId="1" shapeId="0">
      <text>
        <t>lihong.li:
包括工程物资</t>
      </text>
    </comment>
  </commentList>
</comments>
</file>

<file path=xl/comments/comment2.xml><?xml version="1.0" encoding="utf-8"?>
<comments xmlns="http://schemas.openxmlformats.org/spreadsheetml/2006/main">
  <authors>
    <author>致同</author>
    <author>lihong.li</author>
    <author>Chu Yantao 储燕涛</author>
    <author>Windows 用户</author>
  </authors>
  <commentList>
    <comment ref="A9" authorId="0" shapeId="0">
      <text>
        <t>致同:
删除“以公允价值计量且其变动计入当期损益的金融负债”</t>
      </text>
    </comment>
    <comment ref="A25" authorId="1" shapeId="0">
      <text>
        <t>lihong.li:
原则上不应在应交税金填列“-”数。应重分类填列到“其他流动资产”</t>
      </text>
    </comment>
    <comment ref="A26" authorId="1" shapeId="0">
      <text>
        <t xml:space="preserve">lihong.li:
包括应付利息、应付股利
</t>
      </text>
    </comment>
    <comment ref="A30" authorId="2" shapeId="0">
      <text>
        <t>Chu Yantao 储燕涛:
财会〔2017〕30号</t>
      </text>
    </comment>
    <comment ref="A43" authorId="1" shapeId="0">
      <text>
        <t xml:space="preserve">lihong.li:
包括专项应付款
</t>
      </text>
    </comment>
    <comment ref="A55" authorId="3" shapeId="0">
      <text>
        <t>Windows 用户:
除“中国航发”、“国家管网集团”、“南方电网”、“鞍钢”、“中国东航”、“南航集团”、“中国商飞”、“中国稀土集团”、“国药集团”、“中广核”、“南光集团”、“中国电气装备”、“中国物流”和“中国中检”等集团层面股权多元化的中央企业集团合并表有“国有法人资本”外，其他中央企业一级集团合并表均无“国有法人资本”。</t>
      </text>
    </comment>
  </commentList>
</comments>
</file>

<file path=xl/comments/comment3.xml><?xml version="1.0" encoding="utf-8"?>
<comments xmlns="http://schemas.openxmlformats.org/spreadsheetml/2006/main">
  <authors>
    <author>lihong.li</author>
    <author>Chu Yantao 储燕涛</author>
    <author>1</author>
  </authors>
  <commentList>
    <comment ref="A33" authorId="0" shapeId="0">
      <text>
        <t xml:space="preserve">lihong.li:
反映的是石油石化企业在油气勘探过程中发生相关费用。
</t>
      </text>
    </comment>
    <comment ref="A45" authorId="1" shapeId="0">
      <text>
        <t>Chu Yantao 储燕涛:
删除了：非流动资产处置利得，非货币性资产交换利得</t>
      </text>
    </comment>
    <comment ref="A47" authorId="1" shapeId="0">
      <text>
        <t>Chu Yantao 储燕涛:
删除：非流动资产处置损失和非货币性资产交换损失</t>
      </text>
    </comment>
    <comment ref="A68" authorId="2" shapeId="0">
      <text>
        <t>1:
删除了 原“3.可供出售金融资产公允价值变动损益”、“5.持有至到期投资重分类为可供出售金融资产损益”</t>
      </text>
    </comment>
  </commentList>
</comments>
</file>

<file path=xl/comments/comment4.xml><?xml version="1.0" encoding="utf-8"?>
<comments xmlns="http://schemas.openxmlformats.org/spreadsheetml/2006/main">
  <authors>
    <author>Windows 用户</author>
    <author>致同</author>
  </authors>
  <commentList>
    <comment ref="A33" authorId="0" shapeId="0">
      <text>
        <t>Windows 用户:
企业为职工支付的养老、医疗、失业、工伤等社会保险费、补充养老保险费、补充医疗保险费、住房公积金、支付给职工的住房困难补助，以及企业支付给职工或为职工支付的其他福利费等，应按职工的工作性质和服务对象，分别在本项目和“购建固定资产、无形资产和其他长期资产所支付的现金”项目反映。</t>
      </text>
    </comment>
    <comment ref="A35" authorId="0" shapeId="0">
      <text>
        <t>Windows 用户:
企业支付给离退休人员的费用，在“支付其他与经营活动有关的现金”项目中反映</t>
      </text>
    </comment>
    <comment ref="A55" authorId="1" shapeId="0">
      <text>
        <t>致同:
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text>
    </comment>
  </commentList>
</comments>
</file>

<file path=xl/comments/comment5.xml><?xml version="1.0" encoding="utf-8"?>
<comments xmlns="http://schemas.openxmlformats.org/spreadsheetml/2006/main">
  <authors>
    <author>yantao.chu</author>
    <author>Chu Yantao 储燕涛</author>
    <author>张彦丽</author>
    <author>Windows 用户</author>
  </authors>
  <commentList>
    <comment ref="A10" authorId="0" shapeId="0">
      <text>
        <t>yantao.chu:
这两行，国资委不允许填数</t>
      </text>
    </comment>
    <comment ref="A12" authorId="1" shapeId="0">
      <text>
        <t>Chu Yantao 储燕涛:
同一控制下企业合并、清产核资、执行新金融工具准则等</t>
      </text>
    </comment>
    <comment ref="A17" authorId="2" shapeId="0">
      <text>
        <t>张彦丽:
“所有者投入资本”改为“所有者投入的普通股”</t>
      </text>
    </comment>
    <comment ref="A37" authorId="3" shapeId="0">
      <text>
        <t xml:space="preserve">Windows 用户:
“盈余公积弥补亏损”修改为“弥补亏损”,并将本行资本公积和实收资本单元格解封。
</t>
      </text>
    </comment>
  </commentList>
</comments>
</file>

<file path=xl/comments/comment6.xml><?xml version="1.0" encoding="utf-8"?>
<comments xmlns="http://schemas.openxmlformats.org/spreadsheetml/2006/main">
  <authors>
    <author>Chu Yantao 储燕涛</author>
  </authors>
  <commentList>
    <comment ref="C4" authorId="0" shapeId="0">
      <text>
        <t>Chu Yantao 储燕涛:
首次执行新金融工具准则及发生其他期初数调整事项的企业，按照调整后的金额填列</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Sheet1">
    <outlinePr summaryBelow="1" summaryRight="1"/>
    <pageSetUpPr fitToPage="1"/>
  </sheetPr>
  <dimension ref="A1:E108"/>
  <sheetViews>
    <sheetView showGridLines="0" showZeros="0" tabSelected="1" view="pageBreakPreview" zoomScaleNormal="110" workbookViewId="0">
      <pane xSplit="2" ySplit="4" topLeftCell="C5" activePane="bottomRight" state="frozen"/>
      <selection activeCell="A1" sqref="A1"/>
      <selection pane="topRight" activeCell="A1" sqref="A1"/>
      <selection pane="bottomLeft" activeCell="A1" sqref="A1"/>
      <selection pane="bottomRight" activeCell="B7" sqref="B7"/>
    </sheetView>
  </sheetViews>
  <sheetFormatPr baseColWidth="8" defaultColWidth="9" defaultRowHeight="15.75" customHeight="1"/>
  <cols>
    <col width="33.9" customWidth="1" style="76" min="1" max="1"/>
    <col width="13.125" customWidth="1" style="115" min="2" max="2"/>
    <col width="23.125" customWidth="1" style="76" min="3" max="3"/>
    <col width="24.5" customWidth="1" style="76" min="4" max="4"/>
    <col width="9" customWidth="1" style="76" min="5" max="16384"/>
  </cols>
  <sheetData>
    <row r="1" ht="30" customHeight="1" s="176">
      <c r="A1" s="78" t="inlineStr">
        <is>
          <t>公 司 资 产 负 债 表</t>
        </is>
      </c>
    </row>
    <row r="2" ht="16.5" customHeight="1" s="176">
      <c r="A2" s="147" t="inlineStr">
        <is>
          <t>{{period_end_date}}</t>
        </is>
      </c>
    </row>
    <row r="3" ht="18" customFormat="1" customHeight="1" s="81">
      <c r="A3" s="82" t="inlineStr">
        <is>
          <t>编制单位：{{company_full_name}}</t>
        </is>
      </c>
      <c r="B3" s="148" t="n"/>
      <c r="C3" s="148" t="n"/>
      <c r="D3" s="149" t="inlineStr">
        <is>
          <t>金额单位：元</t>
        </is>
      </c>
    </row>
    <row r="4" ht="18" customFormat="1" customHeight="1" s="81">
      <c r="A4" s="150" t="inlineStr">
        <is>
          <t>项            目</t>
        </is>
      </c>
      <c r="B4" s="150" t="inlineStr">
        <is>
          <t>附注</t>
        </is>
      </c>
      <c r="C4" s="86" t="inlineStr">
        <is>
          <t>期末余额</t>
        </is>
      </c>
      <c r="D4" s="119" t="inlineStr">
        <is>
          <t>期初余额</t>
        </is>
      </c>
    </row>
    <row r="5" ht="15" customFormat="1" customHeight="1" s="101">
      <c r="A5" s="155" t="inlineStr">
        <is>
          <t>流动资产：</t>
        </is>
      </c>
      <c r="B5" s="154" t="n"/>
      <c r="C5" s="172" t="n"/>
      <c r="D5" s="154" t="n"/>
    </row>
    <row r="6" ht="15" customFormat="1" customHeight="1" s="101">
      <c r="A6" s="151" t="inlineStr">
        <is>
          <t xml:space="preserve">  货币资金</t>
        </is>
      </c>
      <c r="B6" s="154" t="n"/>
      <c r="C6" s="177" t="inlineStr">
        <is>
          <t>{{row:BS-002:current}}</t>
        </is>
      </c>
      <c r="D6" s="178" t="inlineStr">
        <is>
          <t>{{row:BS-002:prior}}</t>
        </is>
      </c>
    </row>
    <row r="7" ht="15" customFormat="1" customHeight="1" s="101">
      <c r="A7" s="151" t="inlineStr">
        <is>
          <t xml:space="preserve">  △结算备付金</t>
        </is>
      </c>
      <c r="B7" s="154" t="n"/>
      <c r="C7" s="177" t="inlineStr">
        <is>
          <t>{{row:BS-003:current}}</t>
        </is>
      </c>
      <c r="D7" s="178" t="inlineStr">
        <is>
          <t>{{row:BS-003:prior}}</t>
        </is>
      </c>
    </row>
    <row r="8" ht="15" customFormat="1" customHeight="1" s="101">
      <c r="A8" s="151" t="inlineStr">
        <is>
          <t xml:space="preserve">  △拆出资金</t>
        </is>
      </c>
      <c r="B8" s="154" t="n"/>
      <c r="C8" s="177" t="inlineStr">
        <is>
          <t>{{row:BS-004:current}}</t>
        </is>
      </c>
      <c r="D8" s="178" t="inlineStr">
        <is>
          <t>{{row:BS-004:prior}}</t>
        </is>
      </c>
    </row>
    <row r="9" ht="15" customFormat="1" customHeight="1" s="101">
      <c r="A9" s="151" t="inlineStr">
        <is>
          <t xml:space="preserve">  交易性金融资产</t>
        </is>
      </c>
      <c r="B9" s="154" t="n"/>
      <c r="C9" s="177" t="inlineStr">
        <is>
          <t>{{row:BS-005:current}}</t>
        </is>
      </c>
      <c r="D9" s="178" t="inlineStr">
        <is>
          <t>{{row:BS-005:prior}}</t>
        </is>
      </c>
    </row>
    <row r="10" ht="15" customFormat="1" customHeight="1" s="101">
      <c r="A10" s="151" t="inlineStr">
        <is>
          <t xml:space="preserve">  衍生金融资产</t>
        </is>
      </c>
      <c r="B10" s="154" t="n"/>
      <c r="C10" s="177" t="inlineStr">
        <is>
          <t>{{row:BS-006:current}}</t>
        </is>
      </c>
      <c r="D10" s="178" t="inlineStr">
        <is>
          <t>{{row:BS-006:prior}}</t>
        </is>
      </c>
    </row>
    <row r="11" ht="15" customFormat="1" customHeight="1" s="101">
      <c r="A11" s="151" t="inlineStr">
        <is>
          <t xml:space="preserve">  应收票据</t>
        </is>
      </c>
      <c r="B11" s="154" t="n"/>
      <c r="C11" s="177" t="inlineStr">
        <is>
          <t>{{row:BS-007:current}}</t>
        </is>
      </c>
      <c r="D11" s="178" t="inlineStr">
        <is>
          <t>{{row:BS-007:prior}}</t>
        </is>
      </c>
    </row>
    <row r="12" ht="15" customFormat="1" customHeight="1" s="101">
      <c r="A12" s="151" t="inlineStr">
        <is>
          <t xml:space="preserve">  应收账款</t>
        </is>
      </c>
      <c r="B12" s="154" t="n"/>
      <c r="C12" s="177" t="inlineStr">
        <is>
          <t>{{row:BS-008:current}}</t>
        </is>
      </c>
      <c r="D12" s="178" t="inlineStr">
        <is>
          <t>{{row:BS-008:prior}}</t>
        </is>
      </c>
    </row>
    <row r="13" ht="15" customFormat="1" customHeight="1" s="101">
      <c r="A13" s="151" t="inlineStr">
        <is>
          <t xml:space="preserve">  应收款项融资</t>
        </is>
      </c>
      <c r="B13" s="154" t="n"/>
      <c r="C13" s="177" t="inlineStr">
        <is>
          <t>{{row:BS-009:current}}</t>
        </is>
      </c>
      <c r="D13" s="178" t="inlineStr">
        <is>
          <t>{{row:BS-009:prior}}</t>
        </is>
      </c>
    </row>
    <row r="14" ht="15" customFormat="1" customHeight="1" s="101">
      <c r="A14" s="155" t="inlineStr">
        <is>
          <t xml:space="preserve">  预付款项</t>
        </is>
      </c>
      <c r="B14" s="154" t="n"/>
      <c r="C14" s="177" t="inlineStr">
        <is>
          <t>{{row:BS-010:current}}</t>
        </is>
      </c>
      <c r="D14" s="178" t="inlineStr">
        <is>
          <t>{{row:BS-010:prior}}</t>
        </is>
      </c>
    </row>
    <row r="15" ht="15" customFormat="1" customHeight="1" s="101">
      <c r="A15" s="151" t="inlineStr">
        <is>
          <t xml:space="preserve">  ▲应收保费</t>
        </is>
      </c>
      <c r="B15" s="154" t="n"/>
      <c r="C15" s="177" t="inlineStr">
        <is>
          <t>{{row:BS-011:current}}</t>
        </is>
      </c>
      <c r="D15" s="178" t="inlineStr">
        <is>
          <t>{{row:BS-011:prior}}</t>
        </is>
      </c>
    </row>
    <row r="16" ht="15" customFormat="1" customHeight="1" s="101">
      <c r="A16" s="151" t="inlineStr">
        <is>
          <t xml:space="preserve">  ▲应收分保账款</t>
        </is>
      </c>
      <c r="B16" s="154" t="n"/>
      <c r="C16" s="177" t="inlineStr">
        <is>
          <t>{{row:BS-012:current}}</t>
        </is>
      </c>
      <c r="D16" s="178" t="inlineStr">
        <is>
          <t>{{row:BS-012:prior}}</t>
        </is>
      </c>
    </row>
    <row r="17" ht="15" customFormat="1" customHeight="1" s="101">
      <c r="A17" s="151" t="inlineStr">
        <is>
          <t xml:space="preserve">  ▲应收分保合同准备金</t>
        </is>
      </c>
      <c r="B17" s="154" t="n"/>
      <c r="C17" s="177" t="inlineStr">
        <is>
          <t>{{row:BS-013:current}}</t>
        </is>
      </c>
      <c r="D17" s="178" t="inlineStr">
        <is>
          <t>{{row:BS-013:prior}}</t>
        </is>
      </c>
    </row>
    <row r="18" ht="15" customFormat="1" customHeight="1" s="101">
      <c r="A18" s="151" t="inlineStr">
        <is>
          <t xml:space="preserve">  应收资金集中管理款</t>
        </is>
      </c>
      <c r="B18" s="154" t="n"/>
      <c r="C18" s="177" t="inlineStr">
        <is>
          <t>{{row:BS-014:current}}</t>
        </is>
      </c>
      <c r="D18" s="178" t="inlineStr">
        <is>
          <t>{{row:BS-014:prior}}</t>
        </is>
      </c>
      <c r="E18" s="72" t="inlineStr">
        <is>
          <t>增加“应收资金集中管理款”指标，反映企业根据相关法规制度，通过内部结算中心、财务公司等对母公司及成员单位资金实行集中统一管理的，成员单位归集至母公司账户的资金，成员单位应根据重要性原则并结合企业实际情况填列</t>
        </is>
      </c>
    </row>
    <row r="19" ht="15" customFormat="1" customHeight="1" s="101">
      <c r="A19" s="151" t="inlineStr">
        <is>
          <t xml:space="preserve">  其他应收款</t>
        </is>
      </c>
      <c r="B19" s="154" t="n"/>
      <c r="C19" s="177" t="inlineStr">
        <is>
          <t>{{row:BS-015:current}}</t>
        </is>
      </c>
      <c r="D19" s="178" t="inlineStr">
        <is>
          <t>{{row:BS-015:prior}}</t>
        </is>
      </c>
    </row>
    <row r="20" ht="15" customFormat="1" customHeight="1" s="101">
      <c r="A20" s="151" t="inlineStr">
        <is>
          <t xml:space="preserve">    其中：应收股利</t>
        </is>
      </c>
      <c r="B20" s="154" t="n"/>
      <c r="C20" s="177" t="inlineStr">
        <is>
          <t>{{row:BS-016:current}}</t>
        </is>
      </c>
      <c r="D20" s="178" t="inlineStr">
        <is>
          <t>{{row:BS-016:prior}}</t>
        </is>
      </c>
    </row>
    <row r="21" ht="15" customFormat="1" customHeight="1" s="101">
      <c r="A21" s="151" t="inlineStr">
        <is>
          <t xml:space="preserve">  △买入返售金融资产</t>
        </is>
      </c>
      <c r="B21" s="154" t="n"/>
      <c r="C21" s="177" t="inlineStr">
        <is>
          <t>{{row:BS-017:current}}</t>
        </is>
      </c>
      <c r="D21" s="178" t="inlineStr">
        <is>
          <t>{{row:BS-017:prior}}</t>
        </is>
      </c>
    </row>
    <row r="22" ht="15" customFormat="1" customHeight="1" s="101">
      <c r="A22" s="151" t="inlineStr">
        <is>
          <t xml:space="preserve">  存货</t>
        </is>
      </c>
      <c r="B22" s="154" t="n"/>
      <c r="C22" s="177" t="inlineStr">
        <is>
          <t>{{row:BS-018:current}}</t>
        </is>
      </c>
      <c r="D22" s="178" t="inlineStr">
        <is>
          <t>{{row:BS-018:prior}}</t>
        </is>
      </c>
      <c r="E22" s="72" t="inlineStr">
        <is>
          <t>摊销期限小于一年或一个正常营业周期的合同履约成本在“存货”项目反映</t>
        </is>
      </c>
    </row>
    <row r="23" ht="15" customFormat="1" customHeight="1" s="101">
      <c r="A23" s="151" t="inlineStr">
        <is>
          <t xml:space="preserve">    其中：原材料</t>
        </is>
      </c>
      <c r="B23" s="154" t="n"/>
      <c r="C23" s="177" t="inlineStr">
        <is>
          <t>{{row:BS-019:current}}</t>
        </is>
      </c>
      <c r="D23" s="178" t="inlineStr">
        <is>
          <t>{{row:BS-019:prior}}</t>
        </is>
      </c>
    </row>
    <row r="24" ht="15" customFormat="1" customHeight="1" s="101">
      <c r="A24" s="151" t="inlineStr">
        <is>
          <t xml:space="preserve">          库存商品（产成品）</t>
        </is>
      </c>
      <c r="B24" s="154" t="n"/>
      <c r="C24" s="177" t="inlineStr">
        <is>
          <t>{{row:BS-020:current}}</t>
        </is>
      </c>
      <c r="D24" s="178" t="inlineStr">
        <is>
          <t>{{row:BS-020:prior}}</t>
        </is>
      </c>
    </row>
    <row r="25" ht="15" customFormat="1" customHeight="1" s="101">
      <c r="A25" s="151" t="inlineStr">
        <is>
          <t xml:space="preserve">  合同资产</t>
        </is>
      </c>
      <c r="B25" s="154" t="n"/>
      <c r="C25" s="177" t="inlineStr">
        <is>
          <t>{{row:BS-021:current}}</t>
        </is>
      </c>
      <c r="D25" s="178" t="inlineStr">
        <is>
          <t>{{row:BS-021:prior}}</t>
        </is>
      </c>
    </row>
    <row r="26" ht="15" customFormat="1" customHeight="1" s="101">
      <c r="A26" s="151" t="inlineStr">
        <is>
          <t xml:space="preserve">  △保险合同资产</t>
        </is>
      </c>
      <c r="B26" s="154" t="n"/>
      <c r="C26" s="177" t="inlineStr">
        <is>
          <t>{{row:BS-022:current}}</t>
        </is>
      </c>
      <c r="D26" s="178" t="inlineStr">
        <is>
          <t>{{row:BS-022:prior}}</t>
        </is>
      </c>
    </row>
    <row r="27" ht="15" customFormat="1" customHeight="1" s="101">
      <c r="A27" s="151" t="inlineStr">
        <is>
          <t xml:space="preserve">  △分出再保险合同资产</t>
        </is>
      </c>
      <c r="B27" s="154" t="n"/>
      <c r="C27" s="177" t="inlineStr">
        <is>
          <t>{{row:BS-023:current}}</t>
        </is>
      </c>
      <c r="D27" s="178" t="inlineStr">
        <is>
          <t>{{row:BS-023:prior}}</t>
        </is>
      </c>
    </row>
    <row r="28" ht="15" customFormat="1" customHeight="1" s="101">
      <c r="A28" s="151" t="inlineStr">
        <is>
          <t xml:space="preserve">  持有待售资产</t>
        </is>
      </c>
      <c r="B28" s="154" t="n"/>
      <c r="C28" s="177" t="inlineStr">
        <is>
          <t>{{row:BS-024:current}}</t>
        </is>
      </c>
      <c r="D28" s="178" t="inlineStr">
        <is>
          <t>{{row:BS-024:prior}}</t>
        </is>
      </c>
    </row>
    <row r="29" ht="15" customFormat="1" customHeight="1" s="101">
      <c r="A29" s="151" t="inlineStr">
        <is>
          <t xml:space="preserve">  一年内到期的非流动资产</t>
        </is>
      </c>
      <c r="B29" s="154" t="n"/>
      <c r="C29" s="177" t="inlineStr">
        <is>
          <t>{{row:BS-025:current}}</t>
        </is>
      </c>
      <c r="D29" s="178" t="inlineStr">
        <is>
          <t>{{row:BS-025:prior}}</t>
        </is>
      </c>
    </row>
    <row r="30" ht="15" customFormat="1" customHeight="1" s="101">
      <c r="A30" s="151" t="inlineStr">
        <is>
          <t xml:space="preserve">  其他流动资产</t>
        </is>
      </c>
      <c r="B30" s="154" t="n"/>
      <c r="C30" s="177" t="inlineStr">
        <is>
          <t>{{row:BS-026:current}}</t>
        </is>
      </c>
      <c r="D30" s="178" t="inlineStr">
        <is>
          <t>{{row:BS-026:prior}}</t>
        </is>
      </c>
      <c r="E30" s="72" t="inlineStr">
        <is>
          <t>摊销期限小于一年或一个正常营业周期的合同取得成本和在一年或一个正常营业周期内出售的应收退货成本在“其他流动资产”项目反映，已计提减值准备的，以减去相应减值准备后的金额填列</t>
        </is>
      </c>
    </row>
    <row r="31" ht="15" customFormat="1" customHeight="1" s="101">
      <c r="A31" s="159" t="inlineStr">
        <is>
          <t>流动资产合计</t>
        </is>
      </c>
      <c r="B31" s="154" t="n"/>
      <c r="C31" s="179">
        <f>SUM(C6:C30)-C23-C24-C20</f>
        <v/>
      </c>
      <c r="D31" s="180">
        <f>SUM(D6:D30)-D23-D24-D20</f>
        <v/>
      </c>
    </row>
    <row r="32" ht="15" customFormat="1" customHeight="1" s="101">
      <c r="A32" s="151" t="inlineStr">
        <is>
          <t>非流动资产：</t>
        </is>
      </c>
      <c r="B32" s="154" t="n"/>
      <c r="C32" s="172" t="n"/>
      <c r="D32" s="154" t="n"/>
    </row>
    <row r="33" ht="15" customFormat="1" customHeight="1" s="101">
      <c r="A33" s="151" t="inlineStr">
        <is>
          <t xml:space="preserve">  △发放贷款和垫款</t>
        </is>
      </c>
      <c r="B33" s="154" t="n"/>
      <c r="C33" s="172" t="inlineStr">
        <is>
          <t>{{row:BS-029:current}}</t>
        </is>
      </c>
      <c r="D33" s="154" t="inlineStr">
        <is>
          <t>{{row:BS-029:prior}}</t>
        </is>
      </c>
    </row>
    <row r="34" ht="15" customFormat="1" customHeight="1" s="101">
      <c r="A34" s="151" t="inlineStr">
        <is>
          <t xml:space="preserve">  债权投资</t>
        </is>
      </c>
      <c r="B34" s="154" t="n"/>
      <c r="C34" s="172" t="inlineStr">
        <is>
          <t>{{row:BS-030:current}}</t>
        </is>
      </c>
      <c r="D34" s="154" t="inlineStr">
        <is>
          <t>{{row:BS-030:prior}}</t>
        </is>
      </c>
    </row>
    <row r="35" ht="15" customFormat="1" customHeight="1" s="101">
      <c r="A35" s="151" t="inlineStr">
        <is>
          <t xml:space="preserve">  其他债权投资</t>
        </is>
      </c>
      <c r="B35" s="154" t="n"/>
      <c r="C35" s="177" t="inlineStr">
        <is>
          <t>{{row:BS-031:current}}</t>
        </is>
      </c>
      <c r="D35" s="178" t="inlineStr">
        <is>
          <t>{{row:BS-031:prior}}</t>
        </is>
      </c>
    </row>
    <row r="36" ht="15" customFormat="1" customHeight="1" s="101">
      <c r="A36" s="151" t="inlineStr">
        <is>
          <t xml:space="preserve">  长期应收款</t>
        </is>
      </c>
      <c r="B36" s="154" t="n"/>
      <c r="C36" s="177" t="inlineStr">
        <is>
          <t>{{row:BS-032:current}}</t>
        </is>
      </c>
      <c r="D36" s="178" t="inlineStr">
        <is>
          <t>{{row:BS-032:prior}}</t>
        </is>
      </c>
    </row>
    <row r="37" ht="15" customFormat="1" customHeight="1" s="101">
      <c r="A37" s="151" t="inlineStr">
        <is>
          <t xml:space="preserve">  长期股权投资</t>
        </is>
      </c>
      <c r="B37" s="154" t="n"/>
      <c r="C37" s="177" t="inlineStr">
        <is>
          <t>{{row:BS-033:current}}</t>
        </is>
      </c>
      <c r="D37" s="178" t="inlineStr">
        <is>
          <t>{{row:BS-033:prior}}</t>
        </is>
      </c>
    </row>
    <row r="38" ht="15" customFormat="1" customHeight="1" s="101">
      <c r="A38" s="151" t="inlineStr">
        <is>
          <t xml:space="preserve">  其他权益工具投资</t>
        </is>
      </c>
      <c r="B38" s="154" t="n"/>
      <c r="C38" s="177" t="inlineStr">
        <is>
          <t>{{row:BS-034:current}}</t>
        </is>
      </c>
      <c r="D38" s="178" t="inlineStr">
        <is>
          <t>{{row:BS-034:prior}}</t>
        </is>
      </c>
    </row>
    <row r="39" ht="15" customFormat="1" customHeight="1" s="101">
      <c r="A39" s="151" t="inlineStr">
        <is>
          <t xml:space="preserve">  其他非流动金融资产</t>
        </is>
      </c>
      <c r="B39" s="154" t="n"/>
      <c r="C39" s="177" t="inlineStr">
        <is>
          <t>{{row:BS-035:current}}</t>
        </is>
      </c>
      <c r="D39" s="178" t="inlineStr">
        <is>
          <t>{{row:BS-035:prior}}</t>
        </is>
      </c>
    </row>
    <row r="40" ht="15" customFormat="1" customHeight="1" s="101">
      <c r="A40" s="151" t="inlineStr">
        <is>
          <t xml:space="preserve">  投资性房地产</t>
        </is>
      </c>
      <c r="B40" s="154" t="n"/>
      <c r="C40" s="177" t="inlineStr">
        <is>
          <t>{{row:BS-036:current}}</t>
        </is>
      </c>
      <c r="D40" s="178" t="inlineStr">
        <is>
          <t>{{row:BS-036:prior}}</t>
        </is>
      </c>
    </row>
    <row r="41" ht="15" customFormat="1" customHeight="1" s="101">
      <c r="A41" s="151" t="inlineStr">
        <is>
          <t xml:space="preserve">  固定资产</t>
        </is>
      </c>
      <c r="B41" s="154" t="n"/>
      <c r="C41" s="177" t="inlineStr">
        <is>
          <t>{{row:BS-037:current}}</t>
        </is>
      </c>
      <c r="D41" s="178" t="inlineStr">
        <is>
          <t>{{row:BS-037:prior}}</t>
        </is>
      </c>
    </row>
    <row r="42" ht="15" customFormat="1" customHeight="1" s="101">
      <c r="A42" s="151" t="inlineStr">
        <is>
          <t xml:space="preserve">    其中：固定资产原价</t>
        </is>
      </c>
      <c r="B42" s="154" t="n"/>
      <c r="C42" s="177" t="inlineStr">
        <is>
          <t>{{row:BS-038:current}}</t>
        </is>
      </c>
      <c r="D42" s="178" t="inlineStr">
        <is>
          <t>{{row:BS-038:prior}}</t>
        </is>
      </c>
    </row>
    <row r="43" ht="15" customFormat="1" customHeight="1" s="101">
      <c r="A43" s="151" t="inlineStr">
        <is>
          <t xml:space="preserve">          累计折旧</t>
        </is>
      </c>
      <c r="B43" s="154" t="n"/>
      <c r="C43" s="177" t="inlineStr">
        <is>
          <t>{{row:BS-039:current}}</t>
        </is>
      </c>
      <c r="D43" s="178" t="inlineStr">
        <is>
          <t>{{row:BS-039:prior}}</t>
        </is>
      </c>
    </row>
    <row r="44" ht="15" customFormat="1" customHeight="1" s="101">
      <c r="A44" s="151" t="inlineStr">
        <is>
          <t xml:space="preserve">          固定资产减值准备</t>
        </is>
      </c>
      <c r="B44" s="154" t="n"/>
      <c r="C44" s="177" t="inlineStr">
        <is>
          <t>{{row:BS-040:current}}</t>
        </is>
      </c>
      <c r="D44" s="178" t="inlineStr">
        <is>
          <t>{{row:BS-040:prior}}</t>
        </is>
      </c>
    </row>
    <row r="45" ht="15" customFormat="1" customHeight="1" s="101">
      <c r="A45" s="151" t="inlineStr">
        <is>
          <t xml:space="preserve">  在建工程</t>
        </is>
      </c>
      <c r="B45" s="154" t="n"/>
      <c r="C45" s="177" t="inlineStr">
        <is>
          <t>{{row:BS-041:current}}</t>
        </is>
      </c>
      <c r="D45" s="178" t="inlineStr">
        <is>
          <t>{{row:BS-041:prior}}</t>
        </is>
      </c>
    </row>
    <row r="46" ht="15" customFormat="1" customHeight="1" s="101">
      <c r="A46" s="155" t="inlineStr">
        <is>
          <t xml:space="preserve">  生产性生物资产</t>
        </is>
      </c>
      <c r="B46" s="154" t="n"/>
      <c r="C46" s="177" t="inlineStr">
        <is>
          <t>{{row:BS-042:current}}</t>
        </is>
      </c>
      <c r="D46" s="178" t="inlineStr">
        <is>
          <t>{{row:BS-042:prior}}</t>
        </is>
      </c>
    </row>
    <row r="47" ht="15" customFormat="1" customHeight="1" s="101">
      <c r="A47" s="155" t="inlineStr">
        <is>
          <t xml:space="preserve">  油气资产</t>
        </is>
      </c>
      <c r="B47" s="154" t="n"/>
      <c r="C47" s="177" t="inlineStr">
        <is>
          <t>{{row:BS-043:current}}</t>
        </is>
      </c>
      <c r="D47" s="178" t="inlineStr">
        <is>
          <t>{{row:BS-043:prior}}</t>
        </is>
      </c>
    </row>
    <row r="48" ht="15" customFormat="1" customHeight="1" s="101">
      <c r="A48" s="151" t="inlineStr">
        <is>
          <t xml:space="preserve">  使用权资产</t>
        </is>
      </c>
      <c r="B48" s="154" t="n"/>
      <c r="C48" s="177" t="inlineStr">
        <is>
          <t>{{row:BS-044:current}}</t>
        </is>
      </c>
      <c r="D48" s="178" t="inlineStr">
        <is>
          <t>{{row:BS-044:prior}}</t>
        </is>
      </c>
    </row>
    <row r="49" ht="15" customFormat="1" customHeight="1" s="101">
      <c r="A49" s="151" t="inlineStr">
        <is>
          <t xml:space="preserve">  无形资产</t>
        </is>
      </c>
      <c r="B49" s="154" t="n"/>
      <c r="C49" s="177" t="inlineStr">
        <is>
          <t>{{row:BS-045:current}}</t>
        </is>
      </c>
      <c r="D49" s="178" t="inlineStr">
        <is>
          <t>{{row:BS-045:prior}}</t>
        </is>
      </c>
    </row>
    <row r="50" ht="15" customFormat="1" customHeight="1" s="101">
      <c r="A50" s="151" t="inlineStr">
        <is>
          <t xml:space="preserve">  开发支出</t>
        </is>
      </c>
      <c r="B50" s="154" t="n"/>
      <c r="C50" s="177" t="inlineStr">
        <is>
          <t>{{row:BS-046:current}}</t>
        </is>
      </c>
      <c r="D50" s="178" t="inlineStr">
        <is>
          <t>{{row:BS-046:prior}}</t>
        </is>
      </c>
    </row>
    <row r="51" ht="15" customFormat="1" customHeight="1" s="101">
      <c r="A51" s="151" t="inlineStr">
        <is>
          <t xml:space="preserve">  商誉</t>
        </is>
      </c>
      <c r="B51" s="154" t="n"/>
      <c r="C51" s="177" t="inlineStr">
        <is>
          <t>{{row:BS-047:current}}</t>
        </is>
      </c>
      <c r="D51" s="178" t="inlineStr">
        <is>
          <t>{{row:BS-047:prior}}</t>
        </is>
      </c>
    </row>
    <row r="52" ht="15" customFormat="1" customHeight="1" s="101">
      <c r="A52" s="151" t="inlineStr">
        <is>
          <t xml:space="preserve">  长期待摊费用</t>
        </is>
      </c>
      <c r="B52" s="154" t="n"/>
      <c r="C52" s="177" t="inlineStr">
        <is>
          <t>{{row:BS-048:current}}</t>
        </is>
      </c>
      <c r="D52" s="178" t="inlineStr">
        <is>
          <t>{{row:BS-048:prior}}</t>
        </is>
      </c>
    </row>
    <row r="53" ht="15" customFormat="1" customHeight="1" s="101">
      <c r="A53" s="151" t="inlineStr">
        <is>
          <t xml:space="preserve">  递延所得税资产</t>
        </is>
      </c>
      <c r="B53" s="154" t="n"/>
      <c r="C53" s="177" t="inlineStr">
        <is>
          <t>{{row:BS-049:current}}</t>
        </is>
      </c>
      <c r="D53" s="178" t="inlineStr">
        <is>
          <t>{{row:BS-049:prior}}</t>
        </is>
      </c>
    </row>
    <row r="54" ht="15" customFormat="1" customHeight="1" s="101">
      <c r="A54" s="151" t="inlineStr">
        <is>
          <t xml:space="preserve">  其他非流动资产</t>
        </is>
      </c>
      <c r="B54" s="154" t="n"/>
      <c r="C54" s="177" t="inlineStr">
        <is>
          <t>{{row:BS-050:current}}</t>
        </is>
      </c>
      <c r="D54" s="178" t="inlineStr">
        <is>
          <t>{{row:BS-050:prior}}</t>
        </is>
      </c>
      <c r="E54" s="72" t="inlineStr">
        <is>
          <t>摊销期限不小于一年或一个正常营业周期的合同取得成本、合同履约成本和不能在一年或一个正常营业周期内出售的应收退货成本在“其他非流动资产”项目反映，已计提减值准备的，以减去相应减值准备后的金额填列</t>
        </is>
      </c>
    </row>
    <row r="55" ht="15" customFormat="1" customHeight="1" s="101">
      <c r="A55" s="151" t="inlineStr">
        <is>
          <t xml:space="preserve">    其中：特准储备物资</t>
        </is>
      </c>
      <c r="B55" s="154" t="n"/>
      <c r="C55" s="177" t="inlineStr">
        <is>
          <t>{{row:BS-051:current}}</t>
        </is>
      </c>
      <c r="D55" s="178" t="inlineStr">
        <is>
          <t>{{row:BS-051:prior}}</t>
        </is>
      </c>
    </row>
    <row r="56" ht="15" customFormat="1" customHeight="1" s="101">
      <c r="A56" s="159" t="inlineStr">
        <is>
          <t>非流动资产合计</t>
        </is>
      </c>
      <c r="B56" s="154" t="n"/>
      <c r="C56" s="179">
        <f>SUM(C33:C41)+SUM(C45:C54)</f>
        <v/>
      </c>
      <c r="D56" s="180">
        <f>SUM(D33:D41)+SUM(D45:D54)</f>
        <v/>
      </c>
    </row>
    <row r="57" customFormat="1" s="81">
      <c r="A57" s="165" t="inlineStr">
        <is>
          <t>资  产  总  计</t>
        </is>
      </c>
      <c r="B57" s="173" t="n"/>
      <c r="C57" s="181">
        <f>C31+C56</f>
        <v/>
      </c>
      <c r="D57" s="182">
        <f>D31+D56</f>
        <v/>
      </c>
    </row>
    <row r="58" ht="15" customFormat="1" customHeight="1" s="81">
      <c r="B58" s="116" t="n"/>
      <c r="C58" s="81" t="n"/>
    </row>
    <row r="59" ht="15" customFormat="1" customHeight="1" s="81">
      <c r="A59" s="145" t="n"/>
      <c r="B59" s="116" t="n"/>
    </row>
    <row r="60" customFormat="1" s="81">
      <c r="A60" s="171" t="n"/>
      <c r="B60" s="171" t="n"/>
      <c r="C60" s="171" t="n"/>
      <c r="D60" s="171" t="n"/>
    </row>
    <row r="61" customFormat="1" s="81">
      <c r="B61" s="116" t="n"/>
    </row>
    <row r="62" customFormat="1" s="81">
      <c r="A62" s="110" t="inlineStr">
        <is>
          <t>注：表中带*科目为合并会计报表专用；</t>
        </is>
      </c>
    </row>
    <row r="63" customFormat="1" s="81">
      <c r="A63" s="110" t="inlineStr">
        <is>
          <t>注：加△科目为金融类企业专用；</t>
        </is>
      </c>
    </row>
    <row r="64" customFormat="1" s="81">
      <c r="A64" s="110" t="inlineStr">
        <is>
          <t>注：加▲项目为未执行新保险合同准则的企业专用；</t>
        </is>
      </c>
    </row>
    <row r="65" customFormat="1" s="81">
      <c r="A65" s="110" t="inlineStr">
        <is>
          <t>注：带#为外商投资企业专用。</t>
        </is>
      </c>
    </row>
    <row r="66" customFormat="1" s="81">
      <c r="A66" s="110" t="n"/>
    </row>
    <row r="67" ht="31.5" customFormat="1" customHeight="1" s="81">
      <c r="A67" s="174" t="n"/>
    </row>
    <row r="68" ht="41.25" customFormat="1" customHeight="1" s="81">
      <c r="A68" s="174" t="n"/>
    </row>
    <row r="69" customFormat="1" s="81">
      <c r="B69" s="116" t="n"/>
    </row>
    <row r="70" customFormat="1" s="81">
      <c r="B70" s="116" t="n"/>
    </row>
    <row r="71" customFormat="1" s="81">
      <c r="B71" s="116" t="n"/>
    </row>
    <row r="72" customFormat="1" s="81">
      <c r="B72" s="116" t="n"/>
    </row>
    <row r="73" customFormat="1" s="81">
      <c r="B73" s="116" t="n"/>
    </row>
    <row r="74" customFormat="1" s="81">
      <c r="B74" s="116" t="n"/>
    </row>
    <row r="75" customFormat="1" s="81">
      <c r="B75" s="116" t="n"/>
    </row>
    <row r="76" customFormat="1" s="76">
      <c r="A76" s="81" t="n"/>
      <c r="B76" s="116" t="n"/>
      <c r="C76" s="81" t="n"/>
      <c r="D76" s="81" t="n"/>
    </row>
    <row r="77" customFormat="1" s="76">
      <c r="A77" s="81" t="n"/>
      <c r="B77" s="116" t="n"/>
      <c r="C77" s="81" t="n"/>
      <c r="D77" s="81" t="n"/>
    </row>
    <row r="78" customFormat="1" s="76">
      <c r="B78" s="115" t="n"/>
    </row>
    <row r="79" customFormat="1" s="76">
      <c r="B79" s="115" t="n"/>
    </row>
    <row r="80" customFormat="1" s="76">
      <c r="B80" s="115" t="n"/>
    </row>
    <row r="81" customFormat="1" s="76">
      <c r="B81" s="115" t="n"/>
    </row>
    <row r="82" customFormat="1" s="76">
      <c r="B82" s="115" t="n"/>
    </row>
    <row r="83" customFormat="1" s="76">
      <c r="B83" s="115" t="n"/>
    </row>
    <row r="84" customFormat="1" s="76">
      <c r="B84" s="115" t="n"/>
    </row>
    <row r="85" customFormat="1" s="76">
      <c r="B85" s="115" t="n"/>
    </row>
    <row r="86" customFormat="1" s="76">
      <c r="B86" s="115" t="n"/>
    </row>
    <row r="87" customFormat="1" s="76">
      <c r="B87" s="115" t="n"/>
    </row>
    <row r="88" customFormat="1" s="76">
      <c r="B88" s="115" t="n"/>
    </row>
    <row r="89" customFormat="1" s="76">
      <c r="B89" s="115" t="n"/>
    </row>
    <row r="90" customFormat="1" s="76">
      <c r="B90" s="115" t="n"/>
    </row>
    <row r="91" customFormat="1" s="76">
      <c r="B91" s="115" t="n"/>
    </row>
    <row r="92" customFormat="1" s="76">
      <c r="B92" s="115" t="n"/>
    </row>
    <row r="93" customFormat="1" s="76">
      <c r="B93" s="115" t="n"/>
    </row>
    <row r="94" customFormat="1" s="76">
      <c r="B94" s="115" t="n"/>
    </row>
    <row r="95" customFormat="1" s="76">
      <c r="B95" s="115" t="n"/>
    </row>
    <row r="96" customFormat="1" s="76">
      <c r="B96" s="115" t="n"/>
    </row>
    <row r="97" customFormat="1" s="76">
      <c r="B97" s="115" t="n"/>
    </row>
    <row r="98" customFormat="1" s="76">
      <c r="B98" s="115" t="n"/>
    </row>
    <row r="99" customFormat="1" s="76">
      <c r="B99" s="115" t="n"/>
    </row>
    <row r="100" customFormat="1" s="76">
      <c r="B100" s="115" t="n"/>
    </row>
    <row r="101" customFormat="1" s="76">
      <c r="B101" s="115" t="n"/>
    </row>
    <row r="102" customFormat="1" s="76">
      <c r="B102" s="115" t="n"/>
    </row>
    <row r="103" customFormat="1" s="76">
      <c r="B103" s="115" t="n"/>
    </row>
    <row r="104" customFormat="1" s="76">
      <c r="B104" s="115" t="n"/>
    </row>
    <row r="105" customFormat="1" s="76">
      <c r="B105" s="115" t="n"/>
    </row>
    <row r="106" customFormat="1" s="76">
      <c r="B106" s="115" t="n"/>
    </row>
    <row r="107" customFormat="1" s="76">
      <c r="B107" s="115" t="n"/>
    </row>
    <row r="108" s="176">
      <c r="B108" s="115" t="n"/>
      <c r="C108" s="76" t="n"/>
    </row>
  </sheetData>
  <mergeCells count="9">
    <mergeCell ref="A1:D1"/>
    <mergeCell ref="A68:C68"/>
    <mergeCell ref="A63:C63"/>
    <mergeCell ref="A66:C66"/>
    <mergeCell ref="A67:C67"/>
    <mergeCell ref="A62:C62"/>
    <mergeCell ref="A2:D2"/>
    <mergeCell ref="A65:C65"/>
    <mergeCell ref="A64:C64"/>
  </mergeCells>
  <conditionalFormatting sqref="C1:D1048576">
    <cfRule type="cellIs" priority="2" operator="equal" dxfId="0">
      <formula>0</formula>
    </cfRule>
    <cfRule type="cellIs" priority="1" operator="equal" dxfId="0">
      <formula>0</formula>
    </cfRule>
  </conditionalFormatting>
  <printOptions horizontalCentered="1"/>
  <pageMargins left="0.748031496062992" right="1.25196850393701" top="0.78740157480315" bottom="1" header="0.511811023622047" footer="0.511811023622047"/>
  <pageSetup orientation="portrait" paperSize="9" scale="79" fitToHeight="0" useFirstPageNumber="1"/>
  <headerFooter alignWithMargins="0">
    <oddHeader/>
    <oddFooter>&amp;C&amp;"Arial Narrow,常规"&amp;P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fitToPage="1"/>
  </sheetPr>
  <dimension ref="A1:E130"/>
  <sheetViews>
    <sheetView showGridLines="0" showZeros="0" view="pageBreakPreview" zoomScaleNormal="110" workbookViewId="0">
      <pane xSplit="2" ySplit="4" topLeftCell="C5" activePane="bottomRight" state="frozen"/>
      <selection activeCell="A1" sqref="A1"/>
      <selection pane="topRight" activeCell="A1" sqref="A1"/>
      <selection pane="bottomLeft" activeCell="A1" sqref="A1"/>
      <selection pane="bottomRight" activeCell="C22" sqref="C22"/>
    </sheetView>
  </sheetViews>
  <sheetFormatPr baseColWidth="8" defaultColWidth="9" defaultRowHeight="15.75" customHeight="1"/>
  <cols>
    <col width="54.9" customWidth="1" style="76" min="1" max="1"/>
    <col width="10.125" customWidth="1" style="115" min="2" max="2"/>
    <col width="25.375" customWidth="1" style="76" min="3" max="3"/>
    <col width="25.125" customWidth="1" style="76" min="4" max="4"/>
    <col width="9" customWidth="1" style="76" min="5" max="16384"/>
  </cols>
  <sheetData>
    <row r="1" ht="30" customHeight="1" s="176">
      <c r="A1" s="78" t="inlineStr">
        <is>
          <t>公 司 资 产 负 债 表 （续）</t>
        </is>
      </c>
    </row>
    <row r="2" ht="16.5" customHeight="1" s="176">
      <c r="A2" s="147" t="inlineStr">
        <is>
          <t>{{period_end_date}}</t>
        </is>
      </c>
    </row>
    <row r="3" ht="18" customFormat="1" customHeight="1" s="81">
      <c r="A3" s="82" t="inlineStr">
        <is>
          <t>编制单位：{{company_full_name}}</t>
        </is>
      </c>
      <c r="B3" s="148" t="n"/>
      <c r="C3" s="148" t="n"/>
      <c r="D3" s="149" t="inlineStr">
        <is>
          <t>金额单位：元</t>
        </is>
      </c>
    </row>
    <row r="4" ht="21" customFormat="1" customHeight="1" s="81">
      <c r="A4" s="150" t="inlineStr">
        <is>
          <t>项            目</t>
        </is>
      </c>
      <c r="B4" s="150" t="inlineStr">
        <is>
          <t>附注</t>
        </is>
      </c>
      <c r="C4" s="86" t="inlineStr">
        <is>
          <t>期末余额</t>
        </is>
      </c>
      <c r="D4" s="119" t="inlineStr">
        <is>
          <t>期初余额</t>
        </is>
      </c>
    </row>
    <row r="5" ht="15.6" customFormat="1" customHeight="1" s="101">
      <c r="A5" s="151" t="inlineStr">
        <is>
          <t>流动负债：</t>
        </is>
      </c>
      <c r="B5" s="152" t="n"/>
      <c r="C5" s="153" t="n"/>
      <c r="D5" s="154" t="n"/>
    </row>
    <row r="6" ht="15.6" customFormat="1" customHeight="1" s="101">
      <c r="A6" s="155" t="inlineStr">
        <is>
          <t xml:space="preserve">  短期借款</t>
        </is>
      </c>
      <c r="B6" s="152" t="n"/>
      <c r="C6" s="177" t="inlineStr">
        <is>
          <t>{{row:BS-055:current}}</t>
        </is>
      </c>
      <c r="D6" s="178" t="inlineStr">
        <is>
          <t>{{row:BS-055:prior}}</t>
        </is>
      </c>
    </row>
    <row r="7" ht="15.6" customFormat="1" customHeight="1" s="101">
      <c r="A7" s="155" t="inlineStr">
        <is>
          <t xml:space="preserve">  △向中央银行借款</t>
        </is>
      </c>
      <c r="B7" s="152" t="n"/>
      <c r="C7" s="177" t="inlineStr">
        <is>
          <t>{{row:BS-056:current}}</t>
        </is>
      </c>
      <c r="D7" s="178" t="inlineStr">
        <is>
          <t>{{row:BS-056:prior}}</t>
        </is>
      </c>
    </row>
    <row r="8" ht="15.6" customFormat="1" customHeight="1" s="101">
      <c r="A8" s="155" t="inlineStr">
        <is>
          <t xml:space="preserve">  △拆入资金</t>
        </is>
      </c>
      <c r="B8" s="152" t="n"/>
      <c r="C8" s="177" t="inlineStr">
        <is>
          <t>{{row:BS-057:current}}</t>
        </is>
      </c>
      <c r="D8" s="178" t="inlineStr">
        <is>
          <t>{{row:BS-057:prior}}</t>
        </is>
      </c>
    </row>
    <row r="9" ht="15.6" customFormat="1" customHeight="1" s="101">
      <c r="A9" s="151" t="inlineStr">
        <is>
          <t xml:space="preserve">  交易性金融负债</t>
        </is>
      </c>
      <c r="B9" s="152" t="n"/>
      <c r="C9" s="177" t="inlineStr">
        <is>
          <t>{{row:BS-058:current}}</t>
        </is>
      </c>
      <c r="D9" s="178" t="inlineStr">
        <is>
          <t>{{row:BS-058:prior}}</t>
        </is>
      </c>
    </row>
    <row r="10" ht="15.6" customFormat="1" customHeight="1" s="101">
      <c r="A10" s="155" t="inlineStr">
        <is>
          <t xml:space="preserve">  衍生金融负债</t>
        </is>
      </c>
      <c r="B10" s="152" t="n"/>
      <c r="C10" s="177" t="inlineStr">
        <is>
          <t>{{row:BS-059:current}}</t>
        </is>
      </c>
      <c r="D10" s="178" t="inlineStr">
        <is>
          <t>{{row:BS-059:prior}}</t>
        </is>
      </c>
    </row>
    <row r="11" ht="15.6" customFormat="1" customHeight="1" s="101">
      <c r="A11" s="155" t="inlineStr">
        <is>
          <t xml:space="preserve">  应付票据</t>
        </is>
      </c>
      <c r="B11" s="152" t="n"/>
      <c r="C11" s="177" t="inlineStr">
        <is>
          <t>{{row:BS-060:current}}</t>
        </is>
      </c>
      <c r="D11" s="178" t="inlineStr">
        <is>
          <t>{{row:BS-060:prior}}</t>
        </is>
      </c>
    </row>
    <row r="12" ht="15.6" customFormat="1" customHeight="1" s="101">
      <c r="A12" s="155" t="inlineStr">
        <is>
          <t xml:space="preserve">  应付账款</t>
        </is>
      </c>
      <c r="B12" s="152" t="n"/>
      <c r="C12" s="177" t="inlineStr">
        <is>
          <t>{{row:BS-061:current}}</t>
        </is>
      </c>
      <c r="D12" s="178" t="inlineStr">
        <is>
          <t>{{row:BS-061:prior}}</t>
        </is>
      </c>
    </row>
    <row r="13" ht="15.6" customFormat="1" customHeight="1" s="101">
      <c r="A13" s="155" t="inlineStr">
        <is>
          <t xml:space="preserve">  预收款项</t>
        </is>
      </c>
      <c r="B13" s="152" t="n"/>
      <c r="C13" s="177" t="inlineStr">
        <is>
          <t>{{row:BS-062:current}}</t>
        </is>
      </c>
      <c r="D13" s="178" t="inlineStr">
        <is>
          <t>{{row:BS-062:prior}}</t>
        </is>
      </c>
    </row>
    <row r="14" ht="15.6" customFormat="1" customHeight="1" s="101">
      <c r="A14" s="151" t="inlineStr">
        <is>
          <t xml:space="preserve">  合同负债</t>
        </is>
      </c>
      <c r="B14" s="152" t="n"/>
      <c r="C14" s="177" t="inlineStr">
        <is>
          <t>{{row:BS-063:current}}</t>
        </is>
      </c>
      <c r="D14" s="178" t="inlineStr">
        <is>
          <t>{{row:BS-063:prior}}</t>
        </is>
      </c>
    </row>
    <row r="15" ht="15.6" customFormat="1" customHeight="1" s="101">
      <c r="A15" s="155" t="inlineStr">
        <is>
          <t xml:space="preserve">  △卖出回购金融资产款</t>
        </is>
      </c>
      <c r="B15" s="152" t="n"/>
      <c r="C15" s="177" t="inlineStr">
        <is>
          <t>{{row:BS-064:current}}</t>
        </is>
      </c>
      <c r="D15" s="178" t="inlineStr">
        <is>
          <t>{{row:BS-064:prior}}</t>
        </is>
      </c>
    </row>
    <row r="16" ht="15.6" customFormat="1" customHeight="1" s="101">
      <c r="A16" s="158" t="inlineStr">
        <is>
          <t xml:space="preserve">  △吸收存款及同业存放</t>
        </is>
      </c>
      <c r="B16" s="152" t="n"/>
      <c r="C16" s="177" t="inlineStr">
        <is>
          <t>{{row:BS-065:current}}</t>
        </is>
      </c>
      <c r="D16" s="178" t="inlineStr">
        <is>
          <t>{{row:BS-065:prior}}</t>
        </is>
      </c>
    </row>
    <row r="17" ht="15.6" customFormat="1" customHeight="1" s="101">
      <c r="A17" s="155" t="inlineStr">
        <is>
          <t xml:space="preserve">  △代理买卖证券款</t>
        </is>
      </c>
      <c r="B17" s="152" t="n"/>
      <c r="C17" s="177" t="inlineStr">
        <is>
          <t>{{row:BS-066:current}}</t>
        </is>
      </c>
      <c r="D17" s="178" t="inlineStr">
        <is>
          <t>{{row:BS-066:prior}}</t>
        </is>
      </c>
    </row>
    <row r="18" ht="15.6" customFormat="1" customHeight="1" s="101">
      <c r="A18" s="155" t="inlineStr">
        <is>
          <t xml:space="preserve">  △代理承销证券款</t>
        </is>
      </c>
      <c r="B18" s="152" t="n"/>
      <c r="C18" s="177" t="inlineStr">
        <is>
          <t>{{row:BS-067:current}}</t>
        </is>
      </c>
      <c r="D18" s="178" t="inlineStr">
        <is>
          <t>{{row:BS-067:prior}}</t>
        </is>
      </c>
    </row>
    <row r="19" ht="15.6" customFormat="1" customHeight="1" s="101">
      <c r="A19" s="155" t="inlineStr">
        <is>
          <t xml:space="preserve">  △预收保费</t>
        </is>
      </c>
      <c r="B19" s="152" t="n"/>
      <c r="C19" s="177" t="inlineStr">
        <is>
          <t>{{row:BS-068:current}}</t>
        </is>
      </c>
      <c r="D19" s="178" t="inlineStr">
        <is>
          <t>{{row:BS-068:prior}}</t>
        </is>
      </c>
    </row>
    <row r="20" ht="15.6" customFormat="1" customHeight="1" s="101">
      <c r="A20" s="155" t="inlineStr">
        <is>
          <t xml:space="preserve">  应付职工薪酬</t>
        </is>
      </c>
      <c r="B20" s="152" t="n"/>
      <c r="C20" s="177" t="inlineStr">
        <is>
          <t>{{row:BS-069:current}}</t>
        </is>
      </c>
      <c r="D20" s="178" t="inlineStr">
        <is>
          <t>{{row:BS-069:prior}}</t>
        </is>
      </c>
    </row>
    <row r="21" ht="15.6" customFormat="1" customHeight="1" s="101">
      <c r="A21" s="155" t="inlineStr">
        <is>
          <t xml:space="preserve">    其中：应付工资</t>
        </is>
      </c>
      <c r="B21" s="152" t="n"/>
      <c r="C21" s="177" t="inlineStr">
        <is>
          <t>{{row:BS-070:current}}</t>
        </is>
      </c>
      <c r="D21" s="178" t="inlineStr">
        <is>
          <t>{{row:BS-070:prior}}</t>
        </is>
      </c>
    </row>
    <row r="22" ht="15.6" customFormat="1" customHeight="1" s="101">
      <c r="A22" s="155" t="inlineStr">
        <is>
          <t xml:space="preserve">          应付福利费</t>
        </is>
      </c>
      <c r="B22" s="152" t="n"/>
      <c r="C22" s="177" t="inlineStr">
        <is>
          <t>{{row:BS-071:current}}</t>
        </is>
      </c>
      <c r="D22" s="178" t="inlineStr">
        <is>
          <t>{{row:BS-071:prior}}</t>
        </is>
      </c>
    </row>
    <row r="23" ht="15.6" customFormat="1" customHeight="1" s="101">
      <c r="A23" s="155" t="inlineStr">
        <is>
          <t xml:space="preserve">          #其中：职工奖励及福利基金</t>
        </is>
      </c>
      <c r="B23" s="152" t="n"/>
      <c r="C23" s="177" t="inlineStr">
        <is>
          <t>{{row:BS-072:current}}</t>
        </is>
      </c>
      <c r="D23" s="178" t="inlineStr">
        <is>
          <t>{{row:BS-072:prior}}</t>
        </is>
      </c>
    </row>
    <row r="24" ht="15.6" customFormat="1" customHeight="1" s="101">
      <c r="A24" s="155" t="inlineStr">
        <is>
          <t xml:space="preserve">  应交税费</t>
        </is>
      </c>
      <c r="B24" s="152" t="n"/>
      <c r="C24" s="177" t="inlineStr">
        <is>
          <t>{{row:BS-073:current}}</t>
        </is>
      </c>
      <c r="D24" s="178" t="inlineStr">
        <is>
          <t>{{row:BS-073:prior}}</t>
        </is>
      </c>
    </row>
    <row r="25" ht="15.6" customFormat="1" customHeight="1" s="101">
      <c r="A25" s="155" t="inlineStr">
        <is>
          <t xml:space="preserve">    其中：应交税金</t>
        </is>
      </c>
      <c r="B25" s="152" t="n"/>
      <c r="C25" s="177" t="inlineStr">
        <is>
          <t>{{row:BS-074:current}}</t>
        </is>
      </c>
      <c r="D25" s="178" t="inlineStr">
        <is>
          <t>{{row:BS-074:prior}}</t>
        </is>
      </c>
    </row>
    <row r="26" ht="15.6" customFormat="1" customHeight="1" s="101">
      <c r="A26" s="155" t="inlineStr">
        <is>
          <t xml:space="preserve">  其他应付款</t>
        </is>
      </c>
      <c r="B26" s="152" t="n"/>
      <c r="C26" s="177" t="inlineStr">
        <is>
          <t>{{row:BS-075:current}}</t>
        </is>
      </c>
      <c r="D26" s="178" t="inlineStr">
        <is>
          <t>{{row:BS-075:prior}}</t>
        </is>
      </c>
    </row>
    <row r="27" ht="15.6" customFormat="1" customHeight="1" s="101">
      <c r="A27" s="155" t="inlineStr">
        <is>
          <t xml:space="preserve">    其中：应付股利</t>
        </is>
      </c>
      <c r="B27" s="152" t="n"/>
      <c r="C27" s="177" t="inlineStr">
        <is>
          <t>{{row:BS-076:current}}</t>
        </is>
      </c>
      <c r="D27" s="178" t="inlineStr">
        <is>
          <t>{{row:BS-076:prior}}</t>
        </is>
      </c>
    </row>
    <row r="28" ht="15.6" customFormat="1" customHeight="1" s="101">
      <c r="A28" s="158" t="inlineStr">
        <is>
          <t xml:space="preserve">  ▲应付手续费及佣金</t>
        </is>
      </c>
      <c r="B28" s="152" t="n"/>
      <c r="C28" s="177" t="inlineStr">
        <is>
          <t>{{row:BS-077:current}}</t>
        </is>
      </c>
      <c r="D28" s="178" t="inlineStr">
        <is>
          <t>{{row:BS-077:prior}}</t>
        </is>
      </c>
    </row>
    <row r="29" ht="15.6" customFormat="1" customHeight="1" s="101">
      <c r="A29" s="155" t="inlineStr">
        <is>
          <t xml:space="preserve">  ▲应付分保账款</t>
        </is>
      </c>
      <c r="B29" s="152" t="n"/>
      <c r="C29" s="177" t="inlineStr">
        <is>
          <t>{{row:BS-078:current}}</t>
        </is>
      </c>
      <c r="D29" s="178" t="inlineStr">
        <is>
          <t>{{row:BS-078:prior}}</t>
        </is>
      </c>
    </row>
    <row r="30" ht="15.6" customFormat="1" customHeight="1" s="101">
      <c r="A30" s="155" t="inlineStr">
        <is>
          <t xml:space="preserve">  持有待售负债</t>
        </is>
      </c>
      <c r="B30" s="152" t="n"/>
      <c r="C30" s="177" t="inlineStr">
        <is>
          <t>{{row:BS-079:current}}</t>
        </is>
      </c>
      <c r="D30" s="178" t="inlineStr">
        <is>
          <t>{{row:BS-079:prior}}</t>
        </is>
      </c>
    </row>
    <row r="31" ht="15.6" customFormat="1" customHeight="1" s="101">
      <c r="A31" s="155" t="inlineStr">
        <is>
          <t xml:space="preserve">  一年内到期的非流动负债</t>
        </is>
      </c>
      <c r="B31" s="152" t="n"/>
      <c r="C31" s="177" t="inlineStr">
        <is>
          <t>{{row:BS-080:current}}</t>
        </is>
      </c>
      <c r="D31" s="178" t="inlineStr">
        <is>
          <t>{{row:BS-080:prior}}</t>
        </is>
      </c>
    </row>
    <row r="32" ht="15.6" customFormat="1" customHeight="1" s="101">
      <c r="A32" s="155" t="inlineStr">
        <is>
          <t xml:space="preserve">  其他流动负债</t>
        </is>
      </c>
      <c r="B32" s="152" t="n"/>
      <c r="C32" s="177" t="inlineStr">
        <is>
          <t>{{row:BS-081:current}}</t>
        </is>
      </c>
      <c r="D32" s="178" t="inlineStr">
        <is>
          <t>{{row:BS-081:prior}}</t>
        </is>
      </c>
      <c r="E32" s="72" t="inlineStr">
        <is>
          <t>在一年或一个正常营业周期内清偿的应付退货款应在“其他流动负债”项目反映</t>
        </is>
      </c>
    </row>
    <row r="33" ht="15.6" customFormat="1" customHeight="1" s="101">
      <c r="A33" s="159" t="inlineStr">
        <is>
          <t>流动负债合计</t>
        </is>
      </c>
      <c r="B33" s="152" t="n"/>
      <c r="C33" s="179">
        <f>SUM(C6:C20)+C24+C26+SUM(C28:C32)</f>
        <v/>
      </c>
      <c r="D33" s="180">
        <f>SUM(D6:D20)+D24+D26+SUM(D28:D32)</f>
        <v/>
      </c>
    </row>
    <row r="34" ht="15.6" customFormat="1" customHeight="1" s="101">
      <c r="A34" s="155" t="inlineStr">
        <is>
          <t>非流动负债：</t>
        </is>
      </c>
      <c r="B34" s="152" t="n"/>
      <c r="C34" s="153" t="n"/>
      <c r="D34" s="154" t="n"/>
    </row>
    <row r="35" ht="15.6" customFormat="1" customHeight="1" s="101">
      <c r="A35" s="158" t="inlineStr">
        <is>
          <t xml:space="preserve">  ▲保险合同准备金</t>
        </is>
      </c>
      <c r="B35" s="152" t="n"/>
      <c r="C35" s="177" t="inlineStr">
        <is>
          <t>{{row:BS-084:current}}</t>
        </is>
      </c>
      <c r="D35" s="178" t="inlineStr">
        <is>
          <t>{{row:BS-084:prior}}</t>
        </is>
      </c>
    </row>
    <row r="36" ht="15.6" customFormat="1" customHeight="1" s="101">
      <c r="A36" s="155" t="inlineStr">
        <is>
          <t xml:space="preserve">  长期借款</t>
        </is>
      </c>
      <c r="B36" s="152" t="n"/>
      <c r="C36" s="177" t="inlineStr">
        <is>
          <t>{{row:BS-085:current}}</t>
        </is>
      </c>
      <c r="D36" s="178" t="inlineStr">
        <is>
          <t>{{row:BS-085:prior}}</t>
        </is>
      </c>
    </row>
    <row r="37" ht="15.6" customFormat="1" customHeight="1" s="101">
      <c r="A37" s="155" t="inlineStr">
        <is>
          <t xml:space="preserve">  应付债券</t>
        </is>
      </c>
      <c r="B37" s="152" t="n"/>
      <c r="C37" s="177" t="inlineStr">
        <is>
          <t>{{row:BS-086:current}}</t>
        </is>
      </c>
      <c r="D37" s="178" t="inlineStr">
        <is>
          <t>{{row:BS-086:prior}}</t>
        </is>
      </c>
    </row>
    <row r="38" ht="15.6" customFormat="1" customHeight="1" s="101">
      <c r="A38" s="155" t="inlineStr">
        <is>
          <t xml:space="preserve">    其中：优先股</t>
        </is>
      </c>
      <c r="B38" s="152" t="n"/>
      <c r="C38" s="177" t="inlineStr">
        <is>
          <t>{{row:BS-111:current}}</t>
        </is>
      </c>
      <c r="D38" s="178" t="inlineStr">
        <is>
          <t>{{row:BS-111:prior}}</t>
        </is>
      </c>
    </row>
    <row r="39" ht="15.6" customFormat="1" customHeight="1" s="101">
      <c r="A39" s="155" t="inlineStr">
        <is>
          <t xml:space="preserve">          永续债</t>
        </is>
      </c>
      <c r="B39" s="152" t="n"/>
      <c r="C39" s="177" t="inlineStr">
        <is>
          <t>{{row:BS-112:current}}</t>
        </is>
      </c>
      <c r="D39" s="178" t="inlineStr">
        <is>
          <t>{{row:BS-112:prior}}</t>
        </is>
      </c>
    </row>
    <row r="40" ht="15.6" customFormat="1" customHeight="1" s="101">
      <c r="A40" s="155" t="inlineStr">
        <is>
          <t xml:space="preserve">  △保险合同负债</t>
        </is>
      </c>
      <c r="B40" s="152" t="n"/>
      <c r="C40" s="177" t="inlineStr">
        <is>
          <t>{{row:BS-089:current}}</t>
        </is>
      </c>
      <c r="D40" s="178" t="inlineStr">
        <is>
          <t>{{row:BS-089:prior}}</t>
        </is>
      </c>
    </row>
    <row r="41" ht="15.6" customFormat="1" customHeight="1" s="101">
      <c r="A41" s="155" t="inlineStr">
        <is>
          <t xml:space="preserve">  △分出再保险合同负债</t>
        </is>
      </c>
      <c r="B41" s="152" t="n"/>
      <c r="C41" s="177" t="inlineStr">
        <is>
          <t>{{row:BS-090:current}}</t>
        </is>
      </c>
      <c r="D41" s="178" t="inlineStr">
        <is>
          <t>{{row:BS-090:prior}}</t>
        </is>
      </c>
    </row>
    <row r="42" ht="15.6" customFormat="1" customHeight="1" s="101">
      <c r="A42" s="151" t="inlineStr">
        <is>
          <t xml:space="preserve">  租赁负债</t>
        </is>
      </c>
      <c r="B42" s="152" t="n"/>
      <c r="C42" s="177" t="inlineStr">
        <is>
          <t>{{row:BS-091:current}}</t>
        </is>
      </c>
      <c r="D42" s="178" t="inlineStr">
        <is>
          <t>{{row:BS-091:prior}}</t>
        </is>
      </c>
    </row>
    <row r="43" ht="15.6" customFormat="1" customHeight="1" s="101">
      <c r="A43" s="155" t="inlineStr">
        <is>
          <t xml:space="preserve">  长期应付款</t>
        </is>
      </c>
      <c r="B43" s="152" t="n"/>
      <c r="C43" s="177" t="inlineStr">
        <is>
          <t>{{row:BS-092:current}}</t>
        </is>
      </c>
      <c r="D43" s="178" t="inlineStr">
        <is>
          <t>{{row:BS-092:prior}}</t>
        </is>
      </c>
    </row>
    <row r="44" ht="15.6" customFormat="1" customHeight="1" s="101">
      <c r="A44" s="155" t="inlineStr">
        <is>
          <t xml:space="preserve">  长期应付职工薪酬</t>
        </is>
      </c>
      <c r="B44" s="152" t="n"/>
      <c r="C44" s="177" t="inlineStr">
        <is>
          <t>{{row:BS-093:current}}</t>
        </is>
      </c>
      <c r="D44" s="178" t="inlineStr">
        <is>
          <t>{{row:BS-093:prior}}</t>
        </is>
      </c>
    </row>
    <row r="45" ht="15.6" customFormat="1" customHeight="1" s="101">
      <c r="A45" s="155" t="inlineStr">
        <is>
          <t xml:space="preserve">  预计负债</t>
        </is>
      </c>
      <c r="B45" s="152" t="n"/>
      <c r="C45" s="177" t="inlineStr">
        <is>
          <t>{{row:BS-094:current}}</t>
        </is>
      </c>
      <c r="D45" s="178" t="inlineStr">
        <is>
          <t>{{row:BS-094:prior}}</t>
        </is>
      </c>
      <c r="E45" s="72" t="inlineStr">
        <is>
          <t>不能在一年或一个正常营业周期内清偿的应付退货款在“预计负债”项目反映</t>
        </is>
      </c>
    </row>
    <row r="46" ht="15.6" customFormat="1" customHeight="1" s="101">
      <c r="A46" s="183" t="inlineStr">
        <is>
          <t xml:space="preserve">  递延收益</t>
        </is>
      </c>
      <c r="B46" s="152" t="n"/>
      <c r="C46" s="177" t="inlineStr">
        <is>
          <t>{{row:BS-095:current}}</t>
        </is>
      </c>
      <c r="D46" s="178" t="inlineStr">
        <is>
          <t>{{row:BS-095:prior}}</t>
        </is>
      </c>
    </row>
    <row r="47" ht="15.6" customFormat="1" customHeight="1" s="101">
      <c r="A47" s="155" t="inlineStr">
        <is>
          <t xml:space="preserve">  递延所得税负债</t>
        </is>
      </c>
      <c r="B47" s="152" t="n"/>
      <c r="C47" s="177" t="inlineStr">
        <is>
          <t>{{row:BS-096:current}}</t>
        </is>
      </c>
      <c r="D47" s="178" t="inlineStr">
        <is>
          <t>{{row:BS-096:prior}}</t>
        </is>
      </c>
    </row>
    <row r="48" ht="15.6" customFormat="1" customHeight="1" s="101">
      <c r="A48" s="155" t="inlineStr">
        <is>
          <t xml:space="preserve">  其他非流动负债</t>
        </is>
      </c>
      <c r="B48" s="152" t="n"/>
      <c r="C48" s="177" t="inlineStr">
        <is>
          <t>{{row:BS-097:current}}</t>
        </is>
      </c>
      <c r="D48" s="178" t="inlineStr">
        <is>
          <t>{{row:BS-097:prior}}</t>
        </is>
      </c>
    </row>
    <row r="49" ht="15.6" customFormat="1" customHeight="1" s="101">
      <c r="A49" s="155" t="inlineStr">
        <is>
          <t xml:space="preserve">    其中：特准储备基金</t>
        </is>
      </c>
      <c r="B49" s="152" t="n"/>
      <c r="C49" s="177" t="inlineStr">
        <is>
          <t>{{row:BS-098:current}}</t>
        </is>
      </c>
      <c r="D49" s="178" t="inlineStr">
        <is>
          <t>{{row:BS-098:prior}}</t>
        </is>
      </c>
    </row>
    <row r="50" ht="15.6" customFormat="1" customHeight="1" s="101">
      <c r="A50" s="159" t="inlineStr">
        <is>
          <t>非流动负债合计</t>
        </is>
      </c>
      <c r="B50" s="152" t="n"/>
      <c r="C50" s="179">
        <f>SUM(C35:C48)-C38-C39</f>
        <v/>
      </c>
      <c r="D50" s="180">
        <f>SUM(D35:D48)-D38-D39</f>
        <v/>
      </c>
      <c r="E50" s="163" t="n"/>
    </row>
    <row r="51" ht="15.6" customFormat="1" customHeight="1" s="101">
      <c r="A51" s="159" t="inlineStr">
        <is>
          <t>负 债 合 计</t>
        </is>
      </c>
      <c r="B51" s="152" t="n"/>
      <c r="C51" s="179">
        <f>C33+C50</f>
        <v/>
      </c>
      <c r="D51" s="180">
        <f>D33+D50</f>
        <v/>
      </c>
    </row>
    <row r="52" ht="15.6" customFormat="1" customHeight="1" s="101">
      <c r="A52" s="155" t="inlineStr">
        <is>
          <t>所有者权益：</t>
        </is>
      </c>
      <c r="B52" s="152" t="n"/>
      <c r="C52" s="153" t="n"/>
      <c r="D52" s="154" t="n"/>
    </row>
    <row r="53" ht="15.6" customFormat="1" customHeight="1" s="101">
      <c r="A53" s="155" t="inlineStr">
        <is>
          <t xml:space="preserve">  实收资本</t>
        </is>
      </c>
      <c r="B53" s="152" t="n"/>
      <c r="C53" s="177">
        <f>SUM(C54:C58)</f>
        <v/>
      </c>
      <c r="D53" s="178">
        <f>SUM(D54:D58)</f>
        <v/>
      </c>
      <c r="E53" s="164" t="n"/>
    </row>
    <row r="54" ht="15.6" customFormat="1" customHeight="1" s="101">
      <c r="A54" s="158" t="inlineStr">
        <is>
          <t xml:space="preserve">    国家资本</t>
        </is>
      </c>
      <c r="B54" s="152" t="n"/>
      <c r="C54" s="177" t="inlineStr">
        <is>
          <t>{{row:BS-103:current}}</t>
        </is>
      </c>
      <c r="D54" s="178" t="inlineStr">
        <is>
          <t>{{row:BS-103:prior}}</t>
        </is>
      </c>
      <c r="E54" s="81" t="inlineStr">
        <is>
          <t>国家资本：指有权代表国家投资的政府部门或机构、直属事业单位对企业投资形成的资本金</t>
        </is>
      </c>
    </row>
    <row r="55" ht="15.6" customFormat="1" customHeight="1" s="101">
      <c r="A55" s="155" t="inlineStr">
        <is>
          <t xml:space="preserve">    国有法人资本</t>
        </is>
      </c>
      <c r="B55" s="152" t="n"/>
      <c r="C55" s="177" t="inlineStr">
        <is>
          <t>{{row:BS-104:current}}</t>
        </is>
      </c>
      <c r="D55" s="178" t="inlineStr">
        <is>
          <t>{{row:BS-104:prior}}</t>
        </is>
      </c>
      <c r="E55" s="81" t="inlineStr">
        <is>
          <t xml:space="preserve">国有法人资本：指具有独立法人地位的国有企业（单位）或国有独资、控股、控制公司对企业投资形成的资本金。
</t>
        </is>
      </c>
    </row>
    <row r="56" ht="15.6" customFormat="1" customHeight="1" s="101">
      <c r="A56" s="155" t="inlineStr">
        <is>
          <t xml:space="preserve">    集体资本</t>
        </is>
      </c>
      <c r="B56" s="152" t="n"/>
      <c r="C56" s="177" t="inlineStr">
        <is>
          <t>{{row:BS-105:current}}</t>
        </is>
      </c>
      <c r="D56" s="178" t="inlineStr">
        <is>
          <t>{{row:BS-105:prior}}</t>
        </is>
      </c>
      <c r="E56" s="72" t="inlineStr">
        <is>
          <t>除“南方电网”、“中国华录”、“南方航空”、“国药集团”、“中国商飞”、“中广核”、“中国航发”和“南光集团”等央企集团有“国有法人资本”外，其他一级集团均无“国有法人资本”。</t>
        </is>
      </c>
    </row>
    <row r="57" ht="15.6" customFormat="1" customHeight="1" s="101">
      <c r="A57" s="158" t="inlineStr">
        <is>
          <t xml:space="preserve">    民营资本</t>
        </is>
      </c>
      <c r="B57" s="152" t="n"/>
      <c r="C57" s="177" t="inlineStr">
        <is>
          <t>{{row:BS-106:current}}</t>
        </is>
      </c>
      <c r="D57" s="178" t="inlineStr">
        <is>
          <t>{{row:BS-106:prior}}</t>
        </is>
      </c>
    </row>
    <row r="58" ht="15.6" customFormat="1" customHeight="1" s="101">
      <c r="A58" s="155" t="inlineStr">
        <is>
          <t xml:space="preserve">    外商资本</t>
        </is>
      </c>
      <c r="B58" s="152" t="n"/>
      <c r="C58" s="177" t="inlineStr">
        <is>
          <t>{{row:BS-107:current}}</t>
        </is>
      </c>
      <c r="D58" s="178" t="inlineStr">
        <is>
          <t>{{row:BS-107:prior}}</t>
        </is>
      </c>
    </row>
    <row r="59" ht="15.6" customFormat="1" customHeight="1" s="101">
      <c r="A59" s="155" t="inlineStr">
        <is>
          <t xml:space="preserve">  #减：已归还投资</t>
        </is>
      </c>
      <c r="B59" s="152" t="n"/>
      <c r="C59" s="177" t="inlineStr">
        <is>
          <t>{{row:BS-108:current}}</t>
        </is>
      </c>
      <c r="D59" s="178" t="inlineStr">
        <is>
          <t>{{row:BS-108:prior}}</t>
        </is>
      </c>
    </row>
    <row r="60" ht="15.6" customFormat="1" customHeight="1" s="101">
      <c r="A60" s="155" t="inlineStr">
        <is>
          <t xml:space="preserve">  实收资本净额</t>
        </is>
      </c>
      <c r="B60" s="152" t="n"/>
      <c r="C60" s="177">
        <f>C53-C59</f>
        <v/>
      </c>
      <c r="D60" s="178">
        <f>D53-D59</f>
        <v/>
      </c>
    </row>
    <row r="61" ht="15.6" customFormat="1" customHeight="1" s="101">
      <c r="A61" s="183" t="inlineStr">
        <is>
          <t xml:space="preserve">  其他权益工具</t>
        </is>
      </c>
      <c r="B61" s="152" t="n"/>
      <c r="C61" s="177" t="inlineStr">
        <is>
          <t>{{row:BS-110:current}}</t>
        </is>
      </c>
      <c r="D61" s="178" t="inlineStr">
        <is>
          <t>{{row:BS-110:prior}}</t>
        </is>
      </c>
    </row>
    <row r="62" ht="15.6" customFormat="1" customHeight="1" s="101">
      <c r="A62" s="183" t="inlineStr">
        <is>
          <t xml:space="preserve">      其中：优先股</t>
        </is>
      </c>
      <c r="B62" s="152" t="n"/>
      <c r="C62" s="177" t="inlineStr">
        <is>
          <t>{{row:BS-111:current}}</t>
        </is>
      </c>
      <c r="D62" s="178" t="inlineStr">
        <is>
          <t>{{row:BS-111:prior}}</t>
        </is>
      </c>
    </row>
    <row r="63" ht="15.6" customFormat="1" customHeight="1" s="101">
      <c r="A63" s="183" t="inlineStr">
        <is>
          <t xml:space="preserve">            永续债</t>
        </is>
      </c>
      <c r="B63" s="152" t="n"/>
      <c r="C63" s="177" t="inlineStr">
        <is>
          <t>{{row:BS-112:current}}</t>
        </is>
      </c>
      <c r="D63" s="178" t="inlineStr">
        <is>
          <t>{{row:BS-112:prior}}</t>
        </is>
      </c>
    </row>
    <row r="64" ht="15.6" customFormat="1" customHeight="1" s="101">
      <c r="A64" s="155" t="inlineStr">
        <is>
          <t xml:space="preserve">  资本公积</t>
        </is>
      </c>
      <c r="B64" s="152" t="n"/>
      <c r="C64" s="177" t="inlineStr">
        <is>
          <t>{{row:BS-113:current}}</t>
        </is>
      </c>
      <c r="D64" s="178" t="inlineStr">
        <is>
          <t>{{row:BS-113:prior}}</t>
        </is>
      </c>
    </row>
    <row r="65" ht="15.6" customFormat="1" customHeight="1" s="101">
      <c r="A65" s="155" t="inlineStr">
        <is>
          <t xml:space="preserve">  减：库存股</t>
        </is>
      </c>
      <c r="B65" s="152" t="n"/>
      <c r="C65" s="177" t="inlineStr">
        <is>
          <t>{{row:BS-114:current}}</t>
        </is>
      </c>
      <c r="D65" s="178" t="inlineStr">
        <is>
          <t>{{row:BS-114:prior}}</t>
        </is>
      </c>
    </row>
    <row r="66" ht="15.6" customFormat="1" customHeight="1" s="101">
      <c r="A66" s="183" t="inlineStr">
        <is>
          <t xml:space="preserve">  其他综合收益</t>
        </is>
      </c>
      <c r="B66" s="152" t="n"/>
      <c r="C66" s="177" t="inlineStr">
        <is>
          <t>{{row:BS-115:current}}</t>
        </is>
      </c>
      <c r="D66" s="178" t="inlineStr">
        <is>
          <t>{{row:BS-115:prior}}</t>
        </is>
      </c>
    </row>
    <row r="67" ht="15.6" customFormat="1" customHeight="1" s="101">
      <c r="A67" s="183" t="inlineStr">
        <is>
          <t xml:space="preserve">      其中：外币报表折算差额</t>
        </is>
      </c>
      <c r="B67" s="152" t="n"/>
      <c r="C67" s="177" t="inlineStr">
        <is>
          <t>{{row:BS-116:current}}</t>
        </is>
      </c>
      <c r="D67" s="178" t="inlineStr">
        <is>
          <t>{{row:BS-116:prior}}</t>
        </is>
      </c>
    </row>
    <row r="68" ht="15.6" customFormat="1" customHeight="1" s="101">
      <c r="A68" s="155" t="inlineStr">
        <is>
          <t xml:space="preserve">  专项储备</t>
        </is>
      </c>
      <c r="B68" s="152" t="n"/>
      <c r="C68" s="177" t="inlineStr">
        <is>
          <t>{{row:BS-117:current}}</t>
        </is>
      </c>
      <c r="D68" s="178" t="inlineStr">
        <is>
          <t>{{row:BS-117:prior}}</t>
        </is>
      </c>
    </row>
    <row r="69" ht="15.6" customFormat="1" customHeight="1" s="101">
      <c r="A69" s="155" t="inlineStr">
        <is>
          <t xml:space="preserve">  盈余公积</t>
        </is>
      </c>
      <c r="B69" s="152" t="n"/>
      <c r="C69" s="177" t="inlineStr">
        <is>
          <t>{{row:BS-118:current}}</t>
        </is>
      </c>
      <c r="D69" s="178" t="inlineStr">
        <is>
          <t>{{row:BS-118:prior}}</t>
        </is>
      </c>
    </row>
    <row r="70" ht="15.6" customFormat="1" customHeight="1" s="101">
      <c r="A70" s="155" t="inlineStr">
        <is>
          <t xml:space="preserve">    其中：法定公积金</t>
        </is>
      </c>
      <c r="B70" s="152" t="n"/>
      <c r="C70" s="177" t="inlineStr">
        <is>
          <t>{{row:BS-119:current}}</t>
        </is>
      </c>
      <c r="D70" s="178" t="inlineStr">
        <is>
          <t>{{row:BS-119:prior}}</t>
        </is>
      </c>
    </row>
    <row r="71" ht="15.6" customFormat="1" customHeight="1" s="101">
      <c r="A71" s="155" t="inlineStr">
        <is>
          <t xml:space="preserve">          任意公积金</t>
        </is>
      </c>
      <c r="B71" s="152" t="n"/>
      <c r="C71" s="177" t="inlineStr">
        <is>
          <t>{{row:BS-120:current}}</t>
        </is>
      </c>
      <c r="D71" s="178" t="inlineStr">
        <is>
          <t>{{row:BS-120:prior}}</t>
        </is>
      </c>
    </row>
    <row r="72" ht="15.6" customFormat="1" customHeight="1" s="101">
      <c r="A72" s="155" t="inlineStr">
        <is>
          <t xml:space="preserve">          #储备基金</t>
        </is>
      </c>
      <c r="B72" s="152" t="n"/>
      <c r="C72" s="177" t="inlineStr">
        <is>
          <t>{{row:BS-121:current}}</t>
        </is>
      </c>
      <c r="D72" s="178" t="inlineStr">
        <is>
          <t>{{row:BS-121:prior}}</t>
        </is>
      </c>
    </row>
    <row r="73" ht="15.6" customFormat="1" customHeight="1" s="101">
      <c r="A73" s="155" t="inlineStr">
        <is>
          <t xml:space="preserve">          #企业发展基金</t>
        </is>
      </c>
      <c r="B73" s="152" t="n"/>
      <c r="C73" s="177" t="inlineStr">
        <is>
          <t>{{row:BS-122:current}}</t>
        </is>
      </c>
      <c r="D73" s="178" t="inlineStr">
        <is>
          <t>{{row:BS-122:prior}}</t>
        </is>
      </c>
    </row>
    <row r="74" ht="15.6" customFormat="1" customHeight="1" s="101">
      <c r="A74" s="155" t="inlineStr">
        <is>
          <t xml:space="preserve">          #利润归还投资</t>
        </is>
      </c>
      <c r="B74" s="152" t="n"/>
      <c r="C74" s="177" t="inlineStr">
        <is>
          <t>{{row:BS-123:current}}</t>
        </is>
      </c>
      <c r="D74" s="178" t="inlineStr">
        <is>
          <t>{{row:BS-123:prior}}</t>
        </is>
      </c>
    </row>
    <row r="75" ht="15.6" customFormat="1" customHeight="1" s="101">
      <c r="A75" s="155" t="inlineStr">
        <is>
          <t xml:space="preserve">  △一般风险准备</t>
        </is>
      </c>
      <c r="B75" s="152" t="n"/>
      <c r="C75" s="177" t="inlineStr">
        <is>
          <t>{{row:BS-124:current}}</t>
        </is>
      </c>
      <c r="D75" s="178" t="inlineStr">
        <is>
          <t>{{row:BS-124:prior}}</t>
        </is>
      </c>
    </row>
    <row r="76" ht="15.6" customFormat="1" customHeight="1" s="101">
      <c r="A76" s="155" t="inlineStr">
        <is>
          <t xml:space="preserve">  未分配利润</t>
        </is>
      </c>
      <c r="B76" s="152" t="n"/>
      <c r="C76" s="177" t="inlineStr">
        <is>
          <t>{{row:BS-125:current}}</t>
        </is>
      </c>
      <c r="D76" s="178" t="inlineStr">
        <is>
          <t>{{row:BS-125:prior}}</t>
        </is>
      </c>
    </row>
    <row r="77" ht="15.6" customFormat="1" customHeight="1" s="101">
      <c r="A77" s="152" t="inlineStr">
        <is>
          <t>归属于母公司所有者权益合计</t>
        </is>
      </c>
      <c r="B77" s="152" t="n"/>
      <c r="C77" s="177">
        <f>C60+C61+C64-C65+C66+C68+C69+C75+C76</f>
        <v/>
      </c>
      <c r="D77" s="178">
        <f>D60+D61+D64-D65+D66+D68+D69+D75+D76</f>
        <v/>
      </c>
    </row>
    <row r="78" ht="15.6" customFormat="1" customHeight="1" s="101">
      <c r="A78" s="151" t="inlineStr">
        <is>
          <t xml:space="preserve"> *少数股东权益</t>
        </is>
      </c>
      <c r="B78" s="152" t="n"/>
      <c r="C78" s="177" t="inlineStr">
        <is>
          <t>{{row:BS-127:current}}</t>
        </is>
      </c>
      <c r="D78" s="178" t="inlineStr">
        <is>
          <t>{{row:BS-127:prior}}</t>
        </is>
      </c>
    </row>
    <row r="79" ht="15.6" customFormat="1" customHeight="1" s="101">
      <c r="A79" s="159" t="inlineStr">
        <is>
          <t>所有者权益合计</t>
        </is>
      </c>
      <c r="B79" s="152" t="n"/>
      <c r="C79" s="179">
        <f>C77+C78</f>
        <v/>
      </c>
      <c r="D79" s="180">
        <f>D77+D78</f>
        <v/>
      </c>
    </row>
    <row r="80" ht="15.6" customFormat="1" customHeight="1" s="81">
      <c r="A80" s="165" t="inlineStr">
        <is>
          <t>负债和所有者权益总计</t>
        </is>
      </c>
      <c r="B80" s="166" t="n"/>
      <c r="C80" s="181">
        <f>C51+C79</f>
        <v/>
      </c>
      <c r="D80" s="182">
        <f>D51+D79</f>
        <v/>
      </c>
    </row>
    <row r="81" ht="15.6" customFormat="1" customHeight="1" s="81">
      <c r="B81" s="116" t="n"/>
      <c r="C81" s="81" t="n"/>
      <c r="E81" s="170" t="n"/>
    </row>
    <row r="82" ht="15.6" customFormat="1" customHeight="1" s="81">
      <c r="A82" s="184" t="inlineStr">
        <is>
          <t>企业负责人：                        主管会计工作负责人：                        会计机构负责人：</t>
        </is>
      </c>
      <c r="B82" s="170" t="n"/>
      <c r="C82" s="170" t="n"/>
      <c r="D82" s="170" t="n"/>
    </row>
    <row r="83" customFormat="1" s="81">
      <c r="A83" s="171" t="n"/>
      <c r="B83" s="171" t="n"/>
      <c r="C83" s="171" t="n"/>
    </row>
    <row r="84" customFormat="1" s="81">
      <c r="B84" s="116" t="n"/>
    </row>
    <row r="85" customFormat="1" s="81">
      <c r="B85" s="116" t="n"/>
    </row>
    <row r="86" customFormat="1" s="81">
      <c r="B86" s="116" t="n"/>
    </row>
    <row r="87" customFormat="1" s="81">
      <c r="B87" s="116" t="n"/>
    </row>
    <row r="88" customFormat="1" s="81">
      <c r="B88" s="116" t="n"/>
    </row>
    <row r="89" customFormat="1" s="81">
      <c r="B89" s="116" t="n"/>
    </row>
    <row r="90" customFormat="1" s="81">
      <c r="B90" s="116" t="n"/>
    </row>
    <row r="91" customFormat="1" s="81">
      <c r="B91" s="116" t="n"/>
    </row>
    <row r="92" customFormat="1" s="81">
      <c r="B92" s="116" t="n"/>
    </row>
    <row r="93" customFormat="1" s="81">
      <c r="B93" s="116" t="n"/>
    </row>
    <row r="94" customFormat="1" s="81">
      <c r="B94" s="116" t="n"/>
    </row>
    <row r="95" customFormat="1" s="81">
      <c r="B95" s="116" t="n"/>
    </row>
    <row r="96" customFormat="1" s="81">
      <c r="B96" s="116" t="n"/>
    </row>
    <row r="97" customFormat="1" s="81">
      <c r="B97" s="116" t="n"/>
    </row>
    <row r="98" customFormat="1" s="76">
      <c r="A98" s="81" t="n"/>
      <c r="B98" s="116" t="n"/>
      <c r="C98" s="81" t="n"/>
      <c r="D98" s="81" t="n"/>
    </row>
    <row r="99" customFormat="1" s="76">
      <c r="A99" s="81" t="n"/>
      <c r="B99" s="116" t="n"/>
      <c r="C99" s="81" t="n"/>
      <c r="D99" s="81" t="n"/>
    </row>
    <row r="100" customFormat="1" s="76">
      <c r="B100" s="115" t="n"/>
    </row>
    <row r="101" customFormat="1" s="76">
      <c r="B101" s="115" t="n"/>
    </row>
    <row r="102" customFormat="1" s="76">
      <c r="B102" s="115" t="n"/>
    </row>
    <row r="103" customFormat="1" s="76">
      <c r="B103" s="115" t="n"/>
    </row>
    <row r="104" customFormat="1" s="76">
      <c r="B104" s="115" t="n"/>
    </row>
    <row r="105" customFormat="1" s="76">
      <c r="B105" s="115" t="n"/>
    </row>
    <row r="106" customFormat="1" s="76">
      <c r="B106" s="115" t="n"/>
    </row>
    <row r="107" customFormat="1" s="76">
      <c r="B107" s="115" t="n"/>
    </row>
    <row r="108" customFormat="1" s="76">
      <c r="B108" s="115" t="n"/>
    </row>
    <row r="109" customFormat="1" s="76">
      <c r="B109" s="115" t="n"/>
    </row>
    <row r="110" customFormat="1" s="76">
      <c r="B110" s="115" t="n"/>
    </row>
    <row r="111" customFormat="1" s="76">
      <c r="B111" s="115" t="n"/>
    </row>
    <row r="112" customFormat="1" s="76">
      <c r="B112" s="115" t="n"/>
    </row>
    <row r="113" customFormat="1" s="76">
      <c r="B113" s="115" t="n"/>
    </row>
    <row r="114" customFormat="1" s="76">
      <c r="B114" s="115" t="n"/>
    </row>
    <row r="115" customFormat="1" s="76">
      <c r="B115" s="115" t="n"/>
    </row>
    <row r="116" customFormat="1" s="76">
      <c r="B116" s="115" t="n"/>
    </row>
    <row r="117" customFormat="1" s="76">
      <c r="B117" s="115" t="n"/>
    </row>
    <row r="118" customFormat="1" s="76">
      <c r="B118" s="115" t="n"/>
    </row>
    <row r="119" customFormat="1" s="76">
      <c r="B119" s="115" t="n"/>
    </row>
    <row r="120" customFormat="1" s="76">
      <c r="B120" s="115" t="n"/>
    </row>
    <row r="121" customFormat="1" s="76">
      <c r="B121" s="115" t="n"/>
    </row>
    <row r="122" customFormat="1" s="76">
      <c r="B122" s="115" t="n"/>
    </row>
    <row r="123" customFormat="1" s="76">
      <c r="B123" s="115" t="n"/>
    </row>
    <row r="124" customFormat="1" s="76">
      <c r="B124" s="115" t="n"/>
    </row>
    <row r="125" customFormat="1" s="76">
      <c r="B125" s="115" t="n"/>
    </row>
    <row r="126" customFormat="1" s="76">
      <c r="B126" s="115" t="n"/>
    </row>
    <row r="127" customFormat="1" s="76">
      <c r="B127" s="115" t="n"/>
    </row>
    <row r="128" customFormat="1" s="76">
      <c r="B128" s="115" t="n"/>
    </row>
    <row r="129" customFormat="1" s="76">
      <c r="B129" s="115" t="n"/>
    </row>
    <row r="130" s="176">
      <c r="B130" s="115" t="n"/>
      <c r="C130" s="76" t="n"/>
    </row>
  </sheetData>
  <mergeCells count="2">
    <mergeCell ref="A1:D1"/>
    <mergeCell ref="A2:D2"/>
  </mergeCells>
  <conditionalFormatting sqref="A24">
    <cfRule type="cellIs" priority="1" operator="equal" dxfId="0">
      <formula>0</formula>
    </cfRule>
  </conditionalFormatting>
  <conditionalFormatting sqref="C1:D1048576">
    <cfRule type="cellIs" priority="2" operator="equal">
      <formula>0</formula>
    </cfRule>
  </conditionalFormatting>
  <printOptions horizontalCentered="1"/>
  <pageMargins left="0.748031496062992" right="1.25196850393701" top="0.78740157480315" bottom="1" header="0.511811023622047" footer="0.511811023622047"/>
  <pageSetup orientation="portrait" paperSize="9" scale="58" firstPageNumber="2" useFirstPageNumber="1"/>
  <headerFooter alignWithMargins="0">
    <oddHeader/>
    <oddFooter>&amp;C&amp;"Arial Narrow,常规"&amp;P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fitToPage="1"/>
  </sheetPr>
  <dimension ref="A1:E89"/>
  <sheetViews>
    <sheetView showGridLines="0" showZeros="0" view="pageBreakPreview" zoomScaleNormal="100" workbookViewId="0">
      <pane xSplit="2" ySplit="4" topLeftCell="C5" activePane="bottomRight" state="frozen"/>
      <selection activeCell="A1" sqref="A1"/>
      <selection pane="topRight" activeCell="A1" sqref="A1"/>
      <selection pane="bottomLeft" activeCell="A1" sqref="A1"/>
      <selection pane="bottomRight" activeCell="C23" sqref="C23"/>
    </sheetView>
  </sheetViews>
  <sheetFormatPr baseColWidth="8" defaultColWidth="9" defaultRowHeight="15" customHeight="1"/>
  <cols>
    <col width="60.625" customWidth="1" style="114" min="1" max="1"/>
    <col width="11.125" customWidth="1" style="115" min="2" max="2"/>
    <col width="21.375" customWidth="1" style="76" min="3" max="3"/>
    <col width="21.375" customWidth="1" style="76" min="4" max="4"/>
    <col width="9" customWidth="1" style="76" min="5" max="16384"/>
  </cols>
  <sheetData>
    <row r="1" ht="30" customFormat="1" customHeight="1" s="79">
      <c r="A1" s="78" t="inlineStr">
        <is>
          <t>公 司 利 润 表</t>
        </is>
      </c>
    </row>
    <row r="2" ht="18" customFormat="1" customHeight="1" s="81">
      <c r="A2" s="116" t="inlineStr">
        <is>
          <t>{{period_end_date}}</t>
        </is>
      </c>
    </row>
    <row r="3" ht="18" customFormat="1" customHeight="1" s="81">
      <c r="A3" s="82" t="inlineStr">
        <is>
          <t>编制单位：{{company_full_name}}</t>
        </is>
      </c>
      <c r="D3" s="83" t="inlineStr">
        <is>
          <t>金额单位：元</t>
        </is>
      </c>
    </row>
    <row r="4" ht="15.6" customFormat="1" customHeight="1" s="81">
      <c r="A4" s="117" t="inlineStr">
        <is>
          <t>项            目</t>
        </is>
      </c>
      <c r="B4" s="118" t="inlineStr">
        <is>
          <t>附注</t>
        </is>
      </c>
      <c r="C4" s="86" t="inlineStr">
        <is>
          <t>本期金额</t>
        </is>
      </c>
      <c r="D4" s="119" t="inlineStr">
        <is>
          <t>上期金额</t>
        </is>
      </c>
      <c r="E4" s="81" t="n"/>
    </row>
    <row r="5" ht="15.6" customFormat="1" customHeight="1" s="143">
      <c r="A5" s="120" t="inlineStr">
        <is>
          <t>一、营业总收入</t>
        </is>
      </c>
      <c r="B5" s="121" t="n"/>
      <c r="C5" s="185">
        <f>SUM(C6:C10)</f>
        <v/>
      </c>
      <c r="D5" s="186">
        <f>SUM(D6:D10)</f>
        <v/>
      </c>
    </row>
    <row r="6" ht="15.6" customFormat="1" customHeight="1" s="143">
      <c r="A6" s="124" t="inlineStr">
        <is>
          <t xml:space="preserve">        其中：营业收入</t>
        </is>
      </c>
      <c r="B6" s="125" t="n"/>
      <c r="C6" s="187" t="inlineStr">
        <is>
          <t>{{row:IS-002:current}}</t>
        </is>
      </c>
      <c r="D6" s="188" t="inlineStr">
        <is>
          <t>{{row:IS-002:prior}}</t>
        </is>
      </c>
    </row>
    <row r="7" ht="15.6" customFormat="1" customHeight="1" s="143">
      <c r="A7" s="124" t="inlineStr">
        <is>
          <t xml:space="preserve">                △利息收入</t>
        </is>
      </c>
      <c r="B7" s="125" t="n"/>
      <c r="C7" s="187" t="inlineStr">
        <is>
          <t>{{row:IS-027:current}}</t>
        </is>
      </c>
      <c r="D7" s="188" t="inlineStr">
        <is>
          <t>{{row:IS-027:prior}}</t>
        </is>
      </c>
    </row>
    <row r="8" ht="15.6" customFormat="1" customHeight="1" s="143">
      <c r="A8" s="124" t="inlineStr">
        <is>
          <t xml:space="preserve">                △保险服务收入</t>
        </is>
      </c>
      <c r="B8" s="125" t="n"/>
      <c r="C8" s="187" t="inlineStr">
        <is>
          <t>{{row:IS-004:current}}</t>
        </is>
      </c>
      <c r="D8" s="188" t="inlineStr">
        <is>
          <t>{{row:IS-004:prior}}</t>
        </is>
      </c>
    </row>
    <row r="9" ht="15.6" customFormat="1" customHeight="1" s="143">
      <c r="A9" s="124" t="inlineStr">
        <is>
          <t xml:space="preserve">                ▲已赚保费</t>
        </is>
      </c>
      <c r="B9" s="125" t="n"/>
      <c r="C9" s="187" t="inlineStr">
        <is>
          <t>{{row:IS-005:current}}</t>
        </is>
      </c>
      <c r="D9" s="188" t="inlineStr">
        <is>
          <t>{{row:IS-005:prior}}</t>
        </is>
      </c>
    </row>
    <row r="10" ht="15.6" customFormat="1" customHeight="1" s="143">
      <c r="A10" s="124" t="inlineStr">
        <is>
          <t xml:space="preserve">                △手续费及佣金收入</t>
        </is>
      </c>
      <c r="B10" s="125" t="n"/>
      <c r="C10" s="187" t="inlineStr">
        <is>
          <t>{{row:IS-006:current}}</t>
        </is>
      </c>
      <c r="D10" s="188" t="inlineStr">
        <is>
          <t>{{row:IS-006:prior}}</t>
        </is>
      </c>
    </row>
    <row r="11" ht="15.6" customFormat="1" customHeight="1" s="143">
      <c r="A11" s="120" t="inlineStr">
        <is>
          <t>二、营业总成本</t>
        </is>
      </c>
      <c r="B11" s="125" t="n"/>
      <c r="C11" s="185">
        <f>SUM(C12:C29)+C33</f>
        <v/>
      </c>
      <c r="D11" s="186">
        <f>SUM(D12:D29)+D33</f>
        <v/>
      </c>
    </row>
    <row r="12" ht="15.6" customFormat="1" customHeight="1" s="143">
      <c r="A12" s="124" t="inlineStr">
        <is>
          <t xml:space="preserve">        其中：营业成本</t>
        </is>
      </c>
      <c r="B12" s="125" t="n"/>
      <c r="C12" s="187" t="inlineStr">
        <is>
          <t>{{row:IS-008:current}}</t>
        </is>
      </c>
      <c r="D12" s="188" t="inlineStr">
        <is>
          <t>{{row:IS-008:prior}}</t>
        </is>
      </c>
    </row>
    <row r="13" ht="15.6" customFormat="1" customHeight="1" s="143">
      <c r="A13" s="124" t="inlineStr">
        <is>
          <t xml:space="preserve">                △利息支出</t>
        </is>
      </c>
      <c r="B13" s="125" t="n"/>
      <c r="C13" s="187" t="inlineStr">
        <is>
          <t>{{row:IS-009:current}}</t>
        </is>
      </c>
      <c r="D13" s="188" t="inlineStr">
        <is>
          <t>{{row:IS-009:prior}}</t>
        </is>
      </c>
    </row>
    <row r="14" ht="15.6" customFormat="1" customHeight="1" s="143">
      <c r="A14" s="124" t="inlineStr">
        <is>
          <t xml:space="preserve">                △手续费及佣金支出</t>
        </is>
      </c>
      <c r="B14" s="125" t="n"/>
      <c r="C14" s="187" t="inlineStr">
        <is>
          <t>{{row:IS-010:current}}</t>
        </is>
      </c>
      <c r="D14" s="188" t="inlineStr">
        <is>
          <t>{{row:IS-010:prior}}</t>
        </is>
      </c>
    </row>
    <row r="15" ht="15.6" customFormat="1" customHeight="1" s="143">
      <c r="A15" s="124" t="inlineStr">
        <is>
          <t xml:space="preserve">                △保险服务费用</t>
        </is>
      </c>
      <c r="B15" s="125" t="n"/>
      <c r="C15" s="187" t="inlineStr">
        <is>
          <t>{{row:IS-011:current}}</t>
        </is>
      </c>
      <c r="D15" s="188" t="inlineStr">
        <is>
          <t>{{row:IS-011:prior}}</t>
        </is>
      </c>
    </row>
    <row r="16" ht="15.6" customFormat="1" customHeight="1" s="143">
      <c r="A16" s="124" t="inlineStr">
        <is>
          <t xml:space="preserve">                △分出保费的分配</t>
        </is>
      </c>
      <c r="B16" s="125" t="n"/>
      <c r="C16" s="187" t="inlineStr">
        <is>
          <t>{{row:IS-012:current}}</t>
        </is>
      </c>
      <c r="D16" s="188" t="inlineStr">
        <is>
          <t>{{row:IS-012:prior}}</t>
        </is>
      </c>
    </row>
    <row r="17" ht="15.6" customFormat="1" customHeight="1" s="143">
      <c r="A17" s="124" t="inlineStr">
        <is>
          <t xml:space="preserve">                △减：摊回保险服务费用</t>
        </is>
      </c>
      <c r="B17" s="125" t="n"/>
      <c r="C17" s="187" t="inlineStr">
        <is>
          <t>{{row:IS-013:current}}</t>
        </is>
      </c>
      <c r="D17" s="188" t="inlineStr">
        <is>
          <t>{{row:IS-013:prior}}</t>
        </is>
      </c>
    </row>
    <row r="18" ht="15.6" customFormat="1" customHeight="1" s="143">
      <c r="A18" s="124" t="inlineStr">
        <is>
          <t xml:space="preserve">                △承保财务损失</t>
        </is>
      </c>
      <c r="B18" s="125" t="n"/>
      <c r="C18" s="187" t="inlineStr">
        <is>
          <t>{{row:IS-014:current}}</t>
        </is>
      </c>
      <c r="D18" s="188" t="inlineStr">
        <is>
          <t>{{row:IS-014:prior}}</t>
        </is>
      </c>
    </row>
    <row r="19" ht="15.6" customFormat="1" customHeight="1" s="143">
      <c r="A19" s="124" t="inlineStr">
        <is>
          <t xml:space="preserve">                △减：分出再保险财务收益</t>
        </is>
      </c>
      <c r="B19" s="125" t="n"/>
      <c r="C19" s="187" t="inlineStr">
        <is>
          <t>{{row:IS-015:current}}</t>
        </is>
      </c>
      <c r="D19" s="188" t="inlineStr">
        <is>
          <t>{{row:IS-015:prior}}</t>
        </is>
      </c>
    </row>
    <row r="20" ht="15.6" customFormat="1" customHeight="1" s="143">
      <c r="A20" s="124" t="inlineStr">
        <is>
          <t xml:space="preserve">                ▲退保金</t>
        </is>
      </c>
      <c r="B20" s="125" t="n"/>
      <c r="C20" s="187" t="inlineStr">
        <is>
          <t>{{row:IS-016:current}}</t>
        </is>
      </c>
      <c r="D20" s="188" t="inlineStr">
        <is>
          <t>{{row:IS-016:prior}}</t>
        </is>
      </c>
    </row>
    <row r="21" ht="15.6" customFormat="1" customHeight="1" s="143">
      <c r="A21" s="124" t="inlineStr">
        <is>
          <t xml:space="preserve">                ▲赔付支出净额</t>
        </is>
      </c>
      <c r="B21" s="125" t="n"/>
      <c r="C21" s="187" t="inlineStr">
        <is>
          <t>{{row:IS-017:current}}</t>
        </is>
      </c>
      <c r="D21" s="188" t="inlineStr">
        <is>
          <t>{{row:IS-017:prior}}</t>
        </is>
      </c>
    </row>
    <row r="22" ht="15.6" customFormat="1" customHeight="1" s="143">
      <c r="A22" s="124" t="inlineStr">
        <is>
          <t xml:space="preserve">                ▲提取保险责任准备金净额</t>
        </is>
      </c>
      <c r="B22" s="125" t="n"/>
      <c r="C22" s="187" t="inlineStr">
        <is>
          <t>{{row:IS-018:current}}</t>
        </is>
      </c>
      <c r="D22" s="188" t="inlineStr">
        <is>
          <t>{{row:IS-018:prior}}</t>
        </is>
      </c>
    </row>
    <row r="23" ht="15.6" customFormat="1" customHeight="1" s="143">
      <c r="A23" s="124" t="inlineStr">
        <is>
          <t xml:space="preserve">                ▲保单红利支出</t>
        </is>
      </c>
      <c r="B23" s="125" t="n"/>
      <c r="C23" s="187" t="inlineStr">
        <is>
          <t>{{row:IS-019:current}}</t>
        </is>
      </c>
      <c r="D23" s="188" t="inlineStr">
        <is>
          <t>{{row:IS-019:prior}}</t>
        </is>
      </c>
    </row>
    <row r="24" ht="15.6" customFormat="1" customHeight="1" s="143">
      <c r="A24" s="124" t="inlineStr">
        <is>
          <t xml:space="preserve">                ▲分保费用</t>
        </is>
      </c>
      <c r="B24" s="125" t="n"/>
      <c r="C24" s="187" t="inlineStr">
        <is>
          <t>{{row:IS-020:current}}</t>
        </is>
      </c>
      <c r="D24" s="188" t="inlineStr">
        <is>
          <t>{{row:IS-020:prior}}</t>
        </is>
      </c>
    </row>
    <row r="25" ht="15.6" customFormat="1" customHeight="1" s="143">
      <c r="A25" s="124" t="inlineStr">
        <is>
          <t xml:space="preserve">                    税金及附加</t>
        </is>
      </c>
      <c r="B25" s="125" t="n"/>
      <c r="C25" s="187" t="inlineStr">
        <is>
          <t>{{row:IS-021:current}}</t>
        </is>
      </c>
      <c r="D25" s="188" t="inlineStr">
        <is>
          <t>{{row:IS-021:prior}}</t>
        </is>
      </c>
      <c r="E25" s="72" t="inlineStr">
        <is>
          <t>反映企业经营活动发生的消费税、城市维护建设税、资源税、教育费附加及房产税、土地使用税、车船税、印花税等相关税费，应根据“税金及附加”科目的发生额填列</t>
        </is>
      </c>
    </row>
    <row r="26" ht="15.6" customFormat="1" customHeight="1" s="143">
      <c r="A26" s="128" t="inlineStr">
        <is>
          <t xml:space="preserve">                    销售费用</t>
        </is>
      </c>
      <c r="B26" s="125" t="n"/>
      <c r="C26" s="187" t="inlineStr">
        <is>
          <t>{{row:IS-022:current}}</t>
        </is>
      </c>
      <c r="D26" s="188" t="inlineStr">
        <is>
          <t>{{row:IS-022:prior}}</t>
        </is>
      </c>
    </row>
    <row r="27" ht="15.6" customFormat="1" customHeight="1" s="143">
      <c r="A27" s="128" t="inlineStr">
        <is>
          <t xml:space="preserve">                    管理费用</t>
        </is>
      </c>
      <c r="B27" s="125" t="n"/>
      <c r="C27" s="187" t="inlineStr">
        <is>
          <t>{{row:IS-023:current}}</t>
        </is>
      </c>
      <c r="D27" s="188" t="inlineStr">
        <is>
          <t>{{row:IS-023:prior}}</t>
        </is>
      </c>
    </row>
    <row r="28" ht="15.6" customFormat="1" customHeight="1" s="143">
      <c r="A28" s="128" t="inlineStr">
        <is>
          <t xml:space="preserve">                    研发费用</t>
        </is>
      </c>
      <c r="B28" s="125" t="n"/>
      <c r="C28" s="187" t="inlineStr">
        <is>
          <t>{{row:IS-024:current}}</t>
        </is>
      </c>
      <c r="D28" s="188" t="inlineStr">
        <is>
          <t>{{row:IS-024:prior}}</t>
        </is>
      </c>
    </row>
    <row r="29" ht="15.6" customFormat="1" customHeight="1" s="143">
      <c r="A29" s="124" t="inlineStr">
        <is>
          <t xml:space="preserve">                    财务费用</t>
        </is>
      </c>
      <c r="B29" s="125" t="n"/>
      <c r="C29" s="187" t="inlineStr">
        <is>
          <t>{{row:IS-025:current}}</t>
        </is>
      </c>
      <c r="D29" s="188" t="inlineStr">
        <is>
          <t>{{row:IS-025:prior}}</t>
        </is>
      </c>
    </row>
    <row r="30" ht="15.6" customFormat="1" customHeight="1" s="143">
      <c r="A30" s="128" t="inlineStr">
        <is>
          <t xml:space="preserve">                        其中：利息费用</t>
        </is>
      </c>
      <c r="B30" s="125" t="n"/>
      <c r="C30" s="187" t="inlineStr">
        <is>
          <t>{{row:IS-026:current}}</t>
        </is>
      </c>
      <c r="D30" s="188" t="inlineStr">
        <is>
          <t>{{row:IS-026:prior}}</t>
        </is>
      </c>
    </row>
    <row r="31" ht="15.6" customFormat="1" customHeight="1" s="143">
      <c r="A31" s="128" t="inlineStr">
        <is>
          <t xml:space="preserve">                                    利息收入</t>
        </is>
      </c>
      <c r="B31" s="125" t="n"/>
      <c r="C31" s="187" t="inlineStr">
        <is>
          <t>{{row:IS-027:current}}</t>
        </is>
      </c>
      <c r="D31" s="188" t="inlineStr">
        <is>
          <t>{{row:IS-027:prior}}</t>
        </is>
      </c>
    </row>
    <row r="32" ht="15.6" customFormat="1" customHeight="1" s="143">
      <c r="A32" s="128" t="inlineStr">
        <is>
          <t xml:space="preserve">                                    汇兑净损失（净收益以“－”号填列）</t>
        </is>
      </c>
      <c r="B32" s="125" t="n"/>
      <c r="C32" s="187" t="inlineStr">
        <is>
          <t>{{row:IS-028:current}}</t>
        </is>
      </c>
      <c r="D32" s="188" t="inlineStr">
        <is>
          <t>{{row:IS-028:prior}}</t>
        </is>
      </c>
    </row>
    <row r="33" ht="15.6" customFormat="1" customHeight="1" s="143">
      <c r="A33" s="124" t="inlineStr">
        <is>
          <t xml:space="preserve">                    其他</t>
        </is>
      </c>
      <c r="B33" s="125" t="n"/>
      <c r="C33" s="187" t="inlineStr">
        <is>
          <t>{{row:IS-029:current}}</t>
        </is>
      </c>
      <c r="D33" s="188" t="inlineStr">
        <is>
          <t>{{row:IS-029:prior}}</t>
        </is>
      </c>
    </row>
    <row r="34" ht="15.6" customFormat="1" customHeight="1" s="143">
      <c r="A34" s="128" t="inlineStr">
        <is>
          <t xml:space="preserve">         加：  其他收益</t>
        </is>
      </c>
      <c r="B34" s="125" t="n"/>
      <c r="C34" s="187" t="inlineStr">
        <is>
          <t>{{row:IS-030:current}}</t>
        </is>
      </c>
      <c r="D34" s="188" t="inlineStr">
        <is>
          <t>{{row:IS-030:prior}}</t>
        </is>
      </c>
      <c r="E34" s="72" t="inlineStr">
        <is>
          <t>反映与企业日常活动相关的政府补助、债务人以非金融资产清偿债务形成的债务重组损益以及其他与日常活动相关且计入其他收益的项目。该项目应根据“其他收益”科目的发生额分析填列。企业作为个人所得税的扣缴义务人，根据《中华人民共和国个人所得税法》收到的扣缴税款手续费，应作为其他与日常活动相关的收益在该项目中填列</t>
        </is>
      </c>
    </row>
    <row r="35" ht="15.6" customFormat="1" customHeight="1" s="143">
      <c r="A35" s="124" t="inlineStr">
        <is>
          <t xml:space="preserve">                    投资收益（损失以“－”号填列）</t>
        </is>
      </c>
      <c r="B35" s="125" t="n"/>
      <c r="C35" s="187" t="inlineStr">
        <is>
          <t>{{row:IS-031:current}}</t>
        </is>
      </c>
      <c r="D35" s="188" t="inlineStr">
        <is>
          <t>{{row:IS-031:prior}}</t>
        </is>
      </c>
    </row>
    <row r="36" ht="15.6" customFormat="1" customHeight="1" s="143">
      <c r="A36" s="128" t="inlineStr">
        <is>
          <t xml:space="preserve">                        其中：对联营企业和合营企业的投资收益</t>
        </is>
      </c>
      <c r="B36" s="125" t="n"/>
      <c r="C36" s="187" t="inlineStr">
        <is>
          <t>{{row:IS-032:current}}</t>
        </is>
      </c>
      <c r="D36" s="188" t="inlineStr">
        <is>
          <t>{{row:IS-032:prior}}</t>
        </is>
      </c>
    </row>
    <row r="37" customFormat="1" s="143">
      <c r="A37" s="128" t="inlineStr">
        <is>
          <t xml:space="preserve">                                      以摊余成本计量的金融资产终止确认收益</t>
        </is>
      </c>
      <c r="B37" s="125" t="n"/>
      <c r="C37" s="187" t="inlineStr">
        <is>
          <t>{{row:IS-033:current}}</t>
        </is>
      </c>
      <c r="D37" s="189" t="inlineStr">
        <is>
          <t>{{row:IS-033:prior}}</t>
        </is>
      </c>
    </row>
    <row r="38" ht="15.6" customFormat="1" customHeight="1" s="143">
      <c r="A38" s="128" t="inlineStr">
        <is>
          <t xml:space="preserve">                △汇兑收益（损失以“－”号填列）</t>
        </is>
      </c>
      <c r="B38" s="125" t="n"/>
      <c r="C38" s="187" t="inlineStr">
        <is>
          <t>{{row:IS-034:current}}</t>
        </is>
      </c>
      <c r="D38" s="188" t="inlineStr">
        <is>
          <t>{{row:IS-034:prior}}</t>
        </is>
      </c>
    </row>
    <row r="39" ht="15.6" customFormat="1" customHeight="1" s="143">
      <c r="A39" s="128" t="inlineStr">
        <is>
          <t xml:space="preserve">                    净敞口套期收益（损失以“－”号填列）</t>
        </is>
      </c>
      <c r="B39" s="125" t="n"/>
      <c r="C39" s="187" t="inlineStr">
        <is>
          <t>{{row:IS-035:current}}</t>
        </is>
      </c>
      <c r="D39" s="189" t="inlineStr">
        <is>
          <t>{{row:IS-035:prior}}</t>
        </is>
      </c>
    </row>
    <row r="40" ht="15.6" customFormat="1" customHeight="1" s="143">
      <c r="A40" s="128" t="inlineStr">
        <is>
          <t xml:space="preserve">                    公允价值变动收益（损失以“－”号填列）</t>
        </is>
      </c>
      <c r="B40" s="125" t="n"/>
      <c r="C40" s="187" t="inlineStr">
        <is>
          <t>{{row:IS-036:current}}</t>
        </is>
      </c>
      <c r="D40" s="188" t="inlineStr">
        <is>
          <t>{{row:IS-036:prior}}</t>
        </is>
      </c>
    </row>
    <row r="41" ht="15.6" customFormat="1" customHeight="1" s="143">
      <c r="A41" s="128" t="inlineStr">
        <is>
          <t xml:space="preserve">                    信用减值损失（损失以“－”号填列）</t>
        </is>
      </c>
      <c r="B41" s="125" t="n"/>
      <c r="C41" s="187" t="inlineStr">
        <is>
          <t>{{row:IS-037:current}}</t>
        </is>
      </c>
      <c r="D41" s="189" t="inlineStr">
        <is>
          <t>{{row:IS-037:prior}}</t>
        </is>
      </c>
      <c r="E41" s="72" t="inlineStr">
        <is>
          <t>反映企业按照《企业会计准则第22号——金融工具确认和计量》的要求计提的各项金融工具减值准备所形成的预期信用损失，应根据“信用减值损失”科目发生额分析填列，损失以“-”号填列</t>
        </is>
      </c>
    </row>
    <row r="42" ht="15.6" customFormat="1" customHeight="1" s="143">
      <c r="A42" s="128" t="inlineStr">
        <is>
          <t xml:space="preserve">                    资产减值损失（损失以“－”号填列）</t>
        </is>
      </c>
      <c r="B42" s="125" t="n"/>
      <c r="C42" s="187" t="inlineStr">
        <is>
          <t>{{row:IS-038:current}}</t>
        </is>
      </c>
      <c r="D42" s="188" t="inlineStr">
        <is>
          <t>{{row:IS-038:prior}}</t>
        </is>
      </c>
    </row>
    <row r="43" ht="15.6" customFormat="1" customHeight="1" s="143">
      <c r="A43" s="128" t="inlineStr">
        <is>
          <t xml:space="preserve">                    资产处置收益（损失以“－”号填列）</t>
        </is>
      </c>
      <c r="B43" s="125" t="n"/>
      <c r="C43" s="187" t="inlineStr">
        <is>
          <t>{{row:IS-039:current}}</t>
        </is>
      </c>
      <c r="D43" s="188" t="inlineStr">
        <is>
          <t>{{row:IS-039:prior}}</t>
        </is>
      </c>
      <c r="E43" s="129" t="inlineStr">
        <is>
          <t>1．新增“资产处置收益”行项目，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资产处置损益”科目的发生额分析填列；如为处置损失，以“-”号填列。</t>
        </is>
      </c>
    </row>
    <row r="44" ht="15.6" customFormat="1" customHeight="1" s="143">
      <c r="A44" s="130" t="inlineStr">
        <is>
          <t>三、营业利润（亏损以“－”号填列）</t>
        </is>
      </c>
      <c r="B44" s="125" t="n"/>
      <c r="C44" s="185">
        <f>C5-C11+SUM(C34:C35,C38:C43)</f>
        <v/>
      </c>
      <c r="D44" s="186">
        <f>D5-D11+SUM(D34:D35,D38:D43)</f>
        <v/>
      </c>
    </row>
    <row r="45" ht="15.6" customFormat="1" customHeight="1" s="113">
      <c r="A45" s="124" t="inlineStr">
        <is>
          <t xml:space="preserve">         加： 营业外收入</t>
        </is>
      </c>
      <c r="B45" s="131" t="n"/>
      <c r="C45" s="187" t="inlineStr">
        <is>
          <t>{{row:IS-041:current}}</t>
        </is>
      </c>
      <c r="D45" s="188" t="inlineStr">
        <is>
          <t>{{row:IS-041:prior}}</t>
        </is>
      </c>
      <c r="E45" s="129" t="inlineStr">
        <is>
          <t>3．“营业外收入”行项目，反映企业发生的营业利润以外的收益，主要包括与企业日常活动无关的政府补助、盘盈利得、捐赠利得等。该项目应根据“营业外收入”科目的发生额分析填列。</t>
        </is>
      </c>
    </row>
    <row r="46" ht="15.6" customFormat="1" customHeight="1" s="143">
      <c r="A46" s="124" t="inlineStr">
        <is>
          <t xml:space="preserve">                  其中：政府补助</t>
        </is>
      </c>
      <c r="B46" s="125" t="n"/>
      <c r="C46" s="187" t="inlineStr">
        <is>
          <t>{{row:IS-042:current}}</t>
        </is>
      </c>
      <c r="D46" s="188" t="inlineStr">
        <is>
          <t>{{row:IS-042:prior}}</t>
        </is>
      </c>
    </row>
    <row r="47" ht="15.6" customFormat="1" customHeight="1" s="143">
      <c r="A47" s="124" t="inlineStr">
        <is>
          <t xml:space="preserve">         减： 营业外支出</t>
        </is>
      </c>
      <c r="B47" s="125" t="n"/>
      <c r="C47" s="187" t="inlineStr">
        <is>
          <t>{{row:IS-043:current}}</t>
        </is>
      </c>
      <c r="D47" s="188" t="inlineStr">
        <is>
          <t>{{row:IS-043:prior}}</t>
        </is>
      </c>
      <c r="E47" s="129" t="inlineStr">
        <is>
          <t>4．“营业外支出”行项目，反映企业发生的营业利润以外的支出，主要包括公益性捐赠支出、非常损失、盘亏损失、非流动资产毁损报废损失等。该项目应根据“营业外支出”科目的发生额分析填列。</t>
        </is>
      </c>
    </row>
    <row r="48" ht="15.6" customFormat="1" customHeight="1" s="143">
      <c r="A48" s="120" t="inlineStr">
        <is>
          <t>四、利润总额（亏损总额以“－”号填列）</t>
        </is>
      </c>
      <c r="B48" s="125" t="n"/>
      <c r="C48" s="185">
        <f>C44+C45-C47</f>
        <v/>
      </c>
      <c r="D48" s="186">
        <f>D44+D45-D47</f>
        <v/>
      </c>
    </row>
    <row r="49" ht="15.6" customFormat="1" customHeight="1" s="143">
      <c r="A49" s="128" t="inlineStr">
        <is>
          <t xml:space="preserve">         减： 所得税费用</t>
        </is>
      </c>
      <c r="B49" s="125" t="n"/>
      <c r="C49" s="187" t="inlineStr">
        <is>
          <t>{{row:IS-045:current}}</t>
        </is>
      </c>
      <c r="D49" s="188" t="inlineStr">
        <is>
          <t>{{row:IS-045:prior}}</t>
        </is>
      </c>
    </row>
    <row r="50" ht="15.6" customFormat="1" customHeight="1" s="143">
      <c r="A50" s="120" t="inlineStr">
        <is>
          <t>五、净利润（净亏损以“－”号填列）</t>
        </is>
      </c>
      <c r="B50" s="125" t="n"/>
      <c r="C50" s="185">
        <f>C48-C49</f>
        <v/>
      </c>
      <c r="D50" s="186">
        <f>D48-D49</f>
        <v/>
      </c>
    </row>
    <row r="51" ht="15.6" customFormat="1" customHeight="1" s="143">
      <c r="A51" s="132" t="inlineStr">
        <is>
          <t>（一）按所有权归属分类</t>
        </is>
      </c>
      <c r="B51" s="125" t="n"/>
      <c r="C51" s="187" t="inlineStr">
        <is>
          <t>{{row:IS-047:current}}</t>
        </is>
      </c>
      <c r="D51" s="188" t="inlineStr">
        <is>
          <t>{{row:IS-047:prior}}</t>
        </is>
      </c>
    </row>
    <row r="52" ht="15.6" customFormat="1" customHeight="1" s="143">
      <c r="A52" s="133" t="inlineStr">
        <is>
          <t xml:space="preserve">   1.归属于母公司所有者的净利润</t>
        </is>
      </c>
      <c r="B52" s="125" t="n"/>
      <c r="C52" s="187" t="inlineStr">
        <is>
          <t>{{row:IS-048:current}}</t>
        </is>
      </c>
      <c r="D52" s="188" t="inlineStr">
        <is>
          <t>{{row:IS-048:prior}}</t>
        </is>
      </c>
    </row>
    <row r="53" ht="15.6" customFormat="1" customHeight="1" s="143">
      <c r="A53" s="134" t="inlineStr">
        <is>
          <t xml:space="preserve">  *2.少数股东损益</t>
        </is>
      </c>
      <c r="B53" s="125" t="n"/>
      <c r="C53" s="187">
        <f>C50-C52</f>
        <v/>
      </c>
      <c r="D53" s="188">
        <f>D50-D52</f>
        <v/>
      </c>
    </row>
    <row r="54" ht="15.6" customFormat="1" customHeight="1" s="143">
      <c r="A54" s="132" t="inlineStr">
        <is>
          <t>（二）按经营持续性分类</t>
        </is>
      </c>
      <c r="B54" s="125" t="n"/>
      <c r="C54" s="187" t="inlineStr">
        <is>
          <t>{{row:IS-050:current}}</t>
        </is>
      </c>
      <c r="D54" s="188" t="inlineStr">
        <is>
          <t>{{row:IS-050:prior}}</t>
        </is>
      </c>
    </row>
    <row r="55" ht="15.6" customFormat="1" customHeight="1" s="143">
      <c r="A55" s="134" t="inlineStr">
        <is>
          <t xml:space="preserve">   1.持续经营净利润</t>
        </is>
      </c>
      <c r="B55" s="125" t="n"/>
      <c r="C55" s="187">
        <f>C50-C56</f>
        <v/>
      </c>
      <c r="D55" s="188">
        <f>D50-D56</f>
        <v/>
      </c>
    </row>
    <row r="56" ht="15.6" customFormat="1" customHeight="1" s="143">
      <c r="A56" s="134" t="inlineStr">
        <is>
          <t xml:space="preserve">   2.终止经营净利润</t>
        </is>
      </c>
      <c r="B56" s="125" t="n"/>
      <c r="C56" s="187" t="inlineStr">
        <is>
          <t>{{row:IS-052:current}}</t>
        </is>
      </c>
      <c r="D56" s="188" t="inlineStr">
        <is>
          <t>{{row:IS-052:prior}}</t>
        </is>
      </c>
    </row>
    <row r="57" ht="15.6" customFormat="1" customHeight="1" s="143">
      <c r="A57" s="120" t="inlineStr">
        <is>
          <t>六、其他综合收益的税后净额</t>
        </is>
      </c>
      <c r="B57" s="125" t="n"/>
      <c r="C57" s="185">
        <f>C58+C76</f>
        <v/>
      </c>
      <c r="D57" s="186">
        <f>D58+D76</f>
        <v/>
      </c>
    </row>
    <row r="58" ht="15.6" customFormat="1" customHeight="1" s="143">
      <c r="A58" s="132" t="inlineStr">
        <is>
          <t xml:space="preserve">   归属于母公司所有者的其他综合收益的税后净额</t>
        </is>
      </c>
      <c r="B58" s="125" t="n"/>
      <c r="C58" s="187">
        <f>C59+C66</f>
        <v/>
      </c>
      <c r="D58" s="188">
        <f>D59+D66</f>
        <v/>
      </c>
    </row>
    <row r="59" ht="15.6" customFormat="1" customHeight="1" s="143">
      <c r="A59" s="132" t="inlineStr">
        <is>
          <t>（一）不能重分类进损益的其他综合收益</t>
        </is>
      </c>
      <c r="B59" s="125" t="n"/>
      <c r="C59" s="187" t="inlineStr">
        <is>
          <t>{{row:IS-055:current}}</t>
        </is>
      </c>
      <c r="D59" s="188" t="inlineStr">
        <is>
          <t>{{row:IS-055:prior}}</t>
        </is>
      </c>
    </row>
    <row r="60" ht="15.6" customFormat="1" customHeight="1" s="143">
      <c r="A60" s="133" t="inlineStr">
        <is>
          <t xml:space="preserve">       1. 重新计量设定受益计划变动额</t>
        </is>
      </c>
      <c r="B60" s="125" t="n"/>
      <c r="C60" s="187" t="inlineStr">
        <is>
          <t>{{row:IS-056:current}}</t>
        </is>
      </c>
      <c r="D60" s="188" t="inlineStr">
        <is>
          <t>{{row:IS-056:prior}}</t>
        </is>
      </c>
    </row>
    <row r="61" ht="15.6" customFormat="1" customHeight="1" s="143">
      <c r="A61" s="133" t="inlineStr">
        <is>
          <t xml:space="preserve">       2. 权益法下不能转损益的其他综合收益</t>
        </is>
      </c>
      <c r="B61" s="125" t="n"/>
      <c r="C61" s="187" t="inlineStr">
        <is>
          <t>{{row:IS-057:current}}</t>
        </is>
      </c>
      <c r="D61" s="188" t="inlineStr">
        <is>
          <t>{{row:IS-057:prior}}</t>
        </is>
      </c>
    </row>
    <row r="62" ht="15.6" customFormat="1" customHeight="1" s="143">
      <c r="A62" s="133" t="inlineStr">
        <is>
          <t xml:space="preserve">       3. 其他权益工具投资公允价值变动</t>
        </is>
      </c>
      <c r="B62" s="125" t="n"/>
      <c r="C62" s="187" t="inlineStr">
        <is>
          <t>{{row:IS-058:current}}</t>
        </is>
      </c>
      <c r="D62" s="189" t="inlineStr">
        <is>
          <t>{{row:IS-058:prior}}</t>
        </is>
      </c>
    </row>
    <row r="63" ht="15.6" customFormat="1" customHeight="1" s="143">
      <c r="A63" s="133" t="inlineStr">
        <is>
          <t xml:space="preserve">       4. 企业自身信用风险公允价值变动</t>
        </is>
      </c>
      <c r="B63" s="125" t="n"/>
      <c r="C63" s="187" t="inlineStr">
        <is>
          <t>{{row:IS-059:current}}</t>
        </is>
      </c>
      <c r="D63" s="189" t="inlineStr">
        <is>
          <t>{{row:IS-059:prior}}</t>
        </is>
      </c>
    </row>
    <row r="64" ht="15.6" customFormat="1" customHeight="1" s="143">
      <c r="A64" s="133" t="inlineStr">
        <is>
          <t xml:space="preserve">   △5. 不能转损益的保险合同金融变动</t>
        </is>
      </c>
      <c r="B64" s="125" t="n"/>
      <c r="C64" s="187" t="inlineStr">
        <is>
          <t>{{row:IS-060:current}}</t>
        </is>
      </c>
      <c r="D64" s="189" t="inlineStr">
        <is>
          <t>{{row:IS-060:prior}}</t>
        </is>
      </c>
    </row>
    <row r="65" ht="15.6" customFormat="1" customHeight="1" s="143">
      <c r="A65" s="133" t="inlineStr">
        <is>
          <t xml:space="preserve">       6. 其他</t>
        </is>
      </c>
      <c r="B65" s="125" t="n"/>
      <c r="C65" s="187" t="inlineStr">
        <is>
          <t>{{row:IS-061:current}}</t>
        </is>
      </c>
      <c r="D65" s="188" t="inlineStr">
        <is>
          <t>{{row:IS-061:prior}}</t>
        </is>
      </c>
    </row>
    <row r="66" ht="15.6" customFormat="1" customHeight="1" s="143">
      <c r="A66" s="135" t="inlineStr">
        <is>
          <t>（二）将重分类进损益的其他综合收益</t>
        </is>
      </c>
      <c r="B66" s="125" t="n"/>
      <c r="C66" s="187" t="inlineStr">
        <is>
          <t>{{row:IS-062:current}}</t>
        </is>
      </c>
      <c r="D66" s="188" t="inlineStr">
        <is>
          <t>{{row:IS-062:prior}}</t>
        </is>
      </c>
    </row>
    <row r="67" ht="15.6" customFormat="1" customHeight="1" s="143">
      <c r="A67" s="133" t="inlineStr">
        <is>
          <t xml:space="preserve">       1. 权益法下可转损益的其他综合收益</t>
        </is>
      </c>
      <c r="B67" s="125" t="n"/>
      <c r="C67" s="187" t="inlineStr">
        <is>
          <t>{{row:IS-063:current}}</t>
        </is>
      </c>
      <c r="D67" s="188" t="inlineStr">
        <is>
          <t>{{row:IS-063:prior}}</t>
        </is>
      </c>
    </row>
    <row r="68" ht="15.6" customFormat="1" customHeight="1" s="143">
      <c r="A68" s="133" t="inlineStr">
        <is>
          <t xml:space="preserve">       2. 其他债权投资公允价值变动</t>
        </is>
      </c>
      <c r="B68" s="125" t="n"/>
      <c r="C68" s="187" t="inlineStr">
        <is>
          <t>{{row:IS-064:current}}</t>
        </is>
      </c>
      <c r="D68" s="189" t="inlineStr">
        <is>
          <t>{{row:IS-064:prior}}</t>
        </is>
      </c>
    </row>
    <row r="69" ht="15.6" customFormat="1" customHeight="1" s="143">
      <c r="A69" s="133" t="inlineStr">
        <is>
          <t xml:space="preserve">       3. 金融资产重分类计入其他综合收益的金额</t>
        </is>
      </c>
      <c r="B69" s="125" t="n"/>
      <c r="C69" s="187" t="inlineStr">
        <is>
          <t>{{row:IS-065:current}}</t>
        </is>
      </c>
      <c r="D69" s="189" t="inlineStr">
        <is>
          <t>{{row:IS-065:prior}}</t>
        </is>
      </c>
    </row>
    <row r="70" ht="15.6" customFormat="1" customHeight="1" s="143">
      <c r="A70" s="133" t="inlineStr">
        <is>
          <t xml:space="preserve">       4. 其他债权投资信用减值准备</t>
        </is>
      </c>
      <c r="B70" s="125" t="n"/>
      <c r="C70" s="187" t="inlineStr">
        <is>
          <t>{{row:IS-066:current}}</t>
        </is>
      </c>
      <c r="D70" s="189" t="inlineStr">
        <is>
          <t>{{row:IS-066:prior}}</t>
        </is>
      </c>
    </row>
    <row r="71" ht="31.2" customFormat="1" customHeight="1" s="143">
      <c r="A71" s="133" t="inlineStr">
        <is>
          <t xml:space="preserve">       5. 现金流量套期储备（现金流量套期损益的有效部分）</t>
        </is>
      </c>
      <c r="B71" s="125" t="n"/>
      <c r="C71" s="187" t="inlineStr">
        <is>
          <t>{{row:IS-067:current}}</t>
        </is>
      </c>
      <c r="D71" s="188" t="inlineStr">
        <is>
          <t>{{row:IS-067:prior}}</t>
        </is>
      </c>
    </row>
    <row r="72" ht="15.6" customFormat="1" customHeight="1" s="143">
      <c r="A72" s="133" t="inlineStr">
        <is>
          <t xml:space="preserve">       6. 外币财务报表折算差额</t>
        </is>
      </c>
      <c r="B72" s="125" t="n"/>
      <c r="C72" s="187" t="inlineStr">
        <is>
          <t>{{row:IS-068:current}}</t>
        </is>
      </c>
      <c r="D72" s="188" t="inlineStr">
        <is>
          <t>{{row:IS-068:prior}}</t>
        </is>
      </c>
    </row>
    <row r="73" ht="15.6" customFormat="1" customHeight="1" s="143">
      <c r="A73" s="133" t="inlineStr">
        <is>
          <t xml:space="preserve">   △7. 可转损益的保险合同金融变动</t>
        </is>
      </c>
      <c r="B73" s="125" t="n"/>
      <c r="C73" s="187" t="inlineStr">
        <is>
          <t>{{row:IS-069:current}}</t>
        </is>
      </c>
      <c r="D73" s="188" t="inlineStr">
        <is>
          <t>{{row:IS-069:prior}}</t>
        </is>
      </c>
    </row>
    <row r="74" ht="15.6" customFormat="1" customHeight="1" s="143">
      <c r="A74" s="133" t="inlineStr">
        <is>
          <t xml:space="preserve">   △8. 可转损益的分出再保险合同金融变动</t>
        </is>
      </c>
      <c r="B74" s="125" t="n"/>
      <c r="C74" s="187" t="inlineStr">
        <is>
          <t>{{row:IS-070:current}}</t>
        </is>
      </c>
      <c r="D74" s="188" t="inlineStr">
        <is>
          <t>{{row:IS-070:prior}}</t>
        </is>
      </c>
    </row>
    <row r="75" ht="15.6" customFormat="1" customHeight="1" s="143">
      <c r="A75" s="133" t="inlineStr">
        <is>
          <t xml:space="preserve">       9. 其他</t>
        </is>
      </c>
      <c r="B75" s="125" t="n"/>
      <c r="C75" s="187" t="inlineStr">
        <is>
          <t>{{row:IS-071:current}}</t>
        </is>
      </c>
      <c r="D75" s="188" t="inlineStr">
        <is>
          <t>{{row:IS-071:prior}}</t>
        </is>
      </c>
    </row>
    <row r="76" ht="15.6" customFormat="1" customHeight="1" s="143">
      <c r="A76" s="132" t="inlineStr">
        <is>
          <t xml:space="preserve">  *归属于少数股东的其他综合收益的税后净额</t>
        </is>
      </c>
      <c r="B76" s="125" t="n"/>
      <c r="C76" s="187" t="inlineStr">
        <is>
          <t>{{row:IS-072:current}}</t>
        </is>
      </c>
      <c r="D76" s="188" t="inlineStr">
        <is>
          <t>{{row:IS-072:prior}}</t>
        </is>
      </c>
    </row>
    <row r="77" ht="15.6" customFormat="1" customHeight="1" s="143">
      <c r="A77" s="136" t="inlineStr">
        <is>
          <t>七、综合收益总额</t>
        </is>
      </c>
      <c r="B77" s="125" t="n"/>
      <c r="C77" s="185">
        <f>C50+C57</f>
        <v/>
      </c>
      <c r="D77" s="186">
        <f>D50+D57</f>
        <v/>
      </c>
    </row>
    <row r="78" ht="15.6" customFormat="1" customHeight="1" s="143">
      <c r="A78" s="137" t="inlineStr">
        <is>
          <t xml:space="preserve">         归属于母公司所有者的综合收益总额</t>
        </is>
      </c>
      <c r="B78" s="125" t="n"/>
      <c r="C78" s="187" t="inlineStr">
        <is>
          <t>{{row:IS-074:current}}</t>
        </is>
      </c>
      <c r="D78" s="188" t="inlineStr">
        <is>
          <t>{{row:IS-074:prior}}</t>
        </is>
      </c>
    </row>
    <row r="79" ht="15.6" customFormat="1" customHeight="1" s="143">
      <c r="A79" s="137" t="inlineStr">
        <is>
          <t xml:space="preserve">        *归属于少数股东的综合收益总额</t>
        </is>
      </c>
      <c r="B79" s="125" t="n"/>
      <c r="C79" s="187" t="inlineStr">
        <is>
          <t>{{row:IS-075:current}}</t>
        </is>
      </c>
      <c r="D79" s="188" t="inlineStr">
        <is>
          <t>{{row:IS-075:prior}}</t>
        </is>
      </c>
    </row>
    <row r="80" ht="15.6" customFormat="1" customHeight="1" s="143">
      <c r="A80" s="120" t="inlineStr">
        <is>
          <t>八、每股收益：</t>
        </is>
      </c>
      <c r="B80" s="125" t="n"/>
      <c r="C80" s="187" t="n"/>
      <c r="D80" s="188" t="n"/>
    </row>
    <row r="81" ht="15.6" customFormat="1" customHeight="1" s="143">
      <c r="A81" s="128" t="inlineStr">
        <is>
          <t xml:space="preserve">         基本每股收益</t>
        </is>
      </c>
      <c r="B81" s="125" t="n"/>
      <c r="C81" s="187" t="inlineStr">
        <is>
          <t>{{row:IS-077:current}}</t>
        </is>
      </c>
      <c r="D81" s="188" t="inlineStr">
        <is>
          <t>{{row:IS-077:prior}}</t>
        </is>
      </c>
    </row>
    <row r="82" ht="15.6" customFormat="1" customHeight="1" s="143">
      <c r="A82" s="138" t="inlineStr">
        <is>
          <t xml:space="preserve">         稀释每股收益</t>
        </is>
      </c>
      <c r="B82" s="139" t="n"/>
      <c r="C82" s="190" t="inlineStr">
        <is>
          <t>{{row:IS-078:current}}</t>
        </is>
      </c>
      <c r="D82" s="191" t="inlineStr">
        <is>
          <t>{{row:IS-078:prior}}</t>
        </is>
      </c>
    </row>
    <row r="83" ht="15.6" customFormat="1" customHeight="1" s="143">
      <c r="A83" s="81" t="n"/>
      <c r="B83" s="142" t="n"/>
      <c r="C83" s="143" t="n"/>
      <c r="D83" s="143" t="n"/>
    </row>
    <row r="84" ht="15.6" customFormat="1" customHeight="1" s="81">
      <c r="A84" s="184" t="inlineStr">
        <is>
          <t>企业负责人：                        主管会计工作负责人：                        会计机构负责人：</t>
        </is>
      </c>
      <c r="B84" s="116" t="n"/>
      <c r="D84" s="81" t="n"/>
    </row>
    <row r="85" ht="18" customFormat="1" customHeight="1" s="81">
      <c r="A85" s="144" t="n"/>
      <c r="B85" s="116" t="n"/>
      <c r="D85" s="81" t="n"/>
    </row>
    <row r="86" ht="18" customFormat="1" customHeight="1" s="81">
      <c r="A86" s="145" t="n"/>
      <c r="B86" s="116" t="n"/>
      <c r="D86" s="81" t="n"/>
    </row>
    <row r="87" ht="18" customFormat="1" customHeight="1" s="81">
      <c r="A87" s="82" t="n"/>
      <c r="B87" s="116" t="n"/>
      <c r="D87" s="81" t="n"/>
    </row>
    <row r="88" ht="18" customFormat="1" customHeight="1" s="81">
      <c r="A88" s="146" t="inlineStr">
        <is>
          <t>注：表中带*科目为合并会计报表专用；加△项目为金融类企业专用；带▲项目为未执行新保险合同准则的企业专用。</t>
        </is>
      </c>
      <c r="D88" s="81" t="n"/>
    </row>
    <row r="89" ht="18" customFormat="1" customHeight="1" s="81">
      <c r="A89" s="82" t="n"/>
      <c r="B89" s="116" t="n"/>
      <c r="D89" s="81" t="n"/>
    </row>
    <row r="90" ht="18" customHeight="1" s="176"/>
    <row r="91" ht="18" customHeight="1" s="176"/>
  </sheetData>
  <mergeCells count="4">
    <mergeCell ref="A1:D1"/>
    <mergeCell ref="A3:C3"/>
    <mergeCell ref="A2:D2"/>
    <mergeCell ref="A88:C88"/>
  </mergeCells>
  <conditionalFormatting sqref="C1:D1048576">
    <cfRule type="cellIs" priority="1" operator="equal" dxfId="0">
      <formula>0</formula>
    </cfRule>
  </conditionalFormatting>
  <printOptions horizontalCentered="1"/>
  <pageMargins left="0.748031496062992" right="1.25196850393701" top="0.78740157480315" bottom="1" header="0.511811023622047" footer="0.511811023622047"/>
  <pageSetup orientation="portrait" paperSize="9" scale="56" firstPageNumber="2" useFirstPageNumber="1"/>
  <headerFooter alignWithMargins="0">
    <oddHeader/>
    <oddFooter>&amp;C&amp;"Arial Narrow,常规"&amp;P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fitToPage="1"/>
  </sheetPr>
  <dimension ref="A1:E73"/>
  <sheetViews>
    <sheetView showGridLines="0" showZeros="0" view="pageBreakPreview" zoomScaleNormal="100" workbookViewId="0">
      <pane xSplit="2" ySplit="4" topLeftCell="C5" activePane="bottomRight" state="frozen"/>
      <selection activeCell="A1" sqref="A1"/>
      <selection pane="topRight" activeCell="A1" sqref="A1"/>
      <selection pane="bottomLeft" activeCell="A1" sqref="A1"/>
      <selection pane="bottomRight" activeCell="C15" sqref="C15"/>
    </sheetView>
  </sheetViews>
  <sheetFormatPr baseColWidth="8" defaultColWidth="9" defaultRowHeight="22.2" customHeight="1"/>
  <cols>
    <col width="62.9" customWidth="1" style="76" min="1" max="1"/>
    <col width="9.75" customWidth="1" style="76" min="2" max="2"/>
    <col width="20.625" customWidth="1" style="76" min="3" max="3"/>
    <col width="20.625" customWidth="1" style="115" min="4" max="4"/>
    <col width="9" customWidth="1" style="76" min="5" max="5"/>
    <col width="9" customWidth="1" style="76" min="6" max="16384"/>
  </cols>
  <sheetData>
    <row r="1" ht="30" customFormat="1" customHeight="1" s="79">
      <c r="A1" s="78" t="inlineStr">
        <is>
          <t>公 司 现 金 流 量 表</t>
        </is>
      </c>
      <c r="E1" s="79" t="n"/>
    </row>
    <row r="2" ht="13" customFormat="1" customHeight="1" s="81">
      <c r="A2" s="142" t="inlineStr">
        <is>
          <t>{{period_end_date}}</t>
        </is>
      </c>
      <c r="E2" s="81" t="n"/>
    </row>
    <row r="3" ht="18" customFormat="1" customHeight="1" s="81">
      <c r="A3" s="82" t="inlineStr">
        <is>
          <t>编制单位：{{company_full_name}}</t>
        </is>
      </c>
      <c r="C3" s="82" t="n"/>
      <c r="D3" s="83" t="inlineStr">
        <is>
          <t>金额单位：元</t>
        </is>
      </c>
      <c r="E3" s="81" t="n"/>
    </row>
    <row r="4" ht="15.6" customFormat="1" customHeight="1" s="81">
      <c r="A4" s="84" t="inlineStr">
        <is>
          <t>项            目</t>
        </is>
      </c>
      <c r="B4" s="85" t="inlineStr">
        <is>
          <t>附注</t>
        </is>
      </c>
      <c r="C4" s="86" t="inlineStr">
        <is>
          <t>本期金额</t>
        </is>
      </c>
      <c r="D4" s="87" t="inlineStr">
        <is>
          <t>上期金额</t>
        </is>
      </c>
      <c r="E4" s="81" t="n"/>
    </row>
    <row r="5" ht="15.6" customFormat="1" customHeight="1" s="81">
      <c r="A5" s="88" t="inlineStr">
        <is>
          <t>一、经营活动产生的现金流量：</t>
        </is>
      </c>
      <c r="B5" s="89" t="n"/>
      <c r="C5" s="83" t="n"/>
      <c r="D5" s="90" t="n"/>
      <c r="E5" s="81" t="n"/>
    </row>
    <row r="6" ht="15.6" customFormat="1" customHeight="1" s="81">
      <c r="A6" s="81" t="inlineStr">
        <is>
          <t xml:space="preserve">  销售商品、提供劳务收到的现金</t>
        </is>
      </c>
      <c r="B6" s="89" t="n"/>
      <c r="C6" s="192" t="inlineStr">
        <is>
          <t>{{row:CFS-002:current}}</t>
        </is>
      </c>
      <c r="D6" s="189" t="inlineStr">
        <is>
          <t>{{row:CFS-002:prior}}</t>
        </is>
      </c>
      <c r="E6" s="81" t="n"/>
    </row>
    <row r="7" ht="15.6" customFormat="1" customHeight="1" s="81">
      <c r="A7" s="81" t="inlineStr">
        <is>
          <t xml:space="preserve">  △客户存款和同业存放款项净增加额</t>
        </is>
      </c>
      <c r="B7" s="89" t="n"/>
      <c r="C7" s="192" t="inlineStr">
        <is>
          <t>{{row:CFS-003:current}}</t>
        </is>
      </c>
      <c r="D7" s="189" t="inlineStr">
        <is>
          <t>{{row:CFS-003:prior}}</t>
        </is>
      </c>
      <c r="E7" s="81" t="n"/>
    </row>
    <row r="8" ht="15.6" customFormat="1" customHeight="1" s="81">
      <c r="A8" s="81" t="inlineStr">
        <is>
          <t xml:space="preserve">  △向中央银行借款净增加额</t>
        </is>
      </c>
      <c r="B8" s="89" t="n"/>
      <c r="C8" s="192" t="inlineStr">
        <is>
          <t>{{row:CFS-004:current}}</t>
        </is>
      </c>
      <c r="D8" s="189" t="inlineStr">
        <is>
          <t>{{row:CFS-004:prior}}</t>
        </is>
      </c>
      <c r="E8" s="81" t="n"/>
    </row>
    <row r="9" ht="15.6" customFormat="1" customHeight="1" s="81">
      <c r="A9" s="81" t="inlineStr">
        <is>
          <t xml:space="preserve">  △向其他金融机构拆入资金净增加额</t>
        </is>
      </c>
      <c r="B9" s="89" t="n"/>
      <c r="C9" s="192" t="inlineStr">
        <is>
          <t>{{row:CFS-005:current}}</t>
        </is>
      </c>
      <c r="D9" s="189" t="inlineStr">
        <is>
          <t>{{row:CFS-005:prior}}</t>
        </is>
      </c>
      <c r="E9" s="81" t="n"/>
    </row>
    <row r="10" ht="15.6" customFormat="1" customHeight="1" s="81">
      <c r="A10" s="81" t="inlineStr">
        <is>
          <t xml:space="preserve">  △收到签发保险合同保费取得的现金</t>
        </is>
      </c>
      <c r="B10" s="89" t="n"/>
      <c r="C10" s="192" t="inlineStr">
        <is>
          <t>{{row:CFS-006:current}}</t>
        </is>
      </c>
      <c r="D10" s="189" t="inlineStr">
        <is>
          <t>{{row:CFS-006:prior}}</t>
        </is>
      </c>
      <c r="E10" s="81" t="n"/>
    </row>
    <row r="11" ht="15.6" customFormat="1" customHeight="1" s="81">
      <c r="A11" s="81" t="inlineStr">
        <is>
          <t xml:space="preserve">  △收到分入再保险合同的现金净额</t>
        </is>
      </c>
      <c r="B11" s="89" t="n"/>
      <c r="C11" s="192" t="inlineStr">
        <is>
          <t>{{row:CFS-007:current}}</t>
        </is>
      </c>
      <c r="D11" s="189" t="inlineStr">
        <is>
          <t>{{row:CFS-007:prior}}</t>
        </is>
      </c>
      <c r="E11" s="81" t="n"/>
    </row>
    <row r="12" ht="15.6" customFormat="1" customHeight="1" s="81">
      <c r="A12" s="81" t="inlineStr">
        <is>
          <t xml:space="preserve">  ▲收到原保险合同保费取得的现金</t>
        </is>
      </c>
      <c r="B12" s="89" t="n"/>
      <c r="C12" s="192" t="inlineStr">
        <is>
          <t>{{row:CFS-008:current}}</t>
        </is>
      </c>
      <c r="D12" s="189" t="inlineStr">
        <is>
          <t>{{row:CFS-008:prior}}</t>
        </is>
      </c>
      <c r="E12" s="81" t="n"/>
    </row>
    <row r="13" ht="15.6" customFormat="1" customHeight="1" s="81">
      <c r="A13" s="81" t="inlineStr">
        <is>
          <t xml:space="preserve">  ▲收到再保业务现金净额</t>
        </is>
      </c>
      <c r="B13" s="89" t="n"/>
      <c r="C13" s="192" t="inlineStr">
        <is>
          <t>{{row:CFS-009:current}}</t>
        </is>
      </c>
      <c r="D13" s="189" t="inlineStr">
        <is>
          <t>{{row:CFS-009:prior}}</t>
        </is>
      </c>
      <c r="E13" s="81" t="n"/>
    </row>
    <row r="14" ht="15.6" customFormat="1" customHeight="1" s="81">
      <c r="A14" s="81" t="inlineStr">
        <is>
          <t xml:space="preserve">  ▲保户储金及投资款净增加额</t>
        </is>
      </c>
      <c r="B14" s="89" t="n"/>
      <c r="C14" s="192" t="inlineStr">
        <is>
          <t>{{row:CFS-010:current}}</t>
        </is>
      </c>
      <c r="D14" s="189" t="inlineStr">
        <is>
          <t>{{row:CFS-010:prior}}</t>
        </is>
      </c>
      <c r="E14" s="81" t="n"/>
    </row>
    <row r="15" ht="15.6" customFormat="1" customHeight="1" s="81">
      <c r="A15" s="93" t="inlineStr">
        <is>
          <t xml:space="preserve">  △处置以公允价值计量且其变动计入当期损益的金融资产净增加额</t>
        </is>
      </c>
      <c r="B15" s="89" t="n"/>
      <c r="C15" s="192" t="inlineStr">
        <is>
          <t>{{row:CFS-011:current}}</t>
        </is>
      </c>
      <c r="D15" s="189" t="inlineStr">
        <is>
          <t>{{row:CFS-011:prior}}</t>
        </is>
      </c>
      <c r="E15" s="81" t="n"/>
    </row>
    <row r="16" ht="15.6" customFormat="1" customHeight="1" s="81">
      <c r="A16" s="81" t="inlineStr">
        <is>
          <t xml:space="preserve">  △收取利息、手续费及佣金的现金</t>
        </is>
      </c>
      <c r="B16" s="89" t="n"/>
      <c r="C16" s="192" t="inlineStr">
        <is>
          <t>{{row:CFS-012:current}}</t>
        </is>
      </c>
      <c r="D16" s="189" t="inlineStr">
        <is>
          <t>{{row:CFS-012:prior}}</t>
        </is>
      </c>
      <c r="E16" s="81" t="n"/>
    </row>
    <row r="17" ht="15.6" customFormat="1" customHeight="1" s="81">
      <c r="A17" s="81" t="inlineStr">
        <is>
          <t xml:space="preserve">  △拆入资金净增加额</t>
        </is>
      </c>
      <c r="B17" s="89" t="n"/>
      <c r="C17" s="192" t="inlineStr">
        <is>
          <t>{{row:CFS-013:current}}</t>
        </is>
      </c>
      <c r="D17" s="189" t="inlineStr">
        <is>
          <t>{{row:CFS-013:prior}}</t>
        </is>
      </c>
      <c r="E17" s="81" t="n"/>
    </row>
    <row r="18" ht="15.6" customFormat="1" customHeight="1" s="81">
      <c r="A18" s="81" t="inlineStr">
        <is>
          <t xml:space="preserve">  △回购业务资金净增加额</t>
        </is>
      </c>
      <c r="B18" s="89" t="n"/>
      <c r="C18" s="192" t="inlineStr">
        <is>
          <t>{{row:CFS-014:current}}</t>
        </is>
      </c>
      <c r="D18" s="189" t="inlineStr">
        <is>
          <t>{{row:CFS-014:prior}}</t>
        </is>
      </c>
      <c r="E18" s="81" t="n"/>
    </row>
    <row r="19" ht="15.6" customFormat="1" customHeight="1" s="81">
      <c r="A19" s="94" t="inlineStr">
        <is>
          <t xml:space="preserve">  △代理买卖证券收到的现金净额</t>
        </is>
      </c>
      <c r="B19" s="89" t="n"/>
      <c r="C19" s="192" t="inlineStr">
        <is>
          <t>{{row:CFS-015:current}}</t>
        </is>
      </c>
      <c r="D19" s="189" t="inlineStr">
        <is>
          <t>{{row:CFS-015:prior}}</t>
        </is>
      </c>
      <c r="E19" s="81" t="n"/>
    </row>
    <row r="20" ht="15.6" customFormat="1" customHeight="1" s="81">
      <c r="A20" s="81" t="inlineStr">
        <is>
          <t xml:space="preserve">  收到的税费返还</t>
        </is>
      </c>
      <c r="B20" s="89" t="n"/>
      <c r="C20" s="192" t="inlineStr">
        <is>
          <t>{{row:CFS-016:current}}</t>
        </is>
      </c>
      <c r="D20" s="189" t="inlineStr">
        <is>
          <t>{{row:CFS-016:prior}}</t>
        </is>
      </c>
      <c r="E20" s="81" t="inlineStr">
        <is>
          <t>收到的留抵退税款项有关现金流量在“收到的税费返还”项目列示</t>
        </is>
      </c>
    </row>
    <row r="21" ht="15.6" customFormat="1" customHeight="1" s="81">
      <c r="A21" s="81" t="inlineStr">
        <is>
          <t xml:space="preserve">  收到其他与经营活动有关的现金</t>
        </is>
      </c>
      <c r="B21" s="89" t="n"/>
      <c r="C21" s="192" t="inlineStr">
        <is>
          <t>{{row:CFS-017:current}}</t>
        </is>
      </c>
      <c r="D21" s="189" t="inlineStr">
        <is>
          <t>{{row:CFS-017:prior}}</t>
        </is>
      </c>
      <c r="E21" s="72" t="inlineStr">
        <is>
          <t>接受现金捐赠反映在“收到其他与经营活动有关的现金”项目</t>
        </is>
      </c>
    </row>
    <row r="22" ht="15.6" customFormat="1" customHeight="1" s="81">
      <c r="A22" s="95" t="inlineStr">
        <is>
          <t>经营活动现金流入小计</t>
        </is>
      </c>
      <c r="B22" s="89" t="n"/>
      <c r="C22" s="193">
        <f>SUM(C6:C21)</f>
        <v/>
      </c>
      <c r="D22" s="194">
        <f>SUM(D6:D21)</f>
        <v/>
      </c>
      <c r="E22" s="81" t="n"/>
    </row>
    <row r="23" ht="15.6" customFormat="1" customHeight="1" s="81">
      <c r="A23" s="81" t="inlineStr">
        <is>
          <t xml:space="preserve">  购买商品、接受劳务支付的现金</t>
        </is>
      </c>
      <c r="B23" s="89" t="n"/>
      <c r="C23" s="192" t="inlineStr">
        <is>
          <t>{{row:CFS-019:current}}</t>
        </is>
      </c>
      <c r="D23" s="189" t="inlineStr">
        <is>
          <t>{{row:CFS-019:prior}}</t>
        </is>
      </c>
      <c r="E23" s="81" t="n"/>
    </row>
    <row r="24" ht="15.6" customFormat="1" customHeight="1" s="81">
      <c r="A24" s="81" t="inlineStr">
        <is>
          <t xml:space="preserve">  △客户贷款及垫款净增加额</t>
        </is>
      </c>
      <c r="B24" s="89" t="n"/>
      <c r="C24" s="192" t="inlineStr">
        <is>
          <t>{{row:CFS-020:current}}</t>
        </is>
      </c>
      <c r="D24" s="189" t="inlineStr">
        <is>
          <t>{{row:CFS-020:prior}}</t>
        </is>
      </c>
      <c r="E24" s="81" t="n"/>
    </row>
    <row r="25" ht="15.6" customFormat="1" customHeight="1" s="81">
      <c r="A25" s="81" t="inlineStr">
        <is>
          <t xml:space="preserve">  △存放中央银行和同业款项净增加额</t>
        </is>
      </c>
      <c r="B25" s="89" t="n"/>
      <c r="C25" s="192" t="inlineStr">
        <is>
          <t>{{row:CFS-021:current}}</t>
        </is>
      </c>
      <c r="D25" s="189" t="inlineStr">
        <is>
          <t>{{row:CFS-021:prior}}</t>
        </is>
      </c>
      <c r="E25" s="81" t="n"/>
    </row>
    <row r="26" ht="15.6" customFormat="1" customHeight="1" s="81">
      <c r="A26" s="81" t="inlineStr">
        <is>
          <t xml:space="preserve">  △支付签发保险合同赔款的现金</t>
        </is>
      </c>
      <c r="B26" s="89" t="n"/>
      <c r="C26" s="192" t="inlineStr">
        <is>
          <t>{{row:CFS-022:current}}</t>
        </is>
      </c>
      <c r="D26" s="189" t="inlineStr">
        <is>
          <t>{{row:CFS-022:prior}}</t>
        </is>
      </c>
      <c r="E26" s="81" t="n"/>
    </row>
    <row r="27" ht="15.6" customFormat="1" customHeight="1" s="81">
      <c r="A27" s="94" t="inlineStr">
        <is>
          <t xml:space="preserve">  △支付分出再保险合同的现金净额</t>
        </is>
      </c>
      <c r="B27" s="89" t="n"/>
      <c r="C27" s="192" t="inlineStr">
        <is>
          <t>{{row:CFS-023:current}}</t>
        </is>
      </c>
      <c r="D27" s="189" t="inlineStr">
        <is>
          <t>{{row:CFS-023:prior}}</t>
        </is>
      </c>
      <c r="E27" s="81" t="n"/>
    </row>
    <row r="28" ht="15.6" customFormat="1" customHeight="1" s="81">
      <c r="A28" s="81" t="inlineStr">
        <is>
          <t xml:space="preserve">  △保单质押贷款净额增加额</t>
        </is>
      </c>
      <c r="B28" s="89" t="n"/>
      <c r="C28" s="192" t="inlineStr">
        <is>
          <t>{{row:CFS-024:current}}</t>
        </is>
      </c>
      <c r="D28" s="189" t="inlineStr">
        <is>
          <t>{{row:CFS-024:prior}}</t>
        </is>
      </c>
      <c r="E28" s="81" t="n"/>
    </row>
    <row r="29" ht="15.6" customFormat="1" customHeight="1" s="81">
      <c r="A29" s="81" t="inlineStr">
        <is>
          <t xml:space="preserve">  ▲支付原保险合同赔付款项的现金</t>
        </is>
      </c>
      <c r="B29" s="89" t="n"/>
      <c r="C29" s="192" t="inlineStr">
        <is>
          <t>{{row:CFS-025:current}}</t>
        </is>
      </c>
      <c r="D29" s="189" t="inlineStr">
        <is>
          <t>{{row:CFS-025:prior}}</t>
        </is>
      </c>
      <c r="E29" s="81" t="n"/>
    </row>
    <row r="30" ht="15.6" customFormat="1" customHeight="1" s="81">
      <c r="A30" s="94" t="inlineStr">
        <is>
          <t xml:space="preserve">  △拆出资金净增加额</t>
        </is>
      </c>
      <c r="B30" s="89" t="n"/>
      <c r="C30" s="192" t="inlineStr">
        <is>
          <t>{{row:CFS-026:current}}</t>
        </is>
      </c>
      <c r="D30" s="189" t="inlineStr">
        <is>
          <t>{{row:CFS-026:prior}}</t>
        </is>
      </c>
      <c r="E30" s="81" t="n"/>
    </row>
    <row r="31" ht="15.6" customFormat="1" customHeight="1" s="81">
      <c r="A31" s="81" t="inlineStr">
        <is>
          <t xml:space="preserve">  △支付利息、手续费及佣金的现金</t>
        </is>
      </c>
      <c r="B31" s="89" t="n"/>
      <c r="C31" s="192" t="inlineStr">
        <is>
          <t>{{row:CFS-027:current}}</t>
        </is>
      </c>
      <c r="D31" s="189" t="inlineStr">
        <is>
          <t>{{row:CFS-027:prior}}</t>
        </is>
      </c>
      <c r="E31" s="81" t="n"/>
    </row>
    <row r="32" ht="15.6" customFormat="1" customHeight="1" s="81">
      <c r="A32" s="81" t="inlineStr">
        <is>
          <t xml:space="preserve">  ▲支付保单红利的现金</t>
        </is>
      </c>
      <c r="B32" s="89" t="n"/>
      <c r="C32" s="192" t="inlineStr">
        <is>
          <t>{{row:CFS-028:current}}</t>
        </is>
      </c>
      <c r="D32" s="189" t="inlineStr">
        <is>
          <t>{{row:CFS-028:prior}}</t>
        </is>
      </c>
      <c r="E32" s="81" t="n"/>
    </row>
    <row r="33" ht="15.6" customFormat="1" customHeight="1" s="81">
      <c r="A33" s="94" t="inlineStr">
        <is>
          <t xml:space="preserve">  支付给职工及为职工支付的现金</t>
        </is>
      </c>
      <c r="B33" s="89" t="n"/>
      <c r="C33" s="192" t="inlineStr">
        <is>
          <t>{{row:CFS-029:current}}</t>
        </is>
      </c>
      <c r="D33" s="189" t="inlineStr">
        <is>
          <t>{{row:CFS-029:prior}}</t>
        </is>
      </c>
      <c r="E33" s="72" t="inlineStr">
        <is>
          <t>支付的工会经费反映在“支付给职工及为职工支付的现金”项目</t>
        </is>
      </c>
    </row>
    <row r="34" ht="15.6" customFormat="1" customHeight="1" s="81">
      <c r="A34" s="81" t="inlineStr">
        <is>
          <t xml:space="preserve">  支付的各项税费</t>
        </is>
      </c>
      <c r="B34" s="89" t="n"/>
      <c r="C34" s="192" t="inlineStr">
        <is>
          <t>{{row:CFS-030:current}}</t>
        </is>
      </c>
      <c r="D34" s="189" t="inlineStr">
        <is>
          <t>{{row:CFS-030:prior}}</t>
        </is>
      </c>
      <c r="E34" s="81" t="inlineStr">
        <is>
          <t>缴回并继续按规定抵扣进项税额的留抵退税款项有关现金流量在“支付的各项税费”项目列示</t>
        </is>
      </c>
    </row>
    <row r="35" ht="15.6" customFormat="1" customHeight="1" s="81">
      <c r="A35" s="81" t="inlineStr">
        <is>
          <t xml:space="preserve">  支付其他与经营活动有关的现金</t>
        </is>
      </c>
      <c r="B35" s="89" t="n"/>
      <c r="C35" s="192" t="inlineStr">
        <is>
          <t>{{row:CFS-031:current}}</t>
        </is>
      </c>
      <c r="D35" s="189" t="inlineStr">
        <is>
          <t>{{row:CFS-031:prior}}</t>
        </is>
      </c>
      <c r="E35" s="72" t="inlineStr">
        <is>
          <t>捐赠现金支出反映在“支付其他与经营活动有关的现金”项目</t>
        </is>
      </c>
    </row>
    <row r="36" ht="15.6" customFormat="1" customHeight="1" s="81">
      <c r="A36" s="95" t="inlineStr">
        <is>
          <t>经营活动现金流出小计</t>
        </is>
      </c>
      <c r="B36" s="89" t="n"/>
      <c r="C36" s="193">
        <f>SUM(C23:C35)</f>
        <v/>
      </c>
      <c r="D36" s="194">
        <f>SUM(D23:D35)</f>
        <v/>
      </c>
      <c r="E36" s="81" t="n"/>
    </row>
    <row r="37" ht="15.6" customFormat="1" customHeight="1" s="81">
      <c r="A37" s="88" t="inlineStr">
        <is>
          <t xml:space="preserve">        经营活动产生的现金流量净额</t>
        </is>
      </c>
      <c r="B37" s="89" t="n"/>
      <c r="C37" s="193">
        <f>C22-C36</f>
        <v/>
      </c>
      <c r="D37" s="194">
        <f>D22-D36</f>
        <v/>
      </c>
      <c r="E37" s="81" t="n"/>
    </row>
    <row r="38" ht="15.6" customFormat="1" customHeight="1" s="81">
      <c r="A38" s="88" t="inlineStr">
        <is>
          <t>二、投资活动产生的现金流量：</t>
        </is>
      </c>
      <c r="B38" s="89" t="n"/>
      <c r="C38" s="98" t="n"/>
      <c r="D38" s="99" t="n"/>
      <c r="E38" s="81" t="n"/>
    </row>
    <row r="39" ht="15.6" customFormat="1" customHeight="1" s="81">
      <c r="A39" s="81" t="inlineStr">
        <is>
          <t xml:space="preserve">  收回投资收到的现金</t>
        </is>
      </c>
      <c r="B39" s="89" t="n"/>
      <c r="C39" s="192" t="inlineStr">
        <is>
          <t>{{row:CFS-035:current}}</t>
        </is>
      </c>
      <c r="D39" s="189" t="inlineStr">
        <is>
          <t>{{row:CFS-035:prior}}</t>
        </is>
      </c>
      <c r="E39" s="81" t="n"/>
    </row>
    <row r="40" ht="15.6" customFormat="1" customHeight="1" s="81">
      <c r="A40" s="81" t="inlineStr">
        <is>
          <t xml:space="preserve">  取得投资收益收到的现金</t>
        </is>
      </c>
      <c r="B40" s="89" t="n"/>
      <c r="C40" s="192" t="inlineStr">
        <is>
          <t>{{row:CFS-036:current}}</t>
        </is>
      </c>
      <c r="D40" s="189" t="inlineStr">
        <is>
          <t>{{row:CFS-036:prior}}</t>
        </is>
      </c>
      <c r="E40" s="81" t="n"/>
    </row>
    <row r="41" ht="15.6" customFormat="1" customHeight="1" s="81">
      <c r="A41" s="100" t="inlineStr">
        <is>
          <t xml:space="preserve">  处置固定资产、无形资产和其他长期资产收回的现金净额</t>
        </is>
      </c>
      <c r="B41" s="89" t="n"/>
      <c r="C41" s="192" t="inlineStr">
        <is>
          <t>{{row:CFS-037:current}}</t>
        </is>
      </c>
      <c r="D41" s="189" t="inlineStr">
        <is>
          <t>{{row:CFS-037:prior}}</t>
        </is>
      </c>
      <c r="E41" s="81" t="n"/>
    </row>
    <row r="42" ht="15.6" customFormat="1" customHeight="1" s="81">
      <c r="A42" s="94" t="inlineStr">
        <is>
          <t xml:space="preserve">  处置子公司及其他营业单位收到的现金净额</t>
        </is>
      </c>
      <c r="B42" s="89" t="n"/>
      <c r="C42" s="192" t="inlineStr">
        <is>
          <t>{{row:CFS-038:current}}</t>
        </is>
      </c>
      <c r="D42" s="189" t="inlineStr">
        <is>
          <t>{{row:CFS-038:prior}}</t>
        </is>
      </c>
      <c r="E42" s="81" t="n"/>
    </row>
    <row r="43" ht="15.6" customFormat="1" customHeight="1" s="81">
      <c r="A43" s="101" t="inlineStr">
        <is>
          <t xml:space="preserve">  收到其他与投资活动有关的现金</t>
        </is>
      </c>
      <c r="B43" s="89" t="n"/>
      <c r="C43" s="192" t="inlineStr">
        <is>
          <t>{{row:CFS-039:current}}</t>
        </is>
      </c>
      <c r="D43" s="189" t="inlineStr">
        <is>
          <t>{{row:CFS-039:prior}}</t>
        </is>
      </c>
      <c r="E43" s="81" t="n"/>
    </row>
    <row r="44" ht="15.6" customFormat="1" customHeight="1" s="81">
      <c r="A44" s="102" t="inlineStr">
        <is>
          <t>投资活动现金流入小计</t>
        </is>
      </c>
      <c r="B44" s="89" t="n"/>
      <c r="C44" s="193">
        <f>SUM(C39:C43)</f>
        <v/>
      </c>
      <c r="D44" s="194">
        <f>SUM(D39:D43)</f>
        <v/>
      </c>
      <c r="E44" s="81" t="n"/>
    </row>
    <row r="45" ht="15.6" customFormat="1" customHeight="1" s="81">
      <c r="A45" s="100" t="inlineStr">
        <is>
          <t xml:space="preserve">  购建固定资产、无形资产和其他长期资产支付的现金</t>
        </is>
      </c>
      <c r="B45" s="89" t="n"/>
      <c r="C45" s="192" t="inlineStr">
        <is>
          <t>{{row:CFS-041:current}}</t>
        </is>
      </c>
      <c r="D45" s="189" t="inlineStr">
        <is>
          <t>{{row:CFS-041:prior}}</t>
        </is>
      </c>
      <c r="E45" s="81" t="n"/>
    </row>
    <row r="46" ht="15.6" customFormat="1" customHeight="1" s="81">
      <c r="A46" s="81" t="inlineStr">
        <is>
          <t xml:space="preserve">  投资支付的现金</t>
        </is>
      </c>
      <c r="B46" s="89" t="n"/>
      <c r="C46" s="192" t="inlineStr">
        <is>
          <t>{{row:CFS-042:current}}</t>
        </is>
      </c>
      <c r="D46" s="189" t="inlineStr">
        <is>
          <t>{{row:CFS-042:prior}}</t>
        </is>
      </c>
      <c r="E46" s="81" t="n"/>
    </row>
    <row r="47" ht="15.6" customFormat="1" customHeight="1" s="81">
      <c r="A47" s="81" t="inlineStr">
        <is>
          <t xml:space="preserve">  ▲质押贷款净增加额</t>
        </is>
      </c>
      <c r="B47" s="89" t="n"/>
      <c r="C47" s="192" t="inlineStr">
        <is>
          <t>{{row:CFS-043:current}}</t>
        </is>
      </c>
      <c r="D47" s="189" t="inlineStr">
        <is>
          <t>{{row:CFS-043:prior}}</t>
        </is>
      </c>
      <c r="E47" s="81" t="n"/>
    </row>
    <row r="48" ht="15.6" customFormat="1" customHeight="1" s="81">
      <c r="A48" s="81" t="inlineStr">
        <is>
          <t xml:space="preserve">  取得子公司及其他营业单位支付的现金净额</t>
        </is>
      </c>
      <c r="B48" s="89" t="n"/>
      <c r="C48" s="192" t="inlineStr">
        <is>
          <t>{{row:CFS-044:current}}</t>
        </is>
      </c>
      <c r="D48" s="189" t="inlineStr">
        <is>
          <t>{{row:CFS-044:prior}}</t>
        </is>
      </c>
      <c r="E48" s="81" t="n"/>
    </row>
    <row r="49" ht="15.6" customFormat="1" customHeight="1" s="81">
      <c r="A49" s="101" t="inlineStr">
        <is>
          <t xml:space="preserve">  支付其他与投资活动有关的现金</t>
        </is>
      </c>
      <c r="B49" s="89" t="n"/>
      <c r="C49" s="192" t="inlineStr">
        <is>
          <t>{{row:CFS-045:current}}</t>
        </is>
      </c>
      <c r="D49" s="189" t="inlineStr">
        <is>
          <t>{{row:CFS-045:prior}}</t>
        </is>
      </c>
      <c r="E49" s="81" t="n"/>
    </row>
    <row r="50" ht="15.6" customFormat="1" customHeight="1" s="81">
      <c r="A50" s="102" t="inlineStr">
        <is>
          <t>投资活动现金流出小计</t>
        </is>
      </c>
      <c r="B50" s="89" t="n"/>
      <c r="C50" s="193">
        <f>SUM(C45:C49)</f>
        <v/>
      </c>
      <c r="D50" s="194">
        <f>SUM(D45:D49)</f>
        <v/>
      </c>
      <c r="E50" s="81" t="n"/>
    </row>
    <row r="51" ht="15.6" customFormat="1" customHeight="1" s="81">
      <c r="A51" s="103" t="inlineStr">
        <is>
          <t xml:space="preserve">        投资活动产生的现金流量净额</t>
        </is>
      </c>
      <c r="B51" s="89" t="n"/>
      <c r="C51" s="193">
        <f>C44-C50</f>
        <v/>
      </c>
      <c r="D51" s="194">
        <f>D44-D50</f>
        <v/>
      </c>
      <c r="E51" s="81" t="n"/>
    </row>
    <row r="52" ht="15.6" customFormat="1" customHeight="1" s="81">
      <c r="A52" s="103" t="inlineStr">
        <is>
          <t>三、筹资活动产生的现金流量：</t>
        </is>
      </c>
      <c r="B52" s="89" t="n"/>
      <c r="C52" s="98" t="n"/>
      <c r="D52" s="99" t="n"/>
      <c r="E52" s="81" t="n"/>
    </row>
    <row r="53" ht="15.6" customFormat="1" customHeight="1" s="81">
      <c r="A53" s="101" t="inlineStr">
        <is>
          <t xml:space="preserve">  吸收投资收到的现金</t>
        </is>
      </c>
      <c r="B53" s="89" t="n"/>
      <c r="C53" s="192" t="inlineStr">
        <is>
          <t>{{row:CFS-049:current}}</t>
        </is>
      </c>
      <c r="D53" s="189" t="inlineStr">
        <is>
          <t>{{row:CFS-049:prior}}</t>
        </is>
      </c>
      <c r="E53" s="81" t="n"/>
    </row>
    <row r="54" hidden="1" ht="15.6" customFormat="1" customHeight="1" s="81">
      <c r="A54" s="81" t="inlineStr">
        <is>
          <t xml:space="preserve">     *其中：子公司吸收少数股东投资收到的现金</t>
        </is>
      </c>
      <c r="B54" s="89" t="n"/>
      <c r="C54" s="192" t="inlineStr">
        <is>
          <t>{{row:CFS-050:current}}</t>
        </is>
      </c>
      <c r="D54" s="189" t="inlineStr">
        <is>
          <t>{{row:CFS-050:prior}}</t>
        </is>
      </c>
      <c r="E54" s="81" t="n"/>
    </row>
    <row r="55" ht="15.6" customFormat="1" customHeight="1" s="81">
      <c r="A55" s="101" t="inlineStr">
        <is>
          <t xml:space="preserve">  取得借款收到的现金</t>
        </is>
      </c>
      <c r="B55" s="89" t="n"/>
      <c r="C55" s="192" t="inlineStr">
        <is>
          <t>{{row:CFS-051:current}}</t>
        </is>
      </c>
      <c r="D55" s="189" t="inlineStr">
        <is>
          <t>{{row:CFS-051:prior}}</t>
        </is>
      </c>
      <c r="E55" s="81" t="n"/>
    </row>
    <row r="56" ht="15.6" customFormat="1" customHeight="1" s="81">
      <c r="A56" s="101" t="inlineStr">
        <is>
          <t xml:space="preserve">  收到其他与筹资活动有关的现金</t>
        </is>
      </c>
      <c r="B56" s="89" t="n"/>
      <c r="C56" s="192" t="inlineStr">
        <is>
          <t>{{row:CFS-052:current}}</t>
        </is>
      </c>
      <c r="D56" s="189" t="inlineStr">
        <is>
          <t>{{row:CFS-052:prior}}</t>
        </is>
      </c>
      <c r="E56" s="81" t="n"/>
    </row>
    <row r="57" ht="15.6" customFormat="1" customHeight="1" s="81">
      <c r="A57" s="102" t="inlineStr">
        <is>
          <t>筹资活动现金流入小计</t>
        </is>
      </c>
      <c r="B57" s="89" t="n"/>
      <c r="C57" s="193">
        <f>SUM(C53:C56)-C54</f>
        <v/>
      </c>
      <c r="D57" s="194">
        <f>SUM(D53:D56)-D54</f>
        <v/>
      </c>
      <c r="E57" s="81" t="n"/>
    </row>
    <row r="58" ht="15.6" customFormat="1" customHeight="1" s="81">
      <c r="A58" s="101" t="inlineStr">
        <is>
          <t xml:space="preserve">  偿还债务支付的现金</t>
        </is>
      </c>
      <c r="B58" s="89" t="n"/>
      <c r="C58" s="192" t="inlineStr">
        <is>
          <t>{{row:CFS-054:current}}</t>
        </is>
      </c>
      <c r="D58" s="189" t="inlineStr">
        <is>
          <t>{{row:CFS-054:prior}}</t>
        </is>
      </c>
      <c r="E58" s="81" t="n"/>
    </row>
    <row r="59" ht="15.6" customFormat="1" customHeight="1" s="81">
      <c r="A59" s="101" t="inlineStr">
        <is>
          <t xml:space="preserve">  分配股利、利润或偿付利息支付的现金</t>
        </is>
      </c>
      <c r="B59" s="89" t="n"/>
      <c r="C59" s="192" t="inlineStr">
        <is>
          <t>{{row:CFS-055:current}}</t>
        </is>
      </c>
      <c r="D59" s="189" t="inlineStr">
        <is>
          <t>{{row:CFS-055:prior}}</t>
        </is>
      </c>
      <c r="E59" s="81" t="n"/>
    </row>
    <row r="60" hidden="1" ht="15.6" customFormat="1" customHeight="1" s="81">
      <c r="A60" s="81" t="inlineStr">
        <is>
          <t xml:space="preserve">     *其中：子公司支付给少数股东的股利、利润</t>
        </is>
      </c>
      <c r="B60" s="89" t="n"/>
      <c r="C60" s="192" t="inlineStr">
        <is>
          <t>{{row:CFS-056:current}}</t>
        </is>
      </c>
      <c r="D60" s="189" t="inlineStr">
        <is>
          <t>{{row:CFS-056:prior}}</t>
        </is>
      </c>
      <c r="E60" s="81" t="n"/>
    </row>
    <row r="61" ht="15.6" customFormat="1" customHeight="1" s="81">
      <c r="A61" s="101" t="inlineStr">
        <is>
          <t xml:space="preserve">  支付其他与筹资活动有关的现金</t>
        </is>
      </c>
      <c r="B61" s="89" t="n"/>
      <c r="C61" s="192" t="inlineStr">
        <is>
          <t>{{row:CFS-057:current}}</t>
        </is>
      </c>
      <c r="D61" s="189" t="inlineStr">
        <is>
          <t>{{row:CFS-057:prior}}</t>
        </is>
      </c>
      <c r="E61" s="81" t="n"/>
    </row>
    <row r="62" ht="15.6" customFormat="1" customHeight="1" s="81">
      <c r="A62" s="102" t="inlineStr">
        <is>
          <t>筹资活动现金流出小计</t>
        </is>
      </c>
      <c r="B62" s="89" t="n"/>
      <c r="C62" s="193">
        <f>SUM(C58:C61)-C60</f>
        <v/>
      </c>
      <c r="D62" s="194">
        <f>SUM(D58:D61)-D60</f>
        <v/>
      </c>
      <c r="E62" s="81" t="n"/>
    </row>
    <row r="63" ht="15.6" customFormat="1" customHeight="1" s="81">
      <c r="A63" s="103" t="inlineStr">
        <is>
          <t xml:space="preserve">       筹资活动产生的现金流量净额</t>
        </is>
      </c>
      <c r="B63" s="89" t="n"/>
      <c r="C63" s="193">
        <f>C57-C62</f>
        <v/>
      </c>
      <c r="D63" s="194">
        <f>D57-D62</f>
        <v/>
      </c>
      <c r="E63" s="81" t="n"/>
    </row>
    <row r="64" ht="15.6" customFormat="1" customHeight="1" s="81">
      <c r="A64" s="103" t="inlineStr">
        <is>
          <t>四、汇率变动对现金及现金等价物的影响</t>
        </is>
      </c>
      <c r="B64" s="89" t="n"/>
      <c r="C64" s="193" t="inlineStr">
        <is>
          <t>{{row:CFS-060:current}}</t>
        </is>
      </c>
      <c r="D64" s="194" t="inlineStr">
        <is>
          <t>{{row:CFS-060:prior}}</t>
        </is>
      </c>
      <c r="E64" s="81" t="n"/>
    </row>
    <row r="65" ht="15.6" customFormat="1" customHeight="1" s="81">
      <c r="A65" s="103" t="inlineStr">
        <is>
          <t>五、现金及现金等价物净增加额</t>
        </is>
      </c>
      <c r="B65" s="89" t="n"/>
      <c r="C65" s="193">
        <f>C37+C51+C63+C64</f>
        <v/>
      </c>
      <c r="D65" s="194">
        <f>D37+D51+D63+D64</f>
        <v/>
      </c>
      <c r="E65" s="81" t="n"/>
    </row>
    <row r="66" ht="15.6" customFormat="1" customHeight="1" s="81">
      <c r="A66" s="101" t="inlineStr">
        <is>
          <t xml:space="preserve">  加：期初现金及现金等价物余额</t>
        </is>
      </c>
      <c r="B66" s="89" t="n"/>
      <c r="C66" s="192" t="inlineStr">
        <is>
          <t>{{row:CFS-062:current}}</t>
        </is>
      </c>
      <c r="D66" s="189" t="inlineStr">
        <is>
          <t>{{row:CFS-062:prior}}</t>
        </is>
      </c>
      <c r="E66" s="81" t="n"/>
    </row>
    <row r="67" ht="15.6" customFormat="1" customHeight="1" s="81">
      <c r="A67" s="104" t="inlineStr">
        <is>
          <t>六、期末现金及现金等价物余额</t>
        </is>
      </c>
      <c r="B67" s="105" t="n"/>
      <c r="C67" s="195">
        <f>C65+C66</f>
        <v/>
      </c>
      <c r="D67" s="196">
        <f>D65+D66</f>
        <v/>
      </c>
      <c r="E67" s="81" t="n"/>
    </row>
    <row r="68" ht="15.6" customFormat="1" customHeight="1" s="81">
      <c r="A68" s="81" t="n"/>
      <c r="D68" s="116" t="n"/>
      <c r="E68" s="81" t="n"/>
    </row>
    <row r="69" ht="15.6" customFormat="1" customHeight="1" s="81">
      <c r="A69" s="184" t="inlineStr">
        <is>
          <t>企业负责人：                        主管会计工作负责人：                        会计机构负责人：</t>
        </is>
      </c>
      <c r="D69" s="116" t="n"/>
      <c r="E69" s="81" t="n"/>
    </row>
    <row r="70" ht="18" customFormat="1" customHeight="1" s="81">
      <c r="A70" s="81" t="n"/>
      <c r="D70" s="116" t="n"/>
      <c r="E70" s="81" t="n"/>
    </row>
    <row r="71" ht="18" customHeight="1" s="176"/>
    <row r="72" ht="18" customHeight="1" s="176"/>
    <row r="73" ht="18" customHeight="1" s="176">
      <c r="A73" s="110" t="inlineStr">
        <is>
          <t>注：加△项目为金融类企业专用。</t>
        </is>
      </c>
    </row>
  </sheetData>
  <mergeCells count="4">
    <mergeCell ref="A1:D1"/>
    <mergeCell ref="A3:B3"/>
    <mergeCell ref="A73:C73"/>
    <mergeCell ref="A2:D2"/>
  </mergeCells>
  <conditionalFormatting sqref="C1:D1048576">
    <cfRule type="cellIs" priority="2" operator="equal">
      <formula>0</formula>
    </cfRule>
    <cfRule type="cellIs" priority="1" operator="equal" dxfId="0">
      <formula>0</formula>
    </cfRule>
  </conditionalFormatting>
  <printOptions horizontalCentered="1"/>
  <pageMargins left="0.748031496062992" right="1.25196850393701" top="0.78740157480315" bottom="1" header="0.511811023622047" footer="0.511811023622047"/>
  <pageSetup orientation="portrait" paperSize="9" scale="65" fitToHeight="0" firstPageNumber="4" useFirstPageNumber="1"/>
  <headerFooter alignWithMargins="0">
    <oddHeader/>
    <oddFooter>&amp;C&amp;"Arial Narrow,常规"&amp;P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fitToPage="1"/>
  </sheetPr>
  <dimension ref="A1:Z49"/>
  <sheetViews>
    <sheetView showGridLines="0" view="pageBreakPreview" zoomScaleNormal="100" workbookViewId="0">
      <selection activeCell="D17" sqref="D17"/>
    </sheetView>
  </sheetViews>
  <sheetFormatPr baseColWidth="8" defaultColWidth="9" defaultRowHeight="12"/>
  <cols>
    <col width="42.2" customWidth="1" style="76" min="1" max="1"/>
    <col width="4.7" customWidth="1" style="30" min="2" max="2"/>
    <col width="16.125" customWidth="1" style="30" min="3" max="3"/>
    <col width="5.75" customWidth="1" style="30" min="4" max="4"/>
    <col width="16.375" customWidth="1" style="30" min="5" max="5"/>
    <col width="6.2" customWidth="1" style="30" min="6" max="6"/>
    <col width="14" customWidth="1" style="30" min="7" max="7"/>
    <col width="5.5" customWidth="1" style="30" min="8" max="8"/>
    <col width="14.25" customWidth="1" style="30" min="9" max="9"/>
    <col width="6.5" customWidth="1" style="30" min="10" max="10"/>
    <col width="13.625" customWidth="1" style="30" min="11" max="11"/>
    <col width="7.875" customWidth="1" style="30" min="12" max="12"/>
    <col width="15.25" customWidth="1" style="30" min="13" max="13"/>
    <col width="16.125" customWidth="1" style="30" min="14" max="14"/>
    <col width="14.5" customWidth="1" style="30" min="15" max="15"/>
    <col width="8.5" customWidth="1" style="30" min="16" max="16"/>
    <col width="17.25" customWidth="1" style="30" min="17" max="17"/>
    <col width="6.2" customWidth="1" style="30" min="18" max="18"/>
    <col width="14" customWidth="1" style="30" min="19" max="19"/>
    <col width="7.6" customWidth="1" style="30" min="20" max="20"/>
    <col width="13.625" customWidth="1" style="30" min="21" max="21"/>
    <col width="6.5" customWidth="1" style="30" min="22" max="22"/>
    <col width="15" customWidth="1" style="30" min="23" max="23"/>
    <col width="7.5" customWidth="1" style="30" min="24" max="24"/>
    <col width="15.625" customWidth="1" style="30" min="25" max="25"/>
    <col width="16.875" customWidth="1" style="30" min="26" max="26"/>
    <col width="9" customWidth="1" style="30" min="27" max="16384"/>
  </cols>
  <sheetData>
    <row r="1" ht="30" customFormat="1" customHeight="1" s="30">
      <c r="A1" s="76" t="n"/>
      <c r="B1" s="36" t="n"/>
      <c r="C1" s="36" t="n"/>
      <c r="D1" s="36" t="n"/>
      <c r="E1" s="36" t="n"/>
      <c r="F1" s="36" t="inlineStr">
        <is>
          <t>所有者权益变动表</t>
        </is>
      </c>
      <c r="G1" s="36" t="n"/>
      <c r="H1" s="36" t="n"/>
      <c r="I1" s="36" t="n"/>
      <c r="J1" s="36" t="n"/>
      <c r="K1" s="36" t="n"/>
      <c r="L1" s="36" t="n"/>
      <c r="M1" s="36" t="n"/>
      <c r="N1" s="36" t="n"/>
      <c r="O1" s="36" t="n"/>
      <c r="P1" s="36" t="n"/>
      <c r="Q1" s="36" t="n"/>
      <c r="R1" s="36" t="inlineStr">
        <is>
          <t>所有者权益变动表(续)</t>
        </is>
      </c>
      <c r="S1" s="36" t="n"/>
      <c r="T1" s="36" t="n"/>
      <c r="U1" s="36" t="n"/>
      <c r="V1" s="36" t="n"/>
      <c r="W1" s="36" t="n"/>
      <c r="X1" s="36" t="n"/>
      <c r="Y1" s="36" t="n"/>
      <c r="Z1" s="36" t="n"/>
    </row>
    <row r="2" ht="18" customFormat="1" customHeight="1" s="30">
      <c r="A2" s="76" t="n"/>
      <c r="B2" s="37" t="n"/>
      <c r="C2" s="37" t="n"/>
      <c r="D2" s="37" t="n"/>
      <c r="E2" s="37" t="n"/>
      <c r="F2" s="37" t="n"/>
      <c r="G2" s="37" t="n"/>
      <c r="H2" s="37" t="n"/>
      <c r="I2" s="37" t="n"/>
      <c r="J2" s="37" t="n"/>
      <c r="K2" s="37" t="n"/>
      <c r="L2" s="37" t="n"/>
      <c r="M2" s="37" t="n"/>
      <c r="N2" s="37" t="n"/>
      <c r="P2" s="37" t="n"/>
      <c r="Q2" s="37" t="n"/>
      <c r="R2" s="37" t="n"/>
      <c r="U2" s="37" t="n"/>
    </row>
    <row r="3" ht="18" customFormat="1" customHeight="1" s="81">
      <c r="A3" s="82" t="inlineStr">
        <is>
          <t>编制单位：</t>
        </is>
      </c>
      <c r="B3" s="82" t="n"/>
      <c r="C3" s="82" t="n"/>
      <c r="D3" s="82" t="n"/>
      <c r="E3" s="82" t="n"/>
      <c r="F3" s="82" t="n"/>
      <c r="G3" s="82" t="inlineStr">
        <is>
          <t>2025年度</t>
        </is>
      </c>
      <c r="H3" s="81" t="n"/>
      <c r="I3" s="81" t="n"/>
      <c r="J3" s="81" t="n"/>
      <c r="K3" s="81" t="n"/>
      <c r="P3" s="82" t="n"/>
      <c r="Q3" s="82" t="n"/>
      <c r="R3" s="82" t="n"/>
      <c r="S3" s="81" t="inlineStr">
        <is>
          <t>2024年度</t>
        </is>
      </c>
      <c r="Z3" s="83" t="inlineStr">
        <is>
          <t>金额单位：元</t>
        </is>
      </c>
    </row>
    <row r="4" ht="18" customFormat="1" customHeight="1" s="76">
      <c r="A4" s="40" t="inlineStr">
        <is>
          <t>项            目</t>
        </is>
      </c>
      <c r="B4" s="41" t="inlineStr">
        <is>
          <t>行次</t>
        </is>
      </c>
      <c r="C4" s="42" t="inlineStr">
        <is>
          <t>本年金额</t>
        </is>
      </c>
      <c r="D4" s="197" t="n"/>
      <c r="E4" s="197" t="n"/>
      <c r="F4" s="197" t="n"/>
      <c r="G4" s="197" t="n"/>
      <c r="H4" s="197" t="n"/>
      <c r="I4" s="197" t="n"/>
      <c r="J4" s="197" t="n"/>
      <c r="K4" s="197" t="n"/>
      <c r="L4" s="197" t="n"/>
      <c r="M4" s="197" t="n"/>
      <c r="N4" s="198" t="n"/>
      <c r="O4" s="45" t="inlineStr">
        <is>
          <t>上年金额</t>
        </is>
      </c>
      <c r="P4" s="197" t="n"/>
      <c r="Q4" s="197" t="n"/>
      <c r="R4" s="197" t="n"/>
      <c r="S4" s="197" t="n"/>
      <c r="T4" s="197" t="n"/>
      <c r="U4" s="197" t="n"/>
      <c r="V4" s="197" t="n"/>
      <c r="W4" s="197" t="n"/>
      <c r="X4" s="197" t="n"/>
      <c r="Y4" s="197" t="n"/>
      <c r="Z4" s="198" t="n"/>
    </row>
    <row r="5" hidden="1" ht="15" customFormat="1" customHeight="1" s="33">
      <c r="A5" s="199" t="n"/>
      <c r="B5" s="200" t="n"/>
      <c r="C5" s="42" t="inlineStr">
        <is>
          <t>归属于母公司所有者权益</t>
        </is>
      </c>
      <c r="D5" s="197" t="n"/>
      <c r="E5" s="197" t="n"/>
      <c r="F5" s="197" t="n"/>
      <c r="G5" s="197" t="n"/>
      <c r="H5" s="197" t="n"/>
      <c r="I5" s="197" t="n"/>
      <c r="J5" s="197" t="n"/>
      <c r="K5" s="197" t="n"/>
      <c r="L5" s="197" t="n"/>
      <c r="M5" s="197" t="n"/>
      <c r="N5" s="198" t="n"/>
      <c r="O5" s="45" t="inlineStr">
        <is>
          <t>归属于母公司所有者权益</t>
        </is>
      </c>
      <c r="P5" s="197" t="n"/>
      <c r="Q5" s="197" t="n"/>
      <c r="R5" s="197" t="n"/>
      <c r="S5" s="197" t="n"/>
      <c r="T5" s="197" t="n"/>
      <c r="U5" s="197" t="n"/>
      <c r="V5" s="197" t="n"/>
      <c r="W5" s="197" t="n"/>
      <c r="X5" s="197" t="n"/>
      <c r="Y5" s="197" t="n"/>
      <c r="Z5" s="198" t="n"/>
    </row>
    <row r="6" ht="33.75" customFormat="1" customHeight="1" s="76">
      <c r="A6" s="199" t="n"/>
      <c r="B6" s="200" t="n"/>
      <c r="C6" s="41" t="inlineStr">
        <is>
          <t>实收资本</t>
        </is>
      </c>
      <c r="D6" s="41" t="inlineStr">
        <is>
          <t>其他权益工具</t>
        </is>
      </c>
      <c r="E6" s="197" t="n"/>
      <c r="F6" s="198" t="n"/>
      <c r="G6" s="41" t="inlineStr">
        <is>
          <t>资本公积</t>
        </is>
      </c>
      <c r="H6" s="41" t="inlineStr">
        <is>
          <t>减：库存股</t>
        </is>
      </c>
      <c r="I6" s="41" t="inlineStr">
        <is>
          <t>其他综合收益</t>
        </is>
      </c>
      <c r="J6" s="41" t="inlineStr">
        <is>
          <t>专项储备</t>
        </is>
      </c>
      <c r="K6" s="41" t="inlineStr">
        <is>
          <t>盈余公积</t>
        </is>
      </c>
      <c r="L6" s="41" t="inlineStr">
        <is>
          <t>△一般风险准备</t>
        </is>
      </c>
      <c r="M6" s="41" t="inlineStr">
        <is>
          <t>未分配利润</t>
        </is>
      </c>
      <c r="N6" s="41" t="inlineStr">
        <is>
          <t>所有者权益合计</t>
        </is>
      </c>
      <c r="O6" s="40" t="inlineStr">
        <is>
          <t>实收资本</t>
        </is>
      </c>
      <c r="P6" s="41" t="inlineStr">
        <is>
          <t>其他权益工具</t>
        </is>
      </c>
      <c r="Q6" s="197" t="n"/>
      <c r="R6" s="198" t="n"/>
      <c r="S6" s="41" t="inlineStr">
        <is>
          <t>资本公积</t>
        </is>
      </c>
      <c r="T6" s="41" t="inlineStr">
        <is>
          <t>减：库存股</t>
        </is>
      </c>
      <c r="U6" s="41" t="inlineStr">
        <is>
          <t>其他综合收益</t>
        </is>
      </c>
      <c r="V6" s="41" t="inlineStr">
        <is>
          <t>专项储备</t>
        </is>
      </c>
      <c r="W6" s="41" t="inlineStr">
        <is>
          <t>盈余公积</t>
        </is>
      </c>
      <c r="X6" s="41" t="inlineStr">
        <is>
          <t>△一般风险准备</t>
        </is>
      </c>
      <c r="Y6" s="41" t="inlineStr">
        <is>
          <t>未分配利润</t>
        </is>
      </c>
      <c r="Z6" s="41" t="inlineStr">
        <is>
          <t>所有者权益合计</t>
        </is>
      </c>
    </row>
    <row r="7" ht="27" customFormat="1" customHeight="1" s="76">
      <c r="A7" s="201" t="n"/>
      <c r="B7" s="202" t="n"/>
      <c r="C7" s="202" t="n"/>
      <c r="D7" s="41" t="inlineStr">
        <is>
          <t>优先股</t>
        </is>
      </c>
      <c r="E7" s="41" t="inlineStr">
        <is>
          <t>永续债</t>
        </is>
      </c>
      <c r="F7" s="41" t="inlineStr">
        <is>
          <t>其他</t>
        </is>
      </c>
      <c r="G7" s="202" t="n"/>
      <c r="H7" s="202" t="n"/>
      <c r="I7" s="202" t="n"/>
      <c r="J7" s="202" t="n"/>
      <c r="K7" s="202" t="n"/>
      <c r="L7" s="202" t="n"/>
      <c r="M7" s="202" t="n"/>
      <c r="N7" s="202" t="n"/>
      <c r="O7" s="201" t="n"/>
      <c r="P7" s="41" t="inlineStr">
        <is>
          <t>优先股</t>
        </is>
      </c>
      <c r="Q7" s="41" t="inlineStr">
        <is>
          <t>永续债</t>
        </is>
      </c>
      <c r="R7" s="41" t="inlineStr">
        <is>
          <t>其他</t>
        </is>
      </c>
      <c r="S7" s="202" t="n"/>
      <c r="T7" s="202" t="n"/>
      <c r="U7" s="202" t="n"/>
      <c r="V7" s="202" t="n"/>
      <c r="W7" s="202" t="n"/>
      <c r="X7" s="202" t="n"/>
      <c r="Y7" s="202" t="n"/>
      <c r="Z7" s="202" t="n"/>
    </row>
    <row r="8" ht="15" customFormat="1" customHeight="1" s="30">
      <c r="A8" s="45" t="inlineStr">
        <is>
          <t>栏            次</t>
        </is>
      </c>
      <c r="B8" s="50" t="inlineStr">
        <is>
          <t>——</t>
        </is>
      </c>
      <c r="C8" s="50" t="n">
        <v>1</v>
      </c>
      <c r="D8" s="50" t="n">
        <v>2</v>
      </c>
      <c r="E8" s="50" t="n">
        <v>3</v>
      </c>
      <c r="F8" s="50" t="n">
        <v>4</v>
      </c>
      <c r="G8" s="50" t="n">
        <v>5</v>
      </c>
      <c r="H8" s="50" t="n">
        <v>6</v>
      </c>
      <c r="I8" s="50" t="n">
        <v>7</v>
      </c>
      <c r="J8" s="50" t="n">
        <v>8</v>
      </c>
      <c r="K8" s="50" t="n">
        <v>9</v>
      </c>
      <c r="L8" s="50" t="n">
        <v>10</v>
      </c>
      <c r="M8" s="50" t="n">
        <v>11</v>
      </c>
      <c r="N8" s="50" t="n">
        <v>12</v>
      </c>
      <c r="O8" s="51" t="n">
        <v>15</v>
      </c>
      <c r="P8" s="50" t="n">
        <v>16</v>
      </c>
      <c r="Q8" s="50" t="n">
        <v>17</v>
      </c>
      <c r="R8" s="50" t="n">
        <v>18</v>
      </c>
      <c r="S8" s="50" t="n">
        <v>19</v>
      </c>
      <c r="T8" s="50" t="n">
        <v>20</v>
      </c>
      <c r="U8" s="50" t="n">
        <v>21</v>
      </c>
      <c r="V8" s="50" t="n">
        <v>22</v>
      </c>
      <c r="W8" s="50" t="n">
        <v>23</v>
      </c>
      <c r="X8" s="50" t="n">
        <v>24</v>
      </c>
      <c r="Y8" s="50" t="n">
        <v>25</v>
      </c>
      <c r="Z8" s="50" t="n">
        <v>26</v>
      </c>
    </row>
    <row r="9" ht="15" customFormat="1" customHeight="1" s="34">
      <c r="A9" s="52" t="inlineStr">
        <is>
          <t>一、上年年末余额</t>
        </is>
      </c>
      <c r="B9" s="53" t="n">
        <v>1</v>
      </c>
      <c r="C9" s="203" t="n"/>
      <c r="D9" s="203" t="n"/>
      <c r="E9" s="203" t="n"/>
      <c r="F9" s="203" t="n"/>
      <c r="G9" s="203" t="n"/>
      <c r="H9" s="203" t="n"/>
      <c r="I9" s="203" t="n"/>
      <c r="J9" s="203" t="n"/>
      <c r="K9" s="203" t="n"/>
      <c r="L9" s="203" t="n"/>
      <c r="M9" s="203" t="n"/>
      <c r="N9" s="203">
        <f>SUM(C9:G9)+SUM(I9:M9)-H9</f>
        <v/>
      </c>
      <c r="O9" s="204" t="n"/>
      <c r="P9" s="203" t="n"/>
      <c r="Q9" s="203" t="n"/>
      <c r="R9" s="203" t="n"/>
      <c r="S9" s="203" t="n"/>
      <c r="T9" s="203" t="n"/>
      <c r="U9" s="203" t="n"/>
      <c r="V9" s="203" t="n"/>
      <c r="W9" s="203" t="n"/>
      <c r="X9" s="203" t="n"/>
      <c r="Y9" s="203" t="n"/>
      <c r="Z9" s="203">
        <f>SUM(O9:S9)+SUM(U9:Y9)-T9</f>
        <v/>
      </c>
    </row>
    <row r="10" ht="15" customFormat="1" customHeight="1" s="30">
      <c r="A10" s="56" t="inlineStr">
        <is>
          <t xml:space="preserve">    加：会计政策变更</t>
        </is>
      </c>
      <c r="B10" s="57" t="n">
        <v>2</v>
      </c>
      <c r="C10" s="205" t="n"/>
      <c r="D10" s="205" t="n"/>
      <c r="E10" s="205" t="n"/>
      <c r="F10" s="205" t="n"/>
      <c r="G10" s="205" t="n"/>
      <c r="H10" s="205" t="n"/>
      <c r="I10" s="205" t="n"/>
      <c r="J10" s="205" t="n"/>
      <c r="K10" s="205" t="n"/>
      <c r="L10" s="205" t="n"/>
      <c r="M10" s="205" t="n"/>
      <c r="N10" s="205">
        <f>SUM(C10:G10)+SUM(I10:M10)-H10</f>
        <v/>
      </c>
      <c r="O10" s="206" t="n"/>
      <c r="P10" s="205" t="n"/>
      <c r="Q10" s="205" t="n"/>
      <c r="R10" s="205" t="n"/>
      <c r="S10" s="205" t="n"/>
      <c r="T10" s="205" t="n"/>
      <c r="U10" s="205" t="n"/>
      <c r="V10" s="205" t="n"/>
      <c r="W10" s="205" t="n"/>
      <c r="X10" s="205" t="n"/>
      <c r="Y10" s="205" t="n"/>
      <c r="Z10" s="205">
        <f>SUM(O10:S10)+SUM(U10:Y10)-T10</f>
        <v/>
      </c>
    </row>
    <row r="11" ht="15" customFormat="1" customHeight="1" s="30">
      <c r="A11" s="56" t="inlineStr">
        <is>
          <t xml:space="preserve">        前期差错更正</t>
        </is>
      </c>
      <c r="B11" s="57" t="n">
        <v>3</v>
      </c>
      <c r="C11" s="205" t="n"/>
      <c r="D11" s="205" t="n"/>
      <c r="E11" s="205" t="n"/>
      <c r="F11" s="205" t="n"/>
      <c r="G11" s="205" t="n"/>
      <c r="H11" s="205" t="n"/>
      <c r="I11" s="205" t="n"/>
      <c r="J11" s="205" t="n"/>
      <c r="K11" s="205" t="n"/>
      <c r="L11" s="205" t="n"/>
      <c r="M11" s="205" t="n"/>
      <c r="N11" s="205">
        <f>SUM(C11:G11)+SUM(I11:M11)-H11</f>
        <v/>
      </c>
      <c r="O11" s="206" t="n"/>
      <c r="P11" s="205" t="n"/>
      <c r="Q11" s="205" t="n"/>
      <c r="R11" s="205" t="n"/>
      <c r="S11" s="205" t="n"/>
      <c r="T11" s="205" t="n"/>
      <c r="U11" s="205" t="n"/>
      <c r="V11" s="205" t="n"/>
      <c r="W11" s="205" t="n"/>
      <c r="X11" s="205" t="n"/>
      <c r="Y11" s="205" t="n"/>
      <c r="Z11" s="205">
        <f>SUM(O11:S11)+SUM(U11:Y11)-T11</f>
        <v/>
      </c>
    </row>
    <row r="12" ht="15" customFormat="1" customHeight="1" s="30">
      <c r="A12" s="56" t="inlineStr">
        <is>
          <t xml:space="preserve">        其他</t>
        </is>
      </c>
      <c r="B12" s="57" t="n">
        <v>4</v>
      </c>
      <c r="C12" s="205" t="n"/>
      <c r="D12" s="205" t="n"/>
      <c r="E12" s="205" t="n"/>
      <c r="F12" s="205" t="n"/>
      <c r="G12" s="205" t="n"/>
      <c r="H12" s="205" t="n"/>
      <c r="I12" s="205" t="n"/>
      <c r="J12" s="205" t="n"/>
      <c r="K12" s="205" t="n"/>
      <c r="L12" s="205" t="n"/>
      <c r="M12" s="205" t="n"/>
      <c r="N12" s="205">
        <f>SUM(C12:G12)+SUM(I12:M12)-H12</f>
        <v/>
      </c>
      <c r="O12" s="206" t="n"/>
      <c r="P12" s="205" t="n"/>
      <c r="Q12" s="205" t="n"/>
      <c r="R12" s="205" t="n"/>
      <c r="S12" s="205" t="n"/>
      <c r="T12" s="205" t="n"/>
      <c r="U12" s="205" t="n"/>
      <c r="V12" s="205" t="n"/>
      <c r="W12" s="205" t="n"/>
      <c r="X12" s="205" t="n"/>
      <c r="Y12" s="205" t="n"/>
      <c r="Z12" s="205">
        <f>SUM(O12:S12)+SUM(U12:Y12)-T12</f>
        <v/>
      </c>
    </row>
    <row r="13" ht="15" customFormat="1" customHeight="1" s="34">
      <c r="A13" s="52" t="inlineStr">
        <is>
          <t>二、本年年初余额</t>
        </is>
      </c>
      <c r="B13" s="57" t="n">
        <v>5</v>
      </c>
      <c r="C13" s="203">
        <f>SUM(C9:C12)</f>
        <v/>
      </c>
      <c r="D13" s="203">
        <f>SUM(D9:D12)</f>
        <v/>
      </c>
      <c r="E13" s="203">
        <f>SUM(E9:E12)</f>
        <v/>
      </c>
      <c r="F13" s="203">
        <f>SUM(F9:F12)</f>
        <v/>
      </c>
      <c r="G13" s="203">
        <f>SUM(G9:G12)</f>
        <v/>
      </c>
      <c r="H13" s="203">
        <f>SUM(H9:H12)</f>
        <v/>
      </c>
      <c r="I13" s="203">
        <f>SUM(I9:I12)</f>
        <v/>
      </c>
      <c r="J13" s="203">
        <f>SUM(J9:J12)</f>
        <v/>
      </c>
      <c r="K13" s="203">
        <f>SUM(K9:K12)</f>
        <v/>
      </c>
      <c r="L13" s="203">
        <f>SUM(L9:L12)</f>
        <v/>
      </c>
      <c r="M13" s="203">
        <f>SUM(M9:M12)</f>
        <v/>
      </c>
      <c r="N13" s="203">
        <f>SUM(C13:G13)+SUM(I13:M13)-H13</f>
        <v/>
      </c>
      <c r="O13" s="204">
        <f>SUM(O9:O12)</f>
        <v/>
      </c>
      <c r="P13" s="203">
        <f>SUM(P9:P12)</f>
        <v/>
      </c>
      <c r="Q13" s="203">
        <f>SUM(Q9:Q12)</f>
        <v/>
      </c>
      <c r="R13" s="203">
        <f>SUM(R9:R12)</f>
        <v/>
      </c>
      <c r="S13" s="203">
        <f>SUM(S9:S12)</f>
        <v/>
      </c>
      <c r="T13" s="203">
        <f>SUM(T9:T12)</f>
        <v/>
      </c>
      <c r="U13" s="203">
        <f>SUM(U9:U12)</f>
        <v/>
      </c>
      <c r="V13" s="203">
        <f>SUM(V9:V12)</f>
        <v/>
      </c>
      <c r="W13" s="203">
        <f>SUM(W9:W12)</f>
        <v/>
      </c>
      <c r="X13" s="203">
        <f>SUM(X9:X12)</f>
        <v/>
      </c>
      <c r="Y13" s="203">
        <f>SUM(Y9:Y12)</f>
        <v/>
      </c>
      <c r="Z13" s="203">
        <f>SUM(O13:S13)+SUM(U13:Y13)-T13</f>
        <v/>
      </c>
    </row>
    <row r="14" ht="15" customFormat="1" customHeight="1" s="34">
      <c r="A14" s="52" t="inlineStr">
        <is>
          <t>三、本年增减变动金额（减少以“－”号填列）</t>
        </is>
      </c>
      <c r="B14" s="57" t="n">
        <v>6</v>
      </c>
      <c r="C14" s="203">
        <f>C15+C16+C21+C24+C34</f>
        <v/>
      </c>
      <c r="D14" s="203">
        <f>D15+D16+D21+D24+D34</f>
        <v/>
      </c>
      <c r="E14" s="203">
        <f>E15+E16+E21+E24+E34</f>
        <v/>
      </c>
      <c r="F14" s="203">
        <f>F15+F16+F21+F24+F34</f>
        <v/>
      </c>
      <c r="G14" s="203">
        <f>G15+G16+G21+G24+G34</f>
        <v/>
      </c>
      <c r="H14" s="203">
        <f>H15+H16+H21+H24+H34</f>
        <v/>
      </c>
      <c r="I14" s="203">
        <f>I15+I16+I21+I24+I34</f>
        <v/>
      </c>
      <c r="J14" s="203">
        <f>J15+J16+J21+J24+J34</f>
        <v/>
      </c>
      <c r="K14" s="203">
        <f>K15+K16+K21+K24+K34</f>
        <v/>
      </c>
      <c r="L14" s="203">
        <f>L15+L16+L21+L24+L34</f>
        <v/>
      </c>
      <c r="M14" s="203">
        <f>M15+M16+M21+M24+M34</f>
        <v/>
      </c>
      <c r="N14" s="203">
        <f>SUM(C14:G14)+SUM(I14:M14)-H14</f>
        <v/>
      </c>
      <c r="O14" s="204">
        <f>O15+O16+O21+O24+O34</f>
        <v/>
      </c>
      <c r="P14" s="203">
        <f>P15+P16+P21+P24+P34</f>
        <v/>
      </c>
      <c r="Q14" s="203">
        <f>Q15+Q16+Q21+Q24+Q34</f>
        <v/>
      </c>
      <c r="R14" s="203">
        <f>R15+R16+R21+R24+R34</f>
        <v/>
      </c>
      <c r="S14" s="203">
        <f>S15+S16+S21+S24+S34</f>
        <v/>
      </c>
      <c r="T14" s="203">
        <f>T15+T16+T21+T24+T34</f>
        <v/>
      </c>
      <c r="U14" s="203">
        <f>U15+U16+U21+U24+U34</f>
        <v/>
      </c>
      <c r="V14" s="203">
        <f>V15+V16+V21+V24+V34</f>
        <v/>
      </c>
      <c r="W14" s="203">
        <f>W15+W16+W21+W24+W34</f>
        <v/>
      </c>
      <c r="X14" s="203">
        <f>X15+X16+X21+X24+X34</f>
        <v/>
      </c>
      <c r="Y14" s="203">
        <f>Y15+Y16+Y21+Y24+Y34</f>
        <v/>
      </c>
      <c r="Z14" s="203">
        <f>SUM(O14:S14)+SUM(U14:Y14)-T14</f>
        <v/>
      </c>
    </row>
    <row r="15" ht="15" customFormat="1" customHeight="1" s="30">
      <c r="A15" s="56" t="inlineStr">
        <is>
          <t xml:space="preserve">  （一）综合收益总额</t>
        </is>
      </c>
      <c r="B15" s="57" t="n">
        <v>7</v>
      </c>
      <c r="C15" s="205" t="n"/>
      <c r="D15" s="205" t="n"/>
      <c r="E15" s="205" t="n"/>
      <c r="F15" s="205" t="n"/>
      <c r="G15" s="205" t="n"/>
      <c r="H15" s="205" t="n"/>
      <c r="I15" s="205" t="n"/>
      <c r="J15" s="205" t="n"/>
      <c r="K15" s="205" t="n"/>
      <c r="L15" s="205" t="n"/>
      <c r="M15" s="205" t="n"/>
      <c r="N15" s="205">
        <f>SUM(C15:G15)+SUM(I15:M15)-H15</f>
        <v/>
      </c>
      <c r="O15" s="206" t="n"/>
      <c r="P15" s="205" t="n"/>
      <c r="Q15" s="205" t="n"/>
      <c r="R15" s="205" t="n"/>
      <c r="S15" s="205" t="n"/>
      <c r="T15" s="205" t="n"/>
      <c r="U15" s="205" t="n"/>
      <c r="V15" s="205" t="n"/>
      <c r="W15" s="205" t="n"/>
      <c r="X15" s="205" t="n"/>
      <c r="Y15" s="205" t="n"/>
      <c r="Z15" s="205">
        <f>SUM(O15:S15)+SUM(U15:Y15)-T15</f>
        <v/>
      </c>
    </row>
    <row r="16" ht="15" customFormat="1" customHeight="1" s="30">
      <c r="A16" s="56" t="inlineStr">
        <is>
          <t xml:space="preserve">  （二）所有者投入和减少资本</t>
        </is>
      </c>
      <c r="B16" s="57" t="n">
        <v>8</v>
      </c>
      <c r="C16" s="205">
        <f>C17+C18+C19+C20</f>
        <v/>
      </c>
      <c r="D16" s="205">
        <f>D17+D18+D19+D20</f>
        <v/>
      </c>
      <c r="E16" s="205">
        <f>E17+E18+E19+E20</f>
        <v/>
      </c>
      <c r="F16" s="205">
        <f>F17+F18+F19+F20</f>
        <v/>
      </c>
      <c r="G16" s="205">
        <f>G17+G18+G19+G20</f>
        <v/>
      </c>
      <c r="H16" s="205">
        <f>H17+H18+H19+H20</f>
        <v/>
      </c>
      <c r="I16" s="205">
        <f>I17+I18+I19+I20</f>
        <v/>
      </c>
      <c r="J16" s="205">
        <f>J17+J18+J19+J20</f>
        <v/>
      </c>
      <c r="K16" s="205">
        <f>K17+K18+K19+K20</f>
        <v/>
      </c>
      <c r="L16" s="205">
        <f>L17+L18+L19+L20</f>
        <v/>
      </c>
      <c r="M16" s="205">
        <f>M17+M18+M19+M20</f>
        <v/>
      </c>
      <c r="N16" s="205">
        <f>SUM(C16:G16)+SUM(I16:M16)-H16</f>
        <v/>
      </c>
      <c r="O16" s="206">
        <f>O17+O18+O19+O20</f>
        <v/>
      </c>
      <c r="P16" s="205">
        <f>P17+P18+P19+P20</f>
        <v/>
      </c>
      <c r="Q16" s="205">
        <f>Q17+Q18+Q19+Q20</f>
        <v/>
      </c>
      <c r="R16" s="205">
        <f>R17+R18+R19+R20</f>
        <v/>
      </c>
      <c r="S16" s="205">
        <f>S17+S18+S19+S20</f>
        <v/>
      </c>
      <c r="T16" s="205">
        <f>T17+T18+T19+T20</f>
        <v/>
      </c>
      <c r="U16" s="205">
        <f>U17+U18+U19+U20</f>
        <v/>
      </c>
      <c r="V16" s="205">
        <f>V17+V18+V19+V20</f>
        <v/>
      </c>
      <c r="W16" s="205">
        <f>W17+W18+W19+W20</f>
        <v/>
      </c>
      <c r="X16" s="205">
        <f>X17+X18+X19+X20</f>
        <v/>
      </c>
      <c r="Y16" s="205">
        <f>Y17+Y18+Y19+Y20</f>
        <v/>
      </c>
      <c r="Z16" s="205">
        <f>SUM(O16:S16)+SUM(U16:Y16)-T16</f>
        <v/>
      </c>
    </row>
    <row r="17" ht="15" customFormat="1" customHeight="1" s="30">
      <c r="A17" s="60" t="inlineStr">
        <is>
          <t xml:space="preserve">             1.所有者投入的普通股</t>
        </is>
      </c>
      <c r="B17" s="57" t="n">
        <v>9</v>
      </c>
      <c r="C17" s="205" t="n"/>
      <c r="D17" s="205" t="n"/>
      <c r="E17" s="205" t="n"/>
      <c r="F17" s="205" t="n"/>
      <c r="G17" s="205" t="n"/>
      <c r="H17" s="205" t="n"/>
      <c r="I17" s="205" t="n"/>
      <c r="J17" s="205" t="n"/>
      <c r="K17" s="205" t="n"/>
      <c r="L17" s="205" t="n"/>
      <c r="M17" s="205" t="n"/>
      <c r="N17" s="205">
        <f>SUM(C17:G17)+SUM(I17:M17)-H17</f>
        <v/>
      </c>
      <c r="O17" s="206" t="n"/>
      <c r="P17" s="205" t="n"/>
      <c r="Q17" s="205" t="n"/>
      <c r="R17" s="205" t="n"/>
      <c r="S17" s="205" t="n"/>
      <c r="T17" s="205" t="n"/>
      <c r="U17" s="205" t="n"/>
      <c r="V17" s="205" t="n"/>
      <c r="W17" s="205" t="n"/>
      <c r="X17" s="205" t="n"/>
      <c r="Y17" s="205" t="n"/>
      <c r="Z17" s="205">
        <f>SUM(O17:S17)+SUM(U17:Y17)-T17</f>
        <v/>
      </c>
    </row>
    <row r="18" ht="15" customFormat="1" customHeight="1" s="30">
      <c r="A18" s="60" t="inlineStr">
        <is>
          <t xml:space="preserve">             2.其他权益工具持有者投入资本</t>
        </is>
      </c>
      <c r="B18" s="57" t="n">
        <v>10</v>
      </c>
      <c r="C18" s="205" t="n"/>
      <c r="D18" s="205" t="n"/>
      <c r="E18" s="205" t="n"/>
      <c r="F18" s="205" t="n"/>
      <c r="G18" s="205" t="n"/>
      <c r="H18" s="205" t="n"/>
      <c r="I18" s="205" t="n"/>
      <c r="J18" s="205" t="n"/>
      <c r="K18" s="205" t="n"/>
      <c r="L18" s="205" t="n"/>
      <c r="M18" s="205" t="n"/>
      <c r="N18" s="205">
        <f>SUM(C18:G18)+SUM(I18:M18)-H18</f>
        <v/>
      </c>
      <c r="O18" s="206" t="n"/>
      <c r="P18" s="205" t="n"/>
      <c r="Q18" s="205" t="n"/>
      <c r="R18" s="205" t="n"/>
      <c r="S18" s="205" t="n"/>
      <c r="T18" s="205" t="n"/>
      <c r="U18" s="205" t="n"/>
      <c r="V18" s="205" t="n"/>
      <c r="W18" s="205" t="n"/>
      <c r="X18" s="205" t="n"/>
      <c r="Y18" s="205" t="n"/>
      <c r="Z18" s="205">
        <f>SUM(O18:S18)+SUM(U18:Y18)-T18</f>
        <v/>
      </c>
    </row>
    <row r="19" ht="15" customFormat="1" customHeight="1" s="30">
      <c r="A19" s="60" t="inlineStr">
        <is>
          <t xml:space="preserve">             3.股份支付计入所有者权益的金额</t>
        </is>
      </c>
      <c r="B19" s="57" t="n">
        <v>11</v>
      </c>
      <c r="C19" s="205" t="n"/>
      <c r="D19" s="205" t="n"/>
      <c r="E19" s="205" t="n"/>
      <c r="F19" s="205" t="n"/>
      <c r="G19" s="205" t="n"/>
      <c r="H19" s="205" t="n"/>
      <c r="I19" s="205" t="n"/>
      <c r="J19" s="205" t="n"/>
      <c r="K19" s="205" t="n"/>
      <c r="L19" s="205" t="n"/>
      <c r="M19" s="205" t="n"/>
      <c r="N19" s="205">
        <f>SUM(C19:G19)+SUM(I19:M19)-H19</f>
        <v/>
      </c>
      <c r="O19" s="206" t="n"/>
      <c r="P19" s="205" t="n"/>
      <c r="Q19" s="205" t="n"/>
      <c r="R19" s="205" t="n"/>
      <c r="S19" s="205" t="n"/>
      <c r="T19" s="205" t="n"/>
      <c r="U19" s="205" t="n"/>
      <c r="V19" s="205" t="n"/>
      <c r="W19" s="205" t="n"/>
      <c r="X19" s="205" t="n"/>
      <c r="Y19" s="205" t="n"/>
      <c r="Z19" s="205">
        <f>SUM(O19:S19)+SUM(U19:Y19)-T19</f>
        <v/>
      </c>
    </row>
    <row r="20" ht="15" customFormat="1" customHeight="1" s="30">
      <c r="A20" s="60" t="inlineStr">
        <is>
          <t xml:space="preserve">             4.其他</t>
        </is>
      </c>
      <c r="B20" s="57" t="n">
        <v>12</v>
      </c>
      <c r="C20" s="207" t="n"/>
      <c r="D20" s="207" t="n"/>
      <c r="E20" s="207" t="n"/>
      <c r="F20" s="207" t="n"/>
      <c r="G20" s="207" t="n"/>
      <c r="H20" s="207" t="n"/>
      <c r="I20" s="207" t="n"/>
      <c r="J20" s="207" t="n"/>
      <c r="K20" s="207" t="n"/>
      <c r="L20" s="207" t="n"/>
      <c r="M20" s="207" t="n"/>
      <c r="N20" s="205">
        <f>SUM(C20:G20)+SUM(I20:M20)-H20</f>
        <v/>
      </c>
      <c r="O20" s="208" t="n"/>
      <c r="P20" s="207" t="n"/>
      <c r="Q20" s="207" t="n"/>
      <c r="R20" s="207" t="n"/>
      <c r="S20" s="207" t="n"/>
      <c r="T20" s="207" t="n"/>
      <c r="U20" s="207" t="n"/>
      <c r="V20" s="207" t="n"/>
      <c r="W20" s="207" t="n"/>
      <c r="X20" s="207" t="n"/>
      <c r="Y20" s="207" t="n"/>
      <c r="Z20" s="205">
        <f>SUM(O20:S20)+SUM(U20:Y20)-T20</f>
        <v/>
      </c>
    </row>
    <row r="21" ht="15" customFormat="1" customHeight="1" s="30">
      <c r="A21" s="56" t="inlineStr">
        <is>
          <t xml:space="preserve">  （三）专项储备提取和使用</t>
        </is>
      </c>
      <c r="B21" s="57" t="n">
        <v>13</v>
      </c>
      <c r="C21" s="205">
        <f>C22+C23</f>
        <v/>
      </c>
      <c r="D21" s="205">
        <f>D22+D23</f>
        <v/>
      </c>
      <c r="E21" s="205">
        <f>E22+E23</f>
        <v/>
      </c>
      <c r="F21" s="205">
        <f>F22+F23</f>
        <v/>
      </c>
      <c r="G21" s="205">
        <f>G22+G23</f>
        <v/>
      </c>
      <c r="H21" s="205">
        <f>H22+H23</f>
        <v/>
      </c>
      <c r="I21" s="205">
        <f>I22+I23</f>
        <v/>
      </c>
      <c r="J21" s="205">
        <f>J22+J23</f>
        <v/>
      </c>
      <c r="K21" s="205">
        <f>K22+K23</f>
        <v/>
      </c>
      <c r="L21" s="205">
        <f>L22+L23</f>
        <v/>
      </c>
      <c r="M21" s="205">
        <f>M22+M23</f>
        <v/>
      </c>
      <c r="N21" s="205">
        <f>SUM(C21:G21)+SUM(I21:M21)-H21</f>
        <v/>
      </c>
      <c r="O21" s="206">
        <f>O22+O23</f>
        <v/>
      </c>
      <c r="P21" s="205">
        <f>P22+P23</f>
        <v/>
      </c>
      <c r="Q21" s="205">
        <f>Q22+Q23</f>
        <v/>
      </c>
      <c r="R21" s="205">
        <f>R22+R23</f>
        <v/>
      </c>
      <c r="S21" s="205">
        <f>S22+S23</f>
        <v/>
      </c>
      <c r="T21" s="205">
        <f>T22+T23</f>
        <v/>
      </c>
      <c r="U21" s="205">
        <f>U22+U23</f>
        <v/>
      </c>
      <c r="V21" s="205">
        <f>V22+V23</f>
        <v/>
      </c>
      <c r="W21" s="205">
        <f>W22+W23</f>
        <v/>
      </c>
      <c r="X21" s="205">
        <f>X22+X23</f>
        <v/>
      </c>
      <c r="Y21" s="205">
        <f>Y22+Y23</f>
        <v/>
      </c>
      <c r="Z21" s="205">
        <f>SUM(O21:S21)+SUM(U21:Y21)-T21</f>
        <v/>
      </c>
    </row>
    <row r="22" ht="15" customFormat="1" customHeight="1" s="30">
      <c r="A22" s="60" t="inlineStr">
        <is>
          <t xml:space="preserve">            1.提取专项储备</t>
        </is>
      </c>
      <c r="B22" s="57" t="n">
        <v>14</v>
      </c>
      <c r="C22" s="205" t="n"/>
      <c r="D22" s="205" t="n"/>
      <c r="E22" s="205" t="n"/>
      <c r="F22" s="205" t="n"/>
      <c r="G22" s="205" t="n"/>
      <c r="H22" s="205" t="n"/>
      <c r="I22" s="205" t="n"/>
      <c r="J22" s="205" t="n"/>
      <c r="K22" s="205" t="n"/>
      <c r="L22" s="205" t="n"/>
      <c r="M22" s="205" t="n"/>
      <c r="N22" s="205">
        <f>SUM(C22:G22)+SUM(I22:M22)-H22</f>
        <v/>
      </c>
      <c r="O22" s="206" t="n"/>
      <c r="P22" s="205" t="n"/>
      <c r="Q22" s="205" t="n"/>
      <c r="R22" s="205" t="n"/>
      <c r="S22" s="205" t="n"/>
      <c r="T22" s="205" t="n"/>
      <c r="U22" s="205" t="n"/>
      <c r="V22" s="205" t="n"/>
      <c r="W22" s="205" t="n"/>
      <c r="X22" s="205" t="n"/>
      <c r="Y22" s="205" t="n"/>
      <c r="Z22" s="205">
        <f>SUM(O22:S22)+SUM(U22:Y22)-T22</f>
        <v/>
      </c>
    </row>
    <row r="23" ht="15" customFormat="1" customHeight="1" s="30">
      <c r="A23" s="60" t="inlineStr">
        <is>
          <t xml:space="preserve">            2.使用专项储备</t>
        </is>
      </c>
      <c r="B23" s="57" t="n">
        <v>15</v>
      </c>
      <c r="C23" s="205" t="n"/>
      <c r="D23" s="205" t="n"/>
      <c r="E23" s="205" t="n"/>
      <c r="F23" s="205" t="n"/>
      <c r="G23" s="205" t="n"/>
      <c r="H23" s="205" t="n"/>
      <c r="I23" s="205" t="n"/>
      <c r="J23" s="205" t="n"/>
      <c r="K23" s="205" t="n"/>
      <c r="L23" s="205" t="n"/>
      <c r="M23" s="205" t="n"/>
      <c r="N23" s="205">
        <f>SUM(C23:G23)+SUM(I23:M23)-H23</f>
        <v/>
      </c>
      <c r="O23" s="206" t="n"/>
      <c r="P23" s="205" t="n"/>
      <c r="Q23" s="205" t="n"/>
      <c r="R23" s="205" t="n"/>
      <c r="S23" s="205" t="n"/>
      <c r="T23" s="205" t="n"/>
      <c r="U23" s="205" t="n"/>
      <c r="V23" s="205" t="n"/>
      <c r="W23" s="205" t="n"/>
      <c r="X23" s="205" t="n"/>
      <c r="Y23" s="205" t="n"/>
      <c r="Z23" s="205">
        <f>SUM(O23:S23)+SUM(U23:Y23)-T23</f>
        <v/>
      </c>
    </row>
    <row r="24" ht="15" customFormat="1" customHeight="1" s="30">
      <c r="A24" s="56" t="inlineStr">
        <is>
          <t xml:space="preserve">  （四）利润分配</t>
        </is>
      </c>
      <c r="B24" s="57" t="n">
        <v>16</v>
      </c>
      <c r="C24" s="205">
        <f>C25+C31+C32+C33</f>
        <v/>
      </c>
      <c r="D24" s="205">
        <f>D25+D31+D32+D33</f>
        <v/>
      </c>
      <c r="E24" s="205">
        <f>E25+E31+E32+E33</f>
        <v/>
      </c>
      <c r="F24" s="205">
        <f>F25+F31+F32+F33</f>
        <v/>
      </c>
      <c r="G24" s="205">
        <f>G25+G31+G32+G33</f>
        <v/>
      </c>
      <c r="H24" s="205">
        <f>H25+H31+H32+H33</f>
        <v/>
      </c>
      <c r="I24" s="205">
        <f>I25+I31+I32+I33</f>
        <v/>
      </c>
      <c r="J24" s="205">
        <f>J25+J31+J32+J33</f>
        <v/>
      </c>
      <c r="K24" s="205">
        <f>K25+K31+K32+K33</f>
        <v/>
      </c>
      <c r="L24" s="205">
        <f>L25+L31+L32+L33</f>
        <v/>
      </c>
      <c r="M24" s="205">
        <f>M25+M31+M32+M33</f>
        <v/>
      </c>
      <c r="N24" s="205">
        <f>SUM(C24:G24)+SUM(I24:M24)-H24</f>
        <v/>
      </c>
      <c r="O24" s="206">
        <f>O25+O31+O32+O33</f>
        <v/>
      </c>
      <c r="P24" s="205">
        <f>P25+P31+P32+P33</f>
        <v/>
      </c>
      <c r="Q24" s="205">
        <f>Q25+Q31+Q32+Q33</f>
        <v/>
      </c>
      <c r="R24" s="205">
        <f>R25+R31+R32+R33</f>
        <v/>
      </c>
      <c r="S24" s="205">
        <f>S25+S31+S32+S33</f>
        <v/>
      </c>
      <c r="T24" s="205">
        <f>T25+T31+T32+T33</f>
        <v/>
      </c>
      <c r="U24" s="205">
        <f>U25+U31+U32+U33</f>
        <v/>
      </c>
      <c r="V24" s="205">
        <f>V25+V31+V32+V33</f>
        <v/>
      </c>
      <c r="W24" s="205">
        <f>W25+W31+W32+W33</f>
        <v/>
      </c>
      <c r="X24" s="205">
        <f>X25+X31+X32+X33</f>
        <v/>
      </c>
      <c r="Y24" s="205">
        <f>Y25+Y31+Y32+Y33</f>
        <v/>
      </c>
      <c r="Z24" s="205">
        <f>SUM(O24:S24)+SUM(U24:Y24)-T24</f>
        <v/>
      </c>
    </row>
    <row r="25" ht="15" customFormat="1" customHeight="1" s="30">
      <c r="A25" s="60" t="inlineStr">
        <is>
          <t xml:space="preserve">           1.提取盈余公积</t>
        </is>
      </c>
      <c r="B25" s="57" t="n">
        <v>17</v>
      </c>
      <c r="C25" s="205" t="n"/>
      <c r="D25" s="205" t="n"/>
      <c r="E25" s="205" t="n"/>
      <c r="F25" s="205" t="n"/>
      <c r="G25" s="205" t="n"/>
      <c r="H25" s="205" t="n"/>
      <c r="I25" s="205" t="n"/>
      <c r="J25" s="205" t="n"/>
      <c r="K25" s="205" t="n"/>
      <c r="L25" s="205" t="n"/>
      <c r="M25" s="205" t="n"/>
      <c r="N25" s="205">
        <f>SUM(C25:G25)+SUM(I25:M25)-H25</f>
        <v/>
      </c>
      <c r="O25" s="206" t="n"/>
      <c r="P25" s="205" t="n"/>
      <c r="Q25" s="205" t="n"/>
      <c r="R25" s="205" t="n"/>
      <c r="S25" s="205" t="n"/>
      <c r="T25" s="205" t="n"/>
      <c r="U25" s="205" t="n"/>
      <c r="V25" s="205" t="n"/>
      <c r="W25" s="205" t="n"/>
      <c r="X25" s="205" t="n"/>
      <c r="Y25" s="205" t="n"/>
      <c r="Z25" s="205">
        <f>SUM(O25:S25)+SUM(U25:Y25)-T25</f>
        <v/>
      </c>
    </row>
    <row r="26" ht="15" customFormat="1" customHeight="1" s="30">
      <c r="A26" s="56" t="inlineStr">
        <is>
          <t xml:space="preserve">                 其中：法定公积金</t>
        </is>
      </c>
      <c r="B26" s="57" t="n">
        <v>18</v>
      </c>
      <c r="C26" s="205" t="n"/>
      <c r="D26" s="205" t="n"/>
      <c r="E26" s="205" t="n"/>
      <c r="F26" s="205" t="n"/>
      <c r="G26" s="205" t="n"/>
      <c r="H26" s="205" t="n"/>
      <c r="I26" s="205" t="n"/>
      <c r="J26" s="205" t="n"/>
      <c r="K26" s="205" t="n"/>
      <c r="L26" s="205" t="n"/>
      <c r="M26" s="205" t="n"/>
      <c r="N26" s="205">
        <f>SUM(C26:G26)+SUM(I26:M26)-H26</f>
        <v/>
      </c>
      <c r="O26" s="206" t="n"/>
      <c r="P26" s="205" t="n"/>
      <c r="Q26" s="205" t="n"/>
      <c r="R26" s="205" t="n"/>
      <c r="S26" s="205" t="n"/>
      <c r="T26" s="205" t="n"/>
      <c r="U26" s="205" t="n"/>
      <c r="V26" s="205" t="n"/>
      <c r="W26" s="205" t="n"/>
      <c r="X26" s="205" t="n"/>
      <c r="Y26" s="205" t="n"/>
      <c r="Z26" s="205">
        <f>SUM(O26:S26)+SUM(U26:Y26)-T26</f>
        <v/>
      </c>
    </row>
    <row r="27" ht="15" customFormat="1" customHeight="1" s="30">
      <c r="A27" s="56" t="inlineStr">
        <is>
          <t xml:space="preserve">                               任意公积金</t>
        </is>
      </c>
      <c r="B27" s="57" t="n">
        <v>19</v>
      </c>
      <c r="C27" s="205" t="n"/>
      <c r="D27" s="205" t="n"/>
      <c r="E27" s="205" t="n"/>
      <c r="F27" s="205" t="n"/>
      <c r="G27" s="205" t="n"/>
      <c r="H27" s="205" t="n"/>
      <c r="I27" s="205" t="n"/>
      <c r="J27" s="205" t="n"/>
      <c r="K27" s="205" t="n"/>
      <c r="L27" s="205" t="n"/>
      <c r="M27" s="205" t="n"/>
      <c r="N27" s="205">
        <f>SUM(C27:G27)+SUM(I27:M27)-H27</f>
        <v/>
      </c>
      <c r="O27" s="206" t="n"/>
      <c r="P27" s="205" t="n"/>
      <c r="Q27" s="205" t="n"/>
      <c r="R27" s="205" t="n"/>
      <c r="S27" s="205" t="n"/>
      <c r="T27" s="205" t="n"/>
      <c r="U27" s="205" t="n"/>
      <c r="V27" s="205" t="n"/>
      <c r="W27" s="205" t="n"/>
      <c r="X27" s="205" t="n"/>
      <c r="Y27" s="205" t="n"/>
      <c r="Z27" s="205">
        <f>SUM(O27:S27)+SUM(U27:Y27)-T27</f>
        <v/>
      </c>
    </row>
    <row r="28" ht="15" customFormat="1" customHeight="1" s="30">
      <c r="A28" s="56" t="inlineStr">
        <is>
          <t xml:space="preserve">                              #储备基金</t>
        </is>
      </c>
      <c r="B28" s="57" t="n">
        <v>20</v>
      </c>
      <c r="C28" s="205" t="n"/>
      <c r="D28" s="205" t="n"/>
      <c r="E28" s="205" t="n"/>
      <c r="F28" s="205" t="n"/>
      <c r="G28" s="205" t="n"/>
      <c r="H28" s="205" t="n"/>
      <c r="I28" s="205" t="n"/>
      <c r="J28" s="205" t="n"/>
      <c r="K28" s="205" t="n"/>
      <c r="L28" s="205" t="n"/>
      <c r="M28" s="205" t="n"/>
      <c r="N28" s="205">
        <f>SUM(C28:G28)+SUM(I28:M28)-H28</f>
        <v/>
      </c>
      <c r="O28" s="206" t="n"/>
      <c r="P28" s="205" t="n"/>
      <c r="Q28" s="205" t="n"/>
      <c r="R28" s="205" t="n"/>
      <c r="S28" s="205" t="n"/>
      <c r="T28" s="205" t="n"/>
      <c r="U28" s="205" t="n"/>
      <c r="V28" s="205" t="n"/>
      <c r="W28" s="205" t="n"/>
      <c r="X28" s="205" t="n"/>
      <c r="Y28" s="205" t="n"/>
      <c r="Z28" s="205">
        <f>SUM(O28:S28)+SUM(U28:Y28)-T28</f>
        <v/>
      </c>
    </row>
    <row r="29" ht="15" customFormat="1" customHeight="1" s="30">
      <c r="A29" s="56" t="inlineStr">
        <is>
          <t xml:space="preserve">　　　  　            #企业发展基金</t>
        </is>
      </c>
      <c r="B29" s="57" t="n">
        <v>21</v>
      </c>
      <c r="C29" s="205" t="n"/>
      <c r="D29" s="205" t="n"/>
      <c r="E29" s="205" t="n"/>
      <c r="F29" s="205" t="n"/>
      <c r="G29" s="205" t="n"/>
      <c r="H29" s="205" t="n"/>
      <c r="I29" s="205" t="n"/>
      <c r="J29" s="205" t="n"/>
      <c r="K29" s="205" t="n"/>
      <c r="L29" s="205" t="n"/>
      <c r="M29" s="205" t="n"/>
      <c r="N29" s="205">
        <f>SUM(C29:G29)+SUM(I29:M29)-H29</f>
        <v/>
      </c>
      <c r="O29" s="206" t="n"/>
      <c r="P29" s="205" t="n"/>
      <c r="Q29" s="205" t="n"/>
      <c r="R29" s="205" t="n"/>
      <c r="S29" s="205" t="n"/>
      <c r="T29" s="205" t="n"/>
      <c r="U29" s="205" t="n"/>
      <c r="V29" s="205" t="n"/>
      <c r="W29" s="205" t="n"/>
      <c r="X29" s="205" t="n"/>
      <c r="Y29" s="205" t="n"/>
      <c r="Z29" s="205">
        <f>SUM(O29:S29)+SUM(U29:Y29)-T29</f>
        <v/>
      </c>
    </row>
    <row r="30" ht="15" customFormat="1" customHeight="1" s="30">
      <c r="A30" s="56" t="inlineStr">
        <is>
          <t xml:space="preserve">　　　    　          #利润归还投资</t>
        </is>
      </c>
      <c r="B30" s="57" t="n">
        <v>22</v>
      </c>
      <c r="C30" s="205" t="n"/>
      <c r="D30" s="205" t="n"/>
      <c r="E30" s="205" t="n"/>
      <c r="F30" s="205" t="n"/>
      <c r="G30" s="205" t="n"/>
      <c r="H30" s="205" t="n"/>
      <c r="I30" s="205" t="n"/>
      <c r="J30" s="205" t="n"/>
      <c r="K30" s="205" t="n"/>
      <c r="L30" s="205" t="n"/>
      <c r="M30" s="205" t="n"/>
      <c r="N30" s="205">
        <f>SUM(C30:G30)+SUM(I30:M30)-H30</f>
        <v/>
      </c>
      <c r="O30" s="206" t="n"/>
      <c r="P30" s="205" t="n"/>
      <c r="Q30" s="205" t="n"/>
      <c r="R30" s="205" t="n"/>
      <c r="S30" s="205" t="n"/>
      <c r="T30" s="205" t="n"/>
      <c r="U30" s="205" t="n"/>
      <c r="V30" s="205" t="n"/>
      <c r="W30" s="205" t="n"/>
      <c r="X30" s="205" t="n"/>
      <c r="Y30" s="205" t="n"/>
      <c r="Z30" s="205">
        <f>SUM(O30:S30)+SUM(U30:Y30)-T30</f>
        <v/>
      </c>
    </row>
    <row r="31" ht="15" customFormat="1" customHeight="1" s="30">
      <c r="A31" s="56" t="inlineStr">
        <is>
          <t xml:space="preserve">       △ 2.提取一般风险准备</t>
        </is>
      </c>
      <c r="B31" s="57" t="n">
        <v>23</v>
      </c>
      <c r="C31" s="205" t="n"/>
      <c r="D31" s="205" t="n"/>
      <c r="E31" s="205" t="n"/>
      <c r="F31" s="205" t="n"/>
      <c r="G31" s="205" t="n"/>
      <c r="H31" s="205" t="n"/>
      <c r="I31" s="205" t="n"/>
      <c r="J31" s="205" t="n"/>
      <c r="K31" s="205" t="n"/>
      <c r="L31" s="205" t="n"/>
      <c r="M31" s="205" t="n"/>
      <c r="N31" s="205">
        <f>SUM(C31:G31)+SUM(I31:M31)-H31</f>
        <v/>
      </c>
      <c r="O31" s="206" t="n"/>
      <c r="P31" s="205" t="n"/>
      <c r="Q31" s="205" t="n"/>
      <c r="R31" s="205" t="n"/>
      <c r="S31" s="205" t="n"/>
      <c r="T31" s="205" t="n"/>
      <c r="U31" s="205" t="n"/>
      <c r="V31" s="205" t="n"/>
      <c r="W31" s="205" t="n"/>
      <c r="X31" s="205" t="n"/>
      <c r="Y31" s="205" t="n"/>
      <c r="Z31" s="205">
        <f>SUM(O31:S31)+SUM(U31:Y31)-T31</f>
        <v/>
      </c>
    </row>
    <row r="32" ht="15" customFormat="1" customHeight="1" s="30">
      <c r="A32" s="60" t="inlineStr">
        <is>
          <t xml:space="preserve">            3.对所有者（或股东）的分配</t>
        </is>
      </c>
      <c r="B32" s="57" t="n">
        <v>24</v>
      </c>
      <c r="C32" s="205" t="n"/>
      <c r="D32" s="205" t="n"/>
      <c r="E32" s="205" t="n"/>
      <c r="F32" s="205" t="n"/>
      <c r="G32" s="205" t="n"/>
      <c r="H32" s="205" t="n"/>
      <c r="I32" s="205" t="n"/>
      <c r="J32" s="205" t="n"/>
      <c r="K32" s="205" t="n"/>
      <c r="L32" s="205" t="n"/>
      <c r="M32" s="205" t="n"/>
      <c r="N32" s="205">
        <f>SUM(C32:G32)+SUM(I32:M32)-H32</f>
        <v/>
      </c>
      <c r="O32" s="206" t="n"/>
      <c r="P32" s="205" t="n"/>
      <c r="Q32" s="205" t="n"/>
      <c r="R32" s="205" t="n"/>
      <c r="S32" s="205" t="n"/>
      <c r="T32" s="205" t="n"/>
      <c r="U32" s="205" t="n"/>
      <c r="V32" s="205" t="n"/>
      <c r="W32" s="205" t="n"/>
      <c r="X32" s="205" t="n"/>
      <c r="Y32" s="205" t="n"/>
      <c r="Z32" s="205">
        <f>SUM(O32:S32)+SUM(U32:Y32)-T32</f>
        <v/>
      </c>
    </row>
    <row r="33" ht="15" customFormat="1" customHeight="1" s="30">
      <c r="A33" s="60" t="inlineStr">
        <is>
          <t xml:space="preserve">            4.其他</t>
        </is>
      </c>
      <c r="B33" s="57" t="n">
        <v>25</v>
      </c>
      <c r="C33" s="205" t="n"/>
      <c r="D33" s="205" t="n"/>
      <c r="E33" s="205" t="n"/>
      <c r="F33" s="205" t="n"/>
      <c r="G33" s="205" t="n"/>
      <c r="H33" s="205" t="n"/>
      <c r="I33" s="205" t="n"/>
      <c r="J33" s="205" t="n"/>
      <c r="K33" s="205" t="n"/>
      <c r="L33" s="205" t="n"/>
      <c r="M33" s="205" t="n"/>
      <c r="N33" s="205">
        <f>SUM(C33:G33)+SUM(I33:M33)-H33</f>
        <v/>
      </c>
      <c r="O33" s="206" t="n"/>
      <c r="P33" s="205" t="n"/>
      <c r="Q33" s="205" t="n"/>
      <c r="R33" s="205" t="n"/>
      <c r="S33" s="205" t="n"/>
      <c r="T33" s="205" t="n"/>
      <c r="U33" s="205" t="n"/>
      <c r="V33" s="205" t="n"/>
      <c r="W33" s="205" t="n"/>
      <c r="X33" s="205" t="n"/>
      <c r="Y33" s="205" t="n"/>
      <c r="Z33" s="205">
        <f>SUM(O33:S33)+SUM(U33:Y33)-T33</f>
        <v/>
      </c>
    </row>
    <row r="34" ht="15" customFormat="1" customHeight="1" s="30">
      <c r="A34" s="56" t="inlineStr">
        <is>
          <t xml:space="preserve">  （五）所有者权益内部结转</t>
        </is>
      </c>
      <c r="B34" s="57" t="n">
        <v>26</v>
      </c>
      <c r="C34" s="205">
        <f>C35+C36+C37+C39+C40+C38</f>
        <v/>
      </c>
      <c r="D34" s="205">
        <f>D35+D36+D37+D39+D40+D38</f>
        <v/>
      </c>
      <c r="E34" s="205">
        <f>E35+E36+E37+E39+E40+E38</f>
        <v/>
      </c>
      <c r="F34" s="205">
        <f>F35+F36+F37+F39+F40+F38</f>
        <v/>
      </c>
      <c r="G34" s="205">
        <f>G35+G36+G37+G39+G40+G38</f>
        <v/>
      </c>
      <c r="H34" s="205">
        <f>H35+H36+H37+H39+H40+H38</f>
        <v/>
      </c>
      <c r="I34" s="205">
        <f>I35+I36+I37+I39+I40+I38</f>
        <v/>
      </c>
      <c r="J34" s="205">
        <f>J35+J36+J37+J39+J40+J38</f>
        <v/>
      </c>
      <c r="K34" s="205">
        <f>K35+K36+K37+K39+K40+K38</f>
        <v/>
      </c>
      <c r="L34" s="205">
        <f>L35+L36+L37+L39+L40+L38</f>
        <v/>
      </c>
      <c r="M34" s="205">
        <f>M35+M36+M37+M39+M40+M38</f>
        <v/>
      </c>
      <c r="N34" s="205">
        <f>SUM(C34:G34)+SUM(I34:M34)-H34</f>
        <v/>
      </c>
      <c r="O34" s="206">
        <f>O35+O36+O37+O39+O40+O38</f>
        <v/>
      </c>
      <c r="P34" s="205">
        <f>P35+P36+P37+P39+P40+P38</f>
        <v/>
      </c>
      <c r="Q34" s="205">
        <f>Q35+Q36+Q37+Q39+Q40+Q38</f>
        <v/>
      </c>
      <c r="R34" s="205">
        <f>R35+R36+R37+R39+R40+R38</f>
        <v/>
      </c>
      <c r="S34" s="205">
        <f>S35+S36+S37+S39+S40+S38</f>
        <v/>
      </c>
      <c r="T34" s="205">
        <f>T35+T36+T37+T39+T40+T38</f>
        <v/>
      </c>
      <c r="U34" s="205">
        <f>U35+U36+U37+U39+U40+U38</f>
        <v/>
      </c>
      <c r="V34" s="205">
        <f>V35+V36+V37+V39+V40+V38</f>
        <v/>
      </c>
      <c r="W34" s="205">
        <f>W35+W36+W37+W39+W40+W38</f>
        <v/>
      </c>
      <c r="X34" s="205">
        <f>X35+X36+X37+X39+X40+X38</f>
        <v/>
      </c>
      <c r="Y34" s="205">
        <f>Y35+Y36+Y37+Y39+Y40+Y38</f>
        <v/>
      </c>
      <c r="Z34" s="205">
        <f>SUM(O34:S34)+SUM(U34:Y34)-T34</f>
        <v/>
      </c>
    </row>
    <row r="35" ht="15" customFormat="1" customHeight="1" s="30">
      <c r="A35" s="60" t="inlineStr">
        <is>
          <t xml:space="preserve">           1.资本公积转增资本（或股本）</t>
        </is>
      </c>
      <c r="B35" s="57" t="n">
        <v>27</v>
      </c>
      <c r="C35" s="205" t="n"/>
      <c r="D35" s="205" t="n"/>
      <c r="E35" s="205" t="n"/>
      <c r="F35" s="205" t="n"/>
      <c r="G35" s="205" t="n"/>
      <c r="H35" s="205" t="n"/>
      <c r="I35" s="205" t="n"/>
      <c r="J35" s="205" t="n"/>
      <c r="K35" s="205" t="n"/>
      <c r="L35" s="205" t="n"/>
      <c r="M35" s="205" t="n"/>
      <c r="N35" s="205">
        <f>SUM(C35:G35)+SUM(I35:M35)-H35</f>
        <v/>
      </c>
      <c r="O35" s="206" t="n"/>
      <c r="P35" s="205" t="n"/>
      <c r="Q35" s="205" t="n"/>
      <c r="R35" s="205" t="n"/>
      <c r="S35" s="205" t="n"/>
      <c r="T35" s="205" t="n"/>
      <c r="U35" s="205" t="n"/>
      <c r="V35" s="205" t="n"/>
      <c r="W35" s="205" t="n"/>
      <c r="X35" s="205" t="n"/>
      <c r="Y35" s="205" t="n"/>
      <c r="Z35" s="205">
        <f>SUM(O35:S35)+SUM(U35:Y35)-T35</f>
        <v/>
      </c>
    </row>
    <row r="36" ht="15" customFormat="1" customHeight="1" s="30">
      <c r="A36" s="60" t="inlineStr">
        <is>
          <t xml:space="preserve">           2.盈余公积转增资本（或股本）</t>
        </is>
      </c>
      <c r="B36" s="57" t="n">
        <v>28</v>
      </c>
      <c r="C36" s="205" t="n"/>
      <c r="D36" s="205" t="n"/>
      <c r="E36" s="205" t="n"/>
      <c r="F36" s="205" t="n"/>
      <c r="G36" s="205" t="n"/>
      <c r="H36" s="205" t="n"/>
      <c r="I36" s="205" t="n"/>
      <c r="J36" s="205" t="n"/>
      <c r="K36" s="205" t="n"/>
      <c r="L36" s="205" t="n"/>
      <c r="M36" s="205" t="n"/>
      <c r="N36" s="205">
        <f>SUM(C36:G36)+SUM(I36:M36)-H36</f>
        <v/>
      </c>
      <c r="O36" s="206" t="n"/>
      <c r="P36" s="205" t="n"/>
      <c r="Q36" s="205" t="n"/>
      <c r="R36" s="205" t="n"/>
      <c r="S36" s="205" t="n"/>
      <c r="T36" s="205" t="n"/>
      <c r="U36" s="205" t="n"/>
      <c r="V36" s="205" t="n"/>
      <c r="W36" s="205" t="n"/>
      <c r="X36" s="205" t="n"/>
      <c r="Y36" s="205" t="n"/>
      <c r="Z36" s="205">
        <f>SUM(O36:S36)+SUM(U36:Y36)-T36</f>
        <v/>
      </c>
    </row>
    <row r="37" ht="15" customFormat="1" customHeight="1" s="30">
      <c r="A37" s="60" t="inlineStr">
        <is>
          <t xml:space="preserve">           3.弥补亏损</t>
        </is>
      </c>
      <c r="B37" s="57" t="n">
        <v>29</v>
      </c>
      <c r="C37" s="205" t="n"/>
      <c r="D37" s="205" t="n"/>
      <c r="E37" s="205" t="n"/>
      <c r="F37" s="205" t="n"/>
      <c r="G37" s="205" t="n"/>
      <c r="H37" s="205" t="n"/>
      <c r="I37" s="205" t="n"/>
      <c r="J37" s="205" t="n"/>
      <c r="K37" s="205" t="n"/>
      <c r="L37" s="205" t="n"/>
      <c r="M37" s="205" t="n"/>
      <c r="N37" s="205">
        <f>SUM(C37:G37)+SUM(I37:M37)-H37</f>
        <v/>
      </c>
      <c r="O37" s="206" t="n"/>
      <c r="P37" s="205" t="n"/>
      <c r="Q37" s="205" t="n"/>
      <c r="R37" s="205" t="n"/>
      <c r="S37" s="205" t="n"/>
      <c r="T37" s="205" t="n"/>
      <c r="U37" s="205" t="n"/>
      <c r="V37" s="205" t="n"/>
      <c r="W37" s="205" t="n"/>
      <c r="X37" s="205" t="n"/>
      <c r="Y37" s="205" t="n"/>
      <c r="Z37" s="205">
        <f>SUM(O37:S37)+SUM(U37:Y37)-T37</f>
        <v/>
      </c>
    </row>
    <row r="38" ht="15" customFormat="1" customHeight="1" s="30">
      <c r="A38" s="63" t="inlineStr">
        <is>
          <t xml:space="preserve">           4. 设定受益计划变动额结转留存收益</t>
        </is>
      </c>
      <c r="B38" s="57" t="n">
        <v>30</v>
      </c>
      <c r="C38" s="205" t="n"/>
      <c r="D38" s="205" t="n"/>
      <c r="E38" s="205" t="n"/>
      <c r="F38" s="205" t="n"/>
      <c r="G38" s="205" t="n"/>
      <c r="H38" s="205" t="n"/>
      <c r="I38" s="205" t="n"/>
      <c r="J38" s="205" t="n"/>
      <c r="K38" s="205" t="n"/>
      <c r="L38" s="205" t="n"/>
      <c r="M38" s="205" t="n"/>
      <c r="N38" s="205">
        <f>SUM(C38:G38)+SUM(I38:M38)-H38</f>
        <v/>
      </c>
      <c r="O38" s="206" t="n"/>
      <c r="P38" s="205" t="n"/>
      <c r="Q38" s="205" t="n"/>
      <c r="R38" s="205" t="n"/>
      <c r="S38" s="205" t="n"/>
      <c r="T38" s="205" t="n"/>
      <c r="U38" s="205" t="n"/>
      <c r="V38" s="205" t="n"/>
      <c r="W38" s="205" t="n"/>
      <c r="X38" s="205" t="n"/>
      <c r="Y38" s="205" t="n"/>
      <c r="Z38" s="205">
        <f>SUM(O38:S38)+SUM(U38:Y38)-T38</f>
        <v/>
      </c>
    </row>
    <row r="39" ht="15.75" customFormat="1" customHeight="1" s="30">
      <c r="A39" s="63" t="inlineStr">
        <is>
          <t xml:space="preserve">           5.其他综合收益结转留存收益</t>
        </is>
      </c>
      <c r="B39" s="57" t="n">
        <v>31</v>
      </c>
      <c r="C39" s="205" t="n"/>
      <c r="D39" s="205" t="n"/>
      <c r="E39" s="205" t="n"/>
      <c r="F39" s="205" t="n"/>
      <c r="G39" s="205" t="n"/>
      <c r="H39" s="205" t="n"/>
      <c r="I39" s="205" t="n"/>
      <c r="J39" s="205" t="n"/>
      <c r="K39" s="205" t="n"/>
      <c r="L39" s="205" t="n"/>
      <c r="M39" s="205" t="n"/>
      <c r="N39" s="205">
        <f>SUM(C39:G39)+SUM(I39:M39)-H39</f>
        <v/>
      </c>
      <c r="O39" s="206" t="n"/>
      <c r="P39" s="205" t="n"/>
      <c r="Q39" s="205" t="n"/>
      <c r="R39" s="205" t="n"/>
      <c r="S39" s="205" t="n"/>
      <c r="T39" s="205" t="n"/>
      <c r="U39" s="205" t="n"/>
      <c r="V39" s="205" t="n"/>
      <c r="W39" s="205" t="n"/>
      <c r="X39" s="205" t="n"/>
      <c r="Y39" s="205" t="n"/>
      <c r="Z39" s="205">
        <f>SUM(O39:S39)+SUM(U39:Y39)-T39</f>
        <v/>
      </c>
    </row>
    <row r="40" ht="15" customFormat="1" customHeight="1" s="30">
      <c r="A40" s="60" t="inlineStr">
        <is>
          <t xml:space="preserve">           6.其他</t>
        </is>
      </c>
      <c r="B40" s="57" t="n">
        <v>32</v>
      </c>
      <c r="C40" s="205" t="n"/>
      <c r="D40" s="205" t="n"/>
      <c r="E40" s="205" t="n"/>
      <c r="F40" s="205" t="n"/>
      <c r="G40" s="205" t="n"/>
      <c r="H40" s="205" t="n"/>
      <c r="I40" s="205" t="n"/>
      <c r="J40" s="205" t="n"/>
      <c r="K40" s="205" t="n"/>
      <c r="L40" s="205" t="n"/>
      <c r="M40" s="205" t="n"/>
      <c r="N40" s="205">
        <f>SUM(C40:G40)+SUM(I40:M40)-H40</f>
        <v/>
      </c>
      <c r="O40" s="206" t="n"/>
      <c r="P40" s="205" t="n"/>
      <c r="Q40" s="205" t="n"/>
      <c r="R40" s="205" t="n"/>
      <c r="S40" s="205" t="n"/>
      <c r="T40" s="205" t="n"/>
      <c r="U40" s="205" t="n"/>
      <c r="V40" s="205" t="n"/>
      <c r="W40" s="205" t="n"/>
      <c r="X40" s="205" t="n"/>
      <c r="Y40" s="205" t="n"/>
      <c r="Z40" s="205">
        <f>SUM(O40:S40)+SUM(U40:Y40)-T40</f>
        <v/>
      </c>
    </row>
    <row r="41" ht="15" customFormat="1" customHeight="1" s="34">
      <c r="A41" s="64" t="inlineStr">
        <is>
          <t>四、本年年末余额</t>
        </is>
      </c>
      <c r="B41" s="65" t="n">
        <v>33</v>
      </c>
      <c r="C41" s="209">
        <f>C13+C14</f>
        <v/>
      </c>
      <c r="D41" s="209">
        <f>D13+D14</f>
        <v/>
      </c>
      <c r="E41" s="209">
        <f>E13+E14</f>
        <v/>
      </c>
      <c r="F41" s="209">
        <f>F13+F14</f>
        <v/>
      </c>
      <c r="G41" s="209">
        <f>G13+G14</f>
        <v/>
      </c>
      <c r="H41" s="209">
        <f>H13+H14</f>
        <v/>
      </c>
      <c r="I41" s="209">
        <f>I13+I14</f>
        <v/>
      </c>
      <c r="J41" s="209">
        <f>J13+J14</f>
        <v/>
      </c>
      <c r="K41" s="209">
        <f>K13+K14</f>
        <v/>
      </c>
      <c r="L41" s="209">
        <f>L13+L14</f>
        <v/>
      </c>
      <c r="M41" s="209">
        <f>M13+M14</f>
        <v/>
      </c>
      <c r="N41" s="209">
        <f>SUM(C41:G41)+SUM(I41:M41)-H41</f>
        <v/>
      </c>
      <c r="O41" s="210">
        <f>O13+O14</f>
        <v/>
      </c>
      <c r="P41" s="209">
        <f>P13+P14</f>
        <v/>
      </c>
      <c r="Q41" s="209">
        <f>Q13+Q14</f>
        <v/>
      </c>
      <c r="R41" s="209">
        <f>R13+R14</f>
        <v/>
      </c>
      <c r="S41" s="209">
        <f>S13+S14</f>
        <v/>
      </c>
      <c r="T41" s="209">
        <f>T13+T14</f>
        <v/>
      </c>
      <c r="U41" s="209">
        <f>U13+U14</f>
        <v/>
      </c>
      <c r="V41" s="209">
        <f>V13+V14</f>
        <v/>
      </c>
      <c r="W41" s="209">
        <f>W13+W14</f>
        <v/>
      </c>
      <c r="X41" s="209">
        <f>X13+X14</f>
        <v/>
      </c>
      <c r="Y41" s="209">
        <f>Y13+Y14</f>
        <v/>
      </c>
      <c r="Z41" s="209">
        <f>SUM(O41:S41)+SUM(U41:Y41)-T41</f>
        <v/>
      </c>
    </row>
    <row r="42" ht="14.25" customFormat="1" customHeight="1" s="35">
      <c r="A42" s="81" t="n"/>
      <c r="B42" s="68" t="n"/>
      <c r="C42" s="68" t="n"/>
      <c r="D42" s="68" t="n"/>
      <c r="E42" s="68" t="n"/>
      <c r="F42" s="68" t="n"/>
      <c r="G42" s="68" t="n"/>
      <c r="H42" s="68" t="n"/>
      <c r="I42" s="68" t="n"/>
      <c r="J42" s="68" t="n"/>
      <c r="K42" s="68" t="n"/>
      <c r="L42" s="68" t="n"/>
      <c r="M42" s="68" t="n"/>
      <c r="N42" s="68" t="n"/>
      <c r="O42" s="35" t="n"/>
      <c r="P42" s="68" t="n"/>
      <c r="Q42" s="68" t="n"/>
      <c r="R42" s="68" t="n"/>
      <c r="U42" s="68" t="n"/>
    </row>
    <row r="43" ht="14.25" customFormat="1" customHeight="1" s="81">
      <c r="A43" s="184" t="inlineStr">
        <is>
          <t>企业负责人：</t>
        </is>
      </c>
      <c r="E43" s="88" t="inlineStr">
        <is>
          <t>主管会计工作负责人：</t>
        </is>
      </c>
      <c r="L43" s="88" t="inlineStr">
        <is>
          <t>会计机构负责人：</t>
        </is>
      </c>
      <c r="Q43" s="88" t="inlineStr">
        <is>
          <t>主管会计工作负责人：</t>
        </is>
      </c>
      <c r="X43" s="88" t="inlineStr">
        <is>
          <t>会计机构负责人：</t>
        </is>
      </c>
    </row>
    <row r="47" customFormat="1" s="30">
      <c r="A47" s="146" t="inlineStr">
        <is>
          <t>注：带#为外商投资企业专用，加△项目为金融类企业专用。</t>
        </is>
      </c>
    </row>
    <row r="48" ht="14.25" customFormat="1" customHeight="1" s="30">
      <c r="A48" s="72" t="inlineStr">
        <is>
          <t>（1）本表反映企业所有者权益的各组成部分本年年初和上年年初调整及本年和上年增减变动的情况，不仅包括所有者权益总量的增减变动，还包括所有者权益增减变动的重要结构性信息。“少数股东权益”栏目用于反映合并报表中少数股东权益变动的情况。</t>
        </is>
      </c>
    </row>
    <row r="49" ht="14.25" customFormat="1" customHeight="1" s="30">
      <c r="A49" s="72" t="inlineStr">
        <is>
          <t>（2）其他:反映企业本年和上年同一控制下企业合并、清产核资、执行新金融工具准则等影响的金额。</t>
        </is>
      </c>
    </row>
  </sheetData>
  <mergeCells count="27">
    <mergeCell ref="O5:Z5"/>
    <mergeCell ref="A47:G47"/>
    <mergeCell ref="H6:H7"/>
    <mergeCell ref="J6:J7"/>
    <mergeCell ref="P6:R6"/>
    <mergeCell ref="O4:Z4"/>
    <mergeCell ref="V6:V7"/>
    <mergeCell ref="X6:X7"/>
    <mergeCell ref="G6:G7"/>
    <mergeCell ref="M6:M7"/>
    <mergeCell ref="S6:S7"/>
    <mergeCell ref="Y6:Y7"/>
    <mergeCell ref="L6:L7"/>
    <mergeCell ref="N6:N7"/>
    <mergeCell ref="T6:T7"/>
    <mergeCell ref="Z6:Z7"/>
    <mergeCell ref="A4:A7"/>
    <mergeCell ref="B4:B7"/>
    <mergeCell ref="C5:N5"/>
    <mergeCell ref="I6:I7"/>
    <mergeCell ref="K6:K7"/>
    <mergeCell ref="C6:C7"/>
    <mergeCell ref="O6:O7"/>
    <mergeCell ref="U6:U7"/>
    <mergeCell ref="D6:F6"/>
    <mergeCell ref="W6:W7"/>
    <mergeCell ref="C4:N4"/>
  </mergeCells>
  <conditionalFormatting sqref="C1:Z1048576">
    <cfRule type="cellIs" priority="1" operator="equal" dxfId="0">
      <formula>0</formula>
    </cfRule>
  </conditionalFormatting>
  <printOptions horizontalCentered="1"/>
  <pageMargins left="0.984251968503937" right="1.25984251968504" top="1.25984251968504" bottom="1.25984251968504" header="0.511811023622047" footer="0.511811023622047"/>
  <pageSetup orientation="landscape" paperSize="9" scale="64" fitToWidth="0" firstPageNumber="10" useFirstPageNumber="1"/>
  <headerFooter alignWithMargins="0">
    <oddHeader/>
    <oddFooter>&amp;C&amp;"Arial Narrow,常规"&amp;P</oddFooter>
    <evenHeader/>
    <evenFooter/>
    <firstHeader/>
    <firstFooter/>
  </headerFooter>
  <colBreaks count="1" manualBreakCount="1">
    <brk id="14" min="0" max="42" man="1"/>
  </colBreaks>
  <legacyDrawing xmlns:r="http://schemas.openxmlformats.org/officeDocument/2006/relationships" r:id="anysvml"/>
</worksheet>
</file>

<file path=xl/worksheets/sheet6.xml><?xml version="1.0" encoding="utf-8"?>
<worksheet xmlns="http://schemas.openxmlformats.org/spreadsheetml/2006/main">
  <sheetPr codeName="Sheet7">
    <outlinePr summaryBelow="1" summaryRight="1"/>
    <pageSetUpPr fitToPage="1"/>
  </sheetPr>
  <dimension ref="A1:M31"/>
  <sheetViews>
    <sheetView showGridLines="0" view="pageBreakPreview" zoomScaleNormal="100" workbookViewId="0">
      <pane xSplit="2" ySplit="6" topLeftCell="C7" activePane="bottomRight" state="frozen"/>
      <selection activeCell="A1" sqref="A1"/>
      <selection pane="topRight" activeCell="A1" sqref="A1"/>
      <selection pane="bottomLeft" activeCell="A1" sqref="A1"/>
      <selection pane="bottomRight" activeCell="I23" sqref="I23"/>
    </sheetView>
  </sheetViews>
  <sheetFormatPr baseColWidth="8" defaultColWidth="9" defaultRowHeight="17.25" customHeight="1"/>
  <cols>
    <col width="30.125" customWidth="1" style="3" min="1" max="1"/>
    <col width="6" customWidth="1" style="3" min="2" max="2"/>
    <col width="16.5" customWidth="1" style="3" min="3" max="3"/>
    <col width="15.625" customWidth="1" style="3" min="4" max="4"/>
    <col width="7.1" customWidth="1" style="3" min="5" max="5"/>
    <col width="9.6" customWidth="1" style="3" min="6" max="6"/>
    <col width="15.25" customWidth="1" style="3" min="7" max="7"/>
    <col width="13.625" customWidth="1" style="3" min="8" max="8"/>
    <col width="12.5" customWidth="1" style="3" min="9" max="9"/>
    <col width="10.125" customWidth="1" style="3" min="10" max="10"/>
    <col width="8.25" customWidth="1" style="3" min="11" max="11"/>
    <col width="15.375" customWidth="1" style="3" min="12" max="12"/>
    <col width="16" customWidth="1" style="3" min="13" max="13"/>
    <col width="9" customWidth="1" style="3" min="14" max="16384"/>
  </cols>
  <sheetData>
    <row r="1" ht="30" customHeight="1" s="176">
      <c r="A1" s="4" t="inlineStr">
        <is>
          <t>资产减值准备情况表</t>
        </is>
      </c>
    </row>
    <row r="2" ht="18" customFormat="1" customHeight="1" s="2">
      <c r="A2" s="5" t="n"/>
      <c r="B2" s="5" t="n"/>
      <c r="C2" s="5" t="n"/>
      <c r="D2" s="5" t="n"/>
      <c r="E2" s="5" t="n"/>
      <c r="F2" s="5" t="n"/>
      <c r="G2" s="5" t="n"/>
      <c r="H2" s="5" t="n"/>
      <c r="I2" s="5" t="n"/>
      <c r="J2" s="5" t="n"/>
      <c r="K2" s="5" t="n"/>
      <c r="L2" s="5" t="n"/>
      <c r="M2" s="5" t="n"/>
    </row>
    <row r="3" ht="18" customFormat="1" customHeight="1" s="2">
      <c r="A3" s="5" t="inlineStr">
        <is>
          <t>编制单位：</t>
        </is>
      </c>
      <c r="B3" s="5" t="n"/>
      <c r="D3" s="6" t="n"/>
      <c r="F3" s="7" t="n"/>
      <c r="G3" s="8" t="inlineStr">
        <is>
          <t>2025年12月31日</t>
        </is>
      </c>
      <c r="I3" s="7" t="n"/>
      <c r="J3" s="7" t="n"/>
      <c r="K3" s="7" t="n"/>
      <c r="L3" s="7" t="n"/>
      <c r="M3" s="9" t="inlineStr">
        <is>
          <t>金额单位：元</t>
        </is>
      </c>
    </row>
    <row r="4" ht="18" customFormat="1" customHeight="1" s="2">
      <c r="A4" s="10" t="inlineStr">
        <is>
          <t>项       目</t>
        </is>
      </c>
      <c r="B4" s="11" t="inlineStr">
        <is>
          <t>行次</t>
        </is>
      </c>
      <c r="C4" s="11" t="inlineStr">
        <is>
          <t>年初账面余额</t>
        </is>
      </c>
      <c r="D4" s="11" t="inlineStr">
        <is>
          <t>本期增加额</t>
        </is>
      </c>
      <c r="E4" s="197" t="n"/>
      <c r="F4" s="197" t="n"/>
      <c r="G4" s="198" t="n"/>
      <c r="H4" s="11" t="inlineStr">
        <is>
          <t>本期减少额</t>
        </is>
      </c>
      <c r="I4" s="197" t="n"/>
      <c r="J4" s="197" t="n"/>
      <c r="K4" s="197" t="n"/>
      <c r="L4" s="198" t="n"/>
      <c r="M4" s="11" t="inlineStr">
        <is>
          <t>期末账面余额</t>
        </is>
      </c>
    </row>
    <row r="5" ht="45" customFormat="1" customHeight="1" s="2">
      <c r="A5" s="201" t="n"/>
      <c r="B5" s="202" t="n"/>
      <c r="C5" s="202" t="n"/>
      <c r="D5" s="11" t="inlineStr">
        <is>
          <t>本期计提额</t>
        </is>
      </c>
      <c r="E5" s="11" t="inlineStr">
        <is>
          <t>合并增加额</t>
        </is>
      </c>
      <c r="F5" s="11" t="inlineStr">
        <is>
          <t>其他原因增加额</t>
        </is>
      </c>
      <c r="G5" s="11" t="inlineStr">
        <is>
          <t>合计</t>
        </is>
      </c>
      <c r="H5" s="11" t="inlineStr">
        <is>
          <t>资产价值回升转回额</t>
        </is>
      </c>
      <c r="I5" s="11" t="inlineStr">
        <is>
          <t>转销额</t>
        </is>
      </c>
      <c r="J5" s="11" t="inlineStr">
        <is>
          <t>合并减少额</t>
        </is>
      </c>
      <c r="K5" s="11" t="inlineStr">
        <is>
          <t>其他原因减少额</t>
        </is>
      </c>
      <c r="L5" s="11" t="inlineStr">
        <is>
          <t>合计</t>
        </is>
      </c>
      <c r="M5" s="202" t="n"/>
    </row>
    <row r="6" ht="22.2" customFormat="1" customHeight="1" s="2">
      <c r="A6" s="10" t="inlineStr">
        <is>
          <t>栏       次</t>
        </is>
      </c>
      <c r="B6" s="12" t="inlineStr">
        <is>
          <t>——</t>
        </is>
      </c>
      <c r="C6" s="13" t="n">
        <v>1</v>
      </c>
      <c r="D6" s="13" t="n">
        <v>2</v>
      </c>
      <c r="E6" s="13" t="n">
        <v>3</v>
      </c>
      <c r="F6" s="13" t="n">
        <v>4</v>
      </c>
      <c r="G6" s="13" t="n">
        <v>5</v>
      </c>
      <c r="H6" s="13" t="n">
        <v>6</v>
      </c>
      <c r="I6" s="13" t="n">
        <v>7</v>
      </c>
      <c r="J6" s="13" t="n">
        <v>8</v>
      </c>
      <c r="K6" s="13" t="n">
        <v>9</v>
      </c>
      <c r="L6" s="13" t="n">
        <v>10</v>
      </c>
      <c r="M6" s="13" t="n">
        <v>11</v>
      </c>
    </row>
    <row r="7" ht="18" customFormat="1" customHeight="1" s="2">
      <c r="A7" s="14" t="inlineStr">
        <is>
          <t>一、坏账准备</t>
        </is>
      </c>
      <c r="B7" s="15" t="n">
        <v>1</v>
      </c>
      <c r="C7" s="211" t="n"/>
      <c r="D7" s="211" t="n"/>
      <c r="E7" s="211" t="n"/>
      <c r="F7" s="211" t="n"/>
      <c r="G7" s="211">
        <f>SUM(D7:F7)</f>
        <v/>
      </c>
      <c r="H7" s="212" t="n"/>
      <c r="I7" s="212" t="n"/>
      <c r="J7" s="212" t="n"/>
      <c r="K7" s="212" t="n"/>
      <c r="L7" s="211">
        <f>SUM(H7:K7)</f>
        <v/>
      </c>
      <c r="M7" s="211">
        <f>C7+G7-L7</f>
        <v/>
      </c>
    </row>
    <row r="8" ht="18" customFormat="1" customHeight="1" s="2">
      <c r="A8" s="18" t="inlineStr">
        <is>
          <t xml:space="preserve">  其中：应收账款坏账准备</t>
        </is>
      </c>
      <c r="B8" s="19" t="n">
        <v>2</v>
      </c>
      <c r="C8" s="213" t="n"/>
      <c r="D8" s="213" t="n"/>
      <c r="E8" s="213" t="n"/>
      <c r="F8" s="213" t="n"/>
      <c r="G8" s="213" t="n"/>
      <c r="H8" s="214" t="n"/>
      <c r="I8" s="214" t="n"/>
      <c r="J8" s="214" t="n"/>
      <c r="K8" s="214" t="n"/>
      <c r="L8" s="213" t="n"/>
      <c r="M8" s="213" t="n"/>
    </row>
    <row r="9" ht="18" customFormat="1" customHeight="1" s="2">
      <c r="A9" s="18" t="inlineStr">
        <is>
          <t>二、存货跌价准备</t>
        </is>
      </c>
      <c r="B9" s="19" t="n">
        <v>3</v>
      </c>
      <c r="C9" s="213" t="n"/>
      <c r="D9" s="213" t="n"/>
      <c r="E9" s="213" t="n"/>
      <c r="F9" s="213" t="n"/>
      <c r="G9" s="213">
        <f>SUM(D9:F9)</f>
        <v/>
      </c>
      <c r="H9" s="214" t="n"/>
      <c r="I9" s="214" t="n"/>
      <c r="J9" s="214" t="n"/>
      <c r="K9" s="214" t="n"/>
      <c r="L9" s="213">
        <f>SUM(H9:K9)</f>
        <v/>
      </c>
      <c r="M9" s="213">
        <f>C9+G9-L9</f>
        <v/>
      </c>
    </row>
    <row r="10" ht="22.2" customFormat="1" customHeight="1" s="2">
      <c r="A10" s="18" t="inlineStr">
        <is>
          <t>三、合同资产减值准备</t>
        </is>
      </c>
      <c r="B10" s="19" t="n">
        <v>4</v>
      </c>
      <c r="C10" s="213" t="n"/>
      <c r="D10" s="213" t="n"/>
      <c r="E10" s="213" t="n"/>
      <c r="F10" s="213" t="n"/>
      <c r="G10" s="213">
        <f>SUM(D10:F10)</f>
        <v/>
      </c>
      <c r="H10" s="214" t="n"/>
      <c r="I10" s="214" t="n"/>
      <c r="J10" s="214" t="n"/>
      <c r="K10" s="214" t="n"/>
      <c r="L10" s="213">
        <f>SUM(H10:K10)</f>
        <v/>
      </c>
      <c r="M10" s="213">
        <f>C10+G10-L10</f>
        <v/>
      </c>
    </row>
    <row r="11" ht="22.2" customFormat="1" customHeight="1" s="2">
      <c r="A11" s="18" t="inlineStr">
        <is>
          <t>四、合同取得成本减值准备</t>
        </is>
      </c>
      <c r="B11" s="19" t="n">
        <v>5</v>
      </c>
      <c r="C11" s="213" t="n"/>
      <c r="D11" s="213" t="n"/>
      <c r="E11" s="213" t="n"/>
      <c r="F11" s="213" t="n"/>
      <c r="G11" s="213">
        <f>SUM(D11:F11)</f>
        <v/>
      </c>
      <c r="H11" s="215" t="n"/>
      <c r="I11" s="214" t="n"/>
      <c r="J11" s="214" t="n"/>
      <c r="K11" s="214" t="n"/>
      <c r="L11" s="213">
        <f>SUM(H11:K11)</f>
        <v/>
      </c>
      <c r="M11" s="213">
        <f>C11+G11-L11</f>
        <v/>
      </c>
    </row>
    <row r="12" ht="22.2" customFormat="1" customHeight="1" s="2">
      <c r="A12" s="18" t="inlineStr">
        <is>
          <t>五、合同履约成本减值准备</t>
        </is>
      </c>
      <c r="B12" s="19" t="n">
        <v>6</v>
      </c>
      <c r="C12" s="213" t="n"/>
      <c r="D12" s="213" t="n"/>
      <c r="E12" s="213" t="n"/>
      <c r="F12" s="213" t="n"/>
      <c r="G12" s="213">
        <f>SUM(D12:F12)</f>
        <v/>
      </c>
      <c r="H12" s="214" t="n"/>
      <c r="I12" s="214" t="n"/>
      <c r="J12" s="214" t="n"/>
      <c r="K12" s="214" t="n"/>
      <c r="L12" s="213">
        <f>SUM(H12:K12)</f>
        <v/>
      </c>
      <c r="M12" s="213">
        <f>C12+G12-L12</f>
        <v/>
      </c>
    </row>
    <row r="13" ht="22.2" customFormat="1" customHeight="1" s="2">
      <c r="A13" s="18" t="inlineStr">
        <is>
          <t>六、持有待售资产减值准备</t>
        </is>
      </c>
      <c r="B13" s="19" t="n">
        <v>7</v>
      </c>
      <c r="C13" s="213" t="n"/>
      <c r="D13" s="213" t="n"/>
      <c r="E13" s="213" t="n"/>
      <c r="F13" s="213" t="n"/>
      <c r="G13" s="213">
        <f>SUM(D13:F13)</f>
        <v/>
      </c>
      <c r="H13" s="215" t="inlineStr">
        <is>
          <t>——</t>
        </is>
      </c>
      <c r="I13" s="214" t="n"/>
      <c r="J13" s="213" t="n"/>
      <c r="K13" s="213" t="n"/>
      <c r="L13" s="213">
        <f>SUM(H13:K13)</f>
        <v/>
      </c>
      <c r="M13" s="213">
        <f>C13+G13-L13</f>
        <v/>
      </c>
    </row>
    <row r="14" ht="22.2" customFormat="1" customHeight="1" s="2">
      <c r="A14" s="18" t="inlineStr">
        <is>
          <t>七、债权投资减值准备</t>
        </is>
      </c>
      <c r="B14" s="19" t="n">
        <v>8</v>
      </c>
      <c r="C14" s="213" t="n"/>
      <c r="D14" s="213" t="n"/>
      <c r="E14" s="213" t="n"/>
      <c r="F14" s="213" t="n"/>
      <c r="G14" s="213">
        <f>SUM(D14:F14)</f>
        <v/>
      </c>
      <c r="H14" s="215" t="n"/>
      <c r="I14" s="213" t="n"/>
      <c r="J14" s="213" t="n"/>
      <c r="K14" s="213" t="n"/>
      <c r="L14" s="213">
        <f>SUM(I14:K14)</f>
        <v/>
      </c>
      <c r="M14" s="213">
        <f>C14+G14-L14</f>
        <v/>
      </c>
    </row>
    <row r="15" ht="22.2" customFormat="1" customHeight="1" s="2">
      <c r="A15" s="18" t="inlineStr">
        <is>
          <t>八、长期股权投资减值准备</t>
        </is>
      </c>
      <c r="B15" s="19" t="n">
        <v>9</v>
      </c>
      <c r="C15" s="213" t="n"/>
      <c r="D15" s="213" t="n"/>
      <c r="E15" s="213" t="n"/>
      <c r="F15" s="213" t="n"/>
      <c r="G15" s="213">
        <f>SUM(D15:F15)</f>
        <v/>
      </c>
      <c r="H15" s="215" t="inlineStr">
        <is>
          <t>——</t>
        </is>
      </c>
      <c r="I15" s="213" t="n"/>
      <c r="J15" s="213" t="n"/>
      <c r="K15" s="213" t="n"/>
      <c r="L15" s="213">
        <f>SUM(I15:K15)</f>
        <v/>
      </c>
      <c r="M15" s="213">
        <f>C15+G15-L15</f>
        <v/>
      </c>
    </row>
    <row r="16" ht="22.2" customFormat="1" customHeight="1" s="2">
      <c r="A16" s="18" t="inlineStr">
        <is>
          <t>九、投资性房地产减值准备</t>
        </is>
      </c>
      <c r="B16" s="19" t="n">
        <v>10</v>
      </c>
      <c r="C16" s="213" t="n"/>
      <c r="D16" s="213" t="n"/>
      <c r="E16" s="213" t="n"/>
      <c r="F16" s="213" t="n"/>
      <c r="G16" s="213">
        <f>SUM(D16:F16)</f>
        <v/>
      </c>
      <c r="H16" s="215" t="inlineStr">
        <is>
          <t>——</t>
        </is>
      </c>
      <c r="I16" s="213" t="n"/>
      <c r="J16" s="213" t="n"/>
      <c r="K16" s="213" t="n"/>
      <c r="L16" s="213">
        <f>SUM(I16:K16)</f>
        <v/>
      </c>
      <c r="M16" s="213">
        <f>C16+G16-L16</f>
        <v/>
      </c>
    </row>
    <row r="17" ht="22.2" customFormat="1" customHeight="1" s="2">
      <c r="A17" s="18" t="inlineStr">
        <is>
          <t>十、固定资产减值准备</t>
        </is>
      </c>
      <c r="B17" s="19" t="n">
        <v>11</v>
      </c>
      <c r="C17" s="213" t="n"/>
      <c r="D17" s="213" t="n"/>
      <c r="E17" s="213" t="n"/>
      <c r="F17" s="213" t="n"/>
      <c r="G17" s="213">
        <f>SUM(D17:F17)</f>
        <v/>
      </c>
      <c r="H17" s="215" t="inlineStr">
        <is>
          <t>——</t>
        </is>
      </c>
      <c r="I17" s="214" t="n"/>
      <c r="J17" s="213" t="n"/>
      <c r="K17" s="213" t="n"/>
      <c r="L17" s="213">
        <f>SUM(I17:K17)</f>
        <v/>
      </c>
      <c r="M17" s="213">
        <f>C17+G17-L17</f>
        <v/>
      </c>
    </row>
    <row r="18" ht="22.2" customFormat="1" customHeight="1" s="2">
      <c r="A18" s="18" t="inlineStr">
        <is>
          <t>十一、在建工程减值准备</t>
        </is>
      </c>
      <c r="B18" s="19" t="n">
        <v>12</v>
      </c>
      <c r="C18" s="213" t="n"/>
      <c r="D18" s="213" t="n"/>
      <c r="E18" s="213" t="n"/>
      <c r="F18" s="213" t="n"/>
      <c r="G18" s="213">
        <f>SUM(D18:F18)</f>
        <v/>
      </c>
      <c r="H18" s="215" t="inlineStr">
        <is>
          <t>——</t>
        </is>
      </c>
      <c r="I18" s="213" t="n"/>
      <c r="J18" s="213" t="n"/>
      <c r="K18" s="213" t="n"/>
      <c r="L18" s="213">
        <f>SUM(I18:K18)</f>
        <v/>
      </c>
      <c r="M18" s="213">
        <f>C18+G18-L18</f>
        <v/>
      </c>
    </row>
    <row r="19" ht="22.2" customFormat="1" customHeight="1" s="2">
      <c r="A19" s="18" t="inlineStr">
        <is>
          <t>十二、生产性生物资产减值准备</t>
        </is>
      </c>
      <c r="B19" s="19" t="n">
        <v>13</v>
      </c>
      <c r="C19" s="213" t="n"/>
      <c r="D19" s="213" t="n"/>
      <c r="E19" s="213" t="n"/>
      <c r="F19" s="213" t="n"/>
      <c r="G19" s="213">
        <f>SUM(D19:F19)</f>
        <v/>
      </c>
      <c r="H19" s="215" t="inlineStr">
        <is>
          <t>——</t>
        </is>
      </c>
      <c r="I19" s="213" t="n"/>
      <c r="J19" s="213" t="n"/>
      <c r="K19" s="213" t="n"/>
      <c r="L19" s="213" t="n"/>
      <c r="M19" s="213" t="n"/>
    </row>
    <row r="20" ht="22.2" customFormat="1" customHeight="1" s="2">
      <c r="A20" s="18" t="inlineStr">
        <is>
          <t>十三、油气资产减值准备</t>
        </is>
      </c>
      <c r="B20" s="19" t="n">
        <v>14</v>
      </c>
      <c r="C20" s="213" t="n"/>
      <c r="D20" s="213" t="n"/>
      <c r="E20" s="213" t="n"/>
      <c r="F20" s="213" t="n"/>
      <c r="G20" s="213">
        <f>SUM(D20:F20)</f>
        <v/>
      </c>
      <c r="H20" s="215" t="inlineStr">
        <is>
          <t>——</t>
        </is>
      </c>
      <c r="I20" s="214" t="n"/>
      <c r="J20" s="213" t="n"/>
      <c r="K20" s="213" t="n"/>
      <c r="L20" s="213">
        <f>SUM(I20:K20)</f>
        <v/>
      </c>
      <c r="M20" s="213">
        <f>C20+G20-L20</f>
        <v/>
      </c>
    </row>
    <row r="21" ht="22.2" customFormat="1" customHeight="1" s="2">
      <c r="A21" s="18" t="inlineStr">
        <is>
          <t>十四、使用权资产减值准备</t>
        </is>
      </c>
      <c r="B21" s="19" t="n">
        <v>15</v>
      </c>
      <c r="C21" s="213" t="n"/>
      <c r="D21" s="213" t="n"/>
      <c r="E21" s="213" t="n"/>
      <c r="F21" s="213" t="n"/>
      <c r="G21" s="213">
        <f>SUM(D21:F21)</f>
        <v/>
      </c>
      <c r="H21" s="215" t="inlineStr">
        <is>
          <t>——</t>
        </is>
      </c>
      <c r="I21" s="213" t="n"/>
      <c r="J21" s="213" t="n"/>
      <c r="K21" s="213" t="n"/>
      <c r="L21" s="213">
        <f>SUM(H21:K21)</f>
        <v/>
      </c>
      <c r="M21" s="213">
        <f>C21+G21-L21</f>
        <v/>
      </c>
    </row>
    <row r="22" ht="22.2" customFormat="1" customHeight="1" s="2">
      <c r="A22" s="18" t="inlineStr">
        <is>
          <t>十五、无形资产减值准备</t>
        </is>
      </c>
      <c r="B22" s="19" t="n">
        <v>16</v>
      </c>
      <c r="C22" s="213" t="n"/>
      <c r="D22" s="213" t="n"/>
      <c r="E22" s="213" t="n"/>
      <c r="F22" s="213" t="n"/>
      <c r="G22" s="213">
        <f>SUM(D22:F22)</f>
        <v/>
      </c>
      <c r="H22" s="215" t="inlineStr">
        <is>
          <t>——</t>
        </is>
      </c>
      <c r="I22" s="213" t="n"/>
      <c r="J22" s="213" t="n"/>
      <c r="K22" s="213" t="n"/>
      <c r="L22" s="213">
        <f>SUM(I22:K22)</f>
        <v/>
      </c>
      <c r="M22" s="213">
        <f>C22+G22-L22</f>
        <v/>
      </c>
    </row>
    <row r="23" ht="22.2" customFormat="1" customHeight="1" s="2">
      <c r="A23" s="18" t="inlineStr">
        <is>
          <t>十六、商誉减值准备</t>
        </is>
      </c>
      <c r="B23" s="19" t="n">
        <v>17</v>
      </c>
      <c r="C23" s="213" t="n"/>
      <c r="D23" s="213" t="n"/>
      <c r="E23" s="213" t="n"/>
      <c r="F23" s="213" t="n"/>
      <c r="G23" s="213">
        <f>SUM(D23:F23)</f>
        <v/>
      </c>
      <c r="H23" s="215" t="inlineStr">
        <is>
          <t>——</t>
        </is>
      </c>
      <c r="I23" s="213" t="n"/>
      <c r="J23" s="213" t="n"/>
      <c r="K23" s="213" t="n"/>
      <c r="L23" s="213">
        <f>SUM(H23:K23)</f>
        <v/>
      </c>
      <c r="M23" s="213">
        <f>C23+G23-L23</f>
        <v/>
      </c>
    </row>
    <row r="24" ht="22.2" customFormat="1" customHeight="1" s="2">
      <c r="A24" s="18" t="inlineStr">
        <is>
          <t>十七、其他减值准备</t>
        </is>
      </c>
      <c r="B24" s="19" t="n">
        <v>18</v>
      </c>
      <c r="C24" s="213" t="n"/>
      <c r="D24" s="213" t="n"/>
      <c r="E24" s="213" t="n"/>
      <c r="F24" s="213" t="n"/>
      <c r="G24" s="213">
        <f>SUM(D24:F24)</f>
        <v/>
      </c>
      <c r="H24" s="216" t="n"/>
      <c r="I24" s="213" t="n"/>
      <c r="J24" s="213" t="n"/>
      <c r="K24" s="213" t="n"/>
      <c r="L24" s="213">
        <f>SUM(I24:K24)</f>
        <v/>
      </c>
      <c r="M24" s="213">
        <f>C24+G24-L24</f>
        <v/>
      </c>
    </row>
    <row r="25" ht="22.2" customFormat="1" customHeight="1" s="2">
      <c r="A25" s="24" t="inlineStr">
        <is>
          <t>合   计</t>
        </is>
      </c>
      <c r="B25" s="25" t="n">
        <v>19</v>
      </c>
      <c r="C25" s="217">
        <f>SUM(C7:C24)-C8</f>
        <v/>
      </c>
      <c r="D25" s="217">
        <f>SUM(D7:D24)-D8</f>
        <v/>
      </c>
      <c r="E25" s="217">
        <f>SUM(E7:E24)-E8</f>
        <v/>
      </c>
      <c r="F25" s="217">
        <f>SUM(F7:F24)-F8</f>
        <v/>
      </c>
      <c r="G25" s="217">
        <f>SUM(G7:G24)-G8</f>
        <v/>
      </c>
      <c r="H25" s="217">
        <f>SUM(H7:H24)-H8</f>
        <v/>
      </c>
      <c r="I25" s="217">
        <f>SUM(I7:I24)-I8</f>
        <v/>
      </c>
      <c r="J25" s="217">
        <f>SUM(J7:J24)-J8</f>
        <v/>
      </c>
      <c r="K25" s="217">
        <f>SUM(K7:K24)-K8</f>
        <v/>
      </c>
      <c r="L25" s="217">
        <f>SUM(L7:L24)-L8</f>
        <v/>
      </c>
      <c r="M25" s="218">
        <f>SUM(M7:M24)-M8</f>
        <v/>
      </c>
    </row>
    <row r="26" customFormat="1" s="2"/>
    <row r="27" customFormat="1" s="2">
      <c r="A27" s="184" t="inlineStr">
        <is>
          <t>企业负责人：                                        主管会计工作负责人：                                            会计机构负责人：</t>
        </is>
      </c>
    </row>
    <row r="28" customFormat="1" s="2"/>
    <row r="29" s="176">
      <c r="A29" s="72" t="inlineStr">
        <is>
          <t>（1）本表反映企业各项资产减值准备的年初账面余额、本期增减变动和期末账面余额，以及政策性挂账和当年处理以前年度损失和挂账等情况。其中，首次执行新金融工具准则以及发生其他期初数调整事项的企业，“年初账面余额” 按照调整后金额进行填列。</t>
        </is>
      </c>
    </row>
    <row r="30" s="176">
      <c r="A30" s="72" t="inlineStr">
        <is>
          <t>（2）“合同资产减值准备”、“债权投资减值准备”等指标当期应冲减的金额在“本期计提额”中反映。</t>
        </is>
      </c>
    </row>
    <row r="31" s="176">
      <c r="A31" s="72" t="inlineStr">
        <is>
          <t>（3）合并增加额、合并减少额：反映企业（集团）因合并范围变化而增加或减少的减值准备金额。因同一控制下企业合并增加的子公司，应调整合并期初数，不在本项目下反映。</t>
        </is>
      </c>
    </row>
  </sheetData>
  <mergeCells count="7">
    <mergeCell ref="M4:M5"/>
    <mergeCell ref="A1:M1"/>
    <mergeCell ref="B4:B5"/>
    <mergeCell ref="C4:C5"/>
    <mergeCell ref="A4:A5"/>
    <mergeCell ref="H4:L4"/>
    <mergeCell ref="D4:G4"/>
  </mergeCells>
  <conditionalFormatting sqref="C1:M1048576">
    <cfRule type="cellIs" priority="2" operator="equal">
      <formula>0</formula>
    </cfRule>
    <cfRule type="cellIs" priority="1" operator="equal" dxfId="0">
      <formula>0</formula>
    </cfRule>
  </conditionalFormatting>
  <printOptions horizontalCentered="1"/>
  <pageMargins left="0.550694444444444" right="0.432638888888889" top="1.0625" bottom="0.826388888888889" header="0.511811023622047" footer="0.511811023622047"/>
  <pageSetup orientation="landscape" paperSize="9" scale="72" fitToHeight="0" firstPageNumber="10" useFirstPageNumber="1"/>
  <headerFooter alignWithMargins="0">
    <oddHeader/>
    <oddFooter>&amp;C&amp;"Arial Narrow,常规"&amp;P</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codeName="Sheet9">
    <outlinePr summaryBelow="1" summaryRight="1"/>
    <pageSetUpPr/>
  </sheetPr>
  <dimension ref="A1:B8"/>
  <sheetViews>
    <sheetView workbookViewId="0">
      <selection activeCell="A1" sqref="A1"/>
    </sheetView>
  </sheetViews>
  <sheetFormatPr baseColWidth="8" defaultColWidth="9" defaultRowHeight="15.6" outlineLevelRow="7"/>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chu</dc:creator>
  <dcterms:created xmlns:dcterms="http://purl.org/dc/terms/" xmlns:xsi="http://www.w3.org/2001/XMLSchema-instance" xsi:type="dcterms:W3CDTF">2007-11-28T03:17:00Z</dcterms:created>
  <dcterms:modified xmlns:dcterms="http://purl.org/dc/terms/" xmlns:xsi="http://www.w3.org/2001/XMLSchema-instance" xsi:type="dcterms:W3CDTF">2026-06-08T14:54:35Z</dcterms:modified>
  <cp:lastModifiedBy>杨志</cp:lastModifiedBy>
  <cp:lastPrinted>2022-12-28T09:07:00Z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42A903CC3D6744DBA65D0D1659F509D5_12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