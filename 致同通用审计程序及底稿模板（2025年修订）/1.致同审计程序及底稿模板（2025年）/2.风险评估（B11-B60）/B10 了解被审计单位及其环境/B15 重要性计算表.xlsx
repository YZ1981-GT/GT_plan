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2.风险评估（B11-B60）\B10 了解被审计单位及其环境\"/>
    </mc:Choice>
  </mc:AlternateContent>
  <xr:revisionPtr revIDLastSave="0" documentId="13_ncr:1_{6AC57919-030B-4BE6-8CE7-5782CC4024BC}" xr6:coauthVersionLast="47" xr6:coauthVersionMax="47" xr10:uidLastSave="{00000000-0000-0000-0000-000000000000}"/>
  <bookViews>
    <workbookView xWindow="-108" yWindow="-108" windowWidth="23256" windowHeight="12576" activeTab="2" xr2:uid="{00000000-000D-0000-FFFF-FFFF00000000}"/>
  </bookViews>
  <sheets>
    <sheet name="准则及应用指南的相关规定" sheetId="2" r:id="rId1"/>
    <sheet name="填表说明" sheetId="3" r:id="rId2"/>
    <sheet name="B15 重要性计算表" sheetId="1" r:id="rId3"/>
  </sheets>
  <definedNames>
    <definedName name="_xlnm.Print_Area" localSheetId="2">'B15 重要性计算表'!$A$1:$H$37</definedName>
    <definedName name="_xlnm.Print_Titles" localSheetId="2">'B15 重要性计算表'!$1:$2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 l="1"/>
  <c r="F33" i="1" s="1"/>
  <c r="A12" i="1"/>
  <c r="A15" i="1"/>
  <c r="C15" i="1"/>
  <c r="B20" i="1" s="1"/>
  <c r="E20" i="1" s="1"/>
  <c r="A16" i="1"/>
  <c r="A20" i="1"/>
  <c r="E15" i="1" l="1"/>
  <c r="D17" i="1" s="1"/>
  <c r="G15" i="1"/>
  <c r="C24" i="1"/>
  <c r="B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tc={78AA10C8-DE6F-4B50-9506-54791644C20A}</author>
  </authors>
  <commentList>
    <comment ref="C38" authorId="0" shapeId="0" xr:uid="{78AA10C8-DE6F-4B50-9506-54791644C20A}">
      <text>
        <t>[线程批注]
你的Excel版本可读取此线程批注; 但如果在更新版本的Excel中打开文件，则对批注所作的任何改动都将被删除。了解详细信息: https://go.microsoft.com/fwlink/?linkid=870924
注释:
    公开交易类似实体包括IPO申报公司、新三板挂牌申报公司等</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nielin</author>
  </authors>
  <commentList>
    <comment ref="E14" authorId="0" shapeId="0" xr:uid="{00000000-0006-0000-0200-000001000000}">
      <text>
        <r>
          <rPr>
            <sz val="9"/>
            <color indexed="81"/>
            <rFont val="宋体"/>
            <family val="3"/>
            <charset val="134"/>
          </rPr>
          <t xml:space="preserve">可以根据企业实际情况在3%-5%之间调整
</t>
        </r>
      </text>
    </comment>
    <comment ref="G14" authorId="0" shapeId="0" xr:uid="{00000000-0006-0000-0200-000002000000}">
      <text>
        <r>
          <rPr>
            <b/>
            <sz val="9"/>
            <color indexed="81"/>
            <rFont val="宋体"/>
            <family val="3"/>
            <charset val="134"/>
          </rPr>
          <t>可以根据企业情况在3%-10%之间调整</t>
        </r>
      </text>
    </comment>
  </commentList>
</comments>
</file>

<file path=xl/sharedStrings.xml><?xml version="1.0" encoding="utf-8"?>
<sst xmlns="http://schemas.openxmlformats.org/spreadsheetml/2006/main" count="233" uniqueCount="213">
  <si>
    <t>预测数</t>
  </si>
  <si>
    <t>经常性业务的税前利润</t>
  </si>
  <si>
    <t>使用说明：</t>
    <phoneticPr fontId="3" type="noConversion"/>
  </si>
  <si>
    <t>本底稿指在协助我们在计划和执行审计工作时恰当地运用重要性概念。</t>
    <phoneticPr fontId="3" type="noConversion"/>
  </si>
  <si>
    <t>定义：</t>
    <phoneticPr fontId="3" type="noConversion"/>
  </si>
  <si>
    <t>CSA1221 第八条 实际执行的重要性，是指注册会计师确定的低于财务报表整体的重要性的一个或多个金额，旨在将未更正和未发现错报的汇总数超过财务报表整体的重要性的可能性降至适当的低水平。如果适用，实际执行的重要性还指注册会计师确定的低于特定类别的交易、账户余额或披露的重要性水平的一个或多个金额。</t>
    <phoneticPr fontId="3" type="noConversion"/>
  </si>
  <si>
    <t>指引：</t>
    <phoneticPr fontId="3" type="noConversion"/>
  </si>
  <si>
    <t>一、计划审计工作时确定重要性和实际执行的重要性</t>
    <phoneticPr fontId="3" type="noConversion"/>
  </si>
  <si>
    <t>CSA1221 第十条 在制定总体审计策略时，注册会计师应当确定财务报表整体的重要性。根据被审计单位的特定情况，如果存在一个或多个特定类别的交易、账户余额或披露，其发生的错报金额虽然低于财务报表整体的重要性，但合理预期可能影响财务报表使用者依据财务报表作出的经济决策，注册会计师还应当确定适用于这些交易、账户余额或披露的一个或多个重要性水平。
CSA1221 第十一条 注册会计师应当确定实际执行的重要性，以评估重大错报风险并确定进一步审计程序的性质、时间安排和范围。</t>
    <phoneticPr fontId="3" type="noConversion"/>
  </si>
  <si>
    <t>（一）确定财务报表整体的重要性</t>
    <phoneticPr fontId="3" type="noConversion"/>
  </si>
  <si>
    <t>示例：审计1-6月的财务报告，计算基准可选择1-6月税前利润，而不必换算成全年利润。只有当审计的是年度财务报表，在预审阶段确定重要性水平时，由于取得的是1-10月的财务报表，才要考虑将1-10月净利润换算为全年净利润，以计算年度财务报表审计的重要性水平。</t>
    <phoneticPr fontId="3" type="noConversion"/>
  </si>
  <si>
    <t>提示：“重要性水平计算表”的附表提供了常用的基准和对应的百分比的情况。</t>
    <phoneticPr fontId="3" type="noConversion"/>
  </si>
  <si>
    <t>（二）确定特定类别的交易、账户余额或披露的重要性水平</t>
    <phoneticPr fontId="3" type="noConversion"/>
  </si>
  <si>
    <t>（三）确定实际执行的重要性</t>
    <phoneticPr fontId="3" type="noConversion"/>
  </si>
  <si>
    <t>（四）确定错报明显微小的临界值</t>
    <phoneticPr fontId="3" type="noConversion"/>
  </si>
  <si>
    <t>CSA1251 第十六条 注册会计师应当就下列事项形成审计工作底稿：
（一）设定的某一金额，低于该金额的错报视为明显微小；</t>
    <phoneticPr fontId="3" type="noConversion"/>
  </si>
  <si>
    <t>二、审计过程中修改重要性</t>
    <phoneticPr fontId="3" type="noConversion"/>
  </si>
  <si>
    <t>三、在评价未更正错报的影响之前，根据被审计单位的实际财务情况重新评估上述重要性指标是否仍然适当</t>
    <phoneticPr fontId="3" type="noConversion"/>
  </si>
  <si>
    <t>CSA1251 第十一条 在评价未更正错报的影响之前，注册会计师应当重新评估按照《中国注册会计师审计准则第1221号——计划和执行审计工作时的重要性》的规定确定的重要性，以根据被审计单位的实际财务结果确认其是否仍然适当。</t>
    <phoneticPr fontId="3" type="noConversion"/>
  </si>
  <si>
    <t>CSA1251 第六条 注册会计师应当累积审计过程中识别出的错报，除非错报明显微小。</t>
    <phoneticPr fontId="3" type="noConversion"/>
  </si>
  <si>
    <t>3-5%</t>
    <phoneticPr fontId="3" type="noConversion"/>
  </si>
  <si>
    <t>0.25-1%</t>
    <phoneticPr fontId="3" type="noConversion"/>
  </si>
  <si>
    <t>3-10%</t>
    <phoneticPr fontId="3" type="noConversion"/>
  </si>
  <si>
    <t>0.25-3%</t>
    <phoneticPr fontId="3" type="noConversion"/>
  </si>
  <si>
    <t>0.25-2%</t>
    <phoneticPr fontId="3" type="noConversion"/>
  </si>
  <si>
    <t>0.25-4%</t>
    <phoneticPr fontId="3" type="noConversion"/>
  </si>
  <si>
    <r>
      <rPr>
        <b/>
        <sz val="10"/>
        <rFont val="、"/>
        <family val="3"/>
        <charset val="134"/>
      </rPr>
      <t>（一）确定财务报表整体重要性的基准的依据</t>
    </r>
    <phoneticPr fontId="3" type="noConversion"/>
  </si>
  <si>
    <r>
      <rPr>
        <b/>
        <sz val="10"/>
        <rFont val="、"/>
        <family val="3"/>
        <charset val="134"/>
      </rPr>
      <t>序号</t>
    </r>
    <phoneticPr fontId="3" type="noConversion"/>
  </si>
  <si>
    <r>
      <rPr>
        <b/>
        <sz val="10"/>
        <rFont val="、"/>
        <family val="3"/>
        <charset val="134"/>
      </rPr>
      <t>基准</t>
    </r>
    <phoneticPr fontId="3" type="noConversion"/>
  </si>
  <si>
    <r>
      <rPr>
        <b/>
        <sz val="10"/>
        <rFont val="、"/>
        <family val="3"/>
        <charset val="134"/>
      </rPr>
      <t>适用范围</t>
    </r>
    <phoneticPr fontId="3" type="noConversion"/>
  </si>
  <si>
    <r>
      <rPr>
        <sz val="10"/>
        <rFont val="、"/>
        <family val="3"/>
        <charset val="134"/>
      </rPr>
      <t>税前利润</t>
    </r>
    <phoneticPr fontId="3" type="noConversion"/>
  </si>
  <si>
    <r>
      <rPr>
        <sz val="10"/>
        <rFont val="、"/>
        <family val="3"/>
        <charset val="134"/>
      </rPr>
      <t>比较稳定、回报率较合理的企业、以营利为目的的实体</t>
    </r>
    <phoneticPr fontId="3" type="noConversion"/>
  </si>
  <si>
    <r>
      <rPr>
        <sz val="10"/>
        <rFont val="、"/>
        <family val="3"/>
        <charset val="134"/>
      </rPr>
      <t>营业收入</t>
    </r>
    <phoneticPr fontId="3" type="noConversion"/>
  </si>
  <si>
    <r>
      <rPr>
        <sz val="10"/>
        <rFont val="、"/>
        <family val="3"/>
        <charset val="134"/>
      </rPr>
      <t>微利企业、商业企业</t>
    </r>
    <phoneticPr fontId="3" type="noConversion"/>
  </si>
  <si>
    <r>
      <rPr>
        <sz val="10"/>
        <rFont val="、"/>
        <family val="3"/>
        <charset val="134"/>
      </rPr>
      <t>被审计单位的净利润每年变动幅度很大；
或者在盈利和亏损之间波动；
或者持续亏损，但经营成果比财务状况更为合适；
可以考虑采用总收入或毛利作为确定重要性水平的基准。</t>
    </r>
    <phoneticPr fontId="3" type="noConversion"/>
  </si>
  <si>
    <r>
      <rPr>
        <sz val="10"/>
        <rFont val="、"/>
        <family val="3"/>
        <charset val="134"/>
      </rPr>
      <t>总资产、净资产</t>
    </r>
    <phoneticPr fontId="3" type="noConversion"/>
  </si>
  <si>
    <r>
      <rPr>
        <sz val="10"/>
        <rFont val="、"/>
        <family val="3"/>
        <charset val="134"/>
      </rPr>
      <t>金融、保险或其他资产大而利润小的企业（如基金）</t>
    </r>
    <phoneticPr fontId="3" type="noConversion"/>
  </si>
  <si>
    <r>
      <rPr>
        <sz val="10"/>
        <rFont val="、"/>
        <family val="3"/>
        <charset val="134"/>
      </rPr>
      <t>当被审计单位的经营成果极差，以至于流动性和偿付能力问题成为至关重要的考虑因素时，可以采用所有者权益作为确定重要性水平的基准。</t>
    </r>
    <phoneticPr fontId="3" type="noConversion"/>
  </si>
  <si>
    <r>
      <rPr>
        <sz val="10"/>
        <rFont val="、"/>
        <family val="3"/>
        <charset val="134"/>
      </rPr>
      <t>当被审计单位的所有者权益很小，或存在持续经营可能性的企业，可以采用总资产作为确定重要性水平的基准</t>
    </r>
    <phoneticPr fontId="3" type="noConversion"/>
  </si>
  <si>
    <r>
      <rPr>
        <sz val="10"/>
        <rFont val="、"/>
        <family val="3"/>
        <charset val="134"/>
      </rPr>
      <t>收入或费用</t>
    </r>
    <phoneticPr fontId="3" type="noConversion"/>
  </si>
  <si>
    <r>
      <rPr>
        <sz val="10"/>
        <rFont val="、"/>
        <family val="3"/>
        <charset val="134"/>
      </rPr>
      <t>非营利组织</t>
    </r>
    <r>
      <rPr>
        <sz val="10"/>
        <rFont val="Times New Roman"/>
        <family val="1"/>
      </rPr>
      <t>(</t>
    </r>
    <r>
      <rPr>
        <sz val="10"/>
        <rFont val="、"/>
        <family val="3"/>
        <charset val="134"/>
      </rPr>
      <t>如学校、慈善机构、研发中心等</t>
    </r>
    <r>
      <rPr>
        <sz val="10"/>
        <rFont val="Times New Roman"/>
        <family val="1"/>
      </rPr>
      <t>)</t>
    </r>
    <phoneticPr fontId="3" type="noConversion"/>
  </si>
  <si>
    <r>
      <rPr>
        <b/>
        <sz val="10"/>
        <rFont val="、"/>
        <family val="3"/>
        <charset val="134"/>
      </rPr>
      <t>提示：以营利为目的的企业，通常采用被审计单位经常性业务税前利润</t>
    </r>
    <r>
      <rPr>
        <b/>
        <sz val="10"/>
        <rFont val="Times New Roman"/>
        <family val="1"/>
      </rPr>
      <t>(</t>
    </r>
    <r>
      <rPr>
        <b/>
        <sz val="10"/>
        <rFont val="、"/>
        <family val="3"/>
        <charset val="134"/>
      </rPr>
      <t>应当扣除非经常性损益</t>
    </r>
    <r>
      <rPr>
        <b/>
        <sz val="10"/>
        <rFont val="Times New Roman"/>
        <family val="1"/>
      </rPr>
      <t>)</t>
    </r>
    <r>
      <rPr>
        <b/>
        <sz val="10"/>
        <rFont val="、"/>
        <family val="3"/>
        <charset val="134"/>
      </rPr>
      <t>作为基准。</t>
    </r>
    <phoneticPr fontId="3" type="noConversion"/>
  </si>
  <si>
    <r>
      <rPr>
        <b/>
        <sz val="10"/>
        <rFont val="、"/>
        <family val="3"/>
        <charset val="134"/>
      </rPr>
      <t>被审计单位</t>
    </r>
    <r>
      <rPr>
        <b/>
        <sz val="10"/>
        <rFont val="Times New Roman"/>
        <family val="1"/>
      </rPr>
      <t xml:space="preserve"> </t>
    </r>
    <phoneticPr fontId="3" type="noConversion"/>
  </si>
  <si>
    <r>
      <rPr>
        <b/>
        <sz val="10"/>
        <rFont val="、"/>
        <family val="3"/>
        <charset val="134"/>
      </rPr>
      <t>恰当的基准</t>
    </r>
    <phoneticPr fontId="3" type="noConversion"/>
  </si>
  <si>
    <r>
      <rPr>
        <sz val="10"/>
        <rFont val="、"/>
        <family val="3"/>
        <charset val="134"/>
      </rPr>
      <t>以营利为目的的实体</t>
    </r>
    <r>
      <rPr>
        <sz val="10"/>
        <rFont val="Times New Roman"/>
        <family val="1"/>
      </rPr>
      <t xml:space="preserve"> </t>
    </r>
    <phoneticPr fontId="3" type="noConversion"/>
  </si>
  <si>
    <r>
      <rPr>
        <sz val="10"/>
        <rFont val="、"/>
        <family val="3"/>
        <charset val="134"/>
      </rPr>
      <t>经常性业务的税前利润</t>
    </r>
    <r>
      <rPr>
        <sz val="10"/>
        <rFont val="Times New Roman"/>
        <family val="1"/>
      </rPr>
      <t>/</t>
    </r>
    <r>
      <rPr>
        <sz val="10"/>
        <rFont val="、"/>
        <family val="3"/>
        <charset val="134"/>
      </rPr>
      <t>亏损</t>
    </r>
    <r>
      <rPr>
        <sz val="10"/>
        <rFont val="Times New Roman"/>
        <family val="1"/>
      </rPr>
      <t xml:space="preserve"> </t>
    </r>
    <phoneticPr fontId="3" type="noConversion"/>
  </si>
  <si>
    <r>
      <rPr>
        <sz val="10"/>
        <rFont val="、"/>
        <family val="3"/>
        <charset val="134"/>
      </rPr>
      <t>非营利性组织</t>
    </r>
    <r>
      <rPr>
        <sz val="10"/>
        <rFont val="Times New Roman"/>
        <family val="1"/>
      </rPr>
      <t xml:space="preserve"> (</t>
    </r>
    <r>
      <rPr>
        <sz val="10"/>
        <rFont val="、"/>
        <family val="3"/>
        <charset val="134"/>
      </rPr>
      <t>如学校、慈善机构、研发中心等</t>
    </r>
    <r>
      <rPr>
        <sz val="10"/>
        <rFont val="Times New Roman"/>
        <family val="1"/>
      </rPr>
      <t>)</t>
    </r>
    <phoneticPr fontId="3" type="noConversion"/>
  </si>
  <si>
    <r>
      <rPr>
        <sz val="10"/>
        <rFont val="、"/>
        <family val="3"/>
        <charset val="134"/>
      </rPr>
      <t>费用总额、收入或资产总额</t>
    </r>
    <r>
      <rPr>
        <sz val="10"/>
        <rFont val="Times New Roman"/>
        <family val="1"/>
      </rPr>
      <t xml:space="preserve"> </t>
    </r>
    <phoneticPr fontId="3" type="noConversion"/>
  </si>
  <si>
    <r>
      <rPr>
        <sz val="10"/>
        <rFont val="、"/>
        <family val="3"/>
        <charset val="134"/>
      </rPr>
      <t>经常性业务的税前利润</t>
    </r>
    <r>
      <rPr>
        <sz val="10"/>
        <rFont val="Times New Roman"/>
        <family val="1"/>
      </rPr>
      <t>/</t>
    </r>
    <r>
      <rPr>
        <sz val="10"/>
        <rFont val="、"/>
        <family val="3"/>
        <charset val="134"/>
      </rPr>
      <t>亏损波动较大；
或以前年度营利而本年度亏损的实体</t>
    </r>
    <r>
      <rPr>
        <sz val="10"/>
        <rFont val="Times New Roman"/>
        <family val="1"/>
      </rPr>
      <t xml:space="preserve"> </t>
    </r>
    <phoneticPr fontId="3" type="noConversion"/>
  </si>
  <si>
    <r>
      <rPr>
        <sz val="10"/>
        <rFont val="、"/>
        <family val="3"/>
        <charset val="134"/>
      </rPr>
      <t>将异常项目或非经常性项目加回；或使用近几年平均税前利润</t>
    </r>
    <r>
      <rPr>
        <sz val="10"/>
        <rFont val="Times New Roman"/>
        <family val="1"/>
      </rPr>
      <t>/</t>
    </r>
    <r>
      <rPr>
        <sz val="10"/>
        <rFont val="、"/>
        <family val="3"/>
        <charset val="134"/>
      </rPr>
      <t>亏损</t>
    </r>
    <r>
      <rPr>
        <sz val="10"/>
        <rFont val="Times New Roman"/>
        <family val="1"/>
      </rPr>
      <t>(</t>
    </r>
    <r>
      <rPr>
        <sz val="10"/>
        <rFont val="、"/>
        <family val="3"/>
        <charset val="134"/>
      </rPr>
      <t>通常</t>
    </r>
    <r>
      <rPr>
        <sz val="10"/>
        <rFont val="Times New Roman"/>
        <family val="1"/>
      </rPr>
      <t>3</t>
    </r>
    <r>
      <rPr>
        <sz val="10"/>
        <rFont val="、"/>
        <family val="3"/>
        <charset val="134"/>
      </rPr>
      <t>至</t>
    </r>
    <r>
      <rPr>
        <sz val="10"/>
        <rFont val="Times New Roman"/>
        <family val="1"/>
      </rPr>
      <t>5</t>
    </r>
    <r>
      <rPr>
        <sz val="10"/>
        <rFont val="、"/>
        <family val="3"/>
        <charset val="134"/>
      </rPr>
      <t>年</t>
    </r>
    <r>
      <rPr>
        <sz val="10"/>
        <rFont val="Times New Roman"/>
        <family val="1"/>
      </rPr>
      <t>)</t>
    </r>
    <r>
      <rPr>
        <sz val="10"/>
        <rFont val="、"/>
        <family val="3"/>
        <charset val="134"/>
      </rPr>
      <t>；或其他</t>
    </r>
    <r>
      <rPr>
        <sz val="10"/>
        <rFont val="Times New Roman"/>
        <family val="1"/>
      </rPr>
      <t xml:space="preserve"> </t>
    </r>
    <phoneticPr fontId="3" type="noConversion"/>
  </si>
  <si>
    <r>
      <rPr>
        <sz val="10"/>
        <rFont val="、"/>
        <family val="3"/>
        <charset val="134"/>
      </rPr>
      <t>新设立实体运营初期</t>
    </r>
    <phoneticPr fontId="3" type="noConversion"/>
  </si>
  <si>
    <r>
      <rPr>
        <sz val="10"/>
        <rFont val="、"/>
        <family val="3"/>
        <charset val="134"/>
      </rPr>
      <t>所有者权益总额、费用总额或资产总额</t>
    </r>
    <r>
      <rPr>
        <sz val="10"/>
        <rFont val="Times New Roman"/>
        <family val="1"/>
      </rPr>
      <t xml:space="preserve"> </t>
    </r>
    <phoneticPr fontId="3" type="noConversion"/>
  </si>
  <si>
    <r>
      <rPr>
        <sz val="10"/>
        <rFont val="、"/>
        <family val="3"/>
        <charset val="134"/>
      </rPr>
      <t>以资产为主的实体</t>
    </r>
    <r>
      <rPr>
        <sz val="10"/>
        <rFont val="Times New Roman"/>
        <family val="1"/>
      </rPr>
      <t xml:space="preserve"> (</t>
    </r>
    <r>
      <rPr>
        <sz val="10"/>
        <rFont val="、"/>
        <family val="3"/>
        <charset val="134"/>
      </rPr>
      <t>如基金</t>
    </r>
    <r>
      <rPr>
        <sz val="10"/>
        <rFont val="Times New Roman"/>
        <family val="1"/>
      </rPr>
      <t xml:space="preserve">) </t>
    </r>
    <phoneticPr fontId="3" type="noConversion"/>
  </si>
  <si>
    <r>
      <rPr>
        <sz val="10"/>
        <rFont val="、"/>
        <family val="3"/>
        <charset val="134"/>
      </rPr>
      <t>净资产</t>
    </r>
    <r>
      <rPr>
        <sz val="10"/>
        <rFont val="Times New Roman"/>
        <family val="1"/>
      </rPr>
      <t xml:space="preserve"> </t>
    </r>
    <phoneticPr fontId="3" type="noConversion"/>
  </si>
  <si>
    <r>
      <rPr>
        <b/>
        <sz val="10"/>
        <rFont val="、"/>
        <family val="3"/>
        <charset val="134"/>
      </rPr>
      <t>（二）计算基础</t>
    </r>
    <phoneticPr fontId="3" type="noConversion"/>
  </si>
  <si>
    <r>
      <rPr>
        <b/>
        <sz val="10"/>
        <rFont val="、"/>
        <family val="3"/>
        <charset val="134"/>
      </rPr>
      <t>计算基础</t>
    </r>
    <phoneticPr fontId="3" type="noConversion"/>
  </si>
  <si>
    <r>
      <rPr>
        <sz val="10"/>
        <rFont val="、"/>
        <family val="3"/>
        <charset val="134"/>
      </rPr>
      <t>预测数</t>
    </r>
    <phoneticPr fontId="3" type="noConversion"/>
  </si>
  <si>
    <r>
      <rPr>
        <sz val="10"/>
        <rFont val="、"/>
        <family val="3"/>
        <charset val="134"/>
      </rPr>
      <t>三年平均数</t>
    </r>
    <phoneticPr fontId="3" type="noConversion"/>
  </si>
  <si>
    <r>
      <rPr>
        <sz val="10"/>
        <rFont val="、"/>
        <family val="3"/>
        <charset val="134"/>
      </rPr>
      <t>如果发现所选取的基准（如净利润），在本年度因某些情况发生意外波动</t>
    </r>
    <phoneticPr fontId="3" type="noConversion"/>
  </si>
  <si>
    <r>
      <rPr>
        <sz val="10"/>
        <rFont val="、"/>
        <family val="3"/>
        <charset val="134"/>
      </rPr>
      <t>年末未审数</t>
    </r>
    <phoneticPr fontId="3" type="noConversion"/>
  </si>
  <si>
    <r>
      <rPr>
        <sz val="10"/>
        <rFont val="、"/>
        <family val="3"/>
        <charset val="134"/>
      </rPr>
      <t>指被审计单位年末未审数</t>
    </r>
    <phoneticPr fontId="3" type="noConversion"/>
  </si>
  <si>
    <r>
      <t>A</t>
    </r>
    <r>
      <rPr>
        <sz val="10"/>
        <rFont val="、"/>
        <family val="3"/>
        <charset val="134"/>
      </rPr>
      <t>、当以资产总额或净资产为基础计算重要水平时，可采用资产负债表日或接近该日的余额（例如总账、试算平衡表，或内部财务报表）</t>
    </r>
    <phoneticPr fontId="3" type="noConversion"/>
  </si>
  <si>
    <r>
      <rPr>
        <b/>
        <sz val="10"/>
        <rFont val="、"/>
        <family val="3"/>
        <charset val="134"/>
      </rPr>
      <t>（三）计算比例</t>
    </r>
    <phoneticPr fontId="3" type="noConversion"/>
  </si>
  <si>
    <r>
      <rPr>
        <b/>
        <sz val="10"/>
        <color indexed="8"/>
        <rFont val="、"/>
        <family val="3"/>
        <charset val="134"/>
      </rPr>
      <t>基准</t>
    </r>
  </si>
  <si>
    <r>
      <rPr>
        <b/>
        <sz val="10"/>
        <rFont val="、"/>
        <family val="3"/>
        <charset val="134"/>
      </rPr>
      <t>说明</t>
    </r>
  </si>
  <si>
    <r>
      <rPr>
        <sz val="10"/>
        <color indexed="8"/>
        <rFont val="、"/>
        <family val="3"/>
        <charset val="134"/>
      </rPr>
      <t>经常性业务的税前利润
（扣除非经常性损益）</t>
    </r>
    <phoneticPr fontId="3" type="noConversion"/>
  </si>
  <si>
    <r>
      <rPr>
        <sz val="10"/>
        <color indexed="8"/>
        <rFont val="、"/>
        <family val="3"/>
        <charset val="134"/>
      </rPr>
      <t>资产总额</t>
    </r>
  </si>
  <si>
    <r>
      <rPr>
        <sz val="10"/>
        <rFont val="、"/>
        <family val="3"/>
        <charset val="134"/>
      </rPr>
      <t>营业收入总额</t>
    </r>
  </si>
  <si>
    <r>
      <rPr>
        <sz val="10"/>
        <color indexed="8"/>
        <rFont val="、"/>
        <family val="3"/>
        <charset val="134"/>
      </rPr>
      <t>毛利</t>
    </r>
  </si>
  <si>
    <r>
      <rPr>
        <sz val="10"/>
        <rFont val="、"/>
        <family val="3"/>
        <charset val="134"/>
      </rPr>
      <t>以营利为目的的企业，通常采用被审计单位经常性业务税前利润的</t>
    </r>
    <r>
      <rPr>
        <sz val="10"/>
        <rFont val="Times New Roman"/>
        <family val="1"/>
      </rPr>
      <t>3-10%</t>
    </r>
    <r>
      <rPr>
        <sz val="10"/>
        <rFont val="、"/>
        <family val="3"/>
        <charset val="134"/>
      </rPr>
      <t>；上市公司为</t>
    </r>
    <r>
      <rPr>
        <sz val="10"/>
        <rFont val="Times New Roman"/>
        <family val="1"/>
      </rPr>
      <t>3-5%</t>
    </r>
    <r>
      <rPr>
        <sz val="10"/>
        <rFont val="、"/>
        <family val="3"/>
        <charset val="134"/>
      </rPr>
      <t>。
当具备下列条件时，可以考虑采用税前利润的</t>
    </r>
    <r>
      <rPr>
        <sz val="10"/>
        <rFont val="Times New Roman"/>
        <family val="1"/>
      </rPr>
      <t>10%</t>
    </r>
    <r>
      <rPr>
        <sz val="10"/>
        <rFont val="、"/>
        <family val="3"/>
        <charset val="134"/>
      </rPr>
      <t>确定财务报表整体的重要性水平：
（</t>
    </r>
    <r>
      <rPr>
        <sz val="10"/>
        <rFont val="Times New Roman"/>
        <family val="1"/>
      </rPr>
      <t>1</t>
    </r>
    <r>
      <rPr>
        <sz val="10"/>
        <rFont val="、"/>
        <family val="3"/>
        <charset val="134"/>
      </rPr>
      <t>）私下公司（</t>
    </r>
    <r>
      <rPr>
        <sz val="10"/>
        <rFont val="Times New Roman"/>
        <family val="1"/>
      </rPr>
      <t>Closely held</t>
    </r>
    <r>
      <rPr>
        <sz val="10"/>
        <rFont val="、"/>
        <family val="3"/>
        <charset val="134"/>
      </rPr>
      <t>）；
（</t>
    </r>
    <r>
      <rPr>
        <sz val="10"/>
        <rFont val="Times New Roman"/>
        <family val="1"/>
      </rPr>
      <t>2</t>
    </r>
    <r>
      <rPr>
        <sz val="10"/>
        <rFont val="、"/>
        <family val="3"/>
        <charset val="134"/>
      </rPr>
      <t>）没有公开债务（</t>
    </r>
    <r>
      <rPr>
        <sz val="10"/>
        <rFont val="Times New Roman"/>
        <family val="1"/>
      </rPr>
      <t>No publicly-traded debt</t>
    </r>
    <r>
      <rPr>
        <sz val="10"/>
        <rFont val="、"/>
        <family val="3"/>
        <charset val="134"/>
      </rPr>
      <t>）；
（</t>
    </r>
    <r>
      <rPr>
        <sz val="10"/>
        <rFont val="Times New Roman"/>
        <family val="1"/>
      </rPr>
      <t>3</t>
    </r>
    <r>
      <rPr>
        <sz val="10"/>
        <rFont val="、"/>
        <family val="3"/>
        <charset val="134"/>
      </rPr>
      <t>）财务报表的外部使用者很少；
（</t>
    </r>
    <r>
      <rPr>
        <sz val="10"/>
        <rFont val="Times New Roman"/>
        <family val="1"/>
      </rPr>
      <t>4</t>
    </r>
    <r>
      <rPr>
        <sz val="10"/>
        <rFont val="、"/>
        <family val="3"/>
        <charset val="134"/>
      </rPr>
      <t>）不可能公开上市；
（</t>
    </r>
    <r>
      <rPr>
        <sz val="10"/>
        <rFont val="Times New Roman"/>
        <family val="1"/>
      </rPr>
      <t>5</t>
    </r>
    <r>
      <rPr>
        <sz val="10"/>
        <rFont val="、"/>
        <family val="3"/>
        <charset val="134"/>
      </rPr>
      <t>）行业环境的变化不快；
（</t>
    </r>
    <r>
      <rPr>
        <sz val="10"/>
        <rFont val="Times New Roman"/>
        <family val="1"/>
      </rPr>
      <t>6</t>
    </r>
    <r>
      <rPr>
        <sz val="10"/>
        <rFont val="、"/>
        <family val="3"/>
        <charset val="134"/>
      </rPr>
      <t>）主业项目切实可行，资产负债表状况良好；
（</t>
    </r>
    <r>
      <rPr>
        <sz val="10"/>
        <rFont val="Times New Roman"/>
        <family val="1"/>
      </rPr>
      <t>7</t>
    </r>
    <r>
      <rPr>
        <sz val="10"/>
        <rFont val="、"/>
        <family val="3"/>
        <charset val="134"/>
      </rPr>
      <t>）管理层具备胜任能力，高度诚恳、正直、传统；
（</t>
    </r>
    <r>
      <rPr>
        <sz val="10"/>
        <rFont val="Times New Roman"/>
        <family val="1"/>
      </rPr>
      <t>8</t>
    </r>
    <r>
      <rPr>
        <sz val="10"/>
        <rFont val="、"/>
        <family val="3"/>
        <charset val="134"/>
      </rPr>
      <t>）公司整体层面的内部控制有效；
（</t>
    </r>
    <r>
      <rPr>
        <sz val="10"/>
        <rFont val="Times New Roman"/>
        <family val="1"/>
      </rPr>
      <t>9</t>
    </r>
    <r>
      <rPr>
        <sz val="10"/>
        <rFont val="、"/>
        <family val="3"/>
        <charset val="134"/>
      </rPr>
      <t>）对于持续经验的公司来说，过去已调整和未调整的审计差异之和不超过税前利润的</t>
    </r>
    <r>
      <rPr>
        <sz val="10"/>
        <rFont val="Times New Roman"/>
        <family val="1"/>
      </rPr>
      <t>3-5%</t>
    </r>
    <r>
      <rPr>
        <sz val="10"/>
        <rFont val="、"/>
        <family val="3"/>
        <charset val="134"/>
      </rPr>
      <t>。</t>
    </r>
    <phoneticPr fontId="3" type="noConversion"/>
  </si>
  <si>
    <r>
      <rPr>
        <b/>
        <sz val="10"/>
        <rFont val="、"/>
        <family val="3"/>
        <charset val="134"/>
      </rPr>
      <t>二、实际执行的重要性（可容忍错报</t>
    </r>
    <r>
      <rPr>
        <b/>
        <sz val="10"/>
        <rFont val="Times New Roman"/>
        <family val="1"/>
      </rPr>
      <t>TE</t>
    </r>
    <r>
      <rPr>
        <b/>
        <sz val="10"/>
        <rFont val="、"/>
        <family val="3"/>
        <charset val="134"/>
      </rPr>
      <t>）</t>
    </r>
    <phoneticPr fontId="3" type="noConversion"/>
  </si>
  <si>
    <r>
      <rPr>
        <b/>
        <sz val="10"/>
        <rFont val="、"/>
        <family val="3"/>
        <charset val="134"/>
      </rPr>
      <t>比例</t>
    </r>
    <phoneticPr fontId="3" type="noConversion"/>
  </si>
  <si>
    <r>
      <rPr>
        <b/>
        <sz val="10"/>
        <rFont val="、"/>
        <family val="3"/>
        <charset val="134"/>
      </rPr>
      <t>说明</t>
    </r>
    <phoneticPr fontId="3" type="noConversion"/>
  </si>
  <si>
    <r>
      <rPr>
        <sz val="10"/>
        <rFont val="、"/>
        <family val="3"/>
        <charset val="134"/>
      </rPr>
      <t>财务报表整体重要性</t>
    </r>
    <phoneticPr fontId="3" type="noConversion"/>
  </si>
  <si>
    <r>
      <t>45%</t>
    </r>
    <r>
      <rPr>
        <sz val="10"/>
        <rFont val="、"/>
        <family val="3"/>
        <charset val="134"/>
      </rPr>
      <t>～</t>
    </r>
    <r>
      <rPr>
        <sz val="10"/>
        <rFont val="Times New Roman"/>
        <family val="1"/>
      </rPr>
      <t>75%</t>
    </r>
    <phoneticPr fontId="3" type="noConversion"/>
  </si>
  <si>
    <r>
      <t>GTI</t>
    </r>
    <r>
      <rPr>
        <sz val="10"/>
        <rFont val="、"/>
        <family val="3"/>
        <charset val="134"/>
      </rPr>
      <t>的统一要求</t>
    </r>
    <phoneticPr fontId="3" type="noConversion"/>
  </si>
  <si>
    <r>
      <rPr>
        <b/>
        <sz val="10"/>
        <rFont val="、"/>
        <family val="3"/>
        <charset val="134"/>
      </rPr>
      <t>选取可容忍错报比例的判断因素：</t>
    </r>
    <phoneticPr fontId="3" type="noConversion"/>
  </si>
  <si>
    <r>
      <rPr>
        <b/>
        <sz val="10"/>
        <color theme="1"/>
        <rFont val="、"/>
        <family val="3"/>
        <charset val="134"/>
      </rPr>
      <t>因素</t>
    </r>
    <phoneticPr fontId="3" type="noConversion"/>
  </si>
  <si>
    <r>
      <rPr>
        <b/>
        <sz val="10"/>
        <color theme="1"/>
        <rFont val="、"/>
        <family val="3"/>
        <charset val="134"/>
      </rPr>
      <t>更低的可容忍错报</t>
    </r>
    <phoneticPr fontId="3" type="noConversion"/>
  </si>
  <si>
    <r>
      <rPr>
        <b/>
        <sz val="10"/>
        <color theme="1"/>
        <rFont val="、"/>
        <family val="3"/>
        <charset val="134"/>
      </rPr>
      <t>更高的可容忍错报</t>
    </r>
    <phoneticPr fontId="3" type="noConversion"/>
  </si>
  <si>
    <r>
      <t xml:space="preserve"> </t>
    </r>
    <r>
      <rPr>
        <sz val="10"/>
        <color indexed="8"/>
        <rFont val="、"/>
        <family val="3"/>
        <charset val="134"/>
      </rPr>
      <t>以前的审计经验</t>
    </r>
    <phoneticPr fontId="3" type="noConversion"/>
  </si>
  <si>
    <r>
      <rPr>
        <sz val="10"/>
        <color theme="1"/>
        <rFont val="、"/>
        <family val="3"/>
        <charset val="134"/>
      </rPr>
      <t>在前期所识别的错报，特别是在多个循环中发现错报</t>
    </r>
    <phoneticPr fontId="3" type="noConversion"/>
  </si>
  <si>
    <r>
      <t xml:space="preserve"> </t>
    </r>
    <r>
      <rPr>
        <sz val="10"/>
        <color indexed="8"/>
        <rFont val="、"/>
        <family val="3"/>
        <charset val="134"/>
      </rPr>
      <t>在前期较少或没有发现错报。</t>
    </r>
    <phoneticPr fontId="3" type="noConversion"/>
  </si>
  <si>
    <r>
      <rPr>
        <sz val="10"/>
        <color rgb="FF000000"/>
        <rFont val="、"/>
        <family val="3"/>
        <charset val="134"/>
      </rPr>
      <t>经营活动</t>
    </r>
    <phoneticPr fontId="3" type="noConversion"/>
  </si>
  <si>
    <r>
      <rPr>
        <sz val="10"/>
        <color rgb="FF000000"/>
        <rFont val="、"/>
        <family val="3"/>
        <charset val="134"/>
      </rPr>
      <t>经营活动的消极变化或复杂性增加导致发生错报的风险增加</t>
    </r>
    <phoneticPr fontId="3" type="noConversion"/>
  </si>
  <si>
    <r>
      <rPr>
        <sz val="10"/>
        <color rgb="FF000000"/>
        <rFont val="、"/>
        <family val="3"/>
        <charset val="134"/>
      </rPr>
      <t>在前期较少或没有发现错报，并且经营活动与前期保持平稳</t>
    </r>
    <phoneticPr fontId="3" type="noConversion"/>
  </si>
  <si>
    <r>
      <rPr>
        <sz val="10"/>
        <color rgb="FF000000"/>
        <rFont val="、"/>
        <family val="3"/>
        <charset val="134"/>
      </rPr>
      <t>经营活动的积极变化或复杂性降低导致发生错报的风险减少</t>
    </r>
    <phoneticPr fontId="3" type="noConversion"/>
  </si>
  <si>
    <r>
      <rPr>
        <sz val="10"/>
        <color rgb="FF000000"/>
        <rFont val="、"/>
        <family val="3"/>
        <charset val="134"/>
      </rPr>
      <t>会计系统（人员、流程和技术）</t>
    </r>
    <phoneticPr fontId="3" type="noConversion"/>
  </si>
  <si>
    <r>
      <rPr>
        <sz val="10"/>
        <color theme="1"/>
        <rFont val="、"/>
        <family val="3"/>
        <charset val="134"/>
      </rPr>
      <t>在该期间会计系统发生变化导致发生错报的风险增加</t>
    </r>
    <phoneticPr fontId="3" type="noConversion"/>
  </si>
  <si>
    <r>
      <rPr>
        <sz val="10"/>
        <color rgb="FF000000"/>
        <rFont val="、"/>
        <family val="3"/>
        <charset val="134"/>
      </rPr>
      <t>在该期间会计系统较少的发生变化，并且与以前保持一致</t>
    </r>
    <phoneticPr fontId="3" type="noConversion"/>
  </si>
  <si>
    <r>
      <rPr>
        <sz val="10"/>
        <rFont val="、"/>
        <family val="3"/>
        <charset val="134"/>
      </rPr>
      <t>在该期间改进会计系统导致发生错报的风险减少</t>
    </r>
    <phoneticPr fontId="3" type="noConversion"/>
  </si>
  <si>
    <r>
      <rPr>
        <sz val="10"/>
        <rFont val="、"/>
        <family val="3"/>
        <charset val="134"/>
      </rPr>
      <t>舞弊风险</t>
    </r>
    <phoneticPr fontId="3" type="noConversion"/>
  </si>
  <si>
    <r>
      <rPr>
        <sz val="10"/>
        <color theme="1"/>
        <rFont val="、"/>
        <family val="3"/>
        <charset val="134"/>
      </rPr>
      <t>识别到较高舞弊风险因素</t>
    </r>
    <phoneticPr fontId="3" type="noConversion"/>
  </si>
  <si>
    <r>
      <rPr>
        <sz val="10"/>
        <rFont val="、"/>
        <family val="3"/>
        <charset val="134"/>
      </rPr>
      <t>未识别到较高舞弊风险因素</t>
    </r>
    <phoneticPr fontId="3" type="noConversion"/>
  </si>
  <si>
    <r>
      <rPr>
        <b/>
        <sz val="10"/>
        <rFont val="、"/>
        <family val="3"/>
        <charset val="134"/>
      </rPr>
      <t>三、临界值（明显微小错报金额）</t>
    </r>
    <phoneticPr fontId="3" type="noConversion"/>
  </si>
  <si>
    <r>
      <rPr>
        <sz val="10"/>
        <rFont val="、"/>
        <family val="3"/>
        <charset val="134"/>
      </rPr>
      <t>整体重要性水平</t>
    </r>
    <phoneticPr fontId="3" type="noConversion"/>
  </si>
  <si>
    <r>
      <rPr>
        <sz val="10"/>
        <rFont val="、"/>
        <family val="3"/>
        <charset val="134"/>
      </rPr>
      <t>小于临界值的已识别未更正错报可以不归集为审计差异，即不需要将低于该界限的已识别未更正错报计入</t>
    </r>
    <r>
      <rPr>
        <sz val="10"/>
        <rFont val="Times New Roman"/>
        <family val="1"/>
      </rPr>
      <t>“</t>
    </r>
    <r>
      <rPr>
        <sz val="10"/>
        <rFont val="、"/>
        <family val="3"/>
        <charset val="134"/>
      </rPr>
      <t>错报汇总表</t>
    </r>
    <r>
      <rPr>
        <sz val="10"/>
        <rFont val="Times New Roman"/>
        <family val="1"/>
      </rPr>
      <t>”</t>
    </r>
    <r>
      <rPr>
        <sz val="10"/>
        <rFont val="、"/>
        <family val="3"/>
        <charset val="134"/>
      </rPr>
      <t xml:space="preserve">。
</t>
    </r>
    <r>
      <rPr>
        <sz val="10"/>
        <rFont val="Times New Roman"/>
        <family val="1"/>
      </rPr>
      <t>GTI</t>
    </r>
    <r>
      <rPr>
        <sz val="10"/>
        <rFont val="、"/>
        <family val="3"/>
        <charset val="134"/>
      </rPr>
      <t>要求，临界值不超过财务报表整体重要性水平</t>
    </r>
    <r>
      <rPr>
        <sz val="10"/>
        <rFont val="Times New Roman"/>
        <family val="1"/>
      </rPr>
      <t>5%</t>
    </r>
    <r>
      <rPr>
        <sz val="10"/>
        <rFont val="、"/>
        <family val="3"/>
        <charset val="134"/>
      </rPr>
      <t>。项目负责人根据职业判断也可以采用一个较低的临界值。</t>
    </r>
    <phoneticPr fontId="3" type="noConversion"/>
  </si>
  <si>
    <t>随着被审计单位的规模的扩大和复杂性的提高，用于计算重要性的百分比应选用恰当的水平，下表为项目组提供了在选用较高还是较低百分比时的相关指引：</t>
    <phoneticPr fontId="3" type="noConversion"/>
  </si>
  <si>
    <t>较低百分比</t>
  </si>
  <si>
    <t>规模较大</t>
  </si>
  <si>
    <t>√</t>
  </si>
  <si>
    <t>跨国集团</t>
  </si>
  <si>
    <t>非上市</t>
  </si>
  <si>
    <t>被审计单位特征</t>
    <phoneticPr fontId="3" type="noConversion"/>
  </si>
  <si>
    <t>√</t>
    <phoneticPr fontId="3" type="noConversion"/>
  </si>
  <si>
    <r>
      <rPr>
        <sz val="10"/>
        <color indexed="8"/>
        <rFont val="宋体"/>
        <family val="3"/>
        <charset val="134"/>
      </rPr>
      <t>编制人：</t>
    </r>
    <phoneticPr fontId="3" type="noConversion"/>
  </si>
  <si>
    <r>
      <rPr>
        <sz val="10"/>
        <rFont val="宋体"/>
        <family val="3"/>
        <charset val="134"/>
      </rPr>
      <t>索引号</t>
    </r>
    <r>
      <rPr>
        <sz val="10"/>
        <rFont val="Arial Narrow"/>
        <family val="2"/>
      </rPr>
      <t xml:space="preserve"> </t>
    </r>
    <r>
      <rPr>
        <sz val="10"/>
        <rFont val="宋体"/>
        <family val="3"/>
        <charset val="134"/>
      </rPr>
      <t>：</t>
    </r>
    <r>
      <rPr>
        <sz val="10"/>
        <rFont val="Arial Narrow"/>
        <family val="2"/>
      </rPr>
      <t xml:space="preserve">    </t>
    </r>
    <phoneticPr fontId="3" type="noConversion"/>
  </si>
  <si>
    <r>
      <rPr>
        <sz val="10"/>
        <color indexed="8"/>
        <rFont val="宋体"/>
        <family val="3"/>
        <charset val="134"/>
      </rPr>
      <t>会计期间：</t>
    </r>
    <phoneticPr fontId="3" type="noConversion"/>
  </si>
  <si>
    <r>
      <rPr>
        <sz val="10"/>
        <color indexed="8"/>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</si>
  <si>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</si>
  <si>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t xml:space="preserve">2. </t>
    </r>
    <r>
      <rPr>
        <b/>
        <sz val="10"/>
        <rFont val="宋体"/>
        <family val="3"/>
        <charset val="134"/>
      </rPr>
      <t>定量因素（金额单位：万元）</t>
    </r>
    <phoneticPr fontId="3" type="noConversion"/>
  </si>
  <si>
    <r>
      <t>2.1</t>
    </r>
    <r>
      <rPr>
        <b/>
        <sz val="10"/>
        <rFont val="宋体"/>
        <family val="3"/>
        <charset val="134"/>
      </rPr>
      <t>计算财务报表整体重要性的基准</t>
    </r>
    <phoneticPr fontId="3" type="noConversion"/>
  </si>
  <si>
    <r>
      <rPr>
        <sz val="10"/>
        <rFont val="宋体"/>
        <family val="3"/>
        <charset val="134"/>
      </rPr>
      <t>最合适的确定重要性的基准：</t>
    </r>
    <r>
      <rPr>
        <sz val="10"/>
        <rFont val="Arial Narrow"/>
        <family val="2"/>
      </rPr>
      <t xml:space="preserve"> </t>
    </r>
    <phoneticPr fontId="3" type="noConversion"/>
  </si>
  <si>
    <r>
      <rPr>
        <sz val="10"/>
        <rFont val="宋体"/>
        <family val="3"/>
        <charset val="134"/>
      </rPr>
      <t>请说明确定重要性基准的依据：</t>
    </r>
    <phoneticPr fontId="3" type="noConversion"/>
  </si>
  <si>
    <r>
      <rPr>
        <sz val="10"/>
        <color rgb="FFFF0000"/>
        <rFont val="宋体"/>
        <family val="3"/>
        <charset val="134"/>
      </rPr>
      <t>盈利企业，每年利润变动不大</t>
    </r>
    <phoneticPr fontId="7" type="noConversion"/>
  </si>
  <si>
    <r>
      <t>2.1</t>
    </r>
    <r>
      <rPr>
        <b/>
        <sz val="10"/>
        <rFont val="宋体"/>
        <family val="3"/>
        <charset val="134"/>
      </rPr>
      <t>计算基础</t>
    </r>
    <phoneticPr fontId="3" type="noConversion"/>
  </si>
  <si>
    <r>
      <rPr>
        <b/>
        <sz val="10"/>
        <rFont val="宋体"/>
        <family val="3"/>
        <charset val="134"/>
      </rPr>
      <t>项目</t>
    </r>
    <phoneticPr fontId="3" type="noConversion"/>
  </si>
  <si>
    <r>
      <rPr>
        <b/>
        <sz val="10"/>
        <rFont val="宋体"/>
        <family val="3"/>
        <charset val="134"/>
      </rPr>
      <t>本年预测数或年末未审数</t>
    </r>
    <phoneticPr fontId="3" type="noConversion"/>
  </si>
  <si>
    <r>
      <rPr>
        <b/>
        <sz val="10"/>
        <rFont val="宋体"/>
        <family val="3"/>
        <charset val="134"/>
      </rPr>
      <t>上年数</t>
    </r>
    <phoneticPr fontId="3" type="noConversion"/>
  </si>
  <si>
    <r>
      <rPr>
        <b/>
        <sz val="10"/>
        <rFont val="宋体"/>
        <family val="3"/>
        <charset val="134"/>
      </rPr>
      <t>倒数第二年</t>
    </r>
    <phoneticPr fontId="3" type="noConversion"/>
  </si>
  <si>
    <r>
      <rPr>
        <b/>
        <sz val="10"/>
        <rFont val="宋体"/>
        <family val="3"/>
        <charset val="134"/>
      </rPr>
      <t>确定的计算基础</t>
    </r>
    <phoneticPr fontId="3" type="noConversion"/>
  </si>
  <si>
    <r>
      <rPr>
        <b/>
        <sz val="10"/>
        <rFont val="宋体"/>
        <family val="3"/>
        <charset val="134"/>
      </rPr>
      <t>基准</t>
    </r>
    <phoneticPr fontId="3" type="noConversion"/>
  </si>
  <si>
    <r>
      <rPr>
        <b/>
        <sz val="10"/>
        <rFont val="宋体"/>
        <family val="3"/>
        <charset val="134"/>
      </rPr>
      <t>计算基础</t>
    </r>
    <phoneticPr fontId="3" type="noConversion"/>
  </si>
  <si>
    <r>
      <rPr>
        <b/>
        <sz val="10"/>
        <rFont val="宋体"/>
        <family val="3"/>
        <charset val="134"/>
      </rPr>
      <t>金额</t>
    </r>
    <phoneticPr fontId="3" type="noConversion"/>
  </si>
  <si>
    <r>
      <rPr>
        <b/>
        <sz val="10"/>
        <rFont val="宋体"/>
        <family val="3"/>
        <charset val="134"/>
      </rPr>
      <t>比率</t>
    </r>
    <phoneticPr fontId="3" type="noConversion"/>
  </si>
  <si>
    <r>
      <t>3.</t>
    </r>
    <r>
      <rPr>
        <b/>
        <sz val="10"/>
        <rFont val="宋体"/>
        <family val="3"/>
        <charset val="134"/>
      </rPr>
      <t>财务报表整体重要性的初步判断（金额单位：万元）</t>
    </r>
    <phoneticPr fontId="3" type="noConversion"/>
  </si>
  <si>
    <r>
      <t>3.1</t>
    </r>
    <r>
      <rPr>
        <b/>
        <sz val="10"/>
        <rFont val="宋体"/>
        <family val="3"/>
        <charset val="134"/>
      </rPr>
      <t>财务报表整体的重要性（计划重要性水平</t>
    </r>
    <r>
      <rPr>
        <b/>
        <sz val="10"/>
        <rFont val="Arial Narrow"/>
        <family val="2"/>
      </rPr>
      <t>PM</t>
    </r>
    <r>
      <rPr>
        <b/>
        <sz val="10"/>
        <rFont val="宋体"/>
        <family val="3"/>
        <charset val="134"/>
      </rPr>
      <t>）</t>
    </r>
    <phoneticPr fontId="3" type="noConversion"/>
  </si>
  <si>
    <r>
      <rPr>
        <b/>
        <sz val="10"/>
        <rFont val="宋体"/>
        <family val="3"/>
        <charset val="134"/>
      </rPr>
      <t>计算基数</t>
    </r>
    <phoneticPr fontId="3" type="noConversion"/>
  </si>
  <si>
    <r>
      <rPr>
        <b/>
        <sz val="10"/>
        <rFont val="宋体"/>
        <family val="3"/>
        <charset val="134"/>
      </rPr>
      <t>选定的比率</t>
    </r>
    <phoneticPr fontId="3" type="noConversion"/>
  </si>
  <si>
    <r>
      <rPr>
        <b/>
        <sz val="10"/>
        <rFont val="宋体"/>
        <family val="3"/>
        <charset val="134"/>
      </rPr>
      <t>本年重要性水平</t>
    </r>
    <phoneticPr fontId="3" type="noConversion"/>
  </si>
  <si>
    <r>
      <rPr>
        <b/>
        <sz val="10"/>
        <rFont val="宋体"/>
        <family val="3"/>
        <charset val="134"/>
      </rPr>
      <t>上年重要性水平</t>
    </r>
    <phoneticPr fontId="3" type="noConversion"/>
  </si>
  <si>
    <r>
      <rPr>
        <sz val="10"/>
        <rFont val="宋体"/>
        <family val="3"/>
        <charset val="134"/>
      </rPr>
      <t>记录确定重要性水平的理由，在确定基准的百分比时需考虑的性质方面的因素：</t>
    </r>
    <phoneticPr fontId="3" type="noConversion"/>
  </si>
  <si>
    <r>
      <t>3.2</t>
    </r>
    <r>
      <rPr>
        <b/>
        <sz val="10"/>
        <rFont val="宋体"/>
        <family val="3"/>
        <charset val="134"/>
      </rPr>
      <t>实际执行的重要性（可容忍错报</t>
    </r>
    <r>
      <rPr>
        <b/>
        <sz val="10"/>
        <rFont val="Arial Narrow"/>
        <family val="2"/>
      </rPr>
      <t>TE</t>
    </r>
    <r>
      <rPr>
        <b/>
        <sz val="10"/>
        <rFont val="宋体"/>
        <family val="3"/>
        <charset val="134"/>
      </rPr>
      <t>）</t>
    </r>
    <phoneticPr fontId="3" type="noConversion"/>
  </si>
  <si>
    <r>
      <rPr>
        <b/>
        <sz val="10"/>
        <rFont val="宋体"/>
        <family val="3"/>
        <charset val="134"/>
      </rPr>
      <t>百分比（</t>
    </r>
    <r>
      <rPr>
        <b/>
        <sz val="10"/>
        <rFont val="Arial Narrow"/>
        <family val="2"/>
      </rPr>
      <t>45%</t>
    </r>
    <r>
      <rPr>
        <b/>
        <sz val="10"/>
        <rFont val="宋体"/>
        <family val="3"/>
        <charset val="134"/>
      </rPr>
      <t>～</t>
    </r>
    <r>
      <rPr>
        <b/>
        <sz val="10"/>
        <rFont val="Arial Narrow"/>
        <family val="2"/>
      </rPr>
      <t>75%</t>
    </r>
    <r>
      <rPr>
        <b/>
        <sz val="10"/>
        <rFont val="宋体"/>
        <family val="3"/>
        <charset val="134"/>
      </rPr>
      <t>）</t>
    </r>
    <phoneticPr fontId="3" type="noConversion"/>
  </si>
  <si>
    <r>
      <rPr>
        <b/>
        <sz val="10"/>
        <rFont val="宋体"/>
        <family val="3"/>
        <charset val="134"/>
      </rPr>
      <t>实际执行的重要性水平
（可容忍错报）</t>
    </r>
    <phoneticPr fontId="3" type="noConversion"/>
  </si>
  <si>
    <r>
      <rPr>
        <b/>
        <sz val="10"/>
        <rFont val="宋体"/>
        <family val="3"/>
        <charset val="134"/>
      </rPr>
      <t>上年认定层次重要性水平</t>
    </r>
    <phoneticPr fontId="3" type="noConversion"/>
  </si>
  <si>
    <r>
      <t>3.3</t>
    </r>
    <r>
      <rPr>
        <b/>
        <sz val="10"/>
        <rFont val="宋体"/>
        <family val="3"/>
        <charset val="134"/>
      </rPr>
      <t>临界值</t>
    </r>
    <r>
      <rPr>
        <b/>
        <sz val="10"/>
        <rFont val="Arial Narrow"/>
        <family val="2"/>
      </rPr>
      <t>(</t>
    </r>
    <r>
      <rPr>
        <b/>
        <sz val="10"/>
        <rFont val="宋体"/>
        <family val="3"/>
        <charset val="134"/>
      </rPr>
      <t>明显微小的错报金额</t>
    </r>
    <r>
      <rPr>
        <b/>
        <sz val="10"/>
        <rFont val="Arial Narrow"/>
        <family val="2"/>
      </rPr>
      <t>)</t>
    </r>
    <phoneticPr fontId="3" type="noConversion"/>
  </si>
  <si>
    <r>
      <rPr>
        <b/>
        <sz val="10"/>
        <color indexed="8"/>
        <rFont val="宋体"/>
        <family val="3"/>
        <charset val="134"/>
      </rPr>
      <t>百分比（≤</t>
    </r>
    <r>
      <rPr>
        <b/>
        <sz val="10"/>
        <color indexed="8"/>
        <rFont val="Arial Narrow"/>
        <family val="2"/>
      </rPr>
      <t>5%</t>
    </r>
    <r>
      <rPr>
        <b/>
        <sz val="10"/>
        <color indexed="8"/>
        <rFont val="宋体"/>
        <family val="3"/>
        <charset val="134"/>
      </rPr>
      <t>）</t>
    </r>
    <phoneticPr fontId="3" type="noConversion"/>
  </si>
  <si>
    <r>
      <rPr>
        <b/>
        <sz val="10"/>
        <color indexed="8"/>
        <rFont val="宋体"/>
        <family val="3"/>
        <charset val="134"/>
      </rPr>
      <t>明显微小的错报金额</t>
    </r>
    <phoneticPr fontId="3" type="noConversion"/>
  </si>
  <si>
    <r>
      <rPr>
        <b/>
        <sz val="10"/>
        <color indexed="8"/>
        <rFont val="宋体"/>
        <family val="3"/>
        <charset val="134"/>
      </rPr>
      <t>取整后的明显微小的错报金额</t>
    </r>
    <phoneticPr fontId="3" type="noConversion"/>
  </si>
  <si>
    <r>
      <rPr>
        <b/>
        <sz val="10"/>
        <rFont val="宋体"/>
        <family val="3"/>
        <charset val="134"/>
      </rPr>
      <t>上年明显微小的错报金额</t>
    </r>
    <phoneticPr fontId="7" type="noConversion"/>
  </si>
  <si>
    <r>
      <t>3.4</t>
    </r>
    <r>
      <rPr>
        <b/>
        <sz val="10"/>
        <rFont val="宋体"/>
        <family val="3"/>
        <charset val="134"/>
      </rPr>
      <t>特定类别的交易、账户余额或披露的重要性</t>
    </r>
    <r>
      <rPr>
        <b/>
        <sz val="10"/>
        <color rgb="FFFF0000"/>
        <rFont val="宋体"/>
        <family val="3"/>
        <charset val="134"/>
      </rPr>
      <t>（如适用）</t>
    </r>
    <phoneticPr fontId="3" type="noConversion"/>
  </si>
  <si>
    <r>
      <rPr>
        <b/>
        <sz val="10"/>
        <rFont val="宋体"/>
        <family val="3"/>
        <charset val="134"/>
      </rPr>
      <t>特定类别的交易、账户余额或披露</t>
    </r>
    <phoneticPr fontId="3" type="noConversion"/>
  </si>
  <si>
    <r>
      <rPr>
        <b/>
        <sz val="10"/>
        <rFont val="宋体"/>
        <family val="3"/>
        <charset val="134"/>
      </rPr>
      <t>确定为特定类别的交易、账户余额或披露的原因</t>
    </r>
    <phoneticPr fontId="3" type="noConversion"/>
  </si>
  <si>
    <r>
      <rPr>
        <b/>
        <sz val="10"/>
        <rFont val="宋体"/>
        <family val="3"/>
        <charset val="134"/>
      </rPr>
      <t>计算基准</t>
    </r>
    <phoneticPr fontId="3" type="noConversion"/>
  </si>
  <si>
    <r>
      <rPr>
        <b/>
        <sz val="10"/>
        <rFont val="宋体"/>
        <family val="3"/>
        <charset val="134"/>
      </rPr>
      <t>经验百分比</t>
    </r>
    <phoneticPr fontId="3" type="noConversion"/>
  </si>
  <si>
    <r>
      <rPr>
        <b/>
        <sz val="10"/>
        <rFont val="宋体"/>
        <family val="3"/>
        <charset val="134"/>
      </rPr>
      <t>选定基准、百分比的原因</t>
    </r>
    <phoneticPr fontId="3" type="noConversion"/>
  </si>
  <si>
    <r>
      <rPr>
        <b/>
        <sz val="10"/>
        <rFont val="宋体"/>
        <family val="3"/>
        <charset val="134"/>
      </rPr>
      <t>特定类别的交易、账户余额或披露的重要性</t>
    </r>
    <phoneticPr fontId="3" type="noConversion"/>
  </si>
  <si>
    <r>
      <t>3.5</t>
    </r>
    <r>
      <rPr>
        <b/>
        <sz val="10"/>
        <rFont val="宋体"/>
        <family val="3"/>
        <charset val="134"/>
      </rPr>
      <t>特定类别的交易、账户余额或披露的实际执行的重要性水平</t>
    </r>
    <r>
      <rPr>
        <b/>
        <sz val="10"/>
        <color rgb="FFFF0000"/>
        <rFont val="宋体"/>
        <family val="3"/>
        <charset val="134"/>
      </rPr>
      <t>（如适用）</t>
    </r>
    <phoneticPr fontId="3" type="noConversion"/>
  </si>
  <si>
    <r>
      <rPr>
        <b/>
        <sz val="10"/>
        <rFont val="宋体"/>
        <family val="3"/>
        <charset val="134"/>
      </rPr>
      <t>选定百分比的原因</t>
    </r>
    <phoneticPr fontId="3" type="noConversion"/>
  </si>
  <si>
    <r>
      <rPr>
        <b/>
        <sz val="10"/>
        <rFont val="宋体"/>
        <family val="3"/>
        <charset val="134"/>
      </rPr>
      <t>实际执行的重要性</t>
    </r>
    <phoneticPr fontId="3" type="noConversion"/>
  </si>
  <si>
    <r>
      <t>4.</t>
    </r>
    <r>
      <rPr>
        <b/>
        <sz val="10"/>
        <rFont val="宋体"/>
        <family val="3"/>
        <charset val="134"/>
      </rPr>
      <t>财务报表整体重要性的修订（金额单位：万元）</t>
    </r>
    <r>
      <rPr>
        <b/>
        <sz val="10"/>
        <color rgb="FFFF0000"/>
        <rFont val="宋体"/>
        <family val="3"/>
        <charset val="134"/>
      </rPr>
      <t>（如适用）</t>
    </r>
    <phoneticPr fontId="3" type="noConversion"/>
  </si>
  <si>
    <r>
      <t>4.1</t>
    </r>
    <r>
      <rPr>
        <b/>
        <sz val="10"/>
        <rFont val="宋体"/>
        <family val="3"/>
        <charset val="134"/>
      </rPr>
      <t>基于调整后的财务报表及其他因素，最终确定的重要性为：</t>
    </r>
    <phoneticPr fontId="3" type="noConversion"/>
  </si>
  <si>
    <r>
      <t>B</t>
    </r>
    <r>
      <rPr>
        <sz val="10"/>
        <rFont val="、"/>
        <family val="3"/>
        <charset val="134"/>
      </rPr>
      <t>、当以主营业务收入、税前利润或毛利为基础计算重要性水平时，如果采用的是最近的中期数据，应当将其换算为年度数据；如果年度间波动显著，应考虑采用</t>
    </r>
    <r>
      <rPr>
        <sz val="10"/>
        <rFont val="Times New Roman"/>
        <family val="1"/>
      </rPr>
      <t>3-5</t>
    </r>
    <r>
      <rPr>
        <sz val="10"/>
        <rFont val="、"/>
        <family val="3"/>
        <charset val="134"/>
      </rPr>
      <t>年的平均数。</t>
    </r>
    <r>
      <rPr>
        <b/>
        <sz val="10"/>
        <rFont val="、"/>
        <family val="3"/>
        <charset val="134"/>
      </rPr>
      <t>但如果对涵盖期间超过或者少于十二个月的财务报表发表鉴证意见（例如中期审阅等），则重要性水平与该涵盖期间相关，不需要再换算为年度的数据。</t>
    </r>
    <phoneticPr fontId="3" type="noConversion"/>
  </si>
  <si>
    <r>
      <t xml:space="preserve">在编制审计计划时，如果被审计单位尚未完成财务报表的编制：
</t>
    </r>
    <r>
      <rPr>
        <b/>
        <sz val="10"/>
        <rFont val="、"/>
        <family val="3"/>
        <charset val="134"/>
      </rPr>
      <t>根据期中财务报表推算出整个会计年度财务报表的相关指标；</t>
    </r>
    <r>
      <rPr>
        <sz val="10"/>
        <rFont val="、"/>
        <family val="3"/>
        <charset val="134"/>
      </rPr>
      <t xml:space="preserve">
或根据被审计单位经营环境和经营情况变动对上年财务报表做出必要修正。</t>
    </r>
    <phoneticPr fontId="3" type="noConversion"/>
  </si>
  <si>
    <t>CSA1221指南4．确定重要性需要运用职业判断。通常先选定一个基准，再乘以某一百分比作为财务报表整体的重要性。在选择基准时，需要考虑的因素包括：
(1)财务报表要素（如资产、负债、所有者权益、收入和费用）；
(2)是否存在特定会计主体的财务报表使用者特别关注的项目（如为了评价财务业绩，使用者可能更关注利润、收入或净资产）；
(3)被审计单位的性质、所处的生命周期阶段以及所处行业和经济环境；
(4)被审计单位的所有权结构和融资方式（例如，如果被审计单位仅通过债务而非权益进行融资，财务报表使用者可能更关注资产及资产的索偿权，而非被审计单位的收益）；
(5)基准的相对波动性。</t>
    <phoneticPr fontId="3" type="noConversion"/>
  </si>
  <si>
    <t>CSA1221指南5．适当的基准取决于被审计单位的具体情况，包括各类报告收益（如税前利润、营业收入、毛利和费用总额），以及所有者权益或净资产。对于以营利为目的的实体，通常以经常性业务的税前利润作为基准。如果经常性业务的税前利润不稳定，选用其他基准可能更加合适，如毛利或营业收入。</t>
    <phoneticPr fontId="3" type="noConversion"/>
  </si>
  <si>
    <t>CSA1221指南6．就选定的基准而言，相关的财务数据通常包括前期财务成果和财务状况、本期最新的财务成果和财务状况、本期的预算和预测结果。当然，本期最新的财务成果和财务状况、本期的预算和预测结果需要根据被审计单位情况的重大变化（如重大的企业并购）和被审计单位所处行业和经济环境情况的相关变化等作出调整。例如，当按照经常性业务的税前利润的一定百分比确定被审计单位财务报表整体的重要性时，如果被审计单位本年度税前利润因情况变化出现意外增加或减少，注册会计师可能认为按照近几年经常性业务的平均税前利润确定财务报表整体的重要性更加合适。</t>
    <phoneticPr fontId="3" type="noConversion"/>
  </si>
  <si>
    <t>CSA1221指南7．重要性与注册会计师出具审计报告的财务报表相关。如果财务报表涵盖期间超过或少于十二个月（如被审计单位是新成立的或变更财务报告期间），则重要性与涵盖该期间的财务报表相关。</t>
    <phoneticPr fontId="3" type="noConversion"/>
  </si>
  <si>
    <t>CSA1221指南2.识别和评估重大错报风险需要运用职业判断，以识别各类交易、账户余额和披露（包括定性披露）中可能存在的重大错报（即如果合理预期错报可能影响财务报表使用者依据财务报表整体作出的经济决策，则该错报通常被认为是重大的）。在考虑定性披露中存在的错报是否重大时，注册会计师可能需要识别的相关因素包括：
(1)报告期内被审计单位的具体情况，例如，被审计单位在报告期内可能实施了一项重大的企业合并；
(2)适用的财务报告编制基础及其变化，例如，一项新的财务报告准则可能要求作出新的定性披露，该披露对于被审计单位而言是重大的；
(3)由于被审计单位的性质而对财务报表使用者而言是重要的定性披露，例如，就金融机构的财务报表使用者而言，对流动性风险的披露可能是重要的。</t>
    <phoneticPr fontId="3" type="noConversion"/>
  </si>
  <si>
    <t>CSA1221指南8．为选定的基准确定百分比需要运用职业判断。百分比和选定的基准之间存在一定的联系，如经常性业务的税前利润对应的百分比通常比营业收入对应的百分比要高。例如，对以营利为目的的制造行业实体，注册会计师可能认为经常性业务的税前利润的5%是适当的；而对非营利组织，注册会计师可能认为总收入或费用总额的1%是适当的。百分比无论是高一些还是低一些，只要符合具体情况，都是适当的。</t>
    <phoneticPr fontId="3" type="noConversion"/>
  </si>
  <si>
    <t>CSA1221指南9．如果小型被审计单位由所有者管理，所有者以薪酬的形式拿走了大部分的税前利润，其经常性业务的税前利润可能一直很低，在这种情况下，将扣除薪酬和税金之前的利润作为选定的基准可能更加相关。</t>
    <phoneticPr fontId="3" type="noConversion"/>
  </si>
  <si>
    <t>CSA1221指南10．就公共部门实体的审计而言，总成本或净成本（费用减收入或支出减收入）可能是适当的基准。如果公共部门实体保管公共资产，则资产可能是适当的基准。</t>
    <phoneticPr fontId="3" type="noConversion"/>
  </si>
  <si>
    <t>CSA1221指南11．下列因素可能表明存在一个或多个特定类别的交易、账户余额或披露，其发生的错报金额虽然低于财务报表整体的重要性，但合理预期将影响财务报表使用者依据财务报表作出的经济决策：
(1)法律法规或适用的财务报告编制基础是否影响财务报表使用者对特定项目（如关联方交易、管理层和治理层的薪酬及对具有较高估计不确定性的公允价值会计估计的敏感性分析）计量或披露的预期；
(2)与被审计单位所处行业相关的关键性披露（如制药企业的研究与开发成本）；
(3)财务报表使用者是否特别关注财务报表中单独披露的业务的特定方面（如关于分部或重大企业合并的披露）。</t>
    <phoneticPr fontId="3" type="noConversion"/>
  </si>
  <si>
    <t>CSA1221指南12．在根据被审计单位的特定情况考虑是否存在上述交易、账户余额或披露时，注册会计师可能发现了解治理层和管理层的看法和预期是有用的。</t>
    <phoneticPr fontId="3" type="noConversion"/>
  </si>
  <si>
    <t>CSA1221指南13．仅为发现单项重大的错报而计划审计工作将忽视这样一个事实，即单项非重大错报的汇总数可能导致财务报表出现重大错报，更不用说还没有考虑可能存在的未发现错报。
确定财务报表整体的实际执行的重要性（根据定义可能是一个或多个金额），旨在将财务报表中未更正和未发现错报的汇总数超过财务报表整体的重要性的可能性降至适当的低水平。
与确定特定类别的交易、账户余额或披露的重要性水平相关的实际执行的重要性，旨在将这些交易、账户余额或披露中未更正与未发现错报的汇总数超过这些交易、账户余额或披露的重要性水平的可能性降至适当的低水平。
确定实际执行的重要性并非简单机械的计算，需要注册会计师运用职业判断，并考虑下列因素的影响：
（1）对被审计单位的了解（这些了解在实施风险评估程序的过程中得到更新）；
（2）前期审计工作中识别出的错报的性质和范围；
（3）根据前期识别出的错报对本期错报作出的预期。</t>
    <phoneticPr fontId="3" type="noConversion"/>
  </si>
  <si>
    <t>CSA1251指南2．“明显微小”不等同于“不重大”。明显微小错报金额的数量级与确定重大错报的数量级完全不同（明显微小错报的数量级更小），或其性质完全不同。这些明显微小的错报，无论单独或者汇总起来，无论从规模、性质或其发生的环境来看都是明显微不足道的。如果不确定一个或多个错报是否明显微小，就不能认为这些错报是明显微小的。</t>
    <phoneticPr fontId="3" type="noConversion"/>
  </si>
  <si>
    <t>CSA1221 第十二条 如果在审计过程中获知了某项信息，而该信息可能导致注册会计师确定与原来不同的财务报表整体重要性或者特定类别的交易、账户余额或披露的一个或多个重要性水平（如适用），注册会计师应当予以修改。
CSA1221 第十三条 如果认为运用低于最初确定的财务报表整体的重要性和特定类别的交易、账户余额或披露的一个或多个重要性水平（如适用）是适当的，注册会计师应当确定是否有必要修改实际执行的重要性，并确定进一步审计程序的性质、时间安排和范围是否仍然适当。</t>
    <phoneticPr fontId="3" type="noConversion"/>
  </si>
  <si>
    <t>CSA1221指南13．由于存在下列原因，注册会计师可能需要修改财务报表整体的重要性和特定类别的交易、账户余额或披露的重要性水平（如适用）：
(1)审计过程中情况发生重大变化（如决定处置被审计单位的一个重要组成部分）；
(2)获取新信息；
(3)通过实施进一步审计程序，注册会计师对被审计单位及其经营的了解发生变化。
例如，注册会计师在审计过程中发现，实际财务成果与最初确定财务报表整体的重要性时使用的预期本期财务成果相比存在很大差异，则需要修改重要性。</t>
    <phoneticPr fontId="3" type="noConversion"/>
  </si>
  <si>
    <t>CSA1251指南14．注册会计师在按照《中国注册会计师审计准则第1221号——计划和执行审计工作时的重要性》的规定确定重要性时，通常依据对被审计单位财务结果的估计，因为此时可能尚不知道实际的财务结果。因此，在评价未更正错报的影响之前，注册会计师可能有必要依据实际的财务结果对重要性作出修改。</t>
    <phoneticPr fontId="3" type="noConversion"/>
  </si>
  <si>
    <t>B15</t>
    <phoneticPr fontId="7" type="noConversion"/>
  </si>
  <si>
    <t>D20，应根据职业判断在区间之间选取适当比例</t>
    <phoneticPr fontId="3" type="noConversion"/>
  </si>
  <si>
    <r>
      <rPr>
        <b/>
        <sz val="10"/>
        <rFont val="、"/>
        <family val="3"/>
        <charset val="134"/>
      </rPr>
      <t>一、财务报表整体重要性（</t>
    </r>
    <r>
      <rPr>
        <b/>
        <sz val="10"/>
        <rFont val="Times New Roman"/>
        <family val="1"/>
      </rPr>
      <t>M</t>
    </r>
    <r>
      <rPr>
        <b/>
        <sz val="10"/>
        <rFont val="、"/>
        <family val="3"/>
        <charset val="134"/>
      </rPr>
      <t>）</t>
    </r>
    <phoneticPr fontId="3" type="noConversion"/>
  </si>
  <si>
    <r>
      <t>1</t>
    </r>
    <r>
      <rPr>
        <b/>
        <sz val="10"/>
        <rFont val="、"/>
        <family val="3"/>
        <charset val="134"/>
      </rPr>
      <t>、根据审计手册</t>
    </r>
    <phoneticPr fontId="3" type="noConversion"/>
  </si>
  <si>
    <t>基准</t>
  </si>
  <si>
    <t>百分比</t>
  </si>
  <si>
    <t>税前利润</t>
  </si>
  <si>
    <t>利润总额</t>
  </si>
  <si>
    <t>收入总额</t>
  </si>
  <si>
    <t>费用总额</t>
  </si>
  <si>
    <t>资产总额</t>
  </si>
  <si>
    <t>比率见“填表说明”事务所标准处</t>
    <phoneticPr fontId="3" type="noConversion"/>
  </si>
  <si>
    <t>说明：黄色区域已经设置了计算公式，可自动生成。</t>
    <phoneticPr fontId="3" type="noConversion"/>
  </si>
  <si>
    <r>
      <rPr>
        <sz val="10"/>
        <color rgb="FF0000FF"/>
        <rFont val="宋体"/>
        <family val="3"/>
        <charset val="134"/>
      </rPr>
      <t>一般情况下，经常性业务的税前利润（不是净利润）是计算重要性水平的首选基准，其背后的逻辑是：正常的市场环境下，上市公司的股价与利润直接相关、</t>
    </r>
    <r>
      <rPr>
        <sz val="10"/>
        <color rgb="FF0000FF"/>
        <rFont val="Arial Narrow"/>
        <family val="2"/>
      </rPr>
      <t>IPO</t>
    </r>
    <r>
      <rPr>
        <sz val="10"/>
        <color rgb="FF0000FF"/>
        <rFont val="宋体"/>
        <family val="3"/>
        <charset val="134"/>
      </rPr>
      <t xml:space="preserve">申报企业发行价与利润直接相关；即使非上市公司，股东投资的目的主要亦是分红。因此在大多数情况下，扣除非经常性损益后的税前利润成为重要性水平计算的默认基准。（资本市场上采用净现金流折现的方法对股权进行估值时，应用的主要参数也与税前利润更相关。）
如果扣非后的税前利润依然是负数，或者介于盈亏临界点，应考虑采用其他替代基准；不建议用亏损绝对数作为基准直接计算重要性水平，因为亏损额并非投资者或者财务报表使用者评价营利性组织业绩的指标。
</t>
    </r>
    <phoneticPr fontId="3" type="noConversion"/>
  </si>
  <si>
    <t>2、报告期盈利情况的重大变化对重要性水平计算的影响</t>
    <phoneticPr fontId="3" type="noConversion"/>
  </si>
  <si>
    <t>注册会计师为被审计单位选择的基准在各年度中通常会保持稳定，但是并非必须保持一贯不变。注册会计师可以根据经济形势、行业状况和被审计单位具体情况的变化对采用的基准作出调整。例如，对于处在新设立阶段的被审计单位可能采用总资产作为基准，对于处在成长期的被审计单位可能采用营业收入作为基准，对于进入经营成熟期的被审计单位可能采用经常性业务的税前利润作为基准。
如果被审计单位本年度税前利润因情况变化出现意外增加或减少，注册会计师可能认为按照近几年经常性业务的平均税前利润确定财务报表整体的重要性更加合适。（但是，此处需分析业绩波动的具体原因。如果利润波动、盈亏转换表明本期的重大错报风险增加，导致项目组需要执行更多的测试程序从而获取充分适当的审计证据，那么较低的重要性水平也可能是合理的。）</t>
    <phoneticPr fontId="3" type="noConversion"/>
  </si>
  <si>
    <t>1、计算重要性水平选取基准的考虑因素</t>
    <phoneticPr fontId="3" type="noConversion"/>
  </si>
  <si>
    <t>重要性与注册会计师出具审计报告的财务报表相关。如果财务报表涵盖期间超过或少于十二个月（如被审计单位是新成立的或变更财务报告期间），则重要性与涵盖该期间的财务报表相关。</t>
    <phoneticPr fontId="3" type="noConversion"/>
  </si>
  <si>
    <t>3、计算重要性基准的数值与财务报表涵盖期间相关</t>
    <phoneticPr fontId="3" type="noConversion"/>
  </si>
  <si>
    <t>重要性计算表</t>
    <phoneticPr fontId="7" type="noConversion"/>
  </si>
  <si>
    <r>
      <rPr>
        <b/>
        <sz val="10"/>
        <rFont val="等线"/>
        <family val="3"/>
        <charset val="134"/>
      </rPr>
      <t>2</t>
    </r>
    <r>
      <rPr>
        <b/>
        <sz val="10"/>
        <rFont val="、"/>
        <family val="3"/>
        <charset val="134"/>
      </rPr>
      <t>、事务所的标准</t>
    </r>
    <phoneticPr fontId="3" type="noConversion"/>
  </si>
  <si>
    <r>
      <rPr>
        <b/>
        <sz val="10"/>
        <color rgb="FF000000"/>
        <rFont val="等线"/>
        <family val="3"/>
        <charset val="134"/>
      </rPr>
      <t>其他</t>
    </r>
    <r>
      <rPr>
        <b/>
        <sz val="10"/>
        <color indexed="8"/>
        <rFont val="、"/>
        <family val="3"/>
        <charset val="134"/>
      </rPr>
      <t>公司比例</t>
    </r>
    <phoneticPr fontId="3" type="noConversion"/>
  </si>
  <si>
    <t>较高百分比</t>
    <phoneticPr fontId="3" type="noConversion"/>
  </si>
  <si>
    <r>
      <t xml:space="preserve">1. </t>
    </r>
    <r>
      <rPr>
        <b/>
        <sz val="10"/>
        <rFont val="宋体"/>
        <family val="3"/>
        <charset val="134"/>
      </rPr>
      <t>被审计单位是否为公开交易实体</t>
    </r>
    <r>
      <rPr>
        <b/>
        <sz val="10"/>
        <rFont val="Arial Narrow"/>
        <family val="3"/>
      </rPr>
      <t>/</t>
    </r>
    <r>
      <rPr>
        <b/>
        <sz val="10"/>
        <rFont val="宋体"/>
        <family val="3"/>
        <charset val="134"/>
      </rPr>
      <t>公开股权（债权）融资公司？</t>
    </r>
    <r>
      <rPr>
        <b/>
        <sz val="10"/>
        <rFont val="Arial Narrow"/>
        <family val="2"/>
      </rPr>
      <t xml:space="preserve"> </t>
    </r>
    <phoneticPr fontId="3" type="noConversion"/>
  </si>
  <si>
    <t>编制日期：</t>
    <phoneticPr fontId="3" type="noConversion"/>
  </si>
  <si>
    <t>复核日期：</t>
    <phoneticPr fontId="3" type="noConversion"/>
  </si>
  <si>
    <r>
      <t>最大</t>
    </r>
    <r>
      <rPr>
        <sz val="10"/>
        <rFont val="Garamond"/>
        <family val="1"/>
      </rPr>
      <t>10%</t>
    </r>
  </si>
  <si>
    <r>
      <t>权益</t>
    </r>
    <r>
      <rPr>
        <sz val="10"/>
        <rFont val="Garamond"/>
        <family val="1"/>
      </rPr>
      <t>/</t>
    </r>
    <r>
      <rPr>
        <sz val="10"/>
        <rFont val="宋体"/>
        <family val="3"/>
        <charset val="134"/>
      </rPr>
      <t>净资产（扣除员工福利计划）</t>
    </r>
  </si>
  <si>
    <r>
      <t>最大</t>
    </r>
    <r>
      <rPr>
        <sz val="10"/>
        <rFont val="Garamond"/>
        <family val="1"/>
      </rPr>
      <t>4%</t>
    </r>
  </si>
  <si>
    <r>
      <t>息税折旧摊销前利润</t>
    </r>
    <r>
      <rPr>
        <sz val="10"/>
        <rFont val="Garamond"/>
        <family val="1"/>
      </rPr>
      <t xml:space="preserve"> (EBITDA)</t>
    </r>
  </si>
  <si>
    <r>
      <t>最大</t>
    </r>
    <r>
      <rPr>
        <sz val="10"/>
        <rFont val="Garamond"/>
        <family val="1"/>
      </rPr>
      <t>5%</t>
    </r>
  </si>
  <si>
    <r>
      <t>最大</t>
    </r>
    <r>
      <rPr>
        <sz val="10"/>
        <rFont val="Garamond"/>
        <family val="1"/>
      </rPr>
      <t>3%</t>
    </r>
  </si>
  <si>
    <r>
      <t>最大</t>
    </r>
    <r>
      <rPr>
        <sz val="10"/>
        <rFont val="Garamond"/>
        <family val="1"/>
      </rPr>
      <t>2%</t>
    </r>
  </si>
  <si>
    <t>致同会计师事务所</t>
    <phoneticPr fontId="7" type="noConversion"/>
  </si>
  <si>
    <t>被审计单位：</t>
    <phoneticPr fontId="7" type="noConversion"/>
  </si>
  <si>
    <t>上述标准适用采用国际审计准则或者是与其他成员所合作的跨境业务、或其他国际业务</t>
    <phoneticPr fontId="3" type="noConversion"/>
  </si>
  <si>
    <t>是</t>
    <phoneticPr fontId="3" type="noConversion"/>
  </si>
  <si>
    <t>净资产</t>
    <phoneticPr fontId="3" type="noConversion"/>
  </si>
  <si>
    <t>提示：这些重要性水平的判断基础仅仅是一个指南，项目组在使用时应该结合职业判断，同时考虑金额和性质两方面因素。在执行具体审计业务时，有可能认为采用比上述百分比更高或更低的比例是适当的。重要性水平应该代表财务报表允许错报的最高限度，该错报不应影响或改变财务报表使用者的判断。通常，可以用税前利润作为计算的基础，虽然对于利润较低或没有利润的公司而言，这样做可能缺乏充分的依据。</t>
    <phoneticPr fontId="3" type="noConversion"/>
  </si>
  <si>
    <r>
      <rPr>
        <b/>
        <sz val="10"/>
        <color rgb="FF000000"/>
        <rFont val="宋体"/>
        <family val="1"/>
        <charset val="134"/>
      </rPr>
      <t>公开交易实体</t>
    </r>
    <r>
      <rPr>
        <b/>
        <sz val="10"/>
        <color indexed="8"/>
        <rFont val="Times New Roman"/>
        <family val="1"/>
      </rPr>
      <t>/</t>
    </r>
    <r>
      <rPr>
        <b/>
        <sz val="10"/>
        <color rgb="FF000000"/>
        <rFont val="宋体"/>
        <family val="1"/>
        <charset val="134"/>
      </rPr>
      <t>类似实体的比例</t>
    </r>
    <phoneticPr fontId="3" type="noConversion"/>
  </si>
  <si>
    <r>
      <t>公开交易实体</t>
    </r>
    <r>
      <rPr>
        <sz val="10"/>
        <color rgb="FFFF0000"/>
        <rFont val="Times New Roman"/>
        <family val="1"/>
      </rPr>
      <t>/</t>
    </r>
    <r>
      <rPr>
        <sz val="10"/>
        <color rgb="FFFF0000"/>
        <rFont val="宋体"/>
        <family val="3"/>
        <charset val="134"/>
      </rPr>
      <t>类似实体</t>
    </r>
    <phoneticPr fontId="3" type="noConversion"/>
  </si>
  <si>
    <r>
      <rPr>
        <sz val="10"/>
        <color rgb="FF0000FF"/>
        <rFont val="宋体"/>
        <family val="1"/>
        <charset val="134"/>
      </rPr>
      <t>公开交易类似实体包括</t>
    </r>
    <r>
      <rPr>
        <sz val="10"/>
        <color rgb="FF0000FF"/>
        <rFont val="Times New Roman"/>
        <family val="1"/>
      </rPr>
      <t>IPO</t>
    </r>
    <r>
      <rPr>
        <sz val="10"/>
        <color rgb="FF0000FF"/>
        <rFont val="宋体"/>
        <family val="1"/>
        <charset val="134"/>
      </rPr>
      <t>申报公司、新三板挂牌申报公司等</t>
    </r>
    <phoneticPr fontId="3" type="noConversion"/>
  </si>
  <si>
    <r>
      <t>4.2</t>
    </r>
    <r>
      <rPr>
        <b/>
        <sz val="10"/>
        <rFont val="宋体"/>
        <family val="3"/>
        <charset val="134"/>
      </rPr>
      <t>记录确定重要性的理由（或修改依据）</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</si>
</sst>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 #,##0_ ;_ * \-#,##0_ ;_ * &quot;-&quot;_ ;_ @_ "/>
    <numFmt numFmtId="44" formatCode="_ &quot;¥&quot;* #,##0.00_ ;_ &quot;¥&quot;* \-#,##0.00_ ;_ &quot;¥&quot;* &quot;-&quot;??_ ;_ @_ "/>
    <numFmt numFmtId="43" formatCode="_ * #,##0.00_ ;_ * \-#,##0.00_ ;_ * &quot;-&quot;??_ ;_ @_ "/>
    <numFmt numFmtId="176" formatCode="_-* #,##0.00_-;\-* #,##0.00_-;_-* &quot;-&quot;??_-;_-@_-"/>
    <numFmt numFmtId="177" formatCode="0%;\(0%\)"/>
    <numFmt numFmtId="178" formatCode="0.0%"/>
    <numFmt numFmtId="179" formatCode="&quot;$&quot;#,##0_);\(&quot;$&quot;#,##0\)"/>
    <numFmt numFmtId="180" formatCode="#,##0;\-#,##0;&quot;-&quot;"/>
    <numFmt numFmtId="181" formatCode="_-* #,##0_-;\-* #,##0_-;_-* &quot;-&quot;_-;_-@_-"/>
    <numFmt numFmtId="182" formatCode="#,##0.0_);\(#,##0.0\)"/>
    <numFmt numFmtId="183" formatCode="_-&quot;$&quot;* #,##0_-;\-&quot;$&quot;* #,##0_-;_-&quot;$&quot;* &quot;-&quot;_-;_-@_-"/>
    <numFmt numFmtId="184" formatCode="&quot;$&quot;#,##0.00_);\(&quot;$&quot;#,##0.00\)"/>
    <numFmt numFmtId="185" formatCode="_-&quot;$&quot;* #,##0.00_-;\-&quot;$&quot;* #,##0.00_-;_-&quot;$&quot;* &quot;-&quot;??_-;_-@_-"/>
    <numFmt numFmtId="186" formatCode="&quot;\&quot;#,##0;[Red]&quot;\&quot;&quot;\&quot;\-#,##0"/>
    <numFmt numFmtId="187" formatCode="&quot;\&quot;#,##0.00;[Red]&quot;\&quot;&quot;\&quot;\-#,##0.00"/>
    <numFmt numFmtId="188" formatCode="0.00_)"/>
    <numFmt numFmtId="189" formatCode="&quot;\&quot;#,##0.00;[Red]&quot;\&quot;&quot;\&quot;&quot;\&quot;&quot;\&quot;&quot;\&quot;&quot;\&quot;\-#,##0.00"/>
    <numFmt numFmtId="190" formatCode="&quot;\&quot;#,##0.00;[Red]&quot;\&quot;\-#,##0.00"/>
    <numFmt numFmtId="191" formatCode="&quot;\&quot;#,##0;[Red]&quot;\&quot;\-#,##0"/>
    <numFmt numFmtId="192" formatCode="0.0000_ "/>
  </numFmts>
  <fonts count="95">
    <font>
      <sz val="12"/>
      <name val="宋体"/>
      <family val="3"/>
      <charset val="134"/>
    </font>
    <font>
      <sz val="11"/>
      <color theme="1"/>
      <name val="宋体"/>
      <family val="2"/>
      <charset val="134"/>
      <scheme val="minor"/>
    </font>
    <font>
      <sz val="12"/>
      <name val="宋体"/>
      <family val="3"/>
      <charset val="134"/>
    </font>
    <font>
      <sz val="9"/>
      <name val="宋体"/>
      <family val="3"/>
      <charset val="134"/>
    </font>
    <font>
      <sz val="10"/>
      <name val="Arial Narrow"/>
      <family val="2"/>
    </font>
    <font>
      <b/>
      <sz val="10"/>
      <name val="Arial Narrow"/>
      <family val="2"/>
    </font>
    <font>
      <b/>
      <sz val="10"/>
      <name val="宋体"/>
      <family val="3"/>
      <charset val="134"/>
    </font>
    <font>
      <sz val="12"/>
      <name val="Times New Roman"/>
      <family val="1"/>
    </font>
    <font>
      <sz val="10"/>
      <color indexed="8"/>
      <name val="Arial Narrow"/>
      <family val="2"/>
    </font>
    <font>
      <sz val="10"/>
      <color rgb="FFFF0000"/>
      <name val="Arial Narrow"/>
      <family val="2"/>
    </font>
    <font>
      <b/>
      <sz val="10"/>
      <color indexed="8"/>
      <name val="Arial Narrow"/>
      <family val="2"/>
    </font>
    <font>
      <b/>
      <sz val="10"/>
      <color indexed="8"/>
      <name val="宋体"/>
      <family val="3"/>
      <charset val="134"/>
    </font>
    <font>
      <b/>
      <sz val="10"/>
      <color indexed="8"/>
      <name val="Times New Roman"/>
      <family val="1"/>
    </font>
    <font>
      <sz val="10"/>
      <name val="宋体"/>
      <family val="3"/>
      <charset val="134"/>
    </font>
    <font>
      <sz val="10"/>
      <color rgb="FFFF0000"/>
      <name val="宋体"/>
      <family val="3"/>
      <charset val="134"/>
    </font>
    <font>
      <sz val="10"/>
      <color indexed="8"/>
      <name val="宋体"/>
      <family val="3"/>
      <charset val="134"/>
    </font>
    <font>
      <b/>
      <sz val="14"/>
      <name val="Arial Narrow"/>
      <family val="2"/>
    </font>
    <font>
      <b/>
      <sz val="12"/>
      <name val="Arial Narrow"/>
      <family val="2"/>
    </font>
    <font>
      <b/>
      <sz val="12"/>
      <name val="宋体"/>
      <family val="3"/>
      <charset val="134"/>
    </font>
    <font>
      <sz val="11"/>
      <color theme="1"/>
      <name val="宋体"/>
      <family val="3"/>
      <charset val="134"/>
      <scheme val="minor"/>
    </font>
    <font>
      <i/>
      <sz val="10"/>
      <color indexed="12"/>
      <name val="宋体"/>
      <family val="3"/>
      <charset val="134"/>
    </font>
    <font>
      <sz val="10"/>
      <name val="Helv"/>
      <family val="2"/>
    </font>
    <font>
      <sz val="10"/>
      <color indexed="8"/>
      <name val="MS Sans Serif"/>
      <family val="2"/>
    </font>
    <font>
      <sz val="10"/>
      <name val="Geneva"/>
      <family val="2"/>
    </font>
    <font>
      <sz val="10"/>
      <name val="MS Sans Serif"/>
      <family val="2"/>
    </font>
    <font>
      <sz val="10"/>
      <color indexed="8"/>
      <name val="Arial"/>
      <family val="2"/>
    </font>
    <font>
      <sz val="13"/>
      <name val="Tms Rmn"/>
      <family val="1"/>
    </font>
    <font>
      <sz val="12"/>
      <color indexed="9"/>
      <name val="宋体"/>
      <family val="3"/>
      <charset val="134"/>
    </font>
    <font>
      <sz val="12"/>
      <color indexed="8"/>
      <name val="宋体"/>
      <family val="3"/>
      <charset val="134"/>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b/>
      <sz val="12"/>
      <name val="Arial"/>
      <family val="2"/>
    </font>
    <font>
      <u/>
      <sz val="7.5"/>
      <color indexed="12"/>
      <name val="Arial"/>
      <family val="2"/>
    </font>
    <font>
      <b/>
      <sz val="24"/>
      <color indexed="20"/>
      <name val="隶书"/>
      <family val="3"/>
      <charset val="134"/>
    </font>
    <font>
      <b/>
      <i/>
      <sz val="12"/>
      <name val="Times New Roman"/>
      <family val="1"/>
    </font>
    <font>
      <sz val="10"/>
      <name val="Courier"/>
      <family val="3"/>
    </font>
    <font>
      <b/>
      <i/>
      <sz val="16"/>
      <name val="Helv"/>
      <family val="2"/>
    </font>
    <font>
      <sz val="7"/>
      <color indexed="10"/>
      <name val="Helv"/>
      <family val="2"/>
    </font>
    <font>
      <sz val="10"/>
      <name val="Times New Roman"/>
      <family val="1"/>
    </font>
    <font>
      <sz val="14"/>
      <name val="柧挬"/>
      <family val="2"/>
    </font>
    <font>
      <b/>
      <sz val="18"/>
      <color indexed="62"/>
      <name val="宋体"/>
      <family val="3"/>
      <charset val="134"/>
    </font>
    <font>
      <sz val="10"/>
      <color rgb="FF9C0006"/>
      <name val="Arial Narrow"/>
      <family val="2"/>
    </font>
    <font>
      <sz val="10"/>
      <color theme="1"/>
      <name val="Arial Narrow"/>
      <family val="2"/>
      <charset val="134"/>
    </font>
    <font>
      <u/>
      <sz val="12"/>
      <color indexed="12"/>
      <name val="Times New Roman"/>
      <family val="1"/>
    </font>
    <font>
      <sz val="10"/>
      <color indexed="17"/>
      <name val="宋体"/>
      <family val="3"/>
      <charset val="134"/>
    </font>
    <font>
      <sz val="10"/>
      <color rgb="FF006100"/>
      <name val="Arial Narrow"/>
      <family val="2"/>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10"/>
      <color theme="1"/>
      <name val="宋体"/>
      <family val="3"/>
      <charset val="134"/>
      <scheme val="minor"/>
    </font>
    <font>
      <sz val="9"/>
      <color indexed="81"/>
      <name val="宋体"/>
      <family val="3"/>
      <charset val="134"/>
    </font>
    <font>
      <b/>
      <sz val="9"/>
      <color indexed="81"/>
      <name val="宋体"/>
      <family val="3"/>
      <charset val="134"/>
    </font>
    <font>
      <b/>
      <sz val="10"/>
      <name val="、"/>
      <family val="3"/>
      <charset val="134"/>
    </font>
    <font>
      <sz val="10"/>
      <name val="、"/>
      <family val="3"/>
      <charset val="134"/>
    </font>
    <font>
      <b/>
      <sz val="10"/>
      <color indexed="8"/>
      <name val="、"/>
      <family val="3"/>
      <charset val="134"/>
    </font>
    <font>
      <sz val="10"/>
      <color indexed="8"/>
      <name val="、"/>
      <family val="3"/>
      <charset val="134"/>
    </font>
    <font>
      <b/>
      <sz val="10"/>
      <color theme="1"/>
      <name val="、"/>
      <family val="3"/>
      <charset val="134"/>
    </font>
    <font>
      <sz val="10"/>
      <color rgb="FF000000"/>
      <name val="、"/>
      <family val="3"/>
      <charset val="134"/>
    </font>
    <font>
      <sz val="10"/>
      <color theme="1"/>
      <name val="、"/>
      <family val="3"/>
      <charset val="134"/>
    </font>
    <font>
      <b/>
      <sz val="10"/>
      <name val="Times New Roman"/>
      <family val="1"/>
    </font>
    <font>
      <sz val="10"/>
      <color indexed="8"/>
      <name val="Times New Roman"/>
      <family val="1"/>
    </font>
    <font>
      <b/>
      <sz val="10"/>
      <color theme="1"/>
      <name val="Times New Roman"/>
      <family val="1"/>
    </font>
    <font>
      <sz val="10"/>
      <color rgb="FF000000"/>
      <name val="Times New Roman"/>
      <family val="1"/>
    </font>
    <font>
      <sz val="10"/>
      <color theme="1"/>
      <name val="Times New Roman"/>
      <family val="1"/>
    </font>
    <font>
      <b/>
      <sz val="10"/>
      <color rgb="FFFF0000"/>
      <name val="宋体"/>
      <family val="3"/>
      <charset val="134"/>
    </font>
    <font>
      <sz val="10"/>
      <color rgb="FF0000FF"/>
      <name val="宋体"/>
      <family val="3"/>
      <charset val="134"/>
    </font>
    <font>
      <b/>
      <sz val="10"/>
      <color rgb="FF0000FF"/>
      <name val="宋体"/>
      <family val="3"/>
      <charset val="134"/>
    </font>
    <font>
      <sz val="10"/>
      <color rgb="FF0000FF"/>
      <name val="Arial Narrow"/>
      <family val="2"/>
    </font>
    <font>
      <b/>
      <sz val="10"/>
      <name val="等线"/>
      <family val="3"/>
      <charset val="134"/>
    </font>
    <font>
      <b/>
      <sz val="10"/>
      <name val="Times New Roman"/>
      <family val="3"/>
      <charset val="134"/>
    </font>
    <font>
      <b/>
      <sz val="10"/>
      <color rgb="FF000000"/>
      <name val="宋体"/>
      <family val="1"/>
      <charset val="134"/>
    </font>
    <font>
      <b/>
      <sz val="10"/>
      <color indexed="8"/>
      <name val="Times New Roman"/>
      <family val="1"/>
      <charset val="134"/>
    </font>
    <font>
      <b/>
      <sz val="10"/>
      <color rgb="FF000000"/>
      <name val="等线"/>
      <family val="3"/>
      <charset val="134"/>
    </font>
    <font>
      <b/>
      <sz val="10"/>
      <color indexed="8"/>
      <name val="Times New Roman"/>
      <family val="3"/>
      <charset val="134"/>
    </font>
    <font>
      <sz val="10"/>
      <color rgb="FFFF0000"/>
      <name val="Times New Roman"/>
      <family val="1"/>
    </font>
    <font>
      <sz val="10"/>
      <color rgb="FF000000"/>
      <name val="宋体"/>
      <family val="1"/>
      <charset val="134"/>
    </font>
    <font>
      <b/>
      <sz val="10"/>
      <color rgb="FFFF0000"/>
      <name val="Times New Roman"/>
      <family val="1"/>
    </font>
    <font>
      <b/>
      <sz val="10"/>
      <name val="Arial Narrow"/>
      <family val="3"/>
    </font>
    <font>
      <sz val="10"/>
      <color theme="1"/>
      <name val="Arial Narrow"/>
      <family val="2"/>
    </font>
    <font>
      <b/>
      <sz val="10"/>
      <color theme="1"/>
      <name val="Arial Narrow"/>
      <family val="2"/>
    </font>
    <font>
      <b/>
      <sz val="10"/>
      <color theme="1"/>
      <name val="宋体"/>
      <family val="3"/>
      <charset val="134"/>
      <scheme val="minor"/>
    </font>
    <font>
      <sz val="10"/>
      <name val="Garamond"/>
      <family val="1"/>
    </font>
    <font>
      <b/>
      <sz val="14"/>
      <name val="宋体"/>
      <family val="3"/>
      <charset val="134"/>
    </font>
    <font>
      <b/>
      <sz val="10"/>
      <name val="宋体"/>
      <family val="1"/>
      <charset val="134"/>
    </font>
    <font>
      <sz val="10"/>
      <name val="宋体"/>
      <family val="3"/>
      <charset val="134"/>
      <scheme val="minor"/>
    </font>
    <font>
      <sz val="10"/>
      <color rgb="FF0000FF"/>
      <name val="Times New Roman"/>
      <family val="1"/>
      <charset val="134"/>
    </font>
    <font>
      <sz val="10"/>
      <color rgb="FF0000FF"/>
      <name val="宋体"/>
      <family val="1"/>
      <charset val="134"/>
    </font>
    <font>
      <sz val="10"/>
      <color rgb="FF0000FF"/>
      <name val="Times New Roman"/>
      <family val="1"/>
    </font>
  </fonts>
  <fills count="28">
    <fill>
      <patternFill patternType="none"/>
    </fill>
    <fill>
      <patternFill patternType="gray125"/>
    </fill>
    <fill>
      <patternFill patternType="solid">
        <fgColor rgb="FFC6EFCE"/>
      </patternFill>
    </fill>
    <fill>
      <patternFill patternType="solid">
        <fgColor rgb="FFFFC7CE"/>
      </patternFill>
    </fill>
    <fill>
      <patternFill patternType="solid">
        <fgColor theme="7" tint="0.79998168889431442"/>
        <bgColor indexed="64"/>
      </patternFill>
    </fill>
    <fill>
      <patternFill patternType="solid">
        <fgColor indexed="44"/>
        <bgColor indexed="64"/>
      </patternFill>
    </fill>
    <fill>
      <patternFill patternType="solid">
        <fgColor rgb="FF92D050"/>
        <bgColor indexed="6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FFFF00"/>
        <bgColor indexed="64"/>
      </patternFill>
    </fill>
    <fill>
      <patternFill patternType="solid">
        <fgColor rgb="FFFFFF99"/>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11"/>
      </left>
      <right style="double">
        <color indexed="11"/>
      </right>
      <top style="double">
        <color indexed="11"/>
      </top>
      <bottom style="double">
        <color indexed="11"/>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theme="1"/>
      </left>
      <right style="hair">
        <color theme="1"/>
      </right>
      <top style="hair">
        <color theme="1"/>
      </top>
      <bottom style="hair">
        <color theme="1"/>
      </bottom>
      <diagonal/>
    </border>
  </borders>
  <cellStyleXfs count="179">
    <xf numFmtId="0" fontId="0" fillId="0" borderId="0">
      <alignment vertical="center"/>
      <protection locked="0"/>
    </xf>
    <xf numFmtId="0" fontId="7" fillId="0" borderId="0"/>
    <xf numFmtId="9" fontId="19" fillId="0" borderId="0" applyFont="0" applyFill="0" applyBorder="0" applyAlignment="0" applyProtection="0"/>
    <xf numFmtId="0" fontId="19" fillId="0" borderId="0"/>
    <xf numFmtId="176" fontId="19" fillId="0" borderId="0" applyFont="0" applyFill="0" applyBorder="0" applyAlignment="0" applyProtection="0"/>
    <xf numFmtId="0" fontId="1" fillId="0" borderId="0">
      <alignment vertical="center"/>
    </xf>
    <xf numFmtId="0" fontId="2" fillId="0" borderId="0"/>
    <xf numFmtId="0" fontId="7" fillId="0" borderId="0"/>
    <xf numFmtId="0" fontId="21" fillId="0" borderId="0"/>
    <xf numFmtId="0" fontId="21" fillId="0" borderId="0"/>
    <xf numFmtId="0" fontId="2" fillId="0" borderId="0"/>
    <xf numFmtId="0" fontId="2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 fillId="0" borderId="0"/>
    <xf numFmtId="0" fontId="2" fillId="0" borderId="0"/>
    <xf numFmtId="0" fontId="2" fillId="0" borderId="0"/>
    <xf numFmtId="0" fontId="25" fillId="0" borderId="0">
      <alignment vertical="top"/>
    </xf>
    <xf numFmtId="0" fontId="24" fillId="0" borderId="0"/>
    <xf numFmtId="0" fontId="25" fillId="0" borderId="0">
      <alignment vertical="top"/>
    </xf>
    <xf numFmtId="0" fontId="25" fillId="0" borderId="0">
      <alignment vertical="top"/>
    </xf>
    <xf numFmtId="0" fontId="25" fillId="0" borderId="0">
      <alignment vertical="top"/>
    </xf>
    <xf numFmtId="0" fontId="24" fillId="0" borderId="0"/>
    <xf numFmtId="177" fontId="26" fillId="0" borderId="0" applyFont="0" applyFill="0" applyBorder="0" applyAlignment="0" applyProtection="0"/>
    <xf numFmtId="0" fontId="7" fillId="0" borderId="0"/>
    <xf numFmtId="178" fontId="26" fillId="0" borderId="0" applyFont="0" applyFill="0" applyBorder="0" applyAlignment="0" applyProtection="0"/>
    <xf numFmtId="10" fontId="26" fillId="0" borderId="0" applyFont="0" applyFill="0" applyBorder="0" applyAlignment="0" applyProtection="0"/>
    <xf numFmtId="0" fontId="27" fillId="7"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8" fillId="11" borderId="0" applyNumberFormat="0" applyBorder="0" applyAlignment="0" applyProtection="0"/>
    <xf numFmtId="0" fontId="28" fillId="14"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8" fillId="8" borderId="0" applyNumberFormat="0" applyBorder="0" applyAlignment="0" applyProtection="0"/>
    <xf numFmtId="0" fontId="28" fillId="12" borderId="0" applyNumberFormat="0" applyBorder="0" applyAlignment="0" applyProtection="0"/>
    <xf numFmtId="0" fontId="27" fillId="12"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8" fillId="8" borderId="0" applyNumberFormat="0" applyBorder="0" applyAlignment="0" applyProtection="0"/>
    <xf numFmtId="0" fontId="27" fillId="9" borderId="0" applyNumberFormat="0" applyBorder="0" applyAlignment="0" applyProtection="0"/>
    <xf numFmtId="0" fontId="27" fillId="17" borderId="0" applyNumberFormat="0" applyBorder="0" applyAlignment="0" applyProtection="0"/>
    <xf numFmtId="0" fontId="28" fillId="11" borderId="0" applyNumberFormat="0" applyBorder="0" applyAlignment="0" applyProtection="0"/>
    <xf numFmtId="0" fontId="28" fillId="18" borderId="0" applyNumberFormat="0" applyBorder="0" applyAlignment="0" applyProtection="0"/>
    <xf numFmtId="0" fontId="27" fillId="18" borderId="0" applyNumberFormat="0" applyBorder="0" applyAlignment="0" applyProtection="0"/>
    <xf numFmtId="3" fontId="29" fillId="0" borderId="0"/>
    <xf numFmtId="179" fontId="30" fillId="0" borderId="12" applyAlignment="0" applyProtection="0"/>
    <xf numFmtId="180" fontId="25" fillId="0" borderId="0" applyFill="0" applyBorder="0" applyAlignment="0"/>
    <xf numFmtId="0" fontId="31" fillId="0" borderId="13" applyNumberFormat="0" applyFill="0" applyProtection="0">
      <alignment horizontal="center"/>
    </xf>
    <xf numFmtId="181" fontId="32" fillId="0" borderId="0" applyFont="0" applyFill="0" applyBorder="0" applyAlignment="0" applyProtection="0"/>
    <xf numFmtId="37" fontId="26" fillId="0" borderId="0" applyFont="0" applyFill="0" applyBorder="0" applyAlignment="0" applyProtection="0"/>
    <xf numFmtId="182" fontId="26" fillId="0" borderId="0" applyFont="0" applyFill="0" applyBorder="0" applyAlignment="0" applyProtection="0"/>
    <xf numFmtId="39" fontId="26" fillId="0" borderId="0" applyFont="0" applyFill="0" applyBorder="0" applyAlignment="0" applyProtection="0"/>
    <xf numFmtId="176" fontId="32" fillId="0" borderId="0" applyFont="0" applyFill="0" applyBorder="0" applyAlignment="0" applyProtection="0"/>
    <xf numFmtId="183" fontId="32" fillId="0" borderId="0" applyFont="0" applyFill="0" applyBorder="0" applyAlignment="0" applyProtection="0"/>
    <xf numFmtId="179" fontId="26" fillId="0" borderId="0" applyFont="0" applyFill="0" applyBorder="0" applyAlignment="0" applyProtection="0"/>
    <xf numFmtId="184" fontId="26" fillId="0" borderId="0" applyFont="0" applyFill="0" applyBorder="0" applyAlignment="0" applyProtection="0"/>
    <xf numFmtId="185" fontId="32" fillId="0" borderId="0" applyFont="0" applyFill="0" applyBorder="0" applyAlignment="0" applyProtection="0"/>
    <xf numFmtId="41" fontId="32" fillId="0" borderId="0" applyFont="0" applyFill="0" applyBorder="0" applyAlignment="0" applyProtection="0"/>
    <xf numFmtId="43" fontId="32" fillId="0" borderId="0" applyFont="0" applyFill="0" applyBorder="0" applyAlignment="0" applyProtection="0"/>
    <xf numFmtId="0" fontId="33" fillId="0" borderId="0" applyNumberFormat="0" applyFill="0" applyBorder="0" applyAlignment="0" applyProtection="0">
      <alignment vertical="top"/>
      <protection locked="0"/>
    </xf>
    <xf numFmtId="38" fontId="34" fillId="19" borderId="0" applyNumberFormat="0" applyBorder="0" applyAlignment="0" applyProtection="0"/>
    <xf numFmtId="0" fontId="35" fillId="0" borderId="14" applyNumberFormat="0" applyAlignment="0" applyProtection="0">
      <alignment horizontal="left" vertical="center"/>
    </xf>
    <xf numFmtId="0" fontId="35" fillId="0" borderId="15">
      <alignment horizontal="left" vertical="center"/>
    </xf>
    <xf numFmtId="0" fontId="36" fillId="0" borderId="0" applyNumberFormat="0" applyFill="0" applyBorder="0" applyAlignment="0" applyProtection="0">
      <alignment vertical="top"/>
      <protection locked="0"/>
    </xf>
    <xf numFmtId="10" fontId="34" fillId="20" borderId="16" applyNumberFormat="0" applyBorder="0" applyAlignment="0" applyProtection="0"/>
    <xf numFmtId="44" fontId="37" fillId="0" borderId="0">
      <alignment horizontal="center" vertical="center"/>
      <protection locked="0"/>
    </xf>
    <xf numFmtId="186" fontId="2" fillId="0" borderId="0" applyFont="0" applyFill="0" applyBorder="0" applyAlignment="0" applyProtection="0"/>
    <xf numFmtId="187" fontId="2" fillId="0" borderId="0" applyFont="0" applyFill="0" applyBorder="0" applyAlignment="0" applyProtection="0"/>
    <xf numFmtId="0" fontId="38" fillId="21" borderId="17">
      <alignment horizontal="center"/>
    </xf>
    <xf numFmtId="0" fontId="39" fillId="0" borderId="0"/>
    <xf numFmtId="188" fontId="40" fillId="0" borderId="0"/>
    <xf numFmtId="0" fontId="32" fillId="0" borderId="0"/>
    <xf numFmtId="10" fontId="32" fillId="0" borderId="0" applyFont="0" applyFill="0" applyBorder="0" applyAlignment="0" applyProtection="0"/>
    <xf numFmtId="3" fontId="41" fillId="0" borderId="0"/>
    <xf numFmtId="41" fontId="42" fillId="0" borderId="0" applyFont="0" applyFill="0" applyBorder="0" applyAlignment="0" applyProtection="0"/>
    <xf numFmtId="0" fontId="4" fillId="0" borderId="0"/>
    <xf numFmtId="9" fontId="7" fillId="0" borderId="0" applyFont="0" applyFill="0" applyBorder="0" applyAlignment="0" applyProtection="0"/>
    <xf numFmtId="9" fontId="19" fillId="0" borderId="0" applyFont="0" applyFill="0" applyBorder="0" applyAlignment="0" applyProtection="0">
      <alignment vertical="center"/>
    </xf>
    <xf numFmtId="9" fontId="2" fillId="0" borderId="0" applyFont="0" applyFill="0" applyBorder="0" applyAlignment="0" applyProtection="0"/>
    <xf numFmtId="9" fontId="13"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0" fontId="44" fillId="0" borderId="0" applyNumberFormat="0" applyFill="0" applyBorder="0" applyAlignment="0" applyProtection="0"/>
    <xf numFmtId="0" fontId="45" fillId="3" borderId="0" applyNumberFormat="0" applyBorder="0" applyAlignment="0" applyProtection="0">
      <alignment vertical="center"/>
    </xf>
    <xf numFmtId="0" fontId="15" fillId="0" borderId="0">
      <alignment vertical="center"/>
    </xf>
    <xf numFmtId="0" fontId="2" fillId="0" borderId="0">
      <alignment vertical="center"/>
    </xf>
    <xf numFmtId="0" fontId="19" fillId="0" borderId="0">
      <alignment vertical="center"/>
    </xf>
    <xf numFmtId="0" fontId="46" fillId="0" borderId="0">
      <alignment vertical="center"/>
    </xf>
    <xf numFmtId="0" fontId="13" fillId="0" borderId="0">
      <alignment vertical="center"/>
    </xf>
    <xf numFmtId="0" fontId="2" fillId="0" borderId="0"/>
    <xf numFmtId="0" fontId="2" fillId="0" borderId="0"/>
    <xf numFmtId="0" fontId="19" fillId="0" borderId="0">
      <alignment vertical="center"/>
    </xf>
    <xf numFmtId="0" fontId="13" fillId="0" borderId="0"/>
    <xf numFmtId="0" fontId="47" fillId="0" borderId="0" applyNumberFormat="0" applyFill="0" applyBorder="0" applyAlignment="0" applyProtection="0">
      <alignment vertical="top"/>
      <protection locked="0"/>
    </xf>
    <xf numFmtId="0" fontId="48" fillId="22" borderId="0" applyNumberFormat="0" applyBorder="0" applyAlignment="0" applyProtection="0">
      <alignment vertical="center"/>
    </xf>
    <xf numFmtId="0" fontId="48" fillId="22" borderId="0" applyNumberFormat="0" applyBorder="0" applyAlignment="0" applyProtection="0">
      <alignment vertical="center"/>
    </xf>
    <xf numFmtId="0" fontId="48" fillId="22" borderId="0" applyNumberFormat="0" applyBorder="0" applyAlignment="0" applyProtection="0">
      <alignment vertical="center"/>
    </xf>
    <xf numFmtId="0" fontId="49" fillId="2" borderId="0" applyNumberFormat="0" applyBorder="0" applyAlignment="0" applyProtection="0">
      <alignment vertical="center"/>
    </xf>
    <xf numFmtId="0" fontId="48" fillId="22" borderId="0" applyNumberFormat="0" applyBorder="0" applyAlignment="0" applyProtection="0">
      <alignment vertical="center"/>
    </xf>
    <xf numFmtId="0" fontId="48" fillId="22" borderId="0" applyNumberFormat="0" applyBorder="0" applyAlignment="0" applyProtection="0">
      <alignment vertical="center"/>
    </xf>
    <xf numFmtId="0" fontId="48" fillId="22" borderId="0" applyNumberFormat="0" applyBorder="0" applyAlignment="0" applyProtection="0">
      <alignment vertical="center"/>
    </xf>
    <xf numFmtId="186" fontId="32" fillId="0" borderId="0" applyFont="0" applyFill="0" applyBorder="0" applyAlignment="0" applyProtection="0"/>
    <xf numFmtId="189" fontId="32" fillId="0" borderId="0" applyFont="0" applyFill="0" applyBorder="0" applyAlignment="0" applyProtection="0"/>
    <xf numFmtId="190" fontId="50" fillId="0" borderId="0" applyFont="0" applyFill="0" applyBorder="0" applyAlignment="0" applyProtection="0"/>
    <xf numFmtId="191" fontId="50" fillId="0" borderId="0" applyFont="0" applyFill="0" applyBorder="0" applyAlignment="0" applyProtection="0"/>
    <xf numFmtId="0" fontId="42" fillId="0" borderId="0"/>
    <xf numFmtId="41" fontId="42" fillId="0" borderId="0" applyFont="0" applyFill="0" applyBorder="0" applyAlignment="0" applyProtection="0"/>
    <xf numFmtId="43" fontId="42"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alignment vertical="center"/>
    </xf>
    <xf numFmtId="192" fontId="19" fillId="0" borderId="0" applyFont="0" applyFill="0" applyBorder="0" applyAlignment="0" applyProtection="0">
      <alignment vertical="center"/>
    </xf>
    <xf numFmtId="43" fontId="19"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46" fillId="0" borderId="0" applyFont="0" applyFill="0" applyBorder="0" applyAlignment="0" applyProtection="0">
      <alignment vertical="center"/>
    </xf>
    <xf numFmtId="43" fontId="19" fillId="0" borderId="0" applyFont="0" applyFill="0" applyBorder="0" applyAlignment="0" applyProtection="0">
      <alignment vertical="center"/>
    </xf>
    <xf numFmtId="43" fontId="15" fillId="0" borderId="0" applyFont="0" applyFill="0" applyBorder="0" applyAlignment="0" applyProtection="0">
      <alignment vertical="center"/>
    </xf>
    <xf numFmtId="41" fontId="19" fillId="0" borderId="0" applyFont="0" applyFill="0" applyBorder="0" applyAlignment="0" applyProtection="0">
      <alignment vertical="center"/>
    </xf>
    <xf numFmtId="0" fontId="51" fillId="0" borderId="0"/>
    <xf numFmtId="0" fontId="52" fillId="23" borderId="0" applyNumberFormat="0" applyBorder="0" applyAlignment="0" applyProtection="0"/>
    <xf numFmtId="0" fontId="52" fillId="24" borderId="0" applyNumberFormat="0" applyBorder="0" applyAlignment="0" applyProtection="0"/>
    <xf numFmtId="0" fontId="52" fillId="25" borderId="0" applyNumberFormat="0" applyBorder="0" applyAlignment="0" applyProtection="0"/>
    <xf numFmtId="0" fontId="2" fillId="0" borderId="0"/>
    <xf numFmtId="0" fontId="53" fillId="0" borderId="0"/>
    <xf numFmtId="40" fontId="43" fillId="0" borderId="0" applyFont="0" applyFill="0" applyBorder="0" applyAlignment="0" applyProtection="0"/>
    <xf numFmtId="38" fontId="43" fillId="0" borderId="0" applyFont="0" applyFill="0" applyBorder="0" applyAlignment="0" applyProtection="0"/>
    <xf numFmtId="38" fontId="54" fillId="0" borderId="0" applyFont="0" applyFill="0" applyBorder="0" applyAlignment="0" applyProtection="0"/>
    <xf numFmtId="40"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0" fontId="55" fillId="0" borderId="0"/>
  </cellStyleXfs>
  <cellXfs count="157">
    <xf numFmtId="0" fontId="0" fillId="0" borderId="0" xfId="0">
      <alignment vertical="center"/>
      <protection locked="0"/>
    </xf>
    <xf numFmtId="0" fontId="4" fillId="0" borderId="0" xfId="0" applyFont="1">
      <alignment vertical="center"/>
      <protection locked="0"/>
    </xf>
    <xf numFmtId="9" fontId="9" fillId="0" borderId="1" xfId="1" applyNumberFormat="1" applyFont="1" applyBorder="1" applyAlignment="1">
      <alignment horizontal="center" vertical="center"/>
    </xf>
    <xf numFmtId="0" fontId="4" fillId="0" borderId="1" xfId="0" applyFont="1" applyBorder="1">
      <alignment vertical="center"/>
      <protection locked="0"/>
    </xf>
    <xf numFmtId="0" fontId="4" fillId="0" borderId="0" xfId="0" applyFont="1" applyAlignment="1">
      <alignment horizontal="center" vertical="center"/>
      <protection locked="0"/>
    </xf>
    <xf numFmtId="0" fontId="5" fillId="0" borderId="0" xfId="0" applyFont="1" applyAlignment="1">
      <alignment horizontal="center" vertical="center"/>
      <protection locked="0"/>
    </xf>
    <xf numFmtId="0" fontId="5" fillId="0" borderId="1" xfId="0" applyFont="1" applyBorder="1">
      <alignment vertical="center"/>
      <protection locked="0"/>
    </xf>
    <xf numFmtId="0" fontId="4" fillId="0" borderId="0" xfId="1" applyFont="1"/>
    <xf numFmtId="49" fontId="4" fillId="0" borderId="0" xfId="1" applyNumberFormat="1" applyFont="1" applyAlignment="1">
      <alignment horizontal="left" vertical="center"/>
    </xf>
    <xf numFmtId="0" fontId="4" fillId="0" borderId="0" xfId="1" applyFont="1" applyAlignment="1">
      <alignment horizontal="left" vertical="center"/>
    </xf>
    <xf numFmtId="0" fontId="8" fillId="0" borderId="0" xfId="1" applyFont="1" applyAlignment="1">
      <alignment horizontal="left" vertical="center"/>
    </xf>
    <xf numFmtId="0" fontId="4" fillId="0" borderId="0" xfId="1" applyFont="1" applyAlignment="1">
      <alignment vertical="center"/>
    </xf>
    <xf numFmtId="0" fontId="13" fillId="0" borderId="0" xfId="5" applyFont="1" applyAlignment="1">
      <alignment vertical="center" wrapText="1"/>
    </xf>
    <xf numFmtId="0" fontId="20" fillId="0" borderId="0" xfId="5" applyFont="1" applyAlignment="1">
      <alignment vertical="center" wrapText="1"/>
    </xf>
    <xf numFmtId="0" fontId="56" fillId="0" borderId="0" xfId="5" applyFont="1" applyAlignment="1">
      <alignment vertical="center" wrapText="1"/>
    </xf>
    <xf numFmtId="0" fontId="56" fillId="0" borderId="0" xfId="5" applyFont="1">
      <alignment vertical="center"/>
    </xf>
    <xf numFmtId="0" fontId="66" fillId="0" borderId="0" xfId="5" applyFont="1" applyAlignment="1" applyProtection="1">
      <alignment horizontal="left" vertical="center"/>
      <protection locked="0"/>
    </xf>
    <xf numFmtId="0" fontId="66" fillId="6" borderId="1" xfId="5" applyFont="1" applyFill="1" applyBorder="1" applyAlignment="1" applyProtection="1">
      <alignment horizontal="center" vertical="center"/>
      <protection locked="0"/>
    </xf>
    <xf numFmtId="0" fontId="42" fillId="0" borderId="21" xfId="0" applyFont="1" applyBorder="1" applyAlignment="1">
      <alignment horizontal="center" vertical="center" wrapText="1"/>
      <protection locked="0"/>
    </xf>
    <xf numFmtId="0" fontId="42" fillId="0" borderId="21" xfId="0" applyFont="1" applyBorder="1" applyAlignment="1">
      <alignment horizontal="left" vertical="center" wrapText="1"/>
      <protection locked="0"/>
    </xf>
    <xf numFmtId="0" fontId="42" fillId="0" borderId="21" xfId="0" applyFont="1" applyBorder="1" applyAlignment="1">
      <alignment horizontal="right" vertical="center" wrapText="1"/>
      <protection locked="0"/>
    </xf>
    <xf numFmtId="0" fontId="66" fillId="0" borderId="0" xfId="5" applyFont="1" applyProtection="1">
      <alignment vertical="center"/>
      <protection locked="0"/>
    </xf>
    <xf numFmtId="0" fontId="66" fillId="26" borderId="0" xfId="5" applyFont="1" applyFill="1" applyProtection="1">
      <alignment vertical="center"/>
      <protection locked="0"/>
    </xf>
    <xf numFmtId="0" fontId="66" fillId="0" borderId="0" xfId="5" applyFont="1" applyAlignment="1" applyProtection="1">
      <alignment horizontal="center" vertical="center"/>
      <protection locked="0"/>
    </xf>
    <xf numFmtId="0" fontId="42" fillId="0" borderId="1" xfId="5" applyFont="1" applyBorder="1" applyAlignment="1" applyProtection="1">
      <alignment horizontal="center" vertical="center"/>
      <protection locked="0"/>
    </xf>
    <xf numFmtId="0" fontId="42" fillId="0" borderId="1" xfId="5" applyFont="1" applyBorder="1" applyAlignment="1" applyProtection="1">
      <alignment horizontal="center" vertical="center" wrapText="1"/>
      <protection locked="0"/>
    </xf>
    <xf numFmtId="0" fontId="42" fillId="0" borderId="0" xfId="5" applyFont="1" applyProtection="1">
      <alignment vertical="center"/>
      <protection locked="0"/>
    </xf>
    <xf numFmtId="0" fontId="66" fillId="0" borderId="1" xfId="5" applyFont="1" applyBorder="1" applyAlignment="1" applyProtection="1">
      <alignment horizontal="center" vertical="center"/>
      <protection locked="0"/>
    </xf>
    <xf numFmtId="0" fontId="42" fillId="0" borderId="0" xfId="5" applyFont="1" applyAlignment="1" applyProtection="1">
      <alignment horizontal="center" vertical="center"/>
      <protection locked="0"/>
    </xf>
    <xf numFmtId="0" fontId="12" fillId="6" borderId="1" xfId="5" applyFont="1" applyFill="1" applyBorder="1" applyAlignment="1" applyProtection="1">
      <alignment horizontal="center" vertical="center" wrapText="1"/>
      <protection locked="0"/>
    </xf>
    <xf numFmtId="0" fontId="67" fillId="0" borderId="1" xfId="5" applyFont="1" applyBorder="1" applyAlignment="1" applyProtection="1">
      <alignment horizontal="center" vertical="center" wrapText="1"/>
      <protection locked="0"/>
    </xf>
    <xf numFmtId="0" fontId="42" fillId="0" borderId="0" xfId="5" applyFont="1" applyAlignment="1" applyProtection="1">
      <alignment horizontal="left" vertical="center" wrapText="1"/>
      <protection locked="0"/>
    </xf>
    <xf numFmtId="9" fontId="42" fillId="0" borderId="1" xfId="5" applyNumberFormat="1" applyFont="1" applyBorder="1" applyAlignment="1" applyProtection="1">
      <alignment horizontal="center" vertical="center"/>
      <protection locked="0"/>
    </xf>
    <xf numFmtId="9" fontId="42" fillId="0" borderId="0" xfId="5" applyNumberFormat="1" applyFont="1" applyAlignment="1" applyProtection="1">
      <alignment horizontal="center" vertical="center"/>
      <protection locked="0"/>
    </xf>
    <xf numFmtId="0" fontId="68" fillId="6" borderId="1" xfId="5" applyFont="1" applyFill="1" applyBorder="1" applyAlignment="1" applyProtection="1">
      <alignment horizontal="center" vertical="center"/>
      <protection locked="0"/>
    </xf>
    <xf numFmtId="0" fontId="69" fillId="0" borderId="1" xfId="5" applyFont="1" applyBorder="1" applyAlignment="1" applyProtection="1">
      <alignment vertical="center" wrapText="1"/>
      <protection locked="0"/>
    </xf>
    <xf numFmtId="0" fontId="70" fillId="0" borderId="10" xfId="5" applyFont="1" applyBorder="1" applyProtection="1">
      <alignment vertical="center"/>
      <protection locked="0"/>
    </xf>
    <xf numFmtId="0" fontId="70" fillId="0" borderId="11" xfId="5" applyFont="1" applyBorder="1" applyProtection="1">
      <alignment vertical="center"/>
      <protection locked="0"/>
    </xf>
    <xf numFmtId="0" fontId="42" fillId="0" borderId="11" xfId="5" applyFont="1" applyBorder="1" applyAlignment="1" applyProtection="1">
      <alignment horizontal="left" vertical="center" wrapText="1"/>
      <protection locked="0"/>
    </xf>
    <xf numFmtId="0" fontId="70" fillId="0" borderId="4" xfId="5" applyFont="1" applyBorder="1" applyAlignment="1" applyProtection="1">
      <alignment horizontal="left" vertical="center"/>
      <protection locked="0"/>
    </xf>
    <xf numFmtId="0" fontId="42" fillId="0" borderId="3" xfId="5" applyFont="1" applyBorder="1" applyProtection="1">
      <alignment vertical="center"/>
      <protection locked="0"/>
    </xf>
    <xf numFmtId="0" fontId="42" fillId="0" borderId="3" xfId="5" applyFont="1" applyBorder="1" applyAlignment="1" applyProtection="1">
      <alignment horizontal="left" vertical="center" wrapText="1"/>
      <protection locked="0"/>
    </xf>
    <xf numFmtId="0" fontId="70" fillId="0" borderId="4" xfId="5" applyFont="1" applyBorder="1" applyAlignment="1" applyProtection="1">
      <alignment horizontal="center" vertical="center"/>
      <protection locked="0"/>
    </xf>
    <xf numFmtId="0" fontId="42" fillId="0" borderId="1" xfId="5" applyFont="1" applyBorder="1" applyAlignment="1" applyProtection="1">
      <alignment horizontal="left" vertical="center" wrapText="1"/>
      <protection locked="0"/>
    </xf>
    <xf numFmtId="0" fontId="42" fillId="0" borderId="1" xfId="5" applyFont="1" applyBorder="1" applyAlignment="1" applyProtection="1">
      <alignment horizontal="left" vertical="center"/>
      <protection locked="0"/>
    </xf>
    <xf numFmtId="0" fontId="13" fillId="0" borderId="0" xfId="5" applyFont="1" applyAlignment="1" applyProtection="1">
      <alignment horizontal="left" vertical="center"/>
      <protection locked="0"/>
    </xf>
    <xf numFmtId="0" fontId="4" fillId="27" borderId="1" xfId="0" applyFont="1" applyFill="1" applyBorder="1" applyAlignment="1">
      <alignment horizontal="left" vertical="center"/>
      <protection locked="0"/>
    </xf>
    <xf numFmtId="0" fontId="4" fillId="27" borderId="1" xfId="0" applyFont="1" applyFill="1" applyBorder="1">
      <alignment vertical="center"/>
      <protection locked="0"/>
    </xf>
    <xf numFmtId="10" fontId="4" fillId="27" borderId="1" xfId="0" applyNumberFormat="1" applyFont="1" applyFill="1" applyBorder="1" applyAlignment="1">
      <alignment horizontal="center" vertical="center"/>
      <protection locked="0"/>
    </xf>
    <xf numFmtId="0" fontId="4" fillId="0" borderId="1" xfId="0" applyFont="1" applyBorder="1" applyAlignment="1">
      <alignment horizontal="center" vertical="center"/>
      <protection locked="0"/>
    </xf>
    <xf numFmtId="0" fontId="5" fillId="4" borderId="1" xfId="0" applyFont="1" applyFill="1" applyBorder="1" applyAlignment="1">
      <alignment horizontal="center" vertical="center"/>
      <protection locked="0"/>
    </xf>
    <xf numFmtId="0" fontId="5" fillId="4" borderId="1" xfId="0" applyFont="1" applyFill="1" applyBorder="1" applyAlignment="1">
      <alignment horizontal="center" vertical="center" wrapText="1"/>
      <protection locked="0"/>
    </xf>
    <xf numFmtId="0" fontId="5" fillId="0" borderId="1" xfId="0" applyFont="1" applyBorder="1" applyAlignment="1">
      <alignment horizontal="center" vertical="center"/>
      <protection locked="0"/>
    </xf>
    <xf numFmtId="0" fontId="4" fillId="27" borderId="1" xfId="0" applyFont="1" applyFill="1" applyBorder="1" applyAlignment="1">
      <alignment horizontal="center" vertical="center"/>
      <protection locked="0"/>
    </xf>
    <xf numFmtId="0" fontId="10" fillId="0" borderId="1" xfId="1" applyFont="1" applyBorder="1" applyAlignment="1">
      <alignment horizontal="center" vertical="center"/>
    </xf>
    <xf numFmtId="0" fontId="5" fillId="0" borderId="1" xfId="0" applyFont="1" applyBorder="1" applyAlignment="1">
      <alignment horizontal="center" vertical="center" wrapText="1"/>
      <protection locked="0"/>
    </xf>
    <xf numFmtId="9" fontId="4" fillId="0" borderId="1" xfId="0" applyNumberFormat="1" applyFont="1" applyBorder="1" applyAlignment="1">
      <alignment horizontal="center" vertical="center"/>
      <protection locked="0"/>
    </xf>
    <xf numFmtId="9" fontId="5" fillId="0" borderId="1" xfId="0" applyNumberFormat="1" applyFont="1" applyBorder="1" applyAlignment="1">
      <alignment horizontal="center" vertical="center" wrapText="1"/>
      <protection locked="0"/>
    </xf>
    <xf numFmtId="0" fontId="72" fillId="0" borderId="0" xfId="0" applyFont="1" applyAlignment="1">
      <alignment horizontal="left" vertical="center"/>
      <protection locked="0"/>
    </xf>
    <xf numFmtId="0" fontId="72" fillId="0" borderId="0" xfId="0" applyFont="1">
      <alignment vertical="center"/>
      <protection locked="0"/>
    </xf>
    <xf numFmtId="0" fontId="73" fillId="0" borderId="0" xfId="0" applyFont="1">
      <alignment vertical="center"/>
      <protection locked="0"/>
    </xf>
    <xf numFmtId="0" fontId="76" fillId="26" borderId="0" xfId="5" applyFont="1" applyFill="1" applyAlignment="1" applyProtection="1">
      <alignment horizontal="left" vertical="center"/>
      <protection locked="0"/>
    </xf>
    <xf numFmtId="0" fontId="78" fillId="6" borderId="1" xfId="5" applyFont="1" applyFill="1" applyBorder="1" applyAlignment="1" applyProtection="1">
      <alignment horizontal="center" vertical="center" wrapText="1"/>
      <protection locked="0"/>
    </xf>
    <xf numFmtId="0" fontId="80" fillId="6" borderId="1" xfId="5" applyFont="1" applyFill="1" applyBorder="1" applyAlignment="1" applyProtection="1">
      <alignment horizontal="center" vertical="center" wrapText="1"/>
      <protection locked="0"/>
    </xf>
    <xf numFmtId="0" fontId="81" fillId="0" borderId="1" xfId="5" applyFont="1" applyBorder="1" applyAlignment="1" applyProtection="1">
      <alignment horizontal="center" vertical="center" wrapText="1"/>
      <protection locked="0"/>
    </xf>
    <xf numFmtId="0" fontId="14" fillId="0" borderId="1" xfId="5" applyFont="1" applyBorder="1" applyAlignment="1" applyProtection="1">
      <alignment horizontal="center" vertical="center"/>
      <protection locked="0"/>
    </xf>
    <xf numFmtId="0" fontId="83" fillId="6" borderId="1" xfId="5" applyFont="1" applyFill="1" applyBorder="1" applyAlignment="1" applyProtection="1">
      <alignment horizontal="center" vertical="center" wrapText="1"/>
      <protection locked="0"/>
    </xf>
    <xf numFmtId="0" fontId="71" fillId="6" borderId="1" xfId="5" applyFont="1" applyFill="1" applyBorder="1" applyAlignment="1" applyProtection="1">
      <alignment horizontal="center" vertical="center" wrapText="1"/>
      <protection locked="0"/>
    </xf>
    <xf numFmtId="0" fontId="81" fillId="0" borderId="1" xfId="5" applyFont="1" applyBorder="1" applyAlignment="1" applyProtection="1">
      <alignment horizontal="center" vertical="center"/>
      <protection locked="0"/>
    </xf>
    <xf numFmtId="0" fontId="13" fillId="0" borderId="0" xfId="1" applyFont="1" applyAlignment="1">
      <alignment horizontal="left" vertical="center"/>
    </xf>
    <xf numFmtId="0" fontId="85" fillId="0" borderId="0" xfId="5" applyFont="1">
      <alignment vertical="center"/>
    </xf>
    <xf numFmtId="0" fontId="85" fillId="0" borderId="0" xfId="0" applyFont="1">
      <alignment vertical="center"/>
      <protection locked="0"/>
    </xf>
    <xf numFmtId="0" fontId="86" fillId="0" borderId="0" xfId="5" applyFont="1" applyProtection="1">
      <alignment vertical="center"/>
      <protection locked="0"/>
    </xf>
    <xf numFmtId="0" fontId="6" fillId="0" borderId="0" xfId="5" applyFont="1" applyAlignment="1">
      <alignment vertical="center" wrapText="1"/>
    </xf>
    <xf numFmtId="0" fontId="6" fillId="5" borderId="0" xfId="5" applyFont="1" applyFill="1" applyAlignment="1">
      <alignment vertical="center" wrapText="1"/>
    </xf>
    <xf numFmtId="0" fontId="5" fillId="0" borderId="0" xfId="1" applyFont="1"/>
    <xf numFmtId="0" fontId="5" fillId="0" borderId="0" xfId="1" applyFont="1" applyAlignment="1">
      <alignment horizontal="center"/>
    </xf>
    <xf numFmtId="0" fontId="70" fillId="0" borderId="0" xfId="5" applyFont="1">
      <alignment vertical="center"/>
    </xf>
    <xf numFmtId="0" fontId="90" fillId="0" borderId="0" xfId="5" applyFont="1" applyProtection="1">
      <alignment vertical="center"/>
      <protection locked="0"/>
    </xf>
    <xf numFmtId="0" fontId="42" fillId="0" borderId="20" xfId="5" applyFont="1" applyBorder="1" applyAlignment="1" applyProtection="1">
      <alignment horizontal="left" vertical="center" wrapText="1"/>
      <protection locked="0"/>
    </xf>
    <xf numFmtId="0" fontId="66" fillId="6" borderId="4" xfId="5" applyFont="1" applyFill="1" applyBorder="1" applyAlignment="1" applyProtection="1">
      <alignment horizontal="center" vertical="center"/>
      <protection locked="0"/>
    </xf>
    <xf numFmtId="0" fontId="66" fillId="6" borderId="3" xfId="5" applyFont="1" applyFill="1" applyBorder="1" applyAlignment="1" applyProtection="1">
      <alignment horizontal="center" vertical="center"/>
      <protection locked="0"/>
    </xf>
    <xf numFmtId="0" fontId="66" fillId="6" borderId="2" xfId="5" applyFont="1" applyFill="1" applyBorder="1" applyAlignment="1" applyProtection="1">
      <alignment horizontal="center" vertical="center"/>
      <protection locked="0"/>
    </xf>
    <xf numFmtId="0" fontId="42" fillId="0" borderId="4" xfId="5" applyFont="1" applyBorder="1" applyAlignment="1" applyProtection="1">
      <alignment horizontal="left" vertical="center" wrapText="1"/>
      <protection locked="0"/>
    </xf>
    <xf numFmtId="0" fontId="42" fillId="0" borderId="3" xfId="5" applyFont="1" applyBorder="1" applyAlignment="1" applyProtection="1">
      <alignment horizontal="left" vertical="center" wrapText="1"/>
      <protection locked="0"/>
    </xf>
    <xf numFmtId="0" fontId="42" fillId="0" borderId="2" xfId="5" applyFont="1" applyBorder="1" applyAlignment="1" applyProtection="1">
      <alignment horizontal="left" vertical="center" wrapText="1"/>
      <protection locked="0"/>
    </xf>
    <xf numFmtId="0" fontId="42" fillId="0" borderId="5" xfId="5" applyFont="1" applyBorder="1" applyAlignment="1" applyProtection="1">
      <alignment horizontal="center" vertical="center"/>
      <protection locked="0"/>
    </xf>
    <xf numFmtId="0" fontId="42" fillId="0" borderId="6" xfId="5" applyFont="1" applyBorder="1" applyAlignment="1" applyProtection="1">
      <alignment horizontal="center" vertical="center"/>
      <protection locked="0"/>
    </xf>
    <xf numFmtId="0" fontId="42" fillId="0" borderId="5" xfId="5" applyFont="1" applyBorder="1" applyAlignment="1" applyProtection="1">
      <alignment horizontal="center" vertical="center" wrapText="1"/>
      <protection locked="0"/>
    </xf>
    <xf numFmtId="0" fontId="42" fillId="0" borderId="6" xfId="5" applyFont="1" applyBorder="1" applyAlignment="1" applyProtection="1">
      <alignment horizontal="center" vertical="center" wrapText="1"/>
      <protection locked="0"/>
    </xf>
    <xf numFmtId="0" fontId="42" fillId="0" borderId="7" xfId="5" applyFont="1" applyBorder="1" applyAlignment="1" applyProtection="1">
      <alignment horizontal="center" vertical="center"/>
      <protection locked="0"/>
    </xf>
    <xf numFmtId="0" fontId="42" fillId="0" borderId="7" xfId="5" applyFont="1" applyBorder="1" applyAlignment="1" applyProtection="1">
      <alignment horizontal="center" vertical="center" wrapText="1"/>
      <protection locked="0"/>
    </xf>
    <xf numFmtId="0" fontId="56" fillId="0" borderId="3" xfId="5" applyFont="1" applyBorder="1" applyAlignment="1" applyProtection="1">
      <alignment horizontal="left" vertical="center" wrapText="1"/>
      <protection locked="0"/>
    </xf>
    <xf numFmtId="0" fontId="66" fillId="0" borderId="4" xfId="5" applyFont="1" applyBorder="1" applyAlignment="1" applyProtection="1">
      <alignment horizontal="left" vertical="center"/>
      <protection locked="0"/>
    </xf>
    <xf numFmtId="0" fontId="66" fillId="0" borderId="3" xfId="5" applyFont="1" applyBorder="1" applyAlignment="1" applyProtection="1">
      <alignment horizontal="left" vertical="center"/>
      <protection locked="0"/>
    </xf>
    <xf numFmtId="0" fontId="66" fillId="0" borderId="2" xfId="5" applyFont="1" applyBorder="1" applyAlignment="1" applyProtection="1">
      <alignment horizontal="left" vertical="center"/>
      <protection locked="0"/>
    </xf>
    <xf numFmtId="0" fontId="66" fillId="6" borderId="4" xfId="5" applyFont="1" applyFill="1" applyBorder="1" applyAlignment="1" applyProtection="1">
      <alignment horizontal="center" vertical="center" wrapText="1"/>
      <protection locked="0"/>
    </xf>
    <xf numFmtId="0" fontId="66" fillId="6" borderId="3" xfId="5" applyFont="1" applyFill="1" applyBorder="1" applyAlignment="1" applyProtection="1">
      <alignment horizontal="center" vertical="center" wrapText="1"/>
      <protection locked="0"/>
    </xf>
    <xf numFmtId="0" fontId="66" fillId="6" borderId="2" xfId="5" applyFont="1" applyFill="1" applyBorder="1" applyAlignment="1" applyProtection="1">
      <alignment horizontal="center" vertical="center" wrapText="1"/>
      <protection locked="0"/>
    </xf>
    <xf numFmtId="0" fontId="42" fillId="0" borderId="1" xfId="5" applyFont="1" applyBorder="1" applyAlignment="1" applyProtection="1">
      <alignment horizontal="center" vertical="center"/>
      <protection locked="0"/>
    </xf>
    <xf numFmtId="0" fontId="66" fillId="6" borderId="1" xfId="5" applyFont="1" applyFill="1" applyBorder="1" applyAlignment="1" applyProtection="1">
      <alignment horizontal="center" vertical="center"/>
      <protection locked="0"/>
    </xf>
    <xf numFmtId="0" fontId="60" fillId="0" borderId="1" xfId="5" applyFont="1" applyBorder="1" applyAlignment="1" applyProtection="1">
      <alignment horizontal="left" vertical="center" wrapText="1"/>
      <protection locked="0"/>
    </xf>
    <xf numFmtId="0" fontId="42" fillId="0" borderId="1" xfId="5" applyFont="1" applyBorder="1" applyAlignment="1" applyProtection="1">
      <alignment horizontal="left" vertical="center" wrapText="1"/>
      <protection locked="0"/>
    </xf>
    <xf numFmtId="0" fontId="42" fillId="0" borderId="19" xfId="5" applyFont="1" applyBorder="1" applyAlignment="1" applyProtection="1">
      <alignment horizontal="left" vertical="center" wrapText="1"/>
      <protection locked="0"/>
    </xf>
    <xf numFmtId="0" fontId="42" fillId="0" borderId="8" xfId="5" applyFont="1" applyBorder="1" applyAlignment="1" applyProtection="1">
      <alignment horizontal="left" vertical="center" wrapText="1"/>
      <protection locked="0"/>
    </xf>
    <xf numFmtId="0" fontId="42" fillId="0" borderId="9" xfId="5" applyFont="1" applyBorder="1" applyAlignment="1" applyProtection="1">
      <alignment horizontal="left" vertical="center" wrapText="1"/>
      <protection locked="0"/>
    </xf>
    <xf numFmtId="0" fontId="42" fillId="0" borderId="10" xfId="5" applyFont="1" applyBorder="1" applyAlignment="1" applyProtection="1">
      <alignment horizontal="left" vertical="center" wrapText="1"/>
      <protection locked="0"/>
    </xf>
    <xf numFmtId="0" fontId="42" fillId="0" borderId="20" xfId="5" applyFont="1" applyBorder="1" applyAlignment="1" applyProtection="1">
      <alignment horizontal="left" vertical="center" wrapText="1"/>
      <protection locked="0"/>
    </xf>
    <xf numFmtId="0" fontId="68" fillId="6" borderId="8" xfId="5" applyFont="1" applyFill="1" applyBorder="1" applyAlignment="1" applyProtection="1">
      <alignment horizontal="center" vertical="center"/>
      <protection locked="0"/>
    </xf>
    <xf numFmtId="0" fontId="68" fillId="6" borderId="0" xfId="5" applyFont="1" applyFill="1" applyAlignment="1" applyProtection="1">
      <alignment horizontal="center" vertical="center"/>
      <protection locked="0"/>
    </xf>
    <xf numFmtId="0" fontId="68" fillId="6" borderId="9" xfId="5" applyFont="1" applyFill="1" applyBorder="1" applyAlignment="1" applyProtection="1">
      <alignment horizontal="center" vertical="center"/>
      <protection locked="0"/>
    </xf>
    <xf numFmtId="0" fontId="69" fillId="0" borderId="1" xfId="5" applyFont="1" applyBorder="1" applyAlignment="1" applyProtection="1">
      <alignment vertical="center" wrapText="1"/>
      <protection locked="0"/>
    </xf>
    <xf numFmtId="0" fontId="69" fillId="0" borderId="4" xfId="5" applyFont="1" applyBorder="1" applyAlignment="1" applyProtection="1">
      <alignment horizontal="left" vertical="center" wrapText="1"/>
      <protection locked="0"/>
    </xf>
    <xf numFmtId="0" fontId="69" fillId="0" borderId="3" xfId="5" applyFont="1" applyBorder="1" applyAlignment="1" applyProtection="1">
      <alignment horizontal="left" vertical="center" wrapText="1"/>
      <protection locked="0"/>
    </xf>
    <xf numFmtId="0" fontId="69" fillId="0" borderId="2" xfId="5" applyFont="1" applyBorder="1" applyAlignment="1" applyProtection="1">
      <alignment horizontal="left" vertical="center" wrapText="1"/>
      <protection locked="0"/>
    </xf>
    <xf numFmtId="0" fontId="42" fillId="0" borderId="1" xfId="5" applyFont="1" applyBorder="1" applyAlignment="1" applyProtection="1">
      <alignment vertical="center" wrapText="1"/>
      <protection locked="0"/>
    </xf>
    <xf numFmtId="0" fontId="70" fillId="0" borderId="4" xfId="5" applyFont="1" applyBorder="1" applyAlignment="1" applyProtection="1">
      <alignment horizontal="left" vertical="center"/>
      <protection locked="0"/>
    </xf>
    <xf numFmtId="0" fontId="70" fillId="0" borderId="3" xfId="5" applyFont="1" applyBorder="1" applyAlignment="1" applyProtection="1">
      <alignment horizontal="left" vertical="center"/>
      <protection locked="0"/>
    </xf>
    <xf numFmtId="0" fontId="70" fillId="0" borderId="2" xfId="5" applyFont="1" applyBorder="1" applyAlignment="1" applyProtection="1">
      <alignment horizontal="left" vertical="center"/>
      <protection locked="0"/>
    </xf>
    <xf numFmtId="0" fontId="74" fillId="0" borderId="0" xfId="0" applyFont="1" applyAlignment="1">
      <alignment vertical="center" wrapText="1"/>
      <protection locked="0"/>
    </xf>
    <xf numFmtId="0" fontId="72" fillId="0" borderId="0" xfId="0" applyFont="1" applyAlignment="1">
      <alignment vertical="top" wrapText="1"/>
      <protection locked="0"/>
    </xf>
    <xf numFmtId="0" fontId="5" fillId="0" borderId="1" xfId="0" applyFont="1" applyBorder="1" applyAlignment="1">
      <alignment horizontal="left" vertical="center"/>
      <protection locked="0"/>
    </xf>
    <xf numFmtId="0" fontId="4" fillId="0" borderId="1" xfId="0" applyFont="1" applyBorder="1" applyAlignment="1">
      <alignment horizontal="center" vertical="center"/>
      <protection locked="0"/>
    </xf>
    <xf numFmtId="0" fontId="5" fillId="0" borderId="4" xfId="0" applyFont="1" applyBorder="1" applyAlignment="1">
      <alignment horizontal="center" vertical="center" wrapText="1"/>
      <protection locked="0"/>
    </xf>
    <xf numFmtId="0" fontId="5" fillId="0" borderId="3" xfId="0" applyFont="1" applyBorder="1" applyAlignment="1">
      <alignment horizontal="center" vertical="center" wrapText="1"/>
      <protection locked="0"/>
    </xf>
    <xf numFmtId="0" fontId="5" fillId="0" borderId="2" xfId="0" applyFont="1" applyBorder="1" applyAlignment="1">
      <alignment horizontal="center" vertical="center" wrapText="1"/>
      <protection locked="0"/>
    </xf>
    <xf numFmtId="0" fontId="4" fillId="27" borderId="4" xfId="0" applyFont="1" applyFill="1" applyBorder="1" applyAlignment="1">
      <alignment horizontal="center" vertical="center"/>
      <protection locked="0"/>
    </xf>
    <xf numFmtId="0" fontId="4" fillId="27" borderId="3" xfId="0" applyFont="1" applyFill="1" applyBorder="1" applyAlignment="1">
      <alignment horizontal="center" vertical="center"/>
      <protection locked="0"/>
    </xf>
    <xf numFmtId="0" fontId="4" fillId="27" borderId="2" xfId="0" applyFont="1" applyFill="1" applyBorder="1" applyAlignment="1">
      <alignment horizontal="center" vertical="center"/>
      <protection locked="0"/>
    </xf>
    <xf numFmtId="0" fontId="5" fillId="0" borderId="4" xfId="0" applyFont="1" applyBorder="1" applyAlignment="1">
      <alignment horizontal="left" vertical="center"/>
      <protection locked="0"/>
    </xf>
    <xf numFmtId="0" fontId="5" fillId="0" borderId="3" xfId="0" applyFont="1" applyBorder="1" applyAlignment="1">
      <alignment horizontal="left" vertical="center"/>
      <protection locked="0"/>
    </xf>
    <xf numFmtId="0" fontId="5" fillId="0" borderId="2" xfId="0" applyFont="1" applyBorder="1" applyAlignment="1">
      <alignment horizontal="left" vertical="center"/>
      <protection locked="0"/>
    </xf>
    <xf numFmtId="0" fontId="4" fillId="0" borderId="4" xfId="0" applyFont="1" applyBorder="1" applyAlignment="1">
      <alignment horizontal="center" vertical="center"/>
      <protection locked="0"/>
    </xf>
    <xf numFmtId="0" fontId="4" fillId="0" borderId="2" xfId="0" applyFont="1" applyBorder="1" applyAlignment="1">
      <alignment horizontal="center" vertical="center"/>
      <protection locked="0"/>
    </xf>
    <xf numFmtId="0" fontId="10" fillId="0" borderId="1" xfId="1" applyFont="1" applyBorder="1" applyAlignment="1">
      <alignment horizontal="center" vertical="center"/>
    </xf>
    <xf numFmtId="0" fontId="4" fillId="0" borderId="1" xfId="0" applyFont="1" applyBorder="1" applyAlignment="1">
      <alignment horizontal="left" vertical="center"/>
      <protection locked="0"/>
    </xf>
    <xf numFmtId="0" fontId="8" fillId="27" borderId="1" xfId="1" applyFont="1" applyFill="1" applyBorder="1" applyAlignment="1">
      <alignment horizontal="center" vertical="center"/>
    </xf>
    <xf numFmtId="0" fontId="4" fillId="0" borderId="1" xfId="1" applyFont="1" applyBorder="1" applyAlignment="1">
      <alignment horizontal="center"/>
    </xf>
    <xf numFmtId="0" fontId="5" fillId="0" borderId="1" xfId="0" applyFont="1" applyBorder="1" applyAlignment="1">
      <alignment horizontal="center" vertical="center"/>
      <protection locked="0"/>
    </xf>
    <xf numFmtId="0" fontId="5" fillId="0" borderId="1" xfId="0" applyFont="1" applyBorder="1" applyAlignment="1">
      <alignment horizontal="center" vertical="center" wrapText="1"/>
      <protection locked="0"/>
    </xf>
    <xf numFmtId="9" fontId="4" fillId="0" borderId="1" xfId="0" applyNumberFormat="1" applyFont="1" applyBorder="1" applyAlignment="1">
      <alignment horizontal="center" vertical="center"/>
      <protection locked="0"/>
    </xf>
    <xf numFmtId="0" fontId="4" fillId="27" borderId="1" xfId="0" applyFont="1" applyFill="1" applyBorder="1" applyAlignment="1">
      <alignment horizontal="center" vertical="center"/>
      <protection locked="0"/>
    </xf>
    <xf numFmtId="10" fontId="5" fillId="27" borderId="1" xfId="0" applyNumberFormat="1" applyFont="1" applyFill="1" applyBorder="1" applyAlignment="1">
      <alignment horizontal="center" vertical="center"/>
      <protection locked="0"/>
    </xf>
    <xf numFmtId="0" fontId="87" fillId="0" borderId="1" xfId="0" applyFont="1" applyBorder="1" applyAlignment="1">
      <alignment horizontal="left" vertical="center"/>
      <protection locked="0"/>
    </xf>
    <xf numFmtId="0" fontId="5" fillId="4" borderId="1" xfId="0" applyFont="1" applyFill="1" applyBorder="1" applyAlignment="1">
      <alignment horizontal="center" vertical="center"/>
      <protection locked="0"/>
    </xf>
    <xf numFmtId="0" fontId="5" fillId="4" borderId="1" xfId="0" applyFont="1" applyFill="1" applyBorder="1" applyAlignment="1">
      <alignment horizontal="center" vertical="center" wrapText="1"/>
      <protection locked="0"/>
    </xf>
    <xf numFmtId="0" fontId="9" fillId="0" borderId="1" xfId="0" applyFont="1" applyBorder="1" applyAlignment="1">
      <alignment horizontal="center" vertical="center"/>
      <protection locked="0"/>
    </xf>
    <xf numFmtId="0" fontId="18" fillId="0" borderId="0" xfId="1" applyFont="1" applyAlignment="1">
      <alignment horizontal="center" vertical="center"/>
    </xf>
    <xf numFmtId="0" fontId="17" fillId="0" borderId="0" xfId="1" applyFont="1" applyAlignment="1">
      <alignment horizontal="center" vertical="center"/>
    </xf>
    <xf numFmtId="0" fontId="89" fillId="0" borderId="0" xfId="1" applyFont="1" applyAlignment="1">
      <alignment horizontal="center" vertical="center"/>
    </xf>
    <xf numFmtId="0" fontId="16" fillId="0" borderId="0" xfId="1" applyFont="1" applyAlignment="1">
      <alignment horizontal="center" vertical="center"/>
    </xf>
    <xf numFmtId="0" fontId="5" fillId="0" borderId="1" xfId="0" applyFont="1" applyBorder="1" applyAlignment="1">
      <alignment horizontal="left" vertical="center" wrapText="1"/>
      <protection locked="0"/>
    </xf>
    <xf numFmtId="0" fontId="91" fillId="0" borderId="1" xfId="0" applyFont="1" applyBorder="1" applyAlignment="1">
      <alignment horizontal="center" vertical="center"/>
      <protection locked="0"/>
    </xf>
    <xf numFmtId="0" fontId="82" fillId="0" borderId="1" xfId="5" applyFont="1" applyBorder="1" applyAlignment="1" applyProtection="1">
      <alignment horizontal="center" vertical="center" wrapText="1"/>
      <protection locked="0"/>
    </xf>
    <xf numFmtId="0" fontId="60" fillId="0" borderId="18" xfId="5" applyFont="1" applyBorder="1" applyAlignment="1" applyProtection="1">
      <alignment horizontal="left" vertical="center" wrapText="1"/>
      <protection locked="0"/>
    </xf>
    <xf numFmtId="0" fontId="67" fillId="0" borderId="3" xfId="5" applyFont="1" applyBorder="1" applyAlignment="1" applyProtection="1">
      <alignment horizontal="center" vertical="center" wrapText="1"/>
      <protection locked="0"/>
    </xf>
    <xf numFmtId="0" fontId="92" fillId="0" borderId="4" xfId="5" applyFont="1" applyBorder="1" applyAlignment="1" applyProtection="1">
      <alignment horizontal="left" vertical="center"/>
      <protection locked="0"/>
    </xf>
  </cellXfs>
  <cellStyles count="179">
    <cellStyle name="_10月报表" xfId="6" xr:uid="{00000000-0005-0000-0000-000000000000}"/>
    <cellStyle name="_2008-2010研发费用" xfId="7" xr:uid="{00000000-0005-0000-0000-000001000000}"/>
    <cellStyle name="_2009存货处理" xfId="8" xr:uid="{00000000-0005-0000-0000-000002000000}"/>
    <cellStyle name="_2009收入调整" xfId="9" xr:uid="{00000000-0005-0000-0000-000003000000}"/>
    <cellStyle name="_Book1" xfId="10" xr:uid="{00000000-0005-0000-0000-000004000000}"/>
    <cellStyle name="_TP~GB1 应收账款_实质性程序_YHY" xfId="11" xr:uid="{00000000-0005-0000-0000-000005000000}"/>
    <cellStyle name="_报表调整-新大陆电脑_20070325" xfId="12" xr:uid="{00000000-0005-0000-0000-000006000000}"/>
    <cellStyle name="_单体" xfId="13" xr:uid="{00000000-0005-0000-0000-000007000000}"/>
    <cellStyle name="_单体_附件3-账面收入分析10" xfId="14" xr:uid="{00000000-0005-0000-0000-000008000000}"/>
    <cellStyle name="_单体_附件3-账面收入分析3" xfId="15" xr:uid="{00000000-0005-0000-0000-000009000000}"/>
    <cellStyle name="_单体_附件3-账面收入分析终" xfId="16" xr:uid="{00000000-0005-0000-0000-00000A000000}"/>
    <cellStyle name="_单体_个别报表_200912_亿中邮" xfId="17" xr:uid="{00000000-0005-0000-0000-00000B000000}"/>
    <cellStyle name="_单体_个别报表_200912_亿中邮（截止2010年3月）" xfId="18" xr:uid="{00000000-0005-0000-0000-00000C000000}"/>
    <cellStyle name="_单体_个别报表_200912_亿中邮_附件3-账面收入分析10" xfId="19" xr:uid="{00000000-0005-0000-0000-00000D000000}"/>
    <cellStyle name="_单体_个别报表_200912_亿中邮_附件3-账面收入分析3" xfId="20" xr:uid="{00000000-0005-0000-0000-00000E000000}"/>
    <cellStyle name="_单体_圣农发展_2008年1-6月_销售收款循环-小叶" xfId="21" xr:uid="{00000000-0005-0000-0000-00000F000000}"/>
    <cellStyle name="_单体_天健会计报表（母表）" xfId="22" xr:uid="{00000000-0005-0000-0000-000010000000}"/>
    <cellStyle name="_单体_天健会计报表（母表）_附件3-账面收入分析10" xfId="23" xr:uid="{00000000-0005-0000-0000-000011000000}"/>
    <cellStyle name="_单体_天健会计报表（母表）_附件3-账面收入分析3" xfId="24" xr:uid="{00000000-0005-0000-0000-000012000000}"/>
    <cellStyle name="_附件3-账面收入分析10" xfId="25" xr:uid="{00000000-0005-0000-0000-000013000000}"/>
    <cellStyle name="_附件3-账面收入分析3" xfId="26" xr:uid="{00000000-0005-0000-0000-000014000000}"/>
    <cellStyle name="_港务会计报表" xfId="27" xr:uid="{00000000-0005-0000-0000-000015000000}"/>
    <cellStyle name="_港务会计报表（送小明）" xfId="28" xr:uid="{00000000-0005-0000-0000-000016000000}"/>
    <cellStyle name="_港务会计报表（送小明）_附件3-账面收入分析10" xfId="29" xr:uid="{00000000-0005-0000-0000-000017000000}"/>
    <cellStyle name="_港务会计报表（送小明）_附件3-账面收入分析3" xfId="30" xr:uid="{00000000-0005-0000-0000-000018000000}"/>
    <cellStyle name="_港务会计报表（送小明）_附件3-账面收入分析终" xfId="31" xr:uid="{00000000-0005-0000-0000-000019000000}"/>
    <cellStyle name="_港务会计报表（送小明）_个别报表_200912_亿中邮" xfId="32" xr:uid="{00000000-0005-0000-0000-00001A000000}"/>
    <cellStyle name="_港务会计报表（送小明）_个别报表_200912_亿中邮（截止2010年3月）" xfId="33" xr:uid="{00000000-0005-0000-0000-00001B000000}"/>
    <cellStyle name="_港务会计报表（送小明）_个别报表_200912_亿中邮_附件3-账面收入分析10" xfId="34" xr:uid="{00000000-0005-0000-0000-00001C000000}"/>
    <cellStyle name="_港务会计报表（送小明）_个别报表_200912_亿中邮_附件3-账面收入分析3" xfId="35" xr:uid="{00000000-0005-0000-0000-00001D000000}"/>
    <cellStyle name="_港务会计报表（送小明）_圣农发展_2008年1-6月_销售收款循环-小叶" xfId="36" xr:uid="{00000000-0005-0000-0000-00001E000000}"/>
    <cellStyle name="_港务会计报表（送小明）_天健会计报表（母表）" xfId="37" xr:uid="{00000000-0005-0000-0000-00001F000000}"/>
    <cellStyle name="_港务会计报表（送小明）_天健会计报表（母表）_附件3-账面收入分析10" xfId="38" xr:uid="{00000000-0005-0000-0000-000020000000}"/>
    <cellStyle name="_港务会计报表（送小明）_天健会计报表（母表）_附件3-账面收入分析3" xfId="39" xr:uid="{00000000-0005-0000-0000-000021000000}"/>
    <cellStyle name="_港务会计报表_附件3-账面收入分析10" xfId="40" xr:uid="{00000000-0005-0000-0000-000022000000}"/>
    <cellStyle name="_港务会计报表_附件3-账面收入分析3" xfId="41" xr:uid="{00000000-0005-0000-0000-000023000000}"/>
    <cellStyle name="_港务会计报表_附件3-账面收入分析终" xfId="42" xr:uid="{00000000-0005-0000-0000-000024000000}"/>
    <cellStyle name="_港务会计报表_个别报表_200912_亿中邮" xfId="43" xr:uid="{00000000-0005-0000-0000-000025000000}"/>
    <cellStyle name="_港务会计报表_个别报表_200912_亿中邮（截止2010年3月）" xfId="44" xr:uid="{00000000-0005-0000-0000-000026000000}"/>
    <cellStyle name="_港务会计报表_个别报表_200912_亿中邮_附件3-账面收入分析10" xfId="45" xr:uid="{00000000-0005-0000-0000-000027000000}"/>
    <cellStyle name="_港务会计报表_个别报表_200912_亿中邮_附件3-账面收入分析3" xfId="46" xr:uid="{00000000-0005-0000-0000-000028000000}"/>
    <cellStyle name="_港务会计报表_圣农发展_2008年1-6月_销售收款循环-小叶" xfId="47" xr:uid="{00000000-0005-0000-0000-000029000000}"/>
    <cellStyle name="_港务会计报表_天健会计报表（母表）" xfId="48" xr:uid="{00000000-0005-0000-0000-00002A000000}"/>
    <cellStyle name="_港务会计报表_天健会计报表（母表）_附件3-账面收入分析10" xfId="49" xr:uid="{00000000-0005-0000-0000-00002B000000}"/>
    <cellStyle name="_港务会计报表_天健会计报表（母表）_附件3-账面收入分析3" xfId="50" xr:uid="{00000000-0005-0000-0000-00002C000000}"/>
    <cellStyle name="_个别报表_200806_圣农发展" xfId="51" xr:uid="{00000000-0005-0000-0000-00002D000000}"/>
    <cellStyle name="_个别报表_200912_亿中邮（截止2010年3月）" xfId="52" xr:uid="{00000000-0005-0000-0000-00002E000000}"/>
    <cellStyle name="_个别报表_200912_亿中邮20100817" xfId="53" xr:uid="{00000000-0005-0000-0000-00002F000000}"/>
    <cellStyle name="_个别报表_201003_亿中邮20100817" xfId="54" xr:uid="{00000000-0005-0000-0000-000030000000}"/>
    <cellStyle name="_生产经营数据统计（2008年中报）" xfId="55" xr:uid="{00000000-0005-0000-0000-000031000000}"/>
    <cellStyle name="_生产经营数据统计（2008年中报饶）" xfId="56" xr:uid="{00000000-0005-0000-0000-000032000000}"/>
    <cellStyle name="_圣农发展_2008年1-6月_销售收款循环-小叶" xfId="57" xr:uid="{00000000-0005-0000-0000-000033000000}"/>
    <cellStyle name="_销售合同清单2" xfId="58" xr:uid="{00000000-0005-0000-0000-000034000000}"/>
    <cellStyle name="_亿中邮_2009_收入" xfId="59" xr:uid="{00000000-0005-0000-0000-000035000000}"/>
    <cellStyle name="_亿中邮_2009_收入_附件3-账面收入分析终" xfId="60" xr:uid="{00000000-0005-0000-0000-000036000000}"/>
    <cellStyle name="_亿中邮_2009_收入_个别报表_200912_亿中邮（截止2010年3月）" xfId="61" xr:uid="{00000000-0005-0000-0000-000037000000}"/>
    <cellStyle name="=C:\WINDOWS\SYSTEM32\COMMAND.COM" xfId="62" xr:uid="{00000000-0005-0000-0000-000038000000}"/>
    <cellStyle name="0%" xfId="63" xr:uid="{00000000-0005-0000-0000-000039000000}"/>
    <cellStyle name="0,0_x000d__x000a_NA_x000d__x000a_" xfId="64" xr:uid="{00000000-0005-0000-0000-00003A000000}"/>
    <cellStyle name="0.0%" xfId="65" xr:uid="{00000000-0005-0000-0000-00003B000000}"/>
    <cellStyle name="0.00%" xfId="66" xr:uid="{00000000-0005-0000-0000-00003C000000}"/>
    <cellStyle name="Accent1" xfId="67" xr:uid="{00000000-0005-0000-0000-00003D000000}"/>
    <cellStyle name="Accent1 - 20%" xfId="68" xr:uid="{00000000-0005-0000-0000-00003E000000}"/>
    <cellStyle name="Accent1 - 40%" xfId="69" xr:uid="{00000000-0005-0000-0000-00003F000000}"/>
    <cellStyle name="Accent1 - 60%" xfId="70" xr:uid="{00000000-0005-0000-0000-000040000000}"/>
    <cellStyle name="Accent2" xfId="71" xr:uid="{00000000-0005-0000-0000-000041000000}"/>
    <cellStyle name="Accent2 - 20%" xfId="72" xr:uid="{00000000-0005-0000-0000-000042000000}"/>
    <cellStyle name="Accent2 - 40%" xfId="73" xr:uid="{00000000-0005-0000-0000-000043000000}"/>
    <cellStyle name="Accent2 - 60%" xfId="74" xr:uid="{00000000-0005-0000-0000-000044000000}"/>
    <cellStyle name="Accent3" xfId="75" xr:uid="{00000000-0005-0000-0000-000045000000}"/>
    <cellStyle name="Accent3 - 20%" xfId="76" xr:uid="{00000000-0005-0000-0000-000046000000}"/>
    <cellStyle name="Accent3 - 40%" xfId="77" xr:uid="{00000000-0005-0000-0000-000047000000}"/>
    <cellStyle name="Accent3 - 60%" xfId="78" xr:uid="{00000000-0005-0000-0000-000048000000}"/>
    <cellStyle name="Accent4" xfId="79" xr:uid="{00000000-0005-0000-0000-000049000000}"/>
    <cellStyle name="Accent4 - 20%" xfId="80" xr:uid="{00000000-0005-0000-0000-00004A000000}"/>
    <cellStyle name="Accent4 - 40%" xfId="81" xr:uid="{00000000-0005-0000-0000-00004B000000}"/>
    <cellStyle name="Accent4 - 60%" xfId="82" xr:uid="{00000000-0005-0000-0000-00004C000000}"/>
    <cellStyle name="Accent5" xfId="83" xr:uid="{00000000-0005-0000-0000-00004D000000}"/>
    <cellStyle name="Accent5 - 20%" xfId="84" xr:uid="{00000000-0005-0000-0000-00004E000000}"/>
    <cellStyle name="Accent5 - 40%" xfId="85" xr:uid="{00000000-0005-0000-0000-00004F000000}"/>
    <cellStyle name="Accent5 - 60%" xfId="86" xr:uid="{00000000-0005-0000-0000-000050000000}"/>
    <cellStyle name="Accent6" xfId="87" xr:uid="{00000000-0005-0000-0000-000051000000}"/>
    <cellStyle name="Accent6 - 20%" xfId="88" xr:uid="{00000000-0005-0000-0000-000052000000}"/>
    <cellStyle name="Accent6 - 40%" xfId="89" xr:uid="{00000000-0005-0000-0000-000053000000}"/>
    <cellStyle name="Accent6 - 60%" xfId="90" xr:uid="{00000000-0005-0000-0000-000054000000}"/>
    <cellStyle name="Black" xfId="91" xr:uid="{00000000-0005-0000-0000-000055000000}"/>
    <cellStyle name="Border" xfId="92" xr:uid="{00000000-0005-0000-0000-000056000000}"/>
    <cellStyle name="Calc Currency (0)" xfId="93" xr:uid="{00000000-0005-0000-0000-000057000000}"/>
    <cellStyle name="Col Heads" xfId="94" xr:uid="{00000000-0005-0000-0000-000058000000}"/>
    <cellStyle name="Comma [0]_1995" xfId="95" xr:uid="{00000000-0005-0000-0000-000059000000}"/>
    <cellStyle name="Comma,0" xfId="96" xr:uid="{00000000-0005-0000-0000-00005A000000}"/>
    <cellStyle name="Comma,1" xfId="97" xr:uid="{00000000-0005-0000-0000-00005B000000}"/>
    <cellStyle name="Comma,2" xfId="98" xr:uid="{00000000-0005-0000-0000-00005C000000}"/>
    <cellStyle name="Comma_1995" xfId="99" xr:uid="{00000000-0005-0000-0000-00005D000000}"/>
    <cellStyle name="Currency [0]_1995" xfId="100" xr:uid="{00000000-0005-0000-0000-00005E000000}"/>
    <cellStyle name="Currency,0" xfId="101" xr:uid="{00000000-0005-0000-0000-00005F000000}"/>
    <cellStyle name="Currency,2" xfId="102" xr:uid="{00000000-0005-0000-0000-000060000000}"/>
    <cellStyle name="Currency_1995" xfId="103" xr:uid="{00000000-0005-0000-0000-000061000000}"/>
    <cellStyle name="Dezimal [0]_laroux" xfId="104" xr:uid="{00000000-0005-0000-0000-000062000000}"/>
    <cellStyle name="Dezimal_laroux" xfId="105" xr:uid="{00000000-0005-0000-0000-000063000000}"/>
    <cellStyle name="Followed Hyperlink_AheadBehind.xls Chart 23" xfId="106" xr:uid="{00000000-0005-0000-0000-000064000000}"/>
    <cellStyle name="Grey" xfId="107" xr:uid="{00000000-0005-0000-0000-000065000000}"/>
    <cellStyle name="Header1" xfId="108" xr:uid="{00000000-0005-0000-0000-000066000000}"/>
    <cellStyle name="Header2" xfId="109" xr:uid="{00000000-0005-0000-0000-000067000000}"/>
    <cellStyle name="Hyperlink_AheadBehind.xls Chart 23" xfId="110" xr:uid="{00000000-0005-0000-0000-000068000000}"/>
    <cellStyle name="Input [yellow]" xfId="111" xr:uid="{00000000-0005-0000-0000-000069000000}"/>
    <cellStyle name="jktitle" xfId="112" xr:uid="{00000000-0005-0000-0000-00006A000000}"/>
    <cellStyle name="Milliers [0]_laroux" xfId="113" xr:uid="{00000000-0005-0000-0000-00006B000000}"/>
    <cellStyle name="Milliers_laroux" xfId="114" xr:uid="{00000000-0005-0000-0000-00006C000000}"/>
    <cellStyle name="NewStyle" xfId="115" xr:uid="{00000000-0005-0000-0000-00006D000000}"/>
    <cellStyle name="Non défini" xfId="116" xr:uid="{00000000-0005-0000-0000-00006E000000}"/>
    <cellStyle name="Normal - Style1" xfId="117" xr:uid="{00000000-0005-0000-0000-00006F000000}"/>
    <cellStyle name="Normal_ SG&amp;A Bridge " xfId="118" xr:uid="{00000000-0005-0000-0000-000070000000}"/>
    <cellStyle name="Percent [2]" xfId="119" xr:uid="{00000000-0005-0000-0000-000071000000}"/>
    <cellStyle name="Red" xfId="120" xr:uid="{00000000-0005-0000-0000-000072000000}"/>
    <cellStyle name="row_def_array" xfId="121" xr:uid="{00000000-0005-0000-0000-000073000000}"/>
    <cellStyle name="_laroux" xfId="122" xr:uid="{00000000-0005-0000-0000-000074000000}"/>
    <cellStyle name="だ_laroux" xfId="123" xr:uid="{00000000-0005-0000-0000-000075000000}"/>
    <cellStyle name="百分比 2" xfId="2" xr:uid="{00000000-0005-0000-0000-000076000000}"/>
    <cellStyle name="百分比 2 2" xfId="124" xr:uid="{00000000-0005-0000-0000-000077000000}"/>
    <cellStyle name="百分比 3" xfId="125" xr:uid="{00000000-0005-0000-0000-000078000000}"/>
    <cellStyle name="百分比 4" xfId="126" xr:uid="{00000000-0005-0000-0000-000079000000}"/>
    <cellStyle name="捠壿 [0.00]_PRODUCT DETAIL Q1" xfId="127" xr:uid="{00000000-0005-0000-0000-00007A000000}"/>
    <cellStyle name="捠壿_PRODUCT DETAIL Q1" xfId="128" xr:uid="{00000000-0005-0000-0000-00007B000000}"/>
    <cellStyle name="表标题" xfId="129" xr:uid="{00000000-0005-0000-0000-00007C000000}"/>
    <cellStyle name="差_RESULTS" xfId="130" xr:uid="{00000000-0005-0000-0000-00007D000000}"/>
    <cellStyle name="常规" xfId="0" builtinId="0"/>
    <cellStyle name="常规 10" xfId="131" xr:uid="{00000000-0005-0000-0000-00007F000000}"/>
    <cellStyle name="常规 2" xfId="3" xr:uid="{00000000-0005-0000-0000-000080000000}"/>
    <cellStyle name="常规 2 2" xfId="132" xr:uid="{00000000-0005-0000-0000-000081000000}"/>
    <cellStyle name="常规 3" xfId="5" xr:uid="{00000000-0005-0000-0000-000082000000}"/>
    <cellStyle name="常规 3 2" xfId="133" xr:uid="{00000000-0005-0000-0000-000083000000}"/>
    <cellStyle name="常规 4" xfId="134" xr:uid="{00000000-0005-0000-0000-000084000000}"/>
    <cellStyle name="常规 5" xfId="135" xr:uid="{00000000-0005-0000-0000-000085000000}"/>
    <cellStyle name="常规 6" xfId="136" xr:uid="{00000000-0005-0000-0000-000086000000}"/>
    <cellStyle name="常规 7" xfId="137" xr:uid="{00000000-0005-0000-0000-000087000000}"/>
    <cellStyle name="常规 8" xfId="138" xr:uid="{00000000-0005-0000-0000-000088000000}"/>
    <cellStyle name="常规 9" xfId="139" xr:uid="{00000000-0005-0000-0000-000089000000}"/>
    <cellStyle name="常规_B2.9审计风险评估" xfId="1" xr:uid="{00000000-0005-0000-0000-00008A000000}"/>
    <cellStyle name="超级链接_采购与付款循环1" xfId="140" xr:uid="{00000000-0005-0000-0000-00008B000000}"/>
    <cellStyle name="好_GF1 其他应收款_实质性程序" xfId="141" xr:uid="{00000000-0005-0000-0000-00008C000000}"/>
    <cellStyle name="好_GF1 其他应收款_实质性程序-" xfId="142" xr:uid="{00000000-0005-0000-0000-00008D000000}"/>
    <cellStyle name="好_NEW1圣农发展_2008_生产与仓储循环" xfId="143" xr:uid="{00000000-0005-0000-0000-00008E000000}"/>
    <cellStyle name="好_RESULTS" xfId="144" xr:uid="{00000000-0005-0000-0000-00008F000000}"/>
    <cellStyle name="好_UD1 管理费用_实质性程序" xfId="145" xr:uid="{00000000-0005-0000-0000-000090000000}"/>
    <cellStyle name="好_茹萍核对" xfId="146" xr:uid="{00000000-0005-0000-0000-000091000000}"/>
    <cellStyle name="好_茹萍凭证测试" xfId="147" xr:uid="{00000000-0005-0000-0000-000092000000}"/>
    <cellStyle name="霓付 [0]_1202" xfId="148" xr:uid="{00000000-0005-0000-0000-000093000000}"/>
    <cellStyle name="霓付_1202" xfId="149" xr:uid="{00000000-0005-0000-0000-000094000000}"/>
    <cellStyle name="烹拳 [0]_1202" xfId="150" xr:uid="{00000000-0005-0000-0000-000095000000}"/>
    <cellStyle name="烹拳_1202" xfId="151" xr:uid="{00000000-0005-0000-0000-000096000000}"/>
    <cellStyle name="普通_ 白土" xfId="152" xr:uid="{00000000-0005-0000-0000-000097000000}"/>
    <cellStyle name="千分位[0]_ 白土" xfId="153" xr:uid="{00000000-0005-0000-0000-000098000000}"/>
    <cellStyle name="千分位_ 白土" xfId="154" xr:uid="{00000000-0005-0000-0000-000099000000}"/>
    <cellStyle name="千位[0]_97试算平衡" xfId="155" xr:uid="{00000000-0005-0000-0000-00009A000000}"/>
    <cellStyle name="千位_97试算平衡" xfId="156" xr:uid="{00000000-0005-0000-0000-00009B000000}"/>
    <cellStyle name="千位分隔 2" xfId="4" xr:uid="{00000000-0005-0000-0000-00009C000000}"/>
    <cellStyle name="千位分隔 2 2" xfId="157" xr:uid="{00000000-0005-0000-0000-00009D000000}"/>
    <cellStyle name="千位分隔 2 2 2" xfId="158" xr:uid="{00000000-0005-0000-0000-00009E000000}"/>
    <cellStyle name="千位分隔 2 3" xfId="159" xr:uid="{00000000-0005-0000-0000-00009F000000}"/>
    <cellStyle name="千位分隔 2 4" xfId="160" xr:uid="{00000000-0005-0000-0000-0000A0000000}"/>
    <cellStyle name="千位分隔 2 5" xfId="161" xr:uid="{00000000-0005-0000-0000-0000A1000000}"/>
    <cellStyle name="千位分隔 3" xfId="162" xr:uid="{00000000-0005-0000-0000-0000A2000000}"/>
    <cellStyle name="千位分隔 4" xfId="163" xr:uid="{00000000-0005-0000-0000-0000A3000000}"/>
    <cellStyle name="千位分隔 5" xfId="164" xr:uid="{00000000-0005-0000-0000-0000A4000000}"/>
    <cellStyle name="千位分隔[0] 2" xfId="165" xr:uid="{00000000-0005-0000-0000-0000A5000000}"/>
    <cellStyle name="钎霖_(沥焊何巩)岿喊牢盔拌裙" xfId="166" xr:uid="{00000000-0005-0000-0000-0000A6000000}"/>
    <cellStyle name="强调 1" xfId="167" xr:uid="{00000000-0005-0000-0000-0000A7000000}"/>
    <cellStyle name="强调 2" xfId="168" xr:uid="{00000000-0005-0000-0000-0000A8000000}"/>
    <cellStyle name="强调 3" xfId="169" xr:uid="{00000000-0005-0000-0000-0000A9000000}"/>
    <cellStyle name="样式 1" xfId="170" xr:uid="{00000000-0005-0000-0000-0000AA000000}"/>
    <cellStyle name="昗弨_BOOKSHIP" xfId="171" xr:uid="{00000000-0005-0000-0000-0000AB000000}"/>
    <cellStyle name="寘嬫愗傝 [0.00]_PRODUCT DETAIL Q1" xfId="172" xr:uid="{00000000-0005-0000-0000-0000AC000000}"/>
    <cellStyle name="寘嬫愗傝_PRODUCT DETAIL Q1" xfId="173" xr:uid="{00000000-0005-0000-0000-0000AD000000}"/>
    <cellStyle name="콤마 [0]_BOILER-CO1" xfId="174" xr:uid="{00000000-0005-0000-0000-0000AE000000}"/>
    <cellStyle name="콤마_BOILER-CO1" xfId="175" xr:uid="{00000000-0005-0000-0000-0000AF000000}"/>
    <cellStyle name="통화 [0]_BOILER-CO1" xfId="176" xr:uid="{00000000-0005-0000-0000-0000B0000000}"/>
    <cellStyle name="통화_BOILER-CO1" xfId="177" xr:uid="{00000000-0005-0000-0000-0000B1000000}"/>
    <cellStyle name="표준_0N-HANDLING " xfId="178" xr:uid="{00000000-0005-0000-0000-0000B2000000}"/>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Zhang Juan 张娟" id="{4173C379-E059-46F1-A52A-CAFF1B78A1F7}" userId="S::juan.zhang@cn.gt.com::a9ad3615-9e3c-4e37-8957-11fd505e2c6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8" dT="2025-10-23T05:29:31.77" personId="{4173C379-E059-46F1-A52A-CAFF1B78A1F7}" id="{78AA10C8-DE6F-4B50-9506-54791644C20A}">
    <text>公开交易类似实体包括IPO申报公司、新三板挂牌申报公司等</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L49"/>
  <sheetViews>
    <sheetView view="pageBreakPreview" topLeftCell="A31" zoomScale="99" zoomScaleNormal="100" zoomScaleSheetLayoutView="99" workbookViewId="0">
      <selection activeCell="A11" sqref="A11"/>
    </sheetView>
  </sheetViews>
  <sheetFormatPr defaultRowHeight="12"/>
  <cols>
    <col min="1" max="1" width="88.19921875" style="14" customWidth="1"/>
    <col min="2" max="256" width="9" style="15"/>
    <col min="257" max="257" width="88.19921875" style="15" customWidth="1"/>
    <col min="258" max="512" width="9" style="15"/>
    <col min="513" max="513" width="88.19921875" style="15" customWidth="1"/>
    <col min="514" max="768" width="9" style="15"/>
    <col min="769" max="769" width="88.19921875" style="15" customWidth="1"/>
    <col min="770" max="1024" width="9" style="15"/>
    <col min="1025" max="1025" width="88.19921875" style="15" customWidth="1"/>
    <col min="1026" max="1280" width="9" style="15"/>
    <col min="1281" max="1281" width="88.19921875" style="15" customWidth="1"/>
    <col min="1282" max="1536" width="9" style="15"/>
    <col min="1537" max="1537" width="88.19921875" style="15" customWidth="1"/>
    <col min="1538" max="1792" width="9" style="15"/>
    <col min="1793" max="1793" width="88.19921875" style="15" customWidth="1"/>
    <col min="1794" max="2048" width="9" style="15"/>
    <col min="2049" max="2049" width="88.19921875" style="15" customWidth="1"/>
    <col min="2050" max="2304" width="9" style="15"/>
    <col min="2305" max="2305" width="88.19921875" style="15" customWidth="1"/>
    <col min="2306" max="2560" width="9" style="15"/>
    <col min="2561" max="2561" width="88.19921875" style="15" customWidth="1"/>
    <col min="2562" max="2816" width="9" style="15"/>
    <col min="2817" max="2817" width="88.19921875" style="15" customWidth="1"/>
    <col min="2818" max="3072" width="9" style="15"/>
    <col min="3073" max="3073" width="88.19921875" style="15" customWidth="1"/>
    <col min="3074" max="3328" width="9" style="15"/>
    <col min="3329" max="3329" width="88.19921875" style="15" customWidth="1"/>
    <col min="3330" max="3584" width="9" style="15"/>
    <col min="3585" max="3585" width="88.19921875" style="15" customWidth="1"/>
    <col min="3586" max="3840" width="9" style="15"/>
    <col min="3841" max="3841" width="88.19921875" style="15" customWidth="1"/>
    <col min="3842" max="4096" width="9" style="15"/>
    <col min="4097" max="4097" width="88.19921875" style="15" customWidth="1"/>
    <col min="4098" max="4352" width="9" style="15"/>
    <col min="4353" max="4353" width="88.19921875" style="15" customWidth="1"/>
    <col min="4354" max="4608" width="9" style="15"/>
    <col min="4609" max="4609" width="88.19921875" style="15" customWidth="1"/>
    <col min="4610" max="4864" width="9" style="15"/>
    <col min="4865" max="4865" width="88.19921875" style="15" customWidth="1"/>
    <col min="4866" max="5120" width="9" style="15"/>
    <col min="5121" max="5121" width="88.19921875" style="15" customWidth="1"/>
    <col min="5122" max="5376" width="9" style="15"/>
    <col min="5377" max="5377" width="88.19921875" style="15" customWidth="1"/>
    <col min="5378" max="5632" width="9" style="15"/>
    <col min="5633" max="5633" width="88.19921875" style="15" customWidth="1"/>
    <col min="5634" max="5888" width="9" style="15"/>
    <col min="5889" max="5889" width="88.19921875" style="15" customWidth="1"/>
    <col min="5890" max="6144" width="9" style="15"/>
    <col min="6145" max="6145" width="88.19921875" style="15" customWidth="1"/>
    <col min="6146" max="6400" width="9" style="15"/>
    <col min="6401" max="6401" width="88.19921875" style="15" customWidth="1"/>
    <col min="6402" max="6656" width="9" style="15"/>
    <col min="6657" max="6657" width="88.19921875" style="15" customWidth="1"/>
    <col min="6658" max="6912" width="9" style="15"/>
    <col min="6913" max="6913" width="88.19921875" style="15" customWidth="1"/>
    <col min="6914" max="7168" width="9" style="15"/>
    <col min="7169" max="7169" width="88.19921875" style="15" customWidth="1"/>
    <col min="7170" max="7424" width="9" style="15"/>
    <col min="7425" max="7425" width="88.19921875" style="15" customWidth="1"/>
    <col min="7426" max="7680" width="9" style="15"/>
    <col min="7681" max="7681" width="88.19921875" style="15" customWidth="1"/>
    <col min="7682" max="7936" width="9" style="15"/>
    <col min="7937" max="7937" width="88.19921875" style="15" customWidth="1"/>
    <col min="7938" max="8192" width="9" style="15"/>
    <col min="8193" max="8193" width="88.19921875" style="15" customWidth="1"/>
    <col min="8194" max="8448" width="9" style="15"/>
    <col min="8449" max="8449" width="88.19921875" style="15" customWidth="1"/>
    <col min="8450" max="8704" width="9" style="15"/>
    <col min="8705" max="8705" width="88.19921875" style="15" customWidth="1"/>
    <col min="8706" max="8960" width="9" style="15"/>
    <col min="8961" max="8961" width="88.19921875" style="15" customWidth="1"/>
    <col min="8962" max="9216" width="9" style="15"/>
    <col min="9217" max="9217" width="88.19921875" style="15" customWidth="1"/>
    <col min="9218" max="9472" width="9" style="15"/>
    <col min="9473" max="9473" width="88.19921875" style="15" customWidth="1"/>
    <col min="9474" max="9728" width="9" style="15"/>
    <col min="9729" max="9729" width="88.19921875" style="15" customWidth="1"/>
    <col min="9730" max="9984" width="9" style="15"/>
    <col min="9985" max="9985" width="88.19921875" style="15" customWidth="1"/>
    <col min="9986" max="10240" width="9" style="15"/>
    <col min="10241" max="10241" width="88.19921875" style="15" customWidth="1"/>
    <col min="10242" max="10496" width="9" style="15"/>
    <col min="10497" max="10497" width="88.19921875" style="15" customWidth="1"/>
    <col min="10498" max="10752" width="9" style="15"/>
    <col min="10753" max="10753" width="88.19921875" style="15" customWidth="1"/>
    <col min="10754" max="11008" width="9" style="15"/>
    <col min="11009" max="11009" width="88.19921875" style="15" customWidth="1"/>
    <col min="11010" max="11264" width="9" style="15"/>
    <col min="11265" max="11265" width="88.19921875" style="15" customWidth="1"/>
    <col min="11266" max="11520" width="9" style="15"/>
    <col min="11521" max="11521" width="88.19921875" style="15" customWidth="1"/>
    <col min="11522" max="11776" width="9" style="15"/>
    <col min="11777" max="11777" width="88.19921875" style="15" customWidth="1"/>
    <col min="11778" max="12032" width="9" style="15"/>
    <col min="12033" max="12033" width="88.19921875" style="15" customWidth="1"/>
    <col min="12034" max="12288" width="9" style="15"/>
    <col min="12289" max="12289" width="88.19921875" style="15" customWidth="1"/>
    <col min="12290" max="12544" width="9" style="15"/>
    <col min="12545" max="12545" width="88.19921875" style="15" customWidth="1"/>
    <col min="12546" max="12800" width="9" style="15"/>
    <col min="12801" max="12801" width="88.19921875" style="15" customWidth="1"/>
    <col min="12802" max="13056" width="9" style="15"/>
    <col min="13057" max="13057" width="88.19921875" style="15" customWidth="1"/>
    <col min="13058" max="13312" width="9" style="15"/>
    <col min="13313" max="13313" width="88.19921875" style="15" customWidth="1"/>
    <col min="13314" max="13568" width="9" style="15"/>
    <col min="13569" max="13569" width="88.19921875" style="15" customWidth="1"/>
    <col min="13570" max="13824" width="9" style="15"/>
    <col min="13825" max="13825" width="88.19921875" style="15" customWidth="1"/>
    <col min="13826" max="14080" width="9" style="15"/>
    <col min="14081" max="14081" width="88.19921875" style="15" customWidth="1"/>
    <col min="14082" max="14336" width="9" style="15"/>
    <col min="14337" max="14337" width="88.19921875" style="15" customWidth="1"/>
    <col min="14338" max="14592" width="9" style="15"/>
    <col min="14593" max="14593" width="88.19921875" style="15" customWidth="1"/>
    <col min="14594" max="14848" width="9" style="15"/>
    <col min="14849" max="14849" width="88.19921875" style="15" customWidth="1"/>
    <col min="14850" max="15104" width="9" style="15"/>
    <col min="15105" max="15105" width="88.19921875" style="15" customWidth="1"/>
    <col min="15106" max="15360" width="9" style="15"/>
    <col min="15361" max="15361" width="88.19921875" style="15" customWidth="1"/>
    <col min="15362" max="15616" width="9" style="15"/>
    <col min="15617" max="15617" width="88.19921875" style="15" customWidth="1"/>
    <col min="15618" max="15872" width="9" style="15"/>
    <col min="15873" max="15873" width="88.19921875" style="15" customWidth="1"/>
    <col min="15874" max="16128" width="9" style="15"/>
    <col min="16129" max="16129" width="88.19921875" style="15" customWidth="1"/>
    <col min="16130" max="16384" width="9" style="15"/>
  </cols>
  <sheetData>
    <row r="1" spans="1:1" ht="21" customHeight="1">
      <c r="A1" s="73" t="s">
        <v>2</v>
      </c>
    </row>
    <row r="2" spans="1:1" ht="15.75" customHeight="1">
      <c r="A2" s="14" t="s">
        <v>3</v>
      </c>
    </row>
    <row r="3" spans="1:1" ht="21.75" customHeight="1"/>
    <row r="4" spans="1:1" ht="17.25" customHeight="1">
      <c r="A4" s="73" t="s">
        <v>4</v>
      </c>
    </row>
    <row r="5" spans="1:1" ht="48" customHeight="1">
      <c r="A5" s="14" t="s">
        <v>5</v>
      </c>
    </row>
    <row r="6" spans="1:1" ht="12.75" customHeight="1"/>
    <row r="7" spans="1:1" ht="26.25" customHeight="1">
      <c r="A7" s="73" t="s">
        <v>6</v>
      </c>
    </row>
    <row r="8" spans="1:1" ht="22.5" customHeight="1">
      <c r="A8" s="74" t="s">
        <v>7</v>
      </c>
    </row>
    <row r="9" spans="1:1" ht="77.25" customHeight="1">
      <c r="A9" s="14" t="s">
        <v>8</v>
      </c>
    </row>
    <row r="10" spans="1:1" ht="24" customHeight="1">
      <c r="A10" s="73" t="s">
        <v>9</v>
      </c>
    </row>
    <row r="11" spans="1:1" ht="105.75" customHeight="1">
      <c r="A11" s="14" t="s">
        <v>159</v>
      </c>
    </row>
    <row r="12" spans="1:1" ht="118.5" customHeight="1">
      <c r="A12" s="14" t="s">
        <v>155</v>
      </c>
    </row>
    <row r="13" spans="1:1" ht="48.75" customHeight="1">
      <c r="A13" s="14" t="s">
        <v>156</v>
      </c>
    </row>
    <row r="14" spans="1:1" ht="78.75" customHeight="1">
      <c r="A14" s="14" t="s">
        <v>157</v>
      </c>
    </row>
    <row r="15" spans="1:1" ht="32.25" customHeight="1">
      <c r="A15" s="12" t="s">
        <v>158</v>
      </c>
    </row>
    <row r="16" spans="1:1" ht="47.25" customHeight="1">
      <c r="A16" s="13" t="s">
        <v>10</v>
      </c>
    </row>
    <row r="17" spans="1:12" ht="55.5" customHeight="1">
      <c r="A17" s="14" t="s">
        <v>160</v>
      </c>
    </row>
    <row r="18" spans="1:12" ht="19.5" customHeight="1">
      <c r="A18" s="13" t="s">
        <v>11</v>
      </c>
    </row>
    <row r="19" spans="1:12" ht="31.5" customHeight="1">
      <c r="A19" s="14" t="s">
        <v>161</v>
      </c>
    </row>
    <row r="20" spans="1:12" ht="30.75" customHeight="1">
      <c r="A20" s="14" t="s">
        <v>162</v>
      </c>
    </row>
    <row r="21" spans="1:12" ht="21" customHeight="1">
      <c r="A21" s="73" t="s">
        <v>12</v>
      </c>
    </row>
    <row r="22" spans="1:12" ht="85.5" customHeight="1">
      <c r="A22" s="14" t="s">
        <v>163</v>
      </c>
    </row>
    <row r="23" spans="1:12" ht="34.5" customHeight="1">
      <c r="A23" s="14" t="s">
        <v>164</v>
      </c>
    </row>
    <row r="24" spans="1:12" ht="18.75" customHeight="1">
      <c r="A24" s="73" t="s">
        <v>13</v>
      </c>
    </row>
    <row r="25" spans="1:12" ht="134.25" customHeight="1">
      <c r="A25" s="14" t="s">
        <v>165</v>
      </c>
    </row>
    <row r="26" spans="1:12">
      <c r="A26" s="73" t="s">
        <v>14</v>
      </c>
    </row>
    <row r="27" spans="1:12" ht="24" customHeight="1">
      <c r="A27" s="12" t="s">
        <v>19</v>
      </c>
    </row>
    <row r="28" spans="1:12" ht="24" customHeight="1">
      <c r="A28" s="12" t="s">
        <v>15</v>
      </c>
    </row>
    <row r="29" spans="1:12" ht="48">
      <c r="A29" s="12" t="s">
        <v>166</v>
      </c>
    </row>
    <row r="30" spans="1:12" ht="21.75" customHeight="1">
      <c r="A30" s="74" t="s">
        <v>16</v>
      </c>
    </row>
    <row r="31" spans="1:12" ht="75" customHeight="1">
      <c r="A31" s="14" t="s">
        <v>167</v>
      </c>
    </row>
    <row r="32" spans="1:12" ht="101.25" customHeight="1">
      <c r="A32" s="14" t="s">
        <v>168</v>
      </c>
      <c r="L32" s="70"/>
    </row>
    <row r="33" spans="1:1">
      <c r="A33" s="74" t="s">
        <v>17</v>
      </c>
    </row>
    <row r="34" spans="1:1" ht="45.75" customHeight="1">
      <c r="A34" s="14" t="s">
        <v>18</v>
      </c>
    </row>
    <row r="35" spans="1:1" ht="57.75" customHeight="1">
      <c r="A35" s="12" t="s">
        <v>169</v>
      </c>
    </row>
    <row r="49" ht="21.75" customHeight="1"/>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sheetPr>
  <dimension ref="A1:L66"/>
  <sheetViews>
    <sheetView view="pageBreakPreview" topLeftCell="A36" zoomScale="99" zoomScaleNormal="100" zoomScaleSheetLayoutView="99" workbookViewId="0">
      <selection activeCell="E39" sqref="E39:F43"/>
    </sheetView>
  </sheetViews>
  <sheetFormatPr defaultRowHeight="13.95" customHeight="1"/>
  <cols>
    <col min="1" max="1" width="18.796875" style="77" customWidth="1"/>
    <col min="2" max="2" width="22.296875" style="77" customWidth="1"/>
    <col min="3" max="3" width="17.296875" style="77" customWidth="1"/>
    <col min="4" max="4" width="10.69921875" style="77" customWidth="1"/>
    <col min="5" max="5" width="30.09765625" style="77" customWidth="1"/>
    <col min="6" max="6" width="52.3984375" style="77" customWidth="1"/>
    <col min="7" max="257" width="9" style="77"/>
    <col min="258" max="258" width="15.09765625" style="77" customWidth="1"/>
    <col min="259" max="260" width="9" style="77"/>
    <col min="261" max="261" width="30.09765625" style="77" customWidth="1"/>
    <col min="262" max="262" width="50.69921875" style="77" customWidth="1"/>
    <col min="263" max="513" width="9" style="77"/>
    <col min="514" max="514" width="15.09765625" style="77" customWidth="1"/>
    <col min="515" max="516" width="9" style="77"/>
    <col min="517" max="517" width="30.09765625" style="77" customWidth="1"/>
    <col min="518" max="518" width="50.69921875" style="77" customWidth="1"/>
    <col min="519" max="769" width="9" style="77"/>
    <col min="770" max="770" width="15.09765625" style="77" customWidth="1"/>
    <col min="771" max="772" width="9" style="77"/>
    <col min="773" max="773" width="30.09765625" style="77" customWidth="1"/>
    <col min="774" max="774" width="50.69921875" style="77" customWidth="1"/>
    <col min="775" max="1025" width="9" style="77"/>
    <col min="1026" max="1026" width="15.09765625" style="77" customWidth="1"/>
    <col min="1027" max="1028" width="9" style="77"/>
    <col min="1029" max="1029" width="30.09765625" style="77" customWidth="1"/>
    <col min="1030" max="1030" width="50.69921875" style="77" customWidth="1"/>
    <col min="1031" max="1281" width="9" style="77"/>
    <col min="1282" max="1282" width="15.09765625" style="77" customWidth="1"/>
    <col min="1283" max="1284" width="9" style="77"/>
    <col min="1285" max="1285" width="30.09765625" style="77" customWidth="1"/>
    <col min="1286" max="1286" width="50.69921875" style="77" customWidth="1"/>
    <col min="1287" max="1537" width="9" style="77"/>
    <col min="1538" max="1538" width="15.09765625" style="77" customWidth="1"/>
    <col min="1539" max="1540" width="9" style="77"/>
    <col min="1541" max="1541" width="30.09765625" style="77" customWidth="1"/>
    <col min="1542" max="1542" width="50.69921875" style="77" customWidth="1"/>
    <col min="1543" max="1793" width="9" style="77"/>
    <col min="1794" max="1794" width="15.09765625" style="77" customWidth="1"/>
    <col min="1795" max="1796" width="9" style="77"/>
    <col min="1797" max="1797" width="30.09765625" style="77" customWidth="1"/>
    <col min="1798" max="1798" width="50.69921875" style="77" customWidth="1"/>
    <col min="1799" max="2049" width="9" style="77"/>
    <col min="2050" max="2050" width="15.09765625" style="77" customWidth="1"/>
    <col min="2051" max="2052" width="9" style="77"/>
    <col min="2053" max="2053" width="30.09765625" style="77" customWidth="1"/>
    <col min="2054" max="2054" width="50.69921875" style="77" customWidth="1"/>
    <col min="2055" max="2305" width="9" style="77"/>
    <col min="2306" max="2306" width="15.09765625" style="77" customWidth="1"/>
    <col min="2307" max="2308" width="9" style="77"/>
    <col min="2309" max="2309" width="30.09765625" style="77" customWidth="1"/>
    <col min="2310" max="2310" width="50.69921875" style="77" customWidth="1"/>
    <col min="2311" max="2561" width="9" style="77"/>
    <col min="2562" max="2562" width="15.09765625" style="77" customWidth="1"/>
    <col min="2563" max="2564" width="9" style="77"/>
    <col min="2565" max="2565" width="30.09765625" style="77" customWidth="1"/>
    <col min="2566" max="2566" width="50.69921875" style="77" customWidth="1"/>
    <col min="2567" max="2817" width="9" style="77"/>
    <col min="2818" max="2818" width="15.09765625" style="77" customWidth="1"/>
    <col min="2819" max="2820" width="9" style="77"/>
    <col min="2821" max="2821" width="30.09765625" style="77" customWidth="1"/>
    <col min="2822" max="2822" width="50.69921875" style="77" customWidth="1"/>
    <col min="2823" max="3073" width="9" style="77"/>
    <col min="3074" max="3074" width="15.09765625" style="77" customWidth="1"/>
    <col min="3075" max="3076" width="9" style="77"/>
    <col min="3077" max="3077" width="30.09765625" style="77" customWidth="1"/>
    <col min="3078" max="3078" width="50.69921875" style="77" customWidth="1"/>
    <col min="3079" max="3329" width="9" style="77"/>
    <col min="3330" max="3330" width="15.09765625" style="77" customWidth="1"/>
    <col min="3331" max="3332" width="9" style="77"/>
    <col min="3333" max="3333" width="30.09765625" style="77" customWidth="1"/>
    <col min="3334" max="3334" width="50.69921875" style="77" customWidth="1"/>
    <col min="3335" max="3585" width="9" style="77"/>
    <col min="3586" max="3586" width="15.09765625" style="77" customWidth="1"/>
    <col min="3587" max="3588" width="9" style="77"/>
    <col min="3589" max="3589" width="30.09765625" style="77" customWidth="1"/>
    <col min="3590" max="3590" width="50.69921875" style="77" customWidth="1"/>
    <col min="3591" max="3841" width="9" style="77"/>
    <col min="3842" max="3842" width="15.09765625" style="77" customWidth="1"/>
    <col min="3843" max="3844" width="9" style="77"/>
    <col min="3845" max="3845" width="30.09765625" style="77" customWidth="1"/>
    <col min="3846" max="3846" width="50.69921875" style="77" customWidth="1"/>
    <col min="3847" max="4097" width="9" style="77"/>
    <col min="4098" max="4098" width="15.09765625" style="77" customWidth="1"/>
    <col min="4099" max="4100" width="9" style="77"/>
    <col min="4101" max="4101" width="30.09765625" style="77" customWidth="1"/>
    <col min="4102" max="4102" width="50.69921875" style="77" customWidth="1"/>
    <col min="4103" max="4353" width="9" style="77"/>
    <col min="4354" max="4354" width="15.09765625" style="77" customWidth="1"/>
    <col min="4355" max="4356" width="9" style="77"/>
    <col min="4357" max="4357" width="30.09765625" style="77" customWidth="1"/>
    <col min="4358" max="4358" width="50.69921875" style="77" customWidth="1"/>
    <col min="4359" max="4609" width="9" style="77"/>
    <col min="4610" max="4610" width="15.09765625" style="77" customWidth="1"/>
    <col min="4611" max="4612" width="9" style="77"/>
    <col min="4613" max="4613" width="30.09765625" style="77" customWidth="1"/>
    <col min="4614" max="4614" width="50.69921875" style="77" customWidth="1"/>
    <col min="4615" max="4865" width="9" style="77"/>
    <col min="4866" max="4866" width="15.09765625" style="77" customWidth="1"/>
    <col min="4867" max="4868" width="9" style="77"/>
    <col min="4869" max="4869" width="30.09765625" style="77" customWidth="1"/>
    <col min="4870" max="4870" width="50.69921875" style="77" customWidth="1"/>
    <col min="4871" max="5121" width="9" style="77"/>
    <col min="5122" max="5122" width="15.09765625" style="77" customWidth="1"/>
    <col min="5123" max="5124" width="9" style="77"/>
    <col min="5125" max="5125" width="30.09765625" style="77" customWidth="1"/>
    <col min="5126" max="5126" width="50.69921875" style="77" customWidth="1"/>
    <col min="5127" max="5377" width="9" style="77"/>
    <col min="5378" max="5378" width="15.09765625" style="77" customWidth="1"/>
    <col min="5379" max="5380" width="9" style="77"/>
    <col min="5381" max="5381" width="30.09765625" style="77" customWidth="1"/>
    <col min="5382" max="5382" width="50.69921875" style="77" customWidth="1"/>
    <col min="5383" max="5633" width="9" style="77"/>
    <col min="5634" max="5634" width="15.09765625" style="77" customWidth="1"/>
    <col min="5635" max="5636" width="9" style="77"/>
    <col min="5637" max="5637" width="30.09765625" style="77" customWidth="1"/>
    <col min="5638" max="5638" width="50.69921875" style="77" customWidth="1"/>
    <col min="5639" max="5889" width="9" style="77"/>
    <col min="5890" max="5890" width="15.09765625" style="77" customWidth="1"/>
    <col min="5891" max="5892" width="9" style="77"/>
    <col min="5893" max="5893" width="30.09765625" style="77" customWidth="1"/>
    <col min="5894" max="5894" width="50.69921875" style="77" customWidth="1"/>
    <col min="5895" max="6145" width="9" style="77"/>
    <col min="6146" max="6146" width="15.09765625" style="77" customWidth="1"/>
    <col min="6147" max="6148" width="9" style="77"/>
    <col min="6149" max="6149" width="30.09765625" style="77" customWidth="1"/>
    <col min="6150" max="6150" width="50.69921875" style="77" customWidth="1"/>
    <col min="6151" max="6401" width="9" style="77"/>
    <col min="6402" max="6402" width="15.09765625" style="77" customWidth="1"/>
    <col min="6403" max="6404" width="9" style="77"/>
    <col min="6405" max="6405" width="30.09765625" style="77" customWidth="1"/>
    <col min="6406" max="6406" width="50.69921875" style="77" customWidth="1"/>
    <col min="6407" max="6657" width="9" style="77"/>
    <col min="6658" max="6658" width="15.09765625" style="77" customWidth="1"/>
    <col min="6659" max="6660" width="9" style="77"/>
    <col min="6661" max="6661" width="30.09765625" style="77" customWidth="1"/>
    <col min="6662" max="6662" width="50.69921875" style="77" customWidth="1"/>
    <col min="6663" max="6913" width="9" style="77"/>
    <col min="6914" max="6914" width="15.09765625" style="77" customWidth="1"/>
    <col min="6915" max="6916" width="9" style="77"/>
    <col min="6917" max="6917" width="30.09765625" style="77" customWidth="1"/>
    <col min="6918" max="6918" width="50.69921875" style="77" customWidth="1"/>
    <col min="6919" max="7169" width="9" style="77"/>
    <col min="7170" max="7170" width="15.09765625" style="77" customWidth="1"/>
    <col min="7171" max="7172" width="9" style="77"/>
    <col min="7173" max="7173" width="30.09765625" style="77" customWidth="1"/>
    <col min="7174" max="7174" width="50.69921875" style="77" customWidth="1"/>
    <col min="7175" max="7425" width="9" style="77"/>
    <col min="7426" max="7426" width="15.09765625" style="77" customWidth="1"/>
    <col min="7427" max="7428" width="9" style="77"/>
    <col min="7429" max="7429" width="30.09765625" style="77" customWidth="1"/>
    <col min="7430" max="7430" width="50.69921875" style="77" customWidth="1"/>
    <col min="7431" max="7681" width="9" style="77"/>
    <col min="7682" max="7682" width="15.09765625" style="77" customWidth="1"/>
    <col min="7683" max="7684" width="9" style="77"/>
    <col min="7685" max="7685" width="30.09765625" style="77" customWidth="1"/>
    <col min="7686" max="7686" width="50.69921875" style="77" customWidth="1"/>
    <col min="7687" max="7937" width="9" style="77"/>
    <col min="7938" max="7938" width="15.09765625" style="77" customWidth="1"/>
    <col min="7939" max="7940" width="9" style="77"/>
    <col min="7941" max="7941" width="30.09765625" style="77" customWidth="1"/>
    <col min="7942" max="7942" width="50.69921875" style="77" customWidth="1"/>
    <col min="7943" max="8193" width="9" style="77"/>
    <col min="8194" max="8194" width="15.09765625" style="77" customWidth="1"/>
    <col min="8195" max="8196" width="9" style="77"/>
    <col min="8197" max="8197" width="30.09765625" style="77" customWidth="1"/>
    <col min="8198" max="8198" width="50.69921875" style="77" customWidth="1"/>
    <col min="8199" max="8449" width="9" style="77"/>
    <col min="8450" max="8450" width="15.09765625" style="77" customWidth="1"/>
    <col min="8451" max="8452" width="9" style="77"/>
    <col min="8453" max="8453" width="30.09765625" style="77" customWidth="1"/>
    <col min="8454" max="8454" width="50.69921875" style="77" customWidth="1"/>
    <col min="8455" max="8705" width="9" style="77"/>
    <col min="8706" max="8706" width="15.09765625" style="77" customWidth="1"/>
    <col min="8707" max="8708" width="9" style="77"/>
    <col min="8709" max="8709" width="30.09765625" style="77" customWidth="1"/>
    <col min="8710" max="8710" width="50.69921875" style="77" customWidth="1"/>
    <col min="8711" max="8961" width="9" style="77"/>
    <col min="8962" max="8962" width="15.09765625" style="77" customWidth="1"/>
    <col min="8963" max="8964" width="9" style="77"/>
    <col min="8965" max="8965" width="30.09765625" style="77" customWidth="1"/>
    <col min="8966" max="8966" width="50.69921875" style="77" customWidth="1"/>
    <col min="8967" max="9217" width="9" style="77"/>
    <col min="9218" max="9218" width="15.09765625" style="77" customWidth="1"/>
    <col min="9219" max="9220" width="9" style="77"/>
    <col min="9221" max="9221" width="30.09765625" style="77" customWidth="1"/>
    <col min="9222" max="9222" width="50.69921875" style="77" customWidth="1"/>
    <col min="9223" max="9473" width="9" style="77"/>
    <col min="9474" max="9474" width="15.09765625" style="77" customWidth="1"/>
    <col min="9475" max="9476" width="9" style="77"/>
    <col min="9477" max="9477" width="30.09765625" style="77" customWidth="1"/>
    <col min="9478" max="9478" width="50.69921875" style="77" customWidth="1"/>
    <col min="9479" max="9729" width="9" style="77"/>
    <col min="9730" max="9730" width="15.09765625" style="77" customWidth="1"/>
    <col min="9731" max="9732" width="9" style="77"/>
    <col min="9733" max="9733" width="30.09765625" style="77" customWidth="1"/>
    <col min="9734" max="9734" width="50.69921875" style="77" customWidth="1"/>
    <col min="9735" max="9985" width="9" style="77"/>
    <col min="9986" max="9986" width="15.09765625" style="77" customWidth="1"/>
    <col min="9987" max="9988" width="9" style="77"/>
    <col min="9989" max="9989" width="30.09765625" style="77" customWidth="1"/>
    <col min="9990" max="9990" width="50.69921875" style="77" customWidth="1"/>
    <col min="9991" max="10241" width="9" style="77"/>
    <col min="10242" max="10242" width="15.09765625" style="77" customWidth="1"/>
    <col min="10243" max="10244" width="9" style="77"/>
    <col min="10245" max="10245" width="30.09765625" style="77" customWidth="1"/>
    <col min="10246" max="10246" width="50.69921875" style="77" customWidth="1"/>
    <col min="10247" max="10497" width="9" style="77"/>
    <col min="10498" max="10498" width="15.09765625" style="77" customWidth="1"/>
    <col min="10499" max="10500" width="9" style="77"/>
    <col min="10501" max="10501" width="30.09765625" style="77" customWidth="1"/>
    <col min="10502" max="10502" width="50.69921875" style="77" customWidth="1"/>
    <col min="10503" max="10753" width="9" style="77"/>
    <col min="10754" max="10754" width="15.09765625" style="77" customWidth="1"/>
    <col min="10755" max="10756" width="9" style="77"/>
    <col min="10757" max="10757" width="30.09765625" style="77" customWidth="1"/>
    <col min="10758" max="10758" width="50.69921875" style="77" customWidth="1"/>
    <col min="10759" max="11009" width="9" style="77"/>
    <col min="11010" max="11010" width="15.09765625" style="77" customWidth="1"/>
    <col min="11011" max="11012" width="9" style="77"/>
    <col min="11013" max="11013" width="30.09765625" style="77" customWidth="1"/>
    <col min="11014" max="11014" width="50.69921875" style="77" customWidth="1"/>
    <col min="11015" max="11265" width="9" style="77"/>
    <col min="11266" max="11266" width="15.09765625" style="77" customWidth="1"/>
    <col min="11267" max="11268" width="9" style="77"/>
    <col min="11269" max="11269" width="30.09765625" style="77" customWidth="1"/>
    <col min="11270" max="11270" width="50.69921875" style="77" customWidth="1"/>
    <col min="11271" max="11521" width="9" style="77"/>
    <col min="11522" max="11522" width="15.09765625" style="77" customWidth="1"/>
    <col min="11523" max="11524" width="9" style="77"/>
    <col min="11525" max="11525" width="30.09765625" style="77" customWidth="1"/>
    <col min="11526" max="11526" width="50.69921875" style="77" customWidth="1"/>
    <col min="11527" max="11777" width="9" style="77"/>
    <col min="11778" max="11778" width="15.09765625" style="77" customWidth="1"/>
    <col min="11779" max="11780" width="9" style="77"/>
    <col min="11781" max="11781" width="30.09765625" style="77" customWidth="1"/>
    <col min="11782" max="11782" width="50.69921875" style="77" customWidth="1"/>
    <col min="11783" max="12033" width="9" style="77"/>
    <col min="12034" max="12034" width="15.09765625" style="77" customWidth="1"/>
    <col min="12035" max="12036" width="9" style="77"/>
    <col min="12037" max="12037" width="30.09765625" style="77" customWidth="1"/>
    <col min="12038" max="12038" width="50.69921875" style="77" customWidth="1"/>
    <col min="12039" max="12289" width="9" style="77"/>
    <col min="12290" max="12290" width="15.09765625" style="77" customWidth="1"/>
    <col min="12291" max="12292" width="9" style="77"/>
    <col min="12293" max="12293" width="30.09765625" style="77" customWidth="1"/>
    <col min="12294" max="12294" width="50.69921875" style="77" customWidth="1"/>
    <col min="12295" max="12545" width="9" style="77"/>
    <col min="12546" max="12546" width="15.09765625" style="77" customWidth="1"/>
    <col min="12547" max="12548" width="9" style="77"/>
    <col min="12549" max="12549" width="30.09765625" style="77" customWidth="1"/>
    <col min="12550" max="12550" width="50.69921875" style="77" customWidth="1"/>
    <col min="12551" max="12801" width="9" style="77"/>
    <col min="12802" max="12802" width="15.09765625" style="77" customWidth="1"/>
    <col min="12803" max="12804" width="9" style="77"/>
    <col min="12805" max="12805" width="30.09765625" style="77" customWidth="1"/>
    <col min="12806" max="12806" width="50.69921875" style="77" customWidth="1"/>
    <col min="12807" max="13057" width="9" style="77"/>
    <col min="13058" max="13058" width="15.09765625" style="77" customWidth="1"/>
    <col min="13059" max="13060" width="9" style="77"/>
    <col min="13061" max="13061" width="30.09765625" style="77" customWidth="1"/>
    <col min="13062" max="13062" width="50.69921875" style="77" customWidth="1"/>
    <col min="13063" max="13313" width="9" style="77"/>
    <col min="13314" max="13314" width="15.09765625" style="77" customWidth="1"/>
    <col min="13315" max="13316" width="9" style="77"/>
    <col min="13317" max="13317" width="30.09765625" style="77" customWidth="1"/>
    <col min="13318" max="13318" width="50.69921875" style="77" customWidth="1"/>
    <col min="13319" max="13569" width="9" style="77"/>
    <col min="13570" max="13570" width="15.09765625" style="77" customWidth="1"/>
    <col min="13571" max="13572" width="9" style="77"/>
    <col min="13573" max="13573" width="30.09765625" style="77" customWidth="1"/>
    <col min="13574" max="13574" width="50.69921875" style="77" customWidth="1"/>
    <col min="13575" max="13825" width="9" style="77"/>
    <col min="13826" max="13826" width="15.09765625" style="77" customWidth="1"/>
    <col min="13827" max="13828" width="9" style="77"/>
    <col min="13829" max="13829" width="30.09765625" style="77" customWidth="1"/>
    <col min="13830" max="13830" width="50.69921875" style="77" customWidth="1"/>
    <col min="13831" max="14081" width="9" style="77"/>
    <col min="14082" max="14082" width="15.09765625" style="77" customWidth="1"/>
    <col min="14083" max="14084" width="9" style="77"/>
    <col min="14085" max="14085" width="30.09765625" style="77" customWidth="1"/>
    <col min="14086" max="14086" width="50.69921875" style="77" customWidth="1"/>
    <col min="14087" max="14337" width="9" style="77"/>
    <col min="14338" max="14338" width="15.09765625" style="77" customWidth="1"/>
    <col min="14339" max="14340" width="9" style="77"/>
    <col min="14341" max="14341" width="30.09765625" style="77" customWidth="1"/>
    <col min="14342" max="14342" width="50.69921875" style="77" customWidth="1"/>
    <col min="14343" max="14593" width="9" style="77"/>
    <col min="14594" max="14594" width="15.09765625" style="77" customWidth="1"/>
    <col min="14595" max="14596" width="9" style="77"/>
    <col min="14597" max="14597" width="30.09765625" style="77" customWidth="1"/>
    <col min="14598" max="14598" width="50.69921875" style="77" customWidth="1"/>
    <col min="14599" max="14849" width="9" style="77"/>
    <col min="14850" max="14850" width="15.09765625" style="77" customWidth="1"/>
    <col min="14851" max="14852" width="9" style="77"/>
    <col min="14853" max="14853" width="30.09765625" style="77" customWidth="1"/>
    <col min="14854" max="14854" width="50.69921875" style="77" customWidth="1"/>
    <col min="14855" max="15105" width="9" style="77"/>
    <col min="15106" max="15106" width="15.09765625" style="77" customWidth="1"/>
    <col min="15107" max="15108" width="9" style="77"/>
    <col min="15109" max="15109" width="30.09765625" style="77" customWidth="1"/>
    <col min="15110" max="15110" width="50.69921875" style="77" customWidth="1"/>
    <col min="15111" max="15361" width="9" style="77"/>
    <col min="15362" max="15362" width="15.09765625" style="77" customWidth="1"/>
    <col min="15363" max="15364" width="9" style="77"/>
    <col min="15365" max="15365" width="30.09765625" style="77" customWidth="1"/>
    <col min="15366" max="15366" width="50.69921875" style="77" customWidth="1"/>
    <col min="15367" max="15617" width="9" style="77"/>
    <col min="15618" max="15618" width="15.09765625" style="77" customWidth="1"/>
    <col min="15619" max="15620" width="9" style="77"/>
    <col min="15621" max="15621" width="30.09765625" style="77" customWidth="1"/>
    <col min="15622" max="15622" width="50.69921875" style="77" customWidth="1"/>
    <col min="15623" max="15873" width="9" style="77"/>
    <col min="15874" max="15874" width="15.09765625" style="77" customWidth="1"/>
    <col min="15875" max="15876" width="9" style="77"/>
    <col min="15877" max="15877" width="30.09765625" style="77" customWidth="1"/>
    <col min="15878" max="15878" width="50.69921875" style="77" customWidth="1"/>
    <col min="15879" max="16129" width="9" style="77"/>
    <col min="16130" max="16130" width="15.09765625" style="77" customWidth="1"/>
    <col min="16131" max="16132" width="9" style="77"/>
    <col min="16133" max="16133" width="30.09765625" style="77" customWidth="1"/>
    <col min="16134" max="16134" width="50.69921875" style="77" customWidth="1"/>
    <col min="16135" max="16384" width="9" style="77"/>
  </cols>
  <sheetData>
    <row r="1" spans="1:6" s="21" customFormat="1" ht="21.75" customHeight="1">
      <c r="A1" s="21" t="s">
        <v>172</v>
      </c>
      <c r="B1" s="23"/>
    </row>
    <row r="2" spans="1:6" s="21" customFormat="1" ht="19.5" customHeight="1">
      <c r="A2" s="16" t="s">
        <v>26</v>
      </c>
    </row>
    <row r="3" spans="1:6" s="23" customFormat="1" ht="21.75" customHeight="1">
      <c r="A3" s="17" t="s">
        <v>27</v>
      </c>
      <c r="B3" s="17" t="s">
        <v>28</v>
      </c>
      <c r="C3" s="80" t="s">
        <v>29</v>
      </c>
      <c r="D3" s="81"/>
      <c r="E3" s="81"/>
      <c r="F3" s="82"/>
    </row>
    <row r="4" spans="1:6" s="26" customFormat="1" ht="17.25" customHeight="1">
      <c r="A4" s="24">
        <v>1</v>
      </c>
      <c r="B4" s="25" t="s">
        <v>30</v>
      </c>
      <c r="C4" s="83" t="s">
        <v>31</v>
      </c>
      <c r="D4" s="84"/>
      <c r="E4" s="84"/>
      <c r="F4" s="85"/>
    </row>
    <row r="5" spans="1:6" s="26" customFormat="1" ht="24" customHeight="1">
      <c r="A5" s="86">
        <v>2</v>
      </c>
      <c r="B5" s="88" t="s">
        <v>32</v>
      </c>
      <c r="C5" s="83" t="s">
        <v>33</v>
      </c>
      <c r="D5" s="84"/>
      <c r="E5" s="84"/>
      <c r="F5" s="85"/>
    </row>
    <row r="6" spans="1:6" s="26" customFormat="1" ht="54.75" customHeight="1">
      <c r="A6" s="87"/>
      <c r="B6" s="89"/>
      <c r="C6" s="83" t="s">
        <v>34</v>
      </c>
      <c r="D6" s="84"/>
      <c r="E6" s="84"/>
      <c r="F6" s="85"/>
    </row>
    <row r="7" spans="1:6" s="26" customFormat="1" ht="25.5" customHeight="1">
      <c r="A7" s="86">
        <v>3</v>
      </c>
      <c r="B7" s="88" t="s">
        <v>35</v>
      </c>
      <c r="C7" s="83" t="s">
        <v>36</v>
      </c>
      <c r="D7" s="84"/>
      <c r="E7" s="84"/>
      <c r="F7" s="85"/>
    </row>
    <row r="8" spans="1:6" s="26" customFormat="1" ht="25.5" customHeight="1">
      <c r="A8" s="90"/>
      <c r="B8" s="91"/>
      <c r="C8" s="83" t="s">
        <v>37</v>
      </c>
      <c r="D8" s="84"/>
      <c r="E8" s="84"/>
      <c r="F8" s="85"/>
    </row>
    <row r="9" spans="1:6" s="26" customFormat="1" ht="25.5" customHeight="1">
      <c r="A9" s="87"/>
      <c r="B9" s="89"/>
      <c r="C9" s="83" t="s">
        <v>38</v>
      </c>
      <c r="D9" s="84"/>
      <c r="E9" s="84"/>
      <c r="F9" s="85"/>
    </row>
    <row r="10" spans="1:6" s="26" customFormat="1" ht="16.5" customHeight="1">
      <c r="A10" s="24">
        <v>4</v>
      </c>
      <c r="B10" s="25" t="s">
        <v>39</v>
      </c>
      <c r="C10" s="83" t="s">
        <v>40</v>
      </c>
      <c r="D10" s="84"/>
      <c r="E10" s="92"/>
      <c r="F10" s="85"/>
    </row>
    <row r="11" spans="1:6" s="26" customFormat="1" ht="18.75" customHeight="1">
      <c r="A11" s="93" t="s">
        <v>41</v>
      </c>
      <c r="B11" s="94"/>
      <c r="C11" s="94"/>
      <c r="D11" s="94"/>
      <c r="E11" s="94"/>
      <c r="F11" s="95"/>
    </row>
    <row r="12" spans="1:6" s="26" customFormat="1" ht="20.25" customHeight="1">
      <c r="A12" s="16"/>
      <c r="B12" s="16"/>
      <c r="C12" s="16"/>
      <c r="D12" s="16"/>
      <c r="E12" s="16"/>
      <c r="F12" s="16"/>
    </row>
    <row r="13" spans="1:6" s="26" customFormat="1" ht="26.25" customHeight="1">
      <c r="A13" s="17" t="s">
        <v>27</v>
      </c>
      <c r="B13" s="96" t="s">
        <v>42</v>
      </c>
      <c r="C13" s="97"/>
      <c r="D13" s="98"/>
      <c r="E13" s="96" t="s">
        <v>43</v>
      </c>
      <c r="F13" s="98"/>
    </row>
    <row r="14" spans="1:6" s="26" customFormat="1" ht="21.75" customHeight="1">
      <c r="A14" s="27">
        <v>1</v>
      </c>
      <c r="B14" s="83" t="s">
        <v>44</v>
      </c>
      <c r="C14" s="84"/>
      <c r="D14" s="85"/>
      <c r="E14" s="83" t="s">
        <v>45</v>
      </c>
      <c r="F14" s="85"/>
    </row>
    <row r="15" spans="1:6" s="26" customFormat="1" ht="30.75" customHeight="1">
      <c r="A15" s="27">
        <v>2</v>
      </c>
      <c r="B15" s="83" t="s">
        <v>46</v>
      </c>
      <c r="C15" s="84"/>
      <c r="D15" s="85"/>
      <c r="E15" s="83" t="s">
        <v>47</v>
      </c>
      <c r="F15" s="85"/>
    </row>
    <row r="16" spans="1:6" s="26" customFormat="1" ht="30" customHeight="1">
      <c r="A16" s="27">
        <v>3</v>
      </c>
      <c r="B16" s="83" t="s">
        <v>48</v>
      </c>
      <c r="C16" s="84"/>
      <c r="D16" s="85"/>
      <c r="E16" s="83" t="s">
        <v>49</v>
      </c>
      <c r="F16" s="85"/>
    </row>
    <row r="17" spans="1:12" s="26" customFormat="1" ht="21.75" customHeight="1">
      <c r="A17" s="27">
        <v>4</v>
      </c>
      <c r="B17" s="83" t="s">
        <v>50</v>
      </c>
      <c r="C17" s="84"/>
      <c r="D17" s="85"/>
      <c r="E17" s="83" t="s">
        <v>51</v>
      </c>
      <c r="F17" s="85"/>
    </row>
    <row r="18" spans="1:12" s="26" customFormat="1" ht="21.75" customHeight="1">
      <c r="A18" s="27">
        <v>5</v>
      </c>
      <c r="B18" s="83" t="s">
        <v>52</v>
      </c>
      <c r="C18" s="84"/>
      <c r="D18" s="85"/>
      <c r="E18" s="83" t="s">
        <v>53</v>
      </c>
      <c r="F18" s="85"/>
    </row>
    <row r="19" spans="1:12" s="21" customFormat="1" ht="17.25" customHeight="1">
      <c r="A19" s="16" t="s">
        <v>54</v>
      </c>
    </row>
    <row r="20" spans="1:12" s="28" customFormat="1" ht="21" customHeight="1">
      <c r="A20" s="17" t="s">
        <v>27</v>
      </c>
      <c r="B20" s="17" t="s">
        <v>55</v>
      </c>
      <c r="C20" s="100" t="s">
        <v>29</v>
      </c>
      <c r="D20" s="100"/>
      <c r="E20" s="100"/>
      <c r="F20" s="100"/>
    </row>
    <row r="21" spans="1:12" s="26" customFormat="1" ht="46.5" customHeight="1">
      <c r="A21" s="24">
        <v>1</v>
      </c>
      <c r="B21" s="24" t="s">
        <v>56</v>
      </c>
      <c r="C21" s="101" t="s">
        <v>154</v>
      </c>
      <c r="D21" s="102"/>
      <c r="E21" s="102"/>
      <c r="F21" s="102"/>
    </row>
    <row r="22" spans="1:12" s="26" customFormat="1" ht="20.25" customHeight="1">
      <c r="A22" s="24"/>
      <c r="B22" s="24" t="s">
        <v>57</v>
      </c>
      <c r="C22" s="102" t="s">
        <v>58</v>
      </c>
      <c r="D22" s="102"/>
      <c r="E22" s="102"/>
      <c r="F22" s="102"/>
    </row>
    <row r="23" spans="1:12" s="26" customFormat="1" ht="20.25" customHeight="1">
      <c r="A23" s="24">
        <v>3</v>
      </c>
      <c r="B23" s="24" t="s">
        <v>59</v>
      </c>
      <c r="C23" s="102" t="s">
        <v>60</v>
      </c>
      <c r="D23" s="102"/>
      <c r="E23" s="102"/>
      <c r="F23" s="102"/>
    </row>
    <row r="24" spans="1:12" s="26" customFormat="1" ht="27.6" customHeight="1">
      <c r="A24" s="83" t="s">
        <v>61</v>
      </c>
      <c r="B24" s="84"/>
      <c r="C24" s="84"/>
      <c r="D24" s="84"/>
      <c r="E24" s="84"/>
      <c r="F24" s="85"/>
    </row>
    <row r="25" spans="1:12" s="26" customFormat="1" ht="35.4" customHeight="1">
      <c r="A25" s="83" t="s">
        <v>153</v>
      </c>
      <c r="B25" s="84"/>
      <c r="C25" s="84"/>
      <c r="D25" s="84"/>
      <c r="E25" s="84"/>
      <c r="F25" s="85"/>
    </row>
    <row r="26" spans="1:12" s="21" customFormat="1" ht="21.75" customHeight="1">
      <c r="A26" s="16" t="s">
        <v>62</v>
      </c>
    </row>
    <row r="27" spans="1:12" s="21" customFormat="1" ht="21.75" customHeight="1">
      <c r="A27" s="16" t="s">
        <v>173</v>
      </c>
    </row>
    <row r="28" spans="1:12" s="21" customFormat="1" ht="20.25" customHeight="1">
      <c r="A28" s="29" t="s">
        <v>174</v>
      </c>
      <c r="B28" s="29" t="s">
        <v>174</v>
      </c>
      <c r="C28" s="29" t="s">
        <v>175</v>
      </c>
    </row>
    <row r="29" spans="1:12" s="21" customFormat="1" ht="19.5" customHeight="1">
      <c r="A29" s="18">
        <v>1</v>
      </c>
      <c r="B29" s="19" t="s">
        <v>176</v>
      </c>
      <c r="C29" s="20" t="s">
        <v>196</v>
      </c>
    </row>
    <row r="30" spans="1:12" s="21" customFormat="1" ht="31.5" customHeight="1">
      <c r="A30" s="18">
        <v>2</v>
      </c>
      <c r="B30" s="19" t="s">
        <v>197</v>
      </c>
      <c r="C30" s="20" t="s">
        <v>196</v>
      </c>
    </row>
    <row r="31" spans="1:12" s="21" customFormat="1" ht="19.5" customHeight="1">
      <c r="A31" s="18">
        <v>3</v>
      </c>
      <c r="B31" s="19" t="s">
        <v>177</v>
      </c>
      <c r="C31" s="20" t="s">
        <v>198</v>
      </c>
    </row>
    <row r="32" spans="1:12" s="21" customFormat="1" ht="24.6" customHeight="1">
      <c r="A32" s="18">
        <v>4</v>
      </c>
      <c r="B32" s="19" t="s">
        <v>199</v>
      </c>
      <c r="C32" s="20" t="s">
        <v>200</v>
      </c>
      <c r="L32" s="72"/>
    </row>
    <row r="33" spans="1:6" s="21" customFormat="1" ht="30" customHeight="1">
      <c r="A33" s="18">
        <v>5</v>
      </c>
      <c r="B33" s="19" t="s">
        <v>178</v>
      </c>
      <c r="C33" s="20" t="s">
        <v>201</v>
      </c>
    </row>
    <row r="34" spans="1:6" s="21" customFormat="1" ht="43.5" customHeight="1">
      <c r="A34" s="18">
        <v>6</v>
      </c>
      <c r="B34" s="19" t="s">
        <v>179</v>
      </c>
      <c r="C34" s="20" t="s">
        <v>201</v>
      </c>
    </row>
    <row r="35" spans="1:6" s="21" customFormat="1" ht="44.25" customHeight="1">
      <c r="A35" s="18">
        <v>7</v>
      </c>
      <c r="B35" s="19" t="s">
        <v>180</v>
      </c>
      <c r="C35" s="20" t="s">
        <v>202</v>
      </c>
    </row>
    <row r="36" spans="1:6" s="21" customFormat="1" ht="22.2" customHeight="1">
      <c r="A36" s="78" t="s">
        <v>205</v>
      </c>
    </row>
    <row r="37" spans="1:6" s="21" customFormat="1" ht="21.75" customHeight="1">
      <c r="A37" s="61" t="s">
        <v>190</v>
      </c>
      <c r="B37" s="22"/>
    </row>
    <row r="38" spans="1:6" s="21" customFormat="1" ht="40.200000000000003" customHeight="1">
      <c r="A38" s="17" t="s">
        <v>27</v>
      </c>
      <c r="B38" s="29" t="s">
        <v>63</v>
      </c>
      <c r="C38" s="62" t="s">
        <v>209</v>
      </c>
      <c r="D38" s="63" t="s">
        <v>191</v>
      </c>
      <c r="E38" s="96" t="s">
        <v>64</v>
      </c>
      <c r="F38" s="98"/>
    </row>
    <row r="39" spans="1:6" s="26" customFormat="1" ht="45.75" customHeight="1">
      <c r="A39" s="24">
        <v>1</v>
      </c>
      <c r="B39" s="30" t="s">
        <v>65</v>
      </c>
      <c r="C39" s="30" t="s">
        <v>20</v>
      </c>
      <c r="D39" s="30" t="s">
        <v>22</v>
      </c>
      <c r="E39" s="154" t="s">
        <v>208</v>
      </c>
      <c r="F39" s="103"/>
    </row>
    <row r="40" spans="1:6" s="26" customFormat="1" ht="27.75" customHeight="1">
      <c r="A40" s="24">
        <v>2</v>
      </c>
      <c r="B40" s="30" t="s">
        <v>66</v>
      </c>
      <c r="C40" s="30" t="s">
        <v>21</v>
      </c>
      <c r="D40" s="30" t="s">
        <v>24</v>
      </c>
      <c r="E40" s="104"/>
      <c r="F40" s="105"/>
    </row>
    <row r="41" spans="1:6" s="26" customFormat="1" ht="27.75" customHeight="1">
      <c r="A41" s="24">
        <v>3</v>
      </c>
      <c r="B41" s="153" t="s">
        <v>207</v>
      </c>
      <c r="C41" s="30" t="s">
        <v>24</v>
      </c>
      <c r="D41" s="30" t="s">
        <v>24</v>
      </c>
      <c r="E41" s="104"/>
      <c r="F41" s="105"/>
    </row>
    <row r="42" spans="1:6" s="26" customFormat="1" ht="27.75" customHeight="1">
      <c r="A42" s="24">
        <v>4</v>
      </c>
      <c r="B42" s="24" t="s">
        <v>67</v>
      </c>
      <c r="C42" s="30" t="s">
        <v>21</v>
      </c>
      <c r="D42" s="30" t="s">
        <v>23</v>
      </c>
      <c r="E42" s="104"/>
      <c r="F42" s="105"/>
    </row>
    <row r="43" spans="1:6" s="26" customFormat="1" ht="27.75" customHeight="1">
      <c r="A43" s="24">
        <v>5</v>
      </c>
      <c r="B43" s="30" t="s">
        <v>68</v>
      </c>
      <c r="C43" s="30" t="s">
        <v>25</v>
      </c>
      <c r="D43" s="30" t="s">
        <v>25</v>
      </c>
      <c r="E43" s="106"/>
      <c r="F43" s="107"/>
    </row>
    <row r="44" spans="1:6" s="26" customFormat="1" ht="27.75" customHeight="1">
      <c r="A44" s="156" t="s">
        <v>211</v>
      </c>
      <c r="B44" s="155"/>
      <c r="C44" s="155"/>
      <c r="D44" s="155"/>
      <c r="E44" s="38"/>
      <c r="F44" s="79"/>
    </row>
    <row r="45" spans="1:6" s="26" customFormat="1" ht="144.75" customHeight="1">
      <c r="A45" s="83" t="s">
        <v>69</v>
      </c>
      <c r="B45" s="84"/>
      <c r="C45" s="84"/>
      <c r="D45" s="84"/>
      <c r="E45" s="84"/>
      <c r="F45" s="85"/>
    </row>
    <row r="46" spans="1:6" s="26" customFormat="1" ht="21" customHeight="1">
      <c r="A46" s="45" t="s">
        <v>97</v>
      </c>
      <c r="B46" s="31"/>
      <c r="C46" s="31"/>
      <c r="D46" s="31"/>
      <c r="E46" s="31"/>
      <c r="F46" s="31"/>
    </row>
    <row r="47" spans="1:6" s="26" customFormat="1" ht="32.25" customHeight="1">
      <c r="A47" s="66" t="s">
        <v>103</v>
      </c>
      <c r="B47" s="66" t="s">
        <v>98</v>
      </c>
      <c r="C47" s="67" t="s">
        <v>192</v>
      </c>
      <c r="D47" s="31"/>
      <c r="E47" s="31"/>
      <c r="F47" s="31"/>
    </row>
    <row r="48" spans="1:6" s="26" customFormat="1" ht="21" customHeight="1">
      <c r="A48" s="68" t="s">
        <v>99</v>
      </c>
      <c r="B48" s="64" t="s">
        <v>104</v>
      </c>
      <c r="C48" s="64"/>
      <c r="D48" s="31"/>
      <c r="E48" s="31"/>
      <c r="F48" s="31"/>
    </row>
    <row r="49" spans="1:6" s="26" customFormat="1" ht="21" customHeight="1">
      <c r="A49" s="65" t="s">
        <v>210</v>
      </c>
      <c r="B49" s="64" t="s">
        <v>100</v>
      </c>
      <c r="C49" s="64"/>
      <c r="D49" s="31"/>
      <c r="E49" s="31"/>
      <c r="F49" s="31"/>
    </row>
    <row r="50" spans="1:6" s="26" customFormat="1" ht="21" customHeight="1">
      <c r="A50" s="68" t="s">
        <v>101</v>
      </c>
      <c r="B50" s="64" t="s">
        <v>104</v>
      </c>
      <c r="C50" s="64"/>
      <c r="D50" s="31"/>
      <c r="E50" s="31"/>
      <c r="F50" s="31"/>
    </row>
    <row r="51" spans="1:6" s="26" customFormat="1" ht="21" customHeight="1">
      <c r="A51" s="68" t="s">
        <v>102</v>
      </c>
      <c r="B51" s="64"/>
      <c r="C51" s="64" t="s">
        <v>104</v>
      </c>
      <c r="D51" s="31"/>
      <c r="E51" s="31"/>
      <c r="F51" s="31"/>
    </row>
    <row r="52" spans="1:6" s="21" customFormat="1" ht="24" customHeight="1">
      <c r="A52" s="16" t="s">
        <v>70</v>
      </c>
    </row>
    <row r="53" spans="1:6" s="23" customFormat="1" ht="22.5" customHeight="1">
      <c r="A53" s="100" t="s">
        <v>55</v>
      </c>
      <c r="B53" s="100"/>
      <c r="C53" s="17" t="s">
        <v>71</v>
      </c>
      <c r="D53" s="80" t="s">
        <v>72</v>
      </c>
      <c r="E53" s="81"/>
      <c r="F53" s="82"/>
    </row>
    <row r="54" spans="1:6" s="26" customFormat="1" ht="20.25" customHeight="1">
      <c r="A54" s="99" t="s">
        <v>73</v>
      </c>
      <c r="B54" s="99"/>
      <c r="C54" s="32" t="s">
        <v>74</v>
      </c>
      <c r="D54" s="83" t="s">
        <v>75</v>
      </c>
      <c r="E54" s="84"/>
      <c r="F54" s="85"/>
    </row>
    <row r="55" spans="1:6" s="26" customFormat="1" ht="21.75" customHeight="1">
      <c r="A55" s="16" t="s">
        <v>76</v>
      </c>
      <c r="B55" s="28"/>
      <c r="C55" s="33"/>
      <c r="D55" s="31"/>
      <c r="E55" s="31"/>
      <c r="F55" s="31"/>
    </row>
    <row r="56" spans="1:6" s="26" customFormat="1" ht="21.75" customHeight="1">
      <c r="A56" s="28"/>
      <c r="B56" s="34" t="s">
        <v>77</v>
      </c>
      <c r="C56" s="108" t="s">
        <v>78</v>
      </c>
      <c r="D56" s="109"/>
      <c r="E56" s="110"/>
      <c r="F56" s="34" t="s">
        <v>79</v>
      </c>
    </row>
    <row r="57" spans="1:6" s="26" customFormat="1" ht="21.75" customHeight="1">
      <c r="A57" s="28"/>
      <c r="B57" s="35" t="s">
        <v>80</v>
      </c>
      <c r="C57" s="36" t="s">
        <v>81</v>
      </c>
      <c r="D57" s="37"/>
      <c r="E57" s="38"/>
      <c r="F57" s="35" t="s">
        <v>82</v>
      </c>
    </row>
    <row r="58" spans="1:6" s="26" customFormat="1" ht="21.75" customHeight="1">
      <c r="A58" s="28"/>
      <c r="B58" s="111" t="s">
        <v>83</v>
      </c>
      <c r="C58" s="112" t="s">
        <v>84</v>
      </c>
      <c r="D58" s="113"/>
      <c r="E58" s="114"/>
      <c r="F58" s="35" t="s">
        <v>85</v>
      </c>
    </row>
    <row r="59" spans="1:6" s="26" customFormat="1" ht="21.75" customHeight="1">
      <c r="A59" s="28"/>
      <c r="B59" s="111"/>
      <c r="C59" s="112"/>
      <c r="D59" s="113"/>
      <c r="E59" s="114"/>
      <c r="F59" s="35" t="s">
        <v>86</v>
      </c>
    </row>
    <row r="60" spans="1:6" s="26" customFormat="1" ht="21.75" customHeight="1">
      <c r="A60" s="28"/>
      <c r="B60" s="111" t="s">
        <v>87</v>
      </c>
      <c r="C60" s="39" t="s">
        <v>88</v>
      </c>
      <c r="D60" s="40"/>
      <c r="E60" s="41"/>
      <c r="F60" s="35" t="s">
        <v>89</v>
      </c>
    </row>
    <row r="61" spans="1:6" s="26" customFormat="1" ht="21.75" customHeight="1">
      <c r="A61" s="28"/>
      <c r="B61" s="115"/>
      <c r="C61" s="42"/>
      <c r="D61" s="40"/>
      <c r="E61" s="41"/>
      <c r="F61" s="43" t="s">
        <v>90</v>
      </c>
    </row>
    <row r="62" spans="1:6" s="26" customFormat="1" ht="21.75" customHeight="1">
      <c r="A62" s="28"/>
      <c r="B62" s="44" t="s">
        <v>91</v>
      </c>
      <c r="C62" s="116" t="s">
        <v>92</v>
      </c>
      <c r="D62" s="117"/>
      <c r="E62" s="118"/>
      <c r="F62" s="43" t="s">
        <v>93</v>
      </c>
    </row>
    <row r="63" spans="1:6" s="21" customFormat="1" ht="13.95" customHeight="1">
      <c r="A63" s="16" t="s">
        <v>94</v>
      </c>
    </row>
    <row r="64" spans="1:6" s="23" customFormat="1" ht="21.75" customHeight="1">
      <c r="A64" s="100" t="s">
        <v>55</v>
      </c>
      <c r="B64" s="100"/>
      <c r="C64" s="17" t="s">
        <v>71</v>
      </c>
      <c r="D64" s="80" t="s">
        <v>72</v>
      </c>
      <c r="E64" s="81"/>
      <c r="F64" s="82"/>
    </row>
    <row r="65" spans="1:6" s="26" customFormat="1" ht="58.8" customHeight="1">
      <c r="A65" s="99" t="s">
        <v>95</v>
      </c>
      <c r="B65" s="99"/>
      <c r="C65" s="32">
        <v>0.05</v>
      </c>
      <c r="D65" s="83" t="s">
        <v>96</v>
      </c>
      <c r="E65" s="84"/>
      <c r="F65" s="85"/>
    </row>
    <row r="66" spans="1:6" s="26" customFormat="1" ht="13.95" customHeight="1">
      <c r="A66" s="16"/>
      <c r="B66" s="28"/>
      <c r="C66" s="33"/>
      <c r="D66" s="31"/>
      <c r="E66" s="31"/>
      <c r="F66" s="31"/>
    </row>
  </sheetData>
  <mergeCells count="47">
    <mergeCell ref="A65:B65"/>
    <mergeCell ref="D65:F65"/>
    <mergeCell ref="C56:E56"/>
    <mergeCell ref="B58:B59"/>
    <mergeCell ref="C58:E59"/>
    <mergeCell ref="B60:B61"/>
    <mergeCell ref="C62:E62"/>
    <mergeCell ref="A64:B64"/>
    <mergeCell ref="D64:F64"/>
    <mergeCell ref="A54:B54"/>
    <mergeCell ref="D54:F54"/>
    <mergeCell ref="C20:F20"/>
    <mergeCell ref="C21:F21"/>
    <mergeCell ref="C22:F22"/>
    <mergeCell ref="C23:F23"/>
    <mergeCell ref="A24:F24"/>
    <mergeCell ref="A25:F25"/>
    <mergeCell ref="A45:F45"/>
    <mergeCell ref="A53:B53"/>
    <mergeCell ref="D53:F53"/>
    <mergeCell ref="E39:F43"/>
    <mergeCell ref="E38:F38"/>
    <mergeCell ref="B16:D16"/>
    <mergeCell ref="E16:F16"/>
    <mergeCell ref="B17:D17"/>
    <mergeCell ref="E17:F17"/>
    <mergeCell ref="B18:D18"/>
    <mergeCell ref="E18:F18"/>
    <mergeCell ref="B15:D15"/>
    <mergeCell ref="E15:F15"/>
    <mergeCell ref="A7:A9"/>
    <mergeCell ref="B7:B9"/>
    <mergeCell ref="C7:F7"/>
    <mergeCell ref="C8:F8"/>
    <mergeCell ref="C9:F9"/>
    <mergeCell ref="C10:F10"/>
    <mergeCell ref="A11:F11"/>
    <mergeCell ref="B13:D13"/>
    <mergeCell ref="E13:F13"/>
    <mergeCell ref="B14:D14"/>
    <mergeCell ref="E14:F14"/>
    <mergeCell ref="C3:F3"/>
    <mergeCell ref="C4:F4"/>
    <mergeCell ref="A5:A6"/>
    <mergeCell ref="B5:B6"/>
    <mergeCell ref="C5:F5"/>
    <mergeCell ref="C6:F6"/>
  </mergeCells>
  <phoneticPr fontId="3" type="noConversion"/>
  <pageMargins left="0.7" right="0.7" top="0.75" bottom="0.75" header="0.3" footer="0.3"/>
  <pageSetup paperSize="9" scale="53"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44"/>
  <sheetViews>
    <sheetView tabSelected="1" view="pageBreakPreview" zoomScale="99" zoomScaleSheetLayoutView="99" workbookViewId="0">
      <selection activeCell="K39" sqref="K39"/>
    </sheetView>
  </sheetViews>
  <sheetFormatPr defaultColWidth="9" defaultRowHeight="19.95" customHeight="1"/>
  <cols>
    <col min="1" max="1" width="18.19921875" style="1" customWidth="1"/>
    <col min="2" max="2" width="16.5" style="1" customWidth="1"/>
    <col min="3" max="3" width="10.69921875" style="1" customWidth="1"/>
    <col min="4" max="4" width="12.19921875" style="1" customWidth="1"/>
    <col min="5" max="7" width="9" style="1"/>
    <col min="8" max="8" width="14.5" style="1" customWidth="1"/>
    <col min="9" max="16384" width="9" style="1"/>
  </cols>
  <sheetData>
    <row r="1" spans="1:9" s="7" customFormat="1" ht="19.95" customHeight="1">
      <c r="A1" s="147" t="s">
        <v>203</v>
      </c>
      <c r="B1" s="148"/>
      <c r="C1" s="148"/>
      <c r="D1" s="148"/>
      <c r="E1" s="148"/>
      <c r="F1" s="148"/>
      <c r="G1" s="148"/>
      <c r="H1" s="148"/>
      <c r="I1" s="75"/>
    </row>
    <row r="2" spans="1:9" s="7" customFormat="1" ht="19.95" customHeight="1">
      <c r="A2" s="149" t="s">
        <v>189</v>
      </c>
      <c r="B2" s="150"/>
      <c r="C2" s="150"/>
      <c r="D2" s="150"/>
      <c r="E2" s="150"/>
      <c r="F2" s="150"/>
      <c r="G2" s="150"/>
      <c r="H2" s="150"/>
      <c r="I2" s="76"/>
    </row>
    <row r="3" spans="1:9" s="7" customFormat="1" ht="19.95" customHeight="1">
      <c r="A3" s="69" t="s">
        <v>204</v>
      </c>
      <c r="C3" s="10" t="s">
        <v>105</v>
      </c>
      <c r="E3" s="69" t="s">
        <v>194</v>
      </c>
      <c r="G3" s="9" t="s">
        <v>106</v>
      </c>
      <c r="H3" s="11" t="s">
        <v>170</v>
      </c>
      <c r="I3" s="11"/>
    </row>
    <row r="4" spans="1:9" s="7" customFormat="1" ht="19.95" customHeight="1">
      <c r="A4" s="10" t="s">
        <v>107</v>
      </c>
      <c r="C4" s="10" t="s">
        <v>108</v>
      </c>
      <c r="E4" s="69" t="s">
        <v>195</v>
      </c>
      <c r="G4" s="9" t="s">
        <v>109</v>
      </c>
      <c r="I4" s="8"/>
    </row>
    <row r="5" spans="1:9" ht="30" customHeight="1">
      <c r="A5" s="151" t="s">
        <v>193</v>
      </c>
      <c r="B5" s="151"/>
      <c r="C5" s="152" t="s">
        <v>206</v>
      </c>
      <c r="D5" s="122"/>
      <c r="E5" s="122"/>
      <c r="F5" s="122"/>
      <c r="G5" s="122"/>
      <c r="H5" s="122"/>
    </row>
    <row r="6" spans="1:9" ht="19.95" customHeight="1">
      <c r="A6" s="121" t="s">
        <v>110</v>
      </c>
      <c r="B6" s="121"/>
      <c r="C6" s="121"/>
      <c r="D6" s="121"/>
      <c r="E6" s="121"/>
      <c r="F6" s="121"/>
      <c r="G6" s="121"/>
      <c r="H6" s="121"/>
    </row>
    <row r="7" spans="1:9" ht="19.95" customHeight="1">
      <c r="A7" s="121" t="s">
        <v>111</v>
      </c>
      <c r="B7" s="121"/>
      <c r="C7" s="121"/>
      <c r="D7" s="121"/>
      <c r="E7" s="121"/>
      <c r="F7" s="121"/>
      <c r="G7" s="121"/>
      <c r="H7" s="121"/>
    </row>
    <row r="8" spans="1:9" ht="19.95" customHeight="1">
      <c r="A8" s="135" t="s">
        <v>112</v>
      </c>
      <c r="B8" s="135"/>
      <c r="C8" s="122" t="s">
        <v>1</v>
      </c>
      <c r="D8" s="122"/>
      <c r="E8" s="122"/>
      <c r="F8" s="122"/>
      <c r="G8" s="122"/>
      <c r="H8" s="122"/>
    </row>
    <row r="9" spans="1:9" ht="19.95" customHeight="1">
      <c r="A9" s="135" t="s">
        <v>113</v>
      </c>
      <c r="B9" s="135"/>
      <c r="C9" s="146" t="s">
        <v>114</v>
      </c>
      <c r="D9" s="122"/>
      <c r="E9" s="122"/>
      <c r="F9" s="122"/>
      <c r="G9" s="122"/>
      <c r="H9" s="122"/>
    </row>
    <row r="10" spans="1:9" ht="19.95" customHeight="1">
      <c r="A10" s="121" t="s">
        <v>115</v>
      </c>
      <c r="B10" s="121"/>
      <c r="C10" s="121"/>
      <c r="D10" s="121"/>
      <c r="E10" s="143"/>
      <c r="F10" s="121"/>
      <c r="G10" s="121"/>
      <c r="H10" s="121"/>
    </row>
    <row r="11" spans="1:9" ht="19.95" customHeight="1">
      <c r="A11" s="50" t="s">
        <v>116</v>
      </c>
      <c r="B11" s="51" t="s">
        <v>117</v>
      </c>
      <c r="C11" s="144" t="s">
        <v>118</v>
      </c>
      <c r="D11" s="144"/>
      <c r="E11" s="144" t="s">
        <v>119</v>
      </c>
      <c r="F11" s="144"/>
      <c r="G11" s="145" t="s">
        <v>120</v>
      </c>
      <c r="H11" s="145"/>
    </row>
    <row r="12" spans="1:9" ht="19.95" customHeight="1">
      <c r="A12" s="53" t="str">
        <f>C8</f>
        <v>经常性业务的税前利润</v>
      </c>
      <c r="B12" s="49"/>
      <c r="C12" s="122"/>
      <c r="D12" s="122"/>
      <c r="E12" s="122"/>
      <c r="F12" s="122"/>
      <c r="G12" s="122"/>
      <c r="H12" s="122"/>
    </row>
    <row r="13" spans="1:9" ht="19.95" customHeight="1">
      <c r="A13" s="138" t="s">
        <v>121</v>
      </c>
      <c r="B13" s="138" t="s">
        <v>122</v>
      </c>
      <c r="C13" s="138" t="s">
        <v>123</v>
      </c>
      <c r="D13" s="138"/>
      <c r="E13" s="138" t="s">
        <v>124</v>
      </c>
      <c r="F13" s="138"/>
      <c r="G13" s="138"/>
      <c r="H13" s="138"/>
      <c r="I13" s="59" t="s">
        <v>181</v>
      </c>
    </row>
    <row r="14" spans="1:9" ht="19.95" customHeight="1">
      <c r="A14" s="138"/>
      <c r="B14" s="138"/>
      <c r="C14" s="138"/>
      <c r="D14" s="138"/>
      <c r="E14" s="142"/>
      <c r="F14" s="142"/>
      <c r="G14" s="142"/>
      <c r="H14" s="142"/>
    </row>
    <row r="15" spans="1:9" ht="19.95" customHeight="1">
      <c r="A15" s="53" t="str">
        <f>C8</f>
        <v>经常性业务的税前利润</v>
      </c>
      <c r="B15" s="49" t="s">
        <v>0</v>
      </c>
      <c r="C15" s="122">
        <f>G12</f>
        <v>0</v>
      </c>
      <c r="D15" s="122"/>
      <c r="E15" s="141">
        <f>C15*E14</f>
        <v>0</v>
      </c>
      <c r="F15" s="141"/>
      <c r="G15" s="141">
        <f>C15*G14</f>
        <v>0</v>
      </c>
      <c r="H15" s="141"/>
    </row>
    <row r="16" spans="1:9" ht="19.95" customHeight="1">
      <c r="A16" s="46" t="str">
        <f>IF(B15="其他","请填写所选择的其他计算基础及依据"," ")</f>
        <v xml:space="preserve"> </v>
      </c>
      <c r="B16" s="122"/>
      <c r="C16" s="122"/>
      <c r="D16" s="122"/>
      <c r="E16" s="122"/>
      <c r="F16" s="122"/>
      <c r="G16" s="122"/>
      <c r="H16" s="122"/>
    </row>
    <row r="17" spans="1:12" ht="19.95" customHeight="1">
      <c r="A17" s="6" t="s">
        <v>125</v>
      </c>
      <c r="B17" s="3"/>
      <c r="C17" s="3"/>
      <c r="D17" s="47">
        <f>IF(C5="是",E15,G15)</f>
        <v>0</v>
      </c>
      <c r="E17" s="3"/>
      <c r="F17" s="3"/>
      <c r="G17" s="3"/>
      <c r="H17" s="3"/>
    </row>
    <row r="18" spans="1:12" ht="19.95" customHeight="1">
      <c r="A18" s="129" t="s">
        <v>126</v>
      </c>
      <c r="B18" s="130"/>
      <c r="C18" s="130"/>
      <c r="D18" s="130"/>
      <c r="E18" s="130"/>
      <c r="F18" s="130"/>
      <c r="G18" s="130"/>
      <c r="H18" s="131"/>
    </row>
    <row r="19" spans="1:12" s="5" customFormat="1" ht="19.95" customHeight="1">
      <c r="A19" s="52" t="s">
        <v>121</v>
      </c>
      <c r="B19" s="138" t="s">
        <v>127</v>
      </c>
      <c r="C19" s="138"/>
      <c r="D19" s="52" t="s">
        <v>128</v>
      </c>
      <c r="E19" s="138" t="s">
        <v>129</v>
      </c>
      <c r="F19" s="138"/>
      <c r="G19" s="138" t="s">
        <v>130</v>
      </c>
      <c r="H19" s="138"/>
    </row>
    <row r="20" spans="1:12" s="4" customFormat="1" ht="19.95" customHeight="1">
      <c r="A20" s="53" t="str">
        <f>C8</f>
        <v>经常性业务的税前利润</v>
      </c>
      <c r="B20" s="141">
        <f>C15</f>
        <v>0</v>
      </c>
      <c r="C20" s="141"/>
      <c r="D20" s="48"/>
      <c r="E20" s="141">
        <f>B20*D20</f>
        <v>0</v>
      </c>
      <c r="F20" s="141"/>
      <c r="G20" s="122"/>
      <c r="H20" s="122"/>
      <c r="I20" s="58" t="s">
        <v>171</v>
      </c>
    </row>
    <row r="21" spans="1:12" ht="19.95" customHeight="1">
      <c r="A21" s="135" t="s">
        <v>131</v>
      </c>
      <c r="B21" s="135"/>
      <c r="C21" s="135"/>
      <c r="D21" s="135"/>
      <c r="E21" s="135"/>
      <c r="F21" s="135"/>
      <c r="G21" s="135"/>
      <c r="H21" s="135"/>
    </row>
    <row r="22" spans="1:12" ht="19.95" customHeight="1">
      <c r="A22" s="129" t="s">
        <v>132</v>
      </c>
      <c r="B22" s="130"/>
      <c r="C22" s="130"/>
      <c r="D22" s="130"/>
      <c r="E22" s="130"/>
      <c r="F22" s="130"/>
      <c r="G22" s="130"/>
      <c r="H22" s="131"/>
    </row>
    <row r="23" spans="1:12" ht="19.95" customHeight="1">
      <c r="A23" s="138" t="s">
        <v>133</v>
      </c>
      <c r="B23" s="138"/>
      <c r="C23" s="139" t="s">
        <v>134</v>
      </c>
      <c r="D23" s="139"/>
      <c r="E23" s="139"/>
      <c r="F23" s="139" t="s">
        <v>135</v>
      </c>
      <c r="G23" s="139"/>
      <c r="H23" s="139"/>
    </row>
    <row r="24" spans="1:12" ht="19.95" customHeight="1">
      <c r="A24" s="140">
        <v>0.6</v>
      </c>
      <c r="B24" s="122"/>
      <c r="C24" s="141">
        <f>E20*A24</f>
        <v>0</v>
      </c>
      <c r="D24" s="141"/>
      <c r="E24" s="141"/>
      <c r="F24" s="122"/>
      <c r="G24" s="122"/>
      <c r="H24" s="122"/>
    </row>
    <row r="25" spans="1:12" ht="19.95" customHeight="1">
      <c r="A25" s="121" t="s">
        <v>136</v>
      </c>
      <c r="B25" s="121"/>
      <c r="C25" s="121"/>
      <c r="D25" s="121"/>
      <c r="E25" s="121"/>
      <c r="F25" s="121"/>
      <c r="G25" s="121"/>
      <c r="H25" s="121"/>
    </row>
    <row r="26" spans="1:12" ht="19.95" customHeight="1">
      <c r="A26" s="54" t="s">
        <v>137</v>
      </c>
      <c r="B26" s="134" t="s">
        <v>138</v>
      </c>
      <c r="C26" s="134"/>
      <c r="D26" s="134" t="s">
        <v>139</v>
      </c>
      <c r="E26" s="134"/>
      <c r="F26" s="134"/>
      <c r="G26" s="138" t="s">
        <v>140</v>
      </c>
      <c r="H26" s="138"/>
    </row>
    <row r="27" spans="1:12" ht="19.95" customHeight="1">
      <c r="A27" s="2">
        <v>0.05</v>
      </c>
      <c r="B27" s="136">
        <f>E20*A27</f>
        <v>0</v>
      </c>
      <c r="C27" s="136"/>
      <c r="D27" s="137"/>
      <c r="E27" s="137"/>
      <c r="F27" s="137"/>
      <c r="G27" s="122"/>
      <c r="H27" s="122"/>
    </row>
    <row r="28" spans="1:12" ht="19.95" customHeight="1">
      <c r="A28" s="129" t="s">
        <v>141</v>
      </c>
      <c r="B28" s="130"/>
      <c r="C28" s="130"/>
      <c r="D28" s="130"/>
      <c r="E28" s="130"/>
      <c r="F28" s="130"/>
      <c r="G28" s="130"/>
      <c r="H28" s="131"/>
    </row>
    <row r="29" spans="1:12" ht="39" customHeight="1">
      <c r="A29" s="57" t="s">
        <v>142</v>
      </c>
      <c r="B29" s="123" t="s">
        <v>143</v>
      </c>
      <c r="C29" s="125"/>
      <c r="D29" s="52" t="s">
        <v>144</v>
      </c>
      <c r="E29" s="52" t="s">
        <v>145</v>
      </c>
      <c r="F29" s="123" t="s">
        <v>146</v>
      </c>
      <c r="G29" s="125"/>
      <c r="H29" s="55" t="s">
        <v>147</v>
      </c>
    </row>
    <row r="30" spans="1:12" ht="19.95" customHeight="1">
      <c r="A30" s="56"/>
      <c r="B30" s="132"/>
      <c r="C30" s="133"/>
      <c r="D30" s="49"/>
      <c r="E30" s="49"/>
      <c r="F30" s="132"/>
      <c r="G30" s="133"/>
      <c r="H30" s="53">
        <f>D30*E30</f>
        <v>0</v>
      </c>
    </row>
    <row r="31" spans="1:12" ht="19.95" customHeight="1">
      <c r="A31" s="129" t="s">
        <v>148</v>
      </c>
      <c r="B31" s="130"/>
      <c r="C31" s="130"/>
      <c r="D31" s="130"/>
      <c r="E31" s="130"/>
      <c r="F31" s="130"/>
      <c r="G31" s="130"/>
      <c r="H31" s="131"/>
    </row>
    <row r="32" spans="1:12" ht="29.4" customHeight="1">
      <c r="A32" s="57" t="s">
        <v>142</v>
      </c>
      <c r="B32" s="52" t="s">
        <v>145</v>
      </c>
      <c r="C32" s="123" t="s">
        <v>149</v>
      </c>
      <c r="D32" s="124"/>
      <c r="E32" s="125"/>
      <c r="F32" s="123" t="s">
        <v>150</v>
      </c>
      <c r="G32" s="124"/>
      <c r="H32" s="125"/>
      <c r="L32" s="71"/>
    </row>
    <row r="33" spans="1:8" ht="19.95" customHeight="1">
      <c r="A33" s="56"/>
      <c r="B33" s="3"/>
      <c r="C33" s="122"/>
      <c r="D33" s="122"/>
      <c r="E33" s="122"/>
      <c r="F33" s="126">
        <f>H30*B33</f>
        <v>0</v>
      </c>
      <c r="G33" s="127"/>
      <c r="H33" s="128"/>
    </row>
    <row r="34" spans="1:8" ht="19.95" customHeight="1">
      <c r="A34" s="129" t="s">
        <v>151</v>
      </c>
      <c r="B34" s="130"/>
      <c r="C34" s="130"/>
      <c r="D34" s="130"/>
      <c r="E34" s="130"/>
      <c r="F34" s="130"/>
      <c r="G34" s="130"/>
      <c r="H34" s="131"/>
    </row>
    <row r="35" spans="1:8" ht="19.95" customHeight="1">
      <c r="A35" s="121" t="s">
        <v>152</v>
      </c>
      <c r="B35" s="121"/>
      <c r="C35" s="121"/>
      <c r="D35" s="121"/>
      <c r="E35" s="121"/>
      <c r="F35" s="122"/>
      <c r="G35" s="122"/>
      <c r="H35" s="122"/>
    </row>
    <row r="36" spans="1:8" ht="19.95" customHeight="1">
      <c r="A36" s="121" t="s">
        <v>212</v>
      </c>
      <c r="B36" s="121"/>
      <c r="C36" s="121"/>
      <c r="D36" s="121"/>
      <c r="E36" s="121"/>
      <c r="F36" s="121"/>
      <c r="G36" s="121"/>
      <c r="H36" s="121"/>
    </row>
    <row r="37" spans="1:8" ht="19.95" customHeight="1">
      <c r="A37" s="122"/>
      <c r="B37" s="122"/>
      <c r="C37" s="122"/>
      <c r="D37" s="122"/>
      <c r="E37" s="122"/>
      <c r="F37" s="122"/>
      <c r="G37" s="122"/>
      <c r="H37" s="122"/>
    </row>
    <row r="38" spans="1:8" ht="19.95" customHeight="1">
      <c r="A38" s="60" t="s">
        <v>182</v>
      </c>
    </row>
    <row r="39" spans="1:8" ht="19.95" customHeight="1">
      <c r="A39" s="60" t="s">
        <v>186</v>
      </c>
    </row>
    <row r="40" spans="1:8" ht="47.4" customHeight="1">
      <c r="A40" s="119" t="s">
        <v>183</v>
      </c>
      <c r="B40" s="119"/>
      <c r="C40" s="119"/>
      <c r="D40" s="119"/>
      <c r="E40" s="119"/>
      <c r="F40" s="119"/>
      <c r="G40" s="119"/>
      <c r="H40" s="119"/>
    </row>
    <row r="41" spans="1:8" ht="19.95" customHeight="1">
      <c r="A41" s="60" t="s">
        <v>184</v>
      </c>
    </row>
    <row r="42" spans="1:8" ht="57" customHeight="1">
      <c r="A42" s="120" t="s">
        <v>185</v>
      </c>
      <c r="B42" s="120"/>
      <c r="C42" s="120"/>
      <c r="D42" s="120"/>
      <c r="E42" s="120"/>
      <c r="F42" s="120"/>
      <c r="G42" s="120"/>
      <c r="H42" s="120"/>
    </row>
    <row r="43" spans="1:8" ht="19.95" customHeight="1">
      <c r="A43" s="60" t="s">
        <v>188</v>
      </c>
    </row>
    <row r="44" spans="1:8" ht="19.95" customHeight="1">
      <c r="A44" s="120" t="s">
        <v>187</v>
      </c>
      <c r="B44" s="120"/>
      <c r="C44" s="120"/>
      <c r="D44" s="120"/>
      <c r="E44" s="120"/>
      <c r="F44" s="120"/>
      <c r="G44" s="120"/>
      <c r="H44" s="120"/>
    </row>
  </sheetData>
  <mergeCells count="67">
    <mergeCell ref="A1:H1"/>
    <mergeCell ref="A2:H2"/>
    <mergeCell ref="A5:B5"/>
    <mergeCell ref="C5:H5"/>
    <mergeCell ref="A6:H6"/>
    <mergeCell ref="A7:H7"/>
    <mergeCell ref="A8:B8"/>
    <mergeCell ref="C8:H8"/>
    <mergeCell ref="A9:B9"/>
    <mergeCell ref="C9:H9"/>
    <mergeCell ref="A10:H10"/>
    <mergeCell ref="C11:D11"/>
    <mergeCell ref="E11:F11"/>
    <mergeCell ref="G11:H11"/>
    <mergeCell ref="C12:D12"/>
    <mergeCell ref="E12:F12"/>
    <mergeCell ref="G12:H12"/>
    <mergeCell ref="A13:A14"/>
    <mergeCell ref="B13:B14"/>
    <mergeCell ref="C13:D14"/>
    <mergeCell ref="E13:H13"/>
    <mergeCell ref="E14:F14"/>
    <mergeCell ref="G14:H14"/>
    <mergeCell ref="C15:D15"/>
    <mergeCell ref="E15:F15"/>
    <mergeCell ref="G15:H15"/>
    <mergeCell ref="B16:H16"/>
    <mergeCell ref="A18:H18"/>
    <mergeCell ref="B19:C19"/>
    <mergeCell ref="E19:F19"/>
    <mergeCell ref="G19:H19"/>
    <mergeCell ref="B20:C20"/>
    <mergeCell ref="E20:F20"/>
    <mergeCell ref="G20:H20"/>
    <mergeCell ref="A25:H25"/>
    <mergeCell ref="B26:C26"/>
    <mergeCell ref="D26:F26"/>
    <mergeCell ref="A34:H34"/>
    <mergeCell ref="A21:H21"/>
    <mergeCell ref="A22:H22"/>
    <mergeCell ref="B27:C27"/>
    <mergeCell ref="D27:F27"/>
    <mergeCell ref="G27:H27"/>
    <mergeCell ref="A23:B23"/>
    <mergeCell ref="C23:E23"/>
    <mergeCell ref="F23:H23"/>
    <mergeCell ref="A24:B24"/>
    <mergeCell ref="C24:E24"/>
    <mergeCell ref="F24:H24"/>
    <mergeCell ref="G26:H26"/>
    <mergeCell ref="F32:H32"/>
    <mergeCell ref="F33:H33"/>
    <mergeCell ref="C32:E32"/>
    <mergeCell ref="C33:E33"/>
    <mergeCell ref="A28:H28"/>
    <mergeCell ref="B29:C29"/>
    <mergeCell ref="F29:G29"/>
    <mergeCell ref="B30:C30"/>
    <mergeCell ref="F30:G30"/>
    <mergeCell ref="A31:H31"/>
    <mergeCell ref="A40:H40"/>
    <mergeCell ref="A42:H42"/>
    <mergeCell ref="A44:H44"/>
    <mergeCell ref="A35:E35"/>
    <mergeCell ref="F35:H35"/>
    <mergeCell ref="A36:H36"/>
    <mergeCell ref="A37:H37"/>
  </mergeCells>
  <phoneticPr fontId="3" type="noConversion"/>
  <dataValidations count="6">
    <dataValidation allowBlank="1" showDropDown="1" showInputMessage="1" showErrorMessage="1" sqref="H29:H30 A29:B30 G30 D29:F30 B33 A31:A33 B31:C32 F32:F33 D31:H31" xr:uid="{00000000-0002-0000-0200-000000000000}"/>
    <dataValidation type="decimal" allowBlank="1" showDropDown="1" showInputMessage="1" showErrorMessage="1" sqref="A27" xr:uid="{00000000-0002-0000-0200-000001000000}">
      <formula1>0</formula1>
      <formula2>0.05</formula2>
    </dataValidation>
    <dataValidation type="list" allowBlank="1" showInputMessage="1" showErrorMessage="1" sqref="C8" xr:uid="{00000000-0002-0000-0200-000002000000}">
      <formula1>"经常性业务的税前利润,营业收入总额,总资产,所有者权益,毛利,其他"</formula1>
    </dataValidation>
    <dataValidation type="list" allowBlank="1" showInputMessage="1" showErrorMessage="1" sqref="C5:H5" xr:uid="{00000000-0002-0000-0200-000003000000}">
      <formula1>"是,否"</formula1>
    </dataValidation>
    <dataValidation type="decimal" allowBlank="1" showDropDown="1" showInputMessage="1" showErrorMessage="1" sqref="A24:B24" xr:uid="{00000000-0002-0000-0200-000004000000}">
      <formula1>0.6</formula1>
      <formula2>0.75</formula2>
    </dataValidation>
    <dataValidation type="list" allowBlank="1" showInputMessage="1" showErrorMessage="1" sqref="B15" xr:uid="{00000000-0002-0000-0200-000005000000}">
      <formula1>"预测数,三年平均数,年末未审数,其他"</formula1>
    </dataValidation>
  </dataValidations>
  <printOptions horizontalCentered="1"/>
  <pageMargins left="0.74803149606299213" right="0.74803149606299213" top="0.98425196850393704" bottom="0.59055118110236227" header="0.51181102362204722" footer="0.51181102362204722"/>
  <pageSetup paperSize="9" scale="81" fitToHeight="5" orientation="portrait" blackAndWhite="1" horizontalDpi="1200" verticalDpi="1200" r:id="rId1"/>
  <headerFooter alignWithMargins="0"/>
  <rowBreaks count="1" manualBreakCount="1">
    <brk id="37" max="7"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准则及应用指南的相关规定</vt:lpstr>
      <vt:lpstr>填表说明</vt:lpstr>
      <vt:lpstr>B15 重要性计算表</vt:lpstr>
      <vt:lpstr>'B15 重要性计算表'!Print_Area</vt:lpstr>
      <vt:lpstr>'B15 重要性计算表'!Print_Titles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2009-08-20T16:16:18Z</cp:lastPrinted>
  <dcterms:created xsi:type="dcterms:W3CDTF">2013-12-18T03:37:32Z</dcterms:created>
  <dcterms:modified xsi:type="dcterms:W3CDTF">2025-10-23T05:35:18Z</dcterms:modified>
</cp:coreProperties>
</file>