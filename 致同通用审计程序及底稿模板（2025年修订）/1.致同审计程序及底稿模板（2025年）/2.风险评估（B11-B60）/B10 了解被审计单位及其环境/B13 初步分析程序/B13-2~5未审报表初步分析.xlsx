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致同通用审计程序及底稿模板\1.致同审计程序及底稿模板（2025年）\2.风险评估（B11-B60）\B10 了解被审计单位及其环境\B13 初步分析程序\"/>
    </mc:Choice>
  </mc:AlternateContent>
  <bookViews>
    <workbookView xWindow="-108" yWindow="-108" windowWidth="23256" windowHeight="12576" tabRatio="747" firstSheet="2" activeTab="2"/>
  </bookViews>
  <sheets>
    <sheet name="底稿目录" sheetId="16" r:id="rId1"/>
    <sheet name="未审资产负债横向分析B13-2-1" sheetId="10" r:id="rId2"/>
    <sheet name="未审资产负债纵向分析B13-2-2" sheetId="11" r:id="rId3"/>
    <sheet name="未审利润横向分析B13-3-1" sheetId="12" r:id="rId4"/>
    <sheet name="未审利润纵向分析B13-3-2" sheetId="13" r:id="rId5"/>
    <sheet name="未审报表比率分析B13-4" sheetId="14" r:id="rId6"/>
    <sheet name="同行业对比分析B13-5" sheetId="15" r:id="rId7"/>
    <sheet name="GT_Custom" sheetId="9" state="hidden" r:id="rId8"/>
  </sheets>
  <definedNames>
    <definedName name="_xlnm.Print_Area" localSheetId="5">'未审报表比率分析B13-4'!$A$1:$J$46</definedName>
    <definedName name="_xlnm.Print_Area" localSheetId="4">'未审利润纵向分析B13-3-2'!$A$1:$I$80</definedName>
    <definedName name="_xlnm.Print_Area" localSheetId="1">'未审资产负债横向分析B13-2-1'!$A$1:$P$55</definedName>
    <definedName name="_xlnm.Print_Area" localSheetId="2">'未审资产负债纵向分析B13-2-2'!$A$1:$R$55</definedName>
    <definedName name="_xlnm.Print_Titles" localSheetId="5">'未审报表比率分析B13-4'!$1:$5</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2" i="11" l="1"/>
  <c r="L54" i="11"/>
  <c r="L40" i="11"/>
  <c r="L39" i="11"/>
  <c r="B55" i="10" l="1"/>
  <c r="A2" i="15"/>
  <c r="F3" i="15"/>
  <c r="F2" i="15"/>
  <c r="D3" i="15"/>
  <c r="D2" i="15"/>
  <c r="A3" i="15"/>
  <c r="G8" i="14"/>
  <c r="F8" i="14"/>
  <c r="A3" i="12" l="1"/>
  <c r="F8" i="10"/>
  <c r="F9" i="10"/>
  <c r="F10" i="10"/>
  <c r="F11" i="10"/>
  <c r="F12" i="10"/>
  <c r="D26" i="10"/>
  <c r="M8" i="10" l="1"/>
  <c r="F3" i="10"/>
  <c r="F2" i="10"/>
  <c r="D3" i="10"/>
  <c r="D2" i="10"/>
  <c r="A3" i="10"/>
  <c r="A2" i="10"/>
  <c r="D4" i="16"/>
  <c r="D5" i="16" s="1"/>
  <c r="D6" i="16" s="1"/>
  <c r="D7" i="16" s="1"/>
  <c r="D8" i="16" s="1"/>
  <c r="K52" i="10" l="1"/>
  <c r="N52" i="11"/>
  <c r="L52" i="10" l="1"/>
  <c r="L39" i="10"/>
  <c r="M39" i="10" s="1"/>
  <c r="K39" i="10"/>
  <c r="K26" i="10"/>
  <c r="N32" i="10"/>
  <c r="N31" i="10"/>
  <c r="M31" i="10"/>
  <c r="N15" i="10"/>
  <c r="O15" i="10" s="1"/>
  <c r="M15" i="10"/>
  <c r="N43" i="10"/>
  <c r="O43" i="10" s="1"/>
  <c r="M43" i="10"/>
  <c r="F42" i="10"/>
  <c r="G42" i="10" s="1"/>
  <c r="E42" i="10"/>
  <c r="C26" i="10"/>
  <c r="N23" i="10"/>
  <c r="O23" i="10" s="1"/>
  <c r="M23" i="10"/>
  <c r="F22" i="10"/>
  <c r="G22" i="10" s="1"/>
  <c r="E22" i="10"/>
  <c r="K40" i="10" l="1"/>
  <c r="N39" i="10"/>
  <c r="E31" i="14"/>
  <c r="E30" i="14"/>
  <c r="E27" i="14"/>
  <c r="E26" i="14"/>
  <c r="E25" i="14"/>
  <c r="E24" i="14"/>
  <c r="E23" i="14"/>
  <c r="E22" i="14"/>
  <c r="E21" i="14"/>
  <c r="E19" i="14"/>
  <c r="E18" i="14"/>
  <c r="E17" i="14"/>
  <c r="E15" i="14"/>
  <c r="E14" i="14"/>
  <c r="E13" i="14"/>
  <c r="E12" i="14"/>
  <c r="E11" i="14"/>
  <c r="E10" i="14"/>
  <c r="E9" i="14"/>
  <c r="E8" i="14"/>
  <c r="E7" i="14"/>
  <c r="G14" i="14"/>
  <c r="G42" i="13"/>
  <c r="H42" i="13" s="1"/>
  <c r="G43" i="13"/>
  <c r="H43" i="13" s="1"/>
  <c r="G44" i="13"/>
  <c r="H44" i="13" s="1"/>
  <c r="G45" i="13"/>
  <c r="H45" i="13" s="1"/>
  <c r="G46" i="13"/>
  <c r="H46" i="13" s="1"/>
  <c r="G47" i="13"/>
  <c r="H47" i="13" s="1"/>
  <c r="G48" i="13"/>
  <c r="H48" i="13" s="1"/>
  <c r="G49" i="13"/>
  <c r="H49" i="13" s="1"/>
  <c r="G50" i="13"/>
  <c r="H50" i="13" s="1"/>
  <c r="G51" i="13"/>
  <c r="H51" i="13" s="1"/>
  <c r="G52" i="13"/>
  <c r="H52" i="13" s="1"/>
  <c r="G53" i="13"/>
  <c r="H53" i="13" s="1"/>
  <c r="G54" i="13"/>
  <c r="H54" i="13" s="1"/>
  <c r="G55" i="13"/>
  <c r="H55" i="13" s="1"/>
  <c r="G56" i="13"/>
  <c r="H56" i="13" s="1"/>
  <c r="G57" i="13"/>
  <c r="H57" i="13" s="1"/>
  <c r="G58" i="13"/>
  <c r="H58" i="13" s="1"/>
  <c r="G59" i="13"/>
  <c r="H59" i="13"/>
  <c r="G60" i="13"/>
  <c r="H60" i="13" s="1"/>
  <c r="G61" i="13"/>
  <c r="H61" i="13" s="1"/>
  <c r="G62" i="13"/>
  <c r="H62" i="13" s="1"/>
  <c r="G63" i="13"/>
  <c r="H63" i="13" s="1"/>
  <c r="G64" i="13"/>
  <c r="H64" i="13" s="1"/>
  <c r="G65" i="13"/>
  <c r="H65" i="13" s="1"/>
  <c r="G66" i="13"/>
  <c r="H66" i="13" s="1"/>
  <c r="G69" i="13"/>
  <c r="H69" i="13" s="1"/>
  <c r="F41" i="13"/>
  <c r="E30" i="13"/>
  <c r="E33" i="13" s="1"/>
  <c r="E35" i="13" s="1"/>
  <c r="C30" i="13"/>
  <c r="C33" i="13" s="1"/>
  <c r="C35" i="13" s="1"/>
  <c r="F9" i="13"/>
  <c r="F10" i="13"/>
  <c r="F11" i="13"/>
  <c r="F12" i="13"/>
  <c r="F13" i="13"/>
  <c r="F14" i="13"/>
  <c r="F15" i="13"/>
  <c r="F16" i="13"/>
  <c r="F17" i="13"/>
  <c r="F18" i="13"/>
  <c r="F19" i="13"/>
  <c r="F20" i="13"/>
  <c r="F21" i="13"/>
  <c r="F22" i="13"/>
  <c r="F23" i="13"/>
  <c r="F24" i="13"/>
  <c r="F25" i="13"/>
  <c r="F26" i="13"/>
  <c r="F27" i="13"/>
  <c r="F28" i="13"/>
  <c r="F29" i="13"/>
  <c r="D9" i="13"/>
  <c r="D10" i="13"/>
  <c r="D11" i="13"/>
  <c r="G11" i="13" s="1"/>
  <c r="H11" i="13" s="1"/>
  <c r="D12" i="13"/>
  <c r="D13" i="13"/>
  <c r="D14" i="13"/>
  <c r="D15" i="13"/>
  <c r="D16" i="13"/>
  <c r="D17" i="13"/>
  <c r="D18" i="13"/>
  <c r="D19" i="13"/>
  <c r="G19" i="13" s="1"/>
  <c r="H19" i="13" s="1"/>
  <c r="D20" i="13"/>
  <c r="D21" i="13"/>
  <c r="D22" i="13"/>
  <c r="D23" i="13"/>
  <c r="D24" i="13"/>
  <c r="D25" i="13"/>
  <c r="D26" i="13"/>
  <c r="D27" i="13"/>
  <c r="G27" i="13" s="1"/>
  <c r="H27" i="13" s="1"/>
  <c r="D28" i="13"/>
  <c r="D29" i="13"/>
  <c r="F7" i="13"/>
  <c r="D7" i="13"/>
  <c r="G7" i="13" s="1"/>
  <c r="H7" i="13" s="1"/>
  <c r="B8" i="13"/>
  <c r="B9" i="13" s="1"/>
  <c r="B10" i="13" s="1"/>
  <c r="B11" i="13" s="1"/>
  <c r="B12" i="13" s="1"/>
  <c r="B13" i="13" s="1"/>
  <c r="B14" i="13" s="1"/>
  <c r="B15" i="13" s="1"/>
  <c r="B16" i="13" s="1"/>
  <c r="B17" i="13" s="1"/>
  <c r="B18" i="13" s="1"/>
  <c r="B19" i="13" s="1"/>
  <c r="B20" i="13" s="1"/>
  <c r="B21" i="13" s="1"/>
  <c r="B22" i="13" s="1"/>
  <c r="B23" i="13" s="1"/>
  <c r="B24" i="13" s="1"/>
  <c r="B25" i="13" s="1"/>
  <c r="B26" i="13" s="1"/>
  <c r="B27" i="13" s="1"/>
  <c r="B28" i="13" s="1"/>
  <c r="B29" i="13" s="1"/>
  <c r="B30" i="13" s="1"/>
  <c r="B31" i="13" s="1"/>
  <c r="B32" i="13" s="1"/>
  <c r="B33" i="13" s="1"/>
  <c r="B34" i="13" s="1"/>
  <c r="B35" i="13" s="1"/>
  <c r="B36" i="13" s="1"/>
  <c r="B37" i="13" s="1"/>
  <c r="B38" i="13" s="1"/>
  <c r="B39" i="13" s="1"/>
  <c r="B40" i="13" s="1"/>
  <c r="B41" i="13" s="1"/>
  <c r="B42" i="13" s="1"/>
  <c r="B43" i="13" s="1"/>
  <c r="B44" i="13" s="1"/>
  <c r="B45" i="13" s="1"/>
  <c r="B46" i="13" s="1"/>
  <c r="B47" i="13" s="1"/>
  <c r="B48" i="13" s="1"/>
  <c r="B49" i="13" s="1"/>
  <c r="B50" i="13" s="1"/>
  <c r="B51" i="13" s="1"/>
  <c r="B52" i="13" s="1"/>
  <c r="B53" i="13" s="1"/>
  <c r="B54" i="13" s="1"/>
  <c r="B55" i="13" s="1"/>
  <c r="B56" i="13" s="1"/>
  <c r="B57" i="13" s="1"/>
  <c r="B58" i="13" s="1"/>
  <c r="B59" i="13" s="1"/>
  <c r="B60" i="13" s="1"/>
  <c r="B61" i="13" s="1"/>
  <c r="B62" i="13" s="1"/>
  <c r="B63" i="13" s="1"/>
  <c r="B64" i="13" s="1"/>
  <c r="B65" i="13" s="1"/>
  <c r="B66" i="13" s="1"/>
  <c r="B67" i="13" s="1"/>
  <c r="B68" i="13" s="1"/>
  <c r="B69" i="13" s="1"/>
  <c r="B70" i="13" s="1"/>
  <c r="B71" i="13" s="1"/>
  <c r="B72" i="13" s="1"/>
  <c r="B73" i="13" s="1"/>
  <c r="B74" i="13" s="1"/>
  <c r="B75" i="13" s="1"/>
  <c r="B76" i="13" s="1"/>
  <c r="B77" i="13" s="1"/>
  <c r="B78" i="13" s="1"/>
  <c r="B79" i="13" s="1"/>
  <c r="B80" i="13" s="1"/>
  <c r="E56" i="13"/>
  <c r="E54" i="13"/>
  <c r="E52" i="13"/>
  <c r="E48" i="13"/>
  <c r="E47" i="13"/>
  <c r="F79" i="12"/>
  <c r="G79" i="12" s="1"/>
  <c r="E60" i="12"/>
  <c r="F60" i="12"/>
  <c r="G60" i="12" s="1"/>
  <c r="E61" i="12"/>
  <c r="F61" i="12"/>
  <c r="G61" i="12" s="1"/>
  <c r="E62" i="12"/>
  <c r="F62" i="12"/>
  <c r="G62" i="12" s="1"/>
  <c r="E63" i="12"/>
  <c r="F63" i="12"/>
  <c r="G63" i="12" s="1"/>
  <c r="E64" i="12"/>
  <c r="F64" i="12"/>
  <c r="G64" i="12" s="1"/>
  <c r="E65" i="12"/>
  <c r="F65" i="12"/>
  <c r="G65" i="12" s="1"/>
  <c r="E66" i="12"/>
  <c r="F66" i="12"/>
  <c r="G66" i="12" s="1"/>
  <c r="E67" i="12"/>
  <c r="F67" i="12"/>
  <c r="G67" i="12" s="1"/>
  <c r="E68" i="12"/>
  <c r="F68" i="12"/>
  <c r="G68" i="12" s="1"/>
  <c r="E69" i="12"/>
  <c r="F69" i="12"/>
  <c r="G69" i="12"/>
  <c r="E70" i="12"/>
  <c r="F70" i="12"/>
  <c r="G70" i="12" s="1"/>
  <c r="E71" i="12"/>
  <c r="F71" i="12"/>
  <c r="G71" i="12" s="1"/>
  <c r="E72" i="12"/>
  <c r="F72" i="12"/>
  <c r="G72" i="12" s="1"/>
  <c r="E73" i="12"/>
  <c r="F73" i="12"/>
  <c r="G73" i="12" s="1"/>
  <c r="E74" i="12"/>
  <c r="F74" i="12"/>
  <c r="G74" i="12" s="1"/>
  <c r="E75" i="12"/>
  <c r="F75" i="12"/>
  <c r="G75" i="12" s="1"/>
  <c r="E76" i="12"/>
  <c r="F76" i="12"/>
  <c r="G76" i="12" s="1"/>
  <c r="E77" i="12"/>
  <c r="F77" i="12"/>
  <c r="G77" i="12" s="1"/>
  <c r="E78" i="12"/>
  <c r="F78" i="12"/>
  <c r="G78" i="12" s="1"/>
  <c r="E21" i="12"/>
  <c r="F21" i="12"/>
  <c r="G21" i="12" s="1"/>
  <c r="E22" i="12"/>
  <c r="F22" i="12"/>
  <c r="G22" i="12" s="1"/>
  <c r="E23" i="12"/>
  <c r="F23" i="12"/>
  <c r="G23" i="12" s="1"/>
  <c r="E24" i="12"/>
  <c r="F24" i="12"/>
  <c r="G24" i="12" s="1"/>
  <c r="E25" i="12"/>
  <c r="F25" i="12"/>
  <c r="G25" i="12" s="1"/>
  <c r="E26" i="12"/>
  <c r="F26" i="12"/>
  <c r="G26" i="12" s="1"/>
  <c r="E27" i="12"/>
  <c r="F27" i="12"/>
  <c r="G27" i="12" s="1"/>
  <c r="E28" i="12"/>
  <c r="F28" i="12"/>
  <c r="G28" i="12" s="1"/>
  <c r="E29" i="12"/>
  <c r="F29" i="12"/>
  <c r="G29" i="12" s="1"/>
  <c r="E31" i="12"/>
  <c r="F31" i="12"/>
  <c r="G31" i="12" s="1"/>
  <c r="E32" i="12"/>
  <c r="F32" i="12"/>
  <c r="G32" i="12" s="1"/>
  <c r="E34" i="12"/>
  <c r="F34" i="12"/>
  <c r="G34" i="12" s="1"/>
  <c r="E36" i="12"/>
  <c r="F36" i="12"/>
  <c r="G36" i="12" s="1"/>
  <c r="E37" i="12"/>
  <c r="F37" i="12"/>
  <c r="G37" i="12" s="1"/>
  <c r="E38" i="12"/>
  <c r="F38" i="12"/>
  <c r="G38" i="12" s="1"/>
  <c r="E39" i="12"/>
  <c r="F39" i="12"/>
  <c r="G39" i="12" s="1"/>
  <c r="E40" i="12"/>
  <c r="F40" i="12"/>
  <c r="G40" i="12" s="1"/>
  <c r="E41" i="12"/>
  <c r="F41" i="12"/>
  <c r="G41" i="12" s="1"/>
  <c r="E42" i="12"/>
  <c r="F42" i="12"/>
  <c r="G42" i="12" s="1"/>
  <c r="E43" i="12"/>
  <c r="F43" i="12"/>
  <c r="G43" i="12" s="1"/>
  <c r="E44" i="12"/>
  <c r="F44" i="12"/>
  <c r="G44" i="12" s="1"/>
  <c r="E45" i="12"/>
  <c r="F45" i="12"/>
  <c r="G45" i="12" s="1"/>
  <c r="E46" i="12"/>
  <c r="F46" i="12"/>
  <c r="G46" i="12" s="1"/>
  <c r="E47" i="12"/>
  <c r="F47" i="12"/>
  <c r="G47" i="12" s="1"/>
  <c r="E48" i="12"/>
  <c r="F48" i="12"/>
  <c r="G48" i="12" s="1"/>
  <c r="E49" i="12"/>
  <c r="F49" i="12"/>
  <c r="G49" i="12" s="1"/>
  <c r="E50" i="12"/>
  <c r="F50" i="12"/>
  <c r="G50" i="12" s="1"/>
  <c r="E51" i="12"/>
  <c r="F51" i="12"/>
  <c r="G51" i="12" s="1"/>
  <c r="E52" i="12"/>
  <c r="F52" i="12"/>
  <c r="G52" i="12" s="1"/>
  <c r="E53" i="12"/>
  <c r="F53" i="12"/>
  <c r="G53" i="12" s="1"/>
  <c r="E54" i="12"/>
  <c r="F54" i="12"/>
  <c r="G54" i="12" s="1"/>
  <c r="E55" i="12"/>
  <c r="F55" i="12"/>
  <c r="G55" i="12" s="1"/>
  <c r="E56" i="12"/>
  <c r="F56" i="12"/>
  <c r="G56" i="12" s="1"/>
  <c r="E57" i="12"/>
  <c r="F57" i="12"/>
  <c r="G57" i="12" s="1"/>
  <c r="E58" i="12"/>
  <c r="F58" i="12"/>
  <c r="G58" i="12" s="1"/>
  <c r="E59" i="12"/>
  <c r="F59" i="12"/>
  <c r="G59" i="12" s="1"/>
  <c r="E9" i="12"/>
  <c r="F9" i="12"/>
  <c r="E10" i="12"/>
  <c r="F10" i="12"/>
  <c r="E11" i="12"/>
  <c r="F11" i="12"/>
  <c r="E12" i="12"/>
  <c r="F12" i="12"/>
  <c r="E13" i="12"/>
  <c r="F13" i="12"/>
  <c r="E14" i="12"/>
  <c r="F14" i="12"/>
  <c r="E15" i="12"/>
  <c r="F15" i="12"/>
  <c r="E16" i="12"/>
  <c r="F16" i="12"/>
  <c r="E17" i="12"/>
  <c r="F17" i="12"/>
  <c r="E18" i="12"/>
  <c r="F18" i="12"/>
  <c r="E19" i="12"/>
  <c r="F19" i="12"/>
  <c r="E20" i="12"/>
  <c r="F20" i="12"/>
  <c r="F8" i="12"/>
  <c r="F7" i="12"/>
  <c r="C80" i="12"/>
  <c r="D30" i="12"/>
  <c r="C30" i="12"/>
  <c r="F30" i="12" s="1"/>
  <c r="G30" i="12" s="1"/>
  <c r="B8" i="12"/>
  <c r="B9" i="12" s="1"/>
  <c r="B10" i="12" s="1"/>
  <c r="B11" i="12" s="1"/>
  <c r="B12" i="12" s="1"/>
  <c r="B13" i="12" s="1"/>
  <c r="B14" i="12" s="1"/>
  <c r="B15" i="12" s="1"/>
  <c r="B16" i="12" s="1"/>
  <c r="B17" i="12" s="1"/>
  <c r="B18" i="12" s="1"/>
  <c r="B19" i="12" s="1"/>
  <c r="B20" i="12" s="1"/>
  <c r="B21" i="12" s="1"/>
  <c r="B22" i="12" s="1"/>
  <c r="B23" i="12" s="1"/>
  <c r="B24" i="12" s="1"/>
  <c r="B25" i="12" s="1"/>
  <c r="B26" i="12" s="1"/>
  <c r="B27" i="12" s="1"/>
  <c r="B28" i="12" s="1"/>
  <c r="B29" i="12" s="1"/>
  <c r="B30" i="12" s="1"/>
  <c r="B31" i="12" s="1"/>
  <c r="B32" i="12" s="1"/>
  <c r="B33" i="12" s="1"/>
  <c r="B34" i="12" s="1"/>
  <c r="B35" i="12" s="1"/>
  <c r="B36" i="12" s="1"/>
  <c r="B37" i="12" s="1"/>
  <c r="B38" i="12" s="1"/>
  <c r="B39" i="12" s="1"/>
  <c r="B40" i="12" s="1"/>
  <c r="B41" i="12" s="1"/>
  <c r="B42" i="12" s="1"/>
  <c r="B43" i="12" s="1"/>
  <c r="B44" i="12" s="1"/>
  <c r="B45" i="12" s="1"/>
  <c r="B46" i="12" s="1"/>
  <c r="B47" i="12" s="1"/>
  <c r="B48" i="12" s="1"/>
  <c r="B49" i="12" s="1"/>
  <c r="B50" i="12" s="1"/>
  <c r="B51" i="12" s="1"/>
  <c r="B52" i="12" s="1"/>
  <c r="B53" i="12" s="1"/>
  <c r="B54" i="12" s="1"/>
  <c r="B55" i="12" s="1"/>
  <c r="B56" i="12" s="1"/>
  <c r="B57" i="12" s="1"/>
  <c r="B58" i="12" s="1"/>
  <c r="B59" i="12" s="1"/>
  <c r="B60" i="12" s="1"/>
  <c r="B61" i="12" s="1"/>
  <c r="B62" i="12" s="1"/>
  <c r="B63" i="12" s="1"/>
  <c r="B64" i="12" s="1"/>
  <c r="B65" i="12" s="1"/>
  <c r="B66" i="12" s="1"/>
  <c r="B67" i="12" s="1"/>
  <c r="B68" i="12" s="1"/>
  <c r="B69" i="12" s="1"/>
  <c r="B70" i="12" s="1"/>
  <c r="B71" i="12" s="1"/>
  <c r="B72" i="12" s="1"/>
  <c r="B73" i="12" s="1"/>
  <c r="B74" i="12" s="1"/>
  <c r="B75" i="12" s="1"/>
  <c r="B76" i="12" s="1"/>
  <c r="B77" i="12" s="1"/>
  <c r="B78" i="12" s="1"/>
  <c r="E26" i="11"/>
  <c r="C26" i="11"/>
  <c r="N26" i="11"/>
  <c r="L26" i="11"/>
  <c r="E54" i="11"/>
  <c r="C54" i="11"/>
  <c r="N53" i="10"/>
  <c r="O53" i="10" s="1"/>
  <c r="N51" i="10"/>
  <c r="O51" i="10" s="1"/>
  <c r="N50" i="10"/>
  <c r="O50" i="10" s="1"/>
  <c r="N49" i="10"/>
  <c r="O49" i="10" s="1"/>
  <c r="N48" i="10"/>
  <c r="O48" i="10" s="1"/>
  <c r="N47" i="10"/>
  <c r="O47" i="10" s="1"/>
  <c r="N46" i="10"/>
  <c r="O46" i="10" s="1"/>
  <c r="N45" i="10"/>
  <c r="O45" i="10" s="1"/>
  <c r="N44" i="10"/>
  <c r="O44" i="10" s="1"/>
  <c r="N42" i="10"/>
  <c r="O42" i="10" s="1"/>
  <c r="M44" i="10"/>
  <c r="M42" i="10"/>
  <c r="M45" i="10"/>
  <c r="M46" i="10"/>
  <c r="M53" i="10"/>
  <c r="C54" i="10"/>
  <c r="M47" i="10"/>
  <c r="M48" i="10"/>
  <c r="M49" i="10"/>
  <c r="M50" i="10"/>
  <c r="M51" i="10"/>
  <c r="N38" i="10"/>
  <c r="N37" i="10"/>
  <c r="N33" i="10"/>
  <c r="N34" i="10"/>
  <c r="N35" i="10"/>
  <c r="N36" i="10"/>
  <c r="N29" i="10"/>
  <c r="N28" i="10"/>
  <c r="M38" i="10"/>
  <c r="M37" i="10"/>
  <c r="M32" i="10"/>
  <c r="M33" i="10"/>
  <c r="M34" i="10"/>
  <c r="M35" i="10"/>
  <c r="M36" i="10"/>
  <c r="M29" i="10"/>
  <c r="M28" i="10"/>
  <c r="N9" i="10"/>
  <c r="O9" i="10" s="1"/>
  <c r="N10" i="10"/>
  <c r="O10" i="10" s="1"/>
  <c r="N11" i="10"/>
  <c r="O11" i="10" s="1"/>
  <c r="N12" i="10"/>
  <c r="O12" i="10" s="1"/>
  <c r="N13" i="10"/>
  <c r="O13" i="10" s="1"/>
  <c r="N14" i="10"/>
  <c r="O14" i="10" s="1"/>
  <c r="N16" i="10"/>
  <c r="O16" i="10" s="1"/>
  <c r="N17" i="10"/>
  <c r="O17" i="10" s="1"/>
  <c r="N18" i="10"/>
  <c r="O18" i="10" s="1"/>
  <c r="N19" i="10"/>
  <c r="O19" i="10" s="1"/>
  <c r="N20" i="10"/>
  <c r="O20" i="10" s="1"/>
  <c r="N21" i="10"/>
  <c r="O21" i="10" s="1"/>
  <c r="N22" i="10"/>
  <c r="O22" i="10" s="1"/>
  <c r="N24" i="10"/>
  <c r="O24" i="10" s="1"/>
  <c r="N8" i="10"/>
  <c r="M9" i="10"/>
  <c r="M10" i="10"/>
  <c r="M11" i="10"/>
  <c r="M12" i="10"/>
  <c r="M13" i="10"/>
  <c r="M14" i="10"/>
  <c r="M16" i="10"/>
  <c r="M17" i="10"/>
  <c r="M18" i="10"/>
  <c r="M19" i="10"/>
  <c r="M20" i="10"/>
  <c r="M21" i="10"/>
  <c r="M22" i="10"/>
  <c r="M24" i="10"/>
  <c r="L26" i="10"/>
  <c r="L40" i="10" s="1"/>
  <c r="G26" i="13" l="1"/>
  <c r="H26" i="13" s="1"/>
  <c r="G18" i="13"/>
  <c r="H18" i="13" s="1"/>
  <c r="G10" i="13"/>
  <c r="H10" i="13" s="1"/>
  <c r="G25" i="13"/>
  <c r="H25" i="13" s="1"/>
  <c r="G17" i="13"/>
  <c r="H17" i="13" s="1"/>
  <c r="G9" i="13"/>
  <c r="H9" i="13" s="1"/>
  <c r="G24" i="13"/>
  <c r="H24" i="13" s="1"/>
  <c r="G16" i="13"/>
  <c r="H16" i="13" s="1"/>
  <c r="G15" i="13"/>
  <c r="H15" i="13" s="1"/>
  <c r="G23" i="13"/>
  <c r="H23" i="13" s="1"/>
  <c r="G22" i="13"/>
  <c r="H22" i="13" s="1"/>
  <c r="G14" i="13"/>
  <c r="H14" i="13" s="1"/>
  <c r="G29" i="13"/>
  <c r="H29" i="13" s="1"/>
  <c r="G21" i="13"/>
  <c r="H21" i="13" s="1"/>
  <c r="G13" i="13"/>
  <c r="H13" i="13" s="1"/>
  <c r="G28" i="13"/>
  <c r="H28" i="13" s="1"/>
  <c r="G20" i="13"/>
  <c r="H20" i="13" s="1"/>
  <c r="G12" i="13"/>
  <c r="H12" i="13" s="1"/>
  <c r="E30" i="12"/>
  <c r="C33" i="12"/>
  <c r="C35" i="12" s="1"/>
  <c r="N52" i="10"/>
  <c r="O52" i="10" s="1"/>
  <c r="K54" i="10"/>
  <c r="M52" i="10"/>
  <c r="C55" i="11"/>
  <c r="D42" i="11" s="1"/>
  <c r="E55" i="11"/>
  <c r="F42" i="11" s="1"/>
  <c r="M26" i="10"/>
  <c r="N26" i="10"/>
  <c r="O26" i="10" s="1"/>
  <c r="F36" i="10"/>
  <c r="G36" i="10" s="1"/>
  <c r="F35" i="10"/>
  <c r="G35" i="10" s="1"/>
  <c r="E35" i="10"/>
  <c r="E50" i="10"/>
  <c r="F50" i="10"/>
  <c r="G50" i="10" s="1"/>
  <c r="E51" i="10"/>
  <c r="F51" i="10"/>
  <c r="G51" i="10" s="1"/>
  <c r="E52" i="10"/>
  <c r="F52" i="10"/>
  <c r="G52" i="10" s="1"/>
  <c r="E53" i="10"/>
  <c r="F53" i="10"/>
  <c r="G53" i="10" s="1"/>
  <c r="E45" i="10"/>
  <c r="F45" i="10"/>
  <c r="G45" i="10" s="1"/>
  <c r="E46" i="10"/>
  <c r="F46" i="10"/>
  <c r="G46" i="10" s="1"/>
  <c r="E47" i="10"/>
  <c r="F47" i="10"/>
  <c r="G47" i="10" s="1"/>
  <c r="F33" i="10"/>
  <c r="G33" i="10" s="1"/>
  <c r="E33" i="10"/>
  <c r="E32" i="10"/>
  <c r="E31" i="10"/>
  <c r="E30" i="10"/>
  <c r="E29" i="10"/>
  <c r="E28" i="10"/>
  <c r="D54" i="10"/>
  <c r="F28" i="10"/>
  <c r="G28" i="10" s="1"/>
  <c r="F25" i="10"/>
  <c r="G25" i="10" s="1"/>
  <c r="F24" i="10"/>
  <c r="G24" i="10" s="1"/>
  <c r="F23" i="10"/>
  <c r="G23" i="10" s="1"/>
  <c r="F21" i="10"/>
  <c r="G21" i="10" s="1"/>
  <c r="F20" i="10"/>
  <c r="G20" i="10" s="1"/>
  <c r="F19" i="10"/>
  <c r="G19" i="10" s="1"/>
  <c r="F18" i="10"/>
  <c r="G18" i="10" s="1"/>
  <c r="F17" i="10"/>
  <c r="G17" i="10" s="1"/>
  <c r="F16" i="10"/>
  <c r="G16" i="10" s="1"/>
  <c r="F15" i="10"/>
  <c r="G15" i="10" s="1"/>
  <c r="F14" i="10"/>
  <c r="G14" i="10" s="1"/>
  <c r="F13" i="10"/>
  <c r="G13" i="10" s="1"/>
  <c r="G12" i="10"/>
  <c r="G11" i="10"/>
  <c r="G9" i="10"/>
  <c r="G8" i="10"/>
  <c r="F26" i="10"/>
  <c r="G26" i="10" s="1"/>
  <c r="E8" i="10"/>
  <c r="E25" i="10"/>
  <c r="E9" i="10"/>
  <c r="E10" i="10"/>
  <c r="E11" i="10"/>
  <c r="E12" i="10"/>
  <c r="E13" i="10"/>
  <c r="E14" i="10"/>
  <c r="E15" i="10"/>
  <c r="E16" i="10"/>
  <c r="E17" i="10"/>
  <c r="E18" i="10"/>
  <c r="E19" i="10"/>
  <c r="E20" i="10"/>
  <c r="E21" i="10"/>
  <c r="E23" i="10"/>
  <c r="E36" i="10"/>
  <c r="F30" i="10"/>
  <c r="G30" i="10" s="1"/>
  <c r="F31" i="10"/>
  <c r="G31" i="10" s="1"/>
  <c r="O29" i="10"/>
  <c r="O28" i="10"/>
  <c r="G42" i="11" l="1"/>
  <c r="H42" i="11" s="1"/>
  <c r="D26" i="11"/>
  <c r="F22" i="11"/>
  <c r="F48" i="11"/>
  <c r="F39" i="11"/>
  <c r="F31" i="11"/>
  <c r="F13" i="11"/>
  <c r="F21" i="11"/>
  <c r="F51" i="11"/>
  <c r="F18" i="11"/>
  <c r="F41" i="11"/>
  <c r="F55" i="11"/>
  <c r="F47" i="11"/>
  <c r="F38" i="11"/>
  <c r="F30" i="11"/>
  <c r="F14" i="11"/>
  <c r="F23" i="11"/>
  <c r="F54" i="11"/>
  <c r="F46" i="11"/>
  <c r="F37" i="11"/>
  <c r="F29" i="11"/>
  <c r="F15" i="11"/>
  <c r="F24" i="11"/>
  <c r="F8" i="11"/>
  <c r="F11" i="11"/>
  <c r="F53" i="11"/>
  <c r="F45" i="11"/>
  <c r="F36" i="11"/>
  <c r="F28" i="11"/>
  <c r="F16" i="11"/>
  <c r="F10" i="11"/>
  <c r="F43" i="11"/>
  <c r="F52" i="11"/>
  <c r="F44" i="11"/>
  <c r="F35" i="11"/>
  <c r="F17" i="11"/>
  <c r="F9" i="11"/>
  <c r="F34" i="11"/>
  <c r="F50" i="11"/>
  <c r="F19" i="11"/>
  <c r="F49" i="11"/>
  <c r="F40" i="11"/>
  <c r="F32" i="11"/>
  <c r="F12" i="11"/>
  <c r="F20" i="11"/>
  <c r="F25" i="11"/>
  <c r="F33" i="11"/>
  <c r="D22" i="11"/>
  <c r="D53" i="11"/>
  <c r="D45" i="11"/>
  <c r="D36" i="11"/>
  <c r="D28" i="11"/>
  <c r="D16" i="11"/>
  <c r="D10" i="11"/>
  <c r="D13" i="11"/>
  <c r="G13" i="11" s="1"/>
  <c r="H13" i="11" s="1"/>
  <c r="D38" i="11"/>
  <c r="D52" i="11"/>
  <c r="G52" i="11" s="1"/>
  <c r="H52" i="11" s="1"/>
  <c r="D44" i="11"/>
  <c r="G44" i="11" s="1"/>
  <c r="H44" i="11" s="1"/>
  <c r="D35" i="11"/>
  <c r="G35" i="11" s="1"/>
  <c r="H35" i="11" s="1"/>
  <c r="D17" i="11"/>
  <c r="G17" i="11" s="1"/>
  <c r="H17" i="11" s="1"/>
  <c r="D9" i="11"/>
  <c r="G9" i="11" s="1"/>
  <c r="D51" i="11"/>
  <c r="D43" i="11"/>
  <c r="D34" i="11"/>
  <c r="D25" i="11"/>
  <c r="D18" i="11"/>
  <c r="G18" i="11" s="1"/>
  <c r="H18" i="11" s="1"/>
  <c r="D8" i="11"/>
  <c r="D30" i="11"/>
  <c r="D50" i="11"/>
  <c r="D41" i="11"/>
  <c r="D33" i="11"/>
  <c r="G33" i="11" s="1"/>
  <c r="H33" i="11" s="1"/>
  <c r="D11" i="11"/>
  <c r="D19" i="11"/>
  <c r="D48" i="11"/>
  <c r="D55" i="11"/>
  <c r="D23" i="11"/>
  <c r="D49" i="11"/>
  <c r="D40" i="11"/>
  <c r="D32" i="11"/>
  <c r="D12" i="11"/>
  <c r="D20" i="11"/>
  <c r="D31" i="11"/>
  <c r="D14" i="11"/>
  <c r="D54" i="11"/>
  <c r="D46" i="11"/>
  <c r="D37" i="11"/>
  <c r="D29" i="11"/>
  <c r="D15" i="11"/>
  <c r="D24" i="11"/>
  <c r="D39" i="11"/>
  <c r="G39" i="11" s="1"/>
  <c r="H39" i="11" s="1"/>
  <c r="D21" i="11"/>
  <c r="D47" i="11"/>
  <c r="F26" i="11"/>
  <c r="E26" i="10"/>
  <c r="G29" i="11" l="1"/>
  <c r="H29" i="11" s="1"/>
  <c r="G47" i="11"/>
  <c r="H47" i="11" s="1"/>
  <c r="G20" i="11"/>
  <c r="H20" i="11" s="1"/>
  <c r="G26" i="11"/>
  <c r="H26" i="11" s="1"/>
  <c r="G22" i="11"/>
  <c r="H22" i="11" s="1"/>
  <c r="G37" i="11"/>
  <c r="H37" i="11" s="1"/>
  <c r="G19" i="11"/>
  <c r="H19" i="11" s="1"/>
  <c r="G28" i="11"/>
  <c r="H28" i="11" s="1"/>
  <c r="G14" i="11"/>
  <c r="H14" i="11" s="1"/>
  <c r="G21" i="11"/>
  <c r="H21" i="11" s="1"/>
  <c r="G32" i="11"/>
  <c r="H32" i="11" s="1"/>
  <c r="G41" i="11"/>
  <c r="H41" i="11" s="1"/>
  <c r="G46" i="11"/>
  <c r="H46" i="11" s="1"/>
  <c r="G45" i="11"/>
  <c r="H45" i="11" s="1"/>
  <c r="G10" i="11"/>
  <c r="G55" i="11"/>
  <c r="H55" i="11" s="1"/>
  <c r="G30" i="11"/>
  <c r="H30" i="11" s="1"/>
  <c r="G48" i="11"/>
  <c r="H48" i="11" s="1"/>
  <c r="G25" i="11"/>
  <c r="H25" i="11" s="1"/>
  <c r="G31" i="11"/>
  <c r="H31" i="11" s="1"/>
  <c r="G24" i="11"/>
  <c r="H24" i="11" s="1"/>
  <c r="G15" i="11"/>
  <c r="H15" i="11" s="1"/>
  <c r="G12" i="11"/>
  <c r="H12" i="11" s="1"/>
  <c r="G34" i="11"/>
  <c r="H34" i="11" s="1"/>
  <c r="G38" i="11"/>
  <c r="H38" i="11" s="1"/>
  <c r="G11" i="11"/>
  <c r="H11" i="11" s="1"/>
  <c r="G43" i="11"/>
  <c r="H43" i="11" s="1"/>
  <c r="G40" i="11"/>
  <c r="H40" i="11" s="1"/>
  <c r="G51" i="11"/>
  <c r="H51" i="11" s="1"/>
  <c r="G53" i="11"/>
  <c r="H53" i="11" s="1"/>
  <c r="G49" i="11"/>
  <c r="H49" i="11" s="1"/>
  <c r="G50" i="11"/>
  <c r="H50" i="11" s="1"/>
  <c r="G16" i="11"/>
  <c r="H16" i="11" s="1"/>
  <c r="G54" i="11"/>
  <c r="H54" i="11" s="1"/>
  <c r="G23" i="11"/>
  <c r="H23" i="11" s="1"/>
  <c r="G8" i="11"/>
  <c r="G36" i="11"/>
  <c r="H36" i="11" s="1"/>
  <c r="B79" i="12"/>
  <c r="B80" i="12" s="1"/>
  <c r="N39" i="11"/>
  <c r="G30" i="14"/>
  <c r="F41" i="14" l="1"/>
  <c r="G38" i="14"/>
  <c r="G15" i="14"/>
  <c r="F15" i="14"/>
  <c r="F40" i="13" l="1"/>
  <c r="D41" i="13"/>
  <c r="D40" i="13"/>
  <c r="G41" i="13" l="1"/>
  <c r="H41" i="13" s="1"/>
  <c r="G40" i="13"/>
  <c r="H40" i="13" s="1"/>
  <c r="B8" i="10" l="1"/>
  <c r="B9" i="10" s="1"/>
  <c r="B10" i="10" s="1"/>
  <c r="B11" i="10" s="1"/>
  <c r="B12" i="10" s="1"/>
  <c r="B13" i="10" s="1"/>
  <c r="B14" i="10" s="1"/>
  <c r="B15" i="10" s="1"/>
  <c r="B16" i="10" s="1"/>
  <c r="B17" i="10" s="1"/>
  <c r="B18" i="10" s="1"/>
  <c r="B19" i="10" s="1"/>
  <c r="B20" i="10" s="1"/>
  <c r="B21" i="10" s="1"/>
  <c r="B22" i="10" s="1"/>
  <c r="B23" i="10" s="1"/>
  <c r="B24" i="10" s="1"/>
  <c r="B25" i="10" s="1"/>
  <c r="B26" i="10" s="1"/>
  <c r="B27" i="10" s="1"/>
  <c r="B28" i="10" s="1"/>
  <c r="B29" i="10" s="1"/>
  <c r="B30" i="10" s="1"/>
  <c r="B31" i="10" s="1"/>
  <c r="B32" i="10" s="1"/>
  <c r="B33" i="10" s="1"/>
  <c r="B34" i="10" s="1"/>
  <c r="B35" i="10" s="1"/>
  <c r="B36" i="10" s="1"/>
  <c r="B37" i="10" s="1"/>
  <c r="B38" i="10" s="1"/>
  <c r="B39" i="10" s="1"/>
  <c r="B40" i="10" s="1"/>
  <c r="B41" i="10" s="1"/>
  <c r="B42" i="10" s="1"/>
  <c r="B43" i="10" s="1"/>
  <c r="B44" i="10" s="1"/>
  <c r="B45" i="10" s="1"/>
  <c r="B46" i="10" s="1"/>
  <c r="B47" i="10" s="1"/>
  <c r="B48" i="10" s="1"/>
  <c r="B49" i="10" s="1"/>
  <c r="B50" i="10" s="1"/>
  <c r="B51" i="10" s="1"/>
  <c r="B52" i="10" s="1"/>
  <c r="B53" i="10" s="1"/>
  <c r="B8" i="11"/>
  <c r="B9" i="11" s="1"/>
  <c r="B10" i="11" s="1"/>
  <c r="B11" i="11" s="1"/>
  <c r="B12" i="11" s="1"/>
  <c r="B13" i="11" s="1"/>
  <c r="B14" i="11" s="1"/>
  <c r="B15" i="11" s="1"/>
  <c r="B16" i="11" s="1"/>
  <c r="B17" i="11" s="1"/>
  <c r="B18" i="11" s="1"/>
  <c r="B19" i="11" s="1"/>
  <c r="B20" i="11" s="1"/>
  <c r="B21" i="11" s="1"/>
  <c r="B22" i="11" s="1"/>
  <c r="B23" i="11" s="1"/>
  <c r="B24" i="11" s="1"/>
  <c r="B25" i="11" s="1"/>
  <c r="B26" i="11" s="1"/>
  <c r="B27" i="11" s="1"/>
  <c r="B28" i="11" s="1"/>
  <c r="B29" i="11" s="1"/>
  <c r="B30" i="11" s="1"/>
  <c r="B31" i="11" s="1"/>
  <c r="B32" i="11" l="1"/>
  <c r="B33" i="11" s="1"/>
  <c r="B34" i="11" s="1"/>
  <c r="B35" i="11" s="1"/>
  <c r="B36" i="11" s="1"/>
  <c r="B37" i="11" s="1"/>
  <c r="B38" i="11" s="1"/>
  <c r="B39" i="11" s="1"/>
  <c r="B40" i="11" s="1"/>
  <c r="B41" i="11" s="1"/>
  <c r="B42" i="11" s="1"/>
  <c r="B43" i="11" s="1"/>
  <c r="B44" i="11" s="1"/>
  <c r="B45" i="11" s="1"/>
  <c r="B46" i="11" s="1"/>
  <c r="B47" i="11" s="1"/>
  <c r="B48" i="11" s="1"/>
  <c r="B49" i="11" s="1"/>
  <c r="B50" i="11" s="1"/>
  <c r="B51" i="11" s="1"/>
  <c r="B52" i="11" s="1"/>
  <c r="B53" i="11" s="1"/>
  <c r="B54" i="11" s="1"/>
  <c r="B55" i="11" s="1"/>
  <c r="E62" i="13"/>
  <c r="E61" i="13"/>
  <c r="E60" i="13"/>
  <c r="E59" i="13"/>
  <c r="E58" i="13"/>
  <c r="E57" i="13"/>
  <c r="E55" i="13"/>
  <c r="E53" i="13"/>
  <c r="E51" i="13"/>
  <c r="E50" i="13"/>
  <c r="E49" i="13"/>
  <c r="E46" i="13"/>
  <c r="E45" i="13"/>
  <c r="E44" i="13"/>
  <c r="E43" i="13"/>
  <c r="E42" i="13"/>
  <c r="B54" i="10" l="1"/>
  <c r="J7" i="10" s="1"/>
  <c r="J8" i="10" s="1"/>
  <c r="J9" i="10" s="1"/>
  <c r="J10" i="10" s="1"/>
  <c r="J11" i="10" s="1"/>
  <c r="J12" i="10" s="1"/>
  <c r="J13" i="10" s="1"/>
  <c r="J14" i="10" s="1"/>
  <c r="J15" i="10" s="1"/>
  <c r="J16" i="10" s="1"/>
  <c r="J17" i="10" s="1"/>
  <c r="J18" i="10" s="1"/>
  <c r="J19" i="10" s="1"/>
  <c r="J20" i="10" s="1"/>
  <c r="J21" i="10" s="1"/>
  <c r="J22" i="10" s="1"/>
  <c r="J23" i="10" s="1"/>
  <c r="J24" i="10" s="1"/>
  <c r="J25" i="10" s="1"/>
  <c r="J26" i="10" s="1"/>
  <c r="J27" i="10" s="1"/>
  <c r="J28" i="10" s="1"/>
  <c r="J29" i="10" s="1"/>
  <c r="J30" i="10" s="1"/>
  <c r="J31" i="10" s="1"/>
  <c r="J32" i="10" s="1"/>
  <c r="J33" i="10" s="1"/>
  <c r="J34" i="10" s="1"/>
  <c r="J35" i="10" s="1"/>
  <c r="J36" i="10" s="1"/>
  <c r="J37" i="10" s="1"/>
  <c r="J38" i="10" s="1"/>
  <c r="J39" i="10" s="1"/>
  <c r="J40" i="10" s="1"/>
  <c r="J41" i="10" s="1"/>
  <c r="J42" i="10" s="1"/>
  <c r="J43" i="10" s="1"/>
  <c r="J44" i="10" s="1"/>
  <c r="J45" i="10" s="1"/>
  <c r="J46" i="10" s="1"/>
  <c r="J47" i="10" s="1"/>
  <c r="J48" i="10" s="1"/>
  <c r="J49" i="10" s="1"/>
  <c r="J50" i="10" s="1"/>
  <c r="J51" i="10" s="1"/>
  <c r="J52" i="10" s="1"/>
  <c r="J53" i="10" s="1"/>
  <c r="H15" i="14"/>
  <c r="G46" i="14"/>
  <c r="H46" i="14" s="1"/>
  <c r="E46" i="14"/>
  <c r="I46" i="14" s="1"/>
  <c r="J46" i="14" s="1"/>
  <c r="E45" i="14"/>
  <c r="I45" i="14" s="1"/>
  <c r="J45" i="14" s="1"/>
  <c r="E44" i="14"/>
  <c r="I44" i="14" s="1"/>
  <c r="J44" i="14" s="1"/>
  <c r="E43" i="14"/>
  <c r="I43" i="14" s="1"/>
  <c r="J43" i="14" s="1"/>
  <c r="H41" i="14"/>
  <c r="E41" i="14"/>
  <c r="I41" i="14" s="1"/>
  <c r="J41" i="14" s="1"/>
  <c r="E40" i="14"/>
  <c r="I40" i="14" s="1"/>
  <c r="J40" i="14" s="1"/>
  <c r="E39" i="14"/>
  <c r="I39" i="14" s="1"/>
  <c r="J39" i="14" s="1"/>
  <c r="H38" i="14"/>
  <c r="E38" i="14"/>
  <c r="I38" i="14" s="1"/>
  <c r="J38" i="14" s="1"/>
  <c r="E37" i="14"/>
  <c r="I37" i="14" s="1"/>
  <c r="J37" i="14" s="1"/>
  <c r="E36" i="14"/>
  <c r="I36" i="14" s="1"/>
  <c r="J36" i="14" s="1"/>
  <c r="E34" i="14"/>
  <c r="I34" i="14" s="1"/>
  <c r="J34" i="14" s="1"/>
  <c r="G33" i="14"/>
  <c r="H33" i="14" s="1"/>
  <c r="G34" i="14" s="1"/>
  <c r="F33" i="14"/>
  <c r="E33" i="14"/>
  <c r="I33" i="14" s="1"/>
  <c r="J33" i="14" s="1"/>
  <c r="G32" i="14"/>
  <c r="H32" i="14" s="1"/>
  <c r="F34" i="14" s="1"/>
  <c r="F32" i="14"/>
  <c r="E32" i="14"/>
  <c r="I32" i="14" s="1"/>
  <c r="J32" i="14" s="1"/>
  <c r="F31" i="14"/>
  <c r="I31" i="14"/>
  <c r="J31" i="14" s="1"/>
  <c r="H30" i="14"/>
  <c r="F30" i="14"/>
  <c r="I30" i="14"/>
  <c r="J30" i="14" s="1"/>
  <c r="F29" i="14"/>
  <c r="E29" i="14"/>
  <c r="I29" i="14" s="1"/>
  <c r="J29" i="14" s="1"/>
  <c r="I27" i="14"/>
  <c r="I26" i="14"/>
  <c r="J26" i="14" s="1"/>
  <c r="I25" i="14"/>
  <c r="G24" i="14"/>
  <c r="H24" i="14" s="1"/>
  <c r="I24" i="14"/>
  <c r="I23" i="14"/>
  <c r="I22" i="14"/>
  <c r="I21" i="14"/>
  <c r="J20" i="14"/>
  <c r="F19" i="14"/>
  <c r="I19" i="14"/>
  <c r="I18" i="14"/>
  <c r="I17" i="14"/>
  <c r="H14" i="14"/>
  <c r="I14" i="14"/>
  <c r="J14" i="14" s="1"/>
  <c r="G13" i="14"/>
  <c r="H13" i="14" s="1"/>
  <c r="I13" i="14"/>
  <c r="J13" i="14" s="1"/>
  <c r="G12" i="14"/>
  <c r="H12" i="14" s="1"/>
  <c r="I12" i="14"/>
  <c r="J12" i="14" s="1"/>
  <c r="G11" i="14"/>
  <c r="H11" i="14" s="1"/>
  <c r="F11" i="14"/>
  <c r="I11" i="14"/>
  <c r="J11" i="14" s="1"/>
  <c r="I10" i="14"/>
  <c r="J10" i="14" s="1"/>
  <c r="I9" i="14"/>
  <c r="J9" i="14" s="1"/>
  <c r="H8" i="14"/>
  <c r="I8" i="14"/>
  <c r="J8" i="14" s="1"/>
  <c r="I7" i="14"/>
  <c r="J7" i="14" s="1"/>
  <c r="E80" i="13"/>
  <c r="F80" i="13" s="1"/>
  <c r="C80" i="13"/>
  <c r="D80" i="13" s="1"/>
  <c r="F79" i="13"/>
  <c r="D79" i="13"/>
  <c r="F78" i="13"/>
  <c r="D78" i="13"/>
  <c r="F77" i="13"/>
  <c r="D77" i="13"/>
  <c r="F76" i="13"/>
  <c r="D76" i="13"/>
  <c r="F75" i="13"/>
  <c r="D75" i="13"/>
  <c r="F74" i="13"/>
  <c r="D74" i="13"/>
  <c r="F73" i="13"/>
  <c r="D73" i="13"/>
  <c r="F72" i="13"/>
  <c r="D72" i="13"/>
  <c r="G72" i="13" s="1"/>
  <c r="H72" i="13" s="1"/>
  <c r="F71" i="13"/>
  <c r="D71" i="13"/>
  <c r="F70" i="13"/>
  <c r="D70" i="13"/>
  <c r="F68" i="13"/>
  <c r="D68" i="13"/>
  <c r="F67" i="13"/>
  <c r="D67" i="13"/>
  <c r="G67" i="13" s="1"/>
  <c r="H67" i="13" s="1"/>
  <c r="F38" i="13"/>
  <c r="D38" i="13"/>
  <c r="F37" i="13"/>
  <c r="D37" i="13"/>
  <c r="F34" i="13"/>
  <c r="D34" i="13"/>
  <c r="F32" i="13"/>
  <c r="D32" i="13"/>
  <c r="F31" i="13"/>
  <c r="D31" i="13"/>
  <c r="F14" i="14"/>
  <c r="F8" i="13"/>
  <c r="D8" i="13"/>
  <c r="A3" i="13"/>
  <c r="A3" i="14" s="1"/>
  <c r="D80" i="12"/>
  <c r="E79" i="12"/>
  <c r="D33" i="12"/>
  <c r="G20" i="12"/>
  <c r="G19" i="12"/>
  <c r="G18" i="12"/>
  <c r="G17" i="12"/>
  <c r="G16" i="12"/>
  <c r="G15" i="12"/>
  <c r="G14" i="12"/>
  <c r="G13" i="12"/>
  <c r="G12" i="12"/>
  <c r="G11" i="12"/>
  <c r="G10" i="12"/>
  <c r="G9" i="12"/>
  <c r="G8" i="12"/>
  <c r="E8" i="12"/>
  <c r="G7" i="12"/>
  <c r="E7" i="12"/>
  <c r="J4" i="11"/>
  <c r="G3" i="11"/>
  <c r="P3" i="11" s="1"/>
  <c r="E3" i="11"/>
  <c r="B3" i="12" s="1"/>
  <c r="A3" i="11"/>
  <c r="J3" i="11" s="1"/>
  <c r="G2" i="11"/>
  <c r="E2" i="12" s="1"/>
  <c r="F2" i="13" s="1"/>
  <c r="F2" i="14" s="1"/>
  <c r="E2" i="11"/>
  <c r="A2" i="11"/>
  <c r="A2" i="12" s="1"/>
  <c r="L54" i="10"/>
  <c r="F49" i="10"/>
  <c r="G49" i="10" s="1"/>
  <c r="E49" i="10"/>
  <c r="F48" i="10"/>
  <c r="G48" i="10" s="1"/>
  <c r="E48" i="10"/>
  <c r="F44" i="10"/>
  <c r="G44" i="10" s="1"/>
  <c r="E44" i="10"/>
  <c r="O41" i="10"/>
  <c r="F43" i="10"/>
  <c r="G43" i="10" s="1"/>
  <c r="E43" i="10"/>
  <c r="F41" i="10"/>
  <c r="G41" i="10" s="1"/>
  <c r="E41" i="10"/>
  <c r="F40" i="10"/>
  <c r="G40" i="10" s="1"/>
  <c r="E40" i="10"/>
  <c r="O38" i="10"/>
  <c r="O37" i="10"/>
  <c r="O35" i="10"/>
  <c r="F39" i="10"/>
  <c r="G39" i="10" s="1"/>
  <c r="E39" i="10"/>
  <c r="F38" i="10"/>
  <c r="G38" i="10" s="1"/>
  <c r="E38" i="10"/>
  <c r="O34" i="10"/>
  <c r="F37" i="10"/>
  <c r="G37" i="10" s="1"/>
  <c r="E37" i="10"/>
  <c r="O33" i="10"/>
  <c r="F34" i="10"/>
  <c r="G34" i="10" s="1"/>
  <c r="E34" i="10"/>
  <c r="N30" i="10"/>
  <c r="O30" i="10" s="1"/>
  <c r="M30" i="10"/>
  <c r="F32" i="10"/>
  <c r="G32" i="10" s="1"/>
  <c r="F29" i="10"/>
  <c r="G29" i="10" s="1"/>
  <c r="O27" i="10"/>
  <c r="G27" i="10"/>
  <c r="M40" i="10"/>
  <c r="E24" i="10"/>
  <c r="G10" i="10"/>
  <c r="O8" i="10"/>
  <c r="N3" i="10"/>
  <c r="L3" i="10"/>
  <c r="I3" i="10"/>
  <c r="N2" i="10"/>
  <c r="L2" i="10"/>
  <c r="I2" i="10"/>
  <c r="G70" i="13" l="1"/>
  <c r="H70" i="13" s="1"/>
  <c r="G71" i="13"/>
  <c r="H71" i="13" s="1"/>
  <c r="G75" i="13"/>
  <c r="H75" i="13" s="1"/>
  <c r="G79" i="13"/>
  <c r="H79" i="13" s="1"/>
  <c r="G68" i="13"/>
  <c r="H68" i="13" s="1"/>
  <c r="G73" i="13"/>
  <c r="H73" i="13" s="1"/>
  <c r="G77" i="13"/>
  <c r="H77" i="13" s="1"/>
  <c r="G74" i="13"/>
  <c r="H74" i="13" s="1"/>
  <c r="G76" i="13"/>
  <c r="H76" i="13" s="1"/>
  <c r="G78" i="13"/>
  <c r="H78" i="13" s="1"/>
  <c r="G80" i="13"/>
  <c r="H80" i="13" s="1"/>
  <c r="G8" i="13"/>
  <c r="H8" i="13" s="1"/>
  <c r="D35" i="12"/>
  <c r="E33" i="12"/>
  <c r="F33" i="12"/>
  <c r="G33" i="12" s="1"/>
  <c r="M54" i="10"/>
  <c r="N54" i="10"/>
  <c r="O54" i="10" s="1"/>
  <c r="G38" i="13"/>
  <c r="H38" i="13" s="1"/>
  <c r="K55" i="10"/>
  <c r="F26" i="14"/>
  <c r="G36" i="14"/>
  <c r="H36" i="14" s="1"/>
  <c r="F80" i="12"/>
  <c r="G80" i="12" s="1"/>
  <c r="G31" i="13"/>
  <c r="H31" i="13" s="1"/>
  <c r="F30" i="13"/>
  <c r="G32" i="13"/>
  <c r="H32" i="13" s="1"/>
  <c r="E80" i="12"/>
  <c r="D55" i="10"/>
  <c r="E54" i="10"/>
  <c r="F54" i="10" s="1"/>
  <c r="G54" i="10" s="1"/>
  <c r="F33" i="13"/>
  <c r="G25" i="14"/>
  <c r="H25" i="14" s="1"/>
  <c r="J25" i="14" s="1"/>
  <c r="G34" i="13"/>
  <c r="H34" i="13" s="1"/>
  <c r="N40" i="10"/>
  <c r="O39" i="10"/>
  <c r="P2" i="11"/>
  <c r="G37" i="13"/>
  <c r="H37" i="13" s="1"/>
  <c r="N3" i="11"/>
  <c r="E3" i="12"/>
  <c r="F3" i="13" s="1"/>
  <c r="F3" i="14" s="1"/>
  <c r="H34" i="14"/>
  <c r="J24" i="14"/>
  <c r="N2" i="11"/>
  <c r="B2" i="12"/>
  <c r="A2" i="13"/>
  <c r="A2" i="14" s="1"/>
  <c r="C55" i="10"/>
  <c r="F27" i="14"/>
  <c r="G18" i="14"/>
  <c r="H18" i="14" s="1"/>
  <c r="J18" i="14" s="1"/>
  <c r="G43" i="14"/>
  <c r="H43" i="14" s="1"/>
  <c r="G17" i="14"/>
  <c r="H17" i="14" s="1"/>
  <c r="J17" i="14" s="1"/>
  <c r="N40" i="11"/>
  <c r="G19" i="14"/>
  <c r="H19" i="14" s="1"/>
  <c r="J19" i="14" s="1"/>
  <c r="F25" i="14"/>
  <c r="F18" i="14"/>
  <c r="J2" i="11"/>
  <c r="B3" i="13"/>
  <c r="C3" i="14" s="1"/>
  <c r="F17" i="14"/>
  <c r="G31" i="14"/>
  <c r="H31" i="14" s="1"/>
  <c r="G7" i="14"/>
  <c r="H7" i="14" s="1"/>
  <c r="N54" i="11"/>
  <c r="G23" i="14" s="1"/>
  <c r="F36" i="14"/>
  <c r="D30" i="13"/>
  <c r="F12" i="14"/>
  <c r="E35" i="12" l="1"/>
  <c r="F35" i="12"/>
  <c r="G35" i="12" s="1"/>
  <c r="K7" i="11"/>
  <c r="K8" i="11" s="1"/>
  <c r="K9" i="11" s="1"/>
  <c r="K10" i="11" s="1"/>
  <c r="K11" i="11" s="1"/>
  <c r="K12" i="11" s="1"/>
  <c r="K13" i="11" s="1"/>
  <c r="K14" i="11" s="1"/>
  <c r="K15" i="11" s="1"/>
  <c r="K16" i="11" s="1"/>
  <c r="K17" i="11" s="1"/>
  <c r="K18" i="11" s="1"/>
  <c r="K19" i="11" s="1"/>
  <c r="K20" i="11" s="1"/>
  <c r="K21" i="11" s="1"/>
  <c r="K22" i="11" s="1"/>
  <c r="K23" i="11" s="1"/>
  <c r="K24" i="11" s="1"/>
  <c r="K25" i="11" s="1"/>
  <c r="K26" i="11" s="1"/>
  <c r="K27" i="11" s="1"/>
  <c r="K28" i="11" s="1"/>
  <c r="K29" i="11" s="1"/>
  <c r="K30" i="11" s="1"/>
  <c r="K31" i="11" s="1"/>
  <c r="K32" i="11" s="1"/>
  <c r="K33" i="11" s="1"/>
  <c r="K34" i="11" s="1"/>
  <c r="K35" i="11" s="1"/>
  <c r="K36" i="11" s="1"/>
  <c r="K37" i="11" s="1"/>
  <c r="K38" i="11" s="1"/>
  <c r="K39" i="11" s="1"/>
  <c r="K40" i="11" s="1"/>
  <c r="K41" i="11" s="1"/>
  <c r="K42" i="11" s="1"/>
  <c r="K43" i="11" s="1"/>
  <c r="K44" i="11" s="1"/>
  <c r="K45" i="11" s="1"/>
  <c r="K46" i="11" s="1"/>
  <c r="K47" i="11" s="1"/>
  <c r="K48" i="11" s="1"/>
  <c r="K49" i="11" s="1"/>
  <c r="K50" i="11" s="1"/>
  <c r="K51" i="11" s="1"/>
  <c r="K52" i="11" s="1"/>
  <c r="K53" i="11" s="1"/>
  <c r="K54" i="11" s="1"/>
  <c r="G39" i="14"/>
  <c r="H39" i="14" s="1"/>
  <c r="L55" i="10"/>
  <c r="M55" i="10" s="1"/>
  <c r="E55" i="10"/>
  <c r="F10" i="14"/>
  <c r="F7" i="14"/>
  <c r="F24" i="14"/>
  <c r="L55" i="11"/>
  <c r="M39" i="11" s="1"/>
  <c r="F35" i="13"/>
  <c r="G30" i="13"/>
  <c r="H30" i="13" s="1"/>
  <c r="O40" i="10"/>
  <c r="G9" i="14"/>
  <c r="H9" i="14" s="1"/>
  <c r="G37" i="14"/>
  <c r="H37" i="14" s="1"/>
  <c r="G10" i="14"/>
  <c r="H10" i="14" s="1"/>
  <c r="G29" i="14"/>
  <c r="H29" i="14" s="1"/>
  <c r="D33" i="13"/>
  <c r="G33" i="13" s="1"/>
  <c r="H33" i="13" s="1"/>
  <c r="D35" i="13"/>
  <c r="B2" i="13"/>
  <c r="C2" i="14" s="1"/>
  <c r="G22" i="14"/>
  <c r="H22" i="14" s="1"/>
  <c r="J22" i="14" s="1"/>
  <c r="H23" i="14"/>
  <c r="J23" i="14" s="1"/>
  <c r="G40" i="14"/>
  <c r="H40" i="14" s="1"/>
  <c r="G21" i="14"/>
  <c r="H21" i="14" s="1"/>
  <c r="J21" i="14" s="1"/>
  <c r="F55" i="10"/>
  <c r="G55" i="10" s="1"/>
  <c r="F23" i="14"/>
  <c r="F21" i="14"/>
  <c r="G26" i="14"/>
  <c r="H26" i="14" s="1"/>
  <c r="G44" i="14"/>
  <c r="H44" i="14" s="1"/>
  <c r="G27" i="14"/>
  <c r="H27" i="14" s="1"/>
  <c r="J27" i="14" s="1"/>
  <c r="F22" i="14"/>
  <c r="N55" i="11"/>
  <c r="O31" i="11" s="1"/>
  <c r="M40" i="11" l="1"/>
  <c r="M31" i="11"/>
  <c r="P31" i="11" s="1"/>
  <c r="Q31" i="11" s="1"/>
  <c r="M8" i="11"/>
  <c r="O15" i="11"/>
  <c r="O42" i="11"/>
  <c r="M42" i="11"/>
  <c r="M15" i="11"/>
  <c r="O23" i="11"/>
  <c r="O54" i="11"/>
  <c r="O16" i="11"/>
  <c r="O24" i="11"/>
  <c r="O34" i="11"/>
  <c r="O43" i="11"/>
  <c r="O52" i="11"/>
  <c r="O21" i="11"/>
  <c r="O50" i="11"/>
  <c r="O53" i="11"/>
  <c r="O17" i="11"/>
  <c r="O25" i="11"/>
  <c r="O35" i="11"/>
  <c r="O45" i="11"/>
  <c r="O9" i="11"/>
  <c r="O18" i="11"/>
  <c r="O36" i="11"/>
  <c r="O46" i="11"/>
  <c r="O49" i="11"/>
  <c r="O22" i="11"/>
  <c r="O10" i="11"/>
  <c r="O19" i="11"/>
  <c r="O28" i="11"/>
  <c r="O37" i="11"/>
  <c r="O47" i="11"/>
  <c r="O39" i="11"/>
  <c r="O32" i="11"/>
  <c r="O11" i="11"/>
  <c r="O20" i="11"/>
  <c r="O29" i="11"/>
  <c r="O38" i="11"/>
  <c r="O48" i="11"/>
  <c r="O30" i="11"/>
  <c r="O44" i="11"/>
  <c r="O55" i="11"/>
  <c r="O14" i="11"/>
  <c r="O33" i="11"/>
  <c r="O51" i="11"/>
  <c r="O12" i="11"/>
  <c r="O13" i="11"/>
  <c r="O26" i="11"/>
  <c r="M23" i="11"/>
  <c r="M44" i="11"/>
  <c r="M16" i="11"/>
  <c r="M24" i="11"/>
  <c r="M34" i="11"/>
  <c r="M21" i="11"/>
  <c r="M55" i="11"/>
  <c r="M43" i="11"/>
  <c r="M17" i="11"/>
  <c r="M25" i="11"/>
  <c r="M35" i="11"/>
  <c r="M54" i="11"/>
  <c r="M18" i="11"/>
  <c r="M36" i="11"/>
  <c r="M22" i="11"/>
  <c r="M51" i="11"/>
  <c r="M19" i="11"/>
  <c r="M28" i="11"/>
  <c r="M37" i="11"/>
  <c r="M10" i="11"/>
  <c r="P10" i="11" s="1"/>
  <c r="M9" i="11"/>
  <c r="M50" i="11"/>
  <c r="M11" i="11"/>
  <c r="M20" i="11"/>
  <c r="M29" i="11"/>
  <c r="M38" i="11"/>
  <c r="M49" i="11"/>
  <c r="M30" i="11"/>
  <c r="M32" i="11"/>
  <c r="M14" i="11"/>
  <c r="M33" i="11"/>
  <c r="M12" i="11"/>
  <c r="M13" i="11"/>
  <c r="M26" i="11"/>
  <c r="O40" i="11"/>
  <c r="N55" i="10"/>
  <c r="O55" i="10" s="1"/>
  <c r="H9" i="11"/>
  <c r="G45" i="14"/>
  <c r="H45" i="14" s="1"/>
  <c r="F13" i="14"/>
  <c r="H10" i="11"/>
  <c r="M48" i="11"/>
  <c r="M45" i="11"/>
  <c r="M46" i="11"/>
  <c r="M47" i="11"/>
  <c r="M53" i="11"/>
  <c r="M52" i="11"/>
  <c r="F9" i="14"/>
  <c r="G35" i="13"/>
  <c r="H35" i="13" s="1"/>
  <c r="H8" i="11"/>
  <c r="O8" i="11"/>
  <c r="P20" i="11" l="1"/>
  <c r="Q20" i="11" s="1"/>
  <c r="P15" i="11"/>
  <c r="Q15" i="11" s="1"/>
  <c r="P12" i="11"/>
  <c r="Q12" i="11" s="1"/>
  <c r="P17" i="11"/>
  <c r="Q17" i="11" s="1"/>
  <c r="P16" i="11"/>
  <c r="P25" i="11"/>
  <c r="Q25" i="11" s="1"/>
  <c r="P11" i="11"/>
  <c r="P14" i="11"/>
  <c r="Q14" i="11" s="1"/>
  <c r="P22" i="11"/>
  <c r="Q22" i="11" s="1"/>
  <c r="P24" i="11"/>
  <c r="P26" i="11"/>
  <c r="Q26" i="11" s="1"/>
  <c r="P42" i="11"/>
  <c r="Q42" i="11" s="1"/>
  <c r="P13" i="11"/>
  <c r="Q13" i="11" s="1"/>
  <c r="P23" i="11"/>
  <c r="Q23" i="11" s="1"/>
  <c r="P18" i="11"/>
  <c r="Q18" i="11" s="1"/>
  <c r="P21" i="11"/>
  <c r="Q21" i="11" s="1"/>
  <c r="P8" i="11"/>
  <c r="Q8" i="11" s="1"/>
  <c r="P19" i="11"/>
  <c r="Q19" i="11" s="1"/>
  <c r="P40" i="11"/>
  <c r="Q40" i="11" s="1"/>
  <c r="P9" i="11"/>
  <c r="Q9" i="11" s="1"/>
  <c r="P28" i="11"/>
  <c r="Q28" i="11" s="1"/>
  <c r="P45" i="11"/>
  <c r="Q45" i="11" s="1"/>
  <c r="P55" i="11"/>
  <c r="Q55" i="11" s="1"/>
  <c r="P54" i="11"/>
  <c r="Q54" i="11" s="1"/>
  <c r="P33" i="11"/>
  <c r="Q33" i="11" s="1"/>
  <c r="P47" i="11"/>
  <c r="Q47" i="11" s="1"/>
  <c r="P49" i="11"/>
  <c r="Q49" i="11" s="1"/>
  <c r="Q16" i="11"/>
  <c r="P43" i="11"/>
  <c r="Q43" i="11" s="1"/>
  <c r="P37" i="11"/>
  <c r="Q37" i="11" s="1"/>
  <c r="P50" i="11"/>
  <c r="Q50" i="11" s="1"/>
  <c r="P34" i="11"/>
  <c r="Q34" i="11" s="1"/>
  <c r="P29" i="11"/>
  <c r="Q29" i="11" s="1"/>
  <c r="P48" i="11"/>
  <c r="Q48" i="11" s="1"/>
  <c r="P53" i="11"/>
  <c r="Q53" i="11" s="1"/>
  <c r="P38" i="11"/>
  <c r="Q38" i="11" s="1"/>
  <c r="P39" i="11"/>
  <c r="Q39" i="11" s="1"/>
  <c r="P30" i="11"/>
  <c r="Q30" i="11" s="1"/>
  <c r="P51" i="11"/>
  <c r="Q51" i="11" s="1"/>
  <c r="P44" i="11"/>
  <c r="Q44" i="11" s="1"/>
  <c r="P52" i="11"/>
  <c r="Q52" i="11" s="1"/>
  <c r="P32" i="11"/>
  <c r="Q32" i="11" s="1"/>
  <c r="P46" i="11"/>
  <c r="Q46" i="11" s="1"/>
  <c r="Q10" i="11"/>
  <c r="P35" i="11"/>
  <c r="Q35" i="11" s="1"/>
  <c r="K55" i="11" l="1"/>
  <c r="J54" i="10" l="1"/>
  <c r="J55" i="10" s="1"/>
</calcChain>
</file>

<file path=xl/comments1.xml><?xml version="1.0" encoding="utf-8"?>
<comments xmlns="http://schemas.openxmlformats.org/spreadsheetml/2006/main">
  <authors>
    <author>Windows 用户</author>
  </authors>
  <commentList>
    <comment ref="A16" authorId="0" shapeId="0">
      <text>
        <r>
          <rPr>
            <b/>
            <sz val="9"/>
            <color indexed="81"/>
            <rFont val="宋体"/>
            <family val="3"/>
            <charset val="134"/>
          </rPr>
          <t>Windows 用户:应收股利+应收利息+其他应收款</t>
        </r>
        <r>
          <rPr>
            <sz val="9"/>
            <color indexed="81"/>
            <rFont val="宋体"/>
            <family val="3"/>
            <charset val="134"/>
          </rPr>
          <t xml:space="preserve">
</t>
        </r>
      </text>
    </comment>
    <comment ref="I18" authorId="0" shapeId="0">
      <text>
        <r>
          <rPr>
            <b/>
            <sz val="9"/>
            <color indexed="81"/>
            <rFont val="宋体"/>
            <family val="3"/>
            <charset val="134"/>
          </rPr>
          <t>Windows 用户:</t>
        </r>
        <r>
          <rPr>
            <sz val="9"/>
            <color indexed="81"/>
            <rFont val="宋体"/>
            <family val="3"/>
            <charset val="134"/>
          </rPr>
          <t xml:space="preserve">
应付利息+应付股利+其他应付款</t>
        </r>
      </text>
    </comment>
    <comment ref="I33" authorId="0" shapeId="0">
      <text>
        <r>
          <rPr>
            <b/>
            <sz val="9"/>
            <color indexed="81"/>
            <rFont val="宋体"/>
            <family val="3"/>
            <charset val="134"/>
          </rPr>
          <t>Windows 用户:</t>
        </r>
        <r>
          <rPr>
            <sz val="9"/>
            <color indexed="81"/>
            <rFont val="宋体"/>
            <family val="3"/>
            <charset val="134"/>
          </rPr>
          <t xml:space="preserve">
长期应付款+专项应付款</t>
        </r>
      </text>
    </comment>
    <comment ref="A38" authorId="0" shapeId="0">
      <text>
        <r>
          <rPr>
            <b/>
            <sz val="9"/>
            <color indexed="81"/>
            <rFont val="宋体"/>
            <family val="3"/>
            <charset val="134"/>
          </rPr>
          <t>Windows 用户:</t>
        </r>
        <r>
          <rPr>
            <sz val="9"/>
            <color indexed="81"/>
            <rFont val="宋体"/>
            <family val="3"/>
            <charset val="134"/>
          </rPr>
          <t xml:space="preserve">
固定资产清理合并至固定资产</t>
        </r>
      </text>
    </comment>
    <comment ref="A39" authorId="0" shapeId="0">
      <text>
        <r>
          <rPr>
            <b/>
            <sz val="9"/>
            <color indexed="81"/>
            <rFont val="宋体"/>
            <family val="3"/>
            <charset val="134"/>
          </rPr>
          <t>Windows 用户:</t>
        </r>
        <r>
          <rPr>
            <sz val="9"/>
            <color indexed="81"/>
            <rFont val="宋体"/>
            <family val="3"/>
            <charset val="134"/>
          </rPr>
          <t xml:space="preserve">
工程物资+在建工程</t>
        </r>
      </text>
    </comment>
  </commentList>
</comments>
</file>

<file path=xl/comments2.xml><?xml version="1.0" encoding="utf-8"?>
<comments xmlns="http://schemas.openxmlformats.org/spreadsheetml/2006/main">
  <authors>
    <author>Windows 用户</author>
  </authors>
  <commentList>
    <comment ref="A16" authorId="0" shapeId="0">
      <text>
        <r>
          <rPr>
            <b/>
            <sz val="9"/>
            <color indexed="81"/>
            <rFont val="宋体"/>
            <family val="3"/>
            <charset val="134"/>
          </rPr>
          <t>Windows 用户:</t>
        </r>
        <r>
          <rPr>
            <sz val="9"/>
            <color indexed="81"/>
            <rFont val="宋体"/>
            <family val="3"/>
            <charset val="134"/>
          </rPr>
          <t xml:space="preserve">
应收股利+应收利息+其他应收款</t>
        </r>
      </text>
    </comment>
    <comment ref="J18" authorId="0" shapeId="0">
      <text>
        <r>
          <rPr>
            <b/>
            <sz val="9"/>
            <color indexed="81"/>
            <rFont val="宋体"/>
            <family val="3"/>
            <charset val="134"/>
          </rPr>
          <t>Windows 用户:</t>
        </r>
        <r>
          <rPr>
            <sz val="9"/>
            <color indexed="81"/>
            <rFont val="宋体"/>
            <family val="3"/>
            <charset val="134"/>
          </rPr>
          <t xml:space="preserve">
应付利息+应付股利+其他应付款</t>
        </r>
      </text>
    </comment>
    <comment ref="J33" authorId="0" shapeId="0">
      <text>
        <r>
          <rPr>
            <b/>
            <sz val="9"/>
            <color indexed="81"/>
            <rFont val="宋体"/>
            <family val="3"/>
            <charset val="134"/>
          </rPr>
          <t>Windows 用户:</t>
        </r>
        <r>
          <rPr>
            <sz val="9"/>
            <color indexed="81"/>
            <rFont val="宋体"/>
            <family val="3"/>
            <charset val="134"/>
          </rPr>
          <t xml:space="preserve">
长期应付款+专项应付款</t>
        </r>
      </text>
    </comment>
    <comment ref="A38" authorId="0" shapeId="0">
      <text>
        <r>
          <rPr>
            <b/>
            <sz val="9"/>
            <color indexed="81"/>
            <rFont val="宋体"/>
            <family val="3"/>
            <charset val="134"/>
          </rPr>
          <t>Windows 用户:</t>
        </r>
        <r>
          <rPr>
            <sz val="9"/>
            <color indexed="81"/>
            <rFont val="宋体"/>
            <family val="3"/>
            <charset val="134"/>
          </rPr>
          <t xml:space="preserve">
固定资产+固定资产清理</t>
        </r>
      </text>
    </comment>
    <comment ref="A39" authorId="0" shapeId="0">
      <text>
        <r>
          <rPr>
            <b/>
            <sz val="9"/>
            <color indexed="81"/>
            <rFont val="宋体"/>
            <family val="3"/>
            <charset val="134"/>
          </rPr>
          <t>Windows 用户:</t>
        </r>
        <r>
          <rPr>
            <sz val="9"/>
            <color indexed="81"/>
            <rFont val="宋体"/>
            <family val="3"/>
            <charset val="134"/>
          </rPr>
          <t xml:space="preserve">
在建工程+工程物资</t>
        </r>
      </text>
    </comment>
  </commentList>
</comments>
</file>

<file path=xl/comments3.xml><?xml version="1.0" encoding="utf-8"?>
<comments xmlns="http://schemas.openxmlformats.org/spreadsheetml/2006/main">
  <authors>
    <author>Windows 用户</author>
  </authors>
  <commentList>
    <comment ref="G30" authorId="0" shapeId="0">
      <text>
        <r>
          <rPr>
            <b/>
            <sz val="9"/>
            <color indexed="81"/>
            <rFont val="宋体"/>
            <family val="3"/>
            <charset val="134"/>
          </rPr>
          <t>Windows 用户:</t>
        </r>
        <r>
          <rPr>
            <sz val="9"/>
            <color indexed="81"/>
            <rFont val="宋体"/>
            <family val="3"/>
            <charset val="134"/>
          </rPr>
          <t xml:space="preserve">
现在固定资产中包含了固定资产清理</t>
        </r>
      </text>
    </comment>
    <comment ref="G32" authorId="0" shapeId="0">
      <text>
        <r>
          <rPr>
            <b/>
            <sz val="9"/>
            <color indexed="81"/>
            <rFont val="宋体"/>
            <family val="3"/>
            <charset val="134"/>
          </rPr>
          <t>Windows 用户:</t>
        </r>
        <r>
          <rPr>
            <sz val="9"/>
            <color indexed="81"/>
            <rFont val="宋体"/>
            <family val="3"/>
            <charset val="134"/>
          </rPr>
          <t xml:space="preserve">
报表中包含了应收票据</t>
        </r>
      </text>
    </comment>
    <comment ref="F41" authorId="0" shapeId="0">
      <text>
        <r>
          <rPr>
            <b/>
            <sz val="9"/>
            <color indexed="81"/>
            <rFont val="宋体"/>
            <family val="3"/>
            <charset val="134"/>
          </rPr>
          <t>Windows 用户:</t>
        </r>
        <r>
          <rPr>
            <sz val="9"/>
            <color indexed="81"/>
            <rFont val="宋体"/>
            <family val="3"/>
            <charset val="134"/>
          </rPr>
          <t xml:space="preserve">
原公式是否有误，目前固定资产包含了固定资产清理</t>
        </r>
      </text>
    </comment>
  </commentList>
</comments>
</file>

<file path=xl/sharedStrings.xml><?xml version="1.0" encoding="utf-8"?>
<sst xmlns="http://schemas.openxmlformats.org/spreadsheetml/2006/main" count="669" uniqueCount="386">
  <si>
    <t>C1</t>
  </si>
  <si>
    <t>Custom 1</t>
  </si>
  <si>
    <t>C2</t>
  </si>
  <si>
    <t>Custom 2</t>
  </si>
  <si>
    <t>C3</t>
  </si>
  <si>
    <t>Custom 3</t>
  </si>
  <si>
    <t>C4</t>
  </si>
  <si>
    <t>Custom 4</t>
  </si>
  <si>
    <t>C5</t>
  </si>
  <si>
    <t>Custom 5</t>
  </si>
  <si>
    <t>C6</t>
  </si>
  <si>
    <t>Custom 6</t>
  </si>
  <si>
    <t>C7</t>
  </si>
  <si>
    <t>Custom 7</t>
  </si>
  <si>
    <t>C8</t>
  </si>
  <si>
    <t>Custom 8</t>
  </si>
  <si>
    <t>税金及附加</t>
    <phoneticPr fontId="3" type="noConversion"/>
  </si>
  <si>
    <t xml:space="preserve">   1、持续经营净利润（净亏损以“-”号填列）</t>
  </si>
  <si>
    <t xml:space="preserve">   2、终止经营净利润（净亏损以“-”号填列）</t>
  </si>
  <si>
    <t xml:space="preserve">   1、归属于母公司股东的净利润</t>
  </si>
  <si>
    <t xml:space="preserve">   2、少数股东损益</t>
  </si>
  <si>
    <t>1、重新计量设定受益计划变动额</t>
    <phoneticPr fontId="3" type="noConversion"/>
  </si>
  <si>
    <t>2、权益法下不能转损益的其他综合收益</t>
    <phoneticPr fontId="3" type="noConversion"/>
  </si>
  <si>
    <t>1、权益法下可转损益的其他综合收益</t>
    <phoneticPr fontId="3" type="noConversion"/>
  </si>
  <si>
    <t>本年未审数</t>
  </si>
  <si>
    <t>显著变动
原因分析</t>
  </si>
  <si>
    <t>未审资产负债表纵向趋势分析－资产</t>
  </si>
  <si>
    <t>未审资产负债表纵向趋势分析－负债</t>
  </si>
  <si>
    <t>未审数</t>
  </si>
  <si>
    <t>未审利润表横向分析</t>
    <phoneticPr fontId="3" type="noConversion"/>
  </si>
  <si>
    <t>未审利润表纵向分析</t>
    <phoneticPr fontId="3" type="noConversion"/>
  </si>
  <si>
    <t>未审报表财务比率分析</t>
    <phoneticPr fontId="3" type="noConversion"/>
  </si>
  <si>
    <t>A</t>
  </si>
  <si>
    <t>B</t>
  </si>
  <si>
    <t>C</t>
  </si>
  <si>
    <t>D</t>
  </si>
  <si>
    <t>E</t>
  </si>
  <si>
    <t>3、其他权益工具投资公允价值变动</t>
  </si>
  <si>
    <t>4、企业自身信用风险公允价值变动</t>
  </si>
  <si>
    <t>2、其他债权投资公允价值变动</t>
  </si>
  <si>
    <t>4、金融资产重分类计入其他综合收益的金额</t>
  </si>
  <si>
    <t>6、其他债权投资信用减值准备</t>
  </si>
  <si>
    <t>B13-2-1</t>
  </si>
  <si>
    <t>B13-2-2</t>
  </si>
  <si>
    <t>B13-3-1</t>
  </si>
  <si>
    <t>B13-3-2</t>
  </si>
  <si>
    <t>B13-4</t>
  </si>
  <si>
    <t>B13-5</t>
  </si>
  <si>
    <r>
      <rPr>
        <u/>
        <sz val="10"/>
        <color theme="10"/>
        <rFont val="宋体"/>
        <family val="3"/>
        <charset val="134"/>
      </rPr>
      <t>未审资产负债横向分析</t>
    </r>
    <phoneticPr fontId="3" type="noConversion"/>
  </si>
  <si>
    <r>
      <rPr>
        <u/>
        <sz val="10"/>
        <color theme="10"/>
        <rFont val="宋体"/>
        <family val="3"/>
        <charset val="134"/>
      </rPr>
      <t>未审资产负债纵向分析</t>
    </r>
    <phoneticPr fontId="3" type="noConversion"/>
  </si>
  <si>
    <r>
      <rPr>
        <u/>
        <sz val="10"/>
        <color theme="10"/>
        <rFont val="宋体"/>
        <family val="3"/>
        <charset val="134"/>
      </rPr>
      <t>未审利润横向分析</t>
    </r>
    <phoneticPr fontId="3" type="noConversion"/>
  </si>
  <si>
    <r>
      <rPr>
        <u/>
        <sz val="10"/>
        <color theme="10"/>
        <rFont val="宋体"/>
        <family val="3"/>
        <charset val="134"/>
      </rPr>
      <t>未审利润纵向分析</t>
    </r>
    <phoneticPr fontId="3" type="noConversion"/>
  </si>
  <si>
    <r>
      <rPr>
        <u/>
        <sz val="10"/>
        <color theme="10"/>
        <rFont val="宋体"/>
        <family val="3"/>
        <charset val="134"/>
      </rPr>
      <t>未审报表比率分析</t>
    </r>
    <phoneticPr fontId="3" type="noConversion"/>
  </si>
  <si>
    <r>
      <rPr>
        <u/>
        <sz val="10"/>
        <color theme="10"/>
        <rFont val="宋体"/>
        <family val="3"/>
        <charset val="134"/>
      </rPr>
      <t>同行业对比分析</t>
    </r>
    <phoneticPr fontId="3" type="noConversion"/>
  </si>
  <si>
    <t>以公允价值计量且其变动计入当期损益的金融资产</t>
    <phoneticPr fontId="3" type="noConversion"/>
  </si>
  <si>
    <r>
      <rPr>
        <b/>
        <sz val="10"/>
        <rFont val="宋体"/>
        <family val="3"/>
        <charset val="134"/>
      </rPr>
      <t>底稿开列时，可先在以下单元格填写有关内容，以便其他底稿引用有关数据：</t>
    </r>
    <phoneticPr fontId="3" type="noConversion"/>
  </si>
  <si>
    <r>
      <rPr>
        <sz val="10"/>
        <rFont val="宋体"/>
        <family val="3"/>
        <charset val="134"/>
      </rPr>
      <t>被审计单位：</t>
    </r>
    <r>
      <rPr>
        <sz val="10"/>
        <rFont val="Arial Narrow"/>
        <family val="2"/>
      </rPr>
      <t>ABC</t>
    </r>
    <r>
      <rPr>
        <sz val="10"/>
        <rFont val="宋体"/>
        <family val="3"/>
        <charset val="134"/>
      </rPr>
      <t>公司</t>
    </r>
  </si>
  <si>
    <r>
      <rPr>
        <sz val="10"/>
        <rFont val="宋体"/>
        <family val="3"/>
        <charset val="134"/>
      </rPr>
      <t>序号</t>
    </r>
    <phoneticPr fontId="3" type="noConversion"/>
  </si>
  <si>
    <r>
      <rPr>
        <sz val="10"/>
        <rFont val="宋体"/>
        <family val="3"/>
        <charset val="134"/>
      </rPr>
      <t>内容</t>
    </r>
  </si>
  <si>
    <r>
      <rPr>
        <sz val="10"/>
        <rFont val="宋体"/>
        <family val="3"/>
        <charset val="134"/>
      </rPr>
      <t>索引号</t>
    </r>
    <phoneticPr fontId="3" type="noConversion"/>
  </si>
  <si>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</si>
  <si>
    <r>
      <rPr>
        <sz val="10"/>
        <rFont val="宋体"/>
        <family val="3"/>
        <charset val="134"/>
      </rPr>
      <t>编制人：张三</t>
    </r>
  </si>
  <si>
    <r>
      <rPr>
        <sz val="10"/>
        <rFont val="宋体"/>
        <family val="3"/>
        <charset val="134"/>
      </rPr>
      <t>编制日期：</t>
    </r>
    <r>
      <rPr>
        <sz val="10"/>
        <rFont val="Arial Narrow"/>
        <family val="2"/>
      </rPr>
      <t>2025.X.X</t>
    </r>
    <phoneticPr fontId="3" type="noConversion"/>
  </si>
  <si>
    <r>
      <rPr>
        <sz val="10"/>
        <rFont val="宋体"/>
        <family val="3"/>
        <charset val="134"/>
      </rPr>
      <t>复核人：李四</t>
    </r>
  </si>
  <si>
    <r>
      <rPr>
        <sz val="10"/>
        <rFont val="宋体"/>
        <family val="3"/>
        <charset val="134"/>
      </rPr>
      <t>复核日期：</t>
    </r>
    <r>
      <rPr>
        <sz val="10"/>
        <rFont val="Arial Narrow"/>
        <family val="2"/>
      </rPr>
      <t>2025.X.X</t>
    </r>
    <phoneticPr fontId="3" type="noConversion"/>
  </si>
  <si>
    <r>
      <rPr>
        <sz val="10"/>
        <rFont val="宋体"/>
        <family val="3"/>
        <charset val="134"/>
      </rPr>
      <t>会计期间：</t>
    </r>
    <r>
      <rPr>
        <sz val="10"/>
        <rFont val="Arial Narrow"/>
        <family val="2"/>
      </rPr>
      <t>202X</t>
    </r>
    <r>
      <rPr>
        <sz val="10"/>
        <rFont val="宋体"/>
        <family val="3"/>
        <charset val="134"/>
      </rPr>
      <t>年度</t>
    </r>
    <phoneticPr fontId="3" type="noConversion"/>
  </si>
  <si>
    <t>未审资产负债表横向趋势分析－资产</t>
    <phoneticPr fontId="3" type="noConversion"/>
  </si>
  <si>
    <t>未审资产负债表横向趋势分析－负债</t>
    <phoneticPr fontId="3" type="noConversion"/>
  </si>
  <si>
    <t>索引：B13-2-1</t>
    <phoneticPr fontId="3" type="noConversion"/>
  </si>
  <si>
    <t>页次：1</t>
  </si>
  <si>
    <t>页次：2</t>
  </si>
  <si>
    <t>资产</t>
  </si>
  <si>
    <t>行次</t>
    <phoneticPr fontId="3" type="noConversion"/>
  </si>
  <si>
    <t>上年审定数</t>
    <phoneticPr fontId="3" type="noConversion"/>
  </si>
  <si>
    <t>本年比上年增长</t>
    <phoneticPr fontId="3" type="noConversion"/>
  </si>
  <si>
    <t>变动状况（显著/关注)</t>
    <phoneticPr fontId="3" type="noConversion"/>
  </si>
  <si>
    <t>负债及股东权益</t>
  </si>
  <si>
    <t>显著变动原因分析；需进一步调查或解释的差异</t>
    <phoneticPr fontId="3" type="noConversion"/>
  </si>
  <si>
    <t>变动额</t>
    <phoneticPr fontId="3" type="noConversion"/>
  </si>
  <si>
    <t>变动％</t>
    <phoneticPr fontId="3" type="noConversion"/>
  </si>
  <si>
    <t>①</t>
    <phoneticPr fontId="3" type="noConversion"/>
  </si>
  <si>
    <t>②</t>
  </si>
  <si>
    <t>③=②-①</t>
  </si>
  <si>
    <t>④=③/①</t>
  </si>
  <si>
    <t>流动资产：</t>
  </si>
  <si>
    <t>流动负债：</t>
  </si>
  <si>
    <t>货币资金</t>
  </si>
  <si>
    <t>短期借款</t>
  </si>
  <si>
    <t>交易性金融资产</t>
    <phoneticPr fontId="3" type="noConversion"/>
  </si>
  <si>
    <t>交易性金融负债</t>
    <phoneticPr fontId="3" type="noConversion"/>
  </si>
  <si>
    <t>以公允价值计量且其变动计入当期损益的金融负债</t>
    <phoneticPr fontId="3" type="noConversion"/>
  </si>
  <si>
    <t>衍生金融资产</t>
    <phoneticPr fontId="3" type="noConversion"/>
  </si>
  <si>
    <t>衍生金融负债</t>
    <phoneticPr fontId="3" type="noConversion"/>
  </si>
  <si>
    <t>应收票据</t>
    <phoneticPr fontId="3" type="noConversion"/>
  </si>
  <si>
    <t>应付票据</t>
    <phoneticPr fontId="3" type="noConversion"/>
  </si>
  <si>
    <t>应收账款</t>
    <phoneticPr fontId="3" type="noConversion"/>
  </si>
  <si>
    <t>应付账款</t>
    <phoneticPr fontId="3" type="noConversion"/>
  </si>
  <si>
    <t>应收款项融资</t>
    <phoneticPr fontId="3" type="noConversion"/>
  </si>
  <si>
    <t>预收款项</t>
    <phoneticPr fontId="3" type="noConversion"/>
  </si>
  <si>
    <t>预付款项</t>
    <phoneticPr fontId="3" type="noConversion"/>
  </si>
  <si>
    <t>合同负债</t>
    <phoneticPr fontId="3" type="noConversion"/>
  </si>
  <si>
    <t>其他应收款</t>
  </si>
  <si>
    <t>应付职工薪酬</t>
    <phoneticPr fontId="3" type="noConversion"/>
  </si>
  <si>
    <t>其中：应收利息</t>
    <phoneticPr fontId="3" type="noConversion"/>
  </si>
  <si>
    <t>应交税费</t>
    <phoneticPr fontId="3" type="noConversion"/>
  </si>
  <si>
    <t xml:space="preserve">      应收股利</t>
    <phoneticPr fontId="3" type="noConversion"/>
  </si>
  <si>
    <t>其他应付款</t>
  </si>
  <si>
    <t>存货</t>
  </si>
  <si>
    <t>其中：应付利息</t>
    <phoneticPr fontId="3" type="noConversion"/>
  </si>
  <si>
    <t>其中：原材料</t>
  </si>
  <si>
    <t xml:space="preserve">      应付股利</t>
    <phoneticPr fontId="3" type="noConversion"/>
  </si>
  <si>
    <t xml:space="preserve">            库存商品（产成品）</t>
    <phoneticPr fontId="3" type="noConversion"/>
  </si>
  <si>
    <t>持有待售负债</t>
    <phoneticPr fontId="3" type="noConversion"/>
  </si>
  <si>
    <t>合同资产</t>
    <phoneticPr fontId="3" type="noConversion"/>
  </si>
  <si>
    <t>一年内到期的非流动负债</t>
  </si>
  <si>
    <t>持有待售资产</t>
    <phoneticPr fontId="3" type="noConversion"/>
  </si>
  <si>
    <t>其他流动负债</t>
  </si>
  <si>
    <t>一年内到期的非流动资产</t>
  </si>
  <si>
    <t>其他流动资产</t>
  </si>
  <si>
    <t>流动资产合计</t>
  </si>
  <si>
    <t>流动负债合计</t>
  </si>
  <si>
    <t>非流动资产:</t>
    <phoneticPr fontId="3" type="noConversion"/>
  </si>
  <si>
    <t>非流动负债:</t>
  </si>
  <si>
    <t>债权投资</t>
    <phoneticPr fontId="3" type="noConversion"/>
  </si>
  <si>
    <t>长期借款</t>
  </si>
  <si>
    <t>可供出售金融资产</t>
  </si>
  <si>
    <t>应付债券</t>
  </si>
  <si>
    <t>其他债权投资</t>
    <phoneticPr fontId="3" type="noConversion"/>
  </si>
  <si>
    <t>其中：优先股</t>
    <phoneticPr fontId="3" type="noConversion"/>
  </si>
  <si>
    <t>持有至到期投资</t>
  </si>
  <si>
    <t xml:space="preserve">             永续债</t>
    <phoneticPr fontId="3" type="noConversion"/>
  </si>
  <si>
    <t>长期应收款</t>
  </si>
  <si>
    <t>租赁负债</t>
    <phoneticPr fontId="3" type="noConversion"/>
  </si>
  <si>
    <t>设定受益计划净资产</t>
    <phoneticPr fontId="3" type="noConversion"/>
  </si>
  <si>
    <t>长期应付款</t>
  </si>
  <si>
    <t>长期股权投资</t>
  </si>
  <si>
    <t>长期应付职工薪酬</t>
    <phoneticPr fontId="3" type="noConversion"/>
  </si>
  <si>
    <t>其他权益工具投资</t>
    <phoneticPr fontId="3" type="noConversion"/>
  </si>
  <si>
    <t>预计负债</t>
  </si>
  <si>
    <t>其他非流动金融资产</t>
    <phoneticPr fontId="3" type="noConversion"/>
  </si>
  <si>
    <t>递延收益</t>
    <phoneticPr fontId="3" type="noConversion"/>
  </si>
  <si>
    <t>投资性房地产</t>
  </si>
  <si>
    <t>递延所得税负债</t>
  </si>
  <si>
    <t>固定资产</t>
  </si>
  <si>
    <t>其他非流动负债</t>
  </si>
  <si>
    <t>在建工程</t>
  </si>
  <si>
    <t>非流动负债合计</t>
  </si>
  <si>
    <t>生产性生物资产</t>
  </si>
  <si>
    <t>负债合计</t>
  </si>
  <si>
    <t>油气资产</t>
  </si>
  <si>
    <t>所有者权益（或股东权益）：</t>
    <phoneticPr fontId="3" type="noConversion"/>
  </si>
  <si>
    <t>使用权资产</t>
    <phoneticPr fontId="3" type="noConversion"/>
  </si>
  <si>
    <t>实收资本（或股本）</t>
    <phoneticPr fontId="3" type="noConversion"/>
  </si>
  <si>
    <t>无形资产</t>
  </si>
  <si>
    <t>其他权益工具</t>
    <phoneticPr fontId="3" type="noConversion"/>
  </si>
  <si>
    <t>开发支出</t>
  </si>
  <si>
    <t>商誉</t>
  </si>
  <si>
    <t>长期待摊费用</t>
  </si>
  <si>
    <t>资本公积</t>
  </si>
  <si>
    <t>递延所得税资产</t>
  </si>
  <si>
    <t>减：库存股</t>
  </si>
  <si>
    <t>其他非流动资产</t>
  </si>
  <si>
    <t>其他综合收益</t>
    <phoneticPr fontId="3" type="noConversion"/>
  </si>
  <si>
    <t>专项储备</t>
    <phoneticPr fontId="3" type="noConversion"/>
  </si>
  <si>
    <t>盈余公积</t>
  </si>
  <si>
    <t>未分配利润</t>
  </si>
  <si>
    <t>归属于母公司股东权益合计</t>
  </si>
  <si>
    <t>少数股东权益</t>
  </si>
  <si>
    <t>非流动资产合计</t>
  </si>
  <si>
    <t>所有者权益（或股东权益）合计</t>
    <phoneticPr fontId="3" type="noConversion"/>
  </si>
  <si>
    <t>负债和所有者权益（或股东权益）总计</t>
    <phoneticPr fontId="3" type="noConversion"/>
  </si>
  <si>
    <t>同行业对比分析</t>
    <phoneticPr fontId="3" type="noConversion"/>
  </si>
  <si>
    <t>索引：B13-5</t>
    <phoneticPr fontId="3" type="noConversion"/>
  </si>
  <si>
    <t>一、同行业公司选择</t>
    <phoneticPr fontId="3" type="noConversion"/>
  </si>
  <si>
    <t>公司名称
（证券简称/证券代码）</t>
    <phoneticPr fontId="3" type="noConversion"/>
  </si>
  <si>
    <t>首发上市日期</t>
    <phoneticPr fontId="3" type="noConversion"/>
  </si>
  <si>
    <t>省份</t>
  </si>
  <si>
    <t>主营业务/产品收入占比（分类别）</t>
    <phoneticPr fontId="3" type="noConversion"/>
  </si>
  <si>
    <t>2025年产量</t>
    <phoneticPr fontId="3" type="noConversion"/>
  </si>
  <si>
    <t>2024年产量</t>
    <phoneticPr fontId="3" type="noConversion"/>
  </si>
  <si>
    <t>2023年产量</t>
    <phoneticPr fontId="3" type="noConversion"/>
  </si>
  <si>
    <t>数据来源：</t>
    <phoneticPr fontId="3" type="noConversion"/>
  </si>
  <si>
    <r>
      <t>二、同行业公司主要财务数据</t>
    </r>
    <r>
      <rPr>
        <b/>
        <sz val="10"/>
        <color rgb="FFFF0000"/>
        <rFont val="宋体"/>
        <family val="3"/>
        <charset val="134"/>
        <scheme val="minor"/>
      </rPr>
      <t>(20XX年</t>
    </r>
    <r>
      <rPr>
        <b/>
        <sz val="10"/>
        <rFont val="宋体"/>
        <family val="3"/>
        <charset val="134"/>
        <scheme val="minor"/>
      </rPr>
      <t>)</t>
    </r>
    <phoneticPr fontId="3" type="noConversion"/>
  </si>
  <si>
    <t>资产总额（亿元）</t>
    <phoneticPr fontId="3" type="noConversion"/>
  </si>
  <si>
    <t>净资产额（亿元）</t>
    <phoneticPr fontId="3" type="noConversion"/>
  </si>
  <si>
    <t>营业收入（亿元）</t>
    <phoneticPr fontId="3" type="noConversion"/>
  </si>
  <si>
    <t>净利润（亿元）</t>
    <phoneticPr fontId="3" type="noConversion"/>
  </si>
  <si>
    <t>净资产收益率（%）</t>
  </si>
  <si>
    <t>存货周转率（次）</t>
  </si>
  <si>
    <t>资产负债率（%）</t>
  </si>
  <si>
    <t>三、同行业公司对比分析</t>
    <phoneticPr fontId="3" type="noConversion"/>
  </si>
  <si>
    <t>净资产收益率（%）</t>
    <phoneticPr fontId="3" type="noConversion"/>
  </si>
  <si>
    <t>综合毛利率（%）</t>
    <phoneticPr fontId="3" type="noConversion"/>
  </si>
  <si>
    <t>2025年</t>
    <phoneticPr fontId="3" type="noConversion"/>
  </si>
  <si>
    <t>2024年</t>
    <phoneticPr fontId="3" type="noConversion"/>
  </si>
  <si>
    <t>2023年</t>
    <phoneticPr fontId="3" type="noConversion"/>
  </si>
  <si>
    <t>行业平均</t>
  </si>
  <si>
    <t>被审计单位</t>
  </si>
  <si>
    <r>
      <rPr>
        <b/>
        <sz val="10"/>
        <color rgb="FFFF0000"/>
        <rFont val="宋体"/>
        <family val="3"/>
        <charset val="134"/>
        <scheme val="minor"/>
      </rPr>
      <t>XX</t>
    </r>
    <r>
      <rPr>
        <b/>
        <sz val="10"/>
        <rFont val="宋体"/>
        <family val="3"/>
        <charset val="134"/>
        <scheme val="minor"/>
      </rPr>
      <t>毛利率（%）</t>
    </r>
    <phoneticPr fontId="3" type="noConversion"/>
  </si>
  <si>
    <t>应收账款周转率（次）</t>
    <phoneticPr fontId="3" type="noConversion"/>
  </si>
  <si>
    <t>存货周转率（次）</t>
    <phoneticPr fontId="3" type="noConversion"/>
  </si>
  <si>
    <t>审计说明：</t>
    <phoneticPr fontId="3" type="noConversion"/>
  </si>
  <si>
    <t>索引：B13-4</t>
    <phoneticPr fontId="3" type="noConversion"/>
  </si>
  <si>
    <t>指标名称</t>
    <phoneticPr fontId="3" type="noConversion"/>
  </si>
  <si>
    <t>计算公式</t>
    <phoneticPr fontId="3" type="noConversion"/>
  </si>
  <si>
    <t>增减</t>
    <phoneticPr fontId="3" type="noConversion"/>
  </si>
  <si>
    <t>结论</t>
    <phoneticPr fontId="3" type="noConversion"/>
  </si>
  <si>
    <t>分子数值</t>
    <phoneticPr fontId="3" type="noConversion"/>
  </si>
  <si>
    <t>分母数值</t>
    <phoneticPr fontId="3" type="noConversion"/>
  </si>
  <si>
    <t>指标值</t>
    <phoneticPr fontId="3" type="noConversion"/>
  </si>
  <si>
    <t>一、获利能力分析</t>
    <phoneticPr fontId="3" type="noConversion"/>
  </si>
  <si>
    <t>1、长期资本报酬率</t>
    <phoneticPr fontId="3" type="noConversion"/>
  </si>
  <si>
    <t>（利润总额+利息支出净额）/（长期负债平均值+所有者权益平均值）</t>
    <phoneticPr fontId="3" type="noConversion"/>
  </si>
  <si>
    <t>2、资本金收益率</t>
    <phoneticPr fontId="3" type="noConversion"/>
  </si>
  <si>
    <t>属于母公司所有者的净利润(annualized)/资本金总额</t>
    <phoneticPr fontId="3" type="noConversion"/>
  </si>
  <si>
    <t>3、股东权益报酬率</t>
    <phoneticPr fontId="3" type="noConversion"/>
  </si>
  <si>
    <t>净利润(annualized)/股东权益平均值</t>
    <phoneticPr fontId="3" type="noConversion"/>
  </si>
  <si>
    <t>4、总资产报酬率</t>
    <phoneticPr fontId="3" type="noConversion"/>
  </si>
  <si>
    <t>（利润总额+利息支出净额）(annualized)/平均资产总值</t>
    <phoneticPr fontId="3" type="noConversion"/>
  </si>
  <si>
    <t>5、毛利率</t>
    <phoneticPr fontId="3" type="noConversion"/>
  </si>
  <si>
    <t>毛利/营业收入净额</t>
    <phoneticPr fontId="3" type="noConversion"/>
  </si>
  <si>
    <t>6、营业利润率</t>
    <phoneticPr fontId="3" type="noConversion"/>
  </si>
  <si>
    <t>（营业利润+利息支出净额）/营业收入净额</t>
    <phoneticPr fontId="3" type="noConversion"/>
  </si>
  <si>
    <t>7、销售净利率</t>
    <phoneticPr fontId="3" type="noConversion"/>
  </si>
  <si>
    <t>净利润/营业收入净额</t>
    <phoneticPr fontId="3" type="noConversion"/>
  </si>
  <si>
    <t>8、成本费用利润率</t>
    <phoneticPr fontId="3" type="noConversion"/>
  </si>
  <si>
    <t>营业利润/（营业成本+销售费用+管理费用+财务费用+研发费用）</t>
    <phoneticPr fontId="3" type="noConversion"/>
  </si>
  <si>
    <t>9、研究开发费用比例</t>
    <phoneticPr fontId="3" type="noConversion"/>
  </si>
  <si>
    <t>研究开发费用/主营业务收入</t>
    <phoneticPr fontId="3" type="noConversion"/>
  </si>
  <si>
    <t>二、短期偿债能力分析</t>
    <phoneticPr fontId="3" type="noConversion"/>
  </si>
  <si>
    <t>1、流动比率</t>
    <phoneticPr fontId="3" type="noConversion"/>
  </si>
  <si>
    <t>流动资产/流动负债</t>
    <phoneticPr fontId="3" type="noConversion"/>
  </si>
  <si>
    <t>2、速动比率</t>
    <phoneticPr fontId="3" type="noConversion"/>
  </si>
  <si>
    <t>速动资产/流动负债</t>
    <phoneticPr fontId="3" type="noConversion"/>
  </si>
  <si>
    <t>3、现金比率</t>
    <phoneticPr fontId="3" type="noConversion"/>
  </si>
  <si>
    <t>（货币资金+交易性金融资产）/流动负债</t>
    <phoneticPr fontId="3" type="noConversion"/>
  </si>
  <si>
    <t>三、长期偿债能力分析</t>
    <phoneticPr fontId="3" type="noConversion"/>
  </si>
  <si>
    <t>1、资产负债比率</t>
    <phoneticPr fontId="3" type="noConversion"/>
  </si>
  <si>
    <t>负债总额/资产总额</t>
    <phoneticPr fontId="3" type="noConversion"/>
  </si>
  <si>
    <t>2、产权比率</t>
    <phoneticPr fontId="3" type="noConversion"/>
  </si>
  <si>
    <t>负债总额/所有者权益总额</t>
    <phoneticPr fontId="3" type="noConversion"/>
  </si>
  <si>
    <t>3、有形净值债务比率</t>
    <phoneticPr fontId="3" type="noConversion"/>
  </si>
  <si>
    <t>负债总额/（所有者权益-无形资产-开发支出-商誉-递延资产）</t>
    <phoneticPr fontId="3" type="noConversion"/>
  </si>
  <si>
    <t>4、利息保障倍数</t>
    <phoneticPr fontId="3" type="noConversion"/>
  </si>
  <si>
    <t>（税前利润+利息支出净额）/利息支出净额</t>
    <phoneticPr fontId="3" type="noConversion"/>
  </si>
  <si>
    <t>5、营运资金长期负债比率</t>
    <phoneticPr fontId="3" type="noConversion"/>
  </si>
  <si>
    <t>（流动资产-流动负债）/非流动负债</t>
    <phoneticPr fontId="3" type="noConversion"/>
  </si>
  <si>
    <t>6、长期负债比率</t>
    <phoneticPr fontId="3" type="noConversion"/>
  </si>
  <si>
    <t>非流动负债/负债总额</t>
    <phoneticPr fontId="3" type="noConversion"/>
  </si>
  <si>
    <t>7、融资结构弹性比率</t>
    <phoneticPr fontId="3" type="noConversion"/>
  </si>
  <si>
    <t>弹性融资（流动负债融资+未分配利润）/融资总量</t>
    <phoneticPr fontId="3" type="noConversion"/>
  </si>
  <si>
    <t>四、资产管理效率分析</t>
    <phoneticPr fontId="3" type="noConversion"/>
  </si>
  <si>
    <t>1、总资产周转率</t>
    <phoneticPr fontId="3" type="noConversion"/>
  </si>
  <si>
    <t>营业收入净额(annualized)/平均资产总额</t>
    <phoneticPr fontId="3" type="noConversion"/>
  </si>
  <si>
    <t>2、固定资产周转率</t>
    <phoneticPr fontId="3" type="noConversion"/>
  </si>
  <si>
    <t>营业收入净额(annualized)/固定资产平均净值</t>
    <phoneticPr fontId="3" type="noConversion"/>
  </si>
  <si>
    <t>3、流动资产周转率</t>
    <phoneticPr fontId="3" type="noConversion"/>
  </si>
  <si>
    <t>营业收入净额(annualized)/流动资产平均占用额</t>
    <phoneticPr fontId="3" type="noConversion"/>
  </si>
  <si>
    <t>4、应收账款周转率</t>
    <phoneticPr fontId="3" type="noConversion"/>
  </si>
  <si>
    <t>赊销收入净额(annualized)/应收账款平均余额</t>
    <phoneticPr fontId="3" type="noConversion"/>
  </si>
  <si>
    <t>5、存货周转率</t>
    <phoneticPr fontId="3" type="noConversion"/>
  </si>
  <si>
    <t>营业成本(annualized)/存货平均余额</t>
    <phoneticPr fontId="3" type="noConversion"/>
  </si>
  <si>
    <t>6、营业周期</t>
    <phoneticPr fontId="3" type="noConversion"/>
  </si>
  <si>
    <t>应收账款周转天数+存货周转天数</t>
    <phoneticPr fontId="3" type="noConversion"/>
  </si>
  <si>
    <t>五、资产管理效果分析</t>
    <phoneticPr fontId="3" type="noConversion"/>
  </si>
  <si>
    <t>1、资本保值增值率</t>
    <phoneticPr fontId="3" type="noConversion"/>
  </si>
  <si>
    <t>期末所有者权益总额/期初所有者权益总额</t>
    <phoneticPr fontId="3" type="noConversion"/>
  </si>
  <si>
    <t>2、社会贡献率</t>
    <phoneticPr fontId="3" type="noConversion"/>
  </si>
  <si>
    <t>企业社会贡献总额(annualized)/平均资产总额</t>
    <phoneticPr fontId="3" type="noConversion"/>
  </si>
  <si>
    <t>3、社会积累率</t>
    <phoneticPr fontId="3" type="noConversion"/>
  </si>
  <si>
    <t>上交国家财政总额/企业社会贡献总额</t>
    <phoneticPr fontId="3" type="noConversion"/>
  </si>
  <si>
    <t>4、不良资产比率</t>
    <phoneticPr fontId="3" type="noConversion"/>
  </si>
  <si>
    <t>年末不良资产/年末资产总额</t>
    <phoneticPr fontId="3" type="noConversion"/>
  </si>
  <si>
    <t>5、资产损失率</t>
    <phoneticPr fontId="3" type="noConversion"/>
  </si>
  <si>
    <t>待处理资产损失净额/年末资产总额</t>
    <phoneticPr fontId="3" type="noConversion"/>
  </si>
  <si>
    <t>6、固定资产成新率</t>
    <phoneticPr fontId="3" type="noConversion"/>
  </si>
  <si>
    <t>平均固定资产净值/平均固定资产原价</t>
    <phoneticPr fontId="3" type="noConversion"/>
  </si>
  <si>
    <t>六、现金流量分析</t>
    <phoneticPr fontId="3" type="noConversion"/>
  </si>
  <si>
    <t>1、经营活动净现金比率1</t>
    <phoneticPr fontId="3" type="noConversion"/>
  </si>
  <si>
    <t>经营活动净现金流量/流动负债</t>
    <phoneticPr fontId="3" type="noConversion"/>
  </si>
  <si>
    <t>2、经营活动净现金比率2</t>
    <phoneticPr fontId="3" type="noConversion"/>
  </si>
  <si>
    <t>经营活动净现金流量/负债总额</t>
    <phoneticPr fontId="3" type="noConversion"/>
  </si>
  <si>
    <t>3、净利润现金保证比率</t>
    <phoneticPr fontId="3" type="noConversion"/>
  </si>
  <si>
    <t>经营活动净现金流量/净利润</t>
    <phoneticPr fontId="3" type="noConversion"/>
  </si>
  <si>
    <t>4、销售收入现金回收比率</t>
    <phoneticPr fontId="3" type="noConversion"/>
  </si>
  <si>
    <t>经营活动净现金流量/营业收入净额</t>
    <phoneticPr fontId="3" type="noConversion"/>
  </si>
  <si>
    <t>注：</t>
    <phoneticPr fontId="3" type="noConversion"/>
  </si>
  <si>
    <t>1、凡涉及平均数的比率，按年末、年初算术平均计算。</t>
    <phoneticPr fontId="3" type="noConversion"/>
  </si>
  <si>
    <t>2、凡是时期数据除时点数据的比率，对时期数据要进行年化处理(annualized)－本期数据÷本期月份数×12</t>
    <phoneticPr fontId="3" type="noConversion"/>
  </si>
  <si>
    <t>3、流动比率正常值为2，速动比率正常值为1，现金比率正常值为0.3。</t>
    <phoneticPr fontId="3" type="noConversion"/>
  </si>
  <si>
    <t>索引：B13-3-2</t>
    <phoneticPr fontId="3" type="noConversion"/>
  </si>
  <si>
    <t>项目</t>
  </si>
  <si>
    <t>行次</t>
    <phoneticPr fontId="13" type="noConversion"/>
  </si>
  <si>
    <t>本年审定数</t>
    <phoneticPr fontId="3" type="noConversion"/>
  </si>
  <si>
    <t>本年比上年
增长差异</t>
    <phoneticPr fontId="3" type="noConversion"/>
  </si>
  <si>
    <t>显著变动原因分析；需进一步调查或解释的差异</t>
  </si>
  <si>
    <t>已审数</t>
  </si>
  <si>
    <t>比重%</t>
    <phoneticPr fontId="3" type="noConversion"/>
  </si>
  <si>
    <t>审定数</t>
    <phoneticPr fontId="3" type="noConversion"/>
  </si>
  <si>
    <t>②</t>
    <phoneticPr fontId="3" type="noConversion"/>
  </si>
  <si>
    <t>③</t>
    <phoneticPr fontId="3" type="noConversion"/>
  </si>
  <si>
    <t>④</t>
    <phoneticPr fontId="3" type="noConversion"/>
  </si>
  <si>
    <t>⑤=④-②</t>
    <phoneticPr fontId="3" type="noConversion"/>
  </si>
  <si>
    <t>一、营业收入</t>
  </si>
  <si>
    <t>其中：主营业务收入</t>
  </si>
  <si>
    <t xml:space="preserve">     其他业务收入</t>
    <phoneticPr fontId="3" type="noConversion"/>
  </si>
  <si>
    <t>减：营业成本</t>
  </si>
  <si>
    <t>其中：主营业务成本</t>
  </si>
  <si>
    <t xml:space="preserve">     其他业务成本</t>
    <phoneticPr fontId="3" type="noConversion"/>
  </si>
  <si>
    <t>销售费用</t>
  </si>
  <si>
    <t>管理费用</t>
  </si>
  <si>
    <t>其中：业务招待费</t>
  </si>
  <si>
    <t>研发费用</t>
    <phoneticPr fontId="3" type="noConversion"/>
  </si>
  <si>
    <t>财务费用</t>
    <phoneticPr fontId="3" type="noConversion"/>
  </si>
  <si>
    <t>其中：利息费用</t>
    <phoneticPr fontId="3" type="noConversion"/>
  </si>
  <si>
    <t xml:space="preserve">      利息收入</t>
    <phoneticPr fontId="3" type="noConversion"/>
  </si>
  <si>
    <t>加：其他收益</t>
    <phoneticPr fontId="3" type="noConversion"/>
  </si>
  <si>
    <t xml:space="preserve">   投资收益（损失以“－”号填列）</t>
    <phoneticPr fontId="3" type="noConversion"/>
  </si>
  <si>
    <t xml:space="preserve">  其中：对联营企业和合营企业的投资收益</t>
    <phoneticPr fontId="3" type="noConversion"/>
  </si>
  <si>
    <t xml:space="preserve">               以摊余成本计量的金融资产终止确认收益（损失以“-”号填列）</t>
    <phoneticPr fontId="3" type="noConversion"/>
  </si>
  <si>
    <t xml:space="preserve">    净敞口套期收益（损失以“－”号填列）</t>
    <phoneticPr fontId="3" type="noConversion"/>
  </si>
  <si>
    <t xml:space="preserve">    公允价值变动收益（损失以“－”号填列）</t>
    <phoneticPr fontId="3" type="noConversion"/>
  </si>
  <si>
    <t xml:space="preserve">    信用减值损失（损失以“－”号填列）</t>
    <phoneticPr fontId="3" type="noConversion"/>
  </si>
  <si>
    <t xml:space="preserve">    资产减值损失（损失以“－”号填列）</t>
    <phoneticPr fontId="3" type="noConversion"/>
  </si>
  <si>
    <t xml:space="preserve"> 资产处置收益(损失以“-”号填列）</t>
    <phoneticPr fontId="3" type="noConversion"/>
  </si>
  <si>
    <t>二、营业利润（亏损以“－”号填列）</t>
  </si>
  <si>
    <t>加：营业外收入</t>
  </si>
  <si>
    <t>减：营业外支出</t>
  </si>
  <si>
    <t>三、利润总额（亏损总额以“－”号填列）</t>
  </si>
  <si>
    <t>减：所得税费用</t>
  </si>
  <si>
    <t>四、净利润（净亏损以“－”号填列）</t>
  </si>
  <si>
    <t xml:space="preserve"> （一）按经营持续性分类</t>
  </si>
  <si>
    <t xml:space="preserve"> （二）按所有权归属分类</t>
  </si>
  <si>
    <t>五、其他综合收益税后净额</t>
    <phoneticPr fontId="3" type="noConversion"/>
  </si>
  <si>
    <t xml:space="preserve">    归属于母公司股东的其他综合收益的税后净额</t>
  </si>
  <si>
    <t>（一）以后不能重分类进损益的其他综合收益</t>
  </si>
  <si>
    <t>5、其他（不适用的删除）</t>
    <phoneticPr fontId="3" type="noConversion"/>
  </si>
  <si>
    <t>（二）以后将重分类进损益的其他综合收益</t>
  </si>
  <si>
    <t>3、可供出售金融资产公允价值变动损益（不适用的删除）</t>
    <phoneticPr fontId="3" type="noConversion"/>
  </si>
  <si>
    <t>5、持有至到期投资重分类为可供出售金融资产损益（不适用的删除）</t>
    <phoneticPr fontId="3" type="noConversion"/>
  </si>
  <si>
    <t>7、现金流量套期损益的有效部分（不适用的删除）</t>
    <phoneticPr fontId="3" type="noConversion"/>
  </si>
  <si>
    <t>8、外币财务报表折算差额（不适用的删除）</t>
    <phoneticPr fontId="3" type="noConversion"/>
  </si>
  <si>
    <t>9、自用房地产或作为存货的房地产转换为以公允价值计量的投资性房地产在转换日公允价值大于账面价值部分（不适用的删除）</t>
    <phoneticPr fontId="3" type="noConversion"/>
  </si>
  <si>
    <t>10、多次交易分步处置子公司股权构成一揽子交易的，丧失控制权之前各次交易处置价款与对应净资产账面价值份额的差额（不适用的删除）</t>
    <phoneticPr fontId="3" type="noConversion"/>
  </si>
  <si>
    <t>11、其他（不适用的删除）</t>
    <phoneticPr fontId="3" type="noConversion"/>
  </si>
  <si>
    <t xml:space="preserve">    归属于少数股东的其他综合收益的税后净额</t>
  </si>
  <si>
    <t>六、综合收益总额</t>
    <phoneticPr fontId="3" type="noConversion"/>
  </si>
  <si>
    <t>归属于母公司股东的综合收益总额</t>
  </si>
  <si>
    <t>归属于少数股东的综合收益总额</t>
  </si>
  <si>
    <t>七、每股收益</t>
    <phoneticPr fontId="3" type="noConversion"/>
  </si>
  <si>
    <t>㈠基本每股收益</t>
    <phoneticPr fontId="3" type="noConversion"/>
  </si>
  <si>
    <t>㈡稀释每股收益</t>
    <phoneticPr fontId="3" type="noConversion"/>
  </si>
  <si>
    <t>八、利润分配</t>
    <phoneticPr fontId="3" type="noConversion"/>
  </si>
  <si>
    <t>㈠年初未分配利润</t>
    <phoneticPr fontId="3" type="noConversion"/>
  </si>
  <si>
    <t>㈡可供分配的利润</t>
    <phoneticPr fontId="3" type="noConversion"/>
  </si>
  <si>
    <t>1.提取法定盈余公积</t>
  </si>
  <si>
    <t>2.其他</t>
  </si>
  <si>
    <t>㈢可供投资者分配的利润</t>
    <phoneticPr fontId="3" type="noConversion"/>
  </si>
  <si>
    <t>1.应付优先股股利</t>
  </si>
  <si>
    <t>2.提取任意盈余公积</t>
  </si>
  <si>
    <t>3.应付普通股股利（应付利润）</t>
  </si>
  <si>
    <t>4.转作资本（或股本）的普通股股利</t>
  </si>
  <si>
    <t>5.其他</t>
  </si>
  <si>
    <t>九、未分配利润</t>
    <phoneticPr fontId="3" type="noConversion"/>
  </si>
  <si>
    <t>索引：B13-3-1</t>
    <phoneticPr fontId="3" type="noConversion"/>
  </si>
  <si>
    <t>财务费用</t>
  </si>
  <si>
    <t xml:space="preserve">     利息收入</t>
    <phoneticPr fontId="3" type="noConversion"/>
  </si>
  <si>
    <t xml:space="preserve">    投资收益（损失以“－”号填列）</t>
    <phoneticPr fontId="3" type="noConversion"/>
  </si>
  <si>
    <t xml:space="preserve">                   以摊余成本计量的金融资产终止确认收益（损失以“-”号填列）</t>
    <phoneticPr fontId="3" type="noConversion"/>
  </si>
  <si>
    <t xml:space="preserve">  净敞口套期收益(损失以“-”号填列）</t>
    <phoneticPr fontId="3" type="noConversion"/>
  </si>
  <si>
    <t xml:space="preserve">  公允价值变动收益(损失以“-”号填列）</t>
    <phoneticPr fontId="3" type="noConversion"/>
  </si>
  <si>
    <t xml:space="preserve">  信用减值损失(损失以“-”号填列）</t>
    <phoneticPr fontId="3" type="noConversion"/>
  </si>
  <si>
    <t xml:space="preserve">  资产减值损失(损失以“-”号填列）</t>
    <phoneticPr fontId="3" type="noConversion"/>
  </si>
  <si>
    <t xml:space="preserve">  资产处置收益(损失以“-”号填列）</t>
    <phoneticPr fontId="3" type="noConversion"/>
  </si>
  <si>
    <t>6、其他债权投资信用减值准备</t>
    <phoneticPr fontId="3" type="noConversion"/>
  </si>
  <si>
    <t>㈠年初未分配利润</t>
  </si>
  <si>
    <t>㈡可供分配的利润</t>
  </si>
  <si>
    <t>㈢可供投资者分配的利润</t>
  </si>
  <si>
    <t>索引：B13-2-2</t>
    <phoneticPr fontId="3" type="noConversion"/>
  </si>
  <si>
    <t>应付职工薪酬</t>
  </si>
  <si>
    <t>非流动资产:</t>
  </si>
  <si>
    <t xml:space="preserve">            永续债</t>
    <phoneticPr fontId="3" type="noConversion"/>
  </si>
  <si>
    <r>
      <rPr>
        <b/>
        <sz val="10"/>
        <rFont val="宋体"/>
        <family val="3"/>
        <charset val="134"/>
        <scheme val="minor"/>
      </rPr>
      <t>资产总计</t>
    </r>
  </si>
  <si>
    <t>资产总计</t>
    <phoneticPr fontId="3" type="noConversion"/>
  </si>
  <si>
    <t>人均创收</t>
    <phoneticPr fontId="3" type="noConversion"/>
  </si>
  <si>
    <t>人均创利</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</si>
</sst>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8">
    <numFmt numFmtId="8" formatCode="&quot;¥&quot;#,##0.00;[Red]&quot;¥&quot;\-#,##0.00"/>
    <numFmt numFmtId="41" formatCode="_ * #,##0_ ;_ * \-#,##0_ ;_ * &quot;-&quot;_ ;_ @_ "/>
    <numFmt numFmtId="43" formatCode="_ * #,##0.00_ ;_ * \-#,##0.00_ ;_ * &quot;-&quot;??_ ;_ @_ "/>
    <numFmt numFmtId="176" formatCode="#,##0.00_ "/>
    <numFmt numFmtId="177" formatCode="_(* #,##0_);_(* \(#,##0\);_(* &quot;-&quot;_);_(@_)"/>
    <numFmt numFmtId="178" formatCode="0.00_ "/>
    <numFmt numFmtId="179" formatCode="0.0%"/>
    <numFmt numFmtId="180" formatCode="_-#,##0_-;\(#,##0\);_-\ \ &quot;-&quot;_-;_-@_-"/>
    <numFmt numFmtId="181" formatCode="_-#,##0.00_-;\(#,##0.00\);_-\ \ &quot;-&quot;_-;_-@_-"/>
    <numFmt numFmtId="182" formatCode="mmm/dd/yyyy;_-\ &quot;N/A&quot;_-;_-\ &quot;-&quot;_-"/>
    <numFmt numFmtId="183" formatCode="mmm/yyyy;_-\ &quot;N/A&quot;_-;_-\ &quot;-&quot;_-"/>
    <numFmt numFmtId="184" formatCode="_-#,##0%_-;\(#,##0%\);_-\ &quot;-&quot;_-"/>
    <numFmt numFmtId="185" formatCode="_-#,###,_-;\(#,###,\);_-\ \ &quot;-&quot;_-;_-@_-"/>
    <numFmt numFmtId="186" formatCode="_-#,###.00,_-;\(#,###.00,\);_-\ \ &quot;-&quot;_-;_-@_-"/>
    <numFmt numFmtId="187" formatCode="_-#0&quot;.&quot;0,_-;\(#0&quot;.&quot;0,\);_-\ \ &quot;-&quot;_-;_-@_-"/>
    <numFmt numFmtId="188" formatCode="_-#0&quot;.&quot;0000_-;\(#0&quot;.&quot;0000\);_-\ \ &quot;-&quot;_-;_-@_-"/>
    <numFmt numFmtId="189" formatCode="0%;\(0%\)"/>
    <numFmt numFmtId="190" formatCode="&quot;$&quot;#,##0_);\(&quot;$&quot;#,##0\)"/>
    <numFmt numFmtId="191" formatCode="#,##0&quot; F&quot;_);\(#,##0&quot; F&quot;\)"/>
    <numFmt numFmtId="192" formatCode="&quot;$&quot;#,##0;[Red]&quot;$&quot;&quot;$&quot;&quot;$&quot;&quot;$&quot;&quot;$&quot;&quot;$&quot;&quot;$&quot;\-#,##0"/>
    <numFmt numFmtId="193" formatCode="#,##0.0_);\(#,##0.0\)"/>
    <numFmt numFmtId="194" formatCode="hh:mm\ AM/PM_)"/>
    <numFmt numFmtId="195" formatCode="&quot;$&quot;#,##0.00_);\(&quot;$&quot;#,##0.00\)"/>
    <numFmt numFmtId="196" formatCode=";;;"/>
    <numFmt numFmtId="197" formatCode="_([$€-2]* #,##0.00_);_([$€-2]* \(#,##0.00\);_([$€-2]* &quot;-&quot;??_)"/>
    <numFmt numFmtId="198" formatCode="&quot;\&quot;#,##0;[Red]&quot;\&quot;&quot;\&quot;\-#,##0"/>
    <numFmt numFmtId="199" formatCode="&quot;\&quot;#,##0.00;[Red]&quot;\&quot;&quot;\&quot;\-#,##0.00"/>
    <numFmt numFmtId="200" formatCode="_(&quot;$&quot;* #,##0_);_(&quot;$&quot;* \(#,##0\);_(&quot;$&quot;* &quot;-&quot;_);_(@_)"/>
    <numFmt numFmtId="201" formatCode="_(&quot;$&quot;* #,##0.00_);_(&quot;$&quot;* \(#,##0.00\);_(&quot;$&quot;* &quot;-&quot;??_);_(@_)"/>
    <numFmt numFmtId="202" formatCode="_-* #,##0_-;\-* #,##0_-;_-* &quot;-&quot;??_-;_-@_-"/>
    <numFmt numFmtId="203" formatCode="0.00000000000_);[Red]\(0.00000000000\)"/>
    <numFmt numFmtId="204" formatCode="&quot;\&quot;#,##0;&quot;\&quot;&quot;\&quot;\-#,##0"/>
    <numFmt numFmtId="205" formatCode="0%_);\(0%\)"/>
    <numFmt numFmtId="206" formatCode="0.0000000"/>
    <numFmt numFmtId="207" formatCode="0.000000"/>
    <numFmt numFmtId="208" formatCode="0.00000000"/>
    <numFmt numFmtId="209" formatCode="_ * #,##0_)\ _F_ ;_ * \(#,##0\)\ _F_ ;_ * &quot;-&quot;_)\ _F_ ;_ @_ "/>
    <numFmt numFmtId="210" formatCode="#,##0_ "/>
  </numFmts>
  <fonts count="66">
    <font>
      <sz val="10"/>
      <name val="Helv"/>
      <family val="2"/>
    </font>
    <font>
      <sz val="12"/>
      <name val="宋体"/>
      <family val="3"/>
      <charset val="134"/>
    </font>
    <font>
      <sz val="12"/>
      <name val="Times New Roman"/>
      <family val="1"/>
    </font>
    <font>
      <sz val="9"/>
      <name val="宋体"/>
      <family val="3"/>
      <charset val="134"/>
    </font>
    <font>
      <sz val="10"/>
      <name val="宋体"/>
      <family val="3"/>
      <charset val="134"/>
    </font>
    <font>
      <b/>
      <sz val="10"/>
      <name val="Arial Narrow"/>
      <family val="2"/>
    </font>
    <font>
      <sz val="10"/>
      <name val="Arial Narrow"/>
      <family val="2"/>
    </font>
    <font>
      <b/>
      <sz val="10"/>
      <name val="宋体"/>
      <family val="3"/>
      <charset val="134"/>
    </font>
    <font>
      <sz val="9"/>
      <name val="宋体"/>
      <family val="3"/>
      <charset val="134"/>
    </font>
    <font>
      <sz val="10"/>
      <name val="Arial"/>
      <family val="2"/>
    </font>
    <font>
      <sz val="10"/>
      <name val="Times New Roman"/>
      <family val="1"/>
    </font>
    <font>
      <sz val="9"/>
      <name val="Times New Roman"/>
      <family val="1"/>
    </font>
    <font>
      <b/>
      <sz val="9"/>
      <name val="Times New Roman"/>
      <family val="1"/>
    </font>
    <font>
      <sz val="11"/>
      <name val="Times New Roman"/>
      <family val="1"/>
    </font>
    <font>
      <b/>
      <sz val="10"/>
      <name val="Arial"/>
      <family val="2"/>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7"/>
      <name val="Helv"/>
      <family val="2"/>
    </font>
    <font>
      <b/>
      <sz val="10"/>
      <name val="MS Sans Serif"/>
      <family val="2"/>
    </font>
    <font>
      <b/>
      <sz val="13"/>
      <name val="Tms Rmn"/>
      <family val="1"/>
    </font>
    <font>
      <b/>
      <sz val="8"/>
      <name val="Arial"/>
      <family val="2"/>
    </font>
    <font>
      <sz val="10"/>
      <name val="MS Sans Serif"/>
      <family val="2"/>
    </font>
    <font>
      <sz val="8"/>
      <name val="Arial"/>
      <family val="2"/>
    </font>
    <font>
      <u/>
      <sz val="7.5"/>
      <color indexed="36"/>
      <name val="Arial"/>
      <family val="2"/>
    </font>
    <font>
      <b/>
      <sz val="12"/>
      <name val="Arial"/>
      <family val="2"/>
    </font>
    <font>
      <u/>
      <sz val="7.5"/>
      <color indexed="12"/>
      <name val="Arial"/>
      <family val="2"/>
    </font>
    <font>
      <sz val="7"/>
      <name val="Small Fonts"/>
      <family val="2"/>
    </font>
    <font>
      <sz val="10"/>
      <name val="Courier"/>
      <family val="3"/>
    </font>
    <font>
      <sz val="10"/>
      <color indexed="8"/>
      <name val="MS Sans Serif"/>
      <family val="2"/>
    </font>
    <font>
      <sz val="7"/>
      <color indexed="10"/>
      <name val="Helv"/>
      <family val="2"/>
    </font>
    <font>
      <sz val="8"/>
      <color indexed="16"/>
      <name val="Century Schoolbook"/>
      <family val="1"/>
    </font>
    <font>
      <sz val="9"/>
      <color indexed="8"/>
      <name val="宋体"/>
      <family val="3"/>
      <charset val="134"/>
    </font>
    <font>
      <b/>
      <i/>
      <sz val="10"/>
      <name val="Times New Roman"/>
      <family val="1"/>
    </font>
    <font>
      <b/>
      <sz val="12"/>
      <name val="MS Sans Serif"/>
      <family val="2"/>
    </font>
    <font>
      <sz val="12"/>
      <name val="MS Sans Serif"/>
      <family val="2"/>
    </font>
    <font>
      <b/>
      <sz val="10"/>
      <color indexed="10"/>
      <name val="Arial"/>
      <family val="2"/>
    </font>
    <font>
      <sz val="10"/>
      <name val="Geneva"/>
      <family val="2"/>
    </font>
    <font>
      <sz val="11"/>
      <name val="明朝"/>
      <family val="3"/>
      <charset val="134"/>
    </font>
    <font>
      <sz val="8"/>
      <name val="Century Schoolbook"/>
      <family val="1"/>
    </font>
    <font>
      <u/>
      <sz val="10"/>
      <color indexed="12"/>
      <name val="宋体"/>
      <family val="3"/>
      <charset val="134"/>
    </font>
    <font>
      <sz val="11"/>
      <name val="蹈框"/>
      <charset val="134"/>
    </font>
    <font>
      <sz val="11"/>
      <name val="ＭＳ Ｐゴシック"/>
      <family val="2"/>
      <charset val="134"/>
    </font>
    <font>
      <sz val="12"/>
      <name val="바탕체"/>
      <family val="3"/>
    </font>
    <font>
      <sz val="9"/>
      <color indexed="81"/>
      <name val="宋体"/>
      <family val="3"/>
      <charset val="134"/>
    </font>
    <font>
      <b/>
      <sz val="9"/>
      <color indexed="81"/>
      <name val="宋体"/>
      <family val="3"/>
      <charset val="134"/>
    </font>
    <font>
      <u/>
      <sz val="10"/>
      <color theme="10"/>
      <name val="Helv"/>
      <family val="2"/>
    </font>
    <font>
      <u/>
      <sz val="10"/>
      <color theme="10"/>
      <name val="宋体"/>
      <family val="3"/>
      <charset val="134"/>
    </font>
    <font>
      <u/>
      <sz val="10"/>
      <color theme="10"/>
      <name val="Arial Narrow"/>
      <family val="2"/>
    </font>
    <font>
      <b/>
      <sz val="10"/>
      <color theme="1"/>
      <name val="宋体"/>
      <family val="3"/>
      <charset val="134"/>
      <scheme val="minor"/>
    </font>
    <font>
      <sz val="10"/>
      <name val="宋体"/>
      <family val="3"/>
      <charset val="134"/>
      <scheme val="minor"/>
    </font>
    <font>
      <b/>
      <sz val="10"/>
      <name val="宋体"/>
      <family val="3"/>
      <charset val="134"/>
      <scheme val="minor"/>
    </font>
    <font>
      <i/>
      <sz val="10"/>
      <name val="宋体"/>
      <family val="3"/>
      <charset val="134"/>
      <scheme val="minor"/>
    </font>
    <font>
      <b/>
      <sz val="10"/>
      <color indexed="12"/>
      <name val="宋体"/>
      <family val="3"/>
      <charset val="134"/>
      <scheme val="minor"/>
    </font>
    <font>
      <sz val="10"/>
      <color indexed="12"/>
      <name val="宋体"/>
      <family val="3"/>
      <charset val="134"/>
      <scheme val="minor"/>
    </font>
    <font>
      <b/>
      <sz val="10"/>
      <color rgb="FFFF0000"/>
      <name val="宋体"/>
      <family val="3"/>
      <charset val="134"/>
      <scheme val="minor"/>
    </font>
    <font>
      <sz val="10"/>
      <color rgb="FFFF0000"/>
      <name val="宋体"/>
      <family val="3"/>
      <charset val="134"/>
      <scheme val="minor"/>
    </font>
    <font>
      <sz val="10"/>
      <color rgb="FF0000FF"/>
      <name val="宋体"/>
      <family val="3"/>
      <charset val="134"/>
      <scheme val="minor"/>
    </font>
    <font>
      <b/>
      <sz val="10"/>
      <color indexed="10"/>
      <name val="宋体"/>
      <family val="3"/>
      <charset val="134"/>
      <scheme val="minor"/>
    </font>
    <font>
      <sz val="10"/>
      <color theme="1"/>
      <name val="宋体"/>
      <family val="3"/>
      <charset val="134"/>
      <scheme val="minor"/>
    </font>
    <font>
      <b/>
      <sz val="10"/>
      <color rgb="FF0000FF"/>
      <name val="宋体"/>
      <family val="3"/>
      <charset val="134"/>
      <scheme val="minor"/>
    </font>
    <font>
      <b/>
      <sz val="12"/>
      <color theme="1"/>
      <name val="宋体"/>
      <family val="3"/>
      <charset val="134"/>
      <scheme val="minor"/>
    </font>
    <font>
      <b/>
      <sz val="12"/>
      <name val="宋体"/>
      <family val="3"/>
      <charset val="134"/>
      <scheme val="minor"/>
    </font>
    <font>
      <b/>
      <sz val="12"/>
      <color indexed="18"/>
      <name val="宋体"/>
      <family val="3"/>
      <charset val="134"/>
      <scheme val="minor"/>
    </font>
    <font>
      <sz val="12"/>
      <name val="宋体"/>
      <family val="3"/>
      <charset val="134"/>
      <scheme val="minor"/>
    </font>
  </fonts>
  <fills count="14">
    <fill>
      <patternFill patternType="none"/>
    </fill>
    <fill>
      <patternFill patternType="gray125"/>
    </fill>
    <fill>
      <patternFill patternType="solid">
        <fgColor indexed="22"/>
        <bgColor indexed="64"/>
      </patternFill>
    </fill>
    <fill>
      <patternFill patternType="solid">
        <fgColor indexed="13"/>
        <bgColor indexed="64"/>
      </patternFill>
    </fill>
    <fill>
      <patternFill patternType="solid">
        <fgColor indexed="27"/>
        <bgColor indexed="64"/>
      </patternFill>
    </fill>
    <fill>
      <patternFill patternType="solid">
        <fgColor indexed="26"/>
        <bgColor indexed="64"/>
      </patternFill>
    </fill>
    <fill>
      <patternFill patternType="solid">
        <fgColor indexed="9"/>
      </patternFill>
    </fill>
    <fill>
      <patternFill patternType="solid">
        <fgColor indexed="9"/>
        <bgColor indexed="9"/>
      </patternFill>
    </fill>
    <fill>
      <patternFill patternType="solid">
        <fgColor rgb="FF00B050"/>
        <bgColor indexed="64"/>
      </patternFill>
    </fill>
    <fill>
      <patternFill patternType="solid">
        <fgColor rgb="FFFFC000"/>
        <bgColor indexed="64"/>
      </patternFill>
    </fill>
    <fill>
      <patternFill patternType="solid">
        <fgColor rgb="FFFF0000"/>
        <bgColor indexed="64"/>
      </patternFill>
    </fill>
    <fill>
      <patternFill patternType="solid">
        <fgColor indexed="14"/>
        <bgColor indexed="64"/>
      </patternFill>
    </fill>
    <fill>
      <patternFill patternType="solid">
        <fgColor rgb="FFE4DFEC"/>
        <bgColor indexed="64"/>
      </patternFill>
    </fill>
    <fill>
      <patternFill patternType="solid">
        <fgColor theme="0"/>
        <bgColor indexed="64"/>
      </patternFill>
    </fill>
  </fills>
  <borders count="48">
    <border>
      <left/>
      <right/>
      <top/>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top style="thin">
        <color indexed="64"/>
      </top>
      <bottom style="thin">
        <color indexed="64"/>
      </bottom>
      <diagonal/>
    </border>
    <border>
      <left/>
      <right style="hair">
        <color indexed="64"/>
      </right>
      <top style="hair">
        <color indexed="64"/>
      </top>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top style="hair">
        <color indexed="64"/>
      </top>
      <bottom/>
      <diagonal/>
    </border>
    <border>
      <left style="hair">
        <color indexed="64"/>
      </left>
      <right/>
      <top/>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style="hair">
        <color indexed="64"/>
      </right>
      <top/>
      <bottom style="hair">
        <color indexed="64"/>
      </bottom>
      <diagonal/>
    </border>
    <border>
      <left/>
      <right style="hair">
        <color indexed="64"/>
      </right>
      <top style="hair">
        <color indexed="64"/>
      </top>
      <bottom style="thin">
        <color indexed="64"/>
      </bottom>
      <diagonal/>
    </border>
    <border>
      <left/>
      <right style="hair">
        <color indexed="64"/>
      </right>
      <top style="thin">
        <color indexed="64"/>
      </top>
      <bottom style="hair">
        <color indexed="64"/>
      </bottom>
      <diagonal/>
    </border>
    <border>
      <left style="hair">
        <color indexed="64"/>
      </left>
      <right style="hair">
        <color indexed="64"/>
      </right>
      <top/>
      <bottom/>
      <diagonal/>
    </border>
    <border>
      <left/>
      <right style="hair">
        <color indexed="64"/>
      </right>
      <top style="medium">
        <color indexed="64"/>
      </top>
      <bottom style="hair">
        <color indexed="64"/>
      </bottom>
      <diagonal/>
    </border>
    <border>
      <left style="hair">
        <color indexed="64"/>
      </left>
      <right style="hair">
        <color indexed="64"/>
      </right>
      <top style="medium">
        <color indexed="64"/>
      </top>
      <bottom/>
      <diagonal/>
    </border>
    <border>
      <left style="hair">
        <color indexed="64"/>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style="hair">
        <color indexed="64"/>
      </left>
      <right style="hair">
        <color indexed="64"/>
      </right>
      <top/>
      <bottom style="thin">
        <color indexed="64"/>
      </bottom>
      <diagonal/>
    </border>
    <border>
      <left/>
      <right/>
      <top style="hair">
        <color indexed="64"/>
      </top>
      <bottom style="thin">
        <color indexed="64"/>
      </bottom>
      <diagonal/>
    </border>
    <border>
      <left/>
      <right style="hair">
        <color indexed="64"/>
      </right>
      <top style="thin">
        <color indexed="64"/>
      </top>
      <bottom style="medium">
        <color indexed="64"/>
      </bottom>
      <diagonal/>
    </border>
    <border>
      <left style="hair">
        <color indexed="64"/>
      </left>
      <right style="hair">
        <color indexed="64"/>
      </right>
      <top style="thin">
        <color indexed="64"/>
      </top>
      <bottom style="medium">
        <color indexed="64"/>
      </bottom>
      <diagonal/>
    </border>
    <border>
      <left style="hair">
        <color indexed="64"/>
      </left>
      <right/>
      <top style="thin">
        <color indexed="64"/>
      </top>
      <bottom style="medium">
        <color indexed="64"/>
      </bottom>
      <diagonal/>
    </border>
    <border>
      <left/>
      <right/>
      <top style="thin">
        <color indexed="64"/>
      </top>
      <bottom style="medium">
        <color indexed="64"/>
      </bottom>
      <diagonal/>
    </border>
    <border>
      <left/>
      <right style="hair">
        <color indexed="64"/>
      </right>
      <top style="medium">
        <color indexed="64"/>
      </top>
      <bottom/>
      <diagonal/>
    </border>
    <border>
      <left/>
      <right style="hair">
        <color indexed="64"/>
      </right>
      <top/>
      <bottom style="thin">
        <color indexed="64"/>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bottom style="medium">
        <color indexed="64"/>
      </bottom>
      <diagonal/>
    </border>
    <border>
      <left style="hair">
        <color indexed="64"/>
      </left>
      <right style="hair">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s>
  <cellStyleXfs count="137">
    <xf numFmtId="0" fontId="0" fillId="0" borderId="0">
      <protection locked="0"/>
    </xf>
    <xf numFmtId="0" fontId="1" fillId="0" borderId="0">
      <protection locked="0"/>
    </xf>
    <xf numFmtId="0" fontId="3" fillId="0" borderId="0">
      <protection locked="0"/>
    </xf>
    <xf numFmtId="43" fontId="1" fillId="0" borderId="0" applyFont="0" applyFill="0" applyBorder="0" applyAlignment="0" applyProtection="0"/>
    <xf numFmtId="9" fontId="2" fillId="0" borderId="0" applyFont="0" applyFill="0" applyBorder="0" applyAlignment="0" applyProtection="0"/>
    <xf numFmtId="177" fontId="2" fillId="0" borderId="0" applyFont="0" applyFill="0" applyBorder="0" applyAlignment="0" applyProtection="0"/>
    <xf numFmtId="0" fontId="1" fillId="0" borderId="0">
      <protection locked="0"/>
    </xf>
    <xf numFmtId="0" fontId="9" fillId="0" borderId="0"/>
    <xf numFmtId="0" fontId="9" fillId="0" borderId="0"/>
    <xf numFmtId="0" fontId="9" fillId="0" borderId="0"/>
    <xf numFmtId="0" fontId="9" fillId="0" borderId="0"/>
    <xf numFmtId="49" fontId="10" fillId="0" borderId="0" applyProtection="0">
      <alignment horizontal="left"/>
    </xf>
    <xf numFmtId="0" fontId="15" fillId="0" borderId="0">
      <alignment vertical="top"/>
      <protection locked="0"/>
    </xf>
    <xf numFmtId="0" fontId="15" fillId="0" borderId="0">
      <alignment vertical="top"/>
      <protection locked="0"/>
    </xf>
    <xf numFmtId="0" fontId="15" fillId="0" borderId="0">
      <alignment vertical="top"/>
      <protection locked="0"/>
    </xf>
    <xf numFmtId="0" fontId="15" fillId="0" borderId="0">
      <alignment vertical="top"/>
    </xf>
    <xf numFmtId="0" fontId="15" fillId="0" borderId="0">
      <alignment vertical="top"/>
      <protection locked="0"/>
    </xf>
    <xf numFmtId="0" fontId="15" fillId="0" borderId="0">
      <alignment vertical="top"/>
    </xf>
    <xf numFmtId="0" fontId="15" fillId="0" borderId="0">
      <alignment vertical="top"/>
    </xf>
    <xf numFmtId="0" fontId="15" fillId="0" borderId="0">
      <alignment vertical="top"/>
      <protection locked="0"/>
    </xf>
    <xf numFmtId="0" fontId="15" fillId="0" borderId="0">
      <alignment vertical="top"/>
      <protection locked="0"/>
    </xf>
    <xf numFmtId="0" fontId="15" fillId="0" borderId="0">
      <alignment vertical="top"/>
      <protection locked="0"/>
    </xf>
    <xf numFmtId="0" fontId="15" fillId="0" borderId="0">
      <alignment vertical="top"/>
    </xf>
    <xf numFmtId="0" fontId="15" fillId="0" borderId="0">
      <alignment vertical="top"/>
    </xf>
    <xf numFmtId="0" fontId="15" fillId="0" borderId="0">
      <alignment vertical="top"/>
      <protection locked="0"/>
    </xf>
    <xf numFmtId="0" fontId="15" fillId="0" borderId="0">
      <alignment vertical="top"/>
    </xf>
    <xf numFmtId="0" fontId="15" fillId="0" borderId="0">
      <alignment vertical="top"/>
    </xf>
    <xf numFmtId="0" fontId="15" fillId="0" borderId="0">
      <alignment vertical="top"/>
    </xf>
    <xf numFmtId="0" fontId="15" fillId="0" borderId="0">
      <alignment vertical="top"/>
      <protection locked="0"/>
    </xf>
    <xf numFmtId="0" fontId="15" fillId="0" borderId="0">
      <alignment vertical="top"/>
    </xf>
    <xf numFmtId="0" fontId="15" fillId="0" borderId="0">
      <alignment vertical="top"/>
      <protection locked="0"/>
    </xf>
    <xf numFmtId="0" fontId="15" fillId="0" borderId="0">
      <alignment vertical="top"/>
      <protection locked="0"/>
    </xf>
    <xf numFmtId="0" fontId="15" fillId="0" borderId="0">
      <alignment vertical="top"/>
      <protection locked="0"/>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180" fontId="10" fillId="0" borderId="0" applyFill="0" applyBorder="0" applyProtection="0">
      <alignment horizontal="right"/>
    </xf>
    <xf numFmtId="181" fontId="10" fillId="0" borderId="0" applyFill="0" applyBorder="0" applyProtection="0">
      <alignment horizontal="right"/>
    </xf>
    <xf numFmtId="182" fontId="16" fillId="0" borderId="0" applyFill="0" applyBorder="0" applyProtection="0">
      <alignment horizontal="center"/>
    </xf>
    <xf numFmtId="183" fontId="16" fillId="0" borderId="0" applyFill="0" applyBorder="0" applyProtection="0">
      <alignment horizontal="center"/>
    </xf>
    <xf numFmtId="184" fontId="17" fillId="0" borderId="0" applyFill="0" applyBorder="0" applyProtection="0">
      <alignment horizontal="right"/>
    </xf>
    <xf numFmtId="185" fontId="10" fillId="0" borderId="0" applyFill="0" applyBorder="0" applyProtection="0">
      <alignment horizontal="right"/>
    </xf>
    <xf numFmtId="186" fontId="10" fillId="0" borderId="0" applyFill="0" applyBorder="0" applyProtection="0">
      <alignment horizontal="right"/>
    </xf>
    <xf numFmtId="187" fontId="10" fillId="0" borderId="0" applyFill="0" applyBorder="0" applyProtection="0">
      <alignment horizontal="right"/>
    </xf>
    <xf numFmtId="188" fontId="10" fillId="0" borderId="0" applyFill="0" applyBorder="0" applyProtection="0">
      <alignment horizontal="right"/>
    </xf>
    <xf numFmtId="189" fontId="18" fillId="0" borderId="0" applyFont="0" applyFill="0" applyBorder="0" applyAlignment="0" applyProtection="0"/>
    <xf numFmtId="179" fontId="18" fillId="0" borderId="0" applyFont="0" applyFill="0" applyBorder="0" applyAlignment="0" applyProtection="0"/>
    <xf numFmtId="10" fontId="18" fillId="0" borderId="0" applyFont="0" applyFill="0" applyBorder="0" applyAlignment="0" applyProtection="0"/>
    <xf numFmtId="3" fontId="19" fillId="0" borderId="0"/>
    <xf numFmtId="190" fontId="20" fillId="0" borderId="36" applyAlignment="0" applyProtection="0"/>
    <xf numFmtId="191" fontId="1" fillId="0" borderId="0" applyFill="0" applyBorder="0" applyAlignment="0"/>
    <xf numFmtId="0" fontId="21" fillId="0" borderId="35" applyNumberFormat="0" applyFill="0" applyProtection="0">
      <alignment horizontal="center"/>
    </xf>
    <xf numFmtId="0" fontId="22" fillId="0" borderId="37">
      <alignment horizontal="center"/>
    </xf>
    <xf numFmtId="192" fontId="9" fillId="0" borderId="0"/>
    <xf numFmtId="192" fontId="9" fillId="0" borderId="0"/>
    <xf numFmtId="192" fontId="9" fillId="0" borderId="0"/>
    <xf numFmtId="192" fontId="9" fillId="0" borderId="0"/>
    <xf numFmtId="192" fontId="9" fillId="0" borderId="0"/>
    <xf numFmtId="192" fontId="9" fillId="0" borderId="0"/>
    <xf numFmtId="192" fontId="9" fillId="0" borderId="0"/>
    <xf numFmtId="192" fontId="9" fillId="0" borderId="0"/>
    <xf numFmtId="38" fontId="23" fillId="0" borderId="0" applyFont="0" applyFill="0" applyBorder="0" applyAlignment="0" applyProtection="0"/>
    <xf numFmtId="37" fontId="18" fillId="0" borderId="0" applyFont="0" applyFill="0" applyBorder="0" applyAlignment="0" applyProtection="0"/>
    <xf numFmtId="193" fontId="18" fillId="0" borderId="0" applyFont="0" applyFill="0" applyBorder="0" applyAlignment="0" applyProtection="0"/>
    <xf numFmtId="39" fontId="18" fillId="0" borderId="0" applyFont="0" applyFill="0" applyBorder="0" applyAlignment="0" applyProtection="0"/>
    <xf numFmtId="40" fontId="23" fillId="0" borderId="0" applyFont="0" applyFill="0" applyBorder="0" applyAlignment="0" applyProtection="0"/>
    <xf numFmtId="194" fontId="1" fillId="0" borderId="0" applyFont="0" applyFill="0" applyBorder="0" applyAlignment="0" applyProtection="0"/>
    <xf numFmtId="190" fontId="18" fillId="0" borderId="0" applyFont="0" applyFill="0" applyBorder="0" applyAlignment="0" applyProtection="0"/>
    <xf numFmtId="195" fontId="18" fillId="0" borderId="0" applyFont="0" applyFill="0" applyBorder="0" applyAlignment="0" applyProtection="0"/>
    <xf numFmtId="196" fontId="1" fillId="0" borderId="0" applyFont="0" applyFill="0" applyBorder="0" applyAlignment="0" applyProtection="0"/>
    <xf numFmtId="41" fontId="9" fillId="0" borderId="0" applyFont="0" applyFill="0" applyBorder="0" applyAlignment="0" applyProtection="0"/>
    <xf numFmtId="43" fontId="9" fillId="0" borderId="0" applyFont="0" applyFill="0" applyBorder="0" applyAlignment="0" applyProtection="0"/>
    <xf numFmtId="0" fontId="11" fillId="0" borderId="0">
      <alignment horizontal="left"/>
    </xf>
    <xf numFmtId="0" fontId="24" fillId="3" borderId="38"/>
    <xf numFmtId="197" fontId="10" fillId="0" borderId="0" applyFont="0" applyFill="0" applyBorder="0" applyAlignment="0" applyProtection="0"/>
    <xf numFmtId="0" fontId="25" fillId="0" borderId="0" applyNumberFormat="0" applyFill="0" applyBorder="0" applyAlignment="0" applyProtection="0">
      <alignment vertical="top"/>
      <protection locked="0"/>
    </xf>
    <xf numFmtId="38" fontId="24" fillId="2" borderId="0" applyNumberFormat="0" applyBorder="0" applyAlignment="0" applyProtection="0"/>
    <xf numFmtId="0" fontId="26" fillId="0" borderId="39" applyNumberFormat="0" applyAlignment="0" applyProtection="0">
      <alignment horizontal="left" vertical="center"/>
    </xf>
    <xf numFmtId="0" fontId="26" fillId="0" borderId="8">
      <alignment horizontal="left" vertical="center"/>
    </xf>
    <xf numFmtId="14" fontId="14" fillId="4" borderId="40">
      <alignment horizontal="center" vertical="center" wrapText="1"/>
    </xf>
    <xf numFmtId="0" fontId="27" fillId="0" borderId="0" applyNumberFormat="0" applyFill="0" applyBorder="0" applyAlignment="0" applyProtection="0">
      <alignment vertical="top"/>
      <protection locked="0"/>
    </xf>
    <xf numFmtId="10" fontId="24" fillId="5" borderId="38" applyNumberFormat="0" applyBorder="0" applyAlignment="0" applyProtection="0"/>
    <xf numFmtId="0" fontId="10" fillId="0" borderId="0" applyNumberFormat="0" applyFont="0" applyFill="0" applyBorder="0" applyProtection="0">
      <alignment horizontal="left" vertical="center"/>
    </xf>
    <xf numFmtId="41" fontId="9" fillId="0" borderId="0" applyFont="0" applyFill="0" applyBorder="0" applyAlignment="0" applyProtection="0"/>
    <xf numFmtId="43" fontId="9" fillId="0" borderId="0" applyFont="0" applyFill="0" applyBorder="0" applyAlignment="0" applyProtection="0"/>
    <xf numFmtId="198" fontId="1" fillId="0" borderId="0" applyFont="0" applyFill="0" applyBorder="0" applyAlignment="0" applyProtection="0"/>
    <xf numFmtId="199" fontId="1" fillId="0" borderId="0" applyFont="0" applyFill="0" applyBorder="0" applyAlignment="0" applyProtection="0"/>
    <xf numFmtId="200" fontId="9" fillId="0" borderId="0" applyFont="0" applyFill="0" applyBorder="0" applyAlignment="0" applyProtection="0"/>
    <xf numFmtId="201" fontId="9" fillId="0" borderId="0" applyFont="0" applyFill="0" applyBorder="0" applyAlignment="0" applyProtection="0"/>
    <xf numFmtId="202" fontId="9" fillId="0" borderId="0" applyFont="0" applyFill="0" applyBorder="0" applyAlignment="0" applyProtection="0"/>
    <xf numFmtId="203" fontId="1" fillId="0" borderId="0" applyFont="0" applyFill="0" applyBorder="0" applyAlignment="0" applyProtection="0"/>
    <xf numFmtId="37" fontId="28" fillId="0" borderId="0"/>
    <xf numFmtId="0" fontId="29" fillId="0" borderId="0"/>
    <xf numFmtId="204" fontId="1" fillId="0" borderId="0"/>
    <xf numFmtId="0" fontId="23" fillId="0" borderId="0"/>
    <xf numFmtId="0" fontId="30" fillId="0" borderId="0"/>
    <xf numFmtId="205" fontId="9" fillId="0" borderId="0" applyFont="0" applyFill="0" applyBorder="0" applyAlignment="0" applyProtection="0"/>
    <xf numFmtId="10" fontId="9" fillId="0" borderId="0" applyFont="0" applyFill="0" applyBorder="0" applyAlignment="0" applyProtection="0"/>
    <xf numFmtId="0" fontId="24" fillId="2" borderId="38"/>
    <xf numFmtId="4" fontId="11" fillId="0" borderId="0">
      <alignment horizontal="right"/>
    </xf>
    <xf numFmtId="3" fontId="31" fillId="0" borderId="0"/>
    <xf numFmtId="4" fontId="32" fillId="0" borderId="0">
      <alignment horizontal="right"/>
    </xf>
    <xf numFmtId="0" fontId="33" fillId="6" borderId="0">
      <alignment horizontal="left" vertical="center"/>
    </xf>
    <xf numFmtId="0" fontId="33" fillId="6" borderId="0">
      <alignment horizontal="right" vertical="center"/>
    </xf>
    <xf numFmtId="0" fontId="34" fillId="0" borderId="0">
      <alignment horizontal="left"/>
    </xf>
    <xf numFmtId="0" fontId="35" fillId="0" borderId="38">
      <alignment horizontal="center"/>
    </xf>
    <xf numFmtId="0" fontId="35" fillId="0" borderId="0">
      <alignment horizontal="center" vertical="center"/>
    </xf>
    <xf numFmtId="0" fontId="36" fillId="7" borderId="0" applyNumberFormat="0" applyFill="0">
      <alignment horizontal="left" vertical="center"/>
    </xf>
    <xf numFmtId="0" fontId="37" fillId="0" borderId="0" applyFill="0" applyBorder="0" applyProtection="0">
      <alignment horizontal="left" vertical="top"/>
    </xf>
    <xf numFmtId="0" fontId="12" fillId="0" borderId="0">
      <alignment horizontal="center"/>
    </xf>
    <xf numFmtId="0" fontId="38" fillId="0" borderId="0" applyNumberFormat="0" applyFont="0" applyFill="0" applyBorder="0" applyProtection="0">
      <alignment horizontal="center" vertical="center" wrapText="1"/>
    </xf>
    <xf numFmtId="9" fontId="39" fillId="0" borderId="0" applyFont="0" applyFill="0" applyBorder="0" applyAlignment="0" applyProtection="0"/>
    <xf numFmtId="4" fontId="40" fillId="0" borderId="0">
      <alignment horizontal="right"/>
    </xf>
    <xf numFmtId="0" fontId="41" fillId="0" borderId="0" applyNumberFormat="0" applyFill="0" applyBorder="0" applyAlignment="0" applyProtection="0">
      <alignment vertical="top"/>
      <protection locked="0"/>
    </xf>
    <xf numFmtId="0" fontId="20" fillId="0" borderId="0" applyNumberFormat="0" applyFill="0" applyBorder="0" applyAlignment="0" applyProtection="0"/>
    <xf numFmtId="4" fontId="38" fillId="0" borderId="0" applyFont="0" applyFill="0" applyBorder="0" applyAlignment="0" applyProtection="0"/>
    <xf numFmtId="41" fontId="9" fillId="0" borderId="0" applyFont="0" applyFill="0" applyBorder="0" applyAlignment="0" applyProtection="0"/>
    <xf numFmtId="206" fontId="2" fillId="0" borderId="0" applyFont="0" applyFill="0" applyBorder="0" applyAlignment="0" applyProtection="0"/>
    <xf numFmtId="8" fontId="1" fillId="0" borderId="0" applyFont="0" applyFill="0" applyBorder="0" applyAlignment="0" applyProtection="0"/>
    <xf numFmtId="207" fontId="2" fillId="0" borderId="0" applyFont="0" applyFill="0" applyBorder="0" applyAlignment="0" applyProtection="0"/>
    <xf numFmtId="208" fontId="2" fillId="0" borderId="0" applyFont="0" applyFill="0" applyBorder="0" applyAlignment="0" applyProtection="0"/>
    <xf numFmtId="0" fontId="10" fillId="0" borderId="0"/>
    <xf numFmtId="0" fontId="10" fillId="0" borderId="0" applyFont="0" applyFill="0" applyBorder="0" applyAlignment="0" applyProtection="0"/>
    <xf numFmtId="0" fontId="10" fillId="0" borderId="0" applyFont="0" applyFill="0" applyBorder="0" applyAlignment="0" applyProtection="0"/>
    <xf numFmtId="41" fontId="4" fillId="0" borderId="0" applyFont="0" applyFill="0" applyBorder="0" applyAlignment="0" applyProtection="0"/>
    <xf numFmtId="43" fontId="4" fillId="0" borderId="0" applyFont="0" applyFill="0" applyBorder="0" applyAlignment="0" applyProtection="0"/>
    <xf numFmtId="0" fontId="42" fillId="0" borderId="0"/>
    <xf numFmtId="201" fontId="9" fillId="0" borderId="0" applyFont="0" applyFill="0" applyBorder="0" applyAlignment="0" applyProtection="0"/>
    <xf numFmtId="209" fontId="1" fillId="0" borderId="0" applyFont="0" applyFill="0" applyBorder="0" applyAlignment="0" applyProtection="0"/>
    <xf numFmtId="38" fontId="43" fillId="0" borderId="0" applyFont="0" applyFill="0" applyBorder="0" applyAlignment="0" applyProtection="0"/>
    <xf numFmtId="40" fontId="43" fillId="0" borderId="0" applyFont="0" applyFill="0" applyBorder="0" applyAlignment="0" applyProtection="0"/>
    <xf numFmtId="0" fontId="43" fillId="0" borderId="0" applyFont="0" applyFill="0" applyBorder="0" applyAlignment="0" applyProtection="0"/>
    <xf numFmtId="0" fontId="43" fillId="0" borderId="0" applyFont="0" applyFill="0" applyBorder="0" applyAlignment="0" applyProtection="0"/>
    <xf numFmtId="0" fontId="44" fillId="0" borderId="0"/>
    <xf numFmtId="0" fontId="47" fillId="0" borderId="0" applyNumberFormat="0" applyFill="0" applyBorder="0" applyAlignment="0" applyProtection="0">
      <protection locked="0"/>
    </xf>
  </cellStyleXfs>
  <cellXfs count="298">
    <xf numFmtId="0" fontId="0" fillId="0" borderId="0" xfId="0">
      <protection locked="0"/>
    </xf>
    <xf numFmtId="0" fontId="5" fillId="0" borderId="0" xfId="0" applyFont="1" applyAlignment="1">
      <alignment vertical="center"/>
      <protection locked="0"/>
    </xf>
    <xf numFmtId="0" fontId="6" fillId="0" borderId="0" xfId="0" applyFont="1">
      <protection locked="0"/>
    </xf>
    <xf numFmtId="0" fontId="6" fillId="11" borderId="0" xfId="0" applyFont="1" applyFill="1" applyAlignment="1">
      <alignment horizontal="justify" vertical="center" wrapText="1"/>
      <protection locked="0"/>
    </xf>
    <xf numFmtId="0" fontId="6" fillId="0" borderId="0" xfId="0" applyFont="1" applyAlignment="1">
      <alignment horizontal="center" vertical="center"/>
      <protection locked="0"/>
    </xf>
    <xf numFmtId="0" fontId="6" fillId="0" borderId="38" xfId="0" applyFont="1" applyBorder="1" applyAlignment="1">
      <alignment horizontal="center" vertical="center" wrapText="1"/>
      <protection locked="0"/>
    </xf>
    <xf numFmtId="0" fontId="49" fillId="0" borderId="38" xfId="136" applyFont="1" applyBorder="1" applyAlignment="1">
      <alignment vertical="center"/>
      <protection locked="0"/>
    </xf>
    <xf numFmtId="0" fontId="6" fillId="0" borderId="38" xfId="0" applyFont="1" applyBorder="1" applyAlignment="1">
      <alignment vertical="center"/>
      <protection locked="0"/>
    </xf>
    <xf numFmtId="0" fontId="49" fillId="0" borderId="38" xfId="136" applyFont="1" applyFill="1" applyBorder="1" applyAlignment="1">
      <alignment vertical="center"/>
      <protection locked="0"/>
    </xf>
    <xf numFmtId="0" fontId="6" fillId="0" borderId="0" xfId="0" applyFont="1" applyAlignment="1">
      <alignment horizontal="center" vertical="center" wrapText="1"/>
      <protection locked="0"/>
    </xf>
    <xf numFmtId="0" fontId="49" fillId="0" borderId="0" xfId="136" applyFont="1" applyBorder="1" applyAlignment="1">
      <alignment vertical="center"/>
      <protection locked="0"/>
    </xf>
    <xf numFmtId="0" fontId="6" fillId="0" borderId="0" xfId="0" applyFont="1" applyAlignment="1">
      <alignment vertical="center"/>
      <protection locked="0"/>
    </xf>
    <xf numFmtId="0" fontId="49" fillId="0" borderId="0" xfId="136" quotePrefix="1" applyFont="1" applyBorder="1" applyAlignment="1">
      <alignment vertical="center"/>
      <protection locked="0"/>
    </xf>
    <xf numFmtId="0" fontId="51" fillId="0" borderId="0" xfId="1" applyFont="1" applyAlignment="1" applyProtection="1">
      <alignment vertical="center"/>
      <protection hidden="1"/>
    </xf>
    <xf numFmtId="176" fontId="51" fillId="0" borderId="0" xfId="2" applyNumberFormat="1" applyFont="1" applyAlignment="1" applyProtection="1">
      <alignment vertical="center"/>
    </xf>
    <xf numFmtId="176" fontId="51" fillId="0" borderId="0" xfId="2" applyNumberFormat="1" applyFont="1" applyAlignment="1">
      <alignment vertical="center"/>
      <protection locked="0"/>
    </xf>
    <xf numFmtId="176" fontId="51" fillId="0" borderId="0" xfId="2" applyNumberFormat="1" applyFont="1" applyAlignment="1" applyProtection="1">
      <alignment horizontal="left" vertical="center"/>
    </xf>
    <xf numFmtId="0" fontId="51" fillId="12" borderId="25" xfId="1" applyFont="1" applyFill="1" applyBorder="1" applyAlignment="1" applyProtection="1">
      <alignment horizontal="centerContinuous" vertical="center"/>
    </xf>
    <xf numFmtId="0" fontId="51" fillId="12" borderId="4" xfId="1" applyFont="1" applyFill="1" applyBorder="1" applyAlignment="1" applyProtection="1">
      <alignment horizontal="center" vertical="center"/>
    </xf>
    <xf numFmtId="0" fontId="51" fillId="12" borderId="4" xfId="1" applyFont="1" applyFill="1" applyBorder="1" applyAlignment="1" applyProtection="1">
      <alignment horizontal="centerContinuous" vertical="center"/>
    </xf>
    <xf numFmtId="0" fontId="51" fillId="12" borderId="12" xfId="1" applyFont="1" applyFill="1" applyBorder="1" applyAlignment="1" applyProtection="1">
      <alignment horizontal="center" vertical="center"/>
    </xf>
    <xf numFmtId="176" fontId="53" fillId="0" borderId="21" xfId="1" applyNumberFormat="1" applyFont="1" applyBorder="1" applyAlignment="1" applyProtection="1">
      <alignment horizontal="left" vertical="center" wrapText="1"/>
    </xf>
    <xf numFmtId="3" fontId="51" fillId="0" borderId="1" xfId="1" applyNumberFormat="1" applyFont="1" applyBorder="1" applyAlignment="1" applyProtection="1">
      <alignment horizontal="center" vertical="center" wrapText="1"/>
    </xf>
    <xf numFmtId="0" fontId="51" fillId="0" borderId="1" xfId="1" applyFont="1" applyBorder="1" applyAlignment="1" applyProtection="1">
      <alignment horizontal="center" vertical="center" wrapText="1"/>
    </xf>
    <xf numFmtId="0" fontId="51" fillId="0" borderId="1" xfId="1" applyFont="1" applyBorder="1" applyAlignment="1" applyProtection="1">
      <alignment horizontal="left" vertical="center" wrapText="1"/>
    </xf>
    <xf numFmtId="0" fontId="51" fillId="0" borderId="2" xfId="1" applyFont="1" applyBorder="1" applyAlignment="1">
      <alignment horizontal="left" vertical="center" wrapText="1"/>
      <protection locked="0"/>
    </xf>
    <xf numFmtId="0" fontId="53" fillId="0" borderId="21" xfId="1" applyFont="1" applyBorder="1" applyAlignment="1" applyProtection="1">
      <alignment horizontal="left" vertical="center" wrapText="1"/>
    </xf>
    <xf numFmtId="3" fontId="51" fillId="0" borderId="41" xfId="1" applyNumberFormat="1" applyFont="1" applyBorder="1" applyAlignment="1" applyProtection="1">
      <alignment horizontal="center" vertical="center" wrapText="1"/>
    </xf>
    <xf numFmtId="0" fontId="51" fillId="0" borderId="1" xfId="1" applyFont="1" applyBorder="1" applyAlignment="1" applyProtection="1">
      <alignment vertical="center" wrapText="1"/>
    </xf>
    <xf numFmtId="0" fontId="51" fillId="0" borderId="2" xfId="1" applyFont="1" applyBorder="1" applyAlignment="1" applyProtection="1">
      <alignment horizontal="left" vertical="center" wrapText="1"/>
      <protection hidden="1"/>
    </xf>
    <xf numFmtId="176" fontId="51" fillId="0" borderId="3" xfId="1" applyNumberFormat="1" applyFont="1" applyBorder="1" applyAlignment="1" applyProtection="1">
      <alignment horizontal="left" vertical="center" wrapText="1"/>
    </xf>
    <xf numFmtId="3" fontId="51" fillId="0" borderId="6" xfId="1" applyNumberFormat="1" applyFont="1" applyBorder="1" applyAlignment="1" applyProtection="1">
      <alignment horizontal="center" vertical="center" wrapText="1"/>
    </xf>
    <xf numFmtId="43" fontId="51" fillId="0" borderId="4" xfId="3" applyFont="1" applyFill="1" applyBorder="1" applyAlignment="1" applyProtection="1">
      <alignment horizontal="right" vertical="center" wrapText="1"/>
    </xf>
    <xf numFmtId="43" fontId="51" fillId="12" borderId="4" xfId="3" applyFont="1" applyFill="1" applyBorder="1" applyAlignment="1" applyProtection="1">
      <alignment horizontal="right" vertical="center" wrapText="1"/>
    </xf>
    <xf numFmtId="43" fontId="51" fillId="12" borderId="4" xfId="3" applyFont="1" applyFill="1" applyBorder="1" applyAlignment="1" applyProtection="1">
      <alignment horizontal="center" vertical="center" wrapText="1"/>
    </xf>
    <xf numFmtId="43" fontId="51" fillId="0" borderId="5" xfId="3" applyFont="1" applyFill="1" applyBorder="1" applyAlignment="1" applyProtection="1">
      <alignment horizontal="left" vertical="center" wrapText="1"/>
      <protection locked="0"/>
    </xf>
    <xf numFmtId="0" fontId="51" fillId="0" borderId="3" xfId="1" applyFont="1" applyBorder="1" applyAlignment="1" applyProtection="1">
      <alignment horizontal="left" vertical="center" wrapText="1"/>
    </xf>
    <xf numFmtId="3" fontId="51" fillId="0" borderId="4" xfId="1" applyNumberFormat="1" applyFont="1" applyBorder="1" applyAlignment="1" applyProtection="1">
      <alignment horizontal="center" vertical="center" wrapText="1"/>
    </xf>
    <xf numFmtId="10" fontId="51" fillId="12" borderId="4" xfId="4" applyNumberFormat="1" applyFont="1" applyFill="1" applyBorder="1" applyAlignment="1" applyProtection="1">
      <alignment horizontal="center" vertical="center" wrapText="1"/>
    </xf>
    <xf numFmtId="0" fontId="51" fillId="0" borderId="17" xfId="1" applyFont="1" applyBorder="1" applyAlignment="1" applyProtection="1">
      <alignment horizontal="left" vertical="center" wrapText="1"/>
      <protection hidden="1"/>
    </xf>
    <xf numFmtId="0" fontId="51" fillId="8" borderId="0" xfId="1" applyFont="1" applyFill="1" applyAlignment="1" applyProtection="1">
      <alignment vertical="center"/>
      <protection hidden="1"/>
    </xf>
    <xf numFmtId="0" fontId="51" fillId="9" borderId="0" xfId="1" applyFont="1" applyFill="1" applyAlignment="1" applyProtection="1">
      <alignment vertical="center"/>
      <protection hidden="1"/>
    </xf>
    <xf numFmtId="176" fontId="52" fillId="0" borderId="3" xfId="1" applyNumberFormat="1" applyFont="1" applyBorder="1" applyAlignment="1" applyProtection="1">
      <alignment horizontal="center" vertical="center" wrapText="1"/>
    </xf>
    <xf numFmtId="43" fontId="54" fillId="0" borderId="4" xfId="3" applyFont="1" applyFill="1" applyBorder="1" applyAlignment="1" applyProtection="1">
      <alignment horizontal="right" vertical="center" wrapText="1"/>
    </xf>
    <xf numFmtId="43" fontId="54" fillId="12" borderId="4" xfId="3" applyFont="1" applyFill="1" applyBorder="1" applyAlignment="1" applyProtection="1">
      <alignment horizontal="right" vertical="center" wrapText="1"/>
    </xf>
    <xf numFmtId="10" fontId="54" fillId="12" borderId="4" xfId="4" applyNumberFormat="1" applyFont="1" applyFill="1" applyBorder="1" applyAlignment="1" applyProtection="1">
      <alignment horizontal="center" vertical="center" wrapText="1"/>
    </xf>
    <xf numFmtId="43" fontId="52" fillId="12" borderId="4" xfId="3" applyFont="1" applyFill="1" applyBorder="1" applyAlignment="1" applyProtection="1">
      <alignment horizontal="center" vertical="center" wrapText="1"/>
    </xf>
    <xf numFmtId="43" fontId="52" fillId="0" borderId="5" xfId="3" applyFont="1" applyFill="1" applyBorder="1" applyAlignment="1" applyProtection="1">
      <alignment horizontal="left" vertical="center" wrapText="1"/>
      <protection locked="0"/>
    </xf>
    <xf numFmtId="0" fontId="52" fillId="0" borderId="3" xfId="1" applyFont="1" applyBorder="1" applyAlignment="1" applyProtection="1">
      <alignment horizontal="center" vertical="center" wrapText="1"/>
    </xf>
    <xf numFmtId="43" fontId="54" fillId="12" borderId="4" xfId="3" applyFont="1" applyFill="1" applyBorder="1" applyAlignment="1" applyProtection="1">
      <alignment horizontal="center" vertical="center" wrapText="1"/>
    </xf>
    <xf numFmtId="0" fontId="54" fillId="0" borderId="17" xfId="1" applyFont="1" applyBorder="1" applyAlignment="1" applyProtection="1">
      <alignment horizontal="left" vertical="center" wrapText="1"/>
      <protection hidden="1"/>
    </xf>
    <xf numFmtId="176" fontId="53" fillId="0" borderId="3" xfId="1" applyNumberFormat="1" applyFont="1" applyBorder="1" applyAlignment="1" applyProtection="1">
      <alignment horizontal="left" vertical="center" wrapText="1"/>
    </xf>
    <xf numFmtId="0" fontId="53" fillId="0" borderId="3" xfId="1" applyFont="1" applyBorder="1" applyAlignment="1" applyProtection="1">
      <alignment horizontal="left" vertical="center" wrapText="1"/>
    </xf>
    <xf numFmtId="43" fontId="50" fillId="12" borderId="4" xfId="3" applyFont="1" applyFill="1" applyBorder="1" applyAlignment="1" applyProtection="1">
      <alignment horizontal="right" vertical="center" wrapText="1"/>
    </xf>
    <xf numFmtId="0" fontId="52" fillId="0" borderId="20" xfId="1" applyFont="1" applyBorder="1" applyAlignment="1" applyProtection="1">
      <alignment horizontal="center" vertical="center" wrapText="1"/>
    </xf>
    <xf numFmtId="0" fontId="51" fillId="0" borderId="28" xfId="1" applyFont="1" applyBorder="1" applyAlignment="1" applyProtection="1">
      <alignment horizontal="left" vertical="center" wrapText="1"/>
      <protection hidden="1"/>
    </xf>
    <xf numFmtId="43" fontId="50" fillId="12" borderId="30" xfId="3" applyFont="1" applyFill="1" applyBorder="1" applyAlignment="1" applyProtection="1">
      <alignment horizontal="right" vertical="center" wrapText="1"/>
    </xf>
    <xf numFmtId="10" fontId="54" fillId="12" borderId="30" xfId="4" applyNumberFormat="1" applyFont="1" applyFill="1" applyBorder="1" applyAlignment="1" applyProtection="1">
      <alignment horizontal="center" vertical="center" wrapText="1"/>
    </xf>
    <xf numFmtId="43" fontId="54" fillId="12" borderId="30" xfId="3" applyFont="1" applyFill="1" applyBorder="1" applyAlignment="1" applyProtection="1">
      <alignment horizontal="center" vertical="center" wrapText="1"/>
    </xf>
    <xf numFmtId="43" fontId="55" fillId="0" borderId="31" xfId="3" applyFont="1" applyFill="1" applyBorder="1" applyAlignment="1" applyProtection="1">
      <alignment horizontal="left" vertical="center" wrapText="1"/>
      <protection locked="0"/>
    </xf>
    <xf numFmtId="0" fontId="52" fillId="0" borderId="29" xfId="1" applyFont="1" applyBorder="1" applyAlignment="1" applyProtection="1">
      <alignment horizontal="center" vertical="center" wrapText="1"/>
    </xf>
    <xf numFmtId="43" fontId="50" fillId="12" borderId="31" xfId="3" applyFont="1" applyFill="1" applyBorder="1" applyAlignment="1" applyProtection="1">
      <alignment horizontal="right" vertical="center" wrapText="1"/>
    </xf>
    <xf numFmtId="10" fontId="54" fillId="12" borderId="31" xfId="4" applyNumberFormat="1" applyFont="1" applyFill="1" applyBorder="1" applyAlignment="1" applyProtection="1">
      <alignment horizontal="center" vertical="center" wrapText="1"/>
    </xf>
    <xf numFmtId="0" fontId="51" fillId="0" borderId="32" xfId="1" applyFont="1" applyBorder="1" applyAlignment="1" applyProtection="1">
      <alignment horizontal="left" vertical="center" wrapText="1"/>
      <protection hidden="1"/>
    </xf>
    <xf numFmtId="0" fontId="52" fillId="0" borderId="0" xfId="1" applyFont="1" applyAlignment="1" applyProtection="1">
      <alignment vertical="center"/>
      <protection hidden="1"/>
    </xf>
    <xf numFmtId="0" fontId="52" fillId="12" borderId="42" xfId="0" applyFont="1" applyFill="1" applyBorder="1" applyAlignment="1">
      <alignment horizontal="center" vertical="center" wrapText="1"/>
      <protection locked="0"/>
    </xf>
    <xf numFmtId="14" fontId="52" fillId="12" borderId="1" xfId="0" applyNumberFormat="1" applyFont="1" applyFill="1" applyBorder="1" applyAlignment="1">
      <alignment horizontal="center" vertical="center" wrapText="1"/>
      <protection locked="0"/>
    </xf>
    <xf numFmtId="0" fontId="52" fillId="12" borderId="1" xfId="0" applyFont="1" applyFill="1" applyBorder="1" applyAlignment="1">
      <alignment horizontal="center" vertical="center" wrapText="1"/>
      <protection locked="0"/>
    </xf>
    <xf numFmtId="0" fontId="56" fillId="12" borderId="1" xfId="0" applyFont="1" applyFill="1" applyBorder="1" applyAlignment="1">
      <alignment horizontal="center" vertical="center" wrapText="1"/>
      <protection locked="0"/>
    </xf>
    <xf numFmtId="0" fontId="56" fillId="12" borderId="43" xfId="0" applyFont="1" applyFill="1" applyBorder="1" applyAlignment="1">
      <alignment horizontal="center" vertical="center" wrapText="1"/>
      <protection locked="0"/>
    </xf>
    <xf numFmtId="0" fontId="57" fillId="0" borderId="44" xfId="0" applyFont="1" applyBorder="1" applyAlignment="1">
      <alignment horizontal="center" vertical="center" wrapText="1"/>
      <protection locked="0"/>
    </xf>
    <xf numFmtId="14" fontId="51" fillId="0" borderId="4" xfId="0" applyNumberFormat="1" applyFont="1" applyBorder="1" applyAlignment="1">
      <alignment horizontal="center" vertical="center" wrapText="1"/>
      <protection locked="0"/>
    </xf>
    <xf numFmtId="0" fontId="51" fillId="0" borderId="4" xfId="0" applyFont="1" applyBorder="1" applyAlignment="1">
      <alignment horizontal="center" vertical="center" wrapText="1"/>
      <protection locked="0"/>
    </xf>
    <xf numFmtId="0" fontId="51" fillId="0" borderId="45" xfId="0" applyFont="1" applyBorder="1" applyAlignment="1">
      <alignment horizontal="center" vertical="center" wrapText="1"/>
      <protection locked="0"/>
    </xf>
    <xf numFmtId="0" fontId="57" fillId="0" borderId="46" xfId="0" applyFont="1" applyBorder="1" applyAlignment="1">
      <alignment horizontal="center" vertical="center" wrapText="1"/>
      <protection locked="0"/>
    </xf>
    <xf numFmtId="14" fontId="51" fillId="0" borderId="12" xfId="0" applyNumberFormat="1" applyFont="1" applyBorder="1" applyAlignment="1">
      <alignment horizontal="center" vertical="center" wrapText="1"/>
      <protection locked="0"/>
    </xf>
    <xf numFmtId="0" fontId="51" fillId="0" borderId="12" xfId="0" applyFont="1" applyBorder="1" applyAlignment="1">
      <alignment horizontal="center" vertical="center" wrapText="1"/>
      <protection locked="0"/>
    </xf>
    <xf numFmtId="0" fontId="51" fillId="0" borderId="47" xfId="0" applyFont="1" applyBorder="1" applyAlignment="1">
      <alignment horizontal="center" vertical="center" wrapText="1"/>
      <protection locked="0"/>
    </xf>
    <xf numFmtId="0" fontId="58" fillId="0" borderId="0" xfId="1" applyFont="1" applyAlignment="1" applyProtection="1">
      <alignment vertical="center"/>
      <protection hidden="1"/>
    </xf>
    <xf numFmtId="0" fontId="52" fillId="12" borderId="43" xfId="0" applyFont="1" applyFill="1" applyBorder="1" applyAlignment="1">
      <alignment horizontal="center" vertical="center" wrapText="1"/>
      <protection locked="0"/>
    </xf>
    <xf numFmtId="0" fontId="51" fillId="12" borderId="1" xfId="0" applyFont="1" applyFill="1" applyBorder="1" applyAlignment="1">
      <alignment horizontal="center" vertical="center" wrapText="1"/>
      <protection locked="0"/>
    </xf>
    <xf numFmtId="0" fontId="57" fillId="12" borderId="4" xfId="0" applyFont="1" applyFill="1" applyBorder="1" applyAlignment="1">
      <alignment horizontal="center" vertical="center" wrapText="1"/>
      <protection locked="0"/>
    </xf>
    <xf numFmtId="0" fontId="57" fillId="12" borderId="45" xfId="0" applyFont="1" applyFill="1" applyBorder="1" applyAlignment="1">
      <alignment horizontal="center" vertical="center" wrapText="1"/>
      <protection locked="0"/>
    </xf>
    <xf numFmtId="0" fontId="51" fillId="0" borderId="0" xfId="0" applyFont="1" applyAlignment="1">
      <alignment horizontal="center" vertical="center" wrapText="1"/>
      <protection locked="0"/>
    </xf>
    <xf numFmtId="0" fontId="52" fillId="0" borderId="7" xfId="1" applyFont="1" applyBorder="1" applyAlignment="1" applyProtection="1">
      <alignment vertical="center"/>
      <protection hidden="1"/>
    </xf>
    <xf numFmtId="0" fontId="51" fillId="0" borderId="14" xfId="1" applyFont="1" applyBorder="1" applyAlignment="1" applyProtection="1">
      <alignment vertical="center"/>
      <protection hidden="1"/>
    </xf>
    <xf numFmtId="0" fontId="51" fillId="0" borderId="9" xfId="1" applyFont="1" applyBorder="1" applyAlignment="1" applyProtection="1">
      <alignment vertical="center"/>
      <protection hidden="1"/>
    </xf>
    <xf numFmtId="0" fontId="51" fillId="0" borderId="15" xfId="1" applyFont="1" applyBorder="1" applyAlignment="1" applyProtection="1">
      <alignment vertical="center"/>
      <protection hidden="1"/>
    </xf>
    <xf numFmtId="0" fontId="51" fillId="0" borderId="16" xfId="1" applyFont="1" applyBorder="1" applyAlignment="1" applyProtection="1">
      <alignment vertical="center"/>
      <protection hidden="1"/>
    </xf>
    <xf numFmtId="0" fontId="51" fillId="0" borderId="11" xfId="1" applyFont="1" applyBorder="1" applyAlignment="1" applyProtection="1">
      <alignment vertical="center"/>
      <protection hidden="1"/>
    </xf>
    <xf numFmtId="0" fontId="51" fillId="0" borderId="18" xfId="1" applyFont="1" applyBorder="1" applyAlignment="1" applyProtection="1">
      <alignment vertical="center"/>
      <protection hidden="1"/>
    </xf>
    <xf numFmtId="0" fontId="51" fillId="0" borderId="19" xfId="1" applyFont="1" applyBorder="1" applyAlignment="1" applyProtection="1">
      <alignment vertical="center"/>
      <protection hidden="1"/>
    </xf>
    <xf numFmtId="0" fontId="51" fillId="0" borderId="0" xfId="1" applyFont="1">
      <protection locked="0"/>
    </xf>
    <xf numFmtId="176" fontId="51" fillId="0" borderId="0" xfId="2" applyNumberFormat="1" applyFont="1" applyAlignment="1">
      <alignment vertical="center" shrinkToFit="1"/>
      <protection locked="0"/>
    </xf>
    <xf numFmtId="176" fontId="59" fillId="0" borderId="0" xfId="2" applyNumberFormat="1" applyFont="1" applyAlignment="1" applyProtection="1">
      <alignment horizontal="center" vertical="center"/>
    </xf>
    <xf numFmtId="43" fontId="51" fillId="0" borderId="0" xfId="6" applyNumberFormat="1" applyFont="1" applyAlignment="1" applyProtection="1">
      <alignment vertical="center"/>
    </xf>
    <xf numFmtId="43" fontId="51" fillId="0" borderId="0" xfId="6" applyNumberFormat="1" applyFont="1" applyAlignment="1">
      <alignment vertical="center"/>
      <protection locked="0"/>
    </xf>
    <xf numFmtId="0" fontId="51" fillId="0" borderId="0" xfId="1" applyFont="1" applyAlignment="1">
      <alignment horizontal="center" vertical="center" shrinkToFit="1"/>
      <protection locked="0"/>
    </xf>
    <xf numFmtId="43" fontId="52" fillId="12" borderId="12" xfId="3" applyFont="1" applyFill="1" applyBorder="1" applyAlignment="1">
      <alignment horizontal="center" vertical="center" shrinkToFit="1"/>
    </xf>
    <xf numFmtId="0" fontId="52" fillId="12" borderId="12" xfId="1" applyFont="1" applyFill="1" applyBorder="1" applyAlignment="1">
      <alignment horizontal="center" vertical="center" shrinkToFit="1"/>
      <protection locked="0"/>
    </xf>
    <xf numFmtId="0" fontId="52" fillId="0" borderId="21" xfId="1" applyFont="1" applyBorder="1" applyAlignment="1">
      <alignment horizontal="left"/>
      <protection locked="0"/>
    </xf>
    <xf numFmtId="0" fontId="51" fillId="0" borderId="1" xfId="1" applyFont="1" applyBorder="1" applyAlignment="1">
      <alignment horizontal="center" vertical="center" shrinkToFit="1"/>
      <protection locked="0"/>
    </xf>
    <xf numFmtId="43" fontId="51" fillId="0" borderId="1" xfId="3" applyFont="1" applyFill="1" applyBorder="1" applyAlignment="1">
      <alignment horizontal="right"/>
    </xf>
    <xf numFmtId="178" fontId="51" fillId="0" borderId="1" xfId="1" applyNumberFormat="1" applyFont="1" applyBorder="1" applyAlignment="1">
      <alignment horizontal="right"/>
      <protection locked="0"/>
    </xf>
    <xf numFmtId="178" fontId="51" fillId="0" borderId="2" xfId="1" applyNumberFormat="1" applyFont="1" applyBorder="1" applyAlignment="1">
      <alignment horizontal="center"/>
      <protection locked="0"/>
    </xf>
    <xf numFmtId="0" fontId="51" fillId="0" borderId="3" xfId="1" applyFont="1" applyBorder="1" applyAlignment="1">
      <alignment horizontal="left"/>
      <protection locked="0"/>
    </xf>
    <xf numFmtId="0" fontId="51" fillId="0" borderId="4" xfId="1" applyFont="1" applyBorder="1" applyAlignment="1">
      <alignment horizontal="center"/>
      <protection locked="0"/>
    </xf>
    <xf numFmtId="43" fontId="51" fillId="0" borderId="4" xfId="3" applyFont="1" applyFill="1" applyBorder="1" applyAlignment="1">
      <alignment horizontal="right" shrinkToFit="1"/>
    </xf>
    <xf numFmtId="179" fontId="51" fillId="12" borderId="4" xfId="1" applyNumberFormat="1" applyFont="1" applyFill="1" applyBorder="1" applyAlignment="1">
      <alignment horizontal="right"/>
      <protection locked="0"/>
    </xf>
    <xf numFmtId="43" fontId="51" fillId="12" borderId="4" xfId="3" applyFont="1" applyFill="1" applyBorder="1" applyAlignment="1">
      <alignment horizontal="right" shrinkToFit="1"/>
    </xf>
    <xf numFmtId="178" fontId="51" fillId="0" borderId="5" xfId="1" applyNumberFormat="1" applyFont="1" applyBorder="1" applyAlignment="1">
      <alignment horizontal="center"/>
      <protection locked="0"/>
    </xf>
    <xf numFmtId="0" fontId="51" fillId="0" borderId="3" xfId="1" applyFont="1" applyBorder="1">
      <protection locked="0"/>
    </xf>
    <xf numFmtId="0" fontId="51" fillId="0" borderId="4" xfId="1" applyFont="1" applyBorder="1" applyAlignment="1">
      <alignment horizontal="center" shrinkToFit="1"/>
      <protection locked="0"/>
    </xf>
    <xf numFmtId="178" fontId="51" fillId="13" borderId="5" xfId="1" applyNumberFormat="1" applyFont="1" applyFill="1" applyBorder="1" applyAlignment="1">
      <alignment horizontal="center"/>
      <protection locked="0"/>
    </xf>
    <xf numFmtId="0" fontId="52" fillId="0" borderId="3" xfId="1" applyFont="1" applyBorder="1" applyAlignment="1">
      <alignment horizontal="left"/>
      <protection locked="0"/>
    </xf>
    <xf numFmtId="179" fontId="51" fillId="0" borderId="4" xfId="1" applyNumberFormat="1" applyFont="1" applyBorder="1" applyAlignment="1">
      <alignment horizontal="right"/>
      <protection locked="0"/>
    </xf>
    <xf numFmtId="43" fontId="51" fillId="12" borderId="4" xfId="3" applyFont="1" applyFill="1" applyBorder="1" applyAlignment="1" applyProtection="1">
      <alignment horizontal="right"/>
      <protection locked="0"/>
    </xf>
    <xf numFmtId="43" fontId="51" fillId="12" borderId="4" xfId="3" applyFont="1" applyFill="1" applyBorder="1" applyAlignment="1" applyProtection="1">
      <alignment horizontal="center"/>
      <protection locked="0"/>
    </xf>
    <xf numFmtId="43" fontId="51" fillId="0" borderId="4" xfId="3" applyFont="1" applyFill="1" applyBorder="1" applyAlignment="1" applyProtection="1">
      <alignment horizontal="center"/>
      <protection locked="0"/>
    </xf>
    <xf numFmtId="0" fontId="52" fillId="0" borderId="3" xfId="1" applyFont="1" applyBorder="1">
      <protection locked="0"/>
    </xf>
    <xf numFmtId="179" fontId="51" fillId="0" borderId="4" xfId="1" applyNumberFormat="1" applyFont="1" applyBorder="1" applyAlignment="1">
      <alignment horizontal="center"/>
      <protection locked="0"/>
    </xf>
    <xf numFmtId="0" fontId="51" fillId="0" borderId="9" xfId="1" applyFont="1" applyBorder="1">
      <protection locked="0"/>
    </xf>
    <xf numFmtId="0" fontId="51" fillId="0" borderId="6" xfId="1" applyFont="1" applyBorder="1" applyAlignment="1">
      <alignment horizontal="center" shrinkToFit="1"/>
      <protection locked="0"/>
    </xf>
    <xf numFmtId="43" fontId="51" fillId="0" borderId="6" xfId="3" applyFont="1" applyFill="1" applyBorder="1" applyAlignment="1">
      <alignment shrinkToFit="1"/>
    </xf>
    <xf numFmtId="179" fontId="51" fillId="0" borderId="6" xfId="1" applyNumberFormat="1" applyFont="1" applyBorder="1" applyAlignment="1">
      <alignment horizontal="right"/>
      <protection locked="0"/>
    </xf>
    <xf numFmtId="43" fontId="51" fillId="0" borderId="6" xfId="3" applyFont="1" applyFill="1" applyBorder="1" applyAlignment="1">
      <alignment horizontal="right" shrinkToFit="1"/>
    </xf>
    <xf numFmtId="43" fontId="51" fillId="12" borderId="6" xfId="3" applyFont="1" applyFill="1" applyBorder="1" applyAlignment="1">
      <alignment horizontal="right" shrinkToFit="1"/>
    </xf>
    <xf numFmtId="179" fontId="51" fillId="12" borderId="6" xfId="1" applyNumberFormat="1" applyFont="1" applyFill="1" applyBorder="1" applyAlignment="1">
      <alignment horizontal="right"/>
      <protection locked="0"/>
    </xf>
    <xf numFmtId="178" fontId="51" fillId="13" borderId="7" xfId="1" applyNumberFormat="1" applyFont="1" applyFill="1" applyBorder="1" applyAlignment="1">
      <alignment horizontal="center"/>
      <protection locked="0"/>
    </xf>
    <xf numFmtId="0" fontId="51" fillId="0" borderId="29" xfId="1" applyFont="1" applyBorder="1">
      <protection locked="0"/>
    </xf>
    <xf numFmtId="0" fontId="51" fillId="0" borderId="30" xfId="1" applyFont="1" applyBorder="1" applyAlignment="1">
      <alignment horizontal="center" shrinkToFit="1"/>
      <protection locked="0"/>
    </xf>
    <xf numFmtId="43" fontId="51" fillId="0" borderId="30" xfId="3" applyFont="1" applyFill="1" applyBorder="1" applyAlignment="1">
      <alignment shrinkToFit="1"/>
    </xf>
    <xf numFmtId="179" fontId="51" fillId="0" borderId="30" xfId="1" applyNumberFormat="1" applyFont="1" applyBorder="1" applyAlignment="1">
      <alignment horizontal="right"/>
      <protection locked="0"/>
    </xf>
    <xf numFmtId="43" fontId="51" fillId="0" borderId="30" xfId="3" applyFont="1" applyFill="1" applyBorder="1" applyAlignment="1">
      <alignment horizontal="right" shrinkToFit="1"/>
    </xf>
    <xf numFmtId="43" fontId="51" fillId="12" borderId="30" xfId="3" applyFont="1" applyFill="1" applyBorder="1" applyAlignment="1">
      <alignment horizontal="right" shrinkToFit="1"/>
    </xf>
    <xf numFmtId="179" fontId="51" fillId="12" borderId="30" xfId="1" applyNumberFormat="1" applyFont="1" applyFill="1" applyBorder="1" applyAlignment="1">
      <alignment horizontal="right"/>
      <protection locked="0"/>
    </xf>
    <xf numFmtId="178" fontId="51" fillId="13" borderId="31" xfId="1" applyNumberFormat="1" applyFont="1" applyFill="1" applyBorder="1" applyAlignment="1">
      <alignment horizontal="center"/>
      <protection locked="0"/>
    </xf>
    <xf numFmtId="0" fontId="51" fillId="0" borderId="0" xfId="1" applyFont="1" applyAlignment="1">
      <alignment horizontal="center" shrinkToFit="1"/>
      <protection locked="0"/>
    </xf>
    <xf numFmtId="43" fontId="51" fillId="0" borderId="0" xfId="3" applyFont="1" applyFill="1" applyBorder="1"/>
    <xf numFmtId="0" fontId="51" fillId="0" borderId="0" xfId="1" applyFont="1" applyAlignment="1">
      <alignment horizontal="center"/>
      <protection locked="0"/>
    </xf>
    <xf numFmtId="0" fontId="51" fillId="13" borderId="0" xfId="1" applyFont="1" applyFill="1">
      <protection locked="0"/>
    </xf>
    <xf numFmtId="43" fontId="51" fillId="0" borderId="0" xfId="3" applyFont="1" applyFill="1"/>
    <xf numFmtId="43" fontId="51" fillId="0" borderId="0" xfId="5" applyNumberFormat="1" applyFont="1" applyFill="1" applyBorder="1" applyAlignment="1">
      <alignment vertical="center"/>
    </xf>
    <xf numFmtId="43" fontId="52" fillId="0" borderId="19" xfId="5" applyNumberFormat="1" applyFont="1" applyFill="1" applyBorder="1" applyAlignment="1" applyProtection="1">
      <alignment vertical="center"/>
    </xf>
    <xf numFmtId="0" fontId="51" fillId="0" borderId="10" xfId="5" applyNumberFormat="1" applyFont="1" applyFill="1" applyBorder="1" applyAlignment="1" applyProtection="1">
      <alignment horizontal="center" vertical="center"/>
    </xf>
    <xf numFmtId="43" fontId="52" fillId="0" borderId="10" xfId="3" applyFont="1" applyFill="1" applyBorder="1" applyAlignment="1" applyProtection="1">
      <alignment vertical="center" shrinkToFit="1"/>
    </xf>
    <xf numFmtId="10" fontId="52" fillId="12" borderId="4" xfId="4" applyNumberFormat="1" applyFont="1" applyFill="1" applyBorder="1" applyAlignment="1" applyProtection="1">
      <alignment horizontal="right" vertical="center" shrinkToFit="1"/>
    </xf>
    <xf numFmtId="10" fontId="52" fillId="12" borderId="4" xfId="4" applyNumberFormat="1" applyFont="1" applyFill="1" applyBorder="1" applyAlignment="1" applyProtection="1">
      <alignment horizontal="center" vertical="center" shrinkToFit="1"/>
    </xf>
    <xf numFmtId="43" fontId="51" fillId="12" borderId="4" xfId="3" applyFont="1" applyFill="1" applyBorder="1" applyAlignment="1" applyProtection="1">
      <alignment horizontal="center" vertical="center" shrinkToFit="1"/>
    </xf>
    <xf numFmtId="43" fontId="51" fillId="0" borderId="11" xfId="5" applyNumberFormat="1" applyFont="1" applyFill="1" applyBorder="1" applyAlignment="1" applyProtection="1">
      <alignment horizontal="left" vertical="center" shrinkToFit="1"/>
      <protection locked="0"/>
    </xf>
    <xf numFmtId="43" fontId="51" fillId="0" borderId="3" xfId="5" applyNumberFormat="1" applyFont="1" applyFill="1" applyBorder="1" applyAlignment="1" applyProtection="1">
      <alignment vertical="center"/>
    </xf>
    <xf numFmtId="0" fontId="51" fillId="0" borderId="4" xfId="5" applyNumberFormat="1" applyFont="1" applyFill="1" applyBorder="1" applyAlignment="1" applyProtection="1">
      <alignment horizontal="center" vertical="center"/>
    </xf>
    <xf numFmtId="43" fontId="51" fillId="0" borderId="10" xfId="3" applyFont="1" applyFill="1" applyBorder="1" applyAlignment="1" applyProtection="1">
      <alignment vertical="center" shrinkToFit="1"/>
    </xf>
    <xf numFmtId="10" fontId="51" fillId="12" borderId="4" xfId="4" applyNumberFormat="1" applyFont="1" applyFill="1" applyBorder="1" applyAlignment="1" applyProtection="1">
      <alignment horizontal="right" vertical="center" shrinkToFit="1"/>
    </xf>
    <xf numFmtId="43" fontId="51" fillId="0" borderId="4" xfId="3" applyFont="1" applyFill="1" applyBorder="1" applyAlignment="1" applyProtection="1">
      <alignment vertical="center" shrinkToFit="1"/>
    </xf>
    <xf numFmtId="10" fontId="51" fillId="12" borderId="4" xfId="4" applyNumberFormat="1" applyFont="1" applyFill="1" applyBorder="1" applyAlignment="1" applyProtection="1">
      <alignment horizontal="center" vertical="center" shrinkToFit="1"/>
    </xf>
    <xf numFmtId="43" fontId="51" fillId="0" borderId="5" xfId="3" applyFont="1" applyFill="1" applyBorder="1" applyAlignment="1" applyProtection="1">
      <alignment horizontal="left" vertical="center" shrinkToFit="1"/>
      <protection locked="0"/>
    </xf>
    <xf numFmtId="43" fontId="51" fillId="0" borderId="5" xfId="5" applyNumberFormat="1" applyFont="1" applyFill="1" applyBorder="1" applyAlignment="1" applyProtection="1">
      <alignment horizontal="left" vertical="center" shrinkToFit="1"/>
      <protection locked="0"/>
    </xf>
    <xf numFmtId="43" fontId="51" fillId="10" borderId="0" xfId="5" applyNumberFormat="1" applyFont="1" applyFill="1" applyBorder="1" applyAlignment="1">
      <alignment vertical="center"/>
    </xf>
    <xf numFmtId="43" fontId="60" fillId="0" borderId="3" xfId="5" applyNumberFormat="1" applyFont="1" applyFill="1" applyBorder="1" applyAlignment="1" applyProtection="1">
      <alignment vertical="center" wrapText="1"/>
    </xf>
    <xf numFmtId="43" fontId="52" fillId="0" borderId="3" xfId="5" applyNumberFormat="1" applyFont="1" applyFill="1" applyBorder="1" applyAlignment="1" applyProtection="1">
      <alignment vertical="center"/>
    </xf>
    <xf numFmtId="43" fontId="50" fillId="12" borderId="10" xfId="3" applyFont="1" applyFill="1" applyBorder="1" applyAlignment="1" applyProtection="1">
      <alignment vertical="center" shrinkToFit="1"/>
    </xf>
    <xf numFmtId="10" fontId="50" fillId="12" borderId="4" xfId="4" applyNumberFormat="1" applyFont="1" applyFill="1" applyBorder="1" applyAlignment="1" applyProtection="1">
      <alignment horizontal="right" vertical="center" shrinkToFit="1"/>
    </xf>
    <xf numFmtId="10" fontId="54" fillId="12" borderId="4" xfId="4" applyNumberFormat="1" applyFont="1" applyFill="1" applyBorder="1" applyAlignment="1" applyProtection="1">
      <alignment horizontal="right" vertical="center" shrinkToFit="1"/>
    </xf>
    <xf numFmtId="10" fontId="54" fillId="12" borderId="4" xfId="4" applyNumberFormat="1" applyFont="1" applyFill="1" applyBorder="1" applyAlignment="1" applyProtection="1">
      <alignment horizontal="center" vertical="center" shrinkToFit="1"/>
    </xf>
    <xf numFmtId="43" fontId="54" fillId="12" borderId="4" xfId="3" applyFont="1" applyFill="1" applyBorder="1" applyAlignment="1" applyProtection="1">
      <alignment horizontal="center" vertical="center" shrinkToFit="1"/>
    </xf>
    <xf numFmtId="43" fontId="54" fillId="0" borderId="5" xfId="5" applyNumberFormat="1" applyFont="1" applyFill="1" applyBorder="1" applyAlignment="1" applyProtection="1">
      <alignment horizontal="left" vertical="center" shrinkToFit="1"/>
      <protection locked="0"/>
    </xf>
    <xf numFmtId="43" fontId="60" fillId="0" borderId="10" xfId="3" applyFont="1" applyFill="1" applyBorder="1" applyAlignment="1" applyProtection="1">
      <alignment vertical="center" shrinkToFit="1"/>
    </xf>
    <xf numFmtId="10" fontId="60" fillId="12" borderId="4" xfId="4" applyNumberFormat="1" applyFont="1" applyFill="1" applyBorder="1" applyAlignment="1" applyProtection="1">
      <alignment horizontal="right" vertical="center" shrinkToFit="1"/>
    </xf>
    <xf numFmtId="43" fontId="60" fillId="0" borderId="4" xfId="3" applyFont="1" applyFill="1" applyBorder="1" applyAlignment="1" applyProtection="1">
      <alignment vertical="center" shrinkToFit="1"/>
    </xf>
    <xf numFmtId="43" fontId="51" fillId="12" borderId="5" xfId="3" applyFont="1" applyFill="1" applyBorder="1" applyAlignment="1" applyProtection="1">
      <alignment horizontal="center" vertical="center" shrinkToFit="1"/>
    </xf>
    <xf numFmtId="43" fontId="61" fillId="0" borderId="3" xfId="5" applyNumberFormat="1" applyFont="1" applyFill="1" applyBorder="1" applyAlignment="1" applyProtection="1">
      <alignment vertical="center"/>
    </xf>
    <xf numFmtId="43" fontId="51" fillId="12" borderId="4" xfId="3" applyFont="1" applyFill="1" applyBorder="1" applyAlignment="1" applyProtection="1">
      <alignment vertical="center" shrinkToFit="1"/>
    </xf>
    <xf numFmtId="43" fontId="58" fillId="0" borderId="3" xfId="5" applyNumberFormat="1" applyFont="1" applyFill="1" applyBorder="1" applyAlignment="1" applyProtection="1">
      <alignment vertical="center" wrapText="1"/>
    </xf>
    <xf numFmtId="43" fontId="52" fillId="0" borderId="5" xfId="5" applyNumberFormat="1" applyFont="1" applyFill="1" applyBorder="1" applyAlignment="1" applyProtection="1">
      <alignment horizontal="left" vertical="center" shrinkToFit="1"/>
      <protection locked="0"/>
    </xf>
    <xf numFmtId="43" fontId="58" fillId="0" borderId="3" xfId="5" applyNumberFormat="1" applyFont="1" applyFill="1" applyBorder="1" applyAlignment="1" applyProtection="1">
      <alignment vertical="center"/>
    </xf>
    <xf numFmtId="43" fontId="52" fillId="0" borderId="4" xfId="3" applyFont="1" applyFill="1" applyBorder="1" applyAlignment="1" applyProtection="1">
      <alignment vertical="center" shrinkToFit="1"/>
    </xf>
    <xf numFmtId="43" fontId="58" fillId="0" borderId="9" xfId="5" applyNumberFormat="1" applyFont="1" applyFill="1" applyBorder="1" applyAlignment="1" applyProtection="1">
      <alignment vertical="center"/>
    </xf>
    <xf numFmtId="43" fontId="51" fillId="0" borderId="22" xfId="3" applyFont="1" applyFill="1" applyBorder="1" applyAlignment="1" applyProtection="1">
      <alignment vertical="center" shrinkToFit="1"/>
    </xf>
    <xf numFmtId="10" fontId="51" fillId="12" borderId="6" xfId="4" applyNumberFormat="1" applyFont="1" applyFill="1" applyBorder="1" applyAlignment="1" applyProtection="1">
      <alignment horizontal="right" vertical="center" shrinkToFit="1"/>
    </xf>
    <xf numFmtId="43" fontId="51" fillId="0" borderId="6" xfId="3" applyFont="1" applyFill="1" applyBorder="1" applyAlignment="1" applyProtection="1">
      <alignment vertical="center" shrinkToFit="1"/>
    </xf>
    <xf numFmtId="10" fontId="51" fillId="12" borderId="6" xfId="4" applyNumberFormat="1" applyFont="1" applyFill="1" applyBorder="1" applyAlignment="1" applyProtection="1">
      <alignment horizontal="center" vertical="center" shrinkToFit="1"/>
    </xf>
    <xf numFmtId="43" fontId="51" fillId="12" borderId="6" xfId="3" applyFont="1" applyFill="1" applyBorder="1" applyAlignment="1" applyProtection="1">
      <alignment horizontal="center" vertical="center" shrinkToFit="1"/>
    </xf>
    <xf numFmtId="43" fontId="51" fillId="0" borderId="7" xfId="5" applyNumberFormat="1" applyFont="1" applyFill="1" applyBorder="1" applyAlignment="1" applyProtection="1">
      <alignment horizontal="left" vertical="center" shrinkToFit="1"/>
      <protection locked="0"/>
    </xf>
    <xf numFmtId="43" fontId="61" fillId="0" borderId="29" xfId="5" applyNumberFormat="1" applyFont="1" applyFill="1" applyBorder="1" applyAlignment="1" applyProtection="1">
      <alignment vertical="center"/>
    </xf>
    <xf numFmtId="10" fontId="54" fillId="12" borderId="30" xfId="4" applyNumberFormat="1" applyFont="1" applyFill="1" applyBorder="1" applyAlignment="1" applyProtection="1">
      <alignment vertical="center" shrinkToFit="1"/>
    </xf>
    <xf numFmtId="10" fontId="51" fillId="12" borderId="30" xfId="4" applyNumberFormat="1" applyFont="1" applyFill="1" applyBorder="1" applyAlignment="1" applyProtection="1">
      <alignment horizontal="center" vertical="center" shrinkToFit="1"/>
    </xf>
    <xf numFmtId="43" fontId="51" fillId="12" borderId="30" xfId="3" applyFont="1" applyFill="1" applyBorder="1" applyAlignment="1" applyProtection="1">
      <alignment horizontal="center" vertical="center" shrinkToFit="1"/>
    </xf>
    <xf numFmtId="0" fontId="54" fillId="0" borderId="31" xfId="1" applyFont="1" applyBorder="1" applyAlignment="1">
      <alignment horizontal="left" vertical="center" shrinkToFit="1"/>
      <protection locked="0"/>
    </xf>
    <xf numFmtId="43" fontId="51" fillId="0" borderId="0" xfId="3" applyFont="1" applyFill="1" applyAlignment="1" applyProtection="1">
      <alignment vertical="center"/>
      <protection locked="0"/>
    </xf>
    <xf numFmtId="43" fontId="51" fillId="0" borderId="0" xfId="3" applyFont="1" applyFill="1" applyAlignment="1" applyProtection="1">
      <alignment vertical="center"/>
      <protection hidden="1"/>
    </xf>
    <xf numFmtId="43" fontId="52" fillId="12" borderId="10" xfId="3" applyFont="1" applyFill="1" applyBorder="1" applyAlignment="1" applyProtection="1">
      <alignment vertical="center" shrinkToFit="1"/>
    </xf>
    <xf numFmtId="43" fontId="52" fillId="12" borderId="4" xfId="3" applyFont="1" applyFill="1" applyBorder="1" applyAlignment="1" applyProtection="1">
      <alignment horizontal="center" vertical="center" shrinkToFit="1"/>
    </xf>
    <xf numFmtId="43" fontId="52" fillId="0" borderId="11" xfId="5" applyNumberFormat="1" applyFont="1" applyFill="1" applyBorder="1" applyAlignment="1" applyProtection="1">
      <alignment horizontal="left" vertical="center" shrinkToFit="1"/>
      <protection locked="0"/>
    </xf>
    <xf numFmtId="43" fontId="54" fillId="12" borderId="4" xfId="3" applyFont="1" applyFill="1" applyBorder="1" applyAlignment="1" applyProtection="1">
      <alignment vertical="center" shrinkToFit="1"/>
    </xf>
    <xf numFmtId="43" fontId="54" fillId="0" borderId="4" xfId="3" applyFont="1" applyFill="1" applyBorder="1" applyAlignment="1" applyProtection="1">
      <alignment vertical="center" shrinkToFit="1"/>
    </xf>
    <xf numFmtId="43" fontId="54" fillId="0" borderId="3" xfId="5" applyNumberFormat="1" applyFont="1" applyFill="1" applyBorder="1" applyAlignment="1" applyProtection="1">
      <alignment vertical="center"/>
    </xf>
    <xf numFmtId="0" fontId="51" fillId="0" borderId="6" xfId="5" applyNumberFormat="1" applyFont="1" applyFill="1" applyBorder="1" applyAlignment="1" applyProtection="1">
      <alignment horizontal="center" vertical="center"/>
    </xf>
    <xf numFmtId="43" fontId="51" fillId="12" borderId="6" xfId="3" applyFont="1" applyFill="1" applyBorder="1" applyAlignment="1" applyProtection="1">
      <alignment vertical="center" shrinkToFit="1"/>
    </xf>
    <xf numFmtId="0" fontId="51" fillId="0" borderId="30" xfId="5" applyNumberFormat="1" applyFont="1" applyFill="1" applyBorder="1" applyAlignment="1" applyProtection="1">
      <alignment horizontal="center" vertical="center"/>
    </xf>
    <xf numFmtId="43" fontId="50" fillId="12" borderId="30" xfId="3" applyFont="1" applyFill="1" applyBorder="1" applyAlignment="1" applyProtection="1">
      <alignment vertical="center" shrinkToFit="1"/>
    </xf>
    <xf numFmtId="10" fontId="55" fillId="12" borderId="30" xfId="4" applyNumberFormat="1" applyFont="1" applyFill="1" applyBorder="1" applyAlignment="1" applyProtection="1">
      <alignment horizontal="center" vertical="center" shrinkToFit="1"/>
    </xf>
    <xf numFmtId="43" fontId="54" fillId="12" borderId="30" xfId="3" applyFont="1" applyFill="1" applyBorder="1" applyAlignment="1" applyProtection="1">
      <alignment horizontal="center" vertical="center" shrinkToFit="1"/>
    </xf>
    <xf numFmtId="0" fontId="51" fillId="0" borderId="31" xfId="1" applyFont="1" applyBorder="1" applyAlignment="1">
      <alignment horizontal="left" vertical="center" shrinkToFit="1"/>
      <protection locked="0"/>
    </xf>
    <xf numFmtId="0" fontId="51" fillId="12" borderId="3" xfId="1" applyFont="1" applyFill="1" applyBorder="1" applyAlignment="1" applyProtection="1">
      <alignment horizontal="center" vertical="center"/>
    </xf>
    <xf numFmtId="176" fontId="53" fillId="0" borderId="21" xfId="1" applyNumberFormat="1" applyFont="1" applyBorder="1" applyAlignment="1" applyProtection="1">
      <alignment horizontal="left" vertical="center" shrinkToFit="1"/>
    </xf>
    <xf numFmtId="3" fontId="51" fillId="0" borderId="1" xfId="1" applyNumberFormat="1" applyFont="1" applyBorder="1" applyAlignment="1" applyProtection="1">
      <alignment horizontal="center" vertical="center" shrinkToFit="1"/>
    </xf>
    <xf numFmtId="0" fontId="51" fillId="0" borderId="1" xfId="1" applyFont="1" applyBorder="1" applyAlignment="1" applyProtection="1">
      <alignment horizontal="center" vertical="center" shrinkToFit="1"/>
    </xf>
    <xf numFmtId="0" fontId="51" fillId="0" borderId="1" xfId="1" applyFont="1" applyBorder="1" applyAlignment="1" applyProtection="1">
      <alignment horizontal="left" vertical="center" shrinkToFit="1"/>
    </xf>
    <xf numFmtId="0" fontId="51" fillId="0" borderId="2" xfId="1" applyFont="1" applyBorder="1" applyAlignment="1">
      <alignment horizontal="left" vertical="center" shrinkToFit="1"/>
      <protection locked="0"/>
    </xf>
    <xf numFmtId="0" fontId="53" fillId="0" borderId="21" xfId="1" applyFont="1" applyBorder="1" applyAlignment="1" applyProtection="1">
      <alignment horizontal="left" vertical="center" shrinkToFit="1"/>
    </xf>
    <xf numFmtId="3" fontId="51" fillId="0" borderId="41" xfId="1" applyNumberFormat="1" applyFont="1" applyBorder="1" applyAlignment="1" applyProtection="1">
      <alignment horizontal="center" vertical="center" shrinkToFit="1"/>
    </xf>
    <xf numFmtId="0" fontId="51" fillId="0" borderId="1" xfId="1" applyFont="1" applyBorder="1" applyAlignment="1" applyProtection="1">
      <alignment vertical="center" shrinkToFit="1"/>
    </xf>
    <xf numFmtId="176" fontId="51" fillId="0" borderId="3" xfId="1" applyNumberFormat="1" applyFont="1" applyBorder="1" applyAlignment="1" applyProtection="1">
      <alignment horizontal="left" vertical="center" shrinkToFit="1"/>
    </xf>
    <xf numFmtId="3" fontId="51" fillId="0" borderId="6" xfId="1" applyNumberFormat="1" applyFont="1" applyBorder="1" applyAlignment="1" applyProtection="1">
      <alignment horizontal="center" vertical="center" shrinkToFit="1"/>
    </xf>
    <xf numFmtId="43" fontId="51" fillId="0" borderId="4" xfId="3" applyFont="1" applyFill="1" applyBorder="1" applyAlignment="1" applyProtection="1">
      <alignment horizontal="right" vertical="center" shrinkToFit="1"/>
    </xf>
    <xf numFmtId="43" fontId="51" fillId="0" borderId="5" xfId="3" applyFont="1" applyFill="1" applyBorder="1" applyAlignment="1" applyProtection="1">
      <alignment horizontal="right" vertical="center" shrinkToFit="1"/>
      <protection locked="0"/>
    </xf>
    <xf numFmtId="0" fontId="51" fillId="0" borderId="3" xfId="1" applyFont="1" applyBorder="1" applyAlignment="1" applyProtection="1">
      <alignment horizontal="left" vertical="center" shrinkToFit="1"/>
    </xf>
    <xf numFmtId="3" fontId="51" fillId="0" borderId="4" xfId="1" applyNumberFormat="1" applyFont="1" applyBorder="1" applyAlignment="1" applyProtection="1">
      <alignment horizontal="center" vertical="center" shrinkToFit="1"/>
    </xf>
    <xf numFmtId="0" fontId="51" fillId="0" borderId="17" xfId="1" applyFont="1" applyBorder="1" applyAlignment="1">
      <alignment horizontal="left" vertical="center" shrinkToFit="1"/>
      <protection locked="0"/>
    </xf>
    <xf numFmtId="176" fontId="52" fillId="0" borderId="3" xfId="1" applyNumberFormat="1" applyFont="1" applyBorder="1" applyAlignment="1" applyProtection="1">
      <alignment horizontal="center" vertical="center" shrinkToFit="1"/>
    </xf>
    <xf numFmtId="43" fontId="54" fillId="12" borderId="4" xfId="3" applyFont="1" applyFill="1" applyBorder="1" applyAlignment="1" applyProtection="1">
      <alignment horizontal="right" vertical="center" shrinkToFit="1"/>
    </xf>
    <xf numFmtId="0" fontId="52" fillId="0" borderId="3" xfId="1" applyFont="1" applyBorder="1" applyAlignment="1" applyProtection="1">
      <alignment horizontal="center" vertical="center" shrinkToFit="1"/>
    </xf>
    <xf numFmtId="0" fontId="54" fillId="0" borderId="17" xfId="1" applyFont="1" applyBorder="1" applyAlignment="1">
      <alignment horizontal="left" vertical="center" shrinkToFit="1"/>
      <protection locked="0"/>
    </xf>
    <xf numFmtId="176" fontId="53" fillId="0" borderId="3" xfId="1" applyNumberFormat="1" applyFont="1" applyBorder="1" applyAlignment="1" applyProtection="1">
      <alignment horizontal="left" vertical="center" shrinkToFit="1"/>
    </xf>
    <xf numFmtId="0" fontId="53" fillId="0" borderId="3" xfId="1" applyFont="1" applyBorder="1" applyAlignment="1" applyProtection="1">
      <alignment horizontal="left" vertical="center" shrinkToFit="1"/>
    </xf>
    <xf numFmtId="43" fontId="55" fillId="0" borderId="5" xfId="3" applyFont="1" applyFill="1" applyBorder="1" applyAlignment="1" applyProtection="1">
      <alignment horizontal="right" vertical="center" shrinkToFit="1"/>
      <protection locked="0"/>
    </xf>
    <xf numFmtId="43" fontId="50" fillId="12" borderId="4" xfId="3" applyFont="1" applyFill="1" applyBorder="1" applyAlignment="1" applyProtection="1">
      <alignment horizontal="right" vertical="center" shrinkToFit="1"/>
    </xf>
    <xf numFmtId="0" fontId="52" fillId="0" borderId="20" xfId="1" applyFont="1" applyBorder="1" applyAlignment="1" applyProtection="1">
      <alignment horizontal="center" vertical="center" shrinkToFit="1"/>
    </xf>
    <xf numFmtId="43" fontId="50" fillId="12" borderId="12" xfId="3" applyFont="1" applyFill="1" applyBorder="1" applyAlignment="1" applyProtection="1">
      <alignment horizontal="right" vertical="center" shrinkToFit="1"/>
    </xf>
    <xf numFmtId="0" fontId="51" fillId="0" borderId="28" xfId="1" applyFont="1" applyBorder="1" applyAlignment="1">
      <alignment horizontal="left" vertical="center" shrinkToFit="1"/>
      <protection locked="0"/>
    </xf>
    <xf numFmtId="10" fontId="54" fillId="0" borderId="29" xfId="4" applyNumberFormat="1" applyFont="1" applyFill="1" applyBorder="1" applyAlignment="1" applyProtection="1">
      <alignment horizontal="center" vertical="center" shrinkToFit="1"/>
    </xf>
    <xf numFmtId="3" fontId="51" fillId="0" borderId="30" xfId="1" applyNumberFormat="1" applyFont="1" applyBorder="1" applyAlignment="1" applyProtection="1">
      <alignment horizontal="center" vertical="center" shrinkToFit="1"/>
    </xf>
    <xf numFmtId="43" fontId="50" fillId="12" borderId="30" xfId="3" applyFont="1" applyFill="1" applyBorder="1" applyAlignment="1" applyProtection="1">
      <alignment horizontal="right" vertical="center" shrinkToFit="1"/>
    </xf>
    <xf numFmtId="10" fontId="50" fillId="12" borderId="30" xfId="4" applyNumberFormat="1" applyFont="1" applyFill="1" applyBorder="1" applyAlignment="1" applyProtection="1">
      <alignment horizontal="center" vertical="center" shrinkToFit="1"/>
    </xf>
    <xf numFmtId="10" fontId="54" fillId="12" borderId="30" xfId="4" applyNumberFormat="1" applyFont="1" applyFill="1" applyBorder="1" applyAlignment="1" applyProtection="1">
      <alignment horizontal="center" vertical="center" shrinkToFit="1"/>
    </xf>
    <xf numFmtId="43" fontId="52" fillId="12" borderId="30" xfId="3" applyFont="1" applyFill="1" applyBorder="1" applyAlignment="1" applyProtection="1">
      <alignment horizontal="center" vertical="center" shrinkToFit="1"/>
    </xf>
    <xf numFmtId="43" fontId="55" fillId="0" borderId="31" xfId="3" applyFont="1" applyFill="1" applyBorder="1" applyAlignment="1" applyProtection="1">
      <alignment horizontal="right" vertical="center" shrinkToFit="1"/>
      <protection locked="0"/>
    </xf>
    <xf numFmtId="0" fontId="52" fillId="0" borderId="29" xfId="1" applyFont="1" applyBorder="1" applyAlignment="1" applyProtection="1">
      <alignment horizontal="center" vertical="center"/>
    </xf>
    <xf numFmtId="210" fontId="52" fillId="0" borderId="29" xfId="1" applyNumberFormat="1" applyFont="1" applyBorder="1" applyAlignment="1" applyProtection="1">
      <alignment vertical="center" shrinkToFit="1"/>
    </xf>
    <xf numFmtId="10" fontId="50" fillId="12" borderId="30" xfId="4" applyNumberFormat="1" applyFont="1" applyFill="1" applyBorder="1" applyAlignment="1" applyProtection="1">
      <alignment horizontal="right" vertical="center" shrinkToFit="1"/>
    </xf>
    <xf numFmtId="10" fontId="54" fillId="12" borderId="30" xfId="4" applyNumberFormat="1" applyFont="1" applyFill="1" applyBorder="1" applyAlignment="1" applyProtection="1">
      <alignment horizontal="right" vertical="center" shrinkToFit="1"/>
    </xf>
    <xf numFmtId="0" fontId="51" fillId="0" borderId="32" xfId="1" applyFont="1" applyBorder="1" applyAlignment="1">
      <alignment horizontal="left" vertical="center" shrinkToFit="1"/>
      <protection locked="0"/>
    </xf>
    <xf numFmtId="0" fontId="65" fillId="0" borderId="0" xfId="1" applyFont="1" applyAlignment="1" applyProtection="1">
      <alignment vertical="center"/>
      <protection hidden="1"/>
    </xf>
    <xf numFmtId="4" fontId="64" fillId="0" borderId="0" xfId="1" applyNumberFormat="1" applyFont="1" applyAlignment="1" applyProtection="1">
      <alignment horizontal="center" vertical="center" shrinkToFit="1"/>
    </xf>
    <xf numFmtId="0" fontId="65" fillId="0" borderId="0" xfId="1" applyFont="1">
      <protection locked="0"/>
    </xf>
    <xf numFmtId="210" fontId="52" fillId="0" borderId="29" xfId="1" applyNumberFormat="1" applyFont="1" applyBorder="1" applyAlignment="1" applyProtection="1">
      <alignment horizontal="center" vertical="center" wrapText="1"/>
    </xf>
    <xf numFmtId="0" fontId="52" fillId="0" borderId="31" xfId="1" applyFont="1" applyBorder="1" applyAlignment="1">
      <alignment horizontal="center" vertical="center" shrinkToFit="1"/>
      <protection locked="0"/>
    </xf>
    <xf numFmtId="0" fontId="51" fillId="12" borderId="25" xfId="1" applyFont="1" applyFill="1" applyBorder="1" applyAlignment="1" applyProtection="1">
      <alignment horizontal="center" vertical="center"/>
    </xf>
    <xf numFmtId="0" fontId="51" fillId="12" borderId="4" xfId="1" applyFont="1" applyFill="1" applyBorder="1" applyAlignment="1" applyProtection="1">
      <alignment horizontal="center" vertical="center"/>
    </xf>
    <xf numFmtId="0" fontId="51" fillId="12" borderId="25" xfId="1" applyFont="1" applyFill="1" applyBorder="1" applyAlignment="1" applyProtection="1">
      <alignment horizontal="center" vertical="center" wrapText="1" shrinkToFit="1"/>
    </xf>
    <xf numFmtId="0" fontId="51" fillId="12" borderId="4" xfId="1" applyFont="1" applyFill="1" applyBorder="1" applyAlignment="1" applyProtection="1">
      <alignment horizontal="center" vertical="center" wrapText="1" shrinkToFit="1"/>
    </xf>
    <xf numFmtId="0" fontId="51" fillId="12" borderId="12" xfId="1" applyFont="1" applyFill="1" applyBorder="1" applyAlignment="1" applyProtection="1">
      <alignment horizontal="center" vertical="center" wrapText="1" shrinkToFit="1"/>
    </xf>
    <xf numFmtId="0" fontId="51" fillId="12" borderId="26" xfId="1" applyFont="1" applyFill="1" applyBorder="1" applyAlignment="1" applyProtection="1">
      <alignment horizontal="center" vertical="center" wrapText="1" shrinkToFit="1"/>
    </xf>
    <xf numFmtId="0" fontId="51" fillId="12" borderId="5" xfId="1" applyFont="1" applyFill="1" applyBorder="1" applyAlignment="1" applyProtection="1">
      <alignment horizontal="center" vertical="center" wrapText="1" shrinkToFit="1"/>
    </xf>
    <xf numFmtId="0" fontId="51" fillId="12" borderId="13" xfId="1" applyFont="1" applyFill="1" applyBorder="1" applyAlignment="1" applyProtection="1">
      <alignment horizontal="center" vertical="center" wrapText="1" shrinkToFit="1"/>
    </xf>
    <xf numFmtId="4" fontId="62" fillId="0" borderId="0" xfId="1" applyNumberFormat="1" applyFont="1" applyAlignment="1" applyProtection="1">
      <alignment horizontal="center" vertical="center" shrinkToFit="1"/>
    </xf>
    <xf numFmtId="176" fontId="52" fillId="12" borderId="23" xfId="1" applyNumberFormat="1" applyFont="1" applyFill="1" applyBorder="1" applyAlignment="1" applyProtection="1">
      <alignment horizontal="center" vertical="center" shrinkToFit="1"/>
    </xf>
    <xf numFmtId="176" fontId="52" fillId="12" borderId="3" xfId="1" applyNumberFormat="1" applyFont="1" applyFill="1" applyBorder="1" applyAlignment="1" applyProtection="1">
      <alignment horizontal="center" vertical="center" shrinkToFit="1"/>
    </xf>
    <xf numFmtId="176" fontId="52" fillId="12" borderId="20" xfId="1" applyNumberFormat="1" applyFont="1" applyFill="1" applyBorder="1" applyAlignment="1" applyProtection="1">
      <alignment horizontal="center" vertical="center" shrinkToFit="1"/>
    </xf>
    <xf numFmtId="3" fontId="51" fillId="12" borderId="24" xfId="1" applyNumberFormat="1" applyFont="1" applyFill="1" applyBorder="1" applyAlignment="1" applyProtection="1">
      <alignment horizontal="center" vertical="center" wrapText="1" shrinkToFit="1"/>
    </xf>
    <xf numFmtId="3" fontId="51" fillId="12" borderId="22" xfId="1" applyNumberFormat="1" applyFont="1" applyFill="1" applyBorder="1" applyAlignment="1" applyProtection="1">
      <alignment horizontal="center" vertical="center" wrapText="1" shrinkToFit="1"/>
    </xf>
    <xf numFmtId="3" fontId="51" fillId="12" borderId="27" xfId="1" applyNumberFormat="1" applyFont="1" applyFill="1" applyBorder="1" applyAlignment="1" applyProtection="1">
      <alignment horizontal="center" vertical="center" wrapText="1" shrinkToFit="1"/>
    </xf>
    <xf numFmtId="0" fontId="52" fillId="12" borderId="23" xfId="1" applyFont="1" applyFill="1" applyBorder="1" applyAlignment="1" applyProtection="1">
      <alignment horizontal="center" vertical="center" shrinkToFit="1"/>
    </xf>
    <xf numFmtId="0" fontId="52" fillId="12" borderId="3" xfId="1" applyFont="1" applyFill="1" applyBorder="1" applyAlignment="1" applyProtection="1">
      <alignment horizontal="center" vertical="center" shrinkToFit="1"/>
    </xf>
    <xf numFmtId="0" fontId="52" fillId="12" borderId="20" xfId="1" applyFont="1" applyFill="1" applyBorder="1" applyAlignment="1" applyProtection="1">
      <alignment horizontal="center" vertical="center" shrinkToFit="1"/>
    </xf>
    <xf numFmtId="0" fontId="51" fillId="12" borderId="24" xfId="1" applyFont="1" applyFill="1" applyBorder="1" applyAlignment="1" applyProtection="1">
      <alignment horizontal="center" vertical="center" wrapText="1" shrinkToFit="1"/>
    </xf>
    <xf numFmtId="0" fontId="51" fillId="12" borderId="22" xfId="1" applyFont="1" applyFill="1" applyBorder="1" applyAlignment="1" applyProtection="1">
      <alignment horizontal="center" vertical="center" wrapText="1" shrinkToFit="1"/>
    </xf>
    <xf numFmtId="0" fontId="51" fillId="12" borderId="27" xfId="1" applyFont="1" applyFill="1" applyBorder="1" applyAlignment="1" applyProtection="1">
      <alignment horizontal="center" vertical="center" wrapText="1" shrinkToFit="1"/>
    </xf>
    <xf numFmtId="0" fontId="51" fillId="12" borderId="26" xfId="1" applyFont="1" applyFill="1" applyBorder="1" applyAlignment="1">
      <alignment horizontal="center" vertical="center" wrapText="1" shrinkToFit="1"/>
      <protection locked="0"/>
    </xf>
    <xf numFmtId="0" fontId="51" fillId="12" borderId="5" xfId="1" applyFont="1" applyFill="1" applyBorder="1" applyAlignment="1">
      <alignment horizontal="center" vertical="center" wrapText="1" shrinkToFit="1"/>
      <protection locked="0"/>
    </xf>
    <xf numFmtId="0" fontId="51" fillId="12" borderId="13" xfId="1" applyFont="1" applyFill="1" applyBorder="1" applyAlignment="1">
      <alignment horizontal="center" vertical="center" wrapText="1" shrinkToFit="1"/>
      <protection locked="0"/>
    </xf>
    <xf numFmtId="0" fontId="51" fillId="12" borderId="26" xfId="1" applyFont="1" applyFill="1" applyBorder="1" applyAlignment="1" applyProtection="1">
      <alignment horizontal="center" vertical="center"/>
    </xf>
    <xf numFmtId="0" fontId="51" fillId="12" borderId="23" xfId="1" applyFont="1" applyFill="1" applyBorder="1" applyAlignment="1" applyProtection="1">
      <alignment horizontal="center" vertical="center"/>
    </xf>
    <xf numFmtId="0" fontId="51" fillId="12" borderId="24" xfId="1" applyFont="1" applyFill="1" applyBorder="1" applyAlignment="1" applyProtection="1">
      <alignment horizontal="center" vertical="center" wrapText="1"/>
    </xf>
    <xf numFmtId="0" fontId="51" fillId="12" borderId="10" xfId="1" applyFont="1" applyFill="1" applyBorder="1" applyAlignment="1" applyProtection="1">
      <alignment horizontal="center" vertical="center"/>
    </xf>
    <xf numFmtId="43" fontId="52" fillId="12" borderId="23" xfId="5" applyNumberFormat="1" applyFont="1" applyFill="1" applyBorder="1" applyAlignment="1" applyProtection="1">
      <alignment horizontal="center" vertical="center"/>
    </xf>
    <xf numFmtId="43" fontId="52" fillId="12" borderId="3" xfId="5" applyNumberFormat="1" applyFont="1" applyFill="1" applyBorder="1" applyAlignment="1" applyProtection="1">
      <alignment horizontal="center" vertical="center"/>
    </xf>
    <xf numFmtId="43" fontId="52" fillId="12" borderId="20" xfId="5" applyNumberFormat="1" applyFont="1" applyFill="1" applyBorder="1" applyAlignment="1" applyProtection="1">
      <alignment horizontal="center" vertical="center"/>
    </xf>
    <xf numFmtId="43" fontId="52" fillId="12" borderId="24" xfId="5" applyNumberFormat="1" applyFont="1" applyFill="1" applyBorder="1" applyAlignment="1" applyProtection="1">
      <alignment horizontal="center" vertical="center" wrapText="1"/>
    </xf>
    <xf numFmtId="43" fontId="52" fillId="12" borderId="22" xfId="5" applyNumberFormat="1" applyFont="1" applyFill="1" applyBorder="1" applyAlignment="1" applyProtection="1">
      <alignment horizontal="center" vertical="center" wrapText="1"/>
    </xf>
    <xf numFmtId="43" fontId="52" fillId="12" borderId="27" xfId="5" applyNumberFormat="1" applyFont="1" applyFill="1" applyBorder="1" applyAlignment="1" applyProtection="1">
      <alignment horizontal="center" vertical="center" wrapText="1"/>
    </xf>
    <xf numFmtId="0" fontId="51" fillId="12" borderId="25" xfId="1" applyFont="1" applyFill="1" applyBorder="1" applyAlignment="1" applyProtection="1">
      <alignment horizontal="center" vertical="center" wrapText="1"/>
    </xf>
    <xf numFmtId="0" fontId="62" fillId="0" borderId="0" xfId="1" applyFont="1" applyAlignment="1">
      <alignment horizontal="center" vertical="center"/>
      <protection locked="0"/>
    </xf>
    <xf numFmtId="0" fontId="52" fillId="12" borderId="33" xfId="1" applyFont="1" applyFill="1" applyBorder="1" applyAlignment="1">
      <alignment horizontal="center" vertical="center" shrinkToFit="1"/>
      <protection locked="0"/>
    </xf>
    <xf numFmtId="0" fontId="52" fillId="12" borderId="34" xfId="1" applyFont="1" applyFill="1" applyBorder="1" applyAlignment="1">
      <alignment horizontal="center" vertical="center" shrinkToFit="1"/>
      <protection locked="0"/>
    </xf>
    <xf numFmtId="0" fontId="52" fillId="12" borderId="24" xfId="1" applyFont="1" applyFill="1" applyBorder="1" applyAlignment="1">
      <alignment horizontal="center" vertical="center" shrinkToFit="1"/>
      <protection locked="0"/>
    </xf>
    <xf numFmtId="0" fontId="52" fillId="12" borderId="27" xfId="1" applyFont="1" applyFill="1" applyBorder="1" applyAlignment="1">
      <alignment horizontal="center" vertical="center" shrinkToFit="1"/>
      <protection locked="0"/>
    </xf>
    <xf numFmtId="0" fontId="52" fillId="12" borderId="25" xfId="1" applyFont="1" applyFill="1" applyBorder="1" applyAlignment="1">
      <alignment horizontal="center" vertical="center" shrinkToFit="1"/>
      <protection locked="0"/>
    </xf>
    <xf numFmtId="0" fontId="52" fillId="12" borderId="12" xfId="1" applyFont="1" applyFill="1" applyBorder="1" applyAlignment="1">
      <alignment horizontal="center" vertical="center" shrinkToFit="1"/>
      <protection locked="0"/>
    </xf>
    <xf numFmtId="0" fontId="52" fillId="12" borderId="26" xfId="1" applyFont="1" applyFill="1" applyBorder="1" applyAlignment="1">
      <alignment horizontal="center" vertical="center" shrinkToFit="1"/>
      <protection locked="0"/>
    </xf>
    <xf numFmtId="0" fontId="52" fillId="12" borderId="13" xfId="1" applyFont="1" applyFill="1" applyBorder="1" applyAlignment="1">
      <alignment horizontal="center" vertical="center" shrinkToFit="1"/>
      <protection locked="0"/>
    </xf>
    <xf numFmtId="0" fontId="52" fillId="12" borderId="42" xfId="0" applyFont="1" applyFill="1" applyBorder="1" applyAlignment="1">
      <alignment horizontal="center" vertical="center" wrapText="1"/>
      <protection locked="0"/>
    </xf>
    <xf numFmtId="0" fontId="52" fillId="12" borderId="44" xfId="0" applyFont="1" applyFill="1" applyBorder="1" applyAlignment="1">
      <alignment horizontal="center" vertical="center" wrapText="1"/>
      <protection locked="0"/>
    </xf>
    <xf numFmtId="0" fontId="52" fillId="12" borderId="1" xfId="0" applyFont="1" applyFill="1" applyBorder="1" applyAlignment="1">
      <alignment horizontal="center" vertical="center" wrapText="1"/>
      <protection locked="0"/>
    </xf>
    <xf numFmtId="0" fontId="52" fillId="12" borderId="43" xfId="0" applyFont="1" applyFill="1" applyBorder="1" applyAlignment="1">
      <alignment horizontal="center" vertical="center" wrapText="1"/>
      <protection locked="0"/>
    </xf>
    <xf numFmtId="4" fontId="63" fillId="0" borderId="0" xfId="1" applyNumberFormat="1" applyFont="1" applyAlignment="1" applyProtection="1">
      <alignment horizontal="center" vertical="center"/>
    </xf>
    <xf numFmtId="0" fontId="0" fillId="0" borderId="0" xfId="0" applyAlignment="1">
      <alignment horizontal="center" vertical="center"/>
      <protection locked="0"/>
    </xf>
  </cellXfs>
  <cellStyles count="137">
    <cellStyle name="?" xfId="7"/>
    <cellStyle name="?餡_x000c_k" xfId="8"/>
    <cellStyle name="?餡_x000c_k?_x000d_^" xfId="9"/>
    <cellStyle name="?餡_x000c_k?_x000d_^黇_x0001_??_x0007__x0001__x0001_" xfId="10"/>
    <cellStyle name="@_text" xfId="11"/>
    <cellStyle name="_2005审计报表及附注-中国建材股份模板（房屋）" xfId="12"/>
    <cellStyle name="_2006年年报审计PBC表-XXX" xfId="13"/>
    <cellStyle name="_2006年年报审计填报资料" xfId="14"/>
    <cellStyle name="_PBC审核提示" xfId="15"/>
    <cellStyle name="_宝丽华房地产20051231" xfId="16"/>
    <cellStyle name="_保证金-企业填写部分" xfId="17"/>
    <cellStyle name="_北新房屋2004年审-刘" xfId="18"/>
    <cellStyle name="_北新股份2005年审工作底稿" xfId="19"/>
    <cellStyle name="_北新建材关连交易基础表051230（10－12月版）更新稿" xfId="20"/>
    <cellStyle name="_北新建材-会计报表附注模版" xfId="21"/>
    <cellStyle name="_北新龙之星2004年审工作底稿" xfId="22"/>
    <cellStyle name="_北新物流2005底稿-刘" xfId="23"/>
    <cellStyle name="_北新置换memo" xfId="24"/>
    <cellStyle name="_存货结转测试" xfId="25"/>
    <cellStyle name="_存货数量与明细05.12" xfId="26"/>
    <cellStyle name="_动力厂2004年审工作底稿-刘" xfId="27"/>
    <cellStyle name="_分工" xfId="28"/>
    <cellStyle name="_工程施工项目现场审计提示" xfId="29"/>
    <cellStyle name="_关联交易" xfId="30"/>
    <cellStyle name="_关联交易、往来统计表" xfId="31"/>
    <cellStyle name="_合并报表审计套餐(CAS-V0.0)" xfId="32"/>
    <cellStyle name="_科目核对表" xfId="33"/>
    <cellStyle name="_母PL" xfId="34"/>
    <cellStyle name="_人员分工备忘录" xfId="35"/>
    <cellStyle name="_审计所需资料清单－子公司" xfId="36"/>
    <cellStyle name="_长期借款－江阴" xfId="37"/>
    <cellStyle name="{Comma [0]}" xfId="38"/>
    <cellStyle name="{Comma}" xfId="39"/>
    <cellStyle name="{Date}" xfId="40"/>
    <cellStyle name="{Month}" xfId="41"/>
    <cellStyle name="{Percent}" xfId="42"/>
    <cellStyle name="{Thousand [0]}" xfId="43"/>
    <cellStyle name="{Thousand}" xfId="44"/>
    <cellStyle name="{Z'0000(1 dec)}" xfId="45"/>
    <cellStyle name="{Z'0000(4 dec)}" xfId="46"/>
    <cellStyle name="0%" xfId="47"/>
    <cellStyle name="0.0%" xfId="48"/>
    <cellStyle name="0.00%" xfId="49"/>
    <cellStyle name="Black" xfId="50"/>
    <cellStyle name="Border" xfId="51"/>
    <cellStyle name="Calc Currency (0)" xfId="52"/>
    <cellStyle name="Col Heads" xfId="53"/>
    <cellStyle name="Column_Title" xfId="54"/>
    <cellStyle name="Comma  - Style1" xfId="55"/>
    <cellStyle name="Comma  - Style2" xfId="56"/>
    <cellStyle name="Comma  - Style3" xfId="57"/>
    <cellStyle name="Comma  - Style4" xfId="58"/>
    <cellStyle name="Comma  - Style5" xfId="59"/>
    <cellStyle name="Comma  - Style6" xfId="60"/>
    <cellStyle name="Comma  - Style7" xfId="61"/>
    <cellStyle name="Comma  - Style8" xfId="62"/>
    <cellStyle name="Comma [0]_ rislugp" xfId="63"/>
    <cellStyle name="Comma,0" xfId="64"/>
    <cellStyle name="Comma,1" xfId="65"/>
    <cellStyle name="Comma,2" xfId="66"/>
    <cellStyle name="Comma_ rislugp" xfId="67"/>
    <cellStyle name="Currency [0]_ rislugp" xfId="68"/>
    <cellStyle name="Currency,0" xfId="69"/>
    <cellStyle name="Currency,2" xfId="70"/>
    <cellStyle name="Currency_ rislugp" xfId="71"/>
    <cellStyle name="Dezimal [0]_laroux" xfId="72"/>
    <cellStyle name="Dezimal_laroux" xfId="73"/>
    <cellStyle name="entry" xfId="74"/>
    <cellStyle name="entry box" xfId="75"/>
    <cellStyle name="Euro" xfId="76"/>
    <cellStyle name="Followed Hyperlink_AheadBehind.xls Chart 23" xfId="77"/>
    <cellStyle name="Grey" xfId="78"/>
    <cellStyle name="Header1" xfId="79"/>
    <cellStyle name="Header2" xfId="80"/>
    <cellStyle name="Heading" xfId="81"/>
    <cellStyle name="Hyperlink_AheadBehind.xls Chart 23" xfId="82"/>
    <cellStyle name="Input [yellow]" xfId="83"/>
    <cellStyle name="left" xfId="84"/>
    <cellStyle name="Millares [0]_laroux" xfId="85"/>
    <cellStyle name="Millares_laroux" xfId="86"/>
    <cellStyle name="Milliers [0]_laroux" xfId="87"/>
    <cellStyle name="Milliers_laroux" xfId="88"/>
    <cellStyle name="Moneda [0]_laroux" xfId="89"/>
    <cellStyle name="Moneda_laroux" xfId="90"/>
    <cellStyle name="Mon閠aire [0]_laroux" xfId="91"/>
    <cellStyle name="Mon閠aire_laroux" xfId="92"/>
    <cellStyle name="no dec" xfId="93"/>
    <cellStyle name="Non défini" xfId="94"/>
    <cellStyle name="Normal - Style1" xfId="95"/>
    <cellStyle name="Normal_ rislugp" xfId="96"/>
    <cellStyle name="Normalny_Arkusz1" xfId="97"/>
    <cellStyle name="Percent (0)" xfId="98"/>
    <cellStyle name="Percent [2]" xfId="99"/>
    <cellStyle name="Prefilled" xfId="100"/>
    <cellStyle name="price" xfId="101"/>
    <cellStyle name="Red" xfId="102"/>
    <cellStyle name="revised" xfId="103"/>
    <cellStyle name="S4" xfId="104"/>
    <cellStyle name="S5" xfId="105"/>
    <cellStyle name="section" xfId="106"/>
    <cellStyle name="style" xfId="107"/>
    <cellStyle name="style1" xfId="108"/>
    <cellStyle name="style2" xfId="109"/>
    <cellStyle name="Tickmark" xfId="110"/>
    <cellStyle name="title" xfId="111"/>
    <cellStyle name="wrap" xfId="112"/>
    <cellStyle name="パーセント_laroux" xfId="113"/>
    <cellStyle name="百分比 2" xfId="4"/>
    <cellStyle name="標準_１１月価格表" xfId="114"/>
    <cellStyle name="常规" xfId="0" builtinId="0"/>
    <cellStyle name="常规_2003年调整表1" xfId="2"/>
    <cellStyle name="常规_合并报表审计套餐(CAS-V0.0)" xfId="1"/>
    <cellStyle name="常规_试算表(三建主业)" xfId="6"/>
    <cellStyle name="超级链接_B4-1审计项目工时预算与控制表(集团)" xfId="115"/>
    <cellStyle name="超链接" xfId="136" builtinId="8"/>
    <cellStyle name="分级显示行_1_4附件二凯旋评估表" xfId="116"/>
    <cellStyle name="桁区切り [0.00]_１１月価格表" xfId="117"/>
    <cellStyle name="桁区切り_１１月価格表" xfId="118"/>
    <cellStyle name="霓付 [0]_97MBO" xfId="119"/>
    <cellStyle name="霓付_97MBO" xfId="120"/>
    <cellStyle name="烹拳 [0]_97MBO" xfId="121"/>
    <cellStyle name="烹拳_97MBO" xfId="122"/>
    <cellStyle name="普通_ 白土" xfId="123"/>
    <cellStyle name="千分位[0]_ 白土" xfId="124"/>
    <cellStyle name="千分位_ 白土" xfId="125"/>
    <cellStyle name="千位[0]_97汇总" xfId="126"/>
    <cellStyle name="千位_97汇总" xfId="127"/>
    <cellStyle name="千位分隔[0]_审计调整试算平衡表（修改中）" xfId="5"/>
    <cellStyle name="千位分隔_合并报表审计套餐(CAS-V0.0)" xfId="3"/>
    <cellStyle name="钎霖_laroux" xfId="128"/>
    <cellStyle name="通貨 [0.00]_１１月価格表" xfId="129"/>
    <cellStyle name="通貨_１１月価格表" xfId="130"/>
    <cellStyle name="콤마 [0]_BOILER-CO1" xfId="131"/>
    <cellStyle name="콤마_BOILER-CO1" xfId="132"/>
    <cellStyle name="통화 [0]_BOILER-CO1" xfId="133"/>
    <cellStyle name="통화_BOILER-CO1" xfId="134"/>
    <cellStyle name="표준_0N-HANDLING " xfId="135"/>
  </cellStyles>
  <dxfs count="16">
    <dxf>
      <font>
        <condense val="0"/>
        <extend val="0"/>
        <color auto="1"/>
      </font>
    </dxf>
    <dxf>
      <font>
        <condense val="0"/>
        <extend val="0"/>
        <color indexed="10"/>
      </font>
      <fill>
        <patternFill patternType="none">
          <bgColor indexed="65"/>
        </patternFill>
      </fill>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ill>
        <patternFill>
          <bgColor indexed="15"/>
        </patternFill>
      </fill>
    </dxf>
    <dxf>
      <font>
        <b/>
        <i val="0"/>
        <condense val="0"/>
        <extend val="0"/>
      </font>
      <fill>
        <patternFill>
          <bgColor indexed="10"/>
        </patternFill>
      </fill>
    </dxf>
    <dxf>
      <font>
        <condense val="0"/>
        <extend val="0"/>
        <color indexed="10"/>
      </font>
    </dxf>
    <dxf>
      <font>
        <condense val="0"/>
        <extend val="0"/>
        <color indexed="10"/>
      </font>
    </dxf>
    <dxf>
      <font>
        <condense val="0"/>
        <extend val="0"/>
        <color indexed="10"/>
      </font>
    </dxf>
    <dxf>
      <fill>
        <patternFill>
          <bgColor indexed="15"/>
        </patternFill>
      </fill>
    </dxf>
    <dxf>
      <font>
        <b/>
        <i val="0"/>
        <condense val="0"/>
        <extend val="0"/>
      </font>
      <fill>
        <patternFill>
          <bgColor indexed="10"/>
        </patternFill>
      </fill>
    </dxf>
  </dxfs>
  <tableStyles count="0" defaultTableStyle="TableStyleMedium2" defaultPivotStyle="PivotStyleLight16"/>
  <colors>
    <mruColors>
      <color rgb="FF0000FF"/>
      <color rgb="FFE4DF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0</xdr:col>
      <xdr:colOff>676275</xdr:colOff>
      <xdr:row>9</xdr:row>
      <xdr:rowOff>47625</xdr:rowOff>
    </xdr:from>
    <xdr:to>
      <xdr:col>0</xdr:col>
      <xdr:colOff>752475</xdr:colOff>
      <xdr:row>9</xdr:row>
      <xdr:rowOff>270510</xdr:rowOff>
    </xdr:to>
    <xdr:sp macro="" textlink="">
      <xdr:nvSpPr>
        <xdr:cNvPr id="2" name="Text Box 1">
          <a:extLst>
            <a:ext uri="{FF2B5EF4-FFF2-40B4-BE49-F238E27FC236}">
              <a16:creationId xmlns:a16="http://schemas.microsoft.com/office/drawing/2014/main" id="{00000000-0008-0000-0000-000002000000}"/>
            </a:ext>
          </a:extLst>
        </xdr:cNvPr>
        <xdr:cNvSpPr txBox="1">
          <a:spLocks noChangeArrowheads="1"/>
        </xdr:cNvSpPr>
      </xdr:nvSpPr>
      <xdr:spPr bwMode="auto">
        <a:xfrm>
          <a:off x="676275" y="1619250"/>
          <a:ext cx="76200"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676275</xdr:colOff>
      <xdr:row>9</xdr:row>
      <xdr:rowOff>47625</xdr:rowOff>
    </xdr:from>
    <xdr:to>
      <xdr:col>0</xdr:col>
      <xdr:colOff>752475</xdr:colOff>
      <xdr:row>9</xdr:row>
      <xdr:rowOff>270510</xdr:rowOff>
    </xdr:to>
    <xdr:sp macro="" textlink="">
      <xdr:nvSpPr>
        <xdr:cNvPr id="3" name="Text Box 2">
          <a:extLst>
            <a:ext uri="{FF2B5EF4-FFF2-40B4-BE49-F238E27FC236}">
              <a16:creationId xmlns:a16="http://schemas.microsoft.com/office/drawing/2014/main" id="{00000000-0008-0000-0000-000003000000}"/>
            </a:ext>
          </a:extLst>
        </xdr:cNvPr>
        <xdr:cNvSpPr txBox="1">
          <a:spLocks noChangeArrowheads="1"/>
        </xdr:cNvSpPr>
      </xdr:nvSpPr>
      <xdr:spPr bwMode="auto">
        <a:xfrm>
          <a:off x="676275" y="1581150"/>
          <a:ext cx="76200"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676275</xdr:colOff>
      <xdr:row>28</xdr:row>
      <xdr:rowOff>47625</xdr:rowOff>
    </xdr:from>
    <xdr:to>
      <xdr:col>0</xdr:col>
      <xdr:colOff>752475</xdr:colOff>
      <xdr:row>29</xdr:row>
      <xdr:rowOff>19050</xdr:rowOff>
    </xdr:to>
    <xdr:sp macro="" textlink="">
      <xdr:nvSpPr>
        <xdr:cNvPr id="4" name="Text Box 3">
          <a:extLst>
            <a:ext uri="{FF2B5EF4-FFF2-40B4-BE49-F238E27FC236}">
              <a16:creationId xmlns:a16="http://schemas.microsoft.com/office/drawing/2014/main" id="{00000000-0008-0000-0000-000004000000}"/>
            </a:ext>
          </a:extLst>
        </xdr:cNvPr>
        <xdr:cNvSpPr txBox="1">
          <a:spLocks noChangeArrowheads="1"/>
        </xdr:cNvSpPr>
      </xdr:nvSpPr>
      <xdr:spPr bwMode="auto">
        <a:xfrm>
          <a:off x="676275" y="4152900"/>
          <a:ext cx="76200"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676275</xdr:colOff>
      <xdr:row>28</xdr:row>
      <xdr:rowOff>47625</xdr:rowOff>
    </xdr:from>
    <xdr:to>
      <xdr:col>0</xdr:col>
      <xdr:colOff>752475</xdr:colOff>
      <xdr:row>29</xdr:row>
      <xdr:rowOff>19050</xdr:rowOff>
    </xdr:to>
    <xdr:sp macro="" textlink="">
      <xdr:nvSpPr>
        <xdr:cNvPr id="5" name="Text Box 4">
          <a:extLst>
            <a:ext uri="{FF2B5EF4-FFF2-40B4-BE49-F238E27FC236}">
              <a16:creationId xmlns:a16="http://schemas.microsoft.com/office/drawing/2014/main" id="{00000000-0008-0000-0000-000005000000}"/>
            </a:ext>
          </a:extLst>
        </xdr:cNvPr>
        <xdr:cNvSpPr txBox="1">
          <a:spLocks noChangeArrowheads="1"/>
        </xdr:cNvSpPr>
      </xdr:nvSpPr>
      <xdr:spPr bwMode="auto">
        <a:xfrm>
          <a:off x="676275" y="4152900"/>
          <a:ext cx="76200"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676275</xdr:colOff>
      <xdr:row>9</xdr:row>
      <xdr:rowOff>47625</xdr:rowOff>
    </xdr:from>
    <xdr:to>
      <xdr:col>0</xdr:col>
      <xdr:colOff>752475</xdr:colOff>
      <xdr:row>9</xdr:row>
      <xdr:rowOff>270510</xdr:rowOff>
    </xdr:to>
    <xdr:sp macro="" textlink="">
      <xdr:nvSpPr>
        <xdr:cNvPr id="6" name="Text Box 1">
          <a:extLst>
            <a:ext uri="{FF2B5EF4-FFF2-40B4-BE49-F238E27FC236}">
              <a16:creationId xmlns:a16="http://schemas.microsoft.com/office/drawing/2014/main" id="{00000000-0008-0000-0000-000006000000}"/>
            </a:ext>
          </a:extLst>
        </xdr:cNvPr>
        <xdr:cNvSpPr txBox="1">
          <a:spLocks noChangeArrowheads="1"/>
        </xdr:cNvSpPr>
      </xdr:nvSpPr>
      <xdr:spPr bwMode="auto">
        <a:xfrm>
          <a:off x="676275" y="1581150"/>
          <a:ext cx="76200"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676275</xdr:colOff>
      <xdr:row>9</xdr:row>
      <xdr:rowOff>47625</xdr:rowOff>
    </xdr:from>
    <xdr:to>
      <xdr:col>0</xdr:col>
      <xdr:colOff>752475</xdr:colOff>
      <xdr:row>9</xdr:row>
      <xdr:rowOff>270510</xdr:rowOff>
    </xdr:to>
    <xdr:sp macro="" textlink="">
      <xdr:nvSpPr>
        <xdr:cNvPr id="7" name="Text Box 2">
          <a:extLst>
            <a:ext uri="{FF2B5EF4-FFF2-40B4-BE49-F238E27FC236}">
              <a16:creationId xmlns:a16="http://schemas.microsoft.com/office/drawing/2014/main" id="{00000000-0008-0000-0000-000007000000}"/>
            </a:ext>
          </a:extLst>
        </xdr:cNvPr>
        <xdr:cNvSpPr txBox="1">
          <a:spLocks noChangeArrowheads="1"/>
        </xdr:cNvSpPr>
      </xdr:nvSpPr>
      <xdr:spPr bwMode="auto">
        <a:xfrm>
          <a:off x="676275" y="1581150"/>
          <a:ext cx="76200"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676275</xdr:colOff>
      <xdr:row>9</xdr:row>
      <xdr:rowOff>47625</xdr:rowOff>
    </xdr:from>
    <xdr:to>
      <xdr:col>0</xdr:col>
      <xdr:colOff>752475</xdr:colOff>
      <xdr:row>9</xdr:row>
      <xdr:rowOff>270510</xdr:rowOff>
    </xdr:to>
    <xdr:sp macro="" textlink="">
      <xdr:nvSpPr>
        <xdr:cNvPr id="8" name="Text Box 1">
          <a:extLst>
            <a:ext uri="{FF2B5EF4-FFF2-40B4-BE49-F238E27FC236}">
              <a16:creationId xmlns:a16="http://schemas.microsoft.com/office/drawing/2014/main" id="{00000000-0008-0000-0000-000008000000}"/>
            </a:ext>
          </a:extLst>
        </xdr:cNvPr>
        <xdr:cNvSpPr txBox="1">
          <a:spLocks noChangeArrowheads="1"/>
        </xdr:cNvSpPr>
      </xdr:nvSpPr>
      <xdr:spPr bwMode="auto">
        <a:xfrm>
          <a:off x="676275" y="1619250"/>
          <a:ext cx="76200"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676275</xdr:colOff>
      <xdr:row>9</xdr:row>
      <xdr:rowOff>47625</xdr:rowOff>
    </xdr:from>
    <xdr:to>
      <xdr:col>0</xdr:col>
      <xdr:colOff>752475</xdr:colOff>
      <xdr:row>9</xdr:row>
      <xdr:rowOff>270510</xdr:rowOff>
    </xdr:to>
    <xdr:sp macro="" textlink="">
      <xdr:nvSpPr>
        <xdr:cNvPr id="9" name="Text Box 2">
          <a:extLst>
            <a:ext uri="{FF2B5EF4-FFF2-40B4-BE49-F238E27FC236}">
              <a16:creationId xmlns:a16="http://schemas.microsoft.com/office/drawing/2014/main" id="{00000000-0008-0000-0000-000009000000}"/>
            </a:ext>
          </a:extLst>
        </xdr:cNvPr>
        <xdr:cNvSpPr txBox="1">
          <a:spLocks noChangeArrowheads="1"/>
        </xdr:cNvSpPr>
      </xdr:nvSpPr>
      <xdr:spPr bwMode="auto">
        <a:xfrm>
          <a:off x="676275" y="1619250"/>
          <a:ext cx="76200"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531495</xdr:colOff>
      <xdr:row>10</xdr:row>
      <xdr:rowOff>108585</xdr:rowOff>
    </xdr:from>
    <xdr:to>
      <xdr:col>2</xdr:col>
      <xdr:colOff>607695</xdr:colOff>
      <xdr:row>11</xdr:row>
      <xdr:rowOff>80010</xdr:rowOff>
    </xdr:to>
    <xdr:sp macro="" textlink="">
      <xdr:nvSpPr>
        <xdr:cNvPr id="10" name="Text Box 1">
          <a:extLst>
            <a:ext uri="{FF2B5EF4-FFF2-40B4-BE49-F238E27FC236}">
              <a16:creationId xmlns:a16="http://schemas.microsoft.com/office/drawing/2014/main" id="{00000000-0008-0000-0000-00000A000000}"/>
            </a:ext>
          </a:extLst>
        </xdr:cNvPr>
        <xdr:cNvSpPr txBox="1">
          <a:spLocks noChangeArrowheads="1"/>
        </xdr:cNvSpPr>
      </xdr:nvSpPr>
      <xdr:spPr bwMode="auto">
        <a:xfrm>
          <a:off x="2550795" y="2005965"/>
          <a:ext cx="76200" cy="2228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0</xdr:col>
      <xdr:colOff>676275</xdr:colOff>
      <xdr:row>8</xdr:row>
      <xdr:rowOff>47625</xdr:rowOff>
    </xdr:from>
    <xdr:ext cx="76200" cy="222885"/>
    <xdr:sp macro="" textlink="">
      <xdr:nvSpPr>
        <xdr:cNvPr id="11" name="Text Box 1">
          <a:extLst>
            <a:ext uri="{FF2B5EF4-FFF2-40B4-BE49-F238E27FC236}">
              <a16:creationId xmlns:a16="http://schemas.microsoft.com/office/drawing/2014/main" id="{00000000-0008-0000-0000-00000B000000}"/>
            </a:ext>
          </a:extLst>
        </xdr:cNvPr>
        <xdr:cNvSpPr txBox="1">
          <a:spLocks noChangeArrowheads="1"/>
        </xdr:cNvSpPr>
      </xdr:nvSpPr>
      <xdr:spPr bwMode="auto">
        <a:xfrm>
          <a:off x="676275" y="1769745"/>
          <a:ext cx="76200" cy="2228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676275</xdr:colOff>
      <xdr:row>8</xdr:row>
      <xdr:rowOff>47625</xdr:rowOff>
    </xdr:from>
    <xdr:ext cx="76200" cy="222885"/>
    <xdr:sp macro="" textlink="">
      <xdr:nvSpPr>
        <xdr:cNvPr id="12" name="Text Box 2">
          <a:extLst>
            <a:ext uri="{FF2B5EF4-FFF2-40B4-BE49-F238E27FC236}">
              <a16:creationId xmlns:a16="http://schemas.microsoft.com/office/drawing/2014/main" id="{00000000-0008-0000-0000-00000C000000}"/>
            </a:ext>
          </a:extLst>
        </xdr:cNvPr>
        <xdr:cNvSpPr txBox="1">
          <a:spLocks noChangeArrowheads="1"/>
        </xdr:cNvSpPr>
      </xdr:nvSpPr>
      <xdr:spPr bwMode="auto">
        <a:xfrm>
          <a:off x="676275" y="1769745"/>
          <a:ext cx="76200" cy="2228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676275</xdr:colOff>
      <xdr:row>8</xdr:row>
      <xdr:rowOff>47625</xdr:rowOff>
    </xdr:from>
    <xdr:ext cx="76200" cy="222885"/>
    <xdr:sp macro="" textlink="">
      <xdr:nvSpPr>
        <xdr:cNvPr id="13" name="Text Box 1">
          <a:extLst>
            <a:ext uri="{FF2B5EF4-FFF2-40B4-BE49-F238E27FC236}">
              <a16:creationId xmlns:a16="http://schemas.microsoft.com/office/drawing/2014/main" id="{00000000-0008-0000-0000-00000D000000}"/>
            </a:ext>
          </a:extLst>
        </xdr:cNvPr>
        <xdr:cNvSpPr txBox="1">
          <a:spLocks noChangeArrowheads="1"/>
        </xdr:cNvSpPr>
      </xdr:nvSpPr>
      <xdr:spPr bwMode="auto">
        <a:xfrm>
          <a:off x="676275" y="1769745"/>
          <a:ext cx="76200" cy="2228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676275</xdr:colOff>
      <xdr:row>8</xdr:row>
      <xdr:rowOff>47625</xdr:rowOff>
    </xdr:from>
    <xdr:ext cx="76200" cy="222885"/>
    <xdr:sp macro="" textlink="">
      <xdr:nvSpPr>
        <xdr:cNvPr id="14" name="Text Box 2">
          <a:extLst>
            <a:ext uri="{FF2B5EF4-FFF2-40B4-BE49-F238E27FC236}">
              <a16:creationId xmlns:a16="http://schemas.microsoft.com/office/drawing/2014/main" id="{00000000-0008-0000-0000-00000E000000}"/>
            </a:ext>
          </a:extLst>
        </xdr:cNvPr>
        <xdr:cNvSpPr txBox="1">
          <a:spLocks noChangeArrowheads="1"/>
        </xdr:cNvSpPr>
      </xdr:nvSpPr>
      <xdr:spPr bwMode="auto">
        <a:xfrm>
          <a:off x="676275" y="1769745"/>
          <a:ext cx="76200" cy="2228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676275</xdr:colOff>
      <xdr:row>8</xdr:row>
      <xdr:rowOff>47625</xdr:rowOff>
    </xdr:from>
    <xdr:ext cx="76200" cy="222885"/>
    <xdr:sp macro="" textlink="">
      <xdr:nvSpPr>
        <xdr:cNvPr id="15" name="Text Box 1">
          <a:extLst>
            <a:ext uri="{FF2B5EF4-FFF2-40B4-BE49-F238E27FC236}">
              <a16:creationId xmlns:a16="http://schemas.microsoft.com/office/drawing/2014/main" id="{00000000-0008-0000-0000-00000F000000}"/>
            </a:ext>
          </a:extLst>
        </xdr:cNvPr>
        <xdr:cNvSpPr txBox="1">
          <a:spLocks noChangeArrowheads="1"/>
        </xdr:cNvSpPr>
      </xdr:nvSpPr>
      <xdr:spPr bwMode="auto">
        <a:xfrm>
          <a:off x="676275" y="1769745"/>
          <a:ext cx="76200" cy="2228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676275</xdr:colOff>
      <xdr:row>8</xdr:row>
      <xdr:rowOff>47625</xdr:rowOff>
    </xdr:from>
    <xdr:ext cx="76200" cy="222885"/>
    <xdr:sp macro="" textlink="">
      <xdr:nvSpPr>
        <xdr:cNvPr id="16" name="Text Box 2">
          <a:extLst>
            <a:ext uri="{FF2B5EF4-FFF2-40B4-BE49-F238E27FC236}">
              <a16:creationId xmlns:a16="http://schemas.microsoft.com/office/drawing/2014/main" id="{00000000-0008-0000-0000-000010000000}"/>
            </a:ext>
          </a:extLst>
        </xdr:cNvPr>
        <xdr:cNvSpPr txBox="1">
          <a:spLocks noChangeArrowheads="1"/>
        </xdr:cNvSpPr>
      </xdr:nvSpPr>
      <xdr:spPr bwMode="auto">
        <a:xfrm>
          <a:off x="676275" y="1769745"/>
          <a:ext cx="76200" cy="2228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676275</xdr:colOff>
      <xdr:row>8</xdr:row>
      <xdr:rowOff>47625</xdr:rowOff>
    </xdr:from>
    <xdr:ext cx="76200" cy="222885"/>
    <xdr:sp macro="" textlink="">
      <xdr:nvSpPr>
        <xdr:cNvPr id="17" name="Text Box 1">
          <a:extLst>
            <a:ext uri="{FF2B5EF4-FFF2-40B4-BE49-F238E27FC236}">
              <a16:creationId xmlns:a16="http://schemas.microsoft.com/office/drawing/2014/main" id="{00000000-0008-0000-0000-000011000000}"/>
            </a:ext>
          </a:extLst>
        </xdr:cNvPr>
        <xdr:cNvSpPr txBox="1">
          <a:spLocks noChangeArrowheads="1"/>
        </xdr:cNvSpPr>
      </xdr:nvSpPr>
      <xdr:spPr bwMode="auto">
        <a:xfrm>
          <a:off x="676275" y="1769745"/>
          <a:ext cx="76200" cy="2228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676275</xdr:colOff>
      <xdr:row>29</xdr:row>
      <xdr:rowOff>47625</xdr:rowOff>
    </xdr:from>
    <xdr:ext cx="76200" cy="222885"/>
    <xdr:sp macro="" textlink="">
      <xdr:nvSpPr>
        <xdr:cNvPr id="20" name="Text Box 3">
          <a:extLst>
            <a:ext uri="{FF2B5EF4-FFF2-40B4-BE49-F238E27FC236}">
              <a16:creationId xmlns:a16="http://schemas.microsoft.com/office/drawing/2014/main" id="{00000000-0008-0000-0000-000014000000}"/>
            </a:ext>
          </a:extLst>
        </xdr:cNvPr>
        <xdr:cNvSpPr txBox="1">
          <a:spLocks noChangeArrowheads="1"/>
        </xdr:cNvSpPr>
      </xdr:nvSpPr>
      <xdr:spPr bwMode="auto">
        <a:xfrm>
          <a:off x="676275" y="4909185"/>
          <a:ext cx="76200" cy="2228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676275</xdr:colOff>
      <xdr:row>8</xdr:row>
      <xdr:rowOff>47625</xdr:rowOff>
    </xdr:from>
    <xdr:ext cx="76200" cy="222885"/>
    <xdr:sp macro="" textlink="">
      <xdr:nvSpPr>
        <xdr:cNvPr id="23" name="Text Box 1">
          <a:extLst>
            <a:ext uri="{FF2B5EF4-FFF2-40B4-BE49-F238E27FC236}">
              <a16:creationId xmlns:a16="http://schemas.microsoft.com/office/drawing/2014/main" id="{00000000-0008-0000-0000-000017000000}"/>
            </a:ext>
          </a:extLst>
        </xdr:cNvPr>
        <xdr:cNvSpPr txBox="1">
          <a:spLocks noChangeArrowheads="1"/>
        </xdr:cNvSpPr>
      </xdr:nvSpPr>
      <xdr:spPr bwMode="auto">
        <a:xfrm>
          <a:off x="676275" y="1594485"/>
          <a:ext cx="76200" cy="2228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676275</xdr:colOff>
      <xdr:row>8</xdr:row>
      <xdr:rowOff>47625</xdr:rowOff>
    </xdr:from>
    <xdr:ext cx="76200" cy="222885"/>
    <xdr:sp macro="" textlink="">
      <xdr:nvSpPr>
        <xdr:cNvPr id="24" name="Text Box 2">
          <a:extLst>
            <a:ext uri="{FF2B5EF4-FFF2-40B4-BE49-F238E27FC236}">
              <a16:creationId xmlns:a16="http://schemas.microsoft.com/office/drawing/2014/main" id="{00000000-0008-0000-0000-000018000000}"/>
            </a:ext>
          </a:extLst>
        </xdr:cNvPr>
        <xdr:cNvSpPr txBox="1">
          <a:spLocks noChangeArrowheads="1"/>
        </xdr:cNvSpPr>
      </xdr:nvSpPr>
      <xdr:spPr bwMode="auto">
        <a:xfrm>
          <a:off x="676275" y="1594485"/>
          <a:ext cx="76200" cy="2228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676275</xdr:colOff>
      <xdr:row>8</xdr:row>
      <xdr:rowOff>47625</xdr:rowOff>
    </xdr:from>
    <xdr:ext cx="76200" cy="222885"/>
    <xdr:sp macro="" textlink="">
      <xdr:nvSpPr>
        <xdr:cNvPr id="25" name="Text Box 1">
          <a:extLst>
            <a:ext uri="{FF2B5EF4-FFF2-40B4-BE49-F238E27FC236}">
              <a16:creationId xmlns:a16="http://schemas.microsoft.com/office/drawing/2014/main" id="{00000000-0008-0000-0000-000019000000}"/>
            </a:ext>
          </a:extLst>
        </xdr:cNvPr>
        <xdr:cNvSpPr txBox="1">
          <a:spLocks noChangeArrowheads="1"/>
        </xdr:cNvSpPr>
      </xdr:nvSpPr>
      <xdr:spPr bwMode="auto">
        <a:xfrm>
          <a:off x="676275" y="1594485"/>
          <a:ext cx="76200" cy="2228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676275</xdr:colOff>
      <xdr:row>8</xdr:row>
      <xdr:rowOff>47625</xdr:rowOff>
    </xdr:from>
    <xdr:ext cx="76200" cy="222885"/>
    <xdr:sp macro="" textlink="">
      <xdr:nvSpPr>
        <xdr:cNvPr id="26" name="Text Box 2">
          <a:extLst>
            <a:ext uri="{FF2B5EF4-FFF2-40B4-BE49-F238E27FC236}">
              <a16:creationId xmlns:a16="http://schemas.microsoft.com/office/drawing/2014/main" id="{00000000-0008-0000-0000-00001A000000}"/>
            </a:ext>
          </a:extLst>
        </xdr:cNvPr>
        <xdr:cNvSpPr txBox="1">
          <a:spLocks noChangeArrowheads="1"/>
        </xdr:cNvSpPr>
      </xdr:nvSpPr>
      <xdr:spPr bwMode="auto">
        <a:xfrm>
          <a:off x="676275" y="1594485"/>
          <a:ext cx="76200" cy="2228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685800</xdr:colOff>
      <xdr:row>9</xdr:row>
      <xdr:rowOff>47625</xdr:rowOff>
    </xdr:from>
    <xdr:to>
      <xdr:col>0</xdr:col>
      <xdr:colOff>762000</xdr:colOff>
      <xdr:row>9</xdr:row>
      <xdr:rowOff>270510</xdr:rowOff>
    </xdr:to>
    <xdr:sp macro="" textlink="">
      <xdr:nvSpPr>
        <xdr:cNvPr id="2" name="Text Box 1">
          <a:extLst>
            <a:ext uri="{FF2B5EF4-FFF2-40B4-BE49-F238E27FC236}">
              <a16:creationId xmlns:a16="http://schemas.microsoft.com/office/drawing/2014/main" id="{00000000-0008-0000-0100-000002000000}"/>
            </a:ext>
          </a:extLst>
        </xdr:cNvPr>
        <xdr:cNvSpPr txBox="1">
          <a:spLocks noChangeArrowheads="1"/>
        </xdr:cNvSpPr>
      </xdr:nvSpPr>
      <xdr:spPr bwMode="auto">
        <a:xfrm>
          <a:off x="685800" y="1581150"/>
          <a:ext cx="76200"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685800</xdr:colOff>
      <xdr:row>9</xdr:row>
      <xdr:rowOff>47625</xdr:rowOff>
    </xdr:from>
    <xdr:to>
      <xdr:col>0</xdr:col>
      <xdr:colOff>762000</xdr:colOff>
      <xdr:row>9</xdr:row>
      <xdr:rowOff>270510</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685800" y="1581150"/>
          <a:ext cx="76200"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676275</xdr:colOff>
      <xdr:row>9</xdr:row>
      <xdr:rowOff>47625</xdr:rowOff>
    </xdr:from>
    <xdr:to>
      <xdr:col>0</xdr:col>
      <xdr:colOff>752475</xdr:colOff>
      <xdr:row>9</xdr:row>
      <xdr:rowOff>270510</xdr:rowOff>
    </xdr:to>
    <xdr:sp macro="" textlink="">
      <xdr:nvSpPr>
        <xdr:cNvPr id="4" name="Text Box 1">
          <a:extLst>
            <a:ext uri="{FF2B5EF4-FFF2-40B4-BE49-F238E27FC236}">
              <a16:creationId xmlns:a16="http://schemas.microsoft.com/office/drawing/2014/main" id="{00000000-0008-0000-0100-000004000000}"/>
            </a:ext>
          </a:extLst>
        </xdr:cNvPr>
        <xdr:cNvSpPr txBox="1">
          <a:spLocks noChangeArrowheads="1"/>
        </xdr:cNvSpPr>
      </xdr:nvSpPr>
      <xdr:spPr bwMode="auto">
        <a:xfrm>
          <a:off x="676275" y="1581150"/>
          <a:ext cx="76200"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676275</xdr:colOff>
      <xdr:row>9</xdr:row>
      <xdr:rowOff>47625</xdr:rowOff>
    </xdr:from>
    <xdr:to>
      <xdr:col>0</xdr:col>
      <xdr:colOff>752475</xdr:colOff>
      <xdr:row>9</xdr:row>
      <xdr:rowOff>270510</xdr:rowOff>
    </xdr:to>
    <xdr:sp macro="" textlink="">
      <xdr:nvSpPr>
        <xdr:cNvPr id="5" name="Text Box 2">
          <a:extLst>
            <a:ext uri="{FF2B5EF4-FFF2-40B4-BE49-F238E27FC236}">
              <a16:creationId xmlns:a16="http://schemas.microsoft.com/office/drawing/2014/main" id="{00000000-0008-0000-0100-000005000000}"/>
            </a:ext>
          </a:extLst>
        </xdr:cNvPr>
        <xdr:cNvSpPr txBox="1">
          <a:spLocks noChangeArrowheads="1"/>
        </xdr:cNvSpPr>
      </xdr:nvSpPr>
      <xdr:spPr bwMode="auto">
        <a:xfrm>
          <a:off x="676275" y="1581150"/>
          <a:ext cx="76200"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676275</xdr:colOff>
      <xdr:row>9</xdr:row>
      <xdr:rowOff>47625</xdr:rowOff>
    </xdr:from>
    <xdr:to>
      <xdr:col>0</xdr:col>
      <xdr:colOff>752475</xdr:colOff>
      <xdr:row>9</xdr:row>
      <xdr:rowOff>270510</xdr:rowOff>
    </xdr:to>
    <xdr:sp macro="" textlink="">
      <xdr:nvSpPr>
        <xdr:cNvPr id="6" name="Text Box 1">
          <a:extLst>
            <a:ext uri="{FF2B5EF4-FFF2-40B4-BE49-F238E27FC236}">
              <a16:creationId xmlns:a16="http://schemas.microsoft.com/office/drawing/2014/main" id="{00000000-0008-0000-0100-000006000000}"/>
            </a:ext>
          </a:extLst>
        </xdr:cNvPr>
        <xdr:cNvSpPr txBox="1">
          <a:spLocks noChangeArrowheads="1"/>
        </xdr:cNvSpPr>
      </xdr:nvSpPr>
      <xdr:spPr bwMode="auto">
        <a:xfrm>
          <a:off x="676275" y="1581150"/>
          <a:ext cx="76200"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676275</xdr:colOff>
      <xdr:row>9</xdr:row>
      <xdr:rowOff>47625</xdr:rowOff>
    </xdr:from>
    <xdr:to>
      <xdr:col>0</xdr:col>
      <xdr:colOff>752475</xdr:colOff>
      <xdr:row>9</xdr:row>
      <xdr:rowOff>270510</xdr:rowOff>
    </xdr:to>
    <xdr:sp macro="" textlink="">
      <xdr:nvSpPr>
        <xdr:cNvPr id="7" name="Text Box 2">
          <a:extLst>
            <a:ext uri="{FF2B5EF4-FFF2-40B4-BE49-F238E27FC236}">
              <a16:creationId xmlns:a16="http://schemas.microsoft.com/office/drawing/2014/main" id="{00000000-0008-0000-0100-000007000000}"/>
            </a:ext>
          </a:extLst>
        </xdr:cNvPr>
        <xdr:cNvSpPr txBox="1">
          <a:spLocks noChangeArrowheads="1"/>
        </xdr:cNvSpPr>
      </xdr:nvSpPr>
      <xdr:spPr bwMode="auto">
        <a:xfrm>
          <a:off x="676275" y="1581150"/>
          <a:ext cx="76200"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0</xdr:col>
      <xdr:colOff>685800</xdr:colOff>
      <xdr:row>8</xdr:row>
      <xdr:rowOff>47625</xdr:rowOff>
    </xdr:from>
    <xdr:ext cx="76200" cy="222885"/>
    <xdr:sp macro="" textlink="">
      <xdr:nvSpPr>
        <xdr:cNvPr id="8" name="Text Box 1">
          <a:extLst>
            <a:ext uri="{FF2B5EF4-FFF2-40B4-BE49-F238E27FC236}">
              <a16:creationId xmlns:a16="http://schemas.microsoft.com/office/drawing/2014/main" id="{00000000-0008-0000-0100-000008000000}"/>
            </a:ext>
          </a:extLst>
        </xdr:cNvPr>
        <xdr:cNvSpPr txBox="1">
          <a:spLocks noChangeArrowheads="1"/>
        </xdr:cNvSpPr>
      </xdr:nvSpPr>
      <xdr:spPr bwMode="auto">
        <a:xfrm>
          <a:off x="685800" y="1769745"/>
          <a:ext cx="76200" cy="2228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685800</xdr:colOff>
      <xdr:row>8</xdr:row>
      <xdr:rowOff>47625</xdr:rowOff>
    </xdr:from>
    <xdr:ext cx="76200" cy="222885"/>
    <xdr:sp macro="" textlink="">
      <xdr:nvSpPr>
        <xdr:cNvPr id="9" name="Text Box 2">
          <a:extLst>
            <a:ext uri="{FF2B5EF4-FFF2-40B4-BE49-F238E27FC236}">
              <a16:creationId xmlns:a16="http://schemas.microsoft.com/office/drawing/2014/main" id="{00000000-0008-0000-0100-000009000000}"/>
            </a:ext>
          </a:extLst>
        </xdr:cNvPr>
        <xdr:cNvSpPr txBox="1">
          <a:spLocks noChangeArrowheads="1"/>
        </xdr:cNvSpPr>
      </xdr:nvSpPr>
      <xdr:spPr bwMode="auto">
        <a:xfrm>
          <a:off x="685800" y="1769745"/>
          <a:ext cx="76200" cy="2228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F19"/>
  <sheetViews>
    <sheetView view="pageBreakPreview" zoomScale="60" zoomScaleNormal="100" workbookViewId="0">
      <selection activeCell="K23" sqref="K23"/>
    </sheetView>
  </sheetViews>
  <sheetFormatPr defaultRowHeight="19.95" customHeight="1"/>
  <cols>
    <col min="1" max="1" width="33" style="2" customWidth="1"/>
    <col min="2" max="4" width="8.88671875" style="2"/>
    <col min="5" max="5" width="23.5546875" style="2" customWidth="1"/>
    <col min="6" max="6" width="23.44140625" style="2" customWidth="1"/>
    <col min="7" max="16384" width="8.88671875" style="2"/>
  </cols>
  <sheetData>
    <row r="1" spans="1:6" ht="27" customHeight="1">
      <c r="A1" s="1" t="s">
        <v>55</v>
      </c>
    </row>
    <row r="2" spans="1:6" ht="19.95" customHeight="1">
      <c r="A2" s="3" t="s">
        <v>56</v>
      </c>
      <c r="D2" s="4" t="s">
        <v>57</v>
      </c>
      <c r="E2" s="4" t="s">
        <v>58</v>
      </c>
      <c r="F2" s="4" t="s">
        <v>59</v>
      </c>
    </row>
    <row r="3" spans="1:6" ht="19.95" customHeight="1">
      <c r="A3" s="3" t="s">
        <v>60</v>
      </c>
      <c r="D3" s="5">
        <v>1</v>
      </c>
      <c r="E3" s="6" t="s">
        <v>48</v>
      </c>
      <c r="F3" s="7" t="s">
        <v>42</v>
      </c>
    </row>
    <row r="4" spans="1:6" ht="19.95" customHeight="1">
      <c r="A4" s="3" t="s">
        <v>61</v>
      </c>
      <c r="D4" s="5">
        <f>D3+1</f>
        <v>2</v>
      </c>
      <c r="E4" s="6" t="s">
        <v>49</v>
      </c>
      <c r="F4" s="7" t="s">
        <v>43</v>
      </c>
    </row>
    <row r="5" spans="1:6" ht="19.95" customHeight="1">
      <c r="A5" s="3" t="s">
        <v>62</v>
      </c>
      <c r="D5" s="5">
        <f t="shared" ref="D5:D8" si="0">D4+1</f>
        <v>3</v>
      </c>
      <c r="E5" s="6" t="s">
        <v>50</v>
      </c>
      <c r="F5" s="7" t="s">
        <v>44</v>
      </c>
    </row>
    <row r="6" spans="1:6" ht="19.95" customHeight="1">
      <c r="A6" s="3" t="s">
        <v>63</v>
      </c>
      <c r="D6" s="5">
        <f t="shared" si="0"/>
        <v>4</v>
      </c>
      <c r="E6" s="6" t="s">
        <v>51</v>
      </c>
      <c r="F6" s="7" t="s">
        <v>45</v>
      </c>
    </row>
    <row r="7" spans="1:6" ht="19.95" customHeight="1">
      <c r="A7" s="3" t="s">
        <v>64</v>
      </c>
      <c r="D7" s="5">
        <f t="shared" si="0"/>
        <v>5</v>
      </c>
      <c r="E7" s="6" t="s">
        <v>52</v>
      </c>
      <c r="F7" s="7" t="s">
        <v>46</v>
      </c>
    </row>
    <row r="8" spans="1:6" ht="19.95" customHeight="1">
      <c r="A8" s="3" t="s">
        <v>65</v>
      </c>
      <c r="D8" s="5">
        <f t="shared" si="0"/>
        <v>6</v>
      </c>
      <c r="E8" s="8" t="s">
        <v>53</v>
      </c>
      <c r="F8" s="7" t="s">
        <v>47</v>
      </c>
    </row>
    <row r="9" spans="1:6" ht="19.95" customHeight="1">
      <c r="D9" s="9"/>
      <c r="E9" s="10"/>
      <c r="F9" s="11"/>
    </row>
    <row r="10" spans="1:6" ht="19.95" customHeight="1">
      <c r="D10" s="9"/>
      <c r="E10" s="12"/>
      <c r="F10" s="11"/>
    </row>
    <row r="11" spans="1:6" ht="19.95" customHeight="1">
      <c r="D11" s="9"/>
      <c r="E11" s="10"/>
      <c r="F11" s="11"/>
    </row>
    <row r="12" spans="1:6" ht="19.95" customHeight="1">
      <c r="D12" s="9"/>
      <c r="E12" s="10"/>
      <c r="F12" s="11"/>
    </row>
    <row r="13" spans="1:6" ht="19.95" customHeight="1">
      <c r="D13" s="9"/>
      <c r="E13" s="10"/>
      <c r="F13" s="11"/>
    </row>
    <row r="14" spans="1:6" ht="19.95" customHeight="1">
      <c r="D14" s="9"/>
      <c r="E14" s="10"/>
      <c r="F14" s="11"/>
    </row>
    <row r="15" spans="1:6" ht="19.95" customHeight="1">
      <c r="D15" s="9"/>
      <c r="E15" s="10"/>
      <c r="F15" s="11"/>
    </row>
    <row r="16" spans="1:6" ht="19.95" customHeight="1">
      <c r="D16" s="9"/>
      <c r="E16" s="10"/>
      <c r="F16" s="11"/>
    </row>
    <row r="17" spans="4:6" ht="19.95" customHeight="1">
      <c r="D17" s="9"/>
      <c r="E17" s="10"/>
      <c r="F17" s="11"/>
    </row>
    <row r="18" spans="4:6" ht="19.95" customHeight="1">
      <c r="D18" s="9"/>
      <c r="E18" s="10"/>
      <c r="F18" s="11"/>
    </row>
    <row r="19" spans="4:6" ht="19.95" customHeight="1">
      <c r="D19" s="9"/>
      <c r="E19" s="10"/>
      <c r="F19" s="11"/>
    </row>
  </sheetData>
  <phoneticPr fontId="3" type="noConversion"/>
  <hyperlinks>
    <hyperlink ref="E3" location="'未审资产负债横向分析B13-2-1'!A1" display="未审资产负债横向分析"/>
    <hyperlink ref="E4" location="'未审资产负债纵向分析B13-2-2'!A1" display="未审资产负债纵向分析"/>
    <hyperlink ref="E5" location="'未审利润横向分析B13-3-1'!A1" display="未审利润横向分析"/>
    <hyperlink ref="E6" location="'未审利润纵向分析B13-3-2'!A1" display="未审利润纵向分析"/>
    <hyperlink ref="E7" location="'未审报表比率分析B13-4'!A1" display="未审报表比率分析"/>
    <hyperlink ref="E8" location="'同行业对比分析B13-5'!A1" display="同行业对比分析"/>
  </hyperlinks>
  <pageMargins left="0.7" right="0.7" top="0.75" bottom="0.75" header="0.3" footer="0.3"/>
  <pageSetup paperSize="9" scale="83"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P55"/>
  <sheetViews>
    <sheetView showZeros="0" view="pageBreakPreview" zoomScaleNormal="100" zoomScaleSheetLayoutView="100" workbookViewId="0">
      <pane xSplit="2" ySplit="6" topLeftCell="C48" activePane="bottomRight" state="frozen"/>
      <selection activeCell="E58" sqref="E58"/>
      <selection pane="topRight" activeCell="E58" sqref="E58"/>
      <selection pane="bottomLeft" activeCell="E58" sqref="E58"/>
      <selection pane="bottomRight" activeCell="E58" sqref="E58"/>
    </sheetView>
  </sheetViews>
  <sheetFormatPr defaultColWidth="10.33203125" defaultRowHeight="19.95" customHeight="1"/>
  <cols>
    <col min="1" max="1" width="26.44140625" style="13" customWidth="1"/>
    <col min="2" max="2" width="4.5546875" style="13" customWidth="1"/>
    <col min="3" max="3" width="14" style="13" customWidth="1"/>
    <col min="4" max="4" width="16" style="13" customWidth="1"/>
    <col min="5" max="5" width="12.33203125" style="13" customWidth="1"/>
    <col min="6" max="6" width="8.5546875" style="13" bestFit="1" customWidth="1"/>
    <col min="7" max="7" width="10.6640625" style="13" customWidth="1"/>
    <col min="8" max="8" width="17.109375" style="13" customWidth="1"/>
    <col min="9" max="9" width="29" style="13" customWidth="1"/>
    <col min="10" max="10" width="4.5546875" style="13" customWidth="1"/>
    <col min="11" max="11" width="14.109375" style="13" customWidth="1"/>
    <col min="12" max="12" width="13.6640625" style="13" customWidth="1"/>
    <col min="13" max="13" width="12.44140625" style="13" customWidth="1"/>
    <col min="14" max="14" width="8.5546875" style="13" bestFit="1" customWidth="1"/>
    <col min="15" max="15" width="12.44140625" style="13" customWidth="1"/>
    <col min="16" max="16" width="17.109375" style="13" customWidth="1"/>
    <col min="17" max="16384" width="10.33203125" style="13"/>
  </cols>
  <sheetData>
    <row r="1" spans="1:16" s="243" customFormat="1" ht="27" customHeight="1">
      <c r="A1" s="256" t="s">
        <v>66</v>
      </c>
      <c r="B1" s="256"/>
      <c r="C1" s="256"/>
      <c r="D1" s="256"/>
      <c r="E1" s="256"/>
      <c r="F1" s="256"/>
      <c r="G1" s="256"/>
      <c r="H1" s="256"/>
      <c r="I1" s="256" t="s">
        <v>67</v>
      </c>
      <c r="J1" s="256"/>
      <c r="K1" s="256"/>
      <c r="L1" s="256"/>
      <c r="M1" s="256"/>
      <c r="N1" s="256"/>
      <c r="O1" s="256"/>
      <c r="P1" s="256"/>
    </row>
    <row r="2" spans="1:16" s="15" customFormat="1" ht="19.95" customHeight="1">
      <c r="A2" s="14" t="str">
        <f>底稿目录!A2</f>
        <v>被审计单位：ABC公司</v>
      </c>
      <c r="D2" s="16" t="str">
        <f>底稿目录!A4</f>
        <v>编制人：张三</v>
      </c>
      <c r="F2" s="16" t="str">
        <f>底稿目录!A5</f>
        <v>编制日期：2025.X.X</v>
      </c>
      <c r="G2" s="14"/>
      <c r="H2" s="16" t="s">
        <v>68</v>
      </c>
      <c r="I2" s="14" t="str">
        <f>A2</f>
        <v>被审计单位：ABC公司</v>
      </c>
      <c r="L2" s="16" t="str">
        <f>D2</f>
        <v>编制人：张三</v>
      </c>
      <c r="N2" s="16" t="str">
        <f>F2</f>
        <v>编制日期：2025.X.X</v>
      </c>
      <c r="O2" s="14"/>
      <c r="P2" s="16" t="s">
        <v>68</v>
      </c>
    </row>
    <row r="3" spans="1:16" s="15" customFormat="1" ht="19.95" customHeight="1" thickBot="1">
      <c r="A3" s="14" t="str">
        <f>底稿目录!A3</f>
        <v>截止日：202X年12月31日</v>
      </c>
      <c r="D3" s="14" t="str">
        <f>底稿目录!A6</f>
        <v>复核人：李四</v>
      </c>
      <c r="E3" s="14"/>
      <c r="F3" s="16" t="str">
        <f>底稿目录!A7</f>
        <v>复核日期：2025.X.X</v>
      </c>
      <c r="G3" s="14"/>
      <c r="H3" s="16" t="s">
        <v>69</v>
      </c>
      <c r="I3" s="14" t="str">
        <f>A3</f>
        <v>截止日：202X年12月31日</v>
      </c>
      <c r="L3" s="14" t="str">
        <f>D3</f>
        <v>复核人：李四</v>
      </c>
      <c r="M3" s="14"/>
      <c r="N3" s="16" t="str">
        <f>F3</f>
        <v>复核日期：2025.X.X</v>
      </c>
      <c r="O3" s="14"/>
      <c r="P3" s="16" t="s">
        <v>70</v>
      </c>
    </row>
    <row r="4" spans="1:16" ht="19.95" customHeight="1">
      <c r="A4" s="257" t="s">
        <v>71</v>
      </c>
      <c r="B4" s="260" t="s">
        <v>72</v>
      </c>
      <c r="C4" s="248" t="s">
        <v>73</v>
      </c>
      <c r="D4" s="248" t="s">
        <v>24</v>
      </c>
      <c r="E4" s="17" t="s">
        <v>74</v>
      </c>
      <c r="F4" s="17"/>
      <c r="G4" s="250" t="s">
        <v>75</v>
      </c>
      <c r="H4" s="253" t="s">
        <v>25</v>
      </c>
      <c r="I4" s="263" t="s">
        <v>76</v>
      </c>
      <c r="J4" s="266" t="s">
        <v>72</v>
      </c>
      <c r="K4" s="248" t="s">
        <v>73</v>
      </c>
      <c r="L4" s="248" t="s">
        <v>24</v>
      </c>
      <c r="M4" s="17" t="s">
        <v>74</v>
      </c>
      <c r="N4" s="17"/>
      <c r="O4" s="250" t="s">
        <v>75</v>
      </c>
      <c r="P4" s="253" t="s">
        <v>77</v>
      </c>
    </row>
    <row r="5" spans="1:16" ht="19.95" customHeight="1">
      <c r="A5" s="258"/>
      <c r="B5" s="261"/>
      <c r="C5" s="249"/>
      <c r="D5" s="249"/>
      <c r="E5" s="19" t="s">
        <v>78</v>
      </c>
      <c r="F5" s="19" t="s">
        <v>79</v>
      </c>
      <c r="G5" s="251"/>
      <c r="H5" s="254"/>
      <c r="I5" s="264"/>
      <c r="J5" s="267"/>
      <c r="K5" s="249"/>
      <c r="L5" s="249"/>
      <c r="M5" s="19" t="s">
        <v>78</v>
      </c>
      <c r="N5" s="19" t="s">
        <v>79</v>
      </c>
      <c r="O5" s="251"/>
      <c r="P5" s="254"/>
    </row>
    <row r="6" spans="1:16" ht="19.95" customHeight="1">
      <c r="A6" s="259"/>
      <c r="B6" s="262"/>
      <c r="C6" s="20" t="s">
        <v>80</v>
      </c>
      <c r="D6" s="20" t="s">
        <v>81</v>
      </c>
      <c r="E6" s="20" t="s">
        <v>82</v>
      </c>
      <c r="F6" s="20" t="s">
        <v>83</v>
      </c>
      <c r="G6" s="252"/>
      <c r="H6" s="255"/>
      <c r="I6" s="265"/>
      <c r="J6" s="268"/>
      <c r="K6" s="20" t="s">
        <v>80</v>
      </c>
      <c r="L6" s="20" t="s">
        <v>81</v>
      </c>
      <c r="M6" s="20" t="s">
        <v>82</v>
      </c>
      <c r="N6" s="20" t="s">
        <v>83</v>
      </c>
      <c r="O6" s="252"/>
      <c r="P6" s="255"/>
    </row>
    <row r="7" spans="1:16" ht="19.95" customHeight="1">
      <c r="A7" s="21" t="s">
        <v>84</v>
      </c>
      <c r="B7" s="22">
        <v>1</v>
      </c>
      <c r="C7" s="23"/>
      <c r="D7" s="23"/>
      <c r="E7" s="24"/>
      <c r="F7" s="24"/>
      <c r="G7" s="24"/>
      <c r="H7" s="25"/>
      <c r="I7" s="26" t="s">
        <v>85</v>
      </c>
      <c r="J7" s="27">
        <f>B55+1</f>
        <v>50</v>
      </c>
      <c r="K7" s="23"/>
      <c r="L7" s="23"/>
      <c r="M7" s="24"/>
      <c r="N7" s="28"/>
      <c r="O7" s="28"/>
      <c r="P7" s="29"/>
    </row>
    <row r="8" spans="1:16" ht="19.95" customHeight="1">
      <c r="A8" s="30" t="s">
        <v>86</v>
      </c>
      <c r="B8" s="31">
        <f>B7+1</f>
        <v>2</v>
      </c>
      <c r="C8" s="32"/>
      <c r="D8" s="32"/>
      <c r="E8" s="33">
        <f>D8-C8</f>
        <v>0</v>
      </c>
      <c r="F8" s="33" t="str">
        <f t="shared" ref="F8:F26" si="0">IF(AND(C8=0,D8=0),"",IF(C8=0,100%,IF(D8=0,-100%,E8/C8)))</f>
        <v/>
      </c>
      <c r="G8" s="34" t="str">
        <f>IF(F8="","",IF(OR(ABS(F8)&gt;=30%,ABS(E8)&gt;=$D$55*5%,ABS(E8)&gt;='未审利润纵向分析B13-3-2'!$E$30*10%),"显著",IF(ABS(F8)&gt;=10%,"关注","")))</f>
        <v/>
      </c>
      <c r="H8" s="35"/>
      <c r="I8" s="36" t="s">
        <v>87</v>
      </c>
      <c r="J8" s="37">
        <f>J7+1</f>
        <v>51</v>
      </c>
      <c r="K8" s="32"/>
      <c r="L8" s="32"/>
      <c r="M8" s="33">
        <f>L8-K8</f>
        <v>0</v>
      </c>
      <c r="N8" s="38" t="str">
        <f>IF(AND(K8=0,L8=0),"",IF(K8=0,100%,IF(L8=0,-100%,M8/K8)))</f>
        <v/>
      </c>
      <c r="O8" s="34" t="str">
        <f>IF(N8="","",IF(OR(ABS(N8)&gt;=30%,ABS(M8)&gt;=$D$55*5%,ABS(M8)&gt;='未审利润纵向分析B13-3-2'!$E$30*10%),"显著",IF(ABS(N8)&gt;=10%,"关注","")))</f>
        <v/>
      </c>
      <c r="P8" s="39"/>
    </row>
    <row r="9" spans="1:16" ht="19.95" customHeight="1">
      <c r="A9" s="30" t="s">
        <v>88</v>
      </c>
      <c r="B9" s="31">
        <f t="shared" ref="B9:B53" si="1">B8+1</f>
        <v>3</v>
      </c>
      <c r="C9" s="32"/>
      <c r="D9" s="32"/>
      <c r="E9" s="33">
        <f t="shared" ref="E9:E24" si="2">D9-C9</f>
        <v>0</v>
      </c>
      <c r="F9" s="33" t="str">
        <f t="shared" si="0"/>
        <v/>
      </c>
      <c r="G9" s="34" t="str">
        <f>IF(F9="","",IF(OR(ABS(F9)&gt;=30%,ABS(E9)&gt;=$D$55*5%,ABS(E9)&gt;='未审利润纵向分析B13-3-2'!$E$30*10%),"显著",IF(ABS(F9)&gt;=10%,"关注","")))</f>
        <v/>
      </c>
      <c r="H9" s="35"/>
      <c r="I9" s="30" t="s">
        <v>89</v>
      </c>
      <c r="J9" s="37">
        <f t="shared" ref="J9:J53" si="3">J8+1</f>
        <v>52</v>
      </c>
      <c r="K9" s="32"/>
      <c r="L9" s="32"/>
      <c r="M9" s="33">
        <f>L9-K9</f>
        <v>0</v>
      </c>
      <c r="N9" s="38" t="str">
        <f t="shared" ref="N9:N24" si="4">IF(AND(K9=0,L9=0),"",IF(K9=0,100%,IF(L9=0,-100%,M9/K9)))</f>
        <v/>
      </c>
      <c r="O9" s="34" t="str">
        <f>IF(N9="","",IF(OR(ABS(N9)&gt;=30%,ABS(M9)&gt;=$D$55*5%,ABS(M9)&gt;='未审利润纵向分析B13-3-2'!$E$30*10%),"显著",IF(ABS(N9)&gt;=10%,"关注","")))</f>
        <v/>
      </c>
      <c r="P9" s="39"/>
    </row>
    <row r="10" spans="1:16" ht="24" customHeight="1">
      <c r="A10" s="30" t="s">
        <v>54</v>
      </c>
      <c r="B10" s="31">
        <f t="shared" si="1"/>
        <v>4</v>
      </c>
      <c r="C10" s="32"/>
      <c r="D10" s="32"/>
      <c r="E10" s="33">
        <f t="shared" si="2"/>
        <v>0</v>
      </c>
      <c r="F10" s="33" t="str">
        <f t="shared" si="0"/>
        <v/>
      </c>
      <c r="G10" s="34" t="str">
        <f>IF(F10="","",IF(OR(ABS(F10)&gt;=30%,ABS(E10)&gt;=$D$55*5%,ABS(E10)&gt;='未审利润纵向分析B13-3-2'!$E$30*10%),"显著",IF(ABS(F10)&gt;=10%,"关注","")))</f>
        <v/>
      </c>
      <c r="H10" s="35"/>
      <c r="I10" s="36" t="s">
        <v>90</v>
      </c>
      <c r="J10" s="37">
        <f t="shared" si="3"/>
        <v>53</v>
      </c>
      <c r="K10" s="32"/>
      <c r="L10" s="32"/>
      <c r="M10" s="33">
        <f t="shared" ref="M10:M24" si="5">L10-K10</f>
        <v>0</v>
      </c>
      <c r="N10" s="38" t="str">
        <f t="shared" si="4"/>
        <v/>
      </c>
      <c r="O10" s="34" t="str">
        <f>IF(N10="","",IF(OR(ABS(N10)&gt;=30%,ABS(M10)&gt;=$D$55*5%,ABS(M10)&gt;='未审利润纵向分析B13-3-2'!$E$30*10%),"显著",IF(ABS(N10)&gt;=10%,"关注","")))</f>
        <v/>
      </c>
      <c r="P10" s="39"/>
    </row>
    <row r="11" spans="1:16" s="40" customFormat="1" ht="19.95" customHeight="1">
      <c r="A11" s="30" t="s">
        <v>91</v>
      </c>
      <c r="B11" s="31">
        <f t="shared" si="1"/>
        <v>5</v>
      </c>
      <c r="C11" s="32"/>
      <c r="D11" s="32"/>
      <c r="E11" s="33">
        <f t="shared" si="2"/>
        <v>0</v>
      </c>
      <c r="F11" s="33" t="str">
        <f t="shared" si="0"/>
        <v/>
      </c>
      <c r="G11" s="34" t="str">
        <f>IF(F11="","",IF(OR(ABS(F11)&gt;=30%,ABS(E11)&gt;=$D$55*5%,ABS(E11)&gt;='未审利润纵向分析B13-3-2'!$E$30*10%),"显著",IF(ABS(F11)&gt;=10%,"关注","")))</f>
        <v/>
      </c>
      <c r="H11" s="35"/>
      <c r="I11" s="36" t="s">
        <v>92</v>
      </c>
      <c r="J11" s="37">
        <f t="shared" si="3"/>
        <v>54</v>
      </c>
      <c r="K11" s="32"/>
      <c r="L11" s="32"/>
      <c r="M11" s="33">
        <f t="shared" si="5"/>
        <v>0</v>
      </c>
      <c r="N11" s="38" t="str">
        <f t="shared" si="4"/>
        <v/>
      </c>
      <c r="O11" s="34" t="str">
        <f>IF(N11="","",IF(OR(ABS(N11)&gt;=30%,ABS(M11)&gt;=$D$55*5%,ABS(M11)&gt;='未审利润纵向分析B13-3-2'!$E$30*10%),"显著",IF(ABS(N11)&gt;=10%,"关注","")))</f>
        <v/>
      </c>
      <c r="P11" s="39"/>
    </row>
    <row r="12" spans="1:16" s="41" customFormat="1" ht="19.95" customHeight="1">
      <c r="A12" s="30" t="s">
        <v>93</v>
      </c>
      <c r="B12" s="31">
        <f t="shared" si="1"/>
        <v>6</v>
      </c>
      <c r="C12" s="32"/>
      <c r="D12" s="32"/>
      <c r="E12" s="33">
        <f t="shared" si="2"/>
        <v>0</v>
      </c>
      <c r="F12" s="33" t="str">
        <f t="shared" si="0"/>
        <v/>
      </c>
      <c r="G12" s="34" t="str">
        <f>IF(F12="","",IF(OR(ABS(F12)&gt;=30%,ABS(E12)&gt;=$D$55*5%,ABS(E12)&gt;='未审利润纵向分析B13-3-2'!$E$30*10%),"显著",IF(ABS(F12)&gt;=10%,"关注","")))</f>
        <v/>
      </c>
      <c r="H12" s="35"/>
      <c r="I12" s="36" t="s">
        <v>94</v>
      </c>
      <c r="J12" s="37">
        <f t="shared" si="3"/>
        <v>55</v>
      </c>
      <c r="K12" s="32"/>
      <c r="L12" s="32"/>
      <c r="M12" s="33">
        <f t="shared" si="5"/>
        <v>0</v>
      </c>
      <c r="N12" s="38" t="str">
        <f t="shared" si="4"/>
        <v/>
      </c>
      <c r="O12" s="34" t="str">
        <f>IF(N12="","",IF(OR(ABS(N12)&gt;=30%,ABS(M12)&gt;=$D$55*5%,ABS(M12)&gt;='未审利润纵向分析B13-3-2'!$E$30*10%),"显著",IF(ABS(N12)&gt;=10%,"关注","")))</f>
        <v/>
      </c>
      <c r="P12" s="39"/>
    </row>
    <row r="13" spans="1:16" s="41" customFormat="1" ht="19.95" customHeight="1">
      <c r="A13" s="30" t="s">
        <v>95</v>
      </c>
      <c r="B13" s="31">
        <f t="shared" si="1"/>
        <v>7</v>
      </c>
      <c r="C13" s="32"/>
      <c r="D13" s="32"/>
      <c r="E13" s="33">
        <f t="shared" si="2"/>
        <v>0</v>
      </c>
      <c r="F13" s="38" t="str">
        <f t="shared" si="0"/>
        <v/>
      </c>
      <c r="G13" s="34" t="str">
        <f>IF(F13="","",IF(OR(ABS(F13)&gt;=30%,ABS(E13)&gt;=$D$55*5%,ABS(E13)&gt;='未审利润纵向分析B13-3-2'!$E$30*10%),"显著",IF(ABS(F13)&gt;=10%,"关注","")))</f>
        <v/>
      </c>
      <c r="H13" s="35"/>
      <c r="I13" s="36" t="s">
        <v>96</v>
      </c>
      <c r="J13" s="37">
        <f t="shared" si="3"/>
        <v>56</v>
      </c>
      <c r="K13" s="32"/>
      <c r="L13" s="32"/>
      <c r="M13" s="33">
        <f t="shared" si="5"/>
        <v>0</v>
      </c>
      <c r="N13" s="38" t="str">
        <f t="shared" si="4"/>
        <v/>
      </c>
      <c r="O13" s="34" t="str">
        <f>IF(N13="","",IF(OR(ABS(N13)&gt;=30%,ABS(M13)&gt;=$D$55*5%,ABS(M13)&gt;='未审利润纵向分析B13-3-2'!$E$30*10%),"显著",IF(ABS(N13)&gt;=10%,"关注","")))</f>
        <v/>
      </c>
      <c r="P13" s="39"/>
    </row>
    <row r="14" spans="1:16" ht="19.95" customHeight="1">
      <c r="A14" s="30" t="s">
        <v>97</v>
      </c>
      <c r="B14" s="31">
        <f t="shared" si="1"/>
        <v>8</v>
      </c>
      <c r="C14" s="32"/>
      <c r="D14" s="32"/>
      <c r="E14" s="33">
        <f t="shared" si="2"/>
        <v>0</v>
      </c>
      <c r="F14" s="38" t="str">
        <f t="shared" si="0"/>
        <v/>
      </c>
      <c r="G14" s="34" t="str">
        <f>IF(F14="","",IF(OR(ABS(F14)&gt;=30%,ABS(E14)&gt;=$D$55*5%,ABS(E14)&gt;='未审利润纵向分析B13-3-2'!$E$30*10%),"显著",IF(ABS(F14)&gt;=10%,"关注","")))</f>
        <v/>
      </c>
      <c r="H14" s="35"/>
      <c r="I14" s="36" t="s">
        <v>98</v>
      </c>
      <c r="J14" s="37">
        <f t="shared" si="3"/>
        <v>57</v>
      </c>
      <c r="K14" s="32"/>
      <c r="L14" s="32"/>
      <c r="M14" s="33">
        <f t="shared" si="5"/>
        <v>0</v>
      </c>
      <c r="N14" s="38" t="str">
        <f t="shared" si="4"/>
        <v/>
      </c>
      <c r="O14" s="34" t="str">
        <f>IF(N14="","",IF(OR(ABS(N14)&gt;=30%,ABS(M14)&gt;=$D$55*5%,ABS(M14)&gt;='未审利润纵向分析B13-3-2'!$E$30*10%),"显著",IF(ABS(N14)&gt;=10%,"关注","")))</f>
        <v/>
      </c>
      <c r="P14" s="39"/>
    </row>
    <row r="15" spans="1:16" ht="19.95" customHeight="1">
      <c r="A15" s="30" t="s">
        <v>99</v>
      </c>
      <c r="B15" s="31">
        <f t="shared" si="1"/>
        <v>9</v>
      </c>
      <c r="C15" s="32"/>
      <c r="D15" s="32"/>
      <c r="E15" s="33">
        <f t="shared" si="2"/>
        <v>0</v>
      </c>
      <c r="F15" s="38" t="str">
        <f t="shared" si="0"/>
        <v/>
      </c>
      <c r="G15" s="34" t="str">
        <f>IF(F15="","",IF(OR(ABS(F15)&gt;=30%,ABS(E15)&gt;=$D$55*5%,ABS(E15)&gt;='未审利润纵向分析B13-3-2'!$E$30*10%),"显著",IF(ABS(F15)&gt;=10%,"关注","")))</f>
        <v/>
      </c>
      <c r="H15" s="35"/>
      <c r="I15" s="36" t="s">
        <v>100</v>
      </c>
      <c r="J15" s="37">
        <f t="shared" si="3"/>
        <v>58</v>
      </c>
      <c r="K15" s="32"/>
      <c r="L15" s="32"/>
      <c r="M15" s="33">
        <f t="shared" ref="M15" si="6">L15-K15</f>
        <v>0</v>
      </c>
      <c r="N15" s="38" t="str">
        <f t="shared" ref="N15" si="7">IF(AND(K15=0,L15=0),"",IF(K15=0,100%,IF(L15=0,-100%,M15/K15)))</f>
        <v/>
      </c>
      <c r="O15" s="34" t="str">
        <f>IF(N15="","",IF(OR(ABS(N15)&gt;=30%,ABS(M15)&gt;=$D$55*5%,ABS(M15)&gt;='未审利润纵向分析B13-3-2'!$E$30*10%),"显著",IF(ABS(N15)&gt;=10%,"关注","")))</f>
        <v/>
      </c>
      <c r="P15" s="39"/>
    </row>
    <row r="16" spans="1:16" ht="19.95" customHeight="1">
      <c r="A16" s="30" t="s">
        <v>101</v>
      </c>
      <c r="B16" s="31">
        <f t="shared" si="1"/>
        <v>10</v>
      </c>
      <c r="C16" s="32"/>
      <c r="D16" s="32"/>
      <c r="E16" s="33">
        <f t="shared" si="2"/>
        <v>0</v>
      </c>
      <c r="F16" s="38" t="str">
        <f t="shared" si="0"/>
        <v/>
      </c>
      <c r="G16" s="34" t="str">
        <f>IF(F16="","",IF(OR(ABS(F16)&gt;=30%,ABS(E16)&gt;=$D$55*5%,ABS(E16)&gt;='未审利润纵向分析B13-3-2'!$E$30*10%),"显著",IF(ABS(F16)&gt;=10%,"关注","")))</f>
        <v/>
      </c>
      <c r="H16" s="35"/>
      <c r="I16" s="36" t="s">
        <v>102</v>
      </c>
      <c r="J16" s="37">
        <f t="shared" si="3"/>
        <v>59</v>
      </c>
      <c r="K16" s="32"/>
      <c r="L16" s="32"/>
      <c r="M16" s="33">
        <f t="shared" si="5"/>
        <v>0</v>
      </c>
      <c r="N16" s="38" t="str">
        <f t="shared" si="4"/>
        <v/>
      </c>
      <c r="O16" s="34" t="str">
        <f>IF(N16="","",IF(OR(ABS(N16)&gt;=30%,ABS(M16)&gt;=$D$55*5%,ABS(M16)&gt;='未审利润纵向分析B13-3-2'!$E$30*10%),"显著",IF(ABS(N16)&gt;=10%,"关注","")))</f>
        <v/>
      </c>
      <c r="P16" s="39"/>
    </row>
    <row r="17" spans="1:16" ht="19.95" customHeight="1">
      <c r="A17" s="30" t="s">
        <v>103</v>
      </c>
      <c r="B17" s="31">
        <f t="shared" si="1"/>
        <v>11</v>
      </c>
      <c r="C17" s="32"/>
      <c r="D17" s="32"/>
      <c r="E17" s="33">
        <f t="shared" si="2"/>
        <v>0</v>
      </c>
      <c r="F17" s="38" t="str">
        <f t="shared" si="0"/>
        <v/>
      </c>
      <c r="G17" s="34" t="str">
        <f>IF(F17="","",IF(OR(ABS(F17)&gt;=30%,ABS(E17)&gt;=$D$55*5%,ABS(E17)&gt;='未审利润纵向分析B13-3-2'!$E$30*10%),"显著",IF(ABS(F17)&gt;=10%,"关注","")))</f>
        <v/>
      </c>
      <c r="H17" s="35"/>
      <c r="I17" s="36" t="s">
        <v>104</v>
      </c>
      <c r="J17" s="37">
        <f t="shared" si="3"/>
        <v>60</v>
      </c>
      <c r="K17" s="32"/>
      <c r="L17" s="32"/>
      <c r="M17" s="33">
        <f t="shared" si="5"/>
        <v>0</v>
      </c>
      <c r="N17" s="38" t="str">
        <f t="shared" si="4"/>
        <v/>
      </c>
      <c r="O17" s="34" t="str">
        <f>IF(N17="","",IF(OR(ABS(N17)&gt;=30%,ABS(M17)&gt;=$D$55*5%,ABS(M17)&gt;='未审利润纵向分析B13-3-2'!$E$30*10%),"显著",IF(ABS(N17)&gt;=10%,"关注","")))</f>
        <v/>
      </c>
      <c r="P17" s="39"/>
    </row>
    <row r="18" spans="1:16" ht="19.95" customHeight="1">
      <c r="A18" s="30" t="s">
        <v>105</v>
      </c>
      <c r="B18" s="31">
        <f t="shared" si="1"/>
        <v>12</v>
      </c>
      <c r="C18" s="32"/>
      <c r="D18" s="32"/>
      <c r="E18" s="33">
        <f t="shared" si="2"/>
        <v>0</v>
      </c>
      <c r="F18" s="38" t="str">
        <f t="shared" si="0"/>
        <v/>
      </c>
      <c r="G18" s="34" t="str">
        <f>IF(F18="","",IF(OR(ABS(F18)&gt;=30%,ABS(E18)&gt;=$D$55*5%,ABS(E18)&gt;='未审利润纵向分析B13-3-2'!$E$30*10%),"显著",IF(ABS(F18)&gt;=10%,"关注","")))</f>
        <v/>
      </c>
      <c r="H18" s="35"/>
      <c r="I18" s="36" t="s">
        <v>106</v>
      </c>
      <c r="J18" s="37">
        <f t="shared" si="3"/>
        <v>61</v>
      </c>
      <c r="K18" s="32"/>
      <c r="L18" s="32"/>
      <c r="M18" s="33">
        <f t="shared" si="5"/>
        <v>0</v>
      </c>
      <c r="N18" s="38" t="str">
        <f t="shared" si="4"/>
        <v/>
      </c>
      <c r="O18" s="34" t="str">
        <f>IF(N18="","",IF(OR(ABS(N18)&gt;=30%,ABS(M18)&gt;=$D$55*5%,ABS(M18)&gt;='未审利润纵向分析B13-3-2'!$E$30*10%),"显著",IF(ABS(N18)&gt;=10%,"关注","")))</f>
        <v/>
      </c>
      <c r="P18" s="39"/>
    </row>
    <row r="19" spans="1:16" ht="19.95" customHeight="1">
      <c r="A19" s="30" t="s">
        <v>107</v>
      </c>
      <c r="B19" s="31">
        <f t="shared" si="1"/>
        <v>13</v>
      </c>
      <c r="C19" s="32"/>
      <c r="D19" s="32"/>
      <c r="E19" s="33">
        <f t="shared" si="2"/>
        <v>0</v>
      </c>
      <c r="F19" s="38" t="str">
        <f t="shared" si="0"/>
        <v/>
      </c>
      <c r="G19" s="34" t="str">
        <f>IF(F19="","",IF(OR(ABS(F19)&gt;=30%,ABS(E19)&gt;=$D$55*5%,ABS(E19)&gt;='未审利润纵向分析B13-3-2'!$E$30*10%),"显著",IF(ABS(F19)&gt;=10%,"关注","")))</f>
        <v/>
      </c>
      <c r="H19" s="35"/>
      <c r="I19" s="36" t="s">
        <v>108</v>
      </c>
      <c r="J19" s="37">
        <f t="shared" si="3"/>
        <v>62</v>
      </c>
      <c r="K19" s="32"/>
      <c r="L19" s="32"/>
      <c r="M19" s="33">
        <f t="shared" si="5"/>
        <v>0</v>
      </c>
      <c r="N19" s="38" t="str">
        <f t="shared" si="4"/>
        <v/>
      </c>
      <c r="O19" s="34" t="str">
        <f>IF(N19="","",IF(OR(ABS(N19)&gt;=30%,ABS(M19)&gt;=$D$55*5%,ABS(M19)&gt;='未审利润纵向分析B13-3-2'!$E$30*10%),"显著",IF(ABS(N19)&gt;=10%,"关注","")))</f>
        <v/>
      </c>
      <c r="P19" s="39"/>
    </row>
    <row r="20" spans="1:16" ht="19.95" customHeight="1">
      <c r="A20" s="30" t="s">
        <v>109</v>
      </c>
      <c r="B20" s="31">
        <f t="shared" si="1"/>
        <v>14</v>
      </c>
      <c r="C20" s="32"/>
      <c r="D20" s="32"/>
      <c r="E20" s="33">
        <f t="shared" si="2"/>
        <v>0</v>
      </c>
      <c r="F20" s="38" t="str">
        <f t="shared" si="0"/>
        <v/>
      </c>
      <c r="G20" s="34" t="str">
        <f>IF(F20="","",IF(OR(ABS(F20)&gt;=30%,ABS(E20)&gt;=$D$55*5%,ABS(E20)&gt;='未审利润纵向分析B13-3-2'!$E$30*10%),"显著",IF(ABS(F20)&gt;=10%,"关注","")))</f>
        <v/>
      </c>
      <c r="H20" s="35"/>
      <c r="I20" s="36" t="s">
        <v>110</v>
      </c>
      <c r="J20" s="37">
        <f t="shared" si="3"/>
        <v>63</v>
      </c>
      <c r="K20" s="32"/>
      <c r="L20" s="32"/>
      <c r="M20" s="33">
        <f t="shared" si="5"/>
        <v>0</v>
      </c>
      <c r="N20" s="38" t="str">
        <f t="shared" si="4"/>
        <v/>
      </c>
      <c r="O20" s="34" t="str">
        <f>IF(N20="","",IF(OR(ABS(N20)&gt;=30%,ABS(M20)&gt;=$D$55*5%,ABS(M20)&gt;='未审利润纵向分析B13-3-2'!$E$30*10%),"显著",IF(ABS(N20)&gt;=10%,"关注","")))</f>
        <v/>
      </c>
      <c r="P20" s="39"/>
    </row>
    <row r="21" spans="1:16" ht="19.95" customHeight="1">
      <c r="A21" s="30" t="s">
        <v>111</v>
      </c>
      <c r="B21" s="31">
        <f t="shared" si="1"/>
        <v>15</v>
      </c>
      <c r="C21" s="32"/>
      <c r="D21" s="32"/>
      <c r="E21" s="33">
        <f t="shared" si="2"/>
        <v>0</v>
      </c>
      <c r="F21" s="38" t="str">
        <f t="shared" si="0"/>
        <v/>
      </c>
      <c r="G21" s="34" t="str">
        <f>IF(F21="","",IF(OR(ABS(F21)&gt;=30%,ABS(E21)&gt;=$D$55*5%,ABS(E21)&gt;='未审利润纵向分析B13-3-2'!$E$30*10%),"显著",IF(ABS(F21)&gt;=10%,"关注","")))</f>
        <v/>
      </c>
      <c r="H21" s="35"/>
      <c r="I21" s="36" t="s">
        <v>112</v>
      </c>
      <c r="J21" s="37">
        <f t="shared" si="3"/>
        <v>64</v>
      </c>
      <c r="K21" s="32"/>
      <c r="L21" s="32"/>
      <c r="M21" s="33">
        <f t="shared" si="5"/>
        <v>0</v>
      </c>
      <c r="N21" s="38" t="str">
        <f t="shared" si="4"/>
        <v/>
      </c>
      <c r="O21" s="34" t="str">
        <f>IF(N21="","",IF(OR(ABS(N21)&gt;=30%,ABS(M21)&gt;=$D$55*5%,ABS(M21)&gt;='未审利润纵向分析B13-3-2'!$E$30*10%),"显著",IF(ABS(N21)&gt;=10%,"关注","")))</f>
        <v/>
      </c>
      <c r="P21" s="39"/>
    </row>
    <row r="22" spans="1:16" ht="19.95" customHeight="1">
      <c r="A22" s="30" t="s">
        <v>113</v>
      </c>
      <c r="B22" s="31">
        <f t="shared" si="1"/>
        <v>16</v>
      </c>
      <c r="C22" s="32"/>
      <c r="D22" s="32"/>
      <c r="E22" s="33">
        <f t="shared" ref="E22" si="8">D22-C22</f>
        <v>0</v>
      </c>
      <c r="F22" s="38" t="str">
        <f t="shared" ref="F22" si="9">IF(AND(C22=0,D22=0),"",IF(C22=0,100%,IF(D22=0,-100%,E22/C22)))</f>
        <v/>
      </c>
      <c r="G22" s="34" t="str">
        <f>IF(F22="","",IF(OR(ABS(F22)&gt;=30%,ABS(E22)&gt;=$D$55*5%,ABS(E22)&gt;='未审利润纵向分析B13-3-2'!$E$30*10%),"显著",IF(ABS(F22)&gt;=10%,"关注","")))</f>
        <v/>
      </c>
      <c r="H22" s="35"/>
      <c r="I22" s="36" t="s">
        <v>114</v>
      </c>
      <c r="J22" s="37">
        <f t="shared" si="3"/>
        <v>65</v>
      </c>
      <c r="K22" s="32"/>
      <c r="L22" s="32"/>
      <c r="M22" s="33">
        <f t="shared" si="5"/>
        <v>0</v>
      </c>
      <c r="N22" s="38" t="str">
        <f t="shared" si="4"/>
        <v/>
      </c>
      <c r="O22" s="34" t="str">
        <f>IF(N22="","",IF(OR(ABS(N22)&gt;=30%,ABS(M22)&gt;=$D$55*5%,ABS(M22)&gt;='未审利润纵向分析B13-3-2'!$E$30*10%),"显著",IF(ABS(N22)&gt;=10%,"关注","")))</f>
        <v/>
      </c>
      <c r="P22" s="39"/>
    </row>
    <row r="23" spans="1:16" ht="19.95" customHeight="1">
      <c r="A23" s="30" t="s">
        <v>115</v>
      </c>
      <c r="B23" s="31">
        <f t="shared" si="1"/>
        <v>17</v>
      </c>
      <c r="C23" s="32"/>
      <c r="D23" s="32"/>
      <c r="E23" s="33">
        <f t="shared" si="2"/>
        <v>0</v>
      </c>
      <c r="F23" s="38" t="str">
        <f t="shared" si="0"/>
        <v/>
      </c>
      <c r="G23" s="34" t="str">
        <f>IF(F23="","",IF(OR(ABS(F23)&gt;=30%,ABS(E23)&gt;=$D$55*5%,ABS(E23)&gt;='未审利润纵向分析B13-3-2'!$E$30*10%),"显著",IF(ABS(F23)&gt;=10%,"关注","")))</f>
        <v/>
      </c>
      <c r="H23" s="35"/>
      <c r="I23" s="36" t="s">
        <v>116</v>
      </c>
      <c r="J23" s="37">
        <f t="shared" si="3"/>
        <v>66</v>
      </c>
      <c r="K23" s="32"/>
      <c r="L23" s="32"/>
      <c r="M23" s="33">
        <f t="shared" ref="M23" si="10">L23-K23</f>
        <v>0</v>
      </c>
      <c r="N23" s="38" t="str">
        <f t="shared" ref="N23" si="11">IF(AND(K23=0,L23=0),"",IF(K23=0,100%,IF(L23=0,-100%,M23/K23)))</f>
        <v/>
      </c>
      <c r="O23" s="34" t="str">
        <f>IF(N23="","",IF(OR(ABS(N23)&gt;=30%,ABS(M23)&gt;=$D$55*5%,ABS(M23)&gt;='未审利润纵向分析B13-3-2'!$E$30*10%),"显著",IF(ABS(N23)&gt;=10%,"关注","")))</f>
        <v/>
      </c>
      <c r="P23" s="39"/>
    </row>
    <row r="24" spans="1:16" ht="19.95" customHeight="1">
      <c r="A24" s="30" t="s">
        <v>117</v>
      </c>
      <c r="B24" s="31">
        <f t="shared" si="1"/>
        <v>18</v>
      </c>
      <c r="C24" s="32"/>
      <c r="D24" s="32"/>
      <c r="E24" s="33">
        <f t="shared" si="2"/>
        <v>0</v>
      </c>
      <c r="F24" s="38" t="str">
        <f t="shared" si="0"/>
        <v/>
      </c>
      <c r="G24" s="34" t="str">
        <f>IF(F24="","",IF(OR(ABS(F24)&gt;=30%,ABS(E24)&gt;=$D$55*5%,ABS(E24)&gt;='未审利润纵向分析B13-3-2'!$E$30*10%),"显著",IF(ABS(F24)&gt;=10%,"关注","")))</f>
        <v/>
      </c>
      <c r="H24" s="35"/>
      <c r="I24" s="36"/>
      <c r="J24" s="37">
        <f t="shared" si="3"/>
        <v>67</v>
      </c>
      <c r="K24" s="32"/>
      <c r="L24" s="32"/>
      <c r="M24" s="33">
        <f t="shared" si="5"/>
        <v>0</v>
      </c>
      <c r="N24" s="38" t="str">
        <f t="shared" si="4"/>
        <v/>
      </c>
      <c r="O24" s="34" t="str">
        <f>IF(N24="","",IF(OR(ABS(N24)&gt;=30%,ABS(M24)&gt;=$D$55*5%,ABS(M24)&gt;='未审利润纵向分析B13-3-2'!$E$30*10%),"显著",IF(ABS(N24)&gt;=10%,"关注","")))</f>
        <v/>
      </c>
      <c r="P24" s="39"/>
    </row>
    <row r="25" spans="1:16" ht="19.95" customHeight="1">
      <c r="A25" s="30" t="s">
        <v>118</v>
      </c>
      <c r="B25" s="31">
        <f t="shared" si="1"/>
        <v>19</v>
      </c>
      <c r="C25" s="32"/>
      <c r="D25" s="32"/>
      <c r="E25" s="33">
        <f>D25-C25</f>
        <v>0</v>
      </c>
      <c r="F25" s="38" t="str">
        <f t="shared" si="0"/>
        <v/>
      </c>
      <c r="G25" s="34" t="str">
        <f>IF(F25="","",IF(OR(ABS(F25)&gt;=30%,ABS(E25)&gt;=$D$55*5%,ABS(E25)&gt;='未审利润纵向分析B13-3-2'!$E$30*10%),"显著",IF(ABS(F25)&gt;=10%,"关注","")))</f>
        <v/>
      </c>
      <c r="H25" s="35"/>
      <c r="I25" s="36"/>
      <c r="J25" s="37">
        <f t="shared" si="3"/>
        <v>68</v>
      </c>
      <c r="K25" s="32"/>
      <c r="L25" s="32"/>
      <c r="M25" s="33"/>
      <c r="N25" s="38"/>
      <c r="O25" s="34"/>
      <c r="P25" s="39"/>
    </row>
    <row r="26" spans="1:16" ht="19.95" customHeight="1">
      <c r="A26" s="42" t="s">
        <v>119</v>
      </c>
      <c r="B26" s="31">
        <f t="shared" si="1"/>
        <v>20</v>
      </c>
      <c r="C26" s="43">
        <f>SUM(C8:C25)-C20-C21-C17-C18</f>
        <v>0</v>
      </c>
      <c r="D26" s="43">
        <f>SUM(D8:D25)-D20-D21-D17-D18</f>
        <v>0</v>
      </c>
      <c r="E26" s="44">
        <f>D26-C26</f>
        <v>0</v>
      </c>
      <c r="F26" s="45" t="str">
        <f t="shared" si="0"/>
        <v/>
      </c>
      <c r="G26" s="46" t="str">
        <f>IF(F26="","",IF(OR(ABS(F26)&gt;=30%,ABS(E26)&gt;=$D$55*5%,ABS(E26)&gt;='未审利润纵向分析B13-3-2'!$E$30*10%),"显著",IF(ABS(F26)&gt;=10%,"关注","")))</f>
        <v/>
      </c>
      <c r="H26" s="47"/>
      <c r="I26" s="48" t="s">
        <v>120</v>
      </c>
      <c r="J26" s="37">
        <f t="shared" si="3"/>
        <v>69</v>
      </c>
      <c r="K26" s="43">
        <f>SUM(K8:K25)-K19-K20</f>
        <v>0</v>
      </c>
      <c r="L26" s="43">
        <f>SUM(L8:L25)-L19-L20</f>
        <v>0</v>
      </c>
      <c r="M26" s="44">
        <f>L26-K26</f>
        <v>0</v>
      </c>
      <c r="N26" s="45" t="str">
        <f>IF(AND(K26=0,L26=0),"",IF(K26=0,100%,IF(L26=0,-100%,M26/K26)))</f>
        <v/>
      </c>
      <c r="O26" s="49" t="str">
        <f>IF(N26="","",IF(OR(ABS(N26)&gt;=30%,ABS(M26)&gt;=$D$55*5%,ABS(M26)&gt;='未审利润纵向分析B13-3-2'!$E$30*10%),"显著",IF(ABS(N26)&gt;=10%,"关注","")))</f>
        <v/>
      </c>
      <c r="P26" s="50"/>
    </row>
    <row r="27" spans="1:16" ht="19.95" customHeight="1">
      <c r="A27" s="51" t="s">
        <v>121</v>
      </c>
      <c r="B27" s="31">
        <f t="shared" si="1"/>
        <v>21</v>
      </c>
      <c r="C27" s="32"/>
      <c r="D27" s="32"/>
      <c r="E27" s="33"/>
      <c r="F27" s="38"/>
      <c r="G27" s="34" t="str">
        <f>IF(F27="","",IF(OR(ABS(F27)&gt;=30%,ABS(E27)&gt;=$D$55*5%,ABS(E27)&gt;='未审利润纵向分析B13-3-2'!$E$30*10%),"显著",IF(ABS(F27)&gt;=10%,"关注","")))</f>
        <v/>
      </c>
      <c r="H27" s="35"/>
      <c r="I27" s="52" t="s">
        <v>122</v>
      </c>
      <c r="J27" s="37">
        <f t="shared" si="3"/>
        <v>70</v>
      </c>
      <c r="K27" s="32"/>
      <c r="L27" s="32"/>
      <c r="M27" s="33"/>
      <c r="N27" s="38"/>
      <c r="O27" s="34" t="str">
        <f>IF(N27="","",IF(OR(ABS(N27)&gt;=30%,ABS(M27)&gt;=$D$55*5%,ABS(M27)&gt;='未审利润纵向分析B13-3-2'!$E$30*10%),"显著",IF(ABS(N27)&gt;=10%,"关注","")))</f>
        <v/>
      </c>
      <c r="P27" s="39"/>
    </row>
    <row r="28" spans="1:16" ht="19.95" customHeight="1">
      <c r="A28" s="30" t="s">
        <v>123</v>
      </c>
      <c r="B28" s="31">
        <f t="shared" si="1"/>
        <v>22</v>
      </c>
      <c r="C28" s="32"/>
      <c r="D28" s="32"/>
      <c r="E28" s="33">
        <f>D28-C28</f>
        <v>0</v>
      </c>
      <c r="F28" s="38" t="str">
        <f>IF(AND(C28=0,D28=0),"",IF(C28=0,100%,IF(D28=0,-100%,E28/C28)))</f>
        <v/>
      </c>
      <c r="G28" s="34" t="str">
        <f>IF(F28="","",IF(OR(ABS(F28)&gt;=30%,ABS(E28)&gt;=$D$55*5%,ABS(E28)&gt;='未审利润纵向分析B13-3-2'!$E$30*10%),"显著",IF(ABS(F28)&gt;=10%,"关注","")))</f>
        <v/>
      </c>
      <c r="H28" s="35"/>
      <c r="I28" s="36" t="s">
        <v>124</v>
      </c>
      <c r="J28" s="37">
        <f t="shared" si="3"/>
        <v>71</v>
      </c>
      <c r="K28" s="32"/>
      <c r="L28" s="32"/>
      <c r="M28" s="33">
        <f>L28-K28</f>
        <v>0</v>
      </c>
      <c r="N28" s="38" t="str">
        <f>IF(AND(K28=0,L28=0),"",IF(K28=0,100%,IF(L28=0,-100%,M28/K28)))</f>
        <v/>
      </c>
      <c r="O28" s="34" t="str">
        <f>IF(N28="","",IF(OR(ABS(N28)&gt;=30%,ABS(M28)&gt;=$D$55*5%,ABS(M28)&gt;='未审利润纵向分析B13-3-2'!$E$30*10%),"显著",IF(ABS(N28)&gt;=10%,"关注","")))</f>
        <v/>
      </c>
      <c r="P28" s="39"/>
    </row>
    <row r="29" spans="1:16" ht="19.95" customHeight="1">
      <c r="A29" s="30" t="s">
        <v>125</v>
      </c>
      <c r="B29" s="31">
        <f t="shared" si="1"/>
        <v>23</v>
      </c>
      <c r="C29" s="32"/>
      <c r="D29" s="32"/>
      <c r="E29" s="33">
        <f>D29-C29</f>
        <v>0</v>
      </c>
      <c r="F29" s="38" t="str">
        <f t="shared" ref="F29:F55" si="12">IF(AND(C29=0,D29=0),"",IF(C29=0,100%,IF(D29=0,-100%,E29/C29)))</f>
        <v/>
      </c>
      <c r="G29" s="34" t="str">
        <f>IF(F29="","",IF(OR(ABS(F29)&gt;=30%,ABS(E29)&gt;=$D$55*5%,ABS(E29)&gt;='未审利润纵向分析B13-3-2'!$E$30*10%),"显著",IF(ABS(F29)&gt;=10%,"关注","")))</f>
        <v/>
      </c>
      <c r="H29" s="35"/>
      <c r="I29" s="36" t="s">
        <v>126</v>
      </c>
      <c r="J29" s="37">
        <f t="shared" si="3"/>
        <v>72</v>
      </c>
      <c r="K29" s="32"/>
      <c r="L29" s="32"/>
      <c r="M29" s="33">
        <f>L29-K29</f>
        <v>0</v>
      </c>
      <c r="N29" s="38" t="str">
        <f>IF(AND(K29=0,L29=0),"",IF(K29=0,100%,IF(L29=0,-100%,M29/K29)))</f>
        <v/>
      </c>
      <c r="O29" s="34" t="str">
        <f>IF(N29="","",IF(OR(ABS(N29)&gt;=30%,ABS(M29)&gt;=$D$55*5%,ABS(M29)&gt;='未审利润纵向分析B13-3-2'!$E$30*10%),"显著",IF(ABS(N29)&gt;=10%,"关注","")))</f>
        <v/>
      </c>
      <c r="P29" s="39"/>
    </row>
    <row r="30" spans="1:16" ht="19.95" customHeight="1">
      <c r="A30" s="30" t="s">
        <v>127</v>
      </c>
      <c r="B30" s="31">
        <f t="shared" si="1"/>
        <v>24</v>
      </c>
      <c r="C30" s="32"/>
      <c r="D30" s="32"/>
      <c r="E30" s="33">
        <f>D30-C30</f>
        <v>0</v>
      </c>
      <c r="F30" s="38" t="str">
        <f t="shared" ref="F30" si="13">IF(AND(C30=0,D30=0),"",IF(C30=0,100%,IF(D30=0,-100%,E30/C30)))</f>
        <v/>
      </c>
      <c r="G30" s="34" t="str">
        <f>IF(F30="","",IF(OR(ABS(F30)&gt;=30%,ABS(E30)&gt;=$D$55*5%,ABS(E30)&gt;='未审利润纵向分析B13-3-2'!$E$30*10%),"显著",IF(ABS(F30)&gt;=10%,"关注","")))</f>
        <v/>
      </c>
      <c r="H30" s="35"/>
      <c r="I30" s="36" t="s">
        <v>128</v>
      </c>
      <c r="J30" s="37">
        <f t="shared" si="3"/>
        <v>73</v>
      </c>
      <c r="K30" s="32"/>
      <c r="L30" s="32"/>
      <c r="M30" s="33">
        <f t="shared" ref="M30:M36" si="14">L30-K30</f>
        <v>0</v>
      </c>
      <c r="N30" s="38" t="str">
        <f t="shared" ref="N30:N36" si="15">IF(AND(K30=0,L30=0),"",IF(K30=0,100%,IF(L30=0,-100%,M30/K30)))</f>
        <v/>
      </c>
      <c r="O30" s="34" t="str">
        <f>IF(N30="","",IF(OR(ABS(N30)&gt;=30%,ABS(M30)&gt;=$D$55*5%,ABS(M30)&gt;='未审利润纵向分析B13-3-2'!$E$30*10%),"显著",IF(ABS(N30)&gt;=10%,"关注","")))</f>
        <v/>
      </c>
      <c r="P30" s="39"/>
    </row>
    <row r="31" spans="1:16" ht="19.95" customHeight="1">
      <c r="A31" s="30" t="s">
        <v>129</v>
      </c>
      <c r="B31" s="31">
        <f t="shared" si="1"/>
        <v>25</v>
      </c>
      <c r="C31" s="32"/>
      <c r="D31" s="32"/>
      <c r="E31" s="33">
        <f>D31-C31</f>
        <v>0</v>
      </c>
      <c r="F31" s="38" t="str">
        <f t="shared" si="12"/>
        <v/>
      </c>
      <c r="G31" s="34" t="str">
        <f>IF(F31="","",IF(OR(ABS(F31)&gt;=30%,ABS(E31)&gt;=$D$55*5%,ABS(E31)&gt;='未审利润纵向分析B13-3-2'!$E$30*10%),"显著",IF(ABS(F31)&gt;=10%,"关注","")))</f>
        <v/>
      </c>
      <c r="H31" s="35"/>
      <c r="I31" s="36" t="s">
        <v>130</v>
      </c>
      <c r="J31" s="37">
        <f t="shared" si="3"/>
        <v>74</v>
      </c>
      <c r="K31" s="32"/>
      <c r="L31" s="32"/>
      <c r="M31" s="33">
        <f t="shared" ref="M31" si="16">L31-K31</f>
        <v>0</v>
      </c>
      <c r="N31" s="38" t="str">
        <f t="shared" ref="N31" si="17">IF(AND(K31=0,L31=0),"",IF(K31=0,100%,IF(L31=0,-100%,M31/K31)))</f>
        <v/>
      </c>
      <c r="O31" s="34"/>
      <c r="P31" s="39"/>
    </row>
    <row r="32" spans="1:16" ht="19.95" customHeight="1">
      <c r="A32" s="30" t="s">
        <v>131</v>
      </c>
      <c r="B32" s="31">
        <f t="shared" si="1"/>
        <v>26</v>
      </c>
      <c r="C32" s="32"/>
      <c r="D32" s="32"/>
      <c r="E32" s="33">
        <f t="shared" ref="E32" si="18">D32-C32</f>
        <v>0</v>
      </c>
      <c r="F32" s="38" t="str">
        <f t="shared" si="12"/>
        <v/>
      </c>
      <c r="G32" s="34" t="str">
        <f>IF(F32="","",IF(OR(ABS(F32)&gt;=30%,ABS(E32)&gt;=$D$55*5%,ABS(E32)&gt;='未审利润纵向分析B13-3-2'!$E$30*10%),"显著",IF(ABS(F32)&gt;=10%,"关注","")))</f>
        <v/>
      </c>
      <c r="H32" s="35"/>
      <c r="I32" s="36" t="s">
        <v>132</v>
      </c>
      <c r="J32" s="37">
        <f t="shared" si="3"/>
        <v>75</v>
      </c>
      <c r="K32" s="32"/>
      <c r="L32" s="32"/>
      <c r="M32" s="33">
        <f t="shared" si="14"/>
        <v>0</v>
      </c>
      <c r="N32" s="38" t="str">
        <f>IF(AND(K32=0,L32=0),"",IF(K32=0,100%,IF(L32=0,-100%,M32/K32)))</f>
        <v/>
      </c>
      <c r="O32" s="34"/>
      <c r="P32" s="39"/>
    </row>
    <row r="33" spans="1:16" ht="19.95" customHeight="1">
      <c r="A33" s="30" t="s">
        <v>133</v>
      </c>
      <c r="B33" s="31">
        <f t="shared" si="1"/>
        <v>27</v>
      </c>
      <c r="C33" s="32"/>
      <c r="D33" s="32"/>
      <c r="E33" s="33">
        <f>D33-C33</f>
        <v>0</v>
      </c>
      <c r="F33" s="38" t="str">
        <f>IF(AND(C33=0,D33=0),"",IF(C33=0,100%,IF(D33=0,-100%,E33/C33)))</f>
        <v/>
      </c>
      <c r="G33" s="34" t="str">
        <f>IF(F33="","",IF(OR(ABS(F33)&gt;=30%,ABS(E33)&gt;=$D$55*5%,ABS(E33)&gt;='未审利润纵向分析B13-3-2'!$E$30*10%),"显著",IF(ABS(F33)&gt;=10%,"关注","")))</f>
        <v/>
      </c>
      <c r="H33" s="35"/>
      <c r="I33" s="36" t="s">
        <v>134</v>
      </c>
      <c r="J33" s="37">
        <f t="shared" si="3"/>
        <v>76</v>
      </c>
      <c r="K33" s="32"/>
      <c r="L33" s="32"/>
      <c r="M33" s="33">
        <f t="shared" si="14"/>
        <v>0</v>
      </c>
      <c r="N33" s="38" t="str">
        <f t="shared" si="15"/>
        <v/>
      </c>
      <c r="O33" s="34" t="str">
        <f>IF(N33="","",IF(OR(ABS(N33)&gt;=30%,ABS(M33)&gt;=$D$55*5%,ABS(M33)&gt;='未审利润纵向分析B13-3-2'!$E$30*10%),"显著",IF(ABS(N33)&gt;=10%,"关注","")))</f>
        <v/>
      </c>
      <c r="P33" s="39"/>
    </row>
    <row r="34" spans="1:16" ht="19.95" customHeight="1">
      <c r="A34" s="30" t="s">
        <v>135</v>
      </c>
      <c r="B34" s="31">
        <f t="shared" si="1"/>
        <v>28</v>
      </c>
      <c r="C34" s="32"/>
      <c r="D34" s="32"/>
      <c r="E34" s="33">
        <f t="shared" ref="E34:E54" si="19">D34-C34</f>
        <v>0</v>
      </c>
      <c r="F34" s="38" t="str">
        <f t="shared" si="12"/>
        <v/>
      </c>
      <c r="G34" s="34" t="str">
        <f>IF(F34="","",IF(OR(ABS(F34)&gt;=30%,ABS(E34)&gt;=$D$55*5%,ABS(E34)&gt;='未审利润纵向分析B13-3-2'!$E$30*10%),"显著",IF(ABS(F34)&gt;=10%,"关注","")))</f>
        <v/>
      </c>
      <c r="H34" s="35"/>
      <c r="I34" s="36" t="s">
        <v>136</v>
      </c>
      <c r="J34" s="37">
        <f t="shared" si="3"/>
        <v>77</v>
      </c>
      <c r="K34" s="32"/>
      <c r="L34" s="32"/>
      <c r="M34" s="33">
        <f t="shared" si="14"/>
        <v>0</v>
      </c>
      <c r="N34" s="38" t="str">
        <f t="shared" si="15"/>
        <v/>
      </c>
      <c r="O34" s="34" t="str">
        <f>IF(N34="","",IF(OR(ABS(N34)&gt;=30%,ABS(M34)&gt;=$D$55*5%,ABS(M34)&gt;='未审利润纵向分析B13-3-2'!$E$30*10%),"显著",IF(ABS(N34)&gt;=10%,"关注","")))</f>
        <v/>
      </c>
      <c r="P34" s="39"/>
    </row>
    <row r="35" spans="1:16" ht="19.95" customHeight="1">
      <c r="A35" s="30" t="s">
        <v>137</v>
      </c>
      <c r="B35" s="31">
        <f t="shared" si="1"/>
        <v>29</v>
      </c>
      <c r="C35" s="32"/>
      <c r="D35" s="32"/>
      <c r="E35" s="33">
        <f>D35-C35</f>
        <v>0</v>
      </c>
      <c r="F35" s="38" t="str">
        <f>IF(AND(C35=0,D35=0),"",IF(C35=0,100%,IF(D35=0,-100%,E35/C35)))</f>
        <v/>
      </c>
      <c r="G35" s="34" t="str">
        <f>IF(F35="","",IF(OR(ABS(F35)&gt;=30%,ABS(E35)&gt;=$D$55*5%,ABS(E35)&gt;='未审利润纵向分析B13-3-2'!$E$30*10%),"显著",IF(ABS(F35)&gt;=10%,"关注","")))</f>
        <v/>
      </c>
      <c r="H35" s="35"/>
      <c r="I35" s="36" t="s">
        <v>138</v>
      </c>
      <c r="J35" s="37">
        <f t="shared" si="3"/>
        <v>78</v>
      </c>
      <c r="K35" s="32"/>
      <c r="L35" s="32"/>
      <c r="M35" s="33">
        <f t="shared" si="14"/>
        <v>0</v>
      </c>
      <c r="N35" s="38" t="str">
        <f t="shared" si="15"/>
        <v/>
      </c>
      <c r="O35" s="34" t="str">
        <f>IF(N35="","",IF(OR(ABS(N35)&gt;=30%,ABS(M35)&gt;=$D$55*5%,ABS(M35)&gt;='未审利润纵向分析B13-3-2'!$E$30*10%),"显著",IF(ABS(N35)&gt;=10%,"关注","")))</f>
        <v/>
      </c>
      <c r="P35" s="39"/>
    </row>
    <row r="36" spans="1:16" ht="19.95" customHeight="1">
      <c r="A36" s="30" t="s">
        <v>139</v>
      </c>
      <c r="B36" s="31">
        <f t="shared" si="1"/>
        <v>30</v>
      </c>
      <c r="C36" s="32"/>
      <c r="D36" s="32"/>
      <c r="E36" s="33">
        <f t="shared" ref="E36" si="20">D36-C36</f>
        <v>0</v>
      </c>
      <c r="F36" s="38" t="str">
        <f>IF(AND(C36=0,D36=0),"",IF(C36=0,100%,IF(D36=0,-100%,E36/C36)))</f>
        <v/>
      </c>
      <c r="G36" s="34" t="str">
        <f>IF(F36="","",IF(OR(ABS(F36)&gt;=30%,ABS(E36)&gt;=$D$55*5%,ABS(E36)&gt;='未审利润纵向分析B13-3-2'!$E$30*10%),"显著",IF(ABS(F36)&gt;=10%,"关注","")))</f>
        <v/>
      </c>
      <c r="H36" s="35"/>
      <c r="I36" s="36" t="s">
        <v>140</v>
      </c>
      <c r="J36" s="37">
        <f t="shared" si="3"/>
        <v>79</v>
      </c>
      <c r="K36" s="32"/>
      <c r="L36" s="32"/>
      <c r="M36" s="33">
        <f t="shared" si="14"/>
        <v>0</v>
      </c>
      <c r="N36" s="38" t="str">
        <f t="shared" si="15"/>
        <v/>
      </c>
      <c r="O36" s="34"/>
      <c r="P36" s="39"/>
    </row>
    <row r="37" spans="1:16" ht="19.95" customHeight="1">
      <c r="A37" s="30" t="s">
        <v>141</v>
      </c>
      <c r="B37" s="31">
        <f t="shared" si="1"/>
        <v>31</v>
      </c>
      <c r="C37" s="32"/>
      <c r="D37" s="32"/>
      <c r="E37" s="33">
        <f t="shared" si="19"/>
        <v>0</v>
      </c>
      <c r="F37" s="38" t="str">
        <f t="shared" si="12"/>
        <v/>
      </c>
      <c r="G37" s="34" t="str">
        <f>IF(F37="","",IF(OR(ABS(F37)&gt;=30%,ABS(E37)&gt;=$D$55*5%,ABS(E37)&gt;='未审利润纵向分析B13-3-2'!$E$30*10%),"显著",IF(ABS(F37)&gt;=10%,"关注","")))</f>
        <v/>
      </c>
      <c r="H37" s="35"/>
      <c r="I37" s="36" t="s">
        <v>142</v>
      </c>
      <c r="J37" s="37">
        <f t="shared" si="3"/>
        <v>80</v>
      </c>
      <c r="K37" s="32"/>
      <c r="L37" s="32"/>
      <c r="M37" s="33">
        <f>L37-K37</f>
        <v>0</v>
      </c>
      <c r="N37" s="38" t="str">
        <f>IF(AND(K37=0,L37=0),"",IF(K37=0,100%,IF(L37=0,-100%,M37/K37)))</f>
        <v/>
      </c>
      <c r="O37" s="34" t="str">
        <f>IF(N37="","",IF(OR(ABS(N37)&gt;=30%,ABS(M37)&gt;=$D$55*5%,ABS(M37)&gt;='未审利润纵向分析B13-3-2'!$E$30*10%),"显著",IF(ABS(N37)&gt;=10%,"关注","")))</f>
        <v/>
      </c>
      <c r="P37" s="39"/>
    </row>
    <row r="38" spans="1:16" ht="19.95" customHeight="1">
      <c r="A38" s="30" t="s">
        <v>143</v>
      </c>
      <c r="B38" s="31">
        <f t="shared" si="1"/>
        <v>32</v>
      </c>
      <c r="C38" s="32"/>
      <c r="D38" s="32"/>
      <c r="E38" s="33">
        <f t="shared" si="19"/>
        <v>0</v>
      </c>
      <c r="F38" s="38" t="str">
        <f t="shared" si="12"/>
        <v/>
      </c>
      <c r="G38" s="34" t="str">
        <f>IF(F38="","",IF(OR(ABS(F38)&gt;=30%,ABS(E38)&gt;=$D$55*5%,ABS(E38)&gt;='未审利润纵向分析B13-3-2'!$E$30*10%),"显著",IF(ABS(F38)&gt;=10%,"关注","")))</f>
        <v/>
      </c>
      <c r="H38" s="35"/>
      <c r="I38" s="36" t="s">
        <v>144</v>
      </c>
      <c r="J38" s="37">
        <f t="shared" si="3"/>
        <v>81</v>
      </c>
      <c r="K38" s="32"/>
      <c r="L38" s="32"/>
      <c r="M38" s="33">
        <f>L38-K38</f>
        <v>0</v>
      </c>
      <c r="N38" s="38" t="str">
        <f>IF(AND(K38=0,L38=0),"",IF(K38=0,100%,IF(L38=0,-100%,M38/K38)))</f>
        <v/>
      </c>
      <c r="O38" s="34" t="str">
        <f>IF(N38="","",IF(OR(ABS(N38)&gt;=30%,ABS(M38)&gt;=$D$55*5%,ABS(M38)&gt;='未审利润纵向分析B13-3-2'!$E$30*10%),"显著",IF(ABS(N38)&gt;=10%,"关注","")))</f>
        <v/>
      </c>
      <c r="P38" s="39"/>
    </row>
    <row r="39" spans="1:16" ht="19.95" customHeight="1">
      <c r="A39" s="30" t="s">
        <v>145</v>
      </c>
      <c r="B39" s="31">
        <f t="shared" si="1"/>
        <v>33</v>
      </c>
      <c r="C39" s="32"/>
      <c r="D39" s="32"/>
      <c r="E39" s="33">
        <f t="shared" si="19"/>
        <v>0</v>
      </c>
      <c r="F39" s="38" t="str">
        <f t="shared" si="12"/>
        <v/>
      </c>
      <c r="G39" s="34" t="str">
        <f>IF(F39="","",IF(OR(ABS(F39)&gt;=30%,ABS(E39)&gt;=$D$55*5%,ABS(E39)&gt;='未审利润纵向分析B13-3-2'!$E$30*10%),"显著",IF(ABS(F39)&gt;=10%,"关注","")))</f>
        <v/>
      </c>
      <c r="H39" s="35"/>
      <c r="I39" s="48" t="s">
        <v>146</v>
      </c>
      <c r="J39" s="37">
        <f t="shared" si="3"/>
        <v>82</v>
      </c>
      <c r="K39" s="44">
        <f>SUM(K28:K38)-K30-K31</f>
        <v>0</v>
      </c>
      <c r="L39" s="44">
        <f>SUM(L28:L38)-L30-L31</f>
        <v>0</v>
      </c>
      <c r="M39" s="44">
        <f>L39-K39</f>
        <v>0</v>
      </c>
      <c r="N39" s="45" t="str">
        <f>IF(AND(K39=0,L39=0),"",IF(K39=0,100%,IF(L39=0,-100%,M39/K39)))</f>
        <v/>
      </c>
      <c r="O39" s="49" t="str">
        <f>IF(N39="","",IF(OR(ABS(N39)&gt;=30%,ABS(M39)&gt;=$D$55*5%,ABS(M39)&gt;='未审利润纵向分析B13-3-2'!$E$30*10%),"显著",IF(ABS(N39)&gt;=10%,"关注","")))</f>
        <v/>
      </c>
      <c r="P39" s="50"/>
    </row>
    <row r="40" spans="1:16" ht="19.95" customHeight="1">
      <c r="A40" s="30" t="s">
        <v>147</v>
      </c>
      <c r="B40" s="31">
        <f t="shared" si="1"/>
        <v>34</v>
      </c>
      <c r="C40" s="32"/>
      <c r="D40" s="32"/>
      <c r="E40" s="33">
        <f t="shared" si="19"/>
        <v>0</v>
      </c>
      <c r="F40" s="38" t="str">
        <f t="shared" si="12"/>
        <v/>
      </c>
      <c r="G40" s="34" t="str">
        <f>IF(F40="","",IF(OR(ABS(F40)&gt;=30%,ABS(E40)&gt;=$D$55*5%,ABS(E40)&gt;='未审利润纵向分析B13-3-2'!$E$30*10%),"显著",IF(ABS(F40)&gt;=10%,"关注","")))</f>
        <v/>
      </c>
      <c r="H40" s="35"/>
      <c r="I40" s="48" t="s">
        <v>148</v>
      </c>
      <c r="J40" s="37">
        <f t="shared" si="3"/>
        <v>83</v>
      </c>
      <c r="K40" s="44">
        <f>SUM(K26,K39)</f>
        <v>0</v>
      </c>
      <c r="L40" s="44">
        <f>SUM(L26,L39)</f>
        <v>0</v>
      </c>
      <c r="M40" s="44">
        <f>L40-K40</f>
        <v>0</v>
      </c>
      <c r="N40" s="45" t="str">
        <f>IF(AND(K40=0,L40=0),"",IF(K40=0,100%,IF(L40=0,-100%,M40/K40)))</f>
        <v/>
      </c>
      <c r="O40" s="49" t="str">
        <f>IF(N40="","",IF(OR(ABS(N40)&gt;=30%,ABS(M40)&gt;=$D$55*5%,ABS(M40)&gt;='未审利润纵向分析B13-3-2'!$E$30*10%),"显著",IF(ABS(N40)&gt;=10%,"关注","")))</f>
        <v/>
      </c>
      <c r="P40" s="50"/>
    </row>
    <row r="41" spans="1:16" ht="19.95" customHeight="1">
      <c r="A41" s="30" t="s">
        <v>149</v>
      </c>
      <c r="B41" s="31">
        <f t="shared" si="1"/>
        <v>35</v>
      </c>
      <c r="C41" s="32"/>
      <c r="D41" s="32"/>
      <c r="E41" s="33">
        <f t="shared" si="19"/>
        <v>0</v>
      </c>
      <c r="F41" s="38" t="str">
        <f t="shared" si="12"/>
        <v/>
      </c>
      <c r="G41" s="34" t="str">
        <f>IF(F41="","",IF(OR(ABS(F41)&gt;=30%,ABS(E41)&gt;=$D$55*5%,ABS(E41)&gt;='未审利润纵向分析B13-3-2'!$E$30*10%),"显著",IF(ABS(F41)&gt;=10%,"关注","")))</f>
        <v/>
      </c>
      <c r="H41" s="35"/>
      <c r="I41" s="52" t="s">
        <v>150</v>
      </c>
      <c r="J41" s="37">
        <f t="shared" si="3"/>
        <v>84</v>
      </c>
      <c r="K41" s="32"/>
      <c r="L41" s="32"/>
      <c r="M41" s="33"/>
      <c r="N41" s="38"/>
      <c r="O41" s="34" t="str">
        <f>IF(N41="","",IF(OR(ABS(N41)&gt;=30%,ABS(M41)&gt;=$D$55*5%,ABS(M41)&gt;='未审利润纵向分析B13-3-2'!$E$30*10%),"显著",IF(ABS(N41)&gt;=10%,"关注","")))</f>
        <v/>
      </c>
      <c r="P41" s="39"/>
    </row>
    <row r="42" spans="1:16" ht="19.95" customHeight="1">
      <c r="A42" s="30" t="s">
        <v>151</v>
      </c>
      <c r="B42" s="31">
        <f t="shared" si="1"/>
        <v>36</v>
      </c>
      <c r="C42" s="32"/>
      <c r="D42" s="32"/>
      <c r="E42" s="33">
        <f t="shared" ref="E42" si="21">D42-C42</f>
        <v>0</v>
      </c>
      <c r="F42" s="38" t="str">
        <f t="shared" ref="F42" si="22">IF(AND(C42=0,D42=0),"",IF(C42=0,100%,IF(D42=0,-100%,E42/C42)))</f>
        <v/>
      </c>
      <c r="G42" s="34" t="str">
        <f>IF(F42="","",IF(OR(ABS(F42)&gt;=30%,ABS(E42)&gt;=$D$55*5%,ABS(E42)&gt;='未审利润纵向分析B13-3-2'!$E$30*10%),"显著",IF(ABS(F42)&gt;=10%,"关注","")))</f>
        <v/>
      </c>
      <c r="H42" s="35"/>
      <c r="I42" s="36" t="s">
        <v>152</v>
      </c>
      <c r="J42" s="37">
        <f t="shared" si="3"/>
        <v>85</v>
      </c>
      <c r="K42" s="32"/>
      <c r="L42" s="32"/>
      <c r="M42" s="33">
        <f>L42-K42</f>
        <v>0</v>
      </c>
      <c r="N42" s="38" t="str">
        <f t="shared" ref="N42:N55" si="23">IF(AND(K42=0,L42=0),"",IF(K42=0,100%,IF(L42=0,-100%,M42/K42)))</f>
        <v/>
      </c>
      <c r="O42" s="34" t="str">
        <f>IF(N42="","",IF(OR(ABS(N42)&gt;=30%,ABS(M42)&gt;=$D$55*5%,ABS(M42)&gt;='未审利润纵向分析B13-3-2'!$E$30*10%),"显著",IF(ABS(N42)&gt;=10%,"关注","")))</f>
        <v/>
      </c>
      <c r="P42" s="39"/>
    </row>
    <row r="43" spans="1:16" ht="19.95" customHeight="1">
      <c r="A43" s="30" t="s">
        <v>153</v>
      </c>
      <c r="B43" s="31">
        <f t="shared" si="1"/>
        <v>37</v>
      </c>
      <c r="C43" s="32"/>
      <c r="D43" s="32"/>
      <c r="E43" s="33">
        <f t="shared" si="19"/>
        <v>0</v>
      </c>
      <c r="F43" s="38" t="str">
        <f t="shared" si="12"/>
        <v/>
      </c>
      <c r="G43" s="34" t="str">
        <f>IF(F43="","",IF(OR(ABS(F43)&gt;=30%,ABS(E43)&gt;=$D$55*5%,ABS(E43)&gt;='未审利润纵向分析B13-3-2'!$E$30*10%),"显著",IF(ABS(F43)&gt;=10%,"关注","")))</f>
        <v/>
      </c>
      <c r="H43" s="35"/>
      <c r="I43" s="36" t="s">
        <v>154</v>
      </c>
      <c r="J43" s="37">
        <f t="shared" si="3"/>
        <v>86</v>
      </c>
      <c r="K43" s="32"/>
      <c r="L43" s="32"/>
      <c r="M43" s="33">
        <f>L43-K43</f>
        <v>0</v>
      </c>
      <c r="N43" s="38" t="str">
        <f t="shared" ref="N43" si="24">IF(AND(K43=0,L43=0),"",IF(K43=0,100%,IF(L43=0,-100%,M43/K43)))</f>
        <v/>
      </c>
      <c r="O43" s="34" t="str">
        <f>IF(N43="","",IF(OR(ABS(N43)&gt;=30%,ABS(M43)&gt;=$D$55*5%,ABS(M43)&gt;='未审利润纵向分析B13-3-2'!$E$30*10%),"显著",IF(ABS(N43)&gt;=10%,"关注","")))</f>
        <v/>
      </c>
      <c r="P43" s="39"/>
    </row>
    <row r="44" spans="1:16" ht="19.95" customHeight="1">
      <c r="A44" s="30" t="s">
        <v>155</v>
      </c>
      <c r="B44" s="31">
        <f t="shared" si="1"/>
        <v>38</v>
      </c>
      <c r="C44" s="32"/>
      <c r="D44" s="32"/>
      <c r="E44" s="33">
        <f t="shared" si="19"/>
        <v>0</v>
      </c>
      <c r="F44" s="38" t="str">
        <f t="shared" si="12"/>
        <v/>
      </c>
      <c r="G44" s="34" t="str">
        <f>IF(F44="","",IF(OR(ABS(F44)&gt;=30%,ABS(E44)&gt;=$D$55*5%,ABS(E44)&gt;='未审利润纵向分析B13-3-2'!$E$30*10%),"显著",IF(ABS(F44)&gt;=10%,"关注","")))</f>
        <v/>
      </c>
      <c r="H44" s="35"/>
      <c r="I44" s="36" t="s">
        <v>128</v>
      </c>
      <c r="J44" s="37">
        <f t="shared" si="3"/>
        <v>87</v>
      </c>
      <c r="K44" s="32"/>
      <c r="L44" s="32"/>
      <c r="M44" s="33">
        <f>L44-K44</f>
        <v>0</v>
      </c>
      <c r="N44" s="38" t="str">
        <f t="shared" si="23"/>
        <v/>
      </c>
      <c r="O44" s="34" t="str">
        <f>IF(N44="","",IF(OR(ABS(N44)&gt;=30%,ABS(M44)&gt;=$D$55*5%,ABS(M44)&gt;='未审利润纵向分析B13-3-2'!$E$30*10%),"显著",IF(ABS(N44)&gt;=10%,"关注","")))</f>
        <v/>
      </c>
      <c r="P44" s="39"/>
    </row>
    <row r="45" spans="1:16" ht="19.95" customHeight="1">
      <c r="A45" s="30" t="s">
        <v>156</v>
      </c>
      <c r="B45" s="31">
        <f t="shared" si="1"/>
        <v>39</v>
      </c>
      <c r="C45" s="32"/>
      <c r="D45" s="32"/>
      <c r="E45" s="33">
        <f t="shared" ref="E45:E47" si="25">D45-C45</f>
        <v>0</v>
      </c>
      <c r="F45" s="38" t="str">
        <f t="shared" ref="F45:F47" si="26">IF(AND(C45=0,D45=0),"",IF(C45=0,100%,IF(D45=0,-100%,E45/C45)))</f>
        <v/>
      </c>
      <c r="G45" s="34" t="str">
        <f>IF(F45="","",IF(OR(ABS(F45)&gt;=30%,ABS(E45)&gt;=$D$55*5%,ABS(E45)&gt;='未审利润纵向分析B13-3-2'!$E$30*10%),"显著",IF(ABS(F45)&gt;=10%,"关注","")))</f>
        <v/>
      </c>
      <c r="H45" s="35"/>
      <c r="I45" s="36" t="s">
        <v>130</v>
      </c>
      <c r="J45" s="37">
        <f t="shared" si="3"/>
        <v>88</v>
      </c>
      <c r="K45" s="32"/>
      <c r="L45" s="32"/>
      <c r="M45" s="33">
        <f>L45-K45</f>
        <v>0</v>
      </c>
      <c r="N45" s="38" t="str">
        <f t="shared" si="23"/>
        <v/>
      </c>
      <c r="O45" s="34" t="str">
        <f>IF(N45="","",IF(OR(ABS(N45)&gt;=30%,ABS(M45)&gt;=$D$55*5%,ABS(M45)&gt;='未审利润纵向分析B13-3-2'!$E$30*10%),"显著",IF(ABS(N45)&gt;=10%,"关注","")))</f>
        <v/>
      </c>
      <c r="P45" s="39"/>
    </row>
    <row r="46" spans="1:16" ht="19.95" customHeight="1">
      <c r="A46" s="30" t="s">
        <v>157</v>
      </c>
      <c r="B46" s="31">
        <f t="shared" si="1"/>
        <v>40</v>
      </c>
      <c r="C46" s="32"/>
      <c r="D46" s="32"/>
      <c r="E46" s="33">
        <f t="shared" si="25"/>
        <v>0</v>
      </c>
      <c r="F46" s="38" t="str">
        <f t="shared" si="26"/>
        <v/>
      </c>
      <c r="G46" s="34" t="str">
        <f>IF(F46="","",IF(OR(ABS(F46)&gt;=30%,ABS(E46)&gt;=$D$55*5%,ABS(E46)&gt;='未审利润纵向分析B13-3-2'!$E$30*10%),"显著",IF(ABS(F46)&gt;=10%,"关注","")))</f>
        <v/>
      </c>
      <c r="H46" s="35"/>
      <c r="I46" s="36" t="s">
        <v>158</v>
      </c>
      <c r="J46" s="37">
        <f t="shared" si="3"/>
        <v>89</v>
      </c>
      <c r="K46" s="32"/>
      <c r="L46" s="32"/>
      <c r="M46" s="33">
        <f>L46-K46</f>
        <v>0</v>
      </c>
      <c r="N46" s="38" t="str">
        <f t="shared" si="23"/>
        <v/>
      </c>
      <c r="O46" s="34" t="str">
        <f>IF(N46="","",IF(OR(ABS(N46)&gt;=30%,ABS(M46)&gt;=$D$55*5%,ABS(M46)&gt;='未审利润纵向分析B13-3-2'!$E$30*10%),"显著",IF(ABS(N46)&gt;=10%,"关注","")))</f>
        <v/>
      </c>
      <c r="P46" s="39"/>
    </row>
    <row r="47" spans="1:16" ht="19.95" customHeight="1">
      <c r="A47" s="30" t="s">
        <v>159</v>
      </c>
      <c r="B47" s="31">
        <f t="shared" si="1"/>
        <v>41</v>
      </c>
      <c r="C47" s="32"/>
      <c r="D47" s="32"/>
      <c r="E47" s="33">
        <f t="shared" si="25"/>
        <v>0</v>
      </c>
      <c r="F47" s="38" t="str">
        <f t="shared" si="26"/>
        <v/>
      </c>
      <c r="G47" s="34" t="str">
        <f>IF(F47="","",IF(OR(ABS(F47)&gt;=30%,ABS(E47)&gt;=$D$55*5%,ABS(E47)&gt;='未审利润纵向分析B13-3-2'!$E$30*10%),"显著",IF(ABS(F47)&gt;=10%,"关注","")))</f>
        <v/>
      </c>
      <c r="H47" s="35"/>
      <c r="I47" s="36" t="s">
        <v>160</v>
      </c>
      <c r="J47" s="37">
        <f t="shared" si="3"/>
        <v>90</v>
      </c>
      <c r="K47" s="32"/>
      <c r="L47" s="32"/>
      <c r="M47" s="33">
        <f t="shared" ref="M47:M51" si="27">L47-K47</f>
        <v>0</v>
      </c>
      <c r="N47" s="38" t="str">
        <f t="shared" si="23"/>
        <v/>
      </c>
      <c r="O47" s="34" t="str">
        <f>IF(N47="","",IF(OR(ABS(N47)&gt;=30%,ABS(M47)&gt;=$D$55*5%,ABS(M47)&gt;='未审利润纵向分析B13-3-2'!$E$30*10%),"显著",IF(ABS(N47)&gt;=10%,"关注","")))</f>
        <v/>
      </c>
      <c r="P47" s="39"/>
    </row>
    <row r="48" spans="1:16" ht="19.95" customHeight="1">
      <c r="A48" s="30" t="s">
        <v>161</v>
      </c>
      <c r="B48" s="31">
        <f t="shared" si="1"/>
        <v>42</v>
      </c>
      <c r="C48" s="32"/>
      <c r="D48" s="32"/>
      <c r="E48" s="33">
        <f t="shared" si="19"/>
        <v>0</v>
      </c>
      <c r="F48" s="38" t="str">
        <f t="shared" si="12"/>
        <v/>
      </c>
      <c r="G48" s="34" t="str">
        <f>IF(F48="","",IF(OR(ABS(F48)&gt;=30%,ABS(E48)&gt;=$D$55*5%,ABS(E48)&gt;='未审利润纵向分析B13-3-2'!$E$30*10%),"显著",IF(ABS(F48)&gt;=10%,"关注","")))</f>
        <v/>
      </c>
      <c r="H48" s="35"/>
      <c r="I48" s="36" t="s">
        <v>162</v>
      </c>
      <c r="J48" s="37">
        <f t="shared" si="3"/>
        <v>91</v>
      </c>
      <c r="K48" s="32"/>
      <c r="L48" s="32"/>
      <c r="M48" s="33">
        <f t="shared" si="27"/>
        <v>0</v>
      </c>
      <c r="N48" s="38" t="str">
        <f t="shared" si="23"/>
        <v/>
      </c>
      <c r="O48" s="34" t="str">
        <f>IF(N48="","",IF(OR(ABS(N48)&gt;=30%,ABS(M48)&gt;=$D$55*5%,ABS(M48)&gt;='未审利润纵向分析B13-3-2'!$E$30*10%),"显著",IF(ABS(N48)&gt;=10%,"关注","")))</f>
        <v/>
      </c>
      <c r="P48" s="39"/>
    </row>
    <row r="49" spans="1:16" ht="19.95" customHeight="1">
      <c r="A49" s="30"/>
      <c r="B49" s="31">
        <f t="shared" si="1"/>
        <v>43</v>
      </c>
      <c r="C49" s="32"/>
      <c r="D49" s="32"/>
      <c r="E49" s="33">
        <f t="shared" si="19"/>
        <v>0</v>
      </c>
      <c r="F49" s="38" t="str">
        <f t="shared" si="12"/>
        <v/>
      </c>
      <c r="G49" s="34" t="str">
        <f>IF(F49="","",IF(OR(ABS(F49)&gt;=30%,ABS(E49)&gt;=$D$55*5%,ABS(E49)&gt;='未审利润纵向分析B13-3-2'!$E$30*10%),"显著",IF(ABS(F49)&gt;=10%,"关注","")))</f>
        <v/>
      </c>
      <c r="H49" s="35"/>
      <c r="I49" s="36" t="s">
        <v>163</v>
      </c>
      <c r="J49" s="37">
        <f t="shared" si="3"/>
        <v>92</v>
      </c>
      <c r="K49" s="32"/>
      <c r="L49" s="32"/>
      <c r="M49" s="33">
        <f t="shared" si="27"/>
        <v>0</v>
      </c>
      <c r="N49" s="38" t="str">
        <f t="shared" si="23"/>
        <v/>
      </c>
      <c r="O49" s="34" t="str">
        <f>IF(N49="","",IF(OR(ABS(N49)&gt;=30%,ABS(M49)&gt;=$D$55*5%,ABS(M49)&gt;='未审利润纵向分析B13-3-2'!$E$30*10%),"显著",IF(ABS(N49)&gt;=10%,"关注","")))</f>
        <v/>
      </c>
      <c r="P49" s="39"/>
    </row>
    <row r="50" spans="1:16" ht="19.95" customHeight="1">
      <c r="A50" s="30"/>
      <c r="B50" s="31">
        <f t="shared" si="1"/>
        <v>44</v>
      </c>
      <c r="C50" s="32"/>
      <c r="D50" s="32"/>
      <c r="E50" s="33">
        <f t="shared" ref="E50:E53" si="28">D50-C50</f>
        <v>0</v>
      </c>
      <c r="F50" s="38" t="str">
        <f t="shared" ref="F50:F53" si="29">IF(AND(C50=0,D50=0),"",IF(C50=0,100%,IF(D50=0,-100%,E50/C50)))</f>
        <v/>
      </c>
      <c r="G50" s="34" t="str">
        <f>IF(F50="","",IF(OR(ABS(F50)&gt;=30%,ABS(E50)&gt;=$D$55*5%,ABS(E50)&gt;='未审利润纵向分析B13-3-2'!$E$30*10%),"显著",IF(ABS(F50)&gt;=10%,"关注","")))</f>
        <v/>
      </c>
      <c r="H50" s="35"/>
      <c r="I50" s="36" t="s">
        <v>164</v>
      </c>
      <c r="J50" s="37">
        <f t="shared" si="3"/>
        <v>93</v>
      </c>
      <c r="K50" s="32"/>
      <c r="L50" s="32"/>
      <c r="M50" s="33">
        <f t="shared" si="27"/>
        <v>0</v>
      </c>
      <c r="N50" s="38" t="str">
        <f t="shared" si="23"/>
        <v/>
      </c>
      <c r="O50" s="34" t="str">
        <f>IF(N50="","",IF(OR(ABS(N50)&gt;=30%,ABS(M50)&gt;=$D$55*5%,ABS(M50)&gt;='未审利润纵向分析B13-3-2'!$E$30*10%),"显著",IF(ABS(N50)&gt;=10%,"关注","")))</f>
        <v/>
      </c>
      <c r="P50" s="39"/>
    </row>
    <row r="51" spans="1:16" ht="19.95" customHeight="1">
      <c r="A51" s="30"/>
      <c r="B51" s="31">
        <f t="shared" si="1"/>
        <v>45</v>
      </c>
      <c r="C51" s="32"/>
      <c r="D51" s="32"/>
      <c r="E51" s="33">
        <f t="shared" si="28"/>
        <v>0</v>
      </c>
      <c r="F51" s="38" t="str">
        <f t="shared" si="29"/>
        <v/>
      </c>
      <c r="G51" s="34" t="str">
        <f>IF(F51="","",IF(OR(ABS(F51)&gt;=30%,ABS(E51)&gt;=$D$55*5%,ABS(E51)&gt;='未审利润纵向分析B13-3-2'!$E$30*10%),"显著",IF(ABS(F51)&gt;=10%,"关注","")))</f>
        <v/>
      </c>
      <c r="H51" s="35"/>
      <c r="I51" s="36" t="s">
        <v>165</v>
      </c>
      <c r="J51" s="37">
        <f t="shared" si="3"/>
        <v>94</v>
      </c>
      <c r="K51" s="32"/>
      <c r="L51" s="32"/>
      <c r="M51" s="33">
        <f t="shared" si="27"/>
        <v>0</v>
      </c>
      <c r="N51" s="38" t="str">
        <f t="shared" si="23"/>
        <v/>
      </c>
      <c r="O51" s="34" t="str">
        <f>IF(N51="","",IF(OR(ABS(N51)&gt;=30%,ABS(M51)&gt;=$D$55*5%,ABS(M51)&gt;='未审利润纵向分析B13-3-2'!$E$30*10%),"显著",IF(ABS(N51)&gt;=10%,"关注","")))</f>
        <v/>
      </c>
      <c r="P51" s="39"/>
    </row>
    <row r="52" spans="1:16" ht="19.95" customHeight="1">
      <c r="A52" s="30"/>
      <c r="B52" s="31">
        <f t="shared" si="1"/>
        <v>46</v>
      </c>
      <c r="C52" s="32"/>
      <c r="D52" s="32"/>
      <c r="E52" s="33">
        <f t="shared" si="28"/>
        <v>0</v>
      </c>
      <c r="F52" s="38" t="str">
        <f t="shared" si="29"/>
        <v/>
      </c>
      <c r="G52" s="34" t="str">
        <f>IF(F52="","",IF(OR(ABS(F52)&gt;=30%,ABS(E52)&gt;=$D$55*5%,ABS(E52)&gt;='未审利润纵向分析B13-3-2'!$E$30*10%),"显著",IF(ABS(F52)&gt;=10%,"关注","")))</f>
        <v/>
      </c>
      <c r="H52" s="35"/>
      <c r="I52" s="36" t="s">
        <v>166</v>
      </c>
      <c r="J52" s="37">
        <f t="shared" si="3"/>
        <v>95</v>
      </c>
      <c r="K52" s="33">
        <f>K42+K43+K46-K47+K48+K49+K50+K51</f>
        <v>0</v>
      </c>
      <c r="L52" s="33">
        <f>L42+L43+L46-L47+L48+L49+L50+L51</f>
        <v>0</v>
      </c>
      <c r="M52" s="33">
        <f>L52-K52</f>
        <v>0</v>
      </c>
      <c r="N52" s="38" t="str">
        <f t="shared" si="23"/>
        <v/>
      </c>
      <c r="O52" s="34" t="str">
        <f>IF(N52="","",IF(OR(ABS(N52)&gt;=30%,ABS(M52)&gt;=$D$55*5%,ABS(M52)&gt;='未审利润纵向分析B13-3-2'!$E$30*10%),"显著",IF(ABS(N52)&gt;=10%,"关注","")))</f>
        <v/>
      </c>
      <c r="P52" s="39"/>
    </row>
    <row r="53" spans="1:16" ht="19.95" customHeight="1">
      <c r="A53" s="30">
        <v>0</v>
      </c>
      <c r="B53" s="31">
        <f t="shared" si="1"/>
        <v>47</v>
      </c>
      <c r="C53" s="32"/>
      <c r="D53" s="32"/>
      <c r="E53" s="33">
        <f t="shared" si="28"/>
        <v>0</v>
      </c>
      <c r="F53" s="38" t="str">
        <f t="shared" si="29"/>
        <v/>
      </c>
      <c r="G53" s="34" t="str">
        <f>IF(F53="","",IF(OR(ABS(F53)&gt;=30%,ABS(E53)&gt;=$D$55*5%,ABS(E53)&gt;='未审利润纵向分析B13-3-2'!$E$30*10%),"显著",IF(ABS(F53)&gt;=10%,"关注","")))</f>
        <v/>
      </c>
      <c r="H53" s="35"/>
      <c r="I53" s="36" t="s">
        <v>167</v>
      </c>
      <c r="J53" s="37">
        <f t="shared" si="3"/>
        <v>96</v>
      </c>
      <c r="K53" s="32"/>
      <c r="L53" s="32"/>
      <c r="M53" s="33">
        <f>L53-K53</f>
        <v>0</v>
      </c>
      <c r="N53" s="38" t="str">
        <f t="shared" si="23"/>
        <v/>
      </c>
      <c r="O53" s="34" t="str">
        <f>IF(N53="","",IF(OR(ABS(N53)&gt;=30%,ABS(M53)&gt;=$D$55*5%,ABS(M53)&gt;='未审利润纵向分析B13-3-2'!$E$30*10%),"显著",IF(ABS(N53)&gt;=10%,"关注","")))</f>
        <v/>
      </c>
      <c r="P53" s="39"/>
    </row>
    <row r="54" spans="1:16" ht="19.95" customHeight="1">
      <c r="A54" s="42" t="s">
        <v>168</v>
      </c>
      <c r="B54" s="31">
        <f>B53+1</f>
        <v>48</v>
      </c>
      <c r="C54" s="53">
        <f>SUM(C28:C53)</f>
        <v>0</v>
      </c>
      <c r="D54" s="53">
        <f>SUM(D28:D53)</f>
        <v>0</v>
      </c>
      <c r="E54" s="53">
        <f t="shared" si="19"/>
        <v>0</v>
      </c>
      <c r="F54" s="45" t="str">
        <f t="shared" si="12"/>
        <v/>
      </c>
      <c r="G54" s="46" t="str">
        <f>IF(F54="","",IF(OR(ABS(F54)&gt;=30%,ABS(E54)&gt;=$D$55*5%,ABS(E54)&gt;='未审利润纵向分析B13-3-2'!$E$30*10%),"显著",IF(ABS(F54)&gt;=10%,"关注","")))</f>
        <v/>
      </c>
      <c r="H54" s="47"/>
      <c r="I54" s="54" t="s">
        <v>169</v>
      </c>
      <c r="J54" s="37">
        <f t="shared" ref="J54" si="30">J53+1</f>
        <v>97</v>
      </c>
      <c r="K54" s="53">
        <f>SUM(K52:K53)</f>
        <v>0</v>
      </c>
      <c r="L54" s="53">
        <f>SUM(L52:L53)</f>
        <v>0</v>
      </c>
      <c r="M54" s="53">
        <f>L54-K54</f>
        <v>0</v>
      </c>
      <c r="N54" s="45" t="str">
        <f t="shared" si="23"/>
        <v/>
      </c>
      <c r="O54" s="49" t="str">
        <f>IF(N54="","",IF(OR(ABS(N54)&gt;=30%,ABS(M54)&gt;=$D$55*5%,ABS(M54)&gt;='未审利润纵向分析B13-3-2'!$E$30*10%),"显著",IF(ABS(N54)&gt;=10%,"关注","")))</f>
        <v/>
      </c>
      <c r="P54" s="55"/>
    </row>
    <row r="55" spans="1:16" ht="24" customHeight="1" thickBot="1">
      <c r="A55" s="60" t="s">
        <v>383</v>
      </c>
      <c r="B55" s="246">
        <f t="shared" ref="B55" si="31">B54+1</f>
        <v>49</v>
      </c>
      <c r="C55" s="56">
        <f>SUM(C26,C54)</f>
        <v>0</v>
      </c>
      <c r="D55" s="56">
        <f>SUM(D26,D54)</f>
        <v>0</v>
      </c>
      <c r="E55" s="56">
        <f>D55-C55</f>
        <v>0</v>
      </c>
      <c r="F55" s="57" t="str">
        <f t="shared" si="12"/>
        <v/>
      </c>
      <c r="G55" s="58" t="str">
        <f>IF(F55="","",IF(OR(ABS(F55)&gt;=30%,ABS(E55)&gt;=$D$55*5%,ABS(E55)&gt;='未审利润纵向分析B13-3-2'!$E$30*10%),"显著",IF(ABS(F55)&gt;=10%,"关注","")))</f>
        <v/>
      </c>
      <c r="H55" s="59"/>
      <c r="I55" s="60" t="s">
        <v>170</v>
      </c>
      <c r="J55" s="246">
        <f>J54+1</f>
        <v>98</v>
      </c>
      <c r="K55" s="56">
        <f>SUM(K40,K54)</f>
        <v>0</v>
      </c>
      <c r="L55" s="56">
        <f>SUM(L40,L54)</f>
        <v>0</v>
      </c>
      <c r="M55" s="61">
        <f>L55-K55</f>
        <v>0</v>
      </c>
      <c r="N55" s="62" t="str">
        <f t="shared" si="23"/>
        <v/>
      </c>
      <c r="O55" s="58" t="str">
        <f>IF(N55="","",IF(OR(ABS(N55)&gt;=30%,ABS(M55)&gt;=$D$55*5%,ABS(M55)&gt;='未审利润纵向分析B13-3-2'!$E$30*10%),"显著",IF(ABS(N55)&gt;=10%,"关注","")))</f>
        <v/>
      </c>
      <c r="P55" s="63"/>
    </row>
  </sheetData>
  <sheetProtection formatCells="0" insertRows="0" autoFilter="0" pivotTables="0"/>
  <mergeCells count="14">
    <mergeCell ref="K4:K5"/>
    <mergeCell ref="L4:L5"/>
    <mergeCell ref="O4:O6"/>
    <mergeCell ref="P4:P6"/>
    <mergeCell ref="A1:H1"/>
    <mergeCell ref="I1:P1"/>
    <mergeCell ref="A4:A6"/>
    <mergeCell ref="B4:B6"/>
    <mergeCell ref="C4:C5"/>
    <mergeCell ref="D4:D5"/>
    <mergeCell ref="G4:G6"/>
    <mergeCell ref="H4:H6"/>
    <mergeCell ref="I4:I6"/>
    <mergeCell ref="J4:J6"/>
  </mergeCells>
  <phoneticPr fontId="3" type="noConversion"/>
  <conditionalFormatting sqref="C7:F7 H7:M7 J7:J54">
    <cfRule type="cellIs" dxfId="15" priority="39" stopIfTrue="1" operator="equal">
      <formula>"            对不起，请到参数表中确定报表类型！"</formula>
    </cfRule>
    <cfRule type="cellIs" dxfId="14" priority="40" stopIfTrue="1" operator="equal">
      <formula>"对不起，试用期已到，请查看系统信息，并与作者联系。"</formula>
    </cfRule>
  </conditionalFormatting>
  <conditionalFormatting sqref="G7">
    <cfRule type="cellIs" dxfId="13" priority="41" stopIfTrue="1" operator="equal">
      <formula>"异常"</formula>
    </cfRule>
  </conditionalFormatting>
  <conditionalFormatting sqref="G8:G55">
    <cfRule type="cellIs" dxfId="12" priority="7" stopIfTrue="1" operator="equal">
      <formula>"显著"</formula>
    </cfRule>
  </conditionalFormatting>
  <conditionalFormatting sqref="O8:O55">
    <cfRule type="cellIs" dxfId="11" priority="3" stopIfTrue="1" operator="equal">
      <formula>"显著"</formula>
    </cfRule>
  </conditionalFormatting>
  <printOptions horizontalCentered="1"/>
  <pageMargins left="0.70866141732283472" right="0.70866141732283472" top="0.74803149606299213" bottom="0.74803149606299213" header="0.31496062992125984" footer="0.31496062992125984"/>
  <pageSetup paperSize="9" scale="64" fitToWidth="2" orientation="portrait" blackAndWhite="1" r:id="rId1"/>
  <headerFooter alignWithMargins="0">
    <oddFooter>&amp;C&amp;P /&amp;N</oddFooter>
  </headerFooter>
  <colBreaks count="1" manualBreakCount="1">
    <brk id="8" max="1048575" man="1"/>
  </col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R55"/>
  <sheetViews>
    <sheetView showZeros="0" tabSelected="1" view="pageBreakPreview" zoomScaleNormal="100" zoomScaleSheetLayoutView="100" workbookViewId="0">
      <pane xSplit="2" ySplit="6" topLeftCell="E7" activePane="bottomRight" state="frozen"/>
      <selection activeCell="E58" sqref="E58"/>
      <selection pane="topRight" activeCell="E58" sqref="E58"/>
      <selection pane="bottomLeft" activeCell="E58" sqref="E58"/>
      <selection pane="bottomRight" sqref="A1:I1"/>
    </sheetView>
  </sheetViews>
  <sheetFormatPr defaultColWidth="10.33203125" defaultRowHeight="19.95" customHeight="1"/>
  <cols>
    <col min="1" max="1" width="26.44140625" style="13" customWidth="1"/>
    <col min="2" max="2" width="3" style="13" customWidth="1"/>
    <col min="3" max="3" width="14" style="13" customWidth="1"/>
    <col min="4" max="4" width="8" style="13" customWidth="1"/>
    <col min="5" max="5" width="12" style="13" customWidth="1"/>
    <col min="6" max="6" width="8.88671875" style="13" customWidth="1"/>
    <col min="7" max="7" width="11.6640625" style="13" customWidth="1"/>
    <col min="8" max="8" width="9" style="13" customWidth="1"/>
    <col min="9" max="9" width="13.44140625" style="13" customWidth="1"/>
    <col min="10" max="10" width="34.33203125" style="13" customWidth="1"/>
    <col min="11" max="11" width="3.5546875" style="13" customWidth="1"/>
    <col min="12" max="12" width="14.109375" style="13" customWidth="1"/>
    <col min="13" max="13" width="7.33203125" style="13" customWidth="1"/>
    <col min="14" max="14" width="12" style="13" customWidth="1"/>
    <col min="15" max="15" width="9" style="13" customWidth="1"/>
    <col min="16" max="16" width="11" style="13" bestFit="1" customWidth="1"/>
    <col min="17" max="17" width="8.33203125" style="13" customWidth="1"/>
    <col min="18" max="18" width="14.109375" style="13" customWidth="1"/>
    <col min="19" max="16384" width="10.33203125" style="13"/>
  </cols>
  <sheetData>
    <row r="1" spans="1:18" s="243" customFormat="1" ht="27" customHeight="1">
      <c r="A1" s="256" t="s">
        <v>26</v>
      </c>
      <c r="B1" s="256"/>
      <c r="C1" s="256"/>
      <c r="D1" s="256"/>
      <c r="E1" s="256"/>
      <c r="F1" s="256"/>
      <c r="G1" s="256"/>
      <c r="H1" s="256"/>
      <c r="I1" s="256"/>
      <c r="J1" s="256" t="s">
        <v>27</v>
      </c>
      <c r="K1" s="256"/>
      <c r="L1" s="256"/>
      <c r="M1" s="256"/>
      <c r="N1" s="256"/>
      <c r="O1" s="256"/>
      <c r="P1" s="256"/>
      <c r="Q1" s="256"/>
      <c r="R1" s="256"/>
    </row>
    <row r="2" spans="1:18" s="15" customFormat="1" ht="19.95" customHeight="1">
      <c r="A2" s="14" t="str">
        <f>'未审资产负债横向分析B13-2-1'!A2</f>
        <v>被审计单位：ABC公司</v>
      </c>
      <c r="E2" s="16" t="str">
        <f>'未审资产负债横向分析B13-2-1'!D2</f>
        <v>编制人：张三</v>
      </c>
      <c r="G2" s="16" t="str">
        <f>'未审资产负债横向分析B13-2-1'!F2</f>
        <v>编制日期：2025.X.X</v>
      </c>
      <c r="H2" s="14"/>
      <c r="I2" s="16" t="s">
        <v>378</v>
      </c>
      <c r="J2" s="14" t="str">
        <f>A2</f>
        <v>被审计单位：ABC公司</v>
      </c>
      <c r="N2" s="16" t="str">
        <f>E2</f>
        <v>编制人：张三</v>
      </c>
      <c r="O2" s="16"/>
      <c r="P2" s="14" t="str">
        <f>G2</f>
        <v>编制日期：2025.X.X</v>
      </c>
      <c r="Q2" s="14"/>
      <c r="R2" s="16" t="s">
        <v>378</v>
      </c>
    </row>
    <row r="3" spans="1:18" s="15" customFormat="1" ht="19.95" customHeight="1" thickBot="1">
      <c r="A3" s="14" t="str">
        <f>'未审资产负债横向分析B13-2-1'!A3</f>
        <v>截止日：202X年12月31日</v>
      </c>
      <c r="E3" s="14" t="str">
        <f>'未审资产负债横向分析B13-2-1'!D3</f>
        <v>复核人：李四</v>
      </c>
      <c r="F3" s="14"/>
      <c r="G3" s="16" t="str">
        <f>'未审资产负债横向分析B13-2-1'!F3</f>
        <v>复核日期：2025.X.X</v>
      </c>
      <c r="H3" s="14"/>
      <c r="I3" s="16" t="s">
        <v>69</v>
      </c>
      <c r="J3" s="14" t="str">
        <f>A3</f>
        <v>截止日：202X年12月31日</v>
      </c>
      <c r="N3" s="16" t="str">
        <f>E3</f>
        <v>复核人：李四</v>
      </c>
      <c r="O3" s="16"/>
      <c r="P3" s="16" t="str">
        <f>G3</f>
        <v>复核日期：2025.X.X</v>
      </c>
      <c r="Q3" s="14"/>
      <c r="R3" s="16" t="s">
        <v>70</v>
      </c>
    </row>
    <row r="4" spans="1:18" ht="19.95" customHeight="1">
      <c r="A4" s="257" t="s">
        <v>71</v>
      </c>
      <c r="B4" s="260" t="s">
        <v>72</v>
      </c>
      <c r="C4" s="272" t="s">
        <v>73</v>
      </c>
      <c r="D4" s="273"/>
      <c r="E4" s="272" t="s">
        <v>24</v>
      </c>
      <c r="F4" s="273"/>
      <c r="G4" s="274" t="s">
        <v>294</v>
      </c>
      <c r="H4" s="250" t="s">
        <v>75</v>
      </c>
      <c r="I4" s="269" t="s">
        <v>25</v>
      </c>
      <c r="J4" s="263" t="str">
        <f>'未审资产负债横向分析B13-2-1'!I4:I6</f>
        <v>负债及股东权益</v>
      </c>
      <c r="K4" s="266" t="s">
        <v>72</v>
      </c>
      <c r="L4" s="272" t="s">
        <v>73</v>
      </c>
      <c r="M4" s="273"/>
      <c r="N4" s="272" t="s">
        <v>24</v>
      </c>
      <c r="O4" s="273"/>
      <c r="P4" s="274" t="s">
        <v>294</v>
      </c>
      <c r="Q4" s="250" t="s">
        <v>75</v>
      </c>
      <c r="R4" s="269" t="s">
        <v>25</v>
      </c>
    </row>
    <row r="5" spans="1:18" ht="19.95" customHeight="1">
      <c r="A5" s="258"/>
      <c r="B5" s="261"/>
      <c r="C5" s="204" t="s">
        <v>298</v>
      </c>
      <c r="D5" s="18" t="s">
        <v>297</v>
      </c>
      <c r="E5" s="204" t="s">
        <v>28</v>
      </c>
      <c r="F5" s="18" t="s">
        <v>297</v>
      </c>
      <c r="G5" s="275"/>
      <c r="H5" s="251"/>
      <c r="I5" s="270"/>
      <c r="J5" s="264"/>
      <c r="K5" s="267"/>
      <c r="L5" s="204" t="s">
        <v>298</v>
      </c>
      <c r="M5" s="18" t="s">
        <v>297</v>
      </c>
      <c r="N5" s="204" t="s">
        <v>28</v>
      </c>
      <c r="O5" s="18" t="s">
        <v>297</v>
      </c>
      <c r="P5" s="275"/>
      <c r="Q5" s="251"/>
      <c r="R5" s="270"/>
    </row>
    <row r="6" spans="1:18" ht="19.95" customHeight="1">
      <c r="A6" s="259"/>
      <c r="B6" s="262"/>
      <c r="C6" s="20" t="s">
        <v>80</v>
      </c>
      <c r="D6" s="20" t="s">
        <v>299</v>
      </c>
      <c r="E6" s="20" t="s">
        <v>300</v>
      </c>
      <c r="F6" s="20" t="s">
        <v>301</v>
      </c>
      <c r="G6" s="20" t="s">
        <v>302</v>
      </c>
      <c r="H6" s="252"/>
      <c r="I6" s="271"/>
      <c r="J6" s="265"/>
      <c r="K6" s="268"/>
      <c r="L6" s="20" t="s">
        <v>80</v>
      </c>
      <c r="M6" s="20" t="s">
        <v>299</v>
      </c>
      <c r="N6" s="20" t="s">
        <v>300</v>
      </c>
      <c r="O6" s="20" t="s">
        <v>301</v>
      </c>
      <c r="P6" s="20" t="s">
        <v>302</v>
      </c>
      <c r="Q6" s="252"/>
      <c r="R6" s="271"/>
    </row>
    <row r="7" spans="1:18" ht="19.95" customHeight="1">
      <c r="A7" s="205" t="s">
        <v>84</v>
      </c>
      <c r="B7" s="206">
        <v>1</v>
      </c>
      <c r="C7" s="207"/>
      <c r="D7" s="207"/>
      <c r="E7" s="207"/>
      <c r="F7" s="207"/>
      <c r="G7" s="208"/>
      <c r="H7" s="208"/>
      <c r="I7" s="209"/>
      <c r="J7" s="210" t="s">
        <v>85</v>
      </c>
      <c r="K7" s="211">
        <f>B55+1</f>
        <v>50</v>
      </c>
      <c r="L7" s="207"/>
      <c r="M7" s="207"/>
      <c r="N7" s="207"/>
      <c r="O7" s="207"/>
      <c r="P7" s="212"/>
      <c r="Q7" s="212"/>
      <c r="R7" s="209"/>
    </row>
    <row r="8" spans="1:18" ht="19.95" customHeight="1">
      <c r="A8" s="213" t="s">
        <v>86</v>
      </c>
      <c r="B8" s="214">
        <f>B7+1</f>
        <v>2</v>
      </c>
      <c r="C8" s="215"/>
      <c r="D8" s="153" t="str">
        <f t="shared" ref="D8:D26" si="0">IF(AND(C8&lt;&gt;0,$C$55&lt;&gt;0),C8/$C$55,"")</f>
        <v/>
      </c>
      <c r="E8" s="215"/>
      <c r="F8" s="153" t="str">
        <f t="shared" ref="F8:F26" si="1">IF(AND(E8&lt;&gt;0,$E$55&lt;&gt;0),E8/$E$55,"")</f>
        <v/>
      </c>
      <c r="G8" s="155" t="str">
        <f>IF(AND(D8="",F8=""),"",IF(D8="",F8,IF(F8="",-D8,F8-D8)))</f>
        <v/>
      </c>
      <c r="H8" s="148" t="str">
        <f t="shared" ref="H8:H24" si="2">IF(G8="","",IF(ABS(G8)&gt;=30%,"显著",IF(ABS(G8)&gt;=10%,"关注","")))</f>
        <v/>
      </c>
      <c r="I8" s="216"/>
      <c r="J8" s="217" t="s">
        <v>87</v>
      </c>
      <c r="K8" s="218">
        <f>K7+1</f>
        <v>51</v>
      </c>
      <c r="L8" s="215"/>
      <c r="M8" s="153" t="str">
        <f>IF(AND(L8&lt;&gt;0,$L$55&lt;&gt;0),L8/$L$55,"")</f>
        <v/>
      </c>
      <c r="N8" s="215"/>
      <c r="O8" s="153" t="str">
        <f t="shared" ref="O8:O26" si="3">IF(AND(N8&lt;&gt;0,$N$55&lt;&gt;0),N8/$N$55,"")</f>
        <v/>
      </c>
      <c r="P8" s="155" t="str">
        <f>IF(AND(M8="",O8=""),"",IF(M8="",O8,IF(O8="",-M8,O8-M8)))</f>
        <v/>
      </c>
      <c r="Q8" s="148" t="str">
        <f t="shared" ref="Q8:Q53" si="4">IF(P8="","",IF(ABS(P8)&gt;=30%,"显著",IF(ABS(P8)&gt;=10%,"关注","")))</f>
        <v/>
      </c>
      <c r="R8" s="219"/>
    </row>
    <row r="9" spans="1:18" ht="19.95" customHeight="1">
      <c r="A9" s="213" t="s">
        <v>88</v>
      </c>
      <c r="B9" s="214">
        <f t="shared" ref="B9:B54" si="5">B8+1</f>
        <v>3</v>
      </c>
      <c r="C9" s="215"/>
      <c r="D9" s="153" t="str">
        <f t="shared" si="0"/>
        <v/>
      </c>
      <c r="E9" s="215"/>
      <c r="F9" s="153" t="str">
        <f t="shared" si="1"/>
        <v/>
      </c>
      <c r="G9" s="155" t="str">
        <f>IF(AND(D9="",F9=""),"",IF(D9="",F9,IF(F9="",-D9,F9-D9)))</f>
        <v/>
      </c>
      <c r="H9" s="148" t="str">
        <f t="shared" ref="H9" si="6">IF(G9="","",IF(ABS(G9)&gt;=30%,"显著",IF(ABS(G9)&gt;=10%,"关注","")))</f>
        <v/>
      </c>
      <c r="I9" s="216"/>
      <c r="J9" s="213" t="s">
        <v>89</v>
      </c>
      <c r="K9" s="218">
        <f t="shared" ref="K9:K54" si="7">K8+1</f>
        <v>52</v>
      </c>
      <c r="L9" s="215"/>
      <c r="M9" s="153" t="str">
        <f t="shared" ref="M9:M26" si="8">IF(AND(L9&lt;&gt;0,$L$55&lt;&gt;0),L9/$L$55,"")</f>
        <v/>
      </c>
      <c r="N9" s="215"/>
      <c r="O9" s="153" t="str">
        <f t="shared" si="3"/>
        <v/>
      </c>
      <c r="P9" s="155" t="str">
        <f>IF(AND(M9="",O9=""),"",IF(M9="",O9,IF(O9="",-M9,O9-M9)))</f>
        <v/>
      </c>
      <c r="Q9" s="148" t="str">
        <f t="shared" ref="Q9" si="9">IF(P9="","",IF(ABS(P9)&gt;=30%,"显著",IF(ABS(P9)&gt;=10%,"关注","")))</f>
        <v/>
      </c>
      <c r="R9" s="219"/>
    </row>
    <row r="10" spans="1:18" ht="27" customHeight="1">
      <c r="A10" s="30" t="s">
        <v>54</v>
      </c>
      <c r="B10" s="214">
        <f t="shared" si="5"/>
        <v>4</v>
      </c>
      <c r="C10" s="215"/>
      <c r="D10" s="153" t="str">
        <f t="shared" si="0"/>
        <v/>
      </c>
      <c r="E10" s="215"/>
      <c r="F10" s="153" t="str">
        <f t="shared" si="1"/>
        <v/>
      </c>
      <c r="G10" s="155" t="str">
        <f>IF(AND(D10="",F10=""),"",IF(D10="",F10,IF(F10="",-D10,F10-D10)))</f>
        <v/>
      </c>
      <c r="H10" s="148" t="str">
        <f t="shared" si="2"/>
        <v/>
      </c>
      <c r="I10" s="216"/>
      <c r="J10" s="30" t="s">
        <v>90</v>
      </c>
      <c r="K10" s="218">
        <f t="shared" si="7"/>
        <v>53</v>
      </c>
      <c r="L10" s="215"/>
      <c r="M10" s="153" t="str">
        <f t="shared" si="8"/>
        <v/>
      </c>
      <c r="N10" s="215"/>
      <c r="O10" s="153" t="str">
        <f t="shared" si="3"/>
        <v/>
      </c>
      <c r="P10" s="155" t="str">
        <f>IF(AND(M10="",O10=""),"",IF(M10="",O10,IF(O10="",-M10,O10-M10)))</f>
        <v/>
      </c>
      <c r="Q10" s="148" t="str">
        <f t="shared" si="4"/>
        <v/>
      </c>
      <c r="R10" s="219"/>
    </row>
    <row r="11" spans="1:18" ht="19.95" customHeight="1">
      <c r="A11" s="213" t="s">
        <v>91</v>
      </c>
      <c r="B11" s="214">
        <f t="shared" si="5"/>
        <v>5</v>
      </c>
      <c r="C11" s="215"/>
      <c r="D11" s="153" t="str">
        <f t="shared" si="0"/>
        <v/>
      </c>
      <c r="E11" s="215"/>
      <c r="F11" s="153" t="str">
        <f t="shared" si="1"/>
        <v/>
      </c>
      <c r="G11" s="155" t="str">
        <f t="shared" ref="G11:G25" si="10">IF(AND(D11="",F11=""),"",IF(D11="",F11,IF(F11="",-D11,F11-D11)))</f>
        <v/>
      </c>
      <c r="H11" s="148" t="str">
        <f t="shared" si="2"/>
        <v/>
      </c>
      <c r="I11" s="216"/>
      <c r="J11" s="217" t="s">
        <v>92</v>
      </c>
      <c r="K11" s="218">
        <f t="shared" si="7"/>
        <v>54</v>
      </c>
      <c r="L11" s="215"/>
      <c r="M11" s="153" t="str">
        <f t="shared" si="8"/>
        <v/>
      </c>
      <c r="N11" s="215"/>
      <c r="O11" s="153" t="str">
        <f t="shared" si="3"/>
        <v/>
      </c>
      <c r="P11" s="155" t="str">
        <f t="shared" ref="P11:P20" si="11">IF(AND(M11="",O11=""),"",IF(M11="",O11,IF(O11="",-M11,O11-M11)))</f>
        <v/>
      </c>
      <c r="Q11" s="148"/>
      <c r="R11" s="219"/>
    </row>
    <row r="12" spans="1:18" ht="19.95" customHeight="1">
      <c r="A12" s="213" t="s">
        <v>93</v>
      </c>
      <c r="B12" s="214">
        <f t="shared" si="5"/>
        <v>6</v>
      </c>
      <c r="C12" s="215"/>
      <c r="D12" s="153" t="str">
        <f t="shared" si="0"/>
        <v/>
      </c>
      <c r="E12" s="215"/>
      <c r="F12" s="153" t="str">
        <f t="shared" si="1"/>
        <v/>
      </c>
      <c r="G12" s="155" t="str">
        <f t="shared" si="10"/>
        <v/>
      </c>
      <c r="H12" s="148" t="str">
        <f t="shared" si="2"/>
        <v/>
      </c>
      <c r="I12" s="216"/>
      <c r="J12" s="217" t="s">
        <v>94</v>
      </c>
      <c r="K12" s="218">
        <f t="shared" si="7"/>
        <v>55</v>
      </c>
      <c r="L12" s="215"/>
      <c r="M12" s="153" t="str">
        <f t="shared" si="8"/>
        <v/>
      </c>
      <c r="N12" s="215"/>
      <c r="O12" s="153" t="str">
        <f t="shared" si="3"/>
        <v/>
      </c>
      <c r="P12" s="155" t="str">
        <f t="shared" si="11"/>
        <v/>
      </c>
      <c r="Q12" s="148" t="str">
        <f t="shared" ref="Q12" si="12">IF(P12="","",IF(ABS(P12)&gt;=30%,"显著",IF(ABS(P12)&gt;=10%,"关注","")))</f>
        <v/>
      </c>
      <c r="R12" s="219"/>
    </row>
    <row r="13" spans="1:18" ht="19.95" customHeight="1">
      <c r="A13" s="213" t="s">
        <v>95</v>
      </c>
      <c r="B13" s="214">
        <f t="shared" si="5"/>
        <v>7</v>
      </c>
      <c r="C13" s="215"/>
      <c r="D13" s="153" t="str">
        <f t="shared" si="0"/>
        <v/>
      </c>
      <c r="E13" s="215"/>
      <c r="F13" s="153" t="str">
        <f t="shared" si="1"/>
        <v/>
      </c>
      <c r="G13" s="155" t="str">
        <f t="shared" si="10"/>
        <v/>
      </c>
      <c r="H13" s="148" t="str">
        <f t="shared" si="2"/>
        <v/>
      </c>
      <c r="I13" s="216"/>
      <c r="J13" s="217" t="s">
        <v>96</v>
      </c>
      <c r="K13" s="218">
        <f t="shared" si="7"/>
        <v>56</v>
      </c>
      <c r="L13" s="215"/>
      <c r="M13" s="153" t="str">
        <f t="shared" si="8"/>
        <v/>
      </c>
      <c r="N13" s="215"/>
      <c r="O13" s="153" t="str">
        <f t="shared" si="3"/>
        <v/>
      </c>
      <c r="P13" s="155" t="str">
        <f t="shared" si="11"/>
        <v/>
      </c>
      <c r="Q13" s="148" t="str">
        <f t="shared" si="4"/>
        <v/>
      </c>
      <c r="R13" s="219"/>
    </row>
    <row r="14" spans="1:18" ht="19.95" customHeight="1">
      <c r="A14" s="213" t="s">
        <v>97</v>
      </c>
      <c r="B14" s="214">
        <f t="shared" si="5"/>
        <v>8</v>
      </c>
      <c r="C14" s="215"/>
      <c r="D14" s="153" t="str">
        <f t="shared" si="0"/>
        <v/>
      </c>
      <c r="E14" s="215"/>
      <c r="F14" s="153" t="str">
        <f t="shared" si="1"/>
        <v/>
      </c>
      <c r="G14" s="155" t="str">
        <f t="shared" si="10"/>
        <v/>
      </c>
      <c r="H14" s="148" t="str">
        <f t="shared" si="2"/>
        <v/>
      </c>
      <c r="I14" s="216"/>
      <c r="J14" s="217" t="s">
        <v>98</v>
      </c>
      <c r="K14" s="218">
        <f t="shared" si="7"/>
        <v>57</v>
      </c>
      <c r="L14" s="215"/>
      <c r="M14" s="153" t="str">
        <f t="shared" si="8"/>
        <v/>
      </c>
      <c r="N14" s="215"/>
      <c r="O14" s="153" t="str">
        <f t="shared" si="3"/>
        <v/>
      </c>
      <c r="P14" s="155" t="str">
        <f t="shared" si="11"/>
        <v/>
      </c>
      <c r="Q14" s="148" t="str">
        <f t="shared" si="4"/>
        <v/>
      </c>
      <c r="R14" s="219"/>
    </row>
    <row r="15" spans="1:18" ht="19.95" customHeight="1">
      <c r="A15" s="213" t="s">
        <v>99</v>
      </c>
      <c r="B15" s="214">
        <f t="shared" si="5"/>
        <v>9</v>
      </c>
      <c r="C15" s="215"/>
      <c r="D15" s="153" t="str">
        <f t="shared" si="0"/>
        <v/>
      </c>
      <c r="E15" s="215"/>
      <c r="F15" s="153" t="str">
        <f t="shared" si="1"/>
        <v/>
      </c>
      <c r="G15" s="155" t="str">
        <f t="shared" si="10"/>
        <v/>
      </c>
      <c r="H15" s="148" t="str">
        <f t="shared" si="2"/>
        <v/>
      </c>
      <c r="I15" s="216"/>
      <c r="J15" s="217" t="s">
        <v>100</v>
      </c>
      <c r="K15" s="218">
        <f t="shared" si="7"/>
        <v>58</v>
      </c>
      <c r="L15" s="215"/>
      <c r="M15" s="153" t="str">
        <f t="shared" si="8"/>
        <v/>
      </c>
      <c r="N15" s="215"/>
      <c r="O15" s="153" t="str">
        <f t="shared" si="3"/>
        <v/>
      </c>
      <c r="P15" s="155" t="str">
        <f t="shared" ref="P15" si="13">IF(AND(M15="",O15=""),"",IF(M15="",O15,IF(O15="",-M15,O15-M15)))</f>
        <v/>
      </c>
      <c r="Q15" s="148" t="str">
        <f t="shared" ref="Q15" si="14">IF(P15="","",IF(ABS(P15)&gt;=30%,"显著",IF(ABS(P15)&gt;=10%,"关注","")))</f>
        <v/>
      </c>
      <c r="R15" s="219"/>
    </row>
    <row r="16" spans="1:18" ht="19.95" customHeight="1">
      <c r="A16" s="213" t="s">
        <v>101</v>
      </c>
      <c r="B16" s="214">
        <f t="shared" si="5"/>
        <v>10</v>
      </c>
      <c r="C16" s="215"/>
      <c r="D16" s="153" t="str">
        <f t="shared" si="0"/>
        <v/>
      </c>
      <c r="E16" s="215"/>
      <c r="F16" s="153" t="str">
        <f t="shared" si="1"/>
        <v/>
      </c>
      <c r="G16" s="155" t="str">
        <f t="shared" si="10"/>
        <v/>
      </c>
      <c r="H16" s="148" t="str">
        <f t="shared" si="2"/>
        <v/>
      </c>
      <c r="I16" s="216"/>
      <c r="J16" s="217" t="s">
        <v>379</v>
      </c>
      <c r="K16" s="218">
        <f t="shared" si="7"/>
        <v>59</v>
      </c>
      <c r="L16" s="215"/>
      <c r="M16" s="153" t="str">
        <f t="shared" si="8"/>
        <v/>
      </c>
      <c r="N16" s="215"/>
      <c r="O16" s="153" t="str">
        <f t="shared" si="3"/>
        <v/>
      </c>
      <c r="P16" s="155" t="str">
        <f t="shared" si="11"/>
        <v/>
      </c>
      <c r="Q16" s="148" t="str">
        <f t="shared" si="4"/>
        <v/>
      </c>
      <c r="R16" s="219"/>
    </row>
    <row r="17" spans="1:18" ht="19.95" customHeight="1">
      <c r="A17" s="213" t="s">
        <v>103</v>
      </c>
      <c r="B17" s="214">
        <f t="shared" si="5"/>
        <v>11</v>
      </c>
      <c r="C17" s="215"/>
      <c r="D17" s="153" t="str">
        <f t="shared" si="0"/>
        <v/>
      </c>
      <c r="E17" s="215"/>
      <c r="F17" s="153" t="str">
        <f t="shared" si="1"/>
        <v/>
      </c>
      <c r="G17" s="155" t="str">
        <f t="shared" si="10"/>
        <v/>
      </c>
      <c r="H17" s="148" t="str">
        <f t="shared" si="2"/>
        <v/>
      </c>
      <c r="I17" s="216"/>
      <c r="J17" s="217" t="s">
        <v>104</v>
      </c>
      <c r="K17" s="218">
        <f t="shared" si="7"/>
        <v>60</v>
      </c>
      <c r="L17" s="215"/>
      <c r="M17" s="153" t="str">
        <f t="shared" si="8"/>
        <v/>
      </c>
      <c r="N17" s="215"/>
      <c r="O17" s="153" t="str">
        <f t="shared" si="3"/>
        <v/>
      </c>
      <c r="P17" s="155" t="str">
        <f t="shared" si="11"/>
        <v/>
      </c>
      <c r="Q17" s="148" t="str">
        <f t="shared" ref="Q17:Q18" si="15">IF(P17="","",IF(ABS(P17)&gt;=30%,"显著",IF(ABS(P17)&gt;=10%,"关注","")))</f>
        <v/>
      </c>
      <c r="R17" s="219"/>
    </row>
    <row r="18" spans="1:18" ht="19.95" customHeight="1">
      <c r="A18" s="213" t="s">
        <v>105</v>
      </c>
      <c r="B18" s="214">
        <f t="shared" si="5"/>
        <v>12</v>
      </c>
      <c r="C18" s="215"/>
      <c r="D18" s="153" t="str">
        <f t="shared" si="0"/>
        <v/>
      </c>
      <c r="E18" s="215"/>
      <c r="F18" s="153" t="str">
        <f t="shared" si="1"/>
        <v/>
      </c>
      <c r="G18" s="155" t="str">
        <f t="shared" si="10"/>
        <v/>
      </c>
      <c r="H18" s="148" t="str">
        <f t="shared" si="2"/>
        <v/>
      </c>
      <c r="I18" s="216"/>
      <c r="J18" s="217" t="s">
        <v>106</v>
      </c>
      <c r="K18" s="218">
        <f t="shared" si="7"/>
        <v>61</v>
      </c>
      <c r="L18" s="215"/>
      <c r="M18" s="153" t="str">
        <f t="shared" si="8"/>
        <v/>
      </c>
      <c r="N18" s="215"/>
      <c r="O18" s="153" t="str">
        <f t="shared" si="3"/>
        <v/>
      </c>
      <c r="P18" s="155" t="str">
        <f t="shared" si="11"/>
        <v/>
      </c>
      <c r="Q18" s="148" t="str">
        <f t="shared" si="15"/>
        <v/>
      </c>
      <c r="R18" s="219"/>
    </row>
    <row r="19" spans="1:18" ht="19.95" customHeight="1">
      <c r="A19" s="213" t="s">
        <v>107</v>
      </c>
      <c r="B19" s="214">
        <f t="shared" si="5"/>
        <v>13</v>
      </c>
      <c r="C19" s="215"/>
      <c r="D19" s="153" t="str">
        <f t="shared" si="0"/>
        <v/>
      </c>
      <c r="E19" s="215"/>
      <c r="F19" s="153" t="str">
        <f t="shared" si="1"/>
        <v/>
      </c>
      <c r="G19" s="155" t="str">
        <f t="shared" si="10"/>
        <v/>
      </c>
      <c r="H19" s="148" t="str">
        <f t="shared" si="2"/>
        <v/>
      </c>
      <c r="I19" s="216"/>
      <c r="J19" s="217" t="s">
        <v>108</v>
      </c>
      <c r="K19" s="218">
        <f t="shared" si="7"/>
        <v>62</v>
      </c>
      <c r="L19" s="215"/>
      <c r="M19" s="153" t="str">
        <f t="shared" si="8"/>
        <v/>
      </c>
      <c r="N19" s="215"/>
      <c r="O19" s="153" t="str">
        <f t="shared" si="3"/>
        <v/>
      </c>
      <c r="P19" s="155" t="str">
        <f t="shared" si="11"/>
        <v/>
      </c>
      <c r="Q19" s="148" t="str">
        <f t="shared" si="4"/>
        <v/>
      </c>
      <c r="R19" s="219"/>
    </row>
    <row r="20" spans="1:18" ht="19.95" customHeight="1">
      <c r="A20" s="213" t="s">
        <v>109</v>
      </c>
      <c r="B20" s="214">
        <f t="shared" si="5"/>
        <v>14</v>
      </c>
      <c r="C20" s="215"/>
      <c r="D20" s="153" t="str">
        <f t="shared" si="0"/>
        <v/>
      </c>
      <c r="E20" s="215"/>
      <c r="F20" s="153" t="str">
        <f t="shared" si="1"/>
        <v/>
      </c>
      <c r="G20" s="155" t="str">
        <f t="shared" si="10"/>
        <v/>
      </c>
      <c r="H20" s="148" t="str">
        <f t="shared" si="2"/>
        <v/>
      </c>
      <c r="I20" s="216"/>
      <c r="J20" s="217" t="s">
        <v>110</v>
      </c>
      <c r="K20" s="218">
        <f t="shared" si="7"/>
        <v>63</v>
      </c>
      <c r="L20" s="215"/>
      <c r="M20" s="153" t="str">
        <f t="shared" si="8"/>
        <v/>
      </c>
      <c r="N20" s="215"/>
      <c r="O20" s="153" t="str">
        <f t="shared" si="3"/>
        <v/>
      </c>
      <c r="P20" s="155" t="str">
        <f t="shared" si="11"/>
        <v/>
      </c>
      <c r="Q20" s="148" t="str">
        <f t="shared" si="4"/>
        <v/>
      </c>
      <c r="R20" s="219"/>
    </row>
    <row r="21" spans="1:18" ht="19.95" customHeight="1">
      <c r="A21" s="213" t="s">
        <v>111</v>
      </c>
      <c r="B21" s="214">
        <f t="shared" si="5"/>
        <v>15</v>
      </c>
      <c r="C21" s="215"/>
      <c r="D21" s="153" t="str">
        <f t="shared" si="0"/>
        <v/>
      </c>
      <c r="E21" s="215"/>
      <c r="F21" s="153" t="str">
        <f t="shared" si="1"/>
        <v/>
      </c>
      <c r="G21" s="155" t="str">
        <f t="shared" si="10"/>
        <v/>
      </c>
      <c r="H21" s="148" t="str">
        <f t="shared" si="2"/>
        <v/>
      </c>
      <c r="I21" s="216"/>
      <c r="J21" s="213" t="s">
        <v>112</v>
      </c>
      <c r="K21" s="218">
        <f t="shared" si="7"/>
        <v>64</v>
      </c>
      <c r="L21" s="215"/>
      <c r="M21" s="153" t="str">
        <f t="shared" si="8"/>
        <v/>
      </c>
      <c r="N21" s="215"/>
      <c r="O21" s="153" t="str">
        <f t="shared" si="3"/>
        <v/>
      </c>
      <c r="P21" s="155" t="str">
        <f>IF(AND(M21="",O21=""),"",IF(M21="",O21,IF(O21="",-M21,O21-M21)))</f>
        <v/>
      </c>
      <c r="Q21" s="148" t="str">
        <f t="shared" si="4"/>
        <v/>
      </c>
      <c r="R21" s="219"/>
    </row>
    <row r="22" spans="1:18" ht="19.95" customHeight="1">
      <c r="A22" s="213" t="s">
        <v>113</v>
      </c>
      <c r="B22" s="214">
        <f t="shared" si="5"/>
        <v>16</v>
      </c>
      <c r="C22" s="215"/>
      <c r="D22" s="153" t="str">
        <f t="shared" si="0"/>
        <v/>
      </c>
      <c r="E22" s="215"/>
      <c r="F22" s="153" t="str">
        <f t="shared" si="1"/>
        <v/>
      </c>
      <c r="G22" s="155" t="str">
        <f t="shared" ref="G22" si="16">IF(AND(D22="",F22=""),"",IF(D22="",F22,IF(F22="",-D22,F22-D22)))</f>
        <v/>
      </c>
      <c r="H22" s="148" t="str">
        <f t="shared" ref="H22" si="17">IF(G22="","",IF(ABS(G22)&gt;=30%,"显著",IF(ABS(G22)&gt;=10%,"关注","")))</f>
        <v/>
      </c>
      <c r="I22" s="216"/>
      <c r="J22" s="217" t="s">
        <v>114</v>
      </c>
      <c r="K22" s="218">
        <f t="shared" si="7"/>
        <v>65</v>
      </c>
      <c r="L22" s="215"/>
      <c r="M22" s="153" t="str">
        <f t="shared" si="8"/>
        <v/>
      </c>
      <c r="N22" s="215"/>
      <c r="O22" s="153" t="str">
        <f t="shared" si="3"/>
        <v/>
      </c>
      <c r="P22" s="155" t="str">
        <f>IF(AND(M22="",O22=""),"",IF(M22="",O22,IF(O22="",-M22,O22-M22)))</f>
        <v/>
      </c>
      <c r="Q22" s="148" t="str">
        <f t="shared" si="4"/>
        <v/>
      </c>
      <c r="R22" s="219"/>
    </row>
    <row r="23" spans="1:18" ht="19.95" customHeight="1">
      <c r="A23" s="213" t="s">
        <v>115</v>
      </c>
      <c r="B23" s="214">
        <f t="shared" si="5"/>
        <v>17</v>
      </c>
      <c r="C23" s="215"/>
      <c r="D23" s="153" t="str">
        <f t="shared" si="0"/>
        <v/>
      </c>
      <c r="E23" s="215"/>
      <c r="F23" s="153" t="str">
        <f t="shared" si="1"/>
        <v/>
      </c>
      <c r="G23" s="155" t="str">
        <f t="shared" si="10"/>
        <v/>
      </c>
      <c r="H23" s="148" t="str">
        <f t="shared" si="2"/>
        <v/>
      </c>
      <c r="I23" s="216"/>
      <c r="J23" s="217" t="s">
        <v>116</v>
      </c>
      <c r="K23" s="218">
        <f t="shared" si="7"/>
        <v>66</v>
      </c>
      <c r="L23" s="215"/>
      <c r="M23" s="153" t="str">
        <f t="shared" si="8"/>
        <v/>
      </c>
      <c r="N23" s="215"/>
      <c r="O23" s="153" t="str">
        <f t="shared" si="3"/>
        <v/>
      </c>
      <c r="P23" s="155" t="str">
        <f t="shared" ref="P23" si="18">IF(AND(M23="",O23=""),"",IF(M23="",O23,IF(O23="",-M23,O23-M23)))</f>
        <v/>
      </c>
      <c r="Q23" s="148" t="str">
        <f t="shared" ref="Q23" si="19">IF(P23="","",IF(ABS(P23)&gt;=30%,"显著",IF(ABS(P23)&gt;=10%,"关注","")))</f>
        <v/>
      </c>
      <c r="R23" s="219"/>
    </row>
    <row r="24" spans="1:18" ht="19.95" customHeight="1">
      <c r="A24" s="213" t="s">
        <v>117</v>
      </c>
      <c r="B24" s="214">
        <f t="shared" si="5"/>
        <v>18</v>
      </c>
      <c r="C24" s="215"/>
      <c r="D24" s="153" t="str">
        <f t="shared" si="0"/>
        <v/>
      </c>
      <c r="E24" s="215"/>
      <c r="F24" s="153" t="str">
        <f t="shared" si="1"/>
        <v/>
      </c>
      <c r="G24" s="155" t="str">
        <f t="shared" si="10"/>
        <v/>
      </c>
      <c r="H24" s="148" t="str">
        <f t="shared" si="2"/>
        <v/>
      </c>
      <c r="I24" s="216"/>
      <c r="J24" s="217"/>
      <c r="K24" s="218">
        <f t="shared" si="7"/>
        <v>67</v>
      </c>
      <c r="L24" s="215"/>
      <c r="M24" s="153" t="str">
        <f t="shared" si="8"/>
        <v/>
      </c>
      <c r="N24" s="215"/>
      <c r="O24" s="153" t="str">
        <f t="shared" si="3"/>
        <v/>
      </c>
      <c r="P24" s="155" t="str">
        <f t="shared" ref="P24:P25" si="20">IF(AND(M24="",O24=""),"",IF(M24="",O24,IF(O24="",-M24,O24-M24)))</f>
        <v/>
      </c>
      <c r="Q24" s="148"/>
      <c r="R24" s="219"/>
    </row>
    <row r="25" spans="1:18" ht="19.95" customHeight="1">
      <c r="A25" s="213" t="s">
        <v>118</v>
      </c>
      <c r="B25" s="214">
        <f t="shared" si="5"/>
        <v>19</v>
      </c>
      <c r="C25" s="215"/>
      <c r="D25" s="153" t="str">
        <f t="shared" si="0"/>
        <v/>
      </c>
      <c r="E25" s="215"/>
      <c r="F25" s="153" t="str">
        <f t="shared" si="1"/>
        <v/>
      </c>
      <c r="G25" s="155" t="str">
        <f t="shared" si="10"/>
        <v/>
      </c>
      <c r="H25" s="148" t="str">
        <f>IF(G25="","",IF(ABS(G25)&gt;=30%,"显著",IF(ABS(G25)&gt;=10%,"关注","")))</f>
        <v/>
      </c>
      <c r="I25" s="216"/>
      <c r="J25" s="217">
        <v>0</v>
      </c>
      <c r="K25" s="218">
        <f t="shared" si="7"/>
        <v>68</v>
      </c>
      <c r="L25" s="215"/>
      <c r="M25" s="153" t="str">
        <f t="shared" si="8"/>
        <v/>
      </c>
      <c r="N25" s="215"/>
      <c r="O25" s="153" t="str">
        <f t="shared" si="3"/>
        <v/>
      </c>
      <c r="P25" s="155" t="str">
        <f t="shared" si="20"/>
        <v/>
      </c>
      <c r="Q25" s="148" t="str">
        <f t="shared" si="4"/>
        <v/>
      </c>
      <c r="R25" s="219"/>
    </row>
    <row r="26" spans="1:18" ht="19.95" customHeight="1">
      <c r="A26" s="220" t="s">
        <v>119</v>
      </c>
      <c r="B26" s="214">
        <f t="shared" si="5"/>
        <v>20</v>
      </c>
      <c r="C26" s="221">
        <f>SUM(C8:C25)-C17-C18-C20-C21</f>
        <v>0</v>
      </c>
      <c r="D26" s="153" t="str">
        <f t="shared" si="0"/>
        <v/>
      </c>
      <c r="E26" s="221">
        <f>SUM(E8:E25)-E17-E18-E20-E21</f>
        <v>0</v>
      </c>
      <c r="F26" s="153" t="str">
        <f t="shared" si="1"/>
        <v/>
      </c>
      <c r="G26" s="155" t="str">
        <f>IF(AND(D26="",F26=""),"",IF(D26="",F26,IF(F26="",-D26,F26-D26)))</f>
        <v/>
      </c>
      <c r="H26" s="148" t="str">
        <f>IF(G26="","",IF(ABS(G26)&gt;=30%,"显著",IF(ABS(G26)&gt;=10%,"关注","")))</f>
        <v/>
      </c>
      <c r="I26" s="216"/>
      <c r="J26" s="222" t="s">
        <v>120</v>
      </c>
      <c r="K26" s="218">
        <f t="shared" si="7"/>
        <v>69</v>
      </c>
      <c r="L26" s="221">
        <f>SUM(L8:L25)-L19-L20</f>
        <v>0</v>
      </c>
      <c r="M26" s="153" t="str">
        <f t="shared" si="8"/>
        <v/>
      </c>
      <c r="N26" s="221">
        <f>SUM(N8:N25)-N19-N20</f>
        <v>0</v>
      </c>
      <c r="O26" s="153" t="str">
        <f t="shared" si="3"/>
        <v/>
      </c>
      <c r="P26" s="155" t="str">
        <f>IF(AND(M26="",O26=""),"",IF(M26="",O26,IF(O26="",-M26,O26-M26)))</f>
        <v/>
      </c>
      <c r="Q26" s="148" t="str">
        <f t="shared" si="4"/>
        <v/>
      </c>
      <c r="R26" s="223"/>
    </row>
    <row r="27" spans="1:18" ht="19.95" customHeight="1">
      <c r="A27" s="224" t="s">
        <v>380</v>
      </c>
      <c r="B27" s="214">
        <f t="shared" si="5"/>
        <v>21</v>
      </c>
      <c r="C27" s="215"/>
      <c r="D27" s="153"/>
      <c r="E27" s="215"/>
      <c r="F27" s="153"/>
      <c r="G27" s="155"/>
      <c r="H27" s="148"/>
      <c r="I27" s="216"/>
      <c r="J27" s="225" t="s">
        <v>122</v>
      </c>
      <c r="K27" s="218">
        <f t="shared" si="7"/>
        <v>70</v>
      </c>
      <c r="L27" s="215"/>
      <c r="M27" s="153"/>
      <c r="N27" s="215"/>
      <c r="O27" s="153"/>
      <c r="P27" s="155"/>
      <c r="Q27" s="148"/>
      <c r="R27" s="219"/>
    </row>
    <row r="28" spans="1:18" ht="19.95" customHeight="1">
      <c r="A28" s="213" t="s">
        <v>123</v>
      </c>
      <c r="B28" s="214">
        <f t="shared" si="5"/>
        <v>22</v>
      </c>
      <c r="C28" s="215"/>
      <c r="D28" s="153" t="str">
        <f t="shared" ref="D28:D55" si="21">IF(AND(C28&lt;&gt;0,$C$55&lt;&gt;0),C28/$C$55,"")</f>
        <v/>
      </c>
      <c r="E28" s="215"/>
      <c r="F28" s="153" t="str">
        <f t="shared" ref="F28:F55" si="22">IF(AND(E28&lt;&gt;0,$E$55&lt;&gt;0),E28/$E$55,"")</f>
        <v/>
      </c>
      <c r="G28" s="155" t="str">
        <f t="shared" ref="G28:G55" si="23">IF(AND(D28="",F28=""),"",IF(D28="",F28,IF(F28="",-D28,F28-D28)))</f>
        <v/>
      </c>
      <c r="H28" s="148" t="str">
        <f t="shared" ref="H28:H55" si="24">IF(G28="","",IF(ABS(G28)&gt;=30%,"显著",IF(ABS(G28)&gt;=10%,"关注","")))</f>
        <v/>
      </c>
      <c r="I28" s="216"/>
      <c r="J28" s="217" t="s">
        <v>124</v>
      </c>
      <c r="K28" s="218">
        <f t="shared" si="7"/>
        <v>71</v>
      </c>
      <c r="L28" s="215"/>
      <c r="M28" s="153" t="str">
        <f t="shared" ref="M28:M38" si="25">IF(AND(L28&lt;&gt;0,$L$55&lt;&gt;0),L28/$L$55,"")</f>
        <v/>
      </c>
      <c r="N28" s="215"/>
      <c r="O28" s="153" t="str">
        <f t="shared" ref="O28:O40" si="26">IF(AND(N28&lt;&gt;0,$N$55&lt;&gt;0),N28/$N$55,"")</f>
        <v/>
      </c>
      <c r="P28" s="155" t="str">
        <f t="shared" ref="P28" si="27">IF(AND(M28="",O28=""),"",IF(M28="",O28,IF(O28="",-M28,O28-M28)))</f>
        <v/>
      </c>
      <c r="Q28" s="148" t="str">
        <f t="shared" ref="Q28" si="28">IF(P28="","",IF(ABS(P28)&gt;=30%,"显著",IF(ABS(P28)&gt;=10%,"关注","")))</f>
        <v/>
      </c>
      <c r="R28" s="219"/>
    </row>
    <row r="29" spans="1:18" ht="19.95" customHeight="1">
      <c r="A29" s="213" t="s">
        <v>125</v>
      </c>
      <c r="B29" s="214">
        <f t="shared" si="5"/>
        <v>23</v>
      </c>
      <c r="C29" s="215"/>
      <c r="D29" s="153" t="str">
        <f t="shared" si="21"/>
        <v/>
      </c>
      <c r="E29" s="215"/>
      <c r="F29" s="153" t="str">
        <f t="shared" si="22"/>
        <v/>
      </c>
      <c r="G29" s="155" t="str">
        <f t="shared" si="23"/>
        <v/>
      </c>
      <c r="H29" s="148" t="str">
        <f t="shared" si="24"/>
        <v/>
      </c>
      <c r="I29" s="216"/>
      <c r="J29" s="217" t="s">
        <v>126</v>
      </c>
      <c r="K29" s="218">
        <f t="shared" si="7"/>
        <v>72</v>
      </c>
      <c r="L29" s="215"/>
      <c r="M29" s="153" t="str">
        <f t="shared" si="25"/>
        <v/>
      </c>
      <c r="N29" s="215"/>
      <c r="O29" s="153" t="str">
        <f t="shared" si="26"/>
        <v/>
      </c>
      <c r="P29" s="155" t="str">
        <f t="shared" ref="P29:P53" si="29">IF(AND(M29="",O29=""),"",IF(M29="",O29,IF(O29="",-M29,O29-M29)))</f>
        <v/>
      </c>
      <c r="Q29" s="148" t="str">
        <f t="shared" si="4"/>
        <v/>
      </c>
      <c r="R29" s="219"/>
    </row>
    <row r="30" spans="1:18" ht="19.95" customHeight="1">
      <c r="A30" s="213" t="s">
        <v>127</v>
      </c>
      <c r="B30" s="214">
        <f t="shared" si="5"/>
        <v>24</v>
      </c>
      <c r="C30" s="215"/>
      <c r="D30" s="153" t="str">
        <f t="shared" si="21"/>
        <v/>
      </c>
      <c r="E30" s="215"/>
      <c r="F30" s="153" t="str">
        <f t="shared" si="22"/>
        <v/>
      </c>
      <c r="G30" s="155" t="str">
        <f t="shared" si="23"/>
        <v/>
      </c>
      <c r="H30" s="148" t="str">
        <f t="shared" si="24"/>
        <v/>
      </c>
      <c r="I30" s="216"/>
      <c r="J30" s="217" t="s">
        <v>128</v>
      </c>
      <c r="K30" s="218">
        <f t="shared" si="7"/>
        <v>73</v>
      </c>
      <c r="L30" s="215"/>
      <c r="M30" s="153" t="str">
        <f t="shared" si="25"/>
        <v/>
      </c>
      <c r="N30" s="215"/>
      <c r="O30" s="153" t="str">
        <f t="shared" si="26"/>
        <v/>
      </c>
      <c r="P30" s="155" t="str">
        <f t="shared" si="29"/>
        <v/>
      </c>
      <c r="Q30" s="148" t="str">
        <f t="shared" si="4"/>
        <v/>
      </c>
      <c r="R30" s="219"/>
    </row>
    <row r="31" spans="1:18" ht="19.95" customHeight="1">
      <c r="A31" s="213" t="s">
        <v>129</v>
      </c>
      <c r="B31" s="214">
        <f t="shared" si="5"/>
        <v>25</v>
      </c>
      <c r="C31" s="215"/>
      <c r="D31" s="153" t="str">
        <f t="shared" si="21"/>
        <v/>
      </c>
      <c r="E31" s="215"/>
      <c r="F31" s="153" t="str">
        <f t="shared" si="22"/>
        <v/>
      </c>
      <c r="G31" s="155" t="str">
        <f t="shared" si="23"/>
        <v/>
      </c>
      <c r="H31" s="148" t="str">
        <f t="shared" si="24"/>
        <v/>
      </c>
      <c r="I31" s="216"/>
      <c r="J31" s="217" t="s">
        <v>381</v>
      </c>
      <c r="K31" s="218">
        <f t="shared" si="7"/>
        <v>74</v>
      </c>
      <c r="L31" s="215"/>
      <c r="M31" s="153" t="str">
        <f t="shared" si="25"/>
        <v/>
      </c>
      <c r="N31" s="215"/>
      <c r="O31" s="153" t="str">
        <f t="shared" si="26"/>
        <v/>
      </c>
      <c r="P31" s="155" t="str">
        <f t="shared" ref="P31" si="30">IF(AND(M31="",O31=""),"",IF(M31="",O31,IF(O31="",-M31,O31-M31)))</f>
        <v/>
      </c>
      <c r="Q31" s="148" t="str">
        <f t="shared" ref="Q31" si="31">IF(P31="","",IF(ABS(P31)&gt;=30%,"显著",IF(ABS(P31)&gt;=10%,"关注","")))</f>
        <v/>
      </c>
      <c r="R31" s="219"/>
    </row>
    <row r="32" spans="1:18" ht="19.95" customHeight="1">
      <c r="A32" s="213" t="s">
        <v>131</v>
      </c>
      <c r="B32" s="214">
        <f t="shared" si="5"/>
        <v>26</v>
      </c>
      <c r="C32" s="215"/>
      <c r="D32" s="153" t="str">
        <f t="shared" si="21"/>
        <v/>
      </c>
      <c r="E32" s="215"/>
      <c r="F32" s="153" t="str">
        <f t="shared" si="22"/>
        <v/>
      </c>
      <c r="G32" s="155" t="str">
        <f t="shared" si="23"/>
        <v/>
      </c>
      <c r="H32" s="148" t="str">
        <f t="shared" si="24"/>
        <v/>
      </c>
      <c r="I32" s="216"/>
      <c r="J32" s="217" t="s">
        <v>132</v>
      </c>
      <c r="K32" s="218">
        <f t="shared" si="7"/>
        <v>75</v>
      </c>
      <c r="L32" s="215"/>
      <c r="M32" s="153" t="str">
        <f t="shared" si="25"/>
        <v/>
      </c>
      <c r="N32" s="215"/>
      <c r="O32" s="153" t="str">
        <f t="shared" si="26"/>
        <v/>
      </c>
      <c r="P32" s="155" t="str">
        <f t="shared" si="29"/>
        <v/>
      </c>
      <c r="Q32" s="148" t="str">
        <f t="shared" si="4"/>
        <v/>
      </c>
      <c r="R32" s="219"/>
    </row>
    <row r="33" spans="1:18" ht="19.95" customHeight="1">
      <c r="A33" s="213" t="s">
        <v>133</v>
      </c>
      <c r="B33" s="214">
        <f t="shared" si="5"/>
        <v>27</v>
      </c>
      <c r="C33" s="215"/>
      <c r="D33" s="153" t="str">
        <f t="shared" si="21"/>
        <v/>
      </c>
      <c r="E33" s="215"/>
      <c r="F33" s="153" t="str">
        <f t="shared" si="22"/>
        <v/>
      </c>
      <c r="G33" s="155" t="str">
        <f t="shared" si="23"/>
        <v/>
      </c>
      <c r="H33" s="148" t="str">
        <f t="shared" si="24"/>
        <v/>
      </c>
      <c r="I33" s="216"/>
      <c r="J33" s="217" t="s">
        <v>134</v>
      </c>
      <c r="K33" s="218">
        <f t="shared" si="7"/>
        <v>76</v>
      </c>
      <c r="L33" s="215"/>
      <c r="M33" s="153" t="str">
        <f t="shared" si="25"/>
        <v/>
      </c>
      <c r="N33" s="215"/>
      <c r="O33" s="153" t="str">
        <f t="shared" si="26"/>
        <v/>
      </c>
      <c r="P33" s="155" t="str">
        <f t="shared" si="29"/>
        <v/>
      </c>
      <c r="Q33" s="148" t="str">
        <f t="shared" si="4"/>
        <v/>
      </c>
      <c r="R33" s="219"/>
    </row>
    <row r="34" spans="1:18" ht="19.95" customHeight="1">
      <c r="A34" s="213" t="s">
        <v>135</v>
      </c>
      <c r="B34" s="214">
        <f t="shared" si="5"/>
        <v>28</v>
      </c>
      <c r="C34" s="215"/>
      <c r="D34" s="153" t="str">
        <f t="shared" si="21"/>
        <v/>
      </c>
      <c r="E34" s="215"/>
      <c r="F34" s="153" t="str">
        <f t="shared" si="22"/>
        <v/>
      </c>
      <c r="G34" s="155" t="str">
        <f t="shared" si="23"/>
        <v/>
      </c>
      <c r="H34" s="148" t="str">
        <f t="shared" si="24"/>
        <v/>
      </c>
      <c r="I34" s="216"/>
      <c r="J34" s="217" t="s">
        <v>136</v>
      </c>
      <c r="K34" s="218">
        <f t="shared" si="7"/>
        <v>77</v>
      </c>
      <c r="L34" s="215"/>
      <c r="M34" s="153" t="str">
        <f t="shared" si="25"/>
        <v/>
      </c>
      <c r="N34" s="215"/>
      <c r="O34" s="153" t="str">
        <f t="shared" si="26"/>
        <v/>
      </c>
      <c r="P34" s="155" t="str">
        <f t="shared" si="29"/>
        <v/>
      </c>
      <c r="Q34" s="148" t="str">
        <f t="shared" si="4"/>
        <v/>
      </c>
      <c r="R34" s="219"/>
    </row>
    <row r="35" spans="1:18" ht="19.95" customHeight="1">
      <c r="A35" s="213" t="s">
        <v>137</v>
      </c>
      <c r="B35" s="214">
        <f t="shared" si="5"/>
        <v>29</v>
      </c>
      <c r="C35" s="215"/>
      <c r="D35" s="153" t="str">
        <f t="shared" si="21"/>
        <v/>
      </c>
      <c r="E35" s="215"/>
      <c r="F35" s="153" t="str">
        <f t="shared" si="22"/>
        <v/>
      </c>
      <c r="G35" s="155" t="str">
        <f t="shared" si="23"/>
        <v/>
      </c>
      <c r="H35" s="148" t="str">
        <f t="shared" si="24"/>
        <v/>
      </c>
      <c r="I35" s="216"/>
      <c r="J35" s="217" t="s">
        <v>138</v>
      </c>
      <c r="K35" s="218">
        <f t="shared" si="7"/>
        <v>78</v>
      </c>
      <c r="L35" s="215"/>
      <c r="M35" s="153" t="str">
        <f t="shared" si="25"/>
        <v/>
      </c>
      <c r="N35" s="215"/>
      <c r="O35" s="153" t="str">
        <f t="shared" si="26"/>
        <v/>
      </c>
      <c r="P35" s="155" t="str">
        <f t="shared" si="29"/>
        <v/>
      </c>
      <c r="Q35" s="148" t="str">
        <f t="shared" si="4"/>
        <v/>
      </c>
      <c r="R35" s="219"/>
    </row>
    <row r="36" spans="1:18" ht="19.95" customHeight="1">
      <c r="A36" s="213" t="s">
        <v>139</v>
      </c>
      <c r="B36" s="214">
        <f t="shared" si="5"/>
        <v>30</v>
      </c>
      <c r="C36" s="215"/>
      <c r="D36" s="153" t="str">
        <f t="shared" si="21"/>
        <v/>
      </c>
      <c r="E36" s="215"/>
      <c r="F36" s="153" t="str">
        <f t="shared" si="22"/>
        <v/>
      </c>
      <c r="G36" s="155" t="str">
        <f t="shared" si="23"/>
        <v/>
      </c>
      <c r="H36" s="148" t="str">
        <f t="shared" si="24"/>
        <v/>
      </c>
      <c r="I36" s="216"/>
      <c r="J36" s="217" t="s">
        <v>140</v>
      </c>
      <c r="K36" s="218">
        <f t="shared" si="7"/>
        <v>79</v>
      </c>
      <c r="L36" s="215"/>
      <c r="M36" s="153" t="str">
        <f t="shared" si="25"/>
        <v/>
      </c>
      <c r="N36" s="215"/>
      <c r="O36" s="153" t="str">
        <f t="shared" si="26"/>
        <v/>
      </c>
      <c r="P36" s="155"/>
      <c r="Q36" s="148"/>
      <c r="R36" s="219"/>
    </row>
    <row r="37" spans="1:18" ht="19.95" customHeight="1">
      <c r="A37" s="213" t="s">
        <v>141</v>
      </c>
      <c r="B37" s="214">
        <f t="shared" si="5"/>
        <v>31</v>
      </c>
      <c r="C37" s="215"/>
      <c r="D37" s="153" t="str">
        <f t="shared" si="21"/>
        <v/>
      </c>
      <c r="E37" s="215"/>
      <c r="F37" s="153" t="str">
        <f t="shared" si="22"/>
        <v/>
      </c>
      <c r="G37" s="155" t="str">
        <f t="shared" si="23"/>
        <v/>
      </c>
      <c r="H37" s="148" t="str">
        <f t="shared" si="24"/>
        <v/>
      </c>
      <c r="I37" s="216"/>
      <c r="J37" s="217" t="s">
        <v>142</v>
      </c>
      <c r="K37" s="218">
        <f t="shared" si="7"/>
        <v>80</v>
      </c>
      <c r="L37" s="215"/>
      <c r="M37" s="153" t="str">
        <f t="shared" si="25"/>
        <v/>
      </c>
      <c r="N37" s="215"/>
      <c r="O37" s="153" t="str">
        <f t="shared" si="26"/>
        <v/>
      </c>
      <c r="P37" s="155" t="str">
        <f t="shared" si="29"/>
        <v/>
      </c>
      <c r="Q37" s="148" t="str">
        <f t="shared" si="4"/>
        <v/>
      </c>
      <c r="R37" s="219"/>
    </row>
    <row r="38" spans="1:18" ht="19.95" customHeight="1">
      <c r="A38" s="213" t="s">
        <v>143</v>
      </c>
      <c r="B38" s="214">
        <f t="shared" si="5"/>
        <v>32</v>
      </c>
      <c r="C38" s="215"/>
      <c r="D38" s="153" t="str">
        <f t="shared" si="21"/>
        <v/>
      </c>
      <c r="E38" s="215"/>
      <c r="F38" s="153" t="str">
        <f t="shared" si="22"/>
        <v/>
      </c>
      <c r="G38" s="155" t="str">
        <f t="shared" si="23"/>
        <v/>
      </c>
      <c r="H38" s="148" t="str">
        <f t="shared" si="24"/>
        <v/>
      </c>
      <c r="I38" s="226"/>
      <c r="J38" s="217" t="s">
        <v>144</v>
      </c>
      <c r="K38" s="218">
        <f t="shared" si="7"/>
        <v>81</v>
      </c>
      <c r="L38" s="215"/>
      <c r="M38" s="153" t="str">
        <f t="shared" si="25"/>
        <v/>
      </c>
      <c r="N38" s="215"/>
      <c r="O38" s="153" t="str">
        <f t="shared" si="26"/>
        <v/>
      </c>
      <c r="P38" s="155" t="str">
        <f t="shared" si="29"/>
        <v/>
      </c>
      <c r="Q38" s="148" t="str">
        <f t="shared" si="4"/>
        <v/>
      </c>
      <c r="R38" s="219"/>
    </row>
    <row r="39" spans="1:18" ht="19.95" customHeight="1">
      <c r="A39" s="213" t="s">
        <v>145</v>
      </c>
      <c r="B39" s="214">
        <f t="shared" si="5"/>
        <v>33</v>
      </c>
      <c r="C39" s="215"/>
      <c r="D39" s="153" t="str">
        <f t="shared" si="21"/>
        <v/>
      </c>
      <c r="E39" s="215"/>
      <c r="F39" s="153" t="str">
        <f t="shared" si="22"/>
        <v/>
      </c>
      <c r="G39" s="155" t="str">
        <f t="shared" si="23"/>
        <v/>
      </c>
      <c r="H39" s="148" t="str">
        <f t="shared" si="24"/>
        <v/>
      </c>
      <c r="I39" s="216"/>
      <c r="J39" s="222" t="s">
        <v>146</v>
      </c>
      <c r="K39" s="218">
        <f t="shared" si="7"/>
        <v>82</v>
      </c>
      <c r="L39" s="221">
        <f>SUM(L28:L38)-L30-L31</f>
        <v>0</v>
      </c>
      <c r="M39" s="153" t="str">
        <f>IF(AND(L39&lt;&gt;0,$L$55&lt;&gt;0),L39/$L$55,"")</f>
        <v/>
      </c>
      <c r="N39" s="221">
        <f>SUM(N29:N38)-N30-N32</f>
        <v>0</v>
      </c>
      <c r="O39" s="153" t="str">
        <f t="shared" si="26"/>
        <v/>
      </c>
      <c r="P39" s="155" t="str">
        <f t="shared" si="29"/>
        <v/>
      </c>
      <c r="Q39" s="148" t="str">
        <f t="shared" si="4"/>
        <v/>
      </c>
      <c r="R39" s="223"/>
    </row>
    <row r="40" spans="1:18" ht="19.95" customHeight="1">
      <c r="A40" s="213" t="s">
        <v>147</v>
      </c>
      <c r="B40" s="214">
        <f t="shared" si="5"/>
        <v>34</v>
      </c>
      <c r="C40" s="215"/>
      <c r="D40" s="153" t="str">
        <f t="shared" si="21"/>
        <v/>
      </c>
      <c r="E40" s="215"/>
      <c r="F40" s="153" t="str">
        <f t="shared" si="22"/>
        <v/>
      </c>
      <c r="G40" s="155" t="str">
        <f t="shared" si="23"/>
        <v/>
      </c>
      <c r="H40" s="148" t="str">
        <f t="shared" si="24"/>
        <v/>
      </c>
      <c r="I40" s="216"/>
      <c r="J40" s="222" t="s">
        <v>148</v>
      </c>
      <c r="K40" s="218">
        <f t="shared" si="7"/>
        <v>83</v>
      </c>
      <c r="L40" s="221">
        <f>SUM(L26,L39)</f>
        <v>0</v>
      </c>
      <c r="M40" s="153" t="str">
        <f>IF(AND(L40&lt;&gt;0,$L$55&lt;&gt;0),L40/$L$55,"")</f>
        <v/>
      </c>
      <c r="N40" s="221">
        <f>SUM(N26,N39)</f>
        <v>0</v>
      </c>
      <c r="O40" s="153" t="str">
        <f t="shared" si="26"/>
        <v/>
      </c>
      <c r="P40" s="155" t="str">
        <f>IF(AND(M40="",O40=""),"",IF(M40="",O40,IF(O40="",-M40,O40-M40)))</f>
        <v/>
      </c>
      <c r="Q40" s="148" t="str">
        <f>IF(P40="","",IF(ABS(P40)&gt;=30%,"显著",IF(ABS(P40)&gt;=10%,"关注","")))</f>
        <v/>
      </c>
      <c r="R40" s="223"/>
    </row>
    <row r="41" spans="1:18" ht="19.95" customHeight="1">
      <c r="A41" s="213" t="s">
        <v>149</v>
      </c>
      <c r="B41" s="214">
        <f t="shared" si="5"/>
        <v>35</v>
      </c>
      <c r="C41" s="215"/>
      <c r="D41" s="153" t="str">
        <f t="shared" si="21"/>
        <v/>
      </c>
      <c r="E41" s="215"/>
      <c r="F41" s="153" t="str">
        <f t="shared" si="22"/>
        <v/>
      </c>
      <c r="G41" s="155" t="str">
        <f t="shared" si="23"/>
        <v/>
      </c>
      <c r="H41" s="148" t="str">
        <f t="shared" si="24"/>
        <v/>
      </c>
      <c r="I41" s="216"/>
      <c r="J41" s="225" t="s">
        <v>150</v>
      </c>
      <c r="K41" s="218">
        <f t="shared" si="7"/>
        <v>84</v>
      </c>
      <c r="L41" s="215"/>
      <c r="M41" s="153"/>
      <c r="N41" s="215"/>
      <c r="O41" s="153"/>
      <c r="P41" s="155"/>
      <c r="Q41" s="148"/>
      <c r="R41" s="219"/>
    </row>
    <row r="42" spans="1:18" ht="19.95" customHeight="1">
      <c r="A42" s="213" t="s">
        <v>151</v>
      </c>
      <c r="B42" s="214">
        <f t="shared" si="5"/>
        <v>36</v>
      </c>
      <c r="C42" s="215"/>
      <c r="D42" s="153" t="str">
        <f t="shared" si="21"/>
        <v/>
      </c>
      <c r="E42" s="215"/>
      <c r="F42" s="153" t="str">
        <f t="shared" si="22"/>
        <v/>
      </c>
      <c r="G42" s="155" t="str">
        <f t="shared" ref="G42" si="32">IF(AND(D42="",F42=""),"",IF(D42="",F42,IF(F42="",-D42,F42-D42)))</f>
        <v/>
      </c>
      <c r="H42" s="148" t="str">
        <f t="shared" si="24"/>
        <v/>
      </c>
      <c r="I42" s="216"/>
      <c r="J42" s="217" t="s">
        <v>152</v>
      </c>
      <c r="K42" s="218">
        <f t="shared" si="7"/>
        <v>85</v>
      </c>
      <c r="L42" s="215"/>
      <c r="M42" s="153" t="str">
        <f>IF(AND(L42&lt;&gt;0,$L$55&lt;&gt;0),L42/$L$55,"")</f>
        <v/>
      </c>
      <c r="N42" s="215"/>
      <c r="O42" s="153" t="str">
        <f t="shared" ref="O42:O55" si="33">IF(AND(N42&lt;&gt;0,$N$55&lt;&gt;0),N42/$N$55,"")</f>
        <v/>
      </c>
      <c r="P42" s="155" t="str">
        <f>IF(AND(M42="",O42=""),"",IF(M42="",O42,IF(O42="",-M42,O42-M42)))</f>
        <v/>
      </c>
      <c r="Q42" s="148" t="str">
        <f t="shared" ref="Q42" si="34">IF(P42="","",IF(ABS(P42)&gt;=30%,"显著",IF(ABS(P42)&gt;=10%,"关注","")))</f>
        <v/>
      </c>
      <c r="R42" s="219"/>
    </row>
    <row r="43" spans="1:18" ht="19.95" customHeight="1">
      <c r="A43" s="213" t="s">
        <v>153</v>
      </c>
      <c r="B43" s="214">
        <f t="shared" si="5"/>
        <v>37</v>
      </c>
      <c r="C43" s="215"/>
      <c r="D43" s="153" t="str">
        <f t="shared" si="21"/>
        <v/>
      </c>
      <c r="E43" s="215"/>
      <c r="F43" s="153" t="str">
        <f t="shared" si="22"/>
        <v/>
      </c>
      <c r="G43" s="155" t="str">
        <f t="shared" si="23"/>
        <v/>
      </c>
      <c r="H43" s="148" t="str">
        <f t="shared" si="24"/>
        <v/>
      </c>
      <c r="I43" s="216"/>
      <c r="J43" s="217" t="s">
        <v>154</v>
      </c>
      <c r="K43" s="218">
        <f t="shared" si="7"/>
        <v>86</v>
      </c>
      <c r="L43" s="215"/>
      <c r="M43" s="153" t="str">
        <f>IF(AND(L43&lt;&gt;0,$L$55&lt;&gt;0),L43/$L$55,"")</f>
        <v/>
      </c>
      <c r="N43" s="215"/>
      <c r="O43" s="153" t="str">
        <f t="shared" si="33"/>
        <v/>
      </c>
      <c r="P43" s="155" t="str">
        <f t="shared" si="29"/>
        <v/>
      </c>
      <c r="Q43" s="148" t="str">
        <f t="shared" si="4"/>
        <v/>
      </c>
      <c r="R43" s="219"/>
    </row>
    <row r="44" spans="1:18" ht="19.95" customHeight="1">
      <c r="A44" s="213" t="s">
        <v>155</v>
      </c>
      <c r="B44" s="214">
        <f t="shared" si="5"/>
        <v>38</v>
      </c>
      <c r="C44" s="215"/>
      <c r="D44" s="153" t="str">
        <f t="shared" si="21"/>
        <v/>
      </c>
      <c r="E44" s="215"/>
      <c r="F44" s="153" t="str">
        <f t="shared" si="22"/>
        <v/>
      </c>
      <c r="G44" s="155" t="str">
        <f t="shared" si="23"/>
        <v/>
      </c>
      <c r="H44" s="148" t="str">
        <f t="shared" si="24"/>
        <v/>
      </c>
      <c r="I44" s="226"/>
      <c r="J44" s="217" t="s">
        <v>128</v>
      </c>
      <c r="K44" s="218">
        <f t="shared" si="7"/>
        <v>87</v>
      </c>
      <c r="L44" s="215"/>
      <c r="M44" s="153" t="str">
        <f>IF(AND(L44&lt;&gt;0,$L$55&lt;&gt;0),L44/$L$55,"")</f>
        <v/>
      </c>
      <c r="N44" s="215"/>
      <c r="O44" s="153" t="str">
        <f t="shared" si="33"/>
        <v/>
      </c>
      <c r="P44" s="155" t="str">
        <f t="shared" si="29"/>
        <v/>
      </c>
      <c r="Q44" s="148" t="str">
        <f>IF(P44="","",IF(ABS(P44)&gt;=30%,"显著",IF(ABS(P44)&gt;=10%,"关注","")))</f>
        <v/>
      </c>
      <c r="R44" s="219"/>
    </row>
    <row r="45" spans="1:18" ht="19.95" customHeight="1">
      <c r="A45" s="213" t="s">
        <v>156</v>
      </c>
      <c r="B45" s="214">
        <f t="shared" si="5"/>
        <v>39</v>
      </c>
      <c r="C45" s="215"/>
      <c r="D45" s="153" t="str">
        <f t="shared" si="21"/>
        <v/>
      </c>
      <c r="E45" s="215"/>
      <c r="F45" s="153" t="str">
        <f t="shared" si="22"/>
        <v/>
      </c>
      <c r="G45" s="155" t="str">
        <f t="shared" si="23"/>
        <v/>
      </c>
      <c r="H45" s="148" t="str">
        <f t="shared" si="24"/>
        <v/>
      </c>
      <c r="I45" s="226"/>
      <c r="J45" s="217" t="s">
        <v>130</v>
      </c>
      <c r="K45" s="218">
        <f t="shared" si="7"/>
        <v>88</v>
      </c>
      <c r="L45" s="215"/>
      <c r="M45" s="153" t="str">
        <f t="shared" ref="M45:M53" si="35">IF(AND(L45&lt;&gt;0,$L$55&lt;&gt;0),L45/$L$55,"")</f>
        <v/>
      </c>
      <c r="N45" s="215"/>
      <c r="O45" s="153" t="str">
        <f t="shared" si="33"/>
        <v/>
      </c>
      <c r="P45" s="155" t="str">
        <f t="shared" si="29"/>
        <v/>
      </c>
      <c r="Q45" s="148" t="str">
        <f t="shared" si="4"/>
        <v/>
      </c>
      <c r="R45" s="219"/>
    </row>
    <row r="46" spans="1:18" ht="19.95" customHeight="1">
      <c r="A46" s="213" t="s">
        <v>157</v>
      </c>
      <c r="B46" s="214">
        <f t="shared" si="5"/>
        <v>40</v>
      </c>
      <c r="C46" s="215"/>
      <c r="D46" s="153" t="str">
        <f t="shared" si="21"/>
        <v/>
      </c>
      <c r="E46" s="215"/>
      <c r="F46" s="153" t="str">
        <f t="shared" si="22"/>
        <v/>
      </c>
      <c r="G46" s="155" t="str">
        <f t="shared" si="23"/>
        <v/>
      </c>
      <c r="H46" s="148" t="str">
        <f t="shared" si="24"/>
        <v/>
      </c>
      <c r="I46" s="226"/>
      <c r="J46" s="217" t="s">
        <v>158</v>
      </c>
      <c r="K46" s="218">
        <f t="shared" si="7"/>
        <v>89</v>
      </c>
      <c r="L46" s="215"/>
      <c r="M46" s="153" t="str">
        <f t="shared" si="35"/>
        <v/>
      </c>
      <c r="N46" s="215"/>
      <c r="O46" s="153" t="str">
        <f t="shared" si="33"/>
        <v/>
      </c>
      <c r="P46" s="155" t="str">
        <f t="shared" si="29"/>
        <v/>
      </c>
      <c r="Q46" s="148" t="str">
        <f t="shared" si="4"/>
        <v/>
      </c>
      <c r="R46" s="219"/>
    </row>
    <row r="47" spans="1:18" ht="19.95" customHeight="1">
      <c r="A47" s="213" t="s">
        <v>159</v>
      </c>
      <c r="B47" s="214">
        <f t="shared" si="5"/>
        <v>41</v>
      </c>
      <c r="C47" s="215"/>
      <c r="D47" s="153" t="str">
        <f t="shared" si="21"/>
        <v/>
      </c>
      <c r="E47" s="215"/>
      <c r="F47" s="153" t="str">
        <f t="shared" si="22"/>
        <v/>
      </c>
      <c r="G47" s="155" t="str">
        <f t="shared" si="23"/>
        <v/>
      </c>
      <c r="H47" s="148" t="str">
        <f t="shared" si="24"/>
        <v/>
      </c>
      <c r="I47" s="226"/>
      <c r="J47" s="217" t="s">
        <v>160</v>
      </c>
      <c r="K47" s="218">
        <f t="shared" si="7"/>
        <v>90</v>
      </c>
      <c r="L47" s="215"/>
      <c r="M47" s="153" t="str">
        <f t="shared" si="35"/>
        <v/>
      </c>
      <c r="N47" s="215"/>
      <c r="O47" s="153" t="str">
        <f t="shared" si="33"/>
        <v/>
      </c>
      <c r="P47" s="155" t="str">
        <f t="shared" si="29"/>
        <v/>
      </c>
      <c r="Q47" s="148" t="str">
        <f t="shared" si="4"/>
        <v/>
      </c>
      <c r="R47" s="219"/>
    </row>
    <row r="48" spans="1:18" ht="19.95" customHeight="1">
      <c r="A48" s="213" t="s">
        <v>161</v>
      </c>
      <c r="B48" s="214">
        <f t="shared" si="5"/>
        <v>42</v>
      </c>
      <c r="C48" s="215"/>
      <c r="D48" s="153" t="str">
        <f t="shared" si="21"/>
        <v/>
      </c>
      <c r="E48" s="215"/>
      <c r="F48" s="153" t="str">
        <f t="shared" si="22"/>
        <v/>
      </c>
      <c r="G48" s="155" t="str">
        <f t="shared" si="23"/>
        <v/>
      </c>
      <c r="H48" s="148" t="str">
        <f t="shared" si="24"/>
        <v/>
      </c>
      <c r="I48" s="226"/>
      <c r="J48" s="217" t="s">
        <v>162</v>
      </c>
      <c r="K48" s="218">
        <f t="shared" si="7"/>
        <v>91</v>
      </c>
      <c r="L48" s="215"/>
      <c r="M48" s="153" t="str">
        <f t="shared" si="35"/>
        <v/>
      </c>
      <c r="N48" s="215"/>
      <c r="O48" s="153" t="str">
        <f t="shared" si="33"/>
        <v/>
      </c>
      <c r="P48" s="155" t="str">
        <f t="shared" si="29"/>
        <v/>
      </c>
      <c r="Q48" s="148" t="str">
        <f t="shared" si="4"/>
        <v/>
      </c>
      <c r="R48" s="219"/>
    </row>
    <row r="49" spans="1:18" ht="19.95" customHeight="1">
      <c r="B49" s="214">
        <f t="shared" si="5"/>
        <v>43</v>
      </c>
      <c r="C49" s="215"/>
      <c r="D49" s="153" t="str">
        <f t="shared" si="21"/>
        <v/>
      </c>
      <c r="E49" s="215"/>
      <c r="F49" s="153" t="str">
        <f t="shared" si="22"/>
        <v/>
      </c>
      <c r="G49" s="155" t="str">
        <f t="shared" si="23"/>
        <v/>
      </c>
      <c r="H49" s="148" t="str">
        <f t="shared" si="24"/>
        <v/>
      </c>
      <c r="I49" s="216"/>
      <c r="J49" s="13" t="s">
        <v>163</v>
      </c>
      <c r="K49" s="218">
        <f t="shared" si="7"/>
        <v>92</v>
      </c>
      <c r="L49" s="215"/>
      <c r="M49" s="153" t="str">
        <f>IF(AND(L49&lt;&gt;0,$L$55&lt;&gt;0),L49/$L$55,"")</f>
        <v/>
      </c>
      <c r="N49" s="215"/>
      <c r="O49" s="153" t="str">
        <f t="shared" si="33"/>
        <v/>
      </c>
      <c r="P49" s="155" t="str">
        <f t="shared" si="29"/>
        <v/>
      </c>
      <c r="Q49" s="148" t="str">
        <f t="shared" si="4"/>
        <v/>
      </c>
      <c r="R49" s="219"/>
    </row>
    <row r="50" spans="1:18" ht="19.95" customHeight="1">
      <c r="A50" s="213"/>
      <c r="B50" s="214">
        <f t="shared" si="5"/>
        <v>44</v>
      </c>
      <c r="C50" s="215"/>
      <c r="D50" s="153" t="str">
        <f t="shared" si="21"/>
        <v/>
      </c>
      <c r="E50" s="215"/>
      <c r="F50" s="153" t="str">
        <f t="shared" si="22"/>
        <v/>
      </c>
      <c r="G50" s="155" t="str">
        <f t="shared" si="23"/>
        <v/>
      </c>
      <c r="H50" s="148" t="str">
        <f t="shared" si="24"/>
        <v/>
      </c>
      <c r="I50" s="216"/>
      <c r="J50" s="217" t="s">
        <v>164</v>
      </c>
      <c r="K50" s="218">
        <f t="shared" si="7"/>
        <v>93</v>
      </c>
      <c r="L50" s="215"/>
      <c r="M50" s="153" t="str">
        <f>IF(AND(L50&lt;&gt;0,$L$55&lt;&gt;0),L50/$L$55,"")</f>
        <v/>
      </c>
      <c r="N50" s="215"/>
      <c r="O50" s="153" t="str">
        <f t="shared" si="33"/>
        <v/>
      </c>
      <c r="P50" s="155" t="str">
        <f t="shared" si="29"/>
        <v/>
      </c>
      <c r="Q50" s="148" t="str">
        <f t="shared" si="4"/>
        <v/>
      </c>
      <c r="R50" s="219"/>
    </row>
    <row r="51" spans="1:18" ht="19.95" customHeight="1">
      <c r="A51" s="213"/>
      <c r="B51" s="214">
        <f t="shared" si="5"/>
        <v>45</v>
      </c>
      <c r="C51" s="215"/>
      <c r="D51" s="153" t="str">
        <f t="shared" si="21"/>
        <v/>
      </c>
      <c r="E51" s="215"/>
      <c r="F51" s="153" t="str">
        <f t="shared" si="22"/>
        <v/>
      </c>
      <c r="G51" s="155" t="str">
        <f t="shared" si="23"/>
        <v/>
      </c>
      <c r="H51" s="148" t="str">
        <f t="shared" si="24"/>
        <v/>
      </c>
      <c r="I51" s="216"/>
      <c r="J51" s="217" t="s">
        <v>165</v>
      </c>
      <c r="K51" s="218">
        <f t="shared" si="7"/>
        <v>94</v>
      </c>
      <c r="L51" s="215"/>
      <c r="M51" s="153" t="str">
        <f>IF(AND(L51&lt;&gt;0,$L$55&lt;&gt;0),L51/$L$55,"")</f>
        <v/>
      </c>
      <c r="N51" s="215"/>
      <c r="O51" s="153" t="str">
        <f t="shared" si="33"/>
        <v/>
      </c>
      <c r="P51" s="155" t="str">
        <f t="shared" si="29"/>
        <v/>
      </c>
      <c r="Q51" s="148" t="str">
        <f t="shared" si="4"/>
        <v/>
      </c>
      <c r="R51" s="219"/>
    </row>
    <row r="52" spans="1:18" ht="19.95" customHeight="1">
      <c r="A52" s="213"/>
      <c r="B52" s="214">
        <f t="shared" si="5"/>
        <v>46</v>
      </c>
      <c r="C52" s="215"/>
      <c r="D52" s="153" t="str">
        <f t="shared" si="21"/>
        <v/>
      </c>
      <c r="E52" s="215"/>
      <c r="F52" s="153" t="str">
        <f t="shared" si="22"/>
        <v/>
      </c>
      <c r="G52" s="155" t="str">
        <f t="shared" si="23"/>
        <v/>
      </c>
      <c r="H52" s="148" t="str">
        <f t="shared" si="24"/>
        <v/>
      </c>
      <c r="I52" s="226"/>
      <c r="J52" s="217" t="s">
        <v>166</v>
      </c>
      <c r="K52" s="218">
        <f t="shared" si="7"/>
        <v>95</v>
      </c>
      <c r="L52" s="215">
        <f>L42+L43+L46-L47+L48+L49+L50+L51</f>
        <v>0</v>
      </c>
      <c r="M52" s="153" t="str">
        <f t="shared" si="35"/>
        <v/>
      </c>
      <c r="N52" s="215">
        <f>N42+N43+N46-N47+N48+N49+N50+N51</f>
        <v>0</v>
      </c>
      <c r="O52" s="153" t="str">
        <f t="shared" si="33"/>
        <v/>
      </c>
      <c r="P52" s="155" t="str">
        <f t="shared" si="29"/>
        <v/>
      </c>
      <c r="Q52" s="148" t="str">
        <f t="shared" si="4"/>
        <v/>
      </c>
      <c r="R52" s="219"/>
    </row>
    <row r="53" spans="1:18" ht="19.95" customHeight="1">
      <c r="A53" s="213"/>
      <c r="B53" s="214">
        <f t="shared" si="5"/>
        <v>47</v>
      </c>
      <c r="C53" s="215"/>
      <c r="D53" s="153" t="str">
        <f t="shared" si="21"/>
        <v/>
      </c>
      <c r="E53" s="215"/>
      <c r="F53" s="153" t="str">
        <f t="shared" si="22"/>
        <v/>
      </c>
      <c r="G53" s="155" t="str">
        <f t="shared" si="23"/>
        <v/>
      </c>
      <c r="H53" s="148" t="str">
        <f t="shared" si="24"/>
        <v/>
      </c>
      <c r="I53" s="216"/>
      <c r="J53" s="217" t="s">
        <v>167</v>
      </c>
      <c r="K53" s="218">
        <f t="shared" si="7"/>
        <v>96</v>
      </c>
      <c r="L53" s="215"/>
      <c r="M53" s="153" t="str">
        <f t="shared" si="35"/>
        <v/>
      </c>
      <c r="N53" s="215"/>
      <c r="O53" s="153" t="str">
        <f t="shared" si="33"/>
        <v/>
      </c>
      <c r="P53" s="155" t="str">
        <f t="shared" si="29"/>
        <v/>
      </c>
      <c r="Q53" s="148" t="str">
        <f t="shared" si="4"/>
        <v/>
      </c>
      <c r="R53" s="219"/>
    </row>
    <row r="54" spans="1:18" ht="19.95" customHeight="1">
      <c r="A54" s="220" t="s">
        <v>168</v>
      </c>
      <c r="B54" s="214">
        <f t="shared" si="5"/>
        <v>48</v>
      </c>
      <c r="C54" s="227">
        <f>SUM(C28:C53)</f>
        <v>0</v>
      </c>
      <c r="D54" s="162" t="str">
        <f t="shared" si="21"/>
        <v/>
      </c>
      <c r="E54" s="227">
        <f>SUM(E28:E53)</f>
        <v>0</v>
      </c>
      <c r="F54" s="162" t="str">
        <f t="shared" si="22"/>
        <v/>
      </c>
      <c r="G54" s="155" t="str">
        <f t="shared" si="23"/>
        <v/>
      </c>
      <c r="H54" s="165" t="str">
        <f t="shared" si="24"/>
        <v/>
      </c>
      <c r="I54" s="216"/>
      <c r="J54" s="228" t="s">
        <v>169</v>
      </c>
      <c r="K54" s="218">
        <f t="shared" si="7"/>
        <v>97</v>
      </c>
      <c r="L54" s="229">
        <f>SUM(L52:L53)</f>
        <v>0</v>
      </c>
      <c r="M54" s="162" t="str">
        <f>IF(AND(L54&lt;&gt;0,$L$55&lt;&gt;0),L54/$L$55,"")</f>
        <v/>
      </c>
      <c r="N54" s="229">
        <f>SUM(N52:N53)</f>
        <v>0</v>
      </c>
      <c r="O54" s="163" t="str">
        <f t="shared" si="33"/>
        <v/>
      </c>
      <c r="P54" s="164" t="str">
        <f t="shared" ref="P54:P55" si="36">IF(AND(M54="",O54=""),"",IF(M54="",O54,IF(O54="",-M54,O54-M54)))</f>
        <v/>
      </c>
      <c r="Q54" s="165" t="str">
        <f>IF(P54="","",IF(ABS(P54)&gt;=30%,"显著",IF(ABS(P54)&gt;=10%,"关注","")))</f>
        <v/>
      </c>
      <c r="R54" s="230"/>
    </row>
    <row r="55" spans="1:18" ht="19.95" customHeight="1" thickBot="1">
      <c r="A55" s="231" t="s">
        <v>382</v>
      </c>
      <c r="B55" s="232">
        <f>B54+1</f>
        <v>49</v>
      </c>
      <c r="C55" s="233">
        <f>SUM(C26,C54)</f>
        <v>0</v>
      </c>
      <c r="D55" s="234" t="str">
        <f t="shared" si="21"/>
        <v/>
      </c>
      <c r="E55" s="233">
        <f>SUM(E26,E54)</f>
        <v>0</v>
      </c>
      <c r="F55" s="234" t="str">
        <f t="shared" si="22"/>
        <v/>
      </c>
      <c r="G55" s="235" t="str">
        <f t="shared" si="23"/>
        <v/>
      </c>
      <c r="H55" s="236" t="str">
        <f t="shared" si="24"/>
        <v/>
      </c>
      <c r="I55" s="237"/>
      <c r="J55" s="238" t="s">
        <v>170</v>
      </c>
      <c r="K55" s="239">
        <f>K54+1</f>
        <v>98</v>
      </c>
      <c r="L55" s="233">
        <f>SUM(L40,L54)</f>
        <v>0</v>
      </c>
      <c r="M55" s="240" t="str">
        <f>IF(AND(L55&lt;&gt;0,$L$55&lt;&gt;0),L55/$L$55,"")</f>
        <v/>
      </c>
      <c r="N55" s="233">
        <f>SUM(N40,N54)</f>
        <v>0</v>
      </c>
      <c r="O55" s="241" t="str">
        <f t="shared" si="33"/>
        <v/>
      </c>
      <c r="P55" s="235" t="str">
        <f t="shared" si="36"/>
        <v/>
      </c>
      <c r="Q55" s="202" t="str">
        <f>IF(P55="","",IF(ABS(P55)&gt;=30%,"显著",IF(ABS(P55)&gt;=10%,"关注","")))</f>
        <v/>
      </c>
      <c r="R55" s="242"/>
    </row>
  </sheetData>
  <sheetProtection formatCells="0" insertRows="0" autoFilter="0" pivotTables="0"/>
  <mergeCells count="16">
    <mergeCell ref="R4:R6"/>
    <mergeCell ref="A1:I1"/>
    <mergeCell ref="J1:R1"/>
    <mergeCell ref="A4:A6"/>
    <mergeCell ref="B4:B6"/>
    <mergeCell ref="C4:D4"/>
    <mergeCell ref="E4:F4"/>
    <mergeCell ref="G4:G5"/>
    <mergeCell ref="H4:H6"/>
    <mergeCell ref="I4:I6"/>
    <mergeCell ref="J4:J6"/>
    <mergeCell ref="K4:K6"/>
    <mergeCell ref="L4:M4"/>
    <mergeCell ref="N4:O4"/>
    <mergeCell ref="P4:P5"/>
    <mergeCell ref="Q4:Q6"/>
  </mergeCells>
  <phoneticPr fontId="3" type="noConversion"/>
  <conditionalFormatting sqref="C7:G7 I7:O7 K7:K54">
    <cfRule type="cellIs" dxfId="10" priority="39" stopIfTrue="1" operator="equal">
      <formula>"            对不起，请到参数表中确定报表类型！"</formula>
    </cfRule>
    <cfRule type="cellIs" dxfId="9" priority="40" stopIfTrue="1" operator="equal">
      <formula>"对不起，试用期已到，请查看系统信息，并与作者联系。"</formula>
    </cfRule>
  </conditionalFormatting>
  <conditionalFormatting sqref="H7">
    <cfRule type="cellIs" dxfId="8" priority="38" stopIfTrue="1" operator="equal">
      <formula>"异常"</formula>
    </cfRule>
  </conditionalFormatting>
  <conditionalFormatting sqref="H8:H55">
    <cfRule type="cellIs" dxfId="7" priority="9" stopIfTrue="1" operator="equal">
      <formula>"显著"</formula>
    </cfRule>
  </conditionalFormatting>
  <conditionalFormatting sqref="Q8:Q55">
    <cfRule type="cellIs" dxfId="6" priority="3" stopIfTrue="1" operator="equal">
      <formula>"显著"</formula>
    </cfRule>
  </conditionalFormatting>
  <printOptions horizontalCentered="1"/>
  <pageMargins left="0.70866141732283472" right="0.70866141732283472" top="0.74803149606299213" bottom="0.74803149606299213" header="0.31496062992125984" footer="0.31496062992125984"/>
  <pageSetup paperSize="9" scale="67" fitToWidth="2" orientation="portrait" blackAndWhite="1" r:id="rId1"/>
  <headerFooter alignWithMargins="0">
    <oddFooter>&amp;C&amp;P /&amp;N</oddFooter>
  </headerFooter>
  <colBreaks count="1" manualBreakCount="1">
    <brk id="9" max="54" man="1"/>
  </colBreaks>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I84"/>
  <sheetViews>
    <sheetView showZeros="0" view="pageBreakPreview" zoomScaleNormal="100" zoomScaleSheetLayoutView="100" workbookViewId="0">
      <pane xSplit="2" ySplit="6" topLeftCell="C7" activePane="bottomRight" state="frozen"/>
      <selection activeCell="E58" sqref="E58"/>
      <selection pane="topRight" activeCell="E58" sqref="E58"/>
      <selection pane="bottomLeft" activeCell="E58" sqref="E58"/>
      <selection pane="bottomRight" activeCell="J3" sqref="J3"/>
    </sheetView>
  </sheetViews>
  <sheetFormatPr defaultColWidth="10.33203125" defaultRowHeight="19.95" customHeight="1"/>
  <cols>
    <col min="1" max="1" width="49.77734375" style="13" customWidth="1"/>
    <col min="2" max="2" width="4.33203125" style="13" customWidth="1"/>
    <col min="3" max="4" width="11" style="13" bestFit="1" customWidth="1"/>
    <col min="5" max="5" width="8.5546875" style="13" bestFit="1" customWidth="1"/>
    <col min="6" max="6" width="10.6640625" style="13" customWidth="1"/>
    <col min="7" max="7" width="8.6640625" style="13" customWidth="1"/>
    <col min="8" max="8" width="32.44140625" style="13" customWidth="1"/>
    <col min="9" max="16384" width="10.33203125" style="13"/>
  </cols>
  <sheetData>
    <row r="1" spans="1:9" s="243" customFormat="1" ht="27" customHeight="1">
      <c r="A1" s="256" t="s">
        <v>29</v>
      </c>
      <c r="B1" s="256"/>
      <c r="C1" s="256"/>
      <c r="D1" s="256"/>
      <c r="E1" s="256"/>
      <c r="F1" s="256"/>
      <c r="G1" s="256"/>
      <c r="H1" s="256"/>
    </row>
    <row r="2" spans="1:9" s="15" customFormat="1" ht="19.95" customHeight="1">
      <c r="A2" s="14" t="str">
        <f>'未审资产负债纵向分析B13-2-2'!A2</f>
        <v>被审计单位：ABC公司</v>
      </c>
      <c r="B2" s="16" t="str">
        <f>'未审资产负债纵向分析B13-2-2'!E2</f>
        <v>编制人：张三</v>
      </c>
      <c r="E2" s="14" t="str">
        <f>'未审资产负债纵向分析B13-2-2'!G2</f>
        <v>编制日期：2025.X.X</v>
      </c>
      <c r="H2" s="16" t="s">
        <v>364</v>
      </c>
      <c r="I2" s="14"/>
    </row>
    <row r="3" spans="1:9" s="15" customFormat="1" ht="19.95" customHeight="1" thickBot="1">
      <c r="A3" s="14" t="str">
        <f>底稿目录!A8</f>
        <v>会计期间：202X年度</v>
      </c>
      <c r="B3" s="16" t="str">
        <f>'未审资产负债纵向分析B13-2-2'!E3</f>
        <v>复核人：李四</v>
      </c>
      <c r="E3" s="16" t="str">
        <f>'未审资产负债纵向分析B13-2-2'!G3</f>
        <v>复核日期：2025.X.X</v>
      </c>
      <c r="H3" s="16" t="s">
        <v>69</v>
      </c>
      <c r="I3" s="14"/>
    </row>
    <row r="4" spans="1:9" s="142" customFormat="1" ht="19.95" customHeight="1">
      <c r="A4" s="276" t="s">
        <v>291</v>
      </c>
      <c r="B4" s="279" t="s">
        <v>292</v>
      </c>
      <c r="C4" s="248" t="s">
        <v>73</v>
      </c>
      <c r="D4" s="248" t="s">
        <v>24</v>
      </c>
      <c r="E4" s="17" t="s">
        <v>74</v>
      </c>
      <c r="F4" s="17"/>
      <c r="G4" s="250" t="s">
        <v>75</v>
      </c>
      <c r="H4" s="269" t="s">
        <v>77</v>
      </c>
    </row>
    <row r="5" spans="1:9" s="142" customFormat="1" ht="19.95" customHeight="1">
      <c r="A5" s="277"/>
      <c r="B5" s="280"/>
      <c r="C5" s="249"/>
      <c r="D5" s="249"/>
      <c r="E5" s="19" t="s">
        <v>78</v>
      </c>
      <c r="F5" s="19" t="s">
        <v>79</v>
      </c>
      <c r="G5" s="251"/>
      <c r="H5" s="270"/>
    </row>
    <row r="6" spans="1:9" s="142" customFormat="1" ht="19.95" customHeight="1">
      <c r="A6" s="278"/>
      <c r="B6" s="281"/>
      <c r="C6" s="20" t="s">
        <v>80</v>
      </c>
      <c r="D6" s="20" t="s">
        <v>81</v>
      </c>
      <c r="E6" s="20" t="s">
        <v>82</v>
      </c>
      <c r="F6" s="20" t="s">
        <v>83</v>
      </c>
      <c r="G6" s="252"/>
      <c r="H6" s="271"/>
    </row>
    <row r="7" spans="1:9" s="142" customFormat="1" ht="19.95" customHeight="1">
      <c r="A7" s="143" t="s">
        <v>303</v>
      </c>
      <c r="B7" s="144">
        <v>1</v>
      </c>
      <c r="C7" s="145"/>
      <c r="D7" s="145"/>
      <c r="E7" s="191">
        <f t="shared" ref="E7:E8" si="0">D7-C7</f>
        <v>0</v>
      </c>
      <c r="F7" s="147" t="str">
        <f>IF(AND(C7=0,D7=0),"",IF(C7=0,100%,IF(D7=0,-100%,E7/C7)))</f>
        <v/>
      </c>
      <c r="G7" s="192" t="str">
        <f>IF(F7="","",IF(OR(ABS(F7)&gt;=30%,ABS(E7)&gt;='未审资产负债横向分析B13-2-1'!$D$55*5%,ABS(E7)&gt;=$D$30*10%),"显著",IF(ABS(F7)&gt;=10%,"关注","")))</f>
        <v/>
      </c>
      <c r="H7" s="193"/>
    </row>
    <row r="8" spans="1:9" s="142" customFormat="1" ht="19.95" customHeight="1">
      <c r="A8" s="150" t="s">
        <v>304</v>
      </c>
      <c r="B8" s="151">
        <f>B7+1</f>
        <v>2</v>
      </c>
      <c r="C8" s="152"/>
      <c r="D8" s="154"/>
      <c r="E8" s="172">
        <f t="shared" si="0"/>
        <v>0</v>
      </c>
      <c r="F8" s="155" t="str">
        <f>IF(AND(C8=0,D8=0),"",IF(C8=0,100%,IF(D8=0,-100%,E8/C8)))</f>
        <v/>
      </c>
      <c r="G8" s="148" t="str">
        <f>IF(F8="","",IF(OR(ABS(F8)&gt;=30%,ABS(E8)&gt;='未审资产负债横向分析B13-2-1'!$D$55*5%,ABS(E8)&gt;=$D$30*10%),"显著",IF(ABS(F8)&gt;=10%,"关注","")))</f>
        <v/>
      </c>
      <c r="H8" s="156"/>
    </row>
    <row r="9" spans="1:9" s="142" customFormat="1" ht="19.95" customHeight="1">
      <c r="A9" s="150" t="s">
        <v>305</v>
      </c>
      <c r="B9" s="151">
        <f t="shared" ref="B9:B72" si="1">B8+1</f>
        <v>3</v>
      </c>
      <c r="C9" s="152"/>
      <c r="D9" s="154"/>
      <c r="E9" s="172">
        <f t="shared" ref="E9:E20" si="2">D9-C9</f>
        <v>0</v>
      </c>
      <c r="F9" s="155" t="str">
        <f t="shared" ref="F9:F20" si="3">IF(AND(C9=0,D9=0),"",IF(C9=0,100%,IF(D9=0,-100%,E9/C9)))</f>
        <v/>
      </c>
      <c r="G9" s="148" t="str">
        <f>IF(F9="","",IF(OR(ABS(F9)&gt;=30%,ABS(E9)&gt;='未审资产负债横向分析B13-2-1'!$D$55*5%,ABS(E9)&gt;=$D$30*10%),"显著",IF(ABS(F9)&gt;=10%,"关注","")))</f>
        <v/>
      </c>
      <c r="H9" s="157"/>
    </row>
    <row r="10" spans="1:9" s="142" customFormat="1" ht="19.95" customHeight="1">
      <c r="A10" s="150" t="s">
        <v>306</v>
      </c>
      <c r="B10" s="151">
        <f t="shared" si="1"/>
        <v>4</v>
      </c>
      <c r="C10" s="152"/>
      <c r="D10" s="154"/>
      <c r="E10" s="172">
        <f t="shared" si="2"/>
        <v>0</v>
      </c>
      <c r="F10" s="155" t="str">
        <f t="shared" si="3"/>
        <v/>
      </c>
      <c r="G10" s="148" t="str">
        <f>IF(F10="","",IF(OR(ABS(F10)&gt;=30%,ABS(E10)&gt;='未审资产负债横向分析B13-2-1'!$D$55*5%,ABS(E10)&gt;=$D$30*10%),"显著",IF(ABS(F10)&gt;=10%,"关注","")))</f>
        <v/>
      </c>
      <c r="H10" s="157"/>
    </row>
    <row r="11" spans="1:9" s="142" customFormat="1" ht="19.95" customHeight="1">
      <c r="A11" s="150" t="s">
        <v>307</v>
      </c>
      <c r="B11" s="151">
        <f t="shared" si="1"/>
        <v>5</v>
      </c>
      <c r="C11" s="152"/>
      <c r="D11" s="154"/>
      <c r="E11" s="172">
        <f t="shared" si="2"/>
        <v>0</v>
      </c>
      <c r="F11" s="155" t="str">
        <f t="shared" si="3"/>
        <v/>
      </c>
      <c r="G11" s="148" t="str">
        <f>IF(F11="","",IF(OR(ABS(F11)&gt;=30%,ABS(E11)&gt;='未审资产负债横向分析B13-2-1'!$D$55*5%,ABS(E11)&gt;=$D$30*10%),"显著",IF(ABS(F11)&gt;=10%,"关注","")))</f>
        <v/>
      </c>
      <c r="H11" s="157"/>
    </row>
    <row r="12" spans="1:9" s="142" customFormat="1" ht="19.95" customHeight="1">
      <c r="A12" s="150" t="s">
        <v>308</v>
      </c>
      <c r="B12" s="151">
        <f t="shared" si="1"/>
        <v>6</v>
      </c>
      <c r="C12" s="152"/>
      <c r="D12" s="154"/>
      <c r="E12" s="172">
        <f t="shared" si="2"/>
        <v>0</v>
      </c>
      <c r="F12" s="155" t="str">
        <f t="shared" si="3"/>
        <v/>
      </c>
      <c r="G12" s="148" t="str">
        <f>IF(F12="","",IF(OR(ABS(F12)&gt;=30%,ABS(E12)&gt;='未审资产负债横向分析B13-2-1'!$D$55*5%,ABS(E12)&gt;=$D$30*10%),"显著",IF(ABS(F12)&gt;=10%,"关注","")))</f>
        <v/>
      </c>
      <c r="H12" s="157"/>
    </row>
    <row r="13" spans="1:9" s="142" customFormat="1" ht="19.95" customHeight="1">
      <c r="A13" s="150" t="s">
        <v>16</v>
      </c>
      <c r="B13" s="151">
        <f t="shared" si="1"/>
        <v>7</v>
      </c>
      <c r="C13" s="152"/>
      <c r="D13" s="154"/>
      <c r="E13" s="172">
        <f t="shared" si="2"/>
        <v>0</v>
      </c>
      <c r="F13" s="155" t="str">
        <f t="shared" si="3"/>
        <v/>
      </c>
      <c r="G13" s="148" t="str">
        <f>IF(F13="","",IF(OR(ABS(F13)&gt;=30%,ABS(E13)&gt;='未审资产负债横向分析B13-2-1'!$D$55*5%,ABS(E13)&gt;=$D$30*10%),"显著",IF(ABS(F13)&gt;=10%,"关注","")))</f>
        <v/>
      </c>
      <c r="H13" s="157"/>
    </row>
    <row r="14" spans="1:9" s="142" customFormat="1" ht="19.95" customHeight="1">
      <c r="A14" s="150" t="s">
        <v>309</v>
      </c>
      <c r="B14" s="151">
        <f t="shared" si="1"/>
        <v>8</v>
      </c>
      <c r="C14" s="152"/>
      <c r="D14" s="154"/>
      <c r="E14" s="172">
        <f t="shared" si="2"/>
        <v>0</v>
      </c>
      <c r="F14" s="155" t="str">
        <f t="shared" si="3"/>
        <v/>
      </c>
      <c r="G14" s="148" t="str">
        <f>IF(F14="","",IF(OR(ABS(F14)&gt;=30%,ABS(E14)&gt;='未审资产负债横向分析B13-2-1'!$D$55*5%,ABS(E14)&gt;=$D$30*10%),"显著",IF(ABS(F14)&gt;=10%,"关注","")))</f>
        <v/>
      </c>
      <c r="H14" s="157"/>
    </row>
    <row r="15" spans="1:9" s="142" customFormat="1" ht="19.95" customHeight="1">
      <c r="A15" s="150" t="s">
        <v>310</v>
      </c>
      <c r="B15" s="151">
        <f t="shared" si="1"/>
        <v>9</v>
      </c>
      <c r="C15" s="152"/>
      <c r="D15" s="154"/>
      <c r="E15" s="172">
        <f t="shared" si="2"/>
        <v>0</v>
      </c>
      <c r="F15" s="155" t="str">
        <f t="shared" si="3"/>
        <v/>
      </c>
      <c r="G15" s="148" t="str">
        <f>IF(F15="","",IF(OR(ABS(F15)&gt;=30%,ABS(E15)&gt;='未审资产负债横向分析B13-2-1'!$D$55*5%,ABS(E15)&gt;=$D$30*10%),"显著",IF(ABS(F15)&gt;=10%,"关注","")))</f>
        <v/>
      </c>
      <c r="H15" s="157"/>
    </row>
    <row r="16" spans="1:9" s="142" customFormat="1" ht="19.95" customHeight="1">
      <c r="A16" s="150" t="s">
        <v>311</v>
      </c>
      <c r="B16" s="151">
        <f t="shared" si="1"/>
        <v>10</v>
      </c>
      <c r="C16" s="152"/>
      <c r="D16" s="154"/>
      <c r="E16" s="172">
        <f t="shared" si="2"/>
        <v>0</v>
      </c>
      <c r="F16" s="155" t="str">
        <f t="shared" si="3"/>
        <v/>
      </c>
      <c r="G16" s="148" t="str">
        <f>IF(F16="","",IF(OR(ABS(F16)&gt;=30%,ABS(E16)&gt;='未审资产负债横向分析B13-2-1'!$D$55*5%,ABS(E16)&gt;=$D$30*10%),"显著",IF(ABS(F16)&gt;=10%,"关注","")))</f>
        <v/>
      </c>
      <c r="H16" s="157"/>
    </row>
    <row r="17" spans="1:8" s="142" customFormat="1" ht="19.95" customHeight="1">
      <c r="A17" s="150" t="s">
        <v>312</v>
      </c>
      <c r="B17" s="151">
        <f t="shared" si="1"/>
        <v>11</v>
      </c>
      <c r="C17" s="152"/>
      <c r="D17" s="154"/>
      <c r="E17" s="172">
        <f t="shared" si="2"/>
        <v>0</v>
      </c>
      <c r="F17" s="155" t="str">
        <f t="shared" si="3"/>
        <v/>
      </c>
      <c r="G17" s="148" t="str">
        <f>IF(F17="","",IF(OR(ABS(F17)&gt;=30%,ABS(E17)&gt;='未审资产负债横向分析B13-2-1'!$D$55*5%,ABS(E17)&gt;=$D$30*10%),"显著",IF(ABS(F17)&gt;=10%,"关注","")))</f>
        <v/>
      </c>
      <c r="H17" s="157"/>
    </row>
    <row r="18" spans="1:8" s="142" customFormat="1" ht="19.95" customHeight="1">
      <c r="A18" s="150" t="s">
        <v>365</v>
      </c>
      <c r="B18" s="151">
        <f t="shared" si="1"/>
        <v>12</v>
      </c>
      <c r="C18" s="152"/>
      <c r="D18" s="154"/>
      <c r="E18" s="172">
        <f t="shared" si="2"/>
        <v>0</v>
      </c>
      <c r="F18" s="155" t="str">
        <f t="shared" si="3"/>
        <v/>
      </c>
      <c r="G18" s="148" t="str">
        <f>IF(F18="","",IF(OR(ABS(F18)&gt;=30%,ABS(E18)&gt;='未审资产负债横向分析B13-2-1'!$D$55*5%,ABS(E18)&gt;=$D$30*10%),"显著",IF(ABS(F18)&gt;=10%,"关注","")))</f>
        <v/>
      </c>
      <c r="H18" s="157"/>
    </row>
    <row r="19" spans="1:8" s="142" customFormat="1" ht="19.95" customHeight="1">
      <c r="A19" s="150" t="s">
        <v>314</v>
      </c>
      <c r="B19" s="151">
        <f t="shared" si="1"/>
        <v>13</v>
      </c>
      <c r="C19" s="152"/>
      <c r="D19" s="154"/>
      <c r="E19" s="172">
        <f t="shared" si="2"/>
        <v>0</v>
      </c>
      <c r="F19" s="155" t="str">
        <f t="shared" si="3"/>
        <v/>
      </c>
      <c r="G19" s="148" t="str">
        <f>IF(F19="","",IF(OR(ABS(F19)&gt;=30%,ABS(E19)&gt;='未审资产负债横向分析B13-2-1'!$D$55*5%,ABS(E19)&gt;=$D$30*10%),"显著",IF(ABS(F19)&gt;=10%,"关注","")))</f>
        <v/>
      </c>
      <c r="H19" s="157"/>
    </row>
    <row r="20" spans="1:8" s="142" customFormat="1" ht="19.95" customHeight="1">
      <c r="A20" s="150" t="s">
        <v>366</v>
      </c>
      <c r="B20" s="151">
        <f t="shared" si="1"/>
        <v>14</v>
      </c>
      <c r="C20" s="152"/>
      <c r="D20" s="154"/>
      <c r="E20" s="172">
        <f t="shared" si="2"/>
        <v>0</v>
      </c>
      <c r="F20" s="155" t="str">
        <f t="shared" si="3"/>
        <v/>
      </c>
      <c r="G20" s="148" t="str">
        <f>IF(F20="","",IF(OR(ABS(F20)&gt;=30%,ABS(E20)&gt;='未审资产负债横向分析B13-2-1'!$D$55*5%,ABS(E20)&gt;=$D$30*10%),"显著",IF(ABS(F20)&gt;=10%,"关注","")))</f>
        <v/>
      </c>
      <c r="H20" s="157"/>
    </row>
    <row r="21" spans="1:8" s="142" customFormat="1" ht="19.95" customHeight="1">
      <c r="A21" s="150" t="s">
        <v>316</v>
      </c>
      <c r="B21" s="151">
        <f t="shared" si="1"/>
        <v>15</v>
      </c>
      <c r="C21" s="152"/>
      <c r="D21" s="154"/>
      <c r="E21" s="172">
        <f t="shared" ref="E21:E60" si="4">D21-C21</f>
        <v>0</v>
      </c>
      <c r="F21" s="155" t="str">
        <f t="shared" ref="F21:F60" si="5">IF(AND(C21=0,D21=0),"",IF(C21=0,100%,IF(D21=0,-100%,E21/C21)))</f>
        <v/>
      </c>
      <c r="G21" s="148" t="str">
        <f>IF(F21="","",IF(OR(ABS(F21)&gt;=30%,ABS(E21)&gt;='未审资产负债横向分析B13-2-1'!$D$55*5%,ABS(E21)&gt;=$D$30*10%),"显著",IF(ABS(F21)&gt;=10%,"关注","")))</f>
        <v/>
      </c>
      <c r="H21" s="157"/>
    </row>
    <row r="22" spans="1:8" s="142" customFormat="1" ht="19.95" customHeight="1">
      <c r="A22" s="150" t="s">
        <v>367</v>
      </c>
      <c r="B22" s="151">
        <f t="shared" si="1"/>
        <v>16</v>
      </c>
      <c r="C22" s="152"/>
      <c r="D22" s="154"/>
      <c r="E22" s="172">
        <f t="shared" si="4"/>
        <v>0</v>
      </c>
      <c r="F22" s="155" t="str">
        <f t="shared" si="5"/>
        <v/>
      </c>
      <c r="G22" s="148" t="str">
        <f>IF(F22="","",IF(OR(ABS(F22)&gt;=30%,ABS(E22)&gt;='未审资产负债横向分析B13-2-1'!$D$55*5%,ABS(E22)&gt;=$D$30*10%),"显著",IF(ABS(F22)&gt;=10%,"关注","")))</f>
        <v/>
      </c>
      <c r="H22" s="157"/>
    </row>
    <row r="23" spans="1:8" s="142" customFormat="1" ht="19.95" customHeight="1">
      <c r="A23" s="150" t="s">
        <v>318</v>
      </c>
      <c r="B23" s="151">
        <f t="shared" si="1"/>
        <v>17</v>
      </c>
      <c r="C23" s="152"/>
      <c r="D23" s="154"/>
      <c r="E23" s="172">
        <f t="shared" si="4"/>
        <v>0</v>
      </c>
      <c r="F23" s="155" t="str">
        <f t="shared" si="5"/>
        <v/>
      </c>
      <c r="G23" s="148" t="str">
        <f>IF(F23="","",IF(OR(ABS(F23)&gt;=30%,ABS(E23)&gt;='未审资产负债横向分析B13-2-1'!$D$55*5%,ABS(E23)&gt;=$D$30*10%),"显著",IF(ABS(F23)&gt;=10%,"关注","")))</f>
        <v/>
      </c>
      <c r="H23" s="157"/>
    </row>
    <row r="24" spans="1:8" s="142" customFormat="1" ht="27.6" customHeight="1">
      <c r="A24" s="159" t="s">
        <v>368</v>
      </c>
      <c r="B24" s="151">
        <f t="shared" si="1"/>
        <v>18</v>
      </c>
      <c r="C24" s="152"/>
      <c r="D24" s="154"/>
      <c r="E24" s="172">
        <f t="shared" si="4"/>
        <v>0</v>
      </c>
      <c r="F24" s="155" t="str">
        <f t="shared" si="5"/>
        <v/>
      </c>
      <c r="G24" s="148" t="str">
        <f>IF(F24="","",IF(OR(ABS(F24)&gt;=30%,ABS(E24)&gt;='未审资产负债横向分析B13-2-1'!$D$55*5%,ABS(E24)&gt;=$D$30*10%),"显著",IF(ABS(F24)&gt;=10%,"关注","")))</f>
        <v/>
      </c>
      <c r="H24" s="157"/>
    </row>
    <row r="25" spans="1:8" s="142" customFormat="1" ht="19.95" customHeight="1">
      <c r="A25" s="150" t="s">
        <v>369</v>
      </c>
      <c r="B25" s="151">
        <f t="shared" si="1"/>
        <v>19</v>
      </c>
      <c r="C25" s="152"/>
      <c r="D25" s="154"/>
      <c r="E25" s="172">
        <f t="shared" si="4"/>
        <v>0</v>
      </c>
      <c r="F25" s="155" t="str">
        <f t="shared" si="5"/>
        <v/>
      </c>
      <c r="G25" s="148" t="str">
        <f>IF(F25="","",IF(OR(ABS(F25)&gt;=30%,ABS(E25)&gt;='未审资产负债横向分析B13-2-1'!$D$55*5%,ABS(E25)&gt;=$D$30*10%),"显著",IF(ABS(F25)&gt;=10%,"关注","")))</f>
        <v/>
      </c>
      <c r="H25" s="157"/>
    </row>
    <row r="26" spans="1:8" s="142" customFormat="1" ht="19.95" customHeight="1">
      <c r="A26" s="150" t="s">
        <v>370</v>
      </c>
      <c r="B26" s="151">
        <f t="shared" si="1"/>
        <v>20</v>
      </c>
      <c r="C26" s="152"/>
      <c r="D26" s="154"/>
      <c r="E26" s="172">
        <f t="shared" si="4"/>
        <v>0</v>
      </c>
      <c r="F26" s="155" t="str">
        <f t="shared" si="5"/>
        <v/>
      </c>
      <c r="G26" s="148" t="str">
        <f>IF(F26="","",IF(OR(ABS(F26)&gt;=30%,ABS(E26)&gt;='未审资产负债横向分析B13-2-1'!$D$55*5%,ABS(E26)&gt;=$D$30*10%),"显著",IF(ABS(F26)&gt;=10%,"关注","")))</f>
        <v/>
      </c>
      <c r="H26" s="157"/>
    </row>
    <row r="27" spans="1:8" s="142" customFormat="1" ht="19.95" customHeight="1">
      <c r="A27" s="150" t="s">
        <v>371</v>
      </c>
      <c r="B27" s="151">
        <f t="shared" si="1"/>
        <v>21</v>
      </c>
      <c r="C27" s="152"/>
      <c r="D27" s="154"/>
      <c r="E27" s="172">
        <f t="shared" si="4"/>
        <v>0</v>
      </c>
      <c r="F27" s="155" t="str">
        <f t="shared" si="5"/>
        <v/>
      </c>
      <c r="G27" s="148" t="str">
        <f>IF(F27="","",IF(OR(ABS(F27)&gt;=30%,ABS(E27)&gt;='未审资产负债横向分析B13-2-1'!$D$55*5%,ABS(E27)&gt;=$D$30*10%),"显著",IF(ABS(F27)&gt;=10%,"关注","")))</f>
        <v/>
      </c>
      <c r="H27" s="157"/>
    </row>
    <row r="28" spans="1:8" s="142" customFormat="1" ht="19.95" customHeight="1">
      <c r="A28" s="150" t="s">
        <v>372</v>
      </c>
      <c r="B28" s="151">
        <f t="shared" si="1"/>
        <v>22</v>
      </c>
      <c r="C28" s="152"/>
      <c r="D28" s="154"/>
      <c r="E28" s="172">
        <f t="shared" si="4"/>
        <v>0</v>
      </c>
      <c r="F28" s="155" t="str">
        <f t="shared" si="5"/>
        <v/>
      </c>
      <c r="G28" s="148" t="str">
        <f>IF(F28="","",IF(OR(ABS(F28)&gt;=30%,ABS(E28)&gt;='未审资产负债横向分析B13-2-1'!$D$55*5%,ABS(E28)&gt;=$D$30*10%),"显著",IF(ABS(F28)&gt;=10%,"关注","")))</f>
        <v/>
      </c>
      <c r="H28" s="157"/>
    </row>
    <row r="29" spans="1:8" s="142" customFormat="1" ht="19.95" customHeight="1">
      <c r="A29" s="150" t="s">
        <v>373</v>
      </c>
      <c r="B29" s="151">
        <f t="shared" si="1"/>
        <v>23</v>
      </c>
      <c r="C29" s="152"/>
      <c r="D29" s="154"/>
      <c r="E29" s="172">
        <f t="shared" si="4"/>
        <v>0</v>
      </c>
      <c r="F29" s="155" t="str">
        <f t="shared" si="5"/>
        <v/>
      </c>
      <c r="G29" s="148" t="str">
        <f>IF(F29="","",IF(OR(ABS(F29)&gt;=30%,ABS(E29)&gt;='未审资产负债横向分析B13-2-1'!$D$55*5%,ABS(E29)&gt;=$D$30*10%),"显著",IF(ABS(F29)&gt;=10%,"关注","")))</f>
        <v/>
      </c>
      <c r="H29" s="157"/>
    </row>
    <row r="30" spans="1:8" s="142" customFormat="1" ht="19.95" customHeight="1">
      <c r="A30" s="160" t="s">
        <v>325</v>
      </c>
      <c r="B30" s="151">
        <f t="shared" si="1"/>
        <v>24</v>
      </c>
      <c r="C30" s="194">
        <f>C7-SUM(C10,C13,C14,C15,C17,C18)+SUM(C21,C22,C25,C26,C27,C28,C29)</f>
        <v>0</v>
      </c>
      <c r="D30" s="194">
        <f>D7-SUM(D10,D13,D14,D15,D17,D18)+SUM(D21,D22,D25,D26,D27,D28,D29)</f>
        <v>0</v>
      </c>
      <c r="E30" s="172">
        <f t="shared" si="4"/>
        <v>0</v>
      </c>
      <c r="F30" s="155" t="str">
        <f t="shared" si="5"/>
        <v/>
      </c>
      <c r="G30" s="148" t="str">
        <f>IF(F30="","",IF(OR(ABS(F30)&gt;=30%,ABS(E30)&gt;='未审资产负债横向分析B13-2-1'!$D$55*5%,ABS(E30)&gt;=$D$30*10%),"显著",IF(ABS(F30)&gt;=10%,"关注","")))</f>
        <v/>
      </c>
      <c r="H30" s="174"/>
    </row>
    <row r="31" spans="1:8" s="142" customFormat="1" ht="19.95" customHeight="1">
      <c r="A31" s="150" t="s">
        <v>326</v>
      </c>
      <c r="B31" s="151">
        <f t="shared" si="1"/>
        <v>25</v>
      </c>
      <c r="C31" s="154"/>
      <c r="D31" s="154"/>
      <c r="E31" s="172">
        <f t="shared" si="4"/>
        <v>0</v>
      </c>
      <c r="F31" s="155" t="str">
        <f t="shared" si="5"/>
        <v/>
      </c>
      <c r="G31" s="148" t="str">
        <f>IF(F31="","",IF(OR(ABS(F31)&gt;=30%,ABS(E31)&gt;='未审资产负债横向分析B13-2-1'!$D$55*5%,ABS(E31)&gt;=$D$30*10%),"显著",IF(ABS(F31)&gt;=10%,"关注","")))</f>
        <v/>
      </c>
      <c r="H31" s="157"/>
    </row>
    <row r="32" spans="1:8" s="142" customFormat="1" ht="19.95" customHeight="1">
      <c r="A32" s="150" t="s">
        <v>327</v>
      </c>
      <c r="B32" s="151">
        <f t="shared" si="1"/>
        <v>26</v>
      </c>
      <c r="C32" s="154"/>
      <c r="D32" s="154"/>
      <c r="E32" s="172">
        <f t="shared" si="4"/>
        <v>0</v>
      </c>
      <c r="F32" s="155" t="str">
        <f t="shared" si="5"/>
        <v/>
      </c>
      <c r="G32" s="148" t="str">
        <f>IF(F32="","",IF(OR(ABS(F32)&gt;=30%,ABS(E32)&gt;='未审资产负债横向分析B13-2-1'!$D$55*5%,ABS(E32)&gt;=$D$30*10%),"显著",IF(ABS(F32)&gt;=10%,"关注","")))</f>
        <v/>
      </c>
      <c r="H32" s="157"/>
    </row>
    <row r="33" spans="1:8" s="142" customFormat="1" ht="19.95" customHeight="1">
      <c r="A33" s="160" t="s">
        <v>328</v>
      </c>
      <c r="B33" s="151">
        <f t="shared" si="1"/>
        <v>27</v>
      </c>
      <c r="C33" s="194">
        <f>SUM(C30)+SUM(C31)-SUM(C32)</f>
        <v>0</v>
      </c>
      <c r="D33" s="194">
        <f>SUM(D30)+SUM(D31)-SUM(D32)</f>
        <v>0</v>
      </c>
      <c r="E33" s="172">
        <f t="shared" si="4"/>
        <v>0</v>
      </c>
      <c r="F33" s="155" t="str">
        <f t="shared" si="5"/>
        <v/>
      </c>
      <c r="G33" s="148" t="str">
        <f>IF(F33="","",IF(OR(ABS(F33)&gt;=30%,ABS(E33)&gt;='未审资产负债横向分析B13-2-1'!$D$55*5%,ABS(E33)&gt;=$D$30*10%),"显著",IF(ABS(F33)&gt;=10%,"关注","")))</f>
        <v/>
      </c>
      <c r="H33" s="174"/>
    </row>
    <row r="34" spans="1:8" s="142" customFormat="1" ht="19.95" customHeight="1">
      <c r="A34" s="150" t="s">
        <v>329</v>
      </c>
      <c r="B34" s="151">
        <f t="shared" si="1"/>
        <v>28</v>
      </c>
      <c r="C34" s="154"/>
      <c r="D34" s="154"/>
      <c r="E34" s="172">
        <f t="shared" si="4"/>
        <v>0</v>
      </c>
      <c r="F34" s="155" t="str">
        <f t="shared" si="5"/>
        <v/>
      </c>
      <c r="G34" s="148" t="str">
        <f>IF(F34="","",IF(OR(ABS(F34)&gt;=30%,ABS(E34)&gt;='未审资产负债横向分析B13-2-1'!$D$55*5%,ABS(E34)&gt;=$D$30*10%),"显著",IF(ABS(F34)&gt;=10%,"关注","")))</f>
        <v/>
      </c>
      <c r="H34" s="157"/>
    </row>
    <row r="35" spans="1:8" s="142" customFormat="1" ht="19.95" customHeight="1">
      <c r="A35" s="160" t="s">
        <v>330</v>
      </c>
      <c r="B35" s="151">
        <f t="shared" si="1"/>
        <v>29</v>
      </c>
      <c r="C35" s="194">
        <f>C33-C34</f>
        <v>0</v>
      </c>
      <c r="D35" s="194">
        <f>D33-D34</f>
        <v>0</v>
      </c>
      <c r="E35" s="172">
        <f t="shared" si="4"/>
        <v>0</v>
      </c>
      <c r="F35" s="155" t="str">
        <f t="shared" si="5"/>
        <v/>
      </c>
      <c r="G35" s="148" t="str">
        <f>IF(F35="","",IF(OR(ABS(F35)&gt;=30%,ABS(E35)&gt;='未审资产负债横向分析B13-2-1'!$D$55*5%,ABS(E35)&gt;=$D$30*10%),"显著",IF(ABS(F35)&gt;=10%,"关注","")))</f>
        <v/>
      </c>
      <c r="H35" s="174"/>
    </row>
    <row r="36" spans="1:8" s="142" customFormat="1" ht="19.95" customHeight="1">
      <c r="A36" s="160" t="s">
        <v>331</v>
      </c>
      <c r="B36" s="151">
        <f t="shared" si="1"/>
        <v>30</v>
      </c>
      <c r="C36" s="195"/>
      <c r="D36" s="195"/>
      <c r="E36" s="172">
        <f t="shared" si="4"/>
        <v>0</v>
      </c>
      <c r="F36" s="155" t="str">
        <f t="shared" si="5"/>
        <v/>
      </c>
      <c r="G36" s="148" t="str">
        <f>IF(F36="","",IF(OR(ABS(F36)&gt;=30%,ABS(E36)&gt;='未审资产负债横向分析B13-2-1'!$D$55*5%,ABS(E36)&gt;=$D$30*10%),"显著",IF(ABS(F36)&gt;=10%,"关注","")))</f>
        <v/>
      </c>
      <c r="H36" s="174"/>
    </row>
    <row r="37" spans="1:8" s="142" customFormat="1" ht="19.95" customHeight="1">
      <c r="A37" s="150" t="s">
        <v>17</v>
      </c>
      <c r="B37" s="151">
        <f t="shared" si="1"/>
        <v>31</v>
      </c>
      <c r="C37" s="195"/>
      <c r="D37" s="195"/>
      <c r="E37" s="172">
        <f t="shared" si="4"/>
        <v>0</v>
      </c>
      <c r="F37" s="155" t="str">
        <f t="shared" si="5"/>
        <v/>
      </c>
      <c r="G37" s="148" t="str">
        <f>IF(F37="","",IF(OR(ABS(F37)&gt;=30%,ABS(E37)&gt;='未审资产负债横向分析B13-2-1'!$D$55*5%,ABS(E37)&gt;=$D$30*10%),"显著",IF(ABS(F37)&gt;=10%,"关注","")))</f>
        <v/>
      </c>
      <c r="H37" s="174"/>
    </row>
    <row r="38" spans="1:8" s="142" customFormat="1" ht="19.95" customHeight="1">
      <c r="A38" s="150" t="s">
        <v>18</v>
      </c>
      <c r="B38" s="151">
        <f t="shared" si="1"/>
        <v>32</v>
      </c>
      <c r="C38" s="195"/>
      <c r="D38" s="195"/>
      <c r="E38" s="172">
        <f t="shared" si="4"/>
        <v>0</v>
      </c>
      <c r="F38" s="155" t="str">
        <f t="shared" si="5"/>
        <v/>
      </c>
      <c r="G38" s="148" t="str">
        <f>IF(F38="","",IF(OR(ABS(F38)&gt;=30%,ABS(E38)&gt;='未审资产负债横向分析B13-2-1'!$D$55*5%,ABS(E38)&gt;=$D$30*10%),"显著",IF(ABS(F38)&gt;=10%,"关注","")))</f>
        <v/>
      </c>
      <c r="H38" s="174"/>
    </row>
    <row r="39" spans="1:8" s="142" customFormat="1" ht="19.95" customHeight="1">
      <c r="A39" s="160" t="s">
        <v>332</v>
      </c>
      <c r="B39" s="151">
        <f t="shared" si="1"/>
        <v>33</v>
      </c>
      <c r="C39" s="195"/>
      <c r="D39" s="195"/>
      <c r="E39" s="172">
        <f t="shared" si="4"/>
        <v>0</v>
      </c>
      <c r="F39" s="155" t="str">
        <f t="shared" si="5"/>
        <v/>
      </c>
      <c r="G39" s="148" t="str">
        <f>IF(F39="","",IF(OR(ABS(F39)&gt;=30%,ABS(E39)&gt;='未审资产负债横向分析B13-2-1'!$D$55*5%,ABS(E39)&gt;=$D$30*10%),"显著",IF(ABS(F39)&gt;=10%,"关注","")))</f>
        <v/>
      </c>
      <c r="H39" s="174"/>
    </row>
    <row r="40" spans="1:8" s="142" customFormat="1" ht="19.95" customHeight="1">
      <c r="A40" s="150" t="s">
        <v>19</v>
      </c>
      <c r="B40" s="151">
        <f t="shared" si="1"/>
        <v>34</v>
      </c>
      <c r="C40" s="154"/>
      <c r="D40" s="154"/>
      <c r="E40" s="172">
        <f t="shared" si="4"/>
        <v>0</v>
      </c>
      <c r="F40" s="155" t="str">
        <f t="shared" si="5"/>
        <v/>
      </c>
      <c r="G40" s="148" t="str">
        <f>IF(F40="","",IF(OR(ABS(F40)&gt;=30%,ABS(E40)&gt;='未审资产负债横向分析B13-2-1'!$D$55*5%,ABS(E40)&gt;=$D$30*10%),"显著",IF(ABS(F40)&gt;=10%,"关注","")))</f>
        <v/>
      </c>
      <c r="H40" s="157"/>
    </row>
    <row r="41" spans="1:8" s="142" customFormat="1" ht="19.95" customHeight="1">
      <c r="A41" s="150" t="s">
        <v>20</v>
      </c>
      <c r="B41" s="151">
        <f t="shared" si="1"/>
        <v>35</v>
      </c>
      <c r="C41" s="154"/>
      <c r="D41" s="154"/>
      <c r="E41" s="172">
        <f t="shared" si="4"/>
        <v>0</v>
      </c>
      <c r="F41" s="155" t="str">
        <f t="shared" si="5"/>
        <v/>
      </c>
      <c r="G41" s="148" t="str">
        <f>IF(F41="","",IF(OR(ABS(F41)&gt;=30%,ABS(E41)&gt;='未审资产负债横向分析B13-2-1'!$D$55*5%,ABS(E41)&gt;=$D$30*10%),"显著",IF(ABS(F41)&gt;=10%,"关注","")))</f>
        <v/>
      </c>
      <c r="H41" s="157"/>
    </row>
    <row r="42" spans="1:8" s="142" customFormat="1" ht="19.95" customHeight="1">
      <c r="A42" s="196" t="s">
        <v>333</v>
      </c>
      <c r="B42" s="151">
        <f t="shared" si="1"/>
        <v>36</v>
      </c>
      <c r="C42" s="154"/>
      <c r="D42" s="154"/>
      <c r="E42" s="172">
        <f t="shared" si="4"/>
        <v>0</v>
      </c>
      <c r="F42" s="155" t="str">
        <f t="shared" si="5"/>
        <v/>
      </c>
      <c r="G42" s="148" t="str">
        <f>IF(F42="","",IF(OR(ABS(F42)&gt;=30%,ABS(E42)&gt;='未审资产负债横向分析B13-2-1'!$D$55*5%,ABS(E42)&gt;=$D$30*10%),"显著",IF(ABS(F42)&gt;=10%,"关注","")))</f>
        <v/>
      </c>
      <c r="H42" s="157"/>
    </row>
    <row r="43" spans="1:8" s="142" customFormat="1" ht="19.95" customHeight="1">
      <c r="A43" s="173" t="s">
        <v>334</v>
      </c>
      <c r="B43" s="151">
        <f t="shared" si="1"/>
        <v>37</v>
      </c>
      <c r="C43" s="154"/>
      <c r="D43" s="154"/>
      <c r="E43" s="172">
        <f t="shared" si="4"/>
        <v>0</v>
      </c>
      <c r="F43" s="155" t="str">
        <f t="shared" si="5"/>
        <v/>
      </c>
      <c r="G43" s="148" t="str">
        <f>IF(F43="","",IF(OR(ABS(F43)&gt;=30%,ABS(E43)&gt;='未审资产负债横向分析B13-2-1'!$D$55*5%,ABS(E43)&gt;=$D$30*10%),"显著",IF(ABS(F43)&gt;=10%,"关注","")))</f>
        <v/>
      </c>
      <c r="H43" s="157"/>
    </row>
    <row r="44" spans="1:8" s="142" customFormat="1" ht="19.95" customHeight="1">
      <c r="A44" s="173" t="s">
        <v>335</v>
      </c>
      <c r="B44" s="151">
        <f t="shared" si="1"/>
        <v>38</v>
      </c>
      <c r="C44" s="154"/>
      <c r="D44" s="154"/>
      <c r="E44" s="172">
        <f t="shared" si="4"/>
        <v>0</v>
      </c>
      <c r="F44" s="155" t="str">
        <f t="shared" si="5"/>
        <v/>
      </c>
      <c r="G44" s="148" t="str">
        <f>IF(F44="","",IF(OR(ABS(F44)&gt;=30%,ABS(E44)&gt;='未审资产负债横向分析B13-2-1'!$D$55*5%,ABS(E44)&gt;=$D$30*10%),"显著",IF(ABS(F44)&gt;=10%,"关注","")))</f>
        <v/>
      </c>
      <c r="H44" s="157"/>
    </row>
    <row r="45" spans="1:8" s="142" customFormat="1" ht="19.95" customHeight="1">
      <c r="A45" s="173" t="s">
        <v>21</v>
      </c>
      <c r="B45" s="151">
        <f t="shared" si="1"/>
        <v>39</v>
      </c>
      <c r="C45" s="154"/>
      <c r="D45" s="154"/>
      <c r="E45" s="172">
        <f t="shared" si="4"/>
        <v>0</v>
      </c>
      <c r="F45" s="155" t="str">
        <f t="shared" si="5"/>
        <v/>
      </c>
      <c r="G45" s="148" t="str">
        <f>IF(F45="","",IF(OR(ABS(F45)&gt;=30%,ABS(E45)&gt;='未审资产负债横向分析B13-2-1'!$D$55*5%,ABS(E45)&gt;=$D$30*10%),"显著",IF(ABS(F45)&gt;=10%,"关注","")))</f>
        <v/>
      </c>
      <c r="H45" s="157"/>
    </row>
    <row r="46" spans="1:8" s="142" customFormat="1" ht="19.95" customHeight="1">
      <c r="A46" s="173" t="s">
        <v>22</v>
      </c>
      <c r="B46" s="151">
        <f t="shared" si="1"/>
        <v>40</v>
      </c>
      <c r="C46" s="154"/>
      <c r="D46" s="154"/>
      <c r="E46" s="172">
        <f t="shared" si="4"/>
        <v>0</v>
      </c>
      <c r="F46" s="155" t="str">
        <f t="shared" si="5"/>
        <v/>
      </c>
      <c r="G46" s="148" t="str">
        <f>IF(F46="","",IF(OR(ABS(F46)&gt;=30%,ABS(E46)&gt;='未审资产负债横向分析B13-2-1'!$D$55*5%,ABS(E46)&gt;=$D$30*10%),"显著",IF(ABS(F46)&gt;=10%,"关注","")))</f>
        <v/>
      </c>
      <c r="H46" s="157"/>
    </row>
    <row r="47" spans="1:8" s="142" customFormat="1" ht="19.95" customHeight="1">
      <c r="A47" s="173" t="s">
        <v>37</v>
      </c>
      <c r="B47" s="151">
        <f t="shared" si="1"/>
        <v>41</v>
      </c>
      <c r="C47" s="154"/>
      <c r="D47" s="154"/>
      <c r="E47" s="172">
        <f t="shared" si="4"/>
        <v>0</v>
      </c>
      <c r="F47" s="155" t="str">
        <f t="shared" si="5"/>
        <v/>
      </c>
      <c r="G47" s="148" t="str">
        <f>IF(F47="","",IF(OR(ABS(F47)&gt;=30%,ABS(E47)&gt;='未审资产负债横向分析B13-2-1'!$D$55*5%,ABS(E47)&gt;=$D$30*10%),"显著",IF(ABS(F47)&gt;=10%,"关注","")))</f>
        <v/>
      </c>
      <c r="H47" s="157"/>
    </row>
    <row r="48" spans="1:8" s="142" customFormat="1" ht="19.95" customHeight="1">
      <c r="A48" s="173" t="s">
        <v>38</v>
      </c>
      <c r="B48" s="151">
        <f t="shared" si="1"/>
        <v>42</v>
      </c>
      <c r="C48" s="154"/>
      <c r="D48" s="154"/>
      <c r="E48" s="172">
        <f t="shared" si="4"/>
        <v>0</v>
      </c>
      <c r="F48" s="155" t="str">
        <f t="shared" si="5"/>
        <v/>
      </c>
      <c r="G48" s="148" t="str">
        <f>IF(F48="","",IF(OR(ABS(F48)&gt;=30%,ABS(E48)&gt;='未审资产负债横向分析B13-2-1'!$D$55*5%,ABS(E48)&gt;=$D$30*10%),"显著",IF(ABS(F48)&gt;=10%,"关注","")))</f>
        <v/>
      </c>
      <c r="H48" s="157"/>
    </row>
    <row r="49" spans="1:8" s="142" customFormat="1" ht="19.95" customHeight="1">
      <c r="A49" s="173" t="s">
        <v>336</v>
      </c>
      <c r="B49" s="151">
        <f t="shared" si="1"/>
        <v>43</v>
      </c>
      <c r="C49" s="154"/>
      <c r="D49" s="154"/>
      <c r="E49" s="172">
        <f t="shared" si="4"/>
        <v>0</v>
      </c>
      <c r="F49" s="155" t="str">
        <f t="shared" si="5"/>
        <v/>
      </c>
      <c r="G49" s="148" t="str">
        <f>IF(F49="","",IF(OR(ABS(F49)&gt;=30%,ABS(E49)&gt;='未审资产负债横向分析B13-2-1'!$D$55*5%,ABS(E49)&gt;=$D$30*10%),"显著",IF(ABS(F49)&gt;=10%,"关注","")))</f>
        <v/>
      </c>
      <c r="H49" s="157"/>
    </row>
    <row r="50" spans="1:8" s="142" customFormat="1" ht="19.95" customHeight="1">
      <c r="A50" s="173" t="s">
        <v>337</v>
      </c>
      <c r="B50" s="151">
        <f t="shared" si="1"/>
        <v>44</v>
      </c>
      <c r="C50" s="154"/>
      <c r="D50" s="154"/>
      <c r="E50" s="172">
        <f t="shared" si="4"/>
        <v>0</v>
      </c>
      <c r="F50" s="155" t="str">
        <f t="shared" si="5"/>
        <v/>
      </c>
      <c r="G50" s="148" t="str">
        <f>IF(F50="","",IF(OR(ABS(F50)&gt;=30%,ABS(E50)&gt;='未审资产负债横向分析B13-2-1'!$D$55*5%,ABS(E50)&gt;=$D$30*10%),"显著",IF(ABS(F50)&gt;=10%,"关注","")))</f>
        <v/>
      </c>
      <c r="H50" s="157"/>
    </row>
    <row r="51" spans="1:8" s="142" customFormat="1" ht="19.95" customHeight="1">
      <c r="A51" s="173" t="s">
        <v>23</v>
      </c>
      <c r="B51" s="151">
        <f t="shared" si="1"/>
        <v>45</v>
      </c>
      <c r="C51" s="154"/>
      <c r="D51" s="154"/>
      <c r="E51" s="172">
        <f t="shared" si="4"/>
        <v>0</v>
      </c>
      <c r="F51" s="155" t="str">
        <f t="shared" si="5"/>
        <v/>
      </c>
      <c r="G51" s="148" t="str">
        <f>IF(F51="","",IF(OR(ABS(F51)&gt;=30%,ABS(E51)&gt;='未审资产负债横向分析B13-2-1'!$D$55*5%,ABS(E51)&gt;=$D$30*10%),"显著",IF(ABS(F51)&gt;=10%,"关注","")))</f>
        <v/>
      </c>
      <c r="H51" s="157"/>
    </row>
    <row r="52" spans="1:8" s="142" customFormat="1" ht="19.95" customHeight="1">
      <c r="A52" s="173" t="s">
        <v>39</v>
      </c>
      <c r="B52" s="151">
        <f t="shared" si="1"/>
        <v>46</v>
      </c>
      <c r="C52" s="154"/>
      <c r="D52" s="154"/>
      <c r="E52" s="172">
        <f t="shared" si="4"/>
        <v>0</v>
      </c>
      <c r="F52" s="155" t="str">
        <f t="shared" si="5"/>
        <v/>
      </c>
      <c r="G52" s="148" t="str">
        <f>IF(F52="","",IF(OR(ABS(F52)&gt;=30%,ABS(E52)&gt;='未审资产负债横向分析B13-2-1'!$D$55*5%,ABS(E52)&gt;=$D$30*10%),"显著",IF(ABS(F52)&gt;=10%,"关注","")))</f>
        <v/>
      </c>
      <c r="H52" s="157"/>
    </row>
    <row r="53" spans="1:8" s="142" customFormat="1" ht="19.95" customHeight="1">
      <c r="A53" s="173" t="s">
        <v>338</v>
      </c>
      <c r="B53" s="151">
        <f t="shared" si="1"/>
        <v>47</v>
      </c>
      <c r="C53" s="154"/>
      <c r="D53" s="154"/>
      <c r="E53" s="172">
        <f t="shared" si="4"/>
        <v>0</v>
      </c>
      <c r="F53" s="155" t="str">
        <f t="shared" si="5"/>
        <v/>
      </c>
      <c r="G53" s="148" t="str">
        <f>IF(F53="","",IF(OR(ABS(F53)&gt;=30%,ABS(E53)&gt;='未审资产负债横向分析B13-2-1'!$D$55*5%,ABS(E53)&gt;=$D$30*10%),"显著",IF(ABS(F53)&gt;=10%,"关注","")))</f>
        <v/>
      </c>
      <c r="H53" s="157"/>
    </row>
    <row r="54" spans="1:8" s="142" customFormat="1" ht="19.95" customHeight="1">
      <c r="A54" s="173" t="s">
        <v>40</v>
      </c>
      <c r="B54" s="151">
        <f t="shared" si="1"/>
        <v>48</v>
      </c>
      <c r="C54" s="154"/>
      <c r="D54" s="154"/>
      <c r="E54" s="172">
        <f t="shared" si="4"/>
        <v>0</v>
      </c>
      <c r="F54" s="155" t="str">
        <f t="shared" si="5"/>
        <v/>
      </c>
      <c r="G54" s="148" t="str">
        <f>IF(F54="","",IF(OR(ABS(F54)&gt;=30%,ABS(E54)&gt;='未审资产负债横向分析B13-2-1'!$D$55*5%,ABS(E54)&gt;=$D$30*10%),"显著",IF(ABS(F54)&gt;=10%,"关注","")))</f>
        <v/>
      </c>
      <c r="H54" s="157"/>
    </row>
    <row r="55" spans="1:8" s="142" customFormat="1" ht="25.2" customHeight="1">
      <c r="A55" s="173" t="s">
        <v>339</v>
      </c>
      <c r="B55" s="151">
        <f t="shared" si="1"/>
        <v>49</v>
      </c>
      <c r="C55" s="154"/>
      <c r="D55" s="154"/>
      <c r="E55" s="172">
        <f t="shared" si="4"/>
        <v>0</v>
      </c>
      <c r="F55" s="155" t="str">
        <f t="shared" si="5"/>
        <v/>
      </c>
      <c r="G55" s="148" t="str">
        <f>IF(F55="","",IF(OR(ABS(F55)&gt;=30%,ABS(E55)&gt;='未审资产负债横向分析B13-2-1'!$D$55*5%,ABS(E55)&gt;=$D$30*10%),"显著",IF(ABS(F55)&gt;=10%,"关注","")))</f>
        <v/>
      </c>
      <c r="H55" s="157"/>
    </row>
    <row r="56" spans="1:8" s="142" customFormat="1" ht="19.95" customHeight="1">
      <c r="A56" s="173" t="s">
        <v>374</v>
      </c>
      <c r="B56" s="151">
        <f t="shared" si="1"/>
        <v>50</v>
      </c>
      <c r="C56" s="154"/>
      <c r="D56" s="154"/>
      <c r="E56" s="172">
        <f t="shared" si="4"/>
        <v>0</v>
      </c>
      <c r="F56" s="155" t="str">
        <f t="shared" si="5"/>
        <v/>
      </c>
      <c r="G56" s="148" t="str">
        <f>IF(F56="","",IF(OR(ABS(F56)&gt;=30%,ABS(E56)&gt;='未审资产负债横向分析B13-2-1'!$D$55*5%,ABS(E56)&gt;=$D$30*10%),"显著",IF(ABS(F56)&gt;=10%,"关注","")))</f>
        <v/>
      </c>
      <c r="H56" s="157"/>
    </row>
    <row r="57" spans="1:8" s="142" customFormat="1" ht="19.95" customHeight="1">
      <c r="A57" s="173" t="s">
        <v>340</v>
      </c>
      <c r="B57" s="151">
        <f t="shared" si="1"/>
        <v>51</v>
      </c>
      <c r="C57" s="154"/>
      <c r="D57" s="154"/>
      <c r="E57" s="172">
        <f t="shared" si="4"/>
        <v>0</v>
      </c>
      <c r="F57" s="155" t="str">
        <f t="shared" si="5"/>
        <v/>
      </c>
      <c r="G57" s="148" t="str">
        <f>IF(F57="","",IF(OR(ABS(F57)&gt;=30%,ABS(E57)&gt;='未审资产负债横向分析B13-2-1'!$D$55*5%,ABS(E57)&gt;=$D$30*10%),"显著",IF(ABS(F57)&gt;=10%,"关注","")))</f>
        <v/>
      </c>
      <c r="H57" s="157"/>
    </row>
    <row r="58" spans="1:8" s="142" customFormat="1" ht="19.95" customHeight="1">
      <c r="A58" s="173" t="s">
        <v>341</v>
      </c>
      <c r="B58" s="151">
        <f t="shared" si="1"/>
        <v>52</v>
      </c>
      <c r="C58" s="154"/>
      <c r="D58" s="154"/>
      <c r="E58" s="172">
        <f t="shared" si="4"/>
        <v>0</v>
      </c>
      <c r="F58" s="155" t="str">
        <f t="shared" si="5"/>
        <v/>
      </c>
      <c r="G58" s="148" t="str">
        <f>IF(F58="","",IF(OR(ABS(F58)&gt;=30%,ABS(E58)&gt;='未审资产负债横向分析B13-2-1'!$D$55*5%,ABS(E58)&gt;=$D$30*10%),"显著",IF(ABS(F58)&gt;=10%,"关注","")))</f>
        <v/>
      </c>
      <c r="H58" s="157"/>
    </row>
    <row r="59" spans="1:8" s="142" customFormat="1" ht="43.2" customHeight="1">
      <c r="A59" s="173" t="s">
        <v>342</v>
      </c>
      <c r="B59" s="151">
        <f t="shared" si="1"/>
        <v>53</v>
      </c>
      <c r="C59" s="154"/>
      <c r="D59" s="154"/>
      <c r="E59" s="172">
        <f t="shared" si="4"/>
        <v>0</v>
      </c>
      <c r="F59" s="155" t="str">
        <f t="shared" si="5"/>
        <v/>
      </c>
      <c r="G59" s="148" t="str">
        <f>IF(F59="","",IF(OR(ABS(F59)&gt;=30%,ABS(E59)&gt;='未审资产负债横向分析B13-2-1'!$D$55*5%,ABS(E59)&gt;=$D$30*10%),"显著",IF(ABS(F59)&gt;=10%,"关注","")))</f>
        <v/>
      </c>
      <c r="H59" s="157"/>
    </row>
    <row r="60" spans="1:8" s="142" customFormat="1" ht="43.2" customHeight="1">
      <c r="A60" s="173" t="s">
        <v>343</v>
      </c>
      <c r="B60" s="151">
        <f t="shared" si="1"/>
        <v>54</v>
      </c>
      <c r="C60" s="154"/>
      <c r="D60" s="154"/>
      <c r="E60" s="172">
        <f t="shared" si="4"/>
        <v>0</v>
      </c>
      <c r="F60" s="155" t="str">
        <f t="shared" si="5"/>
        <v/>
      </c>
      <c r="G60" s="148" t="str">
        <f>IF(F60="","",IF(OR(ABS(F60)&gt;=30%,ABS(E60)&gt;='未审资产负债横向分析B13-2-1'!$D$55*5%,ABS(E60)&gt;=$D$30*10%),"显著",IF(ABS(F60)&gt;=10%,"关注","")))</f>
        <v/>
      </c>
      <c r="H60" s="157"/>
    </row>
    <row r="61" spans="1:8" s="142" customFormat="1" ht="19.95" customHeight="1">
      <c r="A61" s="173" t="s">
        <v>344</v>
      </c>
      <c r="B61" s="151">
        <f t="shared" si="1"/>
        <v>55</v>
      </c>
      <c r="C61" s="154"/>
      <c r="D61" s="154"/>
      <c r="E61" s="172">
        <f t="shared" ref="E61:E78" si="6">D61-C61</f>
        <v>0</v>
      </c>
      <c r="F61" s="155" t="str">
        <f t="shared" ref="F61:F78" si="7">IF(AND(C61=0,D61=0),"",IF(C61=0,100%,IF(D61=0,-100%,E61/C61)))</f>
        <v/>
      </c>
      <c r="G61" s="148" t="str">
        <f>IF(F61="","",IF(OR(ABS(F61)&gt;=30%,ABS(E61)&gt;='未审资产负债横向分析B13-2-1'!$D$55*5%,ABS(E61)&gt;=$D$30*10%),"显著",IF(ABS(F61)&gt;=10%,"关注","")))</f>
        <v/>
      </c>
      <c r="H61" s="157"/>
    </row>
    <row r="62" spans="1:8" s="142" customFormat="1" ht="19.95" customHeight="1">
      <c r="A62" s="173" t="s">
        <v>345</v>
      </c>
      <c r="B62" s="151">
        <f t="shared" si="1"/>
        <v>56</v>
      </c>
      <c r="C62" s="154"/>
      <c r="D62" s="154"/>
      <c r="E62" s="172">
        <f t="shared" si="6"/>
        <v>0</v>
      </c>
      <c r="F62" s="155" t="str">
        <f t="shared" si="7"/>
        <v/>
      </c>
      <c r="G62" s="148" t="str">
        <f>IF(F62="","",IF(OR(ABS(F62)&gt;=30%,ABS(E62)&gt;='未审资产负债横向分析B13-2-1'!$D$55*5%,ABS(E62)&gt;=$D$30*10%),"显著",IF(ABS(F62)&gt;=10%,"关注","")))</f>
        <v/>
      </c>
      <c r="H62" s="157"/>
    </row>
    <row r="63" spans="1:8" s="142" customFormat="1" ht="19.95" customHeight="1">
      <c r="A63" s="171" t="s">
        <v>346</v>
      </c>
      <c r="B63" s="151">
        <f t="shared" si="1"/>
        <v>57</v>
      </c>
      <c r="C63" s="154"/>
      <c r="D63" s="154"/>
      <c r="E63" s="172">
        <f t="shared" si="6"/>
        <v>0</v>
      </c>
      <c r="F63" s="155" t="str">
        <f t="shared" si="7"/>
        <v/>
      </c>
      <c r="G63" s="148" t="str">
        <f>IF(F63="","",IF(OR(ABS(F63)&gt;=30%,ABS(E63)&gt;='未审资产负债横向分析B13-2-1'!$D$55*5%,ABS(E63)&gt;=$D$30*10%),"显著",IF(ABS(F63)&gt;=10%,"关注","")))</f>
        <v/>
      </c>
      <c r="H63" s="157"/>
    </row>
    <row r="64" spans="1:8" s="142" customFormat="1" ht="19.95" customHeight="1">
      <c r="A64" s="175" t="s">
        <v>347</v>
      </c>
      <c r="B64" s="151">
        <f t="shared" si="1"/>
        <v>58</v>
      </c>
      <c r="C64" s="154"/>
      <c r="D64" s="154"/>
      <c r="E64" s="172">
        <f t="shared" si="6"/>
        <v>0</v>
      </c>
      <c r="F64" s="155" t="str">
        <f t="shared" si="7"/>
        <v/>
      </c>
      <c r="G64" s="148" t="str">
        <f>IF(F64="","",IF(OR(ABS(F64)&gt;=30%,ABS(E64)&gt;='未审资产负债横向分析B13-2-1'!$D$55*5%,ABS(E64)&gt;=$D$30*10%),"显著",IF(ABS(F64)&gt;=10%,"关注","")))</f>
        <v/>
      </c>
      <c r="H64" s="157"/>
    </row>
    <row r="65" spans="1:8" s="142" customFormat="1" ht="19.95" customHeight="1">
      <c r="A65" s="175" t="s">
        <v>348</v>
      </c>
      <c r="B65" s="151">
        <f t="shared" si="1"/>
        <v>59</v>
      </c>
      <c r="C65" s="154"/>
      <c r="D65" s="154"/>
      <c r="E65" s="172">
        <f t="shared" si="6"/>
        <v>0</v>
      </c>
      <c r="F65" s="155" t="str">
        <f t="shared" si="7"/>
        <v/>
      </c>
      <c r="G65" s="148" t="str">
        <f>IF(F65="","",IF(OR(ABS(F65)&gt;=30%,ABS(E65)&gt;='未审资产负债横向分析B13-2-1'!$D$55*5%,ABS(E65)&gt;=$D$30*10%),"显著",IF(ABS(F65)&gt;=10%,"关注","")))</f>
        <v/>
      </c>
      <c r="H65" s="157"/>
    </row>
    <row r="66" spans="1:8" s="142" customFormat="1" ht="19.95" customHeight="1">
      <c r="A66" s="171" t="s">
        <v>349</v>
      </c>
      <c r="B66" s="151">
        <f t="shared" si="1"/>
        <v>60</v>
      </c>
      <c r="C66" s="176"/>
      <c r="D66" s="176"/>
      <c r="E66" s="172">
        <f t="shared" si="6"/>
        <v>0</v>
      </c>
      <c r="F66" s="155" t="str">
        <f t="shared" si="7"/>
        <v/>
      </c>
      <c r="G66" s="148" t="str">
        <f>IF(F66="","",IF(OR(ABS(F66)&gt;=30%,ABS(E66)&gt;='未审资产负债横向分析B13-2-1'!$D$55*5%,ABS(E66)&gt;=$D$30*10%),"显著",IF(ABS(F66)&gt;=10%,"关注","")))</f>
        <v/>
      </c>
      <c r="H66" s="174"/>
    </row>
    <row r="67" spans="1:8" s="142" customFormat="1" ht="19.95" customHeight="1">
      <c r="A67" s="175" t="s">
        <v>350</v>
      </c>
      <c r="B67" s="151">
        <f t="shared" si="1"/>
        <v>61</v>
      </c>
      <c r="C67" s="154"/>
      <c r="D67" s="154"/>
      <c r="E67" s="172">
        <f t="shared" si="6"/>
        <v>0</v>
      </c>
      <c r="F67" s="155" t="str">
        <f t="shared" si="7"/>
        <v/>
      </c>
      <c r="G67" s="148" t="str">
        <f>IF(F67="","",IF(OR(ABS(F67)&gt;=30%,ABS(E67)&gt;='未审资产负债横向分析B13-2-1'!$D$55*5%,ABS(E67)&gt;=$D$30*10%),"显著",IF(ABS(F67)&gt;=10%,"关注","")))</f>
        <v/>
      </c>
      <c r="H67" s="157"/>
    </row>
    <row r="68" spans="1:8" s="142" customFormat="1" ht="19.95" customHeight="1">
      <c r="A68" s="175" t="s">
        <v>351</v>
      </c>
      <c r="B68" s="151">
        <f t="shared" si="1"/>
        <v>62</v>
      </c>
      <c r="C68" s="154"/>
      <c r="D68" s="154"/>
      <c r="E68" s="172">
        <f t="shared" si="6"/>
        <v>0</v>
      </c>
      <c r="F68" s="155" t="str">
        <f t="shared" si="7"/>
        <v/>
      </c>
      <c r="G68" s="148" t="str">
        <f>IF(F68="","",IF(OR(ABS(F68)&gt;=30%,ABS(E68)&gt;='未审资产负债横向分析B13-2-1'!$D$55*5%,ABS(E68)&gt;=$D$30*10%),"显著",IF(ABS(F68)&gt;=10%,"关注","")))</f>
        <v/>
      </c>
      <c r="H68" s="157"/>
    </row>
    <row r="69" spans="1:8" s="142" customFormat="1" ht="19.95" customHeight="1">
      <c r="A69" s="171" t="s">
        <v>352</v>
      </c>
      <c r="B69" s="151">
        <f t="shared" si="1"/>
        <v>63</v>
      </c>
      <c r="C69" s="176"/>
      <c r="D69" s="176"/>
      <c r="E69" s="172">
        <f t="shared" si="6"/>
        <v>0</v>
      </c>
      <c r="F69" s="155" t="str">
        <f t="shared" si="7"/>
        <v/>
      </c>
      <c r="G69" s="148" t="str">
        <f>IF(F69="","",IF(OR(ABS(F69)&gt;=30%,ABS(E69)&gt;='未审资产负债横向分析B13-2-1'!$D$55*5%,ABS(E69)&gt;=$D$30*10%),"显著",IF(ABS(F69)&gt;=10%,"关注","")))</f>
        <v/>
      </c>
      <c r="H69" s="174"/>
    </row>
    <row r="70" spans="1:8" s="142" customFormat="1" ht="19.95" customHeight="1">
      <c r="A70" s="175" t="s">
        <v>375</v>
      </c>
      <c r="B70" s="151">
        <f t="shared" si="1"/>
        <v>64</v>
      </c>
      <c r="C70" s="154"/>
      <c r="D70" s="154"/>
      <c r="E70" s="172">
        <f t="shared" si="6"/>
        <v>0</v>
      </c>
      <c r="F70" s="155" t="str">
        <f t="shared" si="7"/>
        <v/>
      </c>
      <c r="G70" s="148" t="str">
        <f>IF(F70="","",IF(OR(ABS(F70)&gt;=30%,ABS(E70)&gt;='未审资产负债横向分析B13-2-1'!$D$55*5%,ABS(E70)&gt;=$D$30*10%),"显著",IF(ABS(F70)&gt;=10%,"关注","")))</f>
        <v/>
      </c>
      <c r="H70" s="157"/>
    </row>
    <row r="71" spans="1:8" s="142" customFormat="1" ht="19.95" customHeight="1">
      <c r="A71" s="175" t="s">
        <v>376</v>
      </c>
      <c r="B71" s="151">
        <f t="shared" si="1"/>
        <v>65</v>
      </c>
      <c r="C71" s="154"/>
      <c r="D71" s="154"/>
      <c r="E71" s="172">
        <f t="shared" si="6"/>
        <v>0</v>
      </c>
      <c r="F71" s="155" t="str">
        <f t="shared" si="7"/>
        <v/>
      </c>
      <c r="G71" s="148" t="str">
        <f>IF(F71="","",IF(OR(ABS(F71)&gt;=30%,ABS(E71)&gt;='未审资产负债横向分析B13-2-1'!$D$55*5%,ABS(E71)&gt;=$D$30*10%),"显著",IF(ABS(F71)&gt;=10%,"关注","")))</f>
        <v/>
      </c>
      <c r="H71" s="157"/>
    </row>
    <row r="72" spans="1:8" s="142" customFormat="1" ht="19.95" customHeight="1">
      <c r="A72" s="175" t="s">
        <v>355</v>
      </c>
      <c r="B72" s="151">
        <f t="shared" si="1"/>
        <v>66</v>
      </c>
      <c r="C72" s="154"/>
      <c r="D72" s="154"/>
      <c r="E72" s="172">
        <f t="shared" si="6"/>
        <v>0</v>
      </c>
      <c r="F72" s="155" t="str">
        <f t="shared" si="7"/>
        <v/>
      </c>
      <c r="G72" s="148" t="str">
        <f>IF(F72="","",IF(OR(ABS(F72)&gt;=30%,ABS(E72)&gt;='未审资产负债横向分析B13-2-1'!$D$55*5%,ABS(E72)&gt;=$D$30*10%),"显著",IF(ABS(F72)&gt;=10%,"关注","")))</f>
        <v/>
      </c>
      <c r="H72" s="157"/>
    </row>
    <row r="73" spans="1:8" s="142" customFormat="1" ht="19.95" customHeight="1">
      <c r="A73" s="175" t="s">
        <v>356</v>
      </c>
      <c r="B73" s="151">
        <f t="shared" ref="B73:B78" si="8">B72+1</f>
        <v>67</v>
      </c>
      <c r="C73" s="154"/>
      <c r="D73" s="154"/>
      <c r="E73" s="172">
        <f t="shared" si="6"/>
        <v>0</v>
      </c>
      <c r="F73" s="155" t="str">
        <f t="shared" si="7"/>
        <v/>
      </c>
      <c r="G73" s="148" t="str">
        <f>IF(F73="","",IF(OR(ABS(F73)&gt;=30%,ABS(E73)&gt;='未审资产负债横向分析B13-2-1'!$D$55*5%,ABS(E73)&gt;=$D$30*10%),"显著",IF(ABS(F73)&gt;=10%,"关注","")))</f>
        <v/>
      </c>
      <c r="H73" s="157"/>
    </row>
    <row r="74" spans="1:8" s="142" customFormat="1" ht="19.95" customHeight="1">
      <c r="A74" s="175" t="s">
        <v>377</v>
      </c>
      <c r="B74" s="151">
        <f t="shared" si="8"/>
        <v>68</v>
      </c>
      <c r="C74" s="154"/>
      <c r="D74" s="154"/>
      <c r="E74" s="172">
        <f t="shared" si="6"/>
        <v>0</v>
      </c>
      <c r="F74" s="155" t="str">
        <f t="shared" si="7"/>
        <v/>
      </c>
      <c r="G74" s="148" t="str">
        <f>IF(F74="","",IF(OR(ABS(F74)&gt;=30%,ABS(E74)&gt;='未审资产负债横向分析B13-2-1'!$D$55*5%,ABS(E74)&gt;=$D$30*10%),"显著",IF(ABS(F74)&gt;=10%,"关注","")))</f>
        <v/>
      </c>
      <c r="H74" s="157"/>
    </row>
    <row r="75" spans="1:8" s="142" customFormat="1" ht="19.95" customHeight="1">
      <c r="A75" s="175" t="s">
        <v>358</v>
      </c>
      <c r="B75" s="151">
        <f t="shared" si="8"/>
        <v>69</v>
      </c>
      <c r="C75" s="154"/>
      <c r="D75" s="154"/>
      <c r="E75" s="172">
        <f t="shared" si="6"/>
        <v>0</v>
      </c>
      <c r="F75" s="155" t="str">
        <f t="shared" si="7"/>
        <v/>
      </c>
      <c r="G75" s="148" t="str">
        <f>IF(F75="","",IF(OR(ABS(F75)&gt;=30%,ABS(E75)&gt;='未审资产负债横向分析B13-2-1'!$D$55*5%,ABS(E75)&gt;=$D$30*10%),"显著",IF(ABS(F75)&gt;=10%,"关注","")))</f>
        <v/>
      </c>
      <c r="H75" s="157"/>
    </row>
    <row r="76" spans="1:8" s="142" customFormat="1" ht="19.95" customHeight="1">
      <c r="A76" s="175" t="s">
        <v>359</v>
      </c>
      <c r="B76" s="151">
        <f t="shared" si="8"/>
        <v>70</v>
      </c>
      <c r="C76" s="154"/>
      <c r="D76" s="154"/>
      <c r="E76" s="172">
        <f t="shared" si="6"/>
        <v>0</v>
      </c>
      <c r="F76" s="155" t="str">
        <f t="shared" si="7"/>
        <v/>
      </c>
      <c r="G76" s="148" t="str">
        <f>IF(F76="","",IF(OR(ABS(F76)&gt;=30%,ABS(E76)&gt;='未审资产负债横向分析B13-2-1'!$D$55*5%,ABS(E76)&gt;=$D$30*10%),"显著",IF(ABS(F76)&gt;=10%,"关注","")))</f>
        <v/>
      </c>
      <c r="H76" s="157"/>
    </row>
    <row r="77" spans="1:8" s="142" customFormat="1" ht="19.95" customHeight="1">
      <c r="A77" s="175" t="s">
        <v>360</v>
      </c>
      <c r="B77" s="151">
        <f t="shared" si="8"/>
        <v>71</v>
      </c>
      <c r="C77" s="154"/>
      <c r="D77" s="154"/>
      <c r="E77" s="172">
        <f t="shared" si="6"/>
        <v>0</v>
      </c>
      <c r="F77" s="155" t="str">
        <f t="shared" si="7"/>
        <v/>
      </c>
      <c r="G77" s="148" t="str">
        <f>IF(F77="","",IF(OR(ABS(F77)&gt;=30%,ABS(E77)&gt;='未审资产负债横向分析B13-2-1'!$D$55*5%,ABS(E77)&gt;=$D$30*10%),"显著",IF(ABS(F77)&gt;=10%,"关注","")))</f>
        <v/>
      </c>
      <c r="H77" s="157"/>
    </row>
    <row r="78" spans="1:8" s="142" customFormat="1" ht="19.95" customHeight="1">
      <c r="A78" s="175" t="s">
        <v>361</v>
      </c>
      <c r="B78" s="151">
        <f t="shared" si="8"/>
        <v>72</v>
      </c>
      <c r="C78" s="154"/>
      <c r="D78" s="154"/>
      <c r="E78" s="172">
        <f t="shared" si="6"/>
        <v>0</v>
      </c>
      <c r="F78" s="155" t="str">
        <f t="shared" si="7"/>
        <v/>
      </c>
      <c r="G78" s="148" t="str">
        <f>IF(F78="","",IF(OR(ABS(F78)&gt;=30%,ABS(E78)&gt;='未审资产负债横向分析B13-2-1'!$D$55*5%,ABS(E78)&gt;=$D$30*10%),"显著",IF(ABS(F78)&gt;=10%,"关注","")))</f>
        <v/>
      </c>
      <c r="H78" s="157"/>
    </row>
    <row r="79" spans="1:8" s="142" customFormat="1" ht="19.95" customHeight="1">
      <c r="A79" s="177" t="s">
        <v>362</v>
      </c>
      <c r="B79" s="197">
        <f t="shared" ref="B79:B80" si="9">B78+1</f>
        <v>73</v>
      </c>
      <c r="C79" s="180"/>
      <c r="D79" s="180"/>
      <c r="E79" s="198">
        <f t="shared" ref="E79:E80" si="10">D79-C79</f>
        <v>0</v>
      </c>
      <c r="F79" s="181" t="str">
        <f>IF(AND(C79=0,D79=0),"",IF(C79=0,100%,IF(D79=0,-100%,E79/C79)))</f>
        <v/>
      </c>
      <c r="G79" s="182" t="str">
        <f>IF(F79="","",IF(OR(ABS(F79)&gt;=30%,ABS(E79)&gt;='未审资产负债横向分析B13-2-1'!$D$55*5%,ABS(E79)&gt;=$D$30*10%),"显著",IF(ABS(F79)&gt;=10%,"关注","")))</f>
        <v/>
      </c>
      <c r="H79" s="183"/>
    </row>
    <row r="80" spans="1:8" ht="19.95" customHeight="1" thickBot="1">
      <c r="A80" s="184" t="s">
        <v>363</v>
      </c>
      <c r="B80" s="199">
        <f t="shared" si="9"/>
        <v>74</v>
      </c>
      <c r="C80" s="200">
        <f>C74-SUM(C75:C79)</f>
        <v>0</v>
      </c>
      <c r="D80" s="200">
        <f>D74-SUM(D75:D79)</f>
        <v>0</v>
      </c>
      <c r="E80" s="200">
        <f t="shared" si="10"/>
        <v>0</v>
      </c>
      <c r="F80" s="201" t="str">
        <f t="shared" ref="F80" si="11">IF(AND(C80=0,D80=0),"",IF(C80=0,100%,IF(D80=0,-100%,E80/C80)))</f>
        <v/>
      </c>
      <c r="G80" s="202" t="str">
        <f>IF(F80="","",IF(OR(ABS(F80)&gt;=30%,ABS(E80)&gt;='未审资产负债横向分析B13-2-1'!$D$55*5%,ABS(E80)&gt;=$D$30*10%),"显著",IF(ABS(F80)&gt;=10%,"关注","")))</f>
        <v/>
      </c>
      <c r="H80" s="203"/>
    </row>
    <row r="83" spans="6:6" ht="19.95" customHeight="1">
      <c r="F83" s="189"/>
    </row>
    <row r="84" spans="6:6" ht="19.95" customHeight="1">
      <c r="F84" s="190"/>
    </row>
  </sheetData>
  <sheetProtection insertRows="0"/>
  <mergeCells count="7">
    <mergeCell ref="A1:H1"/>
    <mergeCell ref="A4:A6"/>
    <mergeCell ref="B4:B6"/>
    <mergeCell ref="C4:C5"/>
    <mergeCell ref="D4:D5"/>
    <mergeCell ref="G4:G6"/>
    <mergeCell ref="H4:H6"/>
  </mergeCells>
  <phoneticPr fontId="3" type="noConversion"/>
  <conditionalFormatting sqref="G7:G80">
    <cfRule type="cellIs" dxfId="5" priority="10" stopIfTrue="1" operator="equal">
      <formula>"显著"</formula>
    </cfRule>
  </conditionalFormatting>
  <conditionalFormatting sqref="H8">
    <cfRule type="cellIs" dxfId="4" priority="9" stopIfTrue="1" operator="equal">
      <formula>"异常"</formula>
    </cfRule>
  </conditionalFormatting>
  <printOptions horizontalCentered="1"/>
  <pageMargins left="0.70866141732283472" right="0.70866141732283472" top="0.74803149606299213" bottom="0.74803149606299213" header="0.31496062992125984" footer="0.31496062992125984"/>
  <pageSetup paperSize="9" scale="44" orientation="portrait" blackAndWhite="1" r:id="rId1"/>
  <headerFooter alignWithMargins="0">
    <oddFooter>&amp;C&amp;P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K84"/>
  <sheetViews>
    <sheetView showZeros="0" view="pageBreakPreview" zoomScaleNormal="100" zoomScaleSheetLayoutView="100" workbookViewId="0">
      <pane xSplit="2" ySplit="6" topLeftCell="C74" activePane="bottomRight" state="frozen"/>
      <selection activeCell="E58" sqref="E58"/>
      <selection pane="topRight" activeCell="E58" sqref="E58"/>
      <selection pane="bottomLeft" activeCell="E58" sqref="E58"/>
      <selection pane="bottomRight" activeCell="C82" sqref="C82"/>
    </sheetView>
  </sheetViews>
  <sheetFormatPr defaultColWidth="10.33203125" defaultRowHeight="19.95" customHeight="1"/>
  <cols>
    <col min="1" max="1" width="50.33203125" style="13" customWidth="1"/>
    <col min="2" max="2" width="5.109375" style="13" customWidth="1"/>
    <col min="3" max="3" width="12.44140625" style="13" customWidth="1"/>
    <col min="4" max="4" width="8.109375" style="13" customWidth="1"/>
    <col min="5" max="5" width="12.33203125" style="13" customWidth="1"/>
    <col min="6" max="6" width="8.109375" style="13" customWidth="1"/>
    <col min="7" max="7" width="10.6640625" style="13" customWidth="1"/>
    <col min="8" max="8" width="8.6640625" style="13" customWidth="1"/>
    <col min="9" max="9" width="30.21875" style="13" customWidth="1"/>
    <col min="10" max="16384" width="10.33203125" style="13"/>
  </cols>
  <sheetData>
    <row r="1" spans="1:10" s="243" customFormat="1" ht="27" customHeight="1">
      <c r="A1" s="256" t="s">
        <v>30</v>
      </c>
      <c r="B1" s="256"/>
      <c r="C1" s="256"/>
      <c r="D1" s="256"/>
      <c r="E1" s="256"/>
      <c r="F1" s="256"/>
      <c r="G1" s="256"/>
      <c r="H1" s="256"/>
      <c r="I1" s="256"/>
    </row>
    <row r="2" spans="1:10" s="15" customFormat="1" ht="19.95" customHeight="1">
      <c r="A2" s="14" t="str">
        <f>'未审利润横向分析B13-3-1'!A2</f>
        <v>被审计单位：ABC公司</v>
      </c>
      <c r="B2" s="16" t="str">
        <f>'未审利润横向分析B13-3-1'!B2</f>
        <v>编制人：张三</v>
      </c>
      <c r="F2" s="14" t="str">
        <f>'未审利润横向分析B13-3-1'!E2</f>
        <v>编制日期：2025.X.X</v>
      </c>
      <c r="I2" s="16" t="s">
        <v>290</v>
      </c>
      <c r="J2" s="14"/>
    </row>
    <row r="3" spans="1:10" s="15" customFormat="1" ht="19.95" customHeight="1" thickBot="1">
      <c r="A3" s="14" t="str">
        <f>'未审利润横向分析B13-3-1'!A3</f>
        <v>会计期间：202X年度</v>
      </c>
      <c r="B3" s="16" t="str">
        <f>'未审利润横向分析B13-3-1'!B3</f>
        <v>复核人：李四</v>
      </c>
      <c r="F3" s="16" t="str">
        <f>'未审利润横向分析B13-3-1'!E3</f>
        <v>复核日期：2025.X.X</v>
      </c>
      <c r="I3" s="16" t="s">
        <v>69</v>
      </c>
      <c r="J3" s="14"/>
    </row>
    <row r="4" spans="1:10" s="142" customFormat="1" ht="19.95" customHeight="1">
      <c r="A4" s="276" t="s">
        <v>291</v>
      </c>
      <c r="B4" s="279" t="s">
        <v>292</v>
      </c>
      <c r="C4" s="248" t="s">
        <v>73</v>
      </c>
      <c r="D4" s="248"/>
      <c r="E4" s="248" t="s">
        <v>293</v>
      </c>
      <c r="F4" s="248"/>
      <c r="G4" s="282" t="s">
        <v>294</v>
      </c>
      <c r="H4" s="250" t="s">
        <v>75</v>
      </c>
      <c r="I4" s="269" t="s">
        <v>295</v>
      </c>
    </row>
    <row r="5" spans="1:10" s="142" customFormat="1" ht="19.95" customHeight="1">
      <c r="A5" s="277"/>
      <c r="B5" s="280"/>
      <c r="C5" s="18" t="s">
        <v>296</v>
      </c>
      <c r="D5" s="18" t="s">
        <v>297</v>
      </c>
      <c r="E5" s="18" t="s">
        <v>298</v>
      </c>
      <c r="F5" s="18" t="s">
        <v>297</v>
      </c>
      <c r="G5" s="249"/>
      <c r="H5" s="251"/>
      <c r="I5" s="270"/>
    </row>
    <row r="6" spans="1:10" s="142" customFormat="1" ht="19.95" customHeight="1">
      <c r="A6" s="278"/>
      <c r="B6" s="281"/>
      <c r="C6" s="20" t="s">
        <v>80</v>
      </c>
      <c r="D6" s="20" t="s">
        <v>299</v>
      </c>
      <c r="E6" s="20" t="s">
        <v>300</v>
      </c>
      <c r="F6" s="20" t="s">
        <v>301</v>
      </c>
      <c r="G6" s="20" t="s">
        <v>302</v>
      </c>
      <c r="H6" s="252"/>
      <c r="I6" s="271"/>
    </row>
    <row r="7" spans="1:10" s="142" customFormat="1" ht="19.95" customHeight="1">
      <c r="A7" s="143" t="s">
        <v>303</v>
      </c>
      <c r="B7" s="144">
        <v>1</v>
      </c>
      <c r="C7" s="145"/>
      <c r="D7" s="146" t="str">
        <f>IF(AND(C7&lt;&gt;0,$C$7&lt;&gt;0),C7/$C$7,"")</f>
        <v/>
      </c>
      <c r="E7" s="145"/>
      <c r="F7" s="146" t="str">
        <f>IF(AND(E7&lt;&gt;0,$E$7&lt;&gt;0),E7/$E$7,"")</f>
        <v/>
      </c>
      <c r="G7" s="147" t="str">
        <f>IF(AND(D7="",F7=""),"",IF(D7="",F7,IF(F7="",-D7,F7-D7)))</f>
        <v/>
      </c>
      <c r="H7" s="148" t="str">
        <f>IF(G7="","",IF(ABS(G7)&gt;=30%,"显著",IF(ABS(G7)&gt;=10%,"关注","")))</f>
        <v/>
      </c>
      <c r="I7" s="149"/>
    </row>
    <row r="8" spans="1:10" s="142" customFormat="1" ht="19.95" customHeight="1">
      <c r="A8" s="150" t="s">
        <v>304</v>
      </c>
      <c r="B8" s="151">
        <f>B7+1</f>
        <v>2</v>
      </c>
      <c r="C8" s="152"/>
      <c r="D8" s="153" t="str">
        <f t="shared" ref="D8:D79" si="0">IF(AND(C8&lt;&gt;0,$C$7&lt;&gt;0),C8/$C$7,"")</f>
        <v/>
      </c>
      <c r="E8" s="154"/>
      <c r="F8" s="153" t="str">
        <f t="shared" ref="F8:F78" si="1">IF(AND(E8&lt;&gt;0,$E$7&lt;&gt;0),E8/$E$7,"")</f>
        <v/>
      </c>
      <c r="G8" s="155" t="str">
        <f>IF(AND(D8="",F8=""),"",IF(D8="",F8,IF(F8="",-D8,F8-D8)))</f>
        <v/>
      </c>
      <c r="H8" s="148" t="str">
        <f>IF(G8="","",IF(ABS(G8)&gt;=30%,"显著",IF(ABS(G8)&gt;=10%,"关注","")))</f>
        <v/>
      </c>
      <c r="I8" s="156"/>
    </row>
    <row r="9" spans="1:10" s="142" customFormat="1" ht="19.95" customHeight="1">
      <c r="A9" s="150" t="s">
        <v>305</v>
      </c>
      <c r="B9" s="151">
        <f t="shared" ref="B9:B72" si="2">B8+1</f>
        <v>3</v>
      </c>
      <c r="C9" s="152"/>
      <c r="D9" s="153" t="str">
        <f t="shared" si="0"/>
        <v/>
      </c>
      <c r="E9" s="154"/>
      <c r="F9" s="153" t="str">
        <f t="shared" si="1"/>
        <v/>
      </c>
      <c r="G9" s="155" t="str">
        <f t="shared" ref="G9:G28" si="3">IF(AND(D9="",F9=""),"",IF(D9="",F9,IF(F9="",-D9,F9-D9)))</f>
        <v/>
      </c>
      <c r="H9" s="148" t="str">
        <f t="shared" ref="H9:H28" si="4">IF(G9="","",IF(ABS(G9)&gt;=30%,"显著",IF(ABS(G9)&gt;=10%,"关注","")))</f>
        <v/>
      </c>
      <c r="I9" s="157"/>
    </row>
    <row r="10" spans="1:10" s="142" customFormat="1" ht="19.95" customHeight="1">
      <c r="A10" s="150" t="s">
        <v>306</v>
      </c>
      <c r="B10" s="151">
        <f t="shared" si="2"/>
        <v>4</v>
      </c>
      <c r="C10" s="152"/>
      <c r="D10" s="153" t="str">
        <f t="shared" si="0"/>
        <v/>
      </c>
      <c r="E10" s="154"/>
      <c r="F10" s="153" t="str">
        <f t="shared" si="1"/>
        <v/>
      </c>
      <c r="G10" s="155" t="str">
        <f t="shared" si="3"/>
        <v/>
      </c>
      <c r="H10" s="148" t="str">
        <f t="shared" si="4"/>
        <v/>
      </c>
      <c r="I10" s="157"/>
    </row>
    <row r="11" spans="1:10" s="142" customFormat="1" ht="19.95" customHeight="1">
      <c r="A11" s="150" t="s">
        <v>307</v>
      </c>
      <c r="B11" s="151">
        <f t="shared" si="2"/>
        <v>5</v>
      </c>
      <c r="C11" s="152"/>
      <c r="D11" s="153" t="str">
        <f t="shared" si="0"/>
        <v/>
      </c>
      <c r="E11" s="154"/>
      <c r="F11" s="153" t="str">
        <f t="shared" si="1"/>
        <v/>
      </c>
      <c r="G11" s="155" t="str">
        <f t="shared" si="3"/>
        <v/>
      </c>
      <c r="H11" s="148" t="str">
        <f t="shared" si="4"/>
        <v/>
      </c>
      <c r="I11" s="157"/>
    </row>
    <row r="12" spans="1:10" s="142" customFormat="1" ht="19.95" customHeight="1">
      <c r="A12" s="150" t="s">
        <v>308</v>
      </c>
      <c r="B12" s="151">
        <f t="shared" si="2"/>
        <v>6</v>
      </c>
      <c r="C12" s="152"/>
      <c r="D12" s="153" t="str">
        <f t="shared" si="0"/>
        <v/>
      </c>
      <c r="E12" s="154"/>
      <c r="F12" s="153" t="str">
        <f t="shared" si="1"/>
        <v/>
      </c>
      <c r="G12" s="155" t="str">
        <f t="shared" si="3"/>
        <v/>
      </c>
      <c r="H12" s="148" t="str">
        <f t="shared" si="4"/>
        <v/>
      </c>
      <c r="I12" s="157"/>
    </row>
    <row r="13" spans="1:10" s="142" customFormat="1" ht="19.95" customHeight="1">
      <c r="A13" s="150" t="s">
        <v>16</v>
      </c>
      <c r="B13" s="151">
        <f t="shared" si="2"/>
        <v>7</v>
      </c>
      <c r="C13" s="152"/>
      <c r="D13" s="153" t="str">
        <f t="shared" si="0"/>
        <v/>
      </c>
      <c r="E13" s="154"/>
      <c r="F13" s="153" t="str">
        <f t="shared" si="1"/>
        <v/>
      </c>
      <c r="G13" s="155" t="str">
        <f t="shared" si="3"/>
        <v/>
      </c>
      <c r="H13" s="148" t="str">
        <f t="shared" si="4"/>
        <v/>
      </c>
      <c r="I13" s="157"/>
    </row>
    <row r="14" spans="1:10" s="142" customFormat="1" ht="19.95" customHeight="1">
      <c r="A14" s="150" t="s">
        <v>309</v>
      </c>
      <c r="B14" s="151">
        <f t="shared" si="2"/>
        <v>8</v>
      </c>
      <c r="C14" s="152"/>
      <c r="D14" s="153" t="str">
        <f t="shared" si="0"/>
        <v/>
      </c>
      <c r="E14" s="154"/>
      <c r="F14" s="153" t="str">
        <f t="shared" si="1"/>
        <v/>
      </c>
      <c r="G14" s="155" t="str">
        <f t="shared" si="3"/>
        <v/>
      </c>
      <c r="H14" s="148" t="str">
        <f t="shared" si="4"/>
        <v/>
      </c>
      <c r="I14" s="157"/>
    </row>
    <row r="15" spans="1:10" s="142" customFormat="1" ht="19.95" customHeight="1">
      <c r="A15" s="150" t="s">
        <v>310</v>
      </c>
      <c r="B15" s="151">
        <f t="shared" si="2"/>
        <v>9</v>
      </c>
      <c r="C15" s="152"/>
      <c r="D15" s="153" t="str">
        <f t="shared" si="0"/>
        <v/>
      </c>
      <c r="E15" s="154"/>
      <c r="F15" s="153" t="str">
        <f t="shared" si="1"/>
        <v/>
      </c>
      <c r="G15" s="155" t="str">
        <f t="shared" si="3"/>
        <v/>
      </c>
      <c r="H15" s="148" t="str">
        <f t="shared" si="4"/>
        <v/>
      </c>
      <c r="I15" s="157"/>
    </row>
    <row r="16" spans="1:10" s="158" customFormat="1" ht="19.95" customHeight="1">
      <c r="A16" s="150" t="s">
        <v>311</v>
      </c>
      <c r="B16" s="151">
        <f t="shared" si="2"/>
        <v>10</v>
      </c>
      <c r="C16" s="152"/>
      <c r="D16" s="153" t="str">
        <f t="shared" si="0"/>
        <v/>
      </c>
      <c r="E16" s="154"/>
      <c r="F16" s="153" t="str">
        <f t="shared" si="1"/>
        <v/>
      </c>
      <c r="G16" s="155" t="str">
        <f t="shared" si="3"/>
        <v/>
      </c>
      <c r="H16" s="148" t="str">
        <f t="shared" si="4"/>
        <v/>
      </c>
      <c r="I16" s="157"/>
    </row>
    <row r="17" spans="1:11" s="142" customFormat="1" ht="19.95" customHeight="1">
      <c r="A17" s="150" t="s">
        <v>312</v>
      </c>
      <c r="B17" s="151">
        <f t="shared" si="2"/>
        <v>11</v>
      </c>
      <c r="C17" s="152"/>
      <c r="D17" s="153" t="str">
        <f t="shared" si="0"/>
        <v/>
      </c>
      <c r="E17" s="154"/>
      <c r="F17" s="153" t="str">
        <f t="shared" si="1"/>
        <v/>
      </c>
      <c r="G17" s="155" t="str">
        <f t="shared" si="3"/>
        <v/>
      </c>
      <c r="H17" s="148" t="str">
        <f t="shared" si="4"/>
        <v/>
      </c>
      <c r="I17" s="157"/>
    </row>
    <row r="18" spans="1:11" s="142" customFormat="1" ht="19.95" customHeight="1">
      <c r="A18" s="150" t="s">
        <v>313</v>
      </c>
      <c r="B18" s="151">
        <f t="shared" si="2"/>
        <v>12</v>
      </c>
      <c r="C18" s="152"/>
      <c r="D18" s="153" t="str">
        <f t="shared" si="0"/>
        <v/>
      </c>
      <c r="E18" s="154"/>
      <c r="F18" s="153" t="str">
        <f t="shared" si="1"/>
        <v/>
      </c>
      <c r="G18" s="155" t="str">
        <f t="shared" si="3"/>
        <v/>
      </c>
      <c r="H18" s="148" t="str">
        <f t="shared" si="4"/>
        <v/>
      </c>
      <c r="I18" s="157"/>
    </row>
    <row r="19" spans="1:11" s="142" customFormat="1" ht="19.95" customHeight="1">
      <c r="A19" s="150" t="s">
        <v>314</v>
      </c>
      <c r="B19" s="151">
        <f t="shared" si="2"/>
        <v>13</v>
      </c>
      <c r="C19" s="152"/>
      <c r="D19" s="153" t="str">
        <f t="shared" si="0"/>
        <v/>
      </c>
      <c r="E19" s="154"/>
      <c r="F19" s="153" t="str">
        <f t="shared" si="1"/>
        <v/>
      </c>
      <c r="G19" s="155" t="str">
        <f t="shared" si="3"/>
        <v/>
      </c>
      <c r="H19" s="148" t="str">
        <f t="shared" si="4"/>
        <v/>
      </c>
      <c r="I19" s="157"/>
    </row>
    <row r="20" spans="1:11" s="142" customFormat="1" ht="19.95" customHeight="1">
      <c r="A20" s="150" t="s">
        <v>315</v>
      </c>
      <c r="B20" s="151">
        <f t="shared" si="2"/>
        <v>14</v>
      </c>
      <c r="C20" s="152"/>
      <c r="D20" s="153" t="str">
        <f t="shared" si="0"/>
        <v/>
      </c>
      <c r="E20" s="154"/>
      <c r="F20" s="153" t="str">
        <f t="shared" si="1"/>
        <v/>
      </c>
      <c r="G20" s="155" t="str">
        <f t="shared" si="3"/>
        <v/>
      </c>
      <c r="H20" s="148" t="str">
        <f t="shared" si="4"/>
        <v/>
      </c>
      <c r="I20" s="157"/>
    </row>
    <row r="21" spans="1:11" s="142" customFormat="1" ht="19.95" customHeight="1">
      <c r="A21" s="150" t="s">
        <v>316</v>
      </c>
      <c r="B21" s="151">
        <f t="shared" si="2"/>
        <v>15</v>
      </c>
      <c r="C21" s="152"/>
      <c r="D21" s="153" t="str">
        <f t="shared" si="0"/>
        <v/>
      </c>
      <c r="E21" s="154"/>
      <c r="F21" s="153" t="str">
        <f t="shared" si="1"/>
        <v/>
      </c>
      <c r="G21" s="155" t="str">
        <f t="shared" si="3"/>
        <v/>
      </c>
      <c r="H21" s="148" t="str">
        <f t="shared" si="4"/>
        <v/>
      </c>
      <c r="I21" s="157"/>
    </row>
    <row r="22" spans="1:11" s="142" customFormat="1" ht="19.95" customHeight="1">
      <c r="A22" s="150" t="s">
        <v>317</v>
      </c>
      <c r="B22" s="151">
        <f t="shared" si="2"/>
        <v>16</v>
      </c>
      <c r="C22" s="152"/>
      <c r="D22" s="153" t="str">
        <f t="shared" si="0"/>
        <v/>
      </c>
      <c r="E22" s="154"/>
      <c r="F22" s="153" t="str">
        <f t="shared" si="1"/>
        <v/>
      </c>
      <c r="G22" s="155" t="str">
        <f t="shared" si="3"/>
        <v/>
      </c>
      <c r="H22" s="148" t="str">
        <f t="shared" si="4"/>
        <v/>
      </c>
      <c r="I22" s="157"/>
      <c r="K22" s="150"/>
    </row>
    <row r="23" spans="1:11" s="142" customFormat="1" ht="19.95" customHeight="1">
      <c r="A23" s="150" t="s">
        <v>318</v>
      </c>
      <c r="B23" s="151">
        <f t="shared" si="2"/>
        <v>17</v>
      </c>
      <c r="C23" s="152"/>
      <c r="D23" s="153" t="str">
        <f t="shared" si="0"/>
        <v/>
      </c>
      <c r="E23" s="154"/>
      <c r="F23" s="153" t="str">
        <f t="shared" si="1"/>
        <v/>
      </c>
      <c r="G23" s="155" t="str">
        <f t="shared" si="3"/>
        <v/>
      </c>
      <c r="H23" s="148" t="str">
        <f t="shared" si="4"/>
        <v/>
      </c>
      <c r="I23" s="157"/>
    </row>
    <row r="24" spans="1:11" s="142" customFormat="1" ht="25.8" customHeight="1">
      <c r="A24" s="159" t="s">
        <v>319</v>
      </c>
      <c r="B24" s="151">
        <f t="shared" si="2"/>
        <v>18</v>
      </c>
      <c r="C24" s="152"/>
      <c r="D24" s="153" t="str">
        <f t="shared" si="0"/>
        <v/>
      </c>
      <c r="E24" s="154"/>
      <c r="F24" s="153" t="str">
        <f t="shared" si="1"/>
        <v/>
      </c>
      <c r="G24" s="155" t="str">
        <f t="shared" si="3"/>
        <v/>
      </c>
      <c r="H24" s="148" t="str">
        <f t="shared" si="4"/>
        <v/>
      </c>
      <c r="I24" s="157"/>
    </row>
    <row r="25" spans="1:11" s="142" customFormat="1" ht="19.95" customHeight="1">
      <c r="A25" s="150" t="s">
        <v>320</v>
      </c>
      <c r="B25" s="151">
        <f t="shared" si="2"/>
        <v>19</v>
      </c>
      <c r="C25" s="152"/>
      <c r="D25" s="153" t="str">
        <f t="shared" si="0"/>
        <v/>
      </c>
      <c r="E25" s="154"/>
      <c r="F25" s="153" t="str">
        <f t="shared" si="1"/>
        <v/>
      </c>
      <c r="G25" s="155" t="str">
        <f t="shared" si="3"/>
        <v/>
      </c>
      <c r="H25" s="148" t="str">
        <f t="shared" si="4"/>
        <v/>
      </c>
      <c r="I25" s="157"/>
    </row>
    <row r="26" spans="1:11" s="142" customFormat="1" ht="19.95" customHeight="1">
      <c r="A26" s="150" t="s">
        <v>321</v>
      </c>
      <c r="B26" s="151">
        <f t="shared" si="2"/>
        <v>20</v>
      </c>
      <c r="C26" s="152"/>
      <c r="D26" s="153" t="str">
        <f t="shared" si="0"/>
        <v/>
      </c>
      <c r="E26" s="154"/>
      <c r="F26" s="153" t="str">
        <f t="shared" si="1"/>
        <v/>
      </c>
      <c r="G26" s="155" t="str">
        <f t="shared" si="3"/>
        <v/>
      </c>
      <c r="H26" s="148" t="str">
        <f t="shared" si="4"/>
        <v/>
      </c>
      <c r="I26" s="157"/>
    </row>
    <row r="27" spans="1:11" s="142" customFormat="1" ht="19.95" customHeight="1">
      <c r="A27" s="150" t="s">
        <v>322</v>
      </c>
      <c r="B27" s="151">
        <f t="shared" si="2"/>
        <v>21</v>
      </c>
      <c r="C27" s="152"/>
      <c r="D27" s="153" t="str">
        <f t="shared" si="0"/>
        <v/>
      </c>
      <c r="E27" s="154"/>
      <c r="F27" s="153" t="str">
        <f t="shared" si="1"/>
        <v/>
      </c>
      <c r="G27" s="155" t="str">
        <f t="shared" si="3"/>
        <v/>
      </c>
      <c r="H27" s="148" t="str">
        <f t="shared" si="4"/>
        <v/>
      </c>
      <c r="I27" s="157"/>
    </row>
    <row r="28" spans="1:11" s="142" customFormat="1" ht="19.95" customHeight="1">
      <c r="A28" s="150" t="s">
        <v>323</v>
      </c>
      <c r="B28" s="151">
        <f t="shared" si="2"/>
        <v>22</v>
      </c>
      <c r="C28" s="152"/>
      <c r="D28" s="153" t="str">
        <f t="shared" si="0"/>
        <v/>
      </c>
      <c r="E28" s="154"/>
      <c r="F28" s="153" t="str">
        <f t="shared" si="1"/>
        <v/>
      </c>
      <c r="G28" s="155" t="str">
        <f t="shared" si="3"/>
        <v/>
      </c>
      <c r="H28" s="148" t="str">
        <f t="shared" si="4"/>
        <v/>
      </c>
      <c r="I28" s="157"/>
    </row>
    <row r="29" spans="1:11" s="142" customFormat="1" ht="19.95" customHeight="1">
      <c r="A29" s="150" t="s">
        <v>324</v>
      </c>
      <c r="B29" s="151">
        <f t="shared" si="2"/>
        <v>23</v>
      </c>
      <c r="C29" s="152"/>
      <c r="D29" s="153" t="str">
        <f t="shared" si="0"/>
        <v/>
      </c>
      <c r="E29" s="154"/>
      <c r="F29" s="153" t="str">
        <f t="shared" si="1"/>
        <v/>
      </c>
      <c r="G29" s="155" t="str">
        <f>IF(AND(D29="",F29=""),"",IF(D29="",F29,IF(F29="",-D29,F29-D29)))</f>
        <v/>
      </c>
      <c r="H29" s="148" t="str">
        <f>IF(G29="","",IF(ABS(G29)&gt;=30%,"显著",IF(ABS(G29)&gt;=10%,"关注","")))</f>
        <v/>
      </c>
      <c r="I29" s="157"/>
    </row>
    <row r="30" spans="1:11" s="142" customFormat="1" ht="19.95" customHeight="1">
      <c r="A30" s="160" t="s">
        <v>325</v>
      </c>
      <c r="B30" s="151">
        <f t="shared" si="2"/>
        <v>24</v>
      </c>
      <c r="C30" s="161">
        <f>SUM(C7)-SUM(C10,C13,C14,C15,C17,C18)+SUM(C21,C22,C25,C26,C27,C28,C29)</f>
        <v>0</v>
      </c>
      <c r="D30" s="162" t="str">
        <f t="shared" si="0"/>
        <v/>
      </c>
      <c r="E30" s="161">
        <f>SUM(E7)-SUM(E10,E13,E14,E15,E17,E18)+SUM(E21,E22,E25,E26,E27,E28,E29)</f>
        <v>0</v>
      </c>
      <c r="F30" s="163" t="str">
        <f>IF(AND(E30&lt;&gt;0,$E$7&lt;&gt;0),E30/$E$7,"")</f>
        <v/>
      </c>
      <c r="G30" s="164" t="str">
        <f t="shared" ref="G30:G41" si="5">IF(AND(D30="",F30=""),"",IF(D30="",F30,IF(F30="",-D30,F30-D30)))</f>
        <v/>
      </c>
      <c r="H30" s="165" t="str">
        <f t="shared" ref="H30:H38" si="6">IF(G30="","",IF(ABS(G30)&gt;=30%,"显著",IF(ABS(G30)&gt;=10%,"关注","")))</f>
        <v/>
      </c>
      <c r="I30" s="166"/>
    </row>
    <row r="31" spans="1:11" s="142" customFormat="1" ht="19.95" customHeight="1">
      <c r="A31" s="150" t="s">
        <v>326</v>
      </c>
      <c r="B31" s="151">
        <f t="shared" si="2"/>
        <v>25</v>
      </c>
      <c r="C31" s="167"/>
      <c r="D31" s="168" t="str">
        <f t="shared" si="0"/>
        <v/>
      </c>
      <c r="E31" s="169"/>
      <c r="F31" s="153" t="str">
        <f t="shared" si="1"/>
        <v/>
      </c>
      <c r="G31" s="155" t="str">
        <f t="shared" si="5"/>
        <v/>
      </c>
      <c r="H31" s="148" t="str">
        <f t="shared" si="6"/>
        <v/>
      </c>
      <c r="I31" s="157"/>
    </row>
    <row r="32" spans="1:11" s="142" customFormat="1" ht="19.95" customHeight="1">
      <c r="A32" s="150" t="s">
        <v>327</v>
      </c>
      <c r="B32" s="151">
        <f t="shared" si="2"/>
        <v>26</v>
      </c>
      <c r="C32" s="167"/>
      <c r="D32" s="168" t="str">
        <f t="shared" si="0"/>
        <v/>
      </c>
      <c r="E32" s="169"/>
      <c r="F32" s="153" t="str">
        <f t="shared" si="1"/>
        <v/>
      </c>
      <c r="G32" s="155" t="str">
        <f t="shared" si="5"/>
        <v/>
      </c>
      <c r="H32" s="148" t="str">
        <f t="shared" si="6"/>
        <v/>
      </c>
      <c r="I32" s="157"/>
    </row>
    <row r="33" spans="1:9" s="142" customFormat="1" ht="19.95" customHeight="1">
      <c r="A33" s="160" t="s">
        <v>328</v>
      </c>
      <c r="B33" s="151">
        <f t="shared" si="2"/>
        <v>27</v>
      </c>
      <c r="C33" s="161">
        <f>SUM(C30)+SUM(C31)-SUM(C32)</f>
        <v>0</v>
      </c>
      <c r="D33" s="162" t="str">
        <f t="shared" si="0"/>
        <v/>
      </c>
      <c r="E33" s="161">
        <f>SUM(E30)+SUM(E31)-SUM(E32)</f>
        <v>0</v>
      </c>
      <c r="F33" s="163" t="str">
        <f t="shared" si="1"/>
        <v/>
      </c>
      <c r="G33" s="164" t="str">
        <f t="shared" si="5"/>
        <v/>
      </c>
      <c r="H33" s="165" t="str">
        <f t="shared" si="6"/>
        <v/>
      </c>
      <c r="I33" s="166"/>
    </row>
    <row r="34" spans="1:9" s="142" customFormat="1" ht="19.95" customHeight="1">
      <c r="A34" s="150" t="s">
        <v>329</v>
      </c>
      <c r="B34" s="151">
        <f t="shared" si="2"/>
        <v>28</v>
      </c>
      <c r="C34" s="167"/>
      <c r="D34" s="168" t="str">
        <f t="shared" si="0"/>
        <v/>
      </c>
      <c r="E34" s="169"/>
      <c r="F34" s="153" t="str">
        <f>IF(AND(E34&lt;&gt;0,$E$7&lt;&gt;0),E34/$E$7,"")</f>
        <v/>
      </c>
      <c r="G34" s="155" t="str">
        <f t="shared" si="5"/>
        <v/>
      </c>
      <c r="H34" s="148" t="str">
        <f t="shared" si="6"/>
        <v/>
      </c>
      <c r="I34" s="157"/>
    </row>
    <row r="35" spans="1:9" s="142" customFormat="1" ht="19.95" customHeight="1">
      <c r="A35" s="160" t="s">
        <v>330</v>
      </c>
      <c r="B35" s="151">
        <f t="shared" si="2"/>
        <v>29</v>
      </c>
      <c r="C35" s="161">
        <f>C33-C34</f>
        <v>0</v>
      </c>
      <c r="D35" s="162" t="str">
        <f t="shared" si="0"/>
        <v/>
      </c>
      <c r="E35" s="161">
        <f>E33-E34</f>
        <v>0</v>
      </c>
      <c r="F35" s="163" t="str">
        <f t="shared" si="1"/>
        <v/>
      </c>
      <c r="G35" s="164" t="str">
        <f t="shared" si="5"/>
        <v/>
      </c>
      <c r="H35" s="165" t="str">
        <f t="shared" si="6"/>
        <v/>
      </c>
      <c r="I35" s="166"/>
    </row>
    <row r="36" spans="1:9" s="142" customFormat="1" ht="19.95" customHeight="1">
      <c r="A36" s="160" t="s">
        <v>331</v>
      </c>
      <c r="B36" s="151">
        <f t="shared" si="2"/>
        <v>30</v>
      </c>
      <c r="C36" s="152"/>
      <c r="D36" s="153"/>
      <c r="E36" s="152"/>
      <c r="F36" s="153"/>
      <c r="G36" s="155"/>
      <c r="H36" s="148"/>
      <c r="I36" s="157"/>
    </row>
    <row r="37" spans="1:9" s="142" customFormat="1" ht="19.95" customHeight="1">
      <c r="A37" s="150" t="s">
        <v>17</v>
      </c>
      <c r="B37" s="151">
        <f t="shared" si="2"/>
        <v>31</v>
      </c>
      <c r="C37" s="152"/>
      <c r="D37" s="153" t="str">
        <f t="shared" si="0"/>
        <v/>
      </c>
      <c r="E37" s="154"/>
      <c r="F37" s="153" t="str">
        <f t="shared" si="1"/>
        <v/>
      </c>
      <c r="G37" s="155" t="str">
        <f t="shared" si="5"/>
        <v/>
      </c>
      <c r="H37" s="148" t="str">
        <f t="shared" si="6"/>
        <v/>
      </c>
      <c r="I37" s="157"/>
    </row>
    <row r="38" spans="1:9" s="142" customFormat="1" ht="19.95" customHeight="1">
      <c r="A38" s="150" t="s">
        <v>18</v>
      </c>
      <c r="B38" s="151">
        <f t="shared" si="2"/>
        <v>32</v>
      </c>
      <c r="C38" s="152"/>
      <c r="D38" s="153" t="str">
        <f t="shared" si="0"/>
        <v/>
      </c>
      <c r="E38" s="154"/>
      <c r="F38" s="153" t="str">
        <f t="shared" si="1"/>
        <v/>
      </c>
      <c r="G38" s="155" t="str">
        <f t="shared" si="5"/>
        <v/>
      </c>
      <c r="H38" s="148" t="str">
        <f t="shared" si="6"/>
        <v/>
      </c>
      <c r="I38" s="157"/>
    </row>
    <row r="39" spans="1:9" s="142" customFormat="1" ht="19.95" customHeight="1">
      <c r="A39" s="160" t="s">
        <v>332</v>
      </c>
      <c r="B39" s="151">
        <f t="shared" si="2"/>
        <v>33</v>
      </c>
      <c r="C39" s="152"/>
      <c r="D39" s="153"/>
      <c r="E39" s="154"/>
      <c r="F39" s="153"/>
      <c r="G39" s="155"/>
      <c r="H39" s="170"/>
      <c r="I39" s="157"/>
    </row>
    <row r="40" spans="1:9" s="142" customFormat="1" ht="19.95" customHeight="1">
      <c r="A40" s="150" t="s">
        <v>19</v>
      </c>
      <c r="B40" s="151">
        <f t="shared" si="2"/>
        <v>34</v>
      </c>
      <c r="C40" s="152"/>
      <c r="D40" s="153" t="str">
        <f t="shared" si="0"/>
        <v/>
      </c>
      <c r="E40" s="154"/>
      <c r="F40" s="153" t="str">
        <f t="shared" si="1"/>
        <v/>
      </c>
      <c r="G40" s="155" t="str">
        <f>IF(AND(D40="",F40=""),"",IF(D40="",F40,IF(F40="",-D40,F40-D40)))</f>
        <v/>
      </c>
      <c r="H40" s="148" t="str">
        <f>IF(G40="","",IF(ABS(G40)&gt;=30%,"显著",IF(ABS(G40)&gt;=10%,"关注","")))</f>
        <v/>
      </c>
      <c r="I40" s="157"/>
    </row>
    <row r="41" spans="1:9" s="142" customFormat="1" ht="19.95" customHeight="1">
      <c r="A41" s="150" t="s">
        <v>20</v>
      </c>
      <c r="B41" s="151">
        <f t="shared" si="2"/>
        <v>35</v>
      </c>
      <c r="C41" s="152"/>
      <c r="D41" s="153" t="str">
        <f t="shared" si="0"/>
        <v/>
      </c>
      <c r="E41" s="154"/>
      <c r="F41" s="153" t="str">
        <f>IF(AND(E41&lt;&gt;0,$E$7&lt;&gt;0),E41/$E$7,"")</f>
        <v/>
      </c>
      <c r="G41" s="155" t="str">
        <f t="shared" si="5"/>
        <v/>
      </c>
      <c r="H41" s="148" t="str">
        <f>IF(G41="","",IF(ABS(G41)&gt;=30%,"显著",IF(ABS(G41)&gt;=10%,"关注","")))</f>
        <v/>
      </c>
      <c r="I41" s="157"/>
    </row>
    <row r="42" spans="1:9" s="142" customFormat="1" ht="19.95" customHeight="1">
      <c r="A42" s="171" t="s">
        <v>333</v>
      </c>
      <c r="B42" s="151">
        <f t="shared" si="2"/>
        <v>36</v>
      </c>
      <c r="C42" s="154"/>
      <c r="D42" s="172"/>
      <c r="E42" s="172">
        <f t="shared" ref="E42:E62" si="7">D42-C42</f>
        <v>0</v>
      </c>
      <c r="F42" s="155"/>
      <c r="G42" s="155" t="str">
        <f t="shared" ref="G42:G80" si="8">IF(AND(D42="",F42=""),"",IF(D42="",F42,IF(F42="",-D42,F42-D42)))</f>
        <v/>
      </c>
      <c r="H42" s="148" t="str">
        <f t="shared" ref="H42:H80" si="9">IF(G42="","",IF(ABS(G42)&gt;=30%,"显著",IF(ABS(G42)&gt;=10%,"关注","")))</f>
        <v/>
      </c>
      <c r="I42" s="157"/>
    </row>
    <row r="43" spans="1:9" s="142" customFormat="1" ht="19.95" customHeight="1">
      <c r="A43" s="173" t="s">
        <v>334</v>
      </c>
      <c r="B43" s="151">
        <f t="shared" si="2"/>
        <v>37</v>
      </c>
      <c r="C43" s="154"/>
      <c r="D43" s="172"/>
      <c r="E43" s="172">
        <f t="shared" si="7"/>
        <v>0</v>
      </c>
      <c r="F43" s="155"/>
      <c r="G43" s="155" t="str">
        <f t="shared" si="8"/>
        <v/>
      </c>
      <c r="H43" s="148" t="str">
        <f t="shared" si="9"/>
        <v/>
      </c>
      <c r="I43" s="157"/>
    </row>
    <row r="44" spans="1:9" s="142" customFormat="1" ht="19.95" customHeight="1">
      <c r="A44" s="173" t="s">
        <v>335</v>
      </c>
      <c r="B44" s="151">
        <f t="shared" si="2"/>
        <v>38</v>
      </c>
      <c r="C44" s="154"/>
      <c r="D44" s="172"/>
      <c r="E44" s="172">
        <f t="shared" si="7"/>
        <v>0</v>
      </c>
      <c r="F44" s="155"/>
      <c r="G44" s="155" t="str">
        <f t="shared" si="8"/>
        <v/>
      </c>
      <c r="H44" s="148" t="str">
        <f t="shared" si="9"/>
        <v/>
      </c>
      <c r="I44" s="157"/>
    </row>
    <row r="45" spans="1:9" s="142" customFormat="1" ht="19.95" customHeight="1">
      <c r="A45" s="173" t="s">
        <v>21</v>
      </c>
      <c r="B45" s="151">
        <f t="shared" si="2"/>
        <v>39</v>
      </c>
      <c r="C45" s="154"/>
      <c r="D45" s="172"/>
      <c r="E45" s="172">
        <f t="shared" si="7"/>
        <v>0</v>
      </c>
      <c r="F45" s="155"/>
      <c r="G45" s="155" t="str">
        <f t="shared" si="8"/>
        <v/>
      </c>
      <c r="H45" s="148" t="str">
        <f t="shared" si="9"/>
        <v/>
      </c>
      <c r="I45" s="157"/>
    </row>
    <row r="46" spans="1:9" s="142" customFormat="1" ht="19.95" customHeight="1">
      <c r="A46" s="173" t="s">
        <v>22</v>
      </c>
      <c r="B46" s="151">
        <f t="shared" si="2"/>
        <v>40</v>
      </c>
      <c r="C46" s="154"/>
      <c r="D46" s="172"/>
      <c r="E46" s="172">
        <f t="shared" si="7"/>
        <v>0</v>
      </c>
      <c r="F46" s="155"/>
      <c r="G46" s="155" t="str">
        <f t="shared" si="8"/>
        <v/>
      </c>
      <c r="H46" s="148" t="str">
        <f t="shared" si="9"/>
        <v/>
      </c>
      <c r="I46" s="157"/>
    </row>
    <row r="47" spans="1:9" s="142" customFormat="1" ht="19.95" customHeight="1">
      <c r="A47" s="173" t="s">
        <v>37</v>
      </c>
      <c r="B47" s="151">
        <f t="shared" si="2"/>
        <v>41</v>
      </c>
      <c r="C47" s="154"/>
      <c r="D47" s="172"/>
      <c r="E47" s="172">
        <f t="shared" ref="E47:E48" si="10">D47-C47</f>
        <v>0</v>
      </c>
      <c r="F47" s="155"/>
      <c r="G47" s="155" t="str">
        <f t="shared" si="8"/>
        <v/>
      </c>
      <c r="H47" s="148" t="str">
        <f t="shared" si="9"/>
        <v/>
      </c>
      <c r="I47" s="157"/>
    </row>
    <row r="48" spans="1:9" s="142" customFormat="1" ht="19.95" customHeight="1">
      <c r="A48" s="173" t="s">
        <v>38</v>
      </c>
      <c r="B48" s="151">
        <f t="shared" si="2"/>
        <v>42</v>
      </c>
      <c r="C48" s="154"/>
      <c r="D48" s="172"/>
      <c r="E48" s="172">
        <f t="shared" si="10"/>
        <v>0</v>
      </c>
      <c r="F48" s="155"/>
      <c r="G48" s="155" t="str">
        <f t="shared" si="8"/>
        <v/>
      </c>
      <c r="H48" s="148" t="str">
        <f t="shared" si="9"/>
        <v/>
      </c>
      <c r="I48" s="157"/>
    </row>
    <row r="49" spans="1:9" s="142" customFormat="1" ht="19.95" customHeight="1">
      <c r="A49" s="173" t="s">
        <v>336</v>
      </c>
      <c r="B49" s="151">
        <f t="shared" si="2"/>
        <v>43</v>
      </c>
      <c r="C49" s="154"/>
      <c r="D49" s="172"/>
      <c r="E49" s="172">
        <f t="shared" si="7"/>
        <v>0</v>
      </c>
      <c r="F49" s="155"/>
      <c r="G49" s="155" t="str">
        <f t="shared" si="8"/>
        <v/>
      </c>
      <c r="H49" s="148" t="str">
        <f t="shared" si="9"/>
        <v/>
      </c>
      <c r="I49" s="157"/>
    </row>
    <row r="50" spans="1:9" s="142" customFormat="1" ht="19.95" customHeight="1">
      <c r="A50" s="173" t="s">
        <v>337</v>
      </c>
      <c r="B50" s="151">
        <f t="shared" si="2"/>
        <v>44</v>
      </c>
      <c r="C50" s="154"/>
      <c r="D50" s="172"/>
      <c r="E50" s="172">
        <f t="shared" si="7"/>
        <v>0</v>
      </c>
      <c r="F50" s="155"/>
      <c r="G50" s="155" t="str">
        <f t="shared" si="8"/>
        <v/>
      </c>
      <c r="H50" s="148" t="str">
        <f t="shared" si="9"/>
        <v/>
      </c>
      <c r="I50" s="157"/>
    </row>
    <row r="51" spans="1:9" s="142" customFormat="1" ht="19.95" customHeight="1">
      <c r="A51" s="173" t="s">
        <v>23</v>
      </c>
      <c r="B51" s="151">
        <f t="shared" si="2"/>
        <v>45</v>
      </c>
      <c r="C51" s="154"/>
      <c r="D51" s="172"/>
      <c r="E51" s="172">
        <f t="shared" si="7"/>
        <v>0</v>
      </c>
      <c r="F51" s="155"/>
      <c r="G51" s="155" t="str">
        <f t="shared" si="8"/>
        <v/>
      </c>
      <c r="H51" s="148" t="str">
        <f t="shared" si="9"/>
        <v/>
      </c>
      <c r="I51" s="157"/>
    </row>
    <row r="52" spans="1:9" s="142" customFormat="1" ht="19.95" customHeight="1">
      <c r="A52" s="173" t="s">
        <v>39</v>
      </c>
      <c r="B52" s="151">
        <f t="shared" si="2"/>
        <v>46</v>
      </c>
      <c r="C52" s="154"/>
      <c r="D52" s="172"/>
      <c r="E52" s="172">
        <f t="shared" ref="E52" si="11">D52-C52</f>
        <v>0</v>
      </c>
      <c r="F52" s="155"/>
      <c r="G52" s="155" t="str">
        <f t="shared" si="8"/>
        <v/>
      </c>
      <c r="H52" s="148" t="str">
        <f t="shared" si="9"/>
        <v/>
      </c>
      <c r="I52" s="157"/>
    </row>
    <row r="53" spans="1:9" s="142" customFormat="1" ht="19.95" customHeight="1">
      <c r="A53" s="173" t="s">
        <v>338</v>
      </c>
      <c r="B53" s="151">
        <f t="shared" si="2"/>
        <v>47</v>
      </c>
      <c r="C53" s="154"/>
      <c r="D53" s="172"/>
      <c r="E53" s="172">
        <f t="shared" si="7"/>
        <v>0</v>
      </c>
      <c r="F53" s="155"/>
      <c r="G53" s="155" t="str">
        <f t="shared" si="8"/>
        <v/>
      </c>
      <c r="H53" s="148" t="str">
        <f t="shared" si="9"/>
        <v/>
      </c>
      <c r="I53" s="157"/>
    </row>
    <row r="54" spans="1:9" s="142" customFormat="1" ht="19.95" customHeight="1">
      <c r="A54" s="173" t="s">
        <v>40</v>
      </c>
      <c r="B54" s="151">
        <f t="shared" si="2"/>
        <v>48</v>
      </c>
      <c r="C54" s="154"/>
      <c r="D54" s="172"/>
      <c r="E54" s="172">
        <f t="shared" ref="E54" si="12">D54-C54</f>
        <v>0</v>
      </c>
      <c r="F54" s="155"/>
      <c r="G54" s="155" t="str">
        <f t="shared" si="8"/>
        <v/>
      </c>
      <c r="H54" s="148" t="str">
        <f t="shared" si="9"/>
        <v/>
      </c>
      <c r="I54" s="157"/>
    </row>
    <row r="55" spans="1:9" s="142" customFormat="1" ht="24.6" customHeight="1">
      <c r="A55" s="173" t="s">
        <v>339</v>
      </c>
      <c r="B55" s="151">
        <f t="shared" si="2"/>
        <v>49</v>
      </c>
      <c r="C55" s="154"/>
      <c r="D55" s="172"/>
      <c r="E55" s="172">
        <f t="shared" si="7"/>
        <v>0</v>
      </c>
      <c r="F55" s="155"/>
      <c r="G55" s="155" t="str">
        <f t="shared" si="8"/>
        <v/>
      </c>
      <c r="H55" s="148" t="str">
        <f t="shared" si="9"/>
        <v/>
      </c>
      <c r="I55" s="157"/>
    </row>
    <row r="56" spans="1:9" s="142" customFormat="1" ht="19.95" customHeight="1">
      <c r="A56" s="173" t="s">
        <v>41</v>
      </c>
      <c r="B56" s="151">
        <f t="shared" si="2"/>
        <v>50</v>
      </c>
      <c r="C56" s="154"/>
      <c r="D56" s="172"/>
      <c r="E56" s="172">
        <f t="shared" ref="E56" si="13">D56-C56</f>
        <v>0</v>
      </c>
      <c r="F56" s="155"/>
      <c r="G56" s="155" t="str">
        <f t="shared" si="8"/>
        <v/>
      </c>
      <c r="H56" s="148" t="str">
        <f t="shared" si="9"/>
        <v/>
      </c>
      <c r="I56" s="157"/>
    </row>
    <row r="57" spans="1:9" s="142" customFormat="1" ht="19.95" customHeight="1">
      <c r="A57" s="173" t="s">
        <v>340</v>
      </c>
      <c r="B57" s="151">
        <f t="shared" si="2"/>
        <v>51</v>
      </c>
      <c r="C57" s="154"/>
      <c r="D57" s="172"/>
      <c r="E57" s="172">
        <f t="shared" si="7"/>
        <v>0</v>
      </c>
      <c r="F57" s="155"/>
      <c r="G57" s="155" t="str">
        <f t="shared" si="8"/>
        <v/>
      </c>
      <c r="H57" s="148" t="str">
        <f t="shared" si="9"/>
        <v/>
      </c>
      <c r="I57" s="157"/>
    </row>
    <row r="58" spans="1:9" s="142" customFormat="1" ht="19.95" customHeight="1">
      <c r="A58" s="173" t="s">
        <v>341</v>
      </c>
      <c r="B58" s="151">
        <f t="shared" si="2"/>
        <v>52</v>
      </c>
      <c r="C58" s="154"/>
      <c r="D58" s="172"/>
      <c r="E58" s="172">
        <f t="shared" si="7"/>
        <v>0</v>
      </c>
      <c r="F58" s="155"/>
      <c r="G58" s="155" t="str">
        <f t="shared" si="8"/>
        <v/>
      </c>
      <c r="H58" s="148" t="str">
        <f t="shared" si="9"/>
        <v/>
      </c>
      <c r="I58" s="157"/>
    </row>
    <row r="59" spans="1:9" s="142" customFormat="1" ht="46.2" customHeight="1">
      <c r="A59" s="173" t="s">
        <v>342</v>
      </c>
      <c r="B59" s="151">
        <f t="shared" si="2"/>
        <v>53</v>
      </c>
      <c r="C59" s="154"/>
      <c r="D59" s="172"/>
      <c r="E59" s="172">
        <f t="shared" si="7"/>
        <v>0</v>
      </c>
      <c r="F59" s="155"/>
      <c r="G59" s="155" t="str">
        <f t="shared" si="8"/>
        <v/>
      </c>
      <c r="H59" s="148" t="str">
        <f t="shared" si="9"/>
        <v/>
      </c>
      <c r="I59" s="157"/>
    </row>
    <row r="60" spans="1:9" s="142" customFormat="1" ht="37.200000000000003" customHeight="1">
      <c r="A60" s="173" t="s">
        <v>343</v>
      </c>
      <c r="B60" s="151">
        <f t="shared" si="2"/>
        <v>54</v>
      </c>
      <c r="C60" s="154"/>
      <c r="D60" s="172"/>
      <c r="E60" s="172">
        <f t="shared" si="7"/>
        <v>0</v>
      </c>
      <c r="F60" s="155"/>
      <c r="G60" s="155" t="str">
        <f t="shared" si="8"/>
        <v/>
      </c>
      <c r="H60" s="148" t="str">
        <f t="shared" si="9"/>
        <v/>
      </c>
      <c r="I60" s="157"/>
    </row>
    <row r="61" spans="1:9" s="142" customFormat="1" ht="19.95" customHeight="1">
      <c r="A61" s="173" t="s">
        <v>344</v>
      </c>
      <c r="B61" s="151">
        <f t="shared" si="2"/>
        <v>55</v>
      </c>
      <c r="C61" s="154"/>
      <c r="D61" s="172"/>
      <c r="E61" s="172">
        <f t="shared" si="7"/>
        <v>0</v>
      </c>
      <c r="F61" s="155"/>
      <c r="G61" s="155" t="str">
        <f t="shared" si="8"/>
        <v/>
      </c>
      <c r="H61" s="148" t="str">
        <f t="shared" si="9"/>
        <v/>
      </c>
      <c r="I61" s="157"/>
    </row>
    <row r="62" spans="1:9" s="142" customFormat="1" ht="19.95" customHeight="1">
      <c r="A62" s="173" t="s">
        <v>345</v>
      </c>
      <c r="B62" s="151">
        <f t="shared" si="2"/>
        <v>56</v>
      </c>
      <c r="C62" s="154"/>
      <c r="D62" s="172"/>
      <c r="E62" s="172">
        <f t="shared" si="7"/>
        <v>0</v>
      </c>
      <c r="F62" s="155"/>
      <c r="G62" s="155" t="str">
        <f t="shared" si="8"/>
        <v/>
      </c>
      <c r="H62" s="148" t="str">
        <f t="shared" si="9"/>
        <v/>
      </c>
      <c r="I62" s="157"/>
    </row>
    <row r="63" spans="1:9" s="142" customFormat="1" ht="19.95" customHeight="1">
      <c r="A63" s="171" t="s">
        <v>346</v>
      </c>
      <c r="B63" s="151">
        <f t="shared" si="2"/>
        <v>57</v>
      </c>
      <c r="C63" s="154"/>
      <c r="D63" s="172"/>
      <c r="E63" s="154"/>
      <c r="F63" s="155"/>
      <c r="G63" s="155" t="str">
        <f t="shared" si="8"/>
        <v/>
      </c>
      <c r="H63" s="148" t="str">
        <f t="shared" si="9"/>
        <v/>
      </c>
      <c r="I63" s="174"/>
    </row>
    <row r="64" spans="1:9" s="142" customFormat="1" ht="19.95" customHeight="1">
      <c r="A64" s="175" t="s">
        <v>347</v>
      </c>
      <c r="B64" s="151">
        <f t="shared" si="2"/>
        <v>58</v>
      </c>
      <c r="C64" s="154"/>
      <c r="D64" s="172"/>
      <c r="E64" s="154"/>
      <c r="F64" s="155"/>
      <c r="G64" s="155" t="str">
        <f t="shared" si="8"/>
        <v/>
      </c>
      <c r="H64" s="148" t="str">
        <f t="shared" si="9"/>
        <v/>
      </c>
      <c r="I64" s="174"/>
    </row>
    <row r="65" spans="1:9" s="142" customFormat="1" ht="19.95" customHeight="1">
      <c r="A65" s="175" t="s">
        <v>348</v>
      </c>
      <c r="B65" s="151">
        <f t="shared" si="2"/>
        <v>59</v>
      </c>
      <c r="C65" s="154"/>
      <c r="D65" s="172"/>
      <c r="E65" s="154"/>
      <c r="F65" s="155"/>
      <c r="G65" s="155" t="str">
        <f t="shared" si="8"/>
        <v/>
      </c>
      <c r="H65" s="148" t="str">
        <f t="shared" si="9"/>
        <v/>
      </c>
      <c r="I65" s="174"/>
    </row>
    <row r="66" spans="1:9" s="142" customFormat="1" ht="19.95" customHeight="1">
      <c r="A66" s="171" t="s">
        <v>349</v>
      </c>
      <c r="B66" s="151">
        <f t="shared" si="2"/>
        <v>60</v>
      </c>
      <c r="C66" s="145"/>
      <c r="D66" s="146"/>
      <c r="E66" s="176"/>
      <c r="F66" s="146"/>
      <c r="G66" s="155" t="str">
        <f t="shared" si="8"/>
        <v/>
      </c>
      <c r="H66" s="148" t="str">
        <f t="shared" si="9"/>
        <v/>
      </c>
      <c r="I66" s="157"/>
    </row>
    <row r="67" spans="1:9" s="142" customFormat="1" ht="19.95" customHeight="1">
      <c r="A67" s="175" t="s">
        <v>350</v>
      </c>
      <c r="B67" s="151">
        <f t="shared" si="2"/>
        <v>61</v>
      </c>
      <c r="C67" s="152"/>
      <c r="D67" s="153" t="str">
        <f>IF(AND(C67&lt;&gt;0,$C$7&lt;&gt;0),C67/$C$7,"")</f>
        <v/>
      </c>
      <c r="E67" s="154"/>
      <c r="F67" s="153" t="str">
        <f>IF(AND(E67&lt;&gt;0,$E$7&lt;&gt;0),E67/$E$7,"")</f>
        <v/>
      </c>
      <c r="G67" s="155" t="str">
        <f t="shared" si="8"/>
        <v/>
      </c>
      <c r="H67" s="148" t="str">
        <f t="shared" si="9"/>
        <v/>
      </c>
      <c r="I67" s="157"/>
    </row>
    <row r="68" spans="1:9" s="142" customFormat="1" ht="19.95" customHeight="1">
      <c r="A68" s="175" t="s">
        <v>351</v>
      </c>
      <c r="B68" s="151">
        <f t="shared" si="2"/>
        <v>62</v>
      </c>
      <c r="C68" s="152"/>
      <c r="D68" s="153" t="str">
        <f>IF(AND(C68&lt;&gt;0,$C$7&lt;&gt;0),C68/$C$7,"")</f>
        <v/>
      </c>
      <c r="E68" s="154"/>
      <c r="F68" s="153" t="str">
        <f>IF(AND(E68&lt;&gt;0,$E$7&lt;&gt;0),E68/$E$7,"")</f>
        <v/>
      </c>
      <c r="G68" s="155" t="str">
        <f t="shared" si="8"/>
        <v/>
      </c>
      <c r="H68" s="148" t="str">
        <f t="shared" si="9"/>
        <v/>
      </c>
      <c r="I68" s="157"/>
    </row>
    <row r="69" spans="1:9" s="142" customFormat="1" ht="19.95" customHeight="1">
      <c r="A69" s="171" t="s">
        <v>352</v>
      </c>
      <c r="B69" s="151">
        <f t="shared" si="2"/>
        <v>63</v>
      </c>
      <c r="C69" s="145"/>
      <c r="D69" s="146"/>
      <c r="E69" s="176"/>
      <c r="F69" s="146"/>
      <c r="G69" s="155" t="str">
        <f t="shared" si="8"/>
        <v/>
      </c>
      <c r="H69" s="148" t="str">
        <f t="shared" si="9"/>
        <v/>
      </c>
      <c r="I69" s="174"/>
    </row>
    <row r="70" spans="1:9" s="142" customFormat="1" ht="19.95" customHeight="1">
      <c r="A70" s="175" t="s">
        <v>353</v>
      </c>
      <c r="B70" s="151">
        <f t="shared" si="2"/>
        <v>64</v>
      </c>
      <c r="C70" s="152"/>
      <c r="D70" s="153" t="str">
        <f t="shared" si="0"/>
        <v/>
      </c>
      <c r="E70" s="154"/>
      <c r="F70" s="153" t="str">
        <f t="shared" si="1"/>
        <v/>
      </c>
      <c r="G70" s="155" t="str">
        <f t="shared" si="8"/>
        <v/>
      </c>
      <c r="H70" s="148" t="str">
        <f t="shared" si="9"/>
        <v/>
      </c>
      <c r="I70" s="174"/>
    </row>
    <row r="71" spans="1:9" s="142" customFormat="1" ht="19.95" customHeight="1">
      <c r="A71" s="175" t="s">
        <v>354</v>
      </c>
      <c r="B71" s="151">
        <f t="shared" si="2"/>
        <v>65</v>
      </c>
      <c r="C71" s="152"/>
      <c r="D71" s="153" t="str">
        <f t="shared" si="0"/>
        <v/>
      </c>
      <c r="E71" s="152"/>
      <c r="F71" s="153" t="str">
        <f t="shared" si="1"/>
        <v/>
      </c>
      <c r="G71" s="155" t="str">
        <f t="shared" si="8"/>
        <v/>
      </c>
      <c r="H71" s="148" t="str">
        <f t="shared" si="9"/>
        <v/>
      </c>
      <c r="I71" s="157"/>
    </row>
    <row r="72" spans="1:9" s="142" customFormat="1" ht="19.95" customHeight="1">
      <c r="A72" s="175" t="s">
        <v>355</v>
      </c>
      <c r="B72" s="151">
        <f t="shared" si="2"/>
        <v>66</v>
      </c>
      <c r="C72" s="152"/>
      <c r="D72" s="153" t="str">
        <f t="shared" si="0"/>
        <v/>
      </c>
      <c r="E72" s="154"/>
      <c r="F72" s="153" t="str">
        <f t="shared" si="1"/>
        <v/>
      </c>
      <c r="G72" s="155" t="str">
        <f t="shared" si="8"/>
        <v/>
      </c>
      <c r="H72" s="148" t="str">
        <f t="shared" si="9"/>
        <v/>
      </c>
      <c r="I72" s="157"/>
    </row>
    <row r="73" spans="1:9" s="142" customFormat="1" ht="19.95" customHeight="1">
      <c r="A73" s="175" t="s">
        <v>356</v>
      </c>
      <c r="B73" s="151">
        <f t="shared" ref="B73:B79" si="14">B72+1</f>
        <v>67</v>
      </c>
      <c r="C73" s="152"/>
      <c r="D73" s="153" t="str">
        <f t="shared" si="0"/>
        <v/>
      </c>
      <c r="E73" s="154"/>
      <c r="F73" s="153" t="str">
        <f t="shared" si="1"/>
        <v/>
      </c>
      <c r="G73" s="155" t="str">
        <f t="shared" si="8"/>
        <v/>
      </c>
      <c r="H73" s="148" t="str">
        <f t="shared" si="9"/>
        <v/>
      </c>
      <c r="I73" s="157"/>
    </row>
    <row r="74" spans="1:9" s="142" customFormat="1" ht="19.95" customHeight="1">
      <c r="A74" s="175" t="s">
        <v>357</v>
      </c>
      <c r="B74" s="151">
        <f t="shared" si="14"/>
        <v>68</v>
      </c>
      <c r="C74" s="152"/>
      <c r="D74" s="153" t="str">
        <f t="shared" si="0"/>
        <v/>
      </c>
      <c r="E74" s="154"/>
      <c r="F74" s="153" t="str">
        <f t="shared" si="1"/>
        <v/>
      </c>
      <c r="G74" s="155" t="str">
        <f t="shared" si="8"/>
        <v/>
      </c>
      <c r="H74" s="148" t="str">
        <f t="shared" si="9"/>
        <v/>
      </c>
      <c r="I74" s="157"/>
    </row>
    <row r="75" spans="1:9" s="142" customFormat="1" ht="19.95" customHeight="1">
      <c r="A75" s="175" t="s">
        <v>358</v>
      </c>
      <c r="B75" s="151">
        <f t="shared" si="14"/>
        <v>69</v>
      </c>
      <c r="C75" s="152"/>
      <c r="D75" s="153" t="str">
        <f t="shared" si="0"/>
        <v/>
      </c>
      <c r="E75" s="154"/>
      <c r="F75" s="153" t="str">
        <f t="shared" si="1"/>
        <v/>
      </c>
      <c r="G75" s="155" t="str">
        <f t="shared" si="8"/>
        <v/>
      </c>
      <c r="H75" s="148" t="str">
        <f t="shared" si="9"/>
        <v/>
      </c>
      <c r="I75" s="157"/>
    </row>
    <row r="76" spans="1:9" s="142" customFormat="1" ht="19.95" customHeight="1">
      <c r="A76" s="175" t="s">
        <v>359</v>
      </c>
      <c r="B76" s="151">
        <f t="shared" si="14"/>
        <v>70</v>
      </c>
      <c r="C76" s="152"/>
      <c r="D76" s="153" t="str">
        <f t="shared" si="0"/>
        <v/>
      </c>
      <c r="E76" s="154"/>
      <c r="F76" s="153" t="str">
        <f t="shared" si="1"/>
        <v/>
      </c>
      <c r="G76" s="155" t="str">
        <f t="shared" si="8"/>
        <v/>
      </c>
      <c r="H76" s="148" t="str">
        <f t="shared" si="9"/>
        <v/>
      </c>
      <c r="I76" s="157"/>
    </row>
    <row r="77" spans="1:9" s="142" customFormat="1" ht="19.95" customHeight="1">
      <c r="A77" s="175" t="s">
        <v>360</v>
      </c>
      <c r="B77" s="151">
        <f t="shared" si="14"/>
        <v>71</v>
      </c>
      <c r="C77" s="152"/>
      <c r="D77" s="153" t="str">
        <f t="shared" si="0"/>
        <v/>
      </c>
      <c r="E77" s="154"/>
      <c r="F77" s="153" t="str">
        <f t="shared" si="1"/>
        <v/>
      </c>
      <c r="G77" s="155" t="str">
        <f t="shared" si="8"/>
        <v/>
      </c>
      <c r="H77" s="148" t="str">
        <f t="shared" si="9"/>
        <v/>
      </c>
      <c r="I77" s="157"/>
    </row>
    <row r="78" spans="1:9" s="142" customFormat="1" ht="19.95" customHeight="1">
      <c r="A78" s="175" t="s">
        <v>361</v>
      </c>
      <c r="B78" s="151">
        <f t="shared" si="14"/>
        <v>72</v>
      </c>
      <c r="C78" s="152"/>
      <c r="D78" s="153" t="str">
        <f t="shared" si="0"/>
        <v/>
      </c>
      <c r="E78" s="154"/>
      <c r="F78" s="153" t="str">
        <f t="shared" si="1"/>
        <v/>
      </c>
      <c r="G78" s="155" t="str">
        <f t="shared" si="8"/>
        <v/>
      </c>
      <c r="H78" s="148" t="str">
        <f t="shared" si="9"/>
        <v/>
      </c>
      <c r="I78" s="157"/>
    </row>
    <row r="79" spans="1:9" s="142" customFormat="1" ht="19.95" customHeight="1">
      <c r="A79" s="177" t="s">
        <v>362</v>
      </c>
      <c r="B79" s="151">
        <f t="shared" si="14"/>
        <v>73</v>
      </c>
      <c r="C79" s="178"/>
      <c r="D79" s="179" t="str">
        <f t="shared" si="0"/>
        <v/>
      </c>
      <c r="E79" s="180"/>
      <c r="F79" s="179" t="str">
        <f>IF(AND(E79&lt;&gt;0,$E$7&lt;&gt;0),E79/$E$7,"")</f>
        <v/>
      </c>
      <c r="G79" s="181" t="str">
        <f t="shared" si="8"/>
        <v/>
      </c>
      <c r="H79" s="182" t="str">
        <f t="shared" si="9"/>
        <v/>
      </c>
      <c r="I79" s="183"/>
    </row>
    <row r="80" spans="1:9" ht="19.95" customHeight="1" thickBot="1">
      <c r="A80" s="184" t="s">
        <v>363</v>
      </c>
      <c r="B80" s="247">
        <f>B79+1</f>
        <v>74</v>
      </c>
      <c r="C80" s="185">
        <f>C74-SUM(C75:C79)</f>
        <v>0</v>
      </c>
      <c r="D80" s="185" t="str">
        <f>IF(AND(C80&lt;&gt;0,$C$7&lt;&gt;0),C80/$C$7,"")</f>
        <v/>
      </c>
      <c r="E80" s="185">
        <f>E74-SUM(E75:E79)</f>
        <v>0</v>
      </c>
      <c r="F80" s="185" t="str">
        <f>IF(AND(E80&lt;&gt;0,$E$7&lt;&gt;0),E80/$E$7,"")</f>
        <v/>
      </c>
      <c r="G80" s="186" t="str">
        <f t="shared" si="8"/>
        <v/>
      </c>
      <c r="H80" s="187" t="str">
        <f t="shared" si="9"/>
        <v/>
      </c>
      <c r="I80" s="188"/>
    </row>
    <row r="83" spans="7:7" ht="19.95" customHeight="1">
      <c r="G83" s="189"/>
    </row>
    <row r="84" spans="7:7" ht="19.95" customHeight="1">
      <c r="G84" s="190"/>
    </row>
  </sheetData>
  <sheetProtection insertRows="0"/>
  <mergeCells count="8">
    <mergeCell ref="A1:I1"/>
    <mergeCell ref="A4:A6"/>
    <mergeCell ref="B4:B6"/>
    <mergeCell ref="C4:D4"/>
    <mergeCell ref="E4:F4"/>
    <mergeCell ref="G4:G5"/>
    <mergeCell ref="H4:H6"/>
    <mergeCell ref="I4:I6"/>
  </mergeCells>
  <phoneticPr fontId="3" type="noConversion"/>
  <conditionalFormatting sqref="H7:H80">
    <cfRule type="cellIs" dxfId="3" priority="12" stopIfTrue="1" operator="equal">
      <formula>"显著"</formula>
    </cfRule>
  </conditionalFormatting>
  <conditionalFormatting sqref="I8">
    <cfRule type="cellIs" dxfId="2" priority="11" stopIfTrue="1" operator="equal">
      <formula>"异常"</formula>
    </cfRule>
  </conditionalFormatting>
  <printOptions horizontalCentered="1"/>
  <pageMargins left="0.70866141732283472" right="0.70866141732283472" top="0.74803149606299213" bottom="0.74803149606299213" header="0.31496062992125984" footer="0.31496062992125984"/>
  <pageSetup paperSize="9" scale="44" orientation="portrait" blackAndWhite="1" r:id="rId1"/>
  <headerFooter alignWithMargins="0">
    <oddFooter>&amp;C&amp;P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dimension ref="A1:P400"/>
  <sheetViews>
    <sheetView showZeros="0" view="pageBreakPreview" topLeftCell="A21" zoomScaleNormal="100" zoomScaleSheetLayoutView="100" workbookViewId="0">
      <selection sqref="A1:XFD1"/>
    </sheetView>
  </sheetViews>
  <sheetFormatPr defaultColWidth="10.33203125" defaultRowHeight="19.95" customHeight="1"/>
  <cols>
    <col min="1" max="1" width="21.44140625" style="92" customWidth="1"/>
    <col min="2" max="2" width="55.44140625" style="137" customWidth="1"/>
    <col min="3" max="3" width="13.5546875" style="141" customWidth="1"/>
    <col min="4" max="4" width="12.5546875" style="141" customWidth="1"/>
    <col min="5" max="5" width="7.33203125" style="92" bestFit="1" customWidth="1"/>
    <col min="6" max="6" width="13.33203125" style="141" customWidth="1"/>
    <col min="7" max="7" width="14" style="141" customWidth="1"/>
    <col min="8" max="8" width="8.6640625" style="92" customWidth="1"/>
    <col min="9" max="9" width="8.5546875" style="92" customWidth="1"/>
    <col min="10" max="10" width="11.33203125" style="92" customWidth="1"/>
    <col min="11" max="11" width="7.88671875" style="92" customWidth="1"/>
    <col min="12" max="16384" width="10.33203125" style="92"/>
  </cols>
  <sheetData>
    <row r="1" spans="1:16" s="245" customFormat="1" ht="27" customHeight="1">
      <c r="A1" s="283" t="s">
        <v>31</v>
      </c>
      <c r="B1" s="283"/>
      <c r="C1" s="283"/>
      <c r="D1" s="283"/>
      <c r="E1" s="283"/>
      <c r="F1" s="283"/>
      <c r="G1" s="283"/>
      <c r="H1" s="283"/>
      <c r="I1" s="283"/>
      <c r="J1" s="283"/>
    </row>
    <row r="2" spans="1:16" s="15" customFormat="1" ht="19.95" customHeight="1">
      <c r="A2" s="14" t="str">
        <f>'未审利润纵向分析B13-3-2'!A2</f>
        <v>被审计单位：ABC公司</v>
      </c>
      <c r="B2" s="93"/>
      <c r="C2" s="16" t="str">
        <f>'未审利润纵向分析B13-3-2'!B2</f>
        <v>编制人：张三</v>
      </c>
      <c r="F2" s="14" t="str">
        <f>'未审利润纵向分析B13-3-2'!F2</f>
        <v>编制日期：2025.X.X</v>
      </c>
      <c r="I2" s="16" t="s">
        <v>202</v>
      </c>
      <c r="J2" s="14"/>
      <c r="K2" s="94"/>
      <c r="N2" s="95"/>
      <c r="O2" s="96"/>
      <c r="P2" s="95"/>
    </row>
    <row r="3" spans="1:16" s="15" customFormat="1" ht="19.95" customHeight="1" thickBot="1">
      <c r="A3" s="14" t="str">
        <f>'未审利润纵向分析B13-3-2'!A3</f>
        <v>会计期间：202X年度</v>
      </c>
      <c r="B3" s="93"/>
      <c r="C3" s="16" t="str">
        <f>'未审利润纵向分析B13-3-2'!B3</f>
        <v>复核人：李四</v>
      </c>
      <c r="F3" s="16" t="str">
        <f>'未审利润纵向分析B13-3-2'!F3</f>
        <v>复核日期：2025.X.X</v>
      </c>
      <c r="I3" s="16" t="s">
        <v>69</v>
      </c>
      <c r="J3" s="14"/>
      <c r="K3" s="14"/>
      <c r="N3" s="95"/>
      <c r="O3" s="96"/>
      <c r="P3" s="95"/>
    </row>
    <row r="4" spans="1:16" s="97" customFormat="1" ht="19.95" customHeight="1">
      <c r="A4" s="284" t="s">
        <v>203</v>
      </c>
      <c r="B4" s="286" t="s">
        <v>204</v>
      </c>
      <c r="C4" s="288" t="s">
        <v>73</v>
      </c>
      <c r="D4" s="288"/>
      <c r="E4" s="288"/>
      <c r="F4" s="288" t="s">
        <v>24</v>
      </c>
      <c r="G4" s="288"/>
      <c r="H4" s="288"/>
      <c r="I4" s="288" t="s">
        <v>205</v>
      </c>
      <c r="J4" s="290" t="s">
        <v>206</v>
      </c>
    </row>
    <row r="5" spans="1:16" s="97" customFormat="1" ht="19.95" customHeight="1">
      <c r="A5" s="285"/>
      <c r="B5" s="287"/>
      <c r="C5" s="98" t="s">
        <v>207</v>
      </c>
      <c r="D5" s="98" t="s">
        <v>208</v>
      </c>
      <c r="E5" s="99" t="s">
        <v>209</v>
      </c>
      <c r="F5" s="98" t="s">
        <v>207</v>
      </c>
      <c r="G5" s="98" t="s">
        <v>208</v>
      </c>
      <c r="H5" s="99" t="s">
        <v>209</v>
      </c>
      <c r="I5" s="289"/>
      <c r="J5" s="291"/>
    </row>
    <row r="6" spans="1:16" ht="19.95" customHeight="1">
      <c r="A6" s="100" t="s">
        <v>210</v>
      </c>
      <c r="B6" s="101"/>
      <c r="C6" s="102"/>
      <c r="D6" s="102"/>
      <c r="E6" s="103"/>
      <c r="F6" s="102"/>
      <c r="G6" s="102"/>
      <c r="H6" s="103"/>
      <c r="I6" s="103"/>
      <c r="J6" s="104"/>
    </row>
    <row r="7" spans="1:16" ht="19.95" customHeight="1">
      <c r="A7" s="105" t="s">
        <v>211</v>
      </c>
      <c r="B7" s="106" t="s">
        <v>212</v>
      </c>
      <c r="C7" s="107"/>
      <c r="D7" s="107"/>
      <c r="E7" s="108">
        <f t="shared" ref="E7:E15" si="0">IF(D7=0,0,C7/D7)</f>
        <v>0</v>
      </c>
      <c r="F7" s="109">
        <f>('未审利润纵向分析B13-3-2'!E33+'未审利润纵向分析B13-3-2'!E19-'未审利润纵向分析B13-3-2'!E20)/12*12</f>
        <v>0</v>
      </c>
      <c r="G7" s="109">
        <f>('未审资产负债纵向分析B13-2-2'!L39+'未审资产负债纵向分析B13-2-2'!N39)/2+('未审资产负债纵向分析B13-2-2'!L52+'未审资产负债纵向分析B13-2-2'!N52)/2</f>
        <v>0</v>
      </c>
      <c r="H7" s="108">
        <f t="shared" ref="H7:H15" si="1">IF(G7=0,0,F7/G7)</f>
        <v>0</v>
      </c>
      <c r="I7" s="108">
        <f t="shared" ref="I7:I14" si="2">IF(E7=0,0,(H7-E7)/E7)</f>
        <v>0</v>
      </c>
      <c r="J7" s="110" t="str">
        <f t="shared" ref="J7:J14" si="3">IF(ABS(I7)&lt;20%,"",IF(ABS(I7)&lt;50%,"关注","显著"))</f>
        <v/>
      </c>
    </row>
    <row r="8" spans="1:16" ht="19.95" customHeight="1">
      <c r="A8" s="111" t="s">
        <v>213</v>
      </c>
      <c r="B8" s="112" t="s">
        <v>214</v>
      </c>
      <c r="C8" s="107"/>
      <c r="D8" s="107"/>
      <c r="E8" s="108">
        <f t="shared" si="0"/>
        <v>0</v>
      </c>
      <c r="F8" s="109">
        <f>'未审利润纵向分析B13-3-2'!E40</f>
        <v>0</v>
      </c>
      <c r="G8" s="109">
        <f>'未审资产负债纵向分析B13-2-2'!N42</f>
        <v>0</v>
      </c>
      <c r="H8" s="108">
        <f t="shared" si="1"/>
        <v>0</v>
      </c>
      <c r="I8" s="108">
        <f t="shared" si="2"/>
        <v>0</v>
      </c>
      <c r="J8" s="110" t="str">
        <f t="shared" si="3"/>
        <v/>
      </c>
    </row>
    <row r="9" spans="1:16" ht="19.95" customHeight="1">
      <c r="A9" s="105" t="s">
        <v>215</v>
      </c>
      <c r="B9" s="112" t="s">
        <v>216</v>
      </c>
      <c r="C9" s="107"/>
      <c r="D9" s="107"/>
      <c r="E9" s="108">
        <f t="shared" si="0"/>
        <v>0</v>
      </c>
      <c r="F9" s="109">
        <f>'未审利润纵向分析B13-3-2'!E35/12*12</f>
        <v>0</v>
      </c>
      <c r="G9" s="109">
        <f>('未审资产负债纵向分析B13-2-2'!L54+'未审资产负债纵向分析B13-2-2'!N54)/2</f>
        <v>0</v>
      </c>
      <c r="H9" s="108">
        <f t="shared" si="1"/>
        <v>0</v>
      </c>
      <c r="I9" s="108">
        <f t="shared" si="2"/>
        <v>0</v>
      </c>
      <c r="J9" s="110" t="str">
        <f t="shared" si="3"/>
        <v/>
      </c>
    </row>
    <row r="10" spans="1:16" ht="19.95" customHeight="1">
      <c r="A10" s="105" t="s">
        <v>217</v>
      </c>
      <c r="B10" s="112" t="s">
        <v>218</v>
      </c>
      <c r="C10" s="107"/>
      <c r="D10" s="107"/>
      <c r="E10" s="108">
        <f t="shared" si="0"/>
        <v>0</v>
      </c>
      <c r="F10" s="109">
        <f>('未审利润纵向分析B13-3-2'!E33+'未审利润纵向分析B13-3-2'!E19-'未审利润纵向分析B13-3-2'!E20)/12*12</f>
        <v>0</v>
      </c>
      <c r="G10" s="109">
        <f>('未审资产负债纵向分析B13-2-2'!C55+'未审资产负债纵向分析B13-2-2'!E55)/2</f>
        <v>0</v>
      </c>
      <c r="H10" s="108">
        <f t="shared" si="1"/>
        <v>0</v>
      </c>
      <c r="I10" s="108">
        <f t="shared" si="2"/>
        <v>0</v>
      </c>
      <c r="J10" s="113" t="str">
        <f t="shared" si="3"/>
        <v/>
      </c>
    </row>
    <row r="11" spans="1:16" ht="19.95" customHeight="1">
      <c r="A11" s="105" t="s">
        <v>219</v>
      </c>
      <c r="B11" s="112" t="s">
        <v>220</v>
      </c>
      <c r="C11" s="107"/>
      <c r="D11" s="107"/>
      <c r="E11" s="108">
        <f t="shared" si="0"/>
        <v>0</v>
      </c>
      <c r="F11" s="109">
        <f>'未审利润纵向分析B13-3-2'!E7-'未审利润纵向分析B13-3-2'!E10</f>
        <v>0</v>
      </c>
      <c r="G11" s="109">
        <f>'未审利润纵向分析B13-3-2'!E7</f>
        <v>0</v>
      </c>
      <c r="H11" s="108">
        <f t="shared" si="1"/>
        <v>0</v>
      </c>
      <c r="I11" s="108">
        <f t="shared" si="2"/>
        <v>0</v>
      </c>
      <c r="J11" s="113" t="str">
        <f t="shared" si="3"/>
        <v/>
      </c>
    </row>
    <row r="12" spans="1:16" ht="19.95" customHeight="1">
      <c r="A12" s="105" t="s">
        <v>221</v>
      </c>
      <c r="B12" s="112" t="s">
        <v>222</v>
      </c>
      <c r="C12" s="107"/>
      <c r="D12" s="107"/>
      <c r="E12" s="108">
        <f t="shared" si="0"/>
        <v>0</v>
      </c>
      <c r="F12" s="109">
        <f>'未审利润纵向分析B13-3-2'!E30+'未审利润纵向分析B13-3-2'!E19-'未审利润纵向分析B13-3-2'!E20</f>
        <v>0</v>
      </c>
      <c r="G12" s="109">
        <f>'未审利润纵向分析B13-3-2'!E7</f>
        <v>0</v>
      </c>
      <c r="H12" s="108">
        <f t="shared" si="1"/>
        <v>0</v>
      </c>
      <c r="I12" s="108">
        <f t="shared" si="2"/>
        <v>0</v>
      </c>
      <c r="J12" s="113" t="str">
        <f t="shared" si="3"/>
        <v/>
      </c>
    </row>
    <row r="13" spans="1:16" ht="19.95" customHeight="1">
      <c r="A13" s="105" t="s">
        <v>223</v>
      </c>
      <c r="B13" s="112" t="s">
        <v>224</v>
      </c>
      <c r="C13" s="107"/>
      <c r="D13" s="107"/>
      <c r="E13" s="108">
        <f t="shared" si="0"/>
        <v>0</v>
      </c>
      <c r="F13" s="109">
        <f>'未审利润纵向分析B13-3-2'!E35</f>
        <v>0</v>
      </c>
      <c r="G13" s="109">
        <f>'未审利润纵向分析B13-3-2'!E7</f>
        <v>0</v>
      </c>
      <c r="H13" s="108">
        <f t="shared" si="1"/>
        <v>0</v>
      </c>
      <c r="I13" s="108">
        <f t="shared" si="2"/>
        <v>0</v>
      </c>
      <c r="J13" s="113" t="str">
        <f t="shared" si="3"/>
        <v/>
      </c>
    </row>
    <row r="14" spans="1:16" ht="19.95" customHeight="1">
      <c r="A14" s="105" t="s">
        <v>225</v>
      </c>
      <c r="B14" s="112" t="s">
        <v>226</v>
      </c>
      <c r="C14" s="107"/>
      <c r="D14" s="107"/>
      <c r="E14" s="108">
        <f t="shared" si="0"/>
        <v>0</v>
      </c>
      <c r="F14" s="109">
        <f>'未审利润纵向分析B13-3-2'!E30</f>
        <v>0</v>
      </c>
      <c r="G14" s="109">
        <f>'未审利润纵向分析B13-3-2'!E10+'未审利润纵向分析B13-3-2'!E14+'未审利润纵向分析B13-3-2'!E15+'未审利润纵向分析B13-3-2'!E18+'未审利润纵向分析B13-3-2'!E17</f>
        <v>0</v>
      </c>
      <c r="H14" s="108">
        <f t="shared" si="1"/>
        <v>0</v>
      </c>
      <c r="I14" s="108">
        <f t="shared" si="2"/>
        <v>0</v>
      </c>
      <c r="J14" s="113" t="str">
        <f t="shared" si="3"/>
        <v/>
      </c>
    </row>
    <row r="15" spans="1:16" ht="19.95" customHeight="1">
      <c r="A15" s="105" t="s">
        <v>227</v>
      </c>
      <c r="B15" s="112" t="s">
        <v>228</v>
      </c>
      <c r="C15" s="107"/>
      <c r="D15" s="107"/>
      <c r="E15" s="108">
        <f t="shared" si="0"/>
        <v>0</v>
      </c>
      <c r="F15" s="109">
        <f>'未审利润纵向分析B13-3-2'!E17</f>
        <v>0</v>
      </c>
      <c r="G15" s="109">
        <f>'未审利润纵向分析B13-3-2'!E8</f>
        <v>0</v>
      </c>
      <c r="H15" s="108">
        <f t="shared" si="1"/>
        <v>0</v>
      </c>
      <c r="I15" s="108"/>
      <c r="J15" s="113"/>
    </row>
    <row r="16" spans="1:16" ht="19.95" customHeight="1">
      <c r="A16" s="114" t="s">
        <v>229</v>
      </c>
      <c r="B16" s="112"/>
      <c r="C16" s="107"/>
      <c r="D16" s="107"/>
      <c r="E16" s="115"/>
      <c r="F16" s="107"/>
      <c r="G16" s="107"/>
      <c r="H16" s="115"/>
      <c r="I16" s="115"/>
      <c r="J16" s="110"/>
    </row>
    <row r="17" spans="1:10" ht="19.95" customHeight="1">
      <c r="A17" s="105" t="s">
        <v>230</v>
      </c>
      <c r="B17" s="112" t="s">
        <v>231</v>
      </c>
      <c r="C17" s="107"/>
      <c r="D17" s="107"/>
      <c r="E17" s="108">
        <f>IF(D17=0,0,C17/D17)</f>
        <v>0</v>
      </c>
      <c r="F17" s="109">
        <f>'未审资产负债纵向分析B13-2-2'!E26</f>
        <v>0</v>
      </c>
      <c r="G17" s="109">
        <f>'未审资产负债纵向分析B13-2-2'!N26</f>
        <v>0</v>
      </c>
      <c r="H17" s="108">
        <f>IF(G17=0,0,F17/G17)</f>
        <v>0</v>
      </c>
      <c r="I17" s="108">
        <f>IF(E17=0,0,(H17-E17)/E17)</f>
        <v>0</v>
      </c>
      <c r="J17" s="113" t="str">
        <f>IF(AND(H17=0,I17=0),"",IF(AND(ABS(I17)&lt;20%,H17&gt;=1.6),"",IF(OR(ABS(I17)&gt;=50%,H17&lt;=1),"显著","关注")))</f>
        <v/>
      </c>
    </row>
    <row r="18" spans="1:10" ht="19.95" customHeight="1">
      <c r="A18" s="105" t="s">
        <v>232</v>
      </c>
      <c r="B18" s="112" t="s">
        <v>233</v>
      </c>
      <c r="C18" s="107"/>
      <c r="D18" s="107"/>
      <c r="E18" s="108">
        <f>IF(D18=0,0,C18/D18)</f>
        <v>0</v>
      </c>
      <c r="F18" s="109">
        <f>'未审资产负债纵向分析B13-2-2'!E26-'未审资产负债纵向分析B13-2-2'!E19</f>
        <v>0</v>
      </c>
      <c r="G18" s="109">
        <f>'未审资产负债纵向分析B13-2-2'!N26</f>
        <v>0</v>
      </c>
      <c r="H18" s="108">
        <f>IF(G18=0,0,F18/G18)</f>
        <v>0</v>
      </c>
      <c r="I18" s="108">
        <f>IF(E18=0,0,(H18-E18)/E18)</f>
        <v>0</v>
      </c>
      <c r="J18" s="113" t="str">
        <f>IF(AND(H18=0,I18=0),"",IF(AND(ABS(I18)&lt;20%,H18&gt;=0.8),"",IF(OR(ABS(I18)&gt;=50%,H18&lt;=0.5),"显著","关注")))</f>
        <v/>
      </c>
    </row>
    <row r="19" spans="1:10" ht="19.95" customHeight="1">
      <c r="A19" s="105" t="s">
        <v>234</v>
      </c>
      <c r="B19" s="112" t="s">
        <v>235</v>
      </c>
      <c r="C19" s="107"/>
      <c r="D19" s="107"/>
      <c r="E19" s="108">
        <f>IF(D19=0,0,C19/D19)</f>
        <v>0</v>
      </c>
      <c r="F19" s="109">
        <f>'未审资产负债纵向分析B13-2-2'!E8+'未审资产负债纵向分析B13-2-2'!E10</f>
        <v>0</v>
      </c>
      <c r="G19" s="109">
        <f>'未审资产负债纵向分析B13-2-2'!N26</f>
        <v>0</v>
      </c>
      <c r="H19" s="108">
        <f>IF(G19=0,0,F19/G19)</f>
        <v>0</v>
      </c>
      <c r="I19" s="108">
        <f>IF(E19=0,0,(H19-E19)/E19)</f>
        <v>0</v>
      </c>
      <c r="J19" s="113" t="str">
        <f>IF(AND(H19=0,I19=0),"",IF(AND(ABS(I19)&lt;20%,H19&gt;=0.24),"",IF(OR(ABS(I19)&gt;=50%,H19&lt;=0.15),"显著","关注")))</f>
        <v/>
      </c>
    </row>
    <row r="20" spans="1:10" ht="19.95" customHeight="1">
      <c r="A20" s="114" t="s">
        <v>236</v>
      </c>
      <c r="B20" s="112"/>
      <c r="C20" s="107"/>
      <c r="D20" s="107"/>
      <c r="E20" s="115"/>
      <c r="F20" s="107"/>
      <c r="G20" s="107"/>
      <c r="H20" s="115"/>
      <c r="I20" s="115"/>
      <c r="J20" s="110" t="str">
        <f>IF(ABS(I20)&lt;20%,"",IF(ABS(I20)&lt;50%,"关注","异常"))</f>
        <v/>
      </c>
    </row>
    <row r="21" spans="1:10" ht="19.95" customHeight="1">
      <c r="A21" s="105" t="s">
        <v>237</v>
      </c>
      <c r="B21" s="112" t="s">
        <v>238</v>
      </c>
      <c r="C21" s="107"/>
      <c r="D21" s="107"/>
      <c r="E21" s="108">
        <f t="shared" ref="E21:E27" si="4">IF(D21=0,0,C21/D21)</f>
        <v>0</v>
      </c>
      <c r="F21" s="109">
        <f>'未审资产负债纵向分析B13-2-2'!N40</f>
        <v>0</v>
      </c>
      <c r="G21" s="109">
        <f>'未审资产负债纵向分析B13-2-2'!E55</f>
        <v>0</v>
      </c>
      <c r="H21" s="108">
        <f t="shared" ref="H21:H27" si="5">IF(G21=0,0,F21/G21)</f>
        <v>0</v>
      </c>
      <c r="I21" s="108">
        <f t="shared" ref="I21:I27" si="6">IF(E21=0,0,(H21-E21)/E21)</f>
        <v>0</v>
      </c>
      <c r="J21" s="113" t="str">
        <f>IF(AND(ABS(I21)&lt;20%,H21&lt;=60%),"",IF(OR(ABS(I21)&gt;=50%,H21&gt;=90%),"显著","关注"))</f>
        <v/>
      </c>
    </row>
    <row r="22" spans="1:10" ht="19.95" customHeight="1">
      <c r="A22" s="105" t="s">
        <v>239</v>
      </c>
      <c r="B22" s="112" t="s">
        <v>240</v>
      </c>
      <c r="C22" s="107"/>
      <c r="D22" s="107"/>
      <c r="E22" s="108">
        <f t="shared" si="4"/>
        <v>0</v>
      </c>
      <c r="F22" s="109">
        <f>'未审资产负债纵向分析B13-2-2'!N40</f>
        <v>0</v>
      </c>
      <c r="G22" s="109">
        <f>'未审资产负债纵向分析B13-2-2'!N54</f>
        <v>0</v>
      </c>
      <c r="H22" s="108">
        <f t="shared" si="5"/>
        <v>0</v>
      </c>
      <c r="I22" s="108">
        <f t="shared" si="6"/>
        <v>0</v>
      </c>
      <c r="J22" s="113" t="str">
        <f>IF(AND(ABS(I22)&lt;20%,H22&lt;=100%),"",IF(OR(ABS(I22)&gt;=50%,H22&gt;=150%),"显著","关注"))</f>
        <v/>
      </c>
    </row>
    <row r="23" spans="1:10" ht="19.95" customHeight="1">
      <c r="A23" s="105" t="s">
        <v>241</v>
      </c>
      <c r="B23" s="112" t="s">
        <v>242</v>
      </c>
      <c r="C23" s="107"/>
      <c r="D23" s="107"/>
      <c r="E23" s="108">
        <f t="shared" si="4"/>
        <v>0</v>
      </c>
      <c r="F23" s="109">
        <f>'未审资产负债纵向分析B13-2-2'!N40</f>
        <v>0</v>
      </c>
      <c r="G23" s="109">
        <f>'未审资产负债纵向分析B13-2-2'!N54-'未审资产负债纵向分析B13-2-2'!E44-'未审资产负债纵向分析B13-2-2'!E45-'未审资产负债纵向分析B13-2-2'!E43-'未审资产负债纵向分析B13-2-2'!E47</f>
        <v>0</v>
      </c>
      <c r="H23" s="108">
        <f t="shared" si="5"/>
        <v>0</v>
      </c>
      <c r="I23" s="108">
        <f t="shared" si="6"/>
        <v>0</v>
      </c>
      <c r="J23" s="113" t="str">
        <f>IF(AND(ABS(I23)&lt;20%,H23&lt;=150%),"",IF(OR(ABS(I23)&gt;=50%,H23&gt;=200%),"显著","关注"))</f>
        <v/>
      </c>
    </row>
    <row r="24" spans="1:10" ht="19.95" customHeight="1">
      <c r="A24" s="105" t="s">
        <v>243</v>
      </c>
      <c r="B24" s="112" t="s">
        <v>244</v>
      </c>
      <c r="C24" s="107"/>
      <c r="D24" s="107"/>
      <c r="E24" s="108">
        <f t="shared" si="4"/>
        <v>0</v>
      </c>
      <c r="F24" s="109">
        <f>'未审利润纵向分析B13-3-2'!E33+'未审利润纵向分析B13-3-2'!E19-'未审利润纵向分析B13-3-2'!E20</f>
        <v>0</v>
      </c>
      <c r="G24" s="109">
        <f>'未审利润纵向分析B13-3-2'!E19-'未审利润纵向分析B13-3-2'!E20</f>
        <v>0</v>
      </c>
      <c r="H24" s="108">
        <f t="shared" si="5"/>
        <v>0</v>
      </c>
      <c r="I24" s="108">
        <f t="shared" si="6"/>
        <v>0</v>
      </c>
      <c r="J24" s="113" t="str">
        <f>IF(AND(H24=0,I24=0),"",IF(AND(ABS(I24)&lt;20%,H24&gt;=100%),"",IF(OR(ABS(I24)&gt;=50%,H24&lt;=50%),"显著","关注")))</f>
        <v/>
      </c>
    </row>
    <row r="25" spans="1:10" ht="19.95" customHeight="1">
      <c r="A25" s="105" t="s">
        <v>245</v>
      </c>
      <c r="B25" s="112" t="s">
        <v>246</v>
      </c>
      <c r="C25" s="107"/>
      <c r="D25" s="107"/>
      <c r="E25" s="108">
        <f t="shared" si="4"/>
        <v>0</v>
      </c>
      <c r="F25" s="109">
        <f>'未审资产负债纵向分析B13-2-2'!E26-'未审资产负债纵向分析B13-2-2'!N26</f>
        <v>0</v>
      </c>
      <c r="G25" s="109">
        <f>'未审资产负债纵向分析B13-2-2'!N39</f>
        <v>0</v>
      </c>
      <c r="H25" s="108">
        <f t="shared" si="5"/>
        <v>0</v>
      </c>
      <c r="I25" s="108">
        <f t="shared" si="6"/>
        <v>0</v>
      </c>
      <c r="J25" s="113" t="str">
        <f>IF(AND(H25=0,I25=0),"",IF(AND(ABS(I25)&lt;20%,H25&gt;=100%),"",IF(OR(ABS(I25)&gt;=50%,H25&lt;=50%),"显著","关注")))</f>
        <v/>
      </c>
    </row>
    <row r="26" spans="1:10" ht="19.95" customHeight="1">
      <c r="A26" s="105" t="s">
        <v>247</v>
      </c>
      <c r="B26" s="112" t="s">
        <v>248</v>
      </c>
      <c r="C26" s="107"/>
      <c r="D26" s="107"/>
      <c r="E26" s="108">
        <f t="shared" si="4"/>
        <v>0</v>
      </c>
      <c r="F26" s="109">
        <f>'未审资产负债纵向分析B13-2-2'!N39</f>
        <v>0</v>
      </c>
      <c r="G26" s="109">
        <f>'未审资产负债纵向分析B13-2-2'!N40</f>
        <v>0</v>
      </c>
      <c r="H26" s="108">
        <f t="shared" si="5"/>
        <v>0</v>
      </c>
      <c r="I26" s="108">
        <f t="shared" si="6"/>
        <v>0</v>
      </c>
      <c r="J26" s="113" t="str">
        <f>IF(ABS(I26)&lt;20%,"",IF(ABS(I26)&lt;50%,"关注","显著"))</f>
        <v/>
      </c>
    </row>
    <row r="27" spans="1:10" ht="19.95" customHeight="1">
      <c r="A27" s="105" t="s">
        <v>249</v>
      </c>
      <c r="B27" s="112" t="s">
        <v>250</v>
      </c>
      <c r="C27" s="107"/>
      <c r="D27" s="107"/>
      <c r="E27" s="108">
        <f t="shared" si="4"/>
        <v>0</v>
      </c>
      <c r="F27" s="109">
        <f>'未审资产负债纵向分析B13-2-2'!N26+'未审利润纵向分析B13-3-2'!E80</f>
        <v>0</v>
      </c>
      <c r="G27" s="109">
        <f>'未审资产负债纵向分析B13-2-2'!N40+'未审资产负债纵向分析B13-2-2'!N52</f>
        <v>0</v>
      </c>
      <c r="H27" s="108">
        <f t="shared" si="5"/>
        <v>0</v>
      </c>
      <c r="I27" s="108">
        <f t="shared" si="6"/>
        <v>0</v>
      </c>
      <c r="J27" s="113" t="str">
        <f>IF(AND(H27=0,I27=0),"",IF(AND(ABS(I27)&lt;20%,H27&gt;=50%),"",IF(OR(ABS(I27)&gt;=50%,H27&lt;=30%),"显著","关注")))</f>
        <v/>
      </c>
    </row>
    <row r="28" spans="1:10" ht="19.95" customHeight="1">
      <c r="A28" s="114" t="s">
        <v>251</v>
      </c>
      <c r="B28" s="112"/>
      <c r="C28" s="107"/>
      <c r="D28" s="107"/>
      <c r="E28" s="115"/>
      <c r="F28" s="107"/>
      <c r="G28" s="107"/>
      <c r="H28" s="115"/>
      <c r="I28" s="115"/>
      <c r="J28" s="110"/>
    </row>
    <row r="29" spans="1:10" ht="19.95" customHeight="1">
      <c r="A29" s="105" t="s">
        <v>252</v>
      </c>
      <c r="B29" s="112" t="s">
        <v>253</v>
      </c>
      <c r="C29" s="107"/>
      <c r="D29" s="107"/>
      <c r="E29" s="108">
        <f>IF(D29=0,0,C29/D29)</f>
        <v>0</v>
      </c>
      <c r="F29" s="109">
        <f>'未审利润纵向分析B13-3-2'!E7/12*12</f>
        <v>0</v>
      </c>
      <c r="G29" s="109">
        <f>('未审资产负债纵向分析B13-2-2'!C55+'未审资产负债纵向分析B13-2-2'!E55)/2</f>
        <v>0</v>
      </c>
      <c r="H29" s="108">
        <f>IF(G29=0,0,F29/G29)</f>
        <v>0</v>
      </c>
      <c r="I29" s="108">
        <f t="shared" ref="I29:I34" si="7">IF(E29=0,0,(H29-E29)/E29)</f>
        <v>0</v>
      </c>
      <c r="J29" s="113" t="str">
        <f t="shared" ref="J29:J34" si="8">IF(ABS(I29)&lt;20%,"",IF(ABS(I29)&lt;50%,"关注","显著"))</f>
        <v/>
      </c>
    </row>
    <row r="30" spans="1:10" ht="19.95" customHeight="1">
      <c r="A30" s="105" t="s">
        <v>254</v>
      </c>
      <c r="B30" s="112" t="s">
        <v>255</v>
      </c>
      <c r="C30" s="107"/>
      <c r="D30" s="107"/>
      <c r="E30" s="108">
        <f>IF(D30=0,0,C30/D30)</f>
        <v>0</v>
      </c>
      <c r="F30" s="109">
        <f>'未审利润纵向分析B13-3-2'!E7/12*12</f>
        <v>0</v>
      </c>
      <c r="G30" s="109">
        <f>('未审资产负债纵向分析B13-2-2'!C38+'未审资产负债纵向分析B13-2-2'!E38)/2</f>
        <v>0</v>
      </c>
      <c r="H30" s="108">
        <f>IF(G30=0,0,F30/G30)</f>
        <v>0</v>
      </c>
      <c r="I30" s="108">
        <f t="shared" si="7"/>
        <v>0</v>
      </c>
      <c r="J30" s="113" t="str">
        <f t="shared" si="8"/>
        <v/>
      </c>
    </row>
    <row r="31" spans="1:10" ht="19.95" customHeight="1">
      <c r="A31" s="105" t="s">
        <v>256</v>
      </c>
      <c r="B31" s="112" t="s">
        <v>257</v>
      </c>
      <c r="C31" s="107"/>
      <c r="D31" s="107"/>
      <c r="E31" s="108">
        <f>IF(D31=0,0,C31/D31)</f>
        <v>0</v>
      </c>
      <c r="F31" s="109">
        <f>'未审利润纵向分析B13-3-2'!E7/12*12</f>
        <v>0</v>
      </c>
      <c r="G31" s="109">
        <f>('未审资产负债纵向分析B13-2-2'!C26+'未审资产负债纵向分析B13-2-2'!E26)/2</f>
        <v>0</v>
      </c>
      <c r="H31" s="108">
        <f>IF(G31=0,0,F31/G31)</f>
        <v>0</v>
      </c>
      <c r="I31" s="108">
        <f t="shared" si="7"/>
        <v>0</v>
      </c>
      <c r="J31" s="113" t="str">
        <f t="shared" si="8"/>
        <v/>
      </c>
    </row>
    <row r="32" spans="1:10" ht="19.95" customHeight="1">
      <c r="A32" s="105" t="s">
        <v>258</v>
      </c>
      <c r="B32" s="112" t="s">
        <v>259</v>
      </c>
      <c r="C32" s="107"/>
      <c r="D32" s="107"/>
      <c r="E32" s="108">
        <f>IF(D32=0,0,C32/D32)</f>
        <v>0</v>
      </c>
      <c r="F32" s="109">
        <f>'未审利润纵向分析B13-3-2'!E7/12*12</f>
        <v>0</v>
      </c>
      <c r="G32" s="109">
        <f>('未审资产负债纵向分析B13-2-2'!C13+'未审资产负债纵向分析B13-2-2'!E13)/2</f>
        <v>0</v>
      </c>
      <c r="H32" s="116">
        <f>IF(G32=0,0,F32/G32)</f>
        <v>0</v>
      </c>
      <c r="I32" s="108">
        <f t="shared" si="7"/>
        <v>0</v>
      </c>
      <c r="J32" s="113" t="str">
        <f t="shared" si="8"/>
        <v/>
      </c>
    </row>
    <row r="33" spans="1:10" ht="19.95" customHeight="1">
      <c r="A33" s="105" t="s">
        <v>260</v>
      </c>
      <c r="B33" s="112" t="s">
        <v>261</v>
      </c>
      <c r="C33" s="107"/>
      <c r="D33" s="107"/>
      <c r="E33" s="108">
        <f>IF(D33=0,0,C33/D33)</f>
        <v>0</v>
      </c>
      <c r="F33" s="109">
        <f>'未审利润纵向分析B13-3-2'!E10/12*12</f>
        <v>0</v>
      </c>
      <c r="G33" s="109">
        <f>('未审资产负债纵向分析B13-2-2'!C19+'未审资产负债纵向分析B13-2-2'!E19)/2</f>
        <v>0</v>
      </c>
      <c r="H33" s="116">
        <f>IF(G33=0,0,F33/G33)</f>
        <v>0</v>
      </c>
      <c r="I33" s="108">
        <f t="shared" si="7"/>
        <v>0</v>
      </c>
      <c r="J33" s="113" t="str">
        <f t="shared" si="8"/>
        <v/>
      </c>
    </row>
    <row r="34" spans="1:10" ht="19.95" customHeight="1">
      <c r="A34" s="105" t="s">
        <v>262</v>
      </c>
      <c r="B34" s="112" t="s">
        <v>263</v>
      </c>
      <c r="C34" s="107"/>
      <c r="D34" s="107"/>
      <c r="E34" s="108">
        <f>SUM(C34:D34)</f>
        <v>0</v>
      </c>
      <c r="F34" s="109">
        <f>IF(H32&lt;&gt;0,365/H32,)</f>
        <v>0</v>
      </c>
      <c r="G34" s="109">
        <f>IF(H33&lt;&gt;0,365/H33,)</f>
        <v>0</v>
      </c>
      <c r="H34" s="117">
        <f>SUM(F34:G34)</f>
        <v>0</v>
      </c>
      <c r="I34" s="108">
        <f t="shared" si="7"/>
        <v>0</v>
      </c>
      <c r="J34" s="113" t="str">
        <f t="shared" si="8"/>
        <v/>
      </c>
    </row>
    <row r="35" spans="1:10" ht="19.95" customHeight="1">
      <c r="A35" s="114" t="s">
        <v>264</v>
      </c>
      <c r="B35" s="112"/>
      <c r="C35" s="107"/>
      <c r="D35" s="107"/>
      <c r="E35" s="118"/>
      <c r="F35" s="107"/>
      <c r="G35" s="107"/>
      <c r="H35" s="118"/>
      <c r="I35" s="115"/>
      <c r="J35" s="110"/>
    </row>
    <row r="36" spans="1:10" ht="19.95" customHeight="1">
      <c r="A36" s="105" t="s">
        <v>265</v>
      </c>
      <c r="B36" s="112" t="s">
        <v>266</v>
      </c>
      <c r="C36" s="107"/>
      <c r="D36" s="107"/>
      <c r="E36" s="108">
        <f t="shared" ref="E36:E41" si="9">IF(D36=0,0,C36/D36)</f>
        <v>0</v>
      </c>
      <c r="F36" s="109">
        <f>'未审资产负债纵向分析B13-2-2'!N52</f>
        <v>0</v>
      </c>
      <c r="G36" s="109">
        <f>'未审资产负债纵向分析B13-2-2'!L52</f>
        <v>0</v>
      </c>
      <c r="H36" s="108">
        <f t="shared" ref="H36:H41" si="10">IF(G36=0,0,F36/G36)</f>
        <v>0</v>
      </c>
      <c r="I36" s="108">
        <f t="shared" ref="I36:I41" si="11">IF(E36=0,0,(H36-E36)/E36)</f>
        <v>0</v>
      </c>
      <c r="J36" s="113" t="str">
        <f t="shared" ref="J36:J41" si="12">IF(ABS(I36)&lt;20%,"",IF(ABS(I36)&lt;50%,"关注","显著"))</f>
        <v/>
      </c>
    </row>
    <row r="37" spans="1:10" ht="19.95" customHeight="1">
      <c r="A37" s="105" t="s">
        <v>267</v>
      </c>
      <c r="B37" s="112" t="s">
        <v>268</v>
      </c>
      <c r="C37" s="107"/>
      <c r="D37" s="107"/>
      <c r="E37" s="108">
        <f t="shared" si="9"/>
        <v>0</v>
      </c>
      <c r="F37" s="109"/>
      <c r="G37" s="109">
        <f>('未审资产负债纵向分析B13-2-2'!C55+'未审资产负债纵向分析B13-2-2'!E55)/2</f>
        <v>0</v>
      </c>
      <c r="H37" s="108">
        <f t="shared" si="10"/>
        <v>0</v>
      </c>
      <c r="I37" s="108">
        <f t="shared" si="11"/>
        <v>0</v>
      </c>
      <c r="J37" s="113" t="str">
        <f t="shared" si="12"/>
        <v/>
      </c>
    </row>
    <row r="38" spans="1:10" ht="19.95" customHeight="1">
      <c r="A38" s="105" t="s">
        <v>269</v>
      </c>
      <c r="B38" s="112" t="s">
        <v>270</v>
      </c>
      <c r="C38" s="107"/>
      <c r="D38" s="107"/>
      <c r="E38" s="108">
        <f t="shared" si="9"/>
        <v>0</v>
      </c>
      <c r="F38" s="109"/>
      <c r="G38" s="109">
        <f>F37</f>
        <v>0</v>
      </c>
      <c r="H38" s="108">
        <f t="shared" si="10"/>
        <v>0</v>
      </c>
      <c r="I38" s="108">
        <f t="shared" si="11"/>
        <v>0</v>
      </c>
      <c r="J38" s="113" t="str">
        <f t="shared" si="12"/>
        <v/>
      </c>
    </row>
    <row r="39" spans="1:10" ht="19.95" customHeight="1">
      <c r="A39" s="105" t="s">
        <v>271</v>
      </c>
      <c r="B39" s="112" t="s">
        <v>272</v>
      </c>
      <c r="C39" s="107"/>
      <c r="D39" s="107"/>
      <c r="E39" s="108">
        <f t="shared" si="9"/>
        <v>0</v>
      </c>
      <c r="F39" s="109"/>
      <c r="G39" s="109">
        <f>'未审资产负债纵向分析B13-2-2'!E55</f>
        <v>0</v>
      </c>
      <c r="H39" s="108">
        <f t="shared" si="10"/>
        <v>0</v>
      </c>
      <c r="I39" s="108">
        <f t="shared" si="11"/>
        <v>0</v>
      </c>
      <c r="J39" s="113" t="str">
        <f t="shared" si="12"/>
        <v/>
      </c>
    </row>
    <row r="40" spans="1:10" ht="19.95" customHeight="1">
      <c r="A40" s="105" t="s">
        <v>273</v>
      </c>
      <c r="B40" s="112" t="s">
        <v>274</v>
      </c>
      <c r="C40" s="107"/>
      <c r="D40" s="107"/>
      <c r="E40" s="108">
        <f t="shared" si="9"/>
        <v>0</v>
      </c>
      <c r="F40" s="109"/>
      <c r="G40" s="109">
        <f>'未审资产负债纵向分析B13-2-2'!E55</f>
        <v>0</v>
      </c>
      <c r="H40" s="108">
        <f t="shared" si="10"/>
        <v>0</v>
      </c>
      <c r="I40" s="108">
        <f t="shared" si="11"/>
        <v>0</v>
      </c>
      <c r="J40" s="113" t="str">
        <f t="shared" si="12"/>
        <v/>
      </c>
    </row>
    <row r="41" spans="1:10" ht="19.95" customHeight="1">
      <c r="A41" s="105" t="s">
        <v>275</v>
      </c>
      <c r="B41" s="112" t="s">
        <v>276</v>
      </c>
      <c r="C41" s="107"/>
      <c r="D41" s="107"/>
      <c r="E41" s="108">
        <f t="shared" si="9"/>
        <v>0</v>
      </c>
      <c r="F41" s="109">
        <f>('未审资产负债纵向分析B13-2-2'!C38+'未审资产负债纵向分析B13-2-2'!E38)/2</f>
        <v>0</v>
      </c>
      <c r="G41" s="109"/>
      <c r="H41" s="108">
        <f t="shared" si="10"/>
        <v>0</v>
      </c>
      <c r="I41" s="108">
        <f t="shared" si="11"/>
        <v>0</v>
      </c>
      <c r="J41" s="113" t="str">
        <f t="shared" si="12"/>
        <v/>
      </c>
    </row>
    <row r="42" spans="1:10" ht="19.95" customHeight="1">
      <c r="A42" s="119" t="s">
        <v>277</v>
      </c>
      <c r="B42" s="112"/>
      <c r="C42" s="107"/>
      <c r="D42" s="107"/>
      <c r="E42" s="120"/>
      <c r="F42" s="107"/>
      <c r="G42" s="107"/>
      <c r="H42" s="115"/>
      <c r="I42" s="115"/>
      <c r="J42" s="110"/>
    </row>
    <row r="43" spans="1:10" ht="19.95" customHeight="1">
      <c r="A43" s="111" t="s">
        <v>278</v>
      </c>
      <c r="B43" s="112" t="s">
        <v>279</v>
      </c>
      <c r="C43" s="107"/>
      <c r="D43" s="107"/>
      <c r="E43" s="115">
        <f>IF(D43=0,0,C43/D43)</f>
        <v>0</v>
      </c>
      <c r="F43" s="107"/>
      <c r="G43" s="109">
        <f>'未审资产负债纵向分析B13-2-2'!N26</f>
        <v>0</v>
      </c>
      <c r="H43" s="108">
        <f>IF(G43=0,0,F43/G43)</f>
        <v>0</v>
      </c>
      <c r="I43" s="108">
        <f>IF(E43=0,0,(H43-E43)/E43)</f>
        <v>0</v>
      </c>
      <c r="J43" s="113" t="str">
        <f>IF(ABS(I43)&lt;20%,"",IF(ABS(I43)&lt;50%,"关注","显著"))</f>
        <v/>
      </c>
    </row>
    <row r="44" spans="1:10" ht="19.95" customHeight="1">
      <c r="A44" s="111" t="s">
        <v>280</v>
      </c>
      <c r="B44" s="112" t="s">
        <v>281</v>
      </c>
      <c r="C44" s="107"/>
      <c r="D44" s="107"/>
      <c r="E44" s="115">
        <f>IF(D44=0,0,C44/D44)</f>
        <v>0</v>
      </c>
      <c r="F44" s="107"/>
      <c r="G44" s="109">
        <f>'未审资产负债纵向分析B13-2-2'!N40</f>
        <v>0</v>
      </c>
      <c r="H44" s="108">
        <f>IF(G44=0,0,F44/G44)</f>
        <v>0</v>
      </c>
      <c r="I44" s="108">
        <f>IF(E44=0,0,(H44-E44)/E44)</f>
        <v>0</v>
      </c>
      <c r="J44" s="113" t="str">
        <f>IF(ABS(I44)&lt;20%,"",IF(ABS(I44)&lt;50%,"关注","显著"))</f>
        <v/>
      </c>
    </row>
    <row r="45" spans="1:10" ht="19.95" customHeight="1">
      <c r="A45" s="121" t="s">
        <v>282</v>
      </c>
      <c r="B45" s="122" t="s">
        <v>283</v>
      </c>
      <c r="C45" s="123"/>
      <c r="D45" s="123"/>
      <c r="E45" s="124">
        <f>IF(D45=0,0,C45/D45)</f>
        <v>0</v>
      </c>
      <c r="F45" s="125"/>
      <c r="G45" s="126">
        <f>'未审利润纵向分析B13-3-2'!E35</f>
        <v>0</v>
      </c>
      <c r="H45" s="127">
        <f>IF(G45=0,0,F45/G45)</f>
        <v>0</v>
      </c>
      <c r="I45" s="127">
        <f>IF(E45=0,0,(H45-E45)/E45)</f>
        <v>0</v>
      </c>
      <c r="J45" s="128" t="str">
        <f>IF(ABS(I45)&lt;20%,"",IF(ABS(I45)&lt;50%,"关注","显著"))</f>
        <v/>
      </c>
    </row>
    <row r="46" spans="1:10" ht="19.95" customHeight="1" thickBot="1">
      <c r="A46" s="129" t="s">
        <v>284</v>
      </c>
      <c r="B46" s="130" t="s">
        <v>285</v>
      </c>
      <c r="C46" s="131"/>
      <c r="D46" s="131"/>
      <c r="E46" s="132">
        <f>IF(D46=0,0,C46/D46)</f>
        <v>0</v>
      </c>
      <c r="F46" s="133"/>
      <c r="G46" s="134">
        <f>'未审利润纵向分析B13-3-2'!E7</f>
        <v>0</v>
      </c>
      <c r="H46" s="135">
        <f>IF(G46=0,0,F46/G46)</f>
        <v>0</v>
      </c>
      <c r="I46" s="135">
        <f>IF(E46=0,0,(H46-E46)/E46)</f>
        <v>0</v>
      </c>
      <c r="J46" s="136" t="str">
        <f>IF(ABS(I46)&lt;20%,"",IF(ABS(I46)&lt;50%,"关注","显著"))</f>
        <v/>
      </c>
    </row>
    <row r="47" spans="1:10" ht="19.95" customHeight="1">
      <c r="C47" s="138"/>
      <c r="D47" s="138"/>
      <c r="E47" s="139"/>
      <c r="F47" s="138"/>
      <c r="G47" s="138"/>
      <c r="J47" s="140"/>
    </row>
    <row r="48" spans="1:10" ht="19.95" customHeight="1">
      <c r="A48" s="92" t="s">
        <v>286</v>
      </c>
      <c r="C48" s="138"/>
      <c r="D48" s="138"/>
      <c r="E48" s="139"/>
      <c r="F48" s="138"/>
      <c r="G48" s="138"/>
      <c r="J48" s="140"/>
    </row>
    <row r="49" spans="1:10" ht="19.95" customHeight="1">
      <c r="A49" s="92" t="s">
        <v>287</v>
      </c>
      <c r="C49" s="138"/>
      <c r="D49" s="138"/>
      <c r="E49" s="139"/>
      <c r="F49" s="138"/>
      <c r="G49" s="138"/>
      <c r="J49" s="140"/>
    </row>
    <row r="50" spans="1:10" ht="19.95" customHeight="1">
      <c r="A50" s="92" t="s">
        <v>288</v>
      </c>
      <c r="C50" s="138"/>
      <c r="D50" s="138"/>
      <c r="E50" s="139"/>
      <c r="F50" s="138"/>
      <c r="G50" s="138"/>
      <c r="J50" s="140"/>
    </row>
    <row r="51" spans="1:10" ht="19.95" customHeight="1">
      <c r="A51" s="92" t="s">
        <v>289</v>
      </c>
      <c r="C51" s="138"/>
      <c r="D51" s="138"/>
      <c r="E51" s="139"/>
      <c r="F51" s="138"/>
      <c r="G51" s="138"/>
      <c r="J51" s="140"/>
    </row>
    <row r="52" spans="1:10" ht="19.95" customHeight="1">
      <c r="C52" s="138"/>
      <c r="D52" s="138"/>
      <c r="E52" s="139"/>
      <c r="F52" s="138"/>
      <c r="G52" s="138"/>
      <c r="J52" s="140"/>
    </row>
    <row r="53" spans="1:10" ht="19.95" customHeight="1">
      <c r="C53" s="138"/>
      <c r="D53" s="138"/>
      <c r="E53" s="139"/>
      <c r="F53" s="138"/>
      <c r="G53" s="138"/>
      <c r="J53" s="140"/>
    </row>
    <row r="54" spans="1:10" ht="19.95" customHeight="1">
      <c r="C54" s="138"/>
      <c r="D54" s="138"/>
      <c r="E54" s="139"/>
      <c r="F54" s="138"/>
      <c r="G54" s="138"/>
      <c r="J54" s="140"/>
    </row>
    <row r="55" spans="1:10" ht="19.95" customHeight="1">
      <c r="C55" s="138"/>
      <c r="D55" s="138"/>
      <c r="E55" s="139"/>
      <c r="F55" s="138"/>
      <c r="G55" s="138"/>
      <c r="J55" s="140"/>
    </row>
    <row r="56" spans="1:10" ht="19.95" customHeight="1">
      <c r="C56" s="138"/>
      <c r="D56" s="138"/>
      <c r="E56" s="139"/>
      <c r="F56" s="138"/>
      <c r="G56" s="138"/>
      <c r="J56" s="140"/>
    </row>
    <row r="57" spans="1:10" ht="19.95" customHeight="1">
      <c r="C57" s="138"/>
      <c r="D57" s="138"/>
      <c r="E57" s="139"/>
      <c r="F57" s="138"/>
      <c r="G57" s="138"/>
      <c r="J57" s="140"/>
    </row>
    <row r="58" spans="1:10" ht="19.95" customHeight="1">
      <c r="C58" s="138"/>
      <c r="D58" s="138"/>
      <c r="E58" s="139"/>
      <c r="F58" s="138"/>
      <c r="G58" s="138"/>
      <c r="J58" s="140"/>
    </row>
    <row r="59" spans="1:10" ht="19.95" customHeight="1">
      <c r="C59" s="138"/>
      <c r="D59" s="138"/>
      <c r="E59" s="139"/>
      <c r="F59" s="138"/>
      <c r="G59" s="138"/>
      <c r="J59" s="140"/>
    </row>
    <row r="60" spans="1:10" ht="19.95" customHeight="1">
      <c r="C60" s="138"/>
      <c r="D60" s="138"/>
      <c r="E60" s="139"/>
      <c r="F60" s="138"/>
      <c r="G60" s="138"/>
      <c r="J60" s="140"/>
    </row>
    <row r="61" spans="1:10" ht="19.95" customHeight="1">
      <c r="C61" s="138"/>
      <c r="D61" s="138"/>
      <c r="E61" s="139"/>
      <c r="F61" s="138"/>
      <c r="G61" s="138"/>
      <c r="J61" s="140"/>
    </row>
    <row r="62" spans="1:10" ht="19.95" customHeight="1">
      <c r="C62" s="138"/>
      <c r="D62" s="138"/>
      <c r="E62" s="139"/>
      <c r="F62" s="138"/>
      <c r="G62" s="138"/>
      <c r="J62" s="140"/>
    </row>
    <row r="63" spans="1:10" ht="19.95" customHeight="1">
      <c r="C63" s="138"/>
      <c r="D63" s="138"/>
      <c r="E63" s="139"/>
      <c r="F63" s="138"/>
      <c r="G63" s="138"/>
      <c r="J63" s="140"/>
    </row>
    <row r="64" spans="1:10" ht="19.95" customHeight="1">
      <c r="C64" s="138"/>
      <c r="D64" s="138"/>
      <c r="E64" s="139"/>
      <c r="F64" s="138"/>
      <c r="G64" s="138"/>
      <c r="J64" s="140"/>
    </row>
    <row r="65" spans="3:10" ht="19.95" customHeight="1">
      <c r="C65" s="138"/>
      <c r="D65" s="138"/>
      <c r="E65" s="139"/>
      <c r="F65" s="138"/>
      <c r="G65" s="138"/>
      <c r="J65" s="140"/>
    </row>
    <row r="66" spans="3:10" ht="19.95" customHeight="1">
      <c r="C66" s="138"/>
      <c r="D66" s="138"/>
      <c r="E66" s="139"/>
      <c r="F66" s="138"/>
      <c r="G66" s="138"/>
      <c r="J66" s="140"/>
    </row>
    <row r="67" spans="3:10" ht="19.95" customHeight="1">
      <c r="C67" s="138"/>
      <c r="D67" s="138"/>
      <c r="E67" s="139"/>
      <c r="F67" s="138"/>
      <c r="G67" s="138"/>
      <c r="J67" s="140"/>
    </row>
    <row r="68" spans="3:10" ht="19.95" customHeight="1">
      <c r="C68" s="138"/>
      <c r="D68" s="138"/>
      <c r="E68" s="139"/>
      <c r="F68" s="138"/>
      <c r="G68" s="138"/>
      <c r="J68" s="140"/>
    </row>
    <row r="69" spans="3:10" ht="19.95" customHeight="1">
      <c r="C69" s="138"/>
      <c r="D69" s="138"/>
      <c r="E69" s="139"/>
      <c r="F69" s="138"/>
      <c r="G69" s="138"/>
      <c r="J69" s="140"/>
    </row>
    <row r="70" spans="3:10" ht="19.95" customHeight="1">
      <c r="C70" s="138"/>
      <c r="D70" s="138"/>
      <c r="E70" s="139"/>
      <c r="F70" s="138"/>
      <c r="G70" s="138"/>
      <c r="J70" s="140"/>
    </row>
    <row r="71" spans="3:10" ht="19.95" customHeight="1">
      <c r="C71" s="138"/>
      <c r="D71" s="138"/>
      <c r="E71" s="139"/>
      <c r="F71" s="138"/>
      <c r="G71" s="138"/>
      <c r="J71" s="140"/>
    </row>
    <row r="72" spans="3:10" ht="19.95" customHeight="1">
      <c r="C72" s="138"/>
      <c r="D72" s="138"/>
      <c r="E72" s="139"/>
      <c r="F72" s="138"/>
      <c r="G72" s="138"/>
      <c r="J72" s="140"/>
    </row>
    <row r="73" spans="3:10" ht="19.95" customHeight="1">
      <c r="C73" s="138"/>
      <c r="D73" s="138"/>
      <c r="E73" s="139"/>
      <c r="F73" s="138"/>
      <c r="G73" s="138"/>
      <c r="J73" s="140"/>
    </row>
    <row r="74" spans="3:10" ht="19.95" customHeight="1">
      <c r="C74" s="138"/>
      <c r="D74" s="138"/>
      <c r="E74" s="139"/>
      <c r="F74" s="138"/>
      <c r="G74" s="138"/>
      <c r="J74" s="140"/>
    </row>
    <row r="75" spans="3:10" ht="19.95" customHeight="1">
      <c r="C75" s="138"/>
      <c r="D75" s="138"/>
      <c r="E75" s="139"/>
      <c r="F75" s="138"/>
      <c r="G75" s="138"/>
      <c r="J75" s="140"/>
    </row>
    <row r="76" spans="3:10" ht="19.95" customHeight="1">
      <c r="C76" s="138"/>
      <c r="D76" s="138"/>
      <c r="E76" s="139"/>
      <c r="F76" s="138"/>
      <c r="G76" s="138"/>
      <c r="J76" s="140"/>
    </row>
    <row r="77" spans="3:10" ht="19.95" customHeight="1">
      <c r="C77" s="138"/>
      <c r="D77" s="138"/>
      <c r="E77" s="139"/>
      <c r="F77" s="138"/>
      <c r="G77" s="138"/>
      <c r="J77" s="140"/>
    </row>
    <row r="78" spans="3:10" ht="19.95" customHeight="1">
      <c r="C78" s="138"/>
      <c r="D78" s="138"/>
      <c r="E78" s="139"/>
      <c r="F78" s="138"/>
      <c r="G78" s="138"/>
      <c r="J78" s="140"/>
    </row>
    <row r="79" spans="3:10" ht="19.95" customHeight="1">
      <c r="C79" s="138"/>
      <c r="D79" s="138"/>
      <c r="E79" s="139"/>
      <c r="F79" s="138"/>
      <c r="G79" s="138"/>
      <c r="J79" s="140"/>
    </row>
    <row r="80" spans="3:10" ht="19.95" customHeight="1">
      <c r="C80" s="138"/>
      <c r="D80" s="138"/>
      <c r="E80" s="139"/>
      <c r="F80" s="138"/>
      <c r="G80" s="138"/>
      <c r="J80" s="140"/>
    </row>
    <row r="81" spans="3:10" ht="19.95" customHeight="1">
      <c r="C81" s="138"/>
      <c r="D81" s="138"/>
      <c r="E81" s="139"/>
      <c r="F81" s="138"/>
      <c r="G81" s="138"/>
      <c r="J81" s="140"/>
    </row>
    <row r="82" spans="3:10" ht="19.95" customHeight="1">
      <c r="C82" s="138"/>
      <c r="D82" s="138"/>
      <c r="E82" s="139"/>
      <c r="F82" s="138"/>
      <c r="G82" s="138"/>
      <c r="J82" s="140"/>
    </row>
    <row r="83" spans="3:10" ht="19.95" customHeight="1">
      <c r="C83" s="138"/>
      <c r="D83" s="138"/>
      <c r="E83" s="139"/>
      <c r="F83" s="138"/>
      <c r="G83" s="138"/>
    </row>
    <row r="84" spans="3:10" ht="19.95" customHeight="1">
      <c r="C84" s="138"/>
      <c r="D84" s="138"/>
      <c r="E84" s="139"/>
      <c r="F84" s="138"/>
      <c r="G84" s="138"/>
    </row>
    <row r="85" spans="3:10" ht="19.95" customHeight="1">
      <c r="C85" s="138"/>
      <c r="D85" s="138"/>
      <c r="E85" s="139"/>
      <c r="F85" s="138"/>
      <c r="G85" s="138"/>
    </row>
    <row r="86" spans="3:10" ht="19.95" customHeight="1">
      <c r="C86" s="138"/>
      <c r="D86" s="138"/>
      <c r="E86" s="139"/>
      <c r="F86" s="138"/>
      <c r="G86" s="138"/>
    </row>
    <row r="87" spans="3:10" ht="19.95" customHeight="1">
      <c r="C87" s="138"/>
      <c r="D87" s="138"/>
      <c r="E87" s="139"/>
      <c r="F87" s="138"/>
      <c r="G87" s="138"/>
    </row>
    <row r="88" spans="3:10" ht="19.95" customHeight="1">
      <c r="C88" s="138"/>
      <c r="D88" s="138"/>
      <c r="E88" s="139"/>
      <c r="F88" s="138"/>
      <c r="G88" s="138"/>
    </row>
    <row r="89" spans="3:10" ht="19.95" customHeight="1">
      <c r="C89" s="138"/>
      <c r="D89" s="138"/>
      <c r="E89" s="139"/>
      <c r="F89" s="138"/>
      <c r="G89" s="138"/>
    </row>
    <row r="90" spans="3:10" ht="19.95" customHeight="1">
      <c r="C90" s="138"/>
      <c r="D90" s="138"/>
      <c r="E90" s="139"/>
      <c r="F90" s="138"/>
      <c r="G90" s="138"/>
    </row>
    <row r="91" spans="3:10" ht="19.95" customHeight="1">
      <c r="C91" s="138"/>
      <c r="D91" s="138"/>
      <c r="E91" s="139"/>
      <c r="F91" s="138"/>
      <c r="G91" s="138"/>
    </row>
    <row r="92" spans="3:10" ht="19.95" customHeight="1">
      <c r="C92" s="138"/>
      <c r="D92" s="138"/>
      <c r="E92" s="139"/>
      <c r="F92" s="138"/>
      <c r="G92" s="138"/>
    </row>
    <row r="93" spans="3:10" ht="19.95" customHeight="1">
      <c r="C93" s="138"/>
      <c r="D93" s="138"/>
      <c r="E93" s="139"/>
      <c r="F93" s="138"/>
      <c r="G93" s="138"/>
    </row>
    <row r="94" spans="3:10" ht="19.95" customHeight="1">
      <c r="C94" s="138"/>
      <c r="D94" s="138"/>
      <c r="E94" s="139"/>
      <c r="F94" s="138"/>
      <c r="G94" s="138"/>
    </row>
    <row r="95" spans="3:10" ht="19.95" customHeight="1">
      <c r="C95" s="138"/>
      <c r="D95" s="138"/>
      <c r="E95" s="139"/>
      <c r="F95" s="138"/>
      <c r="G95" s="138"/>
    </row>
    <row r="96" spans="3:10" ht="19.95" customHeight="1">
      <c r="C96" s="138"/>
      <c r="D96" s="138"/>
      <c r="E96" s="139"/>
      <c r="F96" s="138"/>
      <c r="G96" s="138"/>
    </row>
    <row r="97" spans="3:7" ht="19.95" customHeight="1">
      <c r="C97" s="138"/>
      <c r="D97" s="138"/>
      <c r="E97" s="139"/>
      <c r="F97" s="138"/>
      <c r="G97" s="138"/>
    </row>
    <row r="98" spans="3:7" ht="19.95" customHeight="1">
      <c r="C98" s="138"/>
      <c r="D98" s="138"/>
      <c r="E98" s="139"/>
      <c r="F98" s="138"/>
      <c r="G98" s="138"/>
    </row>
    <row r="99" spans="3:7" ht="19.95" customHeight="1">
      <c r="C99" s="138"/>
      <c r="D99" s="138"/>
      <c r="E99" s="139"/>
      <c r="F99" s="138"/>
      <c r="G99" s="138"/>
    </row>
    <row r="100" spans="3:7" ht="19.95" customHeight="1">
      <c r="C100" s="138"/>
      <c r="D100" s="138"/>
      <c r="E100" s="139"/>
      <c r="F100" s="138"/>
      <c r="G100" s="138"/>
    </row>
    <row r="101" spans="3:7" ht="19.95" customHeight="1">
      <c r="C101" s="138"/>
      <c r="D101" s="138"/>
      <c r="E101" s="139"/>
      <c r="F101" s="138"/>
      <c r="G101" s="138"/>
    </row>
    <row r="102" spans="3:7" ht="19.95" customHeight="1">
      <c r="C102" s="138"/>
      <c r="D102" s="138"/>
      <c r="E102" s="139"/>
      <c r="F102" s="138"/>
      <c r="G102" s="138"/>
    </row>
    <row r="103" spans="3:7" ht="19.95" customHeight="1">
      <c r="C103" s="138"/>
      <c r="D103" s="138"/>
      <c r="E103" s="139"/>
      <c r="F103" s="138"/>
      <c r="G103" s="138"/>
    </row>
    <row r="104" spans="3:7" ht="19.95" customHeight="1">
      <c r="C104" s="138"/>
      <c r="D104" s="138"/>
      <c r="E104" s="139"/>
      <c r="F104" s="138"/>
      <c r="G104" s="138"/>
    </row>
    <row r="105" spans="3:7" ht="19.95" customHeight="1">
      <c r="C105" s="138"/>
      <c r="D105" s="138"/>
      <c r="E105" s="139"/>
      <c r="F105" s="138"/>
      <c r="G105" s="138"/>
    </row>
    <row r="106" spans="3:7" ht="19.95" customHeight="1">
      <c r="C106" s="138"/>
      <c r="D106" s="138"/>
      <c r="E106" s="139"/>
      <c r="F106" s="138"/>
      <c r="G106" s="138"/>
    </row>
    <row r="107" spans="3:7" ht="19.95" customHeight="1">
      <c r="C107" s="138"/>
      <c r="D107" s="138"/>
      <c r="E107" s="139"/>
      <c r="F107" s="138"/>
      <c r="G107" s="138"/>
    </row>
    <row r="108" spans="3:7" ht="19.95" customHeight="1">
      <c r="C108" s="138"/>
      <c r="D108" s="138"/>
      <c r="E108" s="139"/>
      <c r="F108" s="138"/>
      <c r="G108" s="138"/>
    </row>
    <row r="109" spans="3:7" ht="19.95" customHeight="1">
      <c r="C109" s="138"/>
      <c r="D109" s="138"/>
      <c r="E109" s="139"/>
      <c r="F109" s="138"/>
      <c r="G109" s="138"/>
    </row>
    <row r="110" spans="3:7" ht="19.95" customHeight="1">
      <c r="C110" s="138"/>
      <c r="D110" s="138"/>
      <c r="E110" s="139"/>
      <c r="F110" s="138"/>
      <c r="G110" s="138"/>
    </row>
    <row r="111" spans="3:7" ht="19.95" customHeight="1">
      <c r="C111" s="138"/>
      <c r="D111" s="138"/>
      <c r="E111" s="139"/>
      <c r="F111" s="138"/>
      <c r="G111" s="138"/>
    </row>
    <row r="112" spans="3:7" ht="19.95" customHeight="1">
      <c r="C112" s="138"/>
      <c r="D112" s="138"/>
      <c r="E112" s="139"/>
      <c r="F112" s="138"/>
      <c r="G112" s="138"/>
    </row>
    <row r="113" spans="3:7" ht="19.95" customHeight="1">
      <c r="C113" s="138"/>
      <c r="D113" s="138"/>
      <c r="E113" s="139"/>
      <c r="F113" s="138"/>
      <c r="G113" s="138"/>
    </row>
    <row r="114" spans="3:7" ht="19.95" customHeight="1">
      <c r="C114" s="138"/>
      <c r="D114" s="138"/>
      <c r="E114" s="139"/>
      <c r="F114" s="138"/>
      <c r="G114" s="138"/>
    </row>
    <row r="115" spans="3:7" ht="19.95" customHeight="1">
      <c r="C115" s="138"/>
      <c r="D115" s="138"/>
      <c r="E115" s="139"/>
      <c r="F115" s="138"/>
      <c r="G115" s="138"/>
    </row>
    <row r="116" spans="3:7" ht="19.95" customHeight="1">
      <c r="C116" s="138"/>
      <c r="D116" s="138"/>
      <c r="E116" s="139"/>
      <c r="F116" s="138"/>
      <c r="G116" s="138"/>
    </row>
    <row r="117" spans="3:7" ht="19.95" customHeight="1">
      <c r="C117" s="138"/>
      <c r="D117" s="138"/>
      <c r="E117" s="139"/>
      <c r="F117" s="138"/>
      <c r="G117" s="138"/>
    </row>
    <row r="118" spans="3:7" ht="19.95" customHeight="1">
      <c r="C118" s="138"/>
      <c r="D118" s="138"/>
      <c r="E118" s="139"/>
      <c r="F118" s="138"/>
      <c r="G118" s="138"/>
    </row>
    <row r="119" spans="3:7" ht="19.95" customHeight="1">
      <c r="E119" s="139"/>
      <c r="F119" s="138"/>
      <c r="G119" s="138"/>
    </row>
    <row r="120" spans="3:7" ht="19.95" customHeight="1">
      <c r="E120" s="139"/>
      <c r="F120" s="138"/>
      <c r="G120" s="138"/>
    </row>
    <row r="121" spans="3:7" ht="19.95" customHeight="1">
      <c r="E121" s="139"/>
      <c r="F121" s="138"/>
      <c r="G121" s="138"/>
    </row>
    <row r="122" spans="3:7" ht="19.95" customHeight="1">
      <c r="E122" s="139"/>
      <c r="F122" s="138"/>
      <c r="G122" s="138"/>
    </row>
    <row r="123" spans="3:7" ht="19.95" customHeight="1">
      <c r="E123" s="139"/>
      <c r="F123" s="138"/>
      <c r="G123" s="138"/>
    </row>
    <row r="124" spans="3:7" ht="19.95" customHeight="1">
      <c r="E124" s="139"/>
      <c r="F124" s="138"/>
      <c r="G124" s="138"/>
    </row>
    <row r="125" spans="3:7" ht="19.95" customHeight="1">
      <c r="E125" s="139"/>
      <c r="F125" s="138"/>
      <c r="G125" s="138"/>
    </row>
    <row r="126" spans="3:7" ht="19.95" customHeight="1">
      <c r="E126" s="139"/>
      <c r="F126" s="138"/>
      <c r="G126" s="138"/>
    </row>
    <row r="127" spans="3:7" ht="19.95" customHeight="1">
      <c r="E127" s="139"/>
      <c r="F127" s="138"/>
      <c r="G127" s="138"/>
    </row>
    <row r="128" spans="3:7" ht="19.95" customHeight="1">
      <c r="E128" s="139"/>
      <c r="F128" s="138"/>
      <c r="G128" s="138"/>
    </row>
    <row r="129" spans="5:7" ht="19.95" customHeight="1">
      <c r="E129" s="139"/>
      <c r="F129" s="138"/>
      <c r="G129" s="138"/>
    </row>
    <row r="130" spans="5:7" ht="19.95" customHeight="1">
      <c r="E130" s="139"/>
      <c r="F130" s="138"/>
      <c r="G130" s="138"/>
    </row>
    <row r="131" spans="5:7" ht="19.95" customHeight="1">
      <c r="E131" s="139"/>
      <c r="F131" s="138"/>
      <c r="G131" s="138"/>
    </row>
    <row r="132" spans="5:7" ht="19.95" customHeight="1">
      <c r="E132" s="139"/>
      <c r="F132" s="138"/>
      <c r="G132" s="138"/>
    </row>
    <row r="133" spans="5:7" ht="19.95" customHeight="1">
      <c r="E133" s="139"/>
      <c r="F133" s="138"/>
      <c r="G133" s="138"/>
    </row>
    <row r="134" spans="5:7" ht="19.95" customHeight="1">
      <c r="E134" s="139"/>
      <c r="F134" s="138"/>
      <c r="G134" s="138"/>
    </row>
    <row r="135" spans="5:7" ht="19.95" customHeight="1">
      <c r="E135" s="139"/>
      <c r="F135" s="138"/>
      <c r="G135" s="138"/>
    </row>
    <row r="136" spans="5:7" ht="19.95" customHeight="1">
      <c r="E136" s="139"/>
      <c r="F136" s="138"/>
      <c r="G136" s="138"/>
    </row>
    <row r="137" spans="5:7" ht="19.95" customHeight="1">
      <c r="E137" s="139"/>
      <c r="F137" s="138"/>
      <c r="G137" s="138"/>
    </row>
    <row r="138" spans="5:7" ht="19.95" customHeight="1">
      <c r="E138" s="139"/>
      <c r="F138" s="138"/>
      <c r="G138" s="138"/>
    </row>
    <row r="139" spans="5:7" ht="19.95" customHeight="1">
      <c r="E139" s="139"/>
      <c r="F139" s="138"/>
      <c r="G139" s="138"/>
    </row>
    <row r="140" spans="5:7" ht="19.95" customHeight="1">
      <c r="E140" s="139"/>
      <c r="F140" s="138"/>
      <c r="G140" s="138"/>
    </row>
    <row r="141" spans="5:7" ht="19.95" customHeight="1">
      <c r="E141" s="139"/>
      <c r="F141" s="138"/>
      <c r="G141" s="138"/>
    </row>
    <row r="142" spans="5:7" ht="19.95" customHeight="1">
      <c r="E142" s="139"/>
      <c r="F142" s="138"/>
      <c r="G142" s="138"/>
    </row>
    <row r="143" spans="5:7" ht="19.95" customHeight="1">
      <c r="E143" s="139"/>
      <c r="F143" s="138"/>
      <c r="G143" s="138"/>
    </row>
    <row r="144" spans="5:7" ht="19.95" customHeight="1">
      <c r="E144" s="139"/>
      <c r="F144" s="138"/>
      <c r="G144" s="138"/>
    </row>
    <row r="145" spans="5:7" ht="19.95" customHeight="1">
      <c r="E145" s="139"/>
      <c r="F145" s="138"/>
      <c r="G145" s="138"/>
    </row>
    <row r="146" spans="5:7" ht="19.95" customHeight="1">
      <c r="E146" s="139"/>
      <c r="F146" s="138"/>
      <c r="G146" s="138"/>
    </row>
    <row r="147" spans="5:7" ht="19.95" customHeight="1">
      <c r="E147" s="139"/>
      <c r="F147" s="138"/>
      <c r="G147" s="138"/>
    </row>
    <row r="148" spans="5:7" ht="19.95" customHeight="1">
      <c r="E148" s="139"/>
      <c r="F148" s="138"/>
      <c r="G148" s="138"/>
    </row>
    <row r="149" spans="5:7" ht="19.95" customHeight="1">
      <c r="E149" s="139"/>
      <c r="F149" s="138"/>
      <c r="G149" s="138"/>
    </row>
    <row r="150" spans="5:7" ht="19.95" customHeight="1">
      <c r="E150" s="139"/>
      <c r="F150" s="138"/>
      <c r="G150" s="138"/>
    </row>
    <row r="151" spans="5:7" ht="19.95" customHeight="1">
      <c r="E151" s="139"/>
      <c r="F151" s="138"/>
      <c r="G151" s="138"/>
    </row>
    <row r="152" spans="5:7" ht="19.95" customHeight="1">
      <c r="E152" s="139"/>
      <c r="F152" s="138"/>
      <c r="G152" s="138"/>
    </row>
    <row r="153" spans="5:7" ht="19.95" customHeight="1">
      <c r="E153" s="139"/>
      <c r="F153" s="138"/>
      <c r="G153" s="138"/>
    </row>
    <row r="154" spans="5:7" ht="19.95" customHeight="1">
      <c r="E154" s="139"/>
      <c r="F154" s="138"/>
      <c r="G154" s="138"/>
    </row>
    <row r="155" spans="5:7" ht="19.95" customHeight="1">
      <c r="E155" s="139"/>
      <c r="F155" s="138"/>
      <c r="G155" s="138"/>
    </row>
    <row r="156" spans="5:7" ht="19.95" customHeight="1">
      <c r="E156" s="139"/>
      <c r="F156" s="138"/>
      <c r="G156" s="138"/>
    </row>
    <row r="157" spans="5:7" ht="19.95" customHeight="1">
      <c r="E157" s="139"/>
      <c r="F157" s="138"/>
      <c r="G157" s="138"/>
    </row>
    <row r="158" spans="5:7" ht="19.95" customHeight="1">
      <c r="E158" s="139"/>
      <c r="F158" s="138"/>
      <c r="G158" s="138"/>
    </row>
    <row r="159" spans="5:7" ht="19.95" customHeight="1">
      <c r="E159" s="139"/>
      <c r="F159" s="138"/>
      <c r="G159" s="138"/>
    </row>
    <row r="160" spans="5:7" ht="19.95" customHeight="1">
      <c r="E160" s="139"/>
      <c r="F160" s="138"/>
      <c r="G160" s="138"/>
    </row>
    <row r="161" spans="5:7" ht="19.95" customHeight="1">
      <c r="E161" s="139"/>
      <c r="F161" s="138"/>
      <c r="G161" s="138"/>
    </row>
    <row r="162" spans="5:7" ht="19.95" customHeight="1">
      <c r="E162" s="139"/>
      <c r="F162" s="138"/>
      <c r="G162" s="138"/>
    </row>
    <row r="163" spans="5:7" ht="19.95" customHeight="1">
      <c r="E163" s="139"/>
      <c r="F163" s="138"/>
      <c r="G163" s="138"/>
    </row>
    <row r="164" spans="5:7" ht="19.95" customHeight="1">
      <c r="E164" s="139"/>
      <c r="F164" s="138"/>
      <c r="G164" s="138"/>
    </row>
    <row r="165" spans="5:7" ht="19.95" customHeight="1">
      <c r="E165" s="139"/>
      <c r="F165" s="138"/>
      <c r="G165" s="138"/>
    </row>
    <row r="166" spans="5:7" ht="19.95" customHeight="1">
      <c r="E166" s="139"/>
      <c r="F166" s="138"/>
      <c r="G166" s="138"/>
    </row>
    <row r="167" spans="5:7" ht="19.95" customHeight="1">
      <c r="E167" s="139"/>
      <c r="F167" s="138"/>
      <c r="G167" s="138"/>
    </row>
    <row r="168" spans="5:7" ht="19.95" customHeight="1">
      <c r="E168" s="139"/>
      <c r="F168" s="138"/>
      <c r="G168" s="138"/>
    </row>
    <row r="169" spans="5:7" ht="19.95" customHeight="1">
      <c r="E169" s="139"/>
      <c r="F169" s="138"/>
      <c r="G169" s="138"/>
    </row>
    <row r="170" spans="5:7" ht="19.95" customHeight="1">
      <c r="E170" s="139"/>
      <c r="F170" s="138"/>
      <c r="G170" s="138"/>
    </row>
    <row r="171" spans="5:7" ht="19.95" customHeight="1">
      <c r="E171" s="139"/>
      <c r="F171" s="138"/>
      <c r="G171" s="138"/>
    </row>
    <row r="172" spans="5:7" ht="19.95" customHeight="1">
      <c r="E172" s="139"/>
      <c r="F172" s="138"/>
      <c r="G172" s="138"/>
    </row>
    <row r="173" spans="5:7" ht="19.95" customHeight="1">
      <c r="E173" s="139"/>
      <c r="F173" s="138"/>
      <c r="G173" s="138"/>
    </row>
    <row r="174" spans="5:7" ht="19.95" customHeight="1">
      <c r="E174" s="139"/>
      <c r="F174" s="138"/>
      <c r="G174" s="138"/>
    </row>
    <row r="175" spans="5:7" ht="19.95" customHeight="1">
      <c r="E175" s="139"/>
      <c r="F175" s="138"/>
      <c r="G175" s="138"/>
    </row>
    <row r="176" spans="5:7" ht="19.95" customHeight="1">
      <c r="E176" s="139"/>
      <c r="F176" s="138"/>
      <c r="G176" s="138"/>
    </row>
    <row r="177" spans="5:7" ht="19.95" customHeight="1">
      <c r="E177" s="139"/>
      <c r="F177" s="138"/>
      <c r="G177" s="138"/>
    </row>
    <row r="178" spans="5:7" ht="19.95" customHeight="1">
      <c r="E178" s="139"/>
      <c r="F178" s="138"/>
      <c r="G178" s="138"/>
    </row>
    <row r="179" spans="5:7" ht="19.95" customHeight="1">
      <c r="E179" s="139"/>
      <c r="F179" s="138"/>
      <c r="G179" s="138"/>
    </row>
    <row r="180" spans="5:7" ht="19.95" customHeight="1">
      <c r="E180" s="139"/>
      <c r="F180" s="138"/>
      <c r="G180" s="138"/>
    </row>
    <row r="181" spans="5:7" ht="19.95" customHeight="1">
      <c r="E181" s="139"/>
      <c r="F181" s="138"/>
      <c r="G181" s="138"/>
    </row>
    <row r="182" spans="5:7" ht="19.95" customHeight="1">
      <c r="E182" s="139"/>
      <c r="F182" s="138"/>
      <c r="G182" s="138"/>
    </row>
    <row r="183" spans="5:7" ht="19.95" customHeight="1">
      <c r="E183" s="139"/>
      <c r="F183" s="138"/>
      <c r="G183" s="138"/>
    </row>
    <row r="184" spans="5:7" ht="19.95" customHeight="1">
      <c r="E184" s="139"/>
      <c r="F184" s="138"/>
      <c r="G184" s="138"/>
    </row>
    <row r="185" spans="5:7" ht="19.95" customHeight="1">
      <c r="E185" s="139"/>
      <c r="F185" s="138"/>
      <c r="G185" s="138"/>
    </row>
    <row r="186" spans="5:7" ht="19.95" customHeight="1">
      <c r="E186" s="139"/>
      <c r="F186" s="138"/>
      <c r="G186" s="138"/>
    </row>
    <row r="187" spans="5:7" ht="19.95" customHeight="1">
      <c r="E187" s="139"/>
      <c r="F187" s="138"/>
      <c r="G187" s="138"/>
    </row>
    <row r="188" spans="5:7" ht="19.95" customHeight="1">
      <c r="E188" s="139"/>
      <c r="F188" s="138"/>
      <c r="G188" s="138"/>
    </row>
    <row r="189" spans="5:7" ht="19.95" customHeight="1">
      <c r="E189" s="139"/>
      <c r="F189" s="138"/>
      <c r="G189" s="138"/>
    </row>
    <row r="190" spans="5:7" ht="19.95" customHeight="1">
      <c r="E190" s="139"/>
      <c r="F190" s="138"/>
      <c r="G190" s="138"/>
    </row>
    <row r="191" spans="5:7" ht="19.95" customHeight="1">
      <c r="E191" s="139"/>
      <c r="F191" s="138"/>
      <c r="G191" s="138"/>
    </row>
    <row r="192" spans="5:7" ht="19.95" customHeight="1">
      <c r="E192" s="139"/>
      <c r="F192" s="138"/>
      <c r="G192" s="138"/>
    </row>
    <row r="193" spans="5:7" ht="19.95" customHeight="1">
      <c r="E193" s="139"/>
      <c r="F193" s="138"/>
      <c r="G193" s="138"/>
    </row>
    <row r="194" spans="5:7" ht="19.95" customHeight="1">
      <c r="E194" s="139"/>
      <c r="F194" s="138"/>
      <c r="G194" s="138"/>
    </row>
    <row r="195" spans="5:7" ht="19.95" customHeight="1">
      <c r="E195" s="139"/>
      <c r="F195" s="138"/>
      <c r="G195" s="138"/>
    </row>
    <row r="196" spans="5:7" ht="19.95" customHeight="1">
      <c r="E196" s="139"/>
      <c r="F196" s="138"/>
      <c r="G196" s="138"/>
    </row>
    <row r="197" spans="5:7" ht="19.95" customHeight="1">
      <c r="E197" s="139"/>
      <c r="F197" s="138"/>
      <c r="G197" s="138"/>
    </row>
    <row r="198" spans="5:7" ht="19.95" customHeight="1">
      <c r="E198" s="139"/>
      <c r="F198" s="138"/>
      <c r="G198" s="138"/>
    </row>
    <row r="199" spans="5:7" ht="19.95" customHeight="1">
      <c r="E199" s="139"/>
      <c r="F199" s="138"/>
      <c r="G199" s="138"/>
    </row>
    <row r="200" spans="5:7" ht="19.95" customHeight="1">
      <c r="E200" s="139"/>
      <c r="F200" s="138"/>
      <c r="G200" s="138"/>
    </row>
    <row r="201" spans="5:7" ht="19.95" customHeight="1">
      <c r="E201" s="139"/>
      <c r="F201" s="138"/>
      <c r="G201" s="138"/>
    </row>
    <row r="202" spans="5:7" ht="19.95" customHeight="1">
      <c r="E202" s="139"/>
      <c r="F202" s="138"/>
      <c r="G202" s="138"/>
    </row>
    <row r="203" spans="5:7" ht="19.95" customHeight="1">
      <c r="E203" s="139"/>
      <c r="F203" s="138"/>
      <c r="G203" s="138"/>
    </row>
    <row r="204" spans="5:7" ht="19.95" customHeight="1">
      <c r="E204" s="139"/>
      <c r="F204" s="138"/>
      <c r="G204" s="138"/>
    </row>
    <row r="205" spans="5:7" ht="19.95" customHeight="1">
      <c r="E205" s="139"/>
      <c r="F205" s="138"/>
      <c r="G205" s="138"/>
    </row>
    <row r="206" spans="5:7" ht="19.95" customHeight="1">
      <c r="E206" s="139"/>
      <c r="F206" s="138"/>
      <c r="G206" s="138"/>
    </row>
    <row r="207" spans="5:7" ht="19.95" customHeight="1">
      <c r="E207" s="139"/>
      <c r="F207" s="138"/>
      <c r="G207" s="138"/>
    </row>
    <row r="208" spans="5:7" ht="19.95" customHeight="1">
      <c r="E208" s="139"/>
      <c r="F208" s="138"/>
      <c r="G208" s="138"/>
    </row>
    <row r="209" spans="5:7" ht="19.95" customHeight="1">
      <c r="E209" s="139"/>
      <c r="F209" s="138"/>
      <c r="G209" s="138"/>
    </row>
    <row r="210" spans="5:7" ht="19.95" customHeight="1">
      <c r="E210" s="139"/>
      <c r="F210" s="138"/>
      <c r="G210" s="138"/>
    </row>
    <row r="211" spans="5:7" ht="19.95" customHeight="1">
      <c r="E211" s="139"/>
      <c r="F211" s="138"/>
      <c r="G211" s="138"/>
    </row>
    <row r="212" spans="5:7" ht="19.95" customHeight="1">
      <c r="E212" s="139"/>
      <c r="F212" s="138"/>
      <c r="G212" s="138"/>
    </row>
    <row r="213" spans="5:7" ht="19.95" customHeight="1">
      <c r="E213" s="139"/>
      <c r="F213" s="138"/>
      <c r="G213" s="138"/>
    </row>
    <row r="214" spans="5:7" ht="19.95" customHeight="1">
      <c r="E214" s="139"/>
      <c r="F214" s="138"/>
      <c r="G214" s="138"/>
    </row>
    <row r="215" spans="5:7" ht="19.95" customHeight="1">
      <c r="E215" s="139"/>
      <c r="F215" s="138"/>
      <c r="G215" s="138"/>
    </row>
    <row r="216" spans="5:7" ht="19.95" customHeight="1">
      <c r="E216" s="139"/>
      <c r="F216" s="138"/>
      <c r="G216" s="138"/>
    </row>
    <row r="217" spans="5:7" ht="19.95" customHeight="1">
      <c r="E217" s="139"/>
      <c r="F217" s="138"/>
      <c r="G217" s="138"/>
    </row>
    <row r="218" spans="5:7" ht="19.95" customHeight="1">
      <c r="E218" s="139"/>
      <c r="F218" s="138"/>
      <c r="G218" s="138"/>
    </row>
    <row r="219" spans="5:7" ht="19.95" customHeight="1">
      <c r="E219" s="139"/>
      <c r="F219" s="138"/>
      <c r="G219" s="138"/>
    </row>
    <row r="220" spans="5:7" ht="19.95" customHeight="1">
      <c r="E220" s="139"/>
      <c r="F220" s="138"/>
      <c r="G220" s="138"/>
    </row>
    <row r="221" spans="5:7" ht="19.95" customHeight="1">
      <c r="E221" s="139"/>
      <c r="F221" s="138"/>
      <c r="G221" s="138"/>
    </row>
    <row r="222" spans="5:7" ht="19.95" customHeight="1">
      <c r="E222" s="139"/>
      <c r="F222" s="138"/>
      <c r="G222" s="138"/>
    </row>
    <row r="223" spans="5:7" ht="19.95" customHeight="1">
      <c r="E223" s="139"/>
      <c r="F223" s="138"/>
      <c r="G223" s="138"/>
    </row>
    <row r="224" spans="5:7" ht="19.95" customHeight="1">
      <c r="E224" s="139"/>
      <c r="F224" s="138"/>
      <c r="G224" s="138"/>
    </row>
    <row r="225" spans="5:7" ht="19.95" customHeight="1">
      <c r="E225" s="139"/>
      <c r="F225" s="138"/>
      <c r="G225" s="138"/>
    </row>
    <row r="226" spans="5:7" ht="19.95" customHeight="1">
      <c r="E226" s="139"/>
      <c r="F226" s="138"/>
      <c r="G226" s="138"/>
    </row>
    <row r="227" spans="5:7" ht="19.95" customHeight="1">
      <c r="E227" s="139"/>
      <c r="F227" s="138"/>
      <c r="G227" s="138"/>
    </row>
    <row r="228" spans="5:7" ht="19.95" customHeight="1">
      <c r="E228" s="139"/>
      <c r="F228" s="138"/>
      <c r="G228" s="138"/>
    </row>
    <row r="229" spans="5:7" ht="19.95" customHeight="1">
      <c r="E229" s="139"/>
      <c r="F229" s="138"/>
      <c r="G229" s="138"/>
    </row>
    <row r="230" spans="5:7" ht="19.95" customHeight="1">
      <c r="E230" s="139"/>
      <c r="F230" s="138"/>
      <c r="G230" s="138"/>
    </row>
    <row r="231" spans="5:7" ht="19.95" customHeight="1">
      <c r="E231" s="139"/>
      <c r="F231" s="138"/>
      <c r="G231" s="138"/>
    </row>
    <row r="232" spans="5:7" ht="19.95" customHeight="1">
      <c r="E232" s="139"/>
      <c r="F232" s="138"/>
      <c r="G232" s="138"/>
    </row>
    <row r="233" spans="5:7" ht="19.95" customHeight="1">
      <c r="E233" s="139"/>
      <c r="F233" s="138"/>
      <c r="G233" s="138"/>
    </row>
    <row r="234" spans="5:7" ht="19.95" customHeight="1">
      <c r="E234" s="139"/>
      <c r="F234" s="138"/>
      <c r="G234" s="138"/>
    </row>
    <row r="235" spans="5:7" ht="19.95" customHeight="1">
      <c r="E235" s="139"/>
      <c r="F235" s="138"/>
      <c r="G235" s="138"/>
    </row>
    <row r="236" spans="5:7" ht="19.95" customHeight="1">
      <c r="E236" s="139"/>
      <c r="F236" s="138"/>
      <c r="G236" s="138"/>
    </row>
    <row r="237" spans="5:7" ht="19.95" customHeight="1">
      <c r="E237" s="139"/>
      <c r="F237" s="138"/>
      <c r="G237" s="138"/>
    </row>
    <row r="238" spans="5:7" ht="19.95" customHeight="1">
      <c r="E238" s="139"/>
      <c r="F238" s="138"/>
      <c r="G238" s="138"/>
    </row>
    <row r="239" spans="5:7" ht="19.95" customHeight="1">
      <c r="E239" s="139"/>
      <c r="F239" s="138"/>
      <c r="G239" s="138"/>
    </row>
    <row r="240" spans="5:7" ht="19.95" customHeight="1">
      <c r="E240" s="139"/>
      <c r="F240" s="138"/>
      <c r="G240" s="138"/>
    </row>
    <row r="241" spans="5:7" ht="19.95" customHeight="1">
      <c r="E241" s="139"/>
      <c r="F241" s="138"/>
      <c r="G241" s="138"/>
    </row>
    <row r="242" spans="5:7" ht="19.95" customHeight="1">
      <c r="E242" s="139"/>
      <c r="F242" s="138"/>
      <c r="G242" s="138"/>
    </row>
    <row r="243" spans="5:7" ht="19.95" customHeight="1">
      <c r="E243" s="139"/>
      <c r="F243" s="138"/>
      <c r="G243" s="138"/>
    </row>
    <row r="244" spans="5:7" ht="19.95" customHeight="1">
      <c r="E244" s="139"/>
      <c r="F244" s="138"/>
      <c r="G244" s="138"/>
    </row>
    <row r="245" spans="5:7" ht="19.95" customHeight="1">
      <c r="E245" s="139"/>
      <c r="F245" s="138"/>
      <c r="G245" s="138"/>
    </row>
    <row r="246" spans="5:7" ht="19.95" customHeight="1">
      <c r="E246" s="139"/>
      <c r="F246" s="138"/>
      <c r="G246" s="138"/>
    </row>
    <row r="247" spans="5:7" ht="19.95" customHeight="1">
      <c r="E247" s="139"/>
      <c r="F247" s="138"/>
      <c r="G247" s="138"/>
    </row>
    <row r="248" spans="5:7" ht="19.95" customHeight="1">
      <c r="E248" s="139"/>
      <c r="F248" s="138"/>
      <c r="G248" s="138"/>
    </row>
    <row r="249" spans="5:7" ht="19.95" customHeight="1">
      <c r="E249" s="139"/>
      <c r="F249" s="138"/>
      <c r="G249" s="138"/>
    </row>
    <row r="250" spans="5:7" ht="19.95" customHeight="1">
      <c r="E250" s="139"/>
      <c r="F250" s="138"/>
      <c r="G250" s="138"/>
    </row>
    <row r="251" spans="5:7" ht="19.95" customHeight="1">
      <c r="E251" s="139"/>
      <c r="F251" s="138"/>
      <c r="G251" s="138"/>
    </row>
    <row r="252" spans="5:7" ht="19.95" customHeight="1">
      <c r="E252" s="139"/>
      <c r="F252" s="138"/>
      <c r="G252" s="138"/>
    </row>
    <row r="253" spans="5:7" ht="19.95" customHeight="1">
      <c r="E253" s="139"/>
      <c r="F253" s="138"/>
      <c r="G253" s="138"/>
    </row>
    <row r="254" spans="5:7" ht="19.95" customHeight="1">
      <c r="E254" s="139"/>
      <c r="F254" s="138"/>
      <c r="G254" s="138"/>
    </row>
    <row r="255" spans="5:7" ht="19.95" customHeight="1">
      <c r="E255" s="139"/>
      <c r="F255" s="138"/>
      <c r="G255" s="138"/>
    </row>
    <row r="256" spans="5:7" ht="19.95" customHeight="1">
      <c r="E256" s="139"/>
      <c r="F256" s="138"/>
      <c r="G256" s="138"/>
    </row>
    <row r="257" spans="5:7" ht="19.95" customHeight="1">
      <c r="E257" s="139"/>
      <c r="F257" s="138"/>
      <c r="G257" s="138"/>
    </row>
    <row r="258" spans="5:7" ht="19.95" customHeight="1">
      <c r="E258" s="139"/>
      <c r="F258" s="138"/>
      <c r="G258" s="138"/>
    </row>
    <row r="259" spans="5:7" ht="19.95" customHeight="1">
      <c r="E259" s="139"/>
      <c r="F259" s="138"/>
      <c r="G259" s="138"/>
    </row>
    <row r="260" spans="5:7" ht="19.95" customHeight="1">
      <c r="E260" s="139"/>
      <c r="F260" s="138"/>
      <c r="G260" s="138"/>
    </row>
    <row r="261" spans="5:7" ht="19.95" customHeight="1">
      <c r="E261" s="139"/>
      <c r="F261" s="138"/>
      <c r="G261" s="138"/>
    </row>
    <row r="262" spans="5:7" ht="19.95" customHeight="1">
      <c r="E262" s="139"/>
      <c r="F262" s="138"/>
      <c r="G262" s="138"/>
    </row>
    <row r="263" spans="5:7" ht="19.95" customHeight="1">
      <c r="E263" s="139"/>
      <c r="F263" s="138"/>
      <c r="G263" s="138"/>
    </row>
    <row r="264" spans="5:7" ht="19.95" customHeight="1">
      <c r="E264" s="139"/>
      <c r="F264" s="138"/>
      <c r="G264" s="138"/>
    </row>
    <row r="265" spans="5:7" ht="19.95" customHeight="1">
      <c r="E265" s="139"/>
      <c r="F265" s="138"/>
      <c r="G265" s="138"/>
    </row>
    <row r="266" spans="5:7" ht="19.95" customHeight="1">
      <c r="E266" s="139"/>
      <c r="F266" s="138"/>
      <c r="G266" s="138"/>
    </row>
    <row r="267" spans="5:7" ht="19.95" customHeight="1">
      <c r="E267" s="139"/>
      <c r="F267" s="138"/>
      <c r="G267" s="138"/>
    </row>
    <row r="268" spans="5:7" ht="19.95" customHeight="1">
      <c r="E268" s="139"/>
      <c r="F268" s="138"/>
      <c r="G268" s="138"/>
    </row>
    <row r="269" spans="5:7" ht="19.95" customHeight="1">
      <c r="E269" s="139"/>
      <c r="F269" s="138"/>
      <c r="G269" s="138"/>
    </row>
    <row r="270" spans="5:7" ht="19.95" customHeight="1">
      <c r="E270" s="139"/>
      <c r="F270" s="138"/>
      <c r="G270" s="138"/>
    </row>
    <row r="271" spans="5:7" ht="19.95" customHeight="1">
      <c r="E271" s="139"/>
      <c r="F271" s="138"/>
      <c r="G271" s="138"/>
    </row>
    <row r="272" spans="5:7" ht="19.95" customHeight="1">
      <c r="E272" s="139"/>
      <c r="F272" s="138"/>
      <c r="G272" s="138"/>
    </row>
    <row r="273" spans="5:7" ht="19.95" customHeight="1">
      <c r="E273" s="139"/>
      <c r="F273" s="138"/>
      <c r="G273" s="138"/>
    </row>
    <row r="274" spans="5:7" ht="19.95" customHeight="1">
      <c r="E274" s="139"/>
      <c r="F274" s="138"/>
      <c r="G274" s="138"/>
    </row>
    <row r="275" spans="5:7" ht="19.95" customHeight="1">
      <c r="E275" s="139"/>
      <c r="F275" s="138"/>
      <c r="G275" s="138"/>
    </row>
    <row r="276" spans="5:7" ht="19.95" customHeight="1">
      <c r="E276" s="139"/>
      <c r="F276" s="138"/>
      <c r="G276" s="138"/>
    </row>
    <row r="277" spans="5:7" ht="19.95" customHeight="1">
      <c r="E277" s="139"/>
      <c r="F277" s="138"/>
      <c r="G277" s="138"/>
    </row>
    <row r="278" spans="5:7" ht="19.95" customHeight="1">
      <c r="E278" s="139"/>
      <c r="F278" s="138"/>
      <c r="G278" s="138"/>
    </row>
    <row r="279" spans="5:7" ht="19.95" customHeight="1">
      <c r="E279" s="139"/>
      <c r="F279" s="138"/>
      <c r="G279" s="138"/>
    </row>
    <row r="280" spans="5:7" ht="19.95" customHeight="1">
      <c r="E280" s="139"/>
      <c r="F280" s="138"/>
      <c r="G280" s="138"/>
    </row>
    <row r="281" spans="5:7" ht="19.95" customHeight="1">
      <c r="E281" s="139"/>
      <c r="F281" s="138"/>
      <c r="G281" s="138"/>
    </row>
    <row r="282" spans="5:7" ht="19.95" customHeight="1">
      <c r="E282" s="139"/>
      <c r="F282" s="138"/>
      <c r="G282" s="138"/>
    </row>
    <row r="283" spans="5:7" ht="19.95" customHeight="1">
      <c r="E283" s="139"/>
      <c r="F283" s="138"/>
      <c r="G283" s="138"/>
    </row>
    <row r="284" spans="5:7" ht="19.95" customHeight="1">
      <c r="E284" s="139"/>
      <c r="F284" s="138"/>
      <c r="G284" s="138"/>
    </row>
    <row r="285" spans="5:7" ht="19.95" customHeight="1">
      <c r="E285" s="139"/>
      <c r="F285" s="138"/>
      <c r="G285" s="138"/>
    </row>
    <row r="286" spans="5:7" ht="19.95" customHeight="1">
      <c r="E286" s="139"/>
      <c r="F286" s="138"/>
      <c r="G286" s="138"/>
    </row>
    <row r="287" spans="5:7" ht="19.95" customHeight="1">
      <c r="E287" s="139"/>
      <c r="F287" s="138"/>
      <c r="G287" s="138"/>
    </row>
    <row r="288" spans="5:7" ht="19.95" customHeight="1">
      <c r="E288" s="139"/>
      <c r="F288" s="138"/>
      <c r="G288" s="138"/>
    </row>
    <row r="289" spans="5:7" ht="19.95" customHeight="1">
      <c r="E289" s="139"/>
      <c r="F289" s="138"/>
      <c r="G289" s="138"/>
    </row>
    <row r="290" spans="5:7" ht="19.95" customHeight="1">
      <c r="E290" s="139"/>
      <c r="F290" s="138"/>
      <c r="G290" s="138"/>
    </row>
    <row r="291" spans="5:7" ht="19.95" customHeight="1">
      <c r="E291" s="139"/>
      <c r="F291" s="138"/>
      <c r="G291" s="138"/>
    </row>
    <row r="292" spans="5:7" ht="19.95" customHeight="1">
      <c r="E292" s="139"/>
      <c r="F292" s="138"/>
      <c r="G292" s="138"/>
    </row>
    <row r="293" spans="5:7" ht="19.95" customHeight="1">
      <c r="E293" s="139"/>
      <c r="F293" s="138"/>
      <c r="G293" s="138"/>
    </row>
    <row r="294" spans="5:7" ht="19.95" customHeight="1">
      <c r="E294" s="139"/>
      <c r="F294" s="138"/>
      <c r="G294" s="138"/>
    </row>
    <row r="295" spans="5:7" ht="19.95" customHeight="1">
      <c r="E295" s="139"/>
      <c r="F295" s="138"/>
      <c r="G295" s="138"/>
    </row>
    <row r="296" spans="5:7" ht="19.95" customHeight="1">
      <c r="E296" s="139"/>
      <c r="F296" s="138"/>
      <c r="G296" s="138"/>
    </row>
    <row r="297" spans="5:7" ht="19.95" customHeight="1">
      <c r="E297" s="139"/>
      <c r="F297" s="138"/>
      <c r="G297" s="138"/>
    </row>
    <row r="298" spans="5:7" ht="19.95" customHeight="1">
      <c r="E298" s="139"/>
      <c r="F298" s="138"/>
      <c r="G298" s="138"/>
    </row>
    <row r="299" spans="5:7" ht="19.95" customHeight="1">
      <c r="E299" s="139"/>
      <c r="F299" s="138"/>
      <c r="G299" s="138"/>
    </row>
    <row r="300" spans="5:7" ht="19.95" customHeight="1">
      <c r="E300" s="139"/>
      <c r="F300" s="138"/>
      <c r="G300" s="138"/>
    </row>
    <row r="301" spans="5:7" ht="19.95" customHeight="1">
      <c r="E301" s="139"/>
      <c r="F301" s="138"/>
      <c r="G301" s="138"/>
    </row>
    <row r="302" spans="5:7" ht="19.95" customHeight="1">
      <c r="E302" s="139"/>
      <c r="F302" s="138"/>
      <c r="G302" s="138"/>
    </row>
    <row r="303" spans="5:7" ht="19.95" customHeight="1">
      <c r="E303" s="139"/>
      <c r="F303" s="138"/>
      <c r="G303" s="138"/>
    </row>
    <row r="304" spans="5:7" ht="19.95" customHeight="1">
      <c r="E304" s="139"/>
      <c r="F304" s="138"/>
      <c r="G304" s="138"/>
    </row>
    <row r="305" spans="5:7" ht="19.95" customHeight="1">
      <c r="E305" s="139"/>
      <c r="F305" s="138"/>
      <c r="G305" s="138"/>
    </row>
    <row r="306" spans="5:7" ht="19.95" customHeight="1">
      <c r="E306" s="139"/>
      <c r="F306" s="138"/>
      <c r="G306" s="138"/>
    </row>
    <row r="307" spans="5:7" ht="19.95" customHeight="1">
      <c r="E307" s="139"/>
      <c r="F307" s="138"/>
      <c r="G307" s="138"/>
    </row>
    <row r="308" spans="5:7" ht="19.95" customHeight="1">
      <c r="E308" s="139"/>
      <c r="F308" s="138"/>
      <c r="G308" s="138"/>
    </row>
    <row r="309" spans="5:7" ht="19.95" customHeight="1">
      <c r="E309" s="139"/>
      <c r="F309" s="138"/>
      <c r="G309" s="138"/>
    </row>
    <row r="310" spans="5:7" ht="19.95" customHeight="1">
      <c r="E310" s="139"/>
      <c r="F310" s="138"/>
      <c r="G310" s="138"/>
    </row>
    <row r="311" spans="5:7" ht="19.95" customHeight="1">
      <c r="E311" s="139"/>
      <c r="F311" s="138"/>
      <c r="G311" s="138"/>
    </row>
    <row r="312" spans="5:7" ht="19.95" customHeight="1">
      <c r="E312" s="139"/>
      <c r="F312" s="138"/>
      <c r="G312" s="138"/>
    </row>
    <row r="313" spans="5:7" ht="19.95" customHeight="1">
      <c r="E313" s="139"/>
      <c r="F313" s="138"/>
      <c r="G313" s="138"/>
    </row>
    <row r="314" spans="5:7" ht="19.95" customHeight="1">
      <c r="E314" s="139"/>
      <c r="F314" s="138"/>
      <c r="G314" s="138"/>
    </row>
    <row r="315" spans="5:7" ht="19.95" customHeight="1">
      <c r="E315" s="139"/>
      <c r="F315" s="138"/>
      <c r="G315" s="138"/>
    </row>
    <row r="316" spans="5:7" ht="19.95" customHeight="1">
      <c r="E316" s="139"/>
      <c r="F316" s="138"/>
      <c r="G316" s="138"/>
    </row>
    <row r="317" spans="5:7" ht="19.95" customHeight="1">
      <c r="E317" s="139"/>
      <c r="F317" s="138"/>
      <c r="G317" s="138"/>
    </row>
    <row r="318" spans="5:7" ht="19.95" customHeight="1">
      <c r="E318" s="139"/>
      <c r="F318" s="138"/>
      <c r="G318" s="138"/>
    </row>
    <row r="319" spans="5:7" ht="19.95" customHeight="1">
      <c r="E319" s="139"/>
      <c r="F319" s="138"/>
      <c r="G319" s="138"/>
    </row>
    <row r="320" spans="5:7" ht="19.95" customHeight="1">
      <c r="E320" s="139"/>
      <c r="F320" s="138"/>
      <c r="G320" s="138"/>
    </row>
    <row r="321" spans="5:7" ht="19.95" customHeight="1">
      <c r="E321" s="139"/>
      <c r="F321" s="138"/>
      <c r="G321" s="138"/>
    </row>
    <row r="322" spans="5:7" ht="19.95" customHeight="1">
      <c r="E322" s="139"/>
      <c r="F322" s="138"/>
      <c r="G322" s="138"/>
    </row>
    <row r="323" spans="5:7" ht="19.95" customHeight="1">
      <c r="E323" s="139"/>
      <c r="F323" s="138"/>
      <c r="G323" s="138"/>
    </row>
    <row r="324" spans="5:7" ht="19.95" customHeight="1">
      <c r="E324" s="139"/>
      <c r="F324" s="138"/>
      <c r="G324" s="138"/>
    </row>
    <row r="325" spans="5:7" ht="19.95" customHeight="1">
      <c r="E325" s="139"/>
      <c r="F325" s="138"/>
      <c r="G325" s="138"/>
    </row>
    <row r="326" spans="5:7" ht="19.95" customHeight="1">
      <c r="E326" s="139"/>
      <c r="F326" s="138"/>
      <c r="G326" s="138"/>
    </row>
    <row r="327" spans="5:7" ht="19.95" customHeight="1">
      <c r="E327" s="139"/>
      <c r="F327" s="138"/>
      <c r="G327" s="138"/>
    </row>
    <row r="328" spans="5:7" ht="19.95" customHeight="1">
      <c r="E328" s="139"/>
      <c r="F328" s="138"/>
      <c r="G328" s="138"/>
    </row>
    <row r="329" spans="5:7" ht="19.95" customHeight="1">
      <c r="E329" s="139"/>
      <c r="F329" s="138"/>
      <c r="G329" s="138"/>
    </row>
    <row r="330" spans="5:7" ht="19.95" customHeight="1">
      <c r="E330" s="139"/>
      <c r="F330" s="138"/>
      <c r="G330" s="138"/>
    </row>
    <row r="331" spans="5:7" ht="19.95" customHeight="1">
      <c r="E331" s="139"/>
      <c r="F331" s="138"/>
      <c r="G331" s="138"/>
    </row>
    <row r="332" spans="5:7" ht="19.95" customHeight="1">
      <c r="E332" s="139"/>
      <c r="F332" s="138"/>
      <c r="G332" s="138"/>
    </row>
    <row r="333" spans="5:7" ht="19.95" customHeight="1">
      <c r="E333" s="139"/>
      <c r="F333" s="138"/>
      <c r="G333" s="138"/>
    </row>
    <row r="334" spans="5:7" ht="19.95" customHeight="1">
      <c r="E334" s="139"/>
      <c r="F334" s="138"/>
      <c r="G334" s="138"/>
    </row>
    <row r="335" spans="5:7" ht="19.95" customHeight="1">
      <c r="E335" s="139"/>
      <c r="F335" s="138"/>
      <c r="G335" s="138"/>
    </row>
    <row r="336" spans="5:7" ht="19.95" customHeight="1">
      <c r="E336" s="139"/>
      <c r="F336" s="138"/>
      <c r="G336" s="138"/>
    </row>
    <row r="337" spans="5:7" ht="19.95" customHeight="1">
      <c r="E337" s="139"/>
      <c r="F337" s="138"/>
      <c r="G337" s="138"/>
    </row>
    <row r="338" spans="5:7" ht="19.95" customHeight="1">
      <c r="E338" s="139"/>
      <c r="F338" s="138"/>
      <c r="G338" s="138"/>
    </row>
    <row r="339" spans="5:7" ht="19.95" customHeight="1">
      <c r="E339" s="139"/>
      <c r="F339" s="138"/>
      <c r="G339" s="138"/>
    </row>
    <row r="340" spans="5:7" ht="19.95" customHeight="1">
      <c r="E340" s="139"/>
      <c r="F340" s="138"/>
      <c r="G340" s="138"/>
    </row>
    <row r="341" spans="5:7" ht="19.95" customHeight="1">
      <c r="E341" s="139"/>
      <c r="F341" s="138"/>
      <c r="G341" s="138"/>
    </row>
    <row r="342" spans="5:7" ht="19.95" customHeight="1">
      <c r="E342" s="139"/>
      <c r="F342" s="138"/>
      <c r="G342" s="138"/>
    </row>
    <row r="343" spans="5:7" ht="19.95" customHeight="1">
      <c r="E343" s="139"/>
      <c r="F343" s="138"/>
      <c r="G343" s="138"/>
    </row>
    <row r="344" spans="5:7" ht="19.95" customHeight="1">
      <c r="E344" s="139"/>
      <c r="F344" s="138"/>
      <c r="G344" s="138"/>
    </row>
    <row r="345" spans="5:7" ht="19.95" customHeight="1">
      <c r="E345" s="139"/>
      <c r="F345" s="138"/>
      <c r="G345" s="138"/>
    </row>
    <row r="346" spans="5:7" ht="19.95" customHeight="1">
      <c r="E346" s="139"/>
      <c r="F346" s="138"/>
      <c r="G346" s="138"/>
    </row>
    <row r="347" spans="5:7" ht="19.95" customHeight="1">
      <c r="E347" s="139"/>
      <c r="F347" s="138"/>
      <c r="G347" s="138"/>
    </row>
    <row r="348" spans="5:7" ht="19.95" customHeight="1">
      <c r="E348" s="139"/>
      <c r="F348" s="138"/>
      <c r="G348" s="138"/>
    </row>
    <row r="349" spans="5:7" ht="19.95" customHeight="1">
      <c r="E349" s="139"/>
      <c r="F349" s="138"/>
      <c r="G349" s="138"/>
    </row>
    <row r="350" spans="5:7" ht="19.95" customHeight="1">
      <c r="E350" s="139"/>
      <c r="F350" s="138"/>
      <c r="G350" s="138"/>
    </row>
    <row r="351" spans="5:7" ht="19.95" customHeight="1">
      <c r="E351" s="139"/>
      <c r="F351" s="138"/>
      <c r="G351" s="138"/>
    </row>
    <row r="352" spans="5:7" ht="19.95" customHeight="1">
      <c r="E352" s="139"/>
      <c r="F352" s="138"/>
      <c r="G352" s="138"/>
    </row>
    <row r="353" spans="5:7" ht="19.95" customHeight="1">
      <c r="E353" s="139"/>
      <c r="F353" s="138"/>
      <c r="G353" s="138"/>
    </row>
    <row r="354" spans="5:7" ht="19.95" customHeight="1">
      <c r="E354" s="139"/>
      <c r="F354" s="138"/>
      <c r="G354" s="138"/>
    </row>
    <row r="355" spans="5:7" ht="19.95" customHeight="1">
      <c r="E355" s="139"/>
      <c r="F355" s="138"/>
      <c r="G355" s="138"/>
    </row>
    <row r="356" spans="5:7" ht="19.95" customHeight="1">
      <c r="E356" s="139"/>
      <c r="F356" s="138"/>
      <c r="G356" s="138"/>
    </row>
    <row r="357" spans="5:7" ht="19.95" customHeight="1">
      <c r="E357" s="139"/>
      <c r="F357" s="138"/>
      <c r="G357" s="138"/>
    </row>
    <row r="358" spans="5:7" ht="19.95" customHeight="1">
      <c r="E358" s="139"/>
      <c r="F358" s="138"/>
      <c r="G358" s="138"/>
    </row>
    <row r="359" spans="5:7" ht="19.95" customHeight="1">
      <c r="E359" s="139"/>
      <c r="F359" s="138"/>
      <c r="G359" s="138"/>
    </row>
    <row r="360" spans="5:7" ht="19.95" customHeight="1">
      <c r="E360" s="139"/>
      <c r="F360" s="138"/>
      <c r="G360" s="138"/>
    </row>
    <row r="361" spans="5:7" ht="19.95" customHeight="1">
      <c r="E361" s="139"/>
      <c r="F361" s="138"/>
      <c r="G361" s="138"/>
    </row>
    <row r="362" spans="5:7" ht="19.95" customHeight="1">
      <c r="E362" s="139"/>
      <c r="F362" s="138"/>
      <c r="G362" s="138"/>
    </row>
    <row r="363" spans="5:7" ht="19.95" customHeight="1">
      <c r="E363" s="139"/>
      <c r="F363" s="138"/>
      <c r="G363" s="138"/>
    </row>
    <row r="364" spans="5:7" ht="19.95" customHeight="1">
      <c r="E364" s="139"/>
      <c r="F364" s="138"/>
      <c r="G364" s="138"/>
    </row>
    <row r="365" spans="5:7" ht="19.95" customHeight="1">
      <c r="E365" s="139"/>
      <c r="F365" s="138"/>
      <c r="G365" s="138"/>
    </row>
    <row r="366" spans="5:7" ht="19.95" customHeight="1">
      <c r="E366" s="139"/>
      <c r="F366" s="138"/>
      <c r="G366" s="138"/>
    </row>
    <row r="367" spans="5:7" ht="19.95" customHeight="1">
      <c r="E367" s="139"/>
      <c r="F367" s="138"/>
      <c r="G367" s="138"/>
    </row>
    <row r="368" spans="5:7" ht="19.95" customHeight="1">
      <c r="E368" s="139"/>
      <c r="F368" s="138"/>
      <c r="G368" s="138"/>
    </row>
    <row r="369" spans="5:7" ht="19.95" customHeight="1">
      <c r="E369" s="139"/>
      <c r="F369" s="138"/>
      <c r="G369" s="138"/>
    </row>
    <row r="370" spans="5:7" ht="19.95" customHeight="1">
      <c r="E370" s="139"/>
      <c r="F370" s="138"/>
      <c r="G370" s="138"/>
    </row>
    <row r="371" spans="5:7" ht="19.95" customHeight="1">
      <c r="E371" s="139"/>
      <c r="F371" s="138"/>
      <c r="G371" s="138"/>
    </row>
    <row r="372" spans="5:7" ht="19.95" customHeight="1">
      <c r="E372" s="139"/>
      <c r="F372" s="138"/>
      <c r="G372" s="138"/>
    </row>
    <row r="373" spans="5:7" ht="19.95" customHeight="1">
      <c r="E373" s="139"/>
      <c r="F373" s="138"/>
      <c r="G373" s="138"/>
    </row>
    <row r="374" spans="5:7" ht="19.95" customHeight="1">
      <c r="E374" s="139"/>
      <c r="F374" s="138"/>
      <c r="G374" s="138"/>
    </row>
    <row r="375" spans="5:7" ht="19.95" customHeight="1">
      <c r="E375" s="139"/>
      <c r="F375" s="138"/>
      <c r="G375" s="138"/>
    </row>
    <row r="376" spans="5:7" ht="19.95" customHeight="1">
      <c r="E376" s="139"/>
      <c r="F376" s="138"/>
      <c r="G376" s="138"/>
    </row>
    <row r="377" spans="5:7" ht="19.95" customHeight="1">
      <c r="E377" s="139"/>
      <c r="F377" s="138"/>
      <c r="G377" s="138"/>
    </row>
    <row r="378" spans="5:7" ht="19.95" customHeight="1">
      <c r="E378" s="139"/>
      <c r="F378" s="138"/>
      <c r="G378" s="138"/>
    </row>
    <row r="379" spans="5:7" ht="19.95" customHeight="1">
      <c r="E379" s="139"/>
      <c r="F379" s="138"/>
      <c r="G379" s="138"/>
    </row>
    <row r="380" spans="5:7" ht="19.95" customHeight="1">
      <c r="E380" s="139"/>
      <c r="F380" s="138"/>
      <c r="G380" s="138"/>
    </row>
    <row r="381" spans="5:7" ht="19.95" customHeight="1">
      <c r="E381" s="139"/>
      <c r="F381" s="138"/>
      <c r="G381" s="138"/>
    </row>
    <row r="382" spans="5:7" ht="19.95" customHeight="1">
      <c r="E382" s="139"/>
      <c r="F382" s="138"/>
      <c r="G382" s="138"/>
    </row>
    <row r="383" spans="5:7" ht="19.95" customHeight="1">
      <c r="E383" s="139"/>
      <c r="F383" s="138"/>
      <c r="G383" s="138"/>
    </row>
    <row r="384" spans="5:7" ht="19.95" customHeight="1">
      <c r="E384" s="139"/>
      <c r="F384" s="138"/>
      <c r="G384" s="138"/>
    </row>
    <row r="385" spans="5:7" ht="19.95" customHeight="1">
      <c r="E385" s="139"/>
      <c r="F385" s="138"/>
      <c r="G385" s="138"/>
    </row>
    <row r="386" spans="5:7" ht="19.95" customHeight="1">
      <c r="E386" s="139"/>
      <c r="F386" s="138"/>
      <c r="G386" s="138"/>
    </row>
    <row r="387" spans="5:7" ht="19.95" customHeight="1">
      <c r="E387" s="139"/>
      <c r="F387" s="138"/>
      <c r="G387" s="138"/>
    </row>
    <row r="388" spans="5:7" ht="19.95" customHeight="1">
      <c r="E388" s="139"/>
      <c r="F388" s="138"/>
      <c r="G388" s="138"/>
    </row>
    <row r="389" spans="5:7" ht="19.95" customHeight="1">
      <c r="E389" s="139"/>
      <c r="F389" s="138"/>
      <c r="G389" s="138"/>
    </row>
    <row r="390" spans="5:7" ht="19.95" customHeight="1">
      <c r="E390" s="139"/>
      <c r="F390" s="138"/>
      <c r="G390" s="138"/>
    </row>
    <row r="391" spans="5:7" ht="19.95" customHeight="1">
      <c r="E391" s="139"/>
      <c r="F391" s="138"/>
      <c r="G391" s="138"/>
    </row>
    <row r="392" spans="5:7" ht="19.95" customHeight="1">
      <c r="E392" s="139"/>
      <c r="F392" s="138"/>
      <c r="G392" s="138"/>
    </row>
    <row r="393" spans="5:7" ht="19.95" customHeight="1">
      <c r="E393" s="139"/>
      <c r="F393" s="138"/>
      <c r="G393" s="138"/>
    </row>
    <row r="394" spans="5:7" ht="19.95" customHeight="1">
      <c r="E394" s="139"/>
    </row>
    <row r="395" spans="5:7" ht="19.95" customHeight="1">
      <c r="E395" s="139"/>
    </row>
    <row r="396" spans="5:7" ht="19.95" customHeight="1">
      <c r="E396" s="139"/>
    </row>
    <row r="397" spans="5:7" ht="19.95" customHeight="1">
      <c r="E397" s="139"/>
    </row>
    <row r="398" spans="5:7" ht="19.95" customHeight="1">
      <c r="E398" s="139"/>
    </row>
    <row r="399" spans="5:7" ht="19.95" customHeight="1">
      <c r="E399" s="139"/>
    </row>
    <row r="400" spans="5:7" ht="19.95" customHeight="1">
      <c r="E400" s="139"/>
    </row>
  </sheetData>
  <mergeCells count="7">
    <mergeCell ref="A1:J1"/>
    <mergeCell ref="A4:A5"/>
    <mergeCell ref="B4:B5"/>
    <mergeCell ref="C4:E4"/>
    <mergeCell ref="F4:H4"/>
    <mergeCell ref="I4:I5"/>
    <mergeCell ref="J4:J5"/>
  </mergeCells>
  <phoneticPr fontId="3" type="noConversion"/>
  <conditionalFormatting sqref="J1:J1048576">
    <cfRule type="cellIs" dxfId="1" priority="1" stopIfTrue="1" operator="equal">
      <formula>"显著"</formula>
    </cfRule>
    <cfRule type="cellIs" dxfId="0" priority="2" stopIfTrue="1" operator="equal">
      <formula>"关注"</formula>
    </cfRule>
  </conditionalFormatting>
  <printOptions horizontalCentered="1"/>
  <pageMargins left="0.70866141732283472" right="0.70866141732283472" top="0.74803149606299213" bottom="0.74803149606299213" header="0.31496062992125984" footer="0.31496062992125984"/>
  <pageSetup paperSize="9" scale="53" orientation="portrait" blackAndWhite="1" r:id="rId1"/>
  <headerFooter alignWithMargins="0">
    <oddFooter>&amp;C&amp;P /&amp;N</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K69"/>
  <sheetViews>
    <sheetView showZeros="0" view="pageBreakPreview" zoomScaleNormal="100" zoomScaleSheetLayoutView="100" workbookViewId="0">
      <pane xSplit="2" ySplit="3" topLeftCell="C54" activePane="bottomRight" state="frozen"/>
      <selection activeCell="E58" sqref="E58"/>
      <selection pane="topRight" activeCell="E58" sqref="E58"/>
      <selection pane="bottomLeft" activeCell="E58" sqref="E58"/>
      <selection pane="bottomRight" activeCell="K62" sqref="K62"/>
    </sheetView>
  </sheetViews>
  <sheetFormatPr defaultColWidth="10.33203125" defaultRowHeight="19.95" customHeight="1"/>
  <cols>
    <col min="1" max="1" width="27.44140625" style="13" customWidth="1"/>
    <col min="2" max="2" width="15" style="13" customWidth="1"/>
    <col min="3" max="3" width="12.44140625" style="13" customWidth="1"/>
    <col min="4" max="4" width="18.109375" style="13" customWidth="1"/>
    <col min="5" max="5" width="17.33203125" style="13" customWidth="1"/>
    <col min="6" max="8" width="16.33203125" style="13" customWidth="1"/>
    <col min="9" max="9" width="1.88671875" style="13" customWidth="1"/>
    <col min="10" max="10" width="14.6640625" style="13" customWidth="1"/>
    <col min="11" max="16384" width="10.33203125" style="13"/>
  </cols>
  <sheetData>
    <row r="1" spans="1:11" s="243" customFormat="1" ht="27" customHeight="1">
      <c r="A1" s="296" t="s">
        <v>171</v>
      </c>
      <c r="B1" s="297"/>
      <c r="C1" s="297"/>
      <c r="D1" s="297"/>
      <c r="E1" s="297"/>
      <c r="F1" s="297"/>
      <c r="G1" s="297"/>
      <c r="H1" s="297"/>
      <c r="I1" s="244"/>
      <c r="J1" s="244"/>
    </row>
    <row r="2" spans="1:11" s="15" customFormat="1" ht="19.95" customHeight="1">
      <c r="A2" s="14" t="str">
        <f>底稿目录!A2</f>
        <v>被审计单位：ABC公司</v>
      </c>
      <c r="D2" s="16" t="str">
        <f>底稿目录!A4</f>
        <v>编制人：张三</v>
      </c>
      <c r="E2" s="16"/>
      <c r="F2" s="14" t="str">
        <f>底稿目录!A5</f>
        <v>编制日期：2025.X.X</v>
      </c>
      <c r="G2" s="14"/>
      <c r="H2" s="16" t="s">
        <v>172</v>
      </c>
      <c r="K2" s="14"/>
    </row>
    <row r="3" spans="1:11" s="15" customFormat="1" ht="19.95" customHeight="1">
      <c r="A3" s="14" t="str">
        <f>底稿目录!A8</f>
        <v>会计期间：202X年度</v>
      </c>
      <c r="D3" s="16" t="str">
        <f>底稿目录!A6</f>
        <v>复核人：李四</v>
      </c>
      <c r="E3" s="16"/>
      <c r="F3" s="16" t="str">
        <f>底稿目录!A7</f>
        <v>复核日期：2025.X.X</v>
      </c>
      <c r="G3" s="16"/>
      <c r="H3" s="16" t="s">
        <v>69</v>
      </c>
      <c r="K3" s="14"/>
    </row>
    <row r="5" spans="1:11" ht="19.95" customHeight="1">
      <c r="A5" s="64" t="s">
        <v>173</v>
      </c>
    </row>
    <row r="6" spans="1:11" ht="24.6" customHeight="1">
      <c r="A6" s="65" t="s">
        <v>174</v>
      </c>
      <c r="B6" s="66" t="s">
        <v>175</v>
      </c>
      <c r="C6" s="67" t="s">
        <v>176</v>
      </c>
      <c r="D6" s="294" t="s">
        <v>177</v>
      </c>
      <c r="E6" s="294"/>
      <c r="F6" s="68" t="s">
        <v>178</v>
      </c>
      <c r="G6" s="68" t="s">
        <v>179</v>
      </c>
      <c r="H6" s="69" t="s">
        <v>180</v>
      </c>
    </row>
    <row r="7" spans="1:11" ht="19.95" customHeight="1">
      <c r="A7" s="70" t="s">
        <v>32</v>
      </c>
      <c r="B7" s="71"/>
      <c r="C7" s="72"/>
      <c r="D7" s="72"/>
      <c r="E7" s="72"/>
      <c r="F7" s="72"/>
      <c r="G7" s="72"/>
      <c r="H7" s="73"/>
    </row>
    <row r="8" spans="1:11" ht="19.95" customHeight="1">
      <c r="A8" s="70" t="s">
        <v>33</v>
      </c>
      <c r="B8" s="71"/>
      <c r="C8" s="72"/>
      <c r="D8" s="72"/>
      <c r="E8" s="72"/>
      <c r="F8" s="72"/>
      <c r="G8" s="72"/>
      <c r="H8" s="73"/>
    </row>
    <row r="9" spans="1:11" ht="19.95" customHeight="1">
      <c r="A9" s="70" t="s">
        <v>34</v>
      </c>
      <c r="B9" s="71"/>
      <c r="C9" s="72"/>
      <c r="D9" s="72"/>
      <c r="E9" s="72"/>
      <c r="F9" s="72"/>
      <c r="G9" s="72"/>
      <c r="H9" s="73"/>
    </row>
    <row r="10" spans="1:11" ht="19.95" customHeight="1">
      <c r="A10" s="70" t="s">
        <v>35</v>
      </c>
      <c r="B10" s="71"/>
      <c r="C10" s="72"/>
      <c r="D10" s="72"/>
      <c r="E10" s="72"/>
      <c r="F10" s="72"/>
      <c r="G10" s="72"/>
      <c r="H10" s="73"/>
    </row>
    <row r="11" spans="1:11" ht="19.95" customHeight="1">
      <c r="A11" s="74" t="s">
        <v>36</v>
      </c>
      <c r="B11" s="75"/>
      <c r="C11" s="76"/>
      <c r="D11" s="76"/>
      <c r="E11" s="76"/>
      <c r="F11" s="76"/>
      <c r="G11" s="76"/>
      <c r="H11" s="77"/>
    </row>
    <row r="12" spans="1:11" ht="19.95" customHeight="1">
      <c r="A12" s="78" t="s">
        <v>181</v>
      </c>
    </row>
    <row r="13" spans="1:11" ht="19.95" customHeight="1">
      <c r="A13" s="78"/>
    </row>
    <row r="14" spans="1:11" ht="19.95" customHeight="1">
      <c r="A14" s="64" t="s">
        <v>182</v>
      </c>
    </row>
    <row r="15" spans="1:11" ht="25.2" customHeight="1">
      <c r="A15" s="65" t="s">
        <v>174</v>
      </c>
      <c r="B15" s="67" t="s">
        <v>183</v>
      </c>
      <c r="C15" s="67" t="s">
        <v>184</v>
      </c>
      <c r="D15" s="67" t="s">
        <v>185</v>
      </c>
      <c r="E15" s="67" t="s">
        <v>186</v>
      </c>
      <c r="F15" s="67" t="s">
        <v>187</v>
      </c>
      <c r="G15" s="67" t="s">
        <v>188</v>
      </c>
      <c r="H15" s="79" t="s">
        <v>189</v>
      </c>
    </row>
    <row r="16" spans="1:11" ht="19.95" customHeight="1">
      <c r="A16" s="70" t="s">
        <v>32</v>
      </c>
      <c r="B16" s="72"/>
      <c r="C16" s="72"/>
      <c r="D16" s="72"/>
      <c r="E16" s="72"/>
      <c r="F16" s="72"/>
      <c r="G16" s="72"/>
      <c r="H16" s="73"/>
    </row>
    <row r="17" spans="1:8" ht="19.95" customHeight="1">
      <c r="A17" s="70" t="s">
        <v>33</v>
      </c>
      <c r="B17" s="72"/>
      <c r="C17" s="72"/>
      <c r="D17" s="72"/>
      <c r="E17" s="72"/>
      <c r="F17" s="72"/>
      <c r="G17" s="72"/>
      <c r="H17" s="73"/>
    </row>
    <row r="18" spans="1:8" ht="19.95" customHeight="1">
      <c r="A18" s="70" t="s">
        <v>34</v>
      </c>
      <c r="B18" s="72"/>
      <c r="C18" s="72"/>
      <c r="D18" s="72"/>
      <c r="E18" s="72"/>
      <c r="F18" s="72"/>
      <c r="G18" s="72"/>
      <c r="H18" s="73"/>
    </row>
    <row r="19" spans="1:8" ht="19.95" customHeight="1">
      <c r="A19" s="70" t="s">
        <v>35</v>
      </c>
      <c r="B19" s="72"/>
      <c r="C19" s="72"/>
      <c r="D19" s="72"/>
      <c r="E19" s="72"/>
      <c r="F19" s="72"/>
      <c r="G19" s="72"/>
      <c r="H19" s="73"/>
    </row>
    <row r="20" spans="1:8" ht="19.95" customHeight="1">
      <c r="A20" s="74" t="s">
        <v>36</v>
      </c>
      <c r="B20" s="76"/>
      <c r="C20" s="76"/>
      <c r="D20" s="76"/>
      <c r="E20" s="76"/>
      <c r="F20" s="76"/>
      <c r="G20" s="76"/>
      <c r="H20" s="77"/>
    </row>
    <row r="21" spans="1:8" ht="19.95" customHeight="1">
      <c r="A21" s="78" t="s">
        <v>181</v>
      </c>
    </row>
    <row r="23" spans="1:8" ht="19.95" customHeight="1">
      <c r="A23" s="64" t="s">
        <v>190</v>
      </c>
    </row>
    <row r="24" spans="1:8" ht="19.95" customHeight="1">
      <c r="A24" s="292" t="s">
        <v>174</v>
      </c>
      <c r="B24" s="294" t="s">
        <v>191</v>
      </c>
      <c r="C24" s="294"/>
      <c r="D24" s="294"/>
      <c r="E24" s="80"/>
      <c r="F24" s="294" t="s">
        <v>192</v>
      </c>
      <c r="G24" s="294"/>
      <c r="H24" s="295"/>
    </row>
    <row r="25" spans="1:8" ht="19.95" customHeight="1">
      <c r="A25" s="293"/>
      <c r="B25" s="81" t="s">
        <v>193</v>
      </c>
      <c r="C25" s="81" t="s">
        <v>194</v>
      </c>
      <c r="D25" s="81" t="s">
        <v>195</v>
      </c>
      <c r="E25" s="81"/>
      <c r="F25" s="81" t="s">
        <v>193</v>
      </c>
      <c r="G25" s="81" t="s">
        <v>194</v>
      </c>
      <c r="H25" s="82" t="s">
        <v>195</v>
      </c>
    </row>
    <row r="26" spans="1:8" ht="19.95" customHeight="1">
      <c r="A26" s="70" t="s">
        <v>32</v>
      </c>
      <c r="B26" s="72"/>
      <c r="C26" s="72"/>
      <c r="D26" s="72"/>
      <c r="E26" s="72"/>
      <c r="F26" s="72"/>
      <c r="G26" s="72"/>
      <c r="H26" s="73"/>
    </row>
    <row r="27" spans="1:8" ht="19.95" customHeight="1">
      <c r="A27" s="70" t="s">
        <v>33</v>
      </c>
      <c r="B27" s="72"/>
      <c r="C27" s="72"/>
      <c r="D27" s="72"/>
      <c r="E27" s="72"/>
      <c r="F27" s="72"/>
      <c r="G27" s="72"/>
      <c r="H27" s="73"/>
    </row>
    <row r="28" spans="1:8" ht="19.95" customHeight="1">
      <c r="A28" s="70" t="s">
        <v>34</v>
      </c>
      <c r="B28" s="72"/>
      <c r="C28" s="72"/>
      <c r="D28" s="72"/>
      <c r="E28" s="72"/>
      <c r="F28" s="72"/>
      <c r="G28" s="72"/>
      <c r="H28" s="73"/>
    </row>
    <row r="29" spans="1:8" ht="19.95" customHeight="1">
      <c r="A29" s="70" t="s">
        <v>35</v>
      </c>
      <c r="B29" s="72"/>
      <c r="C29" s="72"/>
      <c r="D29" s="72"/>
      <c r="E29" s="72"/>
      <c r="F29" s="72"/>
      <c r="G29" s="72"/>
      <c r="H29" s="73"/>
    </row>
    <row r="30" spans="1:8" ht="19.95" customHeight="1">
      <c r="A30" s="70" t="s">
        <v>36</v>
      </c>
      <c r="B30" s="72"/>
      <c r="C30" s="72"/>
      <c r="D30" s="72"/>
      <c r="E30" s="72"/>
      <c r="F30" s="72"/>
      <c r="G30" s="72"/>
      <c r="H30" s="73"/>
    </row>
    <row r="31" spans="1:8" ht="19.95" customHeight="1">
      <c r="A31" s="70" t="s">
        <v>196</v>
      </c>
      <c r="B31" s="72"/>
      <c r="C31" s="72"/>
      <c r="D31" s="72"/>
      <c r="E31" s="72"/>
      <c r="F31" s="72"/>
      <c r="G31" s="72"/>
      <c r="H31" s="73"/>
    </row>
    <row r="32" spans="1:8" ht="19.95" customHeight="1">
      <c r="A32" s="74" t="s">
        <v>197</v>
      </c>
      <c r="B32" s="76"/>
      <c r="C32" s="76"/>
      <c r="D32" s="76"/>
      <c r="E32" s="76"/>
      <c r="F32" s="76"/>
      <c r="G32" s="76"/>
      <c r="H32" s="77"/>
    </row>
    <row r="33" spans="1:8" ht="19.95" customHeight="1">
      <c r="A33" s="78" t="s">
        <v>181</v>
      </c>
      <c r="B33" s="83"/>
      <c r="C33" s="83"/>
      <c r="D33" s="83"/>
      <c r="E33" s="83"/>
      <c r="F33" s="83"/>
      <c r="G33" s="83"/>
      <c r="H33" s="83"/>
    </row>
    <row r="34" spans="1:8" ht="19.95" customHeight="1">
      <c r="A34" s="78"/>
    </row>
    <row r="35" spans="1:8" ht="19.95" customHeight="1">
      <c r="A35" s="292" t="s">
        <v>174</v>
      </c>
      <c r="B35" s="294" t="s">
        <v>198</v>
      </c>
      <c r="C35" s="294"/>
      <c r="D35" s="294"/>
      <c r="E35" s="80"/>
      <c r="F35" s="294" t="s">
        <v>198</v>
      </c>
      <c r="G35" s="294"/>
      <c r="H35" s="295"/>
    </row>
    <row r="36" spans="1:8" ht="19.95" customHeight="1">
      <c r="A36" s="293"/>
      <c r="B36" s="81" t="s">
        <v>193</v>
      </c>
      <c r="C36" s="81" t="s">
        <v>194</v>
      </c>
      <c r="D36" s="81" t="s">
        <v>195</v>
      </c>
      <c r="E36" s="81"/>
      <c r="F36" s="81" t="s">
        <v>193</v>
      </c>
      <c r="G36" s="81" t="s">
        <v>194</v>
      </c>
      <c r="H36" s="82" t="s">
        <v>195</v>
      </c>
    </row>
    <row r="37" spans="1:8" ht="19.95" customHeight="1">
      <c r="A37" s="70" t="s">
        <v>32</v>
      </c>
      <c r="B37" s="72"/>
      <c r="C37" s="72"/>
      <c r="D37" s="72"/>
      <c r="E37" s="72"/>
      <c r="F37" s="72"/>
      <c r="G37" s="72"/>
      <c r="H37" s="73"/>
    </row>
    <row r="38" spans="1:8" ht="19.95" customHeight="1">
      <c r="A38" s="70" t="s">
        <v>33</v>
      </c>
      <c r="B38" s="72"/>
      <c r="C38" s="72"/>
      <c r="D38" s="72"/>
      <c r="E38" s="72"/>
      <c r="F38" s="72"/>
      <c r="G38" s="72"/>
      <c r="H38" s="73"/>
    </row>
    <row r="39" spans="1:8" ht="19.95" customHeight="1">
      <c r="A39" s="70" t="s">
        <v>34</v>
      </c>
      <c r="B39" s="72"/>
      <c r="C39" s="72"/>
      <c r="D39" s="72"/>
      <c r="E39" s="72"/>
      <c r="F39" s="72"/>
      <c r="G39" s="72"/>
      <c r="H39" s="73"/>
    </row>
    <row r="40" spans="1:8" ht="19.95" customHeight="1">
      <c r="A40" s="70" t="s">
        <v>35</v>
      </c>
      <c r="B40" s="72"/>
      <c r="C40" s="72"/>
      <c r="D40" s="72"/>
      <c r="E40" s="72"/>
      <c r="F40" s="72"/>
      <c r="G40" s="72"/>
      <c r="H40" s="73"/>
    </row>
    <row r="41" spans="1:8" ht="19.95" customHeight="1">
      <c r="A41" s="70" t="s">
        <v>36</v>
      </c>
      <c r="B41" s="72"/>
      <c r="C41" s="72"/>
      <c r="D41" s="72"/>
      <c r="E41" s="72"/>
      <c r="F41" s="72"/>
      <c r="G41" s="72"/>
      <c r="H41" s="73"/>
    </row>
    <row r="42" spans="1:8" ht="19.95" customHeight="1">
      <c r="A42" s="70" t="s">
        <v>196</v>
      </c>
      <c r="B42" s="72"/>
      <c r="C42" s="72"/>
      <c r="D42" s="72"/>
      <c r="E42" s="72"/>
      <c r="F42" s="72"/>
      <c r="G42" s="72"/>
      <c r="H42" s="73"/>
    </row>
    <row r="43" spans="1:8" ht="19.95" customHeight="1">
      <c r="A43" s="74" t="s">
        <v>197</v>
      </c>
      <c r="B43" s="76"/>
      <c r="C43" s="76"/>
      <c r="D43" s="76"/>
      <c r="E43" s="76"/>
      <c r="F43" s="76"/>
      <c r="G43" s="76"/>
      <c r="H43" s="77"/>
    </row>
    <row r="44" spans="1:8" ht="19.95" customHeight="1">
      <c r="A44" s="78" t="s">
        <v>181</v>
      </c>
      <c r="B44" s="83"/>
      <c r="C44" s="83"/>
      <c r="D44" s="83"/>
      <c r="E44" s="83"/>
      <c r="F44" s="83"/>
      <c r="G44" s="83"/>
      <c r="H44" s="83"/>
    </row>
    <row r="45" spans="1:8" ht="19.95" customHeight="1">
      <c r="A45" s="78"/>
    </row>
    <row r="46" spans="1:8" ht="19.95" customHeight="1">
      <c r="A46" s="292" t="s">
        <v>174</v>
      </c>
      <c r="B46" s="294" t="s">
        <v>199</v>
      </c>
      <c r="C46" s="294"/>
      <c r="D46" s="294"/>
      <c r="E46" s="80"/>
      <c r="F46" s="294" t="s">
        <v>200</v>
      </c>
      <c r="G46" s="294"/>
      <c r="H46" s="295"/>
    </row>
    <row r="47" spans="1:8" ht="19.95" customHeight="1">
      <c r="A47" s="293"/>
      <c r="B47" s="81" t="s">
        <v>193</v>
      </c>
      <c r="C47" s="81" t="s">
        <v>194</v>
      </c>
      <c r="D47" s="81" t="s">
        <v>195</v>
      </c>
      <c r="E47" s="81"/>
      <c r="F47" s="81" t="s">
        <v>193</v>
      </c>
      <c r="G47" s="81" t="s">
        <v>194</v>
      </c>
      <c r="H47" s="82" t="s">
        <v>195</v>
      </c>
    </row>
    <row r="48" spans="1:8" ht="19.95" customHeight="1">
      <c r="A48" s="70" t="s">
        <v>32</v>
      </c>
      <c r="B48" s="72"/>
      <c r="C48" s="72"/>
      <c r="D48" s="72"/>
      <c r="E48" s="72"/>
      <c r="F48" s="72"/>
      <c r="G48" s="72"/>
      <c r="H48" s="73"/>
    </row>
    <row r="49" spans="1:8" ht="19.95" customHeight="1">
      <c r="A49" s="70" t="s">
        <v>33</v>
      </c>
      <c r="B49" s="72"/>
      <c r="C49" s="72"/>
      <c r="D49" s="72"/>
      <c r="E49" s="72"/>
      <c r="F49" s="72"/>
      <c r="G49" s="72"/>
      <c r="H49" s="73"/>
    </row>
    <row r="50" spans="1:8" ht="19.95" customHeight="1">
      <c r="A50" s="70" t="s">
        <v>34</v>
      </c>
      <c r="B50" s="72"/>
      <c r="C50" s="72"/>
      <c r="D50" s="72"/>
      <c r="E50" s="72"/>
      <c r="F50" s="72"/>
      <c r="G50" s="72"/>
      <c r="H50" s="73"/>
    </row>
    <row r="51" spans="1:8" ht="19.95" customHeight="1">
      <c r="A51" s="70" t="s">
        <v>35</v>
      </c>
      <c r="B51" s="72"/>
      <c r="C51" s="72"/>
      <c r="D51" s="72"/>
      <c r="E51" s="72"/>
      <c r="F51" s="72"/>
      <c r="G51" s="72"/>
      <c r="H51" s="73"/>
    </row>
    <row r="52" spans="1:8" ht="19.95" customHeight="1">
      <c r="A52" s="70" t="s">
        <v>36</v>
      </c>
      <c r="B52" s="72"/>
      <c r="C52" s="72"/>
      <c r="D52" s="72"/>
      <c r="E52" s="72"/>
      <c r="F52" s="72"/>
      <c r="G52" s="72"/>
      <c r="H52" s="73"/>
    </row>
    <row r="53" spans="1:8" ht="19.95" customHeight="1">
      <c r="A53" s="70" t="s">
        <v>196</v>
      </c>
      <c r="B53" s="72"/>
      <c r="C53" s="72"/>
      <c r="D53" s="72"/>
      <c r="E53" s="72"/>
      <c r="F53" s="72"/>
      <c r="G53" s="72"/>
      <c r="H53" s="73"/>
    </row>
    <row r="54" spans="1:8" ht="19.95" customHeight="1">
      <c r="A54" s="74" t="s">
        <v>197</v>
      </c>
      <c r="B54" s="76"/>
      <c r="C54" s="76"/>
      <c r="D54" s="76"/>
      <c r="E54" s="76"/>
      <c r="F54" s="76"/>
      <c r="G54" s="76"/>
      <c r="H54" s="77"/>
    </row>
    <row r="55" spans="1:8" ht="19.95" customHeight="1">
      <c r="A55" s="78" t="s">
        <v>181</v>
      </c>
    </row>
    <row r="56" spans="1:8" ht="19.95" customHeight="1">
      <c r="A56" s="78"/>
    </row>
    <row r="57" spans="1:8" ht="19.95" customHeight="1">
      <c r="A57" s="292" t="s">
        <v>174</v>
      </c>
      <c r="B57" s="294" t="s">
        <v>384</v>
      </c>
      <c r="C57" s="294"/>
      <c r="D57" s="294"/>
      <c r="E57" s="80"/>
      <c r="F57" s="294" t="s">
        <v>385</v>
      </c>
      <c r="G57" s="294"/>
      <c r="H57" s="295"/>
    </row>
    <row r="58" spans="1:8" ht="19.95" customHeight="1">
      <c r="A58" s="293"/>
      <c r="B58" s="81" t="s">
        <v>193</v>
      </c>
      <c r="C58" s="81" t="s">
        <v>194</v>
      </c>
      <c r="D58" s="81" t="s">
        <v>195</v>
      </c>
      <c r="E58" s="81"/>
      <c r="F58" s="81" t="s">
        <v>193</v>
      </c>
      <c r="G58" s="81" t="s">
        <v>194</v>
      </c>
      <c r="H58" s="82" t="s">
        <v>195</v>
      </c>
    </row>
    <row r="59" spans="1:8" ht="19.95" customHeight="1">
      <c r="A59" s="70" t="s">
        <v>32</v>
      </c>
      <c r="B59" s="72"/>
      <c r="C59" s="72"/>
      <c r="D59" s="72"/>
      <c r="E59" s="72"/>
      <c r="F59" s="72"/>
      <c r="G59" s="72"/>
      <c r="H59" s="73"/>
    </row>
    <row r="60" spans="1:8" ht="19.95" customHeight="1">
      <c r="A60" s="70" t="s">
        <v>33</v>
      </c>
      <c r="B60" s="72"/>
      <c r="C60" s="72"/>
      <c r="D60" s="72"/>
      <c r="E60" s="72"/>
      <c r="F60" s="72"/>
      <c r="G60" s="72"/>
      <c r="H60" s="73"/>
    </row>
    <row r="61" spans="1:8" ht="19.95" customHeight="1">
      <c r="A61" s="70" t="s">
        <v>34</v>
      </c>
      <c r="B61" s="72"/>
      <c r="C61" s="72"/>
      <c r="D61" s="72"/>
      <c r="E61" s="72"/>
      <c r="F61" s="72"/>
      <c r="G61" s="72"/>
      <c r="H61" s="73"/>
    </row>
    <row r="62" spans="1:8" ht="19.95" customHeight="1">
      <c r="A62" s="70" t="s">
        <v>35</v>
      </c>
      <c r="B62" s="72"/>
      <c r="C62" s="72"/>
      <c r="D62" s="72"/>
      <c r="E62" s="72"/>
      <c r="F62" s="72"/>
      <c r="G62" s="72"/>
      <c r="H62" s="73"/>
    </row>
    <row r="63" spans="1:8" ht="19.95" customHeight="1">
      <c r="A63" s="70" t="s">
        <v>36</v>
      </c>
      <c r="B63" s="72"/>
      <c r="C63" s="72"/>
      <c r="D63" s="72"/>
      <c r="E63" s="72"/>
      <c r="F63" s="72"/>
      <c r="G63" s="72"/>
      <c r="H63" s="73"/>
    </row>
    <row r="64" spans="1:8" ht="19.95" customHeight="1">
      <c r="A64" s="70" t="s">
        <v>196</v>
      </c>
      <c r="B64" s="72"/>
      <c r="C64" s="72"/>
      <c r="D64" s="72"/>
      <c r="E64" s="72"/>
      <c r="F64" s="72"/>
      <c r="G64" s="72"/>
      <c r="H64" s="73"/>
    </row>
    <row r="65" spans="1:8" ht="19.95" customHeight="1">
      <c r="A65" s="74" t="s">
        <v>197</v>
      </c>
      <c r="B65" s="76"/>
      <c r="C65" s="76"/>
      <c r="D65" s="76"/>
      <c r="E65" s="76"/>
      <c r="F65" s="76"/>
      <c r="G65" s="76"/>
      <c r="H65" s="77"/>
    </row>
    <row r="66" spans="1:8" ht="19.95" customHeight="1">
      <c r="A66" s="84" t="s">
        <v>201</v>
      </c>
      <c r="B66" s="85"/>
      <c r="C66" s="85"/>
      <c r="D66" s="85"/>
      <c r="E66" s="85"/>
      <c r="F66" s="85"/>
      <c r="G66" s="85"/>
      <c r="H66" s="86"/>
    </row>
    <row r="67" spans="1:8" ht="19.95" customHeight="1">
      <c r="A67" s="87"/>
      <c r="H67" s="88"/>
    </row>
    <row r="68" spans="1:8" ht="19.95" customHeight="1">
      <c r="A68" s="87"/>
      <c r="H68" s="88"/>
    </row>
    <row r="69" spans="1:8" ht="19.95" customHeight="1">
      <c r="A69" s="89"/>
      <c r="B69" s="90"/>
      <c r="C69" s="90"/>
      <c r="D69" s="90"/>
      <c r="E69" s="90"/>
      <c r="F69" s="90"/>
      <c r="G69" s="90"/>
      <c r="H69" s="91"/>
    </row>
  </sheetData>
  <sheetProtection insertRows="0"/>
  <mergeCells count="14">
    <mergeCell ref="A57:A58"/>
    <mergeCell ref="B57:D57"/>
    <mergeCell ref="F57:H57"/>
    <mergeCell ref="A1:H1"/>
    <mergeCell ref="A46:A47"/>
    <mergeCell ref="B46:D46"/>
    <mergeCell ref="F46:H46"/>
    <mergeCell ref="D6:E6"/>
    <mergeCell ref="A24:A25"/>
    <mergeCell ref="B24:D24"/>
    <mergeCell ref="F24:H24"/>
    <mergeCell ref="A35:A36"/>
    <mergeCell ref="B35:D35"/>
    <mergeCell ref="F35:H35"/>
  </mergeCells>
  <phoneticPr fontId="3" type="noConversion"/>
  <printOptions horizontalCentered="1"/>
  <pageMargins left="0.70866141732283472" right="0.70866141732283472" top="0.74803149606299213" bottom="0.74803149606299213" header="0.31496062992125984" footer="0.31496062992125984"/>
  <pageSetup paperSize="9" scale="53" fitToHeight="3" orientation="portrait" blackAndWhite="1" r:id="rId1"/>
  <headerFooter alignWithMargins="0">
    <oddFooter>&amp;C&amp;P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B8"/>
  <sheetViews>
    <sheetView workbookViewId="0"/>
  </sheetViews>
  <sheetFormatPr defaultRowHeight="12.6"/>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phoneticPr fontId="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8</vt:i4>
      </vt:variant>
      <vt:variant>
        <vt:lpstr>命名范围</vt:lpstr>
      </vt:variant>
      <vt:variant>
        <vt:i4>5</vt:i4>
      </vt:variant>
    </vt:vector>
  </HeadingPairs>
  <TitlesOfParts>
    <vt:vector size="13" baseType="lpstr">
      <vt:lpstr>底稿目录</vt:lpstr>
      <vt:lpstr>未审资产负债横向分析B13-2-1</vt:lpstr>
      <vt:lpstr>未审资产负债纵向分析B13-2-2</vt:lpstr>
      <vt:lpstr>未审利润横向分析B13-3-1</vt:lpstr>
      <vt:lpstr>未审利润纵向分析B13-3-2</vt:lpstr>
      <vt:lpstr>未审报表比率分析B13-4</vt:lpstr>
      <vt:lpstr>同行业对比分析B13-5</vt:lpstr>
      <vt:lpstr>GT_Custom</vt:lpstr>
      <vt:lpstr>'未审报表比率分析B13-4'!Print_Area</vt:lpstr>
      <vt:lpstr>'未审利润纵向分析B13-3-2'!Print_Area</vt:lpstr>
      <vt:lpstr>'未审资产负债横向分析B13-2-1'!Print_Area</vt:lpstr>
      <vt:lpstr>'未审资产负债纵向分析B13-2-2'!Print_Area</vt:lpstr>
      <vt:lpstr>'未审报表比率分析B13-4'!Print_Titles</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康北涛</dc:creator>
  <cp:lastModifiedBy>何先琴</cp:lastModifiedBy>
  <cp:lastPrinted>2025-09-09T06:45:09Z</cp:lastPrinted>
  <dcterms:created xsi:type="dcterms:W3CDTF">2006-09-28T13:37:34Z</dcterms:created>
  <dcterms:modified xsi:type="dcterms:W3CDTF">2025-12-02T08:50:39Z</dcterms:modified>
</cp:coreProperties>
</file>