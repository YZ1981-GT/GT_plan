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gtinetorg.sharepoint.com/sites/AssuranceMethodologyandLearningTeam/Shared Documents/General/01 - Formatting queue/01 - Ready for MM review/"/>
    </mc:Choice>
  </mc:AlternateContent>
  <xr:revisionPtr revIDLastSave="74" documentId="8_{28FFD2CA-1256-43A5-947B-F3CDD3C01180}" xr6:coauthVersionLast="47" xr6:coauthVersionMax="47" xr10:uidLastSave="{171DCB0A-6F71-4F0A-B6E8-3DA2A3E02DD7}"/>
  <bookViews>
    <workbookView xWindow="-110" yWindow="-110" windowWidth="19420" windowHeight="10420" xr2:uid="{2BAC721E-CDEE-4EEB-82E5-02B3DCC9057F}"/>
  </bookViews>
  <sheets>
    <sheet name="Instructions" sheetId="5" r:id="rId1"/>
    <sheet name="Component materiality input" sheetId="2" r:id="rId2"/>
    <sheet name="Translations" sheetId="3" r:id="rId3"/>
  </sheets>
  <functionGroups builtInGroupCount="19"/>
  <externalReferences>
    <externalReference r:id="rId4"/>
  </externalReferences>
  <definedNames>
    <definedName name="_sheetContentTranslation_A_10" hidden="1">Translations!$A$9</definedName>
    <definedName name="_sheetContentTranslation_A_11" hidden="1">Translations!$A$10</definedName>
    <definedName name="_sheetContentTranslation_A_12" hidden="1">Translations!$A$11</definedName>
    <definedName name="_sheetContentTranslation_A_13" hidden="1">Translations!$A$12</definedName>
    <definedName name="_sheetContentTranslation_A_14" hidden="1">Translations!$A$13</definedName>
    <definedName name="_sheetContentTranslation_A_15" hidden="1">Translations!$A$14</definedName>
    <definedName name="_sheetContentTranslation_A_16" hidden="1">Translations!$A$15</definedName>
    <definedName name="_sheetContentTranslation_A_17" hidden="1">Translations!$A$16</definedName>
    <definedName name="_sheetContentTranslation_A_18" hidden="1">Translations!$A$17</definedName>
    <definedName name="_sheetContentTranslation_A_183" hidden="1">[1]Translation!$A$183</definedName>
    <definedName name="_sheetContentTranslation_A_19" hidden="1">Translations!$A$18</definedName>
    <definedName name="_sheetContentTranslation_A_20" hidden="1">Translations!$A$19</definedName>
    <definedName name="_sheetContentTranslation_A_21" hidden="1">Translations!$A$20</definedName>
    <definedName name="_sheetContentTranslation_A_22" hidden="1">Translations!$A$21</definedName>
    <definedName name="_sheetContentTranslation_A_23" hidden="1">Translations!$A$22</definedName>
    <definedName name="_sheetContentTranslation_A_24" hidden="1">Translations!#REF!</definedName>
    <definedName name="_sheetContentTranslation_A_25" hidden="1">Translations!#REF!</definedName>
    <definedName name="_sheetContentTranslation_A_26" hidden="1">Translations!#REF!</definedName>
    <definedName name="_sheetContentTranslation_A_27" hidden="1">Translations!#REF!</definedName>
    <definedName name="_sheetContentTranslation_A_28" hidden="1">Translations!#REF!</definedName>
    <definedName name="_sheetContentTranslation_A_29" hidden="1">Translations!#REF!</definedName>
    <definedName name="_sheetContentTranslation_A_3" hidden="1">Translations!$A$2</definedName>
    <definedName name="_sheetContentTranslation_A_30" hidden="1">Translations!#REF!</definedName>
    <definedName name="_sheetContentTranslation_A_31" hidden="1">Translations!#REF!</definedName>
    <definedName name="_sheetContentTranslation_A_32" hidden="1">Translations!#REF!</definedName>
    <definedName name="_sheetContentTranslation_A_33" hidden="1">Translations!#REF!</definedName>
    <definedName name="_sheetContentTranslation_A_34" hidden="1">Translations!#REF!</definedName>
    <definedName name="_sheetContentTranslation_A_35" hidden="1">Translations!#REF!</definedName>
    <definedName name="_sheetContentTranslation_A_36" hidden="1">Translations!#REF!</definedName>
    <definedName name="_sheetContentTranslation_A_37" hidden="1">Translations!#REF!</definedName>
    <definedName name="_sheetContentTranslation_A_4" hidden="1">Translations!$A$3</definedName>
    <definedName name="_sheetContentTranslation_A_5" hidden="1">Translations!$A$4</definedName>
    <definedName name="_sheetContentTranslation_A_6" hidden="1">Translations!$A$5</definedName>
    <definedName name="_sheetContentTranslation_A_7" hidden="1">Translations!$A$6</definedName>
    <definedName name="_sheetContentTranslation_A_8" hidden="1">Translations!$A$7</definedName>
    <definedName name="_sheetContentTranslation_A_9" hidden="1">Translations!$A$8</definedName>
    <definedName name="ComponentRows">'Component materiality input'!$17:$113</definedName>
    <definedName name="EquityMethodInvestments">'Component materiality input'!$120:$219</definedName>
    <definedName name="NumberOfComponents">'Component materiality input'!$C$12</definedName>
    <definedName name="NumberOfEquityMethodInvestments">'Component materiality input'!$C$13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20" i="2" l="1"/>
  <c r="C15" i="2"/>
  <c r="C219" i="2" l="1"/>
  <c r="C218" i="2"/>
  <c r="C217" i="2"/>
  <c r="C216" i="2"/>
  <c r="C215" i="2"/>
  <c r="C214" i="2"/>
  <c r="C213" i="2"/>
  <c r="C212" i="2"/>
  <c r="C211" i="2"/>
  <c r="C210" i="2"/>
  <c r="C209" i="2"/>
  <c r="C208" i="2"/>
  <c r="C207" i="2"/>
  <c r="C206" i="2"/>
  <c r="C205" i="2"/>
  <c r="C204" i="2"/>
  <c r="C203" i="2"/>
  <c r="C202" i="2"/>
  <c r="C201" i="2"/>
  <c r="C200" i="2"/>
  <c r="C199" i="2"/>
  <c r="C198" i="2"/>
  <c r="C197" i="2"/>
  <c r="C196" i="2"/>
  <c r="C195" i="2"/>
  <c r="C194" i="2"/>
  <c r="C193" i="2"/>
  <c r="C192" i="2"/>
  <c r="C191" i="2"/>
  <c r="C190" i="2"/>
  <c r="C189" i="2"/>
  <c r="C188" i="2"/>
  <c r="C187" i="2"/>
  <c r="C186" i="2"/>
  <c r="C185" i="2"/>
  <c r="C184" i="2"/>
  <c r="C183" i="2"/>
  <c r="C182" i="2"/>
  <c r="C181" i="2"/>
  <c r="C180" i="2"/>
  <c r="C179" i="2"/>
  <c r="C178" i="2"/>
  <c r="C177" i="2"/>
  <c r="C176" i="2"/>
  <c r="C175" i="2"/>
  <c r="C174" i="2"/>
  <c r="C173" i="2"/>
  <c r="C172" i="2"/>
  <c r="C171" i="2"/>
  <c r="C170" i="2"/>
  <c r="C169" i="2"/>
  <c r="C168" i="2"/>
  <c r="C167" i="2"/>
  <c r="C166" i="2"/>
  <c r="C165" i="2"/>
  <c r="C164" i="2"/>
  <c r="C163" i="2"/>
  <c r="C162" i="2"/>
  <c r="C161" i="2"/>
  <c r="C160" i="2"/>
  <c r="C159" i="2"/>
  <c r="C158" i="2"/>
  <c r="C157" i="2"/>
  <c r="C156" i="2"/>
  <c r="C155" i="2"/>
  <c r="C154" i="2"/>
  <c r="C153" i="2"/>
  <c r="C152" i="2"/>
  <c r="C151" i="2"/>
  <c r="C150" i="2"/>
  <c r="C149" i="2"/>
  <c r="C148" i="2"/>
  <c r="C147" i="2"/>
  <c r="C146" i="2"/>
  <c r="C145" i="2"/>
  <c r="C144" i="2"/>
  <c r="C143" i="2"/>
  <c r="C142" i="2"/>
  <c r="C141" i="2"/>
  <c r="C140" i="2"/>
  <c r="C139" i="2"/>
  <c r="C138" i="2"/>
  <c r="C137" i="2"/>
  <c r="C136" i="2"/>
  <c r="C135" i="2"/>
  <c r="C134" i="2"/>
  <c r="C133" i="2"/>
  <c r="C132" i="2"/>
  <c r="C131" i="2"/>
  <c r="C130" i="2"/>
  <c r="C129" i="2"/>
  <c r="C128" i="2"/>
  <c r="C127" i="2"/>
  <c r="C126" i="2"/>
  <c r="C125" i="2"/>
  <c r="C124" i="2"/>
  <c r="C123" i="2"/>
  <c r="C122" i="2"/>
  <c r="C121" i="2"/>
  <c r="D219" i="2"/>
  <c r="F219" i="2" s="1"/>
  <c r="D218" i="2"/>
  <c r="F218" i="2" s="1"/>
  <c r="D217" i="2"/>
  <c r="F217" i="2" s="1"/>
  <c r="D216" i="2"/>
  <c r="F216" i="2" s="1"/>
  <c r="D215" i="2"/>
  <c r="F215" i="2" s="1"/>
  <c r="D214" i="2"/>
  <c r="F214" i="2" s="1"/>
  <c r="D213" i="2"/>
  <c r="F213" i="2" s="1"/>
  <c r="D212" i="2"/>
  <c r="F212" i="2" s="1"/>
  <c r="D211" i="2"/>
  <c r="F211" i="2" s="1"/>
  <c r="D210" i="2"/>
  <c r="F210" i="2" s="1"/>
  <c r="D209" i="2"/>
  <c r="F209" i="2" s="1"/>
  <c r="D208" i="2"/>
  <c r="F208" i="2" s="1"/>
  <c r="D207" i="2"/>
  <c r="F207" i="2" s="1"/>
  <c r="D206" i="2"/>
  <c r="F206" i="2" s="1"/>
  <c r="D205" i="2"/>
  <c r="F205" i="2" s="1"/>
  <c r="D204" i="2"/>
  <c r="F204" i="2" s="1"/>
  <c r="D203" i="2"/>
  <c r="F203" i="2" s="1"/>
  <c r="D202" i="2"/>
  <c r="F202" i="2" s="1"/>
  <c r="D201" i="2"/>
  <c r="F201" i="2" s="1"/>
  <c r="D200" i="2"/>
  <c r="F200" i="2" s="1"/>
  <c r="D199" i="2"/>
  <c r="F199" i="2" s="1"/>
  <c r="D198" i="2"/>
  <c r="F198" i="2" s="1"/>
  <c r="D197" i="2"/>
  <c r="F197" i="2" s="1"/>
  <c r="D196" i="2"/>
  <c r="F196" i="2" s="1"/>
  <c r="D195" i="2"/>
  <c r="F195" i="2" s="1"/>
  <c r="D194" i="2"/>
  <c r="F194" i="2" s="1"/>
  <c r="D193" i="2"/>
  <c r="F193" i="2" s="1"/>
  <c r="D192" i="2"/>
  <c r="F192" i="2" s="1"/>
  <c r="D191" i="2"/>
  <c r="F191" i="2" s="1"/>
  <c r="D190" i="2"/>
  <c r="F190" i="2" s="1"/>
  <c r="D189" i="2"/>
  <c r="F189" i="2" s="1"/>
  <c r="D188" i="2"/>
  <c r="F188" i="2" s="1"/>
  <c r="D187" i="2"/>
  <c r="F187" i="2" s="1"/>
  <c r="D186" i="2"/>
  <c r="F186" i="2" s="1"/>
  <c r="D185" i="2"/>
  <c r="F185" i="2" s="1"/>
  <c r="D184" i="2"/>
  <c r="F184" i="2" s="1"/>
  <c r="D183" i="2"/>
  <c r="F183" i="2" s="1"/>
  <c r="D182" i="2"/>
  <c r="D181" i="2"/>
  <c r="F181" i="2" s="1"/>
  <c r="D180" i="2"/>
  <c r="F180" i="2" s="1"/>
  <c r="D179" i="2"/>
  <c r="F179" i="2" s="1"/>
  <c r="D178" i="2"/>
  <c r="F178" i="2" s="1"/>
  <c r="D177" i="2"/>
  <c r="F177" i="2" s="1"/>
  <c r="D176" i="2"/>
  <c r="F176" i="2" s="1"/>
  <c r="D175" i="2"/>
  <c r="F175" i="2" s="1"/>
  <c r="D174" i="2"/>
  <c r="F174" i="2" s="1"/>
  <c r="D173" i="2"/>
  <c r="F173" i="2" s="1"/>
  <c r="D172" i="2"/>
  <c r="D171" i="2"/>
  <c r="F171" i="2" s="1"/>
  <c r="D170" i="2"/>
  <c r="F170" i="2" s="1"/>
  <c r="D169" i="2"/>
  <c r="F169" i="2" s="1"/>
  <c r="D168" i="2"/>
  <c r="F168" i="2" s="1"/>
  <c r="D167" i="2"/>
  <c r="F167" i="2" s="1"/>
  <c r="D166" i="2"/>
  <c r="F166" i="2" s="1"/>
  <c r="D165" i="2"/>
  <c r="F165" i="2" s="1"/>
  <c r="D164" i="2"/>
  <c r="F164" i="2" s="1"/>
  <c r="D163" i="2"/>
  <c r="F163" i="2" s="1"/>
  <c r="D162" i="2"/>
  <c r="F162" i="2" s="1"/>
  <c r="D161" i="2"/>
  <c r="F161" i="2" s="1"/>
  <c r="D160" i="2"/>
  <c r="F160" i="2" s="1"/>
  <c r="D159" i="2"/>
  <c r="F159" i="2" s="1"/>
  <c r="D158" i="2"/>
  <c r="F158" i="2" s="1"/>
  <c r="D157" i="2"/>
  <c r="F157" i="2" s="1"/>
  <c r="D156" i="2"/>
  <c r="F156" i="2" s="1"/>
  <c r="D155" i="2"/>
  <c r="F155" i="2" s="1"/>
  <c r="D154" i="2"/>
  <c r="F154" i="2" s="1"/>
  <c r="D153" i="2"/>
  <c r="F153" i="2" s="1"/>
  <c r="D152" i="2"/>
  <c r="F152" i="2" s="1"/>
  <c r="D151" i="2"/>
  <c r="F151" i="2" s="1"/>
  <c r="D150" i="2"/>
  <c r="F150" i="2" s="1"/>
  <c r="D149" i="2"/>
  <c r="F149" i="2" s="1"/>
  <c r="D148" i="2"/>
  <c r="F148" i="2" s="1"/>
  <c r="D147" i="2"/>
  <c r="F147" i="2" s="1"/>
  <c r="D146" i="2"/>
  <c r="F146" i="2" s="1"/>
  <c r="D145" i="2"/>
  <c r="F145" i="2" s="1"/>
  <c r="D144" i="2"/>
  <c r="F144" i="2" s="1"/>
  <c r="D143" i="2"/>
  <c r="F143" i="2" s="1"/>
  <c r="D142" i="2"/>
  <c r="F142" i="2" s="1"/>
  <c r="D141" i="2"/>
  <c r="F141" i="2" s="1"/>
  <c r="D140" i="2"/>
  <c r="F140" i="2" s="1"/>
  <c r="D139" i="2"/>
  <c r="F139" i="2" s="1"/>
  <c r="D138" i="2"/>
  <c r="F138" i="2" s="1"/>
  <c r="D137" i="2"/>
  <c r="F137" i="2" s="1"/>
  <c r="D136" i="2"/>
  <c r="F136" i="2" s="1"/>
  <c r="D135" i="2"/>
  <c r="F135" i="2" s="1"/>
  <c r="D134" i="2"/>
  <c r="F134" i="2" s="1"/>
  <c r="D133" i="2"/>
  <c r="F133" i="2" s="1"/>
  <c r="D132" i="2"/>
  <c r="F132" i="2" s="1"/>
  <c r="D131" i="2"/>
  <c r="F131" i="2" s="1"/>
  <c r="D130" i="2"/>
  <c r="F130" i="2" s="1"/>
  <c r="D129" i="2"/>
  <c r="F129" i="2" s="1"/>
  <c r="D128" i="2"/>
  <c r="F128" i="2" s="1"/>
  <c r="D127" i="2"/>
  <c r="F127" i="2" s="1"/>
  <c r="D126" i="2"/>
  <c r="F126" i="2" s="1"/>
  <c r="D125" i="2"/>
  <c r="F125" i="2" s="1"/>
  <c r="D124" i="2"/>
  <c r="F124" i="2" s="1"/>
  <c r="D123" i="2"/>
  <c r="F123" i="2" s="1"/>
  <c r="D122" i="2"/>
  <c r="F122" i="2" s="1"/>
  <c r="D121" i="2"/>
  <c r="F121" i="2" s="1"/>
  <c r="F182" i="2"/>
  <c r="F172" i="2"/>
  <c r="E113" i="2"/>
  <c r="F113" i="2" s="1"/>
  <c r="E112" i="2"/>
  <c r="F112" i="2" s="1"/>
  <c r="E111" i="2"/>
  <c r="F111" i="2" s="1"/>
  <c r="E110" i="2"/>
  <c r="F110" i="2" s="1"/>
  <c r="E109" i="2"/>
  <c r="F109" i="2" s="1"/>
  <c r="E108" i="2"/>
  <c r="F108" i="2" s="1"/>
  <c r="E107" i="2"/>
  <c r="F107" i="2" s="1"/>
  <c r="E106" i="2"/>
  <c r="F106" i="2" s="1"/>
  <c r="E105" i="2"/>
  <c r="F105" i="2" s="1"/>
  <c r="E104" i="2"/>
  <c r="F104" i="2" s="1"/>
  <c r="E103" i="2"/>
  <c r="F103" i="2" s="1"/>
  <c r="E102" i="2"/>
  <c r="F102" i="2" s="1"/>
  <c r="E101" i="2"/>
  <c r="F101" i="2" s="1"/>
  <c r="E100" i="2"/>
  <c r="F100" i="2" s="1"/>
  <c r="E99" i="2"/>
  <c r="F99" i="2" s="1"/>
  <c r="E98" i="2"/>
  <c r="F98" i="2" s="1"/>
  <c r="E97" i="2"/>
  <c r="F97" i="2" s="1"/>
  <c r="E96" i="2"/>
  <c r="F96" i="2" s="1"/>
  <c r="E95" i="2"/>
  <c r="F95" i="2" s="1"/>
  <c r="E94" i="2"/>
  <c r="F94" i="2" s="1"/>
  <c r="E93" i="2"/>
  <c r="F93" i="2" s="1"/>
  <c r="E92" i="2"/>
  <c r="F92" i="2" s="1"/>
  <c r="E91" i="2"/>
  <c r="F91" i="2" s="1"/>
  <c r="E90" i="2"/>
  <c r="F90" i="2" s="1"/>
  <c r="E89" i="2"/>
  <c r="F89" i="2" s="1"/>
  <c r="E88" i="2"/>
  <c r="F88" i="2" s="1"/>
  <c r="E87" i="2"/>
  <c r="F87" i="2" s="1"/>
  <c r="E86" i="2"/>
  <c r="F86" i="2" s="1"/>
  <c r="E85" i="2"/>
  <c r="F85" i="2" s="1"/>
  <c r="E84" i="2"/>
  <c r="F84" i="2" s="1"/>
  <c r="E83" i="2"/>
  <c r="F83" i="2" s="1"/>
  <c r="E82" i="2"/>
  <c r="F82" i="2" s="1"/>
  <c r="E81" i="2"/>
  <c r="F81" i="2" s="1"/>
  <c r="E80" i="2"/>
  <c r="F80" i="2" s="1"/>
  <c r="E79" i="2"/>
  <c r="F79" i="2" s="1"/>
  <c r="E78" i="2"/>
  <c r="F78" i="2" s="1"/>
  <c r="E77" i="2"/>
  <c r="F77" i="2" s="1"/>
  <c r="E76" i="2"/>
  <c r="F76" i="2" s="1"/>
  <c r="E75" i="2"/>
  <c r="F75" i="2" s="1"/>
  <c r="E74" i="2"/>
  <c r="F74" i="2" s="1"/>
  <c r="E73" i="2"/>
  <c r="F73" i="2" s="1"/>
  <c r="E72" i="2"/>
  <c r="F72" i="2" s="1"/>
  <c r="E71" i="2"/>
  <c r="F71" i="2" s="1"/>
  <c r="E70" i="2"/>
  <c r="F70" i="2" s="1"/>
  <c r="E69" i="2"/>
  <c r="F69" i="2" s="1"/>
  <c r="E68" i="2"/>
  <c r="F68" i="2" s="1"/>
  <c r="E67" i="2"/>
  <c r="F67" i="2" s="1"/>
  <c r="E66" i="2"/>
  <c r="F66" i="2" s="1"/>
  <c r="E65" i="2"/>
  <c r="F65" i="2" s="1"/>
  <c r="E64" i="2"/>
  <c r="F64" i="2" s="1"/>
  <c r="E63" i="2"/>
  <c r="F63" i="2" s="1"/>
  <c r="E62" i="2"/>
  <c r="F62" i="2" s="1"/>
  <c r="E61" i="2"/>
  <c r="F61" i="2" s="1"/>
  <c r="E60" i="2"/>
  <c r="F60" i="2" s="1"/>
  <c r="E59" i="2"/>
  <c r="F59" i="2" s="1"/>
  <c r="E58" i="2"/>
  <c r="F58" i="2" s="1"/>
  <c r="E57" i="2"/>
  <c r="F57" i="2" s="1"/>
  <c r="E56" i="2"/>
  <c r="F56" i="2" s="1"/>
  <c r="E55" i="2"/>
  <c r="F55" i="2" s="1"/>
  <c r="E54" i="2"/>
  <c r="F54" i="2" s="1"/>
  <c r="E53" i="2"/>
  <c r="F53" i="2" s="1"/>
  <c r="E52" i="2"/>
  <c r="F52" i="2" s="1"/>
  <c r="E51" i="2"/>
  <c r="F51" i="2" s="1"/>
  <c r="E50" i="2"/>
  <c r="F50" i="2" s="1"/>
  <c r="E49" i="2"/>
  <c r="F49" i="2" s="1"/>
  <c r="E48" i="2"/>
  <c r="F48" i="2" s="1"/>
  <c r="E47" i="2"/>
  <c r="F47" i="2" s="1"/>
  <c r="E46" i="2"/>
  <c r="F46" i="2" s="1"/>
  <c r="E45" i="2"/>
  <c r="F45" i="2" s="1"/>
  <c r="E44" i="2"/>
  <c r="F44" i="2" s="1"/>
  <c r="E43" i="2"/>
  <c r="F43" i="2" s="1"/>
  <c r="E42" i="2"/>
  <c r="F42" i="2" s="1"/>
  <c r="E41" i="2"/>
  <c r="F41" i="2" s="1"/>
  <c r="E40" i="2"/>
  <c r="F40" i="2" s="1"/>
  <c r="E39" i="2"/>
  <c r="F39" i="2" s="1"/>
  <c r="E38" i="2"/>
  <c r="F38" i="2" s="1"/>
  <c r="E37" i="2"/>
  <c r="F37" i="2" s="1"/>
  <c r="E36" i="2"/>
  <c r="F36" i="2" s="1"/>
  <c r="E35" i="2"/>
  <c r="F35" i="2" s="1"/>
  <c r="E34" i="2"/>
  <c r="F34" i="2" s="1"/>
  <c r="E33" i="2"/>
  <c r="F33" i="2" s="1"/>
  <c r="E32" i="2"/>
  <c r="F32" i="2" s="1"/>
  <c r="E31" i="2"/>
  <c r="F31" i="2" s="1"/>
  <c r="E30" i="2"/>
  <c r="F30" i="2" s="1"/>
  <c r="E29" i="2"/>
  <c r="F29" i="2" s="1"/>
  <c r="E28" i="2"/>
  <c r="F28" i="2" s="1"/>
  <c r="E27" i="2"/>
  <c r="F27" i="2" s="1"/>
  <c r="E26" i="2"/>
  <c r="F26" i="2" s="1"/>
  <c r="E25" i="2"/>
  <c r="F25" i="2" s="1"/>
  <c r="E24" i="2"/>
  <c r="F24" i="2" s="1"/>
  <c r="E23" i="2"/>
  <c r="F23" i="2" s="1"/>
  <c r="E22" i="2"/>
  <c r="F22" i="2" s="1"/>
  <c r="E21" i="2"/>
  <c r="F21" i="2" s="1"/>
  <c r="E20" i="2"/>
  <c r="F20" i="2" s="1"/>
  <c r="E19" i="2"/>
  <c r="F19" i="2" s="1"/>
  <c r="E18" i="2"/>
  <c r="F18" i="2" s="1"/>
  <c r="E17" i="2"/>
  <c r="F17" i="2" s="1"/>
  <c r="G118" i="2" l="1"/>
  <c r="F118" i="2"/>
  <c r="E118" i="2"/>
  <c r="D118" i="2"/>
  <c r="C118" i="2"/>
  <c r="B118" i="2"/>
  <c r="B116" i="2"/>
  <c r="G15" i="2"/>
  <c r="F15" i="2"/>
  <c r="E15" i="2"/>
  <c r="D15" i="2"/>
  <c r="B15" i="2"/>
  <c r="B13" i="2"/>
  <c r="B12" i="2"/>
  <c r="B11" i="2"/>
  <c r="B10" i="2"/>
  <c r="B9" i="2"/>
  <c r="B8" i="2"/>
  <c r="B7" i="2"/>
  <c r="B5" i="2"/>
  <c r="B4" i="2"/>
  <c r="B2" i="2"/>
</calcChain>
</file>

<file path=xl/sharedStrings.xml><?xml version="1.0" encoding="utf-8"?>
<sst xmlns="http://schemas.openxmlformats.org/spreadsheetml/2006/main" count="70" uniqueCount="43">
  <si>
    <t xml:space="preserve">Determining component performance materiality </t>
  </si>
  <si>
    <t>Effective for audits of group financial statements for periods beginning on or after December 15, 2023</t>
  </si>
  <si>
    <t>Delete these instructions and do not include them in the audit file.</t>
  </si>
  <si>
    <t>Guidance related to use of this template</t>
  </si>
  <si>
    <t>Instructions</t>
  </si>
  <si>
    <t>This template contains cells with conditional formatting and data validation, including drop-down lists. For best results, complete the template top-to-bottom and left-to-right. Cells in light yellow requires user input.</t>
  </si>
  <si>
    <t>Inputs</t>
  </si>
  <si>
    <t>Information to be entered in this section comes from the "Component Scoping and type of work" template.</t>
  </si>
  <si>
    <t>Adding or deleting rows</t>
  </si>
  <si>
    <t>Set the number of components (up to 100) "excluding equity method investments" and "components that are equity method investments" as applicable, in the input field. This will open the rows necessary. Adjusting the number of components allows to add or delete rows in the template. Do not add rows manually.</t>
  </si>
  <si>
    <t>Determining component performance materiality</t>
  </si>
  <si>
    <t>Name of group</t>
  </si>
  <si>
    <t>Group period-end date</t>
  </si>
  <si>
    <t>Group materiality</t>
  </si>
  <si>
    <t>Selected benchmark</t>
  </si>
  <si>
    <t>Group benchmark amount</t>
  </si>
  <si>
    <t>Group performance materiality</t>
  </si>
  <si>
    <t>Number of components excluding equity method investments</t>
  </si>
  <si>
    <t>Number of components that are equity method investments</t>
  </si>
  <si>
    <t>Components</t>
  </si>
  <si>
    <t>Component type</t>
  </si>
  <si>
    <t>Component benchmark amount</t>
  </si>
  <si>
    <t>Percent of group benchmark amount</t>
  </si>
  <si>
    <t>Potential component performance materiality
(square root approach)</t>
  </si>
  <si>
    <t>Component Performance materiality determined</t>
  </si>
  <si>
    <t>(audit or review of financial information only)</t>
  </si>
  <si>
    <t>Equity method investments</t>
  </si>
  <si>
    <t>Components (equity method investments)</t>
  </si>
  <si>
    <t>Ownership percentage</t>
  </si>
  <si>
    <t>Potential component performance materiality
(equity method investment)</t>
  </si>
  <si>
    <t>Parent</t>
  </si>
  <si>
    <t>Subsidiary</t>
  </si>
  <si>
    <t>Other</t>
  </si>
  <si>
    <t>Equity method investment</t>
  </si>
  <si>
    <t>Determining component performance materiality for equity method investments</t>
  </si>
  <si>
    <t xml:space="preserve">Sometimes the equity method investee is significantly larger than the investor (group), and the evidence to support the investor’s share of earnings from the investment may consist largely of the audited financial statements of the investee. In such cases, the performance materiality used by the investee’s auditor may be larger than the performance materiality used by the investor’s auditor. When such circumstances exist, the group auditor may take into consideration matters such as the group’s ownership percentage and its share of the investee’s profits and losses when determining whether the component performance materiality used by the investee’s auditor is appropriate for purposes of the audit of the group financial statements. In other words, the determination of component performance materiality may take into account the effect a misstatement at the equity method investee may have on the group financial statements based on the ownership percentage. The firm’s methodology provides a method for determining component performance materiality using group performance materiality as a starting point; for example, dividing group performance materiality (400,000) by the ownership percentage (40%) equals component performance materiality (1,000,000) for the equity method investment. </t>
  </si>
  <si>
    <t xml:space="preserve">To reduce the risk that the aggregate of uncorrected and undetected misstatements in the group financial statements exceeds materiality for the group financial statements as a whole, component performance materiality is set lower than group performance materiality. Determining component materiality is a matter of professional judgment. However, the aggregate of component performance materiality amounts may exceed group performance materiality (that is, group performance materiality does need not be allocated to all components based on their size). In addition, component performance materiality need not be an arithmetical portion of group performance materiality. 
The determination of component performance materiality is not a simple mechanical calculation. Factors the group auditor may take into account in setting component performance materiality include the following:
 •  The extent of disaggregation of the financial information across components (for example, as the extent of disaggregation across components   increases, a lower component performance materiality ordinarily would be appropriate to address aggregation risk). The relative significance of the component to the group may affect the extent of disaggregation (for example, if a single component represents a large portion of the group, there likely may be less disaggregation across components).
•   Expectations about the nature, frequency, and magnitude of misstatements in the component financial information, for example:
       -	Whether there are risks that are unique to the financial information of the component (such as, industry-specific accounting matters,  unusual or complex transactions).
       -	The nature and extent of misstatements identified at the component in prior audits.
In some circumstances, however, component performance materiality may be set at an amount closer to group performance materiality because there is less aggregation risk, such as when the financial information for one component represents a substantial portion of the group financial statements. </t>
  </si>
  <si>
    <t>Potential component performance materiality (square root approach)</t>
  </si>
  <si>
    <t xml:space="preserve">   </t>
  </si>
  <si>
    <t xml:space="preserve">                              </t>
  </si>
  <si>
    <t>In determining component performance materiality,an approach the group auditor may follow is setting component performance materiality based on an allocation of group performance materiality in proportion to the relative size of the component - this template assists the group auditor in determining component performance materiality by incorporating the square root approach (an optional approach). The allocated amount provides a guide for determining component performance materiality, however a lower or higher amount may be appropriate in the circumstances, taking into account group performance materiality, the type of work to be performed on the various components, and the overall group audit plan.</t>
  </si>
  <si>
    <t>March 2024</t>
  </si>
  <si>
    <r>
      <rPr>
        <b/>
        <sz val="10"/>
        <color rgb="FFFF0000"/>
        <rFont val="Arial"/>
        <family val="2"/>
      </rPr>
      <t>Instructional Note to Group Auditor:</t>
    </r>
    <r>
      <rPr>
        <sz val="10"/>
        <color rgb="FFFF0000"/>
        <rFont val="Arial"/>
        <family val="2"/>
      </rPr>
      <t xml:space="preserve"> This template is optional. It may be used to assist the Group Auditor in determining component performance materiality. The Group Auditor is required to determine component performance materiality for each of the components where audit procedures are performed on financial information that is disaggregated. Component performance materiality is set lower than group performance materiality. This template provides an optional approach ("square root approach") where potential component performance materiality is determined by allocating group performance materiality in proportion to the relative size of the component.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</si>
</sst>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3" formatCode="_(* #,##0.00_);_(* \(#,##0.00\);_(* &quot;-&quot;??_);_(@_)"/>
    <numFmt numFmtId="164" formatCode="_(* #,##0_);_(* \(#,##0\);_(* &quot;-&quot;??_);_(@_)"/>
  </numFmts>
  <fonts count="24" x14ac:knownFonts="1">
    <font>
      <sz val="11"/>
      <color theme="1"/>
      <name val="Calibri"/>
      <family val="2"/>
      <scheme val="minor"/>
    </font>
    <font>
      <sz val="11"/>
      <color theme="1"/>
      <name val="Calibri"/>
      <family val="2"/>
      <scheme val="minor"/>
    </font>
    <font>
      <sz val="10"/>
      <color theme="1"/>
      <name val="Arial"/>
      <family val="2"/>
    </font>
    <font>
      <b/>
      <sz val="10"/>
      <color theme="1"/>
      <name val="Arial"/>
      <family val="2"/>
    </font>
    <font>
      <b/>
      <sz val="10"/>
      <name val="Arial"/>
      <family val="2"/>
    </font>
    <font>
      <b/>
      <sz val="10"/>
      <color rgb="FF4F2D7F"/>
      <name val="Arial"/>
      <family val="2"/>
    </font>
    <font>
      <sz val="10"/>
      <name val="Arial"/>
      <family val="2"/>
    </font>
    <font>
      <b/>
      <sz val="12"/>
      <color rgb="FF7030A0"/>
      <name val="Arial"/>
      <family val="2"/>
    </font>
    <font>
      <b/>
      <u/>
      <sz val="10"/>
      <color rgb="FF7030A0"/>
      <name val="Arial"/>
      <family val="2"/>
    </font>
    <font>
      <b/>
      <sz val="10"/>
      <color rgb="FF7030A0"/>
      <name val="Arial"/>
      <family val="2"/>
    </font>
    <font>
      <sz val="10"/>
      <color rgb="FF7030A0"/>
      <name val="Arial"/>
      <family val="2"/>
    </font>
    <font>
      <sz val="8"/>
      <color theme="0"/>
      <name val="Arial"/>
      <family val="2"/>
    </font>
    <font>
      <sz val="8"/>
      <color theme="1"/>
      <name val="arial"/>
      <family val="2"/>
    </font>
    <font>
      <b/>
      <sz val="11"/>
      <color theme="1"/>
      <name val="Calibri"/>
      <family val="2"/>
      <scheme val="minor"/>
    </font>
    <font>
      <b/>
      <sz val="10"/>
      <color rgb="FFFF0000"/>
      <name val="Arial"/>
      <family val="2"/>
    </font>
    <font>
      <b/>
      <sz val="12"/>
      <color theme="0"/>
      <name val="Arial"/>
      <family val="2"/>
    </font>
    <font>
      <sz val="10"/>
      <color rgb="FFFF0000"/>
      <name val="Arial"/>
      <family val="2"/>
    </font>
    <font>
      <sz val="11"/>
      <color theme="1"/>
      <name val="Arial"/>
      <family val="2"/>
    </font>
    <font>
      <sz val="9"/>
      <color rgb="FFFF0000"/>
      <name val="Arial"/>
      <family val="2"/>
    </font>
    <font>
      <sz val="10"/>
      <color rgb="FF000000"/>
      <name val="Arial"/>
      <family val="2"/>
    </font>
    <font>
      <sz val="11"/>
      <name val="Calibri"/>
      <family val="2"/>
      <scheme val="minor"/>
    </font>
    <font>
      <b/>
      <sz val="10"/>
      <color theme="0"/>
      <name val="Arial"/>
      <family val="2"/>
    </font>
    <font>
      <b/>
      <sz val="10"/>
      <color theme="1"/>
      <name val="Calibri"/>
      <family val="2"/>
      <scheme val="minor"/>
    </font>
    <font>
      <b/>
      <sz val="16"/>
      <color rgb="FF4F2D7F"/>
      <name val="Arial"/>
      <family val="2"/>
    </font>
  </fonts>
  <fills count="8">
    <fill>
      <patternFill patternType="none"/>
    </fill>
    <fill>
      <patternFill patternType="gray125"/>
    </fill>
    <fill>
      <patternFill patternType="solid">
        <fgColor theme="0"/>
        <bgColor indexed="64"/>
      </patternFill>
    </fill>
    <fill>
      <patternFill patternType="solid">
        <fgColor rgb="FF4F2D7F"/>
        <bgColor indexed="64"/>
      </patternFill>
    </fill>
    <fill>
      <patternFill patternType="solid">
        <fgColor theme="4" tint="0.79998168889431442"/>
        <bgColor indexed="64"/>
      </patternFill>
    </fill>
    <fill>
      <patternFill patternType="solid">
        <fgColor rgb="FFC8B5E5"/>
        <bgColor indexed="64"/>
      </patternFill>
    </fill>
    <fill>
      <patternFill patternType="solid">
        <fgColor rgb="FFEFE9F7"/>
        <bgColor indexed="64"/>
      </patternFill>
    </fill>
    <fill>
      <patternFill patternType="solid">
        <fgColor theme="0" tint="-0.149998474074526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indexed="64"/>
      </bottom>
      <diagonal/>
    </border>
    <border>
      <left/>
      <right style="thin">
        <color theme="0" tint="-0.14999847407452621"/>
      </right>
      <top style="thin">
        <color theme="0" tint="-0.14999847407452621"/>
      </top>
      <bottom/>
      <diagonal/>
    </border>
    <border>
      <left/>
      <right style="thin">
        <color theme="0" tint="-0.14999847407452621"/>
      </right>
      <top/>
      <bottom style="thin">
        <color indexed="64"/>
      </bottom>
      <diagonal/>
    </border>
    <border>
      <left/>
      <right/>
      <top/>
      <bottom style="medium">
        <color indexed="64"/>
      </bottom>
      <diagonal/>
    </border>
    <border>
      <left/>
      <right/>
      <top style="thin">
        <color indexed="64"/>
      </top>
      <bottom/>
      <diagonal/>
    </border>
    <border>
      <left style="thin">
        <color theme="0" tint="-0.14999847407452621"/>
      </left>
      <right/>
      <top style="thin">
        <color theme="0" tint="-0.14999847407452621"/>
      </top>
      <bottom/>
      <diagonal/>
    </border>
    <border>
      <left style="thin">
        <color theme="0" tint="-0.14999847407452621"/>
      </left>
      <right/>
      <top style="thin">
        <color theme="0" tint="-0.14999847407452621"/>
      </top>
      <bottom style="thin">
        <color theme="0" tint="-0.14999847407452621"/>
      </bottom>
      <diagonal/>
    </border>
    <border>
      <left/>
      <right style="thin">
        <color auto="1"/>
      </right>
      <top style="thin">
        <color theme="0" tint="-0.14999847407452621"/>
      </top>
      <bottom/>
      <diagonal/>
    </border>
    <border>
      <left style="thin">
        <color theme="0" tint="-0.14999847407452621"/>
      </left>
      <right style="thin">
        <color auto="1"/>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43" fontId="1" fillId="0" borderId="0" applyFont="0" applyFill="0" applyBorder="0" applyAlignment="0" applyProtection="0"/>
    <xf numFmtId="9" fontId="1" fillId="0" borderId="0" applyFont="0" applyFill="0" applyBorder="0" applyAlignment="0" applyProtection="0"/>
    <xf numFmtId="0" fontId="1" fillId="0" borderId="0"/>
  </cellStyleXfs>
  <cellXfs count="57">
    <xf numFmtId="0" fontId="0" fillId="0" borderId="0" xfId="0"/>
    <xf numFmtId="0" fontId="2" fillId="2" borderId="0" xfId="0" applyFont="1" applyFill="1"/>
    <xf numFmtId="0" fontId="3" fillId="2" borderId="0" xfId="0" applyFont="1" applyFill="1" applyAlignment="1">
      <alignment vertical="top"/>
    </xf>
    <xf numFmtId="0" fontId="4" fillId="2" borderId="0" xfId="0" applyFont="1" applyFill="1" applyAlignment="1">
      <alignment horizontal="left" vertical="top" wrapText="1"/>
    </xf>
    <xf numFmtId="0" fontId="5" fillId="2" borderId="0" xfId="0" applyFont="1" applyFill="1" applyAlignment="1">
      <alignment vertical="top"/>
    </xf>
    <xf numFmtId="9" fontId="2" fillId="2" borderId="0" xfId="2" applyFont="1" applyFill="1"/>
    <xf numFmtId="164" fontId="6" fillId="2" borderId="1" xfId="1" applyNumberFormat="1" applyFont="1" applyFill="1" applyBorder="1" applyAlignment="1">
      <alignment vertical="top"/>
    </xf>
    <xf numFmtId="0" fontId="7" fillId="2" borderId="0" xfId="0" applyFont="1" applyFill="1" applyAlignment="1">
      <alignment vertical="top"/>
    </xf>
    <xf numFmtId="0" fontId="8" fillId="2" borderId="0" xfId="0" applyFont="1" applyFill="1" applyAlignment="1">
      <alignment vertical="top"/>
    </xf>
    <xf numFmtId="0" fontId="9" fillId="2" borderId="0" xfId="0" applyFont="1" applyFill="1" applyAlignment="1">
      <alignment vertical="top"/>
    </xf>
    <xf numFmtId="0" fontId="10" fillId="2" borderId="0" xfId="0" applyFont="1" applyFill="1"/>
    <xf numFmtId="0" fontId="11" fillId="3" borderId="2" xfId="0" applyFont="1" applyFill="1" applyBorder="1" applyAlignment="1">
      <alignment vertical="center"/>
    </xf>
    <xf numFmtId="0" fontId="11" fillId="3" borderId="9" xfId="0" applyFont="1" applyFill="1" applyBorder="1" applyAlignment="1">
      <alignment horizontal="center" vertical="center" wrapText="1"/>
    </xf>
    <xf numFmtId="0" fontId="11" fillId="3" borderId="10" xfId="0" applyFont="1" applyFill="1" applyBorder="1" applyAlignment="1">
      <alignment vertical="center"/>
    </xf>
    <xf numFmtId="0" fontId="11" fillId="3" borderId="11" xfId="0" applyFont="1" applyFill="1" applyBorder="1" applyAlignment="1">
      <alignment horizontal="center" vertical="center" wrapText="1"/>
    </xf>
    <xf numFmtId="164" fontId="2" fillId="2" borderId="12" xfId="1" applyNumberFormat="1" applyFont="1" applyFill="1" applyBorder="1"/>
    <xf numFmtId="164" fontId="2" fillId="2" borderId="12" xfId="1" applyNumberFormat="1" applyFont="1" applyFill="1" applyBorder="1" applyAlignment="1">
      <alignment horizontal="right"/>
    </xf>
    <xf numFmtId="0" fontId="12" fillId="0" borderId="13" xfId="0" applyFont="1" applyBorder="1" applyAlignment="1" applyProtection="1">
      <alignment horizontal="left" vertical="center" wrapText="1"/>
      <protection locked="0"/>
    </xf>
    <xf numFmtId="14" fontId="12" fillId="0" borderId="13" xfId="0" applyNumberFormat="1" applyFont="1" applyBorder="1" applyAlignment="1" applyProtection="1">
      <alignment horizontal="left" vertical="center" wrapText="1"/>
      <protection locked="0"/>
    </xf>
    <xf numFmtId="0" fontId="0" fillId="0" borderId="0" xfId="0" applyAlignment="1">
      <alignment wrapText="1"/>
    </xf>
    <xf numFmtId="10" fontId="6" fillId="4" borderId="1" xfId="1" applyNumberFormat="1" applyFont="1" applyFill="1" applyBorder="1" applyAlignment="1">
      <alignment vertical="top"/>
    </xf>
    <xf numFmtId="164" fontId="6" fillId="4" borderId="1" xfId="1" applyNumberFormat="1" applyFont="1" applyFill="1" applyBorder="1" applyAlignment="1">
      <alignment vertical="top"/>
    </xf>
    <xf numFmtId="0" fontId="13" fillId="0" borderId="0" xfId="0" applyFont="1"/>
    <xf numFmtId="17" fontId="14" fillId="0" borderId="0" xfId="0" quotePrefix="1" applyNumberFormat="1" applyFont="1" applyAlignment="1">
      <alignment horizontal="left" vertical="top" wrapText="1"/>
    </xf>
    <xf numFmtId="0" fontId="15" fillId="0" borderId="0" xfId="0" applyFont="1" applyAlignment="1">
      <alignment horizontal="left" vertical="center" wrapText="1"/>
    </xf>
    <xf numFmtId="17" fontId="14" fillId="0" borderId="0" xfId="0" quotePrefix="1" applyNumberFormat="1" applyFont="1" applyAlignment="1">
      <alignment horizontal="left" vertical="center" wrapText="1"/>
    </xf>
    <xf numFmtId="0" fontId="17" fillId="0" borderId="0" xfId="0" applyFont="1"/>
    <xf numFmtId="0" fontId="18" fillId="0" borderId="0" xfId="0" applyFont="1" applyAlignment="1">
      <alignment horizontal="left"/>
    </xf>
    <xf numFmtId="0" fontId="16" fillId="0" borderId="0" xfId="0" applyFont="1" applyAlignment="1">
      <alignment horizontal="left" vertical="top" wrapText="1"/>
    </xf>
    <xf numFmtId="0" fontId="4" fillId="0" borderId="0" xfId="3" quotePrefix="1" applyFont="1" applyAlignment="1" applyProtection="1">
      <alignment vertical="center"/>
      <protection locked="0"/>
    </xf>
    <xf numFmtId="0" fontId="18" fillId="0" borderId="0" xfId="0" applyFont="1" applyAlignment="1">
      <alignment wrapText="1"/>
    </xf>
    <xf numFmtId="0" fontId="16" fillId="0" borderId="0" xfId="0" applyFont="1"/>
    <xf numFmtId="0" fontId="20" fillId="0" borderId="0" xfId="0" applyFont="1"/>
    <xf numFmtId="9" fontId="6" fillId="2" borderId="1" xfId="1" applyNumberFormat="1" applyFont="1" applyFill="1" applyBorder="1" applyAlignment="1">
      <alignment vertical="top"/>
    </xf>
    <xf numFmtId="0" fontId="0" fillId="7" borderId="0" xfId="0" applyFill="1"/>
    <xf numFmtId="0" fontId="3" fillId="5" borderId="1" xfId="0" applyFont="1" applyFill="1" applyBorder="1" applyAlignment="1">
      <alignment horizontal="left" vertical="center" wrapText="1"/>
    </xf>
    <xf numFmtId="0" fontId="3" fillId="5" borderId="16" xfId="0" applyFont="1" applyFill="1" applyBorder="1" applyAlignment="1">
      <alignment horizontal="left" vertical="center" wrapText="1"/>
    </xf>
    <xf numFmtId="0" fontId="4" fillId="5" borderId="1" xfId="0" applyFont="1" applyFill="1" applyBorder="1" applyAlignment="1">
      <alignment horizontal="left" vertical="center" wrapText="1"/>
    </xf>
    <xf numFmtId="0" fontId="6" fillId="6" borderId="15" xfId="0" applyFont="1" applyFill="1" applyBorder="1" applyAlignment="1">
      <alignment horizontal="left" vertical="center" wrapText="1"/>
    </xf>
    <xf numFmtId="0" fontId="6" fillId="6" borderId="16" xfId="0" applyFont="1" applyFill="1" applyBorder="1" applyAlignment="1">
      <alignment horizontal="left" vertical="center" wrapText="1"/>
    </xf>
    <xf numFmtId="0" fontId="6" fillId="6" borderId="1" xfId="0" applyFont="1" applyFill="1" applyBorder="1" applyAlignment="1">
      <alignment horizontal="left" vertical="center" wrapText="1"/>
    </xf>
    <xf numFmtId="0" fontId="19" fillId="6" borderId="1" xfId="0" applyFont="1" applyFill="1" applyBorder="1" applyAlignment="1">
      <alignment vertical="center" wrapText="1"/>
    </xf>
    <xf numFmtId="0" fontId="6" fillId="6" borderId="14" xfId="3" applyFont="1" applyFill="1" applyBorder="1" applyAlignment="1">
      <alignment vertical="center" wrapText="1"/>
    </xf>
    <xf numFmtId="17" fontId="14" fillId="0" borderId="0" xfId="0" quotePrefix="1" applyNumberFormat="1" applyFont="1" applyAlignment="1">
      <alignment horizontal="left" vertical="center" wrapText="1"/>
    </xf>
    <xf numFmtId="0" fontId="14" fillId="0" borderId="0" xfId="0" applyFont="1" applyAlignment="1">
      <alignment horizontal="left" vertical="top" wrapText="1"/>
    </xf>
    <xf numFmtId="0" fontId="16" fillId="0" borderId="0" xfId="0" applyFont="1" applyAlignment="1">
      <alignment horizontal="left" vertical="top" wrapText="1"/>
    </xf>
    <xf numFmtId="0" fontId="23" fillId="0" borderId="0" xfId="0" applyFont="1" applyAlignment="1">
      <alignment horizontal="center" vertical="center"/>
    </xf>
    <xf numFmtId="0" fontId="11" fillId="3" borderId="8" xfId="0" applyFont="1" applyFill="1" applyBorder="1" applyAlignment="1">
      <alignment horizontal="center" vertical="center"/>
    </xf>
    <xf numFmtId="0" fontId="11" fillId="3" borderId="7" xfId="0" applyFont="1" applyFill="1" applyBorder="1" applyAlignment="1">
      <alignment horizontal="center" vertical="center"/>
    </xf>
    <xf numFmtId="0" fontId="11" fillId="3" borderId="5" xfId="0" applyFont="1" applyFill="1" applyBorder="1" applyAlignment="1">
      <alignment horizontal="center" vertical="center" wrapText="1"/>
    </xf>
    <xf numFmtId="0" fontId="0" fillId="0" borderId="6" xfId="0" applyBorder="1" applyAlignment="1">
      <alignment horizontal="center" vertical="center" wrapText="1"/>
    </xf>
    <xf numFmtId="0" fontId="11" fillId="3" borderId="3" xfId="0" applyFont="1" applyFill="1" applyBorder="1" applyAlignment="1">
      <alignment horizontal="center" vertical="center" wrapText="1"/>
    </xf>
    <xf numFmtId="0" fontId="0" fillId="0" borderId="4" xfId="0" applyBorder="1" applyAlignment="1">
      <alignment horizontal="center" vertical="center" wrapText="1"/>
    </xf>
    <xf numFmtId="0" fontId="21" fillId="3" borderId="5" xfId="0" applyFont="1" applyFill="1" applyBorder="1" applyAlignment="1">
      <alignment horizontal="center" vertical="center" wrapText="1"/>
    </xf>
    <xf numFmtId="0" fontId="22" fillId="0" borderId="6" xfId="0" applyFont="1" applyBorder="1" applyAlignment="1">
      <alignment horizontal="center" vertical="center" wrapText="1"/>
    </xf>
    <xf numFmtId="0" fontId="21" fillId="3" borderId="3" xfId="0" applyFont="1" applyFill="1" applyBorder="1" applyAlignment="1">
      <alignment horizontal="center" vertical="center" wrapText="1"/>
    </xf>
    <xf numFmtId="0" fontId="22" fillId="0" borderId="4" xfId="0" applyFont="1" applyBorder="1" applyAlignment="1">
      <alignment horizontal="center" vertical="center" wrapText="1"/>
    </xf>
  </cellXfs>
  <cellStyles count="4">
    <cellStyle name="Comma" xfId="1" builtinId="3"/>
    <cellStyle name="Normal" xfId="0" builtinId="0"/>
    <cellStyle name="Normal 5" xfId="3" xr:uid="{42373A65-8983-4387-8350-5EEF189DF4DD}"/>
    <cellStyle name="Percent" xfId="2" builtinId="5"/>
  </cellStyles>
  <dxfs count="14">
    <dxf>
      <fill>
        <patternFill patternType="solid">
          <fgColor indexed="64"/>
          <bgColor theme="0" tint="-0.14999847407452621"/>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border>
        <vertical/>
        <horizontal/>
      </border>
    </dxf>
    <dxf>
      <fill>
        <patternFill>
          <bgColor theme="7" tint="0.79998168889431442"/>
        </patternFill>
      </fill>
      <border>
        <vertical/>
        <horizontal/>
      </border>
    </dxf>
    <dxf>
      <fill>
        <patternFill>
          <bgColor theme="7" tint="0.79998168889431442"/>
        </patternFill>
      </fill>
    </dxf>
    <dxf>
      <fill>
        <patternFill>
          <bgColor theme="7" tint="0.79998168889431442"/>
        </patternFill>
      </fill>
    </dxf>
  </dxfs>
  <tableStyles count="1" defaultTableStyle="TableStyleMedium2" defaultPivotStyle="PivotStyleLight16">
    <tableStyle name="Table Style 1" pivot="0" count="0" xr9:uid="{FE6F123B-8FED-46B3-BE14-7C25918C2C22}"/>
  </tableStyles>
  <colors>
    <mruColors>
      <color rgb="FFEFE9F7"/>
      <color rgb="FFC8B5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externalLink" Target="externalLinks/externalLink1.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GTIL-DevOps/Voyager/Methodology%20Templates/Group%20audit%20templates/Component%20Significance%20and%20Scoping/Development/Component%20Significance%20and%20Scoping-GTIL%20-%20Translatable%20M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Instructions"/>
      <sheetName val="Data input"/>
      <sheetName val="Scoping input"/>
      <sheetName val="Summary by type of work report"/>
      <sheetName val="Translation"/>
      <sheetName val="Lists"/>
    </sheetNames>
    <sheetDataSet>
      <sheetData sheetId="0"/>
      <sheetData sheetId="1"/>
      <sheetData sheetId="2"/>
      <sheetData sheetId="3"/>
      <sheetData sheetId="4"/>
      <sheetData sheetId="5"/>
      <sheetData sheetId="6"/>
    </sheetDataSet>
  </externalBook>
</externalLink>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5AC8F1-7664-481D-85F8-7E34688C4C8B}" name="Table1" displayName="Table1" ref="A1:B26" totalsRowShown="0" dataCellStyle="Normal">
  <autoFilter ref="A1:B26" xr:uid="{085AC8F1-7664-481D-85F8-7E34688C4C8B}">
    <filterColumn colId="0" hiddenButton="1"/>
    <filterColumn colId="1" hiddenButton="1"/>
  </autoFilter>
  <tableColumns count="2">
    <tableColumn id="1" xr3:uid="{B82ED6EF-1694-468D-90F8-493201157FB1}" name="   " dataCellStyle="Normal"/>
    <tableColumn id="2" xr3:uid="{BDBE4BD7-6D1A-4F89-A1A7-3735F68D408B}" name="                              " dataDxfId="0" dataCellStyle="Normal"/>
  </tableColumns>
  <tableStyleInfo name="Table Style 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2FA3B-39E7-4F7C-B6A5-DA194701B160}">
  <dimension ref="A1:D16"/>
  <sheetViews>
    <sheetView tabSelected="1" zoomScaleNormal="100" workbookViewId="0">
      <selection activeCell="A3" sqref="A3:B3"/>
    </sheetView>
  </sheetViews>
  <sheetFormatPr defaultRowHeight="14.5" x14ac:dyDescent="0.35"/>
  <cols>
    <col min="1" max="1" width="27.7265625" customWidth="1"/>
    <col min="2" max="2" width="119.1796875" customWidth="1"/>
    <col min="3" max="3" width="1.1796875" customWidth="1"/>
    <col min="4" max="5" width="18.7265625" customWidth="1"/>
  </cols>
  <sheetData>
    <row r="1" spans="1:4" ht="20" x14ac:dyDescent="0.35">
      <c r="A1" s="46" t="s">
        <v>0</v>
      </c>
      <c r="B1" s="46"/>
      <c r="D1" s="22"/>
    </row>
    <row r="2" spans="1:4" ht="15.5" x14ac:dyDescent="0.35">
      <c r="A2" s="23" t="s">
        <v>41</v>
      </c>
      <c r="B2" s="24"/>
    </row>
    <row r="3" spans="1:4" x14ac:dyDescent="0.35">
      <c r="A3" s="43" t="s">
        <v>1</v>
      </c>
      <c r="B3" s="43"/>
    </row>
    <row r="4" spans="1:4" x14ac:dyDescent="0.35">
      <c r="A4" s="44" t="s">
        <v>2</v>
      </c>
      <c r="B4" s="44"/>
    </row>
    <row r="5" spans="1:4" ht="15.5" x14ac:dyDescent="0.35">
      <c r="A5" s="25"/>
      <c r="B5" s="24"/>
    </row>
    <row r="6" spans="1:4" s="26" customFormat="1" ht="58" customHeight="1" x14ac:dyDescent="0.3">
      <c r="A6" s="45" t="s">
        <v>42</v>
      </c>
      <c r="B6" s="45"/>
      <c r="D6" s="27"/>
    </row>
    <row r="7" spans="1:4" s="26" customFormat="1" ht="14" x14ac:dyDescent="0.3">
      <c r="A7" s="28"/>
      <c r="B7" s="28"/>
    </row>
    <row r="8" spans="1:4" s="26" customFormat="1" ht="14" x14ac:dyDescent="0.3">
      <c r="A8" s="29" t="s">
        <v>3</v>
      </c>
      <c r="B8" s="28"/>
    </row>
    <row r="9" spans="1:4" s="26" customFormat="1" ht="14" x14ac:dyDescent="0.3">
      <c r="A9" s="29"/>
      <c r="B9" s="28"/>
    </row>
    <row r="10" spans="1:4" s="26" customFormat="1" ht="39.75" customHeight="1" x14ac:dyDescent="0.3">
      <c r="A10" s="35" t="s">
        <v>4</v>
      </c>
      <c r="B10" s="41" t="s">
        <v>5</v>
      </c>
      <c r="D10" s="30"/>
    </row>
    <row r="11" spans="1:4" s="26" customFormat="1" ht="24.75" customHeight="1" x14ac:dyDescent="0.3">
      <c r="A11" s="35" t="s">
        <v>6</v>
      </c>
      <c r="B11" s="42" t="s">
        <v>7</v>
      </c>
    </row>
    <row r="12" spans="1:4" s="26" customFormat="1" ht="54.75" customHeight="1" x14ac:dyDescent="0.3">
      <c r="A12" s="35" t="s">
        <v>8</v>
      </c>
      <c r="B12" s="42" t="s">
        <v>9</v>
      </c>
      <c r="D12" s="30"/>
    </row>
    <row r="13" spans="1:4" s="26" customFormat="1" ht="276" customHeight="1" x14ac:dyDescent="0.3">
      <c r="A13" s="35" t="s">
        <v>10</v>
      </c>
      <c r="B13" s="38" t="s">
        <v>36</v>
      </c>
    </row>
    <row r="14" spans="1:4" s="26" customFormat="1" ht="107.25" customHeight="1" x14ac:dyDescent="0.3">
      <c r="A14" s="36" t="s">
        <v>37</v>
      </c>
      <c r="B14" s="39" t="s">
        <v>40</v>
      </c>
    </row>
    <row r="15" spans="1:4" s="26" customFormat="1" ht="141.75" customHeight="1" x14ac:dyDescent="0.3">
      <c r="A15" s="37" t="s">
        <v>34</v>
      </c>
      <c r="B15" s="40" t="s">
        <v>35</v>
      </c>
      <c r="D15" s="31"/>
    </row>
    <row r="16" spans="1:4" x14ac:dyDescent="0.35">
      <c r="A16" s="32"/>
      <c r="B16" s="32"/>
    </row>
  </sheetData>
  <mergeCells count="4">
    <mergeCell ref="A3:B3"/>
    <mergeCell ref="A4:B4"/>
    <mergeCell ref="A6:B6"/>
    <mergeCell ref="A1:B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0CE18-4D90-4F77-BA78-81E5EADFA090}">
  <sheetPr codeName="Sheet1"/>
  <dimension ref="B1:G219"/>
  <sheetViews>
    <sheetView topLeftCell="A116" workbookViewId="0">
      <selection activeCell="A120" sqref="A120"/>
    </sheetView>
  </sheetViews>
  <sheetFormatPr defaultColWidth="11.453125" defaultRowHeight="12.5" x14ac:dyDescent="0.25"/>
  <cols>
    <col min="1" max="1" width="5.54296875" style="1" customWidth="1"/>
    <col min="2" max="2" width="58.54296875" style="1" customWidth="1"/>
    <col min="3" max="3" width="43.453125" style="1" customWidth="1"/>
    <col min="4" max="4" width="20.453125" style="1" customWidth="1"/>
    <col min="5" max="5" width="23.54296875" style="1" customWidth="1"/>
    <col min="6" max="6" width="51.26953125" style="1" customWidth="1"/>
    <col min="7" max="7" width="26.54296875" style="1" customWidth="1"/>
    <col min="8" max="16384" width="11.453125" style="1"/>
  </cols>
  <sheetData>
    <row r="1" spans="2:7" ht="13" x14ac:dyDescent="0.25">
      <c r="B1" s="2"/>
      <c r="C1" s="2"/>
    </row>
    <row r="2" spans="2:7" ht="15.5" x14ac:dyDescent="0.25">
      <c r="B2" s="7" t="str">
        <f>_sheetContentTranslation_A_3</f>
        <v>Determining component performance materiality</v>
      </c>
      <c r="C2" s="7"/>
      <c r="D2" s="8"/>
      <c r="E2" s="9"/>
      <c r="F2" s="9"/>
      <c r="G2" s="10"/>
    </row>
    <row r="3" spans="2:7" ht="15.5" x14ac:dyDescent="0.25">
      <c r="B3" s="7"/>
      <c r="C3" s="7"/>
      <c r="D3" s="8"/>
      <c r="E3" s="9"/>
      <c r="F3" s="9"/>
      <c r="G3" s="10"/>
    </row>
    <row r="4" spans="2:7" ht="13" x14ac:dyDescent="0.25">
      <c r="B4" s="13" t="str">
        <f>_sheetContentTranslation_A_4</f>
        <v>Name of group</v>
      </c>
      <c r="C4" s="17"/>
      <c r="F4" s="9"/>
      <c r="G4" s="10"/>
    </row>
    <row r="5" spans="2:7" ht="13" x14ac:dyDescent="0.25">
      <c r="B5" s="13" t="str">
        <f>_sheetContentTranslation_A_5</f>
        <v>Group period-end date</v>
      </c>
      <c r="C5" s="18"/>
      <c r="F5" s="9"/>
      <c r="G5" s="10"/>
    </row>
    <row r="6" spans="2:7" ht="12.75" customHeight="1" x14ac:dyDescent="0.25">
      <c r="B6" s="3"/>
      <c r="C6" s="3"/>
      <c r="D6" s="3"/>
      <c r="E6" s="3"/>
      <c r="F6" s="3"/>
    </row>
    <row r="7" spans="2:7" ht="14.25" customHeight="1" x14ac:dyDescent="0.25">
      <c r="B7" s="12" t="str">
        <f>_sheetContentTranslation_A_6</f>
        <v>Inputs</v>
      </c>
      <c r="C7" s="14"/>
      <c r="D7" s="4"/>
      <c r="E7" s="4"/>
      <c r="F7" s="3"/>
    </row>
    <row r="8" spans="2:7" ht="13" x14ac:dyDescent="0.25">
      <c r="B8" s="11" t="str">
        <f>_sheetContentTranslation_A_7</f>
        <v>Group materiality</v>
      </c>
      <c r="C8" s="15"/>
      <c r="D8" s="4"/>
      <c r="E8" s="4"/>
      <c r="F8" s="4"/>
      <c r="G8" s="5"/>
    </row>
    <row r="9" spans="2:7" ht="13" x14ac:dyDescent="0.25">
      <c r="B9" s="11" t="str">
        <f>_sheetContentTranslation_A_8</f>
        <v>Selected benchmark</v>
      </c>
      <c r="C9" s="16"/>
      <c r="D9" s="4"/>
      <c r="E9" s="4"/>
      <c r="F9" s="4"/>
    </row>
    <row r="10" spans="2:7" ht="13" x14ac:dyDescent="0.25">
      <c r="B10" s="11" t="str">
        <f>_sheetContentTranslation_A_9</f>
        <v>Group benchmark amount</v>
      </c>
      <c r="C10" s="15"/>
      <c r="D10" s="4"/>
      <c r="E10" s="4"/>
      <c r="F10" s="4"/>
    </row>
    <row r="11" spans="2:7" ht="12.75" customHeight="1" x14ac:dyDescent="0.25">
      <c r="B11" s="11" t="str">
        <f>_sheetContentTranslation_A_10</f>
        <v>Group performance materiality</v>
      </c>
      <c r="C11" s="15"/>
      <c r="D11" s="4"/>
      <c r="E11" s="4"/>
      <c r="F11" s="4"/>
    </row>
    <row r="12" spans="2:7" ht="12.75" customHeight="1" x14ac:dyDescent="0.25">
      <c r="B12" s="11" t="str">
        <f>_sheetContentTranslation_A_11</f>
        <v>Number of components excluding equity method investments</v>
      </c>
      <c r="C12" s="15"/>
      <c r="D12" s="4"/>
      <c r="E12" s="4"/>
      <c r="F12" s="4"/>
    </row>
    <row r="13" spans="2:7" ht="12.75" customHeight="1" x14ac:dyDescent="0.25">
      <c r="B13" s="11" t="str">
        <f>_sheetContentTranslation_A_12</f>
        <v>Number of components that are equity method investments</v>
      </c>
      <c r="C13" s="15"/>
      <c r="D13" s="4"/>
      <c r="E13" s="4"/>
      <c r="F13" s="4"/>
    </row>
    <row r="14" spans="2:7" ht="13" x14ac:dyDescent="0.25">
      <c r="B14" s="4"/>
      <c r="C14" s="4"/>
      <c r="D14" s="4"/>
      <c r="E14" s="4"/>
      <c r="F14" s="4"/>
    </row>
    <row r="15" spans="2:7" ht="12.75" customHeight="1" x14ac:dyDescent="0.25">
      <c r="B15" s="47" t="str">
        <f>_sheetContentTranslation_A_13</f>
        <v>Components</v>
      </c>
      <c r="C15" s="47" t="str">
        <f>_sheetContentTranslation_A_14</f>
        <v>Component type</v>
      </c>
      <c r="D15" s="49" t="str">
        <f>_sheetContentTranslation_A_15</f>
        <v>Component benchmark amount</v>
      </c>
      <c r="E15" s="51" t="str">
        <f>_sheetContentTranslation_A_16</f>
        <v>Percent of group benchmark amount</v>
      </c>
      <c r="F15" s="51" t="str">
        <f>_sheetContentTranslation_A_17</f>
        <v>Potential component performance materiality
(square root approach)</v>
      </c>
      <c r="G15" s="51" t="str">
        <f>_sheetContentTranslation_A_18</f>
        <v>Component Performance materiality determined</v>
      </c>
    </row>
    <row r="16" spans="2:7" ht="14.25" customHeight="1" thickBot="1" x14ac:dyDescent="0.3">
      <c r="B16" s="48"/>
      <c r="C16" s="48"/>
      <c r="D16" s="50"/>
      <c r="E16" s="52"/>
      <c r="F16" s="52"/>
      <c r="G16" s="52"/>
    </row>
    <row r="17" spans="2:7" x14ac:dyDescent="0.25">
      <c r="B17" s="6"/>
      <c r="C17" s="6"/>
      <c r="D17" s="6"/>
      <c r="E17" s="20" t="str">
        <f>IFERROR(D17/$C$10,"")</f>
        <v/>
      </c>
      <c r="F17" s="21" t="str">
        <f>IFERROR(MROUND($C$11*SQRT(E17), 1000),"")</f>
        <v/>
      </c>
      <c r="G17" s="6"/>
    </row>
    <row r="18" spans="2:7" x14ac:dyDescent="0.25">
      <c r="B18" s="6"/>
      <c r="C18" s="6"/>
      <c r="D18" s="6"/>
      <c r="E18" s="20" t="str">
        <f>IFERROR(D18/$C$10,"")</f>
        <v/>
      </c>
      <c r="F18" s="21" t="str">
        <f t="shared" ref="F18:F81" si="0">IFERROR(MROUND($C$11*SQRT(E18), 1000),"")</f>
        <v/>
      </c>
      <c r="G18" s="6"/>
    </row>
    <row r="19" spans="2:7" x14ac:dyDescent="0.25">
      <c r="B19" s="6"/>
      <c r="C19" s="6"/>
      <c r="D19" s="6"/>
      <c r="E19" s="20" t="str">
        <f t="shared" ref="E19:E82" si="1">IFERROR(D19/$C$10,"")</f>
        <v/>
      </c>
      <c r="F19" s="21" t="str">
        <f t="shared" si="0"/>
        <v/>
      </c>
      <c r="G19" s="6"/>
    </row>
    <row r="20" spans="2:7" hidden="1" x14ac:dyDescent="0.25">
      <c r="B20" s="6"/>
      <c r="C20" s="6"/>
      <c r="D20" s="6"/>
      <c r="E20" s="20" t="str">
        <f t="shared" si="1"/>
        <v/>
      </c>
      <c r="F20" s="21" t="str">
        <f t="shared" si="0"/>
        <v/>
      </c>
      <c r="G20" s="6"/>
    </row>
    <row r="21" spans="2:7" hidden="1" x14ac:dyDescent="0.25">
      <c r="B21" s="6"/>
      <c r="C21" s="6"/>
      <c r="D21" s="6"/>
      <c r="E21" s="20" t="str">
        <f t="shared" si="1"/>
        <v/>
      </c>
      <c r="F21" s="21" t="str">
        <f t="shared" si="0"/>
        <v/>
      </c>
      <c r="G21" s="6"/>
    </row>
    <row r="22" spans="2:7" hidden="1" x14ac:dyDescent="0.25">
      <c r="B22" s="6"/>
      <c r="C22" s="6"/>
      <c r="D22" s="6"/>
      <c r="E22" s="20" t="str">
        <f t="shared" si="1"/>
        <v/>
      </c>
      <c r="F22" s="21" t="str">
        <f t="shared" si="0"/>
        <v/>
      </c>
      <c r="G22" s="6"/>
    </row>
    <row r="23" spans="2:7" hidden="1" x14ac:dyDescent="0.25">
      <c r="B23" s="6"/>
      <c r="C23" s="6"/>
      <c r="D23" s="6"/>
      <c r="E23" s="20" t="str">
        <f t="shared" si="1"/>
        <v/>
      </c>
      <c r="F23" s="21" t="str">
        <f t="shared" si="0"/>
        <v/>
      </c>
      <c r="G23" s="6"/>
    </row>
    <row r="24" spans="2:7" hidden="1" x14ac:dyDescent="0.25">
      <c r="B24" s="6"/>
      <c r="C24" s="6"/>
      <c r="D24" s="6"/>
      <c r="E24" s="20" t="str">
        <f t="shared" si="1"/>
        <v/>
      </c>
      <c r="F24" s="21" t="str">
        <f t="shared" si="0"/>
        <v/>
      </c>
      <c r="G24" s="6"/>
    </row>
    <row r="25" spans="2:7" hidden="1" x14ac:dyDescent="0.25">
      <c r="B25" s="6"/>
      <c r="C25" s="6"/>
      <c r="D25" s="6"/>
      <c r="E25" s="20" t="str">
        <f t="shared" si="1"/>
        <v/>
      </c>
      <c r="F25" s="21" t="str">
        <f t="shared" si="0"/>
        <v/>
      </c>
      <c r="G25" s="6"/>
    </row>
    <row r="26" spans="2:7" hidden="1" x14ac:dyDescent="0.25">
      <c r="B26" s="6"/>
      <c r="C26" s="6"/>
      <c r="D26" s="6"/>
      <c r="E26" s="20" t="str">
        <f t="shared" si="1"/>
        <v/>
      </c>
      <c r="F26" s="21" t="str">
        <f t="shared" si="0"/>
        <v/>
      </c>
      <c r="G26" s="6"/>
    </row>
    <row r="27" spans="2:7" hidden="1" x14ac:dyDescent="0.25">
      <c r="B27" s="6"/>
      <c r="C27" s="6"/>
      <c r="D27" s="6"/>
      <c r="E27" s="20" t="str">
        <f t="shared" si="1"/>
        <v/>
      </c>
      <c r="F27" s="21" t="str">
        <f t="shared" si="0"/>
        <v/>
      </c>
      <c r="G27" s="6"/>
    </row>
    <row r="28" spans="2:7" hidden="1" x14ac:dyDescent="0.25">
      <c r="B28" s="6"/>
      <c r="C28" s="6"/>
      <c r="D28" s="6"/>
      <c r="E28" s="20" t="str">
        <f t="shared" si="1"/>
        <v/>
      </c>
      <c r="F28" s="21" t="str">
        <f t="shared" si="0"/>
        <v/>
      </c>
      <c r="G28" s="6"/>
    </row>
    <row r="29" spans="2:7" hidden="1" x14ac:dyDescent="0.25">
      <c r="B29" s="6"/>
      <c r="C29" s="6"/>
      <c r="D29" s="6"/>
      <c r="E29" s="20" t="str">
        <f t="shared" si="1"/>
        <v/>
      </c>
      <c r="F29" s="21" t="str">
        <f t="shared" si="0"/>
        <v/>
      </c>
      <c r="G29" s="6"/>
    </row>
    <row r="30" spans="2:7" hidden="1" x14ac:dyDescent="0.25">
      <c r="B30" s="6"/>
      <c r="C30" s="6"/>
      <c r="D30" s="6"/>
      <c r="E30" s="20" t="str">
        <f t="shared" si="1"/>
        <v/>
      </c>
      <c r="F30" s="21" t="str">
        <f t="shared" si="0"/>
        <v/>
      </c>
      <c r="G30" s="6"/>
    </row>
    <row r="31" spans="2:7" hidden="1" x14ac:dyDescent="0.25">
      <c r="B31" s="6"/>
      <c r="C31" s="6"/>
      <c r="D31" s="6"/>
      <c r="E31" s="20" t="str">
        <f t="shared" si="1"/>
        <v/>
      </c>
      <c r="F31" s="21" t="str">
        <f t="shared" si="0"/>
        <v/>
      </c>
      <c r="G31" s="6"/>
    </row>
    <row r="32" spans="2:7" hidden="1" x14ac:dyDescent="0.25">
      <c r="B32" s="6"/>
      <c r="C32" s="6"/>
      <c r="D32" s="6"/>
      <c r="E32" s="20" t="str">
        <f t="shared" si="1"/>
        <v/>
      </c>
      <c r="F32" s="21" t="str">
        <f t="shared" si="0"/>
        <v/>
      </c>
      <c r="G32" s="6"/>
    </row>
    <row r="33" spans="2:7" hidden="1" x14ac:dyDescent="0.25">
      <c r="B33" s="6"/>
      <c r="C33" s="6"/>
      <c r="D33" s="6"/>
      <c r="E33" s="20" t="str">
        <f t="shared" si="1"/>
        <v/>
      </c>
      <c r="F33" s="21" t="str">
        <f t="shared" si="0"/>
        <v/>
      </c>
      <c r="G33" s="6"/>
    </row>
    <row r="34" spans="2:7" hidden="1" x14ac:dyDescent="0.25">
      <c r="B34" s="6"/>
      <c r="C34" s="6"/>
      <c r="D34" s="6"/>
      <c r="E34" s="20" t="str">
        <f t="shared" si="1"/>
        <v/>
      </c>
      <c r="F34" s="21" t="str">
        <f t="shared" si="0"/>
        <v/>
      </c>
      <c r="G34" s="6"/>
    </row>
    <row r="35" spans="2:7" hidden="1" x14ac:dyDescent="0.25">
      <c r="B35" s="6"/>
      <c r="C35" s="6"/>
      <c r="D35" s="6"/>
      <c r="E35" s="20" t="str">
        <f t="shared" si="1"/>
        <v/>
      </c>
      <c r="F35" s="21" t="str">
        <f t="shared" si="0"/>
        <v/>
      </c>
      <c r="G35" s="6"/>
    </row>
    <row r="36" spans="2:7" hidden="1" x14ac:dyDescent="0.25">
      <c r="B36" s="6"/>
      <c r="C36" s="6"/>
      <c r="D36" s="6"/>
      <c r="E36" s="20" t="str">
        <f t="shared" si="1"/>
        <v/>
      </c>
      <c r="F36" s="21" t="str">
        <f t="shared" si="0"/>
        <v/>
      </c>
      <c r="G36" s="6"/>
    </row>
    <row r="37" spans="2:7" hidden="1" x14ac:dyDescent="0.25">
      <c r="B37" s="6"/>
      <c r="C37" s="6"/>
      <c r="D37" s="6"/>
      <c r="E37" s="20" t="str">
        <f t="shared" si="1"/>
        <v/>
      </c>
      <c r="F37" s="21" t="str">
        <f t="shared" si="0"/>
        <v/>
      </c>
      <c r="G37" s="6"/>
    </row>
    <row r="38" spans="2:7" hidden="1" x14ac:dyDescent="0.25">
      <c r="B38" s="6"/>
      <c r="C38" s="6"/>
      <c r="D38" s="6"/>
      <c r="E38" s="20" t="str">
        <f t="shared" si="1"/>
        <v/>
      </c>
      <c r="F38" s="21" t="str">
        <f t="shared" si="0"/>
        <v/>
      </c>
      <c r="G38" s="6"/>
    </row>
    <row r="39" spans="2:7" hidden="1" x14ac:dyDescent="0.25">
      <c r="B39" s="6"/>
      <c r="C39" s="6"/>
      <c r="D39" s="6"/>
      <c r="E39" s="20" t="str">
        <f t="shared" si="1"/>
        <v/>
      </c>
      <c r="F39" s="21" t="str">
        <f t="shared" si="0"/>
        <v/>
      </c>
      <c r="G39" s="6"/>
    </row>
    <row r="40" spans="2:7" hidden="1" x14ac:dyDescent="0.25">
      <c r="B40" s="6"/>
      <c r="C40" s="6"/>
      <c r="D40" s="6"/>
      <c r="E40" s="20" t="str">
        <f t="shared" si="1"/>
        <v/>
      </c>
      <c r="F40" s="21" t="str">
        <f t="shared" si="0"/>
        <v/>
      </c>
      <c r="G40" s="6"/>
    </row>
    <row r="41" spans="2:7" hidden="1" x14ac:dyDescent="0.25">
      <c r="B41" s="6"/>
      <c r="C41" s="6"/>
      <c r="D41" s="6"/>
      <c r="E41" s="20" t="str">
        <f t="shared" si="1"/>
        <v/>
      </c>
      <c r="F41" s="21" t="str">
        <f t="shared" si="0"/>
        <v/>
      </c>
      <c r="G41" s="6"/>
    </row>
    <row r="42" spans="2:7" hidden="1" x14ac:dyDescent="0.25">
      <c r="B42" s="6"/>
      <c r="C42" s="6"/>
      <c r="D42" s="6"/>
      <c r="E42" s="20" t="str">
        <f t="shared" si="1"/>
        <v/>
      </c>
      <c r="F42" s="21" t="str">
        <f t="shared" si="0"/>
        <v/>
      </c>
      <c r="G42" s="6"/>
    </row>
    <row r="43" spans="2:7" hidden="1" x14ac:dyDescent="0.25">
      <c r="B43" s="6"/>
      <c r="C43" s="6"/>
      <c r="D43" s="6"/>
      <c r="E43" s="20" t="str">
        <f t="shared" si="1"/>
        <v/>
      </c>
      <c r="F43" s="21" t="str">
        <f t="shared" si="0"/>
        <v/>
      </c>
      <c r="G43" s="6"/>
    </row>
    <row r="44" spans="2:7" hidden="1" x14ac:dyDescent="0.25">
      <c r="B44" s="6"/>
      <c r="C44" s="6"/>
      <c r="D44" s="6"/>
      <c r="E44" s="20" t="str">
        <f t="shared" si="1"/>
        <v/>
      </c>
      <c r="F44" s="21" t="str">
        <f t="shared" si="0"/>
        <v/>
      </c>
      <c r="G44" s="6"/>
    </row>
    <row r="45" spans="2:7" hidden="1" x14ac:dyDescent="0.25">
      <c r="B45" s="6"/>
      <c r="C45" s="6"/>
      <c r="D45" s="6"/>
      <c r="E45" s="20" t="str">
        <f t="shared" si="1"/>
        <v/>
      </c>
      <c r="F45" s="21" t="str">
        <f t="shared" si="0"/>
        <v/>
      </c>
      <c r="G45" s="6"/>
    </row>
    <row r="46" spans="2:7" hidden="1" x14ac:dyDescent="0.25">
      <c r="B46" s="6"/>
      <c r="C46" s="6"/>
      <c r="D46" s="6"/>
      <c r="E46" s="20" t="str">
        <f t="shared" si="1"/>
        <v/>
      </c>
      <c r="F46" s="21" t="str">
        <f t="shared" si="0"/>
        <v/>
      </c>
      <c r="G46" s="6"/>
    </row>
    <row r="47" spans="2:7" hidden="1" x14ac:dyDescent="0.25">
      <c r="B47" s="6"/>
      <c r="C47" s="6"/>
      <c r="D47" s="6"/>
      <c r="E47" s="20" t="str">
        <f t="shared" si="1"/>
        <v/>
      </c>
      <c r="F47" s="21" t="str">
        <f t="shared" si="0"/>
        <v/>
      </c>
      <c r="G47" s="6"/>
    </row>
    <row r="48" spans="2:7" hidden="1" x14ac:dyDescent="0.25">
      <c r="B48" s="6"/>
      <c r="C48" s="6"/>
      <c r="D48" s="6"/>
      <c r="E48" s="20" t="str">
        <f t="shared" si="1"/>
        <v/>
      </c>
      <c r="F48" s="21" t="str">
        <f t="shared" si="0"/>
        <v/>
      </c>
      <c r="G48" s="6"/>
    </row>
    <row r="49" spans="2:7" hidden="1" x14ac:dyDescent="0.25">
      <c r="B49" s="6"/>
      <c r="C49" s="6"/>
      <c r="D49" s="6"/>
      <c r="E49" s="20" t="str">
        <f t="shared" si="1"/>
        <v/>
      </c>
      <c r="F49" s="21" t="str">
        <f t="shared" si="0"/>
        <v/>
      </c>
      <c r="G49" s="6"/>
    </row>
    <row r="50" spans="2:7" hidden="1" x14ac:dyDescent="0.25">
      <c r="B50" s="6"/>
      <c r="C50" s="6"/>
      <c r="D50" s="6"/>
      <c r="E50" s="20" t="str">
        <f t="shared" si="1"/>
        <v/>
      </c>
      <c r="F50" s="21" t="str">
        <f t="shared" si="0"/>
        <v/>
      </c>
      <c r="G50" s="6"/>
    </row>
    <row r="51" spans="2:7" hidden="1" x14ac:dyDescent="0.25">
      <c r="B51" s="6"/>
      <c r="C51" s="6"/>
      <c r="D51" s="6"/>
      <c r="E51" s="20" t="str">
        <f t="shared" si="1"/>
        <v/>
      </c>
      <c r="F51" s="21" t="str">
        <f t="shared" si="0"/>
        <v/>
      </c>
      <c r="G51" s="6"/>
    </row>
    <row r="52" spans="2:7" hidden="1" x14ac:dyDescent="0.25">
      <c r="B52" s="6"/>
      <c r="C52" s="6"/>
      <c r="D52" s="6"/>
      <c r="E52" s="20" t="str">
        <f t="shared" si="1"/>
        <v/>
      </c>
      <c r="F52" s="21" t="str">
        <f t="shared" si="0"/>
        <v/>
      </c>
      <c r="G52" s="6"/>
    </row>
    <row r="53" spans="2:7" hidden="1" x14ac:dyDescent="0.25">
      <c r="B53" s="6"/>
      <c r="C53" s="6"/>
      <c r="D53" s="6"/>
      <c r="E53" s="20" t="str">
        <f t="shared" si="1"/>
        <v/>
      </c>
      <c r="F53" s="21" t="str">
        <f t="shared" si="0"/>
        <v/>
      </c>
      <c r="G53" s="6"/>
    </row>
    <row r="54" spans="2:7" hidden="1" x14ac:dyDescent="0.25">
      <c r="B54" s="6"/>
      <c r="C54" s="6"/>
      <c r="D54" s="6"/>
      <c r="E54" s="20" t="str">
        <f t="shared" si="1"/>
        <v/>
      </c>
      <c r="F54" s="21" t="str">
        <f t="shared" si="0"/>
        <v/>
      </c>
      <c r="G54" s="6"/>
    </row>
    <row r="55" spans="2:7" hidden="1" x14ac:dyDescent="0.25">
      <c r="B55" s="6"/>
      <c r="C55" s="6"/>
      <c r="D55" s="6"/>
      <c r="E55" s="20" t="str">
        <f t="shared" si="1"/>
        <v/>
      </c>
      <c r="F55" s="21" t="str">
        <f t="shared" si="0"/>
        <v/>
      </c>
      <c r="G55" s="6"/>
    </row>
    <row r="56" spans="2:7" hidden="1" x14ac:dyDescent="0.25">
      <c r="B56" s="6"/>
      <c r="C56" s="6"/>
      <c r="D56" s="6"/>
      <c r="E56" s="20" t="str">
        <f t="shared" si="1"/>
        <v/>
      </c>
      <c r="F56" s="21" t="str">
        <f t="shared" si="0"/>
        <v/>
      </c>
      <c r="G56" s="6"/>
    </row>
    <row r="57" spans="2:7" hidden="1" x14ac:dyDescent="0.25">
      <c r="B57" s="6"/>
      <c r="C57" s="6"/>
      <c r="D57" s="6"/>
      <c r="E57" s="20" t="str">
        <f t="shared" si="1"/>
        <v/>
      </c>
      <c r="F57" s="21" t="str">
        <f t="shared" si="0"/>
        <v/>
      </c>
      <c r="G57" s="6"/>
    </row>
    <row r="58" spans="2:7" hidden="1" x14ac:dyDescent="0.25">
      <c r="B58" s="6"/>
      <c r="C58" s="6"/>
      <c r="D58" s="6"/>
      <c r="E58" s="20" t="str">
        <f t="shared" si="1"/>
        <v/>
      </c>
      <c r="F58" s="21" t="str">
        <f t="shared" si="0"/>
        <v/>
      </c>
      <c r="G58" s="6"/>
    </row>
    <row r="59" spans="2:7" hidden="1" x14ac:dyDescent="0.25">
      <c r="B59" s="6"/>
      <c r="C59" s="6"/>
      <c r="D59" s="6"/>
      <c r="E59" s="20" t="str">
        <f t="shared" si="1"/>
        <v/>
      </c>
      <c r="F59" s="21" t="str">
        <f t="shared" si="0"/>
        <v/>
      </c>
      <c r="G59" s="6"/>
    </row>
    <row r="60" spans="2:7" hidden="1" x14ac:dyDescent="0.25">
      <c r="B60" s="6"/>
      <c r="C60" s="6"/>
      <c r="D60" s="6"/>
      <c r="E60" s="20" t="str">
        <f t="shared" si="1"/>
        <v/>
      </c>
      <c r="F60" s="21" t="str">
        <f t="shared" si="0"/>
        <v/>
      </c>
      <c r="G60" s="6"/>
    </row>
    <row r="61" spans="2:7" hidden="1" x14ac:dyDescent="0.25">
      <c r="B61" s="6"/>
      <c r="C61" s="6"/>
      <c r="D61" s="6"/>
      <c r="E61" s="20" t="str">
        <f t="shared" si="1"/>
        <v/>
      </c>
      <c r="F61" s="21" t="str">
        <f t="shared" si="0"/>
        <v/>
      </c>
      <c r="G61" s="6"/>
    </row>
    <row r="62" spans="2:7" hidden="1" x14ac:dyDescent="0.25">
      <c r="B62" s="6"/>
      <c r="C62" s="6"/>
      <c r="D62" s="6"/>
      <c r="E62" s="20" t="str">
        <f t="shared" si="1"/>
        <v/>
      </c>
      <c r="F62" s="21" t="str">
        <f t="shared" si="0"/>
        <v/>
      </c>
      <c r="G62" s="6"/>
    </row>
    <row r="63" spans="2:7" hidden="1" x14ac:dyDescent="0.25">
      <c r="B63" s="6"/>
      <c r="C63" s="6"/>
      <c r="D63" s="6"/>
      <c r="E63" s="20" t="str">
        <f t="shared" si="1"/>
        <v/>
      </c>
      <c r="F63" s="21" t="str">
        <f t="shared" si="0"/>
        <v/>
      </c>
      <c r="G63" s="6"/>
    </row>
    <row r="64" spans="2:7" hidden="1" x14ac:dyDescent="0.25">
      <c r="B64" s="6"/>
      <c r="C64" s="6"/>
      <c r="D64" s="6"/>
      <c r="E64" s="20" t="str">
        <f t="shared" si="1"/>
        <v/>
      </c>
      <c r="F64" s="21" t="str">
        <f t="shared" si="0"/>
        <v/>
      </c>
      <c r="G64" s="6"/>
    </row>
    <row r="65" spans="2:7" hidden="1" x14ac:dyDescent="0.25">
      <c r="B65" s="6"/>
      <c r="C65" s="6"/>
      <c r="D65" s="6"/>
      <c r="E65" s="20" t="str">
        <f t="shared" si="1"/>
        <v/>
      </c>
      <c r="F65" s="21" t="str">
        <f t="shared" si="0"/>
        <v/>
      </c>
      <c r="G65" s="6"/>
    </row>
    <row r="66" spans="2:7" hidden="1" x14ac:dyDescent="0.25">
      <c r="B66" s="6"/>
      <c r="C66" s="6"/>
      <c r="D66" s="6"/>
      <c r="E66" s="20" t="str">
        <f t="shared" si="1"/>
        <v/>
      </c>
      <c r="F66" s="21" t="str">
        <f t="shared" si="0"/>
        <v/>
      </c>
      <c r="G66" s="6"/>
    </row>
    <row r="67" spans="2:7" hidden="1" x14ac:dyDescent="0.25">
      <c r="B67" s="6"/>
      <c r="C67" s="6"/>
      <c r="D67" s="6"/>
      <c r="E67" s="20" t="str">
        <f t="shared" si="1"/>
        <v/>
      </c>
      <c r="F67" s="21" t="str">
        <f t="shared" si="0"/>
        <v/>
      </c>
      <c r="G67" s="6"/>
    </row>
    <row r="68" spans="2:7" hidden="1" x14ac:dyDescent="0.25">
      <c r="B68" s="6"/>
      <c r="C68" s="6"/>
      <c r="D68" s="6"/>
      <c r="E68" s="20" t="str">
        <f t="shared" si="1"/>
        <v/>
      </c>
      <c r="F68" s="21" t="str">
        <f t="shared" si="0"/>
        <v/>
      </c>
      <c r="G68" s="6"/>
    </row>
    <row r="69" spans="2:7" hidden="1" x14ac:dyDescent="0.25">
      <c r="B69" s="6"/>
      <c r="C69" s="6"/>
      <c r="D69" s="6"/>
      <c r="E69" s="20" t="str">
        <f t="shared" si="1"/>
        <v/>
      </c>
      <c r="F69" s="21" t="str">
        <f t="shared" si="0"/>
        <v/>
      </c>
      <c r="G69" s="6"/>
    </row>
    <row r="70" spans="2:7" hidden="1" x14ac:dyDescent="0.25">
      <c r="B70" s="6"/>
      <c r="C70" s="6"/>
      <c r="D70" s="6"/>
      <c r="E70" s="20" t="str">
        <f t="shared" si="1"/>
        <v/>
      </c>
      <c r="F70" s="21" t="str">
        <f t="shared" si="0"/>
        <v/>
      </c>
      <c r="G70" s="6"/>
    </row>
    <row r="71" spans="2:7" hidden="1" x14ac:dyDescent="0.25">
      <c r="B71" s="6"/>
      <c r="C71" s="6"/>
      <c r="D71" s="6"/>
      <c r="E71" s="20" t="str">
        <f t="shared" si="1"/>
        <v/>
      </c>
      <c r="F71" s="21" t="str">
        <f t="shared" si="0"/>
        <v/>
      </c>
      <c r="G71" s="6"/>
    </row>
    <row r="72" spans="2:7" hidden="1" x14ac:dyDescent="0.25">
      <c r="B72" s="6"/>
      <c r="C72" s="6"/>
      <c r="D72" s="6"/>
      <c r="E72" s="20" t="str">
        <f t="shared" si="1"/>
        <v/>
      </c>
      <c r="F72" s="21" t="str">
        <f t="shared" si="0"/>
        <v/>
      </c>
      <c r="G72" s="6"/>
    </row>
    <row r="73" spans="2:7" hidden="1" x14ac:dyDescent="0.25">
      <c r="B73" s="6"/>
      <c r="C73" s="6"/>
      <c r="D73" s="6"/>
      <c r="E73" s="20" t="str">
        <f t="shared" si="1"/>
        <v/>
      </c>
      <c r="F73" s="21" t="str">
        <f t="shared" si="0"/>
        <v/>
      </c>
      <c r="G73" s="6"/>
    </row>
    <row r="74" spans="2:7" hidden="1" x14ac:dyDescent="0.25">
      <c r="B74" s="6"/>
      <c r="C74" s="6"/>
      <c r="D74" s="6"/>
      <c r="E74" s="20" t="str">
        <f t="shared" si="1"/>
        <v/>
      </c>
      <c r="F74" s="21" t="str">
        <f t="shared" si="0"/>
        <v/>
      </c>
      <c r="G74" s="6"/>
    </row>
    <row r="75" spans="2:7" hidden="1" x14ac:dyDescent="0.25">
      <c r="B75" s="6"/>
      <c r="C75" s="6"/>
      <c r="D75" s="6"/>
      <c r="E75" s="20" t="str">
        <f t="shared" si="1"/>
        <v/>
      </c>
      <c r="F75" s="21" t="str">
        <f t="shared" si="0"/>
        <v/>
      </c>
      <c r="G75" s="6"/>
    </row>
    <row r="76" spans="2:7" hidden="1" x14ac:dyDescent="0.25">
      <c r="B76" s="6"/>
      <c r="C76" s="6"/>
      <c r="D76" s="6"/>
      <c r="E76" s="20" t="str">
        <f t="shared" si="1"/>
        <v/>
      </c>
      <c r="F76" s="21" t="str">
        <f t="shared" si="0"/>
        <v/>
      </c>
      <c r="G76" s="6"/>
    </row>
    <row r="77" spans="2:7" hidden="1" x14ac:dyDescent="0.25">
      <c r="B77" s="6"/>
      <c r="C77" s="6"/>
      <c r="D77" s="6"/>
      <c r="E77" s="20" t="str">
        <f t="shared" si="1"/>
        <v/>
      </c>
      <c r="F77" s="21" t="str">
        <f t="shared" si="0"/>
        <v/>
      </c>
      <c r="G77" s="6"/>
    </row>
    <row r="78" spans="2:7" hidden="1" x14ac:dyDescent="0.25">
      <c r="B78" s="6"/>
      <c r="C78" s="6"/>
      <c r="D78" s="6"/>
      <c r="E78" s="20" t="str">
        <f t="shared" si="1"/>
        <v/>
      </c>
      <c r="F78" s="21" t="str">
        <f t="shared" si="0"/>
        <v/>
      </c>
      <c r="G78" s="6"/>
    </row>
    <row r="79" spans="2:7" hidden="1" x14ac:dyDescent="0.25">
      <c r="B79" s="6"/>
      <c r="C79" s="6"/>
      <c r="D79" s="6"/>
      <c r="E79" s="20" t="str">
        <f t="shared" si="1"/>
        <v/>
      </c>
      <c r="F79" s="21" t="str">
        <f t="shared" si="0"/>
        <v/>
      </c>
      <c r="G79" s="6"/>
    </row>
    <row r="80" spans="2:7" hidden="1" x14ac:dyDescent="0.25">
      <c r="B80" s="6"/>
      <c r="C80" s="6"/>
      <c r="D80" s="6"/>
      <c r="E80" s="20" t="str">
        <f t="shared" si="1"/>
        <v/>
      </c>
      <c r="F80" s="21" t="str">
        <f t="shared" si="0"/>
        <v/>
      </c>
      <c r="G80" s="6"/>
    </row>
    <row r="81" spans="2:7" hidden="1" x14ac:dyDescent="0.25">
      <c r="B81" s="6"/>
      <c r="C81" s="6"/>
      <c r="D81" s="6"/>
      <c r="E81" s="20" t="str">
        <f t="shared" si="1"/>
        <v/>
      </c>
      <c r="F81" s="21" t="str">
        <f t="shared" si="0"/>
        <v/>
      </c>
      <c r="G81" s="6"/>
    </row>
    <row r="82" spans="2:7" hidden="1" x14ac:dyDescent="0.25">
      <c r="B82" s="6"/>
      <c r="C82" s="6"/>
      <c r="D82" s="6"/>
      <c r="E82" s="20" t="str">
        <f t="shared" si="1"/>
        <v/>
      </c>
      <c r="F82" s="21" t="str">
        <f t="shared" ref="F82:F113" si="2">IFERROR(MROUND($C$11*SQRT(E82), 1000),"")</f>
        <v/>
      </c>
      <c r="G82" s="6"/>
    </row>
    <row r="83" spans="2:7" hidden="1" x14ac:dyDescent="0.25">
      <c r="B83" s="6"/>
      <c r="C83" s="6"/>
      <c r="D83" s="6"/>
      <c r="E83" s="20" t="str">
        <f t="shared" ref="E83:E113" si="3">IFERROR(D83/$C$10,"")</f>
        <v/>
      </c>
      <c r="F83" s="21" t="str">
        <f t="shared" si="2"/>
        <v/>
      </c>
      <c r="G83" s="6"/>
    </row>
    <row r="84" spans="2:7" hidden="1" x14ac:dyDescent="0.25">
      <c r="B84" s="6"/>
      <c r="C84" s="6"/>
      <c r="D84" s="6"/>
      <c r="E84" s="20" t="str">
        <f t="shared" si="3"/>
        <v/>
      </c>
      <c r="F84" s="21" t="str">
        <f t="shared" si="2"/>
        <v/>
      </c>
      <c r="G84" s="6"/>
    </row>
    <row r="85" spans="2:7" hidden="1" x14ac:dyDescent="0.25">
      <c r="B85" s="6"/>
      <c r="C85" s="6"/>
      <c r="D85" s="6"/>
      <c r="E85" s="20" t="str">
        <f t="shared" si="3"/>
        <v/>
      </c>
      <c r="F85" s="21" t="str">
        <f t="shared" si="2"/>
        <v/>
      </c>
      <c r="G85" s="6"/>
    </row>
    <row r="86" spans="2:7" hidden="1" x14ac:dyDescent="0.25">
      <c r="B86" s="6"/>
      <c r="C86" s="6"/>
      <c r="D86" s="6"/>
      <c r="E86" s="20" t="str">
        <f t="shared" si="3"/>
        <v/>
      </c>
      <c r="F86" s="21" t="str">
        <f t="shared" si="2"/>
        <v/>
      </c>
      <c r="G86" s="6"/>
    </row>
    <row r="87" spans="2:7" hidden="1" x14ac:dyDescent="0.25">
      <c r="B87" s="6"/>
      <c r="C87" s="6"/>
      <c r="D87" s="6"/>
      <c r="E87" s="20" t="str">
        <f t="shared" si="3"/>
        <v/>
      </c>
      <c r="F87" s="21" t="str">
        <f t="shared" si="2"/>
        <v/>
      </c>
      <c r="G87" s="6"/>
    </row>
    <row r="88" spans="2:7" hidden="1" x14ac:dyDescent="0.25">
      <c r="B88" s="6"/>
      <c r="C88" s="6"/>
      <c r="D88" s="6"/>
      <c r="E88" s="20" t="str">
        <f t="shared" si="3"/>
        <v/>
      </c>
      <c r="F88" s="21" t="str">
        <f t="shared" si="2"/>
        <v/>
      </c>
      <c r="G88" s="6"/>
    </row>
    <row r="89" spans="2:7" hidden="1" x14ac:dyDescent="0.25">
      <c r="B89" s="6"/>
      <c r="C89" s="6"/>
      <c r="D89" s="6"/>
      <c r="E89" s="20" t="str">
        <f t="shared" si="3"/>
        <v/>
      </c>
      <c r="F89" s="21" t="str">
        <f t="shared" si="2"/>
        <v/>
      </c>
      <c r="G89" s="6"/>
    </row>
    <row r="90" spans="2:7" hidden="1" x14ac:dyDescent="0.25">
      <c r="B90" s="6"/>
      <c r="C90" s="6"/>
      <c r="D90" s="6"/>
      <c r="E90" s="20" t="str">
        <f t="shared" si="3"/>
        <v/>
      </c>
      <c r="F90" s="21" t="str">
        <f t="shared" si="2"/>
        <v/>
      </c>
      <c r="G90" s="6"/>
    </row>
    <row r="91" spans="2:7" hidden="1" x14ac:dyDescent="0.25">
      <c r="B91" s="6"/>
      <c r="C91" s="6"/>
      <c r="D91" s="6"/>
      <c r="E91" s="20" t="str">
        <f t="shared" si="3"/>
        <v/>
      </c>
      <c r="F91" s="21" t="str">
        <f t="shared" si="2"/>
        <v/>
      </c>
      <c r="G91" s="6"/>
    </row>
    <row r="92" spans="2:7" hidden="1" x14ac:dyDescent="0.25">
      <c r="B92" s="6"/>
      <c r="C92" s="6"/>
      <c r="D92" s="6"/>
      <c r="E92" s="20" t="str">
        <f t="shared" si="3"/>
        <v/>
      </c>
      <c r="F92" s="21" t="str">
        <f t="shared" si="2"/>
        <v/>
      </c>
      <c r="G92" s="6"/>
    </row>
    <row r="93" spans="2:7" hidden="1" x14ac:dyDescent="0.25">
      <c r="B93" s="6"/>
      <c r="C93" s="6"/>
      <c r="D93" s="6"/>
      <c r="E93" s="20" t="str">
        <f t="shared" si="3"/>
        <v/>
      </c>
      <c r="F93" s="21" t="str">
        <f t="shared" si="2"/>
        <v/>
      </c>
      <c r="G93" s="6"/>
    </row>
    <row r="94" spans="2:7" hidden="1" x14ac:dyDescent="0.25">
      <c r="B94" s="6"/>
      <c r="C94" s="6"/>
      <c r="D94" s="6"/>
      <c r="E94" s="20" t="str">
        <f t="shared" si="3"/>
        <v/>
      </c>
      <c r="F94" s="21" t="str">
        <f t="shared" si="2"/>
        <v/>
      </c>
      <c r="G94" s="6"/>
    </row>
    <row r="95" spans="2:7" hidden="1" x14ac:dyDescent="0.25">
      <c r="B95" s="6"/>
      <c r="C95" s="6"/>
      <c r="D95" s="6"/>
      <c r="E95" s="20" t="str">
        <f t="shared" si="3"/>
        <v/>
      </c>
      <c r="F95" s="21" t="str">
        <f t="shared" si="2"/>
        <v/>
      </c>
      <c r="G95" s="6"/>
    </row>
    <row r="96" spans="2:7" hidden="1" x14ac:dyDescent="0.25">
      <c r="B96" s="6"/>
      <c r="C96" s="6"/>
      <c r="D96" s="6"/>
      <c r="E96" s="20" t="str">
        <f t="shared" si="3"/>
        <v/>
      </c>
      <c r="F96" s="21" t="str">
        <f t="shared" si="2"/>
        <v/>
      </c>
      <c r="G96" s="6"/>
    </row>
    <row r="97" spans="2:7" hidden="1" x14ac:dyDescent="0.25">
      <c r="B97" s="6"/>
      <c r="C97" s="6"/>
      <c r="D97" s="6"/>
      <c r="E97" s="20" t="str">
        <f t="shared" si="3"/>
        <v/>
      </c>
      <c r="F97" s="21" t="str">
        <f t="shared" si="2"/>
        <v/>
      </c>
      <c r="G97" s="6"/>
    </row>
    <row r="98" spans="2:7" hidden="1" x14ac:dyDescent="0.25">
      <c r="B98" s="6"/>
      <c r="C98" s="6"/>
      <c r="D98" s="6"/>
      <c r="E98" s="20" t="str">
        <f t="shared" si="3"/>
        <v/>
      </c>
      <c r="F98" s="21" t="str">
        <f t="shared" si="2"/>
        <v/>
      </c>
      <c r="G98" s="6"/>
    </row>
    <row r="99" spans="2:7" hidden="1" x14ac:dyDescent="0.25">
      <c r="B99" s="6"/>
      <c r="C99" s="6"/>
      <c r="D99" s="6"/>
      <c r="E99" s="20" t="str">
        <f t="shared" si="3"/>
        <v/>
      </c>
      <c r="F99" s="21" t="str">
        <f t="shared" si="2"/>
        <v/>
      </c>
      <c r="G99" s="6"/>
    </row>
    <row r="100" spans="2:7" hidden="1" x14ac:dyDescent="0.25">
      <c r="B100" s="6"/>
      <c r="C100" s="6"/>
      <c r="D100" s="6"/>
      <c r="E100" s="20" t="str">
        <f t="shared" si="3"/>
        <v/>
      </c>
      <c r="F100" s="21" t="str">
        <f t="shared" si="2"/>
        <v/>
      </c>
      <c r="G100" s="6"/>
    </row>
    <row r="101" spans="2:7" hidden="1" x14ac:dyDescent="0.25">
      <c r="B101" s="6"/>
      <c r="C101" s="6"/>
      <c r="D101" s="6"/>
      <c r="E101" s="20" t="str">
        <f t="shared" si="3"/>
        <v/>
      </c>
      <c r="F101" s="21" t="str">
        <f t="shared" si="2"/>
        <v/>
      </c>
      <c r="G101" s="6"/>
    </row>
    <row r="102" spans="2:7" hidden="1" x14ac:dyDescent="0.25">
      <c r="B102" s="6"/>
      <c r="C102" s="6"/>
      <c r="D102" s="6"/>
      <c r="E102" s="20" t="str">
        <f t="shared" si="3"/>
        <v/>
      </c>
      <c r="F102" s="21" t="str">
        <f t="shared" si="2"/>
        <v/>
      </c>
      <c r="G102" s="6"/>
    </row>
    <row r="103" spans="2:7" hidden="1" x14ac:dyDescent="0.25">
      <c r="B103" s="6"/>
      <c r="C103" s="6"/>
      <c r="D103" s="6"/>
      <c r="E103" s="20" t="str">
        <f t="shared" si="3"/>
        <v/>
      </c>
      <c r="F103" s="21" t="str">
        <f t="shared" si="2"/>
        <v/>
      </c>
      <c r="G103" s="6"/>
    </row>
    <row r="104" spans="2:7" hidden="1" x14ac:dyDescent="0.25">
      <c r="B104" s="6"/>
      <c r="C104" s="6"/>
      <c r="D104" s="6"/>
      <c r="E104" s="20" t="str">
        <f t="shared" si="3"/>
        <v/>
      </c>
      <c r="F104" s="21" t="str">
        <f t="shared" si="2"/>
        <v/>
      </c>
      <c r="G104" s="6"/>
    </row>
    <row r="105" spans="2:7" hidden="1" x14ac:dyDescent="0.25">
      <c r="B105" s="6"/>
      <c r="C105" s="6"/>
      <c r="D105" s="6"/>
      <c r="E105" s="20" t="str">
        <f t="shared" si="3"/>
        <v/>
      </c>
      <c r="F105" s="21" t="str">
        <f t="shared" si="2"/>
        <v/>
      </c>
      <c r="G105" s="6"/>
    </row>
    <row r="106" spans="2:7" hidden="1" x14ac:dyDescent="0.25">
      <c r="B106" s="6"/>
      <c r="C106" s="6"/>
      <c r="D106" s="6"/>
      <c r="E106" s="20" t="str">
        <f t="shared" si="3"/>
        <v/>
      </c>
      <c r="F106" s="21" t="str">
        <f t="shared" si="2"/>
        <v/>
      </c>
      <c r="G106" s="6"/>
    </row>
    <row r="107" spans="2:7" hidden="1" x14ac:dyDescent="0.25">
      <c r="B107" s="6"/>
      <c r="C107" s="6"/>
      <c r="D107" s="6"/>
      <c r="E107" s="20" t="str">
        <f t="shared" si="3"/>
        <v/>
      </c>
      <c r="F107" s="21" t="str">
        <f t="shared" si="2"/>
        <v/>
      </c>
      <c r="G107" s="6"/>
    </row>
    <row r="108" spans="2:7" hidden="1" x14ac:dyDescent="0.25">
      <c r="B108" s="6"/>
      <c r="C108" s="6"/>
      <c r="D108" s="6"/>
      <c r="E108" s="20" t="str">
        <f t="shared" si="3"/>
        <v/>
      </c>
      <c r="F108" s="21" t="str">
        <f t="shared" si="2"/>
        <v/>
      </c>
      <c r="G108" s="6"/>
    </row>
    <row r="109" spans="2:7" hidden="1" x14ac:dyDescent="0.25">
      <c r="B109" s="6"/>
      <c r="C109" s="6"/>
      <c r="D109" s="6"/>
      <c r="E109" s="20" t="str">
        <f t="shared" si="3"/>
        <v/>
      </c>
      <c r="F109" s="21" t="str">
        <f t="shared" si="2"/>
        <v/>
      </c>
      <c r="G109" s="6"/>
    </row>
    <row r="110" spans="2:7" hidden="1" x14ac:dyDescent="0.25">
      <c r="B110" s="6"/>
      <c r="C110" s="6"/>
      <c r="D110" s="6"/>
      <c r="E110" s="20" t="str">
        <f t="shared" si="3"/>
        <v/>
      </c>
      <c r="F110" s="21" t="str">
        <f t="shared" si="2"/>
        <v/>
      </c>
      <c r="G110" s="6"/>
    </row>
    <row r="111" spans="2:7" hidden="1" x14ac:dyDescent="0.25">
      <c r="B111" s="6"/>
      <c r="C111" s="6"/>
      <c r="D111" s="6"/>
      <c r="E111" s="20" t="str">
        <f t="shared" si="3"/>
        <v/>
      </c>
      <c r="F111" s="21" t="str">
        <f t="shared" si="2"/>
        <v/>
      </c>
      <c r="G111" s="6"/>
    </row>
    <row r="112" spans="2:7" hidden="1" x14ac:dyDescent="0.25">
      <c r="B112" s="6"/>
      <c r="C112" s="6"/>
      <c r="D112" s="6"/>
      <c r="E112" s="20" t="str">
        <f t="shared" si="3"/>
        <v/>
      </c>
      <c r="F112" s="21" t="str">
        <f t="shared" si="2"/>
        <v/>
      </c>
      <c r="G112" s="6"/>
    </row>
    <row r="113" spans="2:7" hidden="1" x14ac:dyDescent="0.25">
      <c r="B113" s="6"/>
      <c r="C113" s="6"/>
      <c r="D113" s="6"/>
      <c r="E113" s="20" t="str">
        <f t="shared" si="3"/>
        <v/>
      </c>
      <c r="F113" s="21" t="str">
        <f t="shared" si="2"/>
        <v/>
      </c>
      <c r="G113" s="6"/>
    </row>
    <row r="114" spans="2:7" ht="13" x14ac:dyDescent="0.25">
      <c r="B114" s="4"/>
      <c r="C114" s="4"/>
      <c r="E114" s="4"/>
      <c r="F114" s="4"/>
    </row>
    <row r="116" spans="2:7" ht="15.5" x14ac:dyDescent="0.25">
      <c r="B116" s="7" t="str">
        <f>_sheetContentTranslation_A_20</f>
        <v>Equity method investments</v>
      </c>
      <c r="C116" s="7"/>
      <c r="D116" s="7"/>
      <c r="E116" s="7"/>
      <c r="F116" s="7"/>
      <c r="G116" s="7"/>
    </row>
    <row r="118" spans="2:7" ht="12.75" customHeight="1" x14ac:dyDescent="0.25">
      <c r="B118" s="47" t="str">
        <f>_sheetContentTranslation_A_21</f>
        <v>Components (equity method investments)</v>
      </c>
      <c r="C118" s="49" t="str">
        <f>_sheetContentTranslation_A_14</f>
        <v>Component type</v>
      </c>
      <c r="D118" s="53" t="str">
        <f>_sheetContentTranslation_A_10</f>
        <v>Group performance materiality</v>
      </c>
      <c r="E118" s="55" t="str">
        <f>_sheetContentTranslation_A_22</f>
        <v>Ownership percentage</v>
      </c>
      <c r="F118" s="55" t="str">
        <f>_sheetContentTranslation_A_23</f>
        <v>Potential component performance materiality
(equity method investment)</v>
      </c>
      <c r="G118" s="55" t="str">
        <f>_sheetContentTranslation_A_18</f>
        <v>Component Performance materiality determined</v>
      </c>
    </row>
    <row r="119" spans="2:7" ht="27" customHeight="1" thickBot="1" x14ac:dyDescent="0.3">
      <c r="B119" s="48"/>
      <c r="C119" s="50"/>
      <c r="D119" s="54"/>
      <c r="E119" s="56"/>
      <c r="F119" s="56"/>
      <c r="G119" s="56"/>
    </row>
    <row r="120" spans="2:7" x14ac:dyDescent="0.25">
      <c r="B120" s="6"/>
      <c r="C120" s="21"/>
      <c r="D120" s="21"/>
      <c r="E120" s="33"/>
      <c r="F120" s="21" t="str">
        <f>IFERROR(D120/E120,"")</f>
        <v/>
      </c>
      <c r="G120" s="6"/>
    </row>
    <row r="121" spans="2:7" hidden="1" x14ac:dyDescent="0.25">
      <c r="B121" s="6"/>
      <c r="C121" s="21" t="str">
        <f>Translations!$A$26</f>
        <v>Equity method investment</v>
      </c>
      <c r="D121" s="21">
        <f t="shared" ref="D121:D184" si="4">$C$11</f>
        <v>0</v>
      </c>
      <c r="E121" s="33"/>
      <c r="F121" s="21" t="str">
        <f t="shared" ref="F121:F184" si="5">IFERROR(D121/E121,"")</f>
        <v/>
      </c>
      <c r="G121" s="6"/>
    </row>
    <row r="122" spans="2:7" hidden="1" x14ac:dyDescent="0.25">
      <c r="B122" s="6"/>
      <c r="C122" s="21" t="str">
        <f>Translations!$A$26</f>
        <v>Equity method investment</v>
      </c>
      <c r="D122" s="21">
        <f t="shared" si="4"/>
        <v>0</v>
      </c>
      <c r="E122" s="33"/>
      <c r="F122" s="21" t="str">
        <f t="shared" si="5"/>
        <v/>
      </c>
      <c r="G122" s="6"/>
    </row>
    <row r="123" spans="2:7" hidden="1" x14ac:dyDescent="0.25">
      <c r="B123" s="6"/>
      <c r="C123" s="21" t="str">
        <f>Translations!$A$26</f>
        <v>Equity method investment</v>
      </c>
      <c r="D123" s="21">
        <f t="shared" si="4"/>
        <v>0</v>
      </c>
      <c r="E123" s="33"/>
      <c r="F123" s="21" t="str">
        <f t="shared" si="5"/>
        <v/>
      </c>
      <c r="G123" s="6"/>
    </row>
    <row r="124" spans="2:7" hidden="1" x14ac:dyDescent="0.25">
      <c r="B124" s="6"/>
      <c r="C124" s="21" t="str">
        <f>Translations!$A$26</f>
        <v>Equity method investment</v>
      </c>
      <c r="D124" s="21">
        <f t="shared" si="4"/>
        <v>0</v>
      </c>
      <c r="E124" s="33"/>
      <c r="F124" s="21" t="str">
        <f t="shared" si="5"/>
        <v/>
      </c>
      <c r="G124" s="6"/>
    </row>
    <row r="125" spans="2:7" hidden="1" x14ac:dyDescent="0.25">
      <c r="B125" s="6"/>
      <c r="C125" s="21" t="str">
        <f>Translations!$A$26</f>
        <v>Equity method investment</v>
      </c>
      <c r="D125" s="21">
        <f t="shared" si="4"/>
        <v>0</v>
      </c>
      <c r="E125" s="33"/>
      <c r="F125" s="21" t="str">
        <f t="shared" si="5"/>
        <v/>
      </c>
      <c r="G125" s="6"/>
    </row>
    <row r="126" spans="2:7" hidden="1" x14ac:dyDescent="0.25">
      <c r="B126" s="6"/>
      <c r="C126" s="21" t="str">
        <f>Translations!$A$26</f>
        <v>Equity method investment</v>
      </c>
      <c r="D126" s="21">
        <f t="shared" si="4"/>
        <v>0</v>
      </c>
      <c r="E126" s="33"/>
      <c r="F126" s="21" t="str">
        <f t="shared" si="5"/>
        <v/>
      </c>
      <c r="G126" s="6"/>
    </row>
    <row r="127" spans="2:7" hidden="1" x14ac:dyDescent="0.25">
      <c r="B127" s="6"/>
      <c r="C127" s="21" t="str">
        <f>Translations!$A$26</f>
        <v>Equity method investment</v>
      </c>
      <c r="D127" s="21">
        <f t="shared" si="4"/>
        <v>0</v>
      </c>
      <c r="E127" s="33"/>
      <c r="F127" s="21" t="str">
        <f t="shared" si="5"/>
        <v/>
      </c>
      <c r="G127" s="6"/>
    </row>
    <row r="128" spans="2:7" hidden="1" x14ac:dyDescent="0.25">
      <c r="B128" s="6"/>
      <c r="C128" s="21" t="str">
        <f>Translations!$A$26</f>
        <v>Equity method investment</v>
      </c>
      <c r="D128" s="21">
        <f t="shared" si="4"/>
        <v>0</v>
      </c>
      <c r="E128" s="33"/>
      <c r="F128" s="21" t="str">
        <f t="shared" si="5"/>
        <v/>
      </c>
      <c r="G128" s="6"/>
    </row>
    <row r="129" spans="2:7" hidden="1" x14ac:dyDescent="0.25">
      <c r="B129" s="6"/>
      <c r="C129" s="21" t="str">
        <f>Translations!$A$26</f>
        <v>Equity method investment</v>
      </c>
      <c r="D129" s="21">
        <f t="shared" si="4"/>
        <v>0</v>
      </c>
      <c r="E129" s="33"/>
      <c r="F129" s="21" t="str">
        <f t="shared" si="5"/>
        <v/>
      </c>
      <c r="G129" s="6"/>
    </row>
    <row r="130" spans="2:7" hidden="1" x14ac:dyDescent="0.25">
      <c r="B130" s="6"/>
      <c r="C130" s="21" t="str">
        <f>Translations!$A$26</f>
        <v>Equity method investment</v>
      </c>
      <c r="D130" s="21">
        <f t="shared" si="4"/>
        <v>0</v>
      </c>
      <c r="E130" s="33"/>
      <c r="F130" s="21" t="str">
        <f t="shared" si="5"/>
        <v/>
      </c>
      <c r="G130" s="6"/>
    </row>
    <row r="131" spans="2:7" hidden="1" x14ac:dyDescent="0.25">
      <c r="B131" s="6"/>
      <c r="C131" s="21" t="str">
        <f>Translations!$A$26</f>
        <v>Equity method investment</v>
      </c>
      <c r="D131" s="21">
        <f t="shared" si="4"/>
        <v>0</v>
      </c>
      <c r="E131" s="33"/>
      <c r="F131" s="21" t="str">
        <f t="shared" si="5"/>
        <v/>
      </c>
      <c r="G131" s="6"/>
    </row>
    <row r="132" spans="2:7" hidden="1" x14ac:dyDescent="0.25">
      <c r="B132" s="6"/>
      <c r="C132" s="21" t="str">
        <f>Translations!$A$26</f>
        <v>Equity method investment</v>
      </c>
      <c r="D132" s="21">
        <f t="shared" si="4"/>
        <v>0</v>
      </c>
      <c r="E132" s="33"/>
      <c r="F132" s="21" t="str">
        <f t="shared" si="5"/>
        <v/>
      </c>
      <c r="G132" s="6"/>
    </row>
    <row r="133" spans="2:7" hidden="1" x14ac:dyDescent="0.25">
      <c r="B133" s="6"/>
      <c r="C133" s="21" t="str">
        <f>Translations!$A$26</f>
        <v>Equity method investment</v>
      </c>
      <c r="D133" s="21">
        <f t="shared" si="4"/>
        <v>0</v>
      </c>
      <c r="E133" s="33"/>
      <c r="F133" s="21" t="str">
        <f t="shared" si="5"/>
        <v/>
      </c>
      <c r="G133" s="6"/>
    </row>
    <row r="134" spans="2:7" hidden="1" x14ac:dyDescent="0.25">
      <c r="B134" s="6"/>
      <c r="C134" s="21" t="str">
        <f>Translations!$A$26</f>
        <v>Equity method investment</v>
      </c>
      <c r="D134" s="21">
        <f t="shared" si="4"/>
        <v>0</v>
      </c>
      <c r="E134" s="33"/>
      <c r="F134" s="21" t="str">
        <f t="shared" si="5"/>
        <v/>
      </c>
      <c r="G134" s="6"/>
    </row>
    <row r="135" spans="2:7" hidden="1" x14ac:dyDescent="0.25">
      <c r="B135" s="6"/>
      <c r="C135" s="21" t="str">
        <f>Translations!$A$26</f>
        <v>Equity method investment</v>
      </c>
      <c r="D135" s="21">
        <f t="shared" si="4"/>
        <v>0</v>
      </c>
      <c r="E135" s="33"/>
      <c r="F135" s="21" t="str">
        <f t="shared" si="5"/>
        <v/>
      </c>
      <c r="G135" s="6"/>
    </row>
    <row r="136" spans="2:7" hidden="1" x14ac:dyDescent="0.25">
      <c r="B136" s="6"/>
      <c r="C136" s="21" t="str">
        <f>Translations!$A$26</f>
        <v>Equity method investment</v>
      </c>
      <c r="D136" s="21">
        <f t="shared" si="4"/>
        <v>0</v>
      </c>
      <c r="E136" s="33"/>
      <c r="F136" s="21" t="str">
        <f t="shared" si="5"/>
        <v/>
      </c>
      <c r="G136" s="6"/>
    </row>
    <row r="137" spans="2:7" hidden="1" x14ac:dyDescent="0.25">
      <c r="B137" s="6"/>
      <c r="C137" s="21" t="str">
        <f>Translations!$A$26</f>
        <v>Equity method investment</v>
      </c>
      <c r="D137" s="21">
        <f t="shared" si="4"/>
        <v>0</v>
      </c>
      <c r="E137" s="33"/>
      <c r="F137" s="21" t="str">
        <f t="shared" si="5"/>
        <v/>
      </c>
      <c r="G137" s="6"/>
    </row>
    <row r="138" spans="2:7" hidden="1" x14ac:dyDescent="0.25">
      <c r="B138" s="6"/>
      <c r="C138" s="21" t="str">
        <f>Translations!$A$26</f>
        <v>Equity method investment</v>
      </c>
      <c r="D138" s="21">
        <f t="shared" si="4"/>
        <v>0</v>
      </c>
      <c r="E138" s="33"/>
      <c r="F138" s="21" t="str">
        <f t="shared" si="5"/>
        <v/>
      </c>
      <c r="G138" s="6"/>
    </row>
    <row r="139" spans="2:7" hidden="1" x14ac:dyDescent="0.25">
      <c r="B139" s="6"/>
      <c r="C139" s="21" t="str">
        <f>Translations!$A$26</f>
        <v>Equity method investment</v>
      </c>
      <c r="D139" s="21">
        <f t="shared" si="4"/>
        <v>0</v>
      </c>
      <c r="E139" s="33"/>
      <c r="F139" s="21" t="str">
        <f t="shared" si="5"/>
        <v/>
      </c>
      <c r="G139" s="6"/>
    </row>
    <row r="140" spans="2:7" hidden="1" x14ac:dyDescent="0.25">
      <c r="B140" s="6"/>
      <c r="C140" s="21" t="str">
        <f>Translations!$A$26</f>
        <v>Equity method investment</v>
      </c>
      <c r="D140" s="21">
        <f t="shared" si="4"/>
        <v>0</v>
      </c>
      <c r="E140" s="33"/>
      <c r="F140" s="21" t="str">
        <f t="shared" si="5"/>
        <v/>
      </c>
      <c r="G140" s="6"/>
    </row>
    <row r="141" spans="2:7" hidden="1" x14ac:dyDescent="0.25">
      <c r="B141" s="6"/>
      <c r="C141" s="21" t="str">
        <f>Translations!$A$26</f>
        <v>Equity method investment</v>
      </c>
      <c r="D141" s="21">
        <f t="shared" si="4"/>
        <v>0</v>
      </c>
      <c r="E141" s="33"/>
      <c r="F141" s="21" t="str">
        <f t="shared" si="5"/>
        <v/>
      </c>
      <c r="G141" s="6"/>
    </row>
    <row r="142" spans="2:7" hidden="1" x14ac:dyDescent="0.25">
      <c r="B142" s="6"/>
      <c r="C142" s="21" t="str">
        <f>Translations!$A$26</f>
        <v>Equity method investment</v>
      </c>
      <c r="D142" s="21">
        <f t="shared" si="4"/>
        <v>0</v>
      </c>
      <c r="E142" s="33"/>
      <c r="F142" s="21" t="str">
        <f t="shared" si="5"/>
        <v/>
      </c>
      <c r="G142" s="6"/>
    </row>
    <row r="143" spans="2:7" hidden="1" x14ac:dyDescent="0.25">
      <c r="B143" s="6"/>
      <c r="C143" s="21" t="str">
        <f>Translations!$A$26</f>
        <v>Equity method investment</v>
      </c>
      <c r="D143" s="21">
        <f t="shared" si="4"/>
        <v>0</v>
      </c>
      <c r="E143" s="33"/>
      <c r="F143" s="21" t="str">
        <f t="shared" si="5"/>
        <v/>
      </c>
      <c r="G143" s="6"/>
    </row>
    <row r="144" spans="2:7" hidden="1" x14ac:dyDescent="0.25">
      <c r="B144" s="6"/>
      <c r="C144" s="21" t="str">
        <f>Translations!$A$26</f>
        <v>Equity method investment</v>
      </c>
      <c r="D144" s="21">
        <f t="shared" si="4"/>
        <v>0</v>
      </c>
      <c r="E144" s="33"/>
      <c r="F144" s="21" t="str">
        <f t="shared" si="5"/>
        <v/>
      </c>
      <c r="G144" s="6"/>
    </row>
    <row r="145" spans="2:7" hidden="1" x14ac:dyDescent="0.25">
      <c r="B145" s="6"/>
      <c r="C145" s="21" t="str">
        <f>Translations!$A$26</f>
        <v>Equity method investment</v>
      </c>
      <c r="D145" s="21">
        <f t="shared" si="4"/>
        <v>0</v>
      </c>
      <c r="E145" s="33"/>
      <c r="F145" s="21" t="str">
        <f t="shared" si="5"/>
        <v/>
      </c>
      <c r="G145" s="6"/>
    </row>
    <row r="146" spans="2:7" hidden="1" x14ac:dyDescent="0.25">
      <c r="B146" s="6"/>
      <c r="C146" s="21" t="str">
        <f>Translations!$A$26</f>
        <v>Equity method investment</v>
      </c>
      <c r="D146" s="21">
        <f t="shared" si="4"/>
        <v>0</v>
      </c>
      <c r="E146" s="33"/>
      <c r="F146" s="21" t="str">
        <f t="shared" si="5"/>
        <v/>
      </c>
      <c r="G146" s="6"/>
    </row>
    <row r="147" spans="2:7" hidden="1" x14ac:dyDescent="0.25">
      <c r="B147" s="6"/>
      <c r="C147" s="21" t="str">
        <f>Translations!$A$26</f>
        <v>Equity method investment</v>
      </c>
      <c r="D147" s="21">
        <f t="shared" si="4"/>
        <v>0</v>
      </c>
      <c r="E147" s="33"/>
      <c r="F147" s="21" t="str">
        <f t="shared" si="5"/>
        <v/>
      </c>
      <c r="G147" s="6"/>
    </row>
    <row r="148" spans="2:7" hidden="1" x14ac:dyDescent="0.25">
      <c r="B148" s="6"/>
      <c r="C148" s="21" t="str">
        <f>Translations!$A$26</f>
        <v>Equity method investment</v>
      </c>
      <c r="D148" s="21">
        <f t="shared" si="4"/>
        <v>0</v>
      </c>
      <c r="E148" s="33"/>
      <c r="F148" s="21" t="str">
        <f t="shared" si="5"/>
        <v/>
      </c>
      <c r="G148" s="6"/>
    </row>
    <row r="149" spans="2:7" hidden="1" x14ac:dyDescent="0.25">
      <c r="B149" s="6"/>
      <c r="C149" s="21" t="str">
        <f>Translations!$A$26</f>
        <v>Equity method investment</v>
      </c>
      <c r="D149" s="21">
        <f t="shared" si="4"/>
        <v>0</v>
      </c>
      <c r="E149" s="33"/>
      <c r="F149" s="21" t="str">
        <f t="shared" si="5"/>
        <v/>
      </c>
      <c r="G149" s="6"/>
    </row>
    <row r="150" spans="2:7" hidden="1" x14ac:dyDescent="0.25">
      <c r="B150" s="6"/>
      <c r="C150" s="21" t="str">
        <f>Translations!$A$26</f>
        <v>Equity method investment</v>
      </c>
      <c r="D150" s="21">
        <f t="shared" si="4"/>
        <v>0</v>
      </c>
      <c r="E150" s="33"/>
      <c r="F150" s="21" t="str">
        <f t="shared" si="5"/>
        <v/>
      </c>
      <c r="G150" s="6"/>
    </row>
    <row r="151" spans="2:7" hidden="1" x14ac:dyDescent="0.25">
      <c r="B151" s="6"/>
      <c r="C151" s="21" t="str">
        <f>Translations!$A$26</f>
        <v>Equity method investment</v>
      </c>
      <c r="D151" s="21">
        <f t="shared" si="4"/>
        <v>0</v>
      </c>
      <c r="E151" s="33"/>
      <c r="F151" s="21" t="str">
        <f t="shared" si="5"/>
        <v/>
      </c>
      <c r="G151" s="6"/>
    </row>
    <row r="152" spans="2:7" hidden="1" x14ac:dyDescent="0.25">
      <c r="B152" s="6"/>
      <c r="C152" s="21" t="str">
        <f>Translations!$A$26</f>
        <v>Equity method investment</v>
      </c>
      <c r="D152" s="21">
        <f t="shared" si="4"/>
        <v>0</v>
      </c>
      <c r="E152" s="33"/>
      <c r="F152" s="21" t="str">
        <f t="shared" si="5"/>
        <v/>
      </c>
      <c r="G152" s="6"/>
    </row>
    <row r="153" spans="2:7" hidden="1" x14ac:dyDescent="0.25">
      <c r="B153" s="6"/>
      <c r="C153" s="21" t="str">
        <f>Translations!$A$26</f>
        <v>Equity method investment</v>
      </c>
      <c r="D153" s="21">
        <f t="shared" si="4"/>
        <v>0</v>
      </c>
      <c r="E153" s="33"/>
      <c r="F153" s="21" t="str">
        <f t="shared" si="5"/>
        <v/>
      </c>
      <c r="G153" s="6"/>
    </row>
    <row r="154" spans="2:7" hidden="1" x14ac:dyDescent="0.25">
      <c r="B154" s="6"/>
      <c r="C154" s="21" t="str">
        <f>Translations!$A$26</f>
        <v>Equity method investment</v>
      </c>
      <c r="D154" s="21">
        <f t="shared" si="4"/>
        <v>0</v>
      </c>
      <c r="E154" s="33"/>
      <c r="F154" s="21" t="str">
        <f t="shared" si="5"/>
        <v/>
      </c>
      <c r="G154" s="6"/>
    </row>
    <row r="155" spans="2:7" hidden="1" x14ac:dyDescent="0.25">
      <c r="B155" s="6"/>
      <c r="C155" s="21" t="str">
        <f>Translations!$A$26</f>
        <v>Equity method investment</v>
      </c>
      <c r="D155" s="21">
        <f t="shared" si="4"/>
        <v>0</v>
      </c>
      <c r="E155" s="33"/>
      <c r="F155" s="21" t="str">
        <f t="shared" si="5"/>
        <v/>
      </c>
      <c r="G155" s="6"/>
    </row>
    <row r="156" spans="2:7" hidden="1" x14ac:dyDescent="0.25">
      <c r="B156" s="6"/>
      <c r="C156" s="21" t="str">
        <f>Translations!$A$26</f>
        <v>Equity method investment</v>
      </c>
      <c r="D156" s="21">
        <f t="shared" si="4"/>
        <v>0</v>
      </c>
      <c r="E156" s="33"/>
      <c r="F156" s="21" t="str">
        <f t="shared" si="5"/>
        <v/>
      </c>
      <c r="G156" s="6"/>
    </row>
    <row r="157" spans="2:7" hidden="1" x14ac:dyDescent="0.25">
      <c r="B157" s="6"/>
      <c r="C157" s="21" t="str">
        <f>Translations!$A$26</f>
        <v>Equity method investment</v>
      </c>
      <c r="D157" s="21">
        <f t="shared" si="4"/>
        <v>0</v>
      </c>
      <c r="E157" s="33"/>
      <c r="F157" s="21" t="str">
        <f t="shared" si="5"/>
        <v/>
      </c>
      <c r="G157" s="6"/>
    </row>
    <row r="158" spans="2:7" hidden="1" x14ac:dyDescent="0.25">
      <c r="B158" s="6"/>
      <c r="C158" s="21" t="str">
        <f>Translations!$A$26</f>
        <v>Equity method investment</v>
      </c>
      <c r="D158" s="21">
        <f t="shared" si="4"/>
        <v>0</v>
      </c>
      <c r="E158" s="33"/>
      <c r="F158" s="21" t="str">
        <f t="shared" si="5"/>
        <v/>
      </c>
      <c r="G158" s="6"/>
    </row>
    <row r="159" spans="2:7" hidden="1" x14ac:dyDescent="0.25">
      <c r="B159" s="6"/>
      <c r="C159" s="21" t="str">
        <f>Translations!$A$26</f>
        <v>Equity method investment</v>
      </c>
      <c r="D159" s="21">
        <f t="shared" si="4"/>
        <v>0</v>
      </c>
      <c r="E159" s="33"/>
      <c r="F159" s="21" t="str">
        <f t="shared" si="5"/>
        <v/>
      </c>
      <c r="G159" s="6"/>
    </row>
    <row r="160" spans="2:7" hidden="1" x14ac:dyDescent="0.25">
      <c r="B160" s="6"/>
      <c r="C160" s="21" t="str">
        <f>Translations!$A$26</f>
        <v>Equity method investment</v>
      </c>
      <c r="D160" s="21">
        <f t="shared" si="4"/>
        <v>0</v>
      </c>
      <c r="E160" s="33"/>
      <c r="F160" s="21" t="str">
        <f t="shared" si="5"/>
        <v/>
      </c>
      <c r="G160" s="6"/>
    </row>
    <row r="161" spans="2:7" hidden="1" x14ac:dyDescent="0.25">
      <c r="B161" s="6"/>
      <c r="C161" s="21" t="str">
        <f>Translations!$A$26</f>
        <v>Equity method investment</v>
      </c>
      <c r="D161" s="21">
        <f t="shared" si="4"/>
        <v>0</v>
      </c>
      <c r="E161" s="33"/>
      <c r="F161" s="21" t="str">
        <f t="shared" si="5"/>
        <v/>
      </c>
      <c r="G161" s="6"/>
    </row>
    <row r="162" spans="2:7" hidden="1" x14ac:dyDescent="0.25">
      <c r="B162" s="6"/>
      <c r="C162" s="21" t="str">
        <f>Translations!$A$26</f>
        <v>Equity method investment</v>
      </c>
      <c r="D162" s="21">
        <f t="shared" si="4"/>
        <v>0</v>
      </c>
      <c r="E162" s="33"/>
      <c r="F162" s="21" t="str">
        <f t="shared" si="5"/>
        <v/>
      </c>
      <c r="G162" s="6"/>
    </row>
    <row r="163" spans="2:7" hidden="1" x14ac:dyDescent="0.25">
      <c r="B163" s="6"/>
      <c r="C163" s="21" t="str">
        <f>Translations!$A$26</f>
        <v>Equity method investment</v>
      </c>
      <c r="D163" s="21">
        <f t="shared" si="4"/>
        <v>0</v>
      </c>
      <c r="E163" s="33"/>
      <c r="F163" s="21" t="str">
        <f t="shared" si="5"/>
        <v/>
      </c>
      <c r="G163" s="6"/>
    </row>
    <row r="164" spans="2:7" hidden="1" x14ac:dyDescent="0.25">
      <c r="B164" s="6"/>
      <c r="C164" s="21" t="str">
        <f>Translations!$A$26</f>
        <v>Equity method investment</v>
      </c>
      <c r="D164" s="21">
        <f t="shared" si="4"/>
        <v>0</v>
      </c>
      <c r="E164" s="33"/>
      <c r="F164" s="21" t="str">
        <f t="shared" si="5"/>
        <v/>
      </c>
      <c r="G164" s="6"/>
    </row>
    <row r="165" spans="2:7" hidden="1" x14ac:dyDescent="0.25">
      <c r="B165" s="6"/>
      <c r="C165" s="21" t="str">
        <f>Translations!$A$26</f>
        <v>Equity method investment</v>
      </c>
      <c r="D165" s="21">
        <f t="shared" si="4"/>
        <v>0</v>
      </c>
      <c r="E165" s="33"/>
      <c r="F165" s="21" t="str">
        <f t="shared" si="5"/>
        <v/>
      </c>
      <c r="G165" s="6"/>
    </row>
    <row r="166" spans="2:7" hidden="1" x14ac:dyDescent="0.25">
      <c r="B166" s="6"/>
      <c r="C166" s="21" t="str">
        <f>Translations!$A$26</f>
        <v>Equity method investment</v>
      </c>
      <c r="D166" s="21">
        <f t="shared" si="4"/>
        <v>0</v>
      </c>
      <c r="E166" s="33"/>
      <c r="F166" s="21" t="str">
        <f t="shared" si="5"/>
        <v/>
      </c>
      <c r="G166" s="6"/>
    </row>
    <row r="167" spans="2:7" hidden="1" x14ac:dyDescent="0.25">
      <c r="B167" s="6"/>
      <c r="C167" s="21" t="str">
        <f>Translations!$A$26</f>
        <v>Equity method investment</v>
      </c>
      <c r="D167" s="21">
        <f t="shared" si="4"/>
        <v>0</v>
      </c>
      <c r="E167" s="33"/>
      <c r="F167" s="21" t="str">
        <f t="shared" si="5"/>
        <v/>
      </c>
      <c r="G167" s="6"/>
    </row>
    <row r="168" spans="2:7" hidden="1" x14ac:dyDescent="0.25">
      <c r="B168" s="6"/>
      <c r="C168" s="21" t="str">
        <f>Translations!$A$26</f>
        <v>Equity method investment</v>
      </c>
      <c r="D168" s="21">
        <f t="shared" si="4"/>
        <v>0</v>
      </c>
      <c r="E168" s="33"/>
      <c r="F168" s="21" t="str">
        <f t="shared" si="5"/>
        <v/>
      </c>
      <c r="G168" s="6"/>
    </row>
    <row r="169" spans="2:7" hidden="1" x14ac:dyDescent="0.25">
      <c r="B169" s="6"/>
      <c r="C169" s="21" t="str">
        <f>Translations!$A$26</f>
        <v>Equity method investment</v>
      </c>
      <c r="D169" s="21">
        <f t="shared" si="4"/>
        <v>0</v>
      </c>
      <c r="E169" s="33"/>
      <c r="F169" s="21" t="str">
        <f t="shared" si="5"/>
        <v/>
      </c>
      <c r="G169" s="6"/>
    </row>
    <row r="170" spans="2:7" hidden="1" x14ac:dyDescent="0.25">
      <c r="B170" s="6"/>
      <c r="C170" s="21" t="str">
        <f>Translations!$A$26</f>
        <v>Equity method investment</v>
      </c>
      <c r="D170" s="21">
        <f t="shared" si="4"/>
        <v>0</v>
      </c>
      <c r="E170" s="33"/>
      <c r="F170" s="21" t="str">
        <f t="shared" si="5"/>
        <v/>
      </c>
      <c r="G170" s="6"/>
    </row>
    <row r="171" spans="2:7" hidden="1" x14ac:dyDescent="0.25">
      <c r="B171" s="6"/>
      <c r="C171" s="21" t="str">
        <f>Translations!$A$26</f>
        <v>Equity method investment</v>
      </c>
      <c r="D171" s="21">
        <f t="shared" si="4"/>
        <v>0</v>
      </c>
      <c r="E171" s="33"/>
      <c r="F171" s="21" t="str">
        <f t="shared" si="5"/>
        <v/>
      </c>
      <c r="G171" s="6"/>
    </row>
    <row r="172" spans="2:7" hidden="1" x14ac:dyDescent="0.25">
      <c r="B172" s="6"/>
      <c r="C172" s="21" t="str">
        <f>Translations!$A$26</f>
        <v>Equity method investment</v>
      </c>
      <c r="D172" s="21">
        <f t="shared" si="4"/>
        <v>0</v>
      </c>
      <c r="E172" s="33"/>
      <c r="F172" s="21" t="str">
        <f t="shared" si="5"/>
        <v/>
      </c>
      <c r="G172" s="6"/>
    </row>
    <row r="173" spans="2:7" hidden="1" x14ac:dyDescent="0.25">
      <c r="B173" s="6"/>
      <c r="C173" s="21" t="str">
        <f>Translations!$A$26</f>
        <v>Equity method investment</v>
      </c>
      <c r="D173" s="21">
        <f t="shared" si="4"/>
        <v>0</v>
      </c>
      <c r="E173" s="33"/>
      <c r="F173" s="21" t="str">
        <f t="shared" si="5"/>
        <v/>
      </c>
      <c r="G173" s="6"/>
    </row>
    <row r="174" spans="2:7" hidden="1" x14ac:dyDescent="0.25">
      <c r="B174" s="6"/>
      <c r="C174" s="21" t="str">
        <f>Translations!$A$26</f>
        <v>Equity method investment</v>
      </c>
      <c r="D174" s="21">
        <f t="shared" si="4"/>
        <v>0</v>
      </c>
      <c r="E174" s="33"/>
      <c r="F174" s="21" t="str">
        <f t="shared" si="5"/>
        <v/>
      </c>
      <c r="G174" s="6"/>
    </row>
    <row r="175" spans="2:7" hidden="1" x14ac:dyDescent="0.25">
      <c r="B175" s="6"/>
      <c r="C175" s="21" t="str">
        <f>Translations!$A$26</f>
        <v>Equity method investment</v>
      </c>
      <c r="D175" s="21">
        <f t="shared" si="4"/>
        <v>0</v>
      </c>
      <c r="E175" s="33"/>
      <c r="F175" s="21" t="str">
        <f t="shared" si="5"/>
        <v/>
      </c>
      <c r="G175" s="6"/>
    </row>
    <row r="176" spans="2:7" hidden="1" x14ac:dyDescent="0.25">
      <c r="B176" s="6"/>
      <c r="C176" s="21" t="str">
        <f>Translations!$A$26</f>
        <v>Equity method investment</v>
      </c>
      <c r="D176" s="21">
        <f t="shared" si="4"/>
        <v>0</v>
      </c>
      <c r="E176" s="33"/>
      <c r="F176" s="21" t="str">
        <f t="shared" si="5"/>
        <v/>
      </c>
      <c r="G176" s="6"/>
    </row>
    <row r="177" spans="2:7" hidden="1" x14ac:dyDescent="0.25">
      <c r="B177" s="6"/>
      <c r="C177" s="21" t="str">
        <f>Translations!$A$26</f>
        <v>Equity method investment</v>
      </c>
      <c r="D177" s="21">
        <f t="shared" si="4"/>
        <v>0</v>
      </c>
      <c r="E177" s="33"/>
      <c r="F177" s="21" t="str">
        <f t="shared" si="5"/>
        <v/>
      </c>
      <c r="G177" s="6"/>
    </row>
    <row r="178" spans="2:7" hidden="1" x14ac:dyDescent="0.25">
      <c r="B178" s="6"/>
      <c r="C178" s="21" t="str">
        <f>Translations!$A$26</f>
        <v>Equity method investment</v>
      </c>
      <c r="D178" s="21">
        <f t="shared" si="4"/>
        <v>0</v>
      </c>
      <c r="E178" s="33"/>
      <c r="F178" s="21" t="str">
        <f t="shared" si="5"/>
        <v/>
      </c>
      <c r="G178" s="6"/>
    </row>
    <row r="179" spans="2:7" hidden="1" x14ac:dyDescent="0.25">
      <c r="B179" s="6"/>
      <c r="C179" s="21" t="str">
        <f>Translations!$A$26</f>
        <v>Equity method investment</v>
      </c>
      <c r="D179" s="21">
        <f t="shared" si="4"/>
        <v>0</v>
      </c>
      <c r="E179" s="33"/>
      <c r="F179" s="21" t="str">
        <f t="shared" si="5"/>
        <v/>
      </c>
      <c r="G179" s="6"/>
    </row>
    <row r="180" spans="2:7" hidden="1" x14ac:dyDescent="0.25">
      <c r="B180" s="6"/>
      <c r="C180" s="21" t="str">
        <f>Translations!$A$26</f>
        <v>Equity method investment</v>
      </c>
      <c r="D180" s="21">
        <f t="shared" si="4"/>
        <v>0</v>
      </c>
      <c r="E180" s="33"/>
      <c r="F180" s="21" t="str">
        <f t="shared" si="5"/>
        <v/>
      </c>
      <c r="G180" s="6"/>
    </row>
    <row r="181" spans="2:7" hidden="1" x14ac:dyDescent="0.25">
      <c r="B181" s="6"/>
      <c r="C181" s="21" t="str">
        <f>Translations!$A$26</f>
        <v>Equity method investment</v>
      </c>
      <c r="D181" s="21">
        <f t="shared" si="4"/>
        <v>0</v>
      </c>
      <c r="E181" s="33"/>
      <c r="F181" s="21" t="str">
        <f t="shared" si="5"/>
        <v/>
      </c>
      <c r="G181" s="6"/>
    </row>
    <row r="182" spans="2:7" hidden="1" x14ac:dyDescent="0.25">
      <c r="B182" s="6"/>
      <c r="C182" s="21" t="str">
        <f>Translations!$A$26</f>
        <v>Equity method investment</v>
      </c>
      <c r="D182" s="21">
        <f t="shared" si="4"/>
        <v>0</v>
      </c>
      <c r="E182" s="33"/>
      <c r="F182" s="21" t="str">
        <f t="shared" si="5"/>
        <v/>
      </c>
      <c r="G182" s="6"/>
    </row>
    <row r="183" spans="2:7" hidden="1" x14ac:dyDescent="0.25">
      <c r="B183" s="6"/>
      <c r="C183" s="21" t="str">
        <f>Translations!$A$26</f>
        <v>Equity method investment</v>
      </c>
      <c r="D183" s="21">
        <f t="shared" si="4"/>
        <v>0</v>
      </c>
      <c r="E183" s="33"/>
      <c r="F183" s="21" t="str">
        <f t="shared" si="5"/>
        <v/>
      </c>
      <c r="G183" s="6"/>
    </row>
    <row r="184" spans="2:7" hidden="1" x14ac:dyDescent="0.25">
      <c r="B184" s="6"/>
      <c r="C184" s="21" t="str">
        <f>Translations!$A$26</f>
        <v>Equity method investment</v>
      </c>
      <c r="D184" s="21">
        <f t="shared" si="4"/>
        <v>0</v>
      </c>
      <c r="E184" s="33"/>
      <c r="F184" s="21" t="str">
        <f t="shared" si="5"/>
        <v/>
      </c>
      <c r="G184" s="6"/>
    </row>
    <row r="185" spans="2:7" hidden="1" x14ac:dyDescent="0.25">
      <c r="B185" s="6"/>
      <c r="C185" s="21" t="str">
        <f>Translations!$A$26</f>
        <v>Equity method investment</v>
      </c>
      <c r="D185" s="21">
        <f t="shared" ref="D185:D219" si="6">$C$11</f>
        <v>0</v>
      </c>
      <c r="E185" s="33"/>
      <c r="F185" s="21" t="str">
        <f t="shared" ref="F185:F219" si="7">IFERROR(D185/E185,"")</f>
        <v/>
      </c>
      <c r="G185" s="6"/>
    </row>
    <row r="186" spans="2:7" hidden="1" x14ac:dyDescent="0.25">
      <c r="B186" s="6"/>
      <c r="C186" s="21" t="str">
        <f>Translations!$A$26</f>
        <v>Equity method investment</v>
      </c>
      <c r="D186" s="21">
        <f t="shared" si="6"/>
        <v>0</v>
      </c>
      <c r="E186" s="33"/>
      <c r="F186" s="21" t="str">
        <f t="shared" si="7"/>
        <v/>
      </c>
      <c r="G186" s="6"/>
    </row>
    <row r="187" spans="2:7" hidden="1" x14ac:dyDescent="0.25">
      <c r="B187" s="6"/>
      <c r="C187" s="21" t="str">
        <f>Translations!$A$26</f>
        <v>Equity method investment</v>
      </c>
      <c r="D187" s="21">
        <f t="shared" si="6"/>
        <v>0</v>
      </c>
      <c r="E187" s="33"/>
      <c r="F187" s="21" t="str">
        <f t="shared" si="7"/>
        <v/>
      </c>
      <c r="G187" s="6"/>
    </row>
    <row r="188" spans="2:7" hidden="1" x14ac:dyDescent="0.25">
      <c r="B188" s="6"/>
      <c r="C188" s="21" t="str">
        <f>Translations!$A$26</f>
        <v>Equity method investment</v>
      </c>
      <c r="D188" s="21">
        <f t="shared" si="6"/>
        <v>0</v>
      </c>
      <c r="E188" s="33"/>
      <c r="F188" s="21" t="str">
        <f t="shared" si="7"/>
        <v/>
      </c>
      <c r="G188" s="6"/>
    </row>
    <row r="189" spans="2:7" hidden="1" x14ac:dyDescent="0.25">
      <c r="B189" s="6"/>
      <c r="C189" s="21" t="str">
        <f>Translations!$A$26</f>
        <v>Equity method investment</v>
      </c>
      <c r="D189" s="21">
        <f t="shared" si="6"/>
        <v>0</v>
      </c>
      <c r="E189" s="33"/>
      <c r="F189" s="21" t="str">
        <f t="shared" si="7"/>
        <v/>
      </c>
      <c r="G189" s="6"/>
    </row>
    <row r="190" spans="2:7" hidden="1" x14ac:dyDescent="0.25">
      <c r="B190" s="6"/>
      <c r="C190" s="21" t="str">
        <f>Translations!$A$26</f>
        <v>Equity method investment</v>
      </c>
      <c r="D190" s="21">
        <f t="shared" si="6"/>
        <v>0</v>
      </c>
      <c r="E190" s="33"/>
      <c r="F190" s="21" t="str">
        <f t="shared" si="7"/>
        <v/>
      </c>
      <c r="G190" s="6"/>
    </row>
    <row r="191" spans="2:7" hidden="1" x14ac:dyDescent="0.25">
      <c r="B191" s="6"/>
      <c r="C191" s="21" t="str">
        <f>Translations!$A$26</f>
        <v>Equity method investment</v>
      </c>
      <c r="D191" s="21">
        <f t="shared" si="6"/>
        <v>0</v>
      </c>
      <c r="E191" s="33"/>
      <c r="F191" s="21" t="str">
        <f t="shared" si="7"/>
        <v/>
      </c>
      <c r="G191" s="6"/>
    </row>
    <row r="192" spans="2:7" hidden="1" x14ac:dyDescent="0.25">
      <c r="B192" s="6"/>
      <c r="C192" s="21" t="str">
        <f>Translations!$A$26</f>
        <v>Equity method investment</v>
      </c>
      <c r="D192" s="21">
        <f t="shared" si="6"/>
        <v>0</v>
      </c>
      <c r="E192" s="33"/>
      <c r="F192" s="21" t="str">
        <f t="shared" si="7"/>
        <v/>
      </c>
      <c r="G192" s="6"/>
    </row>
    <row r="193" spans="2:7" hidden="1" x14ac:dyDescent="0.25">
      <c r="B193" s="6"/>
      <c r="C193" s="21" t="str">
        <f>Translations!$A$26</f>
        <v>Equity method investment</v>
      </c>
      <c r="D193" s="21">
        <f t="shared" si="6"/>
        <v>0</v>
      </c>
      <c r="E193" s="33"/>
      <c r="F193" s="21" t="str">
        <f t="shared" si="7"/>
        <v/>
      </c>
      <c r="G193" s="6"/>
    </row>
    <row r="194" spans="2:7" hidden="1" x14ac:dyDescent="0.25">
      <c r="B194" s="6"/>
      <c r="C194" s="21" t="str">
        <f>Translations!$A$26</f>
        <v>Equity method investment</v>
      </c>
      <c r="D194" s="21">
        <f t="shared" si="6"/>
        <v>0</v>
      </c>
      <c r="E194" s="33"/>
      <c r="F194" s="21" t="str">
        <f t="shared" si="7"/>
        <v/>
      </c>
      <c r="G194" s="6"/>
    </row>
    <row r="195" spans="2:7" hidden="1" x14ac:dyDescent="0.25">
      <c r="B195" s="6"/>
      <c r="C195" s="21" t="str">
        <f>Translations!$A$26</f>
        <v>Equity method investment</v>
      </c>
      <c r="D195" s="21">
        <f t="shared" si="6"/>
        <v>0</v>
      </c>
      <c r="E195" s="33"/>
      <c r="F195" s="21" t="str">
        <f t="shared" si="7"/>
        <v/>
      </c>
      <c r="G195" s="6"/>
    </row>
    <row r="196" spans="2:7" hidden="1" x14ac:dyDescent="0.25">
      <c r="B196" s="6"/>
      <c r="C196" s="21" t="str">
        <f>Translations!$A$26</f>
        <v>Equity method investment</v>
      </c>
      <c r="D196" s="21">
        <f t="shared" si="6"/>
        <v>0</v>
      </c>
      <c r="E196" s="33"/>
      <c r="F196" s="21" t="str">
        <f t="shared" si="7"/>
        <v/>
      </c>
      <c r="G196" s="6"/>
    </row>
    <row r="197" spans="2:7" hidden="1" x14ac:dyDescent="0.25">
      <c r="B197" s="6"/>
      <c r="C197" s="21" t="str">
        <f>Translations!$A$26</f>
        <v>Equity method investment</v>
      </c>
      <c r="D197" s="21">
        <f t="shared" si="6"/>
        <v>0</v>
      </c>
      <c r="E197" s="33"/>
      <c r="F197" s="21" t="str">
        <f t="shared" si="7"/>
        <v/>
      </c>
      <c r="G197" s="6"/>
    </row>
    <row r="198" spans="2:7" hidden="1" x14ac:dyDescent="0.25">
      <c r="B198" s="6"/>
      <c r="C198" s="21" t="str">
        <f>Translations!$A$26</f>
        <v>Equity method investment</v>
      </c>
      <c r="D198" s="21">
        <f t="shared" si="6"/>
        <v>0</v>
      </c>
      <c r="E198" s="33"/>
      <c r="F198" s="21" t="str">
        <f t="shared" si="7"/>
        <v/>
      </c>
      <c r="G198" s="6"/>
    </row>
    <row r="199" spans="2:7" hidden="1" x14ac:dyDescent="0.25">
      <c r="B199" s="6"/>
      <c r="C199" s="21" t="str">
        <f>Translations!$A$26</f>
        <v>Equity method investment</v>
      </c>
      <c r="D199" s="21">
        <f t="shared" si="6"/>
        <v>0</v>
      </c>
      <c r="E199" s="33"/>
      <c r="F199" s="21" t="str">
        <f t="shared" si="7"/>
        <v/>
      </c>
      <c r="G199" s="6"/>
    </row>
    <row r="200" spans="2:7" hidden="1" x14ac:dyDescent="0.25">
      <c r="B200" s="6"/>
      <c r="C200" s="21" t="str">
        <f>Translations!$A$26</f>
        <v>Equity method investment</v>
      </c>
      <c r="D200" s="21">
        <f t="shared" si="6"/>
        <v>0</v>
      </c>
      <c r="E200" s="33"/>
      <c r="F200" s="21" t="str">
        <f t="shared" si="7"/>
        <v/>
      </c>
      <c r="G200" s="6"/>
    </row>
    <row r="201" spans="2:7" hidden="1" x14ac:dyDescent="0.25">
      <c r="B201" s="6"/>
      <c r="C201" s="21" t="str">
        <f>Translations!$A$26</f>
        <v>Equity method investment</v>
      </c>
      <c r="D201" s="21">
        <f t="shared" si="6"/>
        <v>0</v>
      </c>
      <c r="E201" s="33"/>
      <c r="F201" s="21" t="str">
        <f t="shared" si="7"/>
        <v/>
      </c>
      <c r="G201" s="6"/>
    </row>
    <row r="202" spans="2:7" hidden="1" x14ac:dyDescent="0.25">
      <c r="B202" s="6"/>
      <c r="C202" s="21" t="str">
        <f>Translations!$A$26</f>
        <v>Equity method investment</v>
      </c>
      <c r="D202" s="21">
        <f t="shared" si="6"/>
        <v>0</v>
      </c>
      <c r="E202" s="33"/>
      <c r="F202" s="21" t="str">
        <f t="shared" si="7"/>
        <v/>
      </c>
      <c r="G202" s="6"/>
    </row>
    <row r="203" spans="2:7" hidden="1" x14ac:dyDescent="0.25">
      <c r="B203" s="6"/>
      <c r="C203" s="21" t="str">
        <f>Translations!$A$26</f>
        <v>Equity method investment</v>
      </c>
      <c r="D203" s="21">
        <f t="shared" si="6"/>
        <v>0</v>
      </c>
      <c r="E203" s="33"/>
      <c r="F203" s="21" t="str">
        <f t="shared" si="7"/>
        <v/>
      </c>
      <c r="G203" s="6"/>
    </row>
    <row r="204" spans="2:7" hidden="1" x14ac:dyDescent="0.25">
      <c r="B204" s="6"/>
      <c r="C204" s="21" t="str">
        <f>Translations!$A$26</f>
        <v>Equity method investment</v>
      </c>
      <c r="D204" s="21">
        <f t="shared" si="6"/>
        <v>0</v>
      </c>
      <c r="E204" s="33"/>
      <c r="F204" s="21" t="str">
        <f t="shared" si="7"/>
        <v/>
      </c>
      <c r="G204" s="6"/>
    </row>
    <row r="205" spans="2:7" hidden="1" x14ac:dyDescent="0.25">
      <c r="B205" s="6"/>
      <c r="C205" s="21" t="str">
        <f>Translations!$A$26</f>
        <v>Equity method investment</v>
      </c>
      <c r="D205" s="21">
        <f t="shared" si="6"/>
        <v>0</v>
      </c>
      <c r="E205" s="33"/>
      <c r="F205" s="21" t="str">
        <f t="shared" si="7"/>
        <v/>
      </c>
      <c r="G205" s="6"/>
    </row>
    <row r="206" spans="2:7" hidden="1" x14ac:dyDescent="0.25">
      <c r="B206" s="6"/>
      <c r="C206" s="21" t="str">
        <f>Translations!$A$26</f>
        <v>Equity method investment</v>
      </c>
      <c r="D206" s="21">
        <f t="shared" si="6"/>
        <v>0</v>
      </c>
      <c r="E206" s="33"/>
      <c r="F206" s="21" t="str">
        <f t="shared" si="7"/>
        <v/>
      </c>
      <c r="G206" s="6"/>
    </row>
    <row r="207" spans="2:7" hidden="1" x14ac:dyDescent="0.25">
      <c r="B207" s="6"/>
      <c r="C207" s="21" t="str">
        <f>Translations!$A$26</f>
        <v>Equity method investment</v>
      </c>
      <c r="D207" s="21">
        <f t="shared" si="6"/>
        <v>0</v>
      </c>
      <c r="E207" s="33"/>
      <c r="F207" s="21" t="str">
        <f t="shared" si="7"/>
        <v/>
      </c>
      <c r="G207" s="6"/>
    </row>
    <row r="208" spans="2:7" hidden="1" x14ac:dyDescent="0.25">
      <c r="B208" s="6"/>
      <c r="C208" s="21" t="str">
        <f>Translations!$A$26</f>
        <v>Equity method investment</v>
      </c>
      <c r="D208" s="21">
        <f t="shared" si="6"/>
        <v>0</v>
      </c>
      <c r="E208" s="33"/>
      <c r="F208" s="21" t="str">
        <f t="shared" si="7"/>
        <v/>
      </c>
      <c r="G208" s="6"/>
    </row>
    <row r="209" spans="2:7" hidden="1" x14ac:dyDescent="0.25">
      <c r="B209" s="6"/>
      <c r="C209" s="21" t="str">
        <f>Translations!$A$26</f>
        <v>Equity method investment</v>
      </c>
      <c r="D209" s="21">
        <f t="shared" si="6"/>
        <v>0</v>
      </c>
      <c r="E209" s="33"/>
      <c r="F209" s="21" t="str">
        <f t="shared" si="7"/>
        <v/>
      </c>
      <c r="G209" s="6"/>
    </row>
    <row r="210" spans="2:7" hidden="1" x14ac:dyDescent="0.25">
      <c r="B210" s="6"/>
      <c r="C210" s="21" t="str">
        <f>Translations!$A$26</f>
        <v>Equity method investment</v>
      </c>
      <c r="D210" s="21">
        <f t="shared" si="6"/>
        <v>0</v>
      </c>
      <c r="E210" s="33"/>
      <c r="F210" s="21" t="str">
        <f t="shared" si="7"/>
        <v/>
      </c>
      <c r="G210" s="6"/>
    </row>
    <row r="211" spans="2:7" hidden="1" x14ac:dyDescent="0.25">
      <c r="B211" s="6"/>
      <c r="C211" s="21" t="str">
        <f>Translations!$A$26</f>
        <v>Equity method investment</v>
      </c>
      <c r="D211" s="21">
        <f t="shared" si="6"/>
        <v>0</v>
      </c>
      <c r="E211" s="33"/>
      <c r="F211" s="21" t="str">
        <f t="shared" si="7"/>
        <v/>
      </c>
      <c r="G211" s="6"/>
    </row>
    <row r="212" spans="2:7" hidden="1" x14ac:dyDescent="0.25">
      <c r="B212" s="6"/>
      <c r="C212" s="21" t="str">
        <f>Translations!$A$26</f>
        <v>Equity method investment</v>
      </c>
      <c r="D212" s="21">
        <f t="shared" si="6"/>
        <v>0</v>
      </c>
      <c r="E212" s="33"/>
      <c r="F212" s="21" t="str">
        <f t="shared" si="7"/>
        <v/>
      </c>
      <c r="G212" s="6"/>
    </row>
    <row r="213" spans="2:7" hidden="1" x14ac:dyDescent="0.25">
      <c r="B213" s="6"/>
      <c r="C213" s="21" t="str">
        <f>Translations!$A$26</f>
        <v>Equity method investment</v>
      </c>
      <c r="D213" s="21">
        <f t="shared" si="6"/>
        <v>0</v>
      </c>
      <c r="E213" s="33"/>
      <c r="F213" s="21" t="str">
        <f t="shared" si="7"/>
        <v/>
      </c>
      <c r="G213" s="6"/>
    </row>
    <row r="214" spans="2:7" hidden="1" x14ac:dyDescent="0.25">
      <c r="B214" s="6"/>
      <c r="C214" s="21" t="str">
        <f>Translations!$A$26</f>
        <v>Equity method investment</v>
      </c>
      <c r="D214" s="21">
        <f t="shared" si="6"/>
        <v>0</v>
      </c>
      <c r="E214" s="33"/>
      <c r="F214" s="21" t="str">
        <f t="shared" si="7"/>
        <v/>
      </c>
      <c r="G214" s="6"/>
    </row>
    <row r="215" spans="2:7" hidden="1" x14ac:dyDescent="0.25">
      <c r="B215" s="6"/>
      <c r="C215" s="21" t="str">
        <f>Translations!$A$26</f>
        <v>Equity method investment</v>
      </c>
      <c r="D215" s="21">
        <f t="shared" si="6"/>
        <v>0</v>
      </c>
      <c r="E215" s="33"/>
      <c r="F215" s="21" t="str">
        <f t="shared" si="7"/>
        <v/>
      </c>
      <c r="G215" s="6"/>
    </row>
    <row r="216" spans="2:7" hidden="1" x14ac:dyDescent="0.25">
      <c r="B216" s="6"/>
      <c r="C216" s="21" t="str">
        <f>Translations!$A$26</f>
        <v>Equity method investment</v>
      </c>
      <c r="D216" s="21">
        <f t="shared" si="6"/>
        <v>0</v>
      </c>
      <c r="E216" s="33"/>
      <c r="F216" s="21" t="str">
        <f t="shared" si="7"/>
        <v/>
      </c>
      <c r="G216" s="6"/>
    </row>
    <row r="217" spans="2:7" hidden="1" x14ac:dyDescent="0.25">
      <c r="B217" s="6"/>
      <c r="C217" s="21" t="str">
        <f>Translations!$A$26</f>
        <v>Equity method investment</v>
      </c>
      <c r="D217" s="21">
        <f t="shared" si="6"/>
        <v>0</v>
      </c>
      <c r="E217" s="33"/>
      <c r="F217" s="21" t="str">
        <f t="shared" si="7"/>
        <v/>
      </c>
      <c r="G217" s="6"/>
    </row>
    <row r="218" spans="2:7" hidden="1" x14ac:dyDescent="0.25">
      <c r="B218" s="6"/>
      <c r="C218" s="21" t="str">
        <f>Translations!$A$26</f>
        <v>Equity method investment</v>
      </c>
      <c r="D218" s="21">
        <f t="shared" si="6"/>
        <v>0</v>
      </c>
      <c r="E218" s="33"/>
      <c r="F218" s="21" t="str">
        <f t="shared" si="7"/>
        <v/>
      </c>
      <c r="G218" s="6"/>
    </row>
    <row r="219" spans="2:7" hidden="1" x14ac:dyDescent="0.25">
      <c r="B219" s="6"/>
      <c r="C219" s="21" t="str">
        <f>Translations!$A$26</f>
        <v>Equity method investment</v>
      </c>
      <c r="D219" s="21">
        <f t="shared" si="6"/>
        <v>0</v>
      </c>
      <c r="E219" s="33"/>
      <c r="F219" s="21" t="str">
        <f t="shared" si="7"/>
        <v/>
      </c>
      <c r="G219" s="6"/>
    </row>
  </sheetData>
  <sheetProtection selectLockedCells="1"/>
  <mergeCells count="12">
    <mergeCell ref="G15:G16"/>
    <mergeCell ref="D118:D119"/>
    <mergeCell ref="E118:E119"/>
    <mergeCell ref="F118:F119"/>
    <mergeCell ref="G118:G119"/>
    <mergeCell ref="D15:D16"/>
    <mergeCell ref="E15:E16"/>
    <mergeCell ref="B15:B16"/>
    <mergeCell ref="B118:B119"/>
    <mergeCell ref="C15:C16"/>
    <mergeCell ref="C118:C119"/>
    <mergeCell ref="F15:F16"/>
  </mergeCells>
  <conditionalFormatting sqref="C8:C10">
    <cfRule type="containsBlanks" dxfId="13" priority="22">
      <formula>LEN(TRIM(C8))=0</formula>
    </cfRule>
  </conditionalFormatting>
  <conditionalFormatting sqref="C11:C13">
    <cfRule type="containsBlanks" dxfId="12" priority="21">
      <formula>LEN(TRIM(C11))=0</formula>
    </cfRule>
  </conditionalFormatting>
  <conditionalFormatting sqref="C4">
    <cfRule type="expression" dxfId="11" priority="20">
      <formula>C4=""</formula>
    </cfRule>
  </conditionalFormatting>
  <conditionalFormatting sqref="C5">
    <cfRule type="expression" dxfId="10" priority="19">
      <formula>C5=""</formula>
    </cfRule>
  </conditionalFormatting>
  <conditionalFormatting sqref="B19:D20 B23:D113">
    <cfRule type="containsBlanks" dxfId="9" priority="14">
      <formula>LEN(TRIM(B19))=0</formula>
    </cfRule>
  </conditionalFormatting>
  <conditionalFormatting sqref="B120:B219">
    <cfRule type="containsBlanks" dxfId="8" priority="13">
      <formula>LEN(TRIM(B120))=0</formula>
    </cfRule>
  </conditionalFormatting>
  <conditionalFormatting sqref="B21:D22">
    <cfRule type="containsBlanks" dxfId="7" priority="7">
      <formula>LEN(TRIM(B21))=0</formula>
    </cfRule>
  </conditionalFormatting>
  <conditionalFormatting sqref="C17:C18">
    <cfRule type="containsBlanks" dxfId="6" priority="6">
      <formula>LEN(TRIM(C17))=0</formula>
    </cfRule>
  </conditionalFormatting>
  <conditionalFormatting sqref="D17:D18">
    <cfRule type="containsBlanks" dxfId="5" priority="5">
      <formula>LEN(TRIM(D17))=0</formula>
    </cfRule>
  </conditionalFormatting>
  <conditionalFormatting sqref="B17:B18">
    <cfRule type="containsBlanks" dxfId="4" priority="4">
      <formula>LEN(TRIM(B17))=0</formula>
    </cfRule>
  </conditionalFormatting>
  <conditionalFormatting sqref="G17:G113">
    <cfRule type="containsBlanks" dxfId="3" priority="3">
      <formula>LEN(TRIM(G17))=0</formula>
    </cfRule>
  </conditionalFormatting>
  <conditionalFormatting sqref="G120:G219">
    <cfRule type="containsBlanks" dxfId="2" priority="2">
      <formula>LEN(TRIM(G120))=0</formula>
    </cfRule>
  </conditionalFormatting>
  <conditionalFormatting sqref="E120:E219">
    <cfRule type="containsBlanks" dxfId="1" priority="1">
      <formula>LEN(TRIM(E120))=0</formula>
    </cfRule>
  </conditionalFormatting>
  <dataValidations count="1">
    <dataValidation allowBlank="1" showInputMessage="1" showErrorMessage="1" errorTitle="Number" error="Value must be a number." sqref="D17:D18 D21:D22" xr:uid="{16190DEA-A43A-46F5-874D-F5A12C5919A6}"/>
  </dataValidations>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A3732B3A-60D3-446E-A87E-2CD1FC8EE7E2}">
          <x14:formula1>
            <xm:f>Translations!$A$23:$A$25</xm:f>
          </x14:formula1>
          <xm:sqref>C17:C113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7E107-E5F7-4598-AC1F-B8DF6C7DAB6E}">
  <sheetPr codeName="sheetContentTranslation"/>
  <dimension ref="A1:B74"/>
  <sheetViews>
    <sheetView workbookViewId="0">
      <selection activeCell="A28" sqref="A28"/>
    </sheetView>
  </sheetViews>
  <sheetFormatPr defaultRowHeight="14.5" x14ac:dyDescent="0.35"/>
  <cols>
    <col min="1" max="1" width="70" customWidth="1"/>
    <col min="2" max="2" width="68.453125" customWidth="1"/>
  </cols>
  <sheetData>
    <row r="1" spans="1:2" x14ac:dyDescent="0.35">
      <c r="A1" s="19" t="s">
        <v>38</v>
      </c>
      <c r="B1" s="19" t="s">
        <v>39</v>
      </c>
    </row>
    <row r="2" spans="1:2" x14ac:dyDescent="0.35">
      <c r="A2" t="s">
        <v>10</v>
      </c>
      <c r="B2" s="34" t="s">
        <v>10</v>
      </c>
    </row>
    <row r="3" spans="1:2" x14ac:dyDescent="0.35">
      <c r="A3" t="s">
        <v>11</v>
      </c>
      <c r="B3" s="34" t="s">
        <v>11</v>
      </c>
    </row>
    <row r="4" spans="1:2" x14ac:dyDescent="0.35">
      <c r="A4" t="s">
        <v>12</v>
      </c>
      <c r="B4" s="34" t="s">
        <v>12</v>
      </c>
    </row>
    <row r="5" spans="1:2" x14ac:dyDescent="0.35">
      <c r="A5" t="s">
        <v>6</v>
      </c>
      <c r="B5" s="34" t="s">
        <v>6</v>
      </c>
    </row>
    <row r="6" spans="1:2" x14ac:dyDescent="0.35">
      <c r="A6" t="s">
        <v>13</v>
      </c>
      <c r="B6" s="34" t="s">
        <v>13</v>
      </c>
    </row>
    <row r="7" spans="1:2" x14ac:dyDescent="0.35">
      <c r="A7" t="s">
        <v>14</v>
      </c>
      <c r="B7" s="34" t="s">
        <v>14</v>
      </c>
    </row>
    <row r="8" spans="1:2" x14ac:dyDescent="0.35">
      <c r="A8" t="s">
        <v>15</v>
      </c>
      <c r="B8" s="34" t="s">
        <v>15</v>
      </c>
    </row>
    <row r="9" spans="1:2" x14ac:dyDescent="0.35">
      <c r="A9" t="s">
        <v>16</v>
      </c>
      <c r="B9" s="34" t="s">
        <v>16</v>
      </c>
    </row>
    <row r="10" spans="1:2" x14ac:dyDescent="0.35">
      <c r="A10" t="s">
        <v>17</v>
      </c>
      <c r="B10" s="34" t="s">
        <v>17</v>
      </c>
    </row>
    <row r="11" spans="1:2" x14ac:dyDescent="0.35">
      <c r="A11" t="s">
        <v>18</v>
      </c>
      <c r="B11" s="34" t="s">
        <v>18</v>
      </c>
    </row>
    <row r="12" spans="1:2" x14ac:dyDescent="0.35">
      <c r="A12" t="s">
        <v>19</v>
      </c>
      <c r="B12" s="34" t="s">
        <v>19</v>
      </c>
    </row>
    <row r="13" spans="1:2" x14ac:dyDescent="0.35">
      <c r="A13" t="s">
        <v>20</v>
      </c>
      <c r="B13" s="34" t="s">
        <v>20</v>
      </c>
    </row>
    <row r="14" spans="1:2" x14ac:dyDescent="0.35">
      <c r="A14" t="s">
        <v>21</v>
      </c>
      <c r="B14" s="34" t="s">
        <v>21</v>
      </c>
    </row>
    <row r="15" spans="1:2" x14ac:dyDescent="0.35">
      <c r="A15" t="s">
        <v>22</v>
      </c>
      <c r="B15" s="34" t="s">
        <v>22</v>
      </c>
    </row>
    <row r="16" spans="1:2" x14ac:dyDescent="0.35">
      <c r="A16" t="s">
        <v>23</v>
      </c>
      <c r="B16" s="34" t="s">
        <v>23</v>
      </c>
    </row>
    <row r="17" spans="1:2" x14ac:dyDescent="0.35">
      <c r="A17" t="s">
        <v>24</v>
      </c>
      <c r="B17" s="34" t="s">
        <v>24</v>
      </c>
    </row>
    <row r="18" spans="1:2" x14ac:dyDescent="0.35">
      <c r="A18" t="s">
        <v>25</v>
      </c>
      <c r="B18" s="34" t="s">
        <v>25</v>
      </c>
    </row>
    <row r="19" spans="1:2" x14ac:dyDescent="0.35">
      <c r="A19" t="s">
        <v>26</v>
      </c>
      <c r="B19" s="34" t="s">
        <v>26</v>
      </c>
    </row>
    <row r="20" spans="1:2" x14ac:dyDescent="0.35">
      <c r="A20" t="s">
        <v>27</v>
      </c>
      <c r="B20" s="34" t="s">
        <v>27</v>
      </c>
    </row>
    <row r="21" spans="1:2" x14ac:dyDescent="0.35">
      <c r="A21" t="s">
        <v>28</v>
      </c>
      <c r="B21" s="34" t="s">
        <v>28</v>
      </c>
    </row>
    <row r="22" spans="1:2" x14ac:dyDescent="0.35">
      <c r="A22" t="s">
        <v>29</v>
      </c>
      <c r="B22" s="34" t="s">
        <v>29</v>
      </c>
    </row>
    <row r="23" spans="1:2" x14ac:dyDescent="0.35">
      <c r="A23" t="s">
        <v>30</v>
      </c>
      <c r="B23" s="34" t="s">
        <v>30</v>
      </c>
    </row>
    <row r="24" spans="1:2" x14ac:dyDescent="0.35">
      <c r="A24" t="s">
        <v>31</v>
      </c>
      <c r="B24" s="34" t="s">
        <v>31</v>
      </c>
    </row>
    <row r="25" spans="1:2" x14ac:dyDescent="0.35">
      <c r="A25" t="s">
        <v>32</v>
      </c>
      <c r="B25" s="34" t="s">
        <v>32</v>
      </c>
    </row>
    <row r="26" spans="1:2" x14ac:dyDescent="0.35">
      <c r="A26" t="s">
        <v>33</v>
      </c>
      <c r="B26" s="34" t="s">
        <v>33</v>
      </c>
    </row>
    <row r="27" spans="1:2" x14ac:dyDescent="0.35">
      <c r="A27" s="19"/>
      <c r="B27" s="19"/>
    </row>
    <row r="28" spans="1:2" x14ac:dyDescent="0.35">
      <c r="A28" s="19"/>
      <c r="B28" s="19"/>
    </row>
    <row r="29" spans="1:2" x14ac:dyDescent="0.35">
      <c r="A29" s="19"/>
      <c r="B29" s="19"/>
    </row>
    <row r="30" spans="1:2" x14ac:dyDescent="0.35">
      <c r="A30" s="19"/>
      <c r="B30" s="19"/>
    </row>
    <row r="31" spans="1:2" x14ac:dyDescent="0.35">
      <c r="A31" s="19"/>
      <c r="B31" s="19"/>
    </row>
    <row r="32" spans="1:2" x14ac:dyDescent="0.35">
      <c r="A32" s="19"/>
      <c r="B32" s="19"/>
    </row>
    <row r="33" spans="1:2" x14ac:dyDescent="0.35">
      <c r="A33" s="19"/>
      <c r="B33" s="19"/>
    </row>
    <row r="34" spans="1:2" x14ac:dyDescent="0.35">
      <c r="A34" s="19"/>
      <c r="B34" s="19"/>
    </row>
    <row r="35" spans="1:2" x14ac:dyDescent="0.35">
      <c r="A35" s="19"/>
      <c r="B35" s="19"/>
    </row>
    <row r="36" spans="1:2" x14ac:dyDescent="0.35">
      <c r="A36" s="19"/>
      <c r="B36" s="19"/>
    </row>
    <row r="37" spans="1:2" x14ac:dyDescent="0.35">
      <c r="A37" s="19"/>
      <c r="B37" s="19"/>
    </row>
    <row r="38" spans="1:2" x14ac:dyDescent="0.35">
      <c r="A38" s="19"/>
      <c r="B38" s="19"/>
    </row>
    <row r="39" spans="1:2" x14ac:dyDescent="0.35">
      <c r="A39" s="19"/>
      <c r="B39" s="19"/>
    </row>
    <row r="40" spans="1:2" x14ac:dyDescent="0.35">
      <c r="A40" s="19"/>
      <c r="B40" s="19"/>
    </row>
    <row r="41" spans="1:2" x14ac:dyDescent="0.35">
      <c r="A41" s="19"/>
      <c r="B41" s="19"/>
    </row>
    <row r="42" spans="1:2" x14ac:dyDescent="0.35">
      <c r="A42" s="19"/>
      <c r="B42" s="19"/>
    </row>
    <row r="43" spans="1:2" x14ac:dyDescent="0.35">
      <c r="A43" s="19"/>
      <c r="B43" s="19"/>
    </row>
    <row r="44" spans="1:2" x14ac:dyDescent="0.35">
      <c r="A44" s="19"/>
      <c r="B44" s="19"/>
    </row>
    <row r="45" spans="1:2" x14ac:dyDescent="0.35">
      <c r="A45" s="19"/>
      <c r="B45" s="19"/>
    </row>
    <row r="46" spans="1:2" x14ac:dyDescent="0.35">
      <c r="A46" s="19"/>
      <c r="B46" s="19"/>
    </row>
    <row r="47" spans="1:2" x14ac:dyDescent="0.35">
      <c r="A47" s="19"/>
      <c r="B47" s="19"/>
    </row>
    <row r="48" spans="1:2" x14ac:dyDescent="0.35">
      <c r="A48" s="19"/>
      <c r="B48" s="19"/>
    </row>
    <row r="49" spans="1:2" x14ac:dyDescent="0.35">
      <c r="A49" s="19"/>
      <c r="B49" s="19"/>
    </row>
    <row r="50" spans="1:2" x14ac:dyDescent="0.35">
      <c r="A50" s="19"/>
      <c r="B50" s="19"/>
    </row>
    <row r="51" spans="1:2" x14ac:dyDescent="0.35">
      <c r="A51" s="19"/>
      <c r="B51" s="19"/>
    </row>
    <row r="52" spans="1:2" x14ac:dyDescent="0.35">
      <c r="A52" s="19"/>
      <c r="B52" s="19"/>
    </row>
    <row r="53" spans="1:2" x14ac:dyDescent="0.35">
      <c r="A53" s="19"/>
      <c r="B53" s="19"/>
    </row>
    <row r="54" spans="1:2" x14ac:dyDescent="0.35">
      <c r="A54" s="19"/>
      <c r="B54" s="19"/>
    </row>
    <row r="55" spans="1:2" x14ac:dyDescent="0.35">
      <c r="A55" s="19"/>
      <c r="B55" s="19"/>
    </row>
    <row r="56" spans="1:2" x14ac:dyDescent="0.35">
      <c r="A56" s="19"/>
      <c r="B56" s="19"/>
    </row>
    <row r="57" spans="1:2" x14ac:dyDescent="0.35">
      <c r="A57" s="19"/>
      <c r="B57" s="19"/>
    </row>
    <row r="58" spans="1:2" x14ac:dyDescent="0.35">
      <c r="A58" s="19"/>
      <c r="B58" s="19"/>
    </row>
    <row r="59" spans="1:2" x14ac:dyDescent="0.35">
      <c r="A59" s="19"/>
      <c r="B59" s="19"/>
    </row>
    <row r="60" spans="1:2" x14ac:dyDescent="0.35">
      <c r="A60" s="19"/>
      <c r="B60" s="19"/>
    </row>
    <row r="61" spans="1:2" x14ac:dyDescent="0.35">
      <c r="A61" s="19"/>
      <c r="B61" s="19"/>
    </row>
    <row r="62" spans="1:2" x14ac:dyDescent="0.35">
      <c r="A62" s="19"/>
      <c r="B62" s="19"/>
    </row>
    <row r="63" spans="1:2" x14ac:dyDescent="0.35">
      <c r="A63" s="19"/>
      <c r="B63" s="19"/>
    </row>
    <row r="64" spans="1:2" x14ac:dyDescent="0.35">
      <c r="A64" s="19"/>
      <c r="B64" s="19"/>
    </row>
    <row r="65" spans="1:2" x14ac:dyDescent="0.35">
      <c r="A65" s="19"/>
      <c r="B65" s="19"/>
    </row>
    <row r="66" spans="1:2" x14ac:dyDescent="0.35">
      <c r="A66" s="19"/>
      <c r="B66" s="19"/>
    </row>
    <row r="67" spans="1:2" x14ac:dyDescent="0.35">
      <c r="A67" s="19"/>
      <c r="B67" s="19"/>
    </row>
    <row r="68" spans="1:2" x14ac:dyDescent="0.35">
      <c r="A68" s="19"/>
      <c r="B68" s="19"/>
    </row>
    <row r="69" spans="1:2" x14ac:dyDescent="0.35">
      <c r="A69" s="19"/>
      <c r="B69" s="19"/>
    </row>
    <row r="70" spans="1:2" x14ac:dyDescent="0.35">
      <c r="A70" s="19"/>
      <c r="B70" s="19"/>
    </row>
    <row r="71" spans="1:2" x14ac:dyDescent="0.35">
      <c r="A71" s="19"/>
      <c r="B71" s="19"/>
    </row>
    <row r="72" spans="1:2" x14ac:dyDescent="0.35">
      <c r="A72" s="19"/>
      <c r="B72" s="19"/>
    </row>
    <row r="73" spans="1:2" x14ac:dyDescent="0.35">
      <c r="A73" s="19"/>
      <c r="B73" s="19"/>
    </row>
    <row r="74" spans="1:2" x14ac:dyDescent="0.35">
      <c r="A74" s="19"/>
      <c r="B74" s="19"/>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ffe4ad93-ed6f-4535-b8d7-9f3717677e75">
      <Terms xmlns="http://schemas.microsoft.com/office/infopath/2007/PartnerControls"/>
    </lcf76f155ced4ddcb4097134ff3c332f>
    <TaxCatchAll xmlns="aae29c38-5c64-4b4f-89da-042ea755fda5" xsi:nil="true"/>
    <Main_x0020_topic xmlns="aae29c38-5c64-4b4f-89da-042ea755fda5" xsi:nil="true"/>
    <Versioncomments xmlns="ffe4ad93-ed6f-4535-b8d7-9f3717677e75" xsi:nil="true"/>
    <SharedWithUsers xmlns="aae29c38-5c64-4b4f-89da-042ea755fda5">
      <UserInfo>
        <DisplayName/>
        <AccountId xsi:nil="true"/>
        <AccountType/>
      </UserInfo>
    </SharedWithUsers>
    <MediaLengthInSeconds xmlns="ffe4ad93-ed6f-4535-b8d7-9f3717677e75"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BA8A0A80888F545BB9D1A28C6C20EC8" ma:contentTypeVersion="14" ma:contentTypeDescription="Create a new document." ma:contentTypeScope="" ma:versionID="b93681d9c2276edfa9cfb6261ce32122">
  <xsd:schema xmlns:xsd="http://www.w3.org/2001/XMLSchema" xmlns:xs="http://www.w3.org/2001/XMLSchema" xmlns:p="http://schemas.microsoft.com/office/2006/metadata/properties" xmlns:ns2="ffe4ad93-ed6f-4535-b8d7-9f3717677e75" xmlns:ns3="aae29c38-5c64-4b4f-89da-042ea755fda5" targetNamespace="http://schemas.microsoft.com/office/2006/metadata/properties" ma:root="true" ma:fieldsID="0a8e40df5ee5b8ab9f5e7e8515c09780" ns2:_="" ns3:_="">
    <xsd:import namespace="ffe4ad93-ed6f-4535-b8d7-9f3717677e75"/>
    <xsd:import namespace="aae29c38-5c64-4b4f-89da-042ea755fda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Versioncomments" minOccurs="0"/>
                <xsd:element ref="ns2:lcf76f155ced4ddcb4097134ff3c332f" minOccurs="0"/>
                <xsd:element ref="ns3:TaxCatchAll" minOccurs="0"/>
                <xsd:element ref="ns2:MediaServiceGenerationTime" minOccurs="0"/>
                <xsd:element ref="ns2:MediaServiceEventHashCode" minOccurs="0"/>
                <xsd:element ref="ns3:SharedWithUsers" minOccurs="0"/>
                <xsd:element ref="ns3:SharedWithDetails" minOccurs="0"/>
                <xsd:element ref="ns2:MediaServiceObjectDetectorVersions" minOccurs="0"/>
                <xsd:element ref="ns3:Main_x0020_topic"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fe4ad93-ed6f-4535-b8d7-9f3717677e7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Versioncomments" ma:index="12" nillable="true" ma:displayName="Version comments" ma:format="Dropdown" ma:internalName="Versioncomments">
      <xsd:simpleType>
        <xsd:restriction base="dms:Note">
          <xsd:maxLength value="255"/>
        </xsd:restriction>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6a785552-9cbc-4ad1-85a9-7bdd3352d37e" ma:termSetId="09814cd3-568e-fe90-9814-8d621ff8fb84" ma:anchorId="fba54fb3-c3e1-fe81-a776-ca4b69148c4d" ma:open="true" ma:isKeyword="false">
      <xsd:complexType>
        <xsd:sequence>
          <xsd:element ref="pc:Terms" minOccurs="0" maxOccurs="1"/>
        </xsd:sequence>
      </xsd:complex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ae29c38-5c64-4b4f-89da-042ea755fda5"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be78da1e-b515-4546-8b6d-a94f81144609}" ma:internalName="TaxCatchAll" ma:showField="CatchAllData" ma:web="aae29c38-5c64-4b4f-89da-042ea755fda5">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Main_x0020_topic" ma:index="21" nillable="true" ma:displayName="Main topic" ma:internalName="Main_x0020_topic">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0B4F598-0246-4EA1-929D-0BC9BAA73129}">
  <ds:schemaRefs>
    <ds:schemaRef ds:uri="42c6dde8-c0d4-4b48-a999-5305f20bc0f9"/>
    <ds:schemaRef ds:uri="http://purl.org/dc/elements/1.1/"/>
    <ds:schemaRef ds:uri="http://www.w3.org/XML/1998/namespace"/>
    <ds:schemaRef ds:uri="http://schemas.openxmlformats.org/package/2006/metadata/core-properties"/>
    <ds:schemaRef ds:uri="http://schemas.microsoft.com/office/2006/documentManagement/types"/>
    <ds:schemaRef ds:uri="http://schemas.microsoft.com/sharepoint/v3"/>
    <ds:schemaRef ds:uri="http://purl.org/dc/dcmitype/"/>
    <ds:schemaRef ds:uri="http://purl.org/dc/terms/"/>
    <ds:schemaRef ds:uri="http://schemas.microsoft.com/office/infopath/2007/PartnerControls"/>
    <ds:schemaRef ds:uri="3f10eaf0-f562-4c04-bd08-cc6dd174e17d"/>
    <ds:schemaRef ds:uri="http://schemas.microsoft.com/office/2006/metadata/properties"/>
  </ds:schemaRefs>
</ds:datastoreItem>
</file>

<file path=customXml/itemProps2.xml><?xml version="1.0" encoding="utf-8"?>
<ds:datastoreItem xmlns:ds="http://schemas.openxmlformats.org/officeDocument/2006/customXml" ds:itemID="{53CDC5A4-BA85-44ED-B6FA-A12708FEAFBF}">
  <ds:schemaRefs>
    <ds:schemaRef ds:uri="http://schemas.microsoft.com/sharepoint/v3/contenttype/forms"/>
  </ds:schemaRefs>
</ds:datastoreItem>
</file>

<file path=customXml/itemProps3.xml><?xml version="1.0" encoding="utf-8"?>
<ds:datastoreItem xmlns:ds="http://schemas.openxmlformats.org/officeDocument/2006/customXml" ds:itemID="{487F4F3B-9C1F-4096-B4CF-4768842F6B3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Instructions</vt:lpstr>
      <vt:lpstr>Component materiality input</vt:lpstr>
      <vt:lpstr>Translations</vt:lpstr>
      <vt:lpstr>ComponentRows</vt:lpstr>
      <vt:lpstr>EquityMethodInvestments</vt:lpstr>
      <vt:lpstr>NumberOfComponents</vt:lpstr>
      <vt:lpstr>NumberOfEquityMethodInvestments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Andy Barnhart</dc:creator>
  <cp:keywords/>
  <dc:description/>
  <cp:lastModifiedBy>Mariela Melendez</cp:lastModifiedBy>
  <cp:revision/>
  <dcterms:created xsi:type="dcterms:W3CDTF">2021-04-21T14:12:25Z</dcterms:created>
  <dcterms:modified xsi:type="dcterms:W3CDTF">2024-03-21T21:32:40Z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0x0101005BA8A0A80888F545BB9D1A28C6C20EC8</vt:lpwstr>
  </property>
  <property fmtid="{D5CDD505-2E9C-101B-9397-08002B2CF9AE}" pid="3" name="_dlc_DocIdItemGuid">
    <vt:lpwstr>d86d9444-767a-4b0d-a56f-b70d839ddafe</vt:lpwstr>
  </property>
  <property fmtid="{D5CDD505-2E9C-101B-9397-08002B2CF9AE}" pid="4" name="Order">
    <vt:r8>1531100</vt:r8>
  </property>
  <property fmtid="{D5CDD505-2E9C-101B-9397-08002B2CF9AE}" pid="5" name="xd_Signature">
    <vt:bool>false</vt:bool>
  </property>
  <property fmtid="{D5CDD505-2E9C-101B-9397-08002B2CF9AE}" pid="6" name="xd_ProgID">
    <vt:lpwstr/>
  </property>
  <property fmtid="{D5CDD505-2E9C-101B-9397-08002B2CF9AE}" pid="7" name="_ExtendedDescription">
    <vt:lpwstr/>
  </property>
  <property fmtid="{D5CDD505-2E9C-101B-9397-08002B2CF9AE}" pid="8" name="_dlc_DocId">
    <vt:lpwstr>T4T5T3R555WE-636262436-15311</vt:lpwstr>
  </property>
  <property fmtid="{D5CDD505-2E9C-101B-9397-08002B2CF9AE}" pid="9" name="TriggerFlowInfo">
    <vt:lpwstr/>
  </property>
  <property fmtid="{D5CDD505-2E9C-101B-9397-08002B2CF9AE}" pid="10" name="_dlc_DocIdUrl">
    <vt:lpwstr>https://gtinetorg.sharepoint.com/sites/leapdocs/_layouts/15/DocIdRedir.aspx?ID=T4T5T3R555WE-636262436-15311, T4T5T3R555WE-636262436-15311</vt:lpwstr>
  </property>
  <property fmtid="{D5CDD505-2E9C-101B-9397-08002B2CF9AE}" pid="11" name="ComplianceAssetId">
    <vt:lpwstr/>
  </property>
  <property fmtid="{D5CDD505-2E9C-101B-9397-08002B2CF9AE}" pid="12" name="TemplateUrl">
    <vt:lpwstr/>
  </property>
  <property fmtid="{D5CDD505-2E9C-101B-9397-08002B2CF9AE}" pid="13" name="MediaServiceImageTags">
    <vt:lpwstr/>
  </property>
  <property fmtid="{D5CDD505-2E9C-101B-9397-08002B2CF9AE}" pid="14" name="_SourceUrl">
    <vt:lpwstr/>
  </property>
  <property fmtid="{D5CDD505-2E9C-101B-9397-08002B2CF9AE}" pid="15" name="_SharedFileIndex">
    <vt:lpwstr/>
  </property>
</Properties>
</file>